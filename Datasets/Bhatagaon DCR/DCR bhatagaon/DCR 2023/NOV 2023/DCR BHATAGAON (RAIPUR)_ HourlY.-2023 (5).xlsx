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MONTHLY 30" sheetId="39" r:id="rId33"/>
  </sheets>
  <definedNames/>
  <calcPr calcId="124519"/>
</workbook>
</file>

<file path=xl/calcChain.xml><?xml version="1.0" encoding="utf-8"?>
<calcChain xmlns="http://schemas.openxmlformats.org/spreadsheetml/2006/main">
  <c r="B2" i="20" l="1"/>
</calcChain>
</file>

<file path=xl/sharedStrings.xml><?xml version="1.0" encoding="utf-8"?>
<sst xmlns="http://schemas.openxmlformats.org/spreadsheetml/2006/main" count="2931" uniqueCount="782">
  <si>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</si>
  <si>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</si>
  <si>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</si>
  <si>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</si>
  <si>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</si>
  <si>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</si>
  <si>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</si>
  <si>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</si>
  <si>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</si>
  <si>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</si>
  <si>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</si>
  <si>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</si>
  <si>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</si>
  <si>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</si>
  <si>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</si>
  <si>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</si>
  <si>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</si>
  <si>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</si>
  <si>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</si>
  <si>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</si>
  <si>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</si>
  <si>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</si>
  <si>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</si>
  <si>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</si>
  <si>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</si>
  <si>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</si>
  <si>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</si>
  <si>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</si>
  <si>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</si>
  <si>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</si>
  <si>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</si>
  <si>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</si>
  <si>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</si>
  <si>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</si>
  <si>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</si>
  <si>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</si>
  <si>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</si>
  <si>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</si>
  <si>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</si>
  <si>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</si>
  <si>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</si>
  <si>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</si>
  <si>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</si>
  <si>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</si>
  <si>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</si>
  <si>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</si>
  <si>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</si>
  <si>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</si>
  <si>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</si>
  <si>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</si>
  <si>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</si>
  <si>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</si>
  <si>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</si>
  <si>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</si>
  <si>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</si>
  <si>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</si>
  <si>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</si>
  <si>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</si>
  <si>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</si>
  <si>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</si>
  <si>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</si>
  <si>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</si>
  <si>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01-11-2023 01:00</t>
  </si>
  <si>
    <t>01-11-2023 02:00</t>
  </si>
  <si>
    <t>01-11-2023 03:00</t>
  </si>
  <si>
    <t>01-11-2023 04:00</t>
  </si>
  <si>
    <t>01-11-2023 05:00</t>
  </si>
  <si>
    <t>01-11-2023 06:00</t>
  </si>
  <si>
    <t>01-11-2023 07:00</t>
  </si>
  <si>
    <t>01-11-2023 08:00</t>
  </si>
  <si>
    <t>01-11-2023 09:00</t>
  </si>
  <si>
    <t>01-11-2023 10:00</t>
  </si>
  <si>
    <t>01-11-2023 11:00</t>
  </si>
  <si>
    <t>01-11-2023 12:00</t>
  </si>
  <si>
    <t>01-11-2023 13:00</t>
  </si>
  <si>
    <t>01-11-2023 14:00</t>
  </si>
  <si>
    <t>01-11-2023 15:00</t>
  </si>
  <si>
    <t>01-11-2023 16:00</t>
  </si>
  <si>
    <t>01-11-2023 17:00</t>
  </si>
  <si>
    <t>01-11-2023 18:00</t>
  </si>
  <si>
    <t>01-11-2023 19:00</t>
  </si>
  <si>
    <t>01-11-2023 20:00</t>
  </si>
  <si>
    <t>01-11-2023 21:00</t>
  </si>
  <si>
    <t>01-11-2023 22:00</t>
  </si>
  <si>
    <t>01-11-2023 23:00</t>
  </si>
  <si>
    <t>01-11-2023 24:00</t>
  </si>
  <si>
    <t>02-11-2023 01:00</t>
  </si>
  <si>
    <t>02-11-2023 02:00</t>
  </si>
  <si>
    <t>02-11-2023 03:00</t>
  </si>
  <si>
    <t>02-11-2023 04:00</t>
  </si>
  <si>
    <t>02-11-2023 05:00</t>
  </si>
  <si>
    <t>02-11-2023 06:00</t>
  </si>
  <si>
    <t>02-11-2023 07:00</t>
  </si>
  <si>
    <t>02-11-2023 08:00</t>
  </si>
  <si>
    <t>02-11-2023 09:00</t>
  </si>
  <si>
    <t>02-11-2023 10:00</t>
  </si>
  <si>
    <t>02-11-2023 11:00</t>
  </si>
  <si>
    <t>02-11-2023 12:00</t>
  </si>
  <si>
    <t>02-11-2023 13:00</t>
  </si>
  <si>
    <t>02-11-2023 14:00</t>
  </si>
  <si>
    <t>02-11-2023 15:00</t>
  </si>
  <si>
    <t>02-11-2023 16:00</t>
  </si>
  <si>
    <t>02-11-2023 17:00</t>
  </si>
  <si>
    <t>02-11-2023 18:00</t>
  </si>
  <si>
    <t>02-11-2023 19:00</t>
  </si>
  <si>
    <t>02-11-2023 20:00</t>
  </si>
  <si>
    <t>02-11-2023 21:00</t>
  </si>
  <si>
    <t>02-11-2023 22:00</t>
  </si>
  <si>
    <t>02-11-2023 23:00</t>
  </si>
  <si>
    <t>02-11-2023 24:00</t>
  </si>
  <si>
    <t>03-11-2023 01:00</t>
  </si>
  <si>
    <t>03-11-2023 02:00</t>
  </si>
  <si>
    <t>03-11-2023 03:00</t>
  </si>
  <si>
    <t>03-11-2023 04:00</t>
  </si>
  <si>
    <t>03-11-2023 05:00</t>
  </si>
  <si>
    <t>03-11-2023 06:00</t>
  </si>
  <si>
    <t>03-11-2023 07:00</t>
  </si>
  <si>
    <t>03-11-2023 08:00</t>
  </si>
  <si>
    <t>03-11-2023 09:00</t>
  </si>
  <si>
    <t>03-11-2023 10:00</t>
  </si>
  <si>
    <t>03-11-2023 11:00</t>
  </si>
  <si>
    <t>03-11-2023 12:00</t>
  </si>
  <si>
    <t>03-11-2023 13:00</t>
  </si>
  <si>
    <t>03-11-2023 14:00</t>
  </si>
  <si>
    <t>03-11-2023 15:00</t>
  </si>
  <si>
    <t>03-11-2023 16:00</t>
  </si>
  <si>
    <t>03-11-2023 17:00</t>
  </si>
  <si>
    <t>03-11-2023 18:00</t>
  </si>
  <si>
    <t>03-11-2023 19:00</t>
  </si>
  <si>
    <t>03-11-2023 20:00</t>
  </si>
  <si>
    <t>03-11-2023 21:00</t>
  </si>
  <si>
    <t>03-11-2023 22:00</t>
  </si>
  <si>
    <t>03-11-2023 23:00</t>
  </si>
  <si>
    <t>03-11-2023 24:00</t>
  </si>
  <si>
    <t>04-11-2023 01:00</t>
  </si>
  <si>
    <t>04-11-2023 02:00</t>
  </si>
  <si>
    <t>04-11-2023 03:00</t>
  </si>
  <si>
    <t>04-11-2023 04:00</t>
  </si>
  <si>
    <t>04-11-2023 05:00</t>
  </si>
  <si>
    <t>04-11-2023 06:00</t>
  </si>
  <si>
    <t>04-11-2023 07:00</t>
  </si>
  <si>
    <t>04-11-2023 08:00</t>
  </si>
  <si>
    <t>04-11-2023 09:00</t>
  </si>
  <si>
    <t>04-11-2023 10:00</t>
  </si>
  <si>
    <t>04-11-2023 11:00</t>
  </si>
  <si>
    <t>04-11-2023 12:00</t>
  </si>
  <si>
    <t>04-11-2023 13:00</t>
  </si>
  <si>
    <t>04-11-2023 14:00</t>
  </si>
  <si>
    <t>04-11-2023 15:00</t>
  </si>
  <si>
    <t>04-11-2023 16:00</t>
  </si>
  <si>
    <t>04-11-2023 17:00</t>
  </si>
  <si>
    <t>04-11-2023 18:00</t>
  </si>
  <si>
    <t>04-11-2023 19:00</t>
  </si>
  <si>
    <t>04-11-2023 20:00</t>
  </si>
  <si>
    <t>04-11-2023 21:00</t>
  </si>
  <si>
    <t>04-11-2023 22:00</t>
  </si>
  <si>
    <t>04-11-2023 23:00</t>
  </si>
  <si>
    <t>04-11-2023 24:00</t>
  </si>
  <si>
    <t>05-11-2023 01:00</t>
  </si>
  <si>
    <t>05-11-2023 02:00</t>
  </si>
  <si>
    <t>05-11-2023 03:00</t>
  </si>
  <si>
    <t>05-11-2023 04:00</t>
  </si>
  <si>
    <t>05-11-2023 05:00</t>
  </si>
  <si>
    <t>05-11-2023 06:00</t>
  </si>
  <si>
    <t>05-11-2023 07:00</t>
  </si>
  <si>
    <t>05-11-2023 08:00</t>
  </si>
  <si>
    <t>05-11-2023 09:00</t>
  </si>
  <si>
    <t>05-11-2023 10:00</t>
  </si>
  <si>
    <t>05-11-2023 11:00</t>
  </si>
  <si>
    <t>05-11-2023 12:00</t>
  </si>
  <si>
    <t>05-11-2023 13:00</t>
  </si>
  <si>
    <t>05-11-2023 14:00</t>
  </si>
  <si>
    <t>05-11-2023 15:00</t>
  </si>
  <si>
    <t>05-11-2023 16:00</t>
  </si>
  <si>
    <t>05-11-2023 17:00</t>
  </si>
  <si>
    <t>05-11-2023 18:00</t>
  </si>
  <si>
    <t>05-11-2023 19:00</t>
  </si>
  <si>
    <t>05-11-2023 20:00</t>
  </si>
  <si>
    <t>05-11-2023 21:00</t>
  </si>
  <si>
    <t>05-11-2023 22:00</t>
  </si>
  <si>
    <t>05-11-2023 23:00</t>
  </si>
  <si>
    <t>05-11-2023 24:00</t>
  </si>
  <si>
    <t>06-11-2023 01:00</t>
  </si>
  <si>
    <t>06-11-2023 02:00</t>
  </si>
  <si>
    <t>06-11-2023 03:00</t>
  </si>
  <si>
    <t>06-11-2023 04:00</t>
  </si>
  <si>
    <t>06-11-2023 05:00</t>
  </si>
  <si>
    <t>06-11-2023 06:00</t>
  </si>
  <si>
    <t>06-11-2023 07:00</t>
  </si>
  <si>
    <t>06-11-2023 08:00</t>
  </si>
  <si>
    <t>06-11-2023 09:00</t>
  </si>
  <si>
    <t>06-11-2023 10:00</t>
  </si>
  <si>
    <t>06-11-2023 11:00</t>
  </si>
  <si>
    <t>06-11-2023 12:00</t>
  </si>
  <si>
    <t>06-11-2023 13:00</t>
  </si>
  <si>
    <t>06-11-2023 14:00</t>
  </si>
  <si>
    <t>06-11-2023 15:00</t>
  </si>
  <si>
    <t>06-11-2023 16:00</t>
  </si>
  <si>
    <t>06-11-2023 17:00</t>
  </si>
  <si>
    <t>06-11-2023 18:00</t>
  </si>
  <si>
    <t>06-11-2023 19:00</t>
  </si>
  <si>
    <t>06-11-2023 20:00</t>
  </si>
  <si>
    <t>06-11-2023 21:00</t>
  </si>
  <si>
    <t>06-11-2023 22:00</t>
  </si>
  <si>
    <t>06-11-2023 23:00</t>
  </si>
  <si>
    <t>06-11-2023 24:00</t>
  </si>
  <si>
    <t>07-11-2023 01:00</t>
  </si>
  <si>
    <t>07-11-2023 02:00</t>
  </si>
  <si>
    <t>07-11-2023 03:00</t>
  </si>
  <si>
    <t>07-11-2023 04:00</t>
  </si>
  <si>
    <t>07-11-2023 05:00</t>
  </si>
  <si>
    <t>07-11-2023 06:00</t>
  </si>
  <si>
    <t>07-11-2023 07:00</t>
  </si>
  <si>
    <t>07-11-2023 08:00</t>
  </si>
  <si>
    <t>07-11-2023 09:00</t>
  </si>
  <si>
    <t>07-11-2023 10:00</t>
  </si>
  <si>
    <t>07-11-2023 11:00</t>
  </si>
  <si>
    <t>07-11-2023 12:00</t>
  </si>
  <si>
    <t>07-11-2023 13:00</t>
  </si>
  <si>
    <t>07-11-2023 14:00</t>
  </si>
  <si>
    <t>07-11-2023 15:00</t>
  </si>
  <si>
    <t>07-11-2023 16:00</t>
  </si>
  <si>
    <t>07-11-2023 17:00</t>
  </si>
  <si>
    <t>07-11-2023 18:00</t>
  </si>
  <si>
    <t>07-11-2023 19:00</t>
  </si>
  <si>
    <t>07-11-2023 20:00</t>
  </si>
  <si>
    <t>07-11-2023 21:00</t>
  </si>
  <si>
    <t>07-11-2023 22:00</t>
  </si>
  <si>
    <t>07-11-2023 23:00</t>
  </si>
  <si>
    <t>07-11-2023 24:00</t>
  </si>
  <si>
    <t>08-11-2023 01:00</t>
  </si>
  <si>
    <t>08-11-2023 02:00</t>
  </si>
  <si>
    <t>08-11-2023 03:00</t>
  </si>
  <si>
    <t>08-11-2023 04:00</t>
  </si>
  <si>
    <t>08-11-2023 05:00</t>
  </si>
  <si>
    <t>08-11-2023 06:00</t>
  </si>
  <si>
    <t>08-11-2023 07:00</t>
  </si>
  <si>
    <t>08-11-2023 08:00</t>
  </si>
  <si>
    <t>08-11-2023 09:00</t>
  </si>
  <si>
    <t>08-11-2023 10:00</t>
  </si>
  <si>
    <t>08-11-2023 11:00</t>
  </si>
  <si>
    <t>08-11-2023 12:00</t>
  </si>
  <si>
    <t>08-11-2023 13:00</t>
  </si>
  <si>
    <t>08-11-2023 14:00</t>
  </si>
  <si>
    <t>08-11-2023 15:00</t>
  </si>
  <si>
    <t>08-11-2023 16:00</t>
  </si>
  <si>
    <t>08-11-2023 17:00</t>
  </si>
  <si>
    <t>08-11-2023 18:00</t>
  </si>
  <si>
    <t>08-11-2023 19:00</t>
  </si>
  <si>
    <t>08-11-2023 20:00</t>
  </si>
  <si>
    <t>08-11-2023 21:00</t>
  </si>
  <si>
    <t>08-11-2023 22:00</t>
  </si>
  <si>
    <t>08-11-2023 23:00</t>
  </si>
  <si>
    <t>08-11-2023 24:00</t>
  </si>
  <si>
    <t>09-11-2023 01:00</t>
  </si>
  <si>
    <t>09-11-2023 02:00</t>
  </si>
  <si>
    <t>09-11-2023 03:00</t>
  </si>
  <si>
    <t>09-11-2023 04:00</t>
  </si>
  <si>
    <t>09-11-2023 05:00</t>
  </si>
  <si>
    <t>09-11-2023 06:00</t>
  </si>
  <si>
    <t>09-11-2023 07:00</t>
  </si>
  <si>
    <t>09-11-2023 08:00</t>
  </si>
  <si>
    <t>09-11-2023 09:00</t>
  </si>
  <si>
    <t>09-11-2023 10:00</t>
  </si>
  <si>
    <t>09-11-2023 11:00</t>
  </si>
  <si>
    <t>09-11-2023 12:00</t>
  </si>
  <si>
    <t>09-11-2023 13:00</t>
  </si>
  <si>
    <t>09-11-2023 14:00</t>
  </si>
  <si>
    <t>09-11-2023 15:00</t>
  </si>
  <si>
    <t>09-11-2023 16:00</t>
  </si>
  <si>
    <t>09-11-2023 17:00</t>
  </si>
  <si>
    <t>09-11-2023 18:00</t>
  </si>
  <si>
    <t>09-11-2023 19:00</t>
  </si>
  <si>
    <t>09-11-2023 20:00</t>
  </si>
  <si>
    <t>09-11-2023 21:00</t>
  </si>
  <si>
    <t>09-11-2023 22:00</t>
  </si>
  <si>
    <t>09-11-2023 23:00</t>
  </si>
  <si>
    <t>09-11-2023 24:00</t>
  </si>
  <si>
    <t>10-11-2023 01:00</t>
  </si>
  <si>
    <t>10-11-2023 02:00</t>
  </si>
  <si>
    <t>10-11-2023 03:00</t>
  </si>
  <si>
    <t>10-11-2023 04:00</t>
  </si>
  <si>
    <t>10-11-2023 05:00</t>
  </si>
  <si>
    <t>10-11-2023 06:00</t>
  </si>
  <si>
    <t>10-11-2023 07:00</t>
  </si>
  <si>
    <t>10-11-2023 08:00</t>
  </si>
  <si>
    <t>10-11-2023 09:00</t>
  </si>
  <si>
    <t>10-11-2023 10:00</t>
  </si>
  <si>
    <t>10-11-2023 11:00</t>
  </si>
  <si>
    <t>10-11-2023 12:00</t>
  </si>
  <si>
    <t>10-11-2023 13:00</t>
  </si>
  <si>
    <t>10-11-2023 14:00</t>
  </si>
  <si>
    <t>10-11-2023 15:00</t>
  </si>
  <si>
    <t>10-11-2023 16:00</t>
  </si>
  <si>
    <t>10-11-2023 17:00</t>
  </si>
  <si>
    <t>10-11-2023 18:00</t>
  </si>
  <si>
    <t>10-11-2023 19:00</t>
  </si>
  <si>
    <t>10-11-2023 20:00</t>
  </si>
  <si>
    <t>10-11-2023 21:00</t>
  </si>
  <si>
    <t>10-11-2023 22:00</t>
  </si>
  <si>
    <t>10-11-2023 23:00</t>
  </si>
  <si>
    <t>10-11-2023 24:00</t>
  </si>
  <si>
    <t>11-11-2023 01:00</t>
  </si>
  <si>
    <t>11-11-2023 02:00</t>
  </si>
  <si>
    <t>11-11-2023 03:00</t>
  </si>
  <si>
    <t>11-11-2023 04:00</t>
  </si>
  <si>
    <t>11-11-2023 05:00</t>
  </si>
  <si>
    <t>11-11-2023 06:00</t>
  </si>
  <si>
    <t>11-11-2023 07:00</t>
  </si>
  <si>
    <t>11-11-2023 08:00</t>
  </si>
  <si>
    <t>11-11-2023 09:00</t>
  </si>
  <si>
    <t>11-11-2023 10:00</t>
  </si>
  <si>
    <t>11-11-2023 11:00</t>
  </si>
  <si>
    <t>11-11-2023 12:00</t>
  </si>
  <si>
    <t>11-11-2023 13:00</t>
  </si>
  <si>
    <t>11-11-2023 14:00</t>
  </si>
  <si>
    <t>11-11-2023 15:00</t>
  </si>
  <si>
    <t>11-11-2023 16:00</t>
  </si>
  <si>
    <t>11-11-2023 17:00</t>
  </si>
  <si>
    <t>11-11-2023 18:00</t>
  </si>
  <si>
    <t>11-11-2023 19:00</t>
  </si>
  <si>
    <t>11-11-2023 20:00</t>
  </si>
  <si>
    <t>11-11-2023 21:00</t>
  </si>
  <si>
    <t>11-11-2023 22:00</t>
  </si>
  <si>
    <t>11-11-2023 23:00</t>
  </si>
  <si>
    <t>11-11-2023 24:00</t>
  </si>
  <si>
    <t>12-11-2023 01:00</t>
  </si>
  <si>
    <t>12-11-2023 02:00</t>
  </si>
  <si>
    <t>12-11-2023 03:00</t>
  </si>
  <si>
    <t>12-11-2023 04:00</t>
  </si>
  <si>
    <t>12-11-2023 05:00</t>
  </si>
  <si>
    <t>12-11-2023 06:00</t>
  </si>
  <si>
    <t>12-11-2023 07:00</t>
  </si>
  <si>
    <t>12-11-2023 08:00</t>
  </si>
  <si>
    <t>12-11-2023 09:00</t>
  </si>
  <si>
    <t>12-11-2023 10:00</t>
  </si>
  <si>
    <t>12-11-2023 11:00</t>
  </si>
  <si>
    <t>12-11-2023 12:00</t>
  </si>
  <si>
    <t>12-11-2023 13:00</t>
  </si>
  <si>
    <t>12-11-2023 14:00</t>
  </si>
  <si>
    <t>12-11-2023 15:00</t>
  </si>
  <si>
    <t>12-11-2023 16:00</t>
  </si>
  <si>
    <t>12-11-2023 17:00</t>
  </si>
  <si>
    <t>12-11-2023 18:00</t>
  </si>
  <si>
    <t>12-11-2023 19:00</t>
  </si>
  <si>
    <t>12-11-2023 20:00</t>
  </si>
  <si>
    <t>12-11-2023 21:00</t>
  </si>
  <si>
    <t>12-11-2023 22:00</t>
  </si>
  <si>
    <t>12-11-2023 23:00</t>
  </si>
  <si>
    <t>12-11-2023 24:00</t>
  </si>
  <si>
    <t>13-11-2023 01:00</t>
  </si>
  <si>
    <t>13-11-2023 02:00</t>
  </si>
  <si>
    <t>13-11-2023 03:00</t>
  </si>
  <si>
    <t>13-11-2023 04:00</t>
  </si>
  <si>
    <t>13-11-2023 05:00</t>
  </si>
  <si>
    <t>13-11-2023 06:00</t>
  </si>
  <si>
    <t>13-11-2023 07:00</t>
  </si>
  <si>
    <t>13-11-2023 08:00</t>
  </si>
  <si>
    <t>13-11-2023 09:00</t>
  </si>
  <si>
    <t>13-11-2023 10:00</t>
  </si>
  <si>
    <t>13-11-2023 11:00</t>
  </si>
  <si>
    <t>13-11-2023 12:00</t>
  </si>
  <si>
    <t>13-11-2023 13:00</t>
  </si>
  <si>
    <t>13-11-2023 14:00</t>
  </si>
  <si>
    <t>13-11-2023 15:00</t>
  </si>
  <si>
    <t>13-11-2023 16:00</t>
  </si>
  <si>
    <t>13-11-2023 17:00</t>
  </si>
  <si>
    <t>13-11-2023 18:00</t>
  </si>
  <si>
    <t>13-11-2023 19:00</t>
  </si>
  <si>
    <t>13-11-2023 20:00</t>
  </si>
  <si>
    <t>13-11-2023 21:00</t>
  </si>
  <si>
    <t>13-11-2023 22:00</t>
  </si>
  <si>
    <t>13-11-2023 23:00</t>
  </si>
  <si>
    <t>13-11-2023 24:00</t>
  </si>
  <si>
    <t>14-11-2023 01:00</t>
  </si>
  <si>
    <t>14-11-2023 02:00</t>
  </si>
  <si>
    <t>14-11-2023 03:00</t>
  </si>
  <si>
    <t>14-11-2023 04:00</t>
  </si>
  <si>
    <t>14-11-2023 05:00</t>
  </si>
  <si>
    <t>14-11-2023 06:00</t>
  </si>
  <si>
    <t>14-11-2023 07:00</t>
  </si>
  <si>
    <t>14-11-2023 08:00</t>
  </si>
  <si>
    <t>14-11-2023 09:00</t>
  </si>
  <si>
    <t>14-11-2023 10:00</t>
  </si>
  <si>
    <t>14-11-2023 11:00</t>
  </si>
  <si>
    <t>14-11-2023 12:00</t>
  </si>
  <si>
    <t>14-11-2023 13:00</t>
  </si>
  <si>
    <t>14-11-2023 14:00</t>
  </si>
  <si>
    <t>14-11-2023 15:00</t>
  </si>
  <si>
    <t>14-11-2023 16:00</t>
  </si>
  <si>
    <t>14-11-2023 17:00</t>
  </si>
  <si>
    <t>14-11-2023 18:00</t>
  </si>
  <si>
    <t>14-11-2023 19:00</t>
  </si>
  <si>
    <t>14-11-2023 20:00</t>
  </si>
  <si>
    <t>14-11-2023 21:00</t>
  </si>
  <si>
    <t>14-11-2023 22:00</t>
  </si>
  <si>
    <t>14-11-2023 23:00</t>
  </si>
  <si>
    <t>14-11-2023 24:00</t>
  </si>
  <si>
    <t>15-11-2023 01:00</t>
  </si>
  <si>
    <t>15-11-2023 02:00</t>
  </si>
  <si>
    <t>15-11-2023 03:00</t>
  </si>
  <si>
    <t>15-11-2023 04:00</t>
  </si>
  <si>
    <t>15-11-2023 05:00</t>
  </si>
  <si>
    <t>15-11-2023 06:00</t>
  </si>
  <si>
    <t>15-11-2023 07:00</t>
  </si>
  <si>
    <t>15-11-2023 08:00</t>
  </si>
  <si>
    <t>15-11-2023 09:00</t>
  </si>
  <si>
    <t>15-11-2023 10:00</t>
  </si>
  <si>
    <t>15-11-2023 11:00</t>
  </si>
  <si>
    <t>15-11-2023 12:00</t>
  </si>
  <si>
    <t>15-11-2023 13:00</t>
  </si>
  <si>
    <t>15-11-2023 14:00</t>
  </si>
  <si>
    <t>15-11-2023 15:00</t>
  </si>
  <si>
    <t>15-11-2023 16:00</t>
  </si>
  <si>
    <t>15-11-2023 17:00</t>
  </si>
  <si>
    <t>15-11-2023 18:00</t>
  </si>
  <si>
    <t>15-11-2023 19:00</t>
  </si>
  <si>
    <t>15-11-2023 20:00</t>
  </si>
  <si>
    <t>15-11-2023 21:00</t>
  </si>
  <si>
    <t>15-11-2023 22:00</t>
  </si>
  <si>
    <t>15-11-2023 23:00</t>
  </si>
  <si>
    <t>15-11-2023 24:00</t>
  </si>
  <si>
    <t>16-11-2023 01:00</t>
  </si>
  <si>
    <t>16-11-2023 02:00</t>
  </si>
  <si>
    <t>16-11-2023 03:00</t>
  </si>
  <si>
    <t>16-11-2023 04:00</t>
  </si>
  <si>
    <t>16-11-2023 05:00</t>
  </si>
  <si>
    <t>16-11-2023 06:00</t>
  </si>
  <si>
    <t>16-11-2023 07:00</t>
  </si>
  <si>
    <t>16-11-2023 08:00</t>
  </si>
  <si>
    <t>16-11-2023 09:00</t>
  </si>
  <si>
    <t>16-11-2023 10:00</t>
  </si>
  <si>
    <t>16-11-2023 11:00</t>
  </si>
  <si>
    <t>16-11-2023 12:00</t>
  </si>
  <si>
    <t>16-11-2023 13:00</t>
  </si>
  <si>
    <t>16-11-2023 14:00</t>
  </si>
  <si>
    <t>16-11-2023 15:00</t>
  </si>
  <si>
    <t>16-11-2023 16:00</t>
  </si>
  <si>
    <t>16-11-2023 17:00</t>
  </si>
  <si>
    <t>16-11-2023 18:00</t>
  </si>
  <si>
    <t>16-11-2023 19:00</t>
  </si>
  <si>
    <t>16-11-2023 20:00</t>
  </si>
  <si>
    <t>16-11-2023 21:00</t>
  </si>
  <si>
    <t>16-11-2023 22:00</t>
  </si>
  <si>
    <t>16-11-2023 23:00</t>
  </si>
  <si>
    <t>16-11-2023 24:00</t>
  </si>
  <si>
    <t>17-11-2023 01:00</t>
  </si>
  <si>
    <t>17-11-2023 02:00</t>
  </si>
  <si>
    <t>17-11-2023 03:00</t>
  </si>
  <si>
    <t>17-11-2023 04:00</t>
  </si>
  <si>
    <t>17-11-2023 05:00</t>
  </si>
  <si>
    <t>17-11-2023 06:00</t>
  </si>
  <si>
    <t>17-11-2023 07:00</t>
  </si>
  <si>
    <t>17-11-2023 08:00</t>
  </si>
  <si>
    <t>17-11-2023 09:00</t>
  </si>
  <si>
    <t>17-11-2023 10:00</t>
  </si>
  <si>
    <t>17-11-2023 11:00</t>
  </si>
  <si>
    <t>17-11-2023 12:00</t>
  </si>
  <si>
    <t>17-11-2023 13:00</t>
  </si>
  <si>
    <t>17-11-2023 14:00</t>
  </si>
  <si>
    <t>17-11-2023 15:00</t>
  </si>
  <si>
    <t>17-11-2023 16:00</t>
  </si>
  <si>
    <t>17-11-2023 17:00</t>
  </si>
  <si>
    <t>17-11-2023 18:00</t>
  </si>
  <si>
    <t>17-11-2023 19:00</t>
  </si>
  <si>
    <t>17-11-2023 20:00</t>
  </si>
  <si>
    <t>17-11-2023 21:00</t>
  </si>
  <si>
    <t>17-11-2023 22:00</t>
  </si>
  <si>
    <t>17-11-2023 23:00</t>
  </si>
  <si>
    <t>17-11-2023 24:00</t>
  </si>
  <si>
    <t>18-11-2023 01:00</t>
  </si>
  <si>
    <t>18-11-2023 02:00</t>
  </si>
  <si>
    <t>18-11-2023 03:00</t>
  </si>
  <si>
    <t>18-11-2023 04:00</t>
  </si>
  <si>
    <t>18-11-2023 05:00</t>
  </si>
  <si>
    <t>18-11-2023 06:00</t>
  </si>
  <si>
    <t>18-11-2023 07:00</t>
  </si>
  <si>
    <t>18-11-2023 08:00</t>
  </si>
  <si>
    <t>18-11-2023 09:00</t>
  </si>
  <si>
    <t>18-11-2023 10:00</t>
  </si>
  <si>
    <t>18-11-2023 11:00</t>
  </si>
  <si>
    <t>18-11-2023 12:00</t>
  </si>
  <si>
    <t>18-11-2023 13:00</t>
  </si>
  <si>
    <t>18-11-2023 14:00</t>
  </si>
  <si>
    <t>18-11-2023 15:00</t>
  </si>
  <si>
    <t>18-11-2023 16:00</t>
  </si>
  <si>
    <t>18-11-2023 17:00</t>
  </si>
  <si>
    <t>18-11-2023 18:00</t>
  </si>
  <si>
    <t>18-11-2023 19:00</t>
  </si>
  <si>
    <t>18-11-2023 20:00</t>
  </si>
  <si>
    <t>18-11-2023 21:00</t>
  </si>
  <si>
    <t>18-11-2023 22:00</t>
  </si>
  <si>
    <t>18-11-2023 23:00</t>
  </si>
  <si>
    <t>18-11-2023 24:00</t>
  </si>
  <si>
    <t>19-11-2023 01:00</t>
  </si>
  <si>
    <t>19-11-2023 02:00</t>
  </si>
  <si>
    <t>19-11-2023 03:00</t>
  </si>
  <si>
    <t>19-11-2023 04:00</t>
  </si>
  <si>
    <t>19-11-2023 05:00</t>
  </si>
  <si>
    <t>19-11-2023 06:00</t>
  </si>
  <si>
    <t>19-11-2023 07:00</t>
  </si>
  <si>
    <t>19-11-2023 08:00</t>
  </si>
  <si>
    <t>19-11-2023 09:00</t>
  </si>
  <si>
    <t>19-11-2023 10:00</t>
  </si>
  <si>
    <t>19-11-2023 11:00</t>
  </si>
  <si>
    <t>19-11-2023 12:00</t>
  </si>
  <si>
    <t>19-11-2023 13:00</t>
  </si>
  <si>
    <t>19-11-2023 14:00</t>
  </si>
  <si>
    <t>19-11-2023 15:00</t>
  </si>
  <si>
    <t>19-11-2023 16:00</t>
  </si>
  <si>
    <t>19-11-2023 17:00</t>
  </si>
  <si>
    <t>19-11-2023 18:00</t>
  </si>
  <si>
    <t>19-11-2023 19:00</t>
  </si>
  <si>
    <t>19-11-2023 20:00</t>
  </si>
  <si>
    <t>19-11-2023 21:00</t>
  </si>
  <si>
    <t>19-11-2023 22:00</t>
  </si>
  <si>
    <t>19-11-2023 23:00</t>
  </si>
  <si>
    <t>19-11-2023 24:00</t>
  </si>
  <si>
    <t>20-11-2023 01:00</t>
  </si>
  <si>
    <t>20-11-2023 02:00</t>
  </si>
  <si>
    <t>20-11-2023 03:00</t>
  </si>
  <si>
    <t>20-11-2023 04:00</t>
  </si>
  <si>
    <t>20-11-2023 05:00</t>
  </si>
  <si>
    <t>20-11-2023 06:00</t>
  </si>
  <si>
    <t>20-11-2023 07:00</t>
  </si>
  <si>
    <t>20-11-2023 08:00</t>
  </si>
  <si>
    <t>20-11-2023 09:00</t>
  </si>
  <si>
    <t>20-11-2023 10:00</t>
  </si>
  <si>
    <t>20-11-2023 11:00</t>
  </si>
  <si>
    <t>20-11-2023 12:00</t>
  </si>
  <si>
    <t>20-11-2023 13:00</t>
  </si>
  <si>
    <t>20-11-2023 14:00</t>
  </si>
  <si>
    <t>20-11-2023 15:00</t>
  </si>
  <si>
    <t>20-11-2023 16:00</t>
  </si>
  <si>
    <t>20-11-2023 17:00</t>
  </si>
  <si>
    <t>20-11-2023 18:00</t>
  </si>
  <si>
    <t>20-11-2023 19:00</t>
  </si>
  <si>
    <t>20-11-2023 20:00</t>
  </si>
  <si>
    <t>20-11-2023 21:00</t>
  </si>
  <si>
    <t>20-11-2023 22:00</t>
  </si>
  <si>
    <t>20-11-2023 23:00</t>
  </si>
  <si>
    <t>20-11-2023 24:00</t>
  </si>
  <si>
    <t>21-11-2023 01:00</t>
  </si>
  <si>
    <t>21-11-2023 02:00</t>
  </si>
  <si>
    <t>21-11-2023 03:00</t>
  </si>
  <si>
    <t>21-11-2023 04:00</t>
  </si>
  <si>
    <t>21-11-2023 05:00</t>
  </si>
  <si>
    <t>21-11-2023 06:00</t>
  </si>
  <si>
    <t>21-11-2023 07:00</t>
  </si>
  <si>
    <t>21-11-2023 08:00</t>
  </si>
  <si>
    <t>21-11-2023 09:00</t>
  </si>
  <si>
    <t>21-11-2023 10:00</t>
  </si>
  <si>
    <t>21-11-2023 11:00</t>
  </si>
  <si>
    <t>21-11-2023 12:00</t>
  </si>
  <si>
    <t>21-11-2023 13:00</t>
  </si>
  <si>
    <t>21-11-2023 14:00</t>
  </si>
  <si>
    <t>21-11-2023 15:00</t>
  </si>
  <si>
    <t>21-11-2023 16:00</t>
  </si>
  <si>
    <t>21-11-2023 17:00</t>
  </si>
  <si>
    <t>21-11-2023 18:00</t>
  </si>
  <si>
    <t>21-11-2023 19:00</t>
  </si>
  <si>
    <t>21-11-2023 20:00</t>
  </si>
  <si>
    <t>21-11-2023 21:00</t>
  </si>
  <si>
    <t>21-11-2023 22:00</t>
  </si>
  <si>
    <t>21-11-2023 23:00</t>
  </si>
  <si>
    <t>21-11-2023 24:00</t>
  </si>
  <si>
    <t>22-11-2023 01:00</t>
  </si>
  <si>
    <t>22-11-2023 02:00</t>
  </si>
  <si>
    <t>22-11-2023 03:00</t>
  </si>
  <si>
    <t>22-11-2023 04:00</t>
  </si>
  <si>
    <t>22-11-2023 05:00</t>
  </si>
  <si>
    <t>22-11-2023 06:00</t>
  </si>
  <si>
    <t>22-11-2023 07:00</t>
  </si>
  <si>
    <t>22-11-2023 08:00</t>
  </si>
  <si>
    <t>22-11-2023 09:00</t>
  </si>
  <si>
    <t>22-11-2023 10:00</t>
  </si>
  <si>
    <t>22-11-2023 11:00</t>
  </si>
  <si>
    <t>22-11-2023 12:00</t>
  </si>
  <si>
    <t>22-11-2023 13:00</t>
  </si>
  <si>
    <t>22-11-2023 14:00</t>
  </si>
  <si>
    <t>22-11-2023 15:00</t>
  </si>
  <si>
    <t>22-11-2023 16:00</t>
  </si>
  <si>
    <t>22-11-2023 17:00</t>
  </si>
  <si>
    <t>22-11-2023 18:00</t>
  </si>
  <si>
    <t>22-11-2023 19:00</t>
  </si>
  <si>
    <t>22-11-2023 20:00</t>
  </si>
  <si>
    <t>22-11-2023 21:00</t>
  </si>
  <si>
    <t>22-11-2023 22:00</t>
  </si>
  <si>
    <t>22-11-2023 23:00</t>
  </si>
  <si>
    <t>22-11-2023 24:00</t>
  </si>
  <si>
    <t>23-11-2023 01:00</t>
  </si>
  <si>
    <t>23-11-2023 02:00</t>
  </si>
  <si>
    <t>23-11-2023 03:00</t>
  </si>
  <si>
    <t>23-11-2023 04:00</t>
  </si>
  <si>
    <t>23-11-2023 05:00</t>
  </si>
  <si>
    <t>23-11-2023 06:00</t>
  </si>
  <si>
    <t>23-11-2023 07:00</t>
  </si>
  <si>
    <t>23-11-2023 08:00</t>
  </si>
  <si>
    <t>23-11-2023 09:00</t>
  </si>
  <si>
    <t>23-11-2023 10:00</t>
  </si>
  <si>
    <t>23-11-2023 11:00</t>
  </si>
  <si>
    <t>23-11-2023 12:00</t>
  </si>
  <si>
    <t>23-11-2023 13:00</t>
  </si>
  <si>
    <t>23-11-2023 14:00</t>
  </si>
  <si>
    <t>23-11-2023 15:00</t>
  </si>
  <si>
    <t>23-11-2023 16:00</t>
  </si>
  <si>
    <t>23-11-2023 17:00</t>
  </si>
  <si>
    <t>23-11-2023 18:00</t>
  </si>
  <si>
    <t>23-11-2023 19:00</t>
  </si>
  <si>
    <t>23-11-2023 20:00</t>
  </si>
  <si>
    <t>23-11-2023 21:00</t>
  </si>
  <si>
    <t>23-11-2023 22:00</t>
  </si>
  <si>
    <t>23-11-2023 23:00</t>
  </si>
  <si>
    <t>23-11-2023 24:00</t>
  </si>
  <si>
    <t>24-11-2023 01:00</t>
  </si>
  <si>
    <t>24-11-2023 02:00</t>
  </si>
  <si>
    <t>24-11-2023 03:00</t>
  </si>
  <si>
    <t>24-11-2023 04:00</t>
  </si>
  <si>
    <t>24-11-2023 05:00</t>
  </si>
  <si>
    <t>24-11-2023 06:00</t>
  </si>
  <si>
    <t>24-11-2023 07:00</t>
  </si>
  <si>
    <t>24-11-2023 08:00</t>
  </si>
  <si>
    <t>24-11-2023 09:00</t>
  </si>
  <si>
    <t>24-11-2023 10:00</t>
  </si>
  <si>
    <t>24-11-2023 11:00</t>
  </si>
  <si>
    <t>24-11-2023 12:00</t>
  </si>
  <si>
    <t>24-11-2023 13:00</t>
  </si>
  <si>
    <t>24-11-2023 14:00</t>
  </si>
  <si>
    <t>24-11-2023 15:00</t>
  </si>
  <si>
    <t>24-11-2023 16:00</t>
  </si>
  <si>
    <t>24-11-2023 17:00</t>
  </si>
  <si>
    <t>24-11-2023 18:00</t>
  </si>
  <si>
    <t>24-11-2023 19:00</t>
  </si>
  <si>
    <t>24-11-2023 20:00</t>
  </si>
  <si>
    <t>24-11-2023 21:00</t>
  </si>
  <si>
    <t>24-11-2023 22:00</t>
  </si>
  <si>
    <t>24-11-2023 23:00</t>
  </si>
  <si>
    <t>24-11-2023 24:00</t>
  </si>
  <si>
    <t>25-11-2023 01:00</t>
  </si>
  <si>
    <t>25-11-2023 02:00</t>
  </si>
  <si>
    <t>25-11-2023 03:00</t>
  </si>
  <si>
    <t>25-11-2023 04:00</t>
  </si>
  <si>
    <t>25-11-2023 05:00</t>
  </si>
  <si>
    <t>25-11-2023 06:00</t>
  </si>
  <si>
    <t>25-11-2023 07:00</t>
  </si>
  <si>
    <t>25-11-2023 08:00</t>
  </si>
  <si>
    <t>25-11-2023 09:00</t>
  </si>
  <si>
    <t>25-11-2023 10:00</t>
  </si>
  <si>
    <t>25-11-2023 11:00</t>
  </si>
  <si>
    <t>25-11-2023 12:00</t>
  </si>
  <si>
    <t>25-11-2023 13:00</t>
  </si>
  <si>
    <t>25-11-2023 14:00</t>
  </si>
  <si>
    <t>25-11-2023 15:00</t>
  </si>
  <si>
    <t>25-11-2023 16:00</t>
  </si>
  <si>
    <t>25-11-2023 17:00</t>
  </si>
  <si>
    <t>25-11-2023 18:00</t>
  </si>
  <si>
    <t>25-11-2023 19:00</t>
  </si>
  <si>
    <t>25-11-2023 20:00</t>
  </si>
  <si>
    <t>25-11-2023 21:00</t>
  </si>
  <si>
    <t>25-11-2023 22:00</t>
  </si>
  <si>
    <t>25-11-2023 23:00</t>
  </si>
  <si>
    <t>25-11-2023 24:00</t>
  </si>
  <si>
    <t>26-11-2023 01:00</t>
  </si>
  <si>
    <t>26-11-2023 02:00</t>
  </si>
  <si>
    <t>26-11-2023 03:00</t>
  </si>
  <si>
    <t>26-11-2023 04:00</t>
  </si>
  <si>
    <t>26-11-2023 05:00</t>
  </si>
  <si>
    <t>26-11-2023 06:00</t>
  </si>
  <si>
    <t>26-11-2023 07:00</t>
  </si>
  <si>
    <t>26-11-2023 08:00</t>
  </si>
  <si>
    <t>26-11-2023 09:00</t>
  </si>
  <si>
    <t>26-11-2023 10:00</t>
  </si>
  <si>
    <t>26-11-2023 11:00</t>
  </si>
  <si>
    <t>26-11-2023 12:00</t>
  </si>
  <si>
    <t>26-11-2023 13:00</t>
  </si>
  <si>
    <t>26-11-2023 14:00</t>
  </si>
  <si>
    <t>26-11-2023 15:00</t>
  </si>
  <si>
    <t>26-11-2023 16:00</t>
  </si>
  <si>
    <t>26-11-2023 17:00</t>
  </si>
  <si>
    <t>26-11-2023 18:00</t>
  </si>
  <si>
    <t>26-11-2023 19:00</t>
  </si>
  <si>
    <t>26-11-2023 20:00</t>
  </si>
  <si>
    <t>26-11-2023 21:00</t>
  </si>
  <si>
    <t>26-11-2023 22:00</t>
  </si>
  <si>
    <t>26-11-2023 23:00</t>
  </si>
  <si>
    <t>26-11-2023 24:00</t>
  </si>
  <si>
    <t>27-11-2023 01:00</t>
  </si>
  <si>
    <t>27-11-2023 02:00</t>
  </si>
  <si>
    <t>27-11-2023 03:00</t>
  </si>
  <si>
    <t>27-11-2023 04:00</t>
  </si>
  <si>
    <t>27-11-2023 05:00</t>
  </si>
  <si>
    <t>27-11-2023 06:00</t>
  </si>
  <si>
    <t>27-11-2023 07:00</t>
  </si>
  <si>
    <t>27-11-2023 08:00</t>
  </si>
  <si>
    <t>27-11-2023 09:00</t>
  </si>
  <si>
    <t>27-11-2023 10:00</t>
  </si>
  <si>
    <t>27-11-2023 11:00</t>
  </si>
  <si>
    <t>27-11-2023 12:00</t>
  </si>
  <si>
    <t>27-11-2023 13:00</t>
  </si>
  <si>
    <t>27-11-2023 14:00</t>
  </si>
  <si>
    <t>27-11-2023 15:00</t>
  </si>
  <si>
    <t>27-11-2023 16:00</t>
  </si>
  <si>
    <t>27-11-2023 17:00</t>
  </si>
  <si>
    <t>27-11-2023 18:00</t>
  </si>
  <si>
    <t>27-11-2023 19:00</t>
  </si>
  <si>
    <t>27-11-2023 20:00</t>
  </si>
  <si>
    <t>27-11-2023 21:00</t>
  </si>
  <si>
    <t>27-11-2023 22:00</t>
  </si>
  <si>
    <t>27-11-2023 23:00</t>
  </si>
  <si>
    <t>27-11-2023 24:00</t>
  </si>
  <si>
    <t>28-11-2023 01:00</t>
  </si>
  <si>
    <t>28-11-2023 02:00</t>
  </si>
  <si>
    <t>28-11-2023 03:00</t>
  </si>
  <si>
    <t>28-11-2023 04:00</t>
  </si>
  <si>
    <t>28-11-2023 05:00</t>
  </si>
  <si>
    <t>28-11-2023 06:00</t>
  </si>
  <si>
    <t>28-11-2023 07:00</t>
  </si>
  <si>
    <t>28-11-2023 08:00</t>
  </si>
  <si>
    <t>28-11-2023 09:00</t>
  </si>
  <si>
    <t>28-11-2023 10:00</t>
  </si>
  <si>
    <t>28-11-2023 11:00</t>
  </si>
  <si>
    <t>28-11-2023 12:00</t>
  </si>
  <si>
    <t>28-11-2023 13:00</t>
  </si>
  <si>
    <t>28-11-2023 14:00</t>
  </si>
  <si>
    <t>28-11-2023 15:00</t>
  </si>
  <si>
    <t>28-11-2023 16:00</t>
  </si>
  <si>
    <t>28-11-2023 17:00</t>
  </si>
  <si>
    <t>28-11-2023 18:00</t>
  </si>
  <si>
    <t>28-11-2023 19:00</t>
  </si>
  <si>
    <t>28-11-2023 20:00</t>
  </si>
  <si>
    <t>28-11-2023 21:00</t>
  </si>
  <si>
    <t>28-11-2023 22:00</t>
  </si>
  <si>
    <t>28-11-2023 23:00</t>
  </si>
  <si>
    <t>28-11-2023 24:00</t>
  </si>
  <si>
    <t>29-11-2023 01:00</t>
  </si>
  <si>
    <t>29-11-2023 02:00</t>
  </si>
  <si>
    <t>29-11-2023 03:00</t>
  </si>
  <si>
    <t>29-11-2023 04:00</t>
  </si>
  <si>
    <t>29-11-2023 05:00</t>
  </si>
  <si>
    <t>29-11-2023 06:00</t>
  </si>
  <si>
    <t>29-11-2023 07:00</t>
  </si>
  <si>
    <t>29-11-2023 08:00</t>
  </si>
  <si>
    <t>29-11-2023 09:00</t>
  </si>
  <si>
    <t>29-11-2023 10:00</t>
  </si>
  <si>
    <t>29-11-2023 11:00</t>
  </si>
  <si>
    <t>29-11-2023 12:00</t>
  </si>
  <si>
    <t>29-11-2023 13:00</t>
  </si>
  <si>
    <t>29-11-2023 14:00</t>
  </si>
  <si>
    <t>29-11-2023 15:00</t>
  </si>
  <si>
    <t>29-11-2023 16:00</t>
  </si>
  <si>
    <t>29-11-2023 17:00</t>
  </si>
  <si>
    <t>29-11-2023 18:00</t>
  </si>
  <si>
    <t>29-11-2023 19:00</t>
  </si>
  <si>
    <t>29-11-2023 20:00</t>
  </si>
  <si>
    <t>29-11-2023 21:00</t>
  </si>
  <si>
    <t>29-11-2023 22:00</t>
  </si>
  <si>
    <t>29-11-2023 23:00</t>
  </si>
  <si>
    <t>29-11-2023 24:00</t>
  </si>
  <si>
    <t>30-11-2023 01:00</t>
  </si>
  <si>
    <t>30-11-2023 02:00</t>
  </si>
  <si>
    <t>30-11-2023 03:00</t>
  </si>
  <si>
    <t>30-11-2023 04:00</t>
  </si>
  <si>
    <t>30-11-2023 05:00</t>
  </si>
  <si>
    <t>30-11-2023 06:00</t>
  </si>
  <si>
    <t>30-11-2023 07:00</t>
  </si>
  <si>
    <t>30-11-2023 08:00</t>
  </si>
  <si>
    <t>30-11-2023 09:00</t>
  </si>
  <si>
    <t>30-11-2023 10:00</t>
  </si>
  <si>
    <t>30-11-2023 11:00</t>
  </si>
  <si>
    <t>30-11-2023 12:00</t>
  </si>
  <si>
    <t>30-11-2023 13:00</t>
  </si>
  <si>
    <t>30-11-2023 14:00</t>
  </si>
  <si>
    <t>30-11-2023 15:00</t>
  </si>
  <si>
    <t>30-11-2023 16:00</t>
  </si>
  <si>
    <t>30-11-2023 17:00</t>
  </si>
  <si>
    <t>30-11-2023 18:00</t>
  </si>
  <si>
    <t>30-11-2023 19:00</t>
  </si>
  <si>
    <t>30-11-2023 20:00</t>
  </si>
  <si>
    <t>30-11-2023 21:00</t>
  </si>
  <si>
    <t>30-11-2023 22:00</t>
  </si>
  <si>
    <t>30-11-2023 23:00</t>
  </si>
  <si>
    <t>30-11-2023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</si>
</sst>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5" fillId="9" borderId="0" xfId="0" applyFont="1" applyFill="1" applyAlignment="1">
      <alignment horizontal="left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2" Type="http://schemas.openxmlformats.org/officeDocument/2006/relationships/worksheet" Target="worksheets/sheet20.xml" /><Relationship Id="rId29" Type="http://schemas.openxmlformats.org/officeDocument/2006/relationships/worksheet" Target="worksheets/sheet27.xml" /><Relationship Id="rId4" Type="http://schemas.openxmlformats.org/officeDocument/2006/relationships/worksheet" Target="worksheets/sheet2.xml" /><Relationship Id="rId17" Type="http://schemas.openxmlformats.org/officeDocument/2006/relationships/worksheet" Target="worksheets/sheet15.xml" /><Relationship Id="rId26" Type="http://schemas.openxmlformats.org/officeDocument/2006/relationships/worksheet" Target="worksheets/sheet24.xml" /><Relationship Id="rId15" Type="http://schemas.openxmlformats.org/officeDocument/2006/relationships/worksheet" Target="worksheets/sheet13.xml" /><Relationship Id="rId19" Type="http://schemas.openxmlformats.org/officeDocument/2006/relationships/worksheet" Target="worksheets/sheet17.xml" /><Relationship Id="rId23" Type="http://schemas.openxmlformats.org/officeDocument/2006/relationships/worksheet" Target="worksheets/sheet21.xml" /><Relationship Id="rId32" Type="http://schemas.openxmlformats.org/officeDocument/2006/relationships/worksheet" Target="worksheets/sheet30.xml" /><Relationship Id="rId18" Type="http://schemas.openxmlformats.org/officeDocument/2006/relationships/worksheet" Target="worksheets/sheet16.xml" /><Relationship Id="rId24" Type="http://schemas.openxmlformats.org/officeDocument/2006/relationships/worksheet" Target="worksheets/sheet22.xml" /><Relationship Id="rId21" Type="http://schemas.openxmlformats.org/officeDocument/2006/relationships/worksheet" Target="worksheets/sheet19.xml" /><Relationship Id="rId30" Type="http://schemas.openxmlformats.org/officeDocument/2006/relationships/worksheet" Target="worksheets/sheet28.xml" /><Relationship Id="rId6" Type="http://schemas.openxmlformats.org/officeDocument/2006/relationships/worksheet" Target="worksheets/sheet4.xml" /><Relationship Id="rId27" Type="http://schemas.openxmlformats.org/officeDocument/2006/relationships/worksheet" Target="worksheets/sheet25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11" Type="http://schemas.openxmlformats.org/officeDocument/2006/relationships/worksheet" Target="worksheets/sheet9.xml" /><Relationship Id="rId14" Type="http://schemas.openxmlformats.org/officeDocument/2006/relationships/worksheet" Target="worksheets/sheet12.xml" /><Relationship Id="rId9" Type="http://schemas.openxmlformats.org/officeDocument/2006/relationships/worksheet" Target="worksheets/sheet7.xml" /><Relationship Id="rId13" Type="http://schemas.openxmlformats.org/officeDocument/2006/relationships/worksheet" Target="worksheets/sheet11.xml" /><Relationship Id="rId25" Type="http://schemas.openxmlformats.org/officeDocument/2006/relationships/worksheet" Target="worksheets/sheet23.xml" /><Relationship Id="rId35" Type="http://schemas.openxmlformats.org/officeDocument/2006/relationships/calcChain" Target="calcChain.xml" /><Relationship Id="rId34" Type="http://schemas.openxmlformats.org/officeDocument/2006/relationships/sharedStrings" Target="sharedStrings.xml" /><Relationship Id="rId16" Type="http://schemas.openxmlformats.org/officeDocument/2006/relationships/worksheet" Target="worksheets/sheet14.xml" /><Relationship Id="rId7" Type="http://schemas.openxmlformats.org/officeDocument/2006/relationships/worksheet" Target="worksheets/sheet5.xml" /><Relationship Id="rId12" Type="http://schemas.openxmlformats.org/officeDocument/2006/relationships/worksheet" Target="worksheets/sheet10.xml" /><Relationship Id="rId31" Type="http://schemas.openxmlformats.org/officeDocument/2006/relationships/worksheet" Target="worksheets/sheet29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8" Type="http://schemas.openxmlformats.org/officeDocument/2006/relationships/worksheet" Target="worksheets/sheet26.xml" /><Relationship Id="rId10" Type="http://schemas.openxmlformats.org/officeDocument/2006/relationships/worksheet" Target="worksheets/sheet8.xml" /><Relationship Id="rId20" Type="http://schemas.openxmlformats.org/officeDocument/2006/relationships/worksheet" Target="worksheets/sheet18.xml" /><Relationship Id="rId33" Type="http://schemas.openxmlformats.org/officeDocument/2006/relationships/worksheet" Target="worksheets/sheet31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add9ebc-6dac-4d3a-980a-79010005889d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N39" sqref="N39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62</v>
      </c>
      <c r="B9" s="54">
        <v>2.48</v>
      </c>
      <c r="C9" s="54">
        <v>20.94</v>
      </c>
      <c r="D9" s="54">
        <v>14.75</v>
      </c>
      <c r="E9" s="54">
        <v>2.13</v>
      </c>
      <c r="F9" s="54">
        <v>8.1300000000000008</v>
      </c>
      <c r="G9" s="54">
        <v>76.98</v>
      </c>
      <c r="H9" s="54">
        <v>45.32</v>
      </c>
      <c r="I9" s="54">
        <v>1.55</v>
      </c>
      <c r="J9" s="54">
        <v>0.13</v>
      </c>
      <c r="K9" s="54">
        <v>275.55</v>
      </c>
      <c r="L9" s="54">
        <v>20.43</v>
      </c>
      <c r="M9" s="54">
        <v>74.73</v>
      </c>
      <c r="N9" s="54">
        <v>34.299999999999997</v>
      </c>
      <c r="O9" s="54">
        <v>0</v>
      </c>
      <c r="P9" s="54">
        <v>0.84</v>
      </c>
      <c r="Q9" s="54">
        <v>4.99</v>
      </c>
      <c r="R9" s="43"/>
      <c r="S9" s="43"/>
      <c r="T9" s="43"/>
      <c r="U9" s="43"/>
    </row>
    <row r="10" spans="1:21" s="11" customFormat="1" ht="15">
      <c r="A10" s="53" t="s">
        <v>63</v>
      </c>
      <c r="B10" s="54">
        <v>2.82</v>
      </c>
      <c r="C10" s="54">
        <v>24.05</v>
      </c>
      <c r="D10" s="54">
        <v>16.46</v>
      </c>
      <c r="E10" s="54">
        <v>2.17</v>
      </c>
      <c r="F10" s="54">
        <v>7.68</v>
      </c>
      <c r="G10" s="54">
        <v>71.36</v>
      </c>
      <c r="H10" s="54">
        <v>38.86</v>
      </c>
      <c r="I10" s="54">
        <v>1.51</v>
      </c>
      <c r="J10" s="54">
        <v>0.20</v>
      </c>
      <c r="K10" s="54">
        <v>318.76</v>
      </c>
      <c r="L10" s="54">
        <v>19.68</v>
      </c>
      <c r="M10" s="54">
        <v>85.40</v>
      </c>
      <c r="N10" s="54">
        <v>34.200000000000003</v>
      </c>
      <c r="O10" s="54">
        <v>0</v>
      </c>
      <c r="P10" s="54">
        <v>0.80</v>
      </c>
      <c r="Q10" s="54">
        <v>4.9800000000000004</v>
      </c>
      <c r="R10" s="43"/>
      <c r="S10" s="43"/>
      <c r="T10" s="43"/>
      <c r="U10" s="43"/>
    </row>
    <row r="11" spans="1:21" s="11" customFormat="1" ht="15">
      <c r="A11" s="53" t="s">
        <v>64</v>
      </c>
      <c r="B11" s="54">
        <v>3.94</v>
      </c>
      <c r="C11" s="54">
        <v>20.61</v>
      </c>
      <c r="D11" s="54">
        <v>15.83</v>
      </c>
      <c r="E11" s="54">
        <v>2.0699999999999998</v>
      </c>
      <c r="F11" s="54">
        <v>0.84</v>
      </c>
      <c r="G11" s="54">
        <v>77.87</v>
      </c>
      <c r="H11" s="54">
        <v>39.22</v>
      </c>
      <c r="I11" s="54">
        <v>1.55</v>
      </c>
      <c r="J11" s="54">
        <v>0.15</v>
      </c>
      <c r="K11" s="54">
        <v>299.29000000000002</v>
      </c>
      <c r="L11" s="54">
        <v>18.399999999999999</v>
      </c>
      <c r="M11" s="54">
        <v>92.12</v>
      </c>
      <c r="N11" s="54">
        <v>34</v>
      </c>
      <c r="O11" s="54">
        <v>0</v>
      </c>
      <c r="P11" s="54">
        <v>0.78</v>
      </c>
      <c r="Q11" s="54">
        <v>5.03</v>
      </c>
      <c r="R11" s="43"/>
      <c r="S11" s="43"/>
      <c r="T11" s="43"/>
      <c r="U11" s="43"/>
    </row>
    <row r="12" spans="1:21" s="11" customFormat="1" ht="15">
      <c r="A12" s="53" t="s">
        <v>65</v>
      </c>
      <c r="B12" s="54">
        <v>5.0199999999999996</v>
      </c>
      <c r="C12" s="54">
        <v>23.86</v>
      </c>
      <c r="D12" s="54">
        <v>18.489999999999998</v>
      </c>
      <c r="E12" s="54">
        <v>1.72</v>
      </c>
      <c r="F12" s="54">
        <v>0.63</v>
      </c>
      <c r="G12" s="54">
        <v>78.989999999999995</v>
      </c>
      <c r="H12" s="54">
        <v>41.82</v>
      </c>
      <c r="I12" s="54">
        <v>1.57</v>
      </c>
      <c r="J12" s="54">
        <v>0.14000000000000001</v>
      </c>
      <c r="K12" s="54">
        <v>307.16000000000003</v>
      </c>
      <c r="L12" s="54">
        <v>17.89</v>
      </c>
      <c r="M12" s="54">
        <v>93.14</v>
      </c>
      <c r="N12" s="54">
        <v>33.799999999999997</v>
      </c>
      <c r="O12" s="54">
        <v>0</v>
      </c>
      <c r="P12" s="54">
        <v>0.76</v>
      </c>
      <c r="Q12" s="54">
        <v>5.05</v>
      </c>
      <c r="R12" s="43"/>
      <c r="S12" s="43"/>
      <c r="T12" s="43"/>
      <c r="U12" s="43"/>
    </row>
    <row r="13" spans="1:21" s="11" customFormat="1" ht="15">
      <c r="A13" s="53" t="s">
        <v>66</v>
      </c>
      <c r="B13" s="54">
        <v>10.01</v>
      </c>
      <c r="C13" s="54">
        <v>29.59</v>
      </c>
      <c r="D13" s="54">
        <v>23.59</v>
      </c>
      <c r="E13" s="54">
        <v>1.43</v>
      </c>
      <c r="F13" s="54">
        <v>0.43</v>
      </c>
      <c r="G13" s="54">
        <v>83.99</v>
      </c>
      <c r="H13" s="54">
        <v>44.22</v>
      </c>
      <c r="I13" s="54">
        <v>1.55</v>
      </c>
      <c r="J13" s="54">
        <v>0.14000000000000001</v>
      </c>
      <c r="K13" s="54">
        <v>295.12</v>
      </c>
      <c r="L13" s="54">
        <v>17.68</v>
      </c>
      <c r="M13" s="54">
        <v>96.14</v>
      </c>
      <c r="N13" s="54">
        <v>33.700000000000003</v>
      </c>
      <c r="O13" s="54">
        <v>0</v>
      </c>
      <c r="P13" s="54">
        <v>0.81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67</v>
      </c>
      <c r="B14" s="54">
        <v>9.34</v>
      </c>
      <c r="C14" s="54">
        <v>22.47</v>
      </c>
      <c r="D14" s="54">
        <v>21.18</v>
      </c>
      <c r="E14" s="54">
        <v>1.28</v>
      </c>
      <c r="F14" s="54">
        <v>0.51</v>
      </c>
      <c r="G14" s="54">
        <v>101.63</v>
      </c>
      <c r="H14" s="54">
        <v>56.54</v>
      </c>
      <c r="I14" s="54">
        <v>1.53</v>
      </c>
      <c r="J14" s="54">
        <v>0.26</v>
      </c>
      <c r="K14" s="54">
        <v>92.93</v>
      </c>
      <c r="L14" s="54">
        <v>18.07</v>
      </c>
      <c r="M14" s="54">
        <v>92.81</v>
      </c>
      <c r="N14" s="54">
        <v>28.80</v>
      </c>
      <c r="O14" s="54">
        <v>0</v>
      </c>
      <c r="P14" s="54">
        <v>0.80</v>
      </c>
      <c r="Q14" s="54">
        <v>5.44</v>
      </c>
      <c r="R14" s="43"/>
      <c r="S14" s="43"/>
      <c r="T14" s="43"/>
      <c r="U14" s="43"/>
    </row>
    <row r="15" spans="1:21" s="11" customFormat="1" ht="15">
      <c r="A15" s="53" t="s">
        <v>68</v>
      </c>
      <c r="B15" s="54">
        <v>9.3699999999999992</v>
      </c>
      <c r="C15" s="54">
        <v>22.61</v>
      </c>
      <c r="D15" s="54">
        <v>21.10</v>
      </c>
      <c r="E15" s="54">
        <v>1.22</v>
      </c>
      <c r="F15" s="54">
        <v>0.87</v>
      </c>
      <c r="G15" s="54">
        <v>103.83</v>
      </c>
      <c r="H15" s="54">
        <v>57.5</v>
      </c>
      <c r="I15" s="54">
        <v>1.51</v>
      </c>
      <c r="J15" s="54">
        <v>0.57999999999999996</v>
      </c>
      <c r="K15" s="54">
        <v>110.51</v>
      </c>
      <c r="L15" s="54">
        <v>18.559999999999999</v>
      </c>
      <c r="M15" s="54">
        <v>94.15</v>
      </c>
      <c r="N15" s="54">
        <v>105.80</v>
      </c>
      <c r="O15" s="54">
        <v>0</v>
      </c>
      <c r="P15" s="54">
        <v>0.83</v>
      </c>
      <c r="Q15" s="54">
        <v>5.46</v>
      </c>
      <c r="R15" s="43"/>
      <c r="S15" s="43"/>
      <c r="T15" s="43"/>
      <c r="U15" s="43"/>
    </row>
    <row r="16" spans="1:21" s="11" customFormat="1" ht="15">
      <c r="A16" s="53" t="s">
        <v>69</v>
      </c>
      <c r="B16" s="54">
        <v>9.42</v>
      </c>
      <c r="C16" s="54">
        <v>24.43</v>
      </c>
      <c r="D16" s="54">
        <v>22.06</v>
      </c>
      <c r="E16" s="54">
        <v>1.47</v>
      </c>
      <c r="F16" s="54">
        <v>3.02</v>
      </c>
      <c r="G16" s="54">
        <v>105.49</v>
      </c>
      <c r="H16" s="54">
        <v>57.5</v>
      </c>
      <c r="I16" s="54">
        <v>1.52</v>
      </c>
      <c r="J16" s="54">
        <v>0.5</v>
      </c>
      <c r="K16" s="54">
        <v>342.10</v>
      </c>
      <c r="L16" s="54">
        <v>22.75</v>
      </c>
      <c r="M16" s="54">
        <v>84.87</v>
      </c>
      <c r="N16" s="54">
        <v>220.90</v>
      </c>
      <c r="O16" s="54">
        <v>0</v>
      </c>
      <c r="P16" s="54">
        <v>0.77</v>
      </c>
      <c r="Q16" s="54">
        <v>5.46</v>
      </c>
      <c r="R16" s="43"/>
      <c r="S16" s="43"/>
      <c r="T16" s="43"/>
      <c r="U16" s="43"/>
    </row>
    <row r="17" spans="1:21" s="11" customFormat="1" ht="15">
      <c r="A17" s="53" t="s">
        <v>70</v>
      </c>
      <c r="B17" s="54">
        <v>8.9499999999999993</v>
      </c>
      <c r="C17" s="54">
        <v>25.34</v>
      </c>
      <c r="D17" s="54">
        <v>21.72</v>
      </c>
      <c r="E17" s="54">
        <v>0.71</v>
      </c>
      <c r="F17" s="54">
        <v>1.17</v>
      </c>
      <c r="G17" s="54">
        <v>106.15</v>
      </c>
      <c r="H17" s="54">
        <v>58.01</v>
      </c>
      <c r="I17" s="54">
        <v>1.5</v>
      </c>
      <c r="J17" s="54">
        <v>0.27</v>
      </c>
      <c r="K17" s="54">
        <v>345.28</v>
      </c>
      <c r="L17" s="54">
        <v>24.90</v>
      </c>
      <c r="M17" s="54">
        <v>63.14</v>
      </c>
      <c r="N17" s="55" t="s">
        <v>8</v>
      </c>
      <c r="O17" s="54">
        <v>0</v>
      </c>
      <c r="P17" s="54">
        <v>0.79</v>
      </c>
      <c r="Q17" s="54">
        <v>5.45</v>
      </c>
      <c r="R17" s="43"/>
      <c r="S17" s="43"/>
      <c r="T17" s="43"/>
      <c r="U17" s="43"/>
    </row>
    <row r="18" spans="1:21" s="11" customFormat="1" ht="15">
      <c r="A18" s="53" t="s">
        <v>71</v>
      </c>
      <c r="B18" s="54">
        <v>6.77</v>
      </c>
      <c r="C18" s="54">
        <v>25.35</v>
      </c>
      <c r="D18" s="54">
        <v>20.46</v>
      </c>
      <c r="E18" s="54">
        <v>0.88</v>
      </c>
      <c r="F18" s="54">
        <v>5.43</v>
      </c>
      <c r="G18" s="54">
        <v>112.62</v>
      </c>
      <c r="H18" s="54">
        <v>58.01</v>
      </c>
      <c r="I18" s="54">
        <v>1.53</v>
      </c>
      <c r="J18" s="54">
        <v>0.76</v>
      </c>
      <c r="K18" s="54">
        <v>116.46</v>
      </c>
      <c r="L18" s="54">
        <v>25.29</v>
      </c>
      <c r="M18" s="54">
        <v>63.04</v>
      </c>
      <c r="N18" s="55" t="s">
        <v>8</v>
      </c>
      <c r="O18" s="54">
        <v>0</v>
      </c>
      <c r="P18" s="54">
        <v>0.79</v>
      </c>
      <c r="Q18" s="54">
        <v>5.31</v>
      </c>
      <c r="R18" s="43"/>
      <c r="S18" s="43"/>
      <c r="T18" s="43"/>
      <c r="U18" s="43"/>
    </row>
    <row r="19" spans="1:21" s="11" customFormat="1" ht="15">
      <c r="A19" s="53" t="s">
        <v>72</v>
      </c>
      <c r="B19" s="54">
        <v>3.64</v>
      </c>
      <c r="C19" s="54">
        <v>23.79</v>
      </c>
      <c r="D19" s="54">
        <v>16.95</v>
      </c>
      <c r="E19" s="54">
        <v>0.98</v>
      </c>
      <c r="F19" s="54">
        <v>3.5</v>
      </c>
      <c r="G19" s="54">
        <v>112.62</v>
      </c>
      <c r="H19" s="54">
        <v>55.87</v>
      </c>
      <c r="I19" s="54">
        <v>1.60</v>
      </c>
      <c r="J19" s="54">
        <v>1.5</v>
      </c>
      <c r="K19" s="54">
        <v>114.61</v>
      </c>
      <c r="L19" s="54">
        <v>27.30</v>
      </c>
      <c r="M19" s="54">
        <v>54.57</v>
      </c>
      <c r="N19" s="55" t="s">
        <v>8</v>
      </c>
      <c r="O19" s="54">
        <v>0</v>
      </c>
      <c r="P19" s="54">
        <v>0.73</v>
      </c>
      <c r="Q19" s="54">
        <v>5.0599999999999996</v>
      </c>
      <c r="R19" s="43"/>
      <c r="S19" s="43"/>
      <c r="T19" s="43"/>
      <c r="U19" s="43"/>
    </row>
    <row r="20" spans="1:21" s="11" customFormat="1" ht="15">
      <c r="A20" s="53" t="s">
        <v>73</v>
      </c>
      <c r="B20" s="54">
        <v>2.72</v>
      </c>
      <c r="C20" s="54">
        <v>23.98</v>
      </c>
      <c r="D20" s="54">
        <v>16.59</v>
      </c>
      <c r="E20" s="54">
        <v>0.92</v>
      </c>
      <c r="F20" s="54">
        <v>4.93</v>
      </c>
      <c r="G20" s="54">
        <v>93.05</v>
      </c>
      <c r="H20" s="54">
        <v>51.70</v>
      </c>
      <c r="I20" s="54">
        <v>1.58</v>
      </c>
      <c r="J20" s="54">
        <v>1.56</v>
      </c>
      <c r="K20" s="54">
        <v>113.29</v>
      </c>
      <c r="L20" s="54">
        <v>28.13</v>
      </c>
      <c r="M20" s="54">
        <v>47.54</v>
      </c>
      <c r="N20" s="55" t="s">
        <v>8</v>
      </c>
      <c r="O20" s="54">
        <v>0</v>
      </c>
      <c r="P20" s="54">
        <v>0.68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74</v>
      </c>
      <c r="B21" s="54">
        <v>4.25</v>
      </c>
      <c r="C21" s="54">
        <v>28.03</v>
      </c>
      <c r="D21" s="54">
        <v>19.260000000000002</v>
      </c>
      <c r="E21" s="54">
        <v>1.44</v>
      </c>
      <c r="F21" s="54">
        <v>14.01</v>
      </c>
      <c r="G21" s="54">
        <v>74.91</v>
      </c>
      <c r="H21" s="54">
        <v>46.55</v>
      </c>
      <c r="I21" s="54">
        <v>1.52</v>
      </c>
      <c r="J21" s="54">
        <v>0.86</v>
      </c>
      <c r="K21" s="54">
        <v>350.89</v>
      </c>
      <c r="L21" s="54">
        <v>28.70</v>
      </c>
      <c r="M21" s="54">
        <v>43.11</v>
      </c>
      <c r="N21" s="55" t="s">
        <v>8</v>
      </c>
      <c r="O21" s="54">
        <v>0</v>
      </c>
      <c r="P21" s="54">
        <v>0.66</v>
      </c>
      <c r="Q21" s="54">
        <v>5.18</v>
      </c>
      <c r="R21" s="43"/>
      <c r="S21" s="43"/>
      <c r="T21" s="43"/>
      <c r="U21" s="43"/>
    </row>
    <row r="22" spans="1:21" s="11" customFormat="1" ht="15">
      <c r="A22" s="53" t="s">
        <v>75</v>
      </c>
      <c r="B22" s="54">
        <v>3.68</v>
      </c>
      <c r="C22" s="54">
        <v>28.01</v>
      </c>
      <c r="D22" s="54">
        <v>19.70</v>
      </c>
      <c r="E22" s="54">
        <v>1.96</v>
      </c>
      <c r="F22" s="54">
        <v>16.829999999999998</v>
      </c>
      <c r="G22" s="54">
        <v>72.20</v>
      </c>
      <c r="H22" s="54">
        <v>42.94</v>
      </c>
      <c r="I22" s="54">
        <v>1.52</v>
      </c>
      <c r="J22" s="54">
        <v>1.20</v>
      </c>
      <c r="K22" s="54">
        <v>128.07</v>
      </c>
      <c r="L22" s="54">
        <v>28.31</v>
      </c>
      <c r="M22" s="54">
        <v>39.270000000000003</v>
      </c>
      <c r="N22" s="54">
        <v>528.90</v>
      </c>
      <c r="O22" s="54">
        <v>0</v>
      </c>
      <c r="P22" s="54">
        <v>0.60</v>
      </c>
      <c r="Q22" s="54">
        <v>5.17</v>
      </c>
      <c r="R22" s="43"/>
      <c r="S22" s="43"/>
      <c r="T22" s="43"/>
      <c r="U22" s="43"/>
    </row>
    <row r="23" spans="1:21" s="11" customFormat="1" ht="15">
      <c r="A23" s="53" t="s">
        <v>76</v>
      </c>
      <c r="B23" s="54">
        <v>2.5499999999999998</v>
      </c>
      <c r="C23" s="54">
        <v>23.06</v>
      </c>
      <c r="D23" s="54">
        <v>15.88</v>
      </c>
      <c r="E23" s="54">
        <v>1.45</v>
      </c>
      <c r="F23" s="54">
        <v>10.66</v>
      </c>
      <c r="G23" s="54">
        <v>66.900000000000006</v>
      </c>
      <c r="H23" s="54">
        <v>42.94</v>
      </c>
      <c r="I23" s="54">
        <v>1.54</v>
      </c>
      <c r="J23" s="54">
        <v>0.96</v>
      </c>
      <c r="K23" s="54">
        <v>148.94999999999999</v>
      </c>
      <c r="L23" s="54">
        <v>27.72</v>
      </c>
      <c r="M23" s="54">
        <v>39.03</v>
      </c>
      <c r="N23" s="54">
        <v>201.70</v>
      </c>
      <c r="O23" s="54">
        <v>0</v>
      </c>
      <c r="P23" s="54">
        <v>0.56999999999999995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77</v>
      </c>
      <c r="B24" s="54">
        <v>2.33</v>
      </c>
      <c r="C24" s="54">
        <v>25.15</v>
      </c>
      <c r="D24" s="54">
        <v>17.04</v>
      </c>
      <c r="E24" s="54">
        <v>2.25</v>
      </c>
      <c r="F24" s="54">
        <v>27.09</v>
      </c>
      <c r="G24" s="54">
        <v>57.99</v>
      </c>
      <c r="H24" s="54">
        <v>33.39</v>
      </c>
      <c r="I24" s="54">
        <v>1.56</v>
      </c>
      <c r="J24" s="54">
        <v>0.64</v>
      </c>
      <c r="K24" s="54">
        <v>156.97999999999999</v>
      </c>
      <c r="L24" s="54">
        <v>26.60</v>
      </c>
      <c r="M24" s="54">
        <v>40.46</v>
      </c>
      <c r="N24" s="54">
        <v>107.5</v>
      </c>
      <c r="O24" s="54">
        <v>0</v>
      </c>
      <c r="P24" s="54">
        <v>0.47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78</v>
      </c>
      <c r="B25" s="54">
        <v>4.6900000000000004</v>
      </c>
      <c r="C25" s="54">
        <v>30.95</v>
      </c>
      <c r="D25" s="54">
        <v>22.13</v>
      </c>
      <c r="E25" s="54">
        <v>2.48</v>
      </c>
      <c r="F25" s="54">
        <v>36.96</v>
      </c>
      <c r="G25" s="54">
        <v>53.55</v>
      </c>
      <c r="H25" s="54">
        <v>30.13</v>
      </c>
      <c r="I25" s="54">
        <v>1.53</v>
      </c>
      <c r="J25" s="54">
        <v>0.96</v>
      </c>
      <c r="K25" s="54">
        <v>134.60</v>
      </c>
      <c r="L25" s="54">
        <v>25.93</v>
      </c>
      <c r="M25" s="54">
        <v>49.43</v>
      </c>
      <c r="N25" s="54">
        <v>71.30</v>
      </c>
      <c r="O25" s="54">
        <v>0</v>
      </c>
      <c r="P25" s="54">
        <v>0.53</v>
      </c>
      <c r="Q25" s="54">
        <v>4.93</v>
      </c>
      <c r="R25" s="43"/>
      <c r="S25" s="43"/>
      <c r="T25" s="43"/>
      <c r="U25" s="43"/>
    </row>
    <row r="26" spans="1:21" s="11" customFormat="1" ht="15">
      <c r="A26" s="53" t="s">
        <v>79</v>
      </c>
      <c r="B26" s="54">
        <v>6.44</v>
      </c>
      <c r="C26" s="54">
        <v>42.14</v>
      </c>
      <c r="D26" s="54">
        <v>29.71</v>
      </c>
      <c r="E26" s="54">
        <v>1.73</v>
      </c>
      <c r="F26" s="54">
        <v>17.87</v>
      </c>
      <c r="G26" s="54">
        <v>72</v>
      </c>
      <c r="H26" s="54">
        <v>31.76</v>
      </c>
      <c r="I26" s="54">
        <v>1.55</v>
      </c>
      <c r="J26" s="54">
        <v>0.34</v>
      </c>
      <c r="K26" s="54">
        <v>325.17</v>
      </c>
      <c r="L26" s="54">
        <v>24.45</v>
      </c>
      <c r="M26" s="54">
        <v>59.01</v>
      </c>
      <c r="N26" s="54">
        <v>29.40</v>
      </c>
      <c r="O26" s="54">
        <v>0</v>
      </c>
      <c r="P26" s="54">
        <v>0.75</v>
      </c>
      <c r="Q26" s="54">
        <v>4.47</v>
      </c>
      <c r="R26" s="43"/>
      <c r="S26" s="43"/>
      <c r="T26" s="43"/>
      <c r="U26" s="43"/>
    </row>
    <row r="27" spans="1:21" s="11" customFormat="1" ht="15">
      <c r="A27" s="53" t="s">
        <v>80</v>
      </c>
      <c r="B27" s="54">
        <v>9.2899999999999991</v>
      </c>
      <c r="C27" s="54">
        <v>58.79</v>
      </c>
      <c r="D27" s="54">
        <v>39.93</v>
      </c>
      <c r="E27" s="54">
        <v>2.2799999999999998</v>
      </c>
      <c r="F27" s="54">
        <v>8.1300000000000008</v>
      </c>
      <c r="G27" s="54">
        <v>88.38</v>
      </c>
      <c r="H27" s="54">
        <v>32.15</v>
      </c>
      <c r="I27" s="54">
        <v>1.54</v>
      </c>
      <c r="J27" s="54">
        <v>0.18</v>
      </c>
      <c r="K27" s="54">
        <v>102.51</v>
      </c>
      <c r="L27" s="54">
        <v>22.92</v>
      </c>
      <c r="M27" s="54">
        <v>61.25</v>
      </c>
      <c r="N27" s="54">
        <v>22.80</v>
      </c>
      <c r="O27" s="54">
        <v>0</v>
      </c>
      <c r="P27" s="54">
        <v>1.31</v>
      </c>
      <c r="Q27" s="54">
        <v>4.25</v>
      </c>
      <c r="R27" s="43"/>
      <c r="S27" s="43"/>
      <c r="T27" s="43"/>
      <c r="U27" s="43"/>
    </row>
    <row r="28" spans="1:21" s="11" customFormat="1" ht="15">
      <c r="A28" s="53" t="s">
        <v>81</v>
      </c>
      <c r="B28" s="54">
        <v>19.440000000000001</v>
      </c>
      <c r="C28" s="54">
        <v>73.91</v>
      </c>
      <c r="D28" s="54">
        <v>57.67</v>
      </c>
      <c r="E28" s="54">
        <v>2.17</v>
      </c>
      <c r="F28" s="54">
        <v>5.15</v>
      </c>
      <c r="G28" s="54">
        <v>102.55</v>
      </c>
      <c r="H28" s="54">
        <v>41.54</v>
      </c>
      <c r="I28" s="54">
        <v>1.52</v>
      </c>
      <c r="J28" s="54">
        <v>0.12</v>
      </c>
      <c r="K28" s="54">
        <v>84.33</v>
      </c>
      <c r="L28" s="54">
        <v>22.75</v>
      </c>
      <c r="M28" s="54">
        <v>58.99</v>
      </c>
      <c r="N28" s="54">
        <v>23</v>
      </c>
      <c r="O28" s="54">
        <v>0</v>
      </c>
      <c r="P28" s="54">
        <v>1.66</v>
      </c>
      <c r="Q28" s="54">
        <v>3.27</v>
      </c>
      <c r="R28" s="43"/>
      <c r="S28" s="43"/>
      <c r="T28" s="43"/>
      <c r="U28" s="43"/>
    </row>
    <row r="29" spans="1:21" s="11" customFormat="1" ht="15">
      <c r="A29" s="53" t="s">
        <v>82</v>
      </c>
      <c r="B29" s="54">
        <v>51.35</v>
      </c>
      <c r="C29" s="54">
        <v>71.010000000000005</v>
      </c>
      <c r="D29" s="54">
        <v>81.66</v>
      </c>
      <c r="E29" s="54">
        <v>1.82</v>
      </c>
      <c r="F29" s="54">
        <v>1.63</v>
      </c>
      <c r="G29" s="54">
        <v>134.13</v>
      </c>
      <c r="H29" s="54">
        <v>46.53</v>
      </c>
      <c r="I29" s="54">
        <v>1.56</v>
      </c>
      <c r="J29" s="54">
        <v>0.11</v>
      </c>
      <c r="K29" s="54">
        <v>81.48</v>
      </c>
      <c r="L29" s="54">
        <v>22.35</v>
      </c>
      <c r="M29" s="54">
        <v>64.650000000000006</v>
      </c>
      <c r="N29" s="54">
        <v>23</v>
      </c>
      <c r="O29" s="54">
        <v>0</v>
      </c>
      <c r="P29" s="54">
        <v>2.37</v>
      </c>
      <c r="Q29" s="54">
        <v>2.99</v>
      </c>
      <c r="R29" s="43"/>
      <c r="S29" s="43"/>
      <c r="T29" s="43"/>
      <c r="U29" s="43"/>
    </row>
    <row r="30" spans="1:21" s="11" customFormat="1" ht="15">
      <c r="A30" s="53" t="s">
        <v>83</v>
      </c>
      <c r="B30" s="54">
        <v>29.08</v>
      </c>
      <c r="C30" s="54">
        <v>61.36</v>
      </c>
      <c r="D30" s="54">
        <v>56.62</v>
      </c>
      <c r="E30" s="54">
        <v>1.52</v>
      </c>
      <c r="F30" s="54">
        <v>2</v>
      </c>
      <c r="G30" s="54">
        <v>134.13</v>
      </c>
      <c r="H30" s="54">
        <v>51.95</v>
      </c>
      <c r="I30" s="54">
        <v>1.57</v>
      </c>
      <c r="J30" s="54">
        <v>0.16</v>
      </c>
      <c r="K30" s="54">
        <v>81.25</v>
      </c>
      <c r="L30" s="54">
        <v>22.03</v>
      </c>
      <c r="M30" s="54">
        <v>61.85</v>
      </c>
      <c r="N30" s="54">
        <v>22.90</v>
      </c>
      <c r="O30" s="54">
        <v>0</v>
      </c>
      <c r="P30" s="54">
        <v>1.85</v>
      </c>
      <c r="Q30" s="54">
        <v>5.16</v>
      </c>
      <c r="R30" s="43"/>
      <c r="S30" s="43"/>
      <c r="T30" s="43"/>
      <c r="U30" s="43"/>
    </row>
    <row r="31" spans="1:21" s="11" customFormat="1" ht="15">
      <c r="A31" s="53" t="s">
        <v>84</v>
      </c>
      <c r="B31" s="54">
        <v>31.60</v>
      </c>
      <c r="C31" s="54">
        <v>49.98</v>
      </c>
      <c r="D31" s="54">
        <v>54.21</v>
      </c>
      <c r="E31" s="54">
        <v>1.56</v>
      </c>
      <c r="F31" s="54">
        <v>3.07</v>
      </c>
      <c r="G31" s="54">
        <v>135.09</v>
      </c>
      <c r="H31" s="54">
        <v>54.16</v>
      </c>
      <c r="I31" s="54">
        <v>1.51</v>
      </c>
      <c r="J31" s="54">
        <v>0.12</v>
      </c>
      <c r="K31" s="54">
        <v>80.77</v>
      </c>
      <c r="L31" s="54">
        <v>21.47</v>
      </c>
      <c r="M31" s="54">
        <v>68.92</v>
      </c>
      <c r="N31" s="54">
        <v>23</v>
      </c>
      <c r="O31" s="54">
        <v>0</v>
      </c>
      <c r="P31" s="54">
        <v>1.94</v>
      </c>
      <c r="Q31" s="54">
        <v>6.39</v>
      </c>
      <c r="R31" s="43"/>
      <c r="S31" s="43"/>
      <c r="T31" s="43"/>
      <c r="U31" s="43"/>
    </row>
    <row r="32" spans="1:21" s="11" customFormat="1" ht="15">
      <c r="A32" s="53" t="s">
        <v>85</v>
      </c>
      <c r="B32" s="54">
        <v>21.20</v>
      </c>
      <c r="C32" s="54">
        <v>36.979999999999997</v>
      </c>
      <c r="D32" s="54">
        <v>37.619999999999997</v>
      </c>
      <c r="E32" s="54">
        <v>1.26</v>
      </c>
      <c r="F32" s="54">
        <v>2.2200000000000002</v>
      </c>
      <c r="G32" s="54">
        <v>135.09</v>
      </c>
      <c r="H32" s="54">
        <v>54.16</v>
      </c>
      <c r="I32" s="54">
        <v>1.56</v>
      </c>
      <c r="J32" s="54">
        <v>0.18</v>
      </c>
      <c r="K32" s="54">
        <v>100.54</v>
      </c>
      <c r="L32" s="54">
        <v>21.19</v>
      </c>
      <c r="M32" s="54">
        <v>74.040000000000006</v>
      </c>
      <c r="N32" s="54">
        <v>23</v>
      </c>
      <c r="O32" s="54">
        <v>0</v>
      </c>
      <c r="P32" s="54">
        <v>1.56</v>
      </c>
      <c r="Q32" s="54">
        <v>6.62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2.3300000000000001</v>
      </c>
      <c r="C34" s="28">
        <f t="shared" si="0"/>
        <v>20.609999999999999</v>
      </c>
      <c r="D34" s="28">
        <f t="shared" si="0"/>
        <v>14.75</v>
      </c>
      <c r="E34" s="28">
        <f t="shared" si="0"/>
        <v>0.70999999999999996</v>
      </c>
      <c r="F34" s="28">
        <f t="shared" si="0"/>
        <v>0.42999999999999999</v>
      </c>
      <c r="G34" s="28">
        <f t="shared" si="0"/>
        <v>53.549999999999997</v>
      </c>
      <c r="H34" s="28">
        <f t="shared" si="0"/>
        <v>30.129999999999999</v>
      </c>
      <c r="I34" s="28">
        <f t="shared" si="0"/>
        <v>1.5</v>
      </c>
      <c r="J34" s="28">
        <f t="shared" si="0"/>
        <v>0.11</v>
      </c>
      <c r="K34" s="28">
        <f t="shared" si="0"/>
        <v>80.769999999999996</v>
      </c>
      <c r="L34" s="28">
        <f t="shared" si="0"/>
        <v>17.68</v>
      </c>
      <c r="M34" s="28">
        <f t="shared" si="0"/>
        <v>39.030000000000001</v>
      </c>
      <c r="N34" s="28">
        <f t="shared" si="0"/>
        <v>22.800000000000001</v>
      </c>
      <c r="O34" s="28">
        <f t="shared" si="0"/>
        <v>0</v>
      </c>
      <c r="P34" s="28">
        <f t="shared" si="0"/>
        <v>0.46999999999999997</v>
      </c>
      <c r="Q34" s="28">
        <f t="shared" si="0"/>
        <v>2.9900000000000002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51.350000000000001</v>
      </c>
      <c r="C35" s="29">
        <f t="shared" si="1"/>
        <v>73.909999999999997</v>
      </c>
      <c r="D35" s="29">
        <f t="shared" si="1"/>
        <v>81.659999999999997</v>
      </c>
      <c r="E35" s="29">
        <f t="shared" si="1"/>
        <v>2.48</v>
      </c>
      <c r="F35" s="29">
        <f t="shared" si="1"/>
        <v>36.960000000000001</v>
      </c>
      <c r="G35" s="29">
        <f t="shared" si="1"/>
        <v>135.09</v>
      </c>
      <c r="H35" s="29">
        <f t="shared" si="1"/>
        <v>58.009999999999998</v>
      </c>
      <c r="I35" s="29">
        <f t="shared" si="1"/>
        <v>1.6000000000000001</v>
      </c>
      <c r="J35" s="29">
        <f t="shared" si="1"/>
        <v>1.5600000000000001</v>
      </c>
      <c r="K35" s="29">
        <f t="shared" si="1"/>
        <v>350.88999999999999</v>
      </c>
      <c r="L35" s="29">
        <f t="shared" si="1"/>
        <v>28.699999999999999</v>
      </c>
      <c r="M35" s="29">
        <f t="shared" si="1"/>
        <v>96.140000000000001</v>
      </c>
      <c r="N35" s="29">
        <f t="shared" si="1"/>
        <v>528.89999999999998</v>
      </c>
      <c r="O35" s="29">
        <f t="shared" si="1"/>
        <v>0</v>
      </c>
      <c r="P35" s="29">
        <f t="shared" si="1"/>
        <v>2.3700000000000001</v>
      </c>
      <c r="Q35" s="29">
        <f t="shared" si="1"/>
        <v>6.6200000000000001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10.849166666666667</v>
      </c>
      <c r="C36" s="28">
        <f t="shared" si="2"/>
        <v>34.016249999999999</v>
      </c>
      <c r="D36" s="28">
        <f t="shared" si="2"/>
        <v>28.358750000000001</v>
      </c>
      <c r="E36" s="28">
        <f t="shared" si="2"/>
        <v>1.6208333333333336</v>
      </c>
      <c r="F36" s="28">
        <f t="shared" si="2"/>
        <v>7.6149999999999993</v>
      </c>
      <c r="G36" s="28">
        <f t="shared" si="2"/>
        <v>93.812500000000014</v>
      </c>
      <c r="H36" s="28">
        <f t="shared" si="2"/>
        <v>46.365416666666668</v>
      </c>
      <c r="I36" s="28">
        <f t="shared" si="2"/>
        <v>1.5408333333333333</v>
      </c>
      <c r="J36" s="28">
        <f t="shared" si="2"/>
        <v>0.50083333333333335</v>
      </c>
      <c r="K36" s="28">
        <f t="shared" si="2"/>
        <v>187.77500000000001</v>
      </c>
      <c r="L36" s="28">
        <f t="shared" si="2"/>
        <v>23.062500000000011</v>
      </c>
      <c r="M36" s="28">
        <f t="shared" si="2"/>
        <v>66.735833333333332</v>
      </c>
      <c r="N36" s="28">
        <f t="shared" si="2"/>
        <v>84.31578947368422</v>
      </c>
      <c r="O36" s="28">
        <f t="shared" si="2"/>
        <v>0</v>
      </c>
      <c r="P36" s="28">
        <f t="shared" si="2"/>
        <v>0.98541666666666672</v>
      </c>
      <c r="Q36" s="28">
        <f t="shared" si="2"/>
        <v>5.0624999999999991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11.872814734095067</v>
      </c>
      <c r="C37" s="28">
        <f t="shared" si="3" ref="C37:Q37">STDEV(C9:C32)</f>
        <v>16.438068175004236</v>
      </c>
      <c r="D37" s="28">
        <f t="shared" si="3"/>
        <v>17.435528274063053</v>
      </c>
      <c r="E37" s="28">
        <f t="shared" si="3"/>
        <v>0.49481587850753822</v>
      </c>
      <c r="F37" s="28">
        <f t="shared" si="3"/>
        <v>9.1799313249302017</v>
      </c>
      <c r="G37" s="28">
        <f t="shared" si="3"/>
        <v>24.855391025760873</v>
      </c>
      <c r="H37" s="28">
        <f t="shared" si="3"/>
        <v>9.141568212514608</v>
      </c>
      <c r="I37" s="28">
        <f t="shared" si="3"/>
        <v>0.025352586124267617</v>
      </c>
      <c r="J37" s="28">
        <f t="shared" si="3"/>
        <v>0.45521057398380677</v>
      </c>
      <c r="K37" s="28">
        <f t="shared" si="3"/>
        <v>105.63644907849304</v>
      </c>
      <c r="L37" s="28">
        <f t="shared" si="3"/>
        <v>3.6386288028894862</v>
      </c>
      <c r="M37" s="28">
        <f t="shared" si="3"/>
        <v>18.913904458996775</v>
      </c>
      <c r="N37" s="28">
        <f t="shared" si="3"/>
        <v>123.06477636304608</v>
      </c>
      <c r="O37" s="28">
        <f t="shared" si="3"/>
        <v>0</v>
      </c>
      <c r="P37" s="28">
        <f t="shared" si="3"/>
        <v>0.50823632954233644</v>
      </c>
      <c r="Q37" s="28">
        <f t="shared" si="3"/>
        <v>0.76698874772087167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COUNT(N9:N32)+5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d51975-e6c2-44fd-b4d6-ff4b60a4c386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72" sqref="G72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86</v>
      </c>
      <c r="B9" s="54">
        <v>17.79</v>
      </c>
      <c r="C9" s="54">
        <v>34.21</v>
      </c>
      <c r="D9" s="54">
        <v>34.44</v>
      </c>
      <c r="E9" s="54">
        <v>1.86</v>
      </c>
      <c r="F9" s="54">
        <v>7.83</v>
      </c>
      <c r="G9" s="54">
        <v>129.27000000000001</v>
      </c>
      <c r="H9" s="54">
        <v>54.16</v>
      </c>
      <c r="I9" s="54">
        <v>1.51</v>
      </c>
      <c r="J9" s="54">
        <v>0.23</v>
      </c>
      <c r="K9" s="54">
        <v>356.68</v>
      </c>
      <c r="L9" s="54">
        <v>20.72</v>
      </c>
      <c r="M9" s="54">
        <v>74.430000000000007</v>
      </c>
      <c r="N9" s="54">
        <v>23</v>
      </c>
      <c r="O9" s="54">
        <v>0</v>
      </c>
      <c r="P9" s="54">
        <v>1.45</v>
      </c>
      <c r="Q9" s="54">
        <v>6.51</v>
      </c>
      <c r="R9" s="43"/>
      <c r="S9" s="43"/>
      <c r="T9" s="43"/>
      <c r="U9" s="43"/>
    </row>
    <row r="10" spans="1:21" s="11" customFormat="1" ht="15">
      <c r="A10" s="53" t="s">
        <v>87</v>
      </c>
      <c r="B10" s="54">
        <v>15.57</v>
      </c>
      <c r="C10" s="54">
        <v>30.78</v>
      </c>
      <c r="D10" s="54">
        <v>29.25</v>
      </c>
      <c r="E10" s="54">
        <v>1.80</v>
      </c>
      <c r="F10" s="54">
        <v>6.38</v>
      </c>
      <c r="G10" s="54">
        <v>129.27000000000001</v>
      </c>
      <c r="H10" s="54">
        <v>52.55</v>
      </c>
      <c r="I10" s="54">
        <v>1.52</v>
      </c>
      <c r="J10" s="54">
        <v>0.12</v>
      </c>
      <c r="K10" s="54">
        <v>94.76</v>
      </c>
      <c r="L10" s="54">
        <v>20.59</v>
      </c>
      <c r="M10" s="54">
        <v>75.95</v>
      </c>
      <c r="N10" s="54">
        <v>23</v>
      </c>
      <c r="O10" s="54">
        <v>0</v>
      </c>
      <c r="P10" s="54">
        <v>1.31</v>
      </c>
      <c r="Q10" s="54">
        <v>6.43</v>
      </c>
      <c r="R10" s="43"/>
      <c r="S10" s="43"/>
      <c r="T10" s="43"/>
      <c r="U10" s="43"/>
    </row>
    <row r="11" spans="1:21" s="11" customFormat="1" ht="15">
      <c r="A11" s="53" t="s">
        <v>88</v>
      </c>
      <c r="B11" s="54">
        <v>13.07</v>
      </c>
      <c r="C11" s="54">
        <v>28.34</v>
      </c>
      <c r="D11" s="54">
        <v>26.52</v>
      </c>
      <c r="E11" s="54">
        <v>1.74</v>
      </c>
      <c r="F11" s="54">
        <v>3.09</v>
      </c>
      <c r="G11" s="54">
        <v>118.56</v>
      </c>
      <c r="H11" s="54">
        <v>52.55</v>
      </c>
      <c r="I11" s="54">
        <v>1.55</v>
      </c>
      <c r="J11" s="54">
        <v>0.21</v>
      </c>
      <c r="K11" s="54">
        <v>105.03</v>
      </c>
      <c r="L11" s="54">
        <v>20.63</v>
      </c>
      <c r="M11" s="54">
        <v>77.19</v>
      </c>
      <c r="N11" s="54">
        <v>23.40</v>
      </c>
      <c r="O11" s="54">
        <v>0</v>
      </c>
      <c r="P11" s="54">
        <v>1.1599999999999999</v>
      </c>
      <c r="Q11" s="54">
        <v>6.09</v>
      </c>
      <c r="R11" s="43"/>
      <c r="S11" s="43"/>
      <c r="T11" s="43"/>
      <c r="U11" s="43"/>
    </row>
    <row r="12" spans="1:21" s="11" customFormat="1" ht="15">
      <c r="A12" s="53" t="s">
        <v>89</v>
      </c>
      <c r="B12" s="54">
        <v>9.74</v>
      </c>
      <c r="C12" s="54">
        <v>24.61</v>
      </c>
      <c r="D12" s="54">
        <v>22.68</v>
      </c>
      <c r="E12" s="54">
        <v>1.86</v>
      </c>
      <c r="F12" s="54">
        <v>7.07</v>
      </c>
      <c r="G12" s="54">
        <v>100.19</v>
      </c>
      <c r="H12" s="54">
        <v>48.49</v>
      </c>
      <c r="I12" s="54">
        <v>1.53</v>
      </c>
      <c r="J12" s="54">
        <v>0.54</v>
      </c>
      <c r="K12" s="54">
        <v>347.20</v>
      </c>
      <c r="L12" s="54">
        <v>20.75</v>
      </c>
      <c r="M12" s="54">
        <v>79.33</v>
      </c>
      <c r="N12" s="54">
        <v>23.60</v>
      </c>
      <c r="O12" s="54">
        <v>0</v>
      </c>
      <c r="P12" s="54">
        <v>1.05</v>
      </c>
      <c r="Q12" s="54">
        <v>5.74</v>
      </c>
      <c r="R12" s="43"/>
      <c r="S12" s="43"/>
      <c r="T12" s="43"/>
      <c r="U12" s="43"/>
    </row>
    <row r="13" spans="1:21" s="11" customFormat="1" ht="15">
      <c r="A13" s="53" t="s">
        <v>90</v>
      </c>
      <c r="B13" s="54">
        <v>9.9700000000000006</v>
      </c>
      <c r="C13" s="54">
        <v>28.19</v>
      </c>
      <c r="D13" s="54">
        <v>24.84</v>
      </c>
      <c r="E13" s="54">
        <v>1.30</v>
      </c>
      <c r="F13" s="54">
        <v>4.2699999999999996</v>
      </c>
      <c r="G13" s="54">
        <v>110.98</v>
      </c>
      <c r="H13" s="54">
        <v>56.59</v>
      </c>
      <c r="I13" s="54">
        <v>1.58</v>
      </c>
      <c r="J13" s="54">
        <v>0.44</v>
      </c>
      <c r="K13" s="54">
        <v>345.57</v>
      </c>
      <c r="L13" s="54">
        <v>20.53</v>
      </c>
      <c r="M13" s="54">
        <v>80.09</v>
      </c>
      <c r="N13" s="54">
        <v>23.5</v>
      </c>
      <c r="O13" s="54">
        <v>0</v>
      </c>
      <c r="P13" s="54">
        <v>1.1000000000000001</v>
      </c>
      <c r="Q13" s="54">
        <v>5.56</v>
      </c>
      <c r="R13" s="43"/>
      <c r="S13" s="43"/>
      <c r="T13" s="43"/>
      <c r="U13" s="43"/>
    </row>
    <row r="14" spans="1:21" s="11" customFormat="1" ht="15">
      <c r="A14" s="53" t="s">
        <v>91</v>
      </c>
      <c r="B14" s="54">
        <v>11.93</v>
      </c>
      <c r="C14" s="54">
        <v>28.30</v>
      </c>
      <c r="D14" s="54">
        <v>26.48</v>
      </c>
      <c r="E14" s="54">
        <v>1.36</v>
      </c>
      <c r="F14" s="54">
        <v>0.61</v>
      </c>
      <c r="G14" s="54">
        <v>235.78</v>
      </c>
      <c r="H14" s="54">
        <v>78.819999999999993</v>
      </c>
      <c r="I14" s="54">
        <v>1.51</v>
      </c>
      <c r="J14" s="54">
        <v>0.48</v>
      </c>
      <c r="K14" s="54">
        <v>343.55</v>
      </c>
      <c r="L14" s="54">
        <v>20.38</v>
      </c>
      <c r="M14" s="54">
        <v>80.94</v>
      </c>
      <c r="N14" s="54">
        <v>24.90</v>
      </c>
      <c r="O14" s="54">
        <v>0</v>
      </c>
      <c r="P14" s="54">
        <v>1.23</v>
      </c>
      <c r="Q14" s="54">
        <v>5.68</v>
      </c>
      <c r="R14" s="43"/>
      <c r="S14" s="43"/>
      <c r="T14" s="43"/>
      <c r="U14" s="43"/>
    </row>
    <row r="15" spans="1:21" s="11" customFormat="1" ht="15">
      <c r="A15" s="53" t="s">
        <v>92</v>
      </c>
      <c r="B15" s="54">
        <v>13.77</v>
      </c>
      <c r="C15" s="54">
        <v>27.80</v>
      </c>
      <c r="D15" s="54">
        <v>26.62</v>
      </c>
      <c r="E15" s="54">
        <v>1.58</v>
      </c>
      <c r="F15" s="54">
        <v>1.66</v>
      </c>
      <c r="G15" s="54">
        <v>235.78</v>
      </c>
      <c r="H15" s="54">
        <v>78.819999999999993</v>
      </c>
      <c r="I15" s="54">
        <v>1.59</v>
      </c>
      <c r="J15" s="54">
        <v>0.37</v>
      </c>
      <c r="K15" s="54">
        <v>352.59</v>
      </c>
      <c r="L15" s="54">
        <v>20</v>
      </c>
      <c r="M15" s="54">
        <v>82.88</v>
      </c>
      <c r="N15" s="54">
        <v>55.30</v>
      </c>
      <c r="O15" s="54">
        <v>0</v>
      </c>
      <c r="P15" s="54">
        <v>1.22</v>
      </c>
      <c r="Q15" s="54">
        <v>5.65</v>
      </c>
      <c r="R15" s="43"/>
      <c r="S15" s="43"/>
      <c r="T15" s="43"/>
      <c r="U15" s="43"/>
    </row>
    <row r="16" spans="1:21" s="11" customFormat="1" ht="15">
      <c r="A16" s="53" t="s">
        <v>93</v>
      </c>
      <c r="B16" s="54">
        <v>12.43</v>
      </c>
      <c r="C16" s="54">
        <v>26.40</v>
      </c>
      <c r="D16" s="54">
        <v>25.83</v>
      </c>
      <c r="E16" s="54">
        <v>1.5</v>
      </c>
      <c r="F16" s="54">
        <v>1.53</v>
      </c>
      <c r="G16" s="54">
        <v>145.80000000000001</v>
      </c>
      <c r="H16" s="54">
        <v>75.010000000000005</v>
      </c>
      <c r="I16" s="54">
        <v>1.54</v>
      </c>
      <c r="J16" s="54">
        <v>1.23</v>
      </c>
      <c r="K16" s="54">
        <v>114.94</v>
      </c>
      <c r="L16" s="54">
        <v>21.18</v>
      </c>
      <c r="M16" s="54">
        <v>82.30</v>
      </c>
      <c r="N16" s="54">
        <v>101.90</v>
      </c>
      <c r="O16" s="54">
        <v>0</v>
      </c>
      <c r="P16" s="54">
        <v>1.17</v>
      </c>
      <c r="Q16" s="54">
        <v>5.70</v>
      </c>
      <c r="R16" s="43"/>
      <c r="S16" s="43"/>
      <c r="T16" s="43"/>
      <c r="U16" s="43"/>
    </row>
    <row r="17" spans="1:21" s="11" customFormat="1" ht="15">
      <c r="A17" s="53" t="s">
        <v>94</v>
      </c>
      <c r="B17" s="54">
        <v>10.84</v>
      </c>
      <c r="C17" s="54">
        <v>28.71</v>
      </c>
      <c r="D17" s="54">
        <v>24.85</v>
      </c>
      <c r="E17" s="54">
        <v>1.31</v>
      </c>
      <c r="F17" s="54">
        <v>2.4900000000000002</v>
      </c>
      <c r="G17" s="54">
        <v>134.29</v>
      </c>
      <c r="H17" s="54">
        <v>67.900000000000006</v>
      </c>
      <c r="I17" s="54">
        <v>1.53</v>
      </c>
      <c r="J17" s="54">
        <v>0.78</v>
      </c>
      <c r="K17" s="54">
        <v>111.97</v>
      </c>
      <c r="L17" s="54">
        <v>22.45</v>
      </c>
      <c r="M17" s="54">
        <v>78.06</v>
      </c>
      <c r="N17" s="54">
        <v>208.5</v>
      </c>
      <c r="O17" s="54">
        <v>0</v>
      </c>
      <c r="P17" s="54">
        <v>1.1399999999999999</v>
      </c>
      <c r="Q17" s="54">
        <v>5.63</v>
      </c>
      <c r="R17" s="43"/>
      <c r="S17" s="43"/>
      <c r="T17" s="43"/>
      <c r="U17" s="43"/>
    </row>
    <row r="18" spans="1:21" s="11" customFormat="1" ht="15">
      <c r="A18" s="53" t="s">
        <v>95</v>
      </c>
      <c r="B18" s="54">
        <v>8.36</v>
      </c>
      <c r="C18" s="54">
        <v>30.89</v>
      </c>
      <c r="D18" s="54">
        <v>24.97</v>
      </c>
      <c r="E18" s="54">
        <v>1.64</v>
      </c>
      <c r="F18" s="54">
        <v>6.12</v>
      </c>
      <c r="G18" s="54">
        <v>134.29</v>
      </c>
      <c r="H18" s="54">
        <v>66.459999999999994</v>
      </c>
      <c r="I18" s="54">
        <v>1.51</v>
      </c>
      <c r="J18" s="54">
        <v>1.1299999999999999</v>
      </c>
      <c r="K18" s="54">
        <v>319.75</v>
      </c>
      <c r="L18" s="54">
        <v>24.91</v>
      </c>
      <c r="M18" s="54">
        <v>72.900000000000006</v>
      </c>
      <c r="N18" s="54">
        <v>417.80</v>
      </c>
      <c r="O18" s="54">
        <v>0</v>
      </c>
      <c r="P18" s="54">
        <v>1.1000000000000001</v>
      </c>
      <c r="Q18" s="54">
        <v>5.5</v>
      </c>
      <c r="R18" s="43"/>
      <c r="S18" s="43"/>
      <c r="T18" s="43"/>
      <c r="U18" s="43"/>
    </row>
    <row r="19" spans="1:21" s="11" customFormat="1" ht="15">
      <c r="A19" s="53" t="s">
        <v>96</v>
      </c>
      <c r="B19" s="54">
        <v>6.67</v>
      </c>
      <c r="C19" s="54">
        <v>27.60</v>
      </c>
      <c r="D19" s="54">
        <v>21.87</v>
      </c>
      <c r="E19" s="54">
        <v>1.53</v>
      </c>
      <c r="F19" s="54">
        <v>2.14</v>
      </c>
      <c r="G19" s="54">
        <v>112.41</v>
      </c>
      <c r="H19" s="54">
        <v>65.37</v>
      </c>
      <c r="I19" s="54">
        <v>1.52</v>
      </c>
      <c r="J19" s="54">
        <v>0.63</v>
      </c>
      <c r="K19" s="54">
        <v>142.66</v>
      </c>
      <c r="L19" s="54">
        <v>27.61</v>
      </c>
      <c r="M19" s="54">
        <v>64.14</v>
      </c>
      <c r="N19" s="54">
        <v>652.79999999999995</v>
      </c>
      <c r="O19" s="54">
        <v>0</v>
      </c>
      <c r="P19" s="54">
        <v>1.05</v>
      </c>
      <c r="Q19" s="54">
        <v>5.35</v>
      </c>
      <c r="R19" s="43"/>
      <c r="S19" s="43"/>
      <c r="T19" s="43"/>
      <c r="U19" s="43"/>
    </row>
    <row r="20" spans="1:21" s="11" customFormat="1" ht="15">
      <c r="A20" s="53" t="s">
        <v>97</v>
      </c>
      <c r="B20" s="54">
        <v>3.34</v>
      </c>
      <c r="C20" s="54">
        <v>25.34</v>
      </c>
      <c r="D20" s="54">
        <v>17.11</v>
      </c>
      <c r="E20" s="54">
        <v>1.21</v>
      </c>
      <c r="F20" s="54">
        <v>6.42</v>
      </c>
      <c r="G20" s="54">
        <v>95.33</v>
      </c>
      <c r="H20" s="54">
        <v>60.33</v>
      </c>
      <c r="I20" s="54">
        <v>1.54</v>
      </c>
      <c r="J20" s="54">
        <v>0.60</v>
      </c>
      <c r="K20" s="54">
        <v>117.06</v>
      </c>
      <c r="L20" s="54">
        <v>28.03</v>
      </c>
      <c r="M20" s="54">
        <v>57.88</v>
      </c>
      <c r="N20" s="54">
        <v>648.79999999999995</v>
      </c>
      <c r="O20" s="54">
        <v>0</v>
      </c>
      <c r="P20" s="54">
        <v>0.94</v>
      </c>
      <c r="Q20" s="54">
        <v>5.13</v>
      </c>
      <c r="R20" s="43"/>
      <c r="S20" s="43"/>
      <c r="T20" s="43"/>
      <c r="U20" s="43"/>
    </row>
    <row r="21" spans="1:21" s="11" customFormat="1" ht="15">
      <c r="A21" s="53" t="s">
        <v>98</v>
      </c>
      <c r="B21" s="54">
        <v>3.15</v>
      </c>
      <c r="C21" s="54">
        <v>23.89</v>
      </c>
      <c r="D21" s="54">
        <v>16.89</v>
      </c>
      <c r="E21" s="54">
        <v>1.84</v>
      </c>
      <c r="F21" s="54">
        <v>10.98</v>
      </c>
      <c r="G21" s="54">
        <v>82.32</v>
      </c>
      <c r="H21" s="54">
        <v>55.05</v>
      </c>
      <c r="I21" s="54">
        <v>1.56</v>
      </c>
      <c r="J21" s="54">
        <v>0.51</v>
      </c>
      <c r="K21" s="54">
        <v>349.32</v>
      </c>
      <c r="L21" s="54">
        <v>31.31</v>
      </c>
      <c r="M21" s="54">
        <v>51.57</v>
      </c>
      <c r="N21" s="54">
        <v>637.10</v>
      </c>
      <c r="O21" s="54">
        <v>0</v>
      </c>
      <c r="P21" s="54">
        <v>0.84</v>
      </c>
      <c r="Q21" s="54">
        <v>5.16</v>
      </c>
      <c r="R21" s="43"/>
      <c r="S21" s="43"/>
      <c r="T21" s="43"/>
      <c r="U21" s="43"/>
    </row>
    <row r="22" spans="1:21" s="11" customFormat="1" ht="15">
      <c r="A22" s="53" t="s">
        <v>99</v>
      </c>
      <c r="B22" s="54">
        <v>3.91</v>
      </c>
      <c r="C22" s="54">
        <v>25.22</v>
      </c>
      <c r="D22" s="54">
        <v>18.34</v>
      </c>
      <c r="E22" s="54">
        <v>1.98</v>
      </c>
      <c r="F22" s="54">
        <v>18.64</v>
      </c>
      <c r="G22" s="54">
        <v>82.32</v>
      </c>
      <c r="H22" s="54">
        <v>45.42</v>
      </c>
      <c r="I22" s="54">
        <v>1.53</v>
      </c>
      <c r="J22" s="54">
        <v>0.63</v>
      </c>
      <c r="K22" s="54">
        <v>128.78</v>
      </c>
      <c r="L22" s="54">
        <v>30.34</v>
      </c>
      <c r="M22" s="54">
        <v>55.47</v>
      </c>
      <c r="N22" s="54">
        <v>354.40</v>
      </c>
      <c r="O22" s="54">
        <v>0</v>
      </c>
      <c r="P22" s="54">
        <v>0.85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100</v>
      </c>
      <c r="B23" s="54">
        <v>8.5500000000000007</v>
      </c>
      <c r="C23" s="54">
        <v>31.52</v>
      </c>
      <c r="D23" s="54">
        <v>25.54</v>
      </c>
      <c r="E23" s="54">
        <v>2.12</v>
      </c>
      <c r="F23" s="54">
        <v>28.11</v>
      </c>
      <c r="G23" s="54">
        <v>66.34</v>
      </c>
      <c r="H23" s="54">
        <v>40.85</v>
      </c>
      <c r="I23" s="54">
        <v>1.55</v>
      </c>
      <c r="J23" s="54">
        <v>0.39</v>
      </c>
      <c r="K23" s="54">
        <v>345.19</v>
      </c>
      <c r="L23" s="54">
        <v>28.46</v>
      </c>
      <c r="M23" s="54">
        <v>57.61</v>
      </c>
      <c r="N23" s="54">
        <v>195.10</v>
      </c>
      <c r="O23" s="54">
        <v>0</v>
      </c>
      <c r="P23" s="54">
        <v>0.88</v>
      </c>
      <c r="Q23" s="54">
        <v>5.09</v>
      </c>
      <c r="R23" s="43"/>
      <c r="S23" s="43"/>
      <c r="T23" s="43"/>
      <c r="U23" s="43"/>
    </row>
    <row r="24" spans="1:21" s="11" customFormat="1" ht="15">
      <c r="A24" s="53" t="s">
        <v>101</v>
      </c>
      <c r="B24" s="54">
        <v>6.75</v>
      </c>
      <c r="C24" s="54">
        <v>33.21</v>
      </c>
      <c r="D24" s="54">
        <v>25.03</v>
      </c>
      <c r="E24" s="54">
        <v>2.4300000000000002</v>
      </c>
      <c r="F24" s="54">
        <v>5.52</v>
      </c>
      <c r="G24" s="54">
        <v>78.38</v>
      </c>
      <c r="H24" s="54">
        <v>40.15</v>
      </c>
      <c r="I24" s="54">
        <v>1.54</v>
      </c>
      <c r="J24" s="54">
        <v>1.57</v>
      </c>
      <c r="K24" s="54">
        <v>345.04</v>
      </c>
      <c r="L24" s="54">
        <v>27.43</v>
      </c>
      <c r="M24" s="54">
        <v>59.96</v>
      </c>
      <c r="N24" s="54">
        <v>164.90</v>
      </c>
      <c r="O24" s="54">
        <v>0</v>
      </c>
      <c r="P24" s="54">
        <v>0.94</v>
      </c>
      <c r="Q24" s="54">
        <v>4.75</v>
      </c>
      <c r="R24" s="43"/>
      <c r="S24" s="43"/>
      <c r="T24" s="43"/>
      <c r="U24" s="43"/>
    </row>
    <row r="25" spans="1:21" s="11" customFormat="1" ht="15">
      <c r="A25" s="53" t="s">
        <v>102</v>
      </c>
      <c r="B25" s="54">
        <v>11.13</v>
      </c>
      <c r="C25" s="54">
        <v>33.950000000000003</v>
      </c>
      <c r="D25" s="54">
        <v>28.96</v>
      </c>
      <c r="E25" s="54">
        <v>4.05</v>
      </c>
      <c r="F25" s="54">
        <v>5.48</v>
      </c>
      <c r="G25" s="54">
        <v>102.22</v>
      </c>
      <c r="H25" s="54">
        <v>41.71</v>
      </c>
      <c r="I25" s="54">
        <v>1.57</v>
      </c>
      <c r="J25" s="54">
        <v>0.93</v>
      </c>
      <c r="K25" s="54">
        <v>337.91</v>
      </c>
      <c r="L25" s="54">
        <v>26.58</v>
      </c>
      <c r="M25" s="54">
        <v>76.03</v>
      </c>
      <c r="N25" s="54">
        <v>86</v>
      </c>
      <c r="O25" s="54">
        <v>0</v>
      </c>
      <c r="P25" s="54">
        <v>1.04</v>
      </c>
      <c r="Q25" s="54">
        <v>4.74</v>
      </c>
      <c r="R25" s="43"/>
      <c r="S25" s="43"/>
      <c r="T25" s="43"/>
      <c r="U25" s="43"/>
    </row>
    <row r="26" spans="1:21" s="11" customFormat="1" ht="15">
      <c r="A26" s="53" t="s">
        <v>103</v>
      </c>
      <c r="B26" s="54">
        <v>23.5</v>
      </c>
      <c r="C26" s="54">
        <v>50.19</v>
      </c>
      <c r="D26" s="54">
        <v>45.44</v>
      </c>
      <c r="E26" s="54">
        <v>3.15</v>
      </c>
      <c r="F26" s="54">
        <v>4.3499999999999996</v>
      </c>
      <c r="G26" s="54">
        <v>110.20</v>
      </c>
      <c r="H26" s="54">
        <v>45.87</v>
      </c>
      <c r="I26" s="54">
        <v>1.56</v>
      </c>
      <c r="J26" s="54">
        <v>0.48</v>
      </c>
      <c r="K26" s="54">
        <v>333.71</v>
      </c>
      <c r="L26" s="54">
        <v>24.45</v>
      </c>
      <c r="M26" s="54">
        <v>79.81</v>
      </c>
      <c r="N26" s="54">
        <v>41.60</v>
      </c>
      <c r="O26" s="54">
        <v>0</v>
      </c>
      <c r="P26" s="54">
        <v>1.52</v>
      </c>
      <c r="Q26" s="54">
        <v>4.55</v>
      </c>
      <c r="R26" s="43"/>
      <c r="S26" s="43"/>
      <c r="T26" s="43"/>
      <c r="U26" s="43"/>
    </row>
    <row r="27" spans="1:21" s="11" customFormat="1" ht="15">
      <c r="A27" s="53" t="s">
        <v>104</v>
      </c>
      <c r="B27" s="54">
        <v>21.60</v>
      </c>
      <c r="C27" s="54">
        <v>64.42</v>
      </c>
      <c r="D27" s="54">
        <v>51.58</v>
      </c>
      <c r="E27" s="54">
        <v>3.68</v>
      </c>
      <c r="F27" s="54">
        <v>5.83</v>
      </c>
      <c r="G27" s="54">
        <v>115</v>
      </c>
      <c r="H27" s="54">
        <v>47.10</v>
      </c>
      <c r="I27" s="54">
        <v>1.61</v>
      </c>
      <c r="J27" s="54">
        <v>0.21</v>
      </c>
      <c r="K27" s="54">
        <v>357.62</v>
      </c>
      <c r="L27" s="54">
        <v>24.15</v>
      </c>
      <c r="M27" s="54">
        <v>77.19</v>
      </c>
      <c r="N27" s="54">
        <v>35.10</v>
      </c>
      <c r="O27" s="54">
        <v>0</v>
      </c>
      <c r="P27" s="54">
        <v>1.96</v>
      </c>
      <c r="Q27" s="54">
        <v>4.17</v>
      </c>
      <c r="R27" s="43"/>
      <c r="S27" s="43"/>
      <c r="T27" s="43"/>
      <c r="U27" s="43"/>
    </row>
    <row r="28" spans="1:21" s="11" customFormat="1" ht="15">
      <c r="A28" s="53" t="s">
        <v>105</v>
      </c>
      <c r="B28" s="54">
        <v>32.17</v>
      </c>
      <c r="C28" s="54">
        <v>61.61</v>
      </c>
      <c r="D28" s="54">
        <v>61.09</v>
      </c>
      <c r="E28" s="54">
        <v>3.65</v>
      </c>
      <c r="F28" s="54">
        <v>6.83</v>
      </c>
      <c r="G28" s="54">
        <v>122.12</v>
      </c>
      <c r="H28" s="54">
        <v>50.54</v>
      </c>
      <c r="I28" s="54">
        <v>1.47</v>
      </c>
      <c r="J28" s="54">
        <v>0.21</v>
      </c>
      <c r="K28" s="54">
        <v>121.65</v>
      </c>
      <c r="L28" s="54">
        <v>24.05</v>
      </c>
      <c r="M28" s="54">
        <v>80.459999999999994</v>
      </c>
      <c r="N28" s="54">
        <v>35.299999999999997</v>
      </c>
      <c r="O28" s="54">
        <v>0</v>
      </c>
      <c r="P28" s="54">
        <v>2.80</v>
      </c>
      <c r="Q28" s="54">
        <v>4.51</v>
      </c>
      <c r="R28" s="43"/>
      <c r="S28" s="43"/>
      <c r="T28" s="43"/>
      <c r="U28" s="43"/>
    </row>
    <row r="29" spans="1:21" s="11" customFormat="1" ht="15">
      <c r="A29" s="53" t="s">
        <v>106</v>
      </c>
      <c r="B29" s="54">
        <v>19.78</v>
      </c>
      <c r="C29" s="54">
        <v>51.22</v>
      </c>
      <c r="D29" s="54">
        <v>42.12</v>
      </c>
      <c r="E29" s="54">
        <v>2.83</v>
      </c>
      <c r="F29" s="54">
        <v>1.45</v>
      </c>
      <c r="G29" s="54">
        <v>122.12</v>
      </c>
      <c r="H29" s="54">
        <v>50.54</v>
      </c>
      <c r="I29" s="54">
        <v>1.55</v>
      </c>
      <c r="J29" s="54">
        <v>0.53</v>
      </c>
      <c r="K29" s="54">
        <v>163.21</v>
      </c>
      <c r="L29" s="54">
        <v>23.99</v>
      </c>
      <c r="M29" s="54">
        <v>78.819999999999993</v>
      </c>
      <c r="N29" s="54">
        <v>35.200000000000003</v>
      </c>
      <c r="O29" s="54">
        <v>0</v>
      </c>
      <c r="P29" s="54">
        <v>1.97</v>
      </c>
      <c r="Q29" s="54">
        <v>5.26</v>
      </c>
      <c r="R29" s="43"/>
      <c r="S29" s="43"/>
      <c r="T29" s="43"/>
      <c r="U29" s="43"/>
    </row>
    <row r="30" spans="1:21" s="11" customFormat="1" ht="15">
      <c r="A30" s="53" t="s">
        <v>107</v>
      </c>
      <c r="B30" s="54">
        <v>23.71</v>
      </c>
      <c r="C30" s="54">
        <v>47.33</v>
      </c>
      <c r="D30" s="54">
        <v>44.76</v>
      </c>
      <c r="E30" s="54">
        <v>2.99</v>
      </c>
      <c r="F30" s="54">
        <v>1.73</v>
      </c>
      <c r="G30" s="54">
        <v>107.86</v>
      </c>
      <c r="H30" s="54">
        <v>52.29</v>
      </c>
      <c r="I30" s="54">
        <v>1.56</v>
      </c>
      <c r="J30" s="54">
        <v>0.27</v>
      </c>
      <c r="K30" s="54">
        <v>351.46</v>
      </c>
      <c r="L30" s="54">
        <v>23.47</v>
      </c>
      <c r="M30" s="54">
        <v>84.48</v>
      </c>
      <c r="N30" s="54">
        <v>35.40</v>
      </c>
      <c r="O30" s="54">
        <v>0</v>
      </c>
      <c r="P30" s="54">
        <v>1.85</v>
      </c>
      <c r="Q30" s="54">
        <v>5.25</v>
      </c>
      <c r="R30" s="43"/>
      <c r="S30" s="43"/>
      <c r="T30" s="43"/>
      <c r="U30" s="43"/>
    </row>
    <row r="31" spans="1:21" s="11" customFormat="1" ht="15">
      <c r="A31" s="53" t="s">
        <v>108</v>
      </c>
      <c r="B31" s="54">
        <v>25.87</v>
      </c>
      <c r="C31" s="54">
        <v>46.77</v>
      </c>
      <c r="D31" s="54">
        <v>45.73</v>
      </c>
      <c r="E31" s="54">
        <v>2.62</v>
      </c>
      <c r="F31" s="54">
        <v>0.95</v>
      </c>
      <c r="G31" s="54">
        <v>107.86</v>
      </c>
      <c r="H31" s="54">
        <v>52.29</v>
      </c>
      <c r="I31" s="54">
        <v>1.53</v>
      </c>
      <c r="J31" s="54">
        <v>0.08</v>
      </c>
      <c r="K31" s="54">
        <v>344.63</v>
      </c>
      <c r="L31" s="54">
        <v>23.35</v>
      </c>
      <c r="M31" s="54">
        <v>84.97</v>
      </c>
      <c r="N31" s="54">
        <v>35.10</v>
      </c>
      <c r="O31" s="54">
        <v>0</v>
      </c>
      <c r="P31" s="54">
        <v>1.61</v>
      </c>
      <c r="Q31" s="54">
        <v>5.52</v>
      </c>
      <c r="R31" s="43"/>
      <c r="S31" s="43"/>
      <c r="T31" s="43"/>
      <c r="U31" s="43"/>
    </row>
    <row r="32" spans="1:21" s="11" customFormat="1" ht="15">
      <c r="A32" s="53" t="s">
        <v>109</v>
      </c>
      <c r="B32" s="54">
        <v>28.43</v>
      </c>
      <c r="C32" s="54">
        <v>42.17</v>
      </c>
      <c r="D32" s="54">
        <v>43.94</v>
      </c>
      <c r="E32" s="54">
        <v>2.08</v>
      </c>
      <c r="F32" s="54">
        <v>1.44</v>
      </c>
      <c r="G32" s="54">
        <v>103.67</v>
      </c>
      <c r="H32" s="54">
        <v>49.13</v>
      </c>
      <c r="I32" s="54">
        <v>1.60</v>
      </c>
      <c r="J32" s="54">
        <v>0.18</v>
      </c>
      <c r="K32" s="54">
        <v>334.66</v>
      </c>
      <c r="L32" s="54">
        <v>22.96</v>
      </c>
      <c r="M32" s="54">
        <v>90.43</v>
      </c>
      <c r="N32" s="54">
        <v>35.10</v>
      </c>
      <c r="O32" s="54">
        <v>0</v>
      </c>
      <c r="P32" s="54">
        <v>1.49</v>
      </c>
      <c r="Q32" s="54">
        <v>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3.1499999999999999</v>
      </c>
      <c r="C34" s="28">
        <f t="shared" si="0"/>
        <v>23.890000000000001</v>
      </c>
      <c r="D34" s="28">
        <f t="shared" si="0"/>
        <v>16.890000000000001</v>
      </c>
      <c r="E34" s="28">
        <f t="shared" si="0"/>
        <v>1.21</v>
      </c>
      <c r="F34" s="28">
        <f t="shared" si="0"/>
        <v>0.60999999999999999</v>
      </c>
      <c r="G34" s="28">
        <f t="shared" si="0"/>
        <v>66.340000000000003</v>
      </c>
      <c r="H34" s="28">
        <f t="shared" si="0"/>
        <v>40.149999999999999</v>
      </c>
      <c r="I34" s="28">
        <f t="shared" si="0"/>
        <v>1.47</v>
      </c>
      <c r="J34" s="28">
        <f t="shared" si="0"/>
        <v>0.080000000000000002</v>
      </c>
      <c r="K34" s="28">
        <f t="shared" si="0"/>
        <v>94.760000000000005</v>
      </c>
      <c r="L34" s="28">
        <f t="shared" si="0"/>
        <v>20</v>
      </c>
      <c r="M34" s="28">
        <f t="shared" si="0"/>
        <v>51.57</v>
      </c>
      <c r="N34" s="28">
        <f t="shared" si="0"/>
        <v>23</v>
      </c>
      <c r="O34" s="28">
        <f t="shared" si="0"/>
        <v>0</v>
      </c>
      <c r="P34" s="28">
        <f t="shared" si="0"/>
        <v>0.83999999999999997</v>
      </c>
      <c r="Q34" s="28">
        <f t="shared" si="0"/>
        <v>4.1699999999999999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32.170000000000002</v>
      </c>
      <c r="C35" s="29">
        <f t="shared" si="1"/>
        <v>64.420000000000002</v>
      </c>
      <c r="D35" s="29">
        <f t="shared" si="1"/>
        <v>61.090000000000003</v>
      </c>
      <c r="E35" s="29">
        <f t="shared" si="1"/>
        <v>4.0499999999999998</v>
      </c>
      <c r="F35" s="29">
        <f t="shared" si="1"/>
        <v>28.109999999999999</v>
      </c>
      <c r="G35" s="29">
        <f t="shared" si="1"/>
        <v>235.78</v>
      </c>
      <c r="H35" s="29">
        <f t="shared" si="1"/>
        <v>78.819999999999993</v>
      </c>
      <c r="I35" s="29">
        <f t="shared" si="1"/>
        <v>1.6100000000000001</v>
      </c>
      <c r="J35" s="29">
        <f t="shared" si="1"/>
        <v>1.5700000000000001</v>
      </c>
      <c r="K35" s="29">
        <f t="shared" si="1"/>
        <v>357.62</v>
      </c>
      <c r="L35" s="29">
        <f t="shared" si="1"/>
        <v>31.309999999999999</v>
      </c>
      <c r="M35" s="29">
        <f t="shared" si="1"/>
        <v>90.430000000000007</v>
      </c>
      <c r="N35" s="29">
        <f t="shared" si="1"/>
        <v>652.79999999999995</v>
      </c>
      <c r="O35" s="29">
        <f t="shared" si="1"/>
        <v>0</v>
      </c>
      <c r="P35" s="29">
        <f t="shared" si="1"/>
        <v>2.7999999999999998</v>
      </c>
      <c r="Q35" s="29">
        <f t="shared" si="1"/>
        <v>6.5099999999999998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14.251249999999999</v>
      </c>
      <c r="C36" s="28">
        <f t="shared" si="2"/>
        <v>35.527916666666663</v>
      </c>
      <c r="D36" s="28">
        <f t="shared" si="2"/>
        <v>31.453333333333337</v>
      </c>
      <c r="E36" s="28">
        <f t="shared" si="2"/>
        <v>2.1712500000000001</v>
      </c>
      <c r="F36" s="28">
        <f t="shared" si="2"/>
        <v>5.8716666666666661</v>
      </c>
      <c r="G36" s="28">
        <f t="shared" si="2"/>
        <v>120.0983333333333</v>
      </c>
      <c r="H36" s="28">
        <f t="shared" si="2"/>
        <v>55.332916666666655</v>
      </c>
      <c r="I36" s="28">
        <f t="shared" si="2"/>
        <v>1.5441666666666667</v>
      </c>
      <c r="J36" s="28">
        <f t="shared" si="2"/>
        <v>0.53125</v>
      </c>
      <c r="K36" s="28">
        <f t="shared" si="2"/>
        <v>261.03916666666663</v>
      </c>
      <c r="L36" s="28">
        <f t="shared" si="2"/>
        <v>24.096666666666664</v>
      </c>
      <c r="M36" s="28">
        <f t="shared" si="2"/>
        <v>74.287083333333328</v>
      </c>
      <c r="N36" s="28">
        <f t="shared" si="2"/>
        <v>163.19999999999999</v>
      </c>
      <c r="O36" s="28">
        <f t="shared" si="2"/>
        <v>0</v>
      </c>
      <c r="P36" s="28">
        <f t="shared" si="2"/>
        <v>1.3195833333333333</v>
      </c>
      <c r="Q36" s="28">
        <f t="shared" si="2"/>
        <v>5.3825000000000003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8.1601775942417643</v>
      </c>
      <c r="C37" s="28">
        <f t="shared" si="3" ref="C37:Q37">STDEV(C9:C32)</f>
        <v>11.851564922962233</v>
      </c>
      <c r="D37" s="28">
        <f t="shared" si="3"/>
        <v>11.828239483345016</v>
      </c>
      <c r="E37" s="28">
        <f t="shared" si="3"/>
        <v>0.82289685813620339</v>
      </c>
      <c r="F37" s="28">
        <f t="shared" si="3"/>
        <v>6.1629246774327964</v>
      </c>
      <c r="G37" s="28">
        <f t="shared" si="3"/>
        <v>40.462841747940189</v>
      </c>
      <c r="H37" s="28">
        <f t="shared" si="3"/>
        <v>11.320766404831181</v>
      </c>
      <c r="I37" s="28">
        <f t="shared" si="3"/>
        <v>0.031885210782848346</v>
      </c>
      <c r="J37" s="28">
        <f t="shared" si="3"/>
        <v>0.37274904134831394</v>
      </c>
      <c r="K37" s="28">
        <f t="shared" si="3"/>
        <v>110.7632613678406</v>
      </c>
      <c r="L37" s="28">
        <f t="shared" si="3"/>
        <v>3.3598662844338616</v>
      </c>
      <c r="M37" s="28">
        <f t="shared" si="3"/>
        <v>10.578302024988936</v>
      </c>
      <c r="N37" s="28">
        <f t="shared" si="3"/>
        <v>214.27184683907046</v>
      </c>
      <c r="O37" s="28">
        <f t="shared" si="3"/>
        <v>0</v>
      </c>
      <c r="P37" s="28">
        <f t="shared" si="3"/>
        <v>0.45810079740130383</v>
      </c>
      <c r="Q37" s="28">
        <f t="shared" si="3"/>
        <v>0.58100550023588216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8fea2f-c991-4fb6-ad86-1c26ed71cc57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7" sqref="G67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110</v>
      </c>
      <c r="B9" s="54">
        <v>27.75</v>
      </c>
      <c r="C9" s="54">
        <v>35.479999999999997</v>
      </c>
      <c r="D9" s="54">
        <v>42.71</v>
      </c>
      <c r="E9" s="54">
        <v>2.63</v>
      </c>
      <c r="F9" s="54">
        <v>1.28</v>
      </c>
      <c r="G9" s="54">
        <v>103.88</v>
      </c>
      <c r="H9" s="54">
        <v>44.87</v>
      </c>
      <c r="I9" s="54">
        <v>1.49</v>
      </c>
      <c r="J9" s="54">
        <v>0.39</v>
      </c>
      <c r="K9" s="54">
        <v>349.04</v>
      </c>
      <c r="L9" s="54">
        <v>22.74</v>
      </c>
      <c r="M9" s="54">
        <v>92.56</v>
      </c>
      <c r="N9" s="54">
        <v>35.200000000000003</v>
      </c>
      <c r="O9" s="54">
        <v>0</v>
      </c>
      <c r="P9" s="54">
        <v>1.49</v>
      </c>
      <c r="Q9" s="54">
        <v>6.43</v>
      </c>
      <c r="R9" s="43"/>
      <c r="S9" s="43"/>
      <c r="T9" s="43"/>
      <c r="U9" s="43"/>
    </row>
    <row r="10" spans="1:21" s="11" customFormat="1" ht="15">
      <c r="A10" s="53" t="s">
        <v>111</v>
      </c>
      <c r="B10" s="54">
        <v>23.76</v>
      </c>
      <c r="C10" s="54">
        <v>35.57</v>
      </c>
      <c r="D10" s="54">
        <v>37.270000000000003</v>
      </c>
      <c r="E10" s="54">
        <v>2.72</v>
      </c>
      <c r="F10" s="54">
        <v>0.83</v>
      </c>
      <c r="G10" s="54">
        <v>140.61000000000001</v>
      </c>
      <c r="H10" s="54">
        <v>56.39</v>
      </c>
      <c r="I10" s="54">
        <v>1.52</v>
      </c>
      <c r="J10" s="54">
        <v>0.60</v>
      </c>
      <c r="K10" s="54">
        <v>339.85</v>
      </c>
      <c r="L10" s="54">
        <v>22.08</v>
      </c>
      <c r="M10" s="54">
        <v>91.65</v>
      </c>
      <c r="N10" s="54">
        <v>34.799999999999997</v>
      </c>
      <c r="O10" s="54">
        <v>0</v>
      </c>
      <c r="P10" s="54">
        <v>1.46</v>
      </c>
      <c r="Q10" s="54">
        <v>6.67</v>
      </c>
      <c r="R10" s="43"/>
      <c r="S10" s="43"/>
      <c r="T10" s="43"/>
      <c r="U10" s="43"/>
    </row>
    <row r="11" spans="1:21" s="11" customFormat="1" ht="15">
      <c r="A11" s="53" t="s">
        <v>112</v>
      </c>
      <c r="B11" s="54">
        <v>15.25</v>
      </c>
      <c r="C11" s="54">
        <v>36.29</v>
      </c>
      <c r="D11" s="54">
        <v>33.47</v>
      </c>
      <c r="E11" s="54">
        <v>3.25</v>
      </c>
      <c r="F11" s="54">
        <v>1.1100000000000001</v>
      </c>
      <c r="G11" s="54">
        <v>191.29</v>
      </c>
      <c r="H11" s="54">
        <v>82.27</v>
      </c>
      <c r="I11" s="54">
        <v>1.57</v>
      </c>
      <c r="J11" s="54">
        <v>0.13</v>
      </c>
      <c r="K11" s="54">
        <v>340.04</v>
      </c>
      <c r="L11" s="54">
        <v>22.03</v>
      </c>
      <c r="M11" s="54">
        <v>97.26</v>
      </c>
      <c r="N11" s="54">
        <v>34.799999999999997</v>
      </c>
      <c r="O11" s="54">
        <v>0</v>
      </c>
      <c r="P11" s="54">
        <v>1.41</v>
      </c>
      <c r="Q11" s="54">
        <v>6.59</v>
      </c>
      <c r="R11" s="43"/>
      <c r="S11" s="43"/>
      <c r="T11" s="43"/>
      <c r="U11" s="43"/>
    </row>
    <row r="12" spans="1:21" s="11" customFormat="1" ht="15">
      <c r="A12" s="53" t="s">
        <v>113</v>
      </c>
      <c r="B12" s="54">
        <v>21.47</v>
      </c>
      <c r="C12" s="54">
        <v>34.200000000000003</v>
      </c>
      <c r="D12" s="54">
        <v>37.24</v>
      </c>
      <c r="E12" s="54">
        <v>3.5</v>
      </c>
      <c r="F12" s="54">
        <v>0.62</v>
      </c>
      <c r="G12" s="54">
        <v>206.62</v>
      </c>
      <c r="H12" s="54">
        <v>102.80</v>
      </c>
      <c r="I12" s="54">
        <v>1.53</v>
      </c>
      <c r="J12" s="54">
        <v>0.06</v>
      </c>
      <c r="K12" s="54">
        <v>335.52</v>
      </c>
      <c r="L12" s="54">
        <v>21.22</v>
      </c>
      <c r="M12" s="54">
        <v>98.37</v>
      </c>
      <c r="N12" s="54">
        <v>52.40</v>
      </c>
      <c r="O12" s="54">
        <v>0</v>
      </c>
      <c r="P12" s="54">
        <v>1.56</v>
      </c>
      <c r="Q12" s="54">
        <v>6.21</v>
      </c>
      <c r="R12" s="43"/>
      <c r="S12" s="43"/>
      <c r="T12" s="43"/>
      <c r="U12" s="43"/>
    </row>
    <row r="13" spans="1:21" s="11" customFormat="1" ht="15">
      <c r="A13" s="53" t="s">
        <v>114</v>
      </c>
      <c r="B13" s="54">
        <v>22.60</v>
      </c>
      <c r="C13" s="54">
        <v>27.69</v>
      </c>
      <c r="D13" s="54">
        <v>33.29</v>
      </c>
      <c r="E13" s="54">
        <v>2.40</v>
      </c>
      <c r="F13" s="54">
        <v>0.69</v>
      </c>
      <c r="G13" s="54">
        <v>206.62</v>
      </c>
      <c r="H13" s="54">
        <v>102.80</v>
      </c>
      <c r="I13" s="54">
        <v>1.56</v>
      </c>
      <c r="J13" s="54">
        <v>0.17</v>
      </c>
      <c r="K13" s="54">
        <v>357.69</v>
      </c>
      <c r="L13" s="54">
        <v>20.92</v>
      </c>
      <c r="M13" s="54">
        <v>98.43</v>
      </c>
      <c r="N13" s="54">
        <v>56</v>
      </c>
      <c r="O13" s="54">
        <v>0</v>
      </c>
      <c r="P13" s="54">
        <v>1.43</v>
      </c>
      <c r="Q13" s="54">
        <v>6.43</v>
      </c>
      <c r="R13" s="43"/>
      <c r="S13" s="43"/>
      <c r="T13" s="43"/>
      <c r="U13" s="43"/>
    </row>
    <row r="14" spans="1:21" s="11" customFormat="1" ht="15">
      <c r="A14" s="53" t="s">
        <v>115</v>
      </c>
      <c r="B14" s="54">
        <v>26.01</v>
      </c>
      <c r="C14" s="54">
        <v>34.18</v>
      </c>
      <c r="D14" s="54">
        <v>41.01</v>
      </c>
      <c r="E14" s="54">
        <v>2.76</v>
      </c>
      <c r="F14" s="54">
        <v>0.66</v>
      </c>
      <c r="G14" s="54">
        <v>188.39</v>
      </c>
      <c r="H14" s="54">
        <v>102.78</v>
      </c>
      <c r="I14" s="54">
        <v>1.53</v>
      </c>
      <c r="J14" s="54">
        <v>0.36</v>
      </c>
      <c r="K14" s="54">
        <v>350.97</v>
      </c>
      <c r="L14" s="54">
        <v>21.14</v>
      </c>
      <c r="M14" s="54">
        <v>98.43</v>
      </c>
      <c r="N14" s="54">
        <v>65.20</v>
      </c>
      <c r="O14" s="54">
        <v>0</v>
      </c>
      <c r="P14" s="54">
        <v>1.51</v>
      </c>
      <c r="Q14" s="54">
        <v>6.32</v>
      </c>
      <c r="R14" s="43"/>
      <c r="S14" s="43"/>
      <c r="T14" s="43"/>
      <c r="U14" s="43"/>
    </row>
    <row r="15" spans="1:21" s="11" customFormat="1" ht="15">
      <c r="A15" s="53" t="s">
        <v>116</v>
      </c>
      <c r="B15" s="54">
        <v>27.19</v>
      </c>
      <c r="C15" s="54">
        <v>29.59</v>
      </c>
      <c r="D15" s="54">
        <v>38.07</v>
      </c>
      <c r="E15" s="54">
        <v>3.29</v>
      </c>
      <c r="F15" s="54">
        <v>0.67</v>
      </c>
      <c r="G15" s="54">
        <v>213.87</v>
      </c>
      <c r="H15" s="54">
        <v>111.54</v>
      </c>
      <c r="I15" s="54">
        <v>1.57</v>
      </c>
      <c r="J15" s="54">
        <v>0.74</v>
      </c>
      <c r="K15" s="54">
        <v>338.80</v>
      </c>
      <c r="L15" s="54">
        <v>21.83</v>
      </c>
      <c r="M15" s="54">
        <v>96.53</v>
      </c>
      <c r="N15" s="54">
        <v>101.80</v>
      </c>
      <c r="O15" s="54">
        <v>0</v>
      </c>
      <c r="P15" s="54">
        <v>1.57</v>
      </c>
      <c r="Q15" s="54">
        <v>6.63</v>
      </c>
      <c r="R15" s="43"/>
      <c r="S15" s="43"/>
      <c r="T15" s="43"/>
      <c r="U15" s="43"/>
    </row>
    <row r="16" spans="1:21" s="11" customFormat="1" ht="15">
      <c r="A16" s="53" t="s">
        <v>117</v>
      </c>
      <c r="B16" s="54">
        <v>31.32</v>
      </c>
      <c r="C16" s="54">
        <v>28.04</v>
      </c>
      <c r="D16" s="54">
        <v>41.88</v>
      </c>
      <c r="E16" s="54">
        <v>2.88</v>
      </c>
      <c r="F16" s="54">
        <v>0.66</v>
      </c>
      <c r="G16" s="54">
        <v>213.87</v>
      </c>
      <c r="H16" s="54">
        <v>117.66</v>
      </c>
      <c r="I16" s="54">
        <v>1.55</v>
      </c>
      <c r="J16" s="54">
        <v>0.92</v>
      </c>
      <c r="K16" s="54">
        <v>342.52</v>
      </c>
      <c r="L16" s="54">
        <v>24.79</v>
      </c>
      <c r="M16" s="54">
        <v>91.24</v>
      </c>
      <c r="N16" s="54">
        <v>241.5</v>
      </c>
      <c r="O16" s="54">
        <v>0</v>
      </c>
      <c r="P16" s="54">
        <v>1.65</v>
      </c>
      <c r="Q16" s="54">
        <v>7.04</v>
      </c>
      <c r="R16" s="43"/>
      <c r="S16" s="43"/>
      <c r="T16" s="43"/>
      <c r="U16" s="43"/>
    </row>
    <row r="17" spans="1:21" s="11" customFormat="1" ht="15">
      <c r="A17" s="53" t="s">
        <v>118</v>
      </c>
      <c r="B17" s="54">
        <v>34.630000000000003</v>
      </c>
      <c r="C17" s="54">
        <v>35.729999999999997</v>
      </c>
      <c r="D17" s="54">
        <v>48.78</v>
      </c>
      <c r="E17" s="54">
        <v>4.25</v>
      </c>
      <c r="F17" s="54">
        <v>1.04</v>
      </c>
      <c r="G17" s="54">
        <v>241.65</v>
      </c>
      <c r="H17" s="54">
        <v>117.66</v>
      </c>
      <c r="I17" s="54">
        <v>1.52</v>
      </c>
      <c r="J17" s="54">
        <v>0.83</v>
      </c>
      <c r="K17" s="54">
        <v>350.37</v>
      </c>
      <c r="L17" s="54">
        <v>25.36</v>
      </c>
      <c r="M17" s="54">
        <v>79.98</v>
      </c>
      <c r="N17" s="54">
        <v>352.80</v>
      </c>
      <c r="O17" s="54">
        <v>0</v>
      </c>
      <c r="P17" s="54">
        <v>1.75</v>
      </c>
      <c r="Q17" s="54">
        <v>7.12</v>
      </c>
      <c r="R17" s="43"/>
      <c r="S17" s="43"/>
      <c r="T17" s="43"/>
      <c r="U17" s="43"/>
    </row>
    <row r="18" spans="1:21" s="11" customFormat="1" ht="15">
      <c r="A18" s="53" t="s">
        <v>119</v>
      </c>
      <c r="B18" s="54">
        <v>32.64</v>
      </c>
      <c r="C18" s="54">
        <v>33.950000000000003</v>
      </c>
      <c r="D18" s="54">
        <v>46.20</v>
      </c>
      <c r="E18" s="54">
        <v>8.36</v>
      </c>
      <c r="F18" s="54">
        <v>4.28</v>
      </c>
      <c r="G18" s="54">
        <v>241.65</v>
      </c>
      <c r="H18" s="54">
        <v>115.28</v>
      </c>
      <c r="I18" s="54">
        <v>1.55</v>
      </c>
      <c r="J18" s="54">
        <v>0.31</v>
      </c>
      <c r="K18" s="54">
        <v>347.65</v>
      </c>
      <c r="L18" s="54">
        <v>26.98</v>
      </c>
      <c r="M18" s="54">
        <v>76.47</v>
      </c>
      <c r="N18" s="54">
        <v>483.30</v>
      </c>
      <c r="O18" s="54">
        <v>0</v>
      </c>
      <c r="P18" s="54">
        <v>1.67</v>
      </c>
      <c r="Q18" s="54">
        <v>7.55</v>
      </c>
      <c r="R18" s="43"/>
      <c r="S18" s="43"/>
      <c r="T18" s="43"/>
      <c r="U18" s="43"/>
    </row>
    <row r="19" spans="1:21" s="11" customFormat="1" ht="15">
      <c r="A19" s="53" t="s">
        <v>120</v>
      </c>
      <c r="B19" s="54">
        <v>26.07</v>
      </c>
      <c r="C19" s="54">
        <v>25.46</v>
      </c>
      <c r="D19" s="54">
        <v>35.21</v>
      </c>
      <c r="E19" s="54">
        <v>6.94</v>
      </c>
      <c r="F19" s="54">
        <v>3.94</v>
      </c>
      <c r="G19" s="54">
        <v>203.48</v>
      </c>
      <c r="H19" s="54">
        <v>98.49</v>
      </c>
      <c r="I19" s="54">
        <v>1.55</v>
      </c>
      <c r="J19" s="54">
        <v>0.49</v>
      </c>
      <c r="K19" s="54">
        <v>139.93</v>
      </c>
      <c r="L19" s="54">
        <v>29.96</v>
      </c>
      <c r="M19" s="54">
        <v>63.04</v>
      </c>
      <c r="N19" s="54">
        <v>682.70</v>
      </c>
      <c r="O19" s="54">
        <v>0</v>
      </c>
      <c r="P19" s="54">
        <v>1.56</v>
      </c>
      <c r="Q19" s="54">
        <v>7.33</v>
      </c>
      <c r="R19" s="43"/>
      <c r="S19" s="43"/>
      <c r="T19" s="43"/>
      <c r="U19" s="43"/>
    </row>
    <row r="20" spans="1:21" s="11" customFormat="1" ht="15">
      <c r="A20" s="53" t="s">
        <v>121</v>
      </c>
      <c r="B20" s="54">
        <v>17.739999999999998</v>
      </c>
      <c r="C20" s="54">
        <v>23.41</v>
      </c>
      <c r="D20" s="54">
        <v>27.56</v>
      </c>
      <c r="E20" s="54">
        <v>4.46</v>
      </c>
      <c r="F20" s="54">
        <v>7.73</v>
      </c>
      <c r="G20" s="54">
        <v>60.80</v>
      </c>
      <c r="H20" s="54">
        <v>67.349999999999994</v>
      </c>
      <c r="I20" s="54">
        <v>1.53</v>
      </c>
      <c r="J20" s="54">
        <v>0.73</v>
      </c>
      <c r="K20" s="54">
        <v>139.99</v>
      </c>
      <c r="L20" s="54">
        <v>28.63</v>
      </c>
      <c r="M20" s="54">
        <v>60.31</v>
      </c>
      <c r="N20" s="54">
        <v>720.40</v>
      </c>
      <c r="O20" s="54">
        <v>0</v>
      </c>
      <c r="P20" s="54">
        <v>1.28</v>
      </c>
      <c r="Q20" s="54">
        <v>6.58</v>
      </c>
      <c r="R20" s="43"/>
      <c r="S20" s="43"/>
      <c r="T20" s="43"/>
      <c r="U20" s="43"/>
    </row>
    <row r="21" spans="1:21" s="11" customFormat="1" ht="15">
      <c r="A21" s="53" t="s">
        <v>122</v>
      </c>
      <c r="B21" s="54">
        <v>10.92</v>
      </c>
      <c r="C21" s="54">
        <v>24.79</v>
      </c>
      <c r="D21" s="54">
        <v>22.69</v>
      </c>
      <c r="E21" s="54">
        <v>5.59</v>
      </c>
      <c r="F21" s="54">
        <v>4.95</v>
      </c>
      <c r="G21" s="54">
        <v>60.80</v>
      </c>
      <c r="H21" s="54">
        <v>46.22</v>
      </c>
      <c r="I21" s="54">
        <v>1.58</v>
      </c>
      <c r="J21" s="54">
        <v>1.1499999999999999</v>
      </c>
      <c r="K21" s="54">
        <v>337.53</v>
      </c>
      <c r="L21" s="54">
        <v>30.76</v>
      </c>
      <c r="M21" s="54">
        <v>56.47</v>
      </c>
      <c r="N21" s="54">
        <v>708.20</v>
      </c>
      <c r="O21" s="54">
        <v>0</v>
      </c>
      <c r="P21" s="54">
        <v>1.1200000000000001</v>
      </c>
      <c r="Q21" s="54">
        <v>5.79</v>
      </c>
      <c r="R21" s="43"/>
      <c r="S21" s="43"/>
      <c r="T21" s="43"/>
      <c r="U21" s="43"/>
    </row>
    <row r="22" spans="1:21" s="11" customFormat="1" ht="15">
      <c r="A22" s="53" t="s">
        <v>123</v>
      </c>
      <c r="B22" s="54">
        <v>9.73</v>
      </c>
      <c r="C22" s="54">
        <v>31.99</v>
      </c>
      <c r="D22" s="54">
        <v>26.75</v>
      </c>
      <c r="E22" s="54">
        <v>4.45</v>
      </c>
      <c r="F22" s="54">
        <v>4.49</v>
      </c>
      <c r="G22" s="54">
        <v>67.930000000000007</v>
      </c>
      <c r="H22" s="54">
        <v>35.44</v>
      </c>
      <c r="I22" s="54">
        <v>1.61</v>
      </c>
      <c r="J22" s="54">
        <v>2.0699999999999998</v>
      </c>
      <c r="K22" s="54">
        <v>339.98</v>
      </c>
      <c r="L22" s="54">
        <v>29.37</v>
      </c>
      <c r="M22" s="54">
        <v>57.77</v>
      </c>
      <c r="N22" s="54">
        <v>362</v>
      </c>
      <c r="O22" s="54">
        <v>0</v>
      </c>
      <c r="P22" s="54">
        <v>0.96</v>
      </c>
      <c r="Q22" s="54">
        <v>5.09</v>
      </c>
      <c r="R22" s="43"/>
      <c r="S22" s="43"/>
      <c r="T22" s="43"/>
      <c r="U22" s="43"/>
    </row>
    <row r="23" spans="1:21" s="11" customFormat="1" ht="15">
      <c r="A23" s="53" t="s">
        <v>124</v>
      </c>
      <c r="B23" s="54">
        <v>8.26</v>
      </c>
      <c r="C23" s="54">
        <v>28.34</v>
      </c>
      <c r="D23" s="54">
        <v>23.56</v>
      </c>
      <c r="E23" s="54">
        <v>4.4800000000000004</v>
      </c>
      <c r="F23" s="54">
        <v>7.56</v>
      </c>
      <c r="G23" s="54">
        <v>67.930000000000007</v>
      </c>
      <c r="H23" s="54">
        <v>30.73</v>
      </c>
      <c r="I23" s="54">
        <v>1.52</v>
      </c>
      <c r="J23" s="54">
        <v>0.96</v>
      </c>
      <c r="K23" s="54">
        <v>339.82</v>
      </c>
      <c r="L23" s="54">
        <v>27.89</v>
      </c>
      <c r="M23" s="54">
        <v>58.70</v>
      </c>
      <c r="N23" s="54">
        <v>217.30</v>
      </c>
      <c r="O23" s="54">
        <v>0</v>
      </c>
      <c r="P23" s="54">
        <v>0.92</v>
      </c>
      <c r="Q23" s="54">
        <v>4.97</v>
      </c>
      <c r="R23" s="43"/>
      <c r="S23" s="43"/>
      <c r="T23" s="43"/>
      <c r="U23" s="43"/>
    </row>
    <row r="24" spans="1:21" s="11" customFormat="1" ht="15">
      <c r="A24" s="53" t="s">
        <v>125</v>
      </c>
      <c r="B24" s="54">
        <v>6.63</v>
      </c>
      <c r="C24" s="54">
        <v>24.34</v>
      </c>
      <c r="D24" s="54">
        <v>19.39</v>
      </c>
      <c r="E24" s="54">
        <v>3.65</v>
      </c>
      <c r="F24" s="54">
        <v>14.96</v>
      </c>
      <c r="G24" s="54">
        <v>44.71</v>
      </c>
      <c r="H24" s="54">
        <v>28.89</v>
      </c>
      <c r="I24" s="54">
        <v>1.56</v>
      </c>
      <c r="J24" s="54">
        <v>1.0900000000000001</v>
      </c>
      <c r="K24" s="54">
        <v>113.84</v>
      </c>
      <c r="L24" s="54">
        <v>26.59</v>
      </c>
      <c r="M24" s="54">
        <v>58.37</v>
      </c>
      <c r="N24" s="54">
        <v>116.70</v>
      </c>
      <c r="O24" s="54">
        <v>0</v>
      </c>
      <c r="P24" s="54">
        <v>0.80</v>
      </c>
      <c r="Q24" s="54">
        <v>5.15</v>
      </c>
      <c r="R24" s="43"/>
      <c r="S24" s="43"/>
      <c r="T24" s="43"/>
      <c r="U24" s="43"/>
    </row>
    <row r="25" spans="1:21" s="11" customFormat="1" ht="15">
      <c r="A25" s="53" t="s">
        <v>126</v>
      </c>
      <c r="B25" s="54">
        <v>9.2799999999999994</v>
      </c>
      <c r="C25" s="54">
        <v>31.75</v>
      </c>
      <c r="D25" s="54">
        <v>25.37</v>
      </c>
      <c r="E25" s="54">
        <v>3.42</v>
      </c>
      <c r="F25" s="54">
        <v>22.91</v>
      </c>
      <c r="G25" s="54">
        <v>44.71</v>
      </c>
      <c r="H25" s="54">
        <v>23.10</v>
      </c>
      <c r="I25" s="54">
        <v>1.55</v>
      </c>
      <c r="J25" s="54">
        <v>0.62</v>
      </c>
      <c r="K25" s="54">
        <v>108.46</v>
      </c>
      <c r="L25" s="54">
        <v>26.47</v>
      </c>
      <c r="M25" s="54">
        <v>64.48</v>
      </c>
      <c r="N25" s="54">
        <v>66</v>
      </c>
      <c r="O25" s="54">
        <v>0</v>
      </c>
      <c r="P25" s="54">
        <v>0.79</v>
      </c>
      <c r="Q25" s="54">
        <v>4.92</v>
      </c>
      <c r="R25" s="43"/>
      <c r="S25" s="43"/>
      <c r="T25" s="43"/>
      <c r="U25" s="43"/>
    </row>
    <row r="26" spans="1:21" s="11" customFormat="1" ht="15">
      <c r="A26" s="53" t="s">
        <v>127</v>
      </c>
      <c r="B26" s="54">
        <v>21.21</v>
      </c>
      <c r="C26" s="54">
        <v>65.78</v>
      </c>
      <c r="D26" s="54">
        <v>54.60</v>
      </c>
      <c r="E26" s="54">
        <v>4.3600000000000003</v>
      </c>
      <c r="F26" s="54">
        <v>20.97</v>
      </c>
      <c r="G26" s="54">
        <v>43.48</v>
      </c>
      <c r="H26" s="54">
        <v>22.25</v>
      </c>
      <c r="I26" s="54">
        <v>1.5</v>
      </c>
      <c r="J26" s="54">
        <v>0.43</v>
      </c>
      <c r="K26" s="54">
        <v>111.30</v>
      </c>
      <c r="L26" s="54">
        <v>25.46</v>
      </c>
      <c r="M26" s="54">
        <v>69.11</v>
      </c>
      <c r="N26" s="54">
        <v>26.80</v>
      </c>
      <c r="O26" s="54">
        <v>0</v>
      </c>
      <c r="P26" s="54">
        <v>1.35</v>
      </c>
      <c r="Q26" s="54">
        <v>4.1900000000000004</v>
      </c>
      <c r="R26" s="43"/>
      <c r="S26" s="43"/>
      <c r="T26" s="43"/>
      <c r="U26" s="43"/>
    </row>
    <row r="27" spans="1:21" s="11" customFormat="1" ht="15">
      <c r="A27" s="53" t="s">
        <v>128</v>
      </c>
      <c r="B27" s="54">
        <v>14.01</v>
      </c>
      <c r="C27" s="54">
        <v>57.78</v>
      </c>
      <c r="D27" s="54">
        <v>44.41</v>
      </c>
      <c r="E27" s="54">
        <v>3.91</v>
      </c>
      <c r="F27" s="54">
        <v>8.5299999999999994</v>
      </c>
      <c r="G27" s="54">
        <v>53.83</v>
      </c>
      <c r="H27" s="54">
        <v>22.39</v>
      </c>
      <c r="I27" s="54">
        <v>1.59</v>
      </c>
      <c r="J27" s="54">
        <v>0.42</v>
      </c>
      <c r="K27" s="54">
        <v>104.55</v>
      </c>
      <c r="L27" s="54">
        <v>25.02</v>
      </c>
      <c r="M27" s="54">
        <v>71.73</v>
      </c>
      <c r="N27" s="54">
        <v>21.60</v>
      </c>
      <c r="O27" s="54">
        <v>0</v>
      </c>
      <c r="P27" s="54">
        <v>1.37</v>
      </c>
      <c r="Q27" s="54">
        <v>3.72</v>
      </c>
      <c r="R27" s="43"/>
      <c r="S27" s="43"/>
      <c r="T27" s="43"/>
      <c r="U27" s="43"/>
    </row>
    <row r="28" spans="1:21" s="11" customFormat="1" ht="15">
      <c r="A28" s="53" t="s">
        <v>129</v>
      </c>
      <c r="B28" s="54">
        <v>37.24</v>
      </c>
      <c r="C28" s="54">
        <v>66.98</v>
      </c>
      <c r="D28" s="54">
        <v>68.11</v>
      </c>
      <c r="E28" s="54">
        <v>2.91</v>
      </c>
      <c r="F28" s="54">
        <v>2.57</v>
      </c>
      <c r="G28" s="54">
        <v>111.5</v>
      </c>
      <c r="H28" s="54">
        <v>30.21</v>
      </c>
      <c r="I28" s="54">
        <v>1.62</v>
      </c>
      <c r="J28" s="54">
        <v>0.22</v>
      </c>
      <c r="K28" s="54">
        <v>342.49</v>
      </c>
      <c r="L28" s="54">
        <v>24.82</v>
      </c>
      <c r="M28" s="54">
        <v>76.27</v>
      </c>
      <c r="N28" s="54">
        <v>22.40</v>
      </c>
      <c r="O28" s="54">
        <v>0</v>
      </c>
      <c r="P28" s="54">
        <v>1.96</v>
      </c>
      <c r="Q28" s="54">
        <v>4.5599999999999996</v>
      </c>
      <c r="R28" s="43"/>
      <c r="S28" s="43"/>
      <c r="T28" s="43"/>
      <c r="U28" s="43"/>
    </row>
    <row r="29" spans="1:21" s="11" customFormat="1" ht="15">
      <c r="A29" s="53" t="s">
        <v>130</v>
      </c>
      <c r="B29" s="54">
        <v>12.04</v>
      </c>
      <c r="C29" s="54">
        <v>28.64</v>
      </c>
      <c r="D29" s="54">
        <v>25.12</v>
      </c>
      <c r="E29" s="54">
        <v>2.14</v>
      </c>
      <c r="F29" s="54">
        <v>6.33</v>
      </c>
      <c r="G29" s="54">
        <v>111.5</v>
      </c>
      <c r="H29" s="54">
        <v>30.21</v>
      </c>
      <c r="I29" s="54">
        <v>1.55</v>
      </c>
      <c r="J29" s="54">
        <v>0.87</v>
      </c>
      <c r="K29" s="54">
        <v>354.53</v>
      </c>
      <c r="L29" s="54">
        <v>23.19</v>
      </c>
      <c r="M29" s="54">
        <v>98.54</v>
      </c>
      <c r="N29" s="54">
        <v>25.30</v>
      </c>
      <c r="O29" s="54">
        <v>5.60</v>
      </c>
      <c r="P29" s="54">
        <v>1.08</v>
      </c>
      <c r="Q29" s="54">
        <v>5.40</v>
      </c>
      <c r="R29" s="43"/>
      <c r="S29" s="43"/>
      <c r="T29" s="43"/>
      <c r="U29" s="43"/>
    </row>
    <row r="30" spans="1:21" s="11" customFormat="1" ht="15">
      <c r="A30" s="53" t="s">
        <v>131</v>
      </c>
      <c r="B30" s="54">
        <v>12.5</v>
      </c>
      <c r="C30" s="54">
        <v>28.39</v>
      </c>
      <c r="D30" s="54">
        <v>26.98</v>
      </c>
      <c r="E30" s="54">
        <v>2.13</v>
      </c>
      <c r="F30" s="54">
        <v>4.3899999999999997</v>
      </c>
      <c r="G30" s="54">
        <v>66.17</v>
      </c>
      <c r="H30" s="54">
        <v>27.55</v>
      </c>
      <c r="I30" s="54">
        <v>1.59</v>
      </c>
      <c r="J30" s="54">
        <v>0.74</v>
      </c>
      <c r="K30" s="54">
        <v>227.10</v>
      </c>
      <c r="L30" s="54">
        <v>20.83</v>
      </c>
      <c r="M30" s="54">
        <v>98.54</v>
      </c>
      <c r="N30" s="54">
        <v>23.60</v>
      </c>
      <c r="O30" s="54">
        <v>0</v>
      </c>
      <c r="P30" s="54">
        <v>1.08</v>
      </c>
      <c r="Q30" s="54">
        <v>5.46</v>
      </c>
      <c r="R30" s="43"/>
      <c r="S30" s="43"/>
      <c r="T30" s="43"/>
      <c r="U30" s="43"/>
    </row>
    <row r="31" spans="1:21" s="11" customFormat="1" ht="15">
      <c r="A31" s="53" t="s">
        <v>132</v>
      </c>
      <c r="B31" s="54">
        <v>21.65</v>
      </c>
      <c r="C31" s="54">
        <v>34.01</v>
      </c>
      <c r="D31" s="54">
        <v>37.42</v>
      </c>
      <c r="E31" s="54">
        <v>1.39</v>
      </c>
      <c r="F31" s="54">
        <v>1.88</v>
      </c>
      <c r="G31" s="54">
        <v>41.39</v>
      </c>
      <c r="H31" s="54">
        <v>26.90</v>
      </c>
      <c r="I31" s="54">
        <v>1.57</v>
      </c>
      <c r="J31" s="54">
        <v>0.14000000000000001</v>
      </c>
      <c r="K31" s="54">
        <v>319.77999999999997</v>
      </c>
      <c r="L31" s="54">
        <v>21.08</v>
      </c>
      <c r="M31" s="54">
        <v>98.5</v>
      </c>
      <c r="N31" s="54">
        <v>22.90</v>
      </c>
      <c r="O31" s="54">
        <v>0</v>
      </c>
      <c r="P31" s="54">
        <v>1.07</v>
      </c>
      <c r="Q31" s="54">
        <v>5.42</v>
      </c>
      <c r="R31" s="43"/>
      <c r="S31" s="43"/>
      <c r="T31" s="43"/>
      <c r="U31" s="43"/>
    </row>
    <row r="32" spans="1:21" s="11" customFormat="1" ht="15">
      <c r="A32" s="53" t="s">
        <v>133</v>
      </c>
      <c r="B32" s="54">
        <v>16.649999999999999</v>
      </c>
      <c r="C32" s="54">
        <v>34.86</v>
      </c>
      <c r="D32" s="54">
        <v>33.880000000000003</v>
      </c>
      <c r="E32" s="54">
        <v>1.43</v>
      </c>
      <c r="F32" s="54">
        <v>2.68</v>
      </c>
      <c r="G32" s="54">
        <v>40.69</v>
      </c>
      <c r="H32" s="54">
        <v>24.97</v>
      </c>
      <c r="I32" s="54">
        <v>1.54</v>
      </c>
      <c r="J32" s="54">
        <v>0.15</v>
      </c>
      <c r="K32" s="54">
        <v>248.20</v>
      </c>
      <c r="L32" s="54">
        <v>21</v>
      </c>
      <c r="M32" s="54">
        <v>98.53</v>
      </c>
      <c r="N32" s="54">
        <v>22.40</v>
      </c>
      <c r="O32" s="54">
        <v>0</v>
      </c>
      <c r="P32" s="54">
        <v>0.95</v>
      </c>
      <c r="Q32" s="54">
        <v>5.44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6.6299999999999999</v>
      </c>
      <c r="C34" s="28">
        <f t="shared" si="0"/>
        <v>23.41</v>
      </c>
      <c r="D34" s="28">
        <f t="shared" si="0"/>
        <v>19.390000000000001</v>
      </c>
      <c r="E34" s="28">
        <f t="shared" si="0"/>
        <v>1.3899999999999999</v>
      </c>
      <c r="F34" s="28">
        <f t="shared" si="0"/>
        <v>0.62</v>
      </c>
      <c r="G34" s="28">
        <f t="shared" si="0"/>
        <v>40.689999999999998</v>
      </c>
      <c r="H34" s="28">
        <f t="shared" si="0"/>
        <v>22.25</v>
      </c>
      <c r="I34" s="28">
        <f t="shared" si="0"/>
        <v>1.49</v>
      </c>
      <c r="J34" s="28">
        <f t="shared" si="0"/>
        <v>0.059999999999999998</v>
      </c>
      <c r="K34" s="28">
        <f t="shared" si="0"/>
        <v>104.55</v>
      </c>
      <c r="L34" s="28">
        <f t="shared" si="0"/>
        <v>20.829999999999998</v>
      </c>
      <c r="M34" s="28">
        <f t="shared" si="0"/>
        <v>56.469999999999999</v>
      </c>
      <c r="N34" s="28">
        <f t="shared" si="0"/>
        <v>21.600000000000001</v>
      </c>
      <c r="O34" s="28">
        <f t="shared" si="0"/>
        <v>0</v>
      </c>
      <c r="P34" s="28">
        <f t="shared" si="0"/>
        <v>0.79000000000000004</v>
      </c>
      <c r="Q34" s="28">
        <f t="shared" si="0"/>
        <v>3.7200000000000002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37.240000000000002</v>
      </c>
      <c r="C35" s="29">
        <f t="shared" si="1"/>
        <v>66.980000000000004</v>
      </c>
      <c r="D35" s="29">
        <f t="shared" si="1"/>
        <v>68.109999999999999</v>
      </c>
      <c r="E35" s="29">
        <f t="shared" si="1"/>
        <v>8.3599999999999994</v>
      </c>
      <c r="F35" s="29">
        <f t="shared" si="1"/>
        <v>22.91</v>
      </c>
      <c r="G35" s="29">
        <f t="shared" si="1"/>
        <v>241.65000000000001</v>
      </c>
      <c r="H35" s="29">
        <f t="shared" si="1"/>
        <v>117.66</v>
      </c>
      <c r="I35" s="29">
        <f t="shared" si="1"/>
        <v>1.6200000000000001</v>
      </c>
      <c r="J35" s="29">
        <f t="shared" si="1"/>
        <v>2.0699999999999998</v>
      </c>
      <c r="K35" s="29">
        <f t="shared" si="1"/>
        <v>357.69</v>
      </c>
      <c r="L35" s="29">
        <f t="shared" si="1"/>
        <v>30.760000000000002</v>
      </c>
      <c r="M35" s="29">
        <f t="shared" si="1"/>
        <v>98.540000000000006</v>
      </c>
      <c r="N35" s="29">
        <f t="shared" si="1"/>
        <v>720.39999999999998</v>
      </c>
      <c r="O35" s="29">
        <f t="shared" si="1"/>
        <v>5.5999999999999996</v>
      </c>
      <c r="P35" s="29">
        <f t="shared" si="1"/>
        <v>1.96</v>
      </c>
      <c r="Q35" s="29">
        <f t="shared" si="1"/>
        <v>7.5499999999999998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20.272916666666664</v>
      </c>
      <c r="C36" s="28">
        <f t="shared" si="2"/>
        <v>34.884999999999998</v>
      </c>
      <c r="D36" s="28">
        <f t="shared" si="2"/>
        <v>36.290416666666665</v>
      </c>
      <c r="E36" s="28">
        <f t="shared" si="2"/>
        <v>3.6374999999999997</v>
      </c>
      <c r="F36" s="28">
        <f t="shared" si="2"/>
        <v>5.2387499999999996</v>
      </c>
      <c r="G36" s="28">
        <f t="shared" si="2"/>
        <v>123.64041666666667</v>
      </c>
      <c r="H36" s="28">
        <f t="shared" si="2"/>
        <v>61.197916666666664</v>
      </c>
      <c r="I36" s="28">
        <f t="shared" si="2"/>
        <v>1.5520833333333337</v>
      </c>
      <c r="J36" s="28">
        <f t="shared" si="2"/>
        <v>0.60791666666666666</v>
      </c>
      <c r="K36" s="28">
        <f t="shared" si="2"/>
        <v>278.33124999999995</v>
      </c>
      <c r="L36" s="28">
        <f t="shared" si="2"/>
        <v>24.59</v>
      </c>
      <c r="M36" s="28">
        <f t="shared" si="2"/>
        <v>81.303333333333327</v>
      </c>
      <c r="N36" s="28">
        <f t="shared" si="2"/>
        <v>187.33750000000001</v>
      </c>
      <c r="O36" s="28">
        <f t="shared" si="2"/>
        <v>0.23333333333333331</v>
      </c>
      <c r="P36" s="28">
        <f t="shared" si="2"/>
        <v>1.3245833333333334</v>
      </c>
      <c r="Q36" s="28">
        <f t="shared" si="2"/>
        <v>5.8754166666666663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8.9032336476169185</v>
      </c>
      <c r="C37" s="28">
        <f t="shared" si="3" ref="C37:Q37">STDEV(C9:C32)</f>
        <v>11.827366570796745</v>
      </c>
      <c r="D37" s="28">
        <f t="shared" si="3"/>
        <v>11.27411019497354</v>
      </c>
      <c r="E37" s="28">
        <f t="shared" si="3"/>
        <v>1.6161770512136238</v>
      </c>
      <c r="F37" s="28">
        <f t="shared" si="3"/>
        <v>6.1904514919279539</v>
      </c>
      <c r="G37" s="28">
        <f t="shared" si="3"/>
        <v>74.843649173179514</v>
      </c>
      <c r="H37" s="28">
        <f t="shared" si="3"/>
        <v>37.337361633247248</v>
      </c>
      <c r="I37" s="28">
        <f t="shared" si="3"/>
        <v>0.032300109929368312</v>
      </c>
      <c r="J37" s="28">
        <f t="shared" si="3"/>
        <v>0.44873715717765561</v>
      </c>
      <c r="K37" s="28">
        <f t="shared" si="3"/>
        <v>98.637142942883258</v>
      </c>
      <c r="L37" s="28">
        <f t="shared" si="3"/>
        <v>3.1880742449485848</v>
      </c>
      <c r="M37" s="28">
        <f t="shared" si="3"/>
        <v>16.731904870029329</v>
      </c>
      <c r="N37" s="28">
        <f t="shared" si="3"/>
        <v>236.36639357334531</v>
      </c>
      <c r="O37" s="28">
        <f t="shared" si="3"/>
        <v>1.1430952132988164</v>
      </c>
      <c r="P37" s="28">
        <f t="shared" si="3"/>
        <v>0.3168044132140273</v>
      </c>
      <c r="Q37" s="28">
        <f t="shared" si="3"/>
        <v>1.0183788445438644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2c452f-4fe4-48b5-8eba-01b746644b60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134</v>
      </c>
      <c r="B9" s="54">
        <v>13.03</v>
      </c>
      <c r="C9" s="54">
        <v>22.83</v>
      </c>
      <c r="D9" s="54">
        <v>24.13</v>
      </c>
      <c r="E9" s="54">
        <v>1.86</v>
      </c>
      <c r="F9" s="54">
        <v>2.19</v>
      </c>
      <c r="G9" s="54">
        <v>26.99</v>
      </c>
      <c r="H9" s="54">
        <v>24.97</v>
      </c>
      <c r="I9" s="54">
        <v>1.57</v>
      </c>
      <c r="J9" s="54">
        <v>0.20</v>
      </c>
      <c r="K9" s="54">
        <v>209</v>
      </c>
      <c r="L9" s="54">
        <v>20.75</v>
      </c>
      <c r="M9" s="54">
        <v>98.52</v>
      </c>
      <c r="N9" s="54">
        <v>22.80</v>
      </c>
      <c r="O9" s="54">
        <v>0</v>
      </c>
      <c r="P9" s="54">
        <v>0.94</v>
      </c>
      <c r="Q9" s="54">
        <v>5.70</v>
      </c>
      <c r="R9" s="43"/>
      <c r="S9" s="43"/>
      <c r="T9" s="43"/>
      <c r="U9" s="43"/>
    </row>
    <row r="10" spans="1:21" s="11" customFormat="1" ht="15">
      <c r="A10" s="53" t="s">
        <v>135</v>
      </c>
      <c r="B10" s="54">
        <v>17.899999999999999</v>
      </c>
      <c r="C10" s="54">
        <v>22.61</v>
      </c>
      <c r="D10" s="54">
        <v>28.12</v>
      </c>
      <c r="E10" s="54">
        <v>1.54</v>
      </c>
      <c r="F10" s="54">
        <v>2.15</v>
      </c>
      <c r="G10" s="54">
        <v>30.04</v>
      </c>
      <c r="H10" s="54">
        <v>23.59</v>
      </c>
      <c r="I10" s="54">
        <v>1.52</v>
      </c>
      <c r="J10" s="54">
        <v>0.10</v>
      </c>
      <c r="K10" s="54">
        <v>355.30</v>
      </c>
      <c r="L10" s="54">
        <v>20.34</v>
      </c>
      <c r="M10" s="54">
        <v>98.53</v>
      </c>
      <c r="N10" s="54">
        <v>22.20</v>
      </c>
      <c r="O10" s="54">
        <v>0</v>
      </c>
      <c r="P10" s="54">
        <v>0.86</v>
      </c>
      <c r="Q10" s="54">
        <v>5.74</v>
      </c>
      <c r="R10" s="43"/>
      <c r="S10" s="43"/>
      <c r="T10" s="43"/>
      <c r="U10" s="43"/>
    </row>
    <row r="11" spans="1:21" s="11" customFormat="1" ht="15">
      <c r="A11" s="53" t="s">
        <v>136</v>
      </c>
      <c r="B11" s="54">
        <v>15.89</v>
      </c>
      <c r="C11" s="54">
        <v>22.10</v>
      </c>
      <c r="D11" s="54">
        <v>26.22</v>
      </c>
      <c r="E11" s="54">
        <v>1.74</v>
      </c>
      <c r="F11" s="54">
        <v>1.61</v>
      </c>
      <c r="G11" s="54">
        <v>32.61</v>
      </c>
      <c r="H11" s="54">
        <v>21.34</v>
      </c>
      <c r="I11" s="54">
        <v>1.61</v>
      </c>
      <c r="J11" s="54">
        <v>0.15</v>
      </c>
      <c r="K11" s="54">
        <v>336.67</v>
      </c>
      <c r="L11" s="54">
        <v>20.11</v>
      </c>
      <c r="M11" s="54">
        <v>98.56</v>
      </c>
      <c r="N11" s="54">
        <v>22</v>
      </c>
      <c r="O11" s="54">
        <v>0</v>
      </c>
      <c r="P11" s="54">
        <v>0.75</v>
      </c>
      <c r="Q11" s="54">
        <v>5.76</v>
      </c>
      <c r="R11" s="43"/>
      <c r="S11" s="43"/>
      <c r="T11" s="43"/>
      <c r="U11" s="43"/>
    </row>
    <row r="12" spans="1:21" s="11" customFormat="1" ht="15">
      <c r="A12" s="53" t="s">
        <v>137</v>
      </c>
      <c r="B12" s="54">
        <v>15.01</v>
      </c>
      <c r="C12" s="54">
        <v>17.920000000000002</v>
      </c>
      <c r="D12" s="54">
        <v>23.22</v>
      </c>
      <c r="E12" s="54">
        <v>1.63</v>
      </c>
      <c r="F12" s="54">
        <v>0.78</v>
      </c>
      <c r="G12" s="54">
        <v>40.51</v>
      </c>
      <c r="H12" s="54">
        <v>21.34</v>
      </c>
      <c r="I12" s="54">
        <v>1.60</v>
      </c>
      <c r="J12" s="54">
        <v>0.15</v>
      </c>
      <c r="K12" s="54">
        <v>346.67</v>
      </c>
      <c r="L12" s="54">
        <v>20.010000000000002</v>
      </c>
      <c r="M12" s="54">
        <v>98.58</v>
      </c>
      <c r="N12" s="54">
        <v>21.60</v>
      </c>
      <c r="O12" s="54">
        <v>0</v>
      </c>
      <c r="P12" s="54">
        <v>0.76</v>
      </c>
      <c r="Q12" s="54">
        <v>5.82</v>
      </c>
      <c r="R12" s="43"/>
      <c r="S12" s="43"/>
      <c r="T12" s="43"/>
      <c r="U12" s="43"/>
    </row>
    <row r="13" spans="1:21" s="11" customFormat="1" ht="15">
      <c r="A13" s="53" t="s">
        <v>138</v>
      </c>
      <c r="B13" s="54">
        <v>24.77</v>
      </c>
      <c r="C13" s="54">
        <v>23.32</v>
      </c>
      <c r="D13" s="54">
        <v>33.700000000000003</v>
      </c>
      <c r="E13" s="54">
        <v>1.51</v>
      </c>
      <c r="F13" s="54">
        <v>0.28999999999999998</v>
      </c>
      <c r="G13" s="54">
        <v>85.77</v>
      </c>
      <c r="H13" s="54">
        <v>37.11</v>
      </c>
      <c r="I13" s="54">
        <v>1.61</v>
      </c>
      <c r="J13" s="54">
        <v>0.08</v>
      </c>
      <c r="K13" s="54">
        <v>160.78</v>
      </c>
      <c r="L13" s="54">
        <v>20.11</v>
      </c>
      <c r="M13" s="54">
        <v>98.58</v>
      </c>
      <c r="N13" s="54">
        <v>21.80</v>
      </c>
      <c r="O13" s="54">
        <v>0</v>
      </c>
      <c r="P13" s="54">
        <v>0.85</v>
      </c>
      <c r="Q13" s="54">
        <v>5.84</v>
      </c>
      <c r="R13" s="43"/>
      <c r="S13" s="43"/>
      <c r="T13" s="43"/>
      <c r="U13" s="43"/>
    </row>
    <row r="14" spans="1:21" s="11" customFormat="1" ht="15">
      <c r="A14" s="53" t="s">
        <v>139</v>
      </c>
      <c r="B14" s="54">
        <v>25.87</v>
      </c>
      <c r="C14" s="54">
        <v>30.37</v>
      </c>
      <c r="D14" s="54">
        <v>38.799999999999997</v>
      </c>
      <c r="E14" s="54">
        <v>1.61</v>
      </c>
      <c r="F14" s="54">
        <v>0.45</v>
      </c>
      <c r="G14" s="54">
        <v>98.38</v>
      </c>
      <c r="H14" s="54">
        <v>41.79</v>
      </c>
      <c r="I14" s="54">
        <v>1.54</v>
      </c>
      <c r="J14" s="54">
        <v>0.34</v>
      </c>
      <c r="K14" s="54">
        <v>112.08</v>
      </c>
      <c r="L14" s="54">
        <v>20.37</v>
      </c>
      <c r="M14" s="54">
        <v>98.56</v>
      </c>
      <c r="N14" s="54">
        <v>23.20</v>
      </c>
      <c r="O14" s="54">
        <v>0</v>
      </c>
      <c r="P14" s="54">
        <v>1.20</v>
      </c>
      <c r="Q14" s="54">
        <v>6.22</v>
      </c>
      <c r="R14" s="43"/>
      <c r="S14" s="43"/>
      <c r="T14" s="43"/>
      <c r="U14" s="43"/>
    </row>
    <row r="15" spans="1:21" s="11" customFormat="1" ht="15">
      <c r="A15" s="53" t="s">
        <v>140</v>
      </c>
      <c r="B15" s="54">
        <v>25.07</v>
      </c>
      <c r="C15" s="54">
        <v>16.600000000000001</v>
      </c>
      <c r="D15" s="54">
        <v>28.67</v>
      </c>
      <c r="E15" s="54">
        <v>1.46</v>
      </c>
      <c r="F15" s="54">
        <v>0.48</v>
      </c>
      <c r="G15" s="54">
        <v>98.38</v>
      </c>
      <c r="H15" s="54">
        <v>41.79</v>
      </c>
      <c r="I15" s="54">
        <v>1.57</v>
      </c>
      <c r="J15" s="54">
        <v>0.47</v>
      </c>
      <c r="K15" s="54">
        <v>326.60000000000002</v>
      </c>
      <c r="L15" s="54">
        <v>20.52</v>
      </c>
      <c r="M15" s="54">
        <v>98.55</v>
      </c>
      <c r="N15" s="54">
        <v>94.5</v>
      </c>
      <c r="O15" s="54">
        <v>0</v>
      </c>
      <c r="P15" s="54">
        <v>0.85</v>
      </c>
      <c r="Q15" s="54">
        <v>6.41</v>
      </c>
      <c r="R15" s="43"/>
      <c r="S15" s="43"/>
      <c r="T15" s="43"/>
      <c r="U15" s="43"/>
    </row>
    <row r="16" spans="1:21" s="11" customFormat="1" ht="15">
      <c r="A16" s="53" t="s">
        <v>141</v>
      </c>
      <c r="B16" s="54">
        <v>23.09</v>
      </c>
      <c r="C16" s="54">
        <v>17.68</v>
      </c>
      <c r="D16" s="54">
        <v>28.40</v>
      </c>
      <c r="E16" s="54">
        <v>1.55</v>
      </c>
      <c r="F16" s="54">
        <v>2.87</v>
      </c>
      <c r="G16" s="54">
        <v>69.92</v>
      </c>
      <c r="H16" s="54">
        <v>37.19</v>
      </c>
      <c r="I16" s="54">
        <v>1.52</v>
      </c>
      <c r="J16" s="54">
        <v>0.95</v>
      </c>
      <c r="K16" s="54">
        <v>109.06</v>
      </c>
      <c r="L16" s="54">
        <v>23.39</v>
      </c>
      <c r="M16" s="54">
        <v>97.58</v>
      </c>
      <c r="N16" s="54">
        <v>308.10000000000002</v>
      </c>
      <c r="O16" s="54">
        <v>0</v>
      </c>
      <c r="P16" s="54">
        <v>0.82</v>
      </c>
      <c r="Q16" s="54">
        <v>6.51</v>
      </c>
      <c r="R16" s="43"/>
      <c r="S16" s="43"/>
      <c r="T16" s="43"/>
      <c r="U16" s="43"/>
    </row>
    <row r="17" spans="1:21" s="11" customFormat="1" ht="15">
      <c r="A17" s="53" t="s">
        <v>142</v>
      </c>
      <c r="B17" s="54">
        <v>18.95</v>
      </c>
      <c r="C17" s="54">
        <v>20.5</v>
      </c>
      <c r="D17" s="54">
        <v>26.61</v>
      </c>
      <c r="E17" s="54">
        <v>1.60</v>
      </c>
      <c r="F17" s="54">
        <v>3.80</v>
      </c>
      <c r="G17" s="54">
        <v>51.82</v>
      </c>
      <c r="H17" s="54">
        <v>30.28</v>
      </c>
      <c r="I17" s="54">
        <v>1.5</v>
      </c>
      <c r="J17" s="54">
        <v>0.56999999999999995</v>
      </c>
      <c r="K17" s="54">
        <v>122.43</v>
      </c>
      <c r="L17" s="54">
        <v>25.12</v>
      </c>
      <c r="M17" s="54">
        <v>77.86</v>
      </c>
      <c r="N17" s="54">
        <v>472</v>
      </c>
      <c r="O17" s="54">
        <v>0</v>
      </c>
      <c r="P17" s="54">
        <v>0.73</v>
      </c>
      <c r="Q17" s="54">
        <v>6.40</v>
      </c>
      <c r="R17" s="43"/>
      <c r="S17" s="43"/>
      <c r="T17" s="43"/>
      <c r="U17" s="43"/>
    </row>
    <row r="18" spans="1:21" s="11" customFormat="1" ht="15">
      <c r="A18" s="53" t="s">
        <v>143</v>
      </c>
      <c r="B18" s="54">
        <v>18.13</v>
      </c>
      <c r="C18" s="54">
        <v>19.73</v>
      </c>
      <c r="D18" s="54">
        <v>25.75</v>
      </c>
      <c r="E18" s="54">
        <v>1.73</v>
      </c>
      <c r="F18" s="54">
        <v>3.45</v>
      </c>
      <c r="G18" s="54">
        <v>49.02</v>
      </c>
      <c r="H18" s="54">
        <v>24.82</v>
      </c>
      <c r="I18" s="54">
        <v>1.55</v>
      </c>
      <c r="J18" s="54">
        <v>0.72</v>
      </c>
      <c r="K18" s="54">
        <v>343.37</v>
      </c>
      <c r="L18" s="54">
        <v>30.16</v>
      </c>
      <c r="M18" s="54">
        <v>71.83</v>
      </c>
      <c r="N18" s="54">
        <v>682.5</v>
      </c>
      <c r="O18" s="54">
        <v>0</v>
      </c>
      <c r="P18" s="54">
        <v>0.79</v>
      </c>
      <c r="Q18" s="54">
        <v>6.22</v>
      </c>
      <c r="R18" s="43"/>
      <c r="S18" s="43"/>
      <c r="T18" s="43"/>
      <c r="U18" s="43"/>
    </row>
    <row r="19" spans="1:21" s="11" customFormat="1" ht="15">
      <c r="A19" s="53" t="s">
        <v>144</v>
      </c>
      <c r="B19" s="54">
        <v>15.94</v>
      </c>
      <c r="C19" s="54">
        <v>24.24</v>
      </c>
      <c r="D19" s="54">
        <v>25.57</v>
      </c>
      <c r="E19" s="54">
        <v>1.93</v>
      </c>
      <c r="F19" s="54">
        <v>8.40</v>
      </c>
      <c r="G19" s="54">
        <v>44.84</v>
      </c>
      <c r="H19" s="54">
        <v>23.63</v>
      </c>
      <c r="I19" s="54">
        <v>1.53</v>
      </c>
      <c r="J19" s="54">
        <v>0.86</v>
      </c>
      <c r="K19" s="54">
        <v>111.74</v>
      </c>
      <c r="L19" s="54">
        <v>28.02</v>
      </c>
      <c r="M19" s="54">
        <v>68.02</v>
      </c>
      <c r="N19" s="54">
        <v>715.90</v>
      </c>
      <c r="O19" s="54">
        <v>0</v>
      </c>
      <c r="P19" s="54">
        <v>0.77</v>
      </c>
      <c r="Q19" s="54">
        <v>5.91</v>
      </c>
      <c r="R19" s="43"/>
      <c r="S19" s="43"/>
      <c r="T19" s="43"/>
      <c r="U19" s="43"/>
    </row>
    <row r="20" spans="1:21" s="11" customFormat="1" ht="15">
      <c r="A20" s="53" t="s">
        <v>145</v>
      </c>
      <c r="B20" s="54">
        <v>6.85</v>
      </c>
      <c r="C20" s="54">
        <v>27.60</v>
      </c>
      <c r="D20" s="54">
        <v>21.66</v>
      </c>
      <c r="E20" s="56" t="s">
        <v>12</v>
      </c>
      <c r="F20" s="54">
        <v>10.14</v>
      </c>
      <c r="G20" s="56" t="s">
        <v>12</v>
      </c>
      <c r="H20" s="56" t="s">
        <v>12</v>
      </c>
      <c r="I20" s="54">
        <v>1.52</v>
      </c>
      <c r="J20" s="54">
        <v>1.24</v>
      </c>
      <c r="K20" s="54">
        <v>113.39</v>
      </c>
      <c r="L20" s="54">
        <v>28.29</v>
      </c>
      <c r="M20" s="54">
        <v>68.69</v>
      </c>
      <c r="N20" s="54">
        <v>824.60</v>
      </c>
      <c r="O20" s="54">
        <v>0</v>
      </c>
      <c r="P20" s="54">
        <v>0.64</v>
      </c>
      <c r="Q20" s="54">
        <v>5.31</v>
      </c>
      <c r="R20" s="43"/>
      <c r="S20" s="43"/>
      <c r="T20" s="43"/>
      <c r="U20" s="43"/>
    </row>
    <row r="21" spans="1:21" s="11" customFormat="1" ht="15">
      <c r="A21" s="53" t="s">
        <v>146</v>
      </c>
      <c r="B21" s="54">
        <v>10</v>
      </c>
      <c r="C21" s="54">
        <v>39.020000000000003</v>
      </c>
      <c r="D21" s="54">
        <v>30.85</v>
      </c>
      <c r="E21" s="56" t="s">
        <v>12</v>
      </c>
      <c r="F21" s="54">
        <v>9.08</v>
      </c>
      <c r="G21" s="56" t="s">
        <v>12</v>
      </c>
      <c r="H21" s="56" t="s">
        <v>12</v>
      </c>
      <c r="I21" s="54">
        <v>1.51</v>
      </c>
      <c r="J21" s="54">
        <v>0.54</v>
      </c>
      <c r="K21" s="54">
        <v>328.64</v>
      </c>
      <c r="L21" s="54">
        <v>27.72</v>
      </c>
      <c r="M21" s="54">
        <v>62.91</v>
      </c>
      <c r="N21" s="54">
        <v>659.70</v>
      </c>
      <c r="O21" s="54">
        <v>0</v>
      </c>
      <c r="P21" s="54">
        <v>0.67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147</v>
      </c>
      <c r="B22" s="54">
        <v>9.26</v>
      </c>
      <c r="C22" s="54">
        <v>44.33</v>
      </c>
      <c r="D22" s="54">
        <v>33.18</v>
      </c>
      <c r="E22" s="56" t="s">
        <v>12</v>
      </c>
      <c r="F22" s="54">
        <v>25.82</v>
      </c>
      <c r="G22" s="56" t="s">
        <v>12</v>
      </c>
      <c r="H22" s="56" t="s">
        <v>12</v>
      </c>
      <c r="I22" s="54">
        <v>1.54</v>
      </c>
      <c r="J22" s="54">
        <v>0.63</v>
      </c>
      <c r="K22" s="54">
        <v>350.28</v>
      </c>
      <c r="L22" s="54">
        <v>28.93</v>
      </c>
      <c r="M22" s="54">
        <v>63.52</v>
      </c>
      <c r="N22" s="54">
        <v>487.30</v>
      </c>
      <c r="O22" s="54">
        <v>0</v>
      </c>
      <c r="P22" s="54">
        <v>0.67</v>
      </c>
      <c r="Q22" s="54">
        <v>5.19</v>
      </c>
      <c r="R22" s="43"/>
      <c r="S22" s="43"/>
      <c r="T22" s="43"/>
      <c r="U22" s="43"/>
    </row>
    <row r="23" spans="1:21" s="11" customFormat="1" ht="15">
      <c r="A23" s="53" t="s">
        <v>148</v>
      </c>
      <c r="B23" s="54">
        <v>8.31</v>
      </c>
      <c r="C23" s="54">
        <v>35.74</v>
      </c>
      <c r="D23" s="54">
        <v>27.42</v>
      </c>
      <c r="E23" s="54">
        <v>26.87</v>
      </c>
      <c r="F23" s="54">
        <v>20.09</v>
      </c>
      <c r="G23" s="54">
        <v>90.76</v>
      </c>
      <c r="H23" s="54">
        <v>29.87</v>
      </c>
      <c r="I23" s="54">
        <v>1.53</v>
      </c>
      <c r="J23" s="54">
        <v>0.95</v>
      </c>
      <c r="K23" s="54">
        <v>344.28</v>
      </c>
      <c r="L23" s="54">
        <v>29.66</v>
      </c>
      <c r="M23" s="54">
        <v>55.65</v>
      </c>
      <c r="N23" s="54">
        <v>295.10000000000002</v>
      </c>
      <c r="O23" s="54">
        <v>0</v>
      </c>
      <c r="P23" s="54">
        <v>0.70</v>
      </c>
      <c r="Q23" s="54">
        <v>4.6399999999999997</v>
      </c>
      <c r="R23" s="43"/>
      <c r="S23" s="43"/>
      <c r="T23" s="43"/>
      <c r="U23" s="43"/>
    </row>
    <row r="24" spans="1:21" s="11" customFormat="1" ht="15">
      <c r="A24" s="53" t="s">
        <v>149</v>
      </c>
      <c r="B24" s="54">
        <v>8.6999999999999993</v>
      </c>
      <c r="C24" s="54">
        <v>43.55</v>
      </c>
      <c r="D24" s="54">
        <v>32.130000000000003</v>
      </c>
      <c r="E24" s="54">
        <v>3.63</v>
      </c>
      <c r="F24" s="54">
        <v>17.84</v>
      </c>
      <c r="G24" s="54">
        <v>94.95</v>
      </c>
      <c r="H24" s="54">
        <v>34.479999999999997</v>
      </c>
      <c r="I24" s="54">
        <v>1.51</v>
      </c>
      <c r="J24" s="54">
        <v>0.60</v>
      </c>
      <c r="K24" s="54">
        <v>99.41</v>
      </c>
      <c r="L24" s="54">
        <v>28</v>
      </c>
      <c r="M24" s="54">
        <v>62.14</v>
      </c>
      <c r="N24" s="54">
        <v>159.30000000000001</v>
      </c>
      <c r="O24" s="54">
        <v>0</v>
      </c>
      <c r="P24" s="54">
        <v>0.73</v>
      </c>
      <c r="Q24" s="54">
        <v>4.8899999999999997</v>
      </c>
      <c r="R24" s="43"/>
      <c r="S24" s="43"/>
      <c r="T24" s="43"/>
      <c r="U24" s="43"/>
    </row>
    <row r="25" spans="1:21" s="11" customFormat="1" ht="15">
      <c r="A25" s="53" t="s">
        <v>150</v>
      </c>
      <c r="B25" s="54">
        <v>15.47</v>
      </c>
      <c r="C25" s="54">
        <v>72.66</v>
      </c>
      <c r="D25" s="54">
        <v>53.80</v>
      </c>
      <c r="E25" s="54">
        <v>5.99</v>
      </c>
      <c r="F25" s="54">
        <v>20.79</v>
      </c>
      <c r="G25" s="54">
        <v>83.99</v>
      </c>
      <c r="H25" s="54">
        <v>36.229999999999997</v>
      </c>
      <c r="I25" s="54">
        <v>1.48</v>
      </c>
      <c r="J25" s="54">
        <v>1.0900000000000001</v>
      </c>
      <c r="K25" s="54">
        <v>342.88</v>
      </c>
      <c r="L25" s="54">
        <v>26.58</v>
      </c>
      <c r="M25" s="54">
        <v>68.14</v>
      </c>
      <c r="N25" s="54">
        <v>83.40</v>
      </c>
      <c r="O25" s="54">
        <v>0</v>
      </c>
      <c r="P25" s="54">
        <v>1.28</v>
      </c>
      <c r="Q25" s="54">
        <v>3.87</v>
      </c>
      <c r="R25" s="43"/>
      <c r="S25" s="43"/>
      <c r="T25" s="43"/>
      <c r="U25" s="43"/>
    </row>
    <row r="26" spans="1:21" s="11" customFormat="1" ht="15">
      <c r="A26" s="53" t="s">
        <v>151</v>
      </c>
      <c r="B26" s="54">
        <v>23.44</v>
      </c>
      <c r="C26" s="54">
        <v>90.20</v>
      </c>
      <c r="D26" s="54">
        <v>69.87</v>
      </c>
      <c r="E26" s="54">
        <v>6.87</v>
      </c>
      <c r="F26" s="54">
        <v>13.66</v>
      </c>
      <c r="G26" s="54">
        <v>86.32</v>
      </c>
      <c r="H26" s="54">
        <v>39.81</v>
      </c>
      <c r="I26" s="54">
        <v>1.61</v>
      </c>
      <c r="J26" s="54">
        <v>0.39</v>
      </c>
      <c r="K26" s="54">
        <v>348.91</v>
      </c>
      <c r="L26" s="54">
        <v>25.35</v>
      </c>
      <c r="M26" s="54">
        <v>79.67</v>
      </c>
      <c r="N26" s="54">
        <v>41.10</v>
      </c>
      <c r="O26" s="54">
        <v>0</v>
      </c>
      <c r="P26" s="54">
        <v>1.71</v>
      </c>
      <c r="Q26" s="54">
        <v>3.72</v>
      </c>
      <c r="R26" s="43"/>
      <c r="S26" s="43"/>
      <c r="T26" s="43"/>
      <c r="U26" s="43"/>
    </row>
    <row r="27" spans="1:21" s="11" customFormat="1" ht="15">
      <c r="A27" s="53" t="s">
        <v>152</v>
      </c>
      <c r="B27" s="54">
        <v>14.18</v>
      </c>
      <c r="C27" s="54">
        <v>62.47</v>
      </c>
      <c r="D27" s="54">
        <v>45.65</v>
      </c>
      <c r="E27" s="54">
        <v>5.36</v>
      </c>
      <c r="F27" s="54">
        <v>13.54</v>
      </c>
      <c r="G27" s="54">
        <v>111.92</v>
      </c>
      <c r="H27" s="54">
        <v>51.17</v>
      </c>
      <c r="I27" s="54">
        <v>1.53</v>
      </c>
      <c r="J27" s="54">
        <v>0.22</v>
      </c>
      <c r="K27" s="54">
        <v>86.22</v>
      </c>
      <c r="L27" s="54">
        <v>23.90</v>
      </c>
      <c r="M27" s="54">
        <v>80.400000000000006</v>
      </c>
      <c r="N27" s="54">
        <v>34.40</v>
      </c>
      <c r="O27" s="54">
        <v>0</v>
      </c>
      <c r="P27" s="54">
        <v>1.41</v>
      </c>
      <c r="Q27" s="54">
        <v>3.51</v>
      </c>
      <c r="R27" s="43"/>
      <c r="S27" s="43"/>
      <c r="T27" s="43"/>
      <c r="U27" s="43"/>
    </row>
    <row r="28" spans="1:21" s="11" customFormat="1" ht="15">
      <c r="A28" s="53" t="s">
        <v>153</v>
      </c>
      <c r="B28" s="54">
        <v>13.74</v>
      </c>
      <c r="C28" s="54">
        <v>53.55</v>
      </c>
      <c r="D28" s="54">
        <v>38.979999999999997</v>
      </c>
      <c r="E28" s="54">
        <v>3.96</v>
      </c>
      <c r="F28" s="54">
        <v>6.16</v>
      </c>
      <c r="G28" s="54">
        <v>112.08</v>
      </c>
      <c r="H28" s="54">
        <v>54.30</v>
      </c>
      <c r="I28" s="54">
        <v>1.53</v>
      </c>
      <c r="J28" s="54">
        <v>0.22</v>
      </c>
      <c r="K28" s="54">
        <v>348.42</v>
      </c>
      <c r="L28" s="54">
        <v>23.53</v>
      </c>
      <c r="M28" s="54">
        <v>80.180000000000007</v>
      </c>
      <c r="N28" s="54">
        <v>34.299999999999997</v>
      </c>
      <c r="O28" s="54">
        <v>0</v>
      </c>
      <c r="P28" s="54">
        <v>1.40</v>
      </c>
      <c r="Q28" s="54">
        <v>4.38</v>
      </c>
      <c r="R28" s="43"/>
      <c r="S28" s="43"/>
      <c r="T28" s="43"/>
      <c r="U28" s="43"/>
    </row>
    <row r="29" spans="1:21" s="11" customFormat="1" ht="15">
      <c r="A29" s="53" t="s">
        <v>154</v>
      </c>
      <c r="B29" s="54">
        <v>24.93</v>
      </c>
      <c r="C29" s="54">
        <v>60.99</v>
      </c>
      <c r="D29" s="54">
        <v>50.37</v>
      </c>
      <c r="E29" s="54">
        <v>5.43</v>
      </c>
      <c r="F29" s="54">
        <v>8.31</v>
      </c>
      <c r="G29" s="54">
        <v>118.44</v>
      </c>
      <c r="H29" s="54">
        <v>61.18</v>
      </c>
      <c r="I29" s="54">
        <v>1.57</v>
      </c>
      <c r="J29" s="54">
        <v>0.17</v>
      </c>
      <c r="K29" s="54">
        <v>331.77</v>
      </c>
      <c r="L29" s="54">
        <v>22.95</v>
      </c>
      <c r="M29" s="54">
        <v>81.14</v>
      </c>
      <c r="N29" s="54">
        <v>34.60</v>
      </c>
      <c r="O29" s="54">
        <v>0</v>
      </c>
      <c r="P29" s="54">
        <v>1.61</v>
      </c>
      <c r="Q29" s="54">
        <v>4.03</v>
      </c>
      <c r="R29" s="43"/>
      <c r="S29" s="43"/>
      <c r="T29" s="43"/>
      <c r="U29" s="43"/>
    </row>
    <row r="30" spans="1:21" s="11" customFormat="1" ht="15">
      <c r="A30" s="53" t="s">
        <v>155</v>
      </c>
      <c r="B30" s="54">
        <v>21.52</v>
      </c>
      <c r="C30" s="54">
        <v>59.65</v>
      </c>
      <c r="D30" s="54">
        <v>51.47</v>
      </c>
      <c r="E30" s="54">
        <v>4.18</v>
      </c>
      <c r="F30" s="54">
        <v>2.96</v>
      </c>
      <c r="G30" s="54">
        <v>123.24</v>
      </c>
      <c r="H30" s="54">
        <v>64.680000000000007</v>
      </c>
      <c r="I30" s="54">
        <v>1.56</v>
      </c>
      <c r="J30" s="54">
        <v>0.12</v>
      </c>
      <c r="K30" s="54">
        <v>83.72</v>
      </c>
      <c r="L30" s="54">
        <v>22.61</v>
      </c>
      <c r="M30" s="54">
        <v>85.24</v>
      </c>
      <c r="N30" s="54">
        <v>34.40</v>
      </c>
      <c r="O30" s="54">
        <v>0</v>
      </c>
      <c r="P30" s="54">
        <v>1.65</v>
      </c>
      <c r="Q30" s="54">
        <v>4.49</v>
      </c>
      <c r="R30" s="43"/>
      <c r="S30" s="43"/>
      <c r="T30" s="43"/>
      <c r="U30" s="43"/>
    </row>
    <row r="31" spans="1:21" s="11" customFormat="1" ht="15">
      <c r="A31" s="53" t="s">
        <v>156</v>
      </c>
      <c r="B31" s="54">
        <v>32.46</v>
      </c>
      <c r="C31" s="54">
        <v>43.10</v>
      </c>
      <c r="D31" s="54">
        <v>51.11</v>
      </c>
      <c r="E31" s="54">
        <v>4.54</v>
      </c>
      <c r="F31" s="54">
        <v>4.3499999999999996</v>
      </c>
      <c r="G31" s="54">
        <v>129.40</v>
      </c>
      <c r="H31" s="54">
        <v>68.61</v>
      </c>
      <c r="I31" s="54">
        <v>1.57</v>
      </c>
      <c r="J31" s="54">
        <v>0.11</v>
      </c>
      <c r="K31" s="54">
        <v>345.10</v>
      </c>
      <c r="L31" s="54">
        <v>22.19</v>
      </c>
      <c r="M31" s="54">
        <v>89.76</v>
      </c>
      <c r="N31" s="54">
        <v>34.700000000000003</v>
      </c>
      <c r="O31" s="54">
        <v>0</v>
      </c>
      <c r="P31" s="54">
        <v>1.52</v>
      </c>
      <c r="Q31" s="54">
        <v>4.78</v>
      </c>
      <c r="R31" s="43"/>
      <c r="S31" s="43"/>
      <c r="T31" s="43"/>
      <c r="U31" s="43"/>
    </row>
    <row r="32" spans="1:21" s="11" customFormat="1" ht="15">
      <c r="A32" s="53" t="s">
        <v>157</v>
      </c>
      <c r="B32" s="54">
        <v>14.87</v>
      </c>
      <c r="C32" s="54">
        <v>33.60</v>
      </c>
      <c r="D32" s="54">
        <v>31.76</v>
      </c>
      <c r="E32" s="54">
        <v>4.45</v>
      </c>
      <c r="F32" s="54">
        <v>8.5500000000000007</v>
      </c>
      <c r="G32" s="54">
        <v>126.96</v>
      </c>
      <c r="H32" s="54">
        <v>71.77</v>
      </c>
      <c r="I32" s="54">
        <v>1.54</v>
      </c>
      <c r="J32" s="54">
        <v>0.26</v>
      </c>
      <c r="K32" s="54">
        <v>106.57</v>
      </c>
      <c r="L32" s="54">
        <v>21.87</v>
      </c>
      <c r="M32" s="54">
        <v>88.58</v>
      </c>
      <c r="N32" s="54">
        <v>34.799999999999997</v>
      </c>
      <c r="O32" s="54">
        <v>0</v>
      </c>
      <c r="P32" s="54">
        <v>1.31</v>
      </c>
      <c r="Q32" s="54">
        <v>5.49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6.8499999999999996</v>
      </c>
      <c r="C34" s="28">
        <f t="shared" si="0"/>
        <v>16.600000000000001</v>
      </c>
      <c r="D34" s="28">
        <f t="shared" si="0"/>
        <v>21.66</v>
      </c>
      <c r="E34" s="28">
        <f t="shared" si="0"/>
        <v>1.46</v>
      </c>
      <c r="F34" s="28">
        <f t="shared" si="0"/>
        <v>0.28999999999999998</v>
      </c>
      <c r="G34" s="28">
        <f t="shared" si="0"/>
        <v>26.989999999999998</v>
      </c>
      <c r="H34" s="28">
        <f t="shared" si="0"/>
        <v>21.34</v>
      </c>
      <c r="I34" s="28">
        <f t="shared" si="0"/>
        <v>1.48</v>
      </c>
      <c r="J34" s="28">
        <f t="shared" si="0"/>
        <v>0.080000000000000002</v>
      </c>
      <c r="K34" s="28">
        <f t="shared" si="0"/>
        <v>83.719999999999999</v>
      </c>
      <c r="L34" s="28">
        <f t="shared" si="0"/>
        <v>20.010000000000002</v>
      </c>
      <c r="M34" s="28">
        <f t="shared" si="0"/>
        <v>55.649999999999999</v>
      </c>
      <c r="N34" s="28">
        <f t="shared" si="0"/>
        <v>21.600000000000001</v>
      </c>
      <c r="O34" s="28">
        <f t="shared" si="0"/>
        <v>0</v>
      </c>
      <c r="P34" s="28">
        <f t="shared" si="0"/>
        <v>0.64000000000000001</v>
      </c>
      <c r="Q34" s="28">
        <f t="shared" si="0"/>
        <v>3.5099999999999998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32.460000000000001</v>
      </c>
      <c r="C35" s="29">
        <f t="shared" si="1"/>
        <v>90.200000000000003</v>
      </c>
      <c r="D35" s="29">
        <f t="shared" si="1"/>
        <v>69.870000000000005</v>
      </c>
      <c r="E35" s="29">
        <f t="shared" si="1"/>
        <v>26.870000000000001</v>
      </c>
      <c r="F35" s="29">
        <f t="shared" si="1"/>
        <v>25.82</v>
      </c>
      <c r="G35" s="29">
        <f t="shared" si="1"/>
        <v>129.40000000000001</v>
      </c>
      <c r="H35" s="29">
        <f t="shared" si="1"/>
        <v>71.769999999999996</v>
      </c>
      <c r="I35" s="29">
        <f t="shared" si="1"/>
        <v>1.6100000000000001</v>
      </c>
      <c r="J35" s="29">
        <f t="shared" si="1"/>
        <v>1.24</v>
      </c>
      <c r="K35" s="29">
        <f t="shared" si="1"/>
        <v>355.30000000000001</v>
      </c>
      <c r="L35" s="29">
        <f t="shared" si="1"/>
        <v>30.16</v>
      </c>
      <c r="M35" s="29">
        <f t="shared" si="1"/>
        <v>98.579999999999998</v>
      </c>
      <c r="N35" s="29">
        <f t="shared" si="1"/>
        <v>824.60000000000002</v>
      </c>
      <c r="O35" s="29">
        <f t="shared" si="1"/>
        <v>0</v>
      </c>
      <c r="P35" s="29">
        <f t="shared" si="1"/>
        <v>1.71</v>
      </c>
      <c r="Q35" s="29">
        <f t="shared" si="1"/>
        <v>6.5099999999999998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17.390833333333333</v>
      </c>
      <c r="C36" s="28">
        <f t="shared" si="2"/>
        <v>37.681666666666665</v>
      </c>
      <c r="D36" s="28">
        <f t="shared" si="2"/>
        <v>35.310000000000009</v>
      </c>
      <c r="E36" s="28">
        <f t="shared" si="2"/>
        <v>4.2590476190476201</v>
      </c>
      <c r="F36" s="28">
        <f t="shared" si="2"/>
        <v>7.8233333333333333</v>
      </c>
      <c r="G36" s="28">
        <f t="shared" si="2"/>
        <v>81.254285714285729</v>
      </c>
      <c r="H36" s="28">
        <f t="shared" si="2"/>
        <v>39.997619047619047</v>
      </c>
      <c r="I36" s="28">
        <f t="shared" si="2"/>
        <v>1.5466666666666669</v>
      </c>
      <c r="J36" s="28">
        <f t="shared" si="2"/>
        <v>0.46375000000000005</v>
      </c>
      <c r="K36" s="28">
        <f t="shared" si="2"/>
        <v>240.13708333333332</v>
      </c>
      <c r="L36" s="28">
        <f t="shared" si="2"/>
        <v>24.186666666666678</v>
      </c>
      <c r="M36" s="28">
        <f t="shared" si="2"/>
        <v>82.132916666666688</v>
      </c>
      <c r="N36" s="28">
        <f t="shared" si="2"/>
        <v>215.17916666666667</v>
      </c>
      <c r="O36" s="28">
        <f t="shared" si="2"/>
        <v>0</v>
      </c>
      <c r="P36" s="28">
        <f t="shared" si="2"/>
        <v>1.0258333333333332</v>
      </c>
      <c r="Q36" s="28">
        <f t="shared" si="2"/>
        <v>5.251666666666666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6.6304875003843859</v>
      </c>
      <c r="C37" s="28">
        <f t="shared" si="3" ref="C37:Q37">STDEV(C9:C32)</f>
        <v>19.879067572102869</v>
      </c>
      <c r="D37" s="28">
        <f t="shared" si="3"/>
        <v>12.272293290526234</v>
      </c>
      <c r="E37" s="28">
        <f t="shared" si="3"/>
        <v>5.4740477754235073</v>
      </c>
      <c r="F37" s="28">
        <f t="shared" si="3"/>
        <v>7.3221466718482207</v>
      </c>
      <c r="G37" s="28">
        <f t="shared" si="3"/>
        <v>34.143103779742709</v>
      </c>
      <c r="H37" s="28">
        <f t="shared" si="3"/>
        <v>16.076814331440765</v>
      </c>
      <c r="I37" s="28">
        <f t="shared" si="3"/>
        <v>0.036075604989553832</v>
      </c>
      <c r="J37" s="28">
        <f t="shared" si="3"/>
        <v>0.34955639589777709</v>
      </c>
      <c r="K37" s="28">
        <f t="shared" si="3"/>
        <v>115.99351269263019</v>
      </c>
      <c r="L37" s="28">
        <f t="shared" si="3"/>
        <v>3.4544636111238884</v>
      </c>
      <c r="M37" s="28">
        <f t="shared" si="3"/>
        <v>14.395989622465725</v>
      </c>
      <c r="N37" s="28">
        <f t="shared" si="3"/>
        <v>270.0706171406909</v>
      </c>
      <c r="O37" s="28">
        <f t="shared" si="3"/>
        <v>0</v>
      </c>
      <c r="P37" s="28">
        <f t="shared" si="3"/>
        <v>0.36095184150251763</v>
      </c>
      <c r="Q37" s="28">
        <f t="shared" si="3"/>
        <v>0.90490290935675699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COUNT(E9:E32)+3</f>
        <v>24</v>
      </c>
      <c r="F38" s="32">
        <f t="shared" si="4"/>
        <v>24</v>
      </c>
      <c r="G38" s="32">
        <f>COUNT(G9:G32)+3</f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9d6e33-1b49-421a-ac9f-267c9bc8d2a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9" sqref="G69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158</v>
      </c>
      <c r="B9" s="54">
        <v>14.77</v>
      </c>
      <c r="C9" s="54">
        <v>30.29</v>
      </c>
      <c r="D9" s="54">
        <v>28.37</v>
      </c>
      <c r="E9" s="54">
        <v>3.18</v>
      </c>
      <c r="F9" s="54">
        <v>5.80</v>
      </c>
      <c r="G9" s="54">
        <v>124.13</v>
      </c>
      <c r="H9" s="54">
        <v>67.19</v>
      </c>
      <c r="I9" s="54">
        <v>1.61</v>
      </c>
      <c r="J9" s="54">
        <v>0.13</v>
      </c>
      <c r="K9" s="54">
        <v>357.5</v>
      </c>
      <c r="L9" s="54">
        <v>21.57</v>
      </c>
      <c r="M9" s="54">
        <v>94.47</v>
      </c>
      <c r="N9" s="54">
        <v>35.40</v>
      </c>
      <c r="O9" s="54">
        <v>0</v>
      </c>
      <c r="P9" s="54">
        <v>1.26</v>
      </c>
      <c r="Q9" s="54">
        <v>5.39</v>
      </c>
      <c r="R9" s="43"/>
      <c r="S9" s="43"/>
      <c r="T9" s="43"/>
      <c r="U9" s="43"/>
    </row>
    <row r="10" spans="1:21" s="11" customFormat="1" ht="15">
      <c r="A10" s="53" t="s">
        <v>159</v>
      </c>
      <c r="B10" s="54">
        <v>13.13</v>
      </c>
      <c r="C10" s="54">
        <v>22.12</v>
      </c>
      <c r="D10" s="54">
        <v>24.03</v>
      </c>
      <c r="E10" s="54">
        <v>2.56</v>
      </c>
      <c r="F10" s="54">
        <v>2.97</v>
      </c>
      <c r="G10" s="54">
        <v>128.44</v>
      </c>
      <c r="H10" s="54">
        <v>63.02</v>
      </c>
      <c r="I10" s="54">
        <v>1.47</v>
      </c>
      <c r="J10" s="54">
        <v>0.63</v>
      </c>
      <c r="K10" s="54">
        <v>345.57</v>
      </c>
      <c r="L10" s="54">
        <v>20.86</v>
      </c>
      <c r="M10" s="54">
        <v>96.82</v>
      </c>
      <c r="N10" s="54">
        <v>35.700000000000003</v>
      </c>
      <c r="O10" s="54">
        <v>0</v>
      </c>
      <c r="P10" s="54">
        <v>1.1200000000000001</v>
      </c>
      <c r="Q10" s="54">
        <v>5.42</v>
      </c>
      <c r="R10" s="43"/>
      <c r="S10" s="43"/>
      <c r="T10" s="43"/>
      <c r="U10" s="43"/>
    </row>
    <row r="11" spans="1:21" s="11" customFormat="1" ht="15">
      <c r="A11" s="53" t="s">
        <v>160</v>
      </c>
      <c r="B11" s="54">
        <v>13.25</v>
      </c>
      <c r="C11" s="54">
        <v>22.73</v>
      </c>
      <c r="D11" s="54">
        <v>24.47</v>
      </c>
      <c r="E11" s="54">
        <v>3.39</v>
      </c>
      <c r="F11" s="54">
        <v>1.87</v>
      </c>
      <c r="G11" s="54">
        <v>132.30000000000001</v>
      </c>
      <c r="H11" s="54">
        <v>66.59</v>
      </c>
      <c r="I11" s="54">
        <v>1.49</v>
      </c>
      <c r="J11" s="54">
        <v>0.34</v>
      </c>
      <c r="K11" s="54">
        <v>357.36</v>
      </c>
      <c r="L11" s="54">
        <v>20.53</v>
      </c>
      <c r="M11" s="54">
        <v>90.01</v>
      </c>
      <c r="N11" s="54">
        <v>35.90</v>
      </c>
      <c r="O11" s="54">
        <v>0</v>
      </c>
      <c r="P11" s="54">
        <v>1.1000000000000001</v>
      </c>
      <c r="Q11" s="54">
        <v>5.18</v>
      </c>
      <c r="R11" s="43"/>
      <c r="S11" s="43"/>
      <c r="T11" s="43"/>
      <c r="U11" s="43"/>
    </row>
    <row r="12" spans="1:21" s="11" customFormat="1" ht="15">
      <c r="A12" s="53" t="s">
        <v>161</v>
      </c>
      <c r="B12" s="54">
        <v>12.14</v>
      </c>
      <c r="C12" s="54">
        <v>18.41</v>
      </c>
      <c r="D12" s="54">
        <v>20.99</v>
      </c>
      <c r="E12" s="54">
        <v>2.56</v>
      </c>
      <c r="F12" s="54">
        <v>0.99</v>
      </c>
      <c r="G12" s="54">
        <v>133.58000000000001</v>
      </c>
      <c r="H12" s="54">
        <v>74.13</v>
      </c>
      <c r="I12" s="54">
        <v>1.56</v>
      </c>
      <c r="J12" s="54">
        <v>0.65</v>
      </c>
      <c r="K12" s="54">
        <v>355.80</v>
      </c>
      <c r="L12" s="54">
        <v>19.989999999999998</v>
      </c>
      <c r="M12" s="54">
        <v>85.83</v>
      </c>
      <c r="N12" s="54">
        <v>35.90</v>
      </c>
      <c r="O12" s="54">
        <v>0</v>
      </c>
      <c r="P12" s="54">
        <v>1.03</v>
      </c>
      <c r="Q12" s="54">
        <v>5.20</v>
      </c>
      <c r="R12" s="43"/>
      <c r="S12" s="43"/>
      <c r="T12" s="43"/>
      <c r="U12" s="43"/>
    </row>
    <row r="13" spans="1:21" s="11" customFormat="1" ht="15">
      <c r="A13" s="53" t="s">
        <v>162</v>
      </c>
      <c r="B13" s="54">
        <v>11.19</v>
      </c>
      <c r="C13" s="54">
        <v>19.48</v>
      </c>
      <c r="D13" s="54">
        <v>21.02</v>
      </c>
      <c r="E13" s="54">
        <v>2.84</v>
      </c>
      <c r="F13" s="54">
        <v>0.53</v>
      </c>
      <c r="G13" s="54">
        <v>130.88</v>
      </c>
      <c r="H13" s="54">
        <v>69.05</v>
      </c>
      <c r="I13" s="54">
        <v>1.56</v>
      </c>
      <c r="J13" s="54">
        <v>0.90</v>
      </c>
      <c r="K13" s="54">
        <v>345.38</v>
      </c>
      <c r="L13" s="54">
        <v>19.62</v>
      </c>
      <c r="M13" s="54">
        <v>83.37</v>
      </c>
      <c r="N13" s="54">
        <v>36.10</v>
      </c>
      <c r="O13" s="54">
        <v>0</v>
      </c>
      <c r="P13" s="54">
        <v>0.94</v>
      </c>
      <c r="Q13" s="54">
        <v>5.08</v>
      </c>
      <c r="R13" s="43"/>
      <c r="S13" s="43"/>
      <c r="T13" s="43"/>
      <c r="U13" s="43"/>
    </row>
    <row r="14" spans="1:21" s="11" customFormat="1" ht="15">
      <c r="A14" s="53" t="s">
        <v>163</v>
      </c>
      <c r="B14" s="54">
        <v>13.07</v>
      </c>
      <c r="C14" s="54">
        <v>19.23</v>
      </c>
      <c r="D14" s="54">
        <v>21.32</v>
      </c>
      <c r="E14" s="54">
        <v>2.4700000000000002</v>
      </c>
      <c r="F14" s="54">
        <v>0.65</v>
      </c>
      <c r="G14" s="54">
        <v>128.53</v>
      </c>
      <c r="H14" s="54">
        <v>69.27</v>
      </c>
      <c r="I14" s="54">
        <v>1.56</v>
      </c>
      <c r="J14" s="54">
        <v>0.47</v>
      </c>
      <c r="K14" s="54">
        <v>347.93</v>
      </c>
      <c r="L14" s="54">
        <v>19.100000000000001</v>
      </c>
      <c r="M14" s="54">
        <v>86.35</v>
      </c>
      <c r="N14" s="54">
        <v>37.90</v>
      </c>
      <c r="O14" s="54">
        <v>0</v>
      </c>
      <c r="P14" s="54">
        <v>0.94</v>
      </c>
      <c r="Q14" s="54">
        <v>5.25</v>
      </c>
      <c r="R14" s="43"/>
      <c r="S14" s="43"/>
      <c r="T14" s="43"/>
      <c r="U14" s="43"/>
    </row>
    <row r="15" spans="1:21" s="11" customFormat="1" ht="15">
      <c r="A15" s="53" t="s">
        <v>164</v>
      </c>
      <c r="B15" s="54">
        <v>15.61</v>
      </c>
      <c r="C15" s="54">
        <v>19.77</v>
      </c>
      <c r="D15" s="54">
        <v>24.31</v>
      </c>
      <c r="E15" s="54">
        <v>1.90</v>
      </c>
      <c r="F15" s="54">
        <v>0.52</v>
      </c>
      <c r="G15" s="54">
        <v>133.99</v>
      </c>
      <c r="H15" s="54">
        <v>70.20</v>
      </c>
      <c r="I15" s="54">
        <v>1.53</v>
      </c>
      <c r="J15" s="54">
        <v>0.57999999999999996</v>
      </c>
      <c r="K15" s="54">
        <v>341.53</v>
      </c>
      <c r="L15" s="54">
        <v>19.579999999999998</v>
      </c>
      <c r="M15" s="54">
        <v>86.46</v>
      </c>
      <c r="N15" s="54">
        <v>119.70</v>
      </c>
      <c r="O15" s="54">
        <v>0</v>
      </c>
      <c r="P15" s="54">
        <v>1</v>
      </c>
      <c r="Q15" s="54">
        <v>5.39</v>
      </c>
      <c r="R15" s="43"/>
      <c r="S15" s="43"/>
      <c r="T15" s="43"/>
      <c r="U15" s="43"/>
    </row>
    <row r="16" spans="1:21" s="11" customFormat="1" ht="15">
      <c r="A16" s="53" t="s">
        <v>165</v>
      </c>
      <c r="B16" s="54">
        <v>17.39</v>
      </c>
      <c r="C16" s="54">
        <v>21.46</v>
      </c>
      <c r="D16" s="54">
        <v>27.08</v>
      </c>
      <c r="E16" s="54">
        <v>1.98</v>
      </c>
      <c r="F16" s="54">
        <v>0.44</v>
      </c>
      <c r="G16" s="54">
        <v>149.72</v>
      </c>
      <c r="H16" s="54">
        <v>76.62</v>
      </c>
      <c r="I16" s="54">
        <v>1.53</v>
      </c>
      <c r="J16" s="54">
        <v>0.88</v>
      </c>
      <c r="K16" s="54">
        <v>343.46</v>
      </c>
      <c r="L16" s="54">
        <v>22.95</v>
      </c>
      <c r="M16" s="54">
        <v>73.72</v>
      </c>
      <c r="N16" s="54">
        <v>295.5</v>
      </c>
      <c r="O16" s="54">
        <v>0</v>
      </c>
      <c r="P16" s="54">
        <v>1.01</v>
      </c>
      <c r="Q16" s="54">
        <v>5.59</v>
      </c>
      <c r="R16" s="43"/>
      <c r="S16" s="43"/>
      <c r="T16" s="43"/>
      <c r="U16" s="43"/>
    </row>
    <row r="17" spans="1:21" s="11" customFormat="1" ht="15">
      <c r="A17" s="53" t="s">
        <v>166</v>
      </c>
      <c r="B17" s="54">
        <v>17.78</v>
      </c>
      <c r="C17" s="54">
        <v>21.85</v>
      </c>
      <c r="D17" s="54">
        <v>27.44</v>
      </c>
      <c r="E17" s="54">
        <v>1.51</v>
      </c>
      <c r="F17" s="54">
        <v>0.41</v>
      </c>
      <c r="G17" s="54">
        <v>141.96</v>
      </c>
      <c r="H17" s="54">
        <v>70.709999999999994</v>
      </c>
      <c r="I17" s="54">
        <v>1.60</v>
      </c>
      <c r="J17" s="54">
        <v>0.38</v>
      </c>
      <c r="K17" s="54">
        <v>359.62</v>
      </c>
      <c r="L17" s="54">
        <v>23.40</v>
      </c>
      <c r="M17" s="54">
        <v>69.67</v>
      </c>
      <c r="N17" s="54">
        <v>429.10</v>
      </c>
      <c r="O17" s="54">
        <v>0</v>
      </c>
      <c r="P17" s="54">
        <v>0.99</v>
      </c>
      <c r="Q17" s="54">
        <v>5.68</v>
      </c>
      <c r="R17" s="43"/>
      <c r="S17" s="43"/>
      <c r="T17" s="43"/>
      <c r="U17" s="43"/>
    </row>
    <row r="18" spans="1:21" s="11" customFormat="1" ht="15">
      <c r="A18" s="53" t="s">
        <v>167</v>
      </c>
      <c r="B18" s="54">
        <v>16.73</v>
      </c>
      <c r="C18" s="54">
        <v>21.62</v>
      </c>
      <c r="D18" s="54">
        <v>26.17</v>
      </c>
      <c r="E18" s="54">
        <v>1.39</v>
      </c>
      <c r="F18" s="54">
        <v>1.51</v>
      </c>
      <c r="G18" s="54">
        <v>130.81</v>
      </c>
      <c r="H18" s="54">
        <v>63.91</v>
      </c>
      <c r="I18" s="54">
        <v>1.54</v>
      </c>
      <c r="J18" s="54">
        <v>0.90</v>
      </c>
      <c r="K18" s="54">
        <v>111.86</v>
      </c>
      <c r="L18" s="54">
        <v>25.58</v>
      </c>
      <c r="M18" s="54">
        <v>72.25</v>
      </c>
      <c r="N18" s="54">
        <v>619.40</v>
      </c>
      <c r="O18" s="54">
        <v>0</v>
      </c>
      <c r="P18" s="54">
        <v>0.93</v>
      </c>
      <c r="Q18" s="54">
        <v>5.60</v>
      </c>
      <c r="R18" s="43"/>
      <c r="S18" s="43"/>
      <c r="T18" s="43"/>
      <c r="U18" s="43"/>
    </row>
    <row r="19" spans="1:21" s="11" customFormat="1" ht="15">
      <c r="A19" s="53" t="s">
        <v>168</v>
      </c>
      <c r="B19" s="54">
        <v>13.21</v>
      </c>
      <c r="C19" s="54">
        <v>22.98</v>
      </c>
      <c r="D19" s="54">
        <v>23.48</v>
      </c>
      <c r="E19" s="54">
        <v>1.55</v>
      </c>
      <c r="F19" s="54">
        <v>2.92</v>
      </c>
      <c r="G19" s="54">
        <v>116.93</v>
      </c>
      <c r="H19" s="54">
        <v>61.99</v>
      </c>
      <c r="I19" s="54">
        <v>1.57</v>
      </c>
      <c r="J19" s="54">
        <v>0.86</v>
      </c>
      <c r="K19" s="54">
        <v>339.51</v>
      </c>
      <c r="L19" s="54">
        <v>28.26</v>
      </c>
      <c r="M19" s="54">
        <v>69.39</v>
      </c>
      <c r="N19" s="54">
        <v>706.80</v>
      </c>
      <c r="O19" s="54">
        <v>0</v>
      </c>
      <c r="P19" s="54">
        <v>0.88</v>
      </c>
      <c r="Q19" s="54">
        <v>5.32</v>
      </c>
      <c r="R19" s="43"/>
      <c r="S19" s="43"/>
      <c r="T19" s="43"/>
      <c r="U19" s="43"/>
    </row>
    <row r="20" spans="1:21" s="11" customFormat="1" ht="15">
      <c r="A20" s="53" t="s">
        <v>169</v>
      </c>
      <c r="B20" s="54">
        <v>9.26</v>
      </c>
      <c r="C20" s="54">
        <v>26.45</v>
      </c>
      <c r="D20" s="54">
        <v>23.32</v>
      </c>
      <c r="E20" s="54">
        <v>1.75</v>
      </c>
      <c r="F20" s="54">
        <v>3.04</v>
      </c>
      <c r="G20" s="54">
        <v>109.54</v>
      </c>
      <c r="H20" s="54">
        <v>57.48</v>
      </c>
      <c r="I20" s="54">
        <v>1.5</v>
      </c>
      <c r="J20" s="54">
        <v>0.63</v>
      </c>
      <c r="K20" s="54">
        <v>109.34</v>
      </c>
      <c r="L20" s="54">
        <v>27.78</v>
      </c>
      <c r="M20" s="54">
        <v>60.85</v>
      </c>
      <c r="N20" s="54">
        <v>748.10</v>
      </c>
      <c r="O20" s="54">
        <v>0</v>
      </c>
      <c r="P20" s="54">
        <v>0.80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170</v>
      </c>
      <c r="B21" s="54">
        <v>6.35</v>
      </c>
      <c r="C21" s="54">
        <v>21.02</v>
      </c>
      <c r="D21" s="54">
        <v>17.16</v>
      </c>
      <c r="E21" s="54">
        <v>1.99</v>
      </c>
      <c r="F21" s="54">
        <v>5.49</v>
      </c>
      <c r="G21" s="54">
        <v>94.85</v>
      </c>
      <c r="H21" s="54">
        <v>52.31</v>
      </c>
      <c r="I21" s="54">
        <v>1.51</v>
      </c>
      <c r="J21" s="54">
        <v>0.69</v>
      </c>
      <c r="K21" s="54">
        <v>99.83</v>
      </c>
      <c r="L21" s="54">
        <v>28.08</v>
      </c>
      <c r="M21" s="54">
        <v>50.54</v>
      </c>
      <c r="N21" s="54">
        <v>712</v>
      </c>
      <c r="O21" s="54">
        <v>0</v>
      </c>
      <c r="P21" s="54">
        <v>0.73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171</v>
      </c>
      <c r="B22" s="54">
        <v>6.47</v>
      </c>
      <c r="C22" s="54">
        <v>24.35</v>
      </c>
      <c r="D22" s="54">
        <v>19.920000000000002</v>
      </c>
      <c r="E22" s="54">
        <v>2.73</v>
      </c>
      <c r="F22" s="54">
        <v>10.89</v>
      </c>
      <c r="G22" s="54">
        <v>87.04</v>
      </c>
      <c r="H22" s="54">
        <v>48.90</v>
      </c>
      <c r="I22" s="54">
        <v>1.55</v>
      </c>
      <c r="J22" s="54">
        <v>1.1299999999999999</v>
      </c>
      <c r="K22" s="54">
        <v>344.86</v>
      </c>
      <c r="L22" s="54">
        <v>28.52</v>
      </c>
      <c r="M22" s="54">
        <v>48.10</v>
      </c>
      <c r="N22" s="54">
        <v>446.80</v>
      </c>
      <c r="O22" s="54">
        <v>0</v>
      </c>
      <c r="P22" s="54">
        <v>0.65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172</v>
      </c>
      <c r="B23" s="54">
        <v>3.64</v>
      </c>
      <c r="C23" s="54">
        <v>22.97</v>
      </c>
      <c r="D23" s="54">
        <v>16.61</v>
      </c>
      <c r="E23" s="54">
        <v>2.48</v>
      </c>
      <c r="F23" s="54">
        <v>10.96</v>
      </c>
      <c r="G23" s="54">
        <v>82.77</v>
      </c>
      <c r="H23" s="54">
        <v>47.76</v>
      </c>
      <c r="I23" s="54">
        <v>1.58</v>
      </c>
      <c r="J23" s="54">
        <v>0.44</v>
      </c>
      <c r="K23" s="54">
        <v>95.22</v>
      </c>
      <c r="L23" s="54">
        <v>27.52</v>
      </c>
      <c r="M23" s="54">
        <v>45.73</v>
      </c>
      <c r="N23" s="54">
        <v>244.90</v>
      </c>
      <c r="O23" s="54">
        <v>0</v>
      </c>
      <c r="P23" s="54">
        <v>0.62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173</v>
      </c>
      <c r="B24" s="54">
        <v>3.58</v>
      </c>
      <c r="C24" s="54">
        <v>25.5</v>
      </c>
      <c r="D24" s="54">
        <v>18.16</v>
      </c>
      <c r="E24" s="54">
        <v>2.82</v>
      </c>
      <c r="F24" s="54">
        <v>14.85</v>
      </c>
      <c r="G24" s="54">
        <v>76.78</v>
      </c>
      <c r="H24" s="54">
        <v>44.13</v>
      </c>
      <c r="I24" s="54">
        <v>1.59</v>
      </c>
      <c r="J24" s="54">
        <v>0.73</v>
      </c>
      <c r="K24" s="54">
        <v>102.61</v>
      </c>
      <c r="L24" s="54">
        <v>26.98</v>
      </c>
      <c r="M24" s="54">
        <v>42.73</v>
      </c>
      <c r="N24" s="54">
        <v>163.80000000000001</v>
      </c>
      <c r="O24" s="54">
        <v>0</v>
      </c>
      <c r="P24" s="54">
        <v>0.57999999999999996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174</v>
      </c>
      <c r="B25" s="54">
        <v>5.74</v>
      </c>
      <c r="C25" s="54">
        <v>27.24</v>
      </c>
      <c r="D25" s="54">
        <v>20.86</v>
      </c>
      <c r="E25" s="54">
        <v>4.0999999999999996</v>
      </c>
      <c r="F25" s="54">
        <v>14.82</v>
      </c>
      <c r="G25" s="54">
        <v>75.70</v>
      </c>
      <c r="H25" s="54">
        <v>39.5</v>
      </c>
      <c r="I25" s="54">
        <v>1.58</v>
      </c>
      <c r="J25" s="54">
        <v>0.38</v>
      </c>
      <c r="K25" s="54">
        <v>86.04</v>
      </c>
      <c r="L25" s="54">
        <v>26.06</v>
      </c>
      <c r="M25" s="54">
        <v>41.77</v>
      </c>
      <c r="N25" s="54">
        <v>87.90</v>
      </c>
      <c r="O25" s="54">
        <v>0</v>
      </c>
      <c r="P25" s="54">
        <v>0.59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175</v>
      </c>
      <c r="B26" s="54">
        <v>6.31</v>
      </c>
      <c r="C26" s="54">
        <v>31.15</v>
      </c>
      <c r="D26" s="54">
        <v>23.54</v>
      </c>
      <c r="E26" s="54">
        <v>3.45</v>
      </c>
      <c r="F26" s="54">
        <v>12.74</v>
      </c>
      <c r="G26" s="54">
        <v>63.68</v>
      </c>
      <c r="H26" s="54">
        <v>42.40</v>
      </c>
      <c r="I26" s="54">
        <v>1.53</v>
      </c>
      <c r="J26" s="54">
        <v>0.22</v>
      </c>
      <c r="K26" s="54">
        <v>89.96</v>
      </c>
      <c r="L26" s="54">
        <v>24.13</v>
      </c>
      <c r="M26" s="54">
        <v>50.05</v>
      </c>
      <c r="N26" s="54">
        <v>59.80</v>
      </c>
      <c r="O26" s="54">
        <v>0</v>
      </c>
      <c r="P26" s="54">
        <v>0.69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176</v>
      </c>
      <c r="B27" s="54">
        <v>6.14</v>
      </c>
      <c r="C27" s="54">
        <v>34.07</v>
      </c>
      <c r="D27" s="54">
        <v>25.02</v>
      </c>
      <c r="E27" s="54">
        <v>2.48</v>
      </c>
      <c r="F27" s="54">
        <v>5.49</v>
      </c>
      <c r="G27" s="54">
        <v>79.27</v>
      </c>
      <c r="H27" s="54">
        <v>36.51</v>
      </c>
      <c r="I27" s="54">
        <v>1.54</v>
      </c>
      <c r="J27" s="54">
        <v>0.19</v>
      </c>
      <c r="K27" s="54">
        <v>86.16</v>
      </c>
      <c r="L27" s="54">
        <v>22.52</v>
      </c>
      <c r="M27" s="54">
        <v>51.13</v>
      </c>
      <c r="N27" s="54">
        <v>51.20</v>
      </c>
      <c r="O27" s="54">
        <v>0</v>
      </c>
      <c r="P27" s="54">
        <v>0.75</v>
      </c>
      <c r="Q27" s="54">
        <v>5.14</v>
      </c>
      <c r="R27" s="43"/>
      <c r="S27" s="43"/>
      <c r="T27" s="43"/>
      <c r="U27" s="43"/>
    </row>
    <row r="28" spans="1:21" s="11" customFormat="1" ht="15">
      <c r="A28" s="53" t="s">
        <v>177</v>
      </c>
      <c r="B28" s="54">
        <v>5.21</v>
      </c>
      <c r="C28" s="54">
        <v>29.75</v>
      </c>
      <c r="D28" s="54">
        <v>21.78</v>
      </c>
      <c r="E28" s="54">
        <v>2.10</v>
      </c>
      <c r="F28" s="54">
        <v>6.84</v>
      </c>
      <c r="G28" s="54">
        <v>87.49</v>
      </c>
      <c r="H28" s="54">
        <v>41.12</v>
      </c>
      <c r="I28" s="54">
        <v>1.61</v>
      </c>
      <c r="J28" s="54">
        <v>0.42</v>
      </c>
      <c r="K28" s="54">
        <v>120.39</v>
      </c>
      <c r="L28" s="54">
        <v>21.98</v>
      </c>
      <c r="M28" s="54">
        <v>55.22</v>
      </c>
      <c r="N28" s="54">
        <v>51.5</v>
      </c>
      <c r="O28" s="54">
        <v>0</v>
      </c>
      <c r="P28" s="54">
        <v>0.74</v>
      </c>
      <c r="Q28" s="54">
        <v>5.20</v>
      </c>
      <c r="R28" s="43"/>
      <c r="S28" s="43"/>
      <c r="T28" s="43"/>
      <c r="U28" s="43"/>
    </row>
    <row r="29" spans="1:21" s="11" customFormat="1" ht="15">
      <c r="A29" s="53" t="s">
        <v>178</v>
      </c>
      <c r="B29" s="54">
        <v>5.86</v>
      </c>
      <c r="C29" s="54">
        <v>25.39</v>
      </c>
      <c r="D29" s="54">
        <v>20</v>
      </c>
      <c r="E29" s="54">
        <v>1.70</v>
      </c>
      <c r="F29" s="54">
        <v>4.17</v>
      </c>
      <c r="G29" s="54">
        <v>91.68</v>
      </c>
      <c r="H29" s="54">
        <v>39.14</v>
      </c>
      <c r="I29" s="54">
        <v>1.53</v>
      </c>
      <c r="J29" s="54">
        <v>0.44</v>
      </c>
      <c r="K29" s="54">
        <v>112.75</v>
      </c>
      <c r="L29" s="54">
        <v>21.72</v>
      </c>
      <c r="M29" s="54">
        <v>56.54</v>
      </c>
      <c r="N29" s="54">
        <v>51.70</v>
      </c>
      <c r="O29" s="54">
        <v>0</v>
      </c>
      <c r="P29" s="54">
        <v>0.79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179</v>
      </c>
      <c r="B30" s="54">
        <v>5.74</v>
      </c>
      <c r="C30" s="54">
        <v>25.85</v>
      </c>
      <c r="D30" s="54">
        <v>20.03</v>
      </c>
      <c r="E30" s="54">
        <v>1.51</v>
      </c>
      <c r="F30" s="54">
        <v>2.5</v>
      </c>
      <c r="G30" s="54">
        <v>97.82</v>
      </c>
      <c r="H30" s="54">
        <v>42.41</v>
      </c>
      <c r="I30" s="54">
        <v>1.55</v>
      </c>
      <c r="J30" s="54">
        <v>0.47</v>
      </c>
      <c r="K30" s="54">
        <v>117</v>
      </c>
      <c r="L30" s="54">
        <v>21.14</v>
      </c>
      <c r="M30" s="54">
        <v>58.26</v>
      </c>
      <c r="N30" s="54">
        <v>51.40</v>
      </c>
      <c r="O30" s="54">
        <v>0</v>
      </c>
      <c r="P30" s="54">
        <v>0.76</v>
      </c>
      <c r="Q30" s="54">
        <v>5.21</v>
      </c>
      <c r="R30" s="43"/>
      <c r="S30" s="43"/>
      <c r="T30" s="43"/>
      <c r="U30" s="43"/>
    </row>
    <row r="31" spans="1:21" s="11" customFormat="1" ht="15">
      <c r="A31" s="53" t="s">
        <v>180</v>
      </c>
      <c r="B31" s="54">
        <v>5.74</v>
      </c>
      <c r="C31" s="54">
        <v>23.97</v>
      </c>
      <c r="D31" s="54">
        <v>19.12</v>
      </c>
      <c r="E31" s="54">
        <v>1.51</v>
      </c>
      <c r="F31" s="54">
        <v>2.25</v>
      </c>
      <c r="G31" s="54">
        <v>99.16</v>
      </c>
      <c r="H31" s="54">
        <v>47.51</v>
      </c>
      <c r="I31" s="54">
        <v>1.55</v>
      </c>
      <c r="J31" s="54">
        <v>0.28000000000000003</v>
      </c>
      <c r="K31" s="54">
        <v>292.26</v>
      </c>
      <c r="L31" s="54">
        <v>21.04</v>
      </c>
      <c r="M31" s="54">
        <v>57.10</v>
      </c>
      <c r="N31" s="54">
        <v>52.60</v>
      </c>
      <c r="O31" s="54">
        <v>0</v>
      </c>
      <c r="P31" s="54">
        <v>0.74</v>
      </c>
      <c r="Q31" s="54">
        <v>5.18</v>
      </c>
      <c r="R31" s="43"/>
      <c r="S31" s="43"/>
      <c r="T31" s="43"/>
      <c r="U31" s="43"/>
    </row>
    <row r="32" spans="1:21" s="11" customFormat="1" ht="15">
      <c r="A32" s="53" t="s">
        <v>181</v>
      </c>
      <c r="B32" s="54">
        <v>6.46</v>
      </c>
      <c r="C32" s="54">
        <v>22.36</v>
      </c>
      <c r="D32" s="54">
        <v>18.55</v>
      </c>
      <c r="E32" s="54">
        <v>1.5</v>
      </c>
      <c r="F32" s="54">
        <v>1.93</v>
      </c>
      <c r="G32" s="54">
        <v>83.65</v>
      </c>
      <c r="H32" s="54">
        <v>42.33</v>
      </c>
      <c r="I32" s="54">
        <v>1.55</v>
      </c>
      <c r="J32" s="54">
        <v>0.16</v>
      </c>
      <c r="K32" s="54">
        <v>324.32</v>
      </c>
      <c r="L32" s="54">
        <v>20.20</v>
      </c>
      <c r="M32" s="54">
        <v>66.61</v>
      </c>
      <c r="N32" s="54">
        <v>52.80</v>
      </c>
      <c r="O32" s="54">
        <v>0</v>
      </c>
      <c r="P32" s="54">
        <v>0.71</v>
      </c>
      <c r="Q32" s="54">
        <v>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3.5800000000000001</v>
      </c>
      <c r="C34" s="28">
        <f t="shared" si="0"/>
        <v>18.41</v>
      </c>
      <c r="D34" s="28">
        <f t="shared" si="0"/>
        <v>16.609999999999999</v>
      </c>
      <c r="E34" s="28">
        <f t="shared" si="0"/>
        <v>1.3899999999999999</v>
      </c>
      <c r="F34" s="28">
        <f t="shared" si="0"/>
        <v>0.40999999999999998</v>
      </c>
      <c r="G34" s="28">
        <f t="shared" si="0"/>
        <v>63.68</v>
      </c>
      <c r="H34" s="28">
        <f t="shared" si="0"/>
        <v>36.509999999999998</v>
      </c>
      <c r="I34" s="28">
        <f t="shared" si="0"/>
        <v>1.47</v>
      </c>
      <c r="J34" s="28">
        <f t="shared" si="0"/>
        <v>0.13</v>
      </c>
      <c r="K34" s="28">
        <f t="shared" si="0"/>
        <v>86.040000000000006</v>
      </c>
      <c r="L34" s="28">
        <f t="shared" si="0"/>
        <v>19.100000000000001</v>
      </c>
      <c r="M34" s="28">
        <f t="shared" si="0"/>
        <v>41.770000000000003</v>
      </c>
      <c r="N34" s="28">
        <f t="shared" si="0"/>
        <v>35.399999999999999</v>
      </c>
      <c r="O34" s="28">
        <f t="shared" si="0"/>
        <v>0</v>
      </c>
      <c r="P34" s="28">
        <f t="shared" si="0"/>
        <v>0.57999999999999996</v>
      </c>
      <c r="Q34" s="28">
        <f t="shared" si="0"/>
        <v>5.0800000000000001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17.780000000000001</v>
      </c>
      <c r="C35" s="29">
        <f t="shared" si="1"/>
        <v>34.07</v>
      </c>
      <c r="D35" s="29">
        <f t="shared" si="1"/>
        <v>28.370000000000001</v>
      </c>
      <c r="E35" s="29">
        <f t="shared" si="1"/>
        <v>4.0999999999999996</v>
      </c>
      <c r="F35" s="29">
        <f t="shared" si="1"/>
        <v>14.85</v>
      </c>
      <c r="G35" s="29">
        <f t="shared" si="1"/>
        <v>149.72</v>
      </c>
      <c r="H35" s="29">
        <f t="shared" si="1"/>
        <v>76.620000000000005</v>
      </c>
      <c r="I35" s="29">
        <f t="shared" si="1"/>
        <v>1.6100000000000001</v>
      </c>
      <c r="J35" s="29">
        <f t="shared" si="1"/>
        <v>1.1299999999999999</v>
      </c>
      <c r="K35" s="29">
        <f t="shared" si="1"/>
        <v>359.62</v>
      </c>
      <c r="L35" s="29">
        <f t="shared" si="1"/>
        <v>28.52</v>
      </c>
      <c r="M35" s="29">
        <f t="shared" si="1"/>
        <v>96.819999999999993</v>
      </c>
      <c r="N35" s="29">
        <f t="shared" si="1"/>
        <v>748.10000000000002</v>
      </c>
      <c r="O35" s="29">
        <f t="shared" si="1"/>
        <v>0</v>
      </c>
      <c r="P35" s="29">
        <f t="shared" si="1"/>
        <v>1.26</v>
      </c>
      <c r="Q35" s="29">
        <f t="shared" si="1"/>
        <v>5.6799999999999997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9.7820833333333344</v>
      </c>
      <c r="C36" s="28">
        <f t="shared" si="2"/>
        <v>24.167083333333334</v>
      </c>
      <c r="D36" s="28">
        <f t="shared" si="2"/>
        <v>22.197916666666668</v>
      </c>
      <c r="E36" s="28">
        <f t="shared" si="2"/>
        <v>2.3104166666666668</v>
      </c>
      <c r="F36" s="28">
        <f t="shared" si="2"/>
        <v>4.7741666666666669</v>
      </c>
      <c r="G36" s="28">
        <f t="shared" si="2"/>
        <v>107.52916666666665</v>
      </c>
      <c r="H36" s="28">
        <f t="shared" si="2"/>
        <v>55.590833333333336</v>
      </c>
      <c r="I36" s="28">
        <f t="shared" si="2"/>
        <v>1.5495833333333333</v>
      </c>
      <c r="J36" s="28">
        <f t="shared" si="2"/>
        <v>0.53750000000000009</v>
      </c>
      <c r="K36" s="28">
        <f t="shared" si="2"/>
        <v>232.7608333333333</v>
      </c>
      <c r="L36" s="28">
        <f t="shared" si="2"/>
        <v>23.296250000000001</v>
      </c>
      <c r="M36" s="28">
        <f t="shared" si="2"/>
        <v>66.373749999999987</v>
      </c>
      <c r="N36" s="28">
        <f t="shared" si="2"/>
        <v>215.07916666666662</v>
      </c>
      <c r="O36" s="28">
        <f t="shared" si="2"/>
        <v>0</v>
      </c>
      <c r="P36" s="28">
        <f t="shared" si="2"/>
        <v>0.84791666666666654</v>
      </c>
      <c r="Q36" s="28">
        <f t="shared" si="2"/>
        <v>5.2799999999999985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4.6772976024964263</v>
      </c>
      <c r="C37" s="28">
        <f t="shared" si="3" ref="C37:Q37">STDEV(C9:C32)</f>
        <v>4.0464342640926674</v>
      </c>
      <c r="D37" s="28">
        <f t="shared" si="3"/>
        <v>3.2759120590822808</v>
      </c>
      <c r="E37" s="28">
        <f t="shared" si="3"/>
        <v>0.73609119925671473</v>
      </c>
      <c r="F37" s="28">
        <f t="shared" si="3"/>
        <v>4.6716805622133801</v>
      </c>
      <c r="G37" s="28">
        <f t="shared" si="3"/>
        <v>25.153734430439982</v>
      </c>
      <c r="H37" s="28">
        <f t="shared" si="3"/>
        <v>13.122777713865895</v>
      </c>
      <c r="I37" s="28">
        <f t="shared" si="3"/>
        <v>0.035932202665656332</v>
      </c>
      <c r="J37" s="28">
        <f t="shared" si="3"/>
        <v>0.26817012770124904</v>
      </c>
      <c r="K37" s="28">
        <f t="shared" si="3"/>
        <v>123.03725055999227</v>
      </c>
      <c r="L37" s="28">
        <f t="shared" si="3"/>
        <v>3.2072157944506783</v>
      </c>
      <c r="M37" s="28">
        <f t="shared" si="3"/>
        <v>17.359315958397659</v>
      </c>
      <c r="N37" s="28">
        <f t="shared" si="3"/>
        <v>250.83385975437082</v>
      </c>
      <c r="O37" s="28">
        <f t="shared" si="3"/>
        <v>0</v>
      </c>
      <c r="P37" s="28">
        <f t="shared" si="3"/>
        <v>0.18277996195631993</v>
      </c>
      <c r="Q37" s="28">
        <f t="shared" si="3"/>
        <v>0.15410329680758411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9a1296-d2ea-4188-a23f-c8859a5d3ac6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182</v>
      </c>
      <c r="B9" s="54">
        <v>7.85</v>
      </c>
      <c r="C9" s="54">
        <v>22.41</v>
      </c>
      <c r="D9" s="54">
        <v>19.649999999999999</v>
      </c>
      <c r="E9" s="54">
        <v>2.12</v>
      </c>
      <c r="F9" s="54">
        <v>0.45</v>
      </c>
      <c r="G9" s="54">
        <v>96.10</v>
      </c>
      <c r="H9" s="54">
        <v>44.43</v>
      </c>
      <c r="I9" s="54">
        <v>1.57</v>
      </c>
      <c r="J9" s="54">
        <v>0.28999999999999998</v>
      </c>
      <c r="K9" s="54">
        <v>340.17</v>
      </c>
      <c r="L9" s="54">
        <v>18.829999999999998</v>
      </c>
      <c r="M9" s="54">
        <v>76.62</v>
      </c>
      <c r="N9" s="54">
        <v>53.40</v>
      </c>
      <c r="O9" s="54">
        <v>0</v>
      </c>
      <c r="P9" s="54">
        <v>0.72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183</v>
      </c>
      <c r="B10" s="54">
        <v>8.58</v>
      </c>
      <c r="C10" s="54">
        <v>22.74</v>
      </c>
      <c r="D10" s="54">
        <v>20.72</v>
      </c>
      <c r="E10" s="54">
        <v>2.09</v>
      </c>
      <c r="F10" s="54">
        <v>0.17</v>
      </c>
      <c r="G10" s="54">
        <v>100.63</v>
      </c>
      <c r="H10" s="54">
        <v>43.10</v>
      </c>
      <c r="I10" s="54">
        <v>1.54</v>
      </c>
      <c r="J10" s="54">
        <v>0.59</v>
      </c>
      <c r="K10" s="54">
        <v>350.76</v>
      </c>
      <c r="L10" s="54">
        <v>18.68</v>
      </c>
      <c r="M10" s="54">
        <v>75.16</v>
      </c>
      <c r="N10" s="54">
        <v>67.400000000000006</v>
      </c>
      <c r="O10" s="54">
        <v>0</v>
      </c>
      <c r="P10" s="54">
        <v>0.78</v>
      </c>
      <c r="Q10" s="54">
        <v>5.03</v>
      </c>
      <c r="R10" s="43"/>
      <c r="S10" s="43"/>
      <c r="T10" s="43"/>
      <c r="U10" s="43"/>
    </row>
    <row r="11" spans="1:21" s="11" customFormat="1" ht="15">
      <c r="A11" s="53" t="s">
        <v>184</v>
      </c>
      <c r="B11" s="54">
        <v>9.2200000000000006</v>
      </c>
      <c r="C11" s="54">
        <v>20.73</v>
      </c>
      <c r="D11" s="54">
        <v>19.97</v>
      </c>
      <c r="E11" s="54">
        <v>1.91</v>
      </c>
      <c r="F11" s="54">
        <v>0.34</v>
      </c>
      <c r="G11" s="54">
        <v>214.79</v>
      </c>
      <c r="H11" s="54">
        <v>66.66</v>
      </c>
      <c r="I11" s="54">
        <v>1.51</v>
      </c>
      <c r="J11" s="54">
        <v>0.21</v>
      </c>
      <c r="K11" s="54">
        <v>331.70</v>
      </c>
      <c r="L11" s="54">
        <v>18.41</v>
      </c>
      <c r="M11" s="54">
        <v>80.98</v>
      </c>
      <c r="N11" s="54">
        <v>75</v>
      </c>
      <c r="O11" s="54">
        <v>0</v>
      </c>
      <c r="P11" s="54">
        <v>0.80</v>
      </c>
      <c r="Q11" s="54">
        <v>4.97</v>
      </c>
      <c r="R11" s="43"/>
      <c r="S11" s="43"/>
      <c r="T11" s="43"/>
      <c r="U11" s="43"/>
    </row>
    <row r="12" spans="1:21" s="11" customFormat="1" ht="15">
      <c r="A12" s="53" t="s">
        <v>185</v>
      </c>
      <c r="B12" s="54">
        <v>9.1199999999999992</v>
      </c>
      <c r="C12" s="54">
        <v>20.71</v>
      </c>
      <c r="D12" s="54">
        <v>19.690000000000001</v>
      </c>
      <c r="E12" s="54">
        <v>1.77</v>
      </c>
      <c r="F12" s="54">
        <v>0.46</v>
      </c>
      <c r="G12" s="54">
        <v>179.25</v>
      </c>
      <c r="H12" s="54">
        <v>81.790000000000006</v>
      </c>
      <c r="I12" s="54">
        <v>1.56</v>
      </c>
      <c r="J12" s="54">
        <v>0.12</v>
      </c>
      <c r="K12" s="54">
        <v>332.11</v>
      </c>
      <c r="L12" s="54">
        <v>18.54</v>
      </c>
      <c r="M12" s="54">
        <v>69.989999999999995</v>
      </c>
      <c r="N12" s="54">
        <v>71.80</v>
      </c>
      <c r="O12" s="54">
        <v>0</v>
      </c>
      <c r="P12" s="54">
        <v>0.78</v>
      </c>
      <c r="Q12" s="54">
        <v>4.95</v>
      </c>
      <c r="R12" s="43"/>
      <c r="S12" s="43"/>
      <c r="T12" s="43"/>
      <c r="U12" s="43"/>
    </row>
    <row r="13" spans="1:21" s="11" customFormat="1" ht="15">
      <c r="A13" s="53" t="s">
        <v>186</v>
      </c>
      <c r="B13" s="54">
        <v>9.3000000000000007</v>
      </c>
      <c r="C13" s="54">
        <v>21.25</v>
      </c>
      <c r="D13" s="54">
        <v>20.09</v>
      </c>
      <c r="E13" s="54">
        <v>1.55</v>
      </c>
      <c r="F13" s="54">
        <v>0.25</v>
      </c>
      <c r="G13" s="54">
        <v>85.90</v>
      </c>
      <c r="H13" s="54">
        <v>68.510000000000005</v>
      </c>
      <c r="I13" s="54">
        <v>1.57</v>
      </c>
      <c r="J13" s="54">
        <v>0.52</v>
      </c>
      <c r="K13" s="54">
        <v>342.83</v>
      </c>
      <c r="L13" s="54">
        <v>18.28</v>
      </c>
      <c r="M13" s="54">
        <v>76.819999999999993</v>
      </c>
      <c r="N13" s="54">
        <v>67.599999999999994</v>
      </c>
      <c r="O13" s="54">
        <v>0</v>
      </c>
      <c r="P13" s="54">
        <v>0.73</v>
      </c>
      <c r="Q13" s="54">
        <v>4.93</v>
      </c>
      <c r="R13" s="43"/>
      <c r="S13" s="43"/>
      <c r="T13" s="43"/>
      <c r="U13" s="43"/>
    </row>
    <row r="14" spans="1:21" s="11" customFormat="1" ht="15">
      <c r="A14" s="53" t="s">
        <v>187</v>
      </c>
      <c r="B14" s="54">
        <v>11.21</v>
      </c>
      <c r="C14" s="54">
        <v>20.5</v>
      </c>
      <c r="D14" s="54">
        <v>21.35</v>
      </c>
      <c r="E14" s="54">
        <v>1.44</v>
      </c>
      <c r="F14" s="54">
        <v>0.53</v>
      </c>
      <c r="G14" s="54">
        <v>91.64</v>
      </c>
      <c r="H14" s="54">
        <v>58</v>
      </c>
      <c r="I14" s="54">
        <v>1.51</v>
      </c>
      <c r="J14" s="54">
        <v>0.28999999999999998</v>
      </c>
      <c r="K14" s="54">
        <v>337.27</v>
      </c>
      <c r="L14" s="54">
        <v>17.489999999999998</v>
      </c>
      <c r="M14" s="54">
        <v>80.72</v>
      </c>
      <c r="N14" s="54">
        <v>69.30</v>
      </c>
      <c r="O14" s="54">
        <v>0</v>
      </c>
      <c r="P14" s="54">
        <v>0.71</v>
      </c>
      <c r="Q14" s="54">
        <v>5.03</v>
      </c>
      <c r="R14" s="43"/>
      <c r="S14" s="43"/>
      <c r="T14" s="43"/>
      <c r="U14" s="43"/>
    </row>
    <row r="15" spans="1:21" s="11" customFormat="1" ht="15">
      <c r="A15" s="53" t="s">
        <v>188</v>
      </c>
      <c r="B15" s="54">
        <v>13.38</v>
      </c>
      <c r="C15" s="54">
        <v>21.48</v>
      </c>
      <c r="D15" s="54">
        <v>23.85</v>
      </c>
      <c r="E15" s="54">
        <v>1.55</v>
      </c>
      <c r="F15" s="54">
        <v>0.16</v>
      </c>
      <c r="G15" s="54">
        <v>156.51</v>
      </c>
      <c r="H15" s="54">
        <v>67.72</v>
      </c>
      <c r="I15" s="54">
        <v>1.55</v>
      </c>
      <c r="J15" s="54">
        <v>0.15</v>
      </c>
      <c r="K15" s="54">
        <v>124.33</v>
      </c>
      <c r="L15" s="54">
        <v>18.21</v>
      </c>
      <c r="M15" s="54">
        <v>78.20</v>
      </c>
      <c r="N15" s="54">
        <v>151.40</v>
      </c>
      <c r="O15" s="54">
        <v>0</v>
      </c>
      <c r="P15" s="54">
        <v>0.71</v>
      </c>
      <c r="Q15" s="54">
        <v>5.26</v>
      </c>
      <c r="R15" s="43"/>
      <c r="S15" s="43"/>
      <c r="T15" s="43"/>
      <c r="U15" s="43"/>
    </row>
    <row r="16" spans="1:21" s="11" customFormat="1" ht="15">
      <c r="A16" s="53" t="s">
        <v>189</v>
      </c>
      <c r="B16" s="54">
        <v>17.36</v>
      </c>
      <c r="C16" s="54">
        <v>30.11</v>
      </c>
      <c r="D16" s="54">
        <v>31.83</v>
      </c>
      <c r="E16" s="54">
        <v>1.57</v>
      </c>
      <c r="F16" s="54">
        <v>0.48</v>
      </c>
      <c r="G16" s="54">
        <v>142.27000000000001</v>
      </c>
      <c r="H16" s="54">
        <v>59.38</v>
      </c>
      <c r="I16" s="54">
        <v>1.53</v>
      </c>
      <c r="J16" s="54">
        <v>0.31</v>
      </c>
      <c r="K16" s="54">
        <v>338.78</v>
      </c>
      <c r="L16" s="54">
        <v>22.05</v>
      </c>
      <c r="M16" s="54">
        <v>72.12</v>
      </c>
      <c r="N16" s="54">
        <v>299.20</v>
      </c>
      <c r="O16" s="54">
        <v>0</v>
      </c>
      <c r="P16" s="54">
        <v>0.74</v>
      </c>
      <c r="Q16" s="54">
        <v>5.37</v>
      </c>
      <c r="R16" s="43"/>
      <c r="S16" s="43"/>
      <c r="T16" s="43"/>
      <c r="U16" s="43"/>
    </row>
    <row r="17" spans="1:21" s="11" customFormat="1" ht="15">
      <c r="A17" s="53" t="s">
        <v>190</v>
      </c>
      <c r="B17" s="54">
        <v>17.989999999999998</v>
      </c>
      <c r="C17" s="54">
        <v>28.23</v>
      </c>
      <c r="D17" s="54">
        <v>31.13</v>
      </c>
      <c r="E17" s="54">
        <v>0.93</v>
      </c>
      <c r="F17" s="54">
        <v>0.32</v>
      </c>
      <c r="G17" s="54">
        <v>160.84</v>
      </c>
      <c r="H17" s="54">
        <v>65.17</v>
      </c>
      <c r="I17" s="54">
        <v>1.59</v>
      </c>
      <c r="J17" s="54">
        <v>0.31</v>
      </c>
      <c r="K17" s="54">
        <v>342.75</v>
      </c>
      <c r="L17" s="54">
        <v>24.73</v>
      </c>
      <c r="M17" s="54">
        <v>60.68</v>
      </c>
      <c r="N17" s="54">
        <v>611.60</v>
      </c>
      <c r="O17" s="54">
        <v>0</v>
      </c>
      <c r="P17" s="54">
        <v>0.79</v>
      </c>
      <c r="Q17" s="54">
        <v>5.59</v>
      </c>
      <c r="R17" s="43"/>
      <c r="S17" s="43"/>
      <c r="T17" s="43"/>
      <c r="U17" s="43"/>
    </row>
    <row r="18" spans="1:21" s="11" customFormat="1" ht="15">
      <c r="A18" s="53" t="s">
        <v>191</v>
      </c>
      <c r="B18" s="54">
        <v>17.53</v>
      </c>
      <c r="C18" s="54">
        <v>25.25</v>
      </c>
      <c r="D18" s="54">
        <v>29.29</v>
      </c>
      <c r="E18" s="54">
        <v>1.21</v>
      </c>
      <c r="F18" s="54">
        <v>1.88</v>
      </c>
      <c r="G18" s="54">
        <v>122.39</v>
      </c>
      <c r="H18" s="54">
        <v>66.34</v>
      </c>
      <c r="I18" s="54">
        <v>1.53</v>
      </c>
      <c r="J18" s="54">
        <v>1.1499999999999999</v>
      </c>
      <c r="K18" s="54">
        <v>133.56</v>
      </c>
      <c r="L18" s="54">
        <v>25.04</v>
      </c>
      <c r="M18" s="54">
        <v>55.15</v>
      </c>
      <c r="N18" s="54">
        <v>667.10</v>
      </c>
      <c r="O18" s="54">
        <v>0</v>
      </c>
      <c r="P18" s="54">
        <v>0.80</v>
      </c>
      <c r="Q18" s="54">
        <v>5.57</v>
      </c>
      <c r="R18" s="43"/>
      <c r="S18" s="43"/>
      <c r="T18" s="43"/>
      <c r="U18" s="43"/>
    </row>
    <row r="19" spans="1:21" s="11" customFormat="1" ht="15">
      <c r="A19" s="53" t="s">
        <v>192</v>
      </c>
      <c r="B19" s="54">
        <v>12.76</v>
      </c>
      <c r="C19" s="54">
        <v>24.62</v>
      </c>
      <c r="D19" s="54">
        <v>25.11</v>
      </c>
      <c r="E19" s="54">
        <v>1.32</v>
      </c>
      <c r="F19" s="54">
        <v>3.82</v>
      </c>
      <c r="G19" s="54">
        <v>113.07</v>
      </c>
      <c r="H19" s="54">
        <v>63.35</v>
      </c>
      <c r="I19" s="54">
        <v>1.54</v>
      </c>
      <c r="J19" s="54">
        <v>0.48</v>
      </c>
      <c r="K19" s="54">
        <v>119</v>
      </c>
      <c r="L19" s="54">
        <v>27.84</v>
      </c>
      <c r="M19" s="54">
        <v>57.64</v>
      </c>
      <c r="N19" s="54">
        <v>783.90</v>
      </c>
      <c r="O19" s="54">
        <v>0</v>
      </c>
      <c r="P19" s="54">
        <v>0.74</v>
      </c>
      <c r="Q19" s="54">
        <v>5.40</v>
      </c>
      <c r="R19" s="43"/>
      <c r="S19" s="43"/>
      <c r="T19" s="43"/>
      <c r="U19" s="43"/>
    </row>
    <row r="20" spans="1:21" s="11" customFormat="1" ht="15">
      <c r="A20" s="53" t="s">
        <v>193</v>
      </c>
      <c r="B20" s="58" t="s">
        <v>14</v>
      </c>
      <c r="C20" s="58" t="s">
        <v>14</v>
      </c>
      <c r="D20" s="58" t="s">
        <v>14</v>
      </c>
      <c r="E20" s="54">
        <v>1.36</v>
      </c>
      <c r="F20" s="54">
        <v>7.47</v>
      </c>
      <c r="G20" s="54">
        <v>44.92</v>
      </c>
      <c r="H20" s="54">
        <v>49.89</v>
      </c>
      <c r="I20" s="54">
        <v>1.56</v>
      </c>
      <c r="J20" s="54">
        <v>0.84</v>
      </c>
      <c r="K20" s="54">
        <v>109.36</v>
      </c>
      <c r="L20" s="54">
        <v>27.90</v>
      </c>
      <c r="M20" s="54">
        <v>45.52</v>
      </c>
      <c r="N20" s="54">
        <v>830.30</v>
      </c>
      <c r="O20" s="54">
        <v>0</v>
      </c>
      <c r="P20" s="54">
        <v>0.68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194</v>
      </c>
      <c r="B21" s="58" t="s">
        <v>14</v>
      </c>
      <c r="C21" s="58" t="s">
        <v>14</v>
      </c>
      <c r="D21" s="58" t="s">
        <v>14</v>
      </c>
      <c r="E21" s="54">
        <v>2.5099999999999998</v>
      </c>
      <c r="F21" s="54">
        <v>9.01</v>
      </c>
      <c r="G21" s="54">
        <v>44.35</v>
      </c>
      <c r="H21" s="54">
        <v>45.90</v>
      </c>
      <c r="I21" s="54">
        <v>1.59</v>
      </c>
      <c r="J21" s="54">
        <v>1.1000000000000001</v>
      </c>
      <c r="K21" s="54">
        <v>341.58</v>
      </c>
      <c r="L21" s="54">
        <v>28.02</v>
      </c>
      <c r="M21" s="54">
        <v>40.18</v>
      </c>
      <c r="N21" s="54">
        <v>782</v>
      </c>
      <c r="O21" s="54">
        <v>0</v>
      </c>
      <c r="P21" s="58" t="s">
        <v>14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195</v>
      </c>
      <c r="B22" s="58" t="s">
        <v>14</v>
      </c>
      <c r="C22" s="58" t="s">
        <v>14</v>
      </c>
      <c r="D22" s="58" t="s">
        <v>14</v>
      </c>
      <c r="E22" s="54">
        <v>3.76</v>
      </c>
      <c r="F22" s="54">
        <v>14.58</v>
      </c>
      <c r="G22" s="54">
        <v>38.04</v>
      </c>
      <c r="H22" s="54">
        <v>46.51</v>
      </c>
      <c r="I22" s="54">
        <v>1.57</v>
      </c>
      <c r="J22" s="54">
        <v>1.5</v>
      </c>
      <c r="K22" s="54">
        <v>116.66</v>
      </c>
      <c r="L22" s="54">
        <v>28.48</v>
      </c>
      <c r="M22" s="54">
        <v>30.96</v>
      </c>
      <c r="N22" s="54">
        <v>707.40</v>
      </c>
      <c r="O22" s="54">
        <v>0</v>
      </c>
      <c r="P22" s="58" t="s">
        <v>14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196</v>
      </c>
      <c r="B23" s="54">
        <v>4.05</v>
      </c>
      <c r="C23" s="54">
        <v>25.33</v>
      </c>
      <c r="D23" s="54">
        <v>29.38</v>
      </c>
      <c r="E23" s="54">
        <v>2.39</v>
      </c>
      <c r="F23" s="54">
        <v>10.06</v>
      </c>
      <c r="G23" s="54">
        <v>103.53</v>
      </c>
      <c r="H23" s="54">
        <v>42.82</v>
      </c>
      <c r="I23" s="54">
        <v>1.52</v>
      </c>
      <c r="J23" s="54">
        <v>1.48</v>
      </c>
      <c r="K23" s="54">
        <v>111.64</v>
      </c>
      <c r="L23" s="54">
        <v>28.10</v>
      </c>
      <c r="M23" s="54">
        <v>31.02</v>
      </c>
      <c r="N23" s="54">
        <v>253.30</v>
      </c>
      <c r="O23" s="54">
        <v>0</v>
      </c>
      <c r="P23" s="54">
        <v>0.46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197</v>
      </c>
      <c r="B24" s="54">
        <v>2.97</v>
      </c>
      <c r="C24" s="54">
        <v>26.56</v>
      </c>
      <c r="D24" s="54">
        <v>29.53</v>
      </c>
      <c r="E24" s="54">
        <v>3.26</v>
      </c>
      <c r="F24" s="54">
        <v>29.07</v>
      </c>
      <c r="G24" s="54">
        <v>71.31</v>
      </c>
      <c r="H24" s="54">
        <v>33.380000000000003</v>
      </c>
      <c r="I24" s="54">
        <v>1.60</v>
      </c>
      <c r="J24" s="54">
        <v>1.70</v>
      </c>
      <c r="K24" s="54">
        <v>110.15</v>
      </c>
      <c r="L24" s="54">
        <v>26.99</v>
      </c>
      <c r="M24" s="54">
        <v>31.12</v>
      </c>
      <c r="N24" s="54">
        <v>164.5</v>
      </c>
      <c r="O24" s="54">
        <v>0</v>
      </c>
      <c r="P24" s="54">
        <v>0.38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198</v>
      </c>
      <c r="B25" s="54">
        <v>11.91</v>
      </c>
      <c r="C25" s="54">
        <v>72.59</v>
      </c>
      <c r="D25" s="54">
        <v>84.5</v>
      </c>
      <c r="E25" s="54">
        <v>7.53</v>
      </c>
      <c r="F25" s="54">
        <v>34.770000000000003</v>
      </c>
      <c r="G25" s="54">
        <v>24.52</v>
      </c>
      <c r="H25" s="54">
        <v>32.81</v>
      </c>
      <c r="I25" s="54">
        <v>1.57</v>
      </c>
      <c r="J25" s="54">
        <v>0.72</v>
      </c>
      <c r="K25" s="54">
        <v>104.13</v>
      </c>
      <c r="L25" s="54">
        <v>26.36</v>
      </c>
      <c r="M25" s="54">
        <v>33.83</v>
      </c>
      <c r="N25" s="54">
        <v>92.70</v>
      </c>
      <c r="O25" s="54">
        <v>0</v>
      </c>
      <c r="P25" s="54">
        <v>0.72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199</v>
      </c>
      <c r="B26" s="54">
        <v>56.35</v>
      </c>
      <c r="C26" s="54">
        <v>98.58</v>
      </c>
      <c r="D26" s="54">
        <v>154.91999999999999</v>
      </c>
      <c r="E26" s="54">
        <v>7.52</v>
      </c>
      <c r="F26" s="54">
        <v>9.4600000000000009</v>
      </c>
      <c r="G26" s="54">
        <v>62.24</v>
      </c>
      <c r="H26" s="54">
        <v>35.590000000000003</v>
      </c>
      <c r="I26" s="54">
        <v>1.52</v>
      </c>
      <c r="J26" s="54">
        <v>0.13</v>
      </c>
      <c r="K26" s="54">
        <v>64.52</v>
      </c>
      <c r="L26" s="54">
        <v>24.89</v>
      </c>
      <c r="M26" s="54">
        <v>46.56</v>
      </c>
      <c r="N26" s="54">
        <v>70.900000000000006</v>
      </c>
      <c r="O26" s="54">
        <v>0</v>
      </c>
      <c r="P26" s="54">
        <v>1.77</v>
      </c>
      <c r="Q26" s="54">
        <v>2.02</v>
      </c>
      <c r="R26" s="43"/>
      <c r="S26" s="43"/>
      <c r="T26" s="43"/>
      <c r="U26" s="43"/>
    </row>
    <row r="27" spans="1:21" s="11" customFormat="1" ht="15">
      <c r="A27" s="53" t="s">
        <v>200</v>
      </c>
      <c r="B27" s="54">
        <v>62.30</v>
      </c>
      <c r="C27" s="54">
        <v>87.23</v>
      </c>
      <c r="D27" s="54">
        <v>140.15</v>
      </c>
      <c r="E27" s="54">
        <v>6.33</v>
      </c>
      <c r="F27" s="54">
        <v>0.93</v>
      </c>
      <c r="G27" s="54">
        <v>99.37</v>
      </c>
      <c r="H27" s="54">
        <v>34.700000000000003</v>
      </c>
      <c r="I27" s="54">
        <v>1.52</v>
      </c>
      <c r="J27" s="54">
        <v>0.14000000000000001</v>
      </c>
      <c r="K27" s="54">
        <v>331.64</v>
      </c>
      <c r="L27" s="54">
        <v>22.37</v>
      </c>
      <c r="M27" s="54">
        <v>64</v>
      </c>
      <c r="N27" s="54">
        <v>89.70</v>
      </c>
      <c r="O27" s="54">
        <v>0</v>
      </c>
      <c r="P27" s="54">
        <v>1.91</v>
      </c>
      <c r="Q27" s="54">
        <v>2.91</v>
      </c>
      <c r="R27" s="43"/>
      <c r="S27" s="43"/>
      <c r="T27" s="43"/>
      <c r="U27" s="43"/>
    </row>
    <row r="28" spans="1:21" s="11" customFormat="1" ht="15">
      <c r="A28" s="53" t="s">
        <v>201</v>
      </c>
      <c r="B28" s="54">
        <v>96.03</v>
      </c>
      <c r="C28" s="54">
        <v>72.16</v>
      </c>
      <c r="D28" s="54">
        <v>168.19</v>
      </c>
      <c r="E28" s="54">
        <v>4.21</v>
      </c>
      <c r="F28" s="54">
        <v>0.57999999999999996</v>
      </c>
      <c r="G28" s="54">
        <v>216.47</v>
      </c>
      <c r="H28" s="54">
        <v>40.270000000000003</v>
      </c>
      <c r="I28" s="54">
        <v>1.55</v>
      </c>
      <c r="J28" s="54">
        <v>0.13</v>
      </c>
      <c r="K28" s="54">
        <v>327.36</v>
      </c>
      <c r="L28" s="54">
        <v>21.45</v>
      </c>
      <c r="M28" s="54">
        <v>62.51</v>
      </c>
      <c r="N28" s="54">
        <v>79.30</v>
      </c>
      <c r="O28" s="54">
        <v>0</v>
      </c>
      <c r="P28" s="54">
        <v>2.73</v>
      </c>
      <c r="Q28" s="54">
        <v>6.85</v>
      </c>
      <c r="R28" s="43"/>
      <c r="S28" s="43"/>
      <c r="T28" s="43"/>
      <c r="U28" s="43"/>
    </row>
    <row r="29" spans="1:21" s="11" customFormat="1" ht="15">
      <c r="A29" s="53" t="s">
        <v>202</v>
      </c>
      <c r="B29" s="54">
        <v>98.16</v>
      </c>
      <c r="C29" s="54">
        <v>67.88</v>
      </c>
      <c r="D29" s="54">
        <v>166.04</v>
      </c>
      <c r="E29" s="54">
        <v>2.46</v>
      </c>
      <c r="F29" s="54">
        <v>0.70</v>
      </c>
      <c r="G29" s="54">
        <v>228.56</v>
      </c>
      <c r="H29" s="54">
        <v>55.74</v>
      </c>
      <c r="I29" s="54">
        <v>1.5</v>
      </c>
      <c r="J29" s="54">
        <v>0.18</v>
      </c>
      <c r="K29" s="54">
        <v>332.09</v>
      </c>
      <c r="L29" s="54">
        <v>20.87</v>
      </c>
      <c r="M29" s="54">
        <v>65.040000000000006</v>
      </c>
      <c r="N29" s="54">
        <v>70.70</v>
      </c>
      <c r="O29" s="54">
        <v>0</v>
      </c>
      <c r="P29" s="54">
        <v>2.4500000000000002</v>
      </c>
      <c r="Q29" s="54">
        <v>8.24</v>
      </c>
      <c r="R29" s="43"/>
      <c r="S29" s="43"/>
      <c r="T29" s="43"/>
      <c r="U29" s="43"/>
    </row>
    <row r="30" spans="1:21" s="11" customFormat="1" ht="15">
      <c r="A30" s="53" t="s">
        <v>203</v>
      </c>
      <c r="B30" s="54">
        <v>95.58</v>
      </c>
      <c r="C30" s="54">
        <v>50.54</v>
      </c>
      <c r="D30" s="54">
        <v>144.38</v>
      </c>
      <c r="E30" s="54">
        <v>2.41</v>
      </c>
      <c r="F30" s="54">
        <v>0.34</v>
      </c>
      <c r="G30" s="54">
        <v>204.55</v>
      </c>
      <c r="H30" s="54">
        <v>64.569999999999993</v>
      </c>
      <c r="I30" s="54">
        <v>1.54</v>
      </c>
      <c r="J30" s="54">
        <v>0.21</v>
      </c>
      <c r="K30" s="54">
        <v>327.69</v>
      </c>
      <c r="L30" s="54">
        <v>20.059999999999999</v>
      </c>
      <c r="M30" s="54">
        <v>68.38</v>
      </c>
      <c r="N30" s="54">
        <v>64.900000000000006</v>
      </c>
      <c r="O30" s="54">
        <v>0</v>
      </c>
      <c r="P30" s="54">
        <v>2.3199999999999998</v>
      </c>
      <c r="Q30" s="54">
        <v>8.15</v>
      </c>
      <c r="R30" s="43"/>
      <c r="S30" s="43"/>
      <c r="T30" s="43"/>
      <c r="U30" s="43"/>
    </row>
    <row r="31" spans="1:21" s="11" customFormat="1" ht="15">
      <c r="A31" s="53" t="s">
        <v>204</v>
      </c>
      <c r="B31" s="54">
        <v>81.510000000000005</v>
      </c>
      <c r="C31" s="54">
        <v>38.82</v>
      </c>
      <c r="D31" s="54">
        <v>118.46</v>
      </c>
      <c r="E31" s="54">
        <v>2.4300000000000002</v>
      </c>
      <c r="F31" s="54">
        <v>0.70</v>
      </c>
      <c r="G31" s="54">
        <v>188.98</v>
      </c>
      <c r="H31" s="54">
        <v>64.900000000000006</v>
      </c>
      <c r="I31" s="54">
        <v>1.48</v>
      </c>
      <c r="J31" s="54">
        <v>0.14000000000000001</v>
      </c>
      <c r="K31" s="54">
        <v>294.41000000000003</v>
      </c>
      <c r="L31" s="54">
        <v>20.170000000000002</v>
      </c>
      <c r="M31" s="54">
        <v>68.47</v>
      </c>
      <c r="N31" s="54">
        <v>69.5</v>
      </c>
      <c r="O31" s="54">
        <v>0</v>
      </c>
      <c r="P31" s="54">
        <v>2.16</v>
      </c>
      <c r="Q31" s="54">
        <v>10.32</v>
      </c>
      <c r="R31" s="43"/>
      <c r="S31" s="43"/>
      <c r="T31" s="43"/>
      <c r="U31" s="43"/>
    </row>
    <row r="32" spans="1:21" s="11" customFormat="1" ht="15">
      <c r="A32" s="53" t="s">
        <v>205</v>
      </c>
      <c r="B32" s="54">
        <v>88.51</v>
      </c>
      <c r="C32" s="54">
        <v>37.44</v>
      </c>
      <c r="D32" s="54">
        <v>125.95</v>
      </c>
      <c r="E32" s="54">
        <v>2.39</v>
      </c>
      <c r="F32" s="54">
        <v>0.67</v>
      </c>
      <c r="G32" s="54">
        <v>159.66999999999999</v>
      </c>
      <c r="H32" s="54">
        <v>66.989999999999995</v>
      </c>
      <c r="I32" s="54">
        <v>1.57</v>
      </c>
      <c r="J32" s="54">
        <v>0.13</v>
      </c>
      <c r="K32" s="54">
        <v>340.29</v>
      </c>
      <c r="L32" s="54">
        <v>18.899999999999999</v>
      </c>
      <c r="M32" s="54">
        <v>79.47</v>
      </c>
      <c r="N32" s="54">
        <v>69.70</v>
      </c>
      <c r="O32" s="54">
        <v>0</v>
      </c>
      <c r="P32" s="54">
        <v>2.17</v>
      </c>
      <c r="Q32" s="54">
        <v>10.58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2.9700000000000002</v>
      </c>
      <c r="C34" s="28">
        <f t="shared" si="0"/>
        <v>20.5</v>
      </c>
      <c r="D34" s="28">
        <f t="shared" si="0"/>
        <v>19.649999999999999</v>
      </c>
      <c r="E34" s="28">
        <f t="shared" si="0"/>
        <v>0.93000000000000005</v>
      </c>
      <c r="F34" s="28">
        <f t="shared" si="0"/>
        <v>0.16</v>
      </c>
      <c r="G34" s="28">
        <f t="shared" si="0"/>
        <v>24.52</v>
      </c>
      <c r="H34" s="28">
        <f t="shared" si="0"/>
        <v>32.810000000000002</v>
      </c>
      <c r="I34" s="28">
        <f t="shared" si="0"/>
        <v>1.48</v>
      </c>
      <c r="J34" s="28">
        <f t="shared" si="0"/>
        <v>0.12</v>
      </c>
      <c r="K34" s="28">
        <f t="shared" si="0"/>
        <v>64.519999999999996</v>
      </c>
      <c r="L34" s="28">
        <f t="shared" si="0"/>
        <v>17.489999999999998</v>
      </c>
      <c r="M34" s="28">
        <f t="shared" si="0"/>
        <v>30.960000000000001</v>
      </c>
      <c r="N34" s="28">
        <f t="shared" si="0"/>
        <v>53.399999999999999</v>
      </c>
      <c r="O34" s="28">
        <f t="shared" si="0"/>
        <v>0</v>
      </c>
      <c r="P34" s="28">
        <f t="shared" si="0"/>
        <v>0.38</v>
      </c>
      <c r="Q34" s="28">
        <f t="shared" si="0"/>
        <v>2.02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98.159999999999997</v>
      </c>
      <c r="C35" s="29">
        <f t="shared" si="1"/>
        <v>98.579999999999998</v>
      </c>
      <c r="D35" s="29">
        <f t="shared" si="1"/>
        <v>168.19</v>
      </c>
      <c r="E35" s="29">
        <f t="shared" si="1"/>
        <v>7.5300000000000002</v>
      </c>
      <c r="F35" s="29">
        <f t="shared" si="1"/>
        <v>34.770000000000003</v>
      </c>
      <c r="G35" s="29">
        <f t="shared" si="1"/>
        <v>228.56</v>
      </c>
      <c r="H35" s="29">
        <f t="shared" si="1"/>
        <v>81.790000000000006</v>
      </c>
      <c r="I35" s="29">
        <f t="shared" si="1"/>
        <v>1.6000000000000001</v>
      </c>
      <c r="J35" s="29">
        <f t="shared" si="1"/>
        <v>1.7</v>
      </c>
      <c r="K35" s="29">
        <f t="shared" si="1"/>
        <v>350.75999999999999</v>
      </c>
      <c r="L35" s="29">
        <f t="shared" si="1"/>
        <v>28.48</v>
      </c>
      <c r="M35" s="29">
        <f t="shared" si="1"/>
        <v>80.980000000000004</v>
      </c>
      <c r="N35" s="29">
        <f t="shared" si="1"/>
        <v>830.29999999999995</v>
      </c>
      <c r="O35" s="29">
        <f t="shared" si="1"/>
        <v>0</v>
      </c>
      <c r="P35" s="29">
        <f t="shared" si="1"/>
        <v>2.73</v>
      </c>
      <c r="Q35" s="29">
        <f t="shared" si="1"/>
        <v>10.58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34.841428571428573</v>
      </c>
      <c r="C36" s="28">
        <f t="shared" si="2"/>
        <v>39.769523809523804</v>
      </c>
      <c r="D36" s="28">
        <f t="shared" si="2"/>
        <v>67.818095238095239</v>
      </c>
      <c r="E36" s="28">
        <f t="shared" si="2"/>
        <v>2.7508333333333326</v>
      </c>
      <c r="F36" s="28">
        <f t="shared" si="2"/>
        <v>5.3000000000000007</v>
      </c>
      <c r="G36" s="28">
        <f t="shared" si="2"/>
        <v>122.91249999999998</v>
      </c>
      <c r="H36" s="28">
        <f t="shared" si="2"/>
        <v>54.105000000000011</v>
      </c>
      <c r="I36" s="28">
        <f t="shared" si="2"/>
        <v>1.5454166666666664</v>
      </c>
      <c r="J36" s="28">
        <f t="shared" si="2"/>
        <v>0.53416666666666679</v>
      </c>
      <c r="K36" s="28">
        <f t="shared" si="2"/>
        <v>250.19916666666663</v>
      </c>
      <c r="L36" s="28">
        <f t="shared" si="2"/>
        <v>22.610833333333332</v>
      </c>
      <c r="M36" s="28">
        <f t="shared" si="2"/>
        <v>60.464166666666664</v>
      </c>
      <c r="N36" s="28">
        <f t="shared" si="2"/>
        <v>260.94166666666661</v>
      </c>
      <c r="O36" s="28">
        <f t="shared" si="2"/>
        <v>0</v>
      </c>
      <c r="P36" s="28">
        <f t="shared" si="2"/>
        <v>1.1840909090909089</v>
      </c>
      <c r="Q36" s="28">
        <f t="shared" si="2"/>
        <v>5.7349999999999994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36.049665364010565</v>
      </c>
      <c r="C37" s="28">
        <f t="shared" si="3" ref="C37:Q37">STDEV(C9:C32)</f>
        <v>24.663464370641552</v>
      </c>
      <c r="D37" s="28">
        <f t="shared" si="3"/>
        <v>58.750429157500427</v>
      </c>
      <c r="E37" s="28">
        <f t="shared" si="3"/>
        <v>1.8719483378849291</v>
      </c>
      <c r="F37" s="28">
        <f t="shared" si="3"/>
        <v>9.1894159345080944</v>
      </c>
      <c r="G37" s="28">
        <f t="shared" si="3"/>
        <v>61.476819120140242</v>
      </c>
      <c r="H37" s="28">
        <f t="shared" si="3"/>
        <v>13.816984821777019</v>
      </c>
      <c r="I37" s="28">
        <f t="shared" si="3"/>
        <v>0.030783841987903876</v>
      </c>
      <c r="J37" s="28">
        <f t="shared" si="3"/>
        <v>0.49762843364403359</v>
      </c>
      <c r="K37" s="28">
        <f t="shared" si="3"/>
        <v>111.66847057703673</v>
      </c>
      <c r="L37" s="28">
        <f t="shared" si="3"/>
        <v>3.9412687392973167</v>
      </c>
      <c r="M37" s="28">
        <f t="shared" si="3"/>
        <v>17.213150917038799</v>
      </c>
      <c r="N37" s="28">
        <f t="shared" si="3"/>
        <v>285.8095913999947</v>
      </c>
      <c r="O37" s="28">
        <f t="shared" si="3"/>
        <v>0</v>
      </c>
      <c r="P37" s="28">
        <f t="shared" si="3"/>
        <v>0.74833567137767609</v>
      </c>
      <c r="Q37" s="28">
        <f t="shared" si="3"/>
        <v>1.9215120857418977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COUNT(B9:B32)+3</f>
        <v>24</v>
      </c>
      <c r="C38" s="32">
        <f>COUNT(C9:C32)+3</f>
        <v>24</v>
      </c>
      <c r="D38" s="32">
        <f>COUNT(D9:D32)+3</f>
        <v>24</v>
      </c>
      <c r="E38" s="32">
        <f t="shared" si="4" ref="E38:Q38">COUNT(E9:E32)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COUNT(P9:P32)+2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0788ab-36dc-494b-ac9d-1f283428d10d}">
  <sheetPr codeName=""/>
  <dimension ref="A1:U119"/>
  <sheetViews>
    <sheetView workbookViewId="0" topLeftCell="A1">
      <pane xSplit="2" ySplit="8" topLeftCell="C30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206</v>
      </c>
      <c r="B9" s="54">
        <v>93.25</v>
      </c>
      <c r="C9" s="54">
        <v>38.06</v>
      </c>
      <c r="D9" s="54">
        <v>131.31</v>
      </c>
      <c r="E9" s="54">
        <v>2.40</v>
      </c>
      <c r="F9" s="54">
        <v>0.21</v>
      </c>
      <c r="G9" s="54">
        <v>200.12</v>
      </c>
      <c r="H9" s="54">
        <v>65.52</v>
      </c>
      <c r="I9" s="54">
        <v>1.51</v>
      </c>
      <c r="J9" s="54">
        <v>0.14000000000000001</v>
      </c>
      <c r="K9" s="54">
        <v>309.08999999999997</v>
      </c>
      <c r="L9" s="54">
        <v>18.27</v>
      </c>
      <c r="M9" s="54">
        <v>88.31</v>
      </c>
      <c r="N9" s="54">
        <v>71.70</v>
      </c>
      <c r="O9" s="54">
        <v>0</v>
      </c>
      <c r="P9" s="54">
        <v>2.17</v>
      </c>
      <c r="Q9" s="54">
        <v>11.13</v>
      </c>
      <c r="R9" s="43"/>
      <c r="S9" s="43"/>
      <c r="T9" s="43"/>
      <c r="U9" s="43"/>
    </row>
    <row r="10" spans="1:21" s="11" customFormat="1" ht="15">
      <c r="A10" s="53" t="s">
        <v>207</v>
      </c>
      <c r="B10" s="54">
        <v>93.74</v>
      </c>
      <c r="C10" s="54">
        <v>33.15</v>
      </c>
      <c r="D10" s="54">
        <v>126.88</v>
      </c>
      <c r="E10" s="54">
        <v>2.39</v>
      </c>
      <c r="F10" s="54">
        <v>0.51</v>
      </c>
      <c r="G10" s="54">
        <v>160.5</v>
      </c>
      <c r="H10" s="54">
        <v>65.67</v>
      </c>
      <c r="I10" s="54">
        <v>1.58</v>
      </c>
      <c r="J10" s="54">
        <v>0.08</v>
      </c>
      <c r="K10" s="54">
        <v>278.54000000000002</v>
      </c>
      <c r="L10" s="54">
        <v>18.21</v>
      </c>
      <c r="M10" s="54">
        <v>86.72</v>
      </c>
      <c r="N10" s="54">
        <v>59.60</v>
      </c>
      <c r="O10" s="54">
        <v>0</v>
      </c>
      <c r="P10" s="54">
        <v>1.97</v>
      </c>
      <c r="Q10" s="54">
        <v>11.20</v>
      </c>
      <c r="R10" s="43"/>
      <c r="S10" s="43"/>
      <c r="T10" s="43"/>
      <c r="U10" s="43"/>
    </row>
    <row r="11" spans="1:21" s="11" customFormat="1" ht="15">
      <c r="A11" s="53" t="s">
        <v>208</v>
      </c>
      <c r="B11" s="54">
        <v>85.98</v>
      </c>
      <c r="C11" s="54">
        <v>31.30</v>
      </c>
      <c r="D11" s="54">
        <v>116.42</v>
      </c>
      <c r="E11" s="54">
        <v>2.21</v>
      </c>
      <c r="F11" s="54">
        <v>0.48</v>
      </c>
      <c r="G11" s="54">
        <v>137.44999999999999</v>
      </c>
      <c r="H11" s="54">
        <v>59.35</v>
      </c>
      <c r="I11" s="54">
        <v>1.53</v>
      </c>
      <c r="J11" s="54">
        <v>0.12</v>
      </c>
      <c r="K11" s="54">
        <v>318.38</v>
      </c>
      <c r="L11" s="54">
        <v>17.829999999999998</v>
      </c>
      <c r="M11" s="54">
        <v>88.28</v>
      </c>
      <c r="N11" s="54">
        <v>59</v>
      </c>
      <c r="O11" s="54">
        <v>0</v>
      </c>
      <c r="P11" s="54">
        <v>1.88</v>
      </c>
      <c r="Q11" s="54">
        <v>10.80</v>
      </c>
      <c r="R11" s="43"/>
      <c r="S11" s="43"/>
      <c r="T11" s="43"/>
      <c r="U11" s="43"/>
    </row>
    <row r="12" spans="1:21" s="11" customFormat="1" ht="15">
      <c r="A12" s="53" t="s">
        <v>209</v>
      </c>
      <c r="B12" s="54">
        <v>74.44</v>
      </c>
      <c r="C12" s="54">
        <v>34.380000000000003</v>
      </c>
      <c r="D12" s="54">
        <v>108.82</v>
      </c>
      <c r="E12" s="54">
        <v>2.08</v>
      </c>
      <c r="F12" s="54">
        <v>0.08</v>
      </c>
      <c r="G12" s="54">
        <v>142.05000000000001</v>
      </c>
      <c r="H12" s="54">
        <v>63.79</v>
      </c>
      <c r="I12" s="54">
        <v>1.60</v>
      </c>
      <c r="J12" s="54">
        <v>0.14000000000000001</v>
      </c>
      <c r="K12" s="54">
        <v>323.11</v>
      </c>
      <c r="L12" s="54">
        <v>17.829999999999998</v>
      </c>
      <c r="M12" s="54">
        <v>88.85</v>
      </c>
      <c r="N12" s="54">
        <v>59.30</v>
      </c>
      <c r="O12" s="54">
        <v>0</v>
      </c>
      <c r="P12" s="54">
        <v>1.74</v>
      </c>
      <c r="Q12" s="54">
        <v>10.119999999999999</v>
      </c>
      <c r="R12" s="43"/>
      <c r="S12" s="43"/>
      <c r="T12" s="43"/>
      <c r="U12" s="43"/>
    </row>
    <row r="13" spans="1:21" s="11" customFormat="1" ht="15">
      <c r="A13" s="53" t="s">
        <v>210</v>
      </c>
      <c r="B13" s="54">
        <v>69.34</v>
      </c>
      <c r="C13" s="54">
        <v>30.01</v>
      </c>
      <c r="D13" s="54">
        <v>99.13</v>
      </c>
      <c r="E13" s="54">
        <v>1.87</v>
      </c>
      <c r="F13" s="54">
        <v>0.53</v>
      </c>
      <c r="G13" s="54">
        <v>149.59</v>
      </c>
      <c r="H13" s="54">
        <v>68.38</v>
      </c>
      <c r="I13" s="54">
        <v>1.53</v>
      </c>
      <c r="J13" s="54">
        <v>0.12</v>
      </c>
      <c r="K13" s="54">
        <v>313.72000000000003</v>
      </c>
      <c r="L13" s="54">
        <v>17.420000000000002</v>
      </c>
      <c r="M13" s="54">
        <v>90.82</v>
      </c>
      <c r="N13" s="54">
        <v>60.10</v>
      </c>
      <c r="O13" s="54">
        <v>0</v>
      </c>
      <c r="P13" s="54">
        <v>1.60</v>
      </c>
      <c r="Q13" s="54">
        <v>9.2899999999999991</v>
      </c>
      <c r="R13" s="43"/>
      <c r="S13" s="43"/>
      <c r="T13" s="43"/>
      <c r="U13" s="43"/>
    </row>
    <row r="14" spans="1:21" s="11" customFormat="1" ht="15">
      <c r="A14" s="53" t="s">
        <v>211</v>
      </c>
      <c r="B14" s="54">
        <v>73.489999999999995</v>
      </c>
      <c r="C14" s="54">
        <v>29.96</v>
      </c>
      <c r="D14" s="54">
        <v>103.08</v>
      </c>
      <c r="E14" s="54">
        <v>1.78</v>
      </c>
      <c r="F14" s="54">
        <v>0.46</v>
      </c>
      <c r="G14" s="54">
        <v>206.01</v>
      </c>
      <c r="H14" s="54">
        <v>82.51</v>
      </c>
      <c r="I14" s="54">
        <v>1.54</v>
      </c>
      <c r="J14" s="54">
        <v>0.12</v>
      </c>
      <c r="K14" s="54">
        <v>302.48</v>
      </c>
      <c r="L14" s="54">
        <v>16.920000000000002</v>
      </c>
      <c r="M14" s="54">
        <v>91.23</v>
      </c>
      <c r="N14" s="54">
        <v>61.40</v>
      </c>
      <c r="O14" s="54">
        <v>0</v>
      </c>
      <c r="P14" s="54">
        <v>1.56</v>
      </c>
      <c r="Q14" s="54">
        <v>9.7200000000000006</v>
      </c>
      <c r="R14" s="43"/>
      <c r="S14" s="43"/>
      <c r="T14" s="43"/>
      <c r="U14" s="43"/>
    </row>
    <row r="15" spans="1:21" s="11" customFormat="1" ht="15">
      <c r="A15" s="53" t="s">
        <v>212</v>
      </c>
      <c r="B15" s="54">
        <v>89.52</v>
      </c>
      <c r="C15" s="54">
        <v>32.18</v>
      </c>
      <c r="D15" s="54">
        <v>121.70</v>
      </c>
      <c r="E15" s="54">
        <v>2.10</v>
      </c>
      <c r="F15" s="54">
        <v>0.10</v>
      </c>
      <c r="G15" s="54">
        <v>227.71</v>
      </c>
      <c r="H15" s="54">
        <v>88.83</v>
      </c>
      <c r="I15" s="54">
        <v>1.54</v>
      </c>
      <c r="J15" s="54">
        <v>0.13</v>
      </c>
      <c r="K15" s="54">
        <v>337.26</v>
      </c>
      <c r="L15" s="54">
        <v>16.850000000000001</v>
      </c>
      <c r="M15" s="54">
        <v>97.95</v>
      </c>
      <c r="N15" s="54">
        <v>131.10</v>
      </c>
      <c r="O15" s="54">
        <v>0</v>
      </c>
      <c r="P15" s="54">
        <v>1.54</v>
      </c>
      <c r="Q15" s="54">
        <v>10.56</v>
      </c>
      <c r="R15" s="43"/>
      <c r="S15" s="43"/>
      <c r="T15" s="43"/>
      <c r="U15" s="43"/>
    </row>
    <row r="16" spans="1:21" s="11" customFormat="1" ht="15">
      <c r="A16" s="53" t="s">
        <v>213</v>
      </c>
      <c r="B16" s="54">
        <v>92.42</v>
      </c>
      <c r="C16" s="54">
        <v>39.90</v>
      </c>
      <c r="D16" s="54">
        <v>130.58000000000001</v>
      </c>
      <c r="E16" s="54">
        <v>2.0099999999999998</v>
      </c>
      <c r="F16" s="54">
        <v>0.5</v>
      </c>
      <c r="G16" s="57" t="s">
        <v>14</v>
      </c>
      <c r="H16" s="57" t="s">
        <v>14</v>
      </c>
      <c r="I16" s="54">
        <v>1.51</v>
      </c>
      <c r="J16" s="54">
        <v>0.26</v>
      </c>
      <c r="K16" s="54">
        <v>347.79</v>
      </c>
      <c r="L16" s="54">
        <v>24.47</v>
      </c>
      <c r="M16" s="54">
        <v>78.59</v>
      </c>
      <c r="N16" s="54">
        <v>342.90</v>
      </c>
      <c r="O16" s="54">
        <v>0</v>
      </c>
      <c r="P16" s="54">
        <v>1.64</v>
      </c>
      <c r="Q16" s="54">
        <v>10.99</v>
      </c>
      <c r="R16" s="43"/>
      <c r="S16" s="43"/>
      <c r="T16" s="43"/>
      <c r="U16" s="43"/>
    </row>
    <row r="17" spans="1:21" s="11" customFormat="1" ht="15">
      <c r="A17" s="53" t="s">
        <v>214</v>
      </c>
      <c r="B17" s="54">
        <v>89.91</v>
      </c>
      <c r="C17" s="54">
        <v>44.73</v>
      </c>
      <c r="D17" s="54">
        <v>132.59</v>
      </c>
      <c r="E17" s="54">
        <v>1.74</v>
      </c>
      <c r="F17" s="54">
        <v>0.45</v>
      </c>
      <c r="G17" s="57" t="s">
        <v>14</v>
      </c>
      <c r="H17" s="57" t="s">
        <v>14</v>
      </c>
      <c r="I17" s="54">
        <v>1.58</v>
      </c>
      <c r="J17" s="54">
        <v>0.51</v>
      </c>
      <c r="K17" s="54">
        <v>344.12</v>
      </c>
      <c r="L17" s="54">
        <v>26.70</v>
      </c>
      <c r="M17" s="54">
        <v>55.62</v>
      </c>
      <c r="N17" s="54">
        <v>515</v>
      </c>
      <c r="O17" s="54">
        <v>0</v>
      </c>
      <c r="P17" s="54">
        <v>1.65</v>
      </c>
      <c r="Q17" s="54">
        <v>10.92</v>
      </c>
      <c r="R17" s="43"/>
      <c r="S17" s="43"/>
      <c r="T17" s="43"/>
      <c r="U17" s="43"/>
    </row>
    <row r="18" spans="1:21" s="11" customFormat="1" ht="15">
      <c r="A18" s="53" t="s">
        <v>215</v>
      </c>
      <c r="B18" s="54">
        <v>80.80</v>
      </c>
      <c r="C18" s="54">
        <v>41.58</v>
      </c>
      <c r="D18" s="54">
        <v>120.98</v>
      </c>
      <c r="E18" s="54">
        <v>1.76</v>
      </c>
      <c r="F18" s="54">
        <v>0.93</v>
      </c>
      <c r="G18" s="57" t="s">
        <v>14</v>
      </c>
      <c r="H18" s="57" t="s">
        <v>14</v>
      </c>
      <c r="I18" s="54">
        <v>1.51</v>
      </c>
      <c r="J18" s="54">
        <v>0.55000000000000004</v>
      </c>
      <c r="K18" s="54">
        <v>342.19</v>
      </c>
      <c r="L18" s="54">
        <v>28.09</v>
      </c>
      <c r="M18" s="54">
        <v>50.42</v>
      </c>
      <c r="N18" s="54">
        <v>634.5</v>
      </c>
      <c r="O18" s="54">
        <v>0</v>
      </c>
      <c r="P18" s="54">
        <v>1.62</v>
      </c>
      <c r="Q18" s="54">
        <v>10.80</v>
      </c>
      <c r="R18" s="43"/>
      <c r="S18" s="43"/>
      <c r="T18" s="43"/>
      <c r="U18" s="43"/>
    </row>
    <row r="19" spans="1:21" s="11" customFormat="1" ht="15">
      <c r="A19" s="53" t="s">
        <v>216</v>
      </c>
      <c r="B19" s="54">
        <v>65.459999999999994</v>
      </c>
      <c r="C19" s="54">
        <v>45.85</v>
      </c>
      <c r="D19" s="54">
        <v>106.72</v>
      </c>
      <c r="E19" s="54">
        <v>2.5</v>
      </c>
      <c r="F19" s="54">
        <v>2.66</v>
      </c>
      <c r="G19" s="54">
        <v>228.81</v>
      </c>
      <c r="H19" s="54">
        <v>120.11</v>
      </c>
      <c r="I19" s="54">
        <v>1.65</v>
      </c>
      <c r="J19" s="54">
        <v>0.38</v>
      </c>
      <c r="K19" s="54">
        <v>221.68</v>
      </c>
      <c r="L19" s="54">
        <v>29.43</v>
      </c>
      <c r="M19" s="54">
        <v>36.5</v>
      </c>
      <c r="N19" s="54">
        <v>756.90</v>
      </c>
      <c r="O19" s="54">
        <v>0</v>
      </c>
      <c r="P19" s="54">
        <v>1.61</v>
      </c>
      <c r="Q19" s="54">
        <v>9.8000000000000007</v>
      </c>
      <c r="R19" s="43"/>
      <c r="S19" s="43"/>
      <c r="T19" s="43"/>
      <c r="U19" s="43"/>
    </row>
    <row r="20" spans="1:21" s="11" customFormat="1" ht="15">
      <c r="A20" s="53" t="s">
        <v>217</v>
      </c>
      <c r="B20" s="54">
        <v>42.5</v>
      </c>
      <c r="C20" s="54">
        <v>52.64</v>
      </c>
      <c r="D20" s="54">
        <v>89.40</v>
      </c>
      <c r="E20" s="54">
        <v>0.81</v>
      </c>
      <c r="F20" s="54">
        <v>6.47</v>
      </c>
      <c r="G20" s="54">
        <v>199.77</v>
      </c>
      <c r="H20" s="54">
        <v>114.41</v>
      </c>
      <c r="I20" s="54">
        <v>1.52</v>
      </c>
      <c r="J20" s="54">
        <v>0.60</v>
      </c>
      <c r="K20" s="54">
        <v>348.57</v>
      </c>
      <c r="L20" s="54">
        <v>32.21</v>
      </c>
      <c r="M20" s="54">
        <v>30.77</v>
      </c>
      <c r="N20" s="54">
        <v>794.30</v>
      </c>
      <c r="O20" s="54">
        <v>0</v>
      </c>
      <c r="P20" s="54">
        <v>1.49</v>
      </c>
      <c r="Q20" s="54">
        <v>8.01</v>
      </c>
      <c r="R20" s="43"/>
      <c r="S20" s="43"/>
      <c r="T20" s="43"/>
      <c r="U20" s="43"/>
    </row>
    <row r="21" spans="1:21" s="11" customFormat="1" ht="15">
      <c r="A21" s="53" t="s">
        <v>218</v>
      </c>
      <c r="B21" s="54">
        <v>22.54</v>
      </c>
      <c r="C21" s="54">
        <v>42.95</v>
      </c>
      <c r="D21" s="54">
        <v>65.489999999999995</v>
      </c>
      <c r="E21" s="54">
        <v>1.18</v>
      </c>
      <c r="F21" s="54">
        <v>5.71</v>
      </c>
      <c r="G21" s="54">
        <v>117.44</v>
      </c>
      <c r="H21" s="54">
        <v>94.5</v>
      </c>
      <c r="I21" s="54">
        <v>1.53</v>
      </c>
      <c r="J21" s="54">
        <v>1.21</v>
      </c>
      <c r="K21" s="54">
        <v>118.81</v>
      </c>
      <c r="L21" s="54">
        <v>30.06</v>
      </c>
      <c r="M21" s="54">
        <v>26.52</v>
      </c>
      <c r="N21" s="54">
        <v>789.90</v>
      </c>
      <c r="O21" s="54">
        <v>0</v>
      </c>
      <c r="P21" s="54">
        <v>1.30</v>
      </c>
      <c r="Q21" s="54">
        <v>6.47</v>
      </c>
      <c r="R21" s="43"/>
      <c r="S21" s="43"/>
      <c r="T21" s="43"/>
      <c r="U21" s="43"/>
    </row>
    <row r="22" spans="1:21" s="11" customFormat="1" ht="15">
      <c r="A22" s="53" t="s">
        <v>219</v>
      </c>
      <c r="B22" s="54">
        <v>13.18</v>
      </c>
      <c r="C22" s="54">
        <v>36.85</v>
      </c>
      <c r="D22" s="54">
        <v>47.33</v>
      </c>
      <c r="E22" s="54">
        <v>1.1399999999999999</v>
      </c>
      <c r="F22" s="54">
        <v>7.01</v>
      </c>
      <c r="G22" s="54">
        <v>69.30</v>
      </c>
      <c r="H22" s="54">
        <v>73.47</v>
      </c>
      <c r="I22" s="54">
        <v>1.52</v>
      </c>
      <c r="J22" s="54">
        <v>0.90</v>
      </c>
      <c r="K22" s="54">
        <v>358.21</v>
      </c>
      <c r="L22" s="54">
        <v>30.18</v>
      </c>
      <c r="M22" s="54">
        <v>24.42</v>
      </c>
      <c r="N22" s="54">
        <v>649</v>
      </c>
      <c r="O22" s="54">
        <v>0</v>
      </c>
      <c r="P22" s="54">
        <v>1.07</v>
      </c>
      <c r="Q22" s="54">
        <v>5.40</v>
      </c>
      <c r="R22" s="43"/>
      <c r="S22" s="43"/>
      <c r="T22" s="43"/>
      <c r="U22" s="43"/>
    </row>
    <row r="23" spans="1:21" s="11" customFormat="1" ht="15">
      <c r="A23" s="53" t="s">
        <v>220</v>
      </c>
      <c r="B23" s="54">
        <v>9.58</v>
      </c>
      <c r="C23" s="54">
        <v>38.619999999999997</v>
      </c>
      <c r="D23" s="54">
        <v>48.20</v>
      </c>
      <c r="E23" s="54">
        <v>1.36</v>
      </c>
      <c r="F23" s="54">
        <v>16.89</v>
      </c>
      <c r="G23" s="54">
        <v>80.94</v>
      </c>
      <c r="H23" s="54">
        <v>59.13</v>
      </c>
      <c r="I23" s="54">
        <v>1.55</v>
      </c>
      <c r="J23" s="54">
        <v>0.68</v>
      </c>
      <c r="K23" s="54">
        <v>351.04</v>
      </c>
      <c r="L23" s="54">
        <v>29.63</v>
      </c>
      <c r="M23" s="54">
        <v>25.48</v>
      </c>
      <c r="N23" s="54">
        <v>192.80</v>
      </c>
      <c r="O23" s="54">
        <v>0</v>
      </c>
      <c r="P23" s="54">
        <v>0.95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221</v>
      </c>
      <c r="B24" s="54">
        <v>10.61</v>
      </c>
      <c r="C24" s="54">
        <v>40.75</v>
      </c>
      <c r="D24" s="54">
        <v>50.37</v>
      </c>
      <c r="E24" s="54">
        <v>1.45</v>
      </c>
      <c r="F24" s="54">
        <v>19.97</v>
      </c>
      <c r="G24" s="54">
        <v>85.97</v>
      </c>
      <c r="H24" s="54">
        <v>51.85</v>
      </c>
      <c r="I24" s="54">
        <v>1.5</v>
      </c>
      <c r="J24" s="54">
        <v>1.04</v>
      </c>
      <c r="K24" s="54">
        <v>344.30</v>
      </c>
      <c r="L24" s="54">
        <v>28.31</v>
      </c>
      <c r="M24" s="54">
        <v>27.52</v>
      </c>
      <c r="N24" s="54">
        <v>129.40</v>
      </c>
      <c r="O24" s="54">
        <v>0</v>
      </c>
      <c r="P24" s="54">
        <v>0.87</v>
      </c>
      <c r="Q24" s="54">
        <v>5.04</v>
      </c>
      <c r="R24" s="43"/>
      <c r="S24" s="43"/>
      <c r="T24" s="43"/>
      <c r="U24" s="43"/>
    </row>
    <row r="25" spans="1:21" s="11" customFormat="1" ht="15">
      <c r="A25" s="53" t="s">
        <v>222</v>
      </c>
      <c r="B25" s="54">
        <v>17.5</v>
      </c>
      <c r="C25" s="54">
        <v>56.60</v>
      </c>
      <c r="D25" s="54">
        <v>73.959999999999994</v>
      </c>
      <c r="E25" s="54">
        <v>1.27</v>
      </c>
      <c r="F25" s="54">
        <v>19.62</v>
      </c>
      <c r="G25" s="54">
        <v>80.34</v>
      </c>
      <c r="H25" s="54">
        <v>44.43</v>
      </c>
      <c r="I25" s="54">
        <v>1.54</v>
      </c>
      <c r="J25" s="54">
        <v>0.28000000000000003</v>
      </c>
      <c r="K25" s="54">
        <v>347.67</v>
      </c>
      <c r="L25" s="54">
        <v>26.70</v>
      </c>
      <c r="M25" s="54">
        <v>32.56</v>
      </c>
      <c r="N25" s="54">
        <v>80.70</v>
      </c>
      <c r="O25" s="54">
        <v>0</v>
      </c>
      <c r="P25" s="54">
        <v>0.92</v>
      </c>
      <c r="Q25" s="54">
        <v>4.74</v>
      </c>
      <c r="R25" s="43"/>
      <c r="S25" s="43"/>
      <c r="T25" s="43"/>
      <c r="U25" s="43"/>
    </row>
    <row r="26" spans="1:21" s="11" customFormat="1" ht="15">
      <c r="A26" s="53" t="s">
        <v>223</v>
      </c>
      <c r="B26" s="54">
        <v>5.56</v>
      </c>
      <c r="C26" s="54">
        <v>57.85</v>
      </c>
      <c r="D26" s="54">
        <v>62.62</v>
      </c>
      <c r="E26" s="54">
        <v>1.65</v>
      </c>
      <c r="F26" s="54">
        <v>18.98</v>
      </c>
      <c r="G26" s="54">
        <v>115.97</v>
      </c>
      <c r="H26" s="54">
        <v>46.31</v>
      </c>
      <c r="I26" s="54">
        <v>1.56</v>
      </c>
      <c r="J26" s="54">
        <v>0.44</v>
      </c>
      <c r="K26" s="54">
        <v>111.71</v>
      </c>
      <c r="L26" s="54">
        <v>24.93</v>
      </c>
      <c r="M26" s="54">
        <v>39.869999999999997</v>
      </c>
      <c r="N26" s="54">
        <v>33.700000000000003</v>
      </c>
      <c r="O26" s="54">
        <v>0</v>
      </c>
      <c r="P26" s="54">
        <v>0.95</v>
      </c>
      <c r="Q26" s="54">
        <v>5.1100000000000003</v>
      </c>
      <c r="R26" s="43"/>
      <c r="S26" s="43"/>
      <c r="T26" s="43"/>
      <c r="U26" s="43"/>
    </row>
    <row r="27" spans="1:21" s="11" customFormat="1" ht="15">
      <c r="A27" s="53" t="s">
        <v>224</v>
      </c>
      <c r="B27" s="54">
        <v>32.43</v>
      </c>
      <c r="C27" s="54">
        <v>65.98</v>
      </c>
      <c r="D27" s="54">
        <v>90.64</v>
      </c>
      <c r="E27" s="54">
        <v>1.34</v>
      </c>
      <c r="F27" s="54">
        <v>14</v>
      </c>
      <c r="G27" s="54">
        <v>95.82</v>
      </c>
      <c r="H27" s="54">
        <v>46.85</v>
      </c>
      <c r="I27" s="54">
        <v>1.62</v>
      </c>
      <c r="J27" s="54">
        <v>0.10</v>
      </c>
      <c r="K27" s="54">
        <v>286.55</v>
      </c>
      <c r="L27" s="54">
        <v>23.81</v>
      </c>
      <c r="M27" s="54">
        <v>49.79</v>
      </c>
      <c r="N27" s="54">
        <v>28.60</v>
      </c>
      <c r="O27" s="54">
        <v>0</v>
      </c>
      <c r="P27" s="54">
        <v>1.48</v>
      </c>
      <c r="Q27" s="54">
        <v>4.68</v>
      </c>
      <c r="R27" s="43"/>
      <c r="S27" s="43"/>
      <c r="T27" s="43"/>
      <c r="U27" s="43"/>
    </row>
    <row r="28" spans="1:21" s="11" customFormat="1" ht="15">
      <c r="A28" s="53" t="s">
        <v>225</v>
      </c>
      <c r="B28" s="54">
        <v>38.86</v>
      </c>
      <c r="C28" s="54">
        <v>47.13</v>
      </c>
      <c r="D28" s="54">
        <v>82.51</v>
      </c>
      <c r="E28" s="54">
        <v>0.81</v>
      </c>
      <c r="F28" s="54">
        <v>0.69</v>
      </c>
      <c r="G28" s="55" t="s">
        <v>8</v>
      </c>
      <c r="H28" s="55" t="s">
        <v>8</v>
      </c>
      <c r="I28" s="54">
        <v>1.54</v>
      </c>
      <c r="J28" s="54">
        <v>0.16</v>
      </c>
      <c r="K28" s="54">
        <v>317.42</v>
      </c>
      <c r="L28" s="54">
        <v>21.60</v>
      </c>
      <c r="M28" s="54">
        <v>58.41</v>
      </c>
      <c r="N28" s="54">
        <v>28.40</v>
      </c>
      <c r="O28" s="54">
        <v>0</v>
      </c>
      <c r="P28" s="54">
        <v>1.5</v>
      </c>
      <c r="Q28" s="54">
        <v>3.25</v>
      </c>
      <c r="R28" s="43"/>
      <c r="S28" s="43"/>
      <c r="T28" s="43"/>
      <c r="U28" s="43"/>
    </row>
    <row r="29" spans="1:21" s="11" customFormat="1" ht="15">
      <c r="A29" s="53" t="s">
        <v>226</v>
      </c>
      <c r="B29" s="54">
        <v>76.72</v>
      </c>
      <c r="C29" s="54">
        <v>52.55</v>
      </c>
      <c r="D29" s="54">
        <v>125.51</v>
      </c>
      <c r="E29" s="54">
        <v>0.81</v>
      </c>
      <c r="F29" s="54">
        <v>0.31</v>
      </c>
      <c r="G29" s="55" t="s">
        <v>8</v>
      </c>
      <c r="H29" s="55" t="s">
        <v>8</v>
      </c>
      <c r="I29" s="54">
        <v>1.54</v>
      </c>
      <c r="J29" s="54">
        <v>0.15</v>
      </c>
      <c r="K29" s="54">
        <v>331.53</v>
      </c>
      <c r="L29" s="54">
        <v>20.47</v>
      </c>
      <c r="M29" s="54">
        <v>66.31</v>
      </c>
      <c r="N29" s="54">
        <v>28.40</v>
      </c>
      <c r="O29" s="54">
        <v>0</v>
      </c>
      <c r="P29" s="54">
        <v>2.09</v>
      </c>
      <c r="Q29" s="54">
        <v>5.17</v>
      </c>
      <c r="R29" s="43"/>
      <c r="S29" s="43"/>
      <c r="T29" s="43"/>
      <c r="U29" s="43"/>
    </row>
    <row r="30" spans="1:21" s="11" customFormat="1" ht="15">
      <c r="A30" s="53" t="s">
        <v>227</v>
      </c>
      <c r="B30" s="54">
        <v>106.34</v>
      </c>
      <c r="C30" s="54">
        <v>56.38</v>
      </c>
      <c r="D30" s="54">
        <v>162.72</v>
      </c>
      <c r="E30" s="54">
        <v>0.81</v>
      </c>
      <c r="F30" s="54">
        <v>0.51</v>
      </c>
      <c r="G30" s="55" t="s">
        <v>8</v>
      </c>
      <c r="H30" s="55" t="s">
        <v>8</v>
      </c>
      <c r="I30" s="54">
        <v>1.53</v>
      </c>
      <c r="J30" s="54">
        <v>0.15</v>
      </c>
      <c r="K30" s="54">
        <v>331.32</v>
      </c>
      <c r="L30" s="54">
        <v>19.70</v>
      </c>
      <c r="M30" s="54">
        <v>73.20</v>
      </c>
      <c r="N30" s="54">
        <v>28.40</v>
      </c>
      <c r="O30" s="54">
        <v>0</v>
      </c>
      <c r="P30" s="54">
        <v>2.34</v>
      </c>
      <c r="Q30" s="54">
        <v>8.84</v>
      </c>
      <c r="R30" s="43"/>
      <c r="S30" s="43"/>
      <c r="T30" s="43"/>
      <c r="U30" s="43"/>
    </row>
    <row r="31" spans="1:21" s="11" customFormat="1" ht="15">
      <c r="A31" s="53" t="s">
        <v>228</v>
      </c>
      <c r="B31" s="54">
        <v>120.77</v>
      </c>
      <c r="C31" s="54">
        <v>42.40</v>
      </c>
      <c r="D31" s="54">
        <v>161.09</v>
      </c>
      <c r="E31" s="54">
        <v>0.65</v>
      </c>
      <c r="F31" s="54">
        <v>0.30</v>
      </c>
      <c r="G31" s="55" t="s">
        <v>8</v>
      </c>
      <c r="H31" s="55" t="s">
        <v>8</v>
      </c>
      <c r="I31" s="54">
        <v>1.51</v>
      </c>
      <c r="J31" s="54">
        <v>0.12</v>
      </c>
      <c r="K31" s="54">
        <v>297.18</v>
      </c>
      <c r="L31" s="54">
        <v>18.940000000000001</v>
      </c>
      <c r="M31" s="54">
        <v>78.80</v>
      </c>
      <c r="N31" s="54">
        <v>28.30</v>
      </c>
      <c r="O31" s="54">
        <v>0</v>
      </c>
      <c r="P31" s="54">
        <v>2.4700000000000002</v>
      </c>
      <c r="Q31" s="54">
        <v>13.19</v>
      </c>
      <c r="R31" s="43"/>
      <c r="S31" s="43"/>
      <c r="T31" s="43"/>
      <c r="U31" s="43"/>
    </row>
    <row r="32" spans="1:21" s="11" customFormat="1" ht="15">
      <c r="A32" s="53" t="s">
        <v>229</v>
      </c>
      <c r="B32" s="54">
        <v>128.19999999999999</v>
      </c>
      <c r="C32" s="54">
        <v>42.28</v>
      </c>
      <c r="D32" s="54">
        <v>170.48</v>
      </c>
      <c r="E32" s="54">
        <v>0.68</v>
      </c>
      <c r="F32" s="54">
        <v>0.30</v>
      </c>
      <c r="G32" s="55" t="s">
        <v>8</v>
      </c>
      <c r="H32" s="55" t="s">
        <v>8</v>
      </c>
      <c r="I32" s="54">
        <v>1.56</v>
      </c>
      <c r="J32" s="54">
        <v>0.16</v>
      </c>
      <c r="K32" s="54">
        <v>324.52</v>
      </c>
      <c r="L32" s="54">
        <v>18.54</v>
      </c>
      <c r="M32" s="54">
        <v>84.92</v>
      </c>
      <c r="N32" s="54">
        <v>28.5</v>
      </c>
      <c r="O32" s="54">
        <v>0</v>
      </c>
      <c r="P32" s="54">
        <v>2.4900000000000002</v>
      </c>
      <c r="Q32" s="54">
        <v>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5.5599999999999996</v>
      </c>
      <c r="C34" s="28">
        <f t="shared" si="0"/>
        <v>29.960000000000001</v>
      </c>
      <c r="D34" s="28">
        <f t="shared" si="0"/>
        <v>47.329999999999998</v>
      </c>
      <c r="E34" s="28">
        <f t="shared" si="0"/>
        <v>0.65000000000000002</v>
      </c>
      <c r="F34" s="28">
        <f t="shared" si="0"/>
        <v>0.080000000000000002</v>
      </c>
      <c r="G34" s="28">
        <f t="shared" si="0"/>
        <v>69.299999999999997</v>
      </c>
      <c r="H34" s="28">
        <f t="shared" si="0"/>
        <v>44.43</v>
      </c>
      <c r="I34" s="28">
        <f t="shared" si="0"/>
        <v>1.5</v>
      </c>
      <c r="J34" s="28">
        <f t="shared" si="0"/>
        <v>0.080000000000000002</v>
      </c>
      <c r="K34" s="28">
        <f t="shared" si="0"/>
        <v>111.70999999999999</v>
      </c>
      <c r="L34" s="28">
        <f t="shared" si="0"/>
        <v>16.850000000000001</v>
      </c>
      <c r="M34" s="28">
        <f t="shared" si="0"/>
        <v>24.420000000000002</v>
      </c>
      <c r="N34" s="28">
        <f t="shared" si="0"/>
        <v>28.300000000000001</v>
      </c>
      <c r="O34" s="28">
        <f t="shared" si="0"/>
        <v>0</v>
      </c>
      <c r="P34" s="28">
        <f t="shared" si="0"/>
        <v>0.87</v>
      </c>
      <c r="Q34" s="28">
        <f t="shared" si="0"/>
        <v>3.25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128.19999999999999</v>
      </c>
      <c r="C35" s="29">
        <f t="shared" si="1"/>
        <v>65.980000000000004</v>
      </c>
      <c r="D35" s="29">
        <f t="shared" si="1"/>
        <v>170.47999999999999</v>
      </c>
      <c r="E35" s="29">
        <f t="shared" si="1"/>
        <v>2.5</v>
      </c>
      <c r="F35" s="29">
        <f t="shared" si="1"/>
        <v>19.969999999999999</v>
      </c>
      <c r="G35" s="29">
        <f t="shared" si="1"/>
        <v>228.81</v>
      </c>
      <c r="H35" s="29">
        <f t="shared" si="1"/>
        <v>120.11</v>
      </c>
      <c r="I35" s="29">
        <f t="shared" si="1"/>
        <v>1.6499999999999999</v>
      </c>
      <c r="J35" s="29">
        <f t="shared" si="1"/>
        <v>1.21</v>
      </c>
      <c r="K35" s="29">
        <f t="shared" si="1"/>
        <v>358.20999999999998</v>
      </c>
      <c r="L35" s="29">
        <f t="shared" si="1"/>
        <v>32.210000000000001</v>
      </c>
      <c r="M35" s="29">
        <f t="shared" si="1"/>
        <v>97.950000000000003</v>
      </c>
      <c r="N35" s="29">
        <f t="shared" si="1"/>
        <v>794.29999999999995</v>
      </c>
      <c r="O35" s="29">
        <f t="shared" si="1"/>
        <v>0</v>
      </c>
      <c r="P35" s="29">
        <f t="shared" si="1"/>
        <v>2.4900000000000002</v>
      </c>
      <c r="Q35" s="29">
        <f t="shared" si="1"/>
        <v>14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63.880833333333321</v>
      </c>
      <c r="C36" s="28">
        <f t="shared" si="2"/>
        <v>43.086666666666666</v>
      </c>
      <c r="D36" s="28">
        <f t="shared" si="2"/>
        <v>105.35541666666667</v>
      </c>
      <c r="E36" s="28">
        <f t="shared" si="2"/>
        <v>1.5333333333333332</v>
      </c>
      <c r="F36" s="28">
        <f t="shared" si="2"/>
        <v>4.902916666666667</v>
      </c>
      <c r="G36" s="28">
        <f t="shared" si="2"/>
        <v>143.611875</v>
      </c>
      <c r="H36" s="28">
        <f t="shared" si="2"/>
        <v>71.569374999999994</v>
      </c>
      <c r="I36" s="28">
        <f t="shared" si="2"/>
        <v>1.5458333333333334</v>
      </c>
      <c r="J36" s="28">
        <f t="shared" si="2"/>
        <v>0.35583333333333328</v>
      </c>
      <c r="K36" s="28">
        <f t="shared" si="2"/>
        <v>304.46625</v>
      </c>
      <c r="L36" s="28">
        <f t="shared" si="2"/>
        <v>23.212500000000006</v>
      </c>
      <c r="M36" s="28">
        <f t="shared" si="2"/>
        <v>61.327499999999993</v>
      </c>
      <c r="N36" s="28">
        <f t="shared" si="2"/>
        <v>232.99583333333328</v>
      </c>
      <c r="O36" s="28">
        <f t="shared" si="2"/>
        <v>0</v>
      </c>
      <c r="P36" s="28">
        <f t="shared" si="2"/>
        <v>1.6208333333333333</v>
      </c>
      <c r="Q36" s="28">
        <f t="shared" si="2"/>
        <v>8.5183333333333344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37.268732076362788</v>
      </c>
      <c r="C37" s="28">
        <f t="shared" si="3" ref="C37:Q37">STDEV(C9:C32)</f>
        <v>9.7529543647338208</v>
      </c>
      <c r="D37" s="28">
        <f t="shared" si="3"/>
        <v>35.693296652253842</v>
      </c>
      <c r="E37" s="28">
        <f t="shared" si="3"/>
        <v>0.590906942329124</v>
      </c>
      <c r="F37" s="28">
        <f t="shared" si="3"/>
        <v>7.1699417735593833</v>
      </c>
      <c r="G37" s="28">
        <f t="shared" si="3"/>
        <v>55.040613758538989</v>
      </c>
      <c r="H37" s="28">
        <f t="shared" si="3"/>
        <v>23.035025929730015</v>
      </c>
      <c r="I37" s="28">
        <f t="shared" si="3"/>
        <v>0.03717370116051151</v>
      </c>
      <c r="J37" s="28">
        <f t="shared" si="3"/>
        <v>0.32384801409285202</v>
      </c>
      <c r="K37" s="28">
        <f t="shared" si="3"/>
        <v>65.475686480621619</v>
      </c>
      <c r="L37" s="28">
        <f t="shared" si="3"/>
        <v>5.1869000962709197</v>
      </c>
      <c r="M37" s="28">
        <f t="shared" si="3"/>
        <v>25.893304195755178</v>
      </c>
      <c r="N37" s="28">
        <f t="shared" si="3"/>
        <v>282.6992755856773</v>
      </c>
      <c r="O37" s="28">
        <f t="shared" si="3"/>
        <v>0</v>
      </c>
      <c r="P37" s="28">
        <f t="shared" si="3"/>
        <v>0.47289962779750172</v>
      </c>
      <c r="Q37" s="28">
        <f t="shared" si="3"/>
        <v>3.0610294754012668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COUNT(G9:G32)+8</f>
        <v>24</v>
      </c>
      <c r="H38" s="32">
        <f>COUNT(H9:H32)+8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df9eb0-4753-426b-9e6d-0a3eef0ba3c4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42" sqref="H42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230</v>
      </c>
      <c r="B9" s="54">
        <v>117.29</v>
      </c>
      <c r="C9" s="54">
        <v>41.47</v>
      </c>
      <c r="D9" s="54">
        <v>158.76</v>
      </c>
      <c r="E9" s="54">
        <v>0.67</v>
      </c>
      <c r="F9" s="54">
        <v>0.22</v>
      </c>
      <c r="G9" s="59" t="s">
        <v>8</v>
      </c>
      <c r="H9" s="59" t="s">
        <v>8</v>
      </c>
      <c r="I9" s="54">
        <v>1.51</v>
      </c>
      <c r="J9" s="54">
        <v>0.13</v>
      </c>
      <c r="K9" s="54">
        <v>297.86</v>
      </c>
      <c r="L9" s="54">
        <v>17.760000000000002</v>
      </c>
      <c r="M9" s="54">
        <v>88.04</v>
      </c>
      <c r="N9" s="54">
        <v>28.5</v>
      </c>
      <c r="O9" s="54">
        <v>0</v>
      </c>
      <c r="P9" s="54">
        <v>2.31</v>
      </c>
      <c r="Q9" s="54">
        <v>13.69</v>
      </c>
      <c r="R9" s="43"/>
      <c r="S9" s="43"/>
      <c r="T9" s="43"/>
      <c r="U9" s="43"/>
    </row>
    <row r="10" spans="1:21" s="11" customFormat="1" ht="15">
      <c r="A10" s="53" t="s">
        <v>231</v>
      </c>
      <c r="B10" s="54">
        <v>108.93</v>
      </c>
      <c r="C10" s="54">
        <v>33.36</v>
      </c>
      <c r="D10" s="54">
        <v>141.97</v>
      </c>
      <c r="E10" s="54">
        <v>0.56999999999999995</v>
      </c>
      <c r="F10" s="54">
        <v>0.37</v>
      </c>
      <c r="G10" s="59" t="s">
        <v>8</v>
      </c>
      <c r="H10" s="59" t="s">
        <v>8</v>
      </c>
      <c r="I10" s="54">
        <v>1.53</v>
      </c>
      <c r="J10" s="54">
        <v>0.15</v>
      </c>
      <c r="K10" s="54">
        <v>284.47000000000003</v>
      </c>
      <c r="L10" s="54">
        <v>17.97</v>
      </c>
      <c r="M10" s="54">
        <v>86.88</v>
      </c>
      <c r="N10" s="54">
        <v>28.30</v>
      </c>
      <c r="O10" s="54">
        <v>0</v>
      </c>
      <c r="P10" s="54">
        <v>2.0099999999999998</v>
      </c>
      <c r="Q10" s="54">
        <v>12.88</v>
      </c>
      <c r="R10" s="43"/>
      <c r="S10" s="43"/>
      <c r="T10" s="43"/>
      <c r="U10" s="43"/>
    </row>
    <row r="11" spans="1:21" s="11" customFormat="1" ht="15">
      <c r="A11" s="53" t="s">
        <v>232</v>
      </c>
      <c r="B11" s="54">
        <v>94.01</v>
      </c>
      <c r="C11" s="54">
        <v>31.96</v>
      </c>
      <c r="D11" s="54">
        <v>124.48</v>
      </c>
      <c r="E11" s="54">
        <v>0.54</v>
      </c>
      <c r="F11" s="54">
        <v>0.45</v>
      </c>
      <c r="G11" s="59" t="s">
        <v>8</v>
      </c>
      <c r="H11" s="59" t="s">
        <v>8</v>
      </c>
      <c r="I11" s="54">
        <v>1.55</v>
      </c>
      <c r="J11" s="54">
        <v>0.14000000000000001</v>
      </c>
      <c r="K11" s="54">
        <v>325.93</v>
      </c>
      <c r="L11" s="54">
        <v>17.559999999999999</v>
      </c>
      <c r="M11" s="54">
        <v>87.31</v>
      </c>
      <c r="N11" s="54">
        <v>28.70</v>
      </c>
      <c r="O11" s="54">
        <v>0</v>
      </c>
      <c r="P11" s="54">
        <v>1.87</v>
      </c>
      <c r="Q11" s="54">
        <v>11.76</v>
      </c>
      <c r="R11" s="43"/>
      <c r="S11" s="43"/>
      <c r="T11" s="43"/>
      <c r="U11" s="43"/>
    </row>
    <row r="12" spans="1:21" s="11" customFormat="1" ht="15">
      <c r="A12" s="53" t="s">
        <v>233</v>
      </c>
      <c r="B12" s="54">
        <v>81.41</v>
      </c>
      <c r="C12" s="54">
        <v>31.28</v>
      </c>
      <c r="D12" s="54">
        <v>112.70</v>
      </c>
      <c r="E12" s="54">
        <v>0.53</v>
      </c>
      <c r="F12" s="54">
        <v>0.34</v>
      </c>
      <c r="G12" s="59" t="s">
        <v>8</v>
      </c>
      <c r="H12" s="59" t="s">
        <v>8</v>
      </c>
      <c r="I12" s="54">
        <v>1.51</v>
      </c>
      <c r="J12" s="54">
        <v>0.11</v>
      </c>
      <c r="K12" s="54">
        <v>315.95</v>
      </c>
      <c r="L12" s="54">
        <v>16.78</v>
      </c>
      <c r="M12" s="54">
        <v>89.92</v>
      </c>
      <c r="N12" s="54">
        <v>28.70</v>
      </c>
      <c r="O12" s="54">
        <v>0</v>
      </c>
      <c r="P12" s="54">
        <v>1.68</v>
      </c>
      <c r="Q12" s="54">
        <v>10.74</v>
      </c>
      <c r="R12" s="43"/>
      <c r="S12" s="43"/>
      <c r="T12" s="43"/>
      <c r="U12" s="43"/>
    </row>
    <row r="13" spans="1:21" s="11" customFormat="1" ht="15">
      <c r="A13" s="53" t="s">
        <v>234</v>
      </c>
      <c r="B13" s="54">
        <v>77.25</v>
      </c>
      <c r="C13" s="54">
        <v>29.75</v>
      </c>
      <c r="D13" s="54">
        <v>107</v>
      </c>
      <c r="E13" s="54">
        <v>0.42</v>
      </c>
      <c r="F13" s="54">
        <v>0.33</v>
      </c>
      <c r="G13" s="59" t="s">
        <v>8</v>
      </c>
      <c r="H13" s="59" t="s">
        <v>8</v>
      </c>
      <c r="I13" s="54">
        <v>1.52</v>
      </c>
      <c r="J13" s="54">
        <v>0.14000000000000001</v>
      </c>
      <c r="K13" s="54">
        <v>311.12</v>
      </c>
      <c r="L13" s="54">
        <v>16.36</v>
      </c>
      <c r="M13" s="54">
        <v>94.22</v>
      </c>
      <c r="N13" s="54">
        <v>28.40</v>
      </c>
      <c r="O13" s="54">
        <v>0</v>
      </c>
      <c r="P13" s="54">
        <v>1.56</v>
      </c>
      <c r="Q13" s="54">
        <v>10.25</v>
      </c>
      <c r="R13" s="43"/>
      <c r="S13" s="43"/>
      <c r="T13" s="43"/>
      <c r="U13" s="43"/>
    </row>
    <row r="14" spans="1:21" s="11" customFormat="1" ht="15">
      <c r="A14" s="53" t="s">
        <v>235</v>
      </c>
      <c r="B14" s="54">
        <v>81.31</v>
      </c>
      <c r="C14" s="54">
        <v>29.55</v>
      </c>
      <c r="D14" s="54">
        <v>110.70</v>
      </c>
      <c r="E14" s="54">
        <v>0.48</v>
      </c>
      <c r="F14" s="54">
        <v>0.24</v>
      </c>
      <c r="G14" s="59" t="s">
        <v>8</v>
      </c>
      <c r="H14" s="59" t="s">
        <v>8</v>
      </c>
      <c r="I14" s="54">
        <v>1.53</v>
      </c>
      <c r="J14" s="54">
        <v>0.15</v>
      </c>
      <c r="K14" s="54">
        <v>335.51</v>
      </c>
      <c r="L14" s="54">
        <v>15.95</v>
      </c>
      <c r="M14" s="54">
        <v>98.26</v>
      </c>
      <c r="N14" s="54">
        <v>29.90</v>
      </c>
      <c r="O14" s="54">
        <v>0</v>
      </c>
      <c r="P14" s="54">
        <v>1.45</v>
      </c>
      <c r="Q14" s="54">
        <v>10.31</v>
      </c>
      <c r="R14" s="43"/>
      <c r="S14" s="43"/>
      <c r="T14" s="43"/>
      <c r="U14" s="43"/>
    </row>
    <row r="15" spans="1:21" s="11" customFormat="1" ht="15">
      <c r="A15" s="53" t="s">
        <v>236</v>
      </c>
      <c r="B15" s="54">
        <v>93.10</v>
      </c>
      <c r="C15" s="54">
        <v>30.48</v>
      </c>
      <c r="D15" s="54">
        <v>123.58</v>
      </c>
      <c r="E15" s="54">
        <v>0.5</v>
      </c>
      <c r="F15" s="54">
        <v>0.32</v>
      </c>
      <c r="G15" s="59" t="s">
        <v>8</v>
      </c>
      <c r="H15" s="59" t="s">
        <v>8</v>
      </c>
      <c r="I15" s="54">
        <v>1.53</v>
      </c>
      <c r="J15" s="54">
        <v>0.11</v>
      </c>
      <c r="K15" s="54">
        <v>319.91000000000003</v>
      </c>
      <c r="L15" s="54">
        <v>17.5</v>
      </c>
      <c r="M15" s="54">
        <v>98.68</v>
      </c>
      <c r="N15" s="54">
        <v>91.20</v>
      </c>
      <c r="O15" s="54">
        <v>0</v>
      </c>
      <c r="P15" s="54">
        <v>1.41</v>
      </c>
      <c r="Q15" s="54">
        <v>11.16</v>
      </c>
      <c r="R15" s="43"/>
      <c r="S15" s="43"/>
      <c r="T15" s="43"/>
      <c r="U15" s="43"/>
    </row>
    <row r="16" spans="1:21" s="11" customFormat="1" ht="15">
      <c r="A16" s="53" t="s">
        <v>237</v>
      </c>
      <c r="B16" s="54">
        <v>96.24</v>
      </c>
      <c r="C16" s="54">
        <v>36.520000000000003</v>
      </c>
      <c r="D16" s="54">
        <v>127.54</v>
      </c>
      <c r="E16" s="54">
        <v>0.51</v>
      </c>
      <c r="F16" s="54">
        <v>0.30</v>
      </c>
      <c r="G16" s="59" t="s">
        <v>8</v>
      </c>
      <c r="H16" s="59" t="s">
        <v>8</v>
      </c>
      <c r="I16" s="54">
        <v>1.55</v>
      </c>
      <c r="J16" s="54">
        <v>0.42</v>
      </c>
      <c r="K16" s="54">
        <v>279.33</v>
      </c>
      <c r="L16" s="54">
        <v>18.75</v>
      </c>
      <c r="M16" s="54">
        <v>85.45</v>
      </c>
      <c r="N16" s="54">
        <v>286.20</v>
      </c>
      <c r="O16" s="54">
        <v>0</v>
      </c>
      <c r="P16" s="54">
        <v>1.41</v>
      </c>
      <c r="Q16" s="54">
        <v>11.61</v>
      </c>
      <c r="R16" s="43"/>
      <c r="S16" s="43"/>
      <c r="T16" s="43"/>
      <c r="U16" s="43"/>
    </row>
    <row r="17" spans="1:21" s="11" customFormat="1" ht="15">
      <c r="A17" s="53" t="s">
        <v>238</v>
      </c>
      <c r="B17" s="54">
        <v>81.77</v>
      </c>
      <c r="C17" s="54">
        <v>37.35</v>
      </c>
      <c r="D17" s="54">
        <v>119.12</v>
      </c>
      <c r="E17" s="54">
        <v>0.44</v>
      </c>
      <c r="F17" s="54">
        <v>0.19</v>
      </c>
      <c r="G17" s="59" t="s">
        <v>8</v>
      </c>
      <c r="H17" s="59" t="s">
        <v>8</v>
      </c>
      <c r="I17" s="54">
        <v>1.54</v>
      </c>
      <c r="J17" s="54">
        <v>0.44</v>
      </c>
      <c r="K17" s="54">
        <v>188.84</v>
      </c>
      <c r="L17" s="54">
        <v>22.73</v>
      </c>
      <c r="M17" s="54">
        <v>81.61</v>
      </c>
      <c r="N17" s="54">
        <v>483.30</v>
      </c>
      <c r="O17" s="54">
        <v>0</v>
      </c>
      <c r="P17" s="54">
        <v>1.28</v>
      </c>
      <c r="Q17" s="54">
        <v>10.65</v>
      </c>
      <c r="R17" s="43"/>
      <c r="S17" s="43"/>
      <c r="T17" s="43"/>
      <c r="U17" s="43"/>
    </row>
    <row r="18" spans="1:21" s="11" customFormat="1" ht="15">
      <c r="A18" s="53" t="s">
        <v>239</v>
      </c>
      <c r="B18" s="54">
        <v>60.77</v>
      </c>
      <c r="C18" s="54">
        <v>35.78</v>
      </c>
      <c r="D18" s="54">
        <v>93.68</v>
      </c>
      <c r="E18" s="54">
        <v>0.45</v>
      </c>
      <c r="F18" s="54">
        <v>0.60</v>
      </c>
      <c r="G18" s="59" t="s">
        <v>8</v>
      </c>
      <c r="H18" s="59" t="s">
        <v>8</v>
      </c>
      <c r="I18" s="54">
        <v>1.52</v>
      </c>
      <c r="J18" s="54">
        <v>0.40</v>
      </c>
      <c r="K18" s="54">
        <v>345.27</v>
      </c>
      <c r="L18" s="54">
        <v>28.5</v>
      </c>
      <c r="M18" s="54">
        <v>57.06</v>
      </c>
      <c r="N18" s="54">
        <v>636.79999999999995</v>
      </c>
      <c r="O18" s="54">
        <v>0</v>
      </c>
      <c r="P18" s="54">
        <v>1.1499999999999999</v>
      </c>
      <c r="Q18" s="54">
        <v>9.2200000000000006</v>
      </c>
      <c r="R18" s="43"/>
      <c r="S18" s="43"/>
      <c r="T18" s="43"/>
      <c r="U18" s="43"/>
    </row>
    <row r="19" spans="1:21" s="11" customFormat="1" ht="15">
      <c r="A19" s="53" t="s">
        <v>240</v>
      </c>
      <c r="B19" s="54">
        <v>46.31</v>
      </c>
      <c r="C19" s="54">
        <v>41.12</v>
      </c>
      <c r="D19" s="54">
        <v>84.07</v>
      </c>
      <c r="E19" s="54">
        <v>0.36</v>
      </c>
      <c r="F19" s="54">
        <v>2.27</v>
      </c>
      <c r="G19" s="59" t="s">
        <v>8</v>
      </c>
      <c r="H19" s="59" t="s">
        <v>8</v>
      </c>
      <c r="I19" s="54">
        <v>1.61</v>
      </c>
      <c r="J19" s="54">
        <v>0.55000000000000004</v>
      </c>
      <c r="K19" s="54">
        <v>356.93</v>
      </c>
      <c r="L19" s="54">
        <v>29.44</v>
      </c>
      <c r="M19" s="54">
        <v>39.020000000000003</v>
      </c>
      <c r="N19" s="54">
        <v>742.20</v>
      </c>
      <c r="O19" s="54">
        <v>0</v>
      </c>
      <c r="P19" s="54">
        <v>1.1599999999999999</v>
      </c>
      <c r="Q19" s="54">
        <v>8.0399999999999991</v>
      </c>
      <c r="R19" s="43"/>
      <c r="S19" s="43"/>
      <c r="T19" s="43"/>
      <c r="U19" s="43"/>
    </row>
    <row r="20" spans="1:21" s="11" customFormat="1" ht="15">
      <c r="A20" s="53" t="s">
        <v>241</v>
      </c>
      <c r="B20" s="54">
        <v>28.72</v>
      </c>
      <c r="C20" s="54">
        <v>40.90</v>
      </c>
      <c r="D20" s="54">
        <v>69.48</v>
      </c>
      <c r="E20" s="54">
        <v>0.5</v>
      </c>
      <c r="F20" s="54">
        <v>6.21</v>
      </c>
      <c r="G20" s="59" t="s">
        <v>8</v>
      </c>
      <c r="H20" s="59" t="s">
        <v>8</v>
      </c>
      <c r="I20" s="54">
        <v>1.49</v>
      </c>
      <c r="J20" s="54">
        <v>0.46</v>
      </c>
      <c r="K20" s="54">
        <v>353.48</v>
      </c>
      <c r="L20" s="54">
        <v>31.29</v>
      </c>
      <c r="M20" s="54">
        <v>32.79</v>
      </c>
      <c r="N20" s="54">
        <v>763</v>
      </c>
      <c r="O20" s="54">
        <v>0</v>
      </c>
      <c r="P20" s="54">
        <v>1.08</v>
      </c>
      <c r="Q20" s="54">
        <v>6.73</v>
      </c>
      <c r="R20" s="43"/>
      <c r="S20" s="43"/>
      <c r="T20" s="43"/>
      <c r="U20" s="43"/>
    </row>
    <row r="21" spans="1:21" s="11" customFormat="1" ht="15">
      <c r="A21" s="53" t="s">
        <v>242</v>
      </c>
      <c r="B21" s="54">
        <v>17.489999999999998</v>
      </c>
      <c r="C21" s="54">
        <v>38.25</v>
      </c>
      <c r="D21" s="54">
        <v>55.74</v>
      </c>
      <c r="E21" s="54">
        <v>0.36</v>
      </c>
      <c r="F21" s="54">
        <v>15.35</v>
      </c>
      <c r="G21" s="59" t="s">
        <v>8</v>
      </c>
      <c r="H21" s="59" t="s">
        <v>8</v>
      </c>
      <c r="I21" s="54">
        <v>1.52</v>
      </c>
      <c r="J21" s="54">
        <v>0.96</v>
      </c>
      <c r="K21" s="54">
        <v>341.04</v>
      </c>
      <c r="L21" s="54">
        <v>30.45</v>
      </c>
      <c r="M21" s="54">
        <v>31.80</v>
      </c>
      <c r="N21" s="54">
        <v>758.30</v>
      </c>
      <c r="O21" s="54">
        <v>0</v>
      </c>
      <c r="P21" s="54">
        <v>1.01</v>
      </c>
      <c r="Q21" s="54">
        <v>5.76</v>
      </c>
      <c r="R21" s="43"/>
      <c r="S21" s="43"/>
      <c r="T21" s="43"/>
      <c r="U21" s="43"/>
    </row>
    <row r="22" spans="1:21" s="11" customFormat="1" ht="15">
      <c r="A22" s="53" t="s">
        <v>243</v>
      </c>
      <c r="B22" s="54">
        <v>5.54</v>
      </c>
      <c r="C22" s="54">
        <v>38.10</v>
      </c>
      <c r="D22" s="54">
        <v>42.32</v>
      </c>
      <c r="E22" s="54">
        <v>1.97</v>
      </c>
      <c r="F22" s="54">
        <v>12.64</v>
      </c>
      <c r="G22" s="59" t="s">
        <v>8</v>
      </c>
      <c r="H22" s="59" t="s">
        <v>8</v>
      </c>
      <c r="I22" s="54">
        <v>1.57</v>
      </c>
      <c r="J22" s="54">
        <v>0.67</v>
      </c>
      <c r="K22" s="54">
        <v>330.40</v>
      </c>
      <c r="L22" s="54">
        <v>30.24</v>
      </c>
      <c r="M22" s="54">
        <v>31.32</v>
      </c>
      <c r="N22" s="54">
        <v>575</v>
      </c>
      <c r="O22" s="54">
        <v>0</v>
      </c>
      <c r="P22" s="54">
        <v>0.90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244</v>
      </c>
      <c r="B23" s="54">
        <v>4.72</v>
      </c>
      <c r="C23" s="54">
        <v>60.47</v>
      </c>
      <c r="D23" s="54">
        <v>64.75</v>
      </c>
      <c r="E23" s="54">
        <v>1.38</v>
      </c>
      <c r="F23" s="54">
        <v>18.440000000000001</v>
      </c>
      <c r="G23" s="54">
        <v>103.65</v>
      </c>
      <c r="H23" s="54">
        <v>44.20</v>
      </c>
      <c r="I23" s="54">
        <v>1.5</v>
      </c>
      <c r="J23" s="54">
        <v>1.62</v>
      </c>
      <c r="K23" s="54">
        <v>341.86</v>
      </c>
      <c r="L23" s="54">
        <v>30.30</v>
      </c>
      <c r="M23" s="54">
        <v>26.69</v>
      </c>
      <c r="N23" s="54">
        <v>221.10</v>
      </c>
      <c r="O23" s="54">
        <v>0</v>
      </c>
      <c r="P23" s="54">
        <v>0.85</v>
      </c>
      <c r="Q23" s="54">
        <v>5.14</v>
      </c>
      <c r="R23" s="43"/>
      <c r="S23" s="43"/>
      <c r="T23" s="43"/>
      <c r="U23" s="43"/>
    </row>
    <row r="24" spans="1:21" s="11" customFormat="1" ht="15">
      <c r="A24" s="53" t="s">
        <v>245</v>
      </c>
      <c r="B24" s="54">
        <v>7.45</v>
      </c>
      <c r="C24" s="54">
        <v>50</v>
      </c>
      <c r="D24" s="54">
        <v>54.65</v>
      </c>
      <c r="E24" s="54">
        <v>0.53</v>
      </c>
      <c r="F24" s="54">
        <v>11.64</v>
      </c>
      <c r="G24" s="54">
        <v>100.63</v>
      </c>
      <c r="H24" s="54">
        <v>47.85</v>
      </c>
      <c r="I24" s="54">
        <v>1.57</v>
      </c>
      <c r="J24" s="54">
        <v>1.44</v>
      </c>
      <c r="K24" s="54">
        <v>357.82</v>
      </c>
      <c r="L24" s="54">
        <v>28.41</v>
      </c>
      <c r="M24" s="54">
        <v>27.69</v>
      </c>
      <c r="N24" s="54">
        <v>142.19999999999999</v>
      </c>
      <c r="O24" s="54">
        <v>0</v>
      </c>
      <c r="P24" s="54">
        <v>0.88</v>
      </c>
      <c r="Q24" s="54">
        <v>5.17</v>
      </c>
      <c r="R24" s="43"/>
      <c r="S24" s="43"/>
      <c r="T24" s="43"/>
      <c r="U24" s="43"/>
    </row>
    <row r="25" spans="1:21" s="11" customFormat="1" ht="15">
      <c r="A25" s="53" t="s">
        <v>246</v>
      </c>
      <c r="B25" s="54">
        <v>4.26</v>
      </c>
      <c r="C25" s="54">
        <v>48.92</v>
      </c>
      <c r="D25" s="54">
        <v>51.39</v>
      </c>
      <c r="E25" s="54">
        <v>1.69</v>
      </c>
      <c r="F25" s="54">
        <v>29.28</v>
      </c>
      <c r="G25" s="54">
        <v>95.78</v>
      </c>
      <c r="H25" s="54">
        <v>46.38</v>
      </c>
      <c r="I25" s="54">
        <v>1.59</v>
      </c>
      <c r="J25" s="54">
        <v>0.35</v>
      </c>
      <c r="K25" s="54">
        <v>107.08</v>
      </c>
      <c r="L25" s="54">
        <v>26.45</v>
      </c>
      <c r="M25" s="54">
        <v>34.14</v>
      </c>
      <c r="N25" s="54">
        <v>96.30</v>
      </c>
      <c r="O25" s="54">
        <v>0</v>
      </c>
      <c r="P25" s="54">
        <v>0.80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247</v>
      </c>
      <c r="B26" s="54">
        <v>71.569999999999993</v>
      </c>
      <c r="C26" s="54">
        <v>80.959999999999994</v>
      </c>
      <c r="D26" s="54">
        <v>145.69999999999999</v>
      </c>
      <c r="E26" s="54">
        <v>2.0499999999999998</v>
      </c>
      <c r="F26" s="54">
        <v>19.850000000000001</v>
      </c>
      <c r="G26" s="54">
        <v>94.73</v>
      </c>
      <c r="H26" s="54">
        <v>45.15</v>
      </c>
      <c r="I26" s="54">
        <v>1.56</v>
      </c>
      <c r="J26" s="54">
        <v>0.10</v>
      </c>
      <c r="K26" s="54">
        <v>308.44</v>
      </c>
      <c r="L26" s="54">
        <v>24.46</v>
      </c>
      <c r="M26" s="54">
        <v>52.74</v>
      </c>
      <c r="N26" s="54">
        <v>41.90</v>
      </c>
      <c r="O26" s="54">
        <v>0</v>
      </c>
      <c r="P26" s="54">
        <v>1.54</v>
      </c>
      <c r="Q26" s="54">
        <v>3.12</v>
      </c>
      <c r="R26" s="43"/>
      <c r="S26" s="43"/>
      <c r="T26" s="43"/>
      <c r="U26" s="43"/>
    </row>
    <row r="27" spans="1:21" s="11" customFormat="1" ht="15">
      <c r="A27" s="53" t="s">
        <v>248</v>
      </c>
      <c r="B27" s="54">
        <v>108.10</v>
      </c>
      <c r="C27" s="54">
        <v>85.08</v>
      </c>
      <c r="D27" s="54">
        <v>193.17</v>
      </c>
      <c r="E27" s="54">
        <v>1.1399999999999999</v>
      </c>
      <c r="F27" s="54">
        <v>0.68</v>
      </c>
      <c r="G27" s="54">
        <v>125.17</v>
      </c>
      <c r="H27" s="54">
        <v>50.79</v>
      </c>
      <c r="I27" s="54">
        <v>1.56</v>
      </c>
      <c r="J27" s="54">
        <v>0.10</v>
      </c>
      <c r="K27" s="54">
        <v>319.72000000000003</v>
      </c>
      <c r="L27" s="54">
        <v>21.73</v>
      </c>
      <c r="M27" s="54">
        <v>61.98</v>
      </c>
      <c r="N27" s="54">
        <v>35.799999999999997</v>
      </c>
      <c r="O27" s="54">
        <v>0</v>
      </c>
      <c r="P27" s="54">
        <v>2.34</v>
      </c>
      <c r="Q27" s="54">
        <v>2.44</v>
      </c>
      <c r="R27" s="43"/>
      <c r="S27" s="43"/>
      <c r="T27" s="43"/>
      <c r="U27" s="43"/>
    </row>
    <row r="28" spans="1:21" s="11" customFormat="1" ht="15">
      <c r="A28" s="53" t="s">
        <v>249</v>
      </c>
      <c r="B28" s="54">
        <v>80.41</v>
      </c>
      <c r="C28" s="54">
        <v>73.14</v>
      </c>
      <c r="D28" s="54">
        <v>148.02000000000001</v>
      </c>
      <c r="E28" s="54">
        <v>0.66</v>
      </c>
      <c r="F28" s="54">
        <v>0.73</v>
      </c>
      <c r="G28" s="54">
        <v>152.22999999999999</v>
      </c>
      <c r="H28" s="54">
        <v>56.56</v>
      </c>
      <c r="I28" s="54">
        <v>1.5</v>
      </c>
      <c r="J28" s="54">
        <v>0.16</v>
      </c>
      <c r="K28" s="54">
        <v>298.42</v>
      </c>
      <c r="L28" s="54">
        <v>21.69</v>
      </c>
      <c r="M28" s="54">
        <v>65.290000000000006</v>
      </c>
      <c r="N28" s="54">
        <v>36.200000000000003</v>
      </c>
      <c r="O28" s="54">
        <v>0</v>
      </c>
      <c r="P28" s="54">
        <v>2.38</v>
      </c>
      <c r="Q28" s="54">
        <v>6.15</v>
      </c>
      <c r="R28" s="43"/>
      <c r="S28" s="43"/>
      <c r="T28" s="43"/>
      <c r="U28" s="43"/>
    </row>
    <row r="29" spans="1:21" s="11" customFormat="1" ht="15">
      <c r="A29" s="53" t="s">
        <v>250</v>
      </c>
      <c r="B29" s="54">
        <v>97.85</v>
      </c>
      <c r="C29" s="54">
        <v>60.65</v>
      </c>
      <c r="D29" s="54">
        <v>158.5</v>
      </c>
      <c r="E29" s="54">
        <v>0.79</v>
      </c>
      <c r="F29" s="54">
        <v>0.80</v>
      </c>
      <c r="G29" s="54">
        <v>195.88</v>
      </c>
      <c r="H29" s="54">
        <v>65.08</v>
      </c>
      <c r="I29" s="54">
        <v>1.55</v>
      </c>
      <c r="J29" s="54">
        <v>0.22</v>
      </c>
      <c r="K29" s="54">
        <v>324.31</v>
      </c>
      <c r="L29" s="54">
        <v>20.70</v>
      </c>
      <c r="M29" s="54">
        <v>69</v>
      </c>
      <c r="N29" s="54">
        <v>36.60</v>
      </c>
      <c r="O29" s="54">
        <v>0</v>
      </c>
      <c r="P29" s="54">
        <v>2.19</v>
      </c>
      <c r="Q29" s="54">
        <v>7.62</v>
      </c>
      <c r="R29" s="43"/>
      <c r="S29" s="43"/>
      <c r="T29" s="43"/>
      <c r="U29" s="43"/>
    </row>
    <row r="30" spans="1:21" s="11" customFormat="1" ht="15">
      <c r="A30" s="53" t="s">
        <v>251</v>
      </c>
      <c r="B30" s="54">
        <v>96.21</v>
      </c>
      <c r="C30" s="54">
        <v>52.56</v>
      </c>
      <c r="D30" s="54">
        <v>142.54</v>
      </c>
      <c r="E30" s="54">
        <v>0.74</v>
      </c>
      <c r="F30" s="54">
        <v>0.47</v>
      </c>
      <c r="G30" s="54">
        <v>201.13</v>
      </c>
      <c r="H30" s="54">
        <v>70.430000000000007</v>
      </c>
      <c r="I30" s="54">
        <v>1.51</v>
      </c>
      <c r="J30" s="54">
        <v>0.18</v>
      </c>
      <c r="K30" s="54">
        <v>315.01</v>
      </c>
      <c r="L30" s="54">
        <v>19.940000000000001</v>
      </c>
      <c r="M30" s="54">
        <v>71.39</v>
      </c>
      <c r="N30" s="54">
        <v>36.40</v>
      </c>
      <c r="O30" s="54">
        <v>0</v>
      </c>
      <c r="P30" s="54">
        <v>2.2999999999999998</v>
      </c>
      <c r="Q30" s="54">
        <v>10.72</v>
      </c>
      <c r="R30" s="43"/>
      <c r="S30" s="43"/>
      <c r="T30" s="43"/>
      <c r="U30" s="43"/>
    </row>
    <row r="31" spans="1:21" s="11" customFormat="1" ht="15">
      <c r="A31" s="53" t="s">
        <v>252</v>
      </c>
      <c r="B31" s="54">
        <v>93.62</v>
      </c>
      <c r="C31" s="54">
        <v>48.5</v>
      </c>
      <c r="D31" s="54">
        <v>142.12</v>
      </c>
      <c r="E31" s="54">
        <v>0.68</v>
      </c>
      <c r="F31" s="54">
        <v>0.51</v>
      </c>
      <c r="G31" s="54">
        <v>203.32</v>
      </c>
      <c r="H31" s="54">
        <v>69.88</v>
      </c>
      <c r="I31" s="54">
        <v>1.53</v>
      </c>
      <c r="J31" s="54">
        <v>0.10</v>
      </c>
      <c r="K31" s="54">
        <v>301.62</v>
      </c>
      <c r="L31" s="54">
        <v>19.34</v>
      </c>
      <c r="M31" s="54">
        <v>72.44</v>
      </c>
      <c r="N31" s="54">
        <v>36.40</v>
      </c>
      <c r="O31" s="54">
        <v>0</v>
      </c>
      <c r="P31" s="54">
        <v>2.31</v>
      </c>
      <c r="Q31" s="54">
        <v>11.93</v>
      </c>
      <c r="R31" s="43"/>
      <c r="S31" s="43"/>
      <c r="T31" s="43"/>
      <c r="U31" s="43"/>
    </row>
    <row r="32" spans="1:21" s="11" customFormat="1" ht="15">
      <c r="A32" s="53" t="s">
        <v>253</v>
      </c>
      <c r="B32" s="54">
        <v>82.72</v>
      </c>
      <c r="C32" s="54">
        <v>44.94</v>
      </c>
      <c r="D32" s="54">
        <v>127.66</v>
      </c>
      <c r="E32" s="54">
        <v>0.66</v>
      </c>
      <c r="F32" s="54">
        <v>1.54</v>
      </c>
      <c r="G32" s="54">
        <v>192.52</v>
      </c>
      <c r="H32" s="54">
        <v>69.569999999999993</v>
      </c>
      <c r="I32" s="54">
        <v>1.55</v>
      </c>
      <c r="J32" s="54">
        <v>0.10</v>
      </c>
      <c r="K32" s="54">
        <v>306.76</v>
      </c>
      <c r="L32" s="54">
        <v>18.75</v>
      </c>
      <c r="M32" s="54">
        <v>73.86</v>
      </c>
      <c r="N32" s="54">
        <v>37.40</v>
      </c>
      <c r="O32" s="54">
        <v>0</v>
      </c>
      <c r="P32" s="54">
        <v>2.12</v>
      </c>
      <c r="Q32" s="54">
        <v>11.85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4.2599999999999998</v>
      </c>
      <c r="C34" s="28">
        <f t="shared" si="0"/>
        <v>29.550000000000001</v>
      </c>
      <c r="D34" s="28">
        <f t="shared" si="0"/>
        <v>42.32</v>
      </c>
      <c r="E34" s="28">
        <f t="shared" si="0"/>
        <v>0.35999999999999999</v>
      </c>
      <c r="F34" s="28">
        <f t="shared" si="0"/>
        <v>0.19</v>
      </c>
      <c r="G34" s="28">
        <f t="shared" si="0"/>
        <v>94.730000000000004</v>
      </c>
      <c r="H34" s="28">
        <f t="shared" si="0"/>
        <v>44.200000000000003</v>
      </c>
      <c r="I34" s="28">
        <f t="shared" si="0"/>
        <v>1.49</v>
      </c>
      <c r="J34" s="28">
        <f t="shared" si="0"/>
        <v>0.10000000000000001</v>
      </c>
      <c r="K34" s="28">
        <f t="shared" si="0"/>
        <v>107.08</v>
      </c>
      <c r="L34" s="28">
        <f t="shared" si="0"/>
        <v>15.949999999999999</v>
      </c>
      <c r="M34" s="28">
        <f t="shared" si="0"/>
        <v>26.690000000000001</v>
      </c>
      <c r="N34" s="28">
        <f t="shared" si="0"/>
        <v>28.300000000000001</v>
      </c>
      <c r="O34" s="28">
        <f t="shared" si="0"/>
        <v>0</v>
      </c>
      <c r="P34" s="28">
        <f t="shared" si="0"/>
        <v>0.80000000000000004</v>
      </c>
      <c r="Q34" s="28">
        <f t="shared" si="0"/>
        <v>2.4399999999999999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117.29000000000001</v>
      </c>
      <c r="C35" s="29">
        <f t="shared" si="1"/>
        <v>85.079999999999998</v>
      </c>
      <c r="D35" s="29">
        <f t="shared" si="1"/>
        <v>193.16999999999999</v>
      </c>
      <c r="E35" s="29">
        <f t="shared" si="1"/>
        <v>2.0499999999999998</v>
      </c>
      <c r="F35" s="29">
        <f t="shared" si="1"/>
        <v>29.280000000000001</v>
      </c>
      <c r="G35" s="29">
        <f t="shared" si="1"/>
        <v>203.31999999999999</v>
      </c>
      <c r="H35" s="29">
        <f t="shared" si="1"/>
        <v>70.430000000000007</v>
      </c>
      <c r="I35" s="29">
        <f t="shared" si="1"/>
        <v>1.6100000000000001</v>
      </c>
      <c r="J35" s="29">
        <f t="shared" si="1"/>
        <v>1.6200000000000001</v>
      </c>
      <c r="K35" s="29">
        <f t="shared" si="1"/>
        <v>357.81999999999999</v>
      </c>
      <c r="L35" s="29">
        <f t="shared" si="1"/>
        <v>31.289999999999999</v>
      </c>
      <c r="M35" s="29">
        <f t="shared" si="1"/>
        <v>98.680000000000007</v>
      </c>
      <c r="N35" s="29">
        <f t="shared" si="1"/>
        <v>763</v>
      </c>
      <c r="O35" s="29">
        <f t="shared" si="1"/>
        <v>0</v>
      </c>
      <c r="P35" s="29">
        <f t="shared" si="1"/>
        <v>2.3799999999999999</v>
      </c>
      <c r="Q35" s="29">
        <f t="shared" si="1"/>
        <v>13.69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68.21041666666666</v>
      </c>
      <c r="C36" s="28">
        <f t="shared" si="2"/>
        <v>45.878750000000004</v>
      </c>
      <c r="D36" s="28">
        <f t="shared" si="2"/>
        <v>112.48500000000001</v>
      </c>
      <c r="E36" s="28">
        <f t="shared" si="2"/>
        <v>0.77583333333333326</v>
      </c>
      <c r="F36" s="28">
        <f t="shared" si="2"/>
        <v>5.1570833333333335</v>
      </c>
      <c r="G36" s="28">
        <f t="shared" si="2"/>
        <v>146.50399999999999</v>
      </c>
      <c r="H36" s="28">
        <f t="shared" si="2"/>
        <v>56.588999999999999</v>
      </c>
      <c r="I36" s="28">
        <f t="shared" si="2"/>
        <v>1.5374999999999996</v>
      </c>
      <c r="J36" s="28">
        <f t="shared" si="2"/>
        <v>0.3833333333333333</v>
      </c>
      <c r="K36" s="28">
        <f t="shared" si="2"/>
        <v>306.96166666666664</v>
      </c>
      <c r="L36" s="28">
        <f t="shared" si="2"/>
        <v>22.627083333333331</v>
      </c>
      <c r="M36" s="28">
        <f t="shared" si="2"/>
        <v>64.899166666666673</v>
      </c>
      <c r="N36" s="28">
        <f t="shared" si="2"/>
        <v>217.86666666666665</v>
      </c>
      <c r="O36" s="28">
        <f t="shared" si="2"/>
        <v>0</v>
      </c>
      <c r="P36" s="28">
        <f t="shared" si="2"/>
        <v>1.5829166666666665</v>
      </c>
      <c r="Q36" s="28">
        <f t="shared" si="2"/>
        <v>8.6400000000000006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36.964232827349349</v>
      </c>
      <c r="C37" s="28">
        <f t="shared" si="3" ref="C37:Q37">STDEV(C9:C32)</f>
        <v>15.874063974458991</v>
      </c>
      <c r="D37" s="28">
        <f t="shared" si="3"/>
        <v>40.160905498192889</v>
      </c>
      <c r="E37" s="28">
        <f t="shared" si="3"/>
        <v>0.4957288588021434</v>
      </c>
      <c r="F37" s="28">
        <f t="shared" si="3"/>
        <v>8.1652159795533645</v>
      </c>
      <c r="G37" s="28">
        <f t="shared" si="3"/>
        <v>47.667606564160081</v>
      </c>
      <c r="H37" s="28">
        <f t="shared" si="3"/>
        <v>11.092482389238041</v>
      </c>
      <c r="I37" s="28">
        <f t="shared" si="3"/>
        <v>0.029672121302810439</v>
      </c>
      <c r="J37" s="28">
        <f t="shared" si="3"/>
        <v>0.41599191742426783</v>
      </c>
      <c r="K37" s="28">
        <f t="shared" si="3"/>
        <v>54.761889530288926</v>
      </c>
      <c r="L37" s="28">
        <f t="shared" si="3"/>
        <v>5.3335733018930913</v>
      </c>
      <c r="M37" s="28">
        <f t="shared" si="3"/>
        <v>24.75167731104591</v>
      </c>
      <c r="N37" s="28">
        <f t="shared" si="3"/>
        <v>273.61431704637391</v>
      </c>
      <c r="O37" s="28">
        <f t="shared" si="3"/>
        <v>0</v>
      </c>
      <c r="P37" s="28">
        <f t="shared" si="3"/>
        <v>0.54934331679756143</v>
      </c>
      <c r="Q37" s="28">
        <f t="shared" si="3"/>
        <v>3.2589809023280756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COUNT(G9:G32)+14</f>
        <v>24</v>
      </c>
      <c r="H38" s="32">
        <f>COUNT(H9:H32)+14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a687b1-61d9-4440-986e-e5842eade259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254</v>
      </c>
      <c r="B9" s="54">
        <v>75.34</v>
      </c>
      <c r="C9" s="54">
        <v>35.40</v>
      </c>
      <c r="D9" s="54">
        <v>110.45</v>
      </c>
      <c r="E9" s="54">
        <v>0.47</v>
      </c>
      <c r="F9" s="54">
        <v>0.22</v>
      </c>
      <c r="G9" s="54">
        <v>164.96</v>
      </c>
      <c r="H9" s="54">
        <v>68.900000000000006</v>
      </c>
      <c r="I9" s="54">
        <v>1.60</v>
      </c>
      <c r="J9" s="54">
        <v>0.12</v>
      </c>
      <c r="K9" s="54">
        <v>292.29000000000002</v>
      </c>
      <c r="L9" s="54">
        <v>17.579999999999998</v>
      </c>
      <c r="M9" s="54">
        <v>78.290000000000006</v>
      </c>
      <c r="N9" s="54">
        <v>37.299999999999997</v>
      </c>
      <c r="O9" s="54">
        <v>0</v>
      </c>
      <c r="P9" s="54">
        <v>2</v>
      </c>
      <c r="Q9" s="54">
        <v>10.40</v>
      </c>
      <c r="R9" s="43"/>
      <c r="S9" s="43"/>
      <c r="T9" s="43"/>
      <c r="U9" s="43"/>
    </row>
    <row r="10" spans="1:21" s="11" customFormat="1" ht="15">
      <c r="A10" s="53" t="s">
        <v>255</v>
      </c>
      <c r="B10" s="54">
        <v>63.98</v>
      </c>
      <c r="C10" s="54">
        <v>34.229999999999997</v>
      </c>
      <c r="D10" s="54">
        <v>98.21</v>
      </c>
      <c r="E10" s="54">
        <v>0.38</v>
      </c>
      <c r="F10" s="54">
        <v>0.41</v>
      </c>
      <c r="G10" s="54">
        <v>147.94</v>
      </c>
      <c r="H10" s="54">
        <v>66.14</v>
      </c>
      <c r="I10" s="54">
        <v>1.56</v>
      </c>
      <c r="J10" s="54">
        <v>0.14000000000000001</v>
      </c>
      <c r="K10" s="54">
        <v>312.41000000000003</v>
      </c>
      <c r="L10" s="54">
        <v>17.88</v>
      </c>
      <c r="M10" s="54">
        <v>79.08</v>
      </c>
      <c r="N10" s="54">
        <v>37.200000000000003</v>
      </c>
      <c r="O10" s="54">
        <v>0</v>
      </c>
      <c r="P10" s="54">
        <v>1.71</v>
      </c>
      <c r="Q10" s="54">
        <v>9.41</v>
      </c>
      <c r="R10" s="43"/>
      <c r="S10" s="43"/>
      <c r="T10" s="43"/>
      <c r="U10" s="43"/>
    </row>
    <row r="11" spans="1:21" s="11" customFormat="1" ht="15">
      <c r="A11" s="53" t="s">
        <v>256</v>
      </c>
      <c r="B11" s="54">
        <v>48.39</v>
      </c>
      <c r="C11" s="54">
        <v>33.03</v>
      </c>
      <c r="D11" s="54">
        <v>81.180000000000007</v>
      </c>
      <c r="E11" s="54">
        <v>0.40</v>
      </c>
      <c r="F11" s="54">
        <v>1.41</v>
      </c>
      <c r="G11" s="54">
        <v>124.40</v>
      </c>
      <c r="H11" s="54">
        <v>53.86</v>
      </c>
      <c r="I11" s="54">
        <v>1.58</v>
      </c>
      <c r="J11" s="54">
        <v>0.15</v>
      </c>
      <c r="K11" s="54">
        <v>307.5</v>
      </c>
      <c r="L11" s="54">
        <v>17.78</v>
      </c>
      <c r="M11" s="54">
        <v>78.55</v>
      </c>
      <c r="N11" s="54">
        <v>37.40</v>
      </c>
      <c r="O11" s="54">
        <v>0</v>
      </c>
      <c r="P11" s="54">
        <v>1.5</v>
      </c>
      <c r="Q11" s="54">
        <v>8.74</v>
      </c>
      <c r="R11" s="43"/>
      <c r="S11" s="43"/>
      <c r="T11" s="43"/>
      <c r="U11" s="43"/>
    </row>
    <row r="12" spans="1:21" s="11" customFormat="1" ht="15">
      <c r="A12" s="53" t="s">
        <v>257</v>
      </c>
      <c r="B12" s="54">
        <v>44.13</v>
      </c>
      <c r="C12" s="54">
        <v>30.02</v>
      </c>
      <c r="D12" s="54">
        <v>73.05</v>
      </c>
      <c r="E12" s="54">
        <v>0.34</v>
      </c>
      <c r="F12" s="54">
        <v>0.36</v>
      </c>
      <c r="G12" s="54">
        <v>104.86</v>
      </c>
      <c r="H12" s="54">
        <v>50.66</v>
      </c>
      <c r="I12" s="54">
        <v>1.51</v>
      </c>
      <c r="J12" s="54">
        <v>0.12</v>
      </c>
      <c r="K12" s="54">
        <v>304.67</v>
      </c>
      <c r="L12" s="54">
        <v>16.72</v>
      </c>
      <c r="M12" s="54">
        <v>86.64</v>
      </c>
      <c r="N12" s="54">
        <v>37.200000000000003</v>
      </c>
      <c r="O12" s="54">
        <v>0</v>
      </c>
      <c r="P12" s="54">
        <v>1.34</v>
      </c>
      <c r="Q12" s="54">
        <v>7.64</v>
      </c>
      <c r="R12" s="43"/>
      <c r="S12" s="43"/>
      <c r="T12" s="43"/>
      <c r="U12" s="43"/>
    </row>
    <row r="13" spans="1:21" s="11" customFormat="1" ht="15">
      <c r="A13" s="53" t="s">
        <v>258</v>
      </c>
      <c r="B13" s="54">
        <v>41.01</v>
      </c>
      <c r="C13" s="54">
        <v>33.380000000000003</v>
      </c>
      <c r="D13" s="54">
        <v>73.489999999999995</v>
      </c>
      <c r="E13" s="54">
        <v>0.43</v>
      </c>
      <c r="F13" s="54">
        <v>0.22</v>
      </c>
      <c r="G13" s="54">
        <v>115.56</v>
      </c>
      <c r="H13" s="54">
        <v>50.36</v>
      </c>
      <c r="I13" s="54">
        <v>1.51</v>
      </c>
      <c r="J13" s="54">
        <v>0.12</v>
      </c>
      <c r="K13" s="54">
        <v>316.76</v>
      </c>
      <c r="L13" s="54">
        <v>16.52</v>
      </c>
      <c r="M13" s="54">
        <v>89.84</v>
      </c>
      <c r="N13" s="54">
        <v>37.200000000000003</v>
      </c>
      <c r="O13" s="54">
        <v>0</v>
      </c>
      <c r="P13" s="54">
        <v>1.21</v>
      </c>
      <c r="Q13" s="54">
        <v>7.34</v>
      </c>
      <c r="R13" s="43"/>
      <c r="S13" s="43"/>
      <c r="T13" s="43"/>
      <c r="U13" s="43"/>
    </row>
    <row r="14" spans="1:21" s="11" customFormat="1" ht="15">
      <c r="A14" s="53" t="s">
        <v>259</v>
      </c>
      <c r="B14" s="54">
        <v>42.59</v>
      </c>
      <c r="C14" s="54">
        <v>33.44</v>
      </c>
      <c r="D14" s="54">
        <v>73.959999999999994</v>
      </c>
      <c r="E14" s="54">
        <v>0.46</v>
      </c>
      <c r="F14" s="54">
        <v>0.41</v>
      </c>
      <c r="G14" s="54">
        <v>129.22</v>
      </c>
      <c r="H14" s="54">
        <v>54.82</v>
      </c>
      <c r="I14" s="54">
        <v>1.56</v>
      </c>
      <c r="J14" s="54">
        <v>0.16</v>
      </c>
      <c r="K14" s="54">
        <v>269.26</v>
      </c>
      <c r="L14" s="54">
        <v>17.32</v>
      </c>
      <c r="M14" s="54">
        <v>87.09</v>
      </c>
      <c r="N14" s="54">
        <v>40.200000000000003</v>
      </c>
      <c r="O14" s="54">
        <v>0</v>
      </c>
      <c r="P14" s="54">
        <v>1.1200000000000001</v>
      </c>
      <c r="Q14" s="54">
        <v>7.43</v>
      </c>
      <c r="R14" s="43"/>
      <c r="S14" s="43"/>
      <c r="T14" s="43"/>
      <c r="U14" s="43"/>
    </row>
    <row r="15" spans="1:21" s="11" customFormat="1" ht="15">
      <c r="A15" s="53" t="s">
        <v>260</v>
      </c>
      <c r="B15" s="54">
        <v>42.22</v>
      </c>
      <c r="C15" s="54">
        <v>31.22</v>
      </c>
      <c r="D15" s="54">
        <v>73.45</v>
      </c>
      <c r="E15" s="54">
        <v>0.35</v>
      </c>
      <c r="F15" s="54">
        <v>0.38</v>
      </c>
      <c r="G15" s="54">
        <v>127.66</v>
      </c>
      <c r="H15" s="54">
        <v>54.47</v>
      </c>
      <c r="I15" s="54">
        <v>1.58</v>
      </c>
      <c r="J15" s="54">
        <v>0.17</v>
      </c>
      <c r="K15" s="54">
        <v>223.86</v>
      </c>
      <c r="L15" s="54">
        <v>17.989999999999998</v>
      </c>
      <c r="M15" s="54">
        <v>84.15</v>
      </c>
      <c r="N15" s="54">
        <v>95.5</v>
      </c>
      <c r="O15" s="54">
        <v>0</v>
      </c>
      <c r="P15" s="54">
        <v>1.06</v>
      </c>
      <c r="Q15" s="54">
        <v>7.36</v>
      </c>
      <c r="R15" s="43"/>
      <c r="S15" s="43"/>
      <c r="T15" s="43"/>
      <c r="U15" s="43"/>
    </row>
    <row r="16" spans="1:21" s="11" customFormat="1" ht="15">
      <c r="A16" s="53" t="s">
        <v>261</v>
      </c>
      <c r="B16" s="54">
        <v>42.86</v>
      </c>
      <c r="C16" s="54">
        <v>38.340000000000003</v>
      </c>
      <c r="D16" s="54">
        <v>78.58</v>
      </c>
      <c r="E16" s="54">
        <v>0.37</v>
      </c>
      <c r="F16" s="54">
        <v>0.38</v>
      </c>
      <c r="G16" s="54">
        <v>124.05</v>
      </c>
      <c r="H16" s="54">
        <v>55.08</v>
      </c>
      <c r="I16" s="54">
        <v>1.52</v>
      </c>
      <c r="J16" s="54">
        <v>0.46</v>
      </c>
      <c r="K16" s="54">
        <v>358.66</v>
      </c>
      <c r="L16" s="54">
        <v>22.55</v>
      </c>
      <c r="M16" s="54">
        <v>81.45</v>
      </c>
      <c r="N16" s="54">
        <v>312.89999999999998</v>
      </c>
      <c r="O16" s="54">
        <v>0</v>
      </c>
      <c r="P16" s="54">
        <v>1.20</v>
      </c>
      <c r="Q16" s="54">
        <v>7.45</v>
      </c>
      <c r="R16" s="43"/>
      <c r="S16" s="43"/>
      <c r="T16" s="43"/>
      <c r="U16" s="43"/>
    </row>
    <row r="17" spans="1:21" s="11" customFormat="1" ht="15">
      <c r="A17" s="53" t="s">
        <v>262</v>
      </c>
      <c r="B17" s="54">
        <v>40.78</v>
      </c>
      <c r="C17" s="54">
        <v>34.770000000000003</v>
      </c>
      <c r="D17" s="54">
        <v>75.55</v>
      </c>
      <c r="E17" s="54">
        <v>0.21</v>
      </c>
      <c r="F17" s="54">
        <v>1.82</v>
      </c>
      <c r="G17" s="54">
        <v>123.34</v>
      </c>
      <c r="H17" s="54">
        <v>83.85</v>
      </c>
      <c r="I17" s="54">
        <v>1.54</v>
      </c>
      <c r="J17" s="54">
        <v>0.39</v>
      </c>
      <c r="K17" s="54">
        <v>190.74</v>
      </c>
      <c r="L17" s="54">
        <v>25.60</v>
      </c>
      <c r="M17" s="54">
        <v>70.72</v>
      </c>
      <c r="N17" s="54">
        <v>516.20000000000005</v>
      </c>
      <c r="O17" s="54">
        <v>0</v>
      </c>
      <c r="P17" s="54">
        <v>1.21</v>
      </c>
      <c r="Q17" s="54">
        <v>7.51</v>
      </c>
      <c r="R17" s="43"/>
      <c r="S17" s="43"/>
      <c r="T17" s="43"/>
      <c r="U17" s="43"/>
    </row>
    <row r="18" spans="1:21" s="11" customFormat="1" ht="15">
      <c r="A18" s="53" t="s">
        <v>263</v>
      </c>
      <c r="B18" s="54">
        <v>30.77</v>
      </c>
      <c r="C18" s="54">
        <v>36.659999999999997</v>
      </c>
      <c r="D18" s="54">
        <v>65.80</v>
      </c>
      <c r="E18" s="54">
        <v>0.22</v>
      </c>
      <c r="F18" s="54">
        <v>5.12</v>
      </c>
      <c r="G18" s="54">
        <v>163.25</v>
      </c>
      <c r="H18" s="54">
        <v>82.18</v>
      </c>
      <c r="I18" s="54">
        <v>1.55</v>
      </c>
      <c r="J18" s="54">
        <v>0.75</v>
      </c>
      <c r="K18" s="54">
        <v>144.18</v>
      </c>
      <c r="L18" s="54">
        <v>26.48</v>
      </c>
      <c r="M18" s="54">
        <v>44.93</v>
      </c>
      <c r="N18" s="54">
        <v>665.20</v>
      </c>
      <c r="O18" s="54">
        <v>0</v>
      </c>
      <c r="P18" s="54">
        <v>1.20</v>
      </c>
      <c r="Q18" s="54">
        <v>6.77</v>
      </c>
      <c r="R18" s="43"/>
      <c r="S18" s="43"/>
      <c r="T18" s="43"/>
      <c r="U18" s="43"/>
    </row>
    <row r="19" spans="1:21" s="11" customFormat="1" ht="15">
      <c r="A19" s="53" t="s">
        <v>264</v>
      </c>
      <c r="B19" s="54">
        <v>15.21</v>
      </c>
      <c r="C19" s="54">
        <v>35.61</v>
      </c>
      <c r="D19" s="54">
        <v>50.83</v>
      </c>
      <c r="E19" s="54">
        <v>0.27</v>
      </c>
      <c r="F19" s="54">
        <v>9.98</v>
      </c>
      <c r="G19" s="54">
        <v>151.38999999999999</v>
      </c>
      <c r="H19" s="54">
        <v>77.53</v>
      </c>
      <c r="I19" s="54">
        <v>1.57</v>
      </c>
      <c r="J19" s="54">
        <v>1.1399999999999999</v>
      </c>
      <c r="K19" s="54">
        <v>144.38</v>
      </c>
      <c r="L19" s="54">
        <v>27.5</v>
      </c>
      <c r="M19" s="54">
        <v>42.81</v>
      </c>
      <c r="N19" s="54">
        <v>767</v>
      </c>
      <c r="O19" s="54">
        <v>0</v>
      </c>
      <c r="P19" s="54">
        <v>1.1000000000000001</v>
      </c>
      <c r="Q19" s="54">
        <v>5.82</v>
      </c>
      <c r="R19" s="43"/>
      <c r="S19" s="43"/>
      <c r="T19" s="43"/>
      <c r="U19" s="43"/>
    </row>
    <row r="20" spans="1:21" s="11" customFormat="1" ht="15">
      <c r="A20" s="53" t="s">
        <v>265</v>
      </c>
      <c r="B20" s="54">
        <v>8.0299999999999994</v>
      </c>
      <c r="C20" s="54">
        <v>34.36</v>
      </c>
      <c r="D20" s="54">
        <v>42.38</v>
      </c>
      <c r="E20" s="54">
        <v>0.27</v>
      </c>
      <c r="F20" s="54">
        <v>6.47</v>
      </c>
      <c r="G20" s="54">
        <v>112.39</v>
      </c>
      <c r="H20" s="54">
        <v>70.19</v>
      </c>
      <c r="I20" s="54">
        <v>1.51</v>
      </c>
      <c r="J20" s="54">
        <v>0.53</v>
      </c>
      <c r="K20" s="54">
        <v>335.55</v>
      </c>
      <c r="L20" s="54">
        <v>31.67</v>
      </c>
      <c r="M20" s="54">
        <v>37.29</v>
      </c>
      <c r="N20" s="54">
        <v>791.20</v>
      </c>
      <c r="O20" s="54">
        <v>0</v>
      </c>
      <c r="P20" s="54">
        <v>1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266</v>
      </c>
      <c r="B21" s="54">
        <v>3.83</v>
      </c>
      <c r="C21" s="54">
        <v>35.61</v>
      </c>
      <c r="D21" s="54">
        <v>38.700000000000003</v>
      </c>
      <c r="E21" s="54">
        <v>0.39</v>
      </c>
      <c r="F21" s="54">
        <v>11.55</v>
      </c>
      <c r="G21" s="54">
        <v>79.260000000000005</v>
      </c>
      <c r="H21" s="54">
        <v>59.33</v>
      </c>
      <c r="I21" s="54">
        <v>1.56</v>
      </c>
      <c r="J21" s="54">
        <v>0.88</v>
      </c>
      <c r="K21" s="54">
        <v>132.96</v>
      </c>
      <c r="L21" s="54">
        <v>31.45</v>
      </c>
      <c r="M21" s="54">
        <v>30.48</v>
      </c>
      <c r="N21" s="54">
        <v>735.20</v>
      </c>
      <c r="O21" s="54">
        <v>0</v>
      </c>
      <c r="P21" s="54">
        <v>0.90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267</v>
      </c>
      <c r="B22" s="54">
        <v>3.15</v>
      </c>
      <c r="C22" s="54">
        <v>30.42</v>
      </c>
      <c r="D22" s="54">
        <v>33.58</v>
      </c>
      <c r="E22" s="54">
        <v>0.60</v>
      </c>
      <c r="F22" s="54">
        <v>24.03</v>
      </c>
      <c r="G22" s="54">
        <v>69.19</v>
      </c>
      <c r="H22" s="54">
        <v>51.35</v>
      </c>
      <c r="I22" s="54">
        <v>1.56</v>
      </c>
      <c r="J22" s="54">
        <v>0.94</v>
      </c>
      <c r="K22" s="54">
        <v>123.54</v>
      </c>
      <c r="L22" s="54">
        <v>29.83</v>
      </c>
      <c r="M22" s="54">
        <v>28.89</v>
      </c>
      <c r="N22" s="54">
        <v>614.5</v>
      </c>
      <c r="O22" s="54">
        <v>0</v>
      </c>
      <c r="P22" s="54">
        <v>0.76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268</v>
      </c>
      <c r="B23" s="54">
        <v>3.79</v>
      </c>
      <c r="C23" s="54">
        <v>41.54</v>
      </c>
      <c r="D23" s="54">
        <v>45.33</v>
      </c>
      <c r="E23" s="54">
        <v>0.98</v>
      </c>
      <c r="F23" s="54">
        <v>28.35</v>
      </c>
      <c r="G23" s="54">
        <v>59.49</v>
      </c>
      <c r="H23" s="54">
        <v>46.72</v>
      </c>
      <c r="I23" s="54">
        <v>1.52</v>
      </c>
      <c r="J23" s="54">
        <v>1.05</v>
      </c>
      <c r="K23" s="54">
        <v>319.42</v>
      </c>
      <c r="L23" s="54">
        <v>28.62</v>
      </c>
      <c r="M23" s="54">
        <v>29.79</v>
      </c>
      <c r="N23" s="54">
        <v>210.90</v>
      </c>
      <c r="O23" s="54">
        <v>0</v>
      </c>
      <c r="P23" s="54">
        <v>0.74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269</v>
      </c>
      <c r="B24" s="54">
        <v>2.68</v>
      </c>
      <c r="C24" s="54">
        <v>34.11</v>
      </c>
      <c r="D24" s="54">
        <v>36.79</v>
      </c>
      <c r="E24" s="54">
        <v>2.3199999999999998</v>
      </c>
      <c r="F24" s="54">
        <v>58.30</v>
      </c>
      <c r="G24" s="54">
        <v>102.87</v>
      </c>
      <c r="H24" s="54">
        <v>43.68</v>
      </c>
      <c r="I24" s="54">
        <v>1.5</v>
      </c>
      <c r="J24" s="54">
        <v>0.69</v>
      </c>
      <c r="K24" s="54">
        <v>125.11</v>
      </c>
      <c r="L24" s="54">
        <v>28.12</v>
      </c>
      <c r="M24" s="54">
        <v>32.07</v>
      </c>
      <c r="N24" s="54">
        <v>133</v>
      </c>
      <c r="O24" s="54">
        <v>0</v>
      </c>
      <c r="P24" s="54">
        <v>0.62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270</v>
      </c>
      <c r="B25" s="54">
        <v>3.90</v>
      </c>
      <c r="C25" s="54">
        <v>54.30</v>
      </c>
      <c r="D25" s="54">
        <v>58.20</v>
      </c>
      <c r="E25" s="54">
        <v>3.40</v>
      </c>
      <c r="F25" s="54">
        <v>55.40</v>
      </c>
      <c r="G25" s="54">
        <v>97.90</v>
      </c>
      <c r="H25" s="54">
        <v>46.73</v>
      </c>
      <c r="I25" s="54">
        <v>1.52</v>
      </c>
      <c r="J25" s="54">
        <v>0.5</v>
      </c>
      <c r="K25" s="54">
        <v>129.5</v>
      </c>
      <c r="L25" s="54">
        <v>27.13</v>
      </c>
      <c r="M25" s="54">
        <v>34.049999999999997</v>
      </c>
      <c r="N25" s="54">
        <v>73.099999999999994</v>
      </c>
      <c r="O25" s="54">
        <v>0</v>
      </c>
      <c r="P25" s="54">
        <v>0.74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271</v>
      </c>
      <c r="B26" s="54">
        <v>37.909999999999997</v>
      </c>
      <c r="C26" s="54">
        <v>88.59</v>
      </c>
      <c r="D26" s="54">
        <v>124.83</v>
      </c>
      <c r="E26" s="54">
        <v>2.65</v>
      </c>
      <c r="F26" s="54">
        <v>30.58</v>
      </c>
      <c r="G26" s="54">
        <v>85.76</v>
      </c>
      <c r="H26" s="54">
        <v>45.38</v>
      </c>
      <c r="I26" s="54">
        <v>1.58</v>
      </c>
      <c r="J26" s="54">
        <v>0.43</v>
      </c>
      <c r="K26" s="54">
        <v>344.08</v>
      </c>
      <c r="L26" s="54">
        <v>25.78</v>
      </c>
      <c r="M26" s="54">
        <v>52.05</v>
      </c>
      <c r="N26" s="54">
        <v>30.70</v>
      </c>
      <c r="O26" s="54">
        <v>0</v>
      </c>
      <c r="P26" s="54">
        <v>1.39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272</v>
      </c>
      <c r="B27" s="54">
        <v>77.66</v>
      </c>
      <c r="C27" s="54">
        <v>94.18</v>
      </c>
      <c r="D27" s="54">
        <v>171.84</v>
      </c>
      <c r="E27" s="54">
        <v>1.33</v>
      </c>
      <c r="F27" s="54">
        <v>2.25</v>
      </c>
      <c r="G27" s="54">
        <v>153.30000000000001</v>
      </c>
      <c r="H27" s="54">
        <v>44.60</v>
      </c>
      <c r="I27" s="54">
        <v>1.52</v>
      </c>
      <c r="J27" s="54">
        <v>0.10</v>
      </c>
      <c r="K27" s="54">
        <v>348.34</v>
      </c>
      <c r="L27" s="54">
        <v>22.85</v>
      </c>
      <c r="M27" s="54">
        <v>57.16</v>
      </c>
      <c r="N27" s="54">
        <v>26.60</v>
      </c>
      <c r="O27" s="54">
        <v>0</v>
      </c>
      <c r="P27" s="54">
        <v>2.21</v>
      </c>
      <c r="Q27" s="54">
        <v>2.1800000000000002</v>
      </c>
      <c r="R27" s="43"/>
      <c r="S27" s="43"/>
      <c r="T27" s="43"/>
      <c r="U27" s="43"/>
    </row>
    <row r="28" spans="1:21" s="11" customFormat="1" ht="15">
      <c r="A28" s="53" t="s">
        <v>273</v>
      </c>
      <c r="B28" s="54">
        <v>103.15</v>
      </c>
      <c r="C28" s="54">
        <v>92.71</v>
      </c>
      <c r="D28" s="54">
        <v>191.38</v>
      </c>
      <c r="E28" s="54">
        <v>1.1100000000000001</v>
      </c>
      <c r="F28" s="54">
        <v>0.68</v>
      </c>
      <c r="G28" s="54">
        <v>170.05</v>
      </c>
      <c r="H28" s="54">
        <v>57.04</v>
      </c>
      <c r="I28" s="54">
        <v>1.53</v>
      </c>
      <c r="J28" s="54">
        <v>0.10</v>
      </c>
      <c r="K28" s="54">
        <v>282.94</v>
      </c>
      <c r="L28" s="54">
        <v>21.70</v>
      </c>
      <c r="M28" s="54">
        <v>60.29</v>
      </c>
      <c r="N28" s="54">
        <v>26.70</v>
      </c>
      <c r="O28" s="54">
        <v>0</v>
      </c>
      <c r="P28" s="54">
        <v>2.41</v>
      </c>
      <c r="Q28" s="54">
        <v>3.60</v>
      </c>
      <c r="R28" s="43"/>
      <c r="S28" s="43"/>
      <c r="T28" s="43"/>
      <c r="U28" s="43"/>
    </row>
    <row r="29" spans="1:21" s="11" customFormat="1" ht="15">
      <c r="A29" s="53" t="s">
        <v>274</v>
      </c>
      <c r="B29" s="54">
        <v>114.06</v>
      </c>
      <c r="C29" s="54">
        <v>76.11</v>
      </c>
      <c r="D29" s="54">
        <v>190.17</v>
      </c>
      <c r="E29" s="54">
        <v>0.88</v>
      </c>
      <c r="F29" s="54">
        <v>0.66</v>
      </c>
      <c r="G29" s="54">
        <v>222.71</v>
      </c>
      <c r="H29" s="54">
        <v>60.08</v>
      </c>
      <c r="I29" s="54">
        <v>1.56</v>
      </c>
      <c r="J29" s="54">
        <v>0.13</v>
      </c>
      <c r="K29" s="54">
        <v>322.27</v>
      </c>
      <c r="L29" s="54">
        <v>20.97</v>
      </c>
      <c r="M29" s="54">
        <v>66.36</v>
      </c>
      <c r="N29" s="54">
        <v>26.90</v>
      </c>
      <c r="O29" s="54">
        <v>0</v>
      </c>
      <c r="P29" s="54">
        <v>3.02</v>
      </c>
      <c r="Q29" s="54">
        <v>4.88</v>
      </c>
      <c r="R29" s="43"/>
      <c r="S29" s="43"/>
      <c r="T29" s="43"/>
      <c r="U29" s="43"/>
    </row>
    <row r="30" spans="1:21" s="11" customFormat="1" ht="15">
      <c r="A30" s="53" t="s">
        <v>275</v>
      </c>
      <c r="B30" s="54">
        <v>151.49</v>
      </c>
      <c r="C30" s="54">
        <v>61.59</v>
      </c>
      <c r="D30" s="54">
        <v>213.08</v>
      </c>
      <c r="E30" s="54">
        <v>0.75</v>
      </c>
      <c r="F30" s="54">
        <v>0.57999999999999996</v>
      </c>
      <c r="G30" s="54">
        <v>228.27</v>
      </c>
      <c r="H30" s="54">
        <v>68.89</v>
      </c>
      <c r="I30" s="54">
        <v>1.55</v>
      </c>
      <c r="J30" s="54">
        <v>0.12</v>
      </c>
      <c r="K30" s="54">
        <v>317.86</v>
      </c>
      <c r="L30" s="54">
        <v>20.14</v>
      </c>
      <c r="M30" s="54">
        <v>70.849999999999994</v>
      </c>
      <c r="N30" s="54">
        <v>27</v>
      </c>
      <c r="O30" s="54">
        <v>0</v>
      </c>
      <c r="P30" s="54">
        <v>3.25</v>
      </c>
      <c r="Q30" s="54">
        <v>9.23</v>
      </c>
      <c r="R30" s="43"/>
      <c r="S30" s="43"/>
      <c r="T30" s="43"/>
      <c r="U30" s="43"/>
    </row>
    <row r="31" spans="1:21" s="11" customFormat="1" ht="15">
      <c r="A31" s="53" t="s">
        <v>276</v>
      </c>
      <c r="B31" s="54">
        <v>139.33000000000001</v>
      </c>
      <c r="C31" s="54">
        <v>57.63</v>
      </c>
      <c r="D31" s="54">
        <v>195.69</v>
      </c>
      <c r="E31" s="54">
        <v>0.81</v>
      </c>
      <c r="F31" s="54">
        <v>0.34</v>
      </c>
      <c r="G31" s="54">
        <v>245.84</v>
      </c>
      <c r="H31" s="54">
        <v>72.510000000000005</v>
      </c>
      <c r="I31" s="54">
        <v>1.51</v>
      </c>
      <c r="J31" s="54">
        <v>0.13</v>
      </c>
      <c r="K31" s="54">
        <v>280.89</v>
      </c>
      <c r="L31" s="54">
        <v>19.489999999999998</v>
      </c>
      <c r="M31" s="54">
        <v>74.36</v>
      </c>
      <c r="N31" s="54">
        <v>27.30</v>
      </c>
      <c r="O31" s="54">
        <v>0</v>
      </c>
      <c r="P31" s="54">
        <v>2.98</v>
      </c>
      <c r="Q31" s="54">
        <v>14.93</v>
      </c>
      <c r="R31" s="43"/>
      <c r="S31" s="43"/>
      <c r="T31" s="43"/>
      <c r="U31" s="43"/>
    </row>
    <row r="32" spans="1:21" s="11" customFormat="1" ht="15">
      <c r="A32" s="53" t="s">
        <v>277</v>
      </c>
      <c r="B32" s="54">
        <v>120.45</v>
      </c>
      <c r="C32" s="54">
        <v>38.42</v>
      </c>
      <c r="D32" s="54">
        <v>158.66999999999999</v>
      </c>
      <c r="E32" s="54">
        <v>0.65</v>
      </c>
      <c r="F32" s="54">
        <v>0.66</v>
      </c>
      <c r="G32" s="54">
        <v>230.04</v>
      </c>
      <c r="H32" s="54">
        <v>72.45</v>
      </c>
      <c r="I32" s="54">
        <v>1.53</v>
      </c>
      <c r="J32" s="54">
        <v>0.13</v>
      </c>
      <c r="K32" s="54">
        <v>320.35000000000002</v>
      </c>
      <c r="L32" s="54">
        <v>19.32</v>
      </c>
      <c r="M32" s="54">
        <v>75.55</v>
      </c>
      <c r="N32" s="54">
        <v>27.5</v>
      </c>
      <c r="O32" s="54">
        <v>0</v>
      </c>
      <c r="P32" s="54">
        <v>2.70</v>
      </c>
      <c r="Q32" s="54">
        <v>15.46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2.6800000000000002</v>
      </c>
      <c r="C34" s="28">
        <f t="shared" si="0"/>
        <v>30.02</v>
      </c>
      <c r="D34" s="28">
        <f t="shared" si="0"/>
        <v>33.579999999999998</v>
      </c>
      <c r="E34" s="28">
        <f t="shared" si="0"/>
        <v>0.20999999999999999</v>
      </c>
      <c r="F34" s="28">
        <f t="shared" si="0"/>
        <v>0.22</v>
      </c>
      <c r="G34" s="28">
        <f t="shared" si="0"/>
        <v>59.490000000000002</v>
      </c>
      <c r="H34" s="28">
        <f t="shared" si="0"/>
        <v>43.68</v>
      </c>
      <c r="I34" s="28">
        <f t="shared" si="0"/>
        <v>1.5</v>
      </c>
      <c r="J34" s="28">
        <f t="shared" si="0"/>
        <v>0.10000000000000001</v>
      </c>
      <c r="K34" s="28">
        <f t="shared" si="0"/>
        <v>123.54000000000001</v>
      </c>
      <c r="L34" s="28">
        <f t="shared" si="0"/>
        <v>16.52</v>
      </c>
      <c r="M34" s="28">
        <f t="shared" si="0"/>
        <v>28.890000000000001</v>
      </c>
      <c r="N34" s="28">
        <f t="shared" si="0"/>
        <v>26.600000000000001</v>
      </c>
      <c r="O34" s="28">
        <f t="shared" si="0"/>
        <v>0</v>
      </c>
      <c r="P34" s="28">
        <f t="shared" si="0"/>
        <v>0.62</v>
      </c>
      <c r="Q34" s="28">
        <f t="shared" si="0"/>
        <v>2.1800000000000002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151.49000000000001</v>
      </c>
      <c r="C35" s="29">
        <f t="shared" si="1"/>
        <v>94.180000000000007</v>
      </c>
      <c r="D35" s="29">
        <f t="shared" si="1"/>
        <v>213.08000000000001</v>
      </c>
      <c r="E35" s="29">
        <f t="shared" si="1"/>
        <v>3.3999999999999999</v>
      </c>
      <c r="F35" s="29">
        <f t="shared" si="1"/>
        <v>58.299999999999997</v>
      </c>
      <c r="G35" s="29">
        <f t="shared" si="1"/>
        <v>245.84</v>
      </c>
      <c r="H35" s="29">
        <f t="shared" si="1"/>
        <v>83.849999999999994</v>
      </c>
      <c r="I35" s="29">
        <f t="shared" si="1"/>
        <v>1.6000000000000001</v>
      </c>
      <c r="J35" s="29">
        <f t="shared" si="1"/>
        <v>1.1399999999999999</v>
      </c>
      <c r="K35" s="29">
        <f t="shared" si="1"/>
        <v>358.66000000000003</v>
      </c>
      <c r="L35" s="29">
        <f t="shared" si="1"/>
        <v>31.670000000000002</v>
      </c>
      <c r="M35" s="29">
        <f t="shared" si="1"/>
        <v>89.840000000000003</v>
      </c>
      <c r="N35" s="29">
        <f t="shared" si="1"/>
        <v>791.20000000000005</v>
      </c>
      <c r="O35" s="29">
        <f t="shared" si="1"/>
        <v>0</v>
      </c>
      <c r="P35" s="29">
        <f t="shared" si="1"/>
        <v>3.25</v>
      </c>
      <c r="Q35" s="29">
        <f t="shared" si="1"/>
        <v>15.460000000000001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52.362916666666656</v>
      </c>
      <c r="C36" s="28">
        <f t="shared" si="2"/>
        <v>46.486250000000013</v>
      </c>
      <c r="D36" s="28">
        <f t="shared" si="2"/>
        <v>98.132916666666674</v>
      </c>
      <c r="E36" s="28">
        <f t="shared" si="2"/>
        <v>0.83499999999999985</v>
      </c>
      <c r="F36" s="28">
        <f t="shared" si="2"/>
        <v>10.023333333333335</v>
      </c>
      <c r="G36" s="28">
        <f t="shared" si="2"/>
        <v>138.90416666666673</v>
      </c>
      <c r="H36" s="28">
        <f t="shared" si="2"/>
        <v>59.866666666666667</v>
      </c>
      <c r="I36" s="28">
        <f t="shared" si="2"/>
        <v>1.5429166666666665</v>
      </c>
      <c r="J36" s="28">
        <f t="shared" si="2"/>
        <v>0.39375000000000004</v>
      </c>
      <c r="K36" s="28">
        <f t="shared" si="2"/>
        <v>260.31333333333333</v>
      </c>
      <c r="L36" s="28">
        <f t="shared" si="2"/>
        <v>22.957916666666666</v>
      </c>
      <c r="M36" s="28">
        <f t="shared" si="2"/>
        <v>61.364166666666648</v>
      </c>
      <c r="N36" s="28">
        <f t="shared" si="2"/>
        <v>222.24583333333331</v>
      </c>
      <c r="O36" s="28">
        <f t="shared" si="2"/>
        <v>0</v>
      </c>
      <c r="P36" s="28">
        <f t="shared" si="2"/>
        <v>1.5570833333333332</v>
      </c>
      <c r="Q36" s="28">
        <f t="shared" si="2"/>
        <v>7.192499999999999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44.87854900382149</v>
      </c>
      <c r="C37" s="28">
        <f t="shared" si="3" ref="C37:Q37">STDEV(C9:C32)</f>
        <v>20.809688548846626</v>
      </c>
      <c r="D37" s="28">
        <f t="shared" si="3"/>
        <v>57.371464083838625</v>
      </c>
      <c r="E37" s="28">
        <f t="shared" si="3"/>
        <v>0.82503227868342544</v>
      </c>
      <c r="F37" s="28">
        <f t="shared" si="3"/>
        <v>17.051348197791246</v>
      </c>
      <c r="G37" s="28">
        <f t="shared" si="3"/>
        <v>51.611336715262667</v>
      </c>
      <c r="H37" s="28">
        <f t="shared" si="3"/>
        <v>12.215726736880878</v>
      </c>
      <c r="I37" s="28">
        <f t="shared" si="3"/>
        <v>0.028204095704219185</v>
      </c>
      <c r="J37" s="28">
        <f t="shared" si="3"/>
        <v>0.34149049894479505</v>
      </c>
      <c r="K37" s="28">
        <f t="shared" si="3"/>
        <v>83.37797293658852</v>
      </c>
      <c r="L37" s="28">
        <f t="shared" si="3"/>
        <v>5.0069117264269538</v>
      </c>
      <c r="M37" s="28">
        <f t="shared" si="3"/>
        <v>21.276147476676254</v>
      </c>
      <c r="N37" s="28">
        <f t="shared" si="3"/>
        <v>283.17646515320916</v>
      </c>
      <c r="O37" s="28">
        <f t="shared" si="3"/>
        <v>0</v>
      </c>
      <c r="P37" s="28">
        <f t="shared" si="3"/>
        <v>0.79461491448300992</v>
      </c>
      <c r="Q37" s="28">
        <f t="shared" si="3"/>
        <v>3.1165675796075547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9ae0f7-08ed-44ac-9215-362de1cc6dcf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31" sqref="G31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278</v>
      </c>
      <c r="B9" s="54">
        <v>107.31</v>
      </c>
      <c r="C9" s="54">
        <v>34.57</v>
      </c>
      <c r="D9" s="54">
        <v>141.88</v>
      </c>
      <c r="E9" s="54">
        <v>0.54</v>
      </c>
      <c r="F9" s="54">
        <v>0.27</v>
      </c>
      <c r="G9" s="54">
        <v>162.94999999999999</v>
      </c>
      <c r="H9" s="54">
        <v>69.70</v>
      </c>
      <c r="I9" s="54">
        <v>1.55</v>
      </c>
      <c r="J9" s="54">
        <v>0.14000000000000001</v>
      </c>
      <c r="K9" s="54">
        <v>294.85000000000002</v>
      </c>
      <c r="L9" s="54">
        <v>18.559999999999999</v>
      </c>
      <c r="M9" s="54">
        <v>76.53</v>
      </c>
      <c r="N9" s="54">
        <v>27.40</v>
      </c>
      <c r="O9" s="54">
        <v>0</v>
      </c>
      <c r="P9" s="54">
        <v>2.44</v>
      </c>
      <c r="Q9" s="54">
        <v>12.94</v>
      </c>
      <c r="R9" s="43"/>
      <c r="S9" s="43"/>
      <c r="T9" s="43"/>
      <c r="U9" s="43"/>
    </row>
    <row r="10" spans="1:21" s="11" customFormat="1" ht="15">
      <c r="A10" s="53" t="s">
        <v>279</v>
      </c>
      <c r="B10" s="54">
        <v>80.16</v>
      </c>
      <c r="C10" s="54">
        <v>33.229999999999997</v>
      </c>
      <c r="D10" s="54">
        <v>112.09</v>
      </c>
      <c r="E10" s="54">
        <v>0.53</v>
      </c>
      <c r="F10" s="54">
        <v>0.88</v>
      </c>
      <c r="G10" s="54">
        <v>90.42</v>
      </c>
      <c r="H10" s="54">
        <v>64.30</v>
      </c>
      <c r="I10" s="54">
        <v>1.56</v>
      </c>
      <c r="J10" s="54">
        <v>0.10</v>
      </c>
      <c r="K10" s="54">
        <v>311.30</v>
      </c>
      <c r="L10" s="54">
        <v>18.16</v>
      </c>
      <c r="M10" s="54">
        <v>83.19</v>
      </c>
      <c r="N10" s="54">
        <v>27.70</v>
      </c>
      <c r="O10" s="54">
        <v>0</v>
      </c>
      <c r="P10" s="54">
        <v>1.89</v>
      </c>
      <c r="Q10" s="54">
        <v>12.70</v>
      </c>
      <c r="R10" s="43"/>
      <c r="S10" s="43"/>
      <c r="T10" s="43"/>
      <c r="U10" s="43"/>
    </row>
    <row r="11" spans="1:21" s="11" customFormat="1" ht="15">
      <c r="A11" s="53" t="s">
        <v>280</v>
      </c>
      <c r="B11" s="54">
        <v>75.69</v>
      </c>
      <c r="C11" s="54">
        <v>31.58</v>
      </c>
      <c r="D11" s="54">
        <v>107.27</v>
      </c>
      <c r="E11" s="54">
        <v>0.5</v>
      </c>
      <c r="F11" s="54">
        <v>0.16</v>
      </c>
      <c r="G11" s="54">
        <v>92.40</v>
      </c>
      <c r="H11" s="54">
        <v>53.35</v>
      </c>
      <c r="I11" s="54">
        <v>1.54</v>
      </c>
      <c r="J11" s="54">
        <v>0.10</v>
      </c>
      <c r="K11" s="54">
        <v>289.61</v>
      </c>
      <c r="L11" s="54">
        <v>17.34</v>
      </c>
      <c r="M11" s="54">
        <v>85.05</v>
      </c>
      <c r="N11" s="54">
        <v>27.80</v>
      </c>
      <c r="O11" s="54">
        <v>0</v>
      </c>
      <c r="P11" s="54">
        <v>1.75</v>
      </c>
      <c r="Q11" s="54">
        <v>10.37</v>
      </c>
      <c r="R11" s="43"/>
      <c r="S11" s="43"/>
      <c r="T11" s="43"/>
      <c r="U11" s="43"/>
    </row>
    <row r="12" spans="1:21" s="11" customFormat="1" ht="15">
      <c r="A12" s="53" t="s">
        <v>281</v>
      </c>
      <c r="B12" s="54">
        <v>64.540000000000006</v>
      </c>
      <c r="C12" s="54">
        <v>30.65</v>
      </c>
      <c r="D12" s="54">
        <v>94.27</v>
      </c>
      <c r="E12" s="54">
        <v>0.46</v>
      </c>
      <c r="F12" s="54">
        <v>0.27</v>
      </c>
      <c r="G12" s="54">
        <v>132.91999999999999</v>
      </c>
      <c r="H12" s="54">
        <v>47.20</v>
      </c>
      <c r="I12" s="54">
        <v>1.54</v>
      </c>
      <c r="J12" s="54">
        <v>0.13</v>
      </c>
      <c r="K12" s="54">
        <v>284.70999999999998</v>
      </c>
      <c r="L12" s="54">
        <v>16.989999999999998</v>
      </c>
      <c r="M12" s="54">
        <v>87.95</v>
      </c>
      <c r="N12" s="54">
        <v>27.90</v>
      </c>
      <c r="O12" s="54">
        <v>0</v>
      </c>
      <c r="P12" s="54">
        <v>1.55</v>
      </c>
      <c r="Q12" s="54">
        <v>9.36</v>
      </c>
      <c r="R12" s="43"/>
      <c r="S12" s="43"/>
      <c r="T12" s="43"/>
      <c r="U12" s="43"/>
    </row>
    <row r="13" spans="1:21" s="11" customFormat="1" ht="15">
      <c r="A13" s="53" t="s">
        <v>282</v>
      </c>
      <c r="B13" s="54">
        <v>60.15</v>
      </c>
      <c r="C13" s="54">
        <v>30.91</v>
      </c>
      <c r="D13" s="54">
        <v>90.87</v>
      </c>
      <c r="E13" s="54">
        <v>0.43</v>
      </c>
      <c r="F13" s="54">
        <v>0.16</v>
      </c>
      <c r="G13" s="54">
        <v>137.63999999999999</v>
      </c>
      <c r="H13" s="54">
        <v>53.96</v>
      </c>
      <c r="I13" s="54">
        <v>1.54</v>
      </c>
      <c r="J13" s="54">
        <v>0.15</v>
      </c>
      <c r="K13" s="54">
        <v>292.44</v>
      </c>
      <c r="L13" s="54">
        <v>16.989999999999998</v>
      </c>
      <c r="M13" s="54">
        <v>90.83</v>
      </c>
      <c r="N13" s="54">
        <v>32.60</v>
      </c>
      <c r="O13" s="54">
        <v>0</v>
      </c>
      <c r="P13" s="54">
        <v>1.35</v>
      </c>
      <c r="Q13" s="54">
        <v>8.90</v>
      </c>
      <c r="R13" s="43"/>
      <c r="S13" s="43"/>
      <c r="T13" s="43"/>
      <c r="U13" s="43"/>
    </row>
    <row r="14" spans="1:21" s="11" customFormat="1" ht="15">
      <c r="A14" s="53" t="s">
        <v>283</v>
      </c>
      <c r="B14" s="54">
        <v>60.51</v>
      </c>
      <c r="C14" s="54">
        <v>29.07</v>
      </c>
      <c r="D14" s="54">
        <v>88.75</v>
      </c>
      <c r="E14" s="54">
        <v>0.45</v>
      </c>
      <c r="F14" s="54">
        <v>0.42</v>
      </c>
      <c r="G14" s="54">
        <v>134.58000000000001</v>
      </c>
      <c r="H14" s="54">
        <v>53.48</v>
      </c>
      <c r="I14" s="54">
        <v>1.49</v>
      </c>
      <c r="J14" s="54">
        <v>0.14000000000000001</v>
      </c>
      <c r="K14" s="54">
        <v>287.92</v>
      </c>
      <c r="L14" s="54">
        <v>16.98</v>
      </c>
      <c r="M14" s="54">
        <v>91.44</v>
      </c>
      <c r="N14" s="54">
        <v>34.10</v>
      </c>
      <c r="O14" s="54">
        <v>0</v>
      </c>
      <c r="P14" s="54">
        <v>1.23</v>
      </c>
      <c r="Q14" s="54">
        <v>8.85</v>
      </c>
      <c r="R14" s="43"/>
      <c r="S14" s="43"/>
      <c r="T14" s="43"/>
      <c r="U14" s="43"/>
    </row>
    <row r="15" spans="1:21" s="11" customFormat="1" ht="15">
      <c r="A15" s="53" t="s">
        <v>284</v>
      </c>
      <c r="B15" s="54">
        <v>61.21</v>
      </c>
      <c r="C15" s="54">
        <v>30.40</v>
      </c>
      <c r="D15" s="54">
        <v>91.51</v>
      </c>
      <c r="E15" s="54">
        <v>0.40</v>
      </c>
      <c r="F15" s="54">
        <v>0.31</v>
      </c>
      <c r="G15" s="54">
        <v>125.68</v>
      </c>
      <c r="H15" s="54">
        <v>51.24</v>
      </c>
      <c r="I15" s="54">
        <v>1.58</v>
      </c>
      <c r="J15" s="54">
        <v>0.16</v>
      </c>
      <c r="K15" s="54">
        <v>316.5</v>
      </c>
      <c r="L15" s="54">
        <v>17.82</v>
      </c>
      <c r="M15" s="54">
        <v>92.06</v>
      </c>
      <c r="N15" s="54">
        <v>93.5</v>
      </c>
      <c r="O15" s="54">
        <v>0</v>
      </c>
      <c r="P15" s="54">
        <v>1.1499999999999999</v>
      </c>
      <c r="Q15" s="54">
        <v>8.94</v>
      </c>
      <c r="R15" s="43"/>
      <c r="S15" s="43"/>
      <c r="T15" s="43"/>
      <c r="U15" s="43"/>
    </row>
    <row r="16" spans="1:21" s="11" customFormat="1" ht="15">
      <c r="A16" s="53" t="s">
        <v>285</v>
      </c>
      <c r="B16" s="54">
        <v>67.27</v>
      </c>
      <c r="C16" s="54">
        <v>31.85</v>
      </c>
      <c r="D16" s="54">
        <v>99.12</v>
      </c>
      <c r="E16" s="54">
        <v>0.41</v>
      </c>
      <c r="F16" s="54">
        <v>0.32</v>
      </c>
      <c r="G16" s="54">
        <v>117.46</v>
      </c>
      <c r="H16" s="54">
        <v>51.13</v>
      </c>
      <c r="I16" s="54">
        <v>1.57</v>
      </c>
      <c r="J16" s="54">
        <v>0.22</v>
      </c>
      <c r="K16" s="54">
        <v>201.16</v>
      </c>
      <c r="L16" s="54">
        <v>20.94</v>
      </c>
      <c r="M16" s="54">
        <v>85</v>
      </c>
      <c r="N16" s="54">
        <v>314.70</v>
      </c>
      <c r="O16" s="54">
        <v>0</v>
      </c>
      <c r="P16" s="54">
        <v>1.1599999999999999</v>
      </c>
      <c r="Q16" s="54">
        <v>9.2799999999999994</v>
      </c>
      <c r="R16" s="43"/>
      <c r="S16" s="43"/>
      <c r="T16" s="43"/>
      <c r="U16" s="43"/>
    </row>
    <row r="17" spans="1:21" s="11" customFormat="1" ht="15">
      <c r="A17" s="53" t="s">
        <v>286</v>
      </c>
      <c r="B17" s="54">
        <v>59.98</v>
      </c>
      <c r="C17" s="54">
        <v>30.04</v>
      </c>
      <c r="D17" s="54">
        <v>86.48</v>
      </c>
      <c r="E17" s="54">
        <v>0.31</v>
      </c>
      <c r="F17" s="54">
        <v>0.88</v>
      </c>
      <c r="G17" s="54">
        <v>109.77</v>
      </c>
      <c r="H17" s="54">
        <v>49.84</v>
      </c>
      <c r="I17" s="54">
        <v>1.58</v>
      </c>
      <c r="J17" s="54">
        <v>0.34</v>
      </c>
      <c r="K17" s="54">
        <v>155.83000000000001</v>
      </c>
      <c r="L17" s="54">
        <v>24.31</v>
      </c>
      <c r="M17" s="54">
        <v>63.26</v>
      </c>
      <c r="N17" s="54">
        <v>494.20</v>
      </c>
      <c r="O17" s="54">
        <v>0</v>
      </c>
      <c r="P17" s="54">
        <v>1.0900000000000001</v>
      </c>
      <c r="Q17" s="54">
        <v>8.9700000000000006</v>
      </c>
      <c r="R17" s="43"/>
      <c r="S17" s="43"/>
      <c r="T17" s="43"/>
      <c r="U17" s="43"/>
    </row>
    <row r="18" spans="1:21" s="11" customFormat="1" ht="15">
      <c r="A18" s="53" t="s">
        <v>287</v>
      </c>
      <c r="B18" s="54">
        <v>45.02</v>
      </c>
      <c r="C18" s="54">
        <v>32.56</v>
      </c>
      <c r="D18" s="54">
        <v>76.510000000000005</v>
      </c>
      <c r="E18" s="54">
        <v>0.30</v>
      </c>
      <c r="F18" s="54">
        <v>3.34</v>
      </c>
      <c r="G18" s="54">
        <v>106.14</v>
      </c>
      <c r="H18" s="54">
        <v>50.96</v>
      </c>
      <c r="I18" s="54">
        <v>1.55</v>
      </c>
      <c r="J18" s="54">
        <v>0.56000000000000005</v>
      </c>
      <c r="K18" s="54">
        <v>149.32</v>
      </c>
      <c r="L18" s="54">
        <v>27.99</v>
      </c>
      <c r="M18" s="54">
        <v>49.07</v>
      </c>
      <c r="N18" s="54">
        <v>669.80</v>
      </c>
      <c r="O18" s="54">
        <v>0</v>
      </c>
      <c r="P18" s="54">
        <v>1.03</v>
      </c>
      <c r="Q18" s="54">
        <v>7.93</v>
      </c>
      <c r="R18" s="43"/>
      <c r="S18" s="43"/>
      <c r="T18" s="43"/>
      <c r="U18" s="43"/>
    </row>
    <row r="19" spans="1:21" s="11" customFormat="1" ht="15">
      <c r="A19" s="53" t="s">
        <v>288</v>
      </c>
      <c r="B19" s="54">
        <v>28.95</v>
      </c>
      <c r="C19" s="54">
        <v>33.47</v>
      </c>
      <c r="D19" s="54">
        <v>59.72</v>
      </c>
      <c r="E19" s="54">
        <v>0.28999999999999998</v>
      </c>
      <c r="F19" s="54">
        <v>4.42</v>
      </c>
      <c r="G19" s="54">
        <v>97.83</v>
      </c>
      <c r="H19" s="54">
        <v>51.11</v>
      </c>
      <c r="I19" s="54">
        <v>1.55</v>
      </c>
      <c r="J19" s="54">
        <v>1.17</v>
      </c>
      <c r="K19" s="54">
        <v>150.99</v>
      </c>
      <c r="L19" s="54">
        <v>28.54</v>
      </c>
      <c r="M19" s="54">
        <v>41.13</v>
      </c>
      <c r="N19" s="54">
        <v>732.90</v>
      </c>
      <c r="O19" s="54">
        <v>0</v>
      </c>
      <c r="P19" s="54">
        <v>0.94</v>
      </c>
      <c r="Q19" s="54">
        <v>7.08</v>
      </c>
      <c r="R19" s="43"/>
      <c r="S19" s="43"/>
      <c r="T19" s="43"/>
      <c r="U19" s="43"/>
    </row>
    <row r="20" spans="1:21" s="11" customFormat="1" ht="15">
      <c r="A20" s="53" t="s">
        <v>289</v>
      </c>
      <c r="B20" s="54">
        <v>19.36</v>
      </c>
      <c r="C20" s="54">
        <v>36.200000000000003</v>
      </c>
      <c r="D20" s="54">
        <v>50.14</v>
      </c>
      <c r="E20" s="54">
        <v>0.28999999999999998</v>
      </c>
      <c r="F20" s="54">
        <v>9.6199999999999992</v>
      </c>
      <c r="G20" s="54">
        <v>82.32</v>
      </c>
      <c r="H20" s="54">
        <v>49.47</v>
      </c>
      <c r="I20" s="54">
        <v>1.52</v>
      </c>
      <c r="J20" s="54">
        <v>0.52</v>
      </c>
      <c r="K20" s="54">
        <v>338.62</v>
      </c>
      <c r="L20" s="54">
        <v>33.31</v>
      </c>
      <c r="M20" s="54">
        <v>36.229999999999997</v>
      </c>
      <c r="N20" s="54">
        <v>743</v>
      </c>
      <c r="O20" s="54">
        <v>0</v>
      </c>
      <c r="P20" s="54">
        <v>0.84</v>
      </c>
      <c r="Q20" s="54">
        <v>6.33</v>
      </c>
      <c r="R20" s="43"/>
      <c r="S20" s="43"/>
      <c r="T20" s="43"/>
      <c r="U20" s="43"/>
    </row>
    <row r="21" spans="1:21" s="11" customFormat="1" ht="15">
      <c r="A21" s="53" t="s">
        <v>290</v>
      </c>
      <c r="B21" s="54">
        <v>9.98</v>
      </c>
      <c r="C21" s="54">
        <v>39.49</v>
      </c>
      <c r="D21" s="54">
        <v>49</v>
      </c>
      <c r="E21" s="54">
        <v>0.54</v>
      </c>
      <c r="F21" s="54">
        <v>13.15</v>
      </c>
      <c r="G21" s="54">
        <v>82.38</v>
      </c>
      <c r="H21" s="54">
        <v>46.22</v>
      </c>
      <c r="I21" s="54">
        <v>1.53</v>
      </c>
      <c r="J21" s="54">
        <v>0.80</v>
      </c>
      <c r="K21" s="54">
        <v>145.93</v>
      </c>
      <c r="L21" s="54">
        <v>30.51</v>
      </c>
      <c r="M21" s="54">
        <v>32.51</v>
      </c>
      <c r="N21" s="54">
        <v>723.10</v>
      </c>
      <c r="O21" s="54">
        <v>0</v>
      </c>
      <c r="P21" s="54">
        <v>0.84</v>
      </c>
      <c r="Q21" s="54">
        <v>5.20</v>
      </c>
      <c r="R21" s="43"/>
      <c r="S21" s="43"/>
      <c r="T21" s="43"/>
      <c r="U21" s="43"/>
    </row>
    <row r="22" spans="1:21" s="11" customFormat="1" ht="15">
      <c r="A22" s="53" t="s">
        <v>291</v>
      </c>
      <c r="B22" s="54">
        <v>4.84</v>
      </c>
      <c r="C22" s="54">
        <v>36.94</v>
      </c>
      <c r="D22" s="54">
        <v>41.75</v>
      </c>
      <c r="E22" s="54">
        <v>0.96</v>
      </c>
      <c r="F22" s="54">
        <v>30.14</v>
      </c>
      <c r="G22" s="54">
        <v>80.39</v>
      </c>
      <c r="H22" s="54">
        <v>44.56</v>
      </c>
      <c r="I22" s="54">
        <v>1.51</v>
      </c>
      <c r="J22" s="54">
        <v>0.67</v>
      </c>
      <c r="K22" s="54">
        <v>349.64</v>
      </c>
      <c r="L22" s="54">
        <v>30.53</v>
      </c>
      <c r="M22" s="54">
        <v>32.21</v>
      </c>
      <c r="N22" s="54">
        <v>642.29999999999995</v>
      </c>
      <c r="O22" s="54">
        <v>0</v>
      </c>
      <c r="P22" s="54">
        <v>0.77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292</v>
      </c>
      <c r="B23" s="54">
        <v>3.17</v>
      </c>
      <c r="C23" s="54">
        <v>44.36</v>
      </c>
      <c r="D23" s="54">
        <v>47.53</v>
      </c>
      <c r="E23" s="54">
        <v>1.1599999999999999</v>
      </c>
      <c r="F23" s="54">
        <v>37.17</v>
      </c>
      <c r="G23" s="54">
        <v>73.88</v>
      </c>
      <c r="H23" s="54">
        <v>39.799999999999997</v>
      </c>
      <c r="I23" s="54">
        <v>1.52</v>
      </c>
      <c r="J23" s="54">
        <v>1.1599999999999999</v>
      </c>
      <c r="K23" s="54">
        <v>115.62</v>
      </c>
      <c r="L23" s="54">
        <v>28.71</v>
      </c>
      <c r="M23" s="54">
        <v>32.56</v>
      </c>
      <c r="N23" s="54">
        <v>204.60</v>
      </c>
      <c r="O23" s="54">
        <v>0</v>
      </c>
      <c r="P23" s="54">
        <v>0.74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293</v>
      </c>
      <c r="B24" s="54">
        <v>4.6500000000000004</v>
      </c>
      <c r="C24" s="54">
        <v>60.79</v>
      </c>
      <c r="D24" s="54">
        <v>65.44</v>
      </c>
      <c r="E24" s="54">
        <v>2.99</v>
      </c>
      <c r="F24" s="54">
        <v>43.69</v>
      </c>
      <c r="G24" s="54">
        <v>80.069999999999993</v>
      </c>
      <c r="H24" s="54">
        <v>39.380000000000003</v>
      </c>
      <c r="I24" s="54">
        <v>1.54</v>
      </c>
      <c r="J24" s="54">
        <v>0.52</v>
      </c>
      <c r="K24" s="54">
        <v>104.45</v>
      </c>
      <c r="L24" s="54">
        <v>27.88</v>
      </c>
      <c r="M24" s="54">
        <v>34.090000000000003</v>
      </c>
      <c r="N24" s="54">
        <v>133.69999999999999</v>
      </c>
      <c r="O24" s="54">
        <v>0</v>
      </c>
      <c r="P24" s="54">
        <v>1.01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294</v>
      </c>
      <c r="B25" s="54">
        <v>2.46</v>
      </c>
      <c r="C25" s="54">
        <v>71.540000000000006</v>
      </c>
      <c r="D25" s="54">
        <v>73.540000000000006</v>
      </c>
      <c r="E25" s="54">
        <v>5.36</v>
      </c>
      <c r="F25" s="54">
        <v>57.04</v>
      </c>
      <c r="G25" s="54">
        <v>91.13</v>
      </c>
      <c r="H25" s="54">
        <v>39.33</v>
      </c>
      <c r="I25" s="54">
        <v>1.55</v>
      </c>
      <c r="J25" s="54">
        <v>0.51</v>
      </c>
      <c r="K25" s="54">
        <v>102.76</v>
      </c>
      <c r="L25" s="54">
        <v>27.35</v>
      </c>
      <c r="M25" s="54">
        <v>39.04</v>
      </c>
      <c r="N25" s="54">
        <v>98</v>
      </c>
      <c r="O25" s="54">
        <v>0</v>
      </c>
      <c r="P25" s="54">
        <v>0.90</v>
      </c>
      <c r="Q25" s="54">
        <v>5.15</v>
      </c>
      <c r="R25" s="43"/>
      <c r="S25" s="43"/>
      <c r="T25" s="43"/>
      <c r="U25" s="43"/>
    </row>
    <row r="26" spans="1:21" s="11" customFormat="1" ht="15">
      <c r="A26" s="53" t="s">
        <v>295</v>
      </c>
      <c r="B26" s="54">
        <v>86.58</v>
      </c>
      <c r="C26" s="54">
        <v>123.20</v>
      </c>
      <c r="D26" s="54">
        <v>209.78</v>
      </c>
      <c r="E26" s="54">
        <v>4.21</v>
      </c>
      <c r="F26" s="54">
        <v>23.47</v>
      </c>
      <c r="G26" s="54">
        <v>97.94</v>
      </c>
      <c r="H26" s="54">
        <v>40.69</v>
      </c>
      <c r="I26" s="54">
        <v>1.53</v>
      </c>
      <c r="J26" s="54">
        <v>0.14000000000000001</v>
      </c>
      <c r="K26" s="54">
        <v>333.49</v>
      </c>
      <c r="L26" s="54">
        <v>25.77</v>
      </c>
      <c r="M26" s="54">
        <v>62.37</v>
      </c>
      <c r="N26" s="54">
        <v>37.60</v>
      </c>
      <c r="O26" s="54">
        <v>0</v>
      </c>
      <c r="P26" s="54">
        <v>2.56</v>
      </c>
      <c r="Q26" s="54">
        <v>3.75</v>
      </c>
      <c r="R26" s="43"/>
      <c r="S26" s="43"/>
      <c r="T26" s="43"/>
      <c r="U26" s="43"/>
    </row>
    <row r="27" spans="1:21" s="11" customFormat="1" ht="15">
      <c r="A27" s="53" t="s">
        <v>296</v>
      </c>
      <c r="B27" s="54">
        <v>91.58</v>
      </c>
      <c r="C27" s="54">
        <v>103.47</v>
      </c>
      <c r="D27" s="54">
        <v>187</v>
      </c>
      <c r="E27" s="54">
        <v>1.88</v>
      </c>
      <c r="F27" s="54">
        <v>6.49</v>
      </c>
      <c r="G27" s="54">
        <v>144.02000000000001</v>
      </c>
      <c r="H27" s="54">
        <v>50.92</v>
      </c>
      <c r="I27" s="54">
        <v>1.56</v>
      </c>
      <c r="J27" s="54">
        <v>0.09</v>
      </c>
      <c r="K27" s="54">
        <v>305.37</v>
      </c>
      <c r="L27" s="54">
        <v>23.61</v>
      </c>
      <c r="M27" s="54">
        <v>64.25</v>
      </c>
      <c r="N27" s="54">
        <v>44.90</v>
      </c>
      <c r="O27" s="54">
        <v>0</v>
      </c>
      <c r="P27" s="54">
        <v>2.76</v>
      </c>
      <c r="Q27" s="54">
        <v>0.73</v>
      </c>
      <c r="R27" s="43"/>
      <c r="S27" s="43"/>
      <c r="T27" s="43"/>
      <c r="U27" s="43"/>
    </row>
    <row r="28" spans="1:21" s="11" customFormat="1" ht="15">
      <c r="A28" s="53" t="s">
        <v>297</v>
      </c>
      <c r="B28" s="54">
        <v>132.13</v>
      </c>
      <c r="C28" s="54">
        <v>112.80</v>
      </c>
      <c r="D28" s="54">
        <v>230.55</v>
      </c>
      <c r="E28" s="54">
        <v>1.58</v>
      </c>
      <c r="F28" s="54">
        <v>0.71</v>
      </c>
      <c r="G28" s="54">
        <v>231.89</v>
      </c>
      <c r="H28" s="54">
        <v>67.180000000000007</v>
      </c>
      <c r="I28" s="54">
        <v>1.53</v>
      </c>
      <c r="J28" s="54">
        <v>0.10</v>
      </c>
      <c r="K28" s="54">
        <v>318.13</v>
      </c>
      <c r="L28" s="54">
        <v>22.29</v>
      </c>
      <c r="M28" s="54">
        <v>70.52</v>
      </c>
      <c r="N28" s="54">
        <v>49.80</v>
      </c>
      <c r="O28" s="54">
        <v>0</v>
      </c>
      <c r="P28" s="54">
        <v>3.19</v>
      </c>
      <c r="Q28" s="54">
        <v>3.61</v>
      </c>
      <c r="R28" s="43"/>
      <c r="S28" s="43"/>
      <c r="T28" s="43"/>
      <c r="U28" s="43"/>
    </row>
    <row r="29" spans="1:21" s="11" customFormat="1" ht="15">
      <c r="A29" s="53" t="s">
        <v>298</v>
      </c>
      <c r="B29" s="54">
        <v>155.55000000000001</v>
      </c>
      <c r="C29" s="54">
        <v>96.66</v>
      </c>
      <c r="D29" s="54">
        <v>252.21</v>
      </c>
      <c r="E29" s="54">
        <v>1.18</v>
      </c>
      <c r="F29" s="54">
        <v>0.63</v>
      </c>
      <c r="G29" s="54">
        <v>231.89</v>
      </c>
      <c r="H29" s="54">
        <v>93.95</v>
      </c>
      <c r="I29" s="54">
        <v>1.55</v>
      </c>
      <c r="J29" s="54">
        <v>0.09</v>
      </c>
      <c r="K29" s="54">
        <v>354.31</v>
      </c>
      <c r="L29" s="54">
        <v>21.38</v>
      </c>
      <c r="M29" s="54">
        <v>71.91</v>
      </c>
      <c r="N29" s="54">
        <v>49.70</v>
      </c>
      <c r="O29" s="54">
        <v>0</v>
      </c>
      <c r="P29" s="54">
        <v>3.02</v>
      </c>
      <c r="Q29" s="54">
        <v>5.0199999999999996</v>
      </c>
      <c r="R29" s="43"/>
      <c r="S29" s="43"/>
      <c r="T29" s="43"/>
      <c r="U29" s="43"/>
    </row>
    <row r="30" spans="1:21" s="11" customFormat="1" ht="15">
      <c r="A30" s="53" t="s">
        <v>299</v>
      </c>
      <c r="B30" s="54">
        <v>145.13999999999999</v>
      </c>
      <c r="C30" s="54">
        <v>74.92</v>
      </c>
      <c r="D30" s="54">
        <v>220.06</v>
      </c>
      <c r="E30" s="54">
        <v>1.07</v>
      </c>
      <c r="F30" s="54">
        <v>0.35</v>
      </c>
      <c r="G30" s="54">
        <v>225.89</v>
      </c>
      <c r="H30" s="54">
        <v>119.97</v>
      </c>
      <c r="I30" s="54">
        <v>1.51</v>
      </c>
      <c r="J30" s="54">
        <v>0.13</v>
      </c>
      <c r="K30" s="54">
        <v>313.32</v>
      </c>
      <c r="L30" s="54">
        <v>20.75</v>
      </c>
      <c r="M30" s="54">
        <v>77.77</v>
      </c>
      <c r="N30" s="54">
        <v>49.70</v>
      </c>
      <c r="O30" s="54">
        <v>0</v>
      </c>
      <c r="P30" s="54">
        <v>2.96</v>
      </c>
      <c r="Q30" s="54">
        <v>8.19</v>
      </c>
      <c r="R30" s="43"/>
      <c r="S30" s="43"/>
      <c r="T30" s="43"/>
      <c r="U30" s="43"/>
    </row>
    <row r="31" spans="1:21" s="11" customFormat="1" ht="15">
      <c r="A31" s="53" t="s">
        <v>300</v>
      </c>
      <c r="B31" s="54">
        <v>130.41999999999999</v>
      </c>
      <c r="C31" s="54">
        <v>65.23</v>
      </c>
      <c r="D31" s="54">
        <v>195.64</v>
      </c>
      <c r="E31" s="54">
        <v>1.04</v>
      </c>
      <c r="F31" s="54">
        <v>0.79</v>
      </c>
      <c r="G31" s="54">
        <v>231.89</v>
      </c>
      <c r="H31" s="54">
        <v>134.68</v>
      </c>
      <c r="I31" s="54">
        <v>1.5</v>
      </c>
      <c r="J31" s="54">
        <v>0.09</v>
      </c>
      <c r="K31" s="54">
        <v>291.27999999999997</v>
      </c>
      <c r="L31" s="54">
        <v>20.07</v>
      </c>
      <c r="M31" s="54">
        <v>81.540000000000006</v>
      </c>
      <c r="N31" s="54">
        <v>49.30</v>
      </c>
      <c r="O31" s="54">
        <v>0</v>
      </c>
      <c r="P31" s="54">
        <v>2.95</v>
      </c>
      <c r="Q31" s="54">
        <v>13.58</v>
      </c>
      <c r="R31" s="43"/>
      <c r="S31" s="43"/>
      <c r="T31" s="43"/>
      <c r="U31" s="43"/>
    </row>
    <row r="32" spans="1:21" s="11" customFormat="1" ht="15">
      <c r="A32" s="53" t="s">
        <v>301</v>
      </c>
      <c r="B32" s="54">
        <v>107.51</v>
      </c>
      <c r="C32" s="54">
        <v>51.93</v>
      </c>
      <c r="D32" s="54">
        <v>147.84</v>
      </c>
      <c r="E32" s="54">
        <v>0.77</v>
      </c>
      <c r="F32" s="54">
        <v>1.53</v>
      </c>
      <c r="G32" s="54">
        <v>213.42</v>
      </c>
      <c r="H32" s="54">
        <v>129.79</v>
      </c>
      <c r="I32" s="54">
        <v>1.49</v>
      </c>
      <c r="J32" s="54">
        <v>0.12</v>
      </c>
      <c r="K32" s="54">
        <v>290.14999999999998</v>
      </c>
      <c r="L32" s="54">
        <v>20.170000000000002</v>
      </c>
      <c r="M32" s="54">
        <v>71.040000000000006</v>
      </c>
      <c r="N32" s="54">
        <v>49.60</v>
      </c>
      <c r="O32" s="54">
        <v>0</v>
      </c>
      <c r="P32" s="54">
        <v>2.48</v>
      </c>
      <c r="Q32" s="54">
        <v>14.10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2.46</v>
      </c>
      <c r="C34" s="28">
        <f t="shared" si="0"/>
        <v>29.07</v>
      </c>
      <c r="D34" s="28">
        <f t="shared" si="0"/>
        <v>41.75</v>
      </c>
      <c r="E34" s="28">
        <f t="shared" si="0"/>
        <v>0.28999999999999998</v>
      </c>
      <c r="F34" s="28">
        <f t="shared" si="0"/>
        <v>0.16</v>
      </c>
      <c r="G34" s="28">
        <f t="shared" si="0"/>
        <v>73.879999999999995</v>
      </c>
      <c r="H34" s="28">
        <f t="shared" si="0"/>
        <v>39.329999999999998</v>
      </c>
      <c r="I34" s="28">
        <f t="shared" si="0"/>
        <v>1.49</v>
      </c>
      <c r="J34" s="28">
        <f t="shared" si="0"/>
        <v>0.089999999999999997</v>
      </c>
      <c r="K34" s="28">
        <f t="shared" si="0"/>
        <v>102.76000000000001</v>
      </c>
      <c r="L34" s="28">
        <f t="shared" si="0"/>
        <v>16.98</v>
      </c>
      <c r="M34" s="28">
        <f t="shared" si="0"/>
        <v>32.210000000000001</v>
      </c>
      <c r="N34" s="28">
        <f t="shared" si="0"/>
        <v>27.399999999999999</v>
      </c>
      <c r="O34" s="28">
        <f t="shared" si="0"/>
        <v>0</v>
      </c>
      <c r="P34" s="28">
        <f t="shared" si="0"/>
        <v>0.73999999999999999</v>
      </c>
      <c r="Q34" s="28">
        <f t="shared" si="0"/>
        <v>0.72999999999999998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155.55000000000001</v>
      </c>
      <c r="C35" s="29">
        <f t="shared" si="1"/>
        <v>123.2</v>
      </c>
      <c r="D35" s="29">
        <f t="shared" si="1"/>
        <v>252.21000000000001</v>
      </c>
      <c r="E35" s="29">
        <f t="shared" si="1"/>
        <v>5.3600000000000003</v>
      </c>
      <c r="F35" s="29">
        <f t="shared" si="1"/>
        <v>57.039999999999999</v>
      </c>
      <c r="G35" s="29">
        <f t="shared" si="1"/>
        <v>231.88999999999999</v>
      </c>
      <c r="H35" s="29">
        <f t="shared" si="1"/>
        <v>134.68000000000001</v>
      </c>
      <c r="I35" s="29">
        <f t="shared" si="1"/>
        <v>1.5800000000000001</v>
      </c>
      <c r="J35" s="29">
        <f t="shared" si="1"/>
        <v>1.1699999999999999</v>
      </c>
      <c r="K35" s="29">
        <f t="shared" si="1"/>
        <v>354.31</v>
      </c>
      <c r="L35" s="29">
        <f t="shared" si="1"/>
        <v>33.310000000000002</v>
      </c>
      <c r="M35" s="29">
        <f t="shared" si="1"/>
        <v>92.060000000000002</v>
      </c>
      <c r="N35" s="29">
        <f t="shared" si="1"/>
        <v>743</v>
      </c>
      <c r="O35" s="29">
        <f t="shared" si="1"/>
        <v>0</v>
      </c>
      <c r="P35" s="29">
        <f t="shared" si="1"/>
        <v>3.1899999999999999</v>
      </c>
      <c r="Q35" s="29">
        <f t="shared" si="1"/>
        <v>14.1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66.840000000000003</v>
      </c>
      <c r="C36" s="28">
        <f t="shared" si="2"/>
        <v>52.744166666666672</v>
      </c>
      <c r="D36" s="28">
        <f t="shared" si="2"/>
        <v>117.45625</v>
      </c>
      <c r="E36" s="28">
        <f t="shared" si="2"/>
        <v>1.1520833333333333</v>
      </c>
      <c r="F36" s="28">
        <f t="shared" si="2"/>
        <v>9.8420833333333331</v>
      </c>
      <c r="G36" s="28">
        <f t="shared" si="2"/>
        <v>132.28749999999997</v>
      </c>
      <c r="H36" s="28">
        <f t="shared" si="2"/>
        <v>62.175416666666678</v>
      </c>
      <c r="I36" s="28">
        <f t="shared" si="2"/>
        <v>1.5370833333333334</v>
      </c>
      <c r="J36" s="28">
        <f t="shared" si="2"/>
        <v>0.33958333333333329</v>
      </c>
      <c r="K36" s="28">
        <f t="shared" si="2"/>
        <v>254.0708333333333</v>
      </c>
      <c r="L36" s="28">
        <f t="shared" si="2"/>
        <v>23.206250000000001</v>
      </c>
      <c r="M36" s="28">
        <f t="shared" si="2"/>
        <v>64.64791666666666</v>
      </c>
      <c r="N36" s="28">
        <f t="shared" si="2"/>
        <v>223.24583333333337</v>
      </c>
      <c r="O36" s="28">
        <f t="shared" si="2"/>
        <v>0</v>
      </c>
      <c r="P36" s="28">
        <f t="shared" si="2"/>
        <v>1.6916666666666667</v>
      </c>
      <c r="Q36" s="28">
        <f t="shared" si="2"/>
        <v>7.7754166666666675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46.780423627652283</v>
      </c>
      <c r="C37" s="28">
        <f t="shared" si="3" ref="C37:Q37">STDEV(C9:C32)</f>
        <v>29.357472334723532</v>
      </c>
      <c r="D37" s="28">
        <f t="shared" si="3"/>
        <v>64.646845702161954</v>
      </c>
      <c r="E37" s="28">
        <f t="shared" si="3"/>
        <v>1.2928565580566718</v>
      </c>
      <c r="F37" s="28">
        <f t="shared" si="3"/>
        <v>16.182165163662678</v>
      </c>
      <c r="G37" s="28">
        <f t="shared" si="3"/>
        <v>54.731020871642642</v>
      </c>
      <c r="H37" s="28">
        <f t="shared" si="3"/>
        <v>28.136863330508401</v>
      </c>
      <c r="I37" s="28">
        <f t="shared" si="3"/>
        <v>0.025277445981790166</v>
      </c>
      <c r="J37" s="28">
        <f t="shared" si="3"/>
        <v>0.33124900874885876</v>
      </c>
      <c r="K37" s="28">
        <f t="shared" si="3"/>
        <v>85.825432529295227</v>
      </c>
      <c r="L37" s="28">
        <f t="shared" si="3"/>
        <v>5.1015179433269457</v>
      </c>
      <c r="M37" s="28">
        <f t="shared" si="3"/>
        <v>21.78316741035464</v>
      </c>
      <c r="N37" s="28">
        <f t="shared" si="3"/>
        <v>273.42480403237903</v>
      </c>
      <c r="O37" s="28">
        <f t="shared" si="3"/>
        <v>0</v>
      </c>
      <c r="P37" s="28">
        <f t="shared" si="3"/>
        <v>0.85742621265326813</v>
      </c>
      <c r="Q37" s="28">
        <f t="shared" si="3"/>
        <v>3.4144857390709391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3b64dc-3931-4c29-921b-8c5420e17df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302</v>
      </c>
      <c r="B9" s="54">
        <v>92.99</v>
      </c>
      <c r="C9" s="54">
        <v>37.56</v>
      </c>
      <c r="D9" s="54">
        <v>127.95</v>
      </c>
      <c r="E9" s="54">
        <v>0.74</v>
      </c>
      <c r="F9" s="54">
        <v>3.79</v>
      </c>
      <c r="G9" s="54">
        <v>180.42</v>
      </c>
      <c r="H9" s="54">
        <v>110.68</v>
      </c>
      <c r="I9" s="54">
        <v>1.57</v>
      </c>
      <c r="J9" s="54">
        <v>0.14000000000000001</v>
      </c>
      <c r="K9" s="54">
        <v>339.76</v>
      </c>
      <c r="L9" s="54">
        <v>19.45</v>
      </c>
      <c r="M9" s="54">
        <v>78.87</v>
      </c>
      <c r="N9" s="54">
        <v>49.60</v>
      </c>
      <c r="O9" s="54">
        <v>0</v>
      </c>
      <c r="P9" s="54">
        <v>2.2599999999999998</v>
      </c>
      <c r="Q9" s="54">
        <v>12.60</v>
      </c>
      <c r="R9" s="43"/>
      <c r="S9" s="43"/>
      <c r="T9" s="43"/>
      <c r="U9" s="43"/>
    </row>
    <row r="10" spans="1:21" s="11" customFormat="1" ht="15">
      <c r="A10" s="53" t="s">
        <v>303</v>
      </c>
      <c r="B10" s="54">
        <v>72.64</v>
      </c>
      <c r="C10" s="54">
        <v>36.43</v>
      </c>
      <c r="D10" s="54">
        <v>106.04</v>
      </c>
      <c r="E10" s="54">
        <v>0.79</v>
      </c>
      <c r="F10" s="54">
        <v>0.94</v>
      </c>
      <c r="G10" s="54">
        <v>101.39</v>
      </c>
      <c r="H10" s="54">
        <v>87.84</v>
      </c>
      <c r="I10" s="54">
        <v>1.61</v>
      </c>
      <c r="J10" s="54">
        <v>0.14000000000000001</v>
      </c>
      <c r="K10" s="54">
        <v>314.62</v>
      </c>
      <c r="L10" s="54">
        <v>18.78</v>
      </c>
      <c r="M10" s="54">
        <v>83.38</v>
      </c>
      <c r="N10" s="54">
        <v>49.60</v>
      </c>
      <c r="O10" s="54">
        <v>0</v>
      </c>
      <c r="P10" s="54">
        <v>1.78</v>
      </c>
      <c r="Q10" s="54">
        <v>11.21</v>
      </c>
      <c r="R10" s="43"/>
      <c r="S10" s="43"/>
      <c r="T10" s="43"/>
      <c r="U10" s="43"/>
    </row>
    <row r="11" spans="1:21" s="11" customFormat="1" ht="15">
      <c r="A11" s="53" t="s">
        <v>304</v>
      </c>
      <c r="B11" s="54">
        <v>66.39</v>
      </c>
      <c r="C11" s="54">
        <v>32.630000000000003</v>
      </c>
      <c r="D11" s="54">
        <v>99.03</v>
      </c>
      <c r="E11" s="54">
        <v>0.65</v>
      </c>
      <c r="F11" s="54">
        <v>0.37</v>
      </c>
      <c r="G11" s="54">
        <v>91.49</v>
      </c>
      <c r="H11" s="54">
        <v>54.82</v>
      </c>
      <c r="I11" s="54">
        <v>1.55</v>
      </c>
      <c r="J11" s="54">
        <v>0.12</v>
      </c>
      <c r="K11" s="54">
        <v>309.72000000000003</v>
      </c>
      <c r="L11" s="54">
        <v>18.13</v>
      </c>
      <c r="M11" s="54">
        <v>87.74</v>
      </c>
      <c r="N11" s="54">
        <v>49.60</v>
      </c>
      <c r="O11" s="54">
        <v>0</v>
      </c>
      <c r="P11" s="54">
        <v>1.68</v>
      </c>
      <c r="Q11" s="54">
        <v>9.6300000000000008</v>
      </c>
      <c r="R11" s="43"/>
      <c r="S11" s="43"/>
      <c r="T11" s="43"/>
      <c r="U11" s="43"/>
    </row>
    <row r="12" spans="1:21" s="11" customFormat="1" ht="15">
      <c r="A12" s="53" t="s">
        <v>305</v>
      </c>
      <c r="B12" s="54">
        <v>55.11</v>
      </c>
      <c r="C12" s="54">
        <v>34.21</v>
      </c>
      <c r="D12" s="54">
        <v>87.04</v>
      </c>
      <c r="E12" s="54">
        <v>0.56999999999999995</v>
      </c>
      <c r="F12" s="54">
        <v>0.68</v>
      </c>
      <c r="G12" s="54">
        <v>88.03</v>
      </c>
      <c r="H12" s="54">
        <v>56.5</v>
      </c>
      <c r="I12" s="54">
        <v>1.59</v>
      </c>
      <c r="J12" s="54">
        <v>0.15</v>
      </c>
      <c r="K12" s="54">
        <v>305.41000000000003</v>
      </c>
      <c r="L12" s="54">
        <v>18</v>
      </c>
      <c r="M12" s="54">
        <v>86.76</v>
      </c>
      <c r="N12" s="54">
        <v>49.60</v>
      </c>
      <c r="O12" s="54">
        <v>0</v>
      </c>
      <c r="P12" s="54">
        <v>1.48</v>
      </c>
      <c r="Q12" s="54">
        <v>8.68</v>
      </c>
      <c r="R12" s="43"/>
      <c r="S12" s="43"/>
      <c r="T12" s="43"/>
      <c r="U12" s="43"/>
    </row>
    <row r="13" spans="1:21" s="11" customFormat="1" ht="15">
      <c r="A13" s="53" t="s">
        <v>306</v>
      </c>
      <c r="B13" s="54">
        <v>43.90</v>
      </c>
      <c r="C13" s="54">
        <v>35.74</v>
      </c>
      <c r="D13" s="54">
        <v>75.41</v>
      </c>
      <c r="E13" s="54">
        <v>0.55000000000000004</v>
      </c>
      <c r="F13" s="54">
        <v>0.97</v>
      </c>
      <c r="G13" s="54">
        <v>100.71</v>
      </c>
      <c r="H13" s="54">
        <v>53.15</v>
      </c>
      <c r="I13" s="54">
        <v>1.49</v>
      </c>
      <c r="J13" s="54">
        <v>0.38</v>
      </c>
      <c r="K13" s="54">
        <v>321.91000000000003</v>
      </c>
      <c r="L13" s="54">
        <v>18.05</v>
      </c>
      <c r="M13" s="54">
        <v>87.23</v>
      </c>
      <c r="N13" s="54">
        <v>49.5</v>
      </c>
      <c r="O13" s="54">
        <v>0</v>
      </c>
      <c r="P13" s="54">
        <v>1.27</v>
      </c>
      <c r="Q13" s="54">
        <v>8.1300000000000008</v>
      </c>
      <c r="R13" s="43"/>
      <c r="S13" s="43"/>
      <c r="T13" s="43"/>
      <c r="U13" s="43"/>
    </row>
    <row r="14" spans="1:21" s="11" customFormat="1" ht="15">
      <c r="A14" s="53" t="s">
        <v>307</v>
      </c>
      <c r="B14" s="54">
        <v>40.83</v>
      </c>
      <c r="C14" s="54">
        <v>31.34</v>
      </c>
      <c r="D14" s="54">
        <v>71.31</v>
      </c>
      <c r="E14" s="54">
        <v>0.49</v>
      </c>
      <c r="F14" s="54">
        <v>0.36</v>
      </c>
      <c r="G14" s="54">
        <v>151.43</v>
      </c>
      <c r="H14" s="54">
        <v>74.61</v>
      </c>
      <c r="I14" s="54">
        <v>1.52</v>
      </c>
      <c r="J14" s="54">
        <v>0.11</v>
      </c>
      <c r="K14" s="54">
        <v>258.67</v>
      </c>
      <c r="L14" s="54">
        <v>18.22</v>
      </c>
      <c r="M14" s="54">
        <v>85.93</v>
      </c>
      <c r="N14" s="54">
        <v>50.60</v>
      </c>
      <c r="O14" s="54">
        <v>0</v>
      </c>
      <c r="P14" s="54">
        <v>1.22</v>
      </c>
      <c r="Q14" s="54">
        <v>7.39</v>
      </c>
      <c r="R14" s="43"/>
      <c r="S14" s="43"/>
      <c r="T14" s="43"/>
      <c r="U14" s="43"/>
    </row>
    <row r="15" spans="1:21" s="11" customFormat="1" ht="15">
      <c r="A15" s="53" t="s">
        <v>308</v>
      </c>
      <c r="B15" s="54">
        <v>53.56</v>
      </c>
      <c r="C15" s="54">
        <v>38.53</v>
      </c>
      <c r="D15" s="54">
        <v>92.01</v>
      </c>
      <c r="E15" s="54">
        <v>0.60</v>
      </c>
      <c r="F15" s="54">
        <v>0.37</v>
      </c>
      <c r="G15" s="54">
        <v>246.28</v>
      </c>
      <c r="H15" s="54">
        <v>111.74</v>
      </c>
      <c r="I15" s="54">
        <v>1.56</v>
      </c>
      <c r="J15" s="54">
        <v>0.12</v>
      </c>
      <c r="K15" s="54">
        <v>281.85000000000002</v>
      </c>
      <c r="L15" s="54">
        <v>18.59</v>
      </c>
      <c r="M15" s="54">
        <v>91.16</v>
      </c>
      <c r="N15" s="54">
        <v>109.60</v>
      </c>
      <c r="O15" s="54">
        <v>0</v>
      </c>
      <c r="P15" s="54">
        <v>1.32</v>
      </c>
      <c r="Q15" s="54">
        <v>7.87</v>
      </c>
      <c r="R15" s="43"/>
      <c r="S15" s="43"/>
      <c r="T15" s="43"/>
      <c r="U15" s="43"/>
    </row>
    <row r="16" spans="1:21" s="11" customFormat="1" ht="15">
      <c r="A16" s="53" t="s">
        <v>309</v>
      </c>
      <c r="B16" s="54">
        <v>58.66</v>
      </c>
      <c r="C16" s="54">
        <v>37.229999999999997</v>
      </c>
      <c r="D16" s="54">
        <v>95.89</v>
      </c>
      <c r="E16" s="54">
        <v>0.54</v>
      </c>
      <c r="F16" s="54">
        <v>0.54</v>
      </c>
      <c r="G16" s="54">
        <v>241.71</v>
      </c>
      <c r="H16" s="54">
        <v>111.52</v>
      </c>
      <c r="I16" s="54">
        <v>1.53</v>
      </c>
      <c r="J16" s="54">
        <v>0.25</v>
      </c>
      <c r="K16" s="54">
        <v>272.01</v>
      </c>
      <c r="L16" s="54">
        <v>22.86</v>
      </c>
      <c r="M16" s="54">
        <v>86.91</v>
      </c>
      <c r="N16" s="54">
        <v>289.89999999999998</v>
      </c>
      <c r="O16" s="54">
        <v>0</v>
      </c>
      <c r="P16" s="54">
        <v>1.43</v>
      </c>
      <c r="Q16" s="54">
        <v>8.68</v>
      </c>
      <c r="R16" s="43"/>
      <c r="S16" s="43"/>
      <c r="T16" s="43"/>
      <c r="U16" s="43"/>
    </row>
    <row r="17" spans="1:21" s="11" customFormat="1" ht="15">
      <c r="A17" s="53" t="s">
        <v>310</v>
      </c>
      <c r="B17" s="54">
        <v>53.15</v>
      </c>
      <c r="C17" s="54">
        <v>34.979999999999997</v>
      </c>
      <c r="D17" s="54">
        <v>88.13</v>
      </c>
      <c r="E17" s="54">
        <v>0.41</v>
      </c>
      <c r="F17" s="54">
        <v>1.67</v>
      </c>
      <c r="G17" s="54">
        <v>215.5</v>
      </c>
      <c r="H17" s="54">
        <v>104.94</v>
      </c>
      <c r="I17" s="54">
        <v>1.58</v>
      </c>
      <c r="J17" s="54">
        <v>0.71</v>
      </c>
      <c r="K17" s="54">
        <v>148.76</v>
      </c>
      <c r="L17" s="54">
        <v>24.93</v>
      </c>
      <c r="M17" s="54">
        <v>68.92</v>
      </c>
      <c r="N17" s="54">
        <v>427.80</v>
      </c>
      <c r="O17" s="54">
        <v>0</v>
      </c>
      <c r="P17" s="54">
        <v>1.42</v>
      </c>
      <c r="Q17" s="54">
        <v>8.6300000000000008</v>
      </c>
      <c r="R17" s="43"/>
      <c r="S17" s="43"/>
      <c r="T17" s="43"/>
      <c r="U17" s="43"/>
    </row>
    <row r="18" spans="1:21" s="11" customFormat="1" ht="15">
      <c r="A18" s="53" t="s">
        <v>311</v>
      </c>
      <c r="B18" s="54">
        <v>43.72</v>
      </c>
      <c r="C18" s="54">
        <v>45.57</v>
      </c>
      <c r="D18" s="54">
        <v>80.599999999999994</v>
      </c>
      <c r="E18" s="54">
        <v>0.52</v>
      </c>
      <c r="F18" s="54">
        <v>4.7300000000000004</v>
      </c>
      <c r="G18" s="54">
        <v>181.36</v>
      </c>
      <c r="H18" s="54">
        <v>92.20</v>
      </c>
      <c r="I18" s="54">
        <v>1.61</v>
      </c>
      <c r="J18" s="54">
        <v>0.41</v>
      </c>
      <c r="K18" s="54">
        <v>355.10</v>
      </c>
      <c r="L18" s="54">
        <v>30.55</v>
      </c>
      <c r="M18" s="54">
        <v>56.32</v>
      </c>
      <c r="N18" s="54">
        <v>593.20000000000005</v>
      </c>
      <c r="O18" s="54">
        <v>0</v>
      </c>
      <c r="P18" s="54">
        <v>1.41</v>
      </c>
      <c r="Q18" s="54">
        <v>7.79</v>
      </c>
      <c r="R18" s="43"/>
      <c r="S18" s="43"/>
      <c r="T18" s="43"/>
      <c r="U18" s="43"/>
    </row>
    <row r="19" spans="1:21" s="11" customFormat="1" ht="15">
      <c r="A19" s="53" t="s">
        <v>312</v>
      </c>
      <c r="B19" s="54">
        <v>33.729999999999997</v>
      </c>
      <c r="C19" s="54">
        <v>44.79</v>
      </c>
      <c r="D19" s="54">
        <v>76.31</v>
      </c>
      <c r="E19" s="54">
        <v>0.44</v>
      </c>
      <c r="F19" s="54">
        <v>6.33</v>
      </c>
      <c r="G19" s="54">
        <v>171.05</v>
      </c>
      <c r="H19" s="54">
        <v>84.24</v>
      </c>
      <c r="I19" s="54">
        <v>1.51</v>
      </c>
      <c r="J19" s="54">
        <v>0.33</v>
      </c>
      <c r="K19" s="54">
        <v>356.65</v>
      </c>
      <c r="L19" s="54">
        <v>31.79</v>
      </c>
      <c r="M19" s="54">
        <v>38.69</v>
      </c>
      <c r="N19" s="54">
        <v>667.90</v>
      </c>
      <c r="O19" s="54">
        <v>0</v>
      </c>
      <c r="P19" s="54">
        <v>1.40</v>
      </c>
      <c r="Q19" s="54">
        <v>7.17</v>
      </c>
      <c r="R19" s="43"/>
      <c r="S19" s="43"/>
      <c r="T19" s="43"/>
      <c r="U19" s="43"/>
    </row>
    <row r="20" spans="1:21" s="11" customFormat="1" ht="15">
      <c r="A20" s="53" t="s">
        <v>313</v>
      </c>
      <c r="B20" s="54">
        <v>16.079999999999998</v>
      </c>
      <c r="C20" s="54">
        <v>42.13</v>
      </c>
      <c r="D20" s="54">
        <v>56.64</v>
      </c>
      <c r="E20" s="54">
        <v>0.46</v>
      </c>
      <c r="F20" s="54">
        <v>5.21</v>
      </c>
      <c r="G20" s="54">
        <v>137.72999999999999</v>
      </c>
      <c r="H20" s="54">
        <v>78.73</v>
      </c>
      <c r="I20" s="54">
        <v>1.54</v>
      </c>
      <c r="J20" s="54">
        <v>0.39</v>
      </c>
      <c r="K20" s="54">
        <v>348.82</v>
      </c>
      <c r="L20" s="54">
        <v>31.92</v>
      </c>
      <c r="M20" s="54">
        <v>35.090000000000003</v>
      </c>
      <c r="N20" s="54">
        <v>667</v>
      </c>
      <c r="O20" s="54">
        <v>0</v>
      </c>
      <c r="P20" s="54">
        <v>1.29</v>
      </c>
      <c r="Q20" s="54">
        <v>6.15</v>
      </c>
      <c r="R20" s="43"/>
      <c r="S20" s="43"/>
      <c r="T20" s="43"/>
      <c r="U20" s="43"/>
    </row>
    <row r="21" spans="1:21" s="11" customFormat="1" ht="15">
      <c r="A21" s="53" t="s">
        <v>314</v>
      </c>
      <c r="B21" s="54">
        <v>7.76</v>
      </c>
      <c r="C21" s="54">
        <v>40.53</v>
      </c>
      <c r="D21" s="54">
        <v>48.29</v>
      </c>
      <c r="E21" s="54">
        <v>1.47</v>
      </c>
      <c r="F21" s="54">
        <v>28.65</v>
      </c>
      <c r="G21" s="54">
        <v>109.54</v>
      </c>
      <c r="H21" s="54">
        <v>68.14</v>
      </c>
      <c r="I21" s="54">
        <v>1.55</v>
      </c>
      <c r="J21" s="54">
        <v>0.90</v>
      </c>
      <c r="K21" s="54">
        <v>349.11</v>
      </c>
      <c r="L21" s="54">
        <v>32.57</v>
      </c>
      <c r="M21" s="54">
        <v>32.97</v>
      </c>
      <c r="N21" s="54">
        <v>657.70</v>
      </c>
      <c r="O21" s="54">
        <v>0</v>
      </c>
      <c r="P21" s="54">
        <v>1.18</v>
      </c>
      <c r="Q21" s="54">
        <v>5.12</v>
      </c>
      <c r="R21" s="43"/>
      <c r="S21" s="43"/>
      <c r="T21" s="43"/>
      <c r="U21" s="43"/>
    </row>
    <row r="22" spans="1:21" s="11" customFormat="1" ht="15">
      <c r="A22" s="53" t="s">
        <v>315</v>
      </c>
      <c r="B22" s="54">
        <v>3.82</v>
      </c>
      <c r="C22" s="54">
        <v>41.06</v>
      </c>
      <c r="D22" s="54">
        <v>44.40</v>
      </c>
      <c r="E22" s="54">
        <v>1.51</v>
      </c>
      <c r="F22" s="54">
        <v>26.39</v>
      </c>
      <c r="G22" s="54">
        <v>104.60</v>
      </c>
      <c r="H22" s="54">
        <v>60.43</v>
      </c>
      <c r="I22" s="54">
        <v>1.54</v>
      </c>
      <c r="J22" s="54">
        <v>0.45</v>
      </c>
      <c r="K22" s="54">
        <v>355.68</v>
      </c>
      <c r="L22" s="54">
        <v>31.44</v>
      </c>
      <c r="M22" s="54">
        <v>33.17</v>
      </c>
      <c r="N22" s="54">
        <v>500.80</v>
      </c>
      <c r="O22" s="54">
        <v>0</v>
      </c>
      <c r="P22" s="54">
        <v>1.07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316</v>
      </c>
      <c r="B23" s="54">
        <v>4.0999999999999996</v>
      </c>
      <c r="C23" s="54">
        <v>47.26</v>
      </c>
      <c r="D23" s="54">
        <v>50.96</v>
      </c>
      <c r="E23" s="54">
        <v>2.31</v>
      </c>
      <c r="F23" s="54">
        <v>45.39</v>
      </c>
      <c r="G23" s="54">
        <v>106.76</v>
      </c>
      <c r="H23" s="54">
        <v>57.19</v>
      </c>
      <c r="I23" s="54">
        <v>1.48</v>
      </c>
      <c r="J23" s="54">
        <v>0.64</v>
      </c>
      <c r="K23" s="54">
        <v>343.25</v>
      </c>
      <c r="L23" s="54">
        <v>30.95</v>
      </c>
      <c r="M23" s="54">
        <v>34.119999999999997</v>
      </c>
      <c r="N23" s="54">
        <v>209.80</v>
      </c>
      <c r="O23" s="54">
        <v>0</v>
      </c>
      <c r="P23" s="54">
        <v>1.06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317</v>
      </c>
      <c r="B24" s="54">
        <v>2</v>
      </c>
      <c r="C24" s="54">
        <v>39.770000000000003</v>
      </c>
      <c r="D24" s="54">
        <v>41.77</v>
      </c>
      <c r="E24" s="54">
        <v>3.73</v>
      </c>
      <c r="F24" s="54">
        <v>58.84</v>
      </c>
      <c r="G24" s="54">
        <v>111.06</v>
      </c>
      <c r="H24" s="54">
        <v>54.66</v>
      </c>
      <c r="I24" s="54">
        <v>1.57</v>
      </c>
      <c r="J24" s="54">
        <v>1.07</v>
      </c>
      <c r="K24" s="54">
        <v>151.38</v>
      </c>
      <c r="L24" s="54">
        <v>28.47</v>
      </c>
      <c r="M24" s="54">
        <v>35.5</v>
      </c>
      <c r="N24" s="54">
        <v>144</v>
      </c>
      <c r="O24" s="54">
        <v>0</v>
      </c>
      <c r="P24" s="54">
        <v>0.78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318</v>
      </c>
      <c r="B25" s="54">
        <v>6.34</v>
      </c>
      <c r="C25" s="54">
        <v>84.33</v>
      </c>
      <c r="D25" s="54">
        <v>90.67</v>
      </c>
      <c r="E25" s="54">
        <v>5.37</v>
      </c>
      <c r="F25" s="54">
        <v>69.459999999999994</v>
      </c>
      <c r="G25" s="54">
        <v>103.77</v>
      </c>
      <c r="H25" s="54">
        <v>53.49</v>
      </c>
      <c r="I25" s="54">
        <v>1.55</v>
      </c>
      <c r="J25" s="54">
        <v>0.11</v>
      </c>
      <c r="K25" s="54">
        <v>283.64999999999998</v>
      </c>
      <c r="L25" s="54">
        <v>27.90</v>
      </c>
      <c r="M25" s="54">
        <v>56.65</v>
      </c>
      <c r="N25" s="54">
        <v>81.400000000000006</v>
      </c>
      <c r="O25" s="54">
        <v>0</v>
      </c>
      <c r="P25" s="54">
        <v>1.41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319</v>
      </c>
      <c r="B26" s="54">
        <v>39.119999999999997</v>
      </c>
      <c r="C26" s="54">
        <v>111.19</v>
      </c>
      <c r="D26" s="54">
        <v>140.28</v>
      </c>
      <c r="E26" s="54">
        <v>4.1500000000000004</v>
      </c>
      <c r="F26" s="54">
        <v>25.17</v>
      </c>
      <c r="G26" s="54">
        <v>112.47</v>
      </c>
      <c r="H26" s="54">
        <v>53.53</v>
      </c>
      <c r="I26" s="54">
        <v>1.55</v>
      </c>
      <c r="J26" s="54">
        <v>0.09</v>
      </c>
      <c r="K26" s="54">
        <v>279.93</v>
      </c>
      <c r="L26" s="54">
        <v>25.04</v>
      </c>
      <c r="M26" s="54">
        <v>58.37</v>
      </c>
      <c r="N26" s="54">
        <v>32</v>
      </c>
      <c r="O26" s="54">
        <v>0</v>
      </c>
      <c r="P26" s="54">
        <v>2.10</v>
      </c>
      <c r="Q26" s="54">
        <v>1.67</v>
      </c>
      <c r="R26" s="43"/>
      <c r="S26" s="43"/>
      <c r="T26" s="43"/>
      <c r="U26" s="43"/>
    </row>
    <row r="27" spans="1:21" s="11" customFormat="1" ht="15">
      <c r="A27" s="53" t="s">
        <v>320</v>
      </c>
      <c r="B27" s="54">
        <v>17.190000000000001</v>
      </c>
      <c r="C27" s="54">
        <v>115.13</v>
      </c>
      <c r="D27" s="54">
        <v>130.65</v>
      </c>
      <c r="E27" s="54">
        <v>4.1100000000000003</v>
      </c>
      <c r="F27" s="54">
        <v>16.29</v>
      </c>
      <c r="G27" s="54">
        <v>141.61000000000001</v>
      </c>
      <c r="H27" s="54">
        <v>63.32</v>
      </c>
      <c r="I27" s="54">
        <v>1.54</v>
      </c>
      <c r="J27" s="54">
        <v>0.25</v>
      </c>
      <c r="K27" s="54">
        <v>269.05</v>
      </c>
      <c r="L27" s="54">
        <v>24.31</v>
      </c>
      <c r="M27" s="54">
        <v>59.08</v>
      </c>
      <c r="N27" s="54">
        <v>29</v>
      </c>
      <c r="O27" s="54">
        <v>0</v>
      </c>
      <c r="P27" s="54">
        <v>1.71</v>
      </c>
      <c r="Q27" s="54">
        <v>2.09</v>
      </c>
      <c r="R27" s="43"/>
      <c r="S27" s="43"/>
      <c r="T27" s="43"/>
      <c r="U27" s="43"/>
    </row>
    <row r="28" spans="1:21" s="11" customFormat="1" ht="15">
      <c r="A28" s="53" t="s">
        <v>321</v>
      </c>
      <c r="B28" s="54">
        <v>46.43</v>
      </c>
      <c r="C28" s="54">
        <v>103.90</v>
      </c>
      <c r="D28" s="54">
        <v>148.79</v>
      </c>
      <c r="E28" s="54">
        <v>3.80</v>
      </c>
      <c r="F28" s="54">
        <v>17.93</v>
      </c>
      <c r="G28" s="54">
        <v>152.91999999999999</v>
      </c>
      <c r="H28" s="54">
        <v>67.37</v>
      </c>
      <c r="I28" s="54">
        <v>1.54</v>
      </c>
      <c r="J28" s="54">
        <v>0.18</v>
      </c>
      <c r="K28" s="54">
        <v>327.62</v>
      </c>
      <c r="L28" s="54">
        <v>23.95</v>
      </c>
      <c r="M28" s="54">
        <v>69.459999999999994</v>
      </c>
      <c r="N28" s="54">
        <v>30.40</v>
      </c>
      <c r="O28" s="54">
        <v>0</v>
      </c>
      <c r="P28" s="54">
        <v>2.11</v>
      </c>
      <c r="Q28" s="54">
        <v>3.06</v>
      </c>
      <c r="R28" s="43"/>
      <c r="S28" s="43"/>
      <c r="T28" s="43"/>
      <c r="U28" s="43"/>
    </row>
    <row r="29" spans="1:21" s="11" customFormat="1" ht="15">
      <c r="A29" s="53" t="s">
        <v>322</v>
      </c>
      <c r="B29" s="54">
        <v>74.150000000000006</v>
      </c>
      <c r="C29" s="54">
        <v>94.16</v>
      </c>
      <c r="D29" s="54">
        <v>168.31</v>
      </c>
      <c r="E29" s="54">
        <v>1.81</v>
      </c>
      <c r="F29" s="54">
        <v>1.51</v>
      </c>
      <c r="G29" s="54">
        <v>209.83</v>
      </c>
      <c r="H29" s="54">
        <v>78.709999999999994</v>
      </c>
      <c r="I29" s="54">
        <v>1.60</v>
      </c>
      <c r="J29" s="54">
        <v>0.11</v>
      </c>
      <c r="K29" s="54">
        <v>350.68</v>
      </c>
      <c r="L29" s="54">
        <v>22.09</v>
      </c>
      <c r="M29" s="54">
        <v>73.31</v>
      </c>
      <c r="N29" s="54">
        <v>30.20</v>
      </c>
      <c r="O29" s="54">
        <v>0</v>
      </c>
      <c r="P29" s="54">
        <v>3.17</v>
      </c>
      <c r="Q29" s="54">
        <v>3.48</v>
      </c>
      <c r="R29" s="43"/>
      <c r="S29" s="43"/>
      <c r="T29" s="43"/>
      <c r="U29" s="43"/>
    </row>
    <row r="30" spans="1:21" s="11" customFormat="1" ht="15">
      <c r="A30" s="53" t="s">
        <v>323</v>
      </c>
      <c r="B30" s="54">
        <v>65.819999999999993</v>
      </c>
      <c r="C30" s="54">
        <v>73.459999999999994</v>
      </c>
      <c r="D30" s="54">
        <v>133.35</v>
      </c>
      <c r="E30" s="54">
        <v>1.57</v>
      </c>
      <c r="F30" s="54">
        <v>2.90</v>
      </c>
      <c r="G30" s="54">
        <v>219.66</v>
      </c>
      <c r="H30" s="54">
        <v>84.16</v>
      </c>
      <c r="I30" s="54">
        <v>1.54</v>
      </c>
      <c r="J30" s="54">
        <v>0.14000000000000001</v>
      </c>
      <c r="K30" s="54">
        <v>325.39999999999998</v>
      </c>
      <c r="L30" s="54">
        <v>21.70</v>
      </c>
      <c r="M30" s="54">
        <v>81.45</v>
      </c>
      <c r="N30" s="54">
        <v>35</v>
      </c>
      <c r="O30" s="54">
        <v>0</v>
      </c>
      <c r="P30" s="54">
        <v>2.62</v>
      </c>
      <c r="Q30" s="54">
        <v>4.91</v>
      </c>
      <c r="R30" s="43"/>
      <c r="S30" s="43"/>
      <c r="T30" s="43"/>
      <c r="U30" s="43"/>
    </row>
    <row r="31" spans="1:21" s="11" customFormat="1" ht="15">
      <c r="A31" s="53" t="s">
        <v>324</v>
      </c>
      <c r="B31" s="54">
        <v>49.81</v>
      </c>
      <c r="C31" s="54">
        <v>60.39</v>
      </c>
      <c r="D31" s="54">
        <v>101.45</v>
      </c>
      <c r="E31" s="54">
        <v>1.28</v>
      </c>
      <c r="F31" s="54">
        <v>3.01</v>
      </c>
      <c r="G31" s="54">
        <v>223.33</v>
      </c>
      <c r="H31" s="54">
        <v>94.91</v>
      </c>
      <c r="I31" s="54">
        <v>1.59</v>
      </c>
      <c r="J31" s="54">
        <v>0.08</v>
      </c>
      <c r="K31" s="54">
        <v>241.79</v>
      </c>
      <c r="L31" s="54">
        <v>20.59</v>
      </c>
      <c r="M31" s="54">
        <v>77.11</v>
      </c>
      <c r="N31" s="54">
        <v>34.799999999999997</v>
      </c>
      <c r="O31" s="54">
        <v>0</v>
      </c>
      <c r="P31" s="54">
        <v>2.2200000000000002</v>
      </c>
      <c r="Q31" s="54">
        <v>7.62</v>
      </c>
      <c r="R31" s="43"/>
      <c r="S31" s="43"/>
      <c r="T31" s="43"/>
      <c r="U31" s="43"/>
    </row>
    <row r="32" spans="1:21" s="11" customFormat="1" ht="15">
      <c r="A32" s="53" t="s">
        <v>325</v>
      </c>
      <c r="B32" s="54">
        <v>40.020000000000003</v>
      </c>
      <c r="C32" s="54">
        <v>58.37</v>
      </c>
      <c r="D32" s="54">
        <v>93.23</v>
      </c>
      <c r="E32" s="54">
        <v>0.79</v>
      </c>
      <c r="F32" s="54">
        <v>2.04</v>
      </c>
      <c r="G32" s="54">
        <v>208.39</v>
      </c>
      <c r="H32" s="54">
        <v>94.18</v>
      </c>
      <c r="I32" s="54">
        <v>1.56</v>
      </c>
      <c r="J32" s="54">
        <v>0.11</v>
      </c>
      <c r="K32" s="54">
        <v>297.12</v>
      </c>
      <c r="L32" s="54">
        <v>20.309999999999999</v>
      </c>
      <c r="M32" s="54">
        <v>79.92</v>
      </c>
      <c r="N32" s="54">
        <v>35.700000000000003</v>
      </c>
      <c r="O32" s="54">
        <v>0</v>
      </c>
      <c r="P32" s="54">
        <v>2.08</v>
      </c>
      <c r="Q32" s="54">
        <v>7.58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31.34</v>
      </c>
      <c r="D34" s="28">
        <f t="shared" si="0"/>
        <v>41.770000000000003</v>
      </c>
      <c r="E34" s="28">
        <f t="shared" si="0"/>
        <v>0.40999999999999998</v>
      </c>
      <c r="F34" s="28">
        <f t="shared" si="0"/>
        <v>0.35999999999999999</v>
      </c>
      <c r="G34" s="28">
        <f t="shared" si="0"/>
        <v>88.030000000000001</v>
      </c>
      <c r="H34" s="28">
        <f t="shared" si="0"/>
        <v>53.149999999999999</v>
      </c>
      <c r="I34" s="28">
        <f t="shared" si="0"/>
        <v>1.48</v>
      </c>
      <c r="J34" s="28">
        <f t="shared" si="0"/>
        <v>0.080000000000000002</v>
      </c>
      <c r="K34" s="28">
        <f t="shared" si="0"/>
        <v>148.75999999999999</v>
      </c>
      <c r="L34" s="28">
        <f t="shared" si="0"/>
        <v>18</v>
      </c>
      <c r="M34" s="28">
        <f t="shared" si="0"/>
        <v>32.969999999999999</v>
      </c>
      <c r="N34" s="28">
        <f t="shared" si="0"/>
        <v>29</v>
      </c>
      <c r="O34" s="28">
        <f t="shared" si="0"/>
        <v>0</v>
      </c>
      <c r="P34" s="28">
        <f t="shared" si="0"/>
        <v>0.78000000000000003</v>
      </c>
      <c r="Q34" s="28">
        <f t="shared" si="0"/>
        <v>1.6699999999999999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92.989999999999995</v>
      </c>
      <c r="C35" s="29">
        <f t="shared" si="1"/>
        <v>115.13</v>
      </c>
      <c r="D35" s="29">
        <f t="shared" si="1"/>
        <v>168.31</v>
      </c>
      <c r="E35" s="29">
        <f t="shared" si="1"/>
        <v>5.3700000000000001</v>
      </c>
      <c r="F35" s="29">
        <f t="shared" si="1"/>
        <v>69.459999999999994</v>
      </c>
      <c r="G35" s="29">
        <f t="shared" si="1"/>
        <v>246.28</v>
      </c>
      <c r="H35" s="29">
        <f t="shared" si="1"/>
        <v>111.73999999999999</v>
      </c>
      <c r="I35" s="29">
        <f t="shared" si="1"/>
        <v>1.6100000000000001</v>
      </c>
      <c r="J35" s="29">
        <f t="shared" si="1"/>
        <v>1.0700000000000001</v>
      </c>
      <c r="K35" s="29">
        <f t="shared" si="1"/>
        <v>356.64999999999998</v>
      </c>
      <c r="L35" s="29">
        <f t="shared" si="1"/>
        <v>32.57</v>
      </c>
      <c r="M35" s="29">
        <f t="shared" si="1"/>
        <v>91.159999999999997</v>
      </c>
      <c r="N35" s="29">
        <f t="shared" si="1"/>
        <v>667.89999999999998</v>
      </c>
      <c r="O35" s="29">
        <f t="shared" si="1"/>
        <v>0</v>
      </c>
      <c r="P35" s="29">
        <f t="shared" si="1"/>
        <v>3.1699999999999999</v>
      </c>
      <c r="Q35" s="29">
        <f t="shared" si="1"/>
        <v>12.6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41.138333333333328</v>
      </c>
      <c r="C36" s="28">
        <f t="shared" si="2"/>
        <v>55.028750000000002</v>
      </c>
      <c r="D36" s="28">
        <f t="shared" si="2"/>
        <v>93.68791666666668</v>
      </c>
      <c r="E36" s="28">
        <f t="shared" si="2"/>
        <v>1.6108333333333336</v>
      </c>
      <c r="F36" s="28">
        <f t="shared" si="2"/>
        <v>13.480833333333335</v>
      </c>
      <c r="G36" s="28">
        <f t="shared" si="2"/>
        <v>154.62666666666667</v>
      </c>
      <c r="H36" s="28">
        <f t="shared" si="2"/>
        <v>77.127500000000026</v>
      </c>
      <c r="I36" s="28">
        <f t="shared" si="2"/>
        <v>1.5529166666666667</v>
      </c>
      <c r="J36" s="28">
        <f t="shared" si="2"/>
        <v>0.30750000000000005</v>
      </c>
      <c r="K36" s="28">
        <f t="shared" si="2"/>
        <v>299.4975</v>
      </c>
      <c r="L36" s="28">
        <f t="shared" si="2"/>
        <v>24.191249999999997</v>
      </c>
      <c r="M36" s="28">
        <f t="shared" si="2"/>
        <v>65.754583333333329</v>
      </c>
      <c r="N36" s="28">
        <f t="shared" si="2"/>
        <v>203.11249999999998</v>
      </c>
      <c r="O36" s="28">
        <f t="shared" si="2"/>
        <v>0</v>
      </c>
      <c r="P36" s="28">
        <f t="shared" si="2"/>
        <v>1.6445833333333331</v>
      </c>
      <c r="Q36" s="28">
        <f t="shared" si="2"/>
        <v>6.6791666666666663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25.383086917261959</v>
      </c>
      <c r="C37" s="28">
        <f t="shared" si="3" ref="C37:Q37">STDEV(C9:C32)</f>
        <v>26.779003831278921</v>
      </c>
      <c r="D37" s="28">
        <f t="shared" si="3"/>
        <v>34.207941231490366</v>
      </c>
      <c r="E37" s="28">
        <f t="shared" si="3"/>
        <v>1.4856880024351375</v>
      </c>
      <c r="F37" s="28">
        <f t="shared" si="3"/>
        <v>19.623372913257128</v>
      </c>
      <c r="G37" s="28">
        <f t="shared" si="3"/>
        <v>52.727924098243712</v>
      </c>
      <c r="H37" s="28">
        <f t="shared" si="3"/>
        <v>20.325517962275345</v>
      </c>
      <c r="I37" s="28">
        <f t="shared" si="3"/>
        <v>0.033941018747574304</v>
      </c>
      <c r="J37" s="28">
        <f t="shared" si="3"/>
        <v>0.27232094236796023</v>
      </c>
      <c r="K37" s="28">
        <f t="shared" si="3"/>
        <v>57.175270973293699</v>
      </c>
      <c r="L37" s="28">
        <f t="shared" si="3"/>
        <v>5.240896299464362</v>
      </c>
      <c r="M37" s="28">
        <f t="shared" si="3"/>
        <v>20.874088572483458</v>
      </c>
      <c r="N37" s="28">
        <f t="shared" si="3"/>
        <v>238.54915328419992</v>
      </c>
      <c r="O37" s="28">
        <f t="shared" si="3"/>
        <v>0</v>
      </c>
      <c r="P37" s="28">
        <f t="shared" si="3"/>
        <v>0.55583841229237807</v>
      </c>
      <c r="Q37" s="28">
        <f t="shared" si="3"/>
        <v>2.6967321878068695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1a7361-407b-4ada-a9d5-93b302d7eb21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31" sqref="G31:H3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326</v>
      </c>
      <c r="B9" s="54">
        <v>34.74</v>
      </c>
      <c r="C9" s="54">
        <v>44.82</v>
      </c>
      <c r="D9" s="54">
        <v>79.569999999999993</v>
      </c>
      <c r="E9" s="54">
        <v>0.87</v>
      </c>
      <c r="F9" s="54">
        <v>3.59</v>
      </c>
      <c r="G9" s="54">
        <v>171.31</v>
      </c>
      <c r="H9" s="54">
        <v>90.86</v>
      </c>
      <c r="I9" s="54">
        <v>1.51</v>
      </c>
      <c r="J9" s="54">
        <v>0.13</v>
      </c>
      <c r="K9" s="54">
        <v>311.58</v>
      </c>
      <c r="L9" s="54">
        <v>19.43</v>
      </c>
      <c r="M9" s="54">
        <v>81.569999999999993</v>
      </c>
      <c r="N9" s="54">
        <v>35.60</v>
      </c>
      <c r="O9" s="54">
        <v>0</v>
      </c>
      <c r="P9" s="54">
        <v>1.89</v>
      </c>
      <c r="Q9" s="54">
        <v>7.70</v>
      </c>
      <c r="R9" s="43"/>
      <c r="S9" s="43"/>
      <c r="T9" s="43"/>
      <c r="U9" s="43"/>
    </row>
    <row r="10" spans="1:21" s="11" customFormat="1" ht="15">
      <c r="A10" s="53" t="s">
        <v>327</v>
      </c>
      <c r="B10" s="54">
        <v>31.71</v>
      </c>
      <c r="C10" s="54">
        <v>35.950000000000003</v>
      </c>
      <c r="D10" s="54">
        <v>66.81</v>
      </c>
      <c r="E10" s="54">
        <v>0.76</v>
      </c>
      <c r="F10" s="54">
        <v>4.03</v>
      </c>
      <c r="G10" s="54">
        <v>145.25</v>
      </c>
      <c r="H10" s="54">
        <v>86.38</v>
      </c>
      <c r="I10" s="54">
        <v>1.51</v>
      </c>
      <c r="J10" s="54">
        <v>0.15</v>
      </c>
      <c r="K10" s="54">
        <v>328.36</v>
      </c>
      <c r="L10" s="54">
        <v>19.28</v>
      </c>
      <c r="M10" s="54">
        <v>84.71</v>
      </c>
      <c r="N10" s="54">
        <v>35.700000000000003</v>
      </c>
      <c r="O10" s="54">
        <v>0</v>
      </c>
      <c r="P10" s="54">
        <v>1.70</v>
      </c>
      <c r="Q10" s="54">
        <v>7.51</v>
      </c>
      <c r="R10" s="43"/>
      <c r="S10" s="43"/>
      <c r="T10" s="43"/>
      <c r="U10" s="43"/>
    </row>
    <row r="11" spans="1:21" s="11" customFormat="1" ht="15">
      <c r="A11" s="53" t="s">
        <v>328</v>
      </c>
      <c r="B11" s="54">
        <v>26.61</v>
      </c>
      <c r="C11" s="54">
        <v>35.299999999999997</v>
      </c>
      <c r="D11" s="54">
        <v>61.26</v>
      </c>
      <c r="E11" s="54">
        <v>0.67</v>
      </c>
      <c r="F11" s="54">
        <v>2.58</v>
      </c>
      <c r="G11" s="54">
        <v>110.15</v>
      </c>
      <c r="H11" s="54">
        <v>77.92</v>
      </c>
      <c r="I11" s="54">
        <v>1.59</v>
      </c>
      <c r="J11" s="54">
        <v>0.17</v>
      </c>
      <c r="K11" s="54">
        <v>345.26</v>
      </c>
      <c r="L11" s="54">
        <v>19.03</v>
      </c>
      <c r="M11" s="54">
        <v>86.95</v>
      </c>
      <c r="N11" s="54">
        <v>35.799999999999997</v>
      </c>
      <c r="O11" s="54">
        <v>0</v>
      </c>
      <c r="P11" s="54">
        <v>1.53</v>
      </c>
      <c r="Q11" s="54">
        <v>6.58</v>
      </c>
      <c r="R11" s="43"/>
      <c r="S11" s="43"/>
      <c r="T11" s="43"/>
      <c r="U11" s="43"/>
    </row>
    <row r="12" spans="1:21" s="11" customFormat="1" ht="15">
      <c r="A12" s="53" t="s">
        <v>329</v>
      </c>
      <c r="B12" s="54">
        <v>21.26</v>
      </c>
      <c r="C12" s="54">
        <v>35.28</v>
      </c>
      <c r="D12" s="54">
        <v>54.25</v>
      </c>
      <c r="E12" s="54">
        <v>0.59</v>
      </c>
      <c r="F12" s="54">
        <v>1.56</v>
      </c>
      <c r="G12" s="54">
        <v>97.66</v>
      </c>
      <c r="H12" s="54">
        <v>68.05</v>
      </c>
      <c r="I12" s="54">
        <v>1.63</v>
      </c>
      <c r="J12" s="54">
        <v>0.22</v>
      </c>
      <c r="K12" s="54">
        <v>288.39</v>
      </c>
      <c r="L12" s="54">
        <v>18.22</v>
      </c>
      <c r="M12" s="54">
        <v>92.64</v>
      </c>
      <c r="N12" s="54">
        <v>35.799999999999997</v>
      </c>
      <c r="O12" s="54">
        <v>0</v>
      </c>
      <c r="P12" s="54">
        <v>1.34</v>
      </c>
      <c r="Q12" s="54">
        <v>6.06</v>
      </c>
      <c r="R12" s="43"/>
      <c r="S12" s="43"/>
      <c r="T12" s="43"/>
      <c r="U12" s="43"/>
    </row>
    <row r="13" spans="1:21" s="11" customFormat="1" ht="15">
      <c r="A13" s="53" t="s">
        <v>330</v>
      </c>
      <c r="B13" s="54">
        <v>21.42</v>
      </c>
      <c r="C13" s="54">
        <v>32.92</v>
      </c>
      <c r="D13" s="54">
        <v>54.10</v>
      </c>
      <c r="E13" s="54">
        <v>0.5</v>
      </c>
      <c r="F13" s="54">
        <v>0.53</v>
      </c>
      <c r="G13" s="54">
        <v>99.19</v>
      </c>
      <c r="H13" s="54">
        <v>59.80</v>
      </c>
      <c r="I13" s="54">
        <v>1.48</v>
      </c>
      <c r="J13" s="54">
        <v>0.14000000000000001</v>
      </c>
      <c r="K13" s="54">
        <v>307.13</v>
      </c>
      <c r="L13" s="54">
        <v>18.420000000000002</v>
      </c>
      <c r="M13" s="54">
        <v>94.77</v>
      </c>
      <c r="N13" s="54">
        <v>35.799999999999997</v>
      </c>
      <c r="O13" s="54">
        <v>0</v>
      </c>
      <c r="P13" s="54">
        <v>1.25</v>
      </c>
      <c r="Q13" s="54">
        <v>5.88</v>
      </c>
      <c r="R13" s="43"/>
      <c r="S13" s="43"/>
      <c r="T13" s="43"/>
      <c r="U13" s="43"/>
    </row>
    <row r="14" spans="1:21" s="11" customFormat="1" ht="15">
      <c r="A14" s="53" t="s">
        <v>331</v>
      </c>
      <c r="B14" s="54">
        <v>24.92</v>
      </c>
      <c r="C14" s="54">
        <v>33.96</v>
      </c>
      <c r="D14" s="54">
        <v>58.88</v>
      </c>
      <c r="E14" s="54">
        <v>0.52</v>
      </c>
      <c r="F14" s="54">
        <v>0.31</v>
      </c>
      <c r="G14" s="54">
        <v>98.81</v>
      </c>
      <c r="H14" s="54">
        <v>57.86</v>
      </c>
      <c r="I14" s="54">
        <v>1.62</v>
      </c>
      <c r="J14" s="54">
        <v>0.14000000000000001</v>
      </c>
      <c r="K14" s="54">
        <v>293.47000000000003</v>
      </c>
      <c r="L14" s="54">
        <v>17.899999999999999</v>
      </c>
      <c r="M14" s="54">
        <v>95.99</v>
      </c>
      <c r="N14" s="54">
        <v>36.5</v>
      </c>
      <c r="O14" s="54">
        <v>0</v>
      </c>
      <c r="P14" s="54">
        <v>1.1599999999999999</v>
      </c>
      <c r="Q14" s="54">
        <v>6.21</v>
      </c>
      <c r="R14" s="43"/>
      <c r="S14" s="43"/>
      <c r="T14" s="43"/>
      <c r="U14" s="43"/>
    </row>
    <row r="15" spans="1:21" s="11" customFormat="1" ht="15">
      <c r="A15" s="53" t="s">
        <v>332</v>
      </c>
      <c r="B15" s="54">
        <v>31.05</v>
      </c>
      <c r="C15" s="54">
        <v>37.76</v>
      </c>
      <c r="D15" s="54">
        <v>67.319999999999993</v>
      </c>
      <c r="E15" s="54">
        <v>0.51</v>
      </c>
      <c r="F15" s="54">
        <v>0.54</v>
      </c>
      <c r="G15" s="54">
        <v>99.10</v>
      </c>
      <c r="H15" s="54">
        <v>55.61</v>
      </c>
      <c r="I15" s="54">
        <v>1.55</v>
      </c>
      <c r="J15" s="54">
        <v>0.70</v>
      </c>
      <c r="K15" s="54">
        <v>329.28</v>
      </c>
      <c r="L15" s="54">
        <v>18.93</v>
      </c>
      <c r="M15" s="54">
        <v>95.80</v>
      </c>
      <c r="N15" s="54">
        <v>94.20</v>
      </c>
      <c r="O15" s="54">
        <v>0</v>
      </c>
      <c r="P15" s="54">
        <v>1.1299999999999999</v>
      </c>
      <c r="Q15" s="54">
        <v>6.47</v>
      </c>
      <c r="R15" s="43"/>
      <c r="S15" s="43"/>
      <c r="T15" s="43"/>
      <c r="U15" s="43"/>
    </row>
    <row r="16" spans="1:21" s="11" customFormat="1" ht="15">
      <c r="A16" s="53" t="s">
        <v>333</v>
      </c>
      <c r="B16" s="54">
        <v>30.09</v>
      </c>
      <c r="C16" s="54">
        <v>35.86</v>
      </c>
      <c r="D16" s="54">
        <v>63.63</v>
      </c>
      <c r="E16" s="54">
        <v>0.47</v>
      </c>
      <c r="F16" s="54">
        <v>0.61</v>
      </c>
      <c r="G16" s="54">
        <v>129.11000000000001</v>
      </c>
      <c r="H16" s="54">
        <v>62.08</v>
      </c>
      <c r="I16" s="54">
        <v>1.51</v>
      </c>
      <c r="J16" s="54">
        <v>1.01</v>
      </c>
      <c r="K16" s="54">
        <v>344.01</v>
      </c>
      <c r="L16" s="54">
        <v>24.57</v>
      </c>
      <c r="M16" s="54">
        <v>79.239999999999995</v>
      </c>
      <c r="N16" s="54">
        <v>285.5</v>
      </c>
      <c r="O16" s="54">
        <v>0</v>
      </c>
      <c r="P16" s="54">
        <v>1.22</v>
      </c>
      <c r="Q16" s="54">
        <v>6.46</v>
      </c>
      <c r="R16" s="43"/>
      <c r="S16" s="43"/>
      <c r="T16" s="43"/>
      <c r="U16" s="43"/>
    </row>
    <row r="17" spans="1:21" s="11" customFormat="1" ht="15">
      <c r="A17" s="53" t="s">
        <v>334</v>
      </c>
      <c r="B17" s="54">
        <v>27.96</v>
      </c>
      <c r="C17" s="54">
        <v>46.5</v>
      </c>
      <c r="D17" s="54">
        <v>68.87</v>
      </c>
      <c r="E17" s="54">
        <v>0.44</v>
      </c>
      <c r="F17" s="54">
        <v>5.60</v>
      </c>
      <c r="G17" s="54">
        <v>222.93</v>
      </c>
      <c r="H17" s="54">
        <v>84.32</v>
      </c>
      <c r="I17" s="54">
        <v>1.55</v>
      </c>
      <c r="J17" s="54">
        <v>0.57999999999999996</v>
      </c>
      <c r="K17" s="54">
        <v>350.82</v>
      </c>
      <c r="L17" s="54">
        <v>28.60</v>
      </c>
      <c r="M17" s="54">
        <v>51.58</v>
      </c>
      <c r="N17" s="54">
        <v>476.90</v>
      </c>
      <c r="O17" s="54">
        <v>0</v>
      </c>
      <c r="P17" s="54">
        <v>1.26</v>
      </c>
      <c r="Q17" s="54">
        <v>6.51</v>
      </c>
      <c r="R17" s="43"/>
      <c r="S17" s="43"/>
      <c r="T17" s="43"/>
      <c r="U17" s="43"/>
    </row>
    <row r="18" spans="1:21" s="11" customFormat="1" ht="15">
      <c r="A18" s="53" t="s">
        <v>335</v>
      </c>
      <c r="B18" s="54">
        <v>22.67</v>
      </c>
      <c r="C18" s="54">
        <v>41.98</v>
      </c>
      <c r="D18" s="54">
        <v>64</v>
      </c>
      <c r="E18" s="54">
        <v>0.62</v>
      </c>
      <c r="F18" s="54">
        <v>5.85</v>
      </c>
      <c r="G18" s="54">
        <v>219.03</v>
      </c>
      <c r="H18" s="54">
        <v>103.32</v>
      </c>
      <c r="I18" s="54">
        <v>1.65</v>
      </c>
      <c r="J18" s="54">
        <v>0.35</v>
      </c>
      <c r="K18" s="54">
        <v>346.55</v>
      </c>
      <c r="L18" s="54">
        <v>31.93</v>
      </c>
      <c r="M18" s="54">
        <v>38.35</v>
      </c>
      <c r="N18" s="54">
        <v>622.29999999999995</v>
      </c>
      <c r="O18" s="54">
        <v>0</v>
      </c>
      <c r="P18" s="54">
        <v>1.29</v>
      </c>
      <c r="Q18" s="54">
        <v>6.51</v>
      </c>
      <c r="R18" s="43"/>
      <c r="S18" s="43"/>
      <c r="T18" s="43"/>
      <c r="U18" s="43"/>
    </row>
    <row r="19" spans="1:21" s="11" customFormat="1" ht="15">
      <c r="A19" s="53" t="s">
        <v>336</v>
      </c>
      <c r="B19" s="54">
        <v>17.47</v>
      </c>
      <c r="C19" s="54">
        <v>44.35</v>
      </c>
      <c r="D19" s="54">
        <v>59.43</v>
      </c>
      <c r="E19" s="54">
        <v>0.65</v>
      </c>
      <c r="F19" s="54">
        <v>5.80</v>
      </c>
      <c r="G19" s="54">
        <v>184.79</v>
      </c>
      <c r="H19" s="54">
        <v>92.83</v>
      </c>
      <c r="I19" s="54">
        <v>1.54</v>
      </c>
      <c r="J19" s="54">
        <v>0.73</v>
      </c>
      <c r="K19" s="54">
        <v>356.93</v>
      </c>
      <c r="L19" s="54">
        <v>33.130000000000003</v>
      </c>
      <c r="M19" s="54">
        <v>33.56</v>
      </c>
      <c r="N19" s="54">
        <v>672.90</v>
      </c>
      <c r="O19" s="54">
        <v>0</v>
      </c>
      <c r="P19" s="54">
        <v>1.29</v>
      </c>
      <c r="Q19" s="54">
        <v>5.77</v>
      </c>
      <c r="R19" s="43"/>
      <c r="S19" s="43"/>
      <c r="T19" s="43"/>
      <c r="U19" s="43"/>
    </row>
    <row r="20" spans="1:21" s="11" customFormat="1" ht="15">
      <c r="A20" s="53" t="s">
        <v>337</v>
      </c>
      <c r="B20" s="54">
        <v>8.9700000000000006</v>
      </c>
      <c r="C20" s="54">
        <v>45.64</v>
      </c>
      <c r="D20" s="54">
        <v>54.16</v>
      </c>
      <c r="E20" s="54">
        <v>1.26</v>
      </c>
      <c r="F20" s="54">
        <v>12.39</v>
      </c>
      <c r="G20" s="54">
        <v>129.55000000000001</v>
      </c>
      <c r="H20" s="54">
        <v>74.790000000000006</v>
      </c>
      <c r="I20" s="54">
        <v>1.5</v>
      </c>
      <c r="J20" s="54">
        <v>0.52</v>
      </c>
      <c r="K20" s="54">
        <v>346.15</v>
      </c>
      <c r="L20" s="54">
        <v>33.36</v>
      </c>
      <c r="M20" s="54">
        <v>33.46</v>
      </c>
      <c r="N20" s="54">
        <v>690</v>
      </c>
      <c r="O20" s="54">
        <v>0</v>
      </c>
      <c r="P20" s="54">
        <v>1.19</v>
      </c>
      <c r="Q20" s="54">
        <v>4.97</v>
      </c>
      <c r="R20" s="43"/>
      <c r="S20" s="43"/>
      <c r="T20" s="43"/>
      <c r="U20" s="43"/>
    </row>
    <row r="21" spans="1:21" s="11" customFormat="1" ht="15">
      <c r="A21" s="53" t="s">
        <v>338</v>
      </c>
      <c r="B21" s="54">
        <v>7.06</v>
      </c>
      <c r="C21" s="54">
        <v>42.73</v>
      </c>
      <c r="D21" s="54">
        <v>49.79</v>
      </c>
      <c r="E21" s="54">
        <v>1.52</v>
      </c>
      <c r="F21" s="54">
        <v>15.53</v>
      </c>
      <c r="G21" s="54">
        <v>123.04</v>
      </c>
      <c r="H21" s="54">
        <v>67.89</v>
      </c>
      <c r="I21" s="54">
        <v>1.5</v>
      </c>
      <c r="J21" s="54">
        <v>0.86</v>
      </c>
      <c r="K21" s="54">
        <v>344.91</v>
      </c>
      <c r="L21" s="54">
        <v>32.92</v>
      </c>
      <c r="M21" s="54">
        <v>26.66</v>
      </c>
      <c r="N21" s="54">
        <v>628.20000000000005</v>
      </c>
      <c r="O21" s="54">
        <v>0</v>
      </c>
      <c r="P21" s="54">
        <v>1.1200000000000001</v>
      </c>
      <c r="Q21" s="54">
        <v>5.17</v>
      </c>
      <c r="R21" s="43"/>
      <c r="S21" s="43"/>
      <c r="T21" s="43"/>
      <c r="U21" s="43"/>
    </row>
    <row r="22" spans="1:21" s="11" customFormat="1" ht="15">
      <c r="A22" s="53" t="s">
        <v>339</v>
      </c>
      <c r="B22" s="54">
        <v>4.13</v>
      </c>
      <c r="C22" s="54">
        <v>40.020000000000003</v>
      </c>
      <c r="D22" s="54">
        <v>43.54</v>
      </c>
      <c r="E22" s="54">
        <v>1.1499999999999999</v>
      </c>
      <c r="F22" s="54">
        <v>19.399999999999999</v>
      </c>
      <c r="G22" s="54">
        <v>98.93</v>
      </c>
      <c r="H22" s="54">
        <v>62.64</v>
      </c>
      <c r="I22" s="54">
        <v>1.52</v>
      </c>
      <c r="J22" s="54">
        <v>0.95</v>
      </c>
      <c r="K22" s="54">
        <v>337.53</v>
      </c>
      <c r="L22" s="54">
        <v>31.69</v>
      </c>
      <c r="M22" s="54">
        <v>28.48</v>
      </c>
      <c r="N22" s="54">
        <v>608.10</v>
      </c>
      <c r="O22" s="54">
        <v>0</v>
      </c>
      <c r="P22" s="54">
        <v>1.05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340</v>
      </c>
      <c r="B23" s="54">
        <v>4.47</v>
      </c>
      <c r="C23" s="54">
        <v>39.81</v>
      </c>
      <c r="D23" s="54">
        <v>42.79</v>
      </c>
      <c r="E23" s="54">
        <v>1.26</v>
      </c>
      <c r="F23" s="54">
        <v>22.67</v>
      </c>
      <c r="G23" s="54">
        <v>70.80</v>
      </c>
      <c r="H23" s="54">
        <v>49.05</v>
      </c>
      <c r="I23" s="54">
        <v>1.54</v>
      </c>
      <c r="J23" s="54">
        <v>1.1100000000000001</v>
      </c>
      <c r="K23" s="54">
        <v>341.90</v>
      </c>
      <c r="L23" s="54">
        <v>31.29</v>
      </c>
      <c r="M23" s="54">
        <v>27.57</v>
      </c>
      <c r="N23" s="54">
        <v>211.60</v>
      </c>
      <c r="O23" s="54">
        <v>0</v>
      </c>
      <c r="P23" s="54">
        <v>0.94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341</v>
      </c>
      <c r="B24" s="54">
        <v>5.23</v>
      </c>
      <c r="C24" s="54">
        <v>41.51</v>
      </c>
      <c r="D24" s="54">
        <v>46.42</v>
      </c>
      <c r="E24" s="54">
        <v>1.45</v>
      </c>
      <c r="F24" s="54">
        <v>23.76</v>
      </c>
      <c r="G24" s="54">
        <v>71.540000000000006</v>
      </c>
      <c r="H24" s="54">
        <v>44.59</v>
      </c>
      <c r="I24" s="54">
        <v>1.48</v>
      </c>
      <c r="J24" s="54">
        <v>0.86</v>
      </c>
      <c r="K24" s="54">
        <v>336.88</v>
      </c>
      <c r="L24" s="54">
        <v>29.54</v>
      </c>
      <c r="M24" s="54">
        <v>29.57</v>
      </c>
      <c r="N24" s="54">
        <v>145.80000000000001</v>
      </c>
      <c r="O24" s="54">
        <v>0</v>
      </c>
      <c r="P24" s="54">
        <v>0.94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342</v>
      </c>
      <c r="B25" s="54">
        <v>6.07</v>
      </c>
      <c r="C25" s="54">
        <v>49.63</v>
      </c>
      <c r="D25" s="54">
        <v>53.18</v>
      </c>
      <c r="E25" s="54">
        <v>1.17</v>
      </c>
      <c r="F25" s="54">
        <v>26.18</v>
      </c>
      <c r="G25" s="54">
        <v>69.959999999999994</v>
      </c>
      <c r="H25" s="54">
        <v>41.09</v>
      </c>
      <c r="I25" s="54">
        <v>1.57</v>
      </c>
      <c r="J25" s="54">
        <v>0.85</v>
      </c>
      <c r="K25" s="54">
        <v>345.35</v>
      </c>
      <c r="L25" s="54">
        <v>28.05</v>
      </c>
      <c r="M25" s="54">
        <v>46.65</v>
      </c>
      <c r="N25" s="54">
        <v>86.20</v>
      </c>
      <c r="O25" s="54">
        <v>0</v>
      </c>
      <c r="P25" s="54">
        <v>1.21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343</v>
      </c>
      <c r="B26" s="54">
        <v>12.27</v>
      </c>
      <c r="C26" s="54">
        <v>63.81</v>
      </c>
      <c r="D26" s="54">
        <v>72.66</v>
      </c>
      <c r="E26" s="54">
        <v>1.46</v>
      </c>
      <c r="F26" s="54">
        <v>12.23</v>
      </c>
      <c r="G26" s="54">
        <v>85.99</v>
      </c>
      <c r="H26" s="54">
        <v>40.14</v>
      </c>
      <c r="I26" s="54">
        <v>1.53</v>
      </c>
      <c r="J26" s="54">
        <v>0.12</v>
      </c>
      <c r="K26" s="54">
        <v>324.36</v>
      </c>
      <c r="L26" s="54">
        <v>24.59</v>
      </c>
      <c r="M26" s="54">
        <v>60.12</v>
      </c>
      <c r="N26" s="54">
        <v>36.90</v>
      </c>
      <c r="O26" s="54">
        <v>0</v>
      </c>
      <c r="P26" s="54">
        <v>1.68</v>
      </c>
      <c r="Q26" s="54">
        <v>4.57</v>
      </c>
      <c r="R26" s="43"/>
      <c r="S26" s="43"/>
      <c r="T26" s="43"/>
      <c r="U26" s="43"/>
    </row>
    <row r="27" spans="1:21" s="11" customFormat="1" ht="15">
      <c r="A27" s="53" t="s">
        <v>344</v>
      </c>
      <c r="B27" s="54">
        <v>44.51</v>
      </c>
      <c r="C27" s="54">
        <v>79.36</v>
      </c>
      <c r="D27" s="54">
        <v>121.18</v>
      </c>
      <c r="E27" s="54">
        <v>1.20</v>
      </c>
      <c r="F27" s="54">
        <v>1.34</v>
      </c>
      <c r="G27" s="54">
        <v>114.79</v>
      </c>
      <c r="H27" s="54">
        <v>44.07</v>
      </c>
      <c r="I27" s="54">
        <v>1.57</v>
      </c>
      <c r="J27" s="54">
        <v>0.10</v>
      </c>
      <c r="K27" s="54">
        <v>305.06</v>
      </c>
      <c r="L27" s="54">
        <v>22.35</v>
      </c>
      <c r="M27" s="54">
        <v>62.56</v>
      </c>
      <c r="N27" s="54">
        <v>33</v>
      </c>
      <c r="O27" s="54">
        <v>0</v>
      </c>
      <c r="P27" s="54">
        <v>1.56</v>
      </c>
      <c r="Q27" s="54">
        <v>2.4700000000000002</v>
      </c>
      <c r="R27" s="43"/>
      <c r="S27" s="43"/>
      <c r="T27" s="43"/>
      <c r="U27" s="43"/>
    </row>
    <row r="28" spans="1:21" s="11" customFormat="1" ht="15">
      <c r="A28" s="53" t="s">
        <v>345</v>
      </c>
      <c r="B28" s="54">
        <v>30.39</v>
      </c>
      <c r="C28" s="54">
        <v>55.09</v>
      </c>
      <c r="D28" s="54">
        <v>79.069999999999993</v>
      </c>
      <c r="E28" s="54">
        <v>0.83</v>
      </c>
      <c r="F28" s="54">
        <v>0.88</v>
      </c>
      <c r="G28" s="54">
        <v>154.40</v>
      </c>
      <c r="H28" s="54">
        <v>54.83</v>
      </c>
      <c r="I28" s="54">
        <v>1.54</v>
      </c>
      <c r="J28" s="54">
        <v>0.56000000000000005</v>
      </c>
      <c r="K28" s="54">
        <v>203.48</v>
      </c>
      <c r="L28" s="54">
        <v>22.87</v>
      </c>
      <c r="M28" s="54">
        <v>63.16</v>
      </c>
      <c r="N28" s="54">
        <v>33</v>
      </c>
      <c r="O28" s="54">
        <v>0</v>
      </c>
      <c r="P28" s="54">
        <v>1.59</v>
      </c>
      <c r="Q28" s="54">
        <v>4.97</v>
      </c>
      <c r="R28" s="43"/>
      <c r="S28" s="43"/>
      <c r="T28" s="43"/>
      <c r="U28" s="43"/>
    </row>
    <row r="29" spans="1:21" s="11" customFormat="1" ht="15">
      <c r="A29" s="53" t="s">
        <v>346</v>
      </c>
      <c r="B29" s="54">
        <v>51.52</v>
      </c>
      <c r="C29" s="54">
        <v>55.12</v>
      </c>
      <c r="D29" s="54">
        <v>104.78</v>
      </c>
      <c r="E29" s="54">
        <v>1.25</v>
      </c>
      <c r="F29" s="54">
        <v>0.80</v>
      </c>
      <c r="G29" s="54">
        <v>182.35</v>
      </c>
      <c r="H29" s="54">
        <v>80.78</v>
      </c>
      <c r="I29" s="54">
        <v>1.55</v>
      </c>
      <c r="J29" s="54">
        <v>0.19</v>
      </c>
      <c r="K29" s="54">
        <v>337.57</v>
      </c>
      <c r="L29" s="54">
        <v>22.88</v>
      </c>
      <c r="M29" s="54">
        <v>64.34</v>
      </c>
      <c r="N29" s="54">
        <v>34.5</v>
      </c>
      <c r="O29" s="54">
        <v>0</v>
      </c>
      <c r="P29" s="54">
        <v>1.89</v>
      </c>
      <c r="Q29" s="54">
        <v>5.42</v>
      </c>
      <c r="R29" s="43"/>
      <c r="S29" s="43"/>
      <c r="T29" s="43"/>
      <c r="U29" s="43"/>
    </row>
    <row r="30" spans="1:21" s="11" customFormat="1" ht="15">
      <c r="A30" s="53" t="s">
        <v>347</v>
      </c>
      <c r="B30" s="54">
        <v>51.33</v>
      </c>
      <c r="C30" s="54">
        <v>54.5</v>
      </c>
      <c r="D30" s="54">
        <v>105.83</v>
      </c>
      <c r="E30" s="54">
        <v>2.19</v>
      </c>
      <c r="F30" s="54">
        <v>0.78</v>
      </c>
      <c r="G30" s="54">
        <v>182.35</v>
      </c>
      <c r="H30" s="54">
        <v>80.78</v>
      </c>
      <c r="I30" s="54">
        <v>1.47</v>
      </c>
      <c r="J30" s="54">
        <v>0.09</v>
      </c>
      <c r="K30" s="54">
        <v>312.76</v>
      </c>
      <c r="L30" s="54">
        <v>20.77</v>
      </c>
      <c r="M30" s="54">
        <v>69.91</v>
      </c>
      <c r="N30" s="54">
        <v>33.799999999999997</v>
      </c>
      <c r="O30" s="54">
        <v>0</v>
      </c>
      <c r="P30" s="54">
        <v>1.95</v>
      </c>
      <c r="Q30" s="54">
        <v>5.27</v>
      </c>
      <c r="R30" s="43"/>
      <c r="S30" s="43"/>
      <c r="T30" s="43"/>
      <c r="U30" s="43"/>
    </row>
    <row r="31" spans="1:21" s="11" customFormat="1" ht="15">
      <c r="A31" s="53" t="s">
        <v>348</v>
      </c>
      <c r="B31" s="54">
        <v>66.760000000000005</v>
      </c>
      <c r="C31" s="54">
        <v>59.73</v>
      </c>
      <c r="D31" s="54">
        <v>126.49</v>
      </c>
      <c r="E31" s="54">
        <v>3.32</v>
      </c>
      <c r="F31" s="54">
        <v>0.81</v>
      </c>
      <c r="G31" s="60" t="s">
        <v>15</v>
      </c>
      <c r="H31" s="60" t="s">
        <v>15</v>
      </c>
      <c r="I31" s="54">
        <v>1.56</v>
      </c>
      <c r="J31" s="54">
        <v>0.11</v>
      </c>
      <c r="K31" s="54">
        <v>333.15</v>
      </c>
      <c r="L31" s="54">
        <v>20.38</v>
      </c>
      <c r="M31" s="54">
        <v>70.11</v>
      </c>
      <c r="N31" s="54">
        <v>33.90</v>
      </c>
      <c r="O31" s="54">
        <v>0</v>
      </c>
      <c r="P31" s="54">
        <v>2.0099999999999998</v>
      </c>
      <c r="Q31" s="54">
        <v>6.85</v>
      </c>
      <c r="R31" s="43"/>
      <c r="S31" s="43"/>
      <c r="T31" s="43"/>
      <c r="U31" s="43"/>
    </row>
    <row r="32" spans="1:21" s="11" customFormat="1" ht="15">
      <c r="A32" s="53" t="s">
        <v>349</v>
      </c>
      <c r="B32" s="54">
        <v>87.13</v>
      </c>
      <c r="C32" s="54">
        <v>50.02</v>
      </c>
      <c r="D32" s="54">
        <v>134.16999999999999</v>
      </c>
      <c r="E32" s="54">
        <v>6.32</v>
      </c>
      <c r="F32" s="54">
        <v>0.77</v>
      </c>
      <c r="G32" s="60" t="s">
        <v>15</v>
      </c>
      <c r="H32" s="60" t="s">
        <v>15</v>
      </c>
      <c r="I32" s="54">
        <v>1.54</v>
      </c>
      <c r="J32" s="54">
        <v>0.14000000000000001</v>
      </c>
      <c r="K32" s="54">
        <v>354.26</v>
      </c>
      <c r="L32" s="54">
        <v>19.940000000000001</v>
      </c>
      <c r="M32" s="54">
        <v>78.459999999999994</v>
      </c>
      <c r="N32" s="54">
        <v>34.200000000000003</v>
      </c>
      <c r="O32" s="54">
        <v>0</v>
      </c>
      <c r="P32" s="54">
        <v>2.13</v>
      </c>
      <c r="Q32" s="54">
        <v>7.40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4.1299999999999999</v>
      </c>
      <c r="C34" s="28">
        <f t="shared" si="0"/>
        <v>32.920000000000002</v>
      </c>
      <c r="D34" s="28">
        <f t="shared" si="0"/>
        <v>42.789999999999999</v>
      </c>
      <c r="E34" s="28">
        <f t="shared" si="0"/>
        <v>0.44</v>
      </c>
      <c r="F34" s="28">
        <f t="shared" si="0"/>
        <v>0.31</v>
      </c>
      <c r="G34" s="28">
        <f t="shared" si="0"/>
        <v>69.959999999999994</v>
      </c>
      <c r="H34" s="28">
        <f t="shared" si="0"/>
        <v>40.140000000000001</v>
      </c>
      <c r="I34" s="28">
        <f t="shared" si="0"/>
        <v>1.47</v>
      </c>
      <c r="J34" s="28">
        <f t="shared" si="0"/>
        <v>0.089999999999999997</v>
      </c>
      <c r="K34" s="28">
        <f t="shared" si="0"/>
        <v>203.47999999999999</v>
      </c>
      <c r="L34" s="28">
        <f t="shared" si="0"/>
        <v>17.899999999999999</v>
      </c>
      <c r="M34" s="28">
        <f t="shared" si="0"/>
        <v>26.66</v>
      </c>
      <c r="N34" s="28">
        <f t="shared" si="0"/>
        <v>33</v>
      </c>
      <c r="O34" s="28">
        <f t="shared" si="0"/>
        <v>0</v>
      </c>
      <c r="P34" s="28">
        <f t="shared" si="0"/>
        <v>0.93999999999999995</v>
      </c>
      <c r="Q34" s="28">
        <f t="shared" si="0"/>
        <v>2.4700000000000002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87.129999999999995</v>
      </c>
      <c r="C35" s="29">
        <f t="shared" si="1"/>
        <v>79.359999999999999</v>
      </c>
      <c r="D35" s="29">
        <f t="shared" si="1"/>
        <v>134.16999999999999</v>
      </c>
      <c r="E35" s="29">
        <f t="shared" si="1"/>
        <v>6.3200000000000003</v>
      </c>
      <c r="F35" s="29">
        <f t="shared" si="1"/>
        <v>26.18</v>
      </c>
      <c r="G35" s="29">
        <f t="shared" si="1"/>
        <v>222.93000000000001</v>
      </c>
      <c r="H35" s="29">
        <f t="shared" si="1"/>
        <v>103.31999999999999</v>
      </c>
      <c r="I35" s="29">
        <f t="shared" si="1"/>
        <v>1.6499999999999999</v>
      </c>
      <c r="J35" s="29">
        <f t="shared" si="1"/>
        <v>1.1100000000000001</v>
      </c>
      <c r="K35" s="29">
        <f t="shared" si="1"/>
        <v>356.93000000000001</v>
      </c>
      <c r="L35" s="29">
        <f t="shared" si="1"/>
        <v>33.359999999999999</v>
      </c>
      <c r="M35" s="29">
        <f t="shared" si="1"/>
        <v>95.989999999999995</v>
      </c>
      <c r="N35" s="29">
        <f t="shared" si="1"/>
        <v>690</v>
      </c>
      <c r="O35" s="29">
        <f t="shared" si="1"/>
        <v>0</v>
      </c>
      <c r="P35" s="29">
        <f t="shared" si="1"/>
        <v>2.1299999999999999</v>
      </c>
      <c r="Q35" s="29">
        <f t="shared" si="1"/>
        <v>7.7000000000000002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27.905833333333337</v>
      </c>
      <c r="C36" s="28">
        <f t="shared" si="2"/>
        <v>45.902083333333337</v>
      </c>
      <c r="D36" s="28">
        <f t="shared" si="2"/>
        <v>72.174166666666665</v>
      </c>
      <c r="E36" s="28">
        <f t="shared" si="2"/>
        <v>1.2908333333333333</v>
      </c>
      <c r="F36" s="28">
        <f t="shared" si="2"/>
        <v>7.0225000000000009</v>
      </c>
      <c r="G36" s="28">
        <f t="shared" si="2"/>
        <v>130.04681818181817</v>
      </c>
      <c r="H36" s="28">
        <f t="shared" si="2"/>
        <v>67.258181818181811</v>
      </c>
      <c r="I36" s="28">
        <f t="shared" si="2"/>
        <v>1.5420833333333333</v>
      </c>
      <c r="J36" s="28">
        <f t="shared" si="2"/>
        <v>0.44916666666666666</v>
      </c>
      <c r="K36" s="28">
        <f t="shared" si="2"/>
        <v>326.04750000000001</v>
      </c>
      <c r="L36" s="28">
        <f t="shared" si="2"/>
        <v>24.586250000000007</v>
      </c>
      <c r="M36" s="28">
        <f t="shared" si="2"/>
        <v>62.342083333333328</v>
      </c>
      <c r="N36" s="28">
        <f t="shared" si="2"/>
        <v>207.34166666666667</v>
      </c>
      <c r="O36" s="28">
        <f t="shared" si="2"/>
        <v>0</v>
      </c>
      <c r="P36" s="28">
        <f t="shared" si="2"/>
        <v>1.4300000000000004</v>
      </c>
      <c r="Q36" s="28">
        <f t="shared" si="2"/>
        <v>5.8162499999999993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20.702281310263256</v>
      </c>
      <c r="C37" s="28">
        <f t="shared" si="3" ref="C37:Q37">STDEV(C9:C32)</f>
        <v>11.089593233284507</v>
      </c>
      <c r="D37" s="28">
        <f t="shared" si="3"/>
        <v>26.650607288401162</v>
      </c>
      <c r="E37" s="28">
        <f t="shared" si="3"/>
        <v>1.2512043473552112</v>
      </c>
      <c r="F37" s="28">
        <f t="shared" si="3"/>
        <v>8.4556702097262626</v>
      </c>
      <c r="G37" s="28">
        <f t="shared" si="3"/>
        <v>46.601912937066672</v>
      </c>
      <c r="H37" s="28">
        <f t="shared" si="3"/>
        <v>18.245355478499064</v>
      </c>
      <c r="I37" s="28">
        <f t="shared" si="3"/>
        <v>0.046623297653197095</v>
      </c>
      <c r="J37" s="28">
        <f t="shared" si="3"/>
        <v>0.35117091920139637</v>
      </c>
      <c r="K37" s="28">
        <f t="shared" si="3"/>
        <v>32.30069473610137</v>
      </c>
      <c r="L37" s="28">
        <f t="shared" si="3"/>
        <v>5.6220650797433152</v>
      </c>
      <c r="M37" s="28">
        <f t="shared" si="3"/>
        <v>24.381520617978875</v>
      </c>
      <c r="N37" s="28">
        <f t="shared" si="3"/>
        <v>251.60262478182028</v>
      </c>
      <c r="O37" s="28">
        <f t="shared" si="3"/>
        <v>0</v>
      </c>
      <c r="P37" s="28">
        <f t="shared" si="3"/>
        <v>0.35202519672664656</v>
      </c>
      <c r="Q37" s="28">
        <f t="shared" si="3"/>
        <v>1.1253707118680722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22</v>
      </c>
      <c r="H38" s="32">
        <f t="shared" si="4"/>
        <v>22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6c32fa-52c3-464a-9abc-ea6bfcee2c3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9" sqref="G9:H11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350</v>
      </c>
      <c r="B9" s="54">
        <v>85.43</v>
      </c>
      <c r="C9" s="54">
        <v>44.08</v>
      </c>
      <c r="D9" s="54">
        <v>129.51</v>
      </c>
      <c r="E9" s="54">
        <v>4.45</v>
      </c>
      <c r="F9" s="54">
        <v>0.94</v>
      </c>
      <c r="G9" s="60" t="s">
        <v>15</v>
      </c>
      <c r="H9" s="60" t="s">
        <v>15</v>
      </c>
      <c r="I9" s="54">
        <v>1.51</v>
      </c>
      <c r="J9" s="54">
        <v>0.09</v>
      </c>
      <c r="K9" s="54">
        <v>254.70</v>
      </c>
      <c r="L9" s="54">
        <v>19.440000000000001</v>
      </c>
      <c r="M9" s="54">
        <v>76.14</v>
      </c>
      <c r="N9" s="54">
        <v>34.200000000000003</v>
      </c>
      <c r="O9" s="54">
        <v>0</v>
      </c>
      <c r="P9" s="54">
        <v>2.17</v>
      </c>
      <c r="Q9" s="54">
        <v>10.64</v>
      </c>
      <c r="R9" s="43"/>
      <c r="S9" s="43"/>
      <c r="T9" s="43"/>
      <c r="U9" s="43"/>
    </row>
    <row r="10" spans="1:21" s="11" customFormat="1" ht="15">
      <c r="A10" s="53" t="s">
        <v>351</v>
      </c>
      <c r="B10" s="54">
        <v>82.36</v>
      </c>
      <c r="C10" s="54">
        <v>34.90</v>
      </c>
      <c r="D10" s="54">
        <v>117.25</v>
      </c>
      <c r="E10" s="54">
        <v>2.2200000000000002</v>
      </c>
      <c r="F10" s="54">
        <v>0.56000000000000005</v>
      </c>
      <c r="G10" s="60" t="s">
        <v>15</v>
      </c>
      <c r="H10" s="60" t="s">
        <v>15</v>
      </c>
      <c r="I10" s="54">
        <v>1.51</v>
      </c>
      <c r="J10" s="54">
        <v>0.070000000000000007</v>
      </c>
      <c r="K10" s="54">
        <v>344.19</v>
      </c>
      <c r="L10" s="54">
        <v>18.989999999999998</v>
      </c>
      <c r="M10" s="54">
        <v>82.67</v>
      </c>
      <c r="N10" s="54">
        <v>34.40</v>
      </c>
      <c r="O10" s="54">
        <v>0</v>
      </c>
      <c r="P10" s="54">
        <v>1.96</v>
      </c>
      <c r="Q10" s="54">
        <v>10.94</v>
      </c>
      <c r="R10" s="43"/>
      <c r="S10" s="43"/>
      <c r="T10" s="43"/>
      <c r="U10" s="43"/>
    </row>
    <row r="11" spans="1:21" s="11" customFormat="1" ht="15">
      <c r="A11" s="53" t="s">
        <v>352</v>
      </c>
      <c r="B11" s="54">
        <v>73.66</v>
      </c>
      <c r="C11" s="54">
        <v>32.96</v>
      </c>
      <c r="D11" s="54">
        <v>105.60</v>
      </c>
      <c r="E11" s="54">
        <v>1.99</v>
      </c>
      <c r="F11" s="54">
        <v>1.22</v>
      </c>
      <c r="G11" s="60" t="s">
        <v>15</v>
      </c>
      <c r="H11" s="60" t="s">
        <v>15</v>
      </c>
      <c r="I11" s="54">
        <v>1.52</v>
      </c>
      <c r="J11" s="54">
        <v>0.55000000000000004</v>
      </c>
      <c r="K11" s="54">
        <v>354.30</v>
      </c>
      <c r="L11" s="54">
        <v>19.079999999999998</v>
      </c>
      <c r="M11" s="54">
        <v>69.66</v>
      </c>
      <c r="N11" s="54">
        <v>37.700000000000003</v>
      </c>
      <c r="O11" s="54">
        <v>0</v>
      </c>
      <c r="P11" s="54">
        <v>1.83</v>
      </c>
      <c r="Q11" s="54">
        <v>10.93</v>
      </c>
      <c r="R11" s="43"/>
      <c r="S11" s="43"/>
      <c r="T11" s="43"/>
      <c r="U11" s="43"/>
    </row>
    <row r="12" spans="1:21" s="11" customFormat="1" ht="15">
      <c r="A12" s="53" t="s">
        <v>353</v>
      </c>
      <c r="B12" s="54">
        <v>65.05</v>
      </c>
      <c r="C12" s="54">
        <v>33.18</v>
      </c>
      <c r="D12" s="54">
        <v>98.23</v>
      </c>
      <c r="E12" s="54">
        <v>1.56</v>
      </c>
      <c r="F12" s="54">
        <v>0.63</v>
      </c>
      <c r="G12" s="54">
        <v>145.13999999999999</v>
      </c>
      <c r="H12" s="54">
        <v>75.91</v>
      </c>
      <c r="I12" s="54">
        <v>1.55</v>
      </c>
      <c r="J12" s="54">
        <v>0.08</v>
      </c>
      <c r="K12" s="54">
        <v>323.94</v>
      </c>
      <c r="L12" s="54">
        <v>18.73</v>
      </c>
      <c r="M12" s="54">
        <v>80.790000000000006</v>
      </c>
      <c r="N12" s="54">
        <v>38.10</v>
      </c>
      <c r="O12" s="54">
        <v>0</v>
      </c>
      <c r="P12" s="54">
        <v>1.69</v>
      </c>
      <c r="Q12" s="54">
        <v>9.90</v>
      </c>
      <c r="R12" s="43"/>
      <c r="S12" s="43"/>
      <c r="T12" s="43"/>
      <c r="U12" s="43"/>
    </row>
    <row r="13" spans="1:21" s="11" customFormat="1" ht="15">
      <c r="A13" s="53" t="s">
        <v>354</v>
      </c>
      <c r="B13" s="54">
        <v>56.12</v>
      </c>
      <c r="C13" s="54">
        <v>31.80</v>
      </c>
      <c r="D13" s="54">
        <v>86.94</v>
      </c>
      <c r="E13" s="54">
        <v>1.1599999999999999</v>
      </c>
      <c r="F13" s="54">
        <v>0.30</v>
      </c>
      <c r="G13" s="54">
        <v>174.64</v>
      </c>
      <c r="H13" s="54">
        <v>68.489999999999995</v>
      </c>
      <c r="I13" s="54">
        <v>1.57</v>
      </c>
      <c r="J13" s="54">
        <v>0.48</v>
      </c>
      <c r="K13" s="54">
        <v>357.30</v>
      </c>
      <c r="L13" s="54">
        <v>18.29</v>
      </c>
      <c r="M13" s="54">
        <v>82.83</v>
      </c>
      <c r="N13" s="54">
        <v>37.60</v>
      </c>
      <c r="O13" s="54">
        <v>0</v>
      </c>
      <c r="P13" s="54">
        <v>1.58</v>
      </c>
      <c r="Q13" s="54">
        <v>8.8800000000000008</v>
      </c>
      <c r="R13" s="43"/>
      <c r="S13" s="43"/>
      <c r="T13" s="43"/>
      <c r="U13" s="43"/>
    </row>
    <row r="14" spans="1:21" s="11" customFormat="1" ht="15">
      <c r="A14" s="53" t="s">
        <v>355</v>
      </c>
      <c r="B14" s="54">
        <v>45.91</v>
      </c>
      <c r="C14" s="54">
        <v>32.450000000000003</v>
      </c>
      <c r="D14" s="54">
        <v>75.25</v>
      </c>
      <c r="E14" s="54">
        <v>1.18</v>
      </c>
      <c r="F14" s="54">
        <v>0.77</v>
      </c>
      <c r="G14" s="54">
        <v>163.86</v>
      </c>
      <c r="H14" s="54">
        <v>68.84</v>
      </c>
      <c r="I14" s="54">
        <v>1.55</v>
      </c>
      <c r="J14" s="54">
        <v>0.57999999999999996</v>
      </c>
      <c r="K14" s="54">
        <v>356.36</v>
      </c>
      <c r="L14" s="54">
        <v>18.37</v>
      </c>
      <c r="M14" s="54">
        <v>82.75</v>
      </c>
      <c r="N14" s="54">
        <v>38.60</v>
      </c>
      <c r="O14" s="54">
        <v>0</v>
      </c>
      <c r="P14" s="54">
        <v>1.49</v>
      </c>
      <c r="Q14" s="54">
        <v>8.1199999999999992</v>
      </c>
      <c r="R14" s="43"/>
      <c r="S14" s="43"/>
      <c r="T14" s="43"/>
      <c r="U14" s="43"/>
    </row>
    <row r="15" spans="1:21" s="11" customFormat="1" ht="15">
      <c r="A15" s="53" t="s">
        <v>356</v>
      </c>
      <c r="B15" s="54">
        <v>35.79</v>
      </c>
      <c r="C15" s="54">
        <v>31.77</v>
      </c>
      <c r="D15" s="54">
        <v>66.48</v>
      </c>
      <c r="E15" s="54">
        <v>0.99</v>
      </c>
      <c r="F15" s="54">
        <v>0.46</v>
      </c>
      <c r="G15" s="54">
        <v>129</v>
      </c>
      <c r="H15" s="54">
        <v>66.81</v>
      </c>
      <c r="I15" s="54">
        <v>1.52</v>
      </c>
      <c r="J15" s="54">
        <v>0.18</v>
      </c>
      <c r="K15" s="54">
        <v>345.60</v>
      </c>
      <c r="L15" s="54">
        <v>18.489999999999998</v>
      </c>
      <c r="M15" s="54">
        <v>83.59</v>
      </c>
      <c r="N15" s="54">
        <v>97.30</v>
      </c>
      <c r="O15" s="54">
        <v>0</v>
      </c>
      <c r="P15" s="54">
        <v>1.32</v>
      </c>
      <c r="Q15" s="54">
        <v>7.39</v>
      </c>
      <c r="R15" s="43"/>
      <c r="S15" s="43"/>
      <c r="T15" s="43"/>
      <c r="U15" s="43"/>
    </row>
    <row r="16" spans="1:21" s="11" customFormat="1" ht="15">
      <c r="A16" s="53" t="s">
        <v>357</v>
      </c>
      <c r="B16" s="54">
        <v>29.78</v>
      </c>
      <c r="C16" s="54">
        <v>31.86</v>
      </c>
      <c r="D16" s="54">
        <v>60.90</v>
      </c>
      <c r="E16" s="54">
        <v>0.80</v>
      </c>
      <c r="F16" s="54">
        <v>0.42</v>
      </c>
      <c r="G16" s="54">
        <v>101.91</v>
      </c>
      <c r="H16" s="54">
        <v>66.23</v>
      </c>
      <c r="I16" s="54">
        <v>1.51</v>
      </c>
      <c r="J16" s="54">
        <v>0.49</v>
      </c>
      <c r="K16" s="54">
        <v>93.20</v>
      </c>
      <c r="L16" s="54">
        <v>20.91</v>
      </c>
      <c r="M16" s="54">
        <v>80.73</v>
      </c>
      <c r="N16" s="54">
        <v>280.10000000000002</v>
      </c>
      <c r="O16" s="54">
        <v>0</v>
      </c>
      <c r="P16" s="54">
        <v>1.28</v>
      </c>
      <c r="Q16" s="54">
        <v>6.71</v>
      </c>
      <c r="R16" s="43"/>
      <c r="S16" s="43"/>
      <c r="T16" s="43"/>
      <c r="U16" s="43"/>
    </row>
    <row r="17" spans="1:21" s="11" customFormat="1" ht="15">
      <c r="A17" s="53" t="s">
        <v>358</v>
      </c>
      <c r="B17" s="54">
        <v>23.11</v>
      </c>
      <c r="C17" s="54">
        <v>32.869999999999997</v>
      </c>
      <c r="D17" s="54">
        <v>55.85</v>
      </c>
      <c r="E17" s="54">
        <v>0.77</v>
      </c>
      <c r="F17" s="54">
        <v>1.35</v>
      </c>
      <c r="G17" s="54">
        <v>117.51</v>
      </c>
      <c r="H17" s="54">
        <v>60.43</v>
      </c>
      <c r="I17" s="54">
        <v>1.55</v>
      </c>
      <c r="J17" s="54">
        <v>0.44</v>
      </c>
      <c r="K17" s="54">
        <v>101.10</v>
      </c>
      <c r="L17" s="54">
        <v>23.08</v>
      </c>
      <c r="M17" s="54">
        <v>69.709999999999994</v>
      </c>
      <c r="N17" s="54">
        <v>456.60</v>
      </c>
      <c r="O17" s="54">
        <v>0</v>
      </c>
      <c r="P17" s="54">
        <v>1.21</v>
      </c>
      <c r="Q17" s="54">
        <v>6.29</v>
      </c>
      <c r="R17" s="43"/>
      <c r="S17" s="43"/>
      <c r="T17" s="43"/>
      <c r="U17" s="43"/>
    </row>
    <row r="18" spans="1:21" s="11" customFormat="1" ht="15">
      <c r="A18" s="53" t="s">
        <v>359</v>
      </c>
      <c r="B18" s="54">
        <v>17.010000000000002</v>
      </c>
      <c r="C18" s="54">
        <v>32.03</v>
      </c>
      <c r="D18" s="54">
        <v>46.44</v>
      </c>
      <c r="E18" s="54">
        <v>0.68</v>
      </c>
      <c r="F18" s="54">
        <v>1.19</v>
      </c>
      <c r="G18" s="54">
        <v>113.08</v>
      </c>
      <c r="H18" s="54">
        <v>67.150000000000006</v>
      </c>
      <c r="I18" s="54">
        <v>1.46</v>
      </c>
      <c r="J18" s="54">
        <v>0.51</v>
      </c>
      <c r="K18" s="54">
        <v>103.65</v>
      </c>
      <c r="L18" s="54">
        <v>24.71</v>
      </c>
      <c r="M18" s="54">
        <v>63.98</v>
      </c>
      <c r="N18" s="54">
        <v>575.5</v>
      </c>
      <c r="O18" s="54">
        <v>0</v>
      </c>
      <c r="P18" s="54">
        <v>1.0900000000000001</v>
      </c>
      <c r="Q18" s="54">
        <v>5.74</v>
      </c>
      <c r="R18" s="43"/>
      <c r="S18" s="43"/>
      <c r="T18" s="43"/>
      <c r="U18" s="43"/>
    </row>
    <row r="19" spans="1:21" s="11" customFormat="1" ht="15">
      <c r="A19" s="53" t="s">
        <v>360</v>
      </c>
      <c r="B19" s="54">
        <v>10.32</v>
      </c>
      <c r="C19" s="54">
        <v>33.020000000000003</v>
      </c>
      <c r="D19" s="54">
        <v>41.32</v>
      </c>
      <c r="E19" s="54">
        <v>0.67</v>
      </c>
      <c r="F19" s="54">
        <v>4.67</v>
      </c>
      <c r="G19" s="54">
        <v>102.13</v>
      </c>
      <c r="H19" s="54">
        <v>68.92</v>
      </c>
      <c r="I19" s="54">
        <v>1.62</v>
      </c>
      <c r="J19" s="54">
        <v>0.75</v>
      </c>
      <c r="K19" s="54">
        <v>340.76</v>
      </c>
      <c r="L19" s="54">
        <v>27.73</v>
      </c>
      <c r="M19" s="54">
        <v>62.33</v>
      </c>
      <c r="N19" s="54">
        <v>654.5</v>
      </c>
      <c r="O19" s="54">
        <v>0</v>
      </c>
      <c r="P19" s="54">
        <v>1.01</v>
      </c>
      <c r="Q19" s="54">
        <v>5.16</v>
      </c>
      <c r="R19" s="43"/>
      <c r="S19" s="43"/>
      <c r="T19" s="43"/>
      <c r="U19" s="43"/>
    </row>
    <row r="20" spans="1:21" s="11" customFormat="1" ht="15">
      <c r="A20" s="53" t="s">
        <v>361</v>
      </c>
      <c r="B20" s="54">
        <v>5.57</v>
      </c>
      <c r="C20" s="54">
        <v>32.770000000000003</v>
      </c>
      <c r="D20" s="54">
        <v>38.340000000000003</v>
      </c>
      <c r="E20" s="54">
        <v>0.74</v>
      </c>
      <c r="F20" s="54">
        <v>4.3600000000000003</v>
      </c>
      <c r="G20" s="54">
        <v>106.49</v>
      </c>
      <c r="H20" s="54">
        <v>63.72</v>
      </c>
      <c r="I20" s="54">
        <v>1.58</v>
      </c>
      <c r="J20" s="54">
        <v>0.74</v>
      </c>
      <c r="K20" s="54">
        <v>130.59</v>
      </c>
      <c r="L20" s="54">
        <v>28.37</v>
      </c>
      <c r="M20" s="54">
        <v>52.33</v>
      </c>
      <c r="N20" s="54">
        <v>655.70</v>
      </c>
      <c r="O20" s="54">
        <v>0</v>
      </c>
      <c r="P20" s="54">
        <v>0.95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362</v>
      </c>
      <c r="B21" s="54">
        <v>3.03</v>
      </c>
      <c r="C21" s="54">
        <v>28.20</v>
      </c>
      <c r="D21" s="54">
        <v>30.20</v>
      </c>
      <c r="E21" s="54">
        <v>0.62</v>
      </c>
      <c r="F21" s="54">
        <v>11.68</v>
      </c>
      <c r="G21" s="54">
        <v>92.58</v>
      </c>
      <c r="H21" s="54">
        <v>49.26</v>
      </c>
      <c r="I21" s="54">
        <v>1.56</v>
      </c>
      <c r="J21" s="54">
        <v>0.63</v>
      </c>
      <c r="K21" s="54">
        <v>336.82</v>
      </c>
      <c r="L21" s="54">
        <v>31.38</v>
      </c>
      <c r="M21" s="54">
        <v>48.09</v>
      </c>
      <c r="N21" s="54">
        <v>647.70000000000005</v>
      </c>
      <c r="O21" s="54">
        <v>0</v>
      </c>
      <c r="P21" s="54">
        <v>0.85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363</v>
      </c>
      <c r="B22" s="54">
        <v>2</v>
      </c>
      <c r="C22" s="54">
        <v>28.93</v>
      </c>
      <c r="D22" s="54">
        <v>30.93</v>
      </c>
      <c r="E22" s="54">
        <v>0.90</v>
      </c>
      <c r="F22" s="54">
        <v>22.98</v>
      </c>
      <c r="G22" s="54">
        <v>63.19</v>
      </c>
      <c r="H22" s="54">
        <v>38.450000000000003</v>
      </c>
      <c r="I22" s="54">
        <v>1.52</v>
      </c>
      <c r="J22" s="54">
        <v>0.90</v>
      </c>
      <c r="K22" s="54">
        <v>340.28</v>
      </c>
      <c r="L22" s="54">
        <v>30.74</v>
      </c>
      <c r="M22" s="54">
        <v>35.979999999999997</v>
      </c>
      <c r="N22" s="54">
        <v>547.60</v>
      </c>
      <c r="O22" s="54">
        <v>0</v>
      </c>
      <c r="P22" s="54">
        <v>0.78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364</v>
      </c>
      <c r="B23" s="54">
        <v>2.99</v>
      </c>
      <c r="C23" s="54">
        <v>29.86</v>
      </c>
      <c r="D23" s="54">
        <v>32.840000000000003</v>
      </c>
      <c r="E23" s="54">
        <v>1.1399999999999999</v>
      </c>
      <c r="F23" s="54">
        <v>18.39</v>
      </c>
      <c r="G23" s="54">
        <v>59.35</v>
      </c>
      <c r="H23" s="54">
        <v>31.16</v>
      </c>
      <c r="I23" s="54">
        <v>1.53</v>
      </c>
      <c r="J23" s="54">
        <v>0.67</v>
      </c>
      <c r="K23" s="54">
        <v>338.36</v>
      </c>
      <c r="L23" s="54">
        <v>29.44</v>
      </c>
      <c r="M23" s="54">
        <v>35.159999999999997</v>
      </c>
      <c r="N23" s="54">
        <v>228.10</v>
      </c>
      <c r="O23" s="54">
        <v>0</v>
      </c>
      <c r="P23" s="54">
        <v>0.76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365</v>
      </c>
      <c r="B24" s="54">
        <v>2.4700000000000002</v>
      </c>
      <c r="C24" s="54">
        <v>36.08</v>
      </c>
      <c r="D24" s="54">
        <v>38.549999999999997</v>
      </c>
      <c r="E24" s="54">
        <v>2.0299999999999998</v>
      </c>
      <c r="F24" s="54">
        <v>28.94</v>
      </c>
      <c r="G24" s="54">
        <v>65.36</v>
      </c>
      <c r="H24" s="54">
        <v>26.24</v>
      </c>
      <c r="I24" s="54">
        <v>1.55</v>
      </c>
      <c r="J24" s="54">
        <v>0.59</v>
      </c>
      <c r="K24" s="54">
        <v>342.49</v>
      </c>
      <c r="L24" s="54">
        <v>28.21</v>
      </c>
      <c r="M24" s="54">
        <v>39.96</v>
      </c>
      <c r="N24" s="54">
        <v>159.80000000000001</v>
      </c>
      <c r="O24" s="54">
        <v>0</v>
      </c>
      <c r="P24" s="54">
        <v>0.78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366</v>
      </c>
      <c r="B25" s="54">
        <v>3.64</v>
      </c>
      <c r="C25" s="54">
        <v>47.68</v>
      </c>
      <c r="D25" s="54">
        <v>51.31</v>
      </c>
      <c r="E25" s="54">
        <v>4.41</v>
      </c>
      <c r="F25" s="54">
        <v>28.71</v>
      </c>
      <c r="G25" s="54">
        <v>80.86</v>
      </c>
      <c r="H25" s="54">
        <v>37.19</v>
      </c>
      <c r="I25" s="54">
        <v>1.52</v>
      </c>
      <c r="J25" s="54">
        <v>0.47</v>
      </c>
      <c r="K25" s="54">
        <v>342.80</v>
      </c>
      <c r="L25" s="54">
        <v>26.86</v>
      </c>
      <c r="M25" s="54">
        <v>47.64</v>
      </c>
      <c r="N25" s="54">
        <v>78.80</v>
      </c>
      <c r="O25" s="54">
        <v>0</v>
      </c>
      <c r="P25" s="54">
        <v>0.98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367</v>
      </c>
      <c r="B26" s="54">
        <v>14.81</v>
      </c>
      <c r="C26" s="54">
        <v>72.23</v>
      </c>
      <c r="D26" s="54">
        <v>78.23</v>
      </c>
      <c r="E26" s="54">
        <v>3.77</v>
      </c>
      <c r="F26" s="54">
        <v>21.86</v>
      </c>
      <c r="G26" s="54">
        <v>82.40</v>
      </c>
      <c r="H26" s="54">
        <v>37.01</v>
      </c>
      <c r="I26" s="54">
        <v>1.48</v>
      </c>
      <c r="J26" s="54">
        <v>0.22</v>
      </c>
      <c r="K26" s="54">
        <v>349.29</v>
      </c>
      <c r="L26" s="54">
        <v>24.15</v>
      </c>
      <c r="M26" s="54">
        <v>60.46</v>
      </c>
      <c r="N26" s="54">
        <v>35.200000000000003</v>
      </c>
      <c r="O26" s="54">
        <v>0</v>
      </c>
      <c r="P26" s="54">
        <v>1.61</v>
      </c>
      <c r="Q26" s="54">
        <v>5.12</v>
      </c>
      <c r="R26" s="43"/>
      <c r="S26" s="43"/>
      <c r="T26" s="43"/>
      <c r="U26" s="43"/>
    </row>
    <row r="27" spans="1:21" s="11" customFormat="1" ht="15">
      <c r="A27" s="53" t="s">
        <v>368</v>
      </c>
      <c r="B27" s="54">
        <v>8.52</v>
      </c>
      <c r="C27" s="54">
        <v>69.84</v>
      </c>
      <c r="D27" s="54">
        <v>77.83</v>
      </c>
      <c r="E27" s="54">
        <v>2.85</v>
      </c>
      <c r="F27" s="54">
        <v>11.36</v>
      </c>
      <c r="G27" s="54">
        <v>99.31</v>
      </c>
      <c r="H27" s="54">
        <v>36.15</v>
      </c>
      <c r="I27" s="54">
        <v>1.55</v>
      </c>
      <c r="J27" s="54">
        <v>0.14000000000000001</v>
      </c>
      <c r="K27" s="54">
        <v>86.36</v>
      </c>
      <c r="L27" s="54">
        <v>23.16</v>
      </c>
      <c r="M27" s="54">
        <v>61.46</v>
      </c>
      <c r="N27" s="54">
        <v>31.80</v>
      </c>
      <c r="O27" s="54">
        <v>0</v>
      </c>
      <c r="P27" s="54">
        <v>1.87</v>
      </c>
      <c r="Q27" s="54">
        <v>3.79</v>
      </c>
      <c r="R27" s="43"/>
      <c r="S27" s="43"/>
      <c r="T27" s="43"/>
      <c r="U27" s="43"/>
    </row>
    <row r="28" spans="1:21" s="11" customFormat="1" ht="15">
      <c r="A28" s="53" t="s">
        <v>369</v>
      </c>
      <c r="B28" s="54">
        <v>4.1399999999999997</v>
      </c>
      <c r="C28" s="54">
        <v>68.20</v>
      </c>
      <c r="D28" s="54">
        <v>71.87</v>
      </c>
      <c r="E28" s="54">
        <v>3.55</v>
      </c>
      <c r="F28" s="54">
        <v>13.94</v>
      </c>
      <c r="G28" s="54">
        <v>172.97</v>
      </c>
      <c r="H28" s="54">
        <v>73.95</v>
      </c>
      <c r="I28" s="54">
        <v>1.52</v>
      </c>
      <c r="J28" s="54">
        <v>0.16</v>
      </c>
      <c r="K28" s="54">
        <v>82.63</v>
      </c>
      <c r="L28" s="54">
        <v>22.75</v>
      </c>
      <c r="M28" s="54">
        <v>57.19</v>
      </c>
      <c r="N28" s="54">
        <v>31.80</v>
      </c>
      <c r="O28" s="54">
        <v>0</v>
      </c>
      <c r="P28" s="54">
        <v>1.54</v>
      </c>
      <c r="Q28" s="54">
        <v>3.98</v>
      </c>
      <c r="R28" s="43"/>
      <c r="S28" s="43"/>
      <c r="T28" s="43"/>
      <c r="U28" s="43"/>
    </row>
    <row r="29" spans="1:21" s="11" customFormat="1" ht="15">
      <c r="A29" s="53" t="s">
        <v>370</v>
      </c>
      <c r="B29" s="54">
        <v>3.97</v>
      </c>
      <c r="C29" s="54">
        <v>46.10</v>
      </c>
      <c r="D29" s="54">
        <v>49.33</v>
      </c>
      <c r="E29" s="54">
        <v>3.33</v>
      </c>
      <c r="F29" s="54">
        <v>18.260000000000002</v>
      </c>
      <c r="G29" s="54">
        <v>205.48</v>
      </c>
      <c r="H29" s="54">
        <v>124.44</v>
      </c>
      <c r="I29" s="54">
        <v>1.57</v>
      </c>
      <c r="J29" s="54">
        <v>0.21</v>
      </c>
      <c r="K29" s="54">
        <v>93.24</v>
      </c>
      <c r="L29" s="54">
        <v>22.59</v>
      </c>
      <c r="M29" s="54">
        <v>57.47</v>
      </c>
      <c r="N29" s="54">
        <v>31.90</v>
      </c>
      <c r="O29" s="54">
        <v>0</v>
      </c>
      <c r="P29" s="54">
        <v>1.31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371</v>
      </c>
      <c r="B30" s="54">
        <v>7.08</v>
      </c>
      <c r="C30" s="54">
        <v>50.63</v>
      </c>
      <c r="D30" s="54">
        <v>55.96</v>
      </c>
      <c r="E30" s="54">
        <v>2.69</v>
      </c>
      <c r="F30" s="54">
        <v>7.41</v>
      </c>
      <c r="G30" s="54">
        <v>191.32</v>
      </c>
      <c r="H30" s="54">
        <v>116.55</v>
      </c>
      <c r="I30" s="54">
        <v>1.51</v>
      </c>
      <c r="J30" s="54">
        <v>0.17</v>
      </c>
      <c r="K30" s="54">
        <v>336.10</v>
      </c>
      <c r="L30" s="54">
        <v>22.39</v>
      </c>
      <c r="M30" s="54">
        <v>62.15</v>
      </c>
      <c r="N30" s="54">
        <v>32.299999999999997</v>
      </c>
      <c r="O30" s="54">
        <v>0</v>
      </c>
      <c r="P30" s="54">
        <v>1.43</v>
      </c>
      <c r="Q30" s="54">
        <v>5.20</v>
      </c>
      <c r="R30" s="43"/>
      <c r="S30" s="43"/>
      <c r="T30" s="43"/>
      <c r="U30" s="43"/>
    </row>
    <row r="31" spans="1:21" s="11" customFormat="1" ht="15">
      <c r="A31" s="53" t="s">
        <v>372</v>
      </c>
      <c r="B31" s="54">
        <v>12.65</v>
      </c>
      <c r="C31" s="54">
        <v>44.29</v>
      </c>
      <c r="D31" s="54">
        <v>56.93</v>
      </c>
      <c r="E31" s="54">
        <v>2.25</v>
      </c>
      <c r="F31" s="54">
        <v>5.54</v>
      </c>
      <c r="G31" s="54">
        <v>193.82</v>
      </c>
      <c r="H31" s="54">
        <v>90.91</v>
      </c>
      <c r="I31" s="54">
        <v>1.56</v>
      </c>
      <c r="J31" s="54">
        <v>0.13</v>
      </c>
      <c r="K31" s="54">
        <v>317.16000000000003</v>
      </c>
      <c r="L31" s="54">
        <v>21.21</v>
      </c>
      <c r="M31" s="54">
        <v>70.84</v>
      </c>
      <c r="N31" s="54">
        <v>32.299999999999997</v>
      </c>
      <c r="O31" s="54">
        <v>0</v>
      </c>
      <c r="P31" s="54">
        <v>1.39</v>
      </c>
      <c r="Q31" s="54">
        <v>4.5599999999999996</v>
      </c>
      <c r="R31" s="43"/>
      <c r="S31" s="43"/>
      <c r="T31" s="43"/>
      <c r="U31" s="43"/>
    </row>
    <row r="32" spans="1:21" s="11" customFormat="1" ht="15">
      <c r="A32" s="53" t="s">
        <v>373</v>
      </c>
      <c r="B32" s="54">
        <v>6.94</v>
      </c>
      <c r="C32" s="54">
        <v>45.43</v>
      </c>
      <c r="D32" s="54">
        <v>52.36</v>
      </c>
      <c r="E32" s="54">
        <v>1.86</v>
      </c>
      <c r="F32" s="54">
        <v>7.70</v>
      </c>
      <c r="G32" s="54">
        <v>185.88</v>
      </c>
      <c r="H32" s="54">
        <v>101.99</v>
      </c>
      <c r="I32" s="54">
        <v>1.56</v>
      </c>
      <c r="J32" s="54">
        <v>0.37</v>
      </c>
      <c r="K32" s="54">
        <v>266.02999999999997</v>
      </c>
      <c r="L32" s="54">
        <v>21.46</v>
      </c>
      <c r="M32" s="54">
        <v>66.95</v>
      </c>
      <c r="N32" s="54">
        <v>31.90</v>
      </c>
      <c r="O32" s="54">
        <v>0</v>
      </c>
      <c r="P32" s="54">
        <v>1.29</v>
      </c>
      <c r="Q32" s="54">
        <v>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</v>
      </c>
      <c r="C34" s="28">
        <f t="shared" si="0"/>
        <v>28.199999999999999</v>
      </c>
      <c r="D34" s="28">
        <f t="shared" si="0"/>
        <v>30.199999999999999</v>
      </c>
      <c r="E34" s="28">
        <f t="shared" si="0"/>
        <v>0.62</v>
      </c>
      <c r="F34" s="28">
        <f t="shared" si="0"/>
        <v>0.29999999999999999</v>
      </c>
      <c r="G34" s="28">
        <f t="shared" si="0"/>
        <v>59.350000000000001</v>
      </c>
      <c r="H34" s="28">
        <f t="shared" si="0"/>
        <v>26.239999999999998</v>
      </c>
      <c r="I34" s="28">
        <f t="shared" si="0"/>
        <v>1.46</v>
      </c>
      <c r="J34" s="28">
        <f t="shared" si="0"/>
        <v>0.070000000000000007</v>
      </c>
      <c r="K34" s="28">
        <f t="shared" si="0"/>
        <v>82.629999999999995</v>
      </c>
      <c r="L34" s="28">
        <f t="shared" si="0"/>
        <v>18.289999999999999</v>
      </c>
      <c r="M34" s="28">
        <f t="shared" si="0"/>
        <v>35.159999999999997</v>
      </c>
      <c r="N34" s="28">
        <f t="shared" si="0"/>
        <v>31.800000000000001</v>
      </c>
      <c r="O34" s="28">
        <f t="shared" si="0"/>
        <v>0</v>
      </c>
      <c r="P34" s="28">
        <f t="shared" si="0"/>
        <v>0.76000000000000001</v>
      </c>
      <c r="Q34" s="28">
        <f t="shared" si="0"/>
        <v>3.79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85.430000000000007</v>
      </c>
      <c r="C35" s="29">
        <f t="shared" si="1"/>
        <v>72.230000000000004</v>
      </c>
      <c r="D35" s="29">
        <f t="shared" si="1"/>
        <v>129.50999999999999</v>
      </c>
      <c r="E35" s="29">
        <f t="shared" si="1"/>
        <v>4.4500000000000002</v>
      </c>
      <c r="F35" s="29">
        <f t="shared" si="1"/>
        <v>28.940000000000001</v>
      </c>
      <c r="G35" s="29">
        <f t="shared" si="1"/>
        <v>205.47999999999999</v>
      </c>
      <c r="H35" s="29">
        <f t="shared" si="1"/>
        <v>124.44</v>
      </c>
      <c r="I35" s="29">
        <f t="shared" si="1"/>
        <v>1.6200000000000001</v>
      </c>
      <c r="J35" s="29">
        <f t="shared" si="1"/>
        <v>0.90000000000000002</v>
      </c>
      <c r="K35" s="29">
        <f t="shared" si="1"/>
        <v>357.30000000000001</v>
      </c>
      <c r="L35" s="29">
        <f t="shared" si="1"/>
        <v>31.379999999999999</v>
      </c>
      <c r="M35" s="29">
        <f t="shared" si="1"/>
        <v>83.590000000000003</v>
      </c>
      <c r="N35" s="29">
        <f t="shared" si="1"/>
        <v>655.70000000000005</v>
      </c>
      <c r="O35" s="29">
        <f t="shared" si="1"/>
        <v>0</v>
      </c>
      <c r="P35" s="29">
        <f t="shared" si="1"/>
        <v>2.1699999999999999</v>
      </c>
      <c r="Q35" s="29">
        <f t="shared" si="1"/>
        <v>10.94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25.097916666666674</v>
      </c>
      <c r="C36" s="28">
        <f t="shared" si="2"/>
        <v>40.464999999999996</v>
      </c>
      <c r="D36" s="28">
        <f t="shared" si="2"/>
        <v>64.518749999999997</v>
      </c>
      <c r="E36" s="28">
        <f t="shared" si="2"/>
        <v>1.9420833333333329</v>
      </c>
      <c r="F36" s="28">
        <f t="shared" si="2"/>
        <v>8.9016666666666655</v>
      </c>
      <c r="G36" s="28">
        <f t="shared" si="2"/>
        <v>126.01333333333335</v>
      </c>
      <c r="H36" s="28">
        <f t="shared" si="2"/>
        <v>65.228571428571428</v>
      </c>
      <c r="I36" s="28">
        <f t="shared" si="2"/>
        <v>1.5366666666666668</v>
      </c>
      <c r="J36" s="28">
        <f t="shared" si="2"/>
        <v>0.40083333333333343</v>
      </c>
      <c r="K36" s="28">
        <f t="shared" si="2"/>
        <v>264.05208333333331</v>
      </c>
      <c r="L36" s="28">
        <f t="shared" si="2"/>
        <v>23.35541666666667</v>
      </c>
      <c r="M36" s="28">
        <f t="shared" si="2"/>
        <v>63.78583333333335</v>
      </c>
      <c r="N36" s="28">
        <f t="shared" si="2"/>
        <v>201.22916666666671</v>
      </c>
      <c r="O36" s="28">
        <f t="shared" si="2"/>
        <v>0</v>
      </c>
      <c r="P36" s="28">
        <f t="shared" si="2"/>
        <v>1.340416666666667</v>
      </c>
      <c r="Q36" s="28">
        <f t="shared" si="2"/>
        <v>6.459583333333331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27.687328757608306</v>
      </c>
      <c r="C37" s="28">
        <f t="shared" si="3" ref="C37:Q37">STDEV(C9:C32)</f>
        <v>13.13577061177673</v>
      </c>
      <c r="D37" s="28">
        <f t="shared" si="3"/>
        <v>27.327204523427156</v>
      </c>
      <c r="E37" s="28">
        <f t="shared" si="3"/>
        <v>1.2311535035385974</v>
      </c>
      <c r="F37" s="28">
        <f t="shared" si="3"/>
        <v>9.5336728935169432</v>
      </c>
      <c r="G37" s="28">
        <f t="shared" si="3"/>
        <v>47.303169802174288</v>
      </c>
      <c r="H37" s="28">
        <f t="shared" si="3"/>
        <v>26.918076321630839</v>
      </c>
      <c r="I37" s="28">
        <f t="shared" si="3"/>
        <v>0.034220089023169205</v>
      </c>
      <c r="J37" s="28">
        <f t="shared" si="3"/>
        <v>0.24796417459798073</v>
      </c>
      <c r="K37" s="28">
        <f t="shared" si="3"/>
        <v>111.35585683740565</v>
      </c>
      <c r="L37" s="28">
        <f t="shared" si="3"/>
        <v>4.1857241637931768</v>
      </c>
      <c r="M37" s="28">
        <f t="shared" si="3"/>
        <v>15.083302289983282</v>
      </c>
      <c r="N37" s="28">
        <f t="shared" si="3"/>
        <v>240.71927268657493</v>
      </c>
      <c r="O37" s="28">
        <f t="shared" si="3"/>
        <v>0</v>
      </c>
      <c r="P37" s="28">
        <f t="shared" si="3"/>
        <v>0.39571046910881341</v>
      </c>
      <c r="Q37" s="28">
        <f t="shared" si="3"/>
        <v>2.2254114991568943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21</v>
      </c>
      <c r="H38" s="32">
        <f t="shared" si="4"/>
        <v>21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504049-334e-4d71-bdc3-83deeedb7866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374</v>
      </c>
      <c r="B9" s="54">
        <v>5.03</v>
      </c>
      <c r="C9" s="54">
        <v>31.81</v>
      </c>
      <c r="D9" s="54">
        <v>36.83</v>
      </c>
      <c r="E9" s="54">
        <v>1.19</v>
      </c>
      <c r="F9" s="54">
        <v>6.83</v>
      </c>
      <c r="G9" s="54">
        <v>144.08000000000001</v>
      </c>
      <c r="H9" s="54">
        <v>83.23</v>
      </c>
      <c r="I9" s="54">
        <v>1.53</v>
      </c>
      <c r="J9" s="54">
        <v>0.17</v>
      </c>
      <c r="K9" s="54">
        <v>341.11</v>
      </c>
      <c r="L9" s="54">
        <v>20.86</v>
      </c>
      <c r="M9" s="54">
        <v>68.06</v>
      </c>
      <c r="N9" s="54">
        <v>32.60</v>
      </c>
      <c r="O9" s="54">
        <v>0</v>
      </c>
      <c r="P9" s="54">
        <v>1.1399999999999999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375</v>
      </c>
      <c r="B10" s="54">
        <v>3.61</v>
      </c>
      <c r="C10" s="54">
        <v>29.77</v>
      </c>
      <c r="D10" s="54">
        <v>33.380000000000003</v>
      </c>
      <c r="E10" s="54">
        <v>1.1100000000000001</v>
      </c>
      <c r="F10" s="54">
        <v>2.82</v>
      </c>
      <c r="G10" s="54">
        <v>81.59</v>
      </c>
      <c r="H10" s="54">
        <v>53.75</v>
      </c>
      <c r="I10" s="54">
        <v>1.54</v>
      </c>
      <c r="J10" s="54">
        <v>0.24</v>
      </c>
      <c r="K10" s="54">
        <v>344.44</v>
      </c>
      <c r="L10" s="54">
        <v>19.5</v>
      </c>
      <c r="M10" s="54">
        <v>85.71</v>
      </c>
      <c r="N10" s="54">
        <v>32.60</v>
      </c>
      <c r="O10" s="54">
        <v>0</v>
      </c>
      <c r="P10" s="54">
        <v>1.07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376</v>
      </c>
      <c r="B11" s="54">
        <v>3.83</v>
      </c>
      <c r="C11" s="54">
        <v>28.78</v>
      </c>
      <c r="D11" s="54">
        <v>32.51</v>
      </c>
      <c r="E11" s="54">
        <v>0.93</v>
      </c>
      <c r="F11" s="54">
        <v>3.89</v>
      </c>
      <c r="G11" s="54">
        <v>60.39</v>
      </c>
      <c r="H11" s="54">
        <v>34.979999999999997</v>
      </c>
      <c r="I11" s="54">
        <v>1.56</v>
      </c>
      <c r="J11" s="54">
        <v>0.10</v>
      </c>
      <c r="K11" s="54">
        <v>306.74</v>
      </c>
      <c r="L11" s="54">
        <v>18.38</v>
      </c>
      <c r="M11" s="54">
        <v>88.04</v>
      </c>
      <c r="N11" s="54">
        <v>32.5</v>
      </c>
      <c r="O11" s="54">
        <v>0</v>
      </c>
      <c r="P11" s="54">
        <v>0.97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377</v>
      </c>
      <c r="B12" s="54">
        <v>4.49</v>
      </c>
      <c r="C12" s="54">
        <v>27.37</v>
      </c>
      <c r="D12" s="54">
        <v>31.48</v>
      </c>
      <c r="E12" s="54">
        <v>0.61</v>
      </c>
      <c r="F12" s="54">
        <v>0.55000000000000004</v>
      </c>
      <c r="G12" s="54">
        <v>82.38</v>
      </c>
      <c r="H12" s="54">
        <v>36.909999999999997</v>
      </c>
      <c r="I12" s="54">
        <v>1.56</v>
      </c>
      <c r="J12" s="54">
        <v>0.86</v>
      </c>
      <c r="K12" s="54">
        <v>348.28</v>
      </c>
      <c r="L12" s="54">
        <v>17.80</v>
      </c>
      <c r="M12" s="54">
        <v>92.75</v>
      </c>
      <c r="N12" s="54">
        <v>32.299999999999997</v>
      </c>
      <c r="O12" s="54">
        <v>0</v>
      </c>
      <c r="P12" s="54">
        <v>0.92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378</v>
      </c>
      <c r="B13" s="54">
        <v>5.37</v>
      </c>
      <c r="C13" s="54">
        <v>30.47</v>
      </c>
      <c r="D13" s="54">
        <v>35.840000000000003</v>
      </c>
      <c r="E13" s="54">
        <v>0.52</v>
      </c>
      <c r="F13" s="54">
        <v>0.53</v>
      </c>
      <c r="G13" s="54">
        <v>125.23</v>
      </c>
      <c r="H13" s="54">
        <v>63.81</v>
      </c>
      <c r="I13" s="54">
        <v>1.61</v>
      </c>
      <c r="J13" s="54">
        <v>0.74</v>
      </c>
      <c r="K13" s="54">
        <v>347.10</v>
      </c>
      <c r="L13" s="54">
        <v>17.989999999999998</v>
      </c>
      <c r="M13" s="54">
        <v>84.98</v>
      </c>
      <c r="N13" s="54">
        <v>32.799999999999997</v>
      </c>
      <c r="O13" s="54">
        <v>0</v>
      </c>
      <c r="P13" s="54">
        <v>0.95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379</v>
      </c>
      <c r="B14" s="54">
        <v>6.55</v>
      </c>
      <c r="C14" s="54">
        <v>32.44</v>
      </c>
      <c r="D14" s="54">
        <v>38.99</v>
      </c>
      <c r="E14" s="54">
        <v>0.5</v>
      </c>
      <c r="F14" s="54">
        <v>0.48</v>
      </c>
      <c r="G14" s="54">
        <v>138.49</v>
      </c>
      <c r="H14" s="54">
        <v>63.66</v>
      </c>
      <c r="I14" s="54">
        <v>1.5</v>
      </c>
      <c r="J14" s="54">
        <v>0.51</v>
      </c>
      <c r="K14" s="54">
        <v>342.41</v>
      </c>
      <c r="L14" s="54">
        <v>17.71</v>
      </c>
      <c r="M14" s="54">
        <v>86.40</v>
      </c>
      <c r="N14" s="54">
        <v>32.700000000000003</v>
      </c>
      <c r="O14" s="54">
        <v>0</v>
      </c>
      <c r="P14" s="54">
        <v>1.01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380</v>
      </c>
      <c r="B15" s="54">
        <v>6.49</v>
      </c>
      <c r="C15" s="54">
        <v>29.48</v>
      </c>
      <c r="D15" s="54">
        <v>35.90</v>
      </c>
      <c r="E15" s="54">
        <v>0.42</v>
      </c>
      <c r="F15" s="54">
        <v>0.65</v>
      </c>
      <c r="G15" s="54">
        <v>129.5</v>
      </c>
      <c r="H15" s="54">
        <v>55.47</v>
      </c>
      <c r="I15" s="54">
        <v>1.51</v>
      </c>
      <c r="J15" s="54">
        <v>0.28999999999999998</v>
      </c>
      <c r="K15" s="54">
        <v>343.86</v>
      </c>
      <c r="L15" s="54">
        <v>17.89</v>
      </c>
      <c r="M15" s="54">
        <v>86.66</v>
      </c>
      <c r="N15" s="54">
        <v>74.70</v>
      </c>
      <c r="O15" s="54">
        <v>0</v>
      </c>
      <c r="P15" s="54">
        <v>1.01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381</v>
      </c>
      <c r="B16" s="54">
        <v>6.91</v>
      </c>
      <c r="C16" s="54">
        <v>30.19</v>
      </c>
      <c r="D16" s="54">
        <v>36.92</v>
      </c>
      <c r="E16" s="54">
        <v>0.39</v>
      </c>
      <c r="F16" s="54">
        <v>0.80</v>
      </c>
      <c r="G16" s="54">
        <v>108.97</v>
      </c>
      <c r="H16" s="54">
        <v>47.76</v>
      </c>
      <c r="I16" s="54">
        <v>1.52</v>
      </c>
      <c r="J16" s="54">
        <v>0.48</v>
      </c>
      <c r="K16" s="54">
        <v>356.80</v>
      </c>
      <c r="L16" s="54">
        <v>20.309999999999999</v>
      </c>
      <c r="M16" s="54">
        <v>86.34</v>
      </c>
      <c r="N16" s="54">
        <v>245.60</v>
      </c>
      <c r="O16" s="54">
        <v>0</v>
      </c>
      <c r="P16" s="54">
        <v>0.97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382</v>
      </c>
      <c r="B17" s="54">
        <v>6.75</v>
      </c>
      <c r="C17" s="54">
        <v>30.48</v>
      </c>
      <c r="D17" s="54">
        <v>37.17</v>
      </c>
      <c r="E17" s="54">
        <v>0.60</v>
      </c>
      <c r="F17" s="54">
        <v>0.90</v>
      </c>
      <c r="G17" s="54">
        <v>103.15</v>
      </c>
      <c r="H17" s="54">
        <v>45.77</v>
      </c>
      <c r="I17" s="54">
        <v>1.53</v>
      </c>
      <c r="J17" s="54">
        <v>0.75</v>
      </c>
      <c r="K17" s="54">
        <v>302.81</v>
      </c>
      <c r="L17" s="54">
        <v>23.52</v>
      </c>
      <c r="M17" s="54">
        <v>76.489999999999995</v>
      </c>
      <c r="N17" s="54">
        <v>446.30</v>
      </c>
      <c r="O17" s="54">
        <v>0</v>
      </c>
      <c r="P17" s="54">
        <v>0.95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383</v>
      </c>
      <c r="B18" s="54">
        <v>5.61</v>
      </c>
      <c r="C18" s="54">
        <v>30.43</v>
      </c>
      <c r="D18" s="54">
        <v>35.49</v>
      </c>
      <c r="E18" s="54">
        <v>0.53</v>
      </c>
      <c r="F18" s="54">
        <v>1.69</v>
      </c>
      <c r="G18" s="54">
        <v>119.21</v>
      </c>
      <c r="H18" s="54">
        <v>51.20</v>
      </c>
      <c r="I18" s="54">
        <v>1.55</v>
      </c>
      <c r="J18" s="54">
        <v>0.75</v>
      </c>
      <c r="K18" s="54">
        <v>111.18</v>
      </c>
      <c r="L18" s="54">
        <v>24.57</v>
      </c>
      <c r="M18" s="54">
        <v>64.45</v>
      </c>
      <c r="N18" s="54">
        <v>569.79999999999995</v>
      </c>
      <c r="O18" s="54">
        <v>0</v>
      </c>
      <c r="P18" s="54">
        <v>0.92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384</v>
      </c>
      <c r="B19" s="54">
        <v>3.25</v>
      </c>
      <c r="C19" s="54">
        <v>28.84</v>
      </c>
      <c r="D19" s="54">
        <v>32.090000000000003</v>
      </c>
      <c r="E19" s="54">
        <v>0.62</v>
      </c>
      <c r="F19" s="54">
        <v>4.26</v>
      </c>
      <c r="G19" s="54">
        <v>108.01</v>
      </c>
      <c r="H19" s="54">
        <v>46.69</v>
      </c>
      <c r="I19" s="54">
        <v>1.55</v>
      </c>
      <c r="J19" s="54">
        <v>0.85</v>
      </c>
      <c r="K19" s="54">
        <v>120.21</v>
      </c>
      <c r="L19" s="54">
        <v>26.51</v>
      </c>
      <c r="M19" s="54">
        <v>61.19</v>
      </c>
      <c r="N19" s="54">
        <v>629.70000000000005</v>
      </c>
      <c r="O19" s="54">
        <v>0</v>
      </c>
      <c r="P19" s="54">
        <v>0.86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385</v>
      </c>
      <c r="B20" s="54">
        <v>2.60</v>
      </c>
      <c r="C20" s="54">
        <v>27.92</v>
      </c>
      <c r="D20" s="54">
        <v>30.53</v>
      </c>
      <c r="E20" s="54">
        <v>0.65</v>
      </c>
      <c r="F20" s="54">
        <v>3.55</v>
      </c>
      <c r="G20" s="54">
        <v>79.94</v>
      </c>
      <c r="H20" s="54">
        <v>39.76</v>
      </c>
      <c r="I20" s="54">
        <v>1.56</v>
      </c>
      <c r="J20" s="54">
        <v>0.72</v>
      </c>
      <c r="K20" s="54">
        <v>117.44</v>
      </c>
      <c r="L20" s="54">
        <v>26.62</v>
      </c>
      <c r="M20" s="54">
        <v>55.14</v>
      </c>
      <c r="N20" s="54">
        <v>653.70000000000005</v>
      </c>
      <c r="O20" s="54">
        <v>0</v>
      </c>
      <c r="P20" s="54">
        <v>0.81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386</v>
      </c>
      <c r="B21" s="54">
        <v>2</v>
      </c>
      <c r="C21" s="54">
        <v>25.11</v>
      </c>
      <c r="D21" s="54">
        <v>27.11</v>
      </c>
      <c r="E21" s="54">
        <v>0.55000000000000004</v>
      </c>
      <c r="F21" s="54">
        <v>9.84</v>
      </c>
      <c r="G21" s="54">
        <v>70.81</v>
      </c>
      <c r="H21" s="54">
        <v>37.03</v>
      </c>
      <c r="I21" s="54">
        <v>1.5</v>
      </c>
      <c r="J21" s="54">
        <v>1.07</v>
      </c>
      <c r="K21" s="54">
        <v>112.99</v>
      </c>
      <c r="L21" s="54">
        <v>27.33</v>
      </c>
      <c r="M21" s="54">
        <v>47.77</v>
      </c>
      <c r="N21" s="54">
        <v>563.90</v>
      </c>
      <c r="O21" s="54">
        <v>0</v>
      </c>
      <c r="P21" s="54">
        <v>0.74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387</v>
      </c>
      <c r="B22" s="54">
        <v>4.20</v>
      </c>
      <c r="C22" s="54">
        <v>33.630000000000003</v>
      </c>
      <c r="D22" s="54">
        <v>22.57</v>
      </c>
      <c r="E22" s="54">
        <v>5.01</v>
      </c>
      <c r="F22" s="54">
        <v>64.20</v>
      </c>
      <c r="G22" s="56" t="s">
        <v>12</v>
      </c>
      <c r="H22" s="56" t="s">
        <v>12</v>
      </c>
      <c r="I22" s="54">
        <v>1.58</v>
      </c>
      <c r="J22" s="54">
        <v>0.81</v>
      </c>
      <c r="K22" s="54">
        <v>116.05</v>
      </c>
      <c r="L22" s="54">
        <v>26.47</v>
      </c>
      <c r="M22" s="54">
        <v>39.99</v>
      </c>
      <c r="N22" s="54">
        <v>296.20</v>
      </c>
      <c r="O22" s="54">
        <v>0</v>
      </c>
      <c r="P22" s="54">
        <v>0.83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388</v>
      </c>
      <c r="B23" s="54">
        <v>1.75</v>
      </c>
      <c r="C23" s="54">
        <v>28.40</v>
      </c>
      <c r="D23" s="54">
        <v>17.71</v>
      </c>
      <c r="E23" s="54">
        <v>4.3099999999999996</v>
      </c>
      <c r="F23" s="54">
        <v>36.47</v>
      </c>
      <c r="G23" s="54">
        <v>8.2799999999999994</v>
      </c>
      <c r="H23" s="54">
        <v>29.5</v>
      </c>
      <c r="I23" s="54">
        <v>1.49</v>
      </c>
      <c r="J23" s="54">
        <v>0.99</v>
      </c>
      <c r="K23" s="54">
        <v>125.84</v>
      </c>
      <c r="L23" s="54">
        <v>26.45</v>
      </c>
      <c r="M23" s="54">
        <v>41.90</v>
      </c>
      <c r="N23" s="54">
        <v>285.89999999999998</v>
      </c>
      <c r="O23" s="54">
        <v>0</v>
      </c>
      <c r="P23" s="54">
        <v>0.78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389</v>
      </c>
      <c r="B24" s="54">
        <v>3.57</v>
      </c>
      <c r="C24" s="54">
        <v>37.840000000000003</v>
      </c>
      <c r="D24" s="54">
        <v>23.32</v>
      </c>
      <c r="E24" s="54">
        <v>3.62</v>
      </c>
      <c r="F24" s="54">
        <v>25.43</v>
      </c>
      <c r="G24" s="54">
        <v>35.700000000000003</v>
      </c>
      <c r="H24" s="54">
        <v>30.60</v>
      </c>
      <c r="I24" s="54">
        <v>1.58</v>
      </c>
      <c r="J24" s="54">
        <v>1</v>
      </c>
      <c r="K24" s="54">
        <v>352.31</v>
      </c>
      <c r="L24" s="54">
        <v>26.45</v>
      </c>
      <c r="M24" s="54">
        <v>41.41</v>
      </c>
      <c r="N24" s="54">
        <v>156.90</v>
      </c>
      <c r="O24" s="54">
        <v>0</v>
      </c>
      <c r="P24" s="54">
        <v>0.87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390</v>
      </c>
      <c r="B25" s="54">
        <v>3.57</v>
      </c>
      <c r="C25" s="54">
        <v>48.73</v>
      </c>
      <c r="D25" s="54">
        <v>30.27</v>
      </c>
      <c r="E25" s="54">
        <v>5.92</v>
      </c>
      <c r="F25" s="54">
        <v>43.70</v>
      </c>
      <c r="G25" s="54">
        <v>48.55</v>
      </c>
      <c r="H25" s="54">
        <v>34.53</v>
      </c>
      <c r="I25" s="54">
        <v>1.54</v>
      </c>
      <c r="J25" s="54">
        <v>0.20</v>
      </c>
      <c r="K25" s="54">
        <v>83.57</v>
      </c>
      <c r="L25" s="54">
        <v>25.70</v>
      </c>
      <c r="M25" s="54">
        <v>54.90</v>
      </c>
      <c r="N25" s="54">
        <v>110.20</v>
      </c>
      <c r="O25" s="54">
        <v>0</v>
      </c>
      <c r="P25" s="54">
        <v>1.23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391</v>
      </c>
      <c r="B26" s="54">
        <v>8.44</v>
      </c>
      <c r="C26" s="54">
        <v>75.900000000000006</v>
      </c>
      <c r="D26" s="54">
        <v>48.93</v>
      </c>
      <c r="E26" s="54">
        <v>6.07</v>
      </c>
      <c r="F26" s="54">
        <v>24.36</v>
      </c>
      <c r="G26" s="54">
        <v>66.81</v>
      </c>
      <c r="H26" s="54">
        <v>35.92</v>
      </c>
      <c r="I26" s="54">
        <v>1.54</v>
      </c>
      <c r="J26" s="54">
        <v>0.17</v>
      </c>
      <c r="K26" s="54">
        <v>83.04</v>
      </c>
      <c r="L26" s="54">
        <v>23.38</v>
      </c>
      <c r="M26" s="54">
        <v>63.68</v>
      </c>
      <c r="N26" s="54">
        <v>45.60</v>
      </c>
      <c r="O26" s="54">
        <v>0</v>
      </c>
      <c r="P26" s="54">
        <v>1.65</v>
      </c>
      <c r="Q26" s="54">
        <v>4.9000000000000004</v>
      </c>
      <c r="R26" s="43"/>
      <c r="S26" s="43"/>
      <c r="T26" s="43"/>
      <c r="U26" s="43"/>
    </row>
    <row r="27" spans="1:21" s="11" customFormat="1" ht="15">
      <c r="A27" s="53" t="s">
        <v>392</v>
      </c>
      <c r="B27" s="54">
        <v>19.739999999999998</v>
      </c>
      <c r="C27" s="54">
        <v>68.319999999999993</v>
      </c>
      <c r="D27" s="54">
        <v>52.15</v>
      </c>
      <c r="E27" s="54">
        <v>4.75</v>
      </c>
      <c r="F27" s="54">
        <v>18.96</v>
      </c>
      <c r="G27" s="54">
        <v>87.45</v>
      </c>
      <c r="H27" s="54">
        <v>37.01</v>
      </c>
      <c r="I27" s="54">
        <v>1.60</v>
      </c>
      <c r="J27" s="54">
        <v>0.13</v>
      </c>
      <c r="K27" s="54">
        <v>343.02</v>
      </c>
      <c r="L27" s="54">
        <v>22.78</v>
      </c>
      <c r="M27" s="54">
        <v>60.99</v>
      </c>
      <c r="N27" s="54">
        <v>41.30</v>
      </c>
      <c r="O27" s="54">
        <v>0</v>
      </c>
      <c r="P27" s="54">
        <v>2.02</v>
      </c>
      <c r="Q27" s="54">
        <v>3.59</v>
      </c>
      <c r="R27" s="43"/>
      <c r="S27" s="43"/>
      <c r="T27" s="43"/>
      <c r="U27" s="43"/>
    </row>
    <row r="28" spans="1:21" s="11" customFormat="1" ht="15">
      <c r="A28" s="53" t="s">
        <v>393</v>
      </c>
      <c r="B28" s="54">
        <v>9.81</v>
      </c>
      <c r="C28" s="54">
        <v>54.36</v>
      </c>
      <c r="D28" s="54">
        <v>38.47</v>
      </c>
      <c r="E28" s="54">
        <v>4.93</v>
      </c>
      <c r="F28" s="54">
        <v>13.81</v>
      </c>
      <c r="G28" s="54">
        <v>111.70</v>
      </c>
      <c r="H28" s="54">
        <v>47.04</v>
      </c>
      <c r="I28" s="54">
        <v>1.55</v>
      </c>
      <c r="J28" s="54">
        <v>0.17</v>
      </c>
      <c r="K28" s="54">
        <v>350.68</v>
      </c>
      <c r="L28" s="54">
        <v>22.66</v>
      </c>
      <c r="M28" s="54">
        <v>58.80</v>
      </c>
      <c r="N28" s="54">
        <v>41.20</v>
      </c>
      <c r="O28" s="54">
        <v>0</v>
      </c>
      <c r="P28" s="54">
        <v>1.80</v>
      </c>
      <c r="Q28" s="54">
        <v>4.01</v>
      </c>
      <c r="R28" s="43"/>
      <c r="S28" s="43"/>
      <c r="T28" s="43"/>
      <c r="U28" s="43"/>
    </row>
    <row r="29" spans="1:21" s="11" customFormat="1" ht="15">
      <c r="A29" s="53" t="s">
        <v>394</v>
      </c>
      <c r="B29" s="54">
        <v>7.07</v>
      </c>
      <c r="C29" s="54">
        <v>56.11</v>
      </c>
      <c r="D29" s="54">
        <v>37.28</v>
      </c>
      <c r="E29" s="54">
        <v>4.58</v>
      </c>
      <c r="F29" s="54">
        <v>12.23</v>
      </c>
      <c r="G29" s="54">
        <v>148.21</v>
      </c>
      <c r="H29" s="54">
        <v>63.89</v>
      </c>
      <c r="I29" s="54">
        <v>1.54</v>
      </c>
      <c r="J29" s="54">
        <v>0.16</v>
      </c>
      <c r="K29" s="54">
        <v>109.75</v>
      </c>
      <c r="L29" s="54">
        <v>22.05</v>
      </c>
      <c r="M29" s="54">
        <v>64.290000000000006</v>
      </c>
      <c r="N29" s="54">
        <v>41.30</v>
      </c>
      <c r="O29" s="54">
        <v>0</v>
      </c>
      <c r="P29" s="54">
        <v>1.67</v>
      </c>
      <c r="Q29" s="54">
        <v>4.54</v>
      </c>
      <c r="R29" s="43"/>
      <c r="S29" s="43"/>
      <c r="T29" s="43"/>
      <c r="U29" s="43"/>
    </row>
    <row r="30" spans="1:21" s="11" customFormat="1" ht="15">
      <c r="A30" s="53" t="s">
        <v>395</v>
      </c>
      <c r="B30" s="54">
        <v>6.89</v>
      </c>
      <c r="C30" s="54">
        <v>49.75</v>
      </c>
      <c r="D30" s="54">
        <v>32.90</v>
      </c>
      <c r="E30" s="54">
        <v>3.66</v>
      </c>
      <c r="F30" s="54">
        <v>9.9499999999999993</v>
      </c>
      <c r="G30" s="54">
        <v>142.02000000000001</v>
      </c>
      <c r="H30" s="54">
        <v>67.89</v>
      </c>
      <c r="I30" s="54">
        <v>1.53</v>
      </c>
      <c r="J30" s="54">
        <v>0.12</v>
      </c>
      <c r="K30" s="54">
        <v>341.58</v>
      </c>
      <c r="L30" s="54">
        <v>21.28</v>
      </c>
      <c r="M30" s="54">
        <v>72.540000000000006</v>
      </c>
      <c r="N30" s="54">
        <v>41.60</v>
      </c>
      <c r="O30" s="54">
        <v>0</v>
      </c>
      <c r="P30" s="54">
        <v>1.61</v>
      </c>
      <c r="Q30" s="54">
        <v>4.59</v>
      </c>
      <c r="R30" s="43"/>
      <c r="S30" s="43"/>
      <c r="T30" s="43"/>
      <c r="U30" s="43"/>
    </row>
    <row r="31" spans="1:21" s="11" customFormat="1" ht="15">
      <c r="A31" s="53" t="s">
        <v>396</v>
      </c>
      <c r="B31" s="54">
        <v>6.02</v>
      </c>
      <c r="C31" s="54">
        <v>41.5</v>
      </c>
      <c r="D31" s="54">
        <v>28.32</v>
      </c>
      <c r="E31" s="54">
        <v>3.27</v>
      </c>
      <c r="F31" s="54">
        <v>9.14</v>
      </c>
      <c r="G31" s="54">
        <v>137.05000000000001</v>
      </c>
      <c r="H31" s="54">
        <v>70.16</v>
      </c>
      <c r="I31" s="54">
        <v>1.51</v>
      </c>
      <c r="J31" s="54">
        <v>0.25</v>
      </c>
      <c r="K31" s="54">
        <v>155.30000000000001</v>
      </c>
      <c r="L31" s="54">
        <v>20.53</v>
      </c>
      <c r="M31" s="54">
        <v>69.459999999999994</v>
      </c>
      <c r="N31" s="54">
        <v>41.30</v>
      </c>
      <c r="O31" s="54">
        <v>0</v>
      </c>
      <c r="P31" s="54">
        <v>1.52</v>
      </c>
      <c r="Q31" s="54">
        <v>4.72</v>
      </c>
      <c r="R31" s="43"/>
      <c r="S31" s="43"/>
      <c r="T31" s="43"/>
      <c r="U31" s="43"/>
    </row>
    <row r="32" spans="1:21" s="11" customFormat="1" ht="15">
      <c r="A32" s="53" t="s">
        <v>397</v>
      </c>
      <c r="B32" s="54">
        <v>5.69</v>
      </c>
      <c r="C32" s="54">
        <v>32.40</v>
      </c>
      <c r="D32" s="54">
        <v>23.09</v>
      </c>
      <c r="E32" s="54">
        <v>3.28</v>
      </c>
      <c r="F32" s="54">
        <v>8.1199999999999992</v>
      </c>
      <c r="G32" s="54">
        <v>120.67</v>
      </c>
      <c r="H32" s="54">
        <v>66.25</v>
      </c>
      <c r="I32" s="54">
        <v>1.61</v>
      </c>
      <c r="J32" s="54">
        <v>1.03</v>
      </c>
      <c r="K32" s="54">
        <v>104.91</v>
      </c>
      <c r="L32" s="54">
        <v>20.89</v>
      </c>
      <c r="M32" s="54">
        <v>67.92</v>
      </c>
      <c r="N32" s="54">
        <v>41.80</v>
      </c>
      <c r="O32" s="54">
        <v>0</v>
      </c>
      <c r="P32" s="54">
        <v>1.45</v>
      </c>
      <c r="Q32" s="54">
        <v>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1.75</v>
      </c>
      <c r="C34" s="28">
        <f t="shared" si="0"/>
        <v>25.109999999999999</v>
      </c>
      <c r="D34" s="28">
        <f t="shared" si="0"/>
        <v>17.710000000000001</v>
      </c>
      <c r="E34" s="28">
        <f t="shared" si="0"/>
        <v>0.39000000000000001</v>
      </c>
      <c r="F34" s="28">
        <f t="shared" si="0"/>
        <v>0.47999999999999998</v>
      </c>
      <c r="G34" s="28">
        <f t="shared" si="0"/>
        <v>8.2799999999999994</v>
      </c>
      <c r="H34" s="28">
        <f t="shared" si="0"/>
        <v>29.5</v>
      </c>
      <c r="I34" s="28">
        <f t="shared" si="0"/>
        <v>1.49</v>
      </c>
      <c r="J34" s="28">
        <f t="shared" si="0"/>
        <v>0.10000000000000001</v>
      </c>
      <c r="K34" s="28">
        <f t="shared" si="0"/>
        <v>83.040000000000006</v>
      </c>
      <c r="L34" s="28">
        <f t="shared" si="0"/>
        <v>17.710000000000001</v>
      </c>
      <c r="M34" s="28">
        <f t="shared" si="0"/>
        <v>39.990000000000002</v>
      </c>
      <c r="N34" s="28">
        <f t="shared" si="0"/>
        <v>32.299999999999997</v>
      </c>
      <c r="O34" s="28">
        <f t="shared" si="0"/>
        <v>0</v>
      </c>
      <c r="P34" s="28">
        <f t="shared" si="0"/>
        <v>0.73999999999999999</v>
      </c>
      <c r="Q34" s="28">
        <f t="shared" si="0"/>
        <v>3.5899999999999999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19.739999999999998</v>
      </c>
      <c r="C35" s="29">
        <f t="shared" si="1"/>
        <v>75.900000000000006</v>
      </c>
      <c r="D35" s="29">
        <f t="shared" si="1"/>
        <v>52.149999999999999</v>
      </c>
      <c r="E35" s="29">
        <f t="shared" si="1"/>
        <v>6.0700000000000003</v>
      </c>
      <c r="F35" s="29">
        <f t="shared" si="1"/>
        <v>64.200000000000003</v>
      </c>
      <c r="G35" s="29">
        <f t="shared" si="1"/>
        <v>148.21000000000001</v>
      </c>
      <c r="H35" s="29">
        <f t="shared" si="1"/>
        <v>83.230000000000004</v>
      </c>
      <c r="I35" s="29">
        <f t="shared" si="1"/>
        <v>1.6100000000000001</v>
      </c>
      <c r="J35" s="29">
        <f t="shared" si="1"/>
        <v>1.0700000000000001</v>
      </c>
      <c r="K35" s="29">
        <f t="shared" si="1"/>
        <v>356.80000000000001</v>
      </c>
      <c r="L35" s="29">
        <f t="shared" si="1"/>
        <v>27.329999999999998</v>
      </c>
      <c r="M35" s="29">
        <f t="shared" si="1"/>
        <v>92.75</v>
      </c>
      <c r="N35" s="29">
        <f t="shared" si="1"/>
        <v>653.70000000000005</v>
      </c>
      <c r="O35" s="29">
        <f t="shared" si="1"/>
        <v>0</v>
      </c>
      <c r="P35" s="29">
        <f t="shared" si="1"/>
        <v>2.02</v>
      </c>
      <c r="Q35" s="29">
        <f t="shared" si="1"/>
        <v>5.21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5.8016666666666659</v>
      </c>
      <c r="C36" s="28">
        <f t="shared" si="2"/>
        <v>37.917916666666663</v>
      </c>
      <c r="D36" s="28">
        <f t="shared" si="2"/>
        <v>33.302083333333336</v>
      </c>
      <c r="E36" s="28">
        <f t="shared" si="2"/>
        <v>2.4175</v>
      </c>
      <c r="F36" s="28">
        <f t="shared" si="2"/>
        <v>12.631666666666668</v>
      </c>
      <c r="G36" s="28">
        <f t="shared" si="2"/>
        <v>98.182173913043485</v>
      </c>
      <c r="H36" s="28">
        <f t="shared" si="2"/>
        <v>49.687391304347827</v>
      </c>
      <c r="I36" s="28">
        <f t="shared" si="2"/>
        <v>1.5454166666666669</v>
      </c>
      <c r="J36" s="28">
        <f t="shared" si="2"/>
        <v>0.52333333333333332</v>
      </c>
      <c r="K36" s="28">
        <f t="shared" si="2"/>
        <v>235.89250000000004</v>
      </c>
      <c r="L36" s="28">
        <f t="shared" si="2"/>
        <v>22.401250000000001</v>
      </c>
      <c r="M36" s="28">
        <f t="shared" si="2"/>
        <v>67.494166666666686</v>
      </c>
      <c r="N36" s="28">
        <f t="shared" si="2"/>
        <v>188.43750000000003</v>
      </c>
      <c r="O36" s="28">
        <f t="shared" si="2"/>
        <v>0</v>
      </c>
      <c r="P36" s="28">
        <f t="shared" si="2"/>
        <v>1.1562499999999998</v>
      </c>
      <c r="Q36" s="28">
        <f t="shared" si="2"/>
        <v>5.0054166666666662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3.5795660007357286</v>
      </c>
      <c r="C37" s="28">
        <f t="shared" si="3" ref="C37:Q37">STDEV(C9:C32)</f>
        <v>13.752525453187882</v>
      </c>
      <c r="D37" s="28">
        <f t="shared" si="3"/>
        <v>7.7478675771307284</v>
      </c>
      <c r="E37" s="28">
        <f t="shared" si="3"/>
        <v>2.0597979005971307</v>
      </c>
      <c r="F37" s="28">
        <f t="shared" si="3"/>
        <v>16.047711381368689</v>
      </c>
      <c r="G37" s="28">
        <f t="shared" si="3"/>
        <v>37.73812479762487</v>
      </c>
      <c r="H37" s="28">
        <f t="shared" si="3"/>
        <v>14.807500009175754</v>
      </c>
      <c r="I37" s="28">
        <f t="shared" si="3"/>
        <v>0.033359591107215057</v>
      </c>
      <c r="J37" s="28">
        <f t="shared" si="3"/>
        <v>0.34955458199986661</v>
      </c>
      <c r="K37" s="28">
        <f t="shared" si="3"/>
        <v>117.03224543577346</v>
      </c>
      <c r="L37" s="28">
        <f t="shared" si="3"/>
        <v>3.2824252864108883</v>
      </c>
      <c r="M37" s="28">
        <f t="shared" si="3"/>
        <v>15.97846129520352</v>
      </c>
      <c r="N37" s="28">
        <f t="shared" si="3"/>
        <v>219.1239808131262</v>
      </c>
      <c r="O37" s="28">
        <f t="shared" si="3"/>
        <v>0</v>
      </c>
      <c r="P37" s="28">
        <f t="shared" si="3"/>
        <v>0.36863806333466309</v>
      </c>
      <c r="Q37" s="28">
        <f t="shared" si="3"/>
        <v>0.42882021333224757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648d596-9b8f-4893-ba44-6376d0b59fd9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0" sqref="G6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398</v>
      </c>
      <c r="B9" s="54">
        <v>4.58</v>
      </c>
      <c r="C9" s="54">
        <v>31.55</v>
      </c>
      <c r="D9" s="54">
        <v>21.52</v>
      </c>
      <c r="E9" s="54">
        <v>3.04</v>
      </c>
      <c r="F9" s="54">
        <v>6.05</v>
      </c>
      <c r="G9" s="54">
        <v>100.44</v>
      </c>
      <c r="H9" s="54">
        <v>58.5</v>
      </c>
      <c r="I9" s="54">
        <v>1.58</v>
      </c>
      <c r="J9" s="54">
        <v>1.5</v>
      </c>
      <c r="K9" s="54">
        <v>110.81</v>
      </c>
      <c r="L9" s="54">
        <v>20.309999999999999</v>
      </c>
      <c r="M9" s="54">
        <v>76.62</v>
      </c>
      <c r="N9" s="54">
        <v>42.30</v>
      </c>
      <c r="O9" s="54">
        <v>0</v>
      </c>
      <c r="P9" s="54">
        <v>1.36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399</v>
      </c>
      <c r="B10" s="54">
        <v>3.68</v>
      </c>
      <c r="C10" s="54">
        <v>28.39</v>
      </c>
      <c r="D10" s="54">
        <v>19.25</v>
      </c>
      <c r="E10" s="54">
        <v>2.99</v>
      </c>
      <c r="F10" s="54">
        <v>6.43</v>
      </c>
      <c r="G10" s="54">
        <v>85.03</v>
      </c>
      <c r="H10" s="54">
        <v>51.49</v>
      </c>
      <c r="I10" s="54">
        <v>1.51</v>
      </c>
      <c r="J10" s="54">
        <v>0.52</v>
      </c>
      <c r="K10" s="54">
        <v>117.13</v>
      </c>
      <c r="L10" s="54">
        <v>19.77</v>
      </c>
      <c r="M10" s="54">
        <v>80.69</v>
      </c>
      <c r="N10" s="54">
        <v>42.30</v>
      </c>
      <c r="O10" s="54">
        <v>0</v>
      </c>
      <c r="P10" s="54">
        <v>1.17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400</v>
      </c>
      <c r="B11" s="54">
        <v>3.49</v>
      </c>
      <c r="C11" s="54">
        <v>28.63</v>
      </c>
      <c r="D11" s="54">
        <v>19.149999999999999</v>
      </c>
      <c r="E11" s="54">
        <v>2.81</v>
      </c>
      <c r="F11" s="54">
        <v>5.67</v>
      </c>
      <c r="G11" s="54">
        <v>72.900000000000006</v>
      </c>
      <c r="H11" s="54">
        <v>42.02</v>
      </c>
      <c r="I11" s="54">
        <v>1.56</v>
      </c>
      <c r="J11" s="54">
        <v>0.63</v>
      </c>
      <c r="K11" s="54">
        <v>141.97999999999999</v>
      </c>
      <c r="L11" s="54">
        <v>19.55</v>
      </c>
      <c r="M11" s="54">
        <v>83.87</v>
      </c>
      <c r="N11" s="54">
        <v>42.70</v>
      </c>
      <c r="O11" s="54">
        <v>0</v>
      </c>
      <c r="P11" s="54">
        <v>1.1000000000000001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401</v>
      </c>
      <c r="B12" s="54">
        <v>3.29</v>
      </c>
      <c r="C12" s="54">
        <v>28.33</v>
      </c>
      <c r="D12" s="54">
        <v>18.899999999999999</v>
      </c>
      <c r="E12" s="54">
        <v>2.67</v>
      </c>
      <c r="F12" s="54">
        <v>5.87</v>
      </c>
      <c r="G12" s="54">
        <v>66.39</v>
      </c>
      <c r="H12" s="54">
        <v>35.65</v>
      </c>
      <c r="I12" s="54">
        <v>1.57</v>
      </c>
      <c r="J12" s="54">
        <v>0.38</v>
      </c>
      <c r="K12" s="54">
        <v>227.43</v>
      </c>
      <c r="L12" s="54">
        <v>19.010000000000002</v>
      </c>
      <c r="M12" s="54">
        <v>89.71</v>
      </c>
      <c r="N12" s="54">
        <v>44.60</v>
      </c>
      <c r="O12" s="54">
        <v>0</v>
      </c>
      <c r="P12" s="54">
        <v>1.04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402</v>
      </c>
      <c r="B13" s="54">
        <v>3.95</v>
      </c>
      <c r="C13" s="54">
        <v>27.30</v>
      </c>
      <c r="D13" s="54">
        <v>18.88</v>
      </c>
      <c r="E13" s="54">
        <v>2.5299999999999998</v>
      </c>
      <c r="F13" s="54">
        <v>5.53</v>
      </c>
      <c r="G13" s="54">
        <v>62.09</v>
      </c>
      <c r="H13" s="54">
        <v>37</v>
      </c>
      <c r="I13" s="54">
        <v>1.55</v>
      </c>
      <c r="J13" s="54">
        <v>0.19</v>
      </c>
      <c r="K13" s="54">
        <v>328.11</v>
      </c>
      <c r="L13" s="54">
        <v>18.22</v>
      </c>
      <c r="M13" s="54">
        <v>97.44</v>
      </c>
      <c r="N13" s="54">
        <v>44.30</v>
      </c>
      <c r="O13" s="54">
        <v>0</v>
      </c>
      <c r="P13" s="54">
        <v>0.96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403</v>
      </c>
      <c r="B14" s="54">
        <v>5.14</v>
      </c>
      <c r="C14" s="54">
        <v>29.03</v>
      </c>
      <c r="D14" s="54">
        <v>20.79</v>
      </c>
      <c r="E14" s="54">
        <v>2.4500000000000002</v>
      </c>
      <c r="F14" s="54">
        <v>3.83</v>
      </c>
      <c r="G14" s="54">
        <v>58.98</v>
      </c>
      <c r="H14" s="54">
        <v>34.369999999999997</v>
      </c>
      <c r="I14" s="54">
        <v>1.53</v>
      </c>
      <c r="J14" s="54">
        <v>0.93</v>
      </c>
      <c r="K14" s="54">
        <v>348.21</v>
      </c>
      <c r="L14" s="54">
        <v>17.20</v>
      </c>
      <c r="M14" s="54">
        <v>97.35</v>
      </c>
      <c r="N14" s="54">
        <v>43.70</v>
      </c>
      <c r="O14" s="54">
        <v>0</v>
      </c>
      <c r="P14" s="54">
        <v>0.96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404</v>
      </c>
      <c r="B15" s="54">
        <v>6.28</v>
      </c>
      <c r="C15" s="54">
        <v>28.69</v>
      </c>
      <c r="D15" s="54">
        <v>21.24</v>
      </c>
      <c r="E15" s="54">
        <v>2.35</v>
      </c>
      <c r="F15" s="54">
        <v>3.45</v>
      </c>
      <c r="G15" s="54">
        <v>93.24</v>
      </c>
      <c r="H15" s="54">
        <v>42.41</v>
      </c>
      <c r="I15" s="54">
        <v>1.49</v>
      </c>
      <c r="J15" s="54">
        <v>0.78</v>
      </c>
      <c r="K15" s="54">
        <v>345.68</v>
      </c>
      <c r="L15" s="54">
        <v>17.600000000000001</v>
      </c>
      <c r="M15" s="54">
        <v>97.14</v>
      </c>
      <c r="N15" s="54">
        <v>99.60</v>
      </c>
      <c r="O15" s="54">
        <v>0</v>
      </c>
      <c r="P15" s="54">
        <v>1.03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405</v>
      </c>
      <c r="B16" s="54">
        <v>6.43</v>
      </c>
      <c r="C16" s="54">
        <v>30.97</v>
      </c>
      <c r="D16" s="54">
        <v>22.90</v>
      </c>
      <c r="E16" s="54">
        <v>2.37</v>
      </c>
      <c r="F16" s="54">
        <v>4.13</v>
      </c>
      <c r="G16" s="54">
        <v>93.05</v>
      </c>
      <c r="H16" s="54">
        <v>43.02</v>
      </c>
      <c r="I16" s="54">
        <v>1.5</v>
      </c>
      <c r="J16" s="54">
        <v>0.99</v>
      </c>
      <c r="K16" s="54">
        <v>342.11</v>
      </c>
      <c r="L16" s="54">
        <v>21.47</v>
      </c>
      <c r="M16" s="54">
        <v>88.98</v>
      </c>
      <c r="N16" s="54">
        <v>279.5</v>
      </c>
      <c r="O16" s="54">
        <v>0</v>
      </c>
      <c r="P16" s="54">
        <v>1.03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406</v>
      </c>
      <c r="B17" s="54">
        <v>5.98</v>
      </c>
      <c r="C17" s="54">
        <v>33.58</v>
      </c>
      <c r="D17" s="54">
        <v>23.84</v>
      </c>
      <c r="E17" s="54">
        <v>2.46</v>
      </c>
      <c r="F17" s="54">
        <v>3.95</v>
      </c>
      <c r="G17" s="54">
        <v>92.57</v>
      </c>
      <c r="H17" s="54">
        <v>43.28</v>
      </c>
      <c r="I17" s="54">
        <v>1.58</v>
      </c>
      <c r="J17" s="54">
        <v>1.06</v>
      </c>
      <c r="K17" s="54">
        <v>343.97</v>
      </c>
      <c r="L17" s="54">
        <v>24.71</v>
      </c>
      <c r="M17" s="54">
        <v>70.819999999999993</v>
      </c>
      <c r="N17" s="54">
        <v>431.80</v>
      </c>
      <c r="O17" s="54">
        <v>0</v>
      </c>
      <c r="P17" s="54">
        <v>1.04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407</v>
      </c>
      <c r="B18" s="54">
        <v>5.83</v>
      </c>
      <c r="C18" s="54">
        <v>36.58</v>
      </c>
      <c r="D18" s="54">
        <v>25.48</v>
      </c>
      <c r="E18" s="54">
        <v>2.4500000000000002</v>
      </c>
      <c r="F18" s="54">
        <v>4.1100000000000003</v>
      </c>
      <c r="G18" s="54">
        <v>91.89</v>
      </c>
      <c r="H18" s="54">
        <v>42.73</v>
      </c>
      <c r="I18" s="54">
        <v>1.56</v>
      </c>
      <c r="J18" s="54">
        <v>0.99</v>
      </c>
      <c r="K18" s="54">
        <v>337.40</v>
      </c>
      <c r="L18" s="54">
        <v>24.23</v>
      </c>
      <c r="M18" s="54">
        <v>73.09</v>
      </c>
      <c r="N18" s="54">
        <v>580.70000000000005</v>
      </c>
      <c r="O18" s="54">
        <v>0</v>
      </c>
      <c r="P18" s="54">
        <v>1.06</v>
      </c>
      <c r="Q18" s="54">
        <v>5.20</v>
      </c>
      <c r="R18" s="43"/>
      <c r="S18" s="43"/>
      <c r="T18" s="43"/>
      <c r="U18" s="43"/>
    </row>
    <row r="19" spans="1:21" s="11" customFormat="1" ht="15">
      <c r="A19" s="53" t="s">
        <v>408</v>
      </c>
      <c r="B19" s="54">
        <v>5.89</v>
      </c>
      <c r="C19" s="54">
        <v>38.78</v>
      </c>
      <c r="D19" s="54">
        <v>26.77</v>
      </c>
      <c r="E19" s="54">
        <v>2.5</v>
      </c>
      <c r="F19" s="54">
        <v>5.82</v>
      </c>
      <c r="G19" s="54">
        <v>89.22</v>
      </c>
      <c r="H19" s="54">
        <v>41.10</v>
      </c>
      <c r="I19" s="54">
        <v>1.56</v>
      </c>
      <c r="J19" s="54">
        <v>0.77</v>
      </c>
      <c r="K19" s="54">
        <v>350.28</v>
      </c>
      <c r="L19" s="54">
        <v>26.85</v>
      </c>
      <c r="M19" s="54">
        <v>65.53</v>
      </c>
      <c r="N19" s="54">
        <v>632.70000000000005</v>
      </c>
      <c r="O19" s="54">
        <v>0</v>
      </c>
      <c r="P19" s="54">
        <v>1.07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409</v>
      </c>
      <c r="B20" s="54">
        <v>4.6100000000000003</v>
      </c>
      <c r="C20" s="54">
        <v>32.90</v>
      </c>
      <c r="D20" s="54">
        <v>22.43</v>
      </c>
      <c r="E20" s="54">
        <v>2.41</v>
      </c>
      <c r="F20" s="54">
        <v>5.44</v>
      </c>
      <c r="G20" s="54">
        <v>84.24</v>
      </c>
      <c r="H20" s="54">
        <v>40.90</v>
      </c>
      <c r="I20" s="54">
        <v>1.48</v>
      </c>
      <c r="J20" s="54">
        <v>1.02</v>
      </c>
      <c r="K20" s="54">
        <v>112.34</v>
      </c>
      <c r="L20" s="54">
        <v>26.38</v>
      </c>
      <c r="M20" s="54">
        <v>51.92</v>
      </c>
      <c r="N20" s="54">
        <v>674.60</v>
      </c>
      <c r="O20" s="54">
        <v>0</v>
      </c>
      <c r="P20" s="54">
        <v>1.07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410</v>
      </c>
      <c r="B21" s="54">
        <v>2.99</v>
      </c>
      <c r="C21" s="54">
        <v>31.71</v>
      </c>
      <c r="D21" s="54">
        <v>20.52</v>
      </c>
      <c r="E21" s="54">
        <v>2.41</v>
      </c>
      <c r="F21" s="54">
        <v>8.19</v>
      </c>
      <c r="G21" s="54">
        <v>75.34</v>
      </c>
      <c r="H21" s="54">
        <v>40.24</v>
      </c>
      <c r="I21" s="54">
        <v>1.55</v>
      </c>
      <c r="J21" s="54">
        <v>1.44</v>
      </c>
      <c r="K21" s="54">
        <v>341.05</v>
      </c>
      <c r="L21" s="54">
        <v>27.48</v>
      </c>
      <c r="M21" s="54">
        <v>43.87</v>
      </c>
      <c r="N21" s="54">
        <v>586.29999999999995</v>
      </c>
      <c r="O21" s="54">
        <v>0</v>
      </c>
      <c r="P21" s="54">
        <v>1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411</v>
      </c>
      <c r="B22" s="54">
        <v>2.96</v>
      </c>
      <c r="C22" s="54">
        <v>32.58</v>
      </c>
      <c r="D22" s="54">
        <v>20.96</v>
      </c>
      <c r="E22" s="54">
        <v>2.85</v>
      </c>
      <c r="F22" s="54">
        <v>9.57</v>
      </c>
      <c r="G22" s="54">
        <v>68.03</v>
      </c>
      <c r="H22" s="54">
        <v>40.090000000000003</v>
      </c>
      <c r="I22" s="54">
        <v>1.53</v>
      </c>
      <c r="J22" s="54">
        <v>0.99</v>
      </c>
      <c r="K22" s="54">
        <v>337.36</v>
      </c>
      <c r="L22" s="54">
        <v>27.61</v>
      </c>
      <c r="M22" s="54">
        <v>38.46</v>
      </c>
      <c r="N22" s="54">
        <v>506.5</v>
      </c>
      <c r="O22" s="54">
        <v>0</v>
      </c>
      <c r="P22" s="54">
        <v>0.99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412</v>
      </c>
      <c r="B23" s="54">
        <v>2.96</v>
      </c>
      <c r="C23" s="54">
        <v>33.24</v>
      </c>
      <c r="D23" s="54">
        <v>21.12</v>
      </c>
      <c r="E23" s="54">
        <v>2.48</v>
      </c>
      <c r="F23" s="54">
        <v>14.62</v>
      </c>
      <c r="G23" s="54">
        <v>65.08</v>
      </c>
      <c r="H23" s="54">
        <v>38.31</v>
      </c>
      <c r="I23" s="54">
        <v>1.53</v>
      </c>
      <c r="J23" s="54">
        <v>1.1100000000000001</v>
      </c>
      <c r="K23" s="54">
        <v>108.53</v>
      </c>
      <c r="L23" s="54">
        <v>26.27</v>
      </c>
      <c r="M23" s="54">
        <v>39.97</v>
      </c>
      <c r="N23" s="54">
        <v>246.60</v>
      </c>
      <c r="O23" s="54">
        <v>0</v>
      </c>
      <c r="P23" s="54">
        <v>0.97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413</v>
      </c>
      <c r="B24" s="54">
        <v>2.80</v>
      </c>
      <c r="C24" s="54">
        <v>29.98</v>
      </c>
      <c r="D24" s="54">
        <v>19.440000000000001</v>
      </c>
      <c r="E24" s="54">
        <v>2.88</v>
      </c>
      <c r="F24" s="54">
        <v>18.03</v>
      </c>
      <c r="G24" s="54">
        <v>63.28</v>
      </c>
      <c r="H24" s="54">
        <v>37.08</v>
      </c>
      <c r="I24" s="54">
        <v>1.51</v>
      </c>
      <c r="J24" s="54">
        <v>0.69</v>
      </c>
      <c r="K24" s="54">
        <v>104.44</v>
      </c>
      <c r="L24" s="54">
        <v>25.25</v>
      </c>
      <c r="M24" s="54">
        <v>40.99</v>
      </c>
      <c r="N24" s="54">
        <v>144.90</v>
      </c>
      <c r="O24" s="54">
        <v>0</v>
      </c>
      <c r="P24" s="54">
        <v>0.88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414</v>
      </c>
      <c r="B25" s="54">
        <v>2.4500000000000002</v>
      </c>
      <c r="C25" s="54">
        <v>30.02</v>
      </c>
      <c r="D25" s="54">
        <v>19.05</v>
      </c>
      <c r="E25" s="54">
        <v>3.22</v>
      </c>
      <c r="F25" s="54">
        <v>26.98</v>
      </c>
      <c r="G25" s="54">
        <v>61.94</v>
      </c>
      <c r="H25" s="54">
        <v>34.24</v>
      </c>
      <c r="I25" s="54">
        <v>1.61</v>
      </c>
      <c r="J25" s="54">
        <v>0.51</v>
      </c>
      <c r="K25" s="54">
        <v>103.39</v>
      </c>
      <c r="L25" s="54">
        <v>24.64</v>
      </c>
      <c r="M25" s="54">
        <v>51.09</v>
      </c>
      <c r="N25" s="54">
        <v>89.40</v>
      </c>
      <c r="O25" s="54">
        <v>0</v>
      </c>
      <c r="P25" s="54">
        <v>0.85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415</v>
      </c>
      <c r="B26" s="54">
        <v>2.21</v>
      </c>
      <c r="C26" s="54">
        <v>31.31</v>
      </c>
      <c r="D26" s="54">
        <v>19.63</v>
      </c>
      <c r="E26" s="54">
        <v>3.09</v>
      </c>
      <c r="F26" s="54">
        <v>27.70</v>
      </c>
      <c r="G26" s="54">
        <v>61.24</v>
      </c>
      <c r="H26" s="54">
        <v>32.86</v>
      </c>
      <c r="I26" s="54">
        <v>1.52</v>
      </c>
      <c r="J26" s="54">
        <v>0.31</v>
      </c>
      <c r="K26" s="54">
        <v>359.88</v>
      </c>
      <c r="L26" s="54">
        <v>23.03</v>
      </c>
      <c r="M26" s="54">
        <v>52.87</v>
      </c>
      <c r="N26" s="54">
        <v>39</v>
      </c>
      <c r="O26" s="54">
        <v>0</v>
      </c>
      <c r="P26" s="54">
        <v>0.83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416</v>
      </c>
      <c r="B27" s="54">
        <v>2.52</v>
      </c>
      <c r="C27" s="54">
        <v>31.07</v>
      </c>
      <c r="D27" s="54">
        <v>19.809999999999999</v>
      </c>
      <c r="E27" s="54">
        <v>3.26</v>
      </c>
      <c r="F27" s="54">
        <v>19.920000000000002</v>
      </c>
      <c r="G27" s="54">
        <v>60.37</v>
      </c>
      <c r="H27" s="54">
        <v>31.49</v>
      </c>
      <c r="I27" s="54">
        <v>1.55</v>
      </c>
      <c r="J27" s="54">
        <v>0.25</v>
      </c>
      <c r="K27" s="54">
        <v>100.11</v>
      </c>
      <c r="L27" s="54">
        <v>22.22</v>
      </c>
      <c r="M27" s="54">
        <v>55.10</v>
      </c>
      <c r="N27" s="54">
        <v>34.60</v>
      </c>
      <c r="O27" s="54">
        <v>0</v>
      </c>
      <c r="P27" s="54">
        <v>0.92</v>
      </c>
      <c r="Q27" s="54">
        <v>5.21</v>
      </c>
      <c r="R27" s="43"/>
      <c r="S27" s="43"/>
      <c r="T27" s="43"/>
      <c r="U27" s="43"/>
    </row>
    <row r="28" spans="1:21" s="11" customFormat="1" ht="15">
      <c r="A28" s="53" t="s">
        <v>417</v>
      </c>
      <c r="B28" s="54">
        <v>3.5</v>
      </c>
      <c r="C28" s="54">
        <v>38.47</v>
      </c>
      <c r="D28" s="54">
        <v>24.62</v>
      </c>
      <c r="E28" s="54">
        <v>3.20</v>
      </c>
      <c r="F28" s="54">
        <v>18.22</v>
      </c>
      <c r="G28" s="54">
        <v>64.45</v>
      </c>
      <c r="H28" s="54">
        <v>32.19</v>
      </c>
      <c r="I28" s="54">
        <v>1.54</v>
      </c>
      <c r="J28" s="54">
        <v>0.16</v>
      </c>
      <c r="K28" s="54">
        <v>71.97</v>
      </c>
      <c r="L28" s="54">
        <v>21.42</v>
      </c>
      <c r="M28" s="54">
        <v>61.72</v>
      </c>
      <c r="N28" s="54">
        <v>34.90</v>
      </c>
      <c r="O28" s="54">
        <v>0</v>
      </c>
      <c r="P28" s="54">
        <v>0.98</v>
      </c>
      <c r="Q28" s="54">
        <v>5.21</v>
      </c>
      <c r="R28" s="43"/>
      <c r="S28" s="43"/>
      <c r="T28" s="43"/>
      <c r="U28" s="43"/>
    </row>
    <row r="29" spans="1:21" s="11" customFormat="1" ht="15">
      <c r="A29" s="53" t="s">
        <v>418</v>
      </c>
      <c r="B29" s="54">
        <v>3.86</v>
      </c>
      <c r="C29" s="54">
        <v>39.119999999999997</v>
      </c>
      <c r="D29" s="54">
        <v>25.10</v>
      </c>
      <c r="E29" s="54">
        <v>2.73</v>
      </c>
      <c r="F29" s="54">
        <v>9.92</v>
      </c>
      <c r="G29" s="54">
        <v>69.61</v>
      </c>
      <c r="H29" s="54">
        <v>35.90</v>
      </c>
      <c r="I29" s="54">
        <v>1.52</v>
      </c>
      <c r="J29" s="54">
        <v>1.1299999999999999</v>
      </c>
      <c r="K29" s="54">
        <v>108.14</v>
      </c>
      <c r="L29" s="54">
        <v>20.96</v>
      </c>
      <c r="M29" s="54">
        <v>63.34</v>
      </c>
      <c r="N29" s="54">
        <v>34.700000000000003</v>
      </c>
      <c r="O29" s="54">
        <v>0</v>
      </c>
      <c r="P29" s="54">
        <v>1.1399999999999999</v>
      </c>
      <c r="Q29" s="54">
        <v>5.21</v>
      </c>
      <c r="R29" s="43"/>
      <c r="S29" s="43"/>
      <c r="T29" s="43"/>
      <c r="U29" s="43"/>
    </row>
    <row r="30" spans="1:21" s="11" customFormat="1" ht="15">
      <c r="A30" s="53" t="s">
        <v>419</v>
      </c>
      <c r="B30" s="54">
        <v>3.97</v>
      </c>
      <c r="C30" s="54">
        <v>33.74</v>
      </c>
      <c r="D30" s="54">
        <v>22.45</v>
      </c>
      <c r="E30" s="54">
        <v>2.65</v>
      </c>
      <c r="F30" s="54">
        <v>7.12</v>
      </c>
      <c r="G30" s="54">
        <v>72.94</v>
      </c>
      <c r="H30" s="54">
        <v>38.33</v>
      </c>
      <c r="I30" s="54">
        <v>1.55</v>
      </c>
      <c r="J30" s="54">
        <v>1.57</v>
      </c>
      <c r="K30" s="54">
        <v>110.75</v>
      </c>
      <c r="L30" s="54">
        <v>21.34</v>
      </c>
      <c r="M30" s="54">
        <v>59.61</v>
      </c>
      <c r="N30" s="54">
        <v>34.799999999999997</v>
      </c>
      <c r="O30" s="54">
        <v>0</v>
      </c>
      <c r="P30" s="54">
        <v>1.04</v>
      </c>
      <c r="Q30" s="54">
        <v>5.21</v>
      </c>
      <c r="R30" s="43"/>
      <c r="S30" s="43"/>
      <c r="T30" s="43"/>
      <c r="U30" s="43"/>
    </row>
    <row r="31" spans="1:21" s="11" customFormat="1" ht="15">
      <c r="A31" s="53" t="s">
        <v>420</v>
      </c>
      <c r="B31" s="54">
        <v>3.46</v>
      </c>
      <c r="C31" s="54">
        <v>30.28</v>
      </c>
      <c r="D31" s="54">
        <v>20.14</v>
      </c>
      <c r="E31" s="54">
        <v>2.56</v>
      </c>
      <c r="F31" s="54">
        <v>5.63</v>
      </c>
      <c r="G31" s="54">
        <v>72.180000000000007</v>
      </c>
      <c r="H31" s="54">
        <v>35.81</v>
      </c>
      <c r="I31" s="54">
        <v>1.52</v>
      </c>
      <c r="J31" s="54">
        <v>1.1599999999999999</v>
      </c>
      <c r="K31" s="54">
        <v>120.64</v>
      </c>
      <c r="L31" s="54">
        <v>20.53</v>
      </c>
      <c r="M31" s="54">
        <v>61.60</v>
      </c>
      <c r="N31" s="54">
        <v>34.799999999999997</v>
      </c>
      <c r="O31" s="54">
        <v>0</v>
      </c>
      <c r="P31" s="54">
        <v>0.99</v>
      </c>
      <c r="Q31" s="54">
        <v>5.21</v>
      </c>
      <c r="R31" s="43"/>
      <c r="S31" s="43"/>
      <c r="T31" s="43"/>
      <c r="U31" s="43"/>
    </row>
    <row r="32" spans="1:21" s="11" customFormat="1" ht="15">
      <c r="A32" s="53" t="s">
        <v>421</v>
      </c>
      <c r="B32" s="54">
        <v>3.06</v>
      </c>
      <c r="C32" s="54">
        <v>28.55</v>
      </c>
      <c r="D32" s="54">
        <v>18.86</v>
      </c>
      <c r="E32" s="54">
        <v>2.4700000000000002</v>
      </c>
      <c r="F32" s="54">
        <v>4.96</v>
      </c>
      <c r="G32" s="54">
        <v>69.87</v>
      </c>
      <c r="H32" s="54">
        <v>36.090000000000003</v>
      </c>
      <c r="I32" s="54">
        <v>1.63</v>
      </c>
      <c r="J32" s="54">
        <v>1.47</v>
      </c>
      <c r="K32" s="54">
        <v>110.75</v>
      </c>
      <c r="L32" s="54">
        <v>20.32</v>
      </c>
      <c r="M32" s="54">
        <v>64.20</v>
      </c>
      <c r="N32" s="54">
        <v>34.799999999999997</v>
      </c>
      <c r="O32" s="54">
        <v>0</v>
      </c>
      <c r="P32" s="54">
        <v>0.93</v>
      </c>
      <c r="Q32" s="54">
        <v>5.21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2.21</v>
      </c>
      <c r="C34" s="28">
        <f t="shared" si="0"/>
        <v>27.300000000000001</v>
      </c>
      <c r="D34" s="28">
        <f t="shared" si="0"/>
        <v>18.859999999999999</v>
      </c>
      <c r="E34" s="28">
        <f t="shared" si="0"/>
        <v>2.3500000000000001</v>
      </c>
      <c r="F34" s="28">
        <f t="shared" si="0"/>
        <v>3.4500000000000002</v>
      </c>
      <c r="G34" s="28">
        <f t="shared" si="0"/>
        <v>58.979999999999997</v>
      </c>
      <c r="H34" s="28">
        <f t="shared" si="0"/>
        <v>31.489999999999998</v>
      </c>
      <c r="I34" s="28">
        <f t="shared" si="0"/>
        <v>1.48</v>
      </c>
      <c r="J34" s="28">
        <f t="shared" si="0"/>
        <v>0.16</v>
      </c>
      <c r="K34" s="28">
        <f t="shared" si="0"/>
        <v>71.969999999999999</v>
      </c>
      <c r="L34" s="28">
        <f t="shared" si="0"/>
        <v>17.199999999999999</v>
      </c>
      <c r="M34" s="28">
        <f t="shared" si="0"/>
        <v>38.460000000000001</v>
      </c>
      <c r="N34" s="28">
        <f t="shared" si="0"/>
        <v>34.600000000000001</v>
      </c>
      <c r="O34" s="28">
        <f t="shared" si="0"/>
        <v>0</v>
      </c>
      <c r="P34" s="28">
        <f t="shared" si="0"/>
        <v>0.82999999999999996</v>
      </c>
      <c r="Q34" s="28">
        <f t="shared" si="0"/>
        <v>5.2000000000000002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6.4299999999999997</v>
      </c>
      <c r="C35" s="29">
        <f t="shared" si="1"/>
        <v>39.119999999999997</v>
      </c>
      <c r="D35" s="29">
        <f t="shared" si="1"/>
        <v>26.77</v>
      </c>
      <c r="E35" s="29">
        <f t="shared" si="1"/>
        <v>3.2599999999999998</v>
      </c>
      <c r="F35" s="29">
        <f t="shared" si="1"/>
        <v>27.699999999999999</v>
      </c>
      <c r="G35" s="29">
        <f t="shared" si="1"/>
        <v>100.44</v>
      </c>
      <c r="H35" s="29">
        <f t="shared" si="1"/>
        <v>58.5</v>
      </c>
      <c r="I35" s="29">
        <f t="shared" si="1"/>
        <v>1.6299999999999999</v>
      </c>
      <c r="J35" s="29">
        <f t="shared" si="1"/>
        <v>1.5700000000000001</v>
      </c>
      <c r="K35" s="29">
        <f t="shared" si="1"/>
        <v>359.88</v>
      </c>
      <c r="L35" s="29">
        <f t="shared" si="1"/>
        <v>27.609999999999999</v>
      </c>
      <c r="M35" s="29">
        <f t="shared" si="1"/>
        <v>97.439999999999998</v>
      </c>
      <c r="N35" s="29">
        <f t="shared" si="1"/>
        <v>674.60000000000002</v>
      </c>
      <c r="O35" s="29">
        <f t="shared" si="1"/>
        <v>0</v>
      </c>
      <c r="P35" s="29">
        <f t="shared" si="1"/>
        <v>1.3600000000000001</v>
      </c>
      <c r="Q35" s="29">
        <f t="shared" si="1"/>
        <v>5.21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3.995416666666666</v>
      </c>
      <c r="C36" s="28">
        <f t="shared" si="2"/>
        <v>31.86666666666666</v>
      </c>
      <c r="D36" s="28">
        <f t="shared" si="2"/>
        <v>21.368749999999995</v>
      </c>
      <c r="E36" s="28">
        <f t="shared" si="2"/>
        <v>2.7012499999999999</v>
      </c>
      <c r="F36" s="28">
        <f t="shared" si="2"/>
        <v>9.6308333333333334</v>
      </c>
      <c r="G36" s="28">
        <f t="shared" si="2"/>
        <v>74.765416666666667</v>
      </c>
      <c r="H36" s="28">
        <f t="shared" si="2"/>
        <v>39.379166666666677</v>
      </c>
      <c r="I36" s="28">
        <f t="shared" si="2"/>
        <v>1.5429166666666669</v>
      </c>
      <c r="J36" s="28">
        <f t="shared" si="2"/>
        <v>0.85624999999999984</v>
      </c>
      <c r="K36" s="28">
        <f t="shared" si="2"/>
        <v>211.76916666666673</v>
      </c>
      <c r="L36" s="28">
        <f t="shared" si="2"/>
        <v>22.348749999999999</v>
      </c>
      <c r="M36" s="28">
        <f t="shared" si="2"/>
        <v>66.91583333333331</v>
      </c>
      <c r="N36" s="28">
        <f t="shared" si="2"/>
        <v>199.17083333333332</v>
      </c>
      <c r="O36" s="28">
        <f t="shared" si="2"/>
        <v>0</v>
      </c>
      <c r="P36" s="28">
        <f t="shared" si="2"/>
        <v>1.0170833333333336</v>
      </c>
      <c r="Q36" s="28">
        <f t="shared" si="2"/>
        <v>5.2095833333333301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1.2969428238769052</v>
      </c>
      <c r="C37" s="28">
        <f t="shared" si="3" ref="C37:Q37">STDEV(C9:C32)</f>
        <v>3.4424241542801797</v>
      </c>
      <c r="D37" s="28">
        <f t="shared" si="3"/>
        <v>2.3470005140697543</v>
      </c>
      <c r="E37" s="28">
        <f t="shared" si="3"/>
        <v>0.29701870091907101</v>
      </c>
      <c r="F37" s="28">
        <f t="shared" si="3"/>
        <v>7.2697197581694164</v>
      </c>
      <c r="G37" s="28">
        <f t="shared" si="3"/>
        <v>12.897007397797465</v>
      </c>
      <c r="H37" s="28">
        <f t="shared" si="3"/>
        <v>6.0625148438484979</v>
      </c>
      <c r="I37" s="28">
        <f t="shared" si="3"/>
        <v>0.035810997420232304</v>
      </c>
      <c r="J37" s="28">
        <f t="shared" si="3"/>
        <v>0.42461043526876568</v>
      </c>
      <c r="K37" s="28">
        <f t="shared" si="3"/>
        <v>116.74591611576878</v>
      </c>
      <c r="L37" s="28">
        <f t="shared" si="3"/>
        <v>3.2104412706314824</v>
      </c>
      <c r="M37" s="28">
        <f t="shared" si="3"/>
        <v>18.748432958671536</v>
      </c>
      <c r="N37" s="28">
        <f t="shared" si="3"/>
        <v>230.79904204300985</v>
      </c>
      <c r="O37" s="28">
        <f t="shared" si="3"/>
        <v>0</v>
      </c>
      <c r="P37" s="28">
        <f t="shared" si="3"/>
        <v>0.11090454833134349</v>
      </c>
      <c r="Q37" s="28">
        <f t="shared" si="3"/>
        <v>0.0020412414523192711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730bb5-c3e5-4156-8069-70f7ffa5dcb0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0" sqref="G6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422</v>
      </c>
      <c r="B9" s="54">
        <v>3</v>
      </c>
      <c r="C9" s="54">
        <v>26.80</v>
      </c>
      <c r="D9" s="54">
        <v>17.82</v>
      </c>
      <c r="E9" s="54">
        <v>2.4500000000000002</v>
      </c>
      <c r="F9" s="54">
        <v>5.47</v>
      </c>
      <c r="G9" s="54">
        <v>67.680000000000007</v>
      </c>
      <c r="H9" s="54">
        <v>34.979999999999997</v>
      </c>
      <c r="I9" s="54">
        <v>1.58</v>
      </c>
      <c r="J9" s="54">
        <v>1.26</v>
      </c>
      <c r="K9" s="54">
        <v>109.73</v>
      </c>
      <c r="L9" s="54">
        <v>19.61</v>
      </c>
      <c r="M9" s="54">
        <v>64.36</v>
      </c>
      <c r="N9" s="54">
        <v>34.90</v>
      </c>
      <c r="O9" s="54">
        <v>0</v>
      </c>
      <c r="P9" s="54">
        <v>0.86</v>
      </c>
      <c r="Q9" s="54">
        <v>5.21</v>
      </c>
      <c r="R9" s="43"/>
      <c r="S9" s="43"/>
      <c r="T9" s="43"/>
      <c r="U9" s="43"/>
    </row>
    <row r="10" spans="1:21" s="11" customFormat="1" ht="15">
      <c r="A10" s="53" t="s">
        <v>423</v>
      </c>
      <c r="B10" s="54">
        <v>2.99</v>
      </c>
      <c r="C10" s="54">
        <v>26.98</v>
      </c>
      <c r="D10" s="54">
        <v>17.940000000000001</v>
      </c>
      <c r="E10" s="54">
        <v>2.38</v>
      </c>
      <c r="F10" s="54">
        <v>4.87</v>
      </c>
      <c r="G10" s="54">
        <v>60.72</v>
      </c>
      <c r="H10" s="54">
        <v>33.39</v>
      </c>
      <c r="I10" s="54">
        <v>1.55</v>
      </c>
      <c r="J10" s="54">
        <v>1.08</v>
      </c>
      <c r="K10" s="54">
        <v>110.96</v>
      </c>
      <c r="L10" s="54">
        <v>19.41</v>
      </c>
      <c r="M10" s="54">
        <v>66.80</v>
      </c>
      <c r="N10" s="54">
        <v>35.10</v>
      </c>
      <c r="O10" s="54">
        <v>0</v>
      </c>
      <c r="P10" s="54">
        <v>0.85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424</v>
      </c>
      <c r="B11" s="54">
        <v>3.06</v>
      </c>
      <c r="C11" s="54">
        <v>25.79</v>
      </c>
      <c r="D11" s="54">
        <v>17.329999999999998</v>
      </c>
      <c r="E11" s="54">
        <v>2.33</v>
      </c>
      <c r="F11" s="54">
        <v>3.87</v>
      </c>
      <c r="G11" s="54">
        <v>50.05</v>
      </c>
      <c r="H11" s="54">
        <v>29.72</v>
      </c>
      <c r="I11" s="54">
        <v>1.55</v>
      </c>
      <c r="J11" s="54">
        <v>0.64</v>
      </c>
      <c r="K11" s="54">
        <v>347.57</v>
      </c>
      <c r="L11" s="54">
        <v>18.559999999999999</v>
      </c>
      <c r="M11" s="54">
        <v>81.25</v>
      </c>
      <c r="N11" s="54">
        <v>35.40</v>
      </c>
      <c r="O11" s="54">
        <v>0</v>
      </c>
      <c r="P11" s="54">
        <v>0.82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425</v>
      </c>
      <c r="B12" s="54">
        <v>4.5599999999999996</v>
      </c>
      <c r="C12" s="54">
        <v>28.92</v>
      </c>
      <c r="D12" s="54">
        <v>20.260000000000002</v>
      </c>
      <c r="E12" s="54">
        <v>2.3199999999999998</v>
      </c>
      <c r="F12" s="54">
        <v>3.42</v>
      </c>
      <c r="G12" s="54">
        <v>57.58</v>
      </c>
      <c r="H12" s="54">
        <v>28.57</v>
      </c>
      <c r="I12" s="54">
        <v>1.52</v>
      </c>
      <c r="J12" s="54">
        <v>0.85</v>
      </c>
      <c r="K12" s="54">
        <v>347.61</v>
      </c>
      <c r="L12" s="54">
        <v>17.02</v>
      </c>
      <c r="M12" s="54">
        <v>81.290000000000006</v>
      </c>
      <c r="N12" s="54">
        <v>35.10</v>
      </c>
      <c r="O12" s="54">
        <v>0</v>
      </c>
      <c r="P12" s="54">
        <v>0.95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426</v>
      </c>
      <c r="B13" s="54">
        <v>5.49</v>
      </c>
      <c r="C13" s="54">
        <v>27.08</v>
      </c>
      <c r="D13" s="54">
        <v>19.79</v>
      </c>
      <c r="E13" s="54">
        <v>2.52</v>
      </c>
      <c r="F13" s="54">
        <v>3.58</v>
      </c>
      <c r="G13" s="54">
        <v>89.58</v>
      </c>
      <c r="H13" s="54">
        <v>40.04</v>
      </c>
      <c r="I13" s="54">
        <v>1.59</v>
      </c>
      <c r="J13" s="54">
        <v>0.60</v>
      </c>
      <c r="K13" s="54">
        <v>346.28</v>
      </c>
      <c r="L13" s="54">
        <v>16.78</v>
      </c>
      <c r="M13" s="54">
        <v>82.41</v>
      </c>
      <c r="N13" s="54">
        <v>35.10</v>
      </c>
      <c r="O13" s="54">
        <v>0</v>
      </c>
      <c r="P13" s="54">
        <v>1.03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427</v>
      </c>
      <c r="B14" s="54">
        <v>6.52</v>
      </c>
      <c r="C14" s="54">
        <v>26.91</v>
      </c>
      <c r="D14" s="54">
        <v>20.59</v>
      </c>
      <c r="E14" s="54">
        <v>2.42</v>
      </c>
      <c r="F14" s="54">
        <v>3.28</v>
      </c>
      <c r="G14" s="54">
        <v>94.69</v>
      </c>
      <c r="H14" s="54">
        <v>39.409999999999997</v>
      </c>
      <c r="I14" s="54">
        <v>1.55</v>
      </c>
      <c r="J14" s="54">
        <v>0.16</v>
      </c>
      <c r="K14" s="54">
        <v>88.13</v>
      </c>
      <c r="L14" s="54">
        <v>16.09</v>
      </c>
      <c r="M14" s="54">
        <v>84.10</v>
      </c>
      <c r="N14" s="54">
        <v>35.40</v>
      </c>
      <c r="O14" s="54">
        <v>0</v>
      </c>
      <c r="P14" s="54">
        <v>1.03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428</v>
      </c>
      <c r="B15" s="54">
        <v>8.41</v>
      </c>
      <c r="C15" s="54">
        <v>29.05</v>
      </c>
      <c r="D15" s="54">
        <v>23.42</v>
      </c>
      <c r="E15" s="54">
        <v>2.48</v>
      </c>
      <c r="F15" s="54">
        <v>3.47</v>
      </c>
      <c r="G15" s="54">
        <v>82.36</v>
      </c>
      <c r="H15" s="54">
        <v>32.10</v>
      </c>
      <c r="I15" s="54">
        <v>1.54</v>
      </c>
      <c r="J15" s="54">
        <v>0.12</v>
      </c>
      <c r="K15" s="54">
        <v>322.60000000000002</v>
      </c>
      <c r="L15" s="54">
        <v>16.5</v>
      </c>
      <c r="M15" s="54">
        <v>84.13</v>
      </c>
      <c r="N15" s="54">
        <v>90.40</v>
      </c>
      <c r="O15" s="54">
        <v>0</v>
      </c>
      <c r="P15" s="54">
        <v>0.99</v>
      </c>
      <c r="Q15" s="54">
        <v>5.21</v>
      </c>
      <c r="R15" s="43"/>
      <c r="S15" s="43"/>
      <c r="T15" s="43"/>
      <c r="U15" s="43"/>
    </row>
    <row r="16" spans="1:21" s="11" customFormat="1" ht="15">
      <c r="A16" s="53" t="s">
        <v>429</v>
      </c>
      <c r="B16" s="54">
        <v>10.16</v>
      </c>
      <c r="C16" s="54">
        <v>27.91</v>
      </c>
      <c r="D16" s="54">
        <v>24.08</v>
      </c>
      <c r="E16" s="54">
        <v>2.39</v>
      </c>
      <c r="F16" s="54">
        <v>3.58</v>
      </c>
      <c r="G16" s="54">
        <v>79.209999999999994</v>
      </c>
      <c r="H16" s="54">
        <v>34.64</v>
      </c>
      <c r="I16" s="54">
        <v>1.57</v>
      </c>
      <c r="J16" s="54">
        <v>0.34</v>
      </c>
      <c r="K16" s="54">
        <v>328.59</v>
      </c>
      <c r="L16" s="54">
        <v>19.70</v>
      </c>
      <c r="M16" s="54">
        <v>77.209999999999994</v>
      </c>
      <c r="N16" s="54">
        <v>333.60</v>
      </c>
      <c r="O16" s="54">
        <v>0</v>
      </c>
      <c r="P16" s="54">
        <v>0.92</v>
      </c>
      <c r="Q16" s="54">
        <v>5.21</v>
      </c>
      <c r="R16" s="43"/>
      <c r="S16" s="43"/>
      <c r="T16" s="43"/>
      <c r="U16" s="43"/>
    </row>
    <row r="17" spans="1:21" s="11" customFormat="1" ht="15">
      <c r="A17" s="53" t="s">
        <v>430</v>
      </c>
      <c r="B17" s="54">
        <v>9.8800000000000008</v>
      </c>
      <c r="C17" s="54">
        <v>28.85</v>
      </c>
      <c r="D17" s="54">
        <v>24.18</v>
      </c>
      <c r="E17" s="54">
        <v>2.36</v>
      </c>
      <c r="F17" s="54">
        <v>3.85</v>
      </c>
      <c r="G17" s="54">
        <v>85</v>
      </c>
      <c r="H17" s="54">
        <v>31.70</v>
      </c>
      <c r="I17" s="54">
        <v>1.52</v>
      </c>
      <c r="J17" s="54">
        <v>0.47</v>
      </c>
      <c r="K17" s="54">
        <v>352.74</v>
      </c>
      <c r="L17" s="54">
        <v>22.55</v>
      </c>
      <c r="M17" s="54">
        <v>63.29</v>
      </c>
      <c r="N17" s="54">
        <v>538.40</v>
      </c>
      <c r="O17" s="54">
        <v>0</v>
      </c>
      <c r="P17" s="54">
        <v>0.92</v>
      </c>
      <c r="Q17" s="54">
        <v>5.21</v>
      </c>
      <c r="R17" s="43"/>
      <c r="S17" s="43"/>
      <c r="T17" s="43"/>
      <c r="U17" s="43"/>
    </row>
    <row r="18" spans="1:21" s="11" customFormat="1" ht="15">
      <c r="A18" s="53" t="s">
        <v>431</v>
      </c>
      <c r="B18" s="54">
        <v>8.36</v>
      </c>
      <c r="C18" s="54">
        <v>29.82</v>
      </c>
      <c r="D18" s="54">
        <v>23.58</v>
      </c>
      <c r="E18" s="54">
        <v>2.37</v>
      </c>
      <c r="F18" s="54">
        <v>6.83</v>
      </c>
      <c r="G18" s="54">
        <v>80.02</v>
      </c>
      <c r="H18" s="54">
        <v>31.59</v>
      </c>
      <c r="I18" s="54">
        <v>1.56</v>
      </c>
      <c r="J18" s="54">
        <v>0.72</v>
      </c>
      <c r="K18" s="54">
        <v>109.27</v>
      </c>
      <c r="L18" s="54">
        <v>23.55</v>
      </c>
      <c r="M18" s="54">
        <v>57.72</v>
      </c>
      <c r="N18" s="54">
        <v>630.29999999999995</v>
      </c>
      <c r="O18" s="54">
        <v>0</v>
      </c>
      <c r="P18" s="54">
        <v>0.89</v>
      </c>
      <c r="Q18" s="54">
        <v>5.21</v>
      </c>
      <c r="R18" s="43"/>
      <c r="S18" s="43"/>
      <c r="T18" s="43"/>
      <c r="U18" s="43"/>
    </row>
    <row r="19" spans="1:21" s="11" customFormat="1" ht="15">
      <c r="A19" s="53" t="s">
        <v>432</v>
      </c>
      <c r="B19" s="54">
        <v>5.33</v>
      </c>
      <c r="C19" s="54">
        <v>28.84</v>
      </c>
      <c r="D19" s="54">
        <v>19.43</v>
      </c>
      <c r="E19" s="54">
        <v>2.36</v>
      </c>
      <c r="F19" s="54">
        <v>6.87</v>
      </c>
      <c r="G19" s="54">
        <v>69.31</v>
      </c>
      <c r="H19" s="54">
        <v>29.56</v>
      </c>
      <c r="I19" s="54">
        <v>1.57</v>
      </c>
      <c r="J19" s="54">
        <v>1.68</v>
      </c>
      <c r="K19" s="54">
        <v>106.38</v>
      </c>
      <c r="L19" s="54">
        <v>25.17</v>
      </c>
      <c r="M19" s="54">
        <v>46.12</v>
      </c>
      <c r="N19" s="54">
        <v>750.70</v>
      </c>
      <c r="O19" s="54">
        <v>0</v>
      </c>
      <c r="P19" s="54">
        <v>0.83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433</v>
      </c>
      <c r="B20" s="54">
        <v>3.03</v>
      </c>
      <c r="C20" s="54">
        <v>30.92</v>
      </c>
      <c r="D20" s="54">
        <v>19.93</v>
      </c>
      <c r="E20" s="54">
        <v>2.38</v>
      </c>
      <c r="F20" s="54">
        <v>8</v>
      </c>
      <c r="G20" s="54">
        <v>61.33</v>
      </c>
      <c r="H20" s="54">
        <v>30.05</v>
      </c>
      <c r="I20" s="54">
        <v>1.53</v>
      </c>
      <c r="J20" s="54">
        <v>0.74</v>
      </c>
      <c r="K20" s="54">
        <v>344.12</v>
      </c>
      <c r="L20" s="54">
        <v>27.73</v>
      </c>
      <c r="M20" s="54">
        <v>37.85</v>
      </c>
      <c r="N20" s="54">
        <v>740.30</v>
      </c>
      <c r="O20" s="54">
        <v>0</v>
      </c>
      <c r="P20" s="54">
        <v>0.78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434</v>
      </c>
      <c r="B21" s="54">
        <v>2.67</v>
      </c>
      <c r="C21" s="54">
        <v>30.49</v>
      </c>
      <c r="D21" s="54">
        <v>19.600000000000001</v>
      </c>
      <c r="E21" s="54">
        <v>2.44</v>
      </c>
      <c r="F21" s="54">
        <v>10.30</v>
      </c>
      <c r="G21" s="54">
        <v>57.25</v>
      </c>
      <c r="H21" s="54">
        <v>31.67</v>
      </c>
      <c r="I21" s="54">
        <v>1.53</v>
      </c>
      <c r="J21" s="54">
        <v>0.89</v>
      </c>
      <c r="K21" s="54">
        <v>354.68</v>
      </c>
      <c r="L21" s="54">
        <v>28.95</v>
      </c>
      <c r="M21" s="54">
        <v>35.18</v>
      </c>
      <c r="N21" s="54">
        <v>720.60</v>
      </c>
      <c r="O21" s="54">
        <v>0</v>
      </c>
      <c r="P21" s="54">
        <v>0.78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435</v>
      </c>
      <c r="B22" s="54">
        <v>2.78</v>
      </c>
      <c r="C22" s="54">
        <v>31.04</v>
      </c>
      <c r="D22" s="54">
        <v>20</v>
      </c>
      <c r="E22" s="54">
        <v>2.36</v>
      </c>
      <c r="F22" s="54">
        <v>10.67</v>
      </c>
      <c r="G22" s="54">
        <v>53.13</v>
      </c>
      <c r="H22" s="54">
        <v>30.26</v>
      </c>
      <c r="I22" s="54">
        <v>1.56</v>
      </c>
      <c r="J22" s="54">
        <v>0.65</v>
      </c>
      <c r="K22" s="54">
        <v>344.55</v>
      </c>
      <c r="L22" s="54">
        <v>28.14</v>
      </c>
      <c r="M22" s="54">
        <v>35.44</v>
      </c>
      <c r="N22" s="54">
        <v>635.70000000000005</v>
      </c>
      <c r="O22" s="54">
        <v>0</v>
      </c>
      <c r="P22" s="54">
        <v>0.84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436</v>
      </c>
      <c r="B23" s="54">
        <v>2.94</v>
      </c>
      <c r="C23" s="54">
        <v>29.89</v>
      </c>
      <c r="D23" s="54">
        <v>19.5</v>
      </c>
      <c r="E23" s="54">
        <v>2.59</v>
      </c>
      <c r="F23" s="54">
        <v>20.77</v>
      </c>
      <c r="G23" s="54">
        <v>46.55</v>
      </c>
      <c r="H23" s="54">
        <v>23.59</v>
      </c>
      <c r="I23" s="54">
        <v>1.55</v>
      </c>
      <c r="J23" s="54">
        <v>1.03</v>
      </c>
      <c r="K23" s="54">
        <v>342.83</v>
      </c>
      <c r="L23" s="54">
        <v>27</v>
      </c>
      <c r="M23" s="54">
        <v>35.79</v>
      </c>
      <c r="N23" s="54">
        <v>202.90</v>
      </c>
      <c r="O23" s="54">
        <v>0</v>
      </c>
      <c r="P23" s="54">
        <v>0.83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437</v>
      </c>
      <c r="B24" s="54">
        <v>4.04</v>
      </c>
      <c r="C24" s="54">
        <v>33.049999999999997</v>
      </c>
      <c r="D24" s="54">
        <v>21.48</v>
      </c>
      <c r="E24" s="54">
        <v>2.77</v>
      </c>
      <c r="F24" s="54">
        <v>22.78</v>
      </c>
      <c r="G24" s="54">
        <v>44.02</v>
      </c>
      <c r="H24" s="54">
        <v>23.38</v>
      </c>
      <c r="I24" s="54">
        <v>1.58</v>
      </c>
      <c r="J24" s="54">
        <v>0.78</v>
      </c>
      <c r="K24" s="54">
        <v>339.37</v>
      </c>
      <c r="L24" s="54">
        <v>26.04</v>
      </c>
      <c r="M24" s="54">
        <v>36.79</v>
      </c>
      <c r="N24" s="54">
        <v>117.30</v>
      </c>
      <c r="O24" s="54">
        <v>0</v>
      </c>
      <c r="P24" s="54">
        <v>0.86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438</v>
      </c>
      <c r="B25" s="54">
        <v>5.0199999999999996</v>
      </c>
      <c r="C25" s="54">
        <v>42.67</v>
      </c>
      <c r="D25" s="54">
        <v>27.93</v>
      </c>
      <c r="E25" s="54">
        <v>2.88</v>
      </c>
      <c r="F25" s="54">
        <v>21.61</v>
      </c>
      <c r="G25" s="54">
        <v>44.11</v>
      </c>
      <c r="H25" s="54">
        <v>20.91</v>
      </c>
      <c r="I25" s="54">
        <v>1.55</v>
      </c>
      <c r="J25" s="54">
        <v>0.45</v>
      </c>
      <c r="K25" s="54">
        <v>343.98</v>
      </c>
      <c r="L25" s="54">
        <v>25.05</v>
      </c>
      <c r="M25" s="54">
        <v>44.53</v>
      </c>
      <c r="N25" s="54">
        <v>80.099999999999994</v>
      </c>
      <c r="O25" s="54">
        <v>0</v>
      </c>
      <c r="P25" s="54">
        <v>1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439</v>
      </c>
      <c r="B26" s="54">
        <v>9.67</v>
      </c>
      <c r="C26" s="54">
        <v>55.86</v>
      </c>
      <c r="D26" s="54">
        <v>39.229999999999997</v>
      </c>
      <c r="E26" s="54">
        <v>2.80</v>
      </c>
      <c r="F26" s="54">
        <v>11.36</v>
      </c>
      <c r="G26" s="54">
        <v>44.41</v>
      </c>
      <c r="H26" s="54">
        <v>22.65</v>
      </c>
      <c r="I26" s="54">
        <v>1.57</v>
      </c>
      <c r="J26" s="54">
        <v>0.44</v>
      </c>
      <c r="K26" s="54">
        <v>335.44</v>
      </c>
      <c r="L26" s="54">
        <v>23.21</v>
      </c>
      <c r="M26" s="54">
        <v>56.32</v>
      </c>
      <c r="N26" s="54">
        <v>38.60</v>
      </c>
      <c r="O26" s="54">
        <v>0</v>
      </c>
      <c r="P26" s="54">
        <v>1.36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440</v>
      </c>
      <c r="B27" s="54">
        <v>8.7100000000000009</v>
      </c>
      <c r="C27" s="54">
        <v>59.10</v>
      </c>
      <c r="D27" s="54">
        <v>39.44</v>
      </c>
      <c r="E27" s="54">
        <v>3.05</v>
      </c>
      <c r="F27" s="54">
        <v>11.56</v>
      </c>
      <c r="G27" s="54">
        <v>52.46</v>
      </c>
      <c r="H27" s="54">
        <v>24.93</v>
      </c>
      <c r="I27" s="54">
        <v>1.53</v>
      </c>
      <c r="J27" s="54">
        <v>0.96</v>
      </c>
      <c r="K27" s="54">
        <v>345.11</v>
      </c>
      <c r="L27" s="54">
        <v>22.25</v>
      </c>
      <c r="M27" s="54">
        <v>50.18</v>
      </c>
      <c r="N27" s="54">
        <v>35.5</v>
      </c>
      <c r="O27" s="54">
        <v>0</v>
      </c>
      <c r="P27" s="54">
        <v>1.59</v>
      </c>
      <c r="Q27" s="54">
        <v>4.6100000000000003</v>
      </c>
      <c r="R27" s="43"/>
      <c r="S27" s="43"/>
      <c r="T27" s="43"/>
      <c r="U27" s="43"/>
    </row>
    <row r="28" spans="1:21" s="11" customFormat="1" ht="15">
      <c r="A28" s="53" t="s">
        <v>441</v>
      </c>
      <c r="B28" s="54">
        <v>9.1999999999999993</v>
      </c>
      <c r="C28" s="54">
        <v>47.65</v>
      </c>
      <c r="D28" s="54">
        <v>34.32</v>
      </c>
      <c r="E28" s="54">
        <v>2.90</v>
      </c>
      <c r="F28" s="54">
        <v>7.03</v>
      </c>
      <c r="G28" s="54">
        <v>84.59</v>
      </c>
      <c r="H28" s="54">
        <v>32.28</v>
      </c>
      <c r="I28" s="54">
        <v>1.58</v>
      </c>
      <c r="J28" s="54">
        <v>0.87</v>
      </c>
      <c r="K28" s="54">
        <v>344.30</v>
      </c>
      <c r="L28" s="54">
        <v>22.10</v>
      </c>
      <c r="M28" s="54">
        <v>46.29</v>
      </c>
      <c r="N28" s="54">
        <v>35.90</v>
      </c>
      <c r="O28" s="54">
        <v>0</v>
      </c>
      <c r="P28" s="54">
        <v>1.37</v>
      </c>
      <c r="Q28" s="54">
        <v>4.83</v>
      </c>
      <c r="R28" s="43"/>
      <c r="S28" s="43"/>
      <c r="T28" s="43"/>
      <c r="U28" s="43"/>
    </row>
    <row r="29" spans="1:21" s="11" customFormat="1" ht="15">
      <c r="A29" s="53" t="s">
        <v>442</v>
      </c>
      <c r="B29" s="54">
        <v>12.03</v>
      </c>
      <c r="C29" s="54">
        <v>55.97</v>
      </c>
      <c r="D29" s="54">
        <v>40.11</v>
      </c>
      <c r="E29" s="54">
        <v>3.03</v>
      </c>
      <c r="F29" s="54">
        <v>6.09</v>
      </c>
      <c r="G29" s="54">
        <v>99.22</v>
      </c>
      <c r="H29" s="54">
        <v>40.78</v>
      </c>
      <c r="I29" s="54">
        <v>1.54</v>
      </c>
      <c r="J29" s="54">
        <v>0.34</v>
      </c>
      <c r="K29" s="54">
        <v>333.67</v>
      </c>
      <c r="L29" s="54">
        <v>21.31</v>
      </c>
      <c r="M29" s="54">
        <v>52.87</v>
      </c>
      <c r="N29" s="54">
        <v>36.5</v>
      </c>
      <c r="O29" s="54">
        <v>0</v>
      </c>
      <c r="P29" s="54">
        <v>1.68</v>
      </c>
      <c r="Q29" s="54">
        <v>4.79</v>
      </c>
      <c r="R29" s="43"/>
      <c r="S29" s="43"/>
      <c r="T29" s="43"/>
      <c r="U29" s="43"/>
    </row>
    <row r="30" spans="1:21" s="11" customFormat="1" ht="15">
      <c r="A30" s="53" t="s">
        <v>443</v>
      </c>
      <c r="B30" s="54">
        <v>15.51</v>
      </c>
      <c r="C30" s="54">
        <v>50.69</v>
      </c>
      <c r="D30" s="54">
        <v>40.369999999999997</v>
      </c>
      <c r="E30" s="54">
        <v>2.97</v>
      </c>
      <c r="F30" s="54">
        <v>6.24</v>
      </c>
      <c r="G30" s="54">
        <v>103.85</v>
      </c>
      <c r="H30" s="54">
        <v>37.869999999999997</v>
      </c>
      <c r="I30" s="54">
        <v>1.53</v>
      </c>
      <c r="J30" s="54">
        <v>0.24</v>
      </c>
      <c r="K30" s="54">
        <v>333.5</v>
      </c>
      <c r="L30" s="54">
        <v>20.37</v>
      </c>
      <c r="M30" s="54">
        <v>53.59</v>
      </c>
      <c r="N30" s="54">
        <v>36.299999999999997</v>
      </c>
      <c r="O30" s="54">
        <v>0</v>
      </c>
      <c r="P30" s="54">
        <v>1.66</v>
      </c>
      <c r="Q30" s="54">
        <v>5.32</v>
      </c>
      <c r="R30" s="43"/>
      <c r="S30" s="43"/>
      <c r="T30" s="43"/>
      <c r="U30" s="43"/>
    </row>
    <row r="31" spans="1:21" s="11" customFormat="1" ht="15">
      <c r="A31" s="53" t="s">
        <v>444</v>
      </c>
      <c r="B31" s="54">
        <v>13.91</v>
      </c>
      <c r="C31" s="54">
        <v>44.39</v>
      </c>
      <c r="D31" s="54">
        <v>36.10</v>
      </c>
      <c r="E31" s="54">
        <v>2.59</v>
      </c>
      <c r="F31" s="54">
        <v>4.17</v>
      </c>
      <c r="G31" s="54">
        <v>94.51</v>
      </c>
      <c r="H31" s="54">
        <v>35.17</v>
      </c>
      <c r="I31" s="54">
        <v>1.53</v>
      </c>
      <c r="J31" s="54">
        <v>0.15</v>
      </c>
      <c r="K31" s="54">
        <v>105.87</v>
      </c>
      <c r="L31" s="54">
        <v>19.75</v>
      </c>
      <c r="M31" s="54">
        <v>53.87</v>
      </c>
      <c r="N31" s="54">
        <v>36.200000000000003</v>
      </c>
      <c r="O31" s="54">
        <v>0</v>
      </c>
      <c r="P31" s="54">
        <v>1.57</v>
      </c>
      <c r="Q31" s="54">
        <v>5.34</v>
      </c>
      <c r="R31" s="43"/>
      <c r="S31" s="43"/>
      <c r="T31" s="43"/>
      <c r="U31" s="43"/>
    </row>
    <row r="32" spans="1:21" s="11" customFormat="1" ht="15">
      <c r="A32" s="53" t="s">
        <v>445</v>
      </c>
      <c r="B32" s="54">
        <v>13.17</v>
      </c>
      <c r="C32" s="54">
        <v>40.619999999999997</v>
      </c>
      <c r="D32" s="54">
        <v>33.159999999999997</v>
      </c>
      <c r="E32" s="54">
        <v>2.4500000000000002</v>
      </c>
      <c r="F32" s="54">
        <v>6.48</v>
      </c>
      <c r="G32" s="54">
        <v>80.58</v>
      </c>
      <c r="H32" s="54">
        <v>31.69</v>
      </c>
      <c r="I32" s="54">
        <v>1.56</v>
      </c>
      <c r="J32" s="54">
        <v>0.14000000000000001</v>
      </c>
      <c r="K32" s="54">
        <v>97.28</v>
      </c>
      <c r="L32" s="54">
        <v>19.47</v>
      </c>
      <c r="M32" s="54">
        <v>54.83</v>
      </c>
      <c r="N32" s="54">
        <v>36.5</v>
      </c>
      <c r="O32" s="54">
        <v>0</v>
      </c>
      <c r="P32" s="54">
        <v>1.48</v>
      </c>
      <c r="Q32" s="54">
        <v>5.28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2.6699999999999999</v>
      </c>
      <c r="C34" s="28">
        <f t="shared" si="0"/>
        <v>25.789999999999999</v>
      </c>
      <c r="D34" s="28">
        <f t="shared" si="0"/>
        <v>17.329999999999998</v>
      </c>
      <c r="E34" s="28">
        <f t="shared" si="0"/>
        <v>2.3199999999999998</v>
      </c>
      <c r="F34" s="28">
        <f t="shared" si="0"/>
        <v>3.2799999999999998</v>
      </c>
      <c r="G34" s="28">
        <f t="shared" si="0"/>
        <v>44.020000000000003</v>
      </c>
      <c r="H34" s="28">
        <f t="shared" si="0"/>
        <v>20.91</v>
      </c>
      <c r="I34" s="28">
        <f t="shared" si="0"/>
        <v>1.52</v>
      </c>
      <c r="J34" s="28">
        <f t="shared" si="0"/>
        <v>0.12</v>
      </c>
      <c r="K34" s="28">
        <f t="shared" si="0"/>
        <v>88.129999999999995</v>
      </c>
      <c r="L34" s="28">
        <f t="shared" si="0"/>
        <v>16.09</v>
      </c>
      <c r="M34" s="28">
        <f t="shared" si="0"/>
        <v>35.18</v>
      </c>
      <c r="N34" s="28">
        <f t="shared" si="0"/>
        <v>34.899999999999999</v>
      </c>
      <c r="O34" s="28">
        <f t="shared" si="0"/>
        <v>0</v>
      </c>
      <c r="P34" s="28">
        <f t="shared" si="0"/>
        <v>0.78000000000000003</v>
      </c>
      <c r="Q34" s="28">
        <f t="shared" si="0"/>
        <v>4.6100000000000003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15.51</v>
      </c>
      <c r="C35" s="29">
        <f t="shared" si="1"/>
        <v>59.100000000000001</v>
      </c>
      <c r="D35" s="29">
        <f t="shared" si="1"/>
        <v>40.369999999999997</v>
      </c>
      <c r="E35" s="29">
        <f t="shared" si="1"/>
        <v>3.0499999999999998</v>
      </c>
      <c r="F35" s="29">
        <f t="shared" si="1"/>
        <v>22.780000000000001</v>
      </c>
      <c r="G35" s="29">
        <f t="shared" si="1"/>
        <v>103.84999999999999</v>
      </c>
      <c r="H35" s="29">
        <f t="shared" si="1"/>
        <v>40.780000000000001</v>
      </c>
      <c r="I35" s="29">
        <f t="shared" si="1"/>
        <v>1.5900000000000001</v>
      </c>
      <c r="J35" s="29">
        <f t="shared" si="1"/>
        <v>1.6799999999999999</v>
      </c>
      <c r="K35" s="29">
        <f t="shared" si="1"/>
        <v>354.68000000000001</v>
      </c>
      <c r="L35" s="29">
        <f t="shared" si="1"/>
        <v>28.949999999999999</v>
      </c>
      <c r="M35" s="29">
        <f t="shared" si="1"/>
        <v>84.129999999999995</v>
      </c>
      <c r="N35" s="29">
        <f t="shared" si="1"/>
        <v>750.70000000000005</v>
      </c>
      <c r="O35" s="29">
        <f t="shared" si="1"/>
        <v>0</v>
      </c>
      <c r="P35" s="29">
        <f t="shared" si="1"/>
        <v>1.6799999999999999</v>
      </c>
      <c r="Q35" s="29">
        <f t="shared" si="1"/>
        <v>5.3399999999999999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7.1016666666666666</v>
      </c>
      <c r="C36" s="28">
        <f t="shared" si="2"/>
        <v>35.803750000000001</v>
      </c>
      <c r="D36" s="28">
        <f t="shared" si="2"/>
        <v>25.81625</v>
      </c>
      <c r="E36" s="28">
        <f t="shared" si="2"/>
        <v>2.5662500000000001</v>
      </c>
      <c r="F36" s="28">
        <f t="shared" si="2"/>
        <v>8.1729166666666657</v>
      </c>
      <c r="G36" s="28">
        <f t="shared" si="2"/>
        <v>70.092083333333321</v>
      </c>
      <c r="H36" s="28">
        <f t="shared" si="2"/>
        <v>31.288749999999993</v>
      </c>
      <c r="I36" s="28">
        <f t="shared" si="2"/>
        <v>1.551666666666667</v>
      </c>
      <c r="J36" s="28">
        <f t="shared" si="2"/>
        <v>0.6499999999999998</v>
      </c>
      <c r="K36" s="28">
        <f t="shared" si="2"/>
        <v>272.27333333333326</v>
      </c>
      <c r="L36" s="28">
        <f t="shared" si="2"/>
        <v>21.929583333333337</v>
      </c>
      <c r="M36" s="28">
        <f t="shared" si="2"/>
        <v>57.592083333333314</v>
      </c>
      <c r="N36" s="28">
        <f t="shared" si="2"/>
        <v>221.11666666666667</v>
      </c>
      <c r="O36" s="28">
        <f t="shared" si="2"/>
        <v>0</v>
      </c>
      <c r="P36" s="28">
        <f t="shared" si="2"/>
        <v>1.0787500000000001</v>
      </c>
      <c r="Q36" s="28">
        <f t="shared" si="2"/>
        <v>5.1645833333333329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3.9598041965938564</v>
      </c>
      <c r="C37" s="28">
        <f t="shared" si="3" ref="C37:Q37">STDEV(C9:C32)</f>
        <v>10.789184122153955</v>
      </c>
      <c r="D37" s="28">
        <f t="shared" si="3"/>
        <v>8.1658210335626276</v>
      </c>
      <c r="E37" s="28">
        <f t="shared" si="3"/>
        <v>0.24460816048102621</v>
      </c>
      <c r="F37" s="28">
        <f t="shared" si="3"/>
        <v>5.8348849540960321</v>
      </c>
      <c r="G37" s="28">
        <f t="shared" si="3"/>
        <v>19.229910348016556</v>
      </c>
      <c r="H37" s="28">
        <f t="shared" si="3"/>
        <v>5.4474224559000142</v>
      </c>
      <c r="I37" s="28">
        <f t="shared" si="3"/>
        <v>0.020571543592961181</v>
      </c>
      <c r="J37" s="28">
        <f t="shared" si="3"/>
        <v>0.39258341677971453</v>
      </c>
      <c r="K37" s="28">
        <f t="shared" si="3"/>
        <v>110.64160749982331</v>
      </c>
      <c r="L37" s="28">
        <f t="shared" si="3"/>
        <v>3.8729704128537459</v>
      </c>
      <c r="M37" s="28">
        <f t="shared" si="3"/>
        <v>16.848720756282663</v>
      </c>
      <c r="N37" s="28">
        <f t="shared" si="3"/>
        <v>275.54380961018296</v>
      </c>
      <c r="O37" s="28">
        <f t="shared" si="3"/>
        <v>0</v>
      </c>
      <c r="P37" s="28">
        <f t="shared" si="3"/>
        <v>0.31086572664094048</v>
      </c>
      <c r="Q37" s="28">
        <f t="shared" si="3"/>
        <v>0.17006339397712431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f53aa9c-b329-4214-94e3-0e99e92bd360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4" sqref="G6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446</v>
      </c>
      <c r="B9" s="54">
        <v>10.64</v>
      </c>
      <c r="C9" s="54">
        <v>38.520000000000003</v>
      </c>
      <c r="D9" s="54">
        <v>30.43</v>
      </c>
      <c r="E9" s="54">
        <v>2.5499999999999998</v>
      </c>
      <c r="F9" s="54">
        <v>5.79</v>
      </c>
      <c r="G9" s="54">
        <v>65.20</v>
      </c>
      <c r="H9" s="54">
        <v>28.16</v>
      </c>
      <c r="I9" s="54">
        <v>1.52</v>
      </c>
      <c r="J9" s="54">
        <v>0.33</v>
      </c>
      <c r="K9" s="54">
        <v>348.49</v>
      </c>
      <c r="L9" s="54">
        <v>19.02</v>
      </c>
      <c r="M9" s="54">
        <v>57.89</v>
      </c>
      <c r="N9" s="54">
        <v>36.700000000000003</v>
      </c>
      <c r="O9" s="54">
        <v>0</v>
      </c>
      <c r="P9" s="54">
        <v>1.33</v>
      </c>
      <c r="Q9" s="54">
        <v>5.20</v>
      </c>
      <c r="R9" s="43"/>
      <c r="S9" s="43"/>
      <c r="T9" s="43"/>
      <c r="U9" s="43"/>
    </row>
    <row r="10" spans="1:21" s="11" customFormat="1" ht="15">
      <c r="A10" s="53" t="s">
        <v>447</v>
      </c>
      <c r="B10" s="54">
        <v>8.82</v>
      </c>
      <c r="C10" s="54">
        <v>36.17</v>
      </c>
      <c r="D10" s="54">
        <v>27.68</v>
      </c>
      <c r="E10" s="54">
        <v>2.41</v>
      </c>
      <c r="F10" s="54">
        <v>3.81</v>
      </c>
      <c r="G10" s="54">
        <v>54.55</v>
      </c>
      <c r="H10" s="54">
        <v>25.69</v>
      </c>
      <c r="I10" s="54">
        <v>1.59</v>
      </c>
      <c r="J10" s="54">
        <v>0.75</v>
      </c>
      <c r="K10" s="54">
        <v>343.02</v>
      </c>
      <c r="L10" s="54">
        <v>18.190000000000001</v>
      </c>
      <c r="M10" s="54">
        <v>61.67</v>
      </c>
      <c r="N10" s="54">
        <v>36.60</v>
      </c>
      <c r="O10" s="54">
        <v>0</v>
      </c>
      <c r="P10" s="54">
        <v>1.20</v>
      </c>
      <c r="Q10" s="54">
        <v>5.05</v>
      </c>
      <c r="R10" s="43"/>
      <c r="S10" s="43"/>
      <c r="T10" s="43"/>
      <c r="U10" s="43"/>
    </row>
    <row r="11" spans="1:21" s="11" customFormat="1" ht="15">
      <c r="A11" s="53" t="s">
        <v>448</v>
      </c>
      <c r="B11" s="54">
        <v>6.98</v>
      </c>
      <c r="C11" s="54">
        <v>35.40</v>
      </c>
      <c r="D11" s="54">
        <v>25.54</v>
      </c>
      <c r="E11" s="54">
        <v>2.40</v>
      </c>
      <c r="F11" s="54">
        <v>4.80</v>
      </c>
      <c r="G11" s="54">
        <v>52.47</v>
      </c>
      <c r="H11" s="54">
        <v>26.75</v>
      </c>
      <c r="I11" s="54">
        <v>1.51</v>
      </c>
      <c r="J11" s="54">
        <v>0.76</v>
      </c>
      <c r="K11" s="54">
        <v>340.15</v>
      </c>
      <c r="L11" s="54">
        <v>17.89</v>
      </c>
      <c r="M11" s="54">
        <v>65.650000000000006</v>
      </c>
      <c r="N11" s="54">
        <v>36.799999999999997</v>
      </c>
      <c r="O11" s="54">
        <v>0</v>
      </c>
      <c r="P11" s="54">
        <v>1.0900000000000001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449</v>
      </c>
      <c r="B12" s="54">
        <v>5.74</v>
      </c>
      <c r="C12" s="54">
        <v>35.61</v>
      </c>
      <c r="D12" s="54">
        <v>24.90</v>
      </c>
      <c r="E12" s="54">
        <v>2.37</v>
      </c>
      <c r="F12" s="54">
        <v>5.42</v>
      </c>
      <c r="G12" s="54">
        <v>56.96</v>
      </c>
      <c r="H12" s="54">
        <v>25.81</v>
      </c>
      <c r="I12" s="54">
        <v>1.54</v>
      </c>
      <c r="J12" s="54">
        <v>0.73</v>
      </c>
      <c r="K12" s="54">
        <v>341.55</v>
      </c>
      <c r="L12" s="54">
        <v>17.440000000000001</v>
      </c>
      <c r="M12" s="54">
        <v>69.91</v>
      </c>
      <c r="N12" s="54">
        <v>36.90</v>
      </c>
      <c r="O12" s="54">
        <v>0</v>
      </c>
      <c r="P12" s="54">
        <v>1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450</v>
      </c>
      <c r="B13" s="54">
        <v>5.66</v>
      </c>
      <c r="C13" s="54">
        <v>35.28</v>
      </c>
      <c r="D13" s="54">
        <v>24.66</v>
      </c>
      <c r="E13" s="54">
        <v>2.3199999999999998</v>
      </c>
      <c r="F13" s="54">
        <v>3.68</v>
      </c>
      <c r="G13" s="54">
        <v>64.819999999999993</v>
      </c>
      <c r="H13" s="54">
        <v>26.22</v>
      </c>
      <c r="I13" s="54">
        <v>1.56</v>
      </c>
      <c r="J13" s="54">
        <v>0.90</v>
      </c>
      <c r="K13" s="54">
        <v>342.93</v>
      </c>
      <c r="L13" s="54">
        <v>17.059999999999999</v>
      </c>
      <c r="M13" s="54">
        <v>71.48</v>
      </c>
      <c r="N13" s="54">
        <v>36.90</v>
      </c>
      <c r="O13" s="54">
        <v>0</v>
      </c>
      <c r="P13" s="54">
        <v>0.96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451</v>
      </c>
      <c r="B14" s="54">
        <v>6.76</v>
      </c>
      <c r="C14" s="54">
        <v>36.020000000000003</v>
      </c>
      <c r="D14" s="54">
        <v>25.95</v>
      </c>
      <c r="E14" s="54">
        <v>2.33</v>
      </c>
      <c r="F14" s="54">
        <v>4.9000000000000004</v>
      </c>
      <c r="G14" s="54">
        <v>64.70</v>
      </c>
      <c r="H14" s="54">
        <v>28.51</v>
      </c>
      <c r="I14" s="54">
        <v>1.58</v>
      </c>
      <c r="J14" s="54">
        <v>0.5</v>
      </c>
      <c r="K14" s="54">
        <v>339.79</v>
      </c>
      <c r="L14" s="54">
        <v>16.80</v>
      </c>
      <c r="M14" s="54">
        <v>75.39</v>
      </c>
      <c r="N14" s="54">
        <v>37.60</v>
      </c>
      <c r="O14" s="54">
        <v>0</v>
      </c>
      <c r="P14" s="54">
        <v>0.93</v>
      </c>
      <c r="Q14" s="54">
        <v>5.21</v>
      </c>
      <c r="R14" s="43"/>
      <c r="S14" s="43"/>
      <c r="T14" s="43"/>
      <c r="U14" s="43"/>
    </row>
    <row r="15" spans="1:21" s="11" customFormat="1" ht="15">
      <c r="A15" s="53" t="s">
        <v>452</v>
      </c>
      <c r="B15" s="54">
        <v>8.2799999999999994</v>
      </c>
      <c r="C15" s="54">
        <v>36.79</v>
      </c>
      <c r="D15" s="54">
        <v>27.59</v>
      </c>
      <c r="E15" s="54">
        <v>2.29</v>
      </c>
      <c r="F15" s="54">
        <v>3.65</v>
      </c>
      <c r="G15" s="54">
        <v>61.67</v>
      </c>
      <c r="H15" s="54">
        <v>26.01</v>
      </c>
      <c r="I15" s="54">
        <v>1.55</v>
      </c>
      <c r="J15" s="54">
        <v>0.14000000000000001</v>
      </c>
      <c r="K15" s="54">
        <v>353.98</v>
      </c>
      <c r="L15" s="54">
        <v>16.940000000000001</v>
      </c>
      <c r="M15" s="54">
        <v>76.680000000000007</v>
      </c>
      <c r="N15" s="54">
        <v>86.20</v>
      </c>
      <c r="O15" s="54">
        <v>0</v>
      </c>
      <c r="P15" s="54">
        <v>0.91</v>
      </c>
      <c r="Q15" s="54">
        <v>4.88</v>
      </c>
      <c r="R15" s="43"/>
      <c r="S15" s="43"/>
      <c r="T15" s="43"/>
      <c r="U15" s="43"/>
    </row>
    <row r="16" spans="1:21" s="11" customFormat="1" ht="15">
      <c r="A16" s="53" t="s">
        <v>453</v>
      </c>
      <c r="B16" s="54">
        <v>9.5399999999999991</v>
      </c>
      <c r="C16" s="54">
        <v>37.71</v>
      </c>
      <c r="D16" s="54">
        <v>29.11</v>
      </c>
      <c r="E16" s="54">
        <v>2.25</v>
      </c>
      <c r="F16" s="54">
        <v>3.47</v>
      </c>
      <c r="G16" s="54">
        <v>62.89</v>
      </c>
      <c r="H16" s="54">
        <v>26.77</v>
      </c>
      <c r="I16" s="54">
        <v>1.53</v>
      </c>
      <c r="J16" s="54">
        <v>0.91</v>
      </c>
      <c r="K16" s="54">
        <v>342.82</v>
      </c>
      <c r="L16" s="54">
        <v>22.85</v>
      </c>
      <c r="M16" s="54">
        <v>72.459999999999994</v>
      </c>
      <c r="N16" s="54">
        <v>327.90</v>
      </c>
      <c r="O16" s="54">
        <v>0</v>
      </c>
      <c r="P16" s="54">
        <v>0.91</v>
      </c>
      <c r="Q16" s="54">
        <v>4.95</v>
      </c>
      <c r="R16" s="43"/>
      <c r="S16" s="43"/>
      <c r="T16" s="43"/>
      <c r="U16" s="43"/>
    </row>
    <row r="17" spans="1:21" s="11" customFormat="1" ht="15">
      <c r="A17" s="53" t="s">
        <v>454</v>
      </c>
      <c r="B17" s="54">
        <v>10.14</v>
      </c>
      <c r="C17" s="54">
        <v>40.18</v>
      </c>
      <c r="D17" s="54">
        <v>30.86</v>
      </c>
      <c r="E17" s="54">
        <v>2.27</v>
      </c>
      <c r="F17" s="54">
        <v>3.63</v>
      </c>
      <c r="G17" s="54">
        <v>62.77</v>
      </c>
      <c r="H17" s="54">
        <v>26.47</v>
      </c>
      <c r="I17" s="54">
        <v>1.5</v>
      </c>
      <c r="J17" s="54">
        <v>0.84</v>
      </c>
      <c r="K17" s="54">
        <v>355.59</v>
      </c>
      <c r="L17" s="54">
        <v>23.83</v>
      </c>
      <c r="M17" s="54">
        <v>57.81</v>
      </c>
      <c r="N17" s="54">
        <v>529.29999999999995</v>
      </c>
      <c r="O17" s="54">
        <v>0</v>
      </c>
      <c r="P17" s="54">
        <v>0.91</v>
      </c>
      <c r="Q17" s="54">
        <v>5.07</v>
      </c>
      <c r="R17" s="43"/>
      <c r="S17" s="43"/>
      <c r="T17" s="43"/>
      <c r="U17" s="43"/>
    </row>
    <row r="18" spans="1:21" s="11" customFormat="1" ht="15">
      <c r="A18" s="53" t="s">
        <v>455</v>
      </c>
      <c r="B18" s="54">
        <v>9.5500000000000007</v>
      </c>
      <c r="C18" s="54">
        <v>39.53</v>
      </c>
      <c r="D18" s="54">
        <v>30.12</v>
      </c>
      <c r="E18" s="54">
        <v>2.31</v>
      </c>
      <c r="F18" s="54">
        <v>4.4000000000000004</v>
      </c>
      <c r="G18" s="54">
        <v>64.59</v>
      </c>
      <c r="H18" s="54">
        <v>28.89</v>
      </c>
      <c r="I18" s="54">
        <v>1.55</v>
      </c>
      <c r="J18" s="54">
        <v>1.1499999999999999</v>
      </c>
      <c r="K18" s="54">
        <v>115.27</v>
      </c>
      <c r="L18" s="54">
        <v>25.59</v>
      </c>
      <c r="M18" s="54">
        <v>56.21</v>
      </c>
      <c r="N18" s="54">
        <v>656.80</v>
      </c>
      <c r="O18" s="54">
        <v>0</v>
      </c>
      <c r="P18" s="54">
        <v>0.91</v>
      </c>
      <c r="Q18" s="54">
        <v>5.13</v>
      </c>
      <c r="R18" s="43"/>
      <c r="S18" s="43"/>
      <c r="T18" s="43"/>
      <c r="U18" s="43"/>
    </row>
    <row r="19" spans="1:21" s="11" customFormat="1" ht="15">
      <c r="A19" s="53" t="s">
        <v>456</v>
      </c>
      <c r="B19" s="54">
        <v>6.85</v>
      </c>
      <c r="C19" s="54">
        <v>38.10</v>
      </c>
      <c r="D19" s="54">
        <v>27.03</v>
      </c>
      <c r="E19" s="54">
        <v>2.2999999999999998</v>
      </c>
      <c r="F19" s="54">
        <v>4.70</v>
      </c>
      <c r="G19" s="54">
        <v>62.84</v>
      </c>
      <c r="H19" s="54">
        <v>25.67</v>
      </c>
      <c r="I19" s="54">
        <v>1.57</v>
      </c>
      <c r="J19" s="54">
        <v>2.0499999999999998</v>
      </c>
      <c r="K19" s="54">
        <v>114.58</v>
      </c>
      <c r="L19" s="54">
        <v>26.92</v>
      </c>
      <c r="M19" s="54">
        <v>52.87</v>
      </c>
      <c r="N19" s="54">
        <v>739.60</v>
      </c>
      <c r="O19" s="54">
        <v>0</v>
      </c>
      <c r="P19" s="54">
        <v>0.87</v>
      </c>
      <c r="Q19" s="54">
        <v>5.08</v>
      </c>
      <c r="R19" s="43"/>
      <c r="S19" s="43"/>
      <c r="T19" s="43"/>
      <c r="U19" s="43"/>
    </row>
    <row r="20" spans="1:21" s="11" customFormat="1" ht="15">
      <c r="A20" s="53" t="s">
        <v>457</v>
      </c>
      <c r="B20" s="54">
        <v>4.1399999999999997</v>
      </c>
      <c r="C20" s="54">
        <v>36.07</v>
      </c>
      <c r="D20" s="54">
        <v>23.60</v>
      </c>
      <c r="E20" s="54">
        <v>2.37</v>
      </c>
      <c r="F20" s="54">
        <v>6.70</v>
      </c>
      <c r="G20" s="54">
        <v>58.43</v>
      </c>
      <c r="H20" s="54">
        <v>24.87</v>
      </c>
      <c r="I20" s="54">
        <v>1.53</v>
      </c>
      <c r="J20" s="54">
        <v>1.69</v>
      </c>
      <c r="K20" s="54">
        <v>117.19</v>
      </c>
      <c r="L20" s="54">
        <v>26.53</v>
      </c>
      <c r="M20" s="54">
        <v>45.66</v>
      </c>
      <c r="N20" s="54">
        <v>762.90</v>
      </c>
      <c r="O20" s="54">
        <v>0</v>
      </c>
      <c r="P20" s="54">
        <v>0.85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458</v>
      </c>
      <c r="B21" s="54">
        <v>3.03</v>
      </c>
      <c r="C21" s="54">
        <v>36.450000000000003</v>
      </c>
      <c r="D21" s="54">
        <v>23.19</v>
      </c>
      <c r="E21" s="54">
        <v>2.48</v>
      </c>
      <c r="F21" s="54">
        <v>8.4700000000000006</v>
      </c>
      <c r="G21" s="54">
        <v>54.96</v>
      </c>
      <c r="H21" s="54">
        <v>24.42</v>
      </c>
      <c r="I21" s="54">
        <v>1.57</v>
      </c>
      <c r="J21" s="54">
        <v>0.48</v>
      </c>
      <c r="K21" s="54">
        <v>95.99</v>
      </c>
      <c r="L21" s="54">
        <v>30.11</v>
      </c>
      <c r="M21" s="54">
        <v>41.5</v>
      </c>
      <c r="N21" s="54">
        <v>730.30</v>
      </c>
      <c r="O21" s="54">
        <v>0</v>
      </c>
      <c r="P21" s="54">
        <v>0.79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459</v>
      </c>
      <c r="B22" s="54">
        <v>3.70</v>
      </c>
      <c r="C22" s="54">
        <v>38.64</v>
      </c>
      <c r="D22" s="54">
        <v>24.83</v>
      </c>
      <c r="E22" s="54">
        <v>2.52</v>
      </c>
      <c r="F22" s="54">
        <v>12.32</v>
      </c>
      <c r="G22" s="54">
        <v>47.66</v>
      </c>
      <c r="H22" s="54">
        <v>24.12</v>
      </c>
      <c r="I22" s="54">
        <v>1.52</v>
      </c>
      <c r="J22" s="54">
        <v>1.55</v>
      </c>
      <c r="K22" s="54">
        <v>340.83</v>
      </c>
      <c r="L22" s="54">
        <v>30.02</v>
      </c>
      <c r="M22" s="54">
        <v>38.090000000000003</v>
      </c>
      <c r="N22" s="54">
        <v>647.29999999999995</v>
      </c>
      <c r="O22" s="54">
        <v>0</v>
      </c>
      <c r="P22" s="54">
        <v>0.78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460</v>
      </c>
      <c r="B23" s="54">
        <v>4.9000000000000004</v>
      </c>
      <c r="C23" s="54">
        <v>36.90</v>
      </c>
      <c r="D23" s="54">
        <v>24.49</v>
      </c>
      <c r="E23" s="54">
        <v>2.96</v>
      </c>
      <c r="F23" s="54">
        <v>34.450000000000003</v>
      </c>
      <c r="G23" s="54">
        <v>39.64</v>
      </c>
      <c r="H23" s="54">
        <v>18.87</v>
      </c>
      <c r="I23" s="54">
        <v>1.49</v>
      </c>
      <c r="J23" s="54">
        <v>0.89</v>
      </c>
      <c r="K23" s="54">
        <v>355.38</v>
      </c>
      <c r="L23" s="54">
        <v>27.58</v>
      </c>
      <c r="M23" s="54">
        <v>35.18</v>
      </c>
      <c r="N23" s="54">
        <v>189.20</v>
      </c>
      <c r="O23" s="54">
        <v>0</v>
      </c>
      <c r="P23" s="54">
        <v>0.72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461</v>
      </c>
      <c r="B24" s="54">
        <v>4.4400000000000004</v>
      </c>
      <c r="C24" s="54">
        <v>36.369999999999997</v>
      </c>
      <c r="D24" s="54">
        <v>23.98</v>
      </c>
      <c r="E24" s="54">
        <v>2.96</v>
      </c>
      <c r="F24" s="54">
        <v>34.340000000000003</v>
      </c>
      <c r="G24" s="54">
        <v>33.99</v>
      </c>
      <c r="H24" s="54">
        <v>16.20</v>
      </c>
      <c r="I24" s="54">
        <v>1.5</v>
      </c>
      <c r="J24" s="54">
        <v>0.95</v>
      </c>
      <c r="K24" s="54">
        <v>338.15</v>
      </c>
      <c r="L24" s="54">
        <v>27.59</v>
      </c>
      <c r="M24" s="54">
        <v>36.60</v>
      </c>
      <c r="N24" s="54">
        <v>156.10</v>
      </c>
      <c r="O24" s="54">
        <v>0</v>
      </c>
      <c r="P24" s="54">
        <v>0.76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462</v>
      </c>
      <c r="B25" s="54">
        <v>5.39</v>
      </c>
      <c r="C25" s="54">
        <v>40.51</v>
      </c>
      <c r="D25" s="54">
        <v>27.33</v>
      </c>
      <c r="E25" s="54">
        <v>3.36</v>
      </c>
      <c r="F25" s="54">
        <v>44.76</v>
      </c>
      <c r="G25" s="54">
        <v>31.55</v>
      </c>
      <c r="H25" s="54">
        <v>15.90</v>
      </c>
      <c r="I25" s="54">
        <v>1.54</v>
      </c>
      <c r="J25" s="54">
        <v>0.30</v>
      </c>
      <c r="K25" s="54">
        <v>99.21</v>
      </c>
      <c r="L25" s="54">
        <v>26.12</v>
      </c>
      <c r="M25" s="54">
        <v>41.14</v>
      </c>
      <c r="N25" s="54">
        <v>113.30</v>
      </c>
      <c r="O25" s="54">
        <v>0</v>
      </c>
      <c r="P25" s="54">
        <v>0.79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463</v>
      </c>
      <c r="B26" s="54">
        <v>19.89</v>
      </c>
      <c r="C26" s="54">
        <v>79.61</v>
      </c>
      <c r="D26" s="54">
        <v>55.68</v>
      </c>
      <c r="E26" s="54">
        <v>4.38</v>
      </c>
      <c r="F26" s="54">
        <v>40.78</v>
      </c>
      <c r="G26" s="54">
        <v>31.17</v>
      </c>
      <c r="H26" s="54">
        <v>15.02</v>
      </c>
      <c r="I26" s="54">
        <v>1.52</v>
      </c>
      <c r="J26" s="54">
        <v>0.17</v>
      </c>
      <c r="K26" s="54">
        <v>351.69</v>
      </c>
      <c r="L26" s="54">
        <v>24.43</v>
      </c>
      <c r="M26" s="54">
        <v>62.97</v>
      </c>
      <c r="N26" s="54">
        <v>66.400000000000006</v>
      </c>
      <c r="O26" s="54">
        <v>0</v>
      </c>
      <c r="P26" s="54">
        <v>1.69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464</v>
      </c>
      <c r="B27" s="54">
        <v>17.66</v>
      </c>
      <c r="C27" s="54">
        <v>78.180000000000007</v>
      </c>
      <c r="D27" s="54">
        <v>52.37</v>
      </c>
      <c r="E27" s="54">
        <v>3.39</v>
      </c>
      <c r="F27" s="54">
        <v>12.11</v>
      </c>
      <c r="G27" s="54">
        <v>49.18</v>
      </c>
      <c r="H27" s="54">
        <v>16.149999999999999</v>
      </c>
      <c r="I27" s="54">
        <v>1.54</v>
      </c>
      <c r="J27" s="54">
        <v>0.13</v>
      </c>
      <c r="K27" s="54">
        <v>269.87</v>
      </c>
      <c r="L27" s="54">
        <v>22.06</v>
      </c>
      <c r="M27" s="54">
        <v>63</v>
      </c>
      <c r="N27" s="54">
        <v>74.30</v>
      </c>
      <c r="O27" s="54">
        <v>0</v>
      </c>
      <c r="P27" s="54">
        <v>1.89</v>
      </c>
      <c r="Q27" s="54">
        <v>3.88</v>
      </c>
      <c r="R27" s="43"/>
      <c r="S27" s="43"/>
      <c r="T27" s="43"/>
      <c r="U27" s="43"/>
    </row>
    <row r="28" spans="1:21" s="11" customFormat="1" ht="15">
      <c r="A28" s="53" t="s">
        <v>465</v>
      </c>
      <c r="B28" s="54">
        <v>24.5</v>
      </c>
      <c r="C28" s="54">
        <v>70.58</v>
      </c>
      <c r="D28" s="54">
        <v>53.97</v>
      </c>
      <c r="E28" s="54">
        <v>3.51</v>
      </c>
      <c r="F28" s="54">
        <v>14.18</v>
      </c>
      <c r="G28" s="54">
        <v>53.18</v>
      </c>
      <c r="H28" s="54">
        <v>21.57</v>
      </c>
      <c r="I28" s="54">
        <v>1.52</v>
      </c>
      <c r="J28" s="54">
        <v>0.13</v>
      </c>
      <c r="K28" s="54">
        <v>334.06</v>
      </c>
      <c r="L28" s="54">
        <v>22.28</v>
      </c>
      <c r="M28" s="54">
        <v>67.790000000000006</v>
      </c>
      <c r="N28" s="54">
        <v>77.900000000000006</v>
      </c>
      <c r="O28" s="54">
        <v>0</v>
      </c>
      <c r="P28" s="54">
        <v>1.95</v>
      </c>
      <c r="Q28" s="54">
        <v>4.0199999999999996</v>
      </c>
      <c r="R28" s="43"/>
      <c r="S28" s="43"/>
      <c r="T28" s="43"/>
      <c r="U28" s="43"/>
    </row>
    <row r="29" spans="1:21" s="11" customFormat="1" ht="15">
      <c r="A29" s="53" t="s">
        <v>466</v>
      </c>
      <c r="B29" s="54">
        <v>26.08</v>
      </c>
      <c r="C29" s="54">
        <v>69.81</v>
      </c>
      <c r="D29" s="54">
        <v>60.08</v>
      </c>
      <c r="E29" s="54">
        <v>3.19</v>
      </c>
      <c r="F29" s="54">
        <v>6.54</v>
      </c>
      <c r="G29" s="54">
        <v>71.22</v>
      </c>
      <c r="H29" s="54">
        <v>25.89</v>
      </c>
      <c r="I29" s="54">
        <v>1.52</v>
      </c>
      <c r="J29" s="54">
        <v>0.16</v>
      </c>
      <c r="K29" s="54">
        <v>343.16</v>
      </c>
      <c r="L29" s="54">
        <v>20.84</v>
      </c>
      <c r="M29" s="54">
        <v>71.599999999999994</v>
      </c>
      <c r="N29" s="54">
        <v>81.5</v>
      </c>
      <c r="O29" s="54">
        <v>0</v>
      </c>
      <c r="P29" s="54">
        <v>2.11</v>
      </c>
      <c r="Q29" s="54">
        <v>4.84</v>
      </c>
      <c r="R29" s="43"/>
      <c r="S29" s="43"/>
      <c r="T29" s="43"/>
      <c r="U29" s="43"/>
    </row>
    <row r="30" spans="1:21" s="11" customFormat="1" ht="15">
      <c r="A30" s="53" t="s">
        <v>467</v>
      </c>
      <c r="B30" s="54">
        <v>45.61</v>
      </c>
      <c r="C30" s="54">
        <v>60.94</v>
      </c>
      <c r="D30" s="54">
        <v>70.86</v>
      </c>
      <c r="E30" s="54">
        <v>2.92</v>
      </c>
      <c r="F30" s="54">
        <v>3.5</v>
      </c>
      <c r="G30" s="54">
        <v>74.930000000000007</v>
      </c>
      <c r="H30" s="54">
        <v>31.90</v>
      </c>
      <c r="I30" s="54">
        <v>1.56</v>
      </c>
      <c r="J30" s="54">
        <v>0.15</v>
      </c>
      <c r="K30" s="54">
        <v>326.68</v>
      </c>
      <c r="L30" s="54">
        <v>20.11</v>
      </c>
      <c r="M30" s="54">
        <v>78.91</v>
      </c>
      <c r="N30" s="54">
        <v>80.70</v>
      </c>
      <c r="O30" s="54">
        <v>0</v>
      </c>
      <c r="P30" s="54">
        <v>2.2799999999999998</v>
      </c>
      <c r="Q30" s="54">
        <v>6.29</v>
      </c>
      <c r="R30" s="43"/>
      <c r="S30" s="43"/>
      <c r="T30" s="43"/>
      <c r="U30" s="43"/>
    </row>
    <row r="31" spans="1:21" s="11" customFormat="1" ht="15">
      <c r="A31" s="53" t="s">
        <v>468</v>
      </c>
      <c r="B31" s="54">
        <v>57.06</v>
      </c>
      <c r="C31" s="54">
        <v>57.14</v>
      </c>
      <c r="D31" s="54">
        <v>77.09</v>
      </c>
      <c r="E31" s="54">
        <v>2.66</v>
      </c>
      <c r="F31" s="54">
        <v>3.35</v>
      </c>
      <c r="G31" s="54">
        <v>95.52</v>
      </c>
      <c r="H31" s="54">
        <v>34.28</v>
      </c>
      <c r="I31" s="54">
        <v>1.53</v>
      </c>
      <c r="J31" s="54">
        <v>0.12</v>
      </c>
      <c r="K31" s="54">
        <v>310.94</v>
      </c>
      <c r="L31" s="54">
        <v>19.190000000000001</v>
      </c>
      <c r="M31" s="54">
        <v>81.64</v>
      </c>
      <c r="N31" s="54">
        <v>80.20</v>
      </c>
      <c r="O31" s="54">
        <v>0</v>
      </c>
      <c r="P31" s="54">
        <v>2.2599999999999998</v>
      </c>
      <c r="Q31" s="54">
        <v>8.25</v>
      </c>
      <c r="R31" s="43"/>
      <c r="S31" s="43"/>
      <c r="T31" s="43"/>
      <c r="U31" s="43"/>
    </row>
    <row r="32" spans="1:21" s="11" customFormat="1" ht="15">
      <c r="A32" s="53" t="s">
        <v>469</v>
      </c>
      <c r="B32" s="54">
        <v>66</v>
      </c>
      <c r="C32" s="54">
        <v>60.28</v>
      </c>
      <c r="D32" s="54">
        <v>82.78</v>
      </c>
      <c r="E32" s="54">
        <v>2.68</v>
      </c>
      <c r="F32" s="54">
        <v>3.23</v>
      </c>
      <c r="G32" s="54">
        <v>97.45</v>
      </c>
      <c r="H32" s="54">
        <v>36.42</v>
      </c>
      <c r="I32" s="54">
        <v>1.51</v>
      </c>
      <c r="J32" s="54">
        <v>0.11</v>
      </c>
      <c r="K32" s="54">
        <v>325.77999999999997</v>
      </c>
      <c r="L32" s="54">
        <v>18.28</v>
      </c>
      <c r="M32" s="54">
        <v>88.10</v>
      </c>
      <c r="N32" s="54">
        <v>81</v>
      </c>
      <c r="O32" s="54">
        <v>0</v>
      </c>
      <c r="P32" s="54">
        <v>2.34</v>
      </c>
      <c r="Q32" s="54">
        <v>9.34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3.0299999999999998</v>
      </c>
      <c r="C34" s="28">
        <f t="shared" si="0"/>
        <v>35.280000000000001</v>
      </c>
      <c r="D34" s="28">
        <f t="shared" si="0"/>
        <v>23.190000000000001</v>
      </c>
      <c r="E34" s="28">
        <f t="shared" si="0"/>
        <v>2.25</v>
      </c>
      <c r="F34" s="28">
        <f t="shared" si="0"/>
        <v>3.23</v>
      </c>
      <c r="G34" s="28">
        <f t="shared" si="0"/>
        <v>31.170000000000002</v>
      </c>
      <c r="H34" s="28">
        <f t="shared" si="0"/>
        <v>15.02</v>
      </c>
      <c r="I34" s="28">
        <f t="shared" si="0"/>
        <v>1.49</v>
      </c>
      <c r="J34" s="28">
        <f t="shared" si="0"/>
        <v>0.11</v>
      </c>
      <c r="K34" s="28">
        <f t="shared" si="0"/>
        <v>95.989999999999995</v>
      </c>
      <c r="L34" s="28">
        <f t="shared" si="0"/>
        <v>16.800000000000001</v>
      </c>
      <c r="M34" s="28">
        <f t="shared" si="0"/>
        <v>35.18</v>
      </c>
      <c r="N34" s="28">
        <f t="shared" si="0"/>
        <v>36.600000000000001</v>
      </c>
      <c r="O34" s="28">
        <f t="shared" si="0"/>
        <v>0</v>
      </c>
      <c r="P34" s="28">
        <f t="shared" si="0"/>
        <v>0.71999999999999997</v>
      </c>
      <c r="Q34" s="28">
        <f t="shared" si="0"/>
        <v>3.8799999999999999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66</v>
      </c>
      <c r="C35" s="29">
        <f t="shared" si="1"/>
        <v>79.609999999999999</v>
      </c>
      <c r="D35" s="29">
        <f t="shared" si="1"/>
        <v>82.780000000000001</v>
      </c>
      <c r="E35" s="29">
        <f t="shared" si="1"/>
        <v>4.3799999999999999</v>
      </c>
      <c r="F35" s="29">
        <f t="shared" si="1"/>
        <v>44.759999999999998</v>
      </c>
      <c r="G35" s="29">
        <f t="shared" si="1"/>
        <v>97.450000000000003</v>
      </c>
      <c r="H35" s="29">
        <f t="shared" si="1"/>
        <v>36.420000000000002</v>
      </c>
      <c r="I35" s="29">
        <f t="shared" si="1"/>
        <v>1.5900000000000001</v>
      </c>
      <c r="J35" s="29">
        <f t="shared" si="1"/>
        <v>2.0499999999999998</v>
      </c>
      <c r="K35" s="29">
        <f t="shared" si="1"/>
        <v>355.58999999999997</v>
      </c>
      <c r="L35" s="29">
        <f t="shared" si="1"/>
        <v>30.109999999999999</v>
      </c>
      <c r="M35" s="29">
        <f t="shared" si="1"/>
        <v>88.099999999999994</v>
      </c>
      <c r="N35" s="29">
        <f t="shared" si="1"/>
        <v>762.89999999999998</v>
      </c>
      <c r="O35" s="29">
        <f t="shared" si="1"/>
        <v>0</v>
      </c>
      <c r="P35" s="29">
        <f t="shared" si="1"/>
        <v>2.3399999999999999</v>
      </c>
      <c r="Q35" s="29">
        <f t="shared" si="1"/>
        <v>9.3399999999999999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15.473333333333334</v>
      </c>
      <c r="C36" s="28">
        <f t="shared" si="2"/>
        <v>46.282916666666672</v>
      </c>
      <c r="D36" s="28">
        <f t="shared" si="2"/>
        <v>37.671666666666674</v>
      </c>
      <c r="E36" s="28">
        <f t="shared" si="2"/>
        <v>2.7158333333333338</v>
      </c>
      <c r="F36" s="28">
        <f t="shared" si="2"/>
        <v>11.374166666666669</v>
      </c>
      <c r="G36" s="28">
        <f t="shared" si="2"/>
        <v>58.847499999999997</v>
      </c>
      <c r="H36" s="28">
        <f t="shared" si="2"/>
        <v>25.023333333333326</v>
      </c>
      <c r="I36" s="28">
        <f t="shared" si="2"/>
        <v>1.5354166666666667</v>
      </c>
      <c r="J36" s="28">
        <f t="shared" si="2"/>
        <v>0.66208333333333336</v>
      </c>
      <c r="K36" s="28">
        <f t="shared" si="2"/>
        <v>289.46249999999992</v>
      </c>
      <c r="L36" s="28">
        <f t="shared" si="2"/>
        <v>22.402916666666659</v>
      </c>
      <c r="M36" s="28">
        <f t="shared" si="2"/>
        <v>61.258333333333333</v>
      </c>
      <c r="N36" s="28">
        <f t="shared" si="2"/>
        <v>237.59999999999999</v>
      </c>
      <c r="O36" s="28">
        <f t="shared" si="2"/>
        <v>0</v>
      </c>
      <c r="P36" s="28">
        <f t="shared" si="2"/>
        <v>1.2595833333333333</v>
      </c>
      <c r="Q36" s="28">
        <f t="shared" si="2"/>
        <v>5.3870833333333321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17.191437116917466</v>
      </c>
      <c r="C37" s="28">
        <f t="shared" si="3" ref="C37:Q37">STDEV(C9:C32)</f>
        <v>15.05691130609824</v>
      </c>
      <c r="D37" s="28">
        <f t="shared" si="3"/>
        <v>18.881589760506337</v>
      </c>
      <c r="E37" s="28">
        <f t="shared" si="3"/>
        <v>0.52972442931631081</v>
      </c>
      <c r="F37" s="28">
        <f t="shared" si="3"/>
        <v>12.918470402343761</v>
      </c>
      <c r="G37" s="28">
        <f t="shared" si="3"/>
        <v>16.514013877547328</v>
      </c>
      <c r="H37" s="28">
        <f t="shared" si="3"/>
        <v>5.530350776410593</v>
      </c>
      <c r="I37" s="28">
        <f t="shared" si="3"/>
        <v>0.026536138880151123</v>
      </c>
      <c r="J37" s="28">
        <f t="shared" si="3"/>
        <v>0.54416253299803774</v>
      </c>
      <c r="K37" s="28">
        <f t="shared" si="3"/>
        <v>96.524253237429903</v>
      </c>
      <c r="L37" s="28">
        <f t="shared" si="3"/>
        <v>4.3639356779688523</v>
      </c>
      <c r="M37" s="28">
        <f t="shared" si="3"/>
        <v>15.247611264567423</v>
      </c>
      <c r="N37" s="28">
        <f t="shared" si="3"/>
        <v>269.96677251259939</v>
      </c>
      <c r="O37" s="28">
        <f t="shared" si="3"/>
        <v>0</v>
      </c>
      <c r="P37" s="28">
        <f t="shared" si="3"/>
        <v>0.56395713039869955</v>
      </c>
      <c r="Q37" s="28">
        <f t="shared" si="3"/>
        <v>1.1473844705191107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91abb9-fdc1-427a-8740-563bbd1eb447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8" sqref="G5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470</v>
      </c>
      <c r="B9" s="54">
        <v>75.16</v>
      </c>
      <c r="C9" s="54">
        <v>48.26</v>
      </c>
      <c r="D9" s="54">
        <v>87.13</v>
      </c>
      <c r="E9" s="54">
        <v>2.5499999999999998</v>
      </c>
      <c r="F9" s="54">
        <v>3.43</v>
      </c>
      <c r="G9" s="54">
        <v>102.05</v>
      </c>
      <c r="H9" s="54">
        <v>39.11</v>
      </c>
      <c r="I9" s="54">
        <v>1.55</v>
      </c>
      <c r="J9" s="54">
        <v>0.15</v>
      </c>
      <c r="K9" s="54">
        <v>308.11</v>
      </c>
      <c r="L9" s="54">
        <v>17.59</v>
      </c>
      <c r="M9" s="54">
        <v>93.32</v>
      </c>
      <c r="N9" s="54">
        <v>76.400000000000006</v>
      </c>
      <c r="O9" s="54">
        <v>0</v>
      </c>
      <c r="P9" s="54">
        <v>2.34</v>
      </c>
      <c r="Q9" s="54">
        <v>10.30</v>
      </c>
      <c r="R9" s="43"/>
      <c r="S9" s="43"/>
      <c r="T9" s="43"/>
      <c r="U9" s="43"/>
    </row>
    <row r="10" spans="1:21" s="11" customFormat="1" ht="15">
      <c r="A10" s="53" t="s">
        <v>471</v>
      </c>
      <c r="B10" s="54">
        <v>76.62</v>
      </c>
      <c r="C10" s="54">
        <v>47.72</v>
      </c>
      <c r="D10" s="54">
        <v>88.32</v>
      </c>
      <c r="E10" s="54">
        <v>2.5</v>
      </c>
      <c r="F10" s="54">
        <v>3.34</v>
      </c>
      <c r="G10" s="54">
        <v>100.74</v>
      </c>
      <c r="H10" s="54">
        <v>37.840000000000003</v>
      </c>
      <c r="I10" s="54">
        <v>1.55</v>
      </c>
      <c r="J10" s="54">
        <v>0.10</v>
      </c>
      <c r="K10" s="54">
        <v>289.97000000000003</v>
      </c>
      <c r="L10" s="54">
        <v>17.420000000000002</v>
      </c>
      <c r="M10" s="54">
        <v>91.40</v>
      </c>
      <c r="N10" s="54">
        <v>79.099999999999994</v>
      </c>
      <c r="O10" s="54">
        <v>0</v>
      </c>
      <c r="P10" s="54">
        <v>2.2200000000000002</v>
      </c>
      <c r="Q10" s="54">
        <v>10.61</v>
      </c>
      <c r="R10" s="43"/>
      <c r="S10" s="43"/>
      <c r="T10" s="43"/>
      <c r="U10" s="43"/>
    </row>
    <row r="11" spans="1:21" s="11" customFormat="1" ht="15">
      <c r="A11" s="53" t="s">
        <v>472</v>
      </c>
      <c r="B11" s="54">
        <v>65.63</v>
      </c>
      <c r="C11" s="54">
        <v>49.26</v>
      </c>
      <c r="D11" s="54">
        <v>80.459999999999994</v>
      </c>
      <c r="E11" s="54">
        <v>2.56</v>
      </c>
      <c r="F11" s="54">
        <v>4.41</v>
      </c>
      <c r="G11" s="54">
        <v>94.34</v>
      </c>
      <c r="H11" s="54">
        <v>34.26</v>
      </c>
      <c r="I11" s="54">
        <v>1.53</v>
      </c>
      <c r="J11" s="54">
        <v>0.26</v>
      </c>
      <c r="K11" s="54">
        <v>333.38</v>
      </c>
      <c r="L11" s="54">
        <v>17.899999999999999</v>
      </c>
      <c r="M11" s="54">
        <v>89</v>
      </c>
      <c r="N11" s="54">
        <v>80.5</v>
      </c>
      <c r="O11" s="54">
        <v>0</v>
      </c>
      <c r="P11" s="54">
        <v>2.08</v>
      </c>
      <c r="Q11" s="54">
        <v>10.40</v>
      </c>
      <c r="R11" s="43"/>
      <c r="S11" s="43"/>
      <c r="T11" s="43"/>
      <c r="U11" s="43"/>
    </row>
    <row r="12" spans="1:21" s="11" customFormat="1" ht="15">
      <c r="A12" s="53" t="s">
        <v>473</v>
      </c>
      <c r="B12" s="54">
        <v>58.89</v>
      </c>
      <c r="C12" s="54">
        <v>43.59</v>
      </c>
      <c r="D12" s="54">
        <v>71.14</v>
      </c>
      <c r="E12" s="54">
        <v>2.4500000000000002</v>
      </c>
      <c r="F12" s="54">
        <v>3.5</v>
      </c>
      <c r="G12" s="54">
        <v>96.90</v>
      </c>
      <c r="H12" s="54">
        <v>37.159999999999997</v>
      </c>
      <c r="I12" s="54">
        <v>1.58</v>
      </c>
      <c r="J12" s="54">
        <v>0.12</v>
      </c>
      <c r="K12" s="54">
        <v>316.87</v>
      </c>
      <c r="L12" s="54">
        <v>17.39</v>
      </c>
      <c r="M12" s="54">
        <v>86.73</v>
      </c>
      <c r="N12" s="54">
        <v>80.70</v>
      </c>
      <c r="O12" s="54">
        <v>0</v>
      </c>
      <c r="P12" s="54">
        <v>1.95</v>
      </c>
      <c r="Q12" s="54">
        <v>9.26</v>
      </c>
      <c r="R12" s="43"/>
      <c r="S12" s="43"/>
      <c r="T12" s="43"/>
      <c r="U12" s="43"/>
    </row>
    <row r="13" spans="1:21" s="11" customFormat="1" ht="15">
      <c r="A13" s="53" t="s">
        <v>474</v>
      </c>
      <c r="B13" s="54">
        <v>51.09</v>
      </c>
      <c r="C13" s="54">
        <v>42.36</v>
      </c>
      <c r="D13" s="54">
        <v>64.989999999999995</v>
      </c>
      <c r="E13" s="54">
        <v>2.52</v>
      </c>
      <c r="F13" s="54">
        <v>3.16</v>
      </c>
      <c r="G13" s="54">
        <v>98.02</v>
      </c>
      <c r="H13" s="54">
        <v>37.33</v>
      </c>
      <c r="I13" s="54">
        <v>1.5</v>
      </c>
      <c r="J13" s="54">
        <v>0.11</v>
      </c>
      <c r="K13" s="54">
        <v>316.66000000000003</v>
      </c>
      <c r="L13" s="54">
        <v>16.82</v>
      </c>
      <c r="M13" s="54">
        <v>89.84</v>
      </c>
      <c r="N13" s="54">
        <v>79</v>
      </c>
      <c r="O13" s="54">
        <v>0</v>
      </c>
      <c r="P13" s="54">
        <v>1.79</v>
      </c>
      <c r="Q13" s="54">
        <v>8.6300000000000008</v>
      </c>
      <c r="R13" s="43"/>
      <c r="S13" s="43"/>
      <c r="T13" s="43"/>
      <c r="U13" s="43"/>
    </row>
    <row r="14" spans="1:21" s="11" customFormat="1" ht="15">
      <c r="A14" s="53" t="s">
        <v>475</v>
      </c>
      <c r="B14" s="54">
        <v>45.73</v>
      </c>
      <c r="C14" s="54">
        <v>43.84</v>
      </c>
      <c r="D14" s="54">
        <v>60.55</v>
      </c>
      <c r="E14" s="54">
        <v>2.5299999999999998</v>
      </c>
      <c r="F14" s="54">
        <v>3.27</v>
      </c>
      <c r="G14" s="54">
        <v>91.69</v>
      </c>
      <c r="H14" s="54">
        <v>35.90</v>
      </c>
      <c r="I14" s="54">
        <v>1.53</v>
      </c>
      <c r="J14" s="54">
        <v>0.15</v>
      </c>
      <c r="K14" s="54">
        <v>331.95</v>
      </c>
      <c r="L14" s="54">
        <v>16.21</v>
      </c>
      <c r="M14" s="54">
        <v>93.12</v>
      </c>
      <c r="N14" s="54">
        <v>81.70</v>
      </c>
      <c r="O14" s="54">
        <v>0</v>
      </c>
      <c r="P14" s="54">
        <v>1.60</v>
      </c>
      <c r="Q14" s="54">
        <v>8.19</v>
      </c>
      <c r="R14" s="43"/>
      <c r="S14" s="43"/>
      <c r="T14" s="43"/>
      <c r="U14" s="43"/>
    </row>
    <row r="15" spans="1:21" s="11" customFormat="1" ht="15">
      <c r="A15" s="53" t="s">
        <v>476</v>
      </c>
      <c r="B15" s="54">
        <v>44.85</v>
      </c>
      <c r="C15" s="54">
        <v>41.72</v>
      </c>
      <c r="D15" s="54">
        <v>59.46</v>
      </c>
      <c r="E15" s="54">
        <v>2.52</v>
      </c>
      <c r="F15" s="54">
        <v>3.37</v>
      </c>
      <c r="G15" s="54">
        <v>92.53</v>
      </c>
      <c r="H15" s="54">
        <v>37.229999999999997</v>
      </c>
      <c r="I15" s="54">
        <v>1.54</v>
      </c>
      <c r="J15" s="54">
        <v>0.10</v>
      </c>
      <c r="K15" s="54">
        <v>271.92</v>
      </c>
      <c r="L15" s="54">
        <v>16.940000000000001</v>
      </c>
      <c r="M15" s="54">
        <v>94.02</v>
      </c>
      <c r="N15" s="54">
        <v>116.10</v>
      </c>
      <c r="O15" s="54">
        <v>0</v>
      </c>
      <c r="P15" s="54">
        <v>1.5</v>
      </c>
      <c r="Q15" s="54">
        <v>8.0299999999999994</v>
      </c>
      <c r="R15" s="43"/>
      <c r="S15" s="43"/>
      <c r="T15" s="43"/>
      <c r="U15" s="43"/>
    </row>
    <row r="16" spans="1:21" s="11" customFormat="1" ht="15">
      <c r="A16" s="53" t="s">
        <v>477</v>
      </c>
      <c r="B16" s="54">
        <v>45.56</v>
      </c>
      <c r="C16" s="54">
        <v>43.14</v>
      </c>
      <c r="D16" s="54">
        <v>60.41</v>
      </c>
      <c r="E16" s="54">
        <v>2.5099999999999998</v>
      </c>
      <c r="F16" s="54">
        <v>3.28</v>
      </c>
      <c r="G16" s="54">
        <v>102.68</v>
      </c>
      <c r="H16" s="54">
        <v>42.79</v>
      </c>
      <c r="I16" s="54">
        <v>1.53</v>
      </c>
      <c r="J16" s="54">
        <v>0.51</v>
      </c>
      <c r="K16" s="54">
        <v>112.54</v>
      </c>
      <c r="L16" s="54">
        <v>21.51</v>
      </c>
      <c r="M16" s="54">
        <v>87.25</v>
      </c>
      <c r="N16" s="54">
        <v>379.60</v>
      </c>
      <c r="O16" s="54">
        <v>0</v>
      </c>
      <c r="P16" s="54">
        <v>1.52</v>
      </c>
      <c r="Q16" s="54">
        <v>8</v>
      </c>
      <c r="R16" s="43"/>
      <c r="S16" s="43"/>
      <c r="T16" s="43"/>
      <c r="U16" s="43"/>
    </row>
    <row r="17" spans="1:21" s="11" customFormat="1" ht="15">
      <c r="A17" s="53" t="s">
        <v>478</v>
      </c>
      <c r="B17" s="54">
        <v>41.93</v>
      </c>
      <c r="C17" s="54">
        <v>43.77</v>
      </c>
      <c r="D17" s="54">
        <v>58.43</v>
      </c>
      <c r="E17" s="54">
        <v>2.5299999999999998</v>
      </c>
      <c r="F17" s="54">
        <v>3.91</v>
      </c>
      <c r="G17" s="54">
        <v>113.92</v>
      </c>
      <c r="H17" s="54">
        <v>41.46</v>
      </c>
      <c r="I17" s="54">
        <v>1.49</v>
      </c>
      <c r="J17" s="54">
        <v>0.54</v>
      </c>
      <c r="K17" s="54">
        <v>349.40</v>
      </c>
      <c r="L17" s="54">
        <v>25.30</v>
      </c>
      <c r="M17" s="54">
        <v>67.760000000000005</v>
      </c>
      <c r="N17" s="54">
        <v>551.20000000000005</v>
      </c>
      <c r="O17" s="54">
        <v>0</v>
      </c>
      <c r="P17" s="54">
        <v>1.51</v>
      </c>
      <c r="Q17" s="54">
        <v>7.92</v>
      </c>
      <c r="R17" s="43"/>
      <c r="S17" s="43"/>
      <c r="T17" s="43"/>
      <c r="U17" s="43"/>
    </row>
    <row r="18" spans="1:21" s="11" customFormat="1" ht="15">
      <c r="A18" s="53" t="s">
        <v>479</v>
      </c>
      <c r="B18" s="54">
        <v>35.07</v>
      </c>
      <c r="C18" s="54">
        <v>42.61</v>
      </c>
      <c r="D18" s="54">
        <v>49.96</v>
      </c>
      <c r="E18" s="54">
        <v>2.42</v>
      </c>
      <c r="F18" s="54">
        <v>3.83</v>
      </c>
      <c r="G18" s="54">
        <v>100.95</v>
      </c>
      <c r="H18" s="54">
        <v>37.24</v>
      </c>
      <c r="I18" s="54">
        <v>1.53</v>
      </c>
      <c r="J18" s="54">
        <v>0.15</v>
      </c>
      <c r="K18" s="54">
        <v>295.39999999999998</v>
      </c>
      <c r="L18" s="54">
        <v>25.04</v>
      </c>
      <c r="M18" s="54">
        <v>68.31</v>
      </c>
      <c r="N18" s="54">
        <v>670.60</v>
      </c>
      <c r="O18" s="54">
        <v>0</v>
      </c>
      <c r="P18" s="54">
        <v>1.37</v>
      </c>
      <c r="Q18" s="54">
        <v>7.37</v>
      </c>
      <c r="R18" s="43"/>
      <c r="S18" s="43"/>
      <c r="T18" s="43"/>
      <c r="U18" s="43"/>
    </row>
    <row r="19" spans="1:21" s="11" customFormat="1" ht="15">
      <c r="A19" s="53" t="s">
        <v>480</v>
      </c>
      <c r="B19" s="54">
        <v>23.45</v>
      </c>
      <c r="C19" s="54">
        <v>43.90</v>
      </c>
      <c r="D19" s="54">
        <v>43.68</v>
      </c>
      <c r="E19" s="54">
        <v>2.40</v>
      </c>
      <c r="F19" s="54">
        <v>5.42</v>
      </c>
      <c r="G19" s="54">
        <v>80.239999999999995</v>
      </c>
      <c r="H19" s="54">
        <v>31.80</v>
      </c>
      <c r="I19" s="54">
        <v>1.61</v>
      </c>
      <c r="J19" s="54">
        <v>0.95</v>
      </c>
      <c r="K19" s="54">
        <v>118.81</v>
      </c>
      <c r="L19" s="54">
        <v>26.75</v>
      </c>
      <c r="M19" s="54">
        <v>58.22</v>
      </c>
      <c r="N19" s="54">
        <v>743.70</v>
      </c>
      <c r="O19" s="54">
        <v>0</v>
      </c>
      <c r="P19" s="54">
        <v>1.20</v>
      </c>
      <c r="Q19" s="54">
        <v>6.70</v>
      </c>
      <c r="R19" s="43"/>
      <c r="S19" s="43"/>
      <c r="T19" s="43"/>
      <c r="U19" s="43"/>
    </row>
    <row r="20" spans="1:21" s="11" customFormat="1" ht="15">
      <c r="A20" s="53" t="s">
        <v>481</v>
      </c>
      <c r="B20" s="54">
        <v>16.96</v>
      </c>
      <c r="C20" s="54">
        <v>43.19</v>
      </c>
      <c r="D20" s="54">
        <v>38.08</v>
      </c>
      <c r="E20" s="54">
        <v>2.5299999999999998</v>
      </c>
      <c r="F20" s="54">
        <v>6.16</v>
      </c>
      <c r="G20" s="54">
        <v>67.12</v>
      </c>
      <c r="H20" s="54">
        <v>26.10</v>
      </c>
      <c r="I20" s="54">
        <v>1.52</v>
      </c>
      <c r="J20" s="54">
        <v>1.27</v>
      </c>
      <c r="K20" s="54">
        <v>335.04</v>
      </c>
      <c r="L20" s="54">
        <v>28.71</v>
      </c>
      <c r="M20" s="54">
        <v>50.47</v>
      </c>
      <c r="N20" s="54">
        <v>740.60</v>
      </c>
      <c r="O20" s="54">
        <v>0</v>
      </c>
      <c r="P20" s="54">
        <v>1.07</v>
      </c>
      <c r="Q20" s="54">
        <v>6.13</v>
      </c>
      <c r="R20" s="43"/>
      <c r="S20" s="43"/>
      <c r="T20" s="43"/>
      <c r="U20" s="43"/>
    </row>
    <row r="21" spans="1:21" s="11" customFormat="1" ht="15">
      <c r="A21" s="53" t="s">
        <v>482</v>
      </c>
      <c r="B21" s="54">
        <v>9.59</v>
      </c>
      <c r="C21" s="54">
        <v>45.24</v>
      </c>
      <c r="D21" s="54">
        <v>32.46</v>
      </c>
      <c r="E21" s="54">
        <v>2.46</v>
      </c>
      <c r="F21" s="54">
        <v>10.87</v>
      </c>
      <c r="G21" s="54">
        <v>54.98</v>
      </c>
      <c r="H21" s="54">
        <v>22.83</v>
      </c>
      <c r="I21" s="54">
        <v>1.59</v>
      </c>
      <c r="J21" s="54">
        <v>0.94</v>
      </c>
      <c r="K21" s="54">
        <v>342.45</v>
      </c>
      <c r="L21" s="54">
        <v>31.36</v>
      </c>
      <c r="M21" s="54">
        <v>44.19</v>
      </c>
      <c r="N21" s="54">
        <v>692</v>
      </c>
      <c r="O21" s="54">
        <v>0</v>
      </c>
      <c r="P21" s="54">
        <v>0.93</v>
      </c>
      <c r="Q21" s="54">
        <v>5.48</v>
      </c>
      <c r="R21" s="43"/>
      <c r="S21" s="43"/>
      <c r="T21" s="43"/>
      <c r="U21" s="43"/>
    </row>
    <row r="22" spans="1:21" s="11" customFormat="1" ht="15">
      <c r="A22" s="53" t="s">
        <v>483</v>
      </c>
      <c r="B22" s="54">
        <v>5.21</v>
      </c>
      <c r="C22" s="54">
        <v>42.66</v>
      </c>
      <c r="D22" s="54">
        <v>28.36</v>
      </c>
      <c r="E22" s="54">
        <v>2.61</v>
      </c>
      <c r="F22" s="54">
        <v>17.79</v>
      </c>
      <c r="G22" s="54">
        <v>44.02</v>
      </c>
      <c r="H22" s="54">
        <v>24.10</v>
      </c>
      <c r="I22" s="54">
        <v>1.56</v>
      </c>
      <c r="J22" s="54">
        <v>0.56000000000000005</v>
      </c>
      <c r="K22" s="54">
        <v>107.45</v>
      </c>
      <c r="L22" s="54">
        <v>27.84</v>
      </c>
      <c r="M22" s="54">
        <v>43.46</v>
      </c>
      <c r="N22" s="54">
        <v>603.10</v>
      </c>
      <c r="O22" s="54">
        <v>0</v>
      </c>
      <c r="P22" s="54">
        <v>0.88</v>
      </c>
      <c r="Q22" s="54">
        <v>5.12</v>
      </c>
      <c r="R22" s="43"/>
      <c r="S22" s="43"/>
      <c r="T22" s="43"/>
      <c r="U22" s="43"/>
    </row>
    <row r="23" spans="1:21" s="11" customFormat="1" ht="15">
      <c r="A23" s="53" t="s">
        <v>484</v>
      </c>
      <c r="B23" s="54">
        <v>5.79</v>
      </c>
      <c r="C23" s="54">
        <v>43.18</v>
      </c>
      <c r="D23" s="54">
        <v>29.11</v>
      </c>
      <c r="E23" s="54">
        <v>3.25</v>
      </c>
      <c r="F23" s="54">
        <v>30.09</v>
      </c>
      <c r="G23" s="54">
        <v>39.44</v>
      </c>
      <c r="H23" s="54">
        <v>19.37</v>
      </c>
      <c r="I23" s="54">
        <v>1.5</v>
      </c>
      <c r="J23" s="54">
        <v>0.71</v>
      </c>
      <c r="K23" s="54">
        <v>338.96</v>
      </c>
      <c r="L23" s="54">
        <v>29.37</v>
      </c>
      <c r="M23" s="54">
        <v>42.12</v>
      </c>
      <c r="N23" s="54">
        <v>255.70</v>
      </c>
      <c r="O23" s="54">
        <v>0</v>
      </c>
      <c r="P23" s="54">
        <v>0.86</v>
      </c>
      <c r="Q23" s="54">
        <v>4.97</v>
      </c>
      <c r="R23" s="43"/>
      <c r="S23" s="43"/>
      <c r="T23" s="43"/>
      <c r="U23" s="43"/>
    </row>
    <row r="24" spans="1:21" s="11" customFormat="1" ht="15">
      <c r="A24" s="53" t="s">
        <v>485</v>
      </c>
      <c r="B24" s="54">
        <v>7.69</v>
      </c>
      <c r="C24" s="54">
        <v>54.69</v>
      </c>
      <c r="D24" s="54">
        <v>36.99</v>
      </c>
      <c r="E24" s="54">
        <v>4.2699999999999996</v>
      </c>
      <c r="F24" s="54">
        <v>54.63</v>
      </c>
      <c r="G24" s="54">
        <v>38.32</v>
      </c>
      <c r="H24" s="54">
        <v>18.46</v>
      </c>
      <c r="I24" s="54">
        <v>1.5</v>
      </c>
      <c r="J24" s="54">
        <v>0.64</v>
      </c>
      <c r="K24" s="54">
        <v>116.22</v>
      </c>
      <c r="L24" s="54">
        <v>27.43</v>
      </c>
      <c r="M24" s="54">
        <v>43.38</v>
      </c>
      <c r="N24" s="54">
        <v>139.80000000000001</v>
      </c>
      <c r="O24" s="54">
        <v>0</v>
      </c>
      <c r="P24" s="54">
        <v>0.90</v>
      </c>
      <c r="Q24" s="54">
        <v>5.19</v>
      </c>
      <c r="R24" s="43"/>
      <c r="S24" s="43"/>
      <c r="T24" s="43"/>
      <c r="U24" s="43"/>
    </row>
    <row r="25" spans="1:21" s="11" customFormat="1" ht="15">
      <c r="A25" s="53" t="s">
        <v>486</v>
      </c>
      <c r="B25" s="54">
        <v>2.76</v>
      </c>
      <c r="C25" s="54">
        <v>43.85</v>
      </c>
      <c r="D25" s="54">
        <v>27.05</v>
      </c>
      <c r="E25" s="54">
        <v>7.85</v>
      </c>
      <c r="F25" s="54">
        <v>57.95</v>
      </c>
      <c r="G25" s="54">
        <v>30.55</v>
      </c>
      <c r="H25" s="54">
        <v>20.309999999999999</v>
      </c>
      <c r="I25" s="54">
        <v>1.54</v>
      </c>
      <c r="J25" s="54">
        <v>0.41</v>
      </c>
      <c r="K25" s="54">
        <v>118.69</v>
      </c>
      <c r="L25" s="54">
        <v>25.93</v>
      </c>
      <c r="M25" s="54">
        <v>49.71</v>
      </c>
      <c r="N25" s="54">
        <v>92.5</v>
      </c>
      <c r="O25" s="54">
        <v>0</v>
      </c>
      <c r="P25" s="54">
        <v>0.70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487</v>
      </c>
      <c r="B26" s="54">
        <v>55</v>
      </c>
      <c r="C26" s="54">
        <v>110.14</v>
      </c>
      <c r="D26" s="54">
        <v>105.54</v>
      </c>
      <c r="E26" s="54">
        <v>7.80</v>
      </c>
      <c r="F26" s="54">
        <v>64.63</v>
      </c>
      <c r="G26" s="54">
        <v>31.76</v>
      </c>
      <c r="H26" s="54">
        <v>19.989999999999998</v>
      </c>
      <c r="I26" s="54">
        <v>1.54</v>
      </c>
      <c r="J26" s="54">
        <v>0.14000000000000001</v>
      </c>
      <c r="K26" s="54">
        <v>342.95</v>
      </c>
      <c r="L26" s="54">
        <v>24.54</v>
      </c>
      <c r="M26" s="54">
        <v>69.47</v>
      </c>
      <c r="N26" s="54">
        <v>75.70</v>
      </c>
      <c r="O26" s="54">
        <v>0</v>
      </c>
      <c r="P26" s="54">
        <v>3.26</v>
      </c>
      <c r="Q26" s="54">
        <v>7.69</v>
      </c>
      <c r="R26" s="43"/>
      <c r="S26" s="43"/>
      <c r="T26" s="43"/>
      <c r="U26" s="43"/>
    </row>
    <row r="27" spans="1:21" s="11" customFormat="1" ht="15">
      <c r="A27" s="53" t="s">
        <v>488</v>
      </c>
      <c r="B27" s="54">
        <v>58.97</v>
      </c>
      <c r="C27" s="54">
        <v>106.97</v>
      </c>
      <c r="D27" s="54">
        <v>105.35</v>
      </c>
      <c r="E27" s="54">
        <v>3.44</v>
      </c>
      <c r="F27" s="54">
        <v>4.76</v>
      </c>
      <c r="G27" s="54">
        <v>120.23</v>
      </c>
      <c r="H27" s="54">
        <v>24.25</v>
      </c>
      <c r="I27" s="54">
        <v>1.5</v>
      </c>
      <c r="J27" s="54">
        <v>0.11</v>
      </c>
      <c r="K27" s="54">
        <v>353.23</v>
      </c>
      <c r="L27" s="54">
        <v>22.69</v>
      </c>
      <c r="M27" s="54">
        <v>70.83</v>
      </c>
      <c r="N27" s="54">
        <v>56.80</v>
      </c>
      <c r="O27" s="54">
        <v>0</v>
      </c>
      <c r="P27" s="54">
        <v>3.62</v>
      </c>
      <c r="Q27" s="54">
        <v>9.23</v>
      </c>
      <c r="R27" s="43"/>
      <c r="S27" s="43"/>
      <c r="T27" s="43"/>
      <c r="U27" s="43"/>
    </row>
    <row r="28" spans="1:21" s="11" customFormat="1" ht="15">
      <c r="A28" s="53" t="s">
        <v>489</v>
      </c>
      <c r="B28" s="54">
        <v>35.71</v>
      </c>
      <c r="C28" s="54">
        <v>84.03</v>
      </c>
      <c r="D28" s="54">
        <v>75.650000000000006</v>
      </c>
      <c r="E28" s="54">
        <v>2.90</v>
      </c>
      <c r="F28" s="54">
        <v>6.54</v>
      </c>
      <c r="G28" s="54">
        <v>114.24</v>
      </c>
      <c r="H28" s="54">
        <v>32.58</v>
      </c>
      <c r="I28" s="54">
        <v>1.53</v>
      </c>
      <c r="J28" s="54">
        <v>0.10</v>
      </c>
      <c r="K28" s="54">
        <v>328.14</v>
      </c>
      <c r="L28" s="54">
        <v>22.19</v>
      </c>
      <c r="M28" s="54">
        <v>68.430000000000007</v>
      </c>
      <c r="N28" s="54">
        <v>53.10</v>
      </c>
      <c r="O28" s="54">
        <v>0</v>
      </c>
      <c r="P28" s="54">
        <v>2.97</v>
      </c>
      <c r="Q28" s="54">
        <v>6.73</v>
      </c>
      <c r="R28" s="43"/>
      <c r="S28" s="43"/>
      <c r="T28" s="43"/>
      <c r="U28" s="43"/>
    </row>
    <row r="29" spans="1:21" s="11" customFormat="1" ht="15">
      <c r="A29" s="53" t="s">
        <v>490</v>
      </c>
      <c r="B29" s="54">
        <v>67.790000000000006</v>
      </c>
      <c r="C29" s="54">
        <v>71.88</v>
      </c>
      <c r="D29" s="54">
        <v>94.68</v>
      </c>
      <c r="E29" s="54">
        <v>2.54</v>
      </c>
      <c r="F29" s="54">
        <v>4.8600000000000003</v>
      </c>
      <c r="G29" s="54">
        <v>87.40</v>
      </c>
      <c r="H29" s="54">
        <v>37.54</v>
      </c>
      <c r="I29" s="54">
        <v>1.56</v>
      </c>
      <c r="J29" s="54">
        <v>0.08</v>
      </c>
      <c r="K29" s="54">
        <v>291.08</v>
      </c>
      <c r="L29" s="54">
        <v>21.94</v>
      </c>
      <c r="M29" s="54">
        <v>70.14</v>
      </c>
      <c r="N29" s="54">
        <v>55</v>
      </c>
      <c r="O29" s="54">
        <v>0</v>
      </c>
      <c r="P29" s="54">
        <v>2.95</v>
      </c>
      <c r="Q29" s="54">
        <v>6.78</v>
      </c>
      <c r="R29" s="43"/>
      <c r="S29" s="43"/>
      <c r="T29" s="43"/>
      <c r="U29" s="43"/>
    </row>
    <row r="30" spans="1:21" s="11" customFormat="1" ht="15">
      <c r="A30" s="53" t="s">
        <v>491</v>
      </c>
      <c r="B30" s="54">
        <v>42.5</v>
      </c>
      <c r="C30" s="54">
        <v>52.72</v>
      </c>
      <c r="D30" s="54">
        <v>62.71</v>
      </c>
      <c r="E30" s="54">
        <v>2.4500000000000002</v>
      </c>
      <c r="F30" s="54">
        <v>4.1399999999999997</v>
      </c>
      <c r="G30" s="54">
        <v>91.68</v>
      </c>
      <c r="H30" s="54">
        <v>37.479999999999997</v>
      </c>
      <c r="I30" s="54">
        <v>1.56</v>
      </c>
      <c r="J30" s="54">
        <v>0.10</v>
      </c>
      <c r="K30" s="54">
        <v>351.99</v>
      </c>
      <c r="L30" s="54">
        <v>21.54</v>
      </c>
      <c r="M30" s="54">
        <v>68.30</v>
      </c>
      <c r="N30" s="54">
        <v>58.10</v>
      </c>
      <c r="O30" s="54">
        <v>0</v>
      </c>
      <c r="P30" s="54">
        <v>2.70</v>
      </c>
      <c r="Q30" s="54">
        <v>7.40</v>
      </c>
      <c r="R30" s="43"/>
      <c r="S30" s="43"/>
      <c r="T30" s="43"/>
      <c r="U30" s="43"/>
    </row>
    <row r="31" spans="1:21" s="11" customFormat="1" ht="15">
      <c r="A31" s="53" t="s">
        <v>492</v>
      </c>
      <c r="B31" s="54">
        <v>39.74</v>
      </c>
      <c r="C31" s="54">
        <v>47.71</v>
      </c>
      <c r="D31" s="54">
        <v>55.33</v>
      </c>
      <c r="E31" s="54">
        <v>2.39</v>
      </c>
      <c r="F31" s="54">
        <v>3.52</v>
      </c>
      <c r="G31" s="54">
        <v>79.75</v>
      </c>
      <c r="H31" s="54">
        <v>36.76</v>
      </c>
      <c r="I31" s="54">
        <v>1.58</v>
      </c>
      <c r="J31" s="54">
        <v>0.10</v>
      </c>
      <c r="K31" s="54">
        <v>329.12</v>
      </c>
      <c r="L31" s="54">
        <v>20.82</v>
      </c>
      <c r="M31" s="54">
        <v>70.69</v>
      </c>
      <c r="N31" s="54">
        <v>61.5</v>
      </c>
      <c r="O31" s="54">
        <v>0</v>
      </c>
      <c r="P31" s="54">
        <v>2.4700000000000002</v>
      </c>
      <c r="Q31" s="54">
        <v>7.57</v>
      </c>
      <c r="R31" s="43"/>
      <c r="S31" s="43"/>
      <c r="T31" s="43"/>
      <c r="U31" s="43"/>
    </row>
    <row r="32" spans="1:21" s="11" customFormat="1" ht="15">
      <c r="A32" s="53" t="s">
        <v>493</v>
      </c>
      <c r="B32" s="54">
        <v>34.479999999999997</v>
      </c>
      <c r="C32" s="54">
        <v>38.81</v>
      </c>
      <c r="D32" s="54">
        <v>49.26</v>
      </c>
      <c r="E32" s="54">
        <v>2.38</v>
      </c>
      <c r="F32" s="54">
        <v>3.72</v>
      </c>
      <c r="G32" s="54">
        <v>71.650000000000006</v>
      </c>
      <c r="H32" s="54">
        <v>37.270000000000003</v>
      </c>
      <c r="I32" s="54">
        <v>1.53</v>
      </c>
      <c r="J32" s="54">
        <v>0.09</v>
      </c>
      <c r="K32" s="54">
        <v>321.05</v>
      </c>
      <c r="L32" s="54">
        <v>20.63</v>
      </c>
      <c r="M32" s="54">
        <v>73.53</v>
      </c>
      <c r="N32" s="54">
        <v>59</v>
      </c>
      <c r="O32" s="54">
        <v>0</v>
      </c>
      <c r="P32" s="54">
        <v>2.16</v>
      </c>
      <c r="Q32" s="54">
        <v>7.39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2.7599999999999998</v>
      </c>
      <c r="C34" s="28">
        <f t="shared" si="0"/>
        <v>38.810000000000002</v>
      </c>
      <c r="D34" s="28">
        <f t="shared" si="0"/>
        <v>27.050000000000001</v>
      </c>
      <c r="E34" s="28">
        <f t="shared" si="0"/>
        <v>2.3799999999999999</v>
      </c>
      <c r="F34" s="28">
        <f t="shared" si="0"/>
        <v>3.1600000000000001</v>
      </c>
      <c r="G34" s="28">
        <f t="shared" si="0"/>
        <v>30.550000000000001</v>
      </c>
      <c r="H34" s="28">
        <f t="shared" si="0"/>
        <v>18.460000000000001</v>
      </c>
      <c r="I34" s="28">
        <f t="shared" si="0"/>
        <v>1.49</v>
      </c>
      <c r="J34" s="28">
        <f t="shared" si="0"/>
        <v>0.080000000000000002</v>
      </c>
      <c r="K34" s="28">
        <f t="shared" si="0"/>
        <v>107.45</v>
      </c>
      <c r="L34" s="28">
        <f t="shared" si="0"/>
        <v>16.210000000000001</v>
      </c>
      <c r="M34" s="28">
        <f t="shared" si="0"/>
        <v>42.119999999999997</v>
      </c>
      <c r="N34" s="28">
        <f t="shared" si="0"/>
        <v>53.100000000000001</v>
      </c>
      <c r="O34" s="28">
        <f t="shared" si="0"/>
        <v>0</v>
      </c>
      <c r="P34" s="28">
        <f t="shared" si="0"/>
        <v>0.69999999999999996</v>
      </c>
      <c r="Q34" s="28">
        <f t="shared" si="0"/>
        <v>4.9699999999999998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76.620000000000005</v>
      </c>
      <c r="C35" s="29">
        <f t="shared" si="1"/>
        <v>110.14</v>
      </c>
      <c r="D35" s="29">
        <f t="shared" si="1"/>
        <v>105.54000000000001</v>
      </c>
      <c r="E35" s="29">
        <f t="shared" si="1"/>
        <v>7.8499999999999996</v>
      </c>
      <c r="F35" s="29">
        <f t="shared" si="1"/>
        <v>64.629999999999995</v>
      </c>
      <c r="G35" s="29">
        <f t="shared" si="1"/>
        <v>120.23</v>
      </c>
      <c r="H35" s="29">
        <f t="shared" si="1"/>
        <v>42.789999999999999</v>
      </c>
      <c r="I35" s="29">
        <f t="shared" si="1"/>
        <v>1.6100000000000001</v>
      </c>
      <c r="J35" s="29">
        <f t="shared" si="1"/>
        <v>1.27</v>
      </c>
      <c r="K35" s="29">
        <f t="shared" si="1"/>
        <v>353.23000000000002</v>
      </c>
      <c r="L35" s="29">
        <f t="shared" si="1"/>
        <v>31.359999999999999</v>
      </c>
      <c r="M35" s="29">
        <f t="shared" si="1"/>
        <v>94.019999999999996</v>
      </c>
      <c r="N35" s="29">
        <f t="shared" si="1"/>
        <v>743.70000000000005</v>
      </c>
      <c r="O35" s="29">
        <f t="shared" si="1"/>
        <v>0</v>
      </c>
      <c r="P35" s="29">
        <f t="shared" si="1"/>
        <v>3.6200000000000001</v>
      </c>
      <c r="Q35" s="29">
        <f t="shared" si="1"/>
        <v>10.609999999999999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39.423750000000013</v>
      </c>
      <c r="C36" s="28">
        <f t="shared" si="2"/>
        <v>53.134999999999998</v>
      </c>
      <c r="D36" s="28">
        <f t="shared" si="2"/>
        <v>61.045833333333327</v>
      </c>
      <c r="E36" s="28">
        <f t="shared" si="2"/>
        <v>3.0983333333333332</v>
      </c>
      <c r="F36" s="28">
        <f t="shared" si="2"/>
        <v>12.940833333333336</v>
      </c>
      <c r="G36" s="28">
        <f t="shared" si="2"/>
        <v>81.049999999999997</v>
      </c>
      <c r="H36" s="28">
        <f t="shared" si="2"/>
        <v>32.048333333333332</v>
      </c>
      <c r="I36" s="28">
        <f t="shared" si="2"/>
        <v>1.5395833333333335</v>
      </c>
      <c r="J36" s="28">
        <f t="shared" si="2"/>
        <v>0.3495833333333333</v>
      </c>
      <c r="K36" s="28">
        <f t="shared" si="2"/>
        <v>280.0575</v>
      </c>
      <c r="L36" s="28">
        <f t="shared" si="2"/>
        <v>22.660833333333333</v>
      </c>
      <c r="M36" s="28">
        <f t="shared" si="2"/>
        <v>70.153750000000016</v>
      </c>
      <c r="N36" s="28">
        <f t="shared" si="2"/>
        <v>245.06250000000009</v>
      </c>
      <c r="O36" s="28">
        <f t="shared" si="2"/>
        <v>0</v>
      </c>
      <c r="P36" s="28">
        <f t="shared" si="2"/>
        <v>1.85625</v>
      </c>
      <c r="Q36" s="28">
        <f t="shared" si="2"/>
        <v>7.5124999999999993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22.626040751945411</v>
      </c>
      <c r="C37" s="28">
        <f t="shared" si="3" ref="C37:Q37">STDEV(C9:C32)</f>
        <v>19.806484664942673</v>
      </c>
      <c r="D37" s="28">
        <f t="shared" si="3"/>
        <v>23.757665292383567</v>
      </c>
      <c r="E37" s="28">
        <f t="shared" si="3"/>
        <v>1.5170384955898277</v>
      </c>
      <c r="F37" s="28">
        <f t="shared" si="3"/>
        <v>18.844524038348222</v>
      </c>
      <c r="G37" s="28">
        <f t="shared" si="3"/>
        <v>27.502103634955386</v>
      </c>
      <c r="H37" s="28">
        <f t="shared" si="3"/>
        <v>7.7944376301959393</v>
      </c>
      <c r="I37" s="28">
        <f t="shared" si="3"/>
        <v>0.030854379812648804</v>
      </c>
      <c r="J37" s="28">
        <f t="shared" si="3"/>
        <v>0.34077251326523017</v>
      </c>
      <c r="K37" s="28">
        <f t="shared" si="3"/>
        <v>89.041987714150579</v>
      </c>
      <c r="L37" s="28">
        <f t="shared" si="3"/>
        <v>4.5364915735733122</v>
      </c>
      <c r="M37" s="28">
        <f t="shared" si="3"/>
        <v>17.766927950671342</v>
      </c>
      <c r="N37" s="28">
        <f t="shared" si="3"/>
        <v>261.33961880797102</v>
      </c>
      <c r="O37" s="28">
        <f t="shared" si="3"/>
        <v>0</v>
      </c>
      <c r="P37" s="28">
        <f t="shared" si="3"/>
        <v>0.8312944986454931</v>
      </c>
      <c r="Q37" s="28">
        <f t="shared" si="3"/>
        <v>1.6798453603777437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4afa35-d72a-4d91-9257-47c030b3227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3" sqref="G6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494</v>
      </c>
      <c r="B9" s="54">
        <v>31.02</v>
      </c>
      <c r="C9" s="54">
        <v>41.40</v>
      </c>
      <c r="D9" s="54">
        <v>44.79</v>
      </c>
      <c r="E9" s="54">
        <v>2.40</v>
      </c>
      <c r="F9" s="54">
        <v>3.65</v>
      </c>
      <c r="G9" s="54">
        <v>67.06</v>
      </c>
      <c r="H9" s="54">
        <v>33.35</v>
      </c>
      <c r="I9" s="54">
        <v>1.49</v>
      </c>
      <c r="J9" s="54">
        <v>0.42</v>
      </c>
      <c r="K9" s="54">
        <v>343.29</v>
      </c>
      <c r="L9" s="54">
        <v>20.07</v>
      </c>
      <c r="M9" s="54">
        <v>75.680000000000007</v>
      </c>
      <c r="N9" s="54">
        <v>57.90</v>
      </c>
      <c r="O9" s="54">
        <v>0</v>
      </c>
      <c r="P9" s="54">
        <v>1.85</v>
      </c>
      <c r="Q9" s="54">
        <v>6.84</v>
      </c>
      <c r="R9" s="43"/>
      <c r="S9" s="43"/>
      <c r="T9" s="43"/>
      <c r="U9" s="43"/>
    </row>
    <row r="10" spans="1:21" s="11" customFormat="1" ht="15">
      <c r="A10" s="53" t="s">
        <v>495</v>
      </c>
      <c r="B10" s="54">
        <v>24.01</v>
      </c>
      <c r="C10" s="54">
        <v>39.07</v>
      </c>
      <c r="D10" s="54">
        <v>41.46</v>
      </c>
      <c r="E10" s="54">
        <v>2.4300000000000002</v>
      </c>
      <c r="F10" s="54">
        <v>4.4800000000000004</v>
      </c>
      <c r="G10" s="54">
        <v>55.34</v>
      </c>
      <c r="H10" s="54">
        <v>29.46</v>
      </c>
      <c r="I10" s="54">
        <v>1.55</v>
      </c>
      <c r="J10" s="54">
        <v>0.57999999999999996</v>
      </c>
      <c r="K10" s="54">
        <v>128.88999999999999</v>
      </c>
      <c r="L10" s="54">
        <v>20.51</v>
      </c>
      <c r="M10" s="54">
        <v>75.52</v>
      </c>
      <c r="N10" s="54">
        <v>60.70</v>
      </c>
      <c r="O10" s="54">
        <v>0</v>
      </c>
      <c r="P10" s="54">
        <v>1.63</v>
      </c>
      <c r="Q10" s="54">
        <v>5.83</v>
      </c>
      <c r="R10" s="43"/>
      <c r="S10" s="43"/>
      <c r="T10" s="43"/>
      <c r="U10" s="43"/>
    </row>
    <row r="11" spans="1:21" s="11" customFormat="1" ht="15">
      <c r="A11" s="53" t="s">
        <v>496</v>
      </c>
      <c r="B11" s="54">
        <v>19.350000000000001</v>
      </c>
      <c r="C11" s="54">
        <v>34.21</v>
      </c>
      <c r="D11" s="54">
        <v>35.049999999999997</v>
      </c>
      <c r="E11" s="54">
        <v>2.44</v>
      </c>
      <c r="F11" s="54">
        <v>4.32</v>
      </c>
      <c r="G11" s="54">
        <v>46.21</v>
      </c>
      <c r="H11" s="54">
        <v>27.72</v>
      </c>
      <c r="I11" s="54">
        <v>1.57</v>
      </c>
      <c r="J11" s="54">
        <v>0.64</v>
      </c>
      <c r="K11" s="54">
        <v>121.87</v>
      </c>
      <c r="L11" s="54">
        <v>19.97</v>
      </c>
      <c r="M11" s="54">
        <v>80.33</v>
      </c>
      <c r="N11" s="54">
        <v>60.10</v>
      </c>
      <c r="O11" s="54">
        <v>0</v>
      </c>
      <c r="P11" s="54">
        <v>1.48</v>
      </c>
      <c r="Q11" s="54">
        <v>5.51</v>
      </c>
      <c r="R11" s="43"/>
      <c r="S11" s="43"/>
      <c r="T11" s="43"/>
      <c r="U11" s="43"/>
    </row>
    <row r="12" spans="1:21" s="11" customFormat="1" ht="15">
      <c r="A12" s="53" t="s">
        <v>497</v>
      </c>
      <c r="B12" s="54">
        <v>16.510000000000002</v>
      </c>
      <c r="C12" s="54">
        <v>32.83</v>
      </c>
      <c r="D12" s="54">
        <v>32</v>
      </c>
      <c r="E12" s="54">
        <v>2.40</v>
      </c>
      <c r="F12" s="54">
        <v>3.5</v>
      </c>
      <c r="G12" s="54">
        <v>49.87</v>
      </c>
      <c r="H12" s="54">
        <v>26.05</v>
      </c>
      <c r="I12" s="54">
        <v>1.57</v>
      </c>
      <c r="J12" s="54">
        <v>0.08</v>
      </c>
      <c r="K12" s="54">
        <v>339.84</v>
      </c>
      <c r="L12" s="54">
        <v>18.70</v>
      </c>
      <c r="M12" s="54">
        <v>92.94</v>
      </c>
      <c r="N12" s="54">
        <v>74.70</v>
      </c>
      <c r="O12" s="54">
        <v>0</v>
      </c>
      <c r="P12" s="54">
        <v>1.30</v>
      </c>
      <c r="Q12" s="54">
        <v>5.23</v>
      </c>
      <c r="R12" s="43"/>
      <c r="S12" s="43"/>
      <c r="T12" s="43"/>
      <c r="U12" s="43"/>
    </row>
    <row r="13" spans="1:21" s="11" customFormat="1" ht="15">
      <c r="A13" s="53" t="s">
        <v>498</v>
      </c>
      <c r="B13" s="54">
        <v>17.98</v>
      </c>
      <c r="C13" s="54">
        <v>36.46</v>
      </c>
      <c r="D13" s="54">
        <v>34.76</v>
      </c>
      <c r="E13" s="54">
        <v>2.42</v>
      </c>
      <c r="F13" s="54">
        <v>3.30</v>
      </c>
      <c r="G13" s="54">
        <v>47.97</v>
      </c>
      <c r="H13" s="54">
        <v>27.89</v>
      </c>
      <c r="I13" s="54">
        <v>1.54</v>
      </c>
      <c r="J13" s="54">
        <v>0.08</v>
      </c>
      <c r="K13" s="54">
        <v>354.63</v>
      </c>
      <c r="L13" s="54">
        <v>17.47</v>
      </c>
      <c r="M13" s="54">
        <v>97.40</v>
      </c>
      <c r="N13" s="54">
        <v>60.10</v>
      </c>
      <c r="O13" s="54">
        <v>0</v>
      </c>
      <c r="P13" s="54">
        <v>1.1399999999999999</v>
      </c>
      <c r="Q13" s="54">
        <v>5.43</v>
      </c>
      <c r="R13" s="43"/>
      <c r="S13" s="43"/>
      <c r="T13" s="43"/>
      <c r="U13" s="43"/>
    </row>
    <row r="14" spans="1:21" s="11" customFormat="1" ht="15">
      <c r="A14" s="53" t="s">
        <v>499</v>
      </c>
      <c r="B14" s="54">
        <v>21.57</v>
      </c>
      <c r="C14" s="54">
        <v>36.32</v>
      </c>
      <c r="D14" s="54">
        <v>37.99</v>
      </c>
      <c r="E14" s="54">
        <v>2.39</v>
      </c>
      <c r="F14" s="54">
        <v>3.18</v>
      </c>
      <c r="G14" s="54">
        <v>76.03</v>
      </c>
      <c r="H14" s="54">
        <v>35.770000000000003</v>
      </c>
      <c r="I14" s="54">
        <v>1.53</v>
      </c>
      <c r="J14" s="54">
        <v>0.19</v>
      </c>
      <c r="K14" s="54">
        <v>303.64999999999998</v>
      </c>
      <c r="L14" s="54">
        <v>17.64</v>
      </c>
      <c r="M14" s="54">
        <v>96.99</v>
      </c>
      <c r="N14" s="54">
        <v>60.90</v>
      </c>
      <c r="O14" s="54">
        <v>0</v>
      </c>
      <c r="P14" s="54">
        <v>1.20</v>
      </c>
      <c r="Q14" s="54">
        <v>5.75</v>
      </c>
      <c r="R14" s="43"/>
      <c r="S14" s="43"/>
      <c r="T14" s="43"/>
      <c r="U14" s="43"/>
    </row>
    <row r="15" spans="1:21" s="11" customFormat="1" ht="15">
      <c r="A15" s="53" t="s">
        <v>500</v>
      </c>
      <c r="B15" s="54">
        <v>20.89</v>
      </c>
      <c r="C15" s="54">
        <v>32.90</v>
      </c>
      <c r="D15" s="54">
        <v>34.33</v>
      </c>
      <c r="E15" s="54">
        <v>2.35</v>
      </c>
      <c r="F15" s="54">
        <v>3.25</v>
      </c>
      <c r="G15" s="54">
        <v>106.58</v>
      </c>
      <c r="H15" s="54">
        <v>43.07</v>
      </c>
      <c r="I15" s="54">
        <v>1.55</v>
      </c>
      <c r="J15" s="54">
        <v>0.41</v>
      </c>
      <c r="K15" s="54">
        <v>100.67</v>
      </c>
      <c r="L15" s="54">
        <v>18.21</v>
      </c>
      <c r="M15" s="54">
        <v>92.85</v>
      </c>
      <c r="N15" s="54">
        <v>115</v>
      </c>
      <c r="O15" s="54">
        <v>0</v>
      </c>
      <c r="P15" s="54">
        <v>1.20</v>
      </c>
      <c r="Q15" s="54">
        <v>5.82</v>
      </c>
      <c r="R15" s="43"/>
      <c r="S15" s="43"/>
      <c r="T15" s="43"/>
      <c r="U15" s="43"/>
    </row>
    <row r="16" spans="1:21" s="11" customFormat="1" ht="15">
      <c r="A16" s="53" t="s">
        <v>501</v>
      </c>
      <c r="B16" s="54">
        <v>18.600000000000001</v>
      </c>
      <c r="C16" s="54">
        <v>45.47</v>
      </c>
      <c r="D16" s="54">
        <v>38.79</v>
      </c>
      <c r="E16" s="54">
        <v>2.33</v>
      </c>
      <c r="F16" s="54">
        <v>3.54</v>
      </c>
      <c r="G16" s="54">
        <v>92.96</v>
      </c>
      <c r="H16" s="54">
        <v>42.48</v>
      </c>
      <c r="I16" s="54">
        <v>1.55</v>
      </c>
      <c r="J16" s="54">
        <v>0.60</v>
      </c>
      <c r="K16" s="54">
        <v>111.01</v>
      </c>
      <c r="L16" s="54">
        <v>22.17</v>
      </c>
      <c r="M16" s="54">
        <v>86.68</v>
      </c>
      <c r="N16" s="54">
        <v>323.5</v>
      </c>
      <c r="O16" s="54">
        <v>0</v>
      </c>
      <c r="P16" s="54">
        <v>1.1399999999999999</v>
      </c>
      <c r="Q16" s="54">
        <v>5.45</v>
      </c>
      <c r="R16" s="43"/>
      <c r="S16" s="43"/>
      <c r="T16" s="43"/>
      <c r="U16" s="43"/>
    </row>
    <row r="17" spans="1:21" s="11" customFormat="1" ht="15">
      <c r="A17" s="53" t="s">
        <v>502</v>
      </c>
      <c r="B17" s="54">
        <v>15.82</v>
      </c>
      <c r="C17" s="54">
        <v>42.93</v>
      </c>
      <c r="D17" s="54">
        <v>37.020000000000003</v>
      </c>
      <c r="E17" s="54">
        <v>2.34</v>
      </c>
      <c r="F17" s="54">
        <v>4.03</v>
      </c>
      <c r="G17" s="54">
        <v>68.87</v>
      </c>
      <c r="H17" s="54">
        <v>38.78</v>
      </c>
      <c r="I17" s="54">
        <v>1.5</v>
      </c>
      <c r="J17" s="54">
        <v>0.57999999999999996</v>
      </c>
      <c r="K17" s="54">
        <v>330.37</v>
      </c>
      <c r="L17" s="54">
        <v>24.55</v>
      </c>
      <c r="M17" s="54">
        <v>70.75</v>
      </c>
      <c r="N17" s="54">
        <v>559.79999999999995</v>
      </c>
      <c r="O17" s="54">
        <v>0</v>
      </c>
      <c r="P17" s="54">
        <v>1.07</v>
      </c>
      <c r="Q17" s="54">
        <v>5.12</v>
      </c>
      <c r="R17" s="43"/>
      <c r="S17" s="43"/>
      <c r="T17" s="43"/>
      <c r="U17" s="43"/>
    </row>
    <row r="18" spans="1:21" s="11" customFormat="1" ht="15">
      <c r="A18" s="53" t="s">
        <v>503</v>
      </c>
      <c r="B18" s="54">
        <v>13.70</v>
      </c>
      <c r="C18" s="54">
        <v>35.92</v>
      </c>
      <c r="D18" s="54">
        <v>31.06</v>
      </c>
      <c r="E18" s="54">
        <v>2.34</v>
      </c>
      <c r="F18" s="54">
        <v>4.95</v>
      </c>
      <c r="G18" s="54">
        <v>57.89</v>
      </c>
      <c r="H18" s="54">
        <v>33.5</v>
      </c>
      <c r="I18" s="54">
        <v>1.52</v>
      </c>
      <c r="J18" s="54">
        <v>0.40</v>
      </c>
      <c r="K18" s="54">
        <v>338.66</v>
      </c>
      <c r="L18" s="54">
        <v>25.34</v>
      </c>
      <c r="M18" s="54">
        <v>68.56</v>
      </c>
      <c r="N18" s="54">
        <v>626.79999999999995</v>
      </c>
      <c r="O18" s="54">
        <v>0</v>
      </c>
      <c r="P18" s="54">
        <v>1.01</v>
      </c>
      <c r="Q18" s="54">
        <v>5.13</v>
      </c>
      <c r="R18" s="43"/>
      <c r="S18" s="43"/>
      <c r="T18" s="43"/>
      <c r="U18" s="43"/>
    </row>
    <row r="19" spans="1:21" s="11" customFormat="1" ht="15">
      <c r="A19" s="53" t="s">
        <v>504</v>
      </c>
      <c r="B19" s="54">
        <v>10.76</v>
      </c>
      <c r="C19" s="54">
        <v>34.979999999999997</v>
      </c>
      <c r="D19" s="54">
        <v>28.58</v>
      </c>
      <c r="E19" s="54">
        <v>2.35</v>
      </c>
      <c r="F19" s="54">
        <v>4.8499999999999996</v>
      </c>
      <c r="G19" s="54">
        <v>51.27</v>
      </c>
      <c r="H19" s="54">
        <v>27.66</v>
      </c>
      <c r="I19" s="54">
        <v>1.55</v>
      </c>
      <c r="J19" s="54">
        <v>1.05</v>
      </c>
      <c r="K19" s="54">
        <v>108.75</v>
      </c>
      <c r="L19" s="54">
        <v>26.10</v>
      </c>
      <c r="M19" s="54">
        <v>62.19</v>
      </c>
      <c r="N19" s="54">
        <v>702.60</v>
      </c>
      <c r="O19" s="54">
        <v>0</v>
      </c>
      <c r="P19" s="54">
        <v>0.93</v>
      </c>
      <c r="Q19" s="54">
        <v>4.88</v>
      </c>
      <c r="R19" s="43"/>
      <c r="S19" s="43"/>
      <c r="T19" s="43"/>
      <c r="U19" s="43"/>
    </row>
    <row r="20" spans="1:21" s="11" customFormat="1" ht="15">
      <c r="A20" s="53" t="s">
        <v>505</v>
      </c>
      <c r="B20" s="54">
        <v>7.30</v>
      </c>
      <c r="C20" s="54">
        <v>37.119999999999997</v>
      </c>
      <c r="D20" s="54">
        <v>25.51</v>
      </c>
      <c r="E20" s="54">
        <v>2.33</v>
      </c>
      <c r="F20" s="54">
        <v>5.49</v>
      </c>
      <c r="G20" s="54">
        <v>45.80</v>
      </c>
      <c r="H20" s="54">
        <v>27.96</v>
      </c>
      <c r="I20" s="54">
        <v>1.54</v>
      </c>
      <c r="J20" s="54">
        <v>1.21</v>
      </c>
      <c r="K20" s="54">
        <v>122.82</v>
      </c>
      <c r="L20" s="54">
        <v>26.73</v>
      </c>
      <c r="M20" s="54">
        <v>53.97</v>
      </c>
      <c r="N20" s="54">
        <v>641.70000000000005</v>
      </c>
      <c r="O20" s="54">
        <v>0</v>
      </c>
      <c r="P20" s="54">
        <v>0.83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506</v>
      </c>
      <c r="B21" s="54">
        <v>4.6900000000000004</v>
      </c>
      <c r="C21" s="54">
        <v>32.68</v>
      </c>
      <c r="D21" s="54">
        <v>22.44</v>
      </c>
      <c r="E21" s="54">
        <v>2.37</v>
      </c>
      <c r="F21" s="54">
        <v>6.66</v>
      </c>
      <c r="G21" s="54">
        <v>43.84</v>
      </c>
      <c r="H21" s="54">
        <v>27.11</v>
      </c>
      <c r="I21" s="54">
        <v>1.55</v>
      </c>
      <c r="J21" s="54">
        <v>1.45</v>
      </c>
      <c r="K21" s="54">
        <v>111.68</v>
      </c>
      <c r="L21" s="54">
        <v>27.23</v>
      </c>
      <c r="M21" s="54">
        <v>49.77</v>
      </c>
      <c r="N21" s="54">
        <v>682.80</v>
      </c>
      <c r="O21" s="54">
        <v>0</v>
      </c>
      <c r="P21" s="54">
        <v>0.75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507</v>
      </c>
      <c r="B22" s="54">
        <v>3.65</v>
      </c>
      <c r="C22" s="54">
        <v>32.299999999999997</v>
      </c>
      <c r="D22" s="54">
        <v>21.20</v>
      </c>
      <c r="E22" s="54">
        <v>2.36</v>
      </c>
      <c r="F22" s="54">
        <v>8.73</v>
      </c>
      <c r="G22" s="54">
        <v>38.950000000000003</v>
      </c>
      <c r="H22" s="54">
        <v>24.80</v>
      </c>
      <c r="I22" s="54">
        <v>1.59</v>
      </c>
      <c r="J22" s="54">
        <v>1.60</v>
      </c>
      <c r="K22" s="54">
        <v>346.02</v>
      </c>
      <c r="L22" s="54">
        <v>28.13</v>
      </c>
      <c r="M22" s="54">
        <v>43.14</v>
      </c>
      <c r="N22" s="54">
        <v>457.5</v>
      </c>
      <c r="O22" s="54">
        <v>0</v>
      </c>
      <c r="P22" s="54">
        <v>0.66</v>
      </c>
      <c r="Q22" s="54">
        <v>5.21</v>
      </c>
      <c r="R22" s="43"/>
      <c r="S22" s="43"/>
      <c r="T22" s="43"/>
      <c r="U22" s="43"/>
    </row>
    <row r="23" spans="1:21" s="11" customFormat="1" ht="15">
      <c r="A23" s="53" t="s">
        <v>508</v>
      </c>
      <c r="B23" s="54">
        <v>4.12</v>
      </c>
      <c r="C23" s="54">
        <v>31.96</v>
      </c>
      <c r="D23" s="54">
        <v>21.58</v>
      </c>
      <c r="E23" s="54">
        <v>2.42</v>
      </c>
      <c r="F23" s="54">
        <v>11.10</v>
      </c>
      <c r="G23" s="54">
        <v>35.200000000000003</v>
      </c>
      <c r="H23" s="54">
        <v>22.56</v>
      </c>
      <c r="I23" s="54">
        <v>1.56</v>
      </c>
      <c r="J23" s="54">
        <v>1.29</v>
      </c>
      <c r="K23" s="54">
        <v>111.10</v>
      </c>
      <c r="L23" s="54">
        <v>27.19</v>
      </c>
      <c r="M23" s="54">
        <v>42.98</v>
      </c>
      <c r="N23" s="54">
        <v>204.10</v>
      </c>
      <c r="O23" s="54">
        <v>0</v>
      </c>
      <c r="P23" s="54">
        <v>0.61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509</v>
      </c>
      <c r="B24" s="54">
        <v>5.1100000000000003</v>
      </c>
      <c r="C24" s="54">
        <v>33.68</v>
      </c>
      <c r="D24" s="54">
        <v>23.05</v>
      </c>
      <c r="E24" s="54">
        <v>2.56</v>
      </c>
      <c r="F24" s="54">
        <v>20.329999999999998</v>
      </c>
      <c r="G24" s="54">
        <v>32.19</v>
      </c>
      <c r="H24" s="54">
        <v>20.88</v>
      </c>
      <c r="I24" s="54">
        <v>1.55</v>
      </c>
      <c r="J24" s="54">
        <v>0.61</v>
      </c>
      <c r="K24" s="54">
        <v>109.14</v>
      </c>
      <c r="L24" s="54">
        <v>26.70</v>
      </c>
      <c r="M24" s="54">
        <v>45.58</v>
      </c>
      <c r="N24" s="54">
        <v>138</v>
      </c>
      <c r="O24" s="54">
        <v>0</v>
      </c>
      <c r="P24" s="54">
        <v>0.56999999999999995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510</v>
      </c>
      <c r="B25" s="54">
        <v>6.74</v>
      </c>
      <c r="C25" s="54">
        <v>43.55</v>
      </c>
      <c r="D25" s="54">
        <v>30.09</v>
      </c>
      <c r="E25" s="54">
        <v>2.90</v>
      </c>
      <c r="F25" s="54">
        <v>17.73</v>
      </c>
      <c r="G25" s="54">
        <v>30.96</v>
      </c>
      <c r="H25" s="54">
        <v>23.21</v>
      </c>
      <c r="I25" s="54">
        <v>1.53</v>
      </c>
      <c r="J25" s="54">
        <v>0.39</v>
      </c>
      <c r="K25" s="54">
        <v>103.17</v>
      </c>
      <c r="L25" s="54">
        <v>25.98</v>
      </c>
      <c r="M25" s="54">
        <v>49.24</v>
      </c>
      <c r="N25" s="54">
        <v>83.10</v>
      </c>
      <c r="O25" s="54">
        <v>0</v>
      </c>
      <c r="P25" s="54">
        <v>0.76</v>
      </c>
      <c r="Q25" s="54">
        <v>5.21</v>
      </c>
      <c r="R25" s="43"/>
      <c r="S25" s="43"/>
      <c r="T25" s="43"/>
      <c r="U25" s="43"/>
    </row>
    <row r="26" spans="1:21" s="11" customFormat="1" ht="15">
      <c r="A26" s="53" t="s">
        <v>511</v>
      </c>
      <c r="B26" s="54">
        <v>13.27</v>
      </c>
      <c r="C26" s="54">
        <v>61.32</v>
      </c>
      <c r="D26" s="54">
        <v>45.13</v>
      </c>
      <c r="E26" s="54">
        <v>3.26</v>
      </c>
      <c r="F26" s="54">
        <v>29.97</v>
      </c>
      <c r="G26" s="54">
        <v>41.69</v>
      </c>
      <c r="H26" s="54">
        <v>22.05</v>
      </c>
      <c r="I26" s="54">
        <v>1.57</v>
      </c>
      <c r="J26" s="54">
        <v>0.19</v>
      </c>
      <c r="K26" s="54">
        <v>82.64</v>
      </c>
      <c r="L26" s="54">
        <v>24.47</v>
      </c>
      <c r="M26" s="54">
        <v>54.5</v>
      </c>
      <c r="N26" s="54">
        <v>42.60</v>
      </c>
      <c r="O26" s="54">
        <v>0</v>
      </c>
      <c r="P26" s="54">
        <v>1.17</v>
      </c>
      <c r="Q26" s="54">
        <v>5.21</v>
      </c>
      <c r="R26" s="43"/>
      <c r="S26" s="43"/>
      <c r="T26" s="43"/>
      <c r="U26" s="43"/>
    </row>
    <row r="27" spans="1:21" s="11" customFormat="1" ht="15">
      <c r="A27" s="53" t="s">
        <v>512</v>
      </c>
      <c r="B27" s="54">
        <v>22.45</v>
      </c>
      <c r="C27" s="54">
        <v>61.13</v>
      </c>
      <c r="D27" s="54">
        <v>52.39</v>
      </c>
      <c r="E27" s="54">
        <v>3.27</v>
      </c>
      <c r="F27" s="54">
        <v>10.84</v>
      </c>
      <c r="G27" s="54">
        <v>51.88</v>
      </c>
      <c r="H27" s="54">
        <v>23.71</v>
      </c>
      <c r="I27" s="54">
        <v>1.51</v>
      </c>
      <c r="J27" s="54">
        <v>0.13</v>
      </c>
      <c r="K27" s="54">
        <v>84.78</v>
      </c>
      <c r="L27" s="54">
        <v>23.11</v>
      </c>
      <c r="M27" s="54">
        <v>60.66</v>
      </c>
      <c r="N27" s="54">
        <v>41.20</v>
      </c>
      <c r="O27" s="54">
        <v>0</v>
      </c>
      <c r="P27" s="54">
        <v>1.71</v>
      </c>
      <c r="Q27" s="54">
        <v>4.0599999999999996</v>
      </c>
      <c r="R27" s="43"/>
      <c r="S27" s="43"/>
      <c r="T27" s="43"/>
      <c r="U27" s="43"/>
    </row>
    <row r="28" spans="1:21" s="11" customFormat="1" ht="15">
      <c r="A28" s="53" t="s">
        <v>513</v>
      </c>
      <c r="B28" s="54">
        <v>12.42</v>
      </c>
      <c r="C28" s="54">
        <v>52.96</v>
      </c>
      <c r="D28" s="54">
        <v>39.729999999999997</v>
      </c>
      <c r="E28" s="54">
        <v>2.95</v>
      </c>
      <c r="F28" s="54">
        <v>8.2799999999999994</v>
      </c>
      <c r="G28" s="54">
        <v>66.13</v>
      </c>
      <c r="H28" s="54">
        <v>33.64</v>
      </c>
      <c r="I28" s="54">
        <v>1.51</v>
      </c>
      <c r="J28" s="54">
        <v>0.15</v>
      </c>
      <c r="K28" s="54">
        <v>84.65</v>
      </c>
      <c r="L28" s="54">
        <v>22.60</v>
      </c>
      <c r="M28" s="54">
        <v>60.76</v>
      </c>
      <c r="N28" s="54">
        <v>41.5</v>
      </c>
      <c r="O28" s="54">
        <v>0</v>
      </c>
      <c r="P28" s="54">
        <v>1.47</v>
      </c>
      <c r="Q28" s="54">
        <v>4.67</v>
      </c>
      <c r="R28" s="43"/>
      <c r="S28" s="43"/>
      <c r="T28" s="43"/>
      <c r="U28" s="43"/>
    </row>
    <row r="29" spans="1:21" s="11" customFormat="1" ht="15">
      <c r="A29" s="53" t="s">
        <v>514</v>
      </c>
      <c r="B29" s="54">
        <v>18.739999999999998</v>
      </c>
      <c r="C29" s="54">
        <v>49.43</v>
      </c>
      <c r="D29" s="54">
        <v>38.89</v>
      </c>
      <c r="E29" s="54">
        <v>2.77</v>
      </c>
      <c r="F29" s="54">
        <v>6.36</v>
      </c>
      <c r="G29" s="54">
        <v>75.98</v>
      </c>
      <c r="H29" s="54">
        <v>35.24</v>
      </c>
      <c r="I29" s="54">
        <v>1.52</v>
      </c>
      <c r="J29" s="54">
        <v>0.21</v>
      </c>
      <c r="K29" s="54">
        <v>328.31</v>
      </c>
      <c r="L29" s="54">
        <v>22.42</v>
      </c>
      <c r="M29" s="54">
        <v>60.07</v>
      </c>
      <c r="N29" s="54">
        <v>41.70</v>
      </c>
      <c r="O29" s="54">
        <v>0</v>
      </c>
      <c r="P29" s="54">
        <v>1.52</v>
      </c>
      <c r="Q29" s="54">
        <v>4.76</v>
      </c>
      <c r="R29" s="43"/>
      <c r="S29" s="43"/>
      <c r="T29" s="43"/>
      <c r="U29" s="43"/>
    </row>
    <row r="30" spans="1:21" s="11" customFormat="1" ht="15">
      <c r="A30" s="53" t="s">
        <v>515</v>
      </c>
      <c r="B30" s="54">
        <v>13.69</v>
      </c>
      <c r="C30" s="54">
        <v>46.41</v>
      </c>
      <c r="D30" s="54">
        <v>37.07</v>
      </c>
      <c r="E30" s="54">
        <v>2.80</v>
      </c>
      <c r="F30" s="54">
        <v>7.84</v>
      </c>
      <c r="G30" s="54">
        <v>72.17</v>
      </c>
      <c r="H30" s="54">
        <v>33.909999999999997</v>
      </c>
      <c r="I30" s="54">
        <v>1.59</v>
      </c>
      <c r="J30" s="54">
        <v>1.08</v>
      </c>
      <c r="K30" s="54">
        <v>107.22</v>
      </c>
      <c r="L30" s="54">
        <v>22.48</v>
      </c>
      <c r="M30" s="54">
        <v>60.02</v>
      </c>
      <c r="N30" s="54">
        <v>42.20</v>
      </c>
      <c r="O30" s="54">
        <v>0</v>
      </c>
      <c r="P30" s="54">
        <v>1.45</v>
      </c>
      <c r="Q30" s="54">
        <v>5.38</v>
      </c>
      <c r="R30" s="43"/>
      <c r="S30" s="43"/>
      <c r="T30" s="43"/>
      <c r="U30" s="43"/>
    </row>
    <row r="31" spans="1:21" s="11" customFormat="1" ht="15">
      <c r="A31" s="53" t="s">
        <v>516</v>
      </c>
      <c r="B31" s="54">
        <v>12.60</v>
      </c>
      <c r="C31" s="54">
        <v>38.340000000000003</v>
      </c>
      <c r="D31" s="54">
        <v>31.85</v>
      </c>
      <c r="E31" s="54">
        <v>2.79</v>
      </c>
      <c r="F31" s="54">
        <v>7.63</v>
      </c>
      <c r="G31" s="54">
        <v>62.39</v>
      </c>
      <c r="H31" s="54">
        <v>29.17</v>
      </c>
      <c r="I31" s="54">
        <v>1.53</v>
      </c>
      <c r="J31" s="54">
        <v>0.93</v>
      </c>
      <c r="K31" s="54">
        <v>103.48</v>
      </c>
      <c r="L31" s="54">
        <v>22.21</v>
      </c>
      <c r="M31" s="54">
        <v>64.040000000000006</v>
      </c>
      <c r="N31" s="54">
        <v>42.70</v>
      </c>
      <c r="O31" s="54">
        <v>0</v>
      </c>
      <c r="P31" s="54">
        <v>1.37</v>
      </c>
      <c r="Q31" s="54">
        <v>5.39</v>
      </c>
      <c r="R31" s="43"/>
      <c r="S31" s="43"/>
      <c r="T31" s="43"/>
      <c r="U31" s="43"/>
    </row>
    <row r="32" spans="1:21" s="11" customFormat="1" ht="15">
      <c r="A32" s="53" t="s">
        <v>517</v>
      </c>
      <c r="B32" s="54">
        <v>10.28</v>
      </c>
      <c r="C32" s="54">
        <v>37.200000000000003</v>
      </c>
      <c r="D32" s="54">
        <v>29.42</v>
      </c>
      <c r="E32" s="54">
        <v>2.78</v>
      </c>
      <c r="F32" s="54">
        <v>7.45</v>
      </c>
      <c r="G32" s="54">
        <v>55.75</v>
      </c>
      <c r="H32" s="54">
        <v>27.55</v>
      </c>
      <c r="I32" s="54">
        <v>1.51</v>
      </c>
      <c r="J32" s="54">
        <v>1.33</v>
      </c>
      <c r="K32" s="54">
        <v>115.58</v>
      </c>
      <c r="L32" s="54">
        <v>21.80</v>
      </c>
      <c r="M32" s="54">
        <v>64.489999999999995</v>
      </c>
      <c r="N32" s="54">
        <v>42.5</v>
      </c>
      <c r="O32" s="54">
        <v>0</v>
      </c>
      <c r="P32" s="54">
        <v>1.24</v>
      </c>
      <c r="Q32" s="54">
        <v>5.0999999999999996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3.6499999999999999</v>
      </c>
      <c r="C34" s="28">
        <f t="shared" si="0"/>
        <v>31.960000000000001</v>
      </c>
      <c r="D34" s="28">
        <f t="shared" si="0"/>
        <v>21.199999999999999</v>
      </c>
      <c r="E34" s="28">
        <f t="shared" si="0"/>
        <v>2.3300000000000001</v>
      </c>
      <c r="F34" s="28">
        <f t="shared" si="0"/>
        <v>3.1800000000000002</v>
      </c>
      <c r="G34" s="28">
        <f t="shared" si="0"/>
        <v>30.960000000000001</v>
      </c>
      <c r="H34" s="28">
        <f t="shared" si="0"/>
        <v>20.879999999999999</v>
      </c>
      <c r="I34" s="28">
        <f t="shared" si="0"/>
        <v>1.49</v>
      </c>
      <c r="J34" s="28">
        <f t="shared" si="0"/>
        <v>0.080000000000000002</v>
      </c>
      <c r="K34" s="28">
        <f t="shared" si="0"/>
        <v>82.640000000000001</v>
      </c>
      <c r="L34" s="28">
        <f t="shared" si="0"/>
        <v>17.469999999999999</v>
      </c>
      <c r="M34" s="28">
        <f t="shared" si="0"/>
        <v>42.979999999999997</v>
      </c>
      <c r="N34" s="28">
        <f t="shared" si="0"/>
        <v>41.200000000000003</v>
      </c>
      <c r="O34" s="28">
        <f t="shared" si="0"/>
        <v>0</v>
      </c>
      <c r="P34" s="28">
        <f t="shared" si="0"/>
        <v>0.56999999999999995</v>
      </c>
      <c r="Q34" s="28">
        <f t="shared" si="0"/>
        <v>4.0599999999999996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31.02</v>
      </c>
      <c r="C35" s="29">
        <f t="shared" si="1"/>
        <v>61.32</v>
      </c>
      <c r="D35" s="29">
        <f t="shared" si="1"/>
        <v>52.390000000000001</v>
      </c>
      <c r="E35" s="29">
        <f t="shared" si="1"/>
        <v>3.27</v>
      </c>
      <c r="F35" s="29">
        <f t="shared" si="1"/>
        <v>29.969999999999999</v>
      </c>
      <c r="G35" s="29">
        <f t="shared" si="1"/>
        <v>106.58</v>
      </c>
      <c r="H35" s="29">
        <f t="shared" si="1"/>
        <v>43.07</v>
      </c>
      <c r="I35" s="29">
        <f t="shared" si="1"/>
        <v>1.5900000000000001</v>
      </c>
      <c r="J35" s="29">
        <f t="shared" si="1"/>
        <v>1.6000000000000001</v>
      </c>
      <c r="K35" s="29">
        <f t="shared" si="1"/>
        <v>354.63</v>
      </c>
      <c r="L35" s="29">
        <f t="shared" si="1"/>
        <v>28.129999999999999</v>
      </c>
      <c r="M35" s="29">
        <f t="shared" si="1"/>
        <v>97.400000000000006</v>
      </c>
      <c r="N35" s="29">
        <f t="shared" si="1"/>
        <v>702.60000000000002</v>
      </c>
      <c r="O35" s="29">
        <f t="shared" si="1"/>
        <v>0</v>
      </c>
      <c r="P35" s="29">
        <f t="shared" si="1"/>
        <v>1.8500000000000001</v>
      </c>
      <c r="Q35" s="29">
        <f t="shared" si="1"/>
        <v>6.8399999999999999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14.386250000000002</v>
      </c>
      <c r="C36" s="28">
        <f t="shared" si="2"/>
        <v>40.440416666666671</v>
      </c>
      <c r="D36" s="28">
        <f t="shared" si="2"/>
        <v>33.924166666666665</v>
      </c>
      <c r="E36" s="28">
        <f t="shared" si="2"/>
        <v>2.5729166666666674</v>
      </c>
      <c r="F36" s="28">
        <f t="shared" si="2"/>
        <v>7.9775</v>
      </c>
      <c r="G36" s="28">
        <f t="shared" si="2"/>
        <v>57.20750000000001</v>
      </c>
      <c r="H36" s="28">
        <f t="shared" si="2"/>
        <v>29.896666666666665</v>
      </c>
      <c r="I36" s="28">
        <f t="shared" si="2"/>
        <v>1.5408333333333337</v>
      </c>
      <c r="J36" s="28">
        <f t="shared" si="2"/>
        <v>0.65000000000000013</v>
      </c>
      <c r="K36" s="28">
        <f t="shared" si="2"/>
        <v>183.00916666666663</v>
      </c>
      <c r="L36" s="28">
        <f t="shared" si="2"/>
        <v>22.990833333333338</v>
      </c>
      <c r="M36" s="28">
        <f t="shared" si="2"/>
        <v>67.046250000000001</v>
      </c>
      <c r="N36" s="28">
        <f t="shared" si="2"/>
        <v>216.82083333333335</v>
      </c>
      <c r="O36" s="28">
        <f t="shared" si="2"/>
        <v>0</v>
      </c>
      <c r="P36" s="28">
        <f t="shared" si="2"/>
        <v>1.1691666666666665</v>
      </c>
      <c r="Q36" s="28">
        <f t="shared" si="2"/>
        <v>5.2841666666666649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7.0948130548033967</v>
      </c>
      <c r="C37" s="28">
        <f t="shared" si="3" ref="C37:Q37">STDEV(C9:C32)</f>
        <v>8.5665732985663539</v>
      </c>
      <c r="D37" s="28">
        <f t="shared" si="3"/>
        <v>8.0124082666751537</v>
      </c>
      <c r="E37" s="28">
        <f t="shared" si="3"/>
        <v>0.29327949522398539</v>
      </c>
      <c r="F37" s="28">
        <f t="shared" si="3"/>
        <v>6.4159293948733556</v>
      </c>
      <c r="G37" s="28">
        <f t="shared" si="3"/>
        <v>18.647678081361388</v>
      </c>
      <c r="H37" s="28">
        <f t="shared" si="3"/>
        <v>6.1884609779300241</v>
      </c>
      <c r="I37" s="28">
        <f t="shared" si="3"/>
        <v>0.026851713032013887</v>
      </c>
      <c r="J37" s="28">
        <f t="shared" si="3"/>
        <v>0.47516587492753726</v>
      </c>
      <c r="K37" s="28">
        <f t="shared" si="3"/>
        <v>111.07996837048709</v>
      </c>
      <c r="L37" s="28">
        <f t="shared" si="3"/>
        <v>3.2713418556047804</v>
      </c>
      <c r="M37" s="28">
        <f t="shared" si="3"/>
        <v>17.005765214875669</v>
      </c>
      <c r="N37" s="28">
        <f t="shared" si="3"/>
        <v>244.97991573253267</v>
      </c>
      <c r="O37" s="28">
        <f t="shared" si="3"/>
        <v>0</v>
      </c>
      <c r="P37" s="28">
        <f t="shared" si="3"/>
        <v>0.35539221036540197</v>
      </c>
      <c r="Q37" s="28">
        <f t="shared" si="3"/>
        <v>0.50142333643225079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4e95c1-1e52-4c27-a0ae-de9963e32149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518</v>
      </c>
      <c r="B9" s="54">
        <v>8.4700000000000006</v>
      </c>
      <c r="C9" s="54">
        <v>35.590000000000003</v>
      </c>
      <c r="D9" s="54">
        <v>27.08</v>
      </c>
      <c r="E9" s="54">
        <v>2.72</v>
      </c>
      <c r="F9" s="54">
        <v>5.98</v>
      </c>
      <c r="G9" s="54">
        <v>50.64</v>
      </c>
      <c r="H9" s="54">
        <v>25.78</v>
      </c>
      <c r="I9" s="54">
        <v>1.56</v>
      </c>
      <c r="J9" s="54">
        <v>1.29</v>
      </c>
      <c r="K9" s="54">
        <v>116.38</v>
      </c>
      <c r="L9" s="54">
        <v>21.70</v>
      </c>
      <c r="M9" s="54">
        <v>67.98</v>
      </c>
      <c r="N9" s="54">
        <v>42.60</v>
      </c>
      <c r="O9" s="54">
        <v>0</v>
      </c>
      <c r="P9" s="54">
        <v>1.08</v>
      </c>
      <c r="Q9" s="54">
        <v>5.0199999999999996</v>
      </c>
      <c r="R9" s="43"/>
      <c r="S9" s="43"/>
      <c r="T9" s="43"/>
      <c r="U9" s="43"/>
    </row>
    <row r="10" spans="1:21" s="11" customFormat="1" ht="15">
      <c r="A10" s="53" t="s">
        <v>519</v>
      </c>
      <c r="B10" s="54">
        <v>6.32</v>
      </c>
      <c r="C10" s="54">
        <v>32.32</v>
      </c>
      <c r="D10" s="54">
        <v>23.20</v>
      </c>
      <c r="E10" s="54">
        <v>2.58</v>
      </c>
      <c r="F10" s="54">
        <v>6.15</v>
      </c>
      <c r="G10" s="54">
        <v>44.98</v>
      </c>
      <c r="H10" s="54">
        <v>24.52</v>
      </c>
      <c r="I10" s="54">
        <v>1.48</v>
      </c>
      <c r="J10" s="54">
        <v>0.94</v>
      </c>
      <c r="K10" s="54">
        <v>112.85</v>
      </c>
      <c r="L10" s="54">
        <v>21.11</v>
      </c>
      <c r="M10" s="54">
        <v>73.5</v>
      </c>
      <c r="N10" s="54">
        <v>42.60</v>
      </c>
      <c r="O10" s="54">
        <v>0</v>
      </c>
      <c r="P10" s="54">
        <v>0.89</v>
      </c>
      <c r="Q10" s="54">
        <v>5.21</v>
      </c>
      <c r="R10" s="43"/>
      <c r="S10" s="43"/>
      <c r="T10" s="43"/>
      <c r="U10" s="43"/>
    </row>
    <row r="11" spans="1:21" s="11" customFormat="1" ht="15">
      <c r="A11" s="53" t="s">
        <v>520</v>
      </c>
      <c r="B11" s="54">
        <v>4.8899999999999997</v>
      </c>
      <c r="C11" s="54">
        <v>31.49</v>
      </c>
      <c r="D11" s="54">
        <v>21.94</v>
      </c>
      <c r="E11" s="54">
        <v>2.5</v>
      </c>
      <c r="F11" s="54">
        <v>4.6100000000000003</v>
      </c>
      <c r="G11" s="54">
        <v>42.32</v>
      </c>
      <c r="H11" s="54">
        <v>22.48</v>
      </c>
      <c r="I11" s="54">
        <v>1.59</v>
      </c>
      <c r="J11" s="54">
        <v>0.98</v>
      </c>
      <c r="K11" s="54">
        <v>105.73</v>
      </c>
      <c r="L11" s="54">
        <v>20.38</v>
      </c>
      <c r="M11" s="54">
        <v>76.64</v>
      </c>
      <c r="N11" s="54">
        <v>42.40</v>
      </c>
      <c r="O11" s="54">
        <v>0</v>
      </c>
      <c r="P11" s="54">
        <v>0.81</v>
      </c>
      <c r="Q11" s="54">
        <v>5.21</v>
      </c>
      <c r="R11" s="43"/>
      <c r="S11" s="43"/>
      <c r="T11" s="43"/>
      <c r="U11" s="43"/>
    </row>
    <row r="12" spans="1:21" s="11" customFormat="1" ht="15">
      <c r="A12" s="53" t="s">
        <v>521</v>
      </c>
      <c r="B12" s="54">
        <v>4.5199999999999996</v>
      </c>
      <c r="C12" s="54">
        <v>30.72</v>
      </c>
      <c r="D12" s="54">
        <v>21.05</v>
      </c>
      <c r="E12" s="54">
        <v>2.4500000000000002</v>
      </c>
      <c r="F12" s="54">
        <v>3.72</v>
      </c>
      <c r="G12" s="54">
        <v>39.92</v>
      </c>
      <c r="H12" s="54">
        <v>21.17</v>
      </c>
      <c r="I12" s="54">
        <v>1.59</v>
      </c>
      <c r="J12" s="54">
        <v>0.41</v>
      </c>
      <c r="K12" s="54">
        <v>340.12</v>
      </c>
      <c r="L12" s="54">
        <v>19.80</v>
      </c>
      <c r="M12" s="54">
        <v>87.66</v>
      </c>
      <c r="N12" s="54">
        <v>43.20</v>
      </c>
      <c r="O12" s="54">
        <v>0</v>
      </c>
      <c r="P12" s="54">
        <v>0.70</v>
      </c>
      <c r="Q12" s="54">
        <v>5.21</v>
      </c>
      <c r="R12" s="43"/>
      <c r="S12" s="43"/>
      <c r="T12" s="43"/>
      <c r="U12" s="43"/>
    </row>
    <row r="13" spans="1:21" s="11" customFormat="1" ht="15">
      <c r="A13" s="53" t="s">
        <v>522</v>
      </c>
      <c r="B13" s="54">
        <v>6.72</v>
      </c>
      <c r="C13" s="54">
        <v>33.94</v>
      </c>
      <c r="D13" s="54">
        <v>24.77</v>
      </c>
      <c r="E13" s="54">
        <v>2.33</v>
      </c>
      <c r="F13" s="54">
        <v>4.01</v>
      </c>
      <c r="G13" s="54">
        <v>40.159999999999997</v>
      </c>
      <c r="H13" s="54">
        <v>20.65</v>
      </c>
      <c r="I13" s="54">
        <v>1.53</v>
      </c>
      <c r="J13" s="54">
        <v>0.32</v>
      </c>
      <c r="K13" s="54">
        <v>353.12</v>
      </c>
      <c r="L13" s="54">
        <v>18.25</v>
      </c>
      <c r="M13" s="54">
        <v>89.88</v>
      </c>
      <c r="N13" s="54">
        <v>42.80</v>
      </c>
      <c r="O13" s="54">
        <v>0</v>
      </c>
      <c r="P13" s="54">
        <v>0.67</v>
      </c>
      <c r="Q13" s="54">
        <v>5.21</v>
      </c>
      <c r="R13" s="43"/>
      <c r="S13" s="43"/>
      <c r="T13" s="43"/>
      <c r="U13" s="43"/>
    </row>
    <row r="14" spans="1:21" s="11" customFormat="1" ht="15">
      <c r="A14" s="53" t="s">
        <v>523</v>
      </c>
      <c r="B14" s="54">
        <v>8.99</v>
      </c>
      <c r="C14" s="54">
        <v>34.33</v>
      </c>
      <c r="D14" s="54">
        <v>26.67</v>
      </c>
      <c r="E14" s="54">
        <v>2.36</v>
      </c>
      <c r="F14" s="54">
        <v>4.28</v>
      </c>
      <c r="G14" s="54">
        <v>43.33</v>
      </c>
      <c r="H14" s="54">
        <v>24.01</v>
      </c>
      <c r="I14" s="54">
        <v>1.52</v>
      </c>
      <c r="J14" s="54">
        <v>0.30</v>
      </c>
      <c r="K14" s="54">
        <v>351.27</v>
      </c>
      <c r="L14" s="54">
        <v>17.66</v>
      </c>
      <c r="M14" s="54">
        <v>89.70</v>
      </c>
      <c r="N14" s="54">
        <v>43.10</v>
      </c>
      <c r="O14" s="54">
        <v>0</v>
      </c>
      <c r="P14" s="54">
        <v>0.67</v>
      </c>
      <c r="Q14" s="54">
        <v>4.92</v>
      </c>
      <c r="R14" s="43"/>
      <c r="S14" s="43"/>
      <c r="T14" s="43"/>
      <c r="U14" s="43"/>
    </row>
    <row r="15" spans="1:21" s="11" customFormat="1" ht="15">
      <c r="A15" s="53" t="s">
        <v>524</v>
      </c>
      <c r="B15" s="54">
        <v>12.67</v>
      </c>
      <c r="C15" s="54">
        <v>36.43</v>
      </c>
      <c r="D15" s="54">
        <v>30.59</v>
      </c>
      <c r="E15" s="54">
        <v>2.36</v>
      </c>
      <c r="F15" s="54">
        <v>3.69</v>
      </c>
      <c r="G15" s="54">
        <v>44.85</v>
      </c>
      <c r="H15" s="54">
        <v>21.16</v>
      </c>
      <c r="I15" s="54">
        <v>1.52</v>
      </c>
      <c r="J15" s="54">
        <v>0.89</v>
      </c>
      <c r="K15" s="54">
        <v>343.31</v>
      </c>
      <c r="L15" s="54">
        <v>18.5</v>
      </c>
      <c r="M15" s="54">
        <v>87.11</v>
      </c>
      <c r="N15" s="54">
        <v>101.5</v>
      </c>
      <c r="O15" s="54">
        <v>0</v>
      </c>
      <c r="P15" s="54">
        <v>0.72</v>
      </c>
      <c r="Q15" s="54">
        <v>4.9000000000000004</v>
      </c>
      <c r="R15" s="43"/>
      <c r="S15" s="43"/>
      <c r="T15" s="43"/>
      <c r="U15" s="43"/>
    </row>
    <row r="16" spans="1:21" s="11" customFormat="1" ht="15">
      <c r="A16" s="53" t="s">
        <v>525</v>
      </c>
      <c r="B16" s="54">
        <v>14.90</v>
      </c>
      <c r="C16" s="54">
        <v>37.619999999999997</v>
      </c>
      <c r="D16" s="54">
        <v>32.76</v>
      </c>
      <c r="E16" s="54">
        <v>2.34</v>
      </c>
      <c r="F16" s="54">
        <v>3.53</v>
      </c>
      <c r="G16" s="54">
        <v>57.23</v>
      </c>
      <c r="H16" s="54">
        <v>23.25</v>
      </c>
      <c r="I16" s="54">
        <v>1.53</v>
      </c>
      <c r="J16" s="54">
        <v>0.56000000000000005</v>
      </c>
      <c r="K16" s="54">
        <v>349.70</v>
      </c>
      <c r="L16" s="54">
        <v>22.20</v>
      </c>
      <c r="M16" s="54">
        <v>81.84</v>
      </c>
      <c r="N16" s="54">
        <v>376.10</v>
      </c>
      <c r="O16" s="54">
        <v>0</v>
      </c>
      <c r="P16" s="54">
        <v>0.83</v>
      </c>
      <c r="Q16" s="54">
        <v>5.38</v>
      </c>
      <c r="R16" s="43"/>
      <c r="S16" s="43"/>
      <c r="T16" s="43"/>
      <c r="U16" s="43"/>
    </row>
    <row r="17" spans="1:21" s="11" customFormat="1" ht="15">
      <c r="A17" s="53" t="s">
        <v>526</v>
      </c>
      <c r="B17" s="54">
        <v>14.94</v>
      </c>
      <c r="C17" s="54">
        <v>37.11</v>
      </c>
      <c r="D17" s="54">
        <v>32.5</v>
      </c>
      <c r="E17" s="54">
        <v>2.27</v>
      </c>
      <c r="F17" s="54">
        <v>3.73</v>
      </c>
      <c r="G17" s="54">
        <v>69.97</v>
      </c>
      <c r="H17" s="54">
        <v>29.60</v>
      </c>
      <c r="I17" s="54">
        <v>1.51</v>
      </c>
      <c r="J17" s="54">
        <v>0.20</v>
      </c>
      <c r="K17" s="54">
        <v>341.70</v>
      </c>
      <c r="L17" s="54">
        <v>24.26</v>
      </c>
      <c r="M17" s="54">
        <v>65.70</v>
      </c>
      <c r="N17" s="54">
        <v>517.60</v>
      </c>
      <c r="O17" s="54">
        <v>0</v>
      </c>
      <c r="P17" s="54">
        <v>0.86</v>
      </c>
      <c r="Q17" s="54">
        <v>5.37</v>
      </c>
      <c r="R17" s="43"/>
      <c r="S17" s="43"/>
      <c r="T17" s="43"/>
      <c r="U17" s="43"/>
    </row>
    <row r="18" spans="1:21" s="11" customFormat="1" ht="15">
      <c r="A18" s="53" t="s">
        <v>527</v>
      </c>
      <c r="B18" s="54">
        <v>12.73</v>
      </c>
      <c r="C18" s="54">
        <v>37.75</v>
      </c>
      <c r="D18" s="54">
        <v>31.69</v>
      </c>
      <c r="E18" s="54">
        <v>2.27</v>
      </c>
      <c r="F18" s="54">
        <v>4.46</v>
      </c>
      <c r="G18" s="54">
        <v>66.09</v>
      </c>
      <c r="H18" s="54">
        <v>29.41</v>
      </c>
      <c r="I18" s="54">
        <v>1.57</v>
      </c>
      <c r="J18" s="54">
        <v>0.92</v>
      </c>
      <c r="K18" s="54">
        <v>120.85</v>
      </c>
      <c r="L18" s="54">
        <v>25.23</v>
      </c>
      <c r="M18" s="54">
        <v>63.97</v>
      </c>
      <c r="N18" s="54">
        <v>695.10</v>
      </c>
      <c r="O18" s="54">
        <v>0</v>
      </c>
      <c r="P18" s="54">
        <v>0.85</v>
      </c>
      <c r="Q18" s="54">
        <v>5.24</v>
      </c>
      <c r="R18" s="43"/>
      <c r="S18" s="43"/>
      <c r="T18" s="43"/>
      <c r="U18" s="43"/>
    </row>
    <row r="19" spans="1:21" s="11" customFormat="1" ht="15">
      <c r="A19" s="53" t="s">
        <v>528</v>
      </c>
      <c r="B19" s="54">
        <v>7.53</v>
      </c>
      <c r="C19" s="54">
        <v>37.270000000000003</v>
      </c>
      <c r="D19" s="54">
        <v>27.25</v>
      </c>
      <c r="E19" s="54">
        <v>2.25</v>
      </c>
      <c r="F19" s="54">
        <v>11.72</v>
      </c>
      <c r="G19" s="54">
        <v>59.41</v>
      </c>
      <c r="H19" s="54">
        <v>28.24</v>
      </c>
      <c r="I19" s="54">
        <v>1.60</v>
      </c>
      <c r="J19" s="54">
        <v>1.26</v>
      </c>
      <c r="K19" s="54">
        <v>113.23</v>
      </c>
      <c r="L19" s="54">
        <v>25.91</v>
      </c>
      <c r="M19" s="54">
        <v>56.66</v>
      </c>
      <c r="N19" s="54">
        <v>729.80</v>
      </c>
      <c r="O19" s="54">
        <v>0</v>
      </c>
      <c r="P19" s="54">
        <v>0.79</v>
      </c>
      <c r="Q19" s="54">
        <v>5.21</v>
      </c>
      <c r="R19" s="43"/>
      <c r="S19" s="43"/>
      <c r="T19" s="43"/>
      <c r="U19" s="43"/>
    </row>
    <row r="20" spans="1:21" s="11" customFormat="1" ht="15">
      <c r="A20" s="53" t="s">
        <v>529</v>
      </c>
      <c r="B20" s="54">
        <v>3.68</v>
      </c>
      <c r="C20" s="54">
        <v>35.26</v>
      </c>
      <c r="D20" s="54">
        <v>22.58</v>
      </c>
      <c r="E20" s="54">
        <v>2.2999999999999998</v>
      </c>
      <c r="F20" s="54">
        <v>15.74</v>
      </c>
      <c r="G20" s="54">
        <v>42.76</v>
      </c>
      <c r="H20" s="54">
        <v>25.30</v>
      </c>
      <c r="I20" s="54">
        <v>1.59</v>
      </c>
      <c r="J20" s="54">
        <v>1.28</v>
      </c>
      <c r="K20" s="54">
        <v>105.24</v>
      </c>
      <c r="L20" s="54">
        <v>27.74</v>
      </c>
      <c r="M20" s="54">
        <v>47.85</v>
      </c>
      <c r="N20" s="54">
        <v>747.5</v>
      </c>
      <c r="O20" s="54">
        <v>0</v>
      </c>
      <c r="P20" s="54">
        <v>0.66</v>
      </c>
      <c r="Q20" s="54">
        <v>5.21</v>
      </c>
      <c r="R20" s="43"/>
      <c r="S20" s="43"/>
      <c r="T20" s="43"/>
      <c r="U20" s="43"/>
    </row>
    <row r="21" spans="1:21" s="11" customFormat="1" ht="15">
      <c r="A21" s="53" t="s">
        <v>530</v>
      </c>
      <c r="B21" s="54">
        <v>7.46</v>
      </c>
      <c r="C21" s="54">
        <v>37.130000000000003</v>
      </c>
      <c r="D21" s="54">
        <v>25.85</v>
      </c>
      <c r="E21" s="54">
        <v>2.52</v>
      </c>
      <c r="F21" s="54">
        <v>8.34</v>
      </c>
      <c r="G21" s="54">
        <v>44.90</v>
      </c>
      <c r="H21" s="54">
        <v>24.5</v>
      </c>
      <c r="I21" s="54">
        <v>1.52</v>
      </c>
      <c r="J21" s="54">
        <v>0.47</v>
      </c>
      <c r="K21" s="54">
        <v>108.20</v>
      </c>
      <c r="L21" s="54">
        <v>27.96</v>
      </c>
      <c r="M21" s="54">
        <v>43.94</v>
      </c>
      <c r="N21" s="54">
        <v>547</v>
      </c>
      <c r="O21" s="54">
        <v>0</v>
      </c>
      <c r="P21" s="54">
        <v>0.64</v>
      </c>
      <c r="Q21" s="54">
        <v>5.21</v>
      </c>
      <c r="R21" s="43"/>
      <c r="S21" s="43"/>
      <c r="T21" s="43"/>
      <c r="U21" s="43"/>
    </row>
    <row r="22" spans="1:21" s="11" customFormat="1" ht="15">
      <c r="A22" s="53" t="s">
        <v>531</v>
      </c>
      <c r="B22" s="54">
        <v>5.86</v>
      </c>
      <c r="C22" s="54">
        <v>40.409999999999997</v>
      </c>
      <c r="D22" s="54">
        <v>26.82</v>
      </c>
      <c r="E22" s="54">
        <v>2.60</v>
      </c>
      <c r="F22" s="54">
        <v>20.63</v>
      </c>
      <c r="G22" s="54">
        <v>37.46</v>
      </c>
      <c r="H22" s="54">
        <v>23.64</v>
      </c>
      <c r="I22" s="54">
        <v>1.56</v>
      </c>
      <c r="J22" s="54">
        <v>0.55000000000000004</v>
      </c>
      <c r="K22" s="54">
        <v>105.81</v>
      </c>
      <c r="L22" s="54">
        <v>27.40</v>
      </c>
      <c r="M22" s="54">
        <v>43.14</v>
      </c>
      <c r="N22" s="54">
        <v>454.30</v>
      </c>
      <c r="O22" s="54">
        <v>0</v>
      </c>
      <c r="P22" s="54">
        <v>0.61</v>
      </c>
      <c r="Q22" s="54">
        <v>5.03</v>
      </c>
      <c r="R22" s="43"/>
      <c r="S22" s="43"/>
      <c r="T22" s="43"/>
      <c r="U22" s="43"/>
    </row>
    <row r="23" spans="1:21" s="11" customFormat="1" ht="15">
      <c r="A23" s="53" t="s">
        <v>532</v>
      </c>
      <c r="B23" s="54">
        <v>4.6100000000000003</v>
      </c>
      <c r="C23" s="54">
        <v>37.799999999999997</v>
      </c>
      <c r="D23" s="54">
        <v>25.21</v>
      </c>
      <c r="E23" s="54">
        <v>2.58</v>
      </c>
      <c r="F23" s="54">
        <v>10.57</v>
      </c>
      <c r="G23" s="54">
        <v>45.67</v>
      </c>
      <c r="H23" s="54">
        <v>25.14</v>
      </c>
      <c r="I23" s="54">
        <v>1.59</v>
      </c>
      <c r="J23" s="54">
        <v>1.55</v>
      </c>
      <c r="K23" s="54">
        <v>113.58</v>
      </c>
      <c r="L23" s="54">
        <v>26.58</v>
      </c>
      <c r="M23" s="54">
        <v>43.27</v>
      </c>
      <c r="N23" s="54">
        <v>203.10</v>
      </c>
      <c r="O23" s="54">
        <v>0</v>
      </c>
      <c r="P23" s="54">
        <v>0.61</v>
      </c>
      <c r="Q23" s="54">
        <v>5.21</v>
      </c>
      <c r="R23" s="43"/>
      <c r="S23" s="43"/>
      <c r="T23" s="43"/>
      <c r="U23" s="43"/>
    </row>
    <row r="24" spans="1:21" s="11" customFormat="1" ht="15">
      <c r="A24" s="53" t="s">
        <v>533</v>
      </c>
      <c r="B24" s="54">
        <v>4.32</v>
      </c>
      <c r="C24" s="54">
        <v>39.450000000000003</v>
      </c>
      <c r="D24" s="54">
        <v>25.88</v>
      </c>
      <c r="E24" s="54">
        <v>2.5499999999999998</v>
      </c>
      <c r="F24" s="54">
        <v>13.46</v>
      </c>
      <c r="G24" s="54">
        <v>42.68</v>
      </c>
      <c r="H24" s="54">
        <v>23.56</v>
      </c>
      <c r="I24" s="54">
        <v>1.5</v>
      </c>
      <c r="J24" s="54">
        <v>1.76</v>
      </c>
      <c r="K24" s="54">
        <v>113.54</v>
      </c>
      <c r="L24" s="54">
        <v>25.90</v>
      </c>
      <c r="M24" s="54">
        <v>45.27</v>
      </c>
      <c r="N24" s="54">
        <v>153.30000000000001</v>
      </c>
      <c r="O24" s="54">
        <v>0</v>
      </c>
      <c r="P24" s="54">
        <v>0.57999999999999996</v>
      </c>
      <c r="Q24" s="54">
        <v>5.21</v>
      </c>
      <c r="R24" s="43"/>
      <c r="S24" s="43"/>
      <c r="T24" s="43"/>
      <c r="U24" s="43"/>
    </row>
    <row r="25" spans="1:21" s="11" customFormat="1" ht="15">
      <c r="A25" s="53" t="s">
        <v>534</v>
      </c>
      <c r="B25" s="54">
        <v>2.83</v>
      </c>
      <c r="C25" s="54">
        <v>36.25</v>
      </c>
      <c r="D25" s="54">
        <v>22.44</v>
      </c>
      <c r="E25" s="54">
        <v>2.29</v>
      </c>
      <c r="F25" s="54">
        <v>18.670000000000002</v>
      </c>
      <c r="G25" s="54">
        <v>28.40</v>
      </c>
      <c r="H25" s="54">
        <v>18.12</v>
      </c>
      <c r="I25" s="54">
        <v>1.54</v>
      </c>
      <c r="J25" s="54">
        <v>1.57</v>
      </c>
      <c r="K25" s="54">
        <v>116.53</v>
      </c>
      <c r="L25" s="54">
        <v>24.84</v>
      </c>
      <c r="M25" s="54">
        <v>48.59</v>
      </c>
      <c r="N25" s="54">
        <v>77.20</v>
      </c>
      <c r="O25" s="54">
        <v>0</v>
      </c>
      <c r="P25" s="54">
        <v>0.48</v>
      </c>
      <c r="Q25" s="54">
        <v>5.13</v>
      </c>
      <c r="R25" s="43"/>
      <c r="S25" s="43"/>
      <c r="T25" s="43"/>
      <c r="U25" s="43"/>
    </row>
    <row r="26" spans="1:21" s="11" customFormat="1" ht="15">
      <c r="A26" s="53" t="s">
        <v>535</v>
      </c>
      <c r="B26" s="54">
        <v>2.77</v>
      </c>
      <c r="C26" s="54">
        <v>38.270000000000003</v>
      </c>
      <c r="D26" s="54">
        <v>23.98</v>
      </c>
      <c r="E26" s="54">
        <v>2.2200000000000002</v>
      </c>
      <c r="F26" s="54">
        <v>9.5</v>
      </c>
      <c r="G26" s="54">
        <v>23.95</v>
      </c>
      <c r="H26" s="54">
        <v>17.829999999999998</v>
      </c>
      <c r="I26" s="54">
        <v>1.53</v>
      </c>
      <c r="J26" s="54">
        <v>1.17</v>
      </c>
      <c r="K26" s="54">
        <v>103.90</v>
      </c>
      <c r="L26" s="54">
        <v>23.87</v>
      </c>
      <c r="M26" s="54">
        <v>53.25</v>
      </c>
      <c r="N26" s="54">
        <v>30.70</v>
      </c>
      <c r="O26" s="54">
        <v>0</v>
      </c>
      <c r="P26" s="54">
        <v>0.48</v>
      </c>
      <c r="Q26" s="54">
        <v>4.92</v>
      </c>
      <c r="R26" s="43"/>
      <c r="S26" s="43"/>
      <c r="T26" s="43"/>
      <c r="U26" s="43"/>
    </row>
    <row r="27" spans="1:21" s="11" customFormat="1" ht="15">
      <c r="A27" s="53" t="s">
        <v>536</v>
      </c>
      <c r="B27" s="54">
        <v>3.79</v>
      </c>
      <c r="C27" s="54">
        <v>45.69</v>
      </c>
      <c r="D27" s="54">
        <v>28.45</v>
      </c>
      <c r="E27" s="54">
        <v>2.31</v>
      </c>
      <c r="F27" s="54">
        <v>6.71</v>
      </c>
      <c r="G27" s="54">
        <v>30.46</v>
      </c>
      <c r="H27" s="54">
        <v>15.14</v>
      </c>
      <c r="I27" s="54">
        <v>1.55</v>
      </c>
      <c r="J27" s="54">
        <v>0.85</v>
      </c>
      <c r="K27" s="54">
        <v>101.46</v>
      </c>
      <c r="L27" s="54">
        <v>23.07</v>
      </c>
      <c r="M27" s="54">
        <v>54.07</v>
      </c>
      <c r="N27" s="54">
        <v>26.10</v>
      </c>
      <c r="O27" s="54">
        <v>0</v>
      </c>
      <c r="P27" s="54">
        <v>0.56999999999999995</v>
      </c>
      <c r="Q27" s="54">
        <v>5.0199999999999996</v>
      </c>
      <c r="R27" s="43"/>
      <c r="S27" s="43"/>
      <c r="T27" s="43"/>
      <c r="U27" s="43"/>
    </row>
    <row r="28" spans="1:21" s="11" customFormat="1" ht="15">
      <c r="A28" s="53" t="s">
        <v>537</v>
      </c>
      <c r="B28" s="54">
        <v>5</v>
      </c>
      <c r="C28" s="54">
        <v>43.91</v>
      </c>
      <c r="D28" s="54">
        <v>28.32</v>
      </c>
      <c r="E28" s="54">
        <v>2.29</v>
      </c>
      <c r="F28" s="54">
        <v>7.19</v>
      </c>
      <c r="G28" s="54">
        <v>43.76</v>
      </c>
      <c r="H28" s="54">
        <v>17.920000000000002</v>
      </c>
      <c r="I28" s="54">
        <v>1.60</v>
      </c>
      <c r="J28" s="54">
        <v>1.22</v>
      </c>
      <c r="K28" s="54">
        <v>107.72</v>
      </c>
      <c r="L28" s="54">
        <v>22.55</v>
      </c>
      <c r="M28" s="54">
        <v>56.75</v>
      </c>
      <c r="N28" s="54">
        <v>26</v>
      </c>
      <c r="O28" s="54">
        <v>0</v>
      </c>
      <c r="P28" s="54">
        <v>0.61</v>
      </c>
      <c r="Q28" s="54">
        <v>5.17</v>
      </c>
      <c r="R28" s="43"/>
      <c r="S28" s="43"/>
      <c r="T28" s="43"/>
      <c r="U28" s="43"/>
    </row>
    <row r="29" spans="1:21" s="11" customFormat="1" ht="15">
      <c r="A29" s="53" t="s">
        <v>538</v>
      </c>
      <c r="B29" s="54">
        <v>5.48</v>
      </c>
      <c r="C29" s="54">
        <v>40.31</v>
      </c>
      <c r="D29" s="54">
        <v>27.23</v>
      </c>
      <c r="E29" s="54">
        <v>2.41</v>
      </c>
      <c r="F29" s="54">
        <v>6.23</v>
      </c>
      <c r="G29" s="54">
        <v>51.63</v>
      </c>
      <c r="H29" s="54">
        <v>20.54</v>
      </c>
      <c r="I29" s="54">
        <v>1.54</v>
      </c>
      <c r="J29" s="54">
        <v>1.25</v>
      </c>
      <c r="K29" s="54">
        <v>108.5</v>
      </c>
      <c r="L29" s="54">
        <v>22.11</v>
      </c>
      <c r="M29" s="54">
        <v>58.83</v>
      </c>
      <c r="N29" s="54">
        <v>26.20</v>
      </c>
      <c r="O29" s="54">
        <v>0</v>
      </c>
      <c r="P29" s="54">
        <v>0.65</v>
      </c>
      <c r="Q29" s="54">
        <v>5.22</v>
      </c>
      <c r="R29" s="43"/>
      <c r="S29" s="43"/>
      <c r="T29" s="43"/>
      <c r="U29" s="43"/>
    </row>
    <row r="30" spans="1:21" s="11" customFormat="1" ht="15">
      <c r="A30" s="53" t="s">
        <v>539</v>
      </c>
      <c r="B30" s="54">
        <v>5.85</v>
      </c>
      <c r="C30" s="54">
        <v>39.450000000000003</v>
      </c>
      <c r="D30" s="54">
        <v>27.05</v>
      </c>
      <c r="E30" s="54">
        <v>2.34</v>
      </c>
      <c r="F30" s="54">
        <v>5.13</v>
      </c>
      <c r="G30" s="54">
        <v>49.90</v>
      </c>
      <c r="H30" s="54">
        <v>20.94</v>
      </c>
      <c r="I30" s="54">
        <v>1.52</v>
      </c>
      <c r="J30" s="54">
        <v>1.64</v>
      </c>
      <c r="K30" s="54">
        <v>97.78</v>
      </c>
      <c r="L30" s="54">
        <v>21.92</v>
      </c>
      <c r="M30" s="54">
        <v>57.60</v>
      </c>
      <c r="N30" s="54">
        <v>26.40</v>
      </c>
      <c r="O30" s="54">
        <v>0</v>
      </c>
      <c r="P30" s="54">
        <v>0.67</v>
      </c>
      <c r="Q30" s="54">
        <v>5.39</v>
      </c>
      <c r="R30" s="43"/>
      <c r="S30" s="43"/>
      <c r="T30" s="43"/>
      <c r="U30" s="43"/>
    </row>
    <row r="31" spans="1:21" s="11" customFormat="1" ht="15">
      <c r="A31" s="53" t="s">
        <v>540</v>
      </c>
      <c r="B31" s="54">
        <v>4.8099999999999996</v>
      </c>
      <c r="C31" s="54">
        <v>37.97</v>
      </c>
      <c r="D31" s="54">
        <v>25.21</v>
      </c>
      <c r="E31" s="54">
        <v>2.2799999999999998</v>
      </c>
      <c r="F31" s="54">
        <v>4.51</v>
      </c>
      <c r="G31" s="54">
        <v>45.01</v>
      </c>
      <c r="H31" s="54">
        <v>17.36</v>
      </c>
      <c r="I31" s="54">
        <v>1.58</v>
      </c>
      <c r="J31" s="54">
        <v>1.67</v>
      </c>
      <c r="K31" s="54">
        <v>103.39</v>
      </c>
      <c r="L31" s="54">
        <v>21.42</v>
      </c>
      <c r="M31" s="54">
        <v>61.58</v>
      </c>
      <c r="N31" s="54">
        <v>26.5</v>
      </c>
      <c r="O31" s="54">
        <v>0</v>
      </c>
      <c r="P31" s="54">
        <v>0.64</v>
      </c>
      <c r="Q31" s="54">
        <v>5.28</v>
      </c>
      <c r="R31" s="43"/>
      <c r="S31" s="43"/>
      <c r="T31" s="43"/>
      <c r="U31" s="43"/>
    </row>
    <row r="32" spans="1:21" s="11" customFormat="1" ht="15">
      <c r="A32" s="53" t="s">
        <v>541</v>
      </c>
      <c r="B32" s="54">
        <v>3.74</v>
      </c>
      <c r="C32" s="54">
        <v>37.340000000000003</v>
      </c>
      <c r="D32" s="54">
        <v>24.26</v>
      </c>
      <c r="E32" s="54">
        <v>2.2799999999999998</v>
      </c>
      <c r="F32" s="54">
        <v>4.30</v>
      </c>
      <c r="G32" s="54">
        <v>41.24</v>
      </c>
      <c r="H32" s="54">
        <v>19.45</v>
      </c>
      <c r="I32" s="54">
        <v>1.56</v>
      </c>
      <c r="J32" s="54">
        <v>1.51</v>
      </c>
      <c r="K32" s="54">
        <v>102.96</v>
      </c>
      <c r="L32" s="54">
        <v>20.82</v>
      </c>
      <c r="M32" s="54">
        <v>66.12</v>
      </c>
      <c r="N32" s="54">
        <v>26.40</v>
      </c>
      <c r="O32" s="54">
        <v>0</v>
      </c>
      <c r="P32" s="54">
        <v>0.61</v>
      </c>
      <c r="Q32" s="54">
        <v>5.14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2.77</v>
      </c>
      <c r="C34" s="28">
        <f t="shared" si="0"/>
        <v>30.719999999999999</v>
      </c>
      <c r="D34" s="28">
        <f t="shared" si="0"/>
        <v>21.050000000000001</v>
      </c>
      <c r="E34" s="28">
        <f t="shared" si="0"/>
        <v>2.2200000000000002</v>
      </c>
      <c r="F34" s="28">
        <f t="shared" si="0"/>
        <v>3.5299999999999998</v>
      </c>
      <c r="G34" s="28">
        <f t="shared" si="0"/>
        <v>23.949999999999999</v>
      </c>
      <c r="H34" s="28">
        <f t="shared" si="0"/>
        <v>15.140000000000001</v>
      </c>
      <c r="I34" s="28">
        <f t="shared" si="0"/>
        <v>1.48</v>
      </c>
      <c r="J34" s="28">
        <f t="shared" si="0"/>
        <v>0.20000000000000001</v>
      </c>
      <c r="K34" s="28">
        <f t="shared" si="0"/>
        <v>97.780000000000001</v>
      </c>
      <c r="L34" s="28">
        <f t="shared" si="0"/>
        <v>17.66</v>
      </c>
      <c r="M34" s="28">
        <f t="shared" si="0"/>
        <v>43.140000000000001</v>
      </c>
      <c r="N34" s="28">
        <f t="shared" si="0"/>
        <v>26</v>
      </c>
      <c r="O34" s="28">
        <f t="shared" si="0"/>
        <v>0</v>
      </c>
      <c r="P34" s="28">
        <f t="shared" si="0"/>
        <v>0.47999999999999998</v>
      </c>
      <c r="Q34" s="28">
        <f t="shared" si="0"/>
        <v>4.9000000000000004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14.94</v>
      </c>
      <c r="C35" s="29">
        <f t="shared" si="1"/>
        <v>45.689999999999998</v>
      </c>
      <c r="D35" s="29">
        <f t="shared" si="1"/>
        <v>32.759999999999998</v>
      </c>
      <c r="E35" s="29">
        <f t="shared" si="1"/>
        <v>2.7200000000000002</v>
      </c>
      <c r="F35" s="29">
        <f t="shared" si="1"/>
        <v>20.629999999999999</v>
      </c>
      <c r="G35" s="29">
        <f t="shared" si="1"/>
        <v>69.969999999999999</v>
      </c>
      <c r="H35" s="29">
        <f t="shared" si="1"/>
        <v>29.600000000000001</v>
      </c>
      <c r="I35" s="29">
        <f t="shared" si="1"/>
        <v>1.6000000000000001</v>
      </c>
      <c r="J35" s="29">
        <f t="shared" si="1"/>
        <v>1.76</v>
      </c>
      <c r="K35" s="29">
        <f t="shared" si="1"/>
        <v>353.12</v>
      </c>
      <c r="L35" s="29">
        <f t="shared" si="1"/>
        <v>27.960000000000001</v>
      </c>
      <c r="M35" s="29">
        <f t="shared" si="1"/>
        <v>89.879999999999995</v>
      </c>
      <c r="N35" s="29">
        <f t="shared" si="1"/>
        <v>747.5</v>
      </c>
      <c r="O35" s="29">
        <f t="shared" si="1"/>
        <v>0</v>
      </c>
      <c r="P35" s="29">
        <f t="shared" si="1"/>
        <v>1.0800000000000001</v>
      </c>
      <c r="Q35" s="29">
        <f t="shared" si="1"/>
        <v>5.3899999999999997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6.786666666666668</v>
      </c>
      <c r="C36" s="28">
        <f t="shared" si="2"/>
        <v>37.242083333333333</v>
      </c>
      <c r="D36" s="28">
        <f t="shared" si="2"/>
        <v>26.365833333333331</v>
      </c>
      <c r="E36" s="28">
        <f t="shared" si="2"/>
        <v>2.3916666666666671</v>
      </c>
      <c r="F36" s="28">
        <f t="shared" si="2"/>
        <v>7.7858333333333336</v>
      </c>
      <c r="G36" s="28">
        <f t="shared" si="2"/>
        <v>45.280000000000001</v>
      </c>
      <c r="H36" s="28">
        <f t="shared" si="2"/>
        <v>22.487916666666667</v>
      </c>
      <c r="I36" s="28">
        <f t="shared" si="2"/>
        <v>1.549166666666667</v>
      </c>
      <c r="J36" s="28">
        <f t="shared" si="2"/>
        <v>1.0233333333333337</v>
      </c>
      <c r="K36" s="28">
        <f t="shared" si="2"/>
        <v>168.20291666666662</v>
      </c>
      <c r="L36" s="28">
        <f t="shared" si="2"/>
        <v>22.965833333333332</v>
      </c>
      <c r="M36" s="28">
        <f t="shared" si="2"/>
        <v>63.370833333333316</v>
      </c>
      <c r="N36" s="28">
        <f t="shared" si="2"/>
        <v>210.3125</v>
      </c>
      <c r="O36" s="28">
        <f t="shared" si="2"/>
        <v>0</v>
      </c>
      <c r="P36" s="28">
        <f t="shared" si="2"/>
        <v>0.69499999999999995</v>
      </c>
      <c r="Q36" s="28">
        <f t="shared" si="2"/>
        <v>5.1674999999999995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3.6173430877500055</v>
      </c>
      <c r="C37" s="28">
        <f t="shared" si="3" ref="C37:Q37">STDEV(C9:C32)</f>
        <v>3.4572016569910171</v>
      </c>
      <c r="D37" s="28">
        <f t="shared" si="3"/>
        <v>3.2244472619237712</v>
      </c>
      <c r="E37" s="28">
        <f t="shared" si="3"/>
        <v>0.13675324228464045</v>
      </c>
      <c r="F37" s="28">
        <f t="shared" si="3"/>
        <v>4.9376397430233858</v>
      </c>
      <c r="G37" s="28">
        <f t="shared" si="3"/>
        <v>10.624195110178015</v>
      </c>
      <c r="H37" s="28">
        <f t="shared" si="3"/>
        <v>3.817240044583385</v>
      </c>
      <c r="I37" s="28">
        <f t="shared" si="3"/>
        <v>0.034251837991516647</v>
      </c>
      <c r="J37" s="28">
        <f t="shared" si="3"/>
        <v>0.4819766065644282</v>
      </c>
      <c r="K37" s="28">
        <f t="shared" si="3"/>
        <v>105.33862983066308</v>
      </c>
      <c r="L37" s="28">
        <f t="shared" si="3"/>
        <v>3.0256007907401856</v>
      </c>
      <c r="M37" s="28">
        <f t="shared" si="3"/>
        <v>15.487264028919036</v>
      </c>
      <c r="N37" s="28">
        <f t="shared" si="3"/>
        <v>257.49734369672552</v>
      </c>
      <c r="O37" s="28">
        <f t="shared" si="3"/>
        <v>0</v>
      </c>
      <c r="P37" s="28">
        <f t="shared" si="3"/>
        <v>0.13831281496162429</v>
      </c>
      <c r="Q37" s="28">
        <f t="shared" si="3"/>
        <v>0.13693063937628791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099d8c-b282-4b2f-94c1-7afea401f3d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39" sqref="E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542</v>
      </c>
      <c r="B9" s="54">
        <v>3.44</v>
      </c>
      <c r="C9" s="54">
        <v>34.18</v>
      </c>
      <c r="D9" s="54">
        <v>22.23</v>
      </c>
      <c r="E9" s="54">
        <v>2.2400000000000002</v>
      </c>
      <c r="F9" s="54">
        <v>5.59</v>
      </c>
      <c r="G9" s="54">
        <v>42.54</v>
      </c>
      <c r="H9" s="54">
        <v>18.809999999999999</v>
      </c>
      <c r="I9" s="54">
        <v>1.55</v>
      </c>
      <c r="J9" s="54">
        <v>0.78</v>
      </c>
      <c r="K9" s="54">
        <v>293.36</v>
      </c>
      <c r="L9" s="54">
        <v>20.37</v>
      </c>
      <c r="M9" s="54">
        <v>71.16</v>
      </c>
      <c r="N9" s="54">
        <v>27.10</v>
      </c>
      <c r="O9" s="54">
        <v>0</v>
      </c>
      <c r="P9" s="54">
        <v>0.56999999999999995</v>
      </c>
      <c r="Q9" s="54">
        <v>5.0999999999999996</v>
      </c>
      <c r="R9" s="43"/>
      <c r="S9" s="43"/>
      <c r="T9" s="43"/>
      <c r="U9" s="43"/>
    </row>
    <row r="10" spans="1:21" s="11" customFormat="1" ht="15">
      <c r="A10" s="53" t="s">
        <v>543</v>
      </c>
      <c r="B10" s="54">
        <v>4.57</v>
      </c>
      <c r="C10" s="54">
        <v>33.31</v>
      </c>
      <c r="D10" s="54">
        <v>22.65</v>
      </c>
      <c r="E10" s="54">
        <v>2.23</v>
      </c>
      <c r="F10" s="54">
        <v>4.67</v>
      </c>
      <c r="G10" s="54">
        <v>43.13</v>
      </c>
      <c r="H10" s="54">
        <v>19.73</v>
      </c>
      <c r="I10" s="54">
        <v>1.54</v>
      </c>
      <c r="J10" s="54">
        <v>0.13</v>
      </c>
      <c r="K10" s="54">
        <v>311.64999999999998</v>
      </c>
      <c r="L10" s="54">
        <v>18.96</v>
      </c>
      <c r="M10" s="54">
        <v>89.29</v>
      </c>
      <c r="N10" s="54">
        <v>27.10</v>
      </c>
      <c r="O10" s="54">
        <v>0</v>
      </c>
      <c r="P10" s="54">
        <v>0.57999999999999996</v>
      </c>
      <c r="Q10" s="54">
        <v>5.0999999999999996</v>
      </c>
      <c r="R10" s="43"/>
      <c r="S10" s="43"/>
      <c r="T10" s="43"/>
      <c r="U10" s="43"/>
    </row>
    <row r="11" spans="1:21" s="11" customFormat="1" ht="15">
      <c r="A11" s="53" t="s">
        <v>544</v>
      </c>
      <c r="B11" s="54">
        <v>6.48</v>
      </c>
      <c r="C11" s="54">
        <v>33.36</v>
      </c>
      <c r="D11" s="54">
        <v>24.22</v>
      </c>
      <c r="E11" s="54">
        <v>2.27</v>
      </c>
      <c r="F11" s="54">
        <v>5.61</v>
      </c>
      <c r="G11" s="54">
        <v>42.12</v>
      </c>
      <c r="H11" s="54">
        <v>17.77</v>
      </c>
      <c r="I11" s="54">
        <v>1.52</v>
      </c>
      <c r="J11" s="54">
        <v>0.40</v>
      </c>
      <c r="K11" s="54">
        <v>313.70999999999998</v>
      </c>
      <c r="L11" s="54">
        <v>18.350000000000001</v>
      </c>
      <c r="M11" s="54">
        <v>88.95</v>
      </c>
      <c r="N11" s="54">
        <v>26.70</v>
      </c>
      <c r="O11" s="54">
        <v>0</v>
      </c>
      <c r="P11" s="54">
        <v>0.57999999999999996</v>
      </c>
      <c r="Q11" s="54">
        <v>5.35</v>
      </c>
      <c r="R11" s="43"/>
      <c r="S11" s="43"/>
      <c r="T11" s="43"/>
      <c r="U11" s="43"/>
    </row>
    <row r="12" spans="1:21" s="11" customFormat="1" ht="15">
      <c r="A12" s="53" t="s">
        <v>545</v>
      </c>
      <c r="B12" s="54">
        <v>8.1300000000000008</v>
      </c>
      <c r="C12" s="54">
        <v>35.92</v>
      </c>
      <c r="D12" s="54">
        <v>26.99</v>
      </c>
      <c r="E12" s="54">
        <v>2.2599999999999998</v>
      </c>
      <c r="F12" s="54">
        <v>3.66</v>
      </c>
      <c r="G12" s="54">
        <v>50.47</v>
      </c>
      <c r="H12" s="54">
        <v>19.34</v>
      </c>
      <c r="I12" s="54">
        <v>1.56</v>
      </c>
      <c r="J12" s="54">
        <v>1.18</v>
      </c>
      <c r="K12" s="54">
        <v>349.07</v>
      </c>
      <c r="L12" s="54">
        <v>17.88</v>
      </c>
      <c r="M12" s="54">
        <v>85.98</v>
      </c>
      <c r="N12" s="54">
        <v>26.60</v>
      </c>
      <c r="O12" s="54">
        <v>0</v>
      </c>
      <c r="P12" s="54">
        <v>0.63</v>
      </c>
      <c r="Q12" s="54">
        <v>5.34</v>
      </c>
      <c r="R12" s="43"/>
      <c r="S12" s="43"/>
      <c r="T12" s="43"/>
      <c r="U12" s="43"/>
    </row>
    <row r="13" spans="1:21" s="11" customFormat="1" ht="15">
      <c r="A13" s="53" t="s">
        <v>546</v>
      </c>
      <c r="B13" s="54">
        <v>8.83</v>
      </c>
      <c r="C13" s="54">
        <v>35.909999999999997</v>
      </c>
      <c r="D13" s="54">
        <v>27.54</v>
      </c>
      <c r="E13" s="54">
        <v>2.21</v>
      </c>
      <c r="F13" s="54">
        <v>3.80</v>
      </c>
      <c r="G13" s="54">
        <v>76.66</v>
      </c>
      <c r="H13" s="54">
        <v>30.67</v>
      </c>
      <c r="I13" s="54">
        <v>1.56</v>
      </c>
      <c r="J13" s="54">
        <v>0.90</v>
      </c>
      <c r="K13" s="54">
        <v>344.27</v>
      </c>
      <c r="L13" s="54">
        <v>17.72</v>
      </c>
      <c r="M13" s="54">
        <v>84.72</v>
      </c>
      <c r="N13" s="54">
        <v>26.80</v>
      </c>
      <c r="O13" s="54">
        <v>0</v>
      </c>
      <c r="P13" s="54">
        <v>0.70</v>
      </c>
      <c r="Q13" s="54">
        <v>5.52</v>
      </c>
      <c r="R13" s="43"/>
      <c r="S13" s="43"/>
      <c r="T13" s="43"/>
      <c r="U13" s="43"/>
    </row>
    <row r="14" spans="1:21" s="11" customFormat="1" ht="15">
      <c r="A14" s="53" t="s">
        <v>547</v>
      </c>
      <c r="B14" s="54">
        <v>9.2899999999999991</v>
      </c>
      <c r="C14" s="54">
        <v>35.35</v>
      </c>
      <c r="D14" s="54">
        <v>27.60</v>
      </c>
      <c r="E14" s="54">
        <v>2.2000000000000002</v>
      </c>
      <c r="F14" s="54">
        <v>3.45</v>
      </c>
      <c r="G14" s="54">
        <v>75.39</v>
      </c>
      <c r="H14" s="54">
        <v>29.91</v>
      </c>
      <c r="I14" s="54">
        <v>1.55</v>
      </c>
      <c r="J14" s="54">
        <v>0.33</v>
      </c>
      <c r="K14" s="54">
        <v>349.31</v>
      </c>
      <c r="L14" s="54">
        <v>17.41</v>
      </c>
      <c r="M14" s="54">
        <v>87.10</v>
      </c>
      <c r="N14" s="54">
        <v>27</v>
      </c>
      <c r="O14" s="54">
        <v>0</v>
      </c>
      <c r="P14" s="54">
        <v>0.73</v>
      </c>
      <c r="Q14" s="54">
        <v>5.49</v>
      </c>
      <c r="R14" s="43"/>
      <c r="S14" s="43"/>
      <c r="T14" s="43"/>
      <c r="U14" s="43"/>
    </row>
    <row r="15" spans="1:21" s="11" customFormat="1" ht="15">
      <c r="A15" s="53" t="s">
        <v>548</v>
      </c>
      <c r="B15" s="54">
        <v>12.88</v>
      </c>
      <c r="C15" s="54">
        <v>37.28</v>
      </c>
      <c r="D15" s="54">
        <v>31.54</v>
      </c>
      <c r="E15" s="54">
        <v>2.19</v>
      </c>
      <c r="F15" s="54">
        <v>3.20</v>
      </c>
      <c r="G15" s="54">
        <v>68.19</v>
      </c>
      <c r="H15" s="54">
        <v>28.64</v>
      </c>
      <c r="I15" s="54">
        <v>1.54</v>
      </c>
      <c r="J15" s="54">
        <v>0.22</v>
      </c>
      <c r="K15" s="54">
        <v>345.56</v>
      </c>
      <c r="L15" s="54">
        <v>17.68</v>
      </c>
      <c r="M15" s="54">
        <v>88.73</v>
      </c>
      <c r="N15" s="54">
        <v>72.900000000000006</v>
      </c>
      <c r="O15" s="54">
        <v>0</v>
      </c>
      <c r="P15" s="54">
        <v>0.78</v>
      </c>
      <c r="Q15" s="54">
        <v>5.78</v>
      </c>
      <c r="R15" s="43"/>
      <c r="S15" s="43"/>
      <c r="T15" s="43"/>
      <c r="U15" s="43"/>
    </row>
    <row r="16" spans="1:21" s="11" customFormat="1" ht="15">
      <c r="A16" s="53" t="s">
        <v>549</v>
      </c>
      <c r="B16" s="54">
        <v>17.34</v>
      </c>
      <c r="C16" s="54">
        <v>38.85</v>
      </c>
      <c r="D16" s="54">
        <v>35.78</v>
      </c>
      <c r="E16" s="54">
        <v>2.23</v>
      </c>
      <c r="F16" s="54">
        <v>3.20</v>
      </c>
      <c r="G16" s="54">
        <v>66.66</v>
      </c>
      <c r="H16" s="54">
        <v>29.05</v>
      </c>
      <c r="I16" s="54">
        <v>1.56</v>
      </c>
      <c r="J16" s="54">
        <v>0.71</v>
      </c>
      <c r="K16" s="54">
        <v>334.31</v>
      </c>
      <c r="L16" s="54">
        <v>21.04</v>
      </c>
      <c r="M16" s="54">
        <v>81.78</v>
      </c>
      <c r="N16" s="54">
        <v>303.39999999999998</v>
      </c>
      <c r="O16" s="54">
        <v>0</v>
      </c>
      <c r="P16" s="54">
        <v>0.86</v>
      </c>
      <c r="Q16" s="54">
        <v>6.19</v>
      </c>
      <c r="R16" s="43"/>
      <c r="S16" s="43"/>
      <c r="T16" s="43"/>
      <c r="U16" s="43"/>
    </row>
    <row r="17" spans="1:21" s="11" customFormat="1" ht="15">
      <c r="A17" s="53" t="s">
        <v>550</v>
      </c>
      <c r="B17" s="54">
        <v>16.88</v>
      </c>
      <c r="C17" s="54">
        <v>39.57</v>
      </c>
      <c r="D17" s="54">
        <v>35.49</v>
      </c>
      <c r="E17" s="54">
        <v>2.2400000000000002</v>
      </c>
      <c r="F17" s="54">
        <v>4.1399999999999997</v>
      </c>
      <c r="G17" s="54">
        <v>77.34</v>
      </c>
      <c r="H17" s="54">
        <v>29.81</v>
      </c>
      <c r="I17" s="54">
        <v>1.53</v>
      </c>
      <c r="J17" s="54">
        <v>0.72</v>
      </c>
      <c r="K17" s="54">
        <v>314.93</v>
      </c>
      <c r="L17" s="54">
        <v>23.62</v>
      </c>
      <c r="M17" s="54">
        <v>65.98</v>
      </c>
      <c r="N17" s="54">
        <v>488.5</v>
      </c>
      <c r="O17" s="54">
        <v>0</v>
      </c>
      <c r="P17" s="54">
        <v>0.86</v>
      </c>
      <c r="Q17" s="54">
        <v>6.18</v>
      </c>
      <c r="R17" s="43"/>
      <c r="S17" s="43"/>
      <c r="T17" s="43"/>
      <c r="U17" s="43"/>
    </row>
    <row r="18" spans="1:21" s="11" customFormat="1" ht="15">
      <c r="A18" s="53" t="s">
        <v>551</v>
      </c>
      <c r="B18" s="54">
        <v>13.80</v>
      </c>
      <c r="C18" s="54">
        <v>39.29</v>
      </c>
      <c r="D18" s="54">
        <v>33.40</v>
      </c>
      <c r="E18" s="54">
        <v>2.2999999999999998</v>
      </c>
      <c r="F18" s="54">
        <v>5.86</v>
      </c>
      <c r="G18" s="54">
        <v>73.739999999999995</v>
      </c>
      <c r="H18" s="54">
        <v>29.59</v>
      </c>
      <c r="I18" s="54">
        <v>1.52</v>
      </c>
      <c r="J18" s="54">
        <v>0.86</v>
      </c>
      <c r="K18" s="54">
        <v>313.08999999999997</v>
      </c>
      <c r="L18" s="54">
        <v>24.67</v>
      </c>
      <c r="M18" s="54">
        <v>63.63</v>
      </c>
      <c r="N18" s="54">
        <v>636.5</v>
      </c>
      <c r="O18" s="54">
        <v>0</v>
      </c>
      <c r="P18" s="54">
        <v>0.86</v>
      </c>
      <c r="Q18" s="54">
        <v>5.95</v>
      </c>
      <c r="R18" s="43"/>
      <c r="S18" s="43"/>
      <c r="T18" s="43"/>
      <c r="U18" s="43"/>
    </row>
    <row r="19" spans="1:21" s="11" customFormat="1" ht="15">
      <c r="A19" s="53" t="s">
        <v>552</v>
      </c>
      <c r="B19" s="54">
        <v>10.62</v>
      </c>
      <c r="C19" s="54">
        <v>38.39</v>
      </c>
      <c r="D19" s="54">
        <v>30.20</v>
      </c>
      <c r="E19" s="54">
        <v>2.3199999999999998</v>
      </c>
      <c r="F19" s="54">
        <v>5.27</v>
      </c>
      <c r="G19" s="54">
        <v>65.489999999999995</v>
      </c>
      <c r="H19" s="54">
        <v>29.55</v>
      </c>
      <c r="I19" s="54">
        <v>1.54</v>
      </c>
      <c r="J19" s="54">
        <v>1.67</v>
      </c>
      <c r="K19" s="54">
        <v>121.70</v>
      </c>
      <c r="L19" s="54">
        <v>26.78</v>
      </c>
      <c r="M19" s="54">
        <v>56.07</v>
      </c>
      <c r="N19" s="54">
        <v>694.30</v>
      </c>
      <c r="O19" s="54">
        <v>0</v>
      </c>
      <c r="P19" s="54">
        <v>0.83</v>
      </c>
      <c r="Q19" s="54">
        <v>5.81</v>
      </c>
      <c r="R19" s="43"/>
      <c r="S19" s="43"/>
      <c r="T19" s="43"/>
      <c r="U19" s="43"/>
    </row>
    <row r="20" spans="1:21" s="11" customFormat="1" ht="15">
      <c r="A20" s="53" t="s">
        <v>553</v>
      </c>
      <c r="B20" s="54">
        <v>8.24</v>
      </c>
      <c r="C20" s="54">
        <v>39.54</v>
      </c>
      <c r="D20" s="54">
        <v>29.07</v>
      </c>
      <c r="E20" s="54">
        <v>2.34</v>
      </c>
      <c r="F20" s="54">
        <v>6.77</v>
      </c>
      <c r="G20" s="54">
        <v>58.74</v>
      </c>
      <c r="H20" s="54">
        <v>26.95</v>
      </c>
      <c r="I20" s="54">
        <v>1.56</v>
      </c>
      <c r="J20" s="54">
        <v>0.81</v>
      </c>
      <c r="K20" s="54">
        <v>350.82</v>
      </c>
      <c r="L20" s="54">
        <v>29.03</v>
      </c>
      <c r="M20" s="54">
        <v>44.37</v>
      </c>
      <c r="N20" s="54">
        <v>679</v>
      </c>
      <c r="O20" s="54">
        <v>0</v>
      </c>
      <c r="P20" s="54">
        <v>0.81</v>
      </c>
      <c r="Q20" s="54">
        <v>5.54</v>
      </c>
      <c r="R20" s="43"/>
      <c r="S20" s="43"/>
      <c r="T20" s="43"/>
      <c r="U20" s="43"/>
    </row>
    <row r="21" spans="1:21" s="11" customFormat="1" ht="15">
      <c r="A21" s="53" t="s">
        <v>554</v>
      </c>
      <c r="B21" s="54">
        <v>6.47</v>
      </c>
      <c r="C21" s="54">
        <v>42.20</v>
      </c>
      <c r="D21" s="54">
        <v>28.5</v>
      </c>
      <c r="E21" s="54">
        <v>2.27</v>
      </c>
      <c r="F21" s="54">
        <v>7</v>
      </c>
      <c r="G21" s="54">
        <v>54.06</v>
      </c>
      <c r="H21" s="54">
        <v>26.96</v>
      </c>
      <c r="I21" s="54">
        <v>1.62</v>
      </c>
      <c r="J21" s="54">
        <v>1.04</v>
      </c>
      <c r="K21" s="54">
        <v>114.56</v>
      </c>
      <c r="L21" s="54">
        <v>27.69</v>
      </c>
      <c r="M21" s="54">
        <v>43.59</v>
      </c>
      <c r="N21" s="54">
        <v>685.20</v>
      </c>
      <c r="O21" s="54">
        <v>0</v>
      </c>
      <c r="P21" s="54">
        <v>0.79</v>
      </c>
      <c r="Q21" s="54">
        <v>5.47</v>
      </c>
      <c r="R21" s="43"/>
      <c r="S21" s="43"/>
      <c r="T21" s="43"/>
      <c r="U21" s="43"/>
    </row>
    <row r="22" spans="1:21" s="11" customFormat="1" ht="15">
      <c r="A22" s="53" t="s">
        <v>555</v>
      </c>
      <c r="B22" s="54">
        <v>4.59</v>
      </c>
      <c r="C22" s="54">
        <v>41.44</v>
      </c>
      <c r="D22" s="54">
        <v>27.13</v>
      </c>
      <c r="E22" s="54">
        <v>2.52</v>
      </c>
      <c r="F22" s="54">
        <v>8.0299999999999994</v>
      </c>
      <c r="G22" s="54">
        <v>50.41</v>
      </c>
      <c r="H22" s="54">
        <v>26.86</v>
      </c>
      <c r="I22" s="54">
        <v>1.58</v>
      </c>
      <c r="J22" s="54">
        <v>0.83</v>
      </c>
      <c r="K22" s="54">
        <v>330.28</v>
      </c>
      <c r="L22" s="54">
        <v>28.15</v>
      </c>
      <c r="M22" s="54">
        <v>41.30</v>
      </c>
      <c r="N22" s="54">
        <v>606</v>
      </c>
      <c r="O22" s="54">
        <v>0</v>
      </c>
      <c r="P22" s="54">
        <v>0.75</v>
      </c>
      <c r="Q22" s="54">
        <v>5.27</v>
      </c>
      <c r="R22" s="43"/>
      <c r="S22" s="43"/>
      <c r="T22" s="43"/>
      <c r="U22" s="43"/>
    </row>
    <row r="23" spans="1:21" s="11" customFormat="1" ht="15">
      <c r="A23" s="53" t="s">
        <v>556</v>
      </c>
      <c r="B23" s="54">
        <v>4.59</v>
      </c>
      <c r="C23" s="54">
        <v>41.14</v>
      </c>
      <c r="D23" s="54">
        <v>26.85</v>
      </c>
      <c r="E23" s="54">
        <v>2.68</v>
      </c>
      <c r="F23" s="54">
        <v>16.57</v>
      </c>
      <c r="G23" s="54">
        <v>48.24</v>
      </c>
      <c r="H23" s="54">
        <v>20.67</v>
      </c>
      <c r="I23" s="54">
        <v>1.55</v>
      </c>
      <c r="J23" s="54">
        <v>1.02</v>
      </c>
      <c r="K23" s="54">
        <v>353.57</v>
      </c>
      <c r="L23" s="54">
        <v>27.47</v>
      </c>
      <c r="M23" s="54">
        <v>43.35</v>
      </c>
      <c r="N23" s="54">
        <v>232.5</v>
      </c>
      <c r="O23" s="54">
        <v>0</v>
      </c>
      <c r="P23" s="54">
        <v>0.74</v>
      </c>
      <c r="Q23" s="54">
        <v>5.14</v>
      </c>
      <c r="R23" s="43"/>
      <c r="S23" s="43"/>
      <c r="T23" s="43"/>
      <c r="U23" s="43"/>
    </row>
    <row r="24" spans="1:21" s="11" customFormat="1" ht="15">
      <c r="A24" s="53" t="s">
        <v>557</v>
      </c>
      <c r="B24" s="54">
        <v>5.32</v>
      </c>
      <c r="C24" s="54">
        <v>43.14</v>
      </c>
      <c r="D24" s="54">
        <v>28.49</v>
      </c>
      <c r="E24" s="54">
        <v>3.04</v>
      </c>
      <c r="F24" s="54">
        <v>22.92</v>
      </c>
      <c r="G24" s="54">
        <v>47.09</v>
      </c>
      <c r="H24" s="54">
        <v>22.26</v>
      </c>
      <c r="I24" s="54">
        <v>1.51</v>
      </c>
      <c r="J24" s="54">
        <v>0.77</v>
      </c>
      <c r="K24" s="54">
        <v>359.19</v>
      </c>
      <c r="L24" s="54">
        <v>26.46</v>
      </c>
      <c r="M24" s="54">
        <v>42.95</v>
      </c>
      <c r="N24" s="54">
        <v>119.60</v>
      </c>
      <c r="O24" s="54">
        <v>0</v>
      </c>
      <c r="P24" s="54">
        <v>0.76</v>
      </c>
      <c r="Q24" s="54">
        <v>5.17</v>
      </c>
      <c r="R24" s="43"/>
      <c r="S24" s="43"/>
      <c r="T24" s="43"/>
      <c r="U24" s="43"/>
    </row>
    <row r="25" spans="1:21" s="11" customFormat="1" ht="15">
      <c r="A25" s="53" t="s">
        <v>558</v>
      </c>
      <c r="B25" s="54">
        <v>5.33</v>
      </c>
      <c r="C25" s="54">
        <v>59.80</v>
      </c>
      <c r="D25" s="54">
        <v>37.93</v>
      </c>
      <c r="E25" s="54">
        <v>4.68</v>
      </c>
      <c r="F25" s="54">
        <v>28.04</v>
      </c>
      <c r="G25" s="54">
        <v>47.01</v>
      </c>
      <c r="H25" s="54">
        <v>23.21</v>
      </c>
      <c r="I25" s="54">
        <v>1.55</v>
      </c>
      <c r="J25" s="54">
        <v>0.45</v>
      </c>
      <c r="K25" s="54">
        <v>108.81</v>
      </c>
      <c r="L25" s="54">
        <v>25.32</v>
      </c>
      <c r="M25" s="54">
        <v>47.29</v>
      </c>
      <c r="N25" s="54">
        <v>68.400000000000006</v>
      </c>
      <c r="O25" s="54">
        <v>0</v>
      </c>
      <c r="P25" s="54">
        <v>0.96</v>
      </c>
      <c r="Q25" s="54">
        <v>5.0599999999999996</v>
      </c>
      <c r="R25" s="43"/>
      <c r="S25" s="43"/>
      <c r="T25" s="43"/>
      <c r="U25" s="43"/>
    </row>
    <row r="26" spans="1:21" s="11" customFormat="1" ht="15">
      <c r="A26" s="53" t="s">
        <v>559</v>
      </c>
      <c r="B26" s="54">
        <v>25.72</v>
      </c>
      <c r="C26" s="54">
        <v>72.70</v>
      </c>
      <c r="D26" s="54">
        <v>61.39</v>
      </c>
      <c r="E26" s="54">
        <v>5.01</v>
      </c>
      <c r="F26" s="54">
        <v>19.239999999999998</v>
      </c>
      <c r="G26" s="54">
        <v>46.12</v>
      </c>
      <c r="H26" s="54">
        <v>24.99</v>
      </c>
      <c r="I26" s="54">
        <v>1.60</v>
      </c>
      <c r="J26" s="54">
        <v>0.17</v>
      </c>
      <c r="K26" s="54">
        <v>81.86</v>
      </c>
      <c r="L26" s="54">
        <v>23.59</v>
      </c>
      <c r="M26" s="54">
        <v>64.22</v>
      </c>
      <c r="N26" s="54">
        <v>27.20</v>
      </c>
      <c r="O26" s="54">
        <v>0</v>
      </c>
      <c r="P26" s="54">
        <v>1.69</v>
      </c>
      <c r="Q26" s="54">
        <v>3.34</v>
      </c>
      <c r="R26" s="43"/>
      <c r="S26" s="43"/>
      <c r="T26" s="43"/>
      <c r="U26" s="43"/>
    </row>
    <row r="27" spans="1:21" s="11" customFormat="1" ht="15">
      <c r="A27" s="53" t="s">
        <v>560</v>
      </c>
      <c r="B27" s="54">
        <v>38.47</v>
      </c>
      <c r="C27" s="54">
        <v>74.900000000000006</v>
      </c>
      <c r="D27" s="54">
        <v>72.83</v>
      </c>
      <c r="E27" s="57" t="s">
        <v>14</v>
      </c>
      <c r="F27" s="54">
        <v>5.26</v>
      </c>
      <c r="G27" s="54">
        <v>57.51</v>
      </c>
      <c r="H27" s="54">
        <v>25.53</v>
      </c>
      <c r="I27" s="54">
        <v>1.56</v>
      </c>
      <c r="J27" s="54">
        <v>0.20</v>
      </c>
      <c r="K27" s="54">
        <v>349.21</v>
      </c>
      <c r="L27" s="54">
        <v>22.21</v>
      </c>
      <c r="M27" s="54">
        <v>69.20</v>
      </c>
      <c r="N27" s="54">
        <v>23.60</v>
      </c>
      <c r="O27" s="54">
        <v>0</v>
      </c>
      <c r="P27" s="54">
        <v>2.62</v>
      </c>
      <c r="Q27" s="54">
        <v>3.79</v>
      </c>
      <c r="R27" s="43"/>
      <c r="S27" s="43"/>
      <c r="T27" s="43"/>
      <c r="U27" s="43"/>
    </row>
    <row r="28" spans="1:21" s="11" customFormat="1" ht="15">
      <c r="A28" s="53" t="s">
        <v>561</v>
      </c>
      <c r="B28" s="54">
        <v>53.44</v>
      </c>
      <c r="C28" s="54">
        <v>87.36</v>
      </c>
      <c r="D28" s="54">
        <v>91.72</v>
      </c>
      <c r="E28" s="57" t="s">
        <v>14</v>
      </c>
      <c r="F28" s="54">
        <v>3.73</v>
      </c>
      <c r="G28" s="54">
        <v>82.19</v>
      </c>
      <c r="H28" s="54">
        <v>34.86</v>
      </c>
      <c r="I28" s="54">
        <v>1.54</v>
      </c>
      <c r="J28" s="54">
        <v>0.12</v>
      </c>
      <c r="K28" s="54">
        <v>358.53</v>
      </c>
      <c r="L28" s="54">
        <v>21.18</v>
      </c>
      <c r="M28" s="54">
        <v>69.27</v>
      </c>
      <c r="N28" s="54">
        <v>23.30</v>
      </c>
      <c r="O28" s="54">
        <v>0</v>
      </c>
      <c r="P28" s="54">
        <v>2.70</v>
      </c>
      <c r="Q28" s="54">
        <v>4.42</v>
      </c>
      <c r="R28" s="43"/>
      <c r="S28" s="43"/>
      <c r="T28" s="43"/>
      <c r="U28" s="43"/>
    </row>
    <row r="29" spans="1:21" s="11" customFormat="1" ht="15">
      <c r="A29" s="53" t="s">
        <v>562</v>
      </c>
      <c r="B29" s="54">
        <v>55.11</v>
      </c>
      <c r="C29" s="54">
        <v>74.73</v>
      </c>
      <c r="D29" s="54">
        <v>86.08</v>
      </c>
      <c r="E29" s="57" t="s">
        <v>14</v>
      </c>
      <c r="F29" s="54">
        <v>3.46</v>
      </c>
      <c r="G29" s="54">
        <v>105.34</v>
      </c>
      <c r="H29" s="54">
        <v>40.19</v>
      </c>
      <c r="I29" s="54">
        <v>1.52</v>
      </c>
      <c r="J29" s="54">
        <v>0.14000000000000001</v>
      </c>
      <c r="K29" s="54">
        <v>112.89</v>
      </c>
      <c r="L29" s="54">
        <v>21.05</v>
      </c>
      <c r="M29" s="54">
        <v>67.08</v>
      </c>
      <c r="N29" s="54">
        <v>23.20</v>
      </c>
      <c r="O29" s="54">
        <v>0</v>
      </c>
      <c r="P29" s="54">
        <v>3.13</v>
      </c>
      <c r="Q29" s="54">
        <v>8.0399999999999991</v>
      </c>
      <c r="R29" s="43"/>
      <c r="S29" s="43"/>
      <c r="T29" s="43"/>
      <c r="U29" s="43"/>
    </row>
    <row r="30" spans="1:21" s="11" customFormat="1" ht="15">
      <c r="A30" s="53" t="s">
        <v>563</v>
      </c>
      <c r="B30" s="54">
        <v>56.55</v>
      </c>
      <c r="C30" s="54">
        <v>63.76</v>
      </c>
      <c r="D30" s="54">
        <v>78.290000000000006</v>
      </c>
      <c r="E30" s="57" t="s">
        <v>14</v>
      </c>
      <c r="F30" s="54">
        <v>4.5599999999999996</v>
      </c>
      <c r="G30" s="54">
        <v>107.24</v>
      </c>
      <c r="H30" s="54">
        <v>42.96</v>
      </c>
      <c r="I30" s="54">
        <v>1.55</v>
      </c>
      <c r="J30" s="54">
        <v>0.11</v>
      </c>
      <c r="K30" s="54">
        <v>314.91000000000003</v>
      </c>
      <c r="L30" s="54">
        <v>20.85</v>
      </c>
      <c r="M30" s="54">
        <v>73.91</v>
      </c>
      <c r="N30" s="54">
        <v>23.70</v>
      </c>
      <c r="O30" s="54">
        <v>0</v>
      </c>
      <c r="P30" s="54">
        <v>2.80</v>
      </c>
      <c r="Q30" s="54">
        <v>8.52</v>
      </c>
      <c r="R30" s="43"/>
      <c r="S30" s="43"/>
      <c r="T30" s="43"/>
      <c r="U30" s="43"/>
    </row>
    <row r="31" spans="1:21" s="11" customFormat="1" ht="15">
      <c r="A31" s="53" t="s">
        <v>564</v>
      </c>
      <c r="B31" s="54">
        <v>68.56</v>
      </c>
      <c r="C31" s="54">
        <v>61.78</v>
      </c>
      <c r="D31" s="54">
        <v>89.49</v>
      </c>
      <c r="E31" s="57" t="s">
        <v>14</v>
      </c>
      <c r="F31" s="54">
        <v>3.77</v>
      </c>
      <c r="G31" s="54">
        <v>105.93</v>
      </c>
      <c r="H31" s="54">
        <v>43.37</v>
      </c>
      <c r="I31" s="54">
        <v>1.5</v>
      </c>
      <c r="J31" s="54">
        <v>0.19</v>
      </c>
      <c r="K31" s="54">
        <v>340.98</v>
      </c>
      <c r="L31" s="54">
        <v>19.829999999999998</v>
      </c>
      <c r="M31" s="54">
        <v>76.790000000000006</v>
      </c>
      <c r="N31" s="54">
        <v>23.60</v>
      </c>
      <c r="O31" s="54">
        <v>0</v>
      </c>
      <c r="P31" s="54">
        <v>2.82</v>
      </c>
      <c r="Q31" s="54">
        <v>9.11</v>
      </c>
      <c r="R31" s="43"/>
      <c r="S31" s="43"/>
      <c r="T31" s="43"/>
      <c r="U31" s="43"/>
    </row>
    <row r="32" spans="1:21" s="11" customFormat="1" ht="15">
      <c r="A32" s="53" t="s">
        <v>565</v>
      </c>
      <c r="B32" s="54">
        <v>59.99</v>
      </c>
      <c r="C32" s="54">
        <v>58.02</v>
      </c>
      <c r="D32" s="54">
        <v>78.81</v>
      </c>
      <c r="E32" s="57" t="s">
        <v>14</v>
      </c>
      <c r="F32" s="54">
        <v>4.1100000000000003</v>
      </c>
      <c r="G32" s="54">
        <v>104.95</v>
      </c>
      <c r="H32" s="54">
        <v>42.44</v>
      </c>
      <c r="I32" s="54">
        <v>1.52</v>
      </c>
      <c r="J32" s="54">
        <v>0.12</v>
      </c>
      <c r="K32" s="54">
        <v>316.07</v>
      </c>
      <c r="L32" s="54">
        <v>19.100000000000001</v>
      </c>
      <c r="M32" s="54">
        <v>83.14</v>
      </c>
      <c r="N32" s="54">
        <v>23.70</v>
      </c>
      <c r="O32" s="54">
        <v>0</v>
      </c>
      <c r="P32" s="54">
        <v>2.56</v>
      </c>
      <c r="Q32" s="54">
        <v>10.10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3.4399999999999999</v>
      </c>
      <c r="C34" s="28">
        <f t="shared" si="0"/>
        <v>33.310000000000002</v>
      </c>
      <c r="D34" s="28">
        <f t="shared" si="0"/>
        <v>22.23</v>
      </c>
      <c r="E34" s="28">
        <f t="shared" si="0"/>
        <v>2.1899999999999999</v>
      </c>
      <c r="F34" s="28">
        <f t="shared" si="0"/>
        <v>3.2000000000000002</v>
      </c>
      <c r="G34" s="28">
        <f t="shared" si="0"/>
        <v>42.119999999999997</v>
      </c>
      <c r="H34" s="28">
        <f t="shared" si="0"/>
        <v>17.77</v>
      </c>
      <c r="I34" s="28">
        <f t="shared" si="0"/>
        <v>1.5</v>
      </c>
      <c r="J34" s="28">
        <f t="shared" si="0"/>
        <v>0.11</v>
      </c>
      <c r="K34" s="28">
        <f t="shared" si="0"/>
        <v>81.859999999999999</v>
      </c>
      <c r="L34" s="28">
        <f t="shared" si="0"/>
        <v>17.41</v>
      </c>
      <c r="M34" s="28">
        <f t="shared" si="0"/>
        <v>41.299999999999997</v>
      </c>
      <c r="N34" s="28">
        <f t="shared" si="0"/>
        <v>23.199999999999999</v>
      </c>
      <c r="O34" s="28">
        <f t="shared" si="0"/>
        <v>0</v>
      </c>
      <c r="P34" s="28">
        <f t="shared" si="0"/>
        <v>0.56999999999999995</v>
      </c>
      <c r="Q34" s="28">
        <f t="shared" si="0"/>
        <v>3.3399999999999999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68.560000000000002</v>
      </c>
      <c r="C35" s="29">
        <f t="shared" si="1"/>
        <v>87.359999999999999</v>
      </c>
      <c r="D35" s="29">
        <f t="shared" si="1"/>
        <v>91.719999999999999</v>
      </c>
      <c r="E35" s="29">
        <f t="shared" si="1"/>
        <v>5.0099999999999998</v>
      </c>
      <c r="F35" s="29">
        <f t="shared" si="1"/>
        <v>28.039999999999999</v>
      </c>
      <c r="G35" s="29">
        <f t="shared" si="1"/>
        <v>107.23999999999999</v>
      </c>
      <c r="H35" s="29">
        <f t="shared" si="1"/>
        <v>43.369999999999997</v>
      </c>
      <c r="I35" s="29">
        <f t="shared" si="1"/>
        <v>1.6200000000000001</v>
      </c>
      <c r="J35" s="29">
        <f t="shared" si="1"/>
        <v>1.6699999999999999</v>
      </c>
      <c r="K35" s="29">
        <f t="shared" si="1"/>
        <v>359.19</v>
      </c>
      <c r="L35" s="29">
        <f t="shared" si="1"/>
        <v>29.030000000000001</v>
      </c>
      <c r="M35" s="29">
        <f t="shared" si="1"/>
        <v>89.290000000000006</v>
      </c>
      <c r="N35" s="29">
        <f t="shared" si="1"/>
        <v>694.29999999999995</v>
      </c>
      <c r="O35" s="29">
        <f t="shared" si="1"/>
        <v>0</v>
      </c>
      <c r="P35" s="29">
        <f t="shared" si="1"/>
        <v>3.1299999999999999</v>
      </c>
      <c r="Q35" s="29">
        <f t="shared" si="1"/>
        <v>10.1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21.026666666666667</v>
      </c>
      <c r="C36" s="28">
        <f t="shared" si="2"/>
        <v>48.413333333333334</v>
      </c>
      <c r="D36" s="28">
        <f t="shared" si="2"/>
        <v>43.925833333333337</v>
      </c>
      <c r="E36" s="28">
        <f t="shared" si="2"/>
        <v>2.6238888888888887</v>
      </c>
      <c r="F36" s="28">
        <f t="shared" si="2"/>
        <v>7.5795833333333347</v>
      </c>
      <c r="G36" s="28">
        <f t="shared" si="2"/>
        <v>66.523333333333326</v>
      </c>
      <c r="H36" s="28">
        <f t="shared" si="2"/>
        <v>28.504999999999995</v>
      </c>
      <c r="I36" s="28">
        <f t="shared" si="2"/>
        <v>1.5470833333333334</v>
      </c>
      <c r="J36" s="28">
        <f t="shared" si="2"/>
        <v>0.57791666666666652</v>
      </c>
      <c r="K36" s="28">
        <f t="shared" si="2"/>
        <v>286.77666666666664</v>
      </c>
      <c r="L36" s="28">
        <f t="shared" si="2"/>
        <v>22.350416666666664</v>
      </c>
      <c r="M36" s="28">
        <f t="shared" si="2"/>
        <v>67.910416666666677</v>
      </c>
      <c r="N36" s="28">
        <f t="shared" si="2"/>
        <v>204.82916666666665</v>
      </c>
      <c r="O36" s="28">
        <f t="shared" si="2"/>
        <v>0</v>
      </c>
      <c r="P36" s="28">
        <f t="shared" si="2"/>
        <v>1.2962499999999999</v>
      </c>
      <c r="Q36" s="28">
        <f t="shared" si="2"/>
        <v>5.8658333333333337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21.35527399815399</v>
      </c>
      <c r="C37" s="28">
        <f t="shared" si="3" ref="C37:Q37">STDEV(C9:C32)</f>
        <v>16.153193429505322</v>
      </c>
      <c r="D37" s="28">
        <f t="shared" si="3"/>
        <v>24.411160120031109</v>
      </c>
      <c r="E37" s="28">
        <f t="shared" si="3"/>
        <v>0.83712490380776861</v>
      </c>
      <c r="F37" s="28">
        <f t="shared" si="3"/>
        <v>6.8087932143832841</v>
      </c>
      <c r="G37" s="28">
        <f t="shared" si="3"/>
        <v>21.704847919034268</v>
      </c>
      <c r="H37" s="28">
        <f t="shared" si="3"/>
        <v>7.6310173690640433</v>
      </c>
      <c r="I37" s="28">
        <f t="shared" si="3"/>
        <v>0.027263475593718358</v>
      </c>
      <c r="J37" s="28">
        <f t="shared" si="3"/>
        <v>0.4226312933810365</v>
      </c>
      <c r="K37" s="28">
        <f t="shared" si="3"/>
        <v>95.513554087850679</v>
      </c>
      <c r="L37" s="28">
        <f t="shared" si="3"/>
        <v>3.7870689356266647</v>
      </c>
      <c r="M37" s="28">
        <f t="shared" si="3"/>
        <v>16.869673711224745</v>
      </c>
      <c r="N37" s="28">
        <f t="shared" si="3"/>
        <v>263.37880222247372</v>
      </c>
      <c r="O37" s="28">
        <f t="shared" si="3"/>
        <v>0</v>
      </c>
      <c r="P37" s="28">
        <f t="shared" si="3"/>
        <v>0.90048688520976394</v>
      </c>
      <c r="Q37" s="28">
        <f t="shared" si="3"/>
        <v>1.5808608460243279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COUNT(E9:E32)+6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393687-ee3f-4d31-8f14-89ca43404bd4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39" sqref="E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566</v>
      </c>
      <c r="B9" s="54">
        <v>54.35</v>
      </c>
      <c r="C9" s="54">
        <v>54.08</v>
      </c>
      <c r="D9" s="54">
        <v>72.319999999999993</v>
      </c>
      <c r="E9" s="55" t="s">
        <v>8</v>
      </c>
      <c r="F9" s="54">
        <v>4.24</v>
      </c>
      <c r="G9" s="54">
        <v>102.11</v>
      </c>
      <c r="H9" s="54">
        <v>41.65</v>
      </c>
      <c r="I9" s="54">
        <v>1.53</v>
      </c>
      <c r="J9" s="54">
        <v>0.15</v>
      </c>
      <c r="K9" s="54">
        <v>327.16000000000003</v>
      </c>
      <c r="L9" s="54">
        <v>18.52</v>
      </c>
      <c r="M9" s="54">
        <v>87.44</v>
      </c>
      <c r="N9" s="54">
        <v>23.70</v>
      </c>
      <c r="O9" s="54">
        <v>0</v>
      </c>
      <c r="P9" s="54">
        <v>2.38</v>
      </c>
      <c r="Q9" s="54">
        <v>10.06</v>
      </c>
      <c r="R9" s="43"/>
      <c r="S9" s="43"/>
      <c r="T9" s="43"/>
      <c r="U9" s="43"/>
    </row>
    <row r="10" spans="1:21" s="11" customFormat="1" ht="15">
      <c r="A10" s="53" t="s">
        <v>567</v>
      </c>
      <c r="B10" s="54">
        <v>45.40</v>
      </c>
      <c r="C10" s="54">
        <v>46.01</v>
      </c>
      <c r="D10" s="54">
        <v>62.45</v>
      </c>
      <c r="E10" s="55" t="s">
        <v>8</v>
      </c>
      <c r="F10" s="54">
        <v>4.9400000000000004</v>
      </c>
      <c r="G10" s="54">
        <v>91.54</v>
      </c>
      <c r="H10" s="54">
        <v>39.81</v>
      </c>
      <c r="I10" s="54">
        <v>1.51</v>
      </c>
      <c r="J10" s="54">
        <v>0.97</v>
      </c>
      <c r="K10" s="54">
        <v>325.32</v>
      </c>
      <c r="L10" s="54">
        <v>18.29</v>
      </c>
      <c r="M10" s="54">
        <v>89.81</v>
      </c>
      <c r="N10" s="54">
        <v>24</v>
      </c>
      <c r="O10" s="54">
        <v>0</v>
      </c>
      <c r="P10" s="54">
        <v>2.0299999999999998</v>
      </c>
      <c r="Q10" s="54">
        <v>9.68</v>
      </c>
      <c r="R10" s="43"/>
      <c r="S10" s="43"/>
      <c r="T10" s="43"/>
      <c r="U10" s="43"/>
    </row>
    <row r="11" spans="1:21" s="11" customFormat="1" ht="15">
      <c r="A11" s="53" t="s">
        <v>568</v>
      </c>
      <c r="B11" s="54">
        <v>40.06</v>
      </c>
      <c r="C11" s="54">
        <v>42.30</v>
      </c>
      <c r="D11" s="54">
        <v>56.12</v>
      </c>
      <c r="E11" s="55" t="s">
        <v>8</v>
      </c>
      <c r="F11" s="54">
        <v>3.16</v>
      </c>
      <c r="G11" s="54">
        <v>79.099999999999994</v>
      </c>
      <c r="H11" s="54">
        <v>35.090000000000003</v>
      </c>
      <c r="I11" s="54">
        <v>1.57</v>
      </c>
      <c r="J11" s="54">
        <v>0.28999999999999998</v>
      </c>
      <c r="K11" s="54">
        <v>325.13</v>
      </c>
      <c r="L11" s="54">
        <v>17.059999999999999</v>
      </c>
      <c r="M11" s="54">
        <v>95.98</v>
      </c>
      <c r="N11" s="54">
        <v>23.70</v>
      </c>
      <c r="O11" s="54">
        <v>0</v>
      </c>
      <c r="P11" s="54">
        <v>1.83</v>
      </c>
      <c r="Q11" s="54">
        <v>8.41</v>
      </c>
      <c r="R11" s="43"/>
      <c r="S11" s="43"/>
      <c r="T11" s="43"/>
      <c r="U11" s="43"/>
    </row>
    <row r="12" spans="1:21" s="11" customFormat="1" ht="15">
      <c r="A12" s="53" t="s">
        <v>569</v>
      </c>
      <c r="B12" s="54">
        <v>33.47</v>
      </c>
      <c r="C12" s="54">
        <v>40.57</v>
      </c>
      <c r="D12" s="54">
        <v>49.65</v>
      </c>
      <c r="E12" s="55" t="s">
        <v>8</v>
      </c>
      <c r="F12" s="54">
        <v>3.07</v>
      </c>
      <c r="G12" s="54">
        <v>84.46</v>
      </c>
      <c r="H12" s="54">
        <v>37.64</v>
      </c>
      <c r="I12" s="54">
        <v>1.49</v>
      </c>
      <c r="J12" s="54">
        <v>0.16</v>
      </c>
      <c r="K12" s="54">
        <v>342.55</v>
      </c>
      <c r="L12" s="54">
        <v>16.93</v>
      </c>
      <c r="M12" s="54">
        <v>91.88</v>
      </c>
      <c r="N12" s="54">
        <v>23.60</v>
      </c>
      <c r="O12" s="54">
        <v>0</v>
      </c>
      <c r="P12" s="54">
        <v>1.64</v>
      </c>
      <c r="Q12" s="54">
        <v>7.78</v>
      </c>
      <c r="R12" s="43"/>
      <c r="S12" s="43"/>
      <c r="T12" s="43"/>
      <c r="U12" s="43"/>
    </row>
    <row r="13" spans="1:21" s="11" customFormat="1" ht="15">
      <c r="A13" s="53" t="s">
        <v>570</v>
      </c>
      <c r="B13" s="54">
        <v>27.97</v>
      </c>
      <c r="C13" s="54">
        <v>41.48</v>
      </c>
      <c r="D13" s="54">
        <v>45.68</v>
      </c>
      <c r="E13" s="55" t="s">
        <v>8</v>
      </c>
      <c r="F13" s="54">
        <v>3.14</v>
      </c>
      <c r="G13" s="54">
        <v>102.48</v>
      </c>
      <c r="H13" s="54">
        <v>49.66</v>
      </c>
      <c r="I13" s="54">
        <v>1.64</v>
      </c>
      <c r="J13" s="54">
        <v>0.28999999999999998</v>
      </c>
      <c r="K13" s="54">
        <v>348.63</v>
      </c>
      <c r="L13" s="54">
        <v>16.989999999999998</v>
      </c>
      <c r="M13" s="54">
        <v>88.51</v>
      </c>
      <c r="N13" s="54">
        <v>23.5</v>
      </c>
      <c r="O13" s="54">
        <v>0</v>
      </c>
      <c r="P13" s="54">
        <v>1.49</v>
      </c>
      <c r="Q13" s="54">
        <v>7.32</v>
      </c>
      <c r="R13" s="43"/>
      <c r="S13" s="43"/>
      <c r="T13" s="43"/>
      <c r="U13" s="43"/>
    </row>
    <row r="14" spans="1:21" s="11" customFormat="1" ht="15">
      <c r="A14" s="53" t="s">
        <v>571</v>
      </c>
      <c r="B14" s="54">
        <v>25.43</v>
      </c>
      <c r="C14" s="54">
        <v>43.49</v>
      </c>
      <c r="D14" s="54">
        <v>44.05</v>
      </c>
      <c r="E14" s="55" t="s">
        <v>8</v>
      </c>
      <c r="F14" s="54">
        <v>3.30</v>
      </c>
      <c r="G14" s="54">
        <v>111.13</v>
      </c>
      <c r="H14" s="54">
        <v>52.77</v>
      </c>
      <c r="I14" s="54">
        <v>1.56</v>
      </c>
      <c r="J14" s="54">
        <v>0.64</v>
      </c>
      <c r="K14" s="54">
        <v>354.94</v>
      </c>
      <c r="L14" s="54">
        <v>17.809999999999999</v>
      </c>
      <c r="M14" s="54">
        <v>80.180000000000007</v>
      </c>
      <c r="N14" s="54">
        <v>24</v>
      </c>
      <c r="O14" s="54">
        <v>0</v>
      </c>
      <c r="P14" s="54">
        <v>1.42</v>
      </c>
      <c r="Q14" s="54">
        <v>7.05</v>
      </c>
      <c r="R14" s="43"/>
      <c r="S14" s="43"/>
      <c r="T14" s="43"/>
      <c r="U14" s="43"/>
    </row>
    <row r="15" spans="1:21" s="11" customFormat="1" ht="15">
      <c r="A15" s="53" t="s">
        <v>572</v>
      </c>
      <c r="B15" s="54">
        <v>24.20</v>
      </c>
      <c r="C15" s="54">
        <v>44.92</v>
      </c>
      <c r="D15" s="54">
        <v>44.85</v>
      </c>
      <c r="E15" s="55" t="s">
        <v>8</v>
      </c>
      <c r="F15" s="54">
        <v>3.46</v>
      </c>
      <c r="G15" s="54">
        <v>103.67</v>
      </c>
      <c r="H15" s="54">
        <v>49.74</v>
      </c>
      <c r="I15" s="54">
        <v>1.54</v>
      </c>
      <c r="J15" s="54">
        <v>0.49</v>
      </c>
      <c r="K15" s="54">
        <v>341.36</v>
      </c>
      <c r="L15" s="54">
        <v>17.809999999999999</v>
      </c>
      <c r="M15" s="54">
        <v>83.42</v>
      </c>
      <c r="N15" s="54">
        <v>70.70</v>
      </c>
      <c r="O15" s="54">
        <v>0</v>
      </c>
      <c r="P15" s="54">
        <v>1.26</v>
      </c>
      <c r="Q15" s="54">
        <v>6.87</v>
      </c>
      <c r="R15" s="43"/>
      <c r="S15" s="43"/>
      <c r="T15" s="43"/>
      <c r="U15" s="43"/>
    </row>
    <row r="16" spans="1:21" s="11" customFormat="1" ht="15">
      <c r="A16" s="53" t="s">
        <v>573</v>
      </c>
      <c r="B16" s="54">
        <v>24.32</v>
      </c>
      <c r="C16" s="54">
        <v>45.55</v>
      </c>
      <c r="D16" s="54">
        <v>45.29</v>
      </c>
      <c r="E16" s="55" t="s">
        <v>8</v>
      </c>
      <c r="F16" s="54">
        <v>3.99</v>
      </c>
      <c r="G16" s="54">
        <v>93.71</v>
      </c>
      <c r="H16" s="54">
        <v>46.21</v>
      </c>
      <c r="I16" s="54">
        <v>1.57</v>
      </c>
      <c r="J16" s="54">
        <v>0.77</v>
      </c>
      <c r="K16" s="54">
        <v>343.46</v>
      </c>
      <c r="L16" s="54">
        <v>23.26</v>
      </c>
      <c r="M16" s="54">
        <v>73.45</v>
      </c>
      <c r="N16" s="54">
        <v>279.5</v>
      </c>
      <c r="O16" s="54">
        <v>0</v>
      </c>
      <c r="P16" s="54">
        <v>1.20</v>
      </c>
      <c r="Q16" s="54">
        <v>6.98</v>
      </c>
      <c r="R16" s="43"/>
      <c r="S16" s="43"/>
      <c r="T16" s="43"/>
      <c r="U16" s="43"/>
    </row>
    <row r="17" spans="1:21" s="11" customFormat="1" ht="15">
      <c r="A17" s="53" t="s">
        <v>574</v>
      </c>
      <c r="B17" s="54">
        <v>24.01</v>
      </c>
      <c r="C17" s="54">
        <v>45.92</v>
      </c>
      <c r="D17" s="54">
        <v>44.30</v>
      </c>
      <c r="E17" s="55" t="s">
        <v>8</v>
      </c>
      <c r="F17" s="54">
        <v>3.78</v>
      </c>
      <c r="G17" s="54">
        <v>90.46</v>
      </c>
      <c r="H17" s="54">
        <v>45.23</v>
      </c>
      <c r="I17" s="54">
        <v>1.60</v>
      </c>
      <c r="J17" s="54">
        <v>0.63</v>
      </c>
      <c r="K17" s="54">
        <v>337.34</v>
      </c>
      <c r="L17" s="54">
        <v>24.93</v>
      </c>
      <c r="M17" s="54">
        <v>51.07</v>
      </c>
      <c r="N17" s="54">
        <v>449.10</v>
      </c>
      <c r="O17" s="54">
        <v>0</v>
      </c>
      <c r="P17" s="54">
        <v>1.18</v>
      </c>
      <c r="Q17" s="54">
        <v>6.98</v>
      </c>
      <c r="R17" s="43"/>
      <c r="S17" s="43"/>
      <c r="T17" s="43"/>
      <c r="U17" s="43"/>
    </row>
    <row r="18" spans="1:21" s="11" customFormat="1" ht="15">
      <c r="A18" s="53" t="s">
        <v>575</v>
      </c>
      <c r="B18" s="54">
        <v>20.20</v>
      </c>
      <c r="C18" s="54">
        <v>48.72</v>
      </c>
      <c r="D18" s="54">
        <v>43.73</v>
      </c>
      <c r="E18" s="55" t="s">
        <v>8</v>
      </c>
      <c r="F18" s="54">
        <v>3.63</v>
      </c>
      <c r="G18" s="54">
        <v>85.54</v>
      </c>
      <c r="H18" s="54">
        <v>42.93</v>
      </c>
      <c r="I18" s="54">
        <v>1.55</v>
      </c>
      <c r="J18" s="54">
        <v>0.97</v>
      </c>
      <c r="K18" s="54">
        <v>337.85</v>
      </c>
      <c r="L18" s="54">
        <v>25.43</v>
      </c>
      <c r="M18" s="54">
        <v>54.29</v>
      </c>
      <c r="N18" s="54">
        <v>598.60</v>
      </c>
      <c r="O18" s="54">
        <v>0</v>
      </c>
      <c r="P18" s="54">
        <v>1.1399999999999999</v>
      </c>
      <c r="Q18" s="54">
        <v>6.77</v>
      </c>
      <c r="R18" s="43"/>
      <c r="S18" s="43"/>
      <c r="T18" s="43"/>
      <c r="U18" s="43"/>
    </row>
    <row r="19" spans="1:21" s="11" customFormat="1" ht="15">
      <c r="A19" s="53" t="s">
        <v>576</v>
      </c>
      <c r="B19" s="54">
        <v>13.38</v>
      </c>
      <c r="C19" s="54">
        <v>49.65</v>
      </c>
      <c r="D19" s="54">
        <v>38.78</v>
      </c>
      <c r="E19" s="55" t="s">
        <v>8</v>
      </c>
      <c r="F19" s="54">
        <v>5.07</v>
      </c>
      <c r="G19" s="54">
        <v>79.040000000000006</v>
      </c>
      <c r="H19" s="54">
        <v>39.450000000000003</v>
      </c>
      <c r="I19" s="54">
        <v>1.55</v>
      </c>
      <c r="J19" s="54">
        <v>1.35</v>
      </c>
      <c r="K19" s="54">
        <v>116.10</v>
      </c>
      <c r="L19" s="54">
        <v>26.09</v>
      </c>
      <c r="M19" s="54">
        <v>49.32</v>
      </c>
      <c r="N19" s="54">
        <v>660.70</v>
      </c>
      <c r="O19" s="54">
        <v>0</v>
      </c>
      <c r="P19" s="54">
        <v>1.07</v>
      </c>
      <c r="Q19" s="54">
        <v>6.28</v>
      </c>
      <c r="R19" s="43"/>
      <c r="S19" s="43"/>
      <c r="T19" s="43"/>
      <c r="U19" s="43"/>
    </row>
    <row r="20" spans="1:21" s="11" customFormat="1" ht="15">
      <c r="A20" s="53" t="s">
        <v>577</v>
      </c>
      <c r="B20" s="54">
        <v>6.41</v>
      </c>
      <c r="C20" s="54">
        <v>48.24</v>
      </c>
      <c r="D20" s="54">
        <v>32.409999999999997</v>
      </c>
      <c r="E20" s="55" t="s">
        <v>8</v>
      </c>
      <c r="F20" s="54">
        <v>5.91</v>
      </c>
      <c r="G20" s="54">
        <v>73.31</v>
      </c>
      <c r="H20" s="54">
        <v>36.5</v>
      </c>
      <c r="I20" s="54">
        <v>1.60</v>
      </c>
      <c r="J20" s="54">
        <v>0.87</v>
      </c>
      <c r="K20" s="54">
        <v>343.43</v>
      </c>
      <c r="L20" s="54">
        <v>29.56</v>
      </c>
      <c r="M20" s="54">
        <v>40.909999999999997</v>
      </c>
      <c r="N20" s="54">
        <v>671.80</v>
      </c>
      <c r="O20" s="54">
        <v>0</v>
      </c>
      <c r="P20" s="54">
        <v>0.95</v>
      </c>
      <c r="Q20" s="54">
        <v>5.76</v>
      </c>
      <c r="R20" s="43"/>
      <c r="S20" s="43"/>
      <c r="T20" s="43"/>
      <c r="U20" s="43"/>
    </row>
    <row r="21" spans="1:21" s="11" customFormat="1" ht="15">
      <c r="A21" s="53" t="s">
        <v>578</v>
      </c>
      <c r="B21" s="54">
        <v>4.46</v>
      </c>
      <c r="C21" s="54">
        <v>44.59</v>
      </c>
      <c r="D21" s="54">
        <v>28.77</v>
      </c>
      <c r="E21" s="55" t="s">
        <v>8</v>
      </c>
      <c r="F21" s="54">
        <v>9.19</v>
      </c>
      <c r="G21" s="54">
        <v>68.87</v>
      </c>
      <c r="H21" s="54">
        <v>36.340000000000003</v>
      </c>
      <c r="I21" s="54">
        <v>1.60</v>
      </c>
      <c r="J21" s="54">
        <v>0.67</v>
      </c>
      <c r="K21" s="54">
        <v>144.25</v>
      </c>
      <c r="L21" s="54">
        <v>27.60</v>
      </c>
      <c r="M21" s="54">
        <v>41.74</v>
      </c>
      <c r="N21" s="54">
        <v>642.20000000000005</v>
      </c>
      <c r="O21" s="54">
        <v>0</v>
      </c>
      <c r="P21" s="54">
        <v>0.90</v>
      </c>
      <c r="Q21" s="54">
        <v>5.56</v>
      </c>
      <c r="R21" s="43"/>
      <c r="S21" s="43"/>
      <c r="T21" s="43"/>
      <c r="U21" s="43"/>
    </row>
    <row r="22" spans="1:21" s="11" customFormat="1" ht="15">
      <c r="A22" s="53" t="s">
        <v>579</v>
      </c>
      <c r="B22" s="54">
        <v>5.05</v>
      </c>
      <c r="C22" s="54">
        <v>46.67</v>
      </c>
      <c r="D22" s="54">
        <v>30.45</v>
      </c>
      <c r="E22" s="55" t="s">
        <v>8</v>
      </c>
      <c r="F22" s="54">
        <v>15.22</v>
      </c>
      <c r="G22" s="54">
        <v>66.64</v>
      </c>
      <c r="H22" s="54">
        <v>35.86</v>
      </c>
      <c r="I22" s="54">
        <v>1.5</v>
      </c>
      <c r="J22" s="54">
        <v>1.05</v>
      </c>
      <c r="K22" s="54">
        <v>352.37</v>
      </c>
      <c r="L22" s="54">
        <v>28.91</v>
      </c>
      <c r="M22" s="54">
        <v>40.68</v>
      </c>
      <c r="N22" s="54">
        <v>539.70000000000005</v>
      </c>
      <c r="O22" s="54">
        <v>0</v>
      </c>
      <c r="P22" s="54">
        <v>0.83</v>
      </c>
      <c r="Q22" s="54">
        <v>5.39</v>
      </c>
      <c r="R22" s="43"/>
      <c r="S22" s="43"/>
      <c r="T22" s="43"/>
      <c r="U22" s="43"/>
    </row>
    <row r="23" spans="1:21" s="11" customFormat="1" ht="15">
      <c r="A23" s="53" t="s">
        <v>580</v>
      </c>
      <c r="B23" s="54">
        <v>6.65</v>
      </c>
      <c r="C23" s="54">
        <v>47.41</v>
      </c>
      <c r="D23" s="54">
        <v>32.14</v>
      </c>
      <c r="E23" s="55" t="s">
        <v>8</v>
      </c>
      <c r="F23" s="54">
        <v>16.14</v>
      </c>
      <c r="G23" s="54">
        <v>67.72</v>
      </c>
      <c r="H23" s="54">
        <v>35.950000000000003</v>
      </c>
      <c r="I23" s="54">
        <v>1.61</v>
      </c>
      <c r="J23" s="54">
        <v>0.64</v>
      </c>
      <c r="K23" s="54">
        <v>334.10</v>
      </c>
      <c r="L23" s="54">
        <v>27.98</v>
      </c>
      <c r="M23" s="54">
        <v>40.729999999999997</v>
      </c>
      <c r="N23" s="54">
        <v>226.70</v>
      </c>
      <c r="O23" s="54">
        <v>0</v>
      </c>
      <c r="P23" s="54">
        <v>0.83</v>
      </c>
      <c r="Q23" s="54">
        <v>5.0999999999999996</v>
      </c>
      <c r="R23" s="43"/>
      <c r="S23" s="43"/>
      <c r="T23" s="43"/>
      <c r="U23" s="43"/>
    </row>
    <row r="24" spans="1:21" s="11" customFormat="1" ht="15">
      <c r="A24" s="53" t="s">
        <v>581</v>
      </c>
      <c r="B24" s="54">
        <v>7.19</v>
      </c>
      <c r="C24" s="54">
        <v>46.49</v>
      </c>
      <c r="D24" s="54">
        <v>32.01</v>
      </c>
      <c r="E24" s="55" t="s">
        <v>8</v>
      </c>
      <c r="F24" s="54">
        <v>15.34</v>
      </c>
      <c r="G24" s="54">
        <v>68.22</v>
      </c>
      <c r="H24" s="54">
        <v>33.17</v>
      </c>
      <c r="I24" s="54">
        <v>1.53</v>
      </c>
      <c r="J24" s="54">
        <v>0.70</v>
      </c>
      <c r="K24" s="54">
        <v>333.95</v>
      </c>
      <c r="L24" s="54">
        <v>27.70</v>
      </c>
      <c r="M24" s="54">
        <v>40.85</v>
      </c>
      <c r="N24" s="54">
        <v>139.10</v>
      </c>
      <c r="O24" s="54">
        <v>0</v>
      </c>
      <c r="P24" s="54">
        <v>0.85</v>
      </c>
      <c r="Q24" s="54">
        <v>5.59</v>
      </c>
      <c r="R24" s="43"/>
      <c r="S24" s="43"/>
      <c r="T24" s="43"/>
      <c r="U24" s="43"/>
    </row>
    <row r="25" spans="1:21" s="11" customFormat="1" ht="15">
      <c r="A25" s="53" t="s">
        <v>582</v>
      </c>
      <c r="B25" s="54">
        <v>7.21</v>
      </c>
      <c r="C25" s="54">
        <v>52.44</v>
      </c>
      <c r="D25" s="54">
        <v>35.36</v>
      </c>
      <c r="E25" s="55" t="s">
        <v>8</v>
      </c>
      <c r="F25" s="54">
        <v>17.20</v>
      </c>
      <c r="G25" s="54">
        <v>64.92</v>
      </c>
      <c r="H25" s="54">
        <v>34.5</v>
      </c>
      <c r="I25" s="54">
        <v>1.58</v>
      </c>
      <c r="J25" s="54">
        <v>0.62</v>
      </c>
      <c r="K25" s="54">
        <v>332.15</v>
      </c>
      <c r="L25" s="54">
        <v>26.21</v>
      </c>
      <c r="M25" s="54">
        <v>46.42</v>
      </c>
      <c r="N25" s="54">
        <v>73.20</v>
      </c>
      <c r="O25" s="54">
        <v>0</v>
      </c>
      <c r="P25" s="54">
        <v>0.99</v>
      </c>
      <c r="Q25" s="54">
        <v>5.38</v>
      </c>
      <c r="R25" s="43"/>
      <c r="S25" s="43"/>
      <c r="T25" s="43"/>
      <c r="U25" s="43"/>
    </row>
    <row r="26" spans="1:21" s="11" customFormat="1" ht="15">
      <c r="A26" s="53" t="s">
        <v>583</v>
      </c>
      <c r="B26" s="54">
        <v>19.010000000000002</v>
      </c>
      <c r="C26" s="54">
        <v>75.13</v>
      </c>
      <c r="D26" s="54">
        <v>57.35</v>
      </c>
      <c r="E26" s="55" t="s">
        <v>8</v>
      </c>
      <c r="F26" s="54">
        <v>11.47</v>
      </c>
      <c r="G26" s="54">
        <v>63.25</v>
      </c>
      <c r="H26" s="54">
        <v>33.90</v>
      </c>
      <c r="I26" s="54">
        <v>1.59</v>
      </c>
      <c r="J26" s="54">
        <v>0.52</v>
      </c>
      <c r="K26" s="54">
        <v>352.21</v>
      </c>
      <c r="L26" s="54">
        <v>24.27</v>
      </c>
      <c r="M26" s="54">
        <v>67.040000000000006</v>
      </c>
      <c r="N26" s="54">
        <v>27.80</v>
      </c>
      <c r="O26" s="54">
        <v>0</v>
      </c>
      <c r="P26" s="54">
        <v>1.73</v>
      </c>
      <c r="Q26" s="54">
        <v>5.07</v>
      </c>
      <c r="R26" s="43"/>
      <c r="S26" s="43"/>
      <c r="T26" s="43"/>
      <c r="U26" s="43"/>
    </row>
    <row r="27" spans="1:21" s="11" customFormat="1" ht="15">
      <c r="A27" s="53" t="s">
        <v>584</v>
      </c>
      <c r="B27" s="54">
        <v>26.08</v>
      </c>
      <c r="C27" s="54">
        <v>82.61</v>
      </c>
      <c r="D27" s="54">
        <v>67.150000000000006</v>
      </c>
      <c r="E27" s="55" t="s">
        <v>8</v>
      </c>
      <c r="F27" s="54">
        <v>13.63</v>
      </c>
      <c r="G27" s="54">
        <v>72.040000000000006</v>
      </c>
      <c r="H27" s="54">
        <v>34.26</v>
      </c>
      <c r="I27" s="54">
        <v>1.54</v>
      </c>
      <c r="J27" s="54">
        <v>0.12</v>
      </c>
      <c r="K27" s="54">
        <v>271.63</v>
      </c>
      <c r="L27" s="54">
        <v>22.17</v>
      </c>
      <c r="M27" s="54">
        <v>68.959999999999994</v>
      </c>
      <c r="N27" s="54">
        <v>24.10</v>
      </c>
      <c r="O27" s="54">
        <v>0</v>
      </c>
      <c r="P27" s="54">
        <v>1.98</v>
      </c>
      <c r="Q27" s="54">
        <v>5.70</v>
      </c>
      <c r="R27" s="43"/>
      <c r="S27" s="43"/>
      <c r="T27" s="43"/>
      <c r="U27" s="43"/>
    </row>
    <row r="28" spans="1:21" s="11" customFormat="1" ht="15">
      <c r="A28" s="53" t="s">
        <v>585</v>
      </c>
      <c r="B28" s="54">
        <v>28.21</v>
      </c>
      <c r="C28" s="54">
        <v>71.61</v>
      </c>
      <c r="D28" s="54">
        <v>62.79</v>
      </c>
      <c r="E28" s="55" t="s">
        <v>8</v>
      </c>
      <c r="F28" s="54">
        <v>11.03</v>
      </c>
      <c r="G28" s="54">
        <v>87.32</v>
      </c>
      <c r="H28" s="54">
        <v>42.19</v>
      </c>
      <c r="I28" s="54">
        <v>1.56</v>
      </c>
      <c r="J28" s="54">
        <v>0.19</v>
      </c>
      <c r="K28" s="54">
        <v>99.08</v>
      </c>
      <c r="L28" s="54">
        <v>21.91</v>
      </c>
      <c r="M28" s="54">
        <v>61.06</v>
      </c>
      <c r="N28" s="54">
        <v>24.10</v>
      </c>
      <c r="O28" s="54">
        <v>0</v>
      </c>
      <c r="P28" s="54">
        <v>2.3199999999999998</v>
      </c>
      <c r="Q28" s="54">
        <v>6.49</v>
      </c>
      <c r="R28" s="43"/>
      <c r="S28" s="43"/>
      <c r="T28" s="43"/>
      <c r="U28" s="43"/>
    </row>
    <row r="29" spans="1:21" s="11" customFormat="1" ht="15">
      <c r="A29" s="53" t="s">
        <v>586</v>
      </c>
      <c r="B29" s="54">
        <v>18.22</v>
      </c>
      <c r="C29" s="54">
        <v>68.66</v>
      </c>
      <c r="D29" s="54">
        <v>51.33</v>
      </c>
      <c r="E29" s="55" t="s">
        <v>8</v>
      </c>
      <c r="F29" s="54">
        <v>6.73</v>
      </c>
      <c r="G29" s="54">
        <v>98.47</v>
      </c>
      <c r="H29" s="54">
        <v>44.52</v>
      </c>
      <c r="I29" s="54">
        <v>1.55</v>
      </c>
      <c r="J29" s="54">
        <v>0.20</v>
      </c>
      <c r="K29" s="54">
        <v>339.85</v>
      </c>
      <c r="L29" s="54">
        <v>21.58</v>
      </c>
      <c r="M29" s="54">
        <v>59.73</v>
      </c>
      <c r="N29" s="54">
        <v>24.20</v>
      </c>
      <c r="O29" s="54">
        <v>0</v>
      </c>
      <c r="P29" s="54">
        <v>2.0499999999999998</v>
      </c>
      <c r="Q29" s="54">
        <v>6.22</v>
      </c>
      <c r="R29" s="43"/>
      <c r="S29" s="43"/>
      <c r="T29" s="43"/>
      <c r="U29" s="43"/>
    </row>
    <row r="30" spans="1:21" s="11" customFormat="1" ht="15">
      <c r="A30" s="53" t="s">
        <v>587</v>
      </c>
      <c r="B30" s="54">
        <v>18.579999999999998</v>
      </c>
      <c r="C30" s="54">
        <v>59.53</v>
      </c>
      <c r="D30" s="54">
        <v>47.14</v>
      </c>
      <c r="E30" s="55" t="s">
        <v>8</v>
      </c>
      <c r="F30" s="54">
        <v>7.13</v>
      </c>
      <c r="G30" s="54">
        <v>103.22</v>
      </c>
      <c r="H30" s="54">
        <v>43.05</v>
      </c>
      <c r="I30" s="54">
        <v>1.58</v>
      </c>
      <c r="J30" s="54">
        <v>0.35</v>
      </c>
      <c r="K30" s="54">
        <v>187.71</v>
      </c>
      <c r="L30" s="54">
        <v>20.90</v>
      </c>
      <c r="M30" s="54">
        <v>58.72</v>
      </c>
      <c r="N30" s="54">
        <v>24.30</v>
      </c>
      <c r="O30" s="54">
        <v>0</v>
      </c>
      <c r="P30" s="54">
        <v>1.96</v>
      </c>
      <c r="Q30" s="54">
        <v>6.71</v>
      </c>
      <c r="R30" s="43"/>
      <c r="S30" s="43"/>
      <c r="T30" s="43"/>
      <c r="U30" s="43"/>
    </row>
    <row r="31" spans="1:21" s="11" customFormat="1" ht="15">
      <c r="A31" s="53" t="s">
        <v>588</v>
      </c>
      <c r="B31" s="54">
        <v>21.61</v>
      </c>
      <c r="C31" s="54">
        <v>56.59</v>
      </c>
      <c r="D31" s="54">
        <v>46.23</v>
      </c>
      <c r="E31" s="55" t="s">
        <v>8</v>
      </c>
      <c r="F31" s="54">
        <v>6.60</v>
      </c>
      <c r="G31" s="54">
        <v>97.01</v>
      </c>
      <c r="H31" s="54">
        <v>41.07</v>
      </c>
      <c r="I31" s="54">
        <v>1.58</v>
      </c>
      <c r="J31" s="54">
        <v>0.5</v>
      </c>
      <c r="K31" s="54">
        <v>343.88</v>
      </c>
      <c r="L31" s="54">
        <v>20.63</v>
      </c>
      <c r="M31" s="54">
        <v>61.96</v>
      </c>
      <c r="N31" s="54">
        <v>24.60</v>
      </c>
      <c r="O31" s="54">
        <v>0</v>
      </c>
      <c r="P31" s="54">
        <v>1.91</v>
      </c>
      <c r="Q31" s="54">
        <v>6.84</v>
      </c>
      <c r="R31" s="43"/>
      <c r="S31" s="43"/>
      <c r="T31" s="43"/>
      <c r="U31" s="43"/>
    </row>
    <row r="32" spans="1:21" s="11" customFormat="1" ht="15">
      <c r="A32" s="53" t="s">
        <v>589</v>
      </c>
      <c r="B32" s="54">
        <v>15.93</v>
      </c>
      <c r="C32" s="54">
        <v>50.83</v>
      </c>
      <c r="D32" s="54">
        <v>41.47</v>
      </c>
      <c r="E32" s="55" t="s">
        <v>8</v>
      </c>
      <c r="F32" s="54">
        <v>4.51</v>
      </c>
      <c r="G32" s="54">
        <v>91.67</v>
      </c>
      <c r="H32" s="54">
        <v>41.81</v>
      </c>
      <c r="I32" s="54">
        <v>1.53</v>
      </c>
      <c r="J32" s="54">
        <v>0.17</v>
      </c>
      <c r="K32" s="54">
        <v>306.73</v>
      </c>
      <c r="L32" s="54">
        <v>20.37</v>
      </c>
      <c r="M32" s="54">
        <v>63.43</v>
      </c>
      <c r="N32" s="54">
        <v>24.80</v>
      </c>
      <c r="O32" s="54">
        <v>0</v>
      </c>
      <c r="P32" s="54">
        <v>1.73</v>
      </c>
      <c r="Q32" s="54">
        <v>6.77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4.46</v>
      </c>
      <c r="C34" s="28">
        <f t="shared" si="0"/>
        <v>40.57</v>
      </c>
      <c r="D34" s="28">
        <f t="shared" si="0"/>
        <v>28.77</v>
      </c>
      <c r="E34" s="28">
        <f t="shared" si="0"/>
        <v>0</v>
      </c>
      <c r="F34" s="28">
        <f t="shared" si="0"/>
        <v>3.0699999999999998</v>
      </c>
      <c r="G34" s="28">
        <f t="shared" si="0"/>
        <v>63.25</v>
      </c>
      <c r="H34" s="28">
        <f t="shared" si="0"/>
        <v>33.170000000000002</v>
      </c>
      <c r="I34" s="28">
        <f t="shared" si="0"/>
        <v>1.49</v>
      </c>
      <c r="J34" s="28">
        <f t="shared" si="0"/>
        <v>0.12</v>
      </c>
      <c r="K34" s="28">
        <f t="shared" si="0"/>
        <v>99.079999999999998</v>
      </c>
      <c r="L34" s="28">
        <f t="shared" si="0"/>
        <v>16.93</v>
      </c>
      <c r="M34" s="28">
        <f t="shared" si="0"/>
        <v>40.68</v>
      </c>
      <c r="N34" s="28">
        <f t="shared" si="0"/>
        <v>23.5</v>
      </c>
      <c r="O34" s="28">
        <f t="shared" si="0"/>
        <v>0</v>
      </c>
      <c r="P34" s="28">
        <f t="shared" si="0"/>
        <v>0.82999999999999996</v>
      </c>
      <c r="Q34" s="28">
        <f t="shared" si="0"/>
        <v>5.0700000000000003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54.350000000000001</v>
      </c>
      <c r="C35" s="29">
        <f t="shared" si="1"/>
        <v>82.609999999999999</v>
      </c>
      <c r="D35" s="29">
        <f t="shared" si="1"/>
        <v>72.319999999999993</v>
      </c>
      <c r="E35" s="29">
        <f t="shared" si="1"/>
        <v>0</v>
      </c>
      <c r="F35" s="29">
        <f t="shared" si="1"/>
        <v>17.199999999999999</v>
      </c>
      <c r="G35" s="29">
        <f t="shared" si="1"/>
        <v>111.13</v>
      </c>
      <c r="H35" s="29">
        <f t="shared" si="1"/>
        <v>52.770000000000003</v>
      </c>
      <c r="I35" s="29">
        <f t="shared" si="1"/>
        <v>1.6399999999999999</v>
      </c>
      <c r="J35" s="29">
        <f t="shared" si="1"/>
        <v>1.3500000000000001</v>
      </c>
      <c r="K35" s="29">
        <f t="shared" si="1"/>
        <v>354.94</v>
      </c>
      <c r="L35" s="29">
        <f t="shared" si="1"/>
        <v>29.559999999999999</v>
      </c>
      <c r="M35" s="29">
        <f t="shared" si="1"/>
        <v>95.980000000000004</v>
      </c>
      <c r="N35" s="29">
        <f t="shared" si="1"/>
        <v>671.79999999999995</v>
      </c>
      <c r="O35" s="29">
        <f t="shared" si="1"/>
        <v>0</v>
      </c>
      <c r="P35" s="29">
        <f t="shared" si="1"/>
        <v>2.3799999999999999</v>
      </c>
      <c r="Q35" s="29">
        <f t="shared" si="1"/>
        <v>10.06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21.558333333333326</v>
      </c>
      <c r="C36" s="28">
        <f t="shared" si="2"/>
        <v>52.228749999999991</v>
      </c>
      <c r="D36" s="28">
        <f t="shared" si="2"/>
        <v>46.325833333333343</v>
      </c>
      <c r="E36" s="28" t="e">
        <f t="shared" si="2"/>
        <v>#DIV/0!</v>
      </c>
      <c r="F36" s="28">
        <f t="shared" si="2"/>
        <v>7.5783333333333331</v>
      </c>
      <c r="G36" s="28">
        <f t="shared" si="2"/>
        <v>85.245833333333351</v>
      </c>
      <c r="H36" s="28">
        <f t="shared" si="2"/>
        <v>40.554166666666674</v>
      </c>
      <c r="I36" s="28">
        <f t="shared" si="2"/>
        <v>1.5608333333333331</v>
      </c>
      <c r="J36" s="28">
        <f t="shared" si="2"/>
        <v>0.55458333333333332</v>
      </c>
      <c r="K36" s="28">
        <f t="shared" si="2"/>
        <v>301.71583333333336</v>
      </c>
      <c r="L36" s="28">
        <f t="shared" si="2"/>
        <v>22.621250000000003</v>
      </c>
      <c r="M36" s="28">
        <f t="shared" si="2"/>
        <v>64.065833333333345</v>
      </c>
      <c r="N36" s="28">
        <f t="shared" si="2"/>
        <v>194.48750000000007</v>
      </c>
      <c r="O36" s="28">
        <f t="shared" si="2"/>
        <v>0</v>
      </c>
      <c r="P36" s="28">
        <f t="shared" si="2"/>
        <v>1.4862499999999994</v>
      </c>
      <c r="Q36" s="28">
        <f t="shared" si="2"/>
        <v>6.6983333333333341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12.89619986718929</v>
      </c>
      <c r="C37" s="28">
        <f t="shared" si="3" ref="C37:Q37">STDEV(C9:C32)</f>
        <v>11.332990055010075</v>
      </c>
      <c r="D37" s="28">
        <f t="shared" si="3"/>
        <v>11.933075669228586</v>
      </c>
      <c r="E37" s="28" t="e">
        <f t="shared" si="3"/>
        <v>#DIV/0!</v>
      </c>
      <c r="F37" s="28">
        <f t="shared" si="3"/>
        <v>4.7866314438976962</v>
      </c>
      <c r="G37" s="28">
        <f t="shared" si="3"/>
        <v>14.615954033823387</v>
      </c>
      <c r="H37" s="28">
        <f t="shared" si="3"/>
        <v>5.5022548078959312</v>
      </c>
      <c r="I37" s="28">
        <f t="shared" si="3"/>
        <v>0.036584228802879662</v>
      </c>
      <c r="J37" s="28">
        <f t="shared" si="3"/>
        <v>0.33187188684093505</v>
      </c>
      <c r="K37" s="28">
        <f t="shared" si="3"/>
        <v>78.486282319389105</v>
      </c>
      <c r="L37" s="28">
        <f t="shared" si="3"/>
        <v>4.1647812328369893</v>
      </c>
      <c r="M37" s="28">
        <f t="shared" si="3"/>
        <v>18.502030186292878</v>
      </c>
      <c r="N37" s="28">
        <f t="shared" si="3"/>
        <v>247.65633501232946</v>
      </c>
      <c r="O37" s="28">
        <f t="shared" si="3"/>
        <v>0</v>
      </c>
      <c r="P37" s="28">
        <f t="shared" si="3"/>
        <v>0.49712051290187942</v>
      </c>
      <c r="Q37" s="28">
        <f t="shared" si="3"/>
        <v>1.2942033529706876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COUNT(E9:E32)+24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1ac326-6c36-4b16-94ca-2dddc4f23eff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39" sqref="E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590</v>
      </c>
      <c r="B9" s="54">
        <v>11.67</v>
      </c>
      <c r="C9" s="54">
        <v>49.44</v>
      </c>
      <c r="D9" s="54">
        <v>37.29</v>
      </c>
      <c r="E9" s="55" t="s">
        <v>8</v>
      </c>
      <c r="F9" s="54">
        <v>4.17</v>
      </c>
      <c r="G9" s="54">
        <v>86.99</v>
      </c>
      <c r="H9" s="54">
        <v>42.11</v>
      </c>
      <c r="I9" s="54">
        <v>1.54</v>
      </c>
      <c r="J9" s="54">
        <v>0.31</v>
      </c>
      <c r="K9" s="54">
        <v>308.88</v>
      </c>
      <c r="L9" s="54">
        <v>19.350000000000001</v>
      </c>
      <c r="M9" s="54">
        <v>74.08</v>
      </c>
      <c r="N9" s="54">
        <v>25</v>
      </c>
      <c r="O9" s="54">
        <v>0</v>
      </c>
      <c r="P9" s="54">
        <v>1.51</v>
      </c>
      <c r="Q9" s="54">
        <v>6.22</v>
      </c>
      <c r="R9" s="43"/>
      <c r="S9" s="43"/>
      <c r="T9" s="43"/>
      <c r="U9" s="43"/>
    </row>
    <row r="10" spans="1:21" s="11" customFormat="1" ht="15">
      <c r="A10" s="53" t="s">
        <v>591</v>
      </c>
      <c r="B10" s="54">
        <v>7.52</v>
      </c>
      <c r="C10" s="54">
        <v>46.30</v>
      </c>
      <c r="D10" s="54">
        <v>32.229999999999997</v>
      </c>
      <c r="E10" s="55" t="s">
        <v>8</v>
      </c>
      <c r="F10" s="54">
        <v>3.49</v>
      </c>
      <c r="G10" s="54">
        <v>80.099999999999994</v>
      </c>
      <c r="H10" s="54">
        <v>40.15</v>
      </c>
      <c r="I10" s="54">
        <v>1.57</v>
      </c>
      <c r="J10" s="54">
        <v>0.52</v>
      </c>
      <c r="K10" s="54">
        <v>328.69</v>
      </c>
      <c r="L10" s="54">
        <v>18.5</v>
      </c>
      <c r="M10" s="54">
        <v>82.29</v>
      </c>
      <c r="N10" s="54">
        <v>25.10</v>
      </c>
      <c r="O10" s="54">
        <v>0</v>
      </c>
      <c r="P10" s="54">
        <v>1.27</v>
      </c>
      <c r="Q10" s="54">
        <v>5.83</v>
      </c>
      <c r="R10" s="43"/>
      <c r="S10" s="43"/>
      <c r="T10" s="43"/>
      <c r="U10" s="43"/>
    </row>
    <row r="11" spans="1:21" s="11" customFormat="1" ht="15">
      <c r="A11" s="53" t="s">
        <v>592</v>
      </c>
      <c r="B11" s="54">
        <v>8.67</v>
      </c>
      <c r="C11" s="54">
        <v>43.30</v>
      </c>
      <c r="D11" s="54">
        <v>31.28</v>
      </c>
      <c r="E11" s="55" t="s">
        <v>8</v>
      </c>
      <c r="F11" s="54">
        <v>3.81</v>
      </c>
      <c r="G11" s="54">
        <v>79.959999999999994</v>
      </c>
      <c r="H11" s="54">
        <v>41.01</v>
      </c>
      <c r="I11" s="54">
        <v>1.53</v>
      </c>
      <c r="J11" s="54">
        <v>0.16</v>
      </c>
      <c r="K11" s="54">
        <v>285.08999999999997</v>
      </c>
      <c r="L11" s="54">
        <v>17.30</v>
      </c>
      <c r="M11" s="54">
        <v>84.01</v>
      </c>
      <c r="N11" s="54">
        <v>24.90</v>
      </c>
      <c r="O11" s="54">
        <v>0</v>
      </c>
      <c r="P11" s="54">
        <v>1.18</v>
      </c>
      <c r="Q11" s="54">
        <v>5.77</v>
      </c>
      <c r="R11" s="43"/>
      <c r="S11" s="43"/>
      <c r="T11" s="43"/>
      <c r="U11" s="43"/>
    </row>
    <row r="12" spans="1:21" s="11" customFormat="1" ht="15">
      <c r="A12" s="53" t="s">
        <v>593</v>
      </c>
      <c r="B12" s="54">
        <v>9.0399999999999991</v>
      </c>
      <c r="C12" s="54">
        <v>42.46</v>
      </c>
      <c r="D12" s="54">
        <v>31.33</v>
      </c>
      <c r="E12" s="55" t="s">
        <v>8</v>
      </c>
      <c r="F12" s="54">
        <v>4.13</v>
      </c>
      <c r="G12" s="54">
        <v>87.57</v>
      </c>
      <c r="H12" s="54">
        <v>48.07</v>
      </c>
      <c r="I12" s="54">
        <v>1.56</v>
      </c>
      <c r="J12" s="54">
        <v>0.48</v>
      </c>
      <c r="K12" s="54">
        <v>341.99</v>
      </c>
      <c r="L12" s="54">
        <v>17.440000000000001</v>
      </c>
      <c r="M12" s="54">
        <v>80.67</v>
      </c>
      <c r="N12" s="54">
        <v>25</v>
      </c>
      <c r="O12" s="54">
        <v>0</v>
      </c>
      <c r="P12" s="54">
        <v>1.19</v>
      </c>
      <c r="Q12" s="54">
        <v>5.89</v>
      </c>
      <c r="R12" s="43"/>
      <c r="S12" s="43"/>
      <c r="T12" s="43"/>
      <c r="U12" s="43"/>
    </row>
    <row r="13" spans="1:21" s="11" customFormat="1" ht="15">
      <c r="A13" s="53" t="s">
        <v>594</v>
      </c>
      <c r="B13" s="54">
        <v>8.6199999999999992</v>
      </c>
      <c r="C13" s="54">
        <v>41.82</v>
      </c>
      <c r="D13" s="54">
        <v>30.64</v>
      </c>
      <c r="E13" s="55" t="s">
        <v>8</v>
      </c>
      <c r="F13" s="54">
        <v>4.47</v>
      </c>
      <c r="G13" s="54">
        <v>100.35</v>
      </c>
      <c r="H13" s="54">
        <v>48.38</v>
      </c>
      <c r="I13" s="54">
        <v>1.52</v>
      </c>
      <c r="J13" s="54">
        <v>0.27</v>
      </c>
      <c r="K13" s="54">
        <v>335.46</v>
      </c>
      <c r="L13" s="54">
        <v>16.98</v>
      </c>
      <c r="M13" s="54">
        <v>79.290000000000006</v>
      </c>
      <c r="N13" s="54">
        <v>25</v>
      </c>
      <c r="O13" s="54">
        <v>0</v>
      </c>
      <c r="P13" s="54">
        <v>1.1399999999999999</v>
      </c>
      <c r="Q13" s="54">
        <v>5.85</v>
      </c>
      <c r="R13" s="43"/>
      <c r="S13" s="43"/>
      <c r="T13" s="43"/>
      <c r="U13" s="43"/>
    </row>
    <row r="14" spans="1:21" s="11" customFormat="1" ht="15">
      <c r="A14" s="53" t="s">
        <v>595</v>
      </c>
      <c r="B14" s="54">
        <v>7.71</v>
      </c>
      <c r="C14" s="54">
        <v>41.08</v>
      </c>
      <c r="D14" s="54">
        <v>29.5</v>
      </c>
      <c r="E14" s="55" t="s">
        <v>8</v>
      </c>
      <c r="F14" s="54">
        <v>4.4000000000000004</v>
      </c>
      <c r="G14" s="54">
        <v>91.14</v>
      </c>
      <c r="H14" s="54">
        <v>47.17</v>
      </c>
      <c r="I14" s="54">
        <v>1.55</v>
      </c>
      <c r="J14" s="54">
        <v>0.26</v>
      </c>
      <c r="K14" s="54">
        <v>106.18</v>
      </c>
      <c r="L14" s="54">
        <v>16.98</v>
      </c>
      <c r="M14" s="54">
        <v>78.959999999999994</v>
      </c>
      <c r="N14" s="54">
        <v>25.40</v>
      </c>
      <c r="O14" s="54">
        <v>0</v>
      </c>
      <c r="P14" s="54">
        <v>1.03</v>
      </c>
      <c r="Q14" s="54">
        <v>5.79</v>
      </c>
      <c r="R14" s="43"/>
      <c r="S14" s="43"/>
      <c r="T14" s="43"/>
      <c r="U14" s="43"/>
    </row>
    <row r="15" spans="1:21" s="11" customFormat="1" ht="15">
      <c r="A15" s="53" t="s">
        <v>596</v>
      </c>
      <c r="B15" s="54">
        <v>6.82</v>
      </c>
      <c r="C15" s="54">
        <v>41.52</v>
      </c>
      <c r="D15" s="54">
        <v>29.03</v>
      </c>
      <c r="E15" s="55" t="s">
        <v>8</v>
      </c>
      <c r="F15" s="54">
        <v>3.44</v>
      </c>
      <c r="G15" s="54">
        <v>76.08</v>
      </c>
      <c r="H15" s="54">
        <v>40.69</v>
      </c>
      <c r="I15" s="54">
        <v>1.56</v>
      </c>
      <c r="J15" s="54">
        <v>0.21</v>
      </c>
      <c r="K15" s="54">
        <v>99.59</v>
      </c>
      <c r="L15" s="54">
        <v>17.32</v>
      </c>
      <c r="M15" s="54">
        <v>80.53</v>
      </c>
      <c r="N15" s="54">
        <v>71.30</v>
      </c>
      <c r="O15" s="54">
        <v>0</v>
      </c>
      <c r="P15" s="54">
        <v>0.93</v>
      </c>
      <c r="Q15" s="54">
        <v>5.61</v>
      </c>
      <c r="R15" s="43"/>
      <c r="S15" s="43"/>
      <c r="T15" s="43"/>
      <c r="U15" s="43"/>
    </row>
    <row r="16" spans="1:21" s="11" customFormat="1" ht="15">
      <c r="A16" s="53" t="s">
        <v>597</v>
      </c>
      <c r="B16" s="54">
        <v>9.4700000000000006</v>
      </c>
      <c r="C16" s="54">
        <v>44.08</v>
      </c>
      <c r="D16" s="54">
        <v>32.57</v>
      </c>
      <c r="E16" s="55" t="s">
        <v>8</v>
      </c>
      <c r="F16" s="54">
        <v>3.43</v>
      </c>
      <c r="G16" s="54">
        <v>72.58</v>
      </c>
      <c r="H16" s="54">
        <v>42.94</v>
      </c>
      <c r="I16" s="54">
        <v>1.52</v>
      </c>
      <c r="J16" s="54">
        <v>0.31</v>
      </c>
      <c r="K16" s="54">
        <v>326.04000000000002</v>
      </c>
      <c r="L16" s="54">
        <v>20.92</v>
      </c>
      <c r="M16" s="54">
        <v>77.13</v>
      </c>
      <c r="N16" s="54">
        <v>241.10</v>
      </c>
      <c r="O16" s="54">
        <v>0</v>
      </c>
      <c r="P16" s="54">
        <v>0.97</v>
      </c>
      <c r="Q16" s="54">
        <v>5.75</v>
      </c>
      <c r="R16" s="43"/>
      <c r="S16" s="43"/>
      <c r="T16" s="43"/>
      <c r="U16" s="43"/>
    </row>
    <row r="17" spans="1:21" s="11" customFormat="1" ht="15">
      <c r="A17" s="53" t="s">
        <v>598</v>
      </c>
      <c r="B17" s="54">
        <v>10.78</v>
      </c>
      <c r="C17" s="54">
        <v>45.28</v>
      </c>
      <c r="D17" s="54">
        <v>34.15</v>
      </c>
      <c r="E17" s="55" t="s">
        <v>8</v>
      </c>
      <c r="F17" s="54">
        <v>3.44</v>
      </c>
      <c r="G17" s="54">
        <v>79.20</v>
      </c>
      <c r="H17" s="54">
        <v>41.5</v>
      </c>
      <c r="I17" s="54">
        <v>1.55</v>
      </c>
      <c r="J17" s="54">
        <v>1.28</v>
      </c>
      <c r="K17" s="54">
        <v>110.58</v>
      </c>
      <c r="L17" s="54">
        <v>22.31</v>
      </c>
      <c r="M17" s="54">
        <v>66.03</v>
      </c>
      <c r="N17" s="54">
        <v>426.20</v>
      </c>
      <c r="O17" s="54">
        <v>0</v>
      </c>
      <c r="P17" s="54">
        <v>0.99</v>
      </c>
      <c r="Q17" s="54">
        <v>6.03</v>
      </c>
      <c r="R17" s="43"/>
      <c r="S17" s="43"/>
      <c r="T17" s="43"/>
      <c r="U17" s="43"/>
    </row>
    <row r="18" spans="1:21" s="11" customFormat="1" ht="15">
      <c r="A18" s="53" t="s">
        <v>599</v>
      </c>
      <c r="B18" s="54">
        <v>9.4499999999999993</v>
      </c>
      <c r="C18" s="54">
        <v>46.23</v>
      </c>
      <c r="D18" s="54">
        <v>33.74</v>
      </c>
      <c r="E18" s="55" t="s">
        <v>8</v>
      </c>
      <c r="F18" s="54">
        <v>4.8099999999999996</v>
      </c>
      <c r="G18" s="54">
        <v>78.19</v>
      </c>
      <c r="H18" s="54">
        <v>40.299999999999997</v>
      </c>
      <c r="I18" s="54">
        <v>1.52</v>
      </c>
      <c r="J18" s="54">
        <v>0.48</v>
      </c>
      <c r="K18" s="54">
        <v>103.48</v>
      </c>
      <c r="L18" s="54">
        <v>24.73</v>
      </c>
      <c r="M18" s="54">
        <v>57.07</v>
      </c>
      <c r="N18" s="54">
        <v>537.10</v>
      </c>
      <c r="O18" s="54">
        <v>0</v>
      </c>
      <c r="P18" s="54">
        <v>0.98</v>
      </c>
      <c r="Q18" s="54">
        <v>5.84</v>
      </c>
      <c r="R18" s="43"/>
      <c r="S18" s="43"/>
      <c r="T18" s="43"/>
      <c r="U18" s="43"/>
    </row>
    <row r="19" spans="1:21" s="11" customFormat="1" ht="15">
      <c r="A19" s="53" t="s">
        <v>600</v>
      </c>
      <c r="B19" s="54">
        <v>7.19</v>
      </c>
      <c r="C19" s="54">
        <v>45.41</v>
      </c>
      <c r="D19" s="54">
        <v>31.01</v>
      </c>
      <c r="E19" s="54">
        <v>2.52</v>
      </c>
      <c r="F19" s="54">
        <v>10.08</v>
      </c>
      <c r="G19" s="54">
        <v>87.14</v>
      </c>
      <c r="H19" s="54">
        <v>36.92</v>
      </c>
      <c r="I19" s="54">
        <v>1.56</v>
      </c>
      <c r="J19" s="54">
        <v>0.86</v>
      </c>
      <c r="K19" s="54">
        <v>126.14</v>
      </c>
      <c r="L19" s="54">
        <v>26.04</v>
      </c>
      <c r="M19" s="54">
        <v>48.88</v>
      </c>
      <c r="N19" s="54">
        <v>610.90</v>
      </c>
      <c r="O19" s="54">
        <v>0</v>
      </c>
      <c r="P19" s="54">
        <v>0.99</v>
      </c>
      <c r="Q19" s="54">
        <v>5.79</v>
      </c>
      <c r="R19" s="43"/>
      <c r="S19" s="43"/>
      <c r="T19" s="43"/>
      <c r="U19" s="43"/>
    </row>
    <row r="20" spans="1:21" s="11" customFormat="1" ht="15">
      <c r="A20" s="53" t="s">
        <v>601</v>
      </c>
      <c r="B20" s="54">
        <v>3.71</v>
      </c>
      <c r="C20" s="54">
        <v>46.37</v>
      </c>
      <c r="D20" s="54">
        <v>29.22</v>
      </c>
      <c r="E20" s="54">
        <v>2.78</v>
      </c>
      <c r="F20" s="54">
        <v>17.399999999999999</v>
      </c>
      <c r="G20" s="54">
        <v>83.89</v>
      </c>
      <c r="H20" s="54">
        <v>42.72</v>
      </c>
      <c r="I20" s="54">
        <v>1.63</v>
      </c>
      <c r="J20" s="54">
        <v>0.81</v>
      </c>
      <c r="K20" s="54">
        <v>124.86</v>
      </c>
      <c r="L20" s="54">
        <v>26.64</v>
      </c>
      <c r="M20" s="54">
        <v>44.59</v>
      </c>
      <c r="N20" s="54">
        <v>628.10</v>
      </c>
      <c r="O20" s="54">
        <v>0</v>
      </c>
      <c r="P20" s="54">
        <v>0.87</v>
      </c>
      <c r="Q20" s="54">
        <v>5.71</v>
      </c>
      <c r="R20" s="43"/>
      <c r="S20" s="43"/>
      <c r="T20" s="43"/>
      <c r="U20" s="43"/>
    </row>
    <row r="21" spans="1:21" s="11" customFormat="1" ht="15">
      <c r="A21" s="53" t="s">
        <v>602</v>
      </c>
      <c r="B21" s="54">
        <v>3.33</v>
      </c>
      <c r="C21" s="54">
        <v>42.44</v>
      </c>
      <c r="D21" s="54">
        <v>25.85</v>
      </c>
      <c r="E21" s="54">
        <v>2.63</v>
      </c>
      <c r="F21" s="54">
        <v>14.31</v>
      </c>
      <c r="G21" s="54">
        <v>77.34</v>
      </c>
      <c r="H21" s="54">
        <v>42.40</v>
      </c>
      <c r="I21" s="54">
        <v>1.60</v>
      </c>
      <c r="J21" s="54">
        <v>0.62</v>
      </c>
      <c r="K21" s="54">
        <v>337.01</v>
      </c>
      <c r="L21" s="54">
        <v>28.36</v>
      </c>
      <c r="M21" s="54">
        <v>40.83</v>
      </c>
      <c r="N21" s="54">
        <v>569</v>
      </c>
      <c r="O21" s="54">
        <v>0</v>
      </c>
      <c r="P21" s="54">
        <v>0.76</v>
      </c>
      <c r="Q21" s="54">
        <v>5.57</v>
      </c>
      <c r="R21" s="43"/>
      <c r="S21" s="43"/>
      <c r="T21" s="43"/>
      <c r="U21" s="43"/>
    </row>
    <row r="22" spans="1:21" s="11" customFormat="1" ht="15">
      <c r="A22" s="53" t="s">
        <v>603</v>
      </c>
      <c r="B22" s="54">
        <v>3.32</v>
      </c>
      <c r="C22" s="54">
        <v>44.92</v>
      </c>
      <c r="D22" s="54">
        <v>28.10</v>
      </c>
      <c r="E22" s="54">
        <v>2.75</v>
      </c>
      <c r="F22" s="54">
        <v>10.60</v>
      </c>
      <c r="G22" s="54">
        <v>69.819999999999993</v>
      </c>
      <c r="H22" s="54">
        <v>39.880000000000003</v>
      </c>
      <c r="I22" s="54">
        <v>1.53</v>
      </c>
      <c r="J22" s="54">
        <v>0.31</v>
      </c>
      <c r="K22" s="54">
        <v>352.72</v>
      </c>
      <c r="L22" s="54">
        <v>28.38</v>
      </c>
      <c r="M22" s="54">
        <v>37.75</v>
      </c>
      <c r="N22" s="54">
        <v>527.40</v>
      </c>
      <c r="O22" s="54">
        <v>0</v>
      </c>
      <c r="P22" s="54">
        <v>0.75</v>
      </c>
      <c r="Q22" s="54">
        <v>5.48</v>
      </c>
      <c r="R22" s="43"/>
      <c r="S22" s="43"/>
      <c r="T22" s="43"/>
      <c r="U22" s="43"/>
    </row>
    <row r="23" spans="1:21" s="11" customFormat="1" ht="15">
      <c r="A23" s="53" t="s">
        <v>604</v>
      </c>
      <c r="B23" s="54">
        <v>3.12</v>
      </c>
      <c r="C23" s="54">
        <v>45.02</v>
      </c>
      <c r="D23" s="54">
        <v>28</v>
      </c>
      <c r="E23" s="54">
        <v>2.88</v>
      </c>
      <c r="F23" s="54">
        <v>27.42</v>
      </c>
      <c r="G23" s="54">
        <v>63.59</v>
      </c>
      <c r="H23" s="54">
        <v>32.97</v>
      </c>
      <c r="I23" s="54">
        <v>1.54</v>
      </c>
      <c r="J23" s="54">
        <v>0.98</v>
      </c>
      <c r="K23" s="54">
        <v>327.10000000000002</v>
      </c>
      <c r="L23" s="54">
        <v>27.29</v>
      </c>
      <c r="M23" s="54">
        <v>40.159999999999997</v>
      </c>
      <c r="N23" s="54">
        <v>220</v>
      </c>
      <c r="O23" s="54">
        <v>0</v>
      </c>
      <c r="P23" s="54">
        <v>0.75</v>
      </c>
      <c r="Q23" s="54">
        <v>5.78</v>
      </c>
      <c r="R23" s="43"/>
      <c r="S23" s="43"/>
      <c r="T23" s="43"/>
      <c r="U23" s="43"/>
    </row>
    <row r="24" spans="1:21" s="11" customFormat="1" ht="15">
      <c r="A24" s="53" t="s">
        <v>605</v>
      </c>
      <c r="B24" s="54">
        <v>4.45</v>
      </c>
      <c r="C24" s="54">
        <v>51.67</v>
      </c>
      <c r="D24" s="54">
        <v>32.729999999999997</v>
      </c>
      <c r="E24" s="54">
        <v>3.07</v>
      </c>
      <c r="F24" s="54">
        <v>27.14</v>
      </c>
      <c r="G24" s="54">
        <v>53.44</v>
      </c>
      <c r="H24" s="54">
        <v>34.22</v>
      </c>
      <c r="I24" s="54">
        <v>1.56</v>
      </c>
      <c r="J24" s="54">
        <v>0.25</v>
      </c>
      <c r="K24" s="54">
        <v>356.81</v>
      </c>
      <c r="L24" s="54">
        <v>26.67</v>
      </c>
      <c r="M24" s="54">
        <v>39.33</v>
      </c>
      <c r="N24" s="54">
        <v>140.80000000000001</v>
      </c>
      <c r="O24" s="54">
        <v>0</v>
      </c>
      <c r="P24" s="54">
        <v>0.91</v>
      </c>
      <c r="Q24" s="54">
        <v>5.65</v>
      </c>
      <c r="R24" s="43"/>
      <c r="S24" s="43"/>
      <c r="T24" s="43"/>
      <c r="U24" s="43"/>
    </row>
    <row r="25" spans="1:21" s="11" customFormat="1" ht="15">
      <c r="A25" s="53" t="s">
        <v>606</v>
      </c>
      <c r="B25" s="54">
        <v>3.82</v>
      </c>
      <c r="C25" s="54">
        <v>61.49</v>
      </c>
      <c r="D25" s="54">
        <v>37.64</v>
      </c>
      <c r="E25" s="54">
        <v>3.62</v>
      </c>
      <c r="F25" s="54">
        <v>37.01</v>
      </c>
      <c r="G25" s="54">
        <v>68.819999999999993</v>
      </c>
      <c r="H25" s="54">
        <v>36.07</v>
      </c>
      <c r="I25" s="54">
        <v>1.54</v>
      </c>
      <c r="J25" s="54">
        <v>0.10</v>
      </c>
      <c r="K25" s="54">
        <v>278.98</v>
      </c>
      <c r="L25" s="54">
        <v>25.24</v>
      </c>
      <c r="M25" s="54">
        <v>46.78</v>
      </c>
      <c r="N25" s="54">
        <v>74.70</v>
      </c>
      <c r="O25" s="54">
        <v>0</v>
      </c>
      <c r="P25" s="54">
        <v>0.89</v>
      </c>
      <c r="Q25" s="54">
        <v>5.79</v>
      </c>
      <c r="R25" s="43"/>
      <c r="S25" s="43"/>
      <c r="T25" s="43"/>
      <c r="U25" s="43"/>
    </row>
    <row r="26" spans="1:21" s="11" customFormat="1" ht="15">
      <c r="A26" s="53" t="s">
        <v>607</v>
      </c>
      <c r="B26" s="54">
        <v>23.84</v>
      </c>
      <c r="C26" s="54">
        <v>83.79</v>
      </c>
      <c r="D26" s="54">
        <v>61.87</v>
      </c>
      <c r="E26" s="54">
        <v>4.87</v>
      </c>
      <c r="F26" s="54">
        <v>33.619999999999997</v>
      </c>
      <c r="G26" s="54">
        <v>59.85</v>
      </c>
      <c r="H26" s="54">
        <v>33.96</v>
      </c>
      <c r="I26" s="54">
        <v>1.55</v>
      </c>
      <c r="J26" s="54">
        <v>0.18</v>
      </c>
      <c r="K26" s="54">
        <v>311.01</v>
      </c>
      <c r="L26" s="54">
        <v>23.47</v>
      </c>
      <c r="M26" s="54">
        <v>65.34</v>
      </c>
      <c r="N26" s="54">
        <v>29.40</v>
      </c>
      <c r="O26" s="54">
        <v>0</v>
      </c>
      <c r="P26" s="54">
        <v>1.81</v>
      </c>
      <c r="Q26" s="54">
        <v>4.67</v>
      </c>
      <c r="R26" s="43"/>
      <c r="S26" s="43"/>
      <c r="T26" s="43"/>
      <c r="U26" s="43"/>
    </row>
    <row r="27" spans="1:21" s="11" customFormat="1" ht="15">
      <c r="A27" s="53" t="s">
        <v>608</v>
      </c>
      <c r="B27" s="54">
        <v>15.39</v>
      </c>
      <c r="C27" s="54">
        <v>75.92</v>
      </c>
      <c r="D27" s="54">
        <v>54.89</v>
      </c>
      <c r="E27" s="54">
        <v>3.21</v>
      </c>
      <c r="F27" s="54">
        <v>12.20</v>
      </c>
      <c r="G27" s="54">
        <v>157.15</v>
      </c>
      <c r="H27" s="54">
        <v>41.35</v>
      </c>
      <c r="I27" s="54">
        <v>1.54</v>
      </c>
      <c r="J27" s="54">
        <v>0.23</v>
      </c>
      <c r="K27" s="54">
        <v>343.42</v>
      </c>
      <c r="L27" s="54">
        <v>21.91</v>
      </c>
      <c r="M27" s="54">
        <v>62.55</v>
      </c>
      <c r="N27" s="54">
        <v>26.20</v>
      </c>
      <c r="O27" s="54">
        <v>0</v>
      </c>
      <c r="P27" s="54">
        <v>1.74</v>
      </c>
      <c r="Q27" s="54">
        <v>5.48</v>
      </c>
      <c r="R27" s="43"/>
      <c r="S27" s="43"/>
      <c r="T27" s="43"/>
      <c r="U27" s="43"/>
    </row>
    <row r="28" spans="1:21" s="11" customFormat="1" ht="15">
      <c r="A28" s="53" t="s">
        <v>609</v>
      </c>
      <c r="B28" s="54">
        <v>19.73</v>
      </c>
      <c r="C28" s="54">
        <v>84.73</v>
      </c>
      <c r="D28" s="54">
        <v>63.23</v>
      </c>
      <c r="E28" s="54">
        <v>3.10</v>
      </c>
      <c r="F28" s="54">
        <v>7.47</v>
      </c>
      <c r="G28" s="54">
        <v>137.04</v>
      </c>
      <c r="H28" s="54">
        <v>53.94</v>
      </c>
      <c r="I28" s="54">
        <v>1.54</v>
      </c>
      <c r="J28" s="54">
        <v>0.61</v>
      </c>
      <c r="K28" s="54">
        <v>346.09</v>
      </c>
      <c r="L28" s="54">
        <v>21.77</v>
      </c>
      <c r="M28" s="54">
        <v>56.91</v>
      </c>
      <c r="N28" s="54">
        <v>26.20</v>
      </c>
      <c r="O28" s="54">
        <v>0</v>
      </c>
      <c r="P28" s="54">
        <v>2.15</v>
      </c>
      <c r="Q28" s="54">
        <v>6.54</v>
      </c>
      <c r="R28" s="43"/>
      <c r="S28" s="43"/>
      <c r="T28" s="43"/>
      <c r="U28" s="43"/>
    </row>
    <row r="29" spans="1:21" s="11" customFormat="1" ht="15">
      <c r="A29" s="53" t="s">
        <v>610</v>
      </c>
      <c r="B29" s="54">
        <v>16.78</v>
      </c>
      <c r="C29" s="54">
        <v>72.19</v>
      </c>
      <c r="D29" s="54">
        <v>53.95</v>
      </c>
      <c r="E29" s="54">
        <v>2.78</v>
      </c>
      <c r="F29" s="54">
        <v>7.99</v>
      </c>
      <c r="G29" s="54">
        <v>141.06</v>
      </c>
      <c r="H29" s="54">
        <v>64.08</v>
      </c>
      <c r="I29" s="54">
        <v>1.56</v>
      </c>
      <c r="J29" s="54">
        <v>0.28000000000000003</v>
      </c>
      <c r="K29" s="54">
        <v>92.19</v>
      </c>
      <c r="L29" s="54">
        <v>21.20</v>
      </c>
      <c r="M29" s="54">
        <v>56.96</v>
      </c>
      <c r="N29" s="54">
        <v>26.20</v>
      </c>
      <c r="O29" s="54">
        <v>0</v>
      </c>
      <c r="P29" s="54">
        <v>1.91</v>
      </c>
      <c r="Q29" s="54">
        <v>6.79</v>
      </c>
      <c r="R29" s="43"/>
      <c r="S29" s="43"/>
      <c r="T29" s="43"/>
      <c r="U29" s="43"/>
    </row>
    <row r="30" spans="1:21" s="11" customFormat="1" ht="15">
      <c r="A30" s="53" t="s">
        <v>611</v>
      </c>
      <c r="B30" s="54">
        <v>12.59</v>
      </c>
      <c r="C30" s="54">
        <v>62.58</v>
      </c>
      <c r="D30" s="54">
        <v>45.28</v>
      </c>
      <c r="E30" s="54">
        <v>2.80</v>
      </c>
      <c r="F30" s="54">
        <v>8.4700000000000006</v>
      </c>
      <c r="G30" s="54">
        <v>158.41</v>
      </c>
      <c r="H30" s="54">
        <v>85.83</v>
      </c>
      <c r="I30" s="54">
        <v>1.56</v>
      </c>
      <c r="J30" s="54">
        <v>0.32</v>
      </c>
      <c r="K30" s="54">
        <v>108.49</v>
      </c>
      <c r="L30" s="54">
        <v>20.74</v>
      </c>
      <c r="M30" s="54">
        <v>58.07</v>
      </c>
      <c r="N30" s="54">
        <v>26.30</v>
      </c>
      <c r="O30" s="54">
        <v>0</v>
      </c>
      <c r="P30" s="54">
        <v>1.70</v>
      </c>
      <c r="Q30" s="54">
        <v>6.67</v>
      </c>
      <c r="R30" s="43"/>
      <c r="S30" s="43"/>
      <c r="T30" s="43"/>
      <c r="U30" s="43"/>
    </row>
    <row r="31" spans="1:21" s="11" customFormat="1" ht="15">
      <c r="A31" s="53" t="s">
        <v>612</v>
      </c>
      <c r="B31" s="54">
        <v>16.600000000000001</v>
      </c>
      <c r="C31" s="54">
        <v>63.73</v>
      </c>
      <c r="D31" s="54">
        <v>48.19</v>
      </c>
      <c r="E31" s="54">
        <v>2.75</v>
      </c>
      <c r="F31" s="54">
        <v>7.21</v>
      </c>
      <c r="G31" s="54">
        <v>192.08</v>
      </c>
      <c r="H31" s="54">
        <v>114.31</v>
      </c>
      <c r="I31" s="54">
        <v>1.54</v>
      </c>
      <c r="J31" s="54">
        <v>0.16</v>
      </c>
      <c r="K31" s="54">
        <v>275.91000000000003</v>
      </c>
      <c r="L31" s="54">
        <v>20.34</v>
      </c>
      <c r="M31" s="54">
        <v>62.40</v>
      </c>
      <c r="N31" s="54">
        <v>26.60</v>
      </c>
      <c r="O31" s="54">
        <v>0</v>
      </c>
      <c r="P31" s="54">
        <v>1.67</v>
      </c>
      <c r="Q31" s="54">
        <v>6.24</v>
      </c>
      <c r="R31" s="43"/>
      <c r="S31" s="43"/>
      <c r="T31" s="43"/>
      <c r="U31" s="43"/>
    </row>
    <row r="32" spans="1:21" s="11" customFormat="1" ht="15">
      <c r="A32" s="53" t="s">
        <v>613</v>
      </c>
      <c r="B32" s="54">
        <v>12.42</v>
      </c>
      <c r="C32" s="54">
        <v>59.84</v>
      </c>
      <c r="D32" s="54">
        <v>43.49</v>
      </c>
      <c r="E32" s="54">
        <v>2.81</v>
      </c>
      <c r="F32" s="54">
        <v>6.08</v>
      </c>
      <c r="G32" s="54">
        <v>208.59</v>
      </c>
      <c r="H32" s="54">
        <v>135.38999999999999</v>
      </c>
      <c r="I32" s="54">
        <v>1.53</v>
      </c>
      <c r="J32" s="54">
        <v>0.33</v>
      </c>
      <c r="K32" s="54">
        <v>111.05</v>
      </c>
      <c r="L32" s="54">
        <v>19.670000000000002</v>
      </c>
      <c r="M32" s="54">
        <v>62.66</v>
      </c>
      <c r="N32" s="54">
        <v>26.5</v>
      </c>
      <c r="O32" s="54">
        <v>0</v>
      </c>
      <c r="P32" s="54">
        <v>1.56</v>
      </c>
      <c r="Q32" s="54">
        <v>6.60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3.1200000000000001</v>
      </c>
      <c r="C34" s="28">
        <f t="shared" si="0"/>
        <v>41.079999999999998</v>
      </c>
      <c r="D34" s="28">
        <f t="shared" si="0"/>
        <v>25.850000000000001</v>
      </c>
      <c r="E34" s="28">
        <f t="shared" si="0"/>
        <v>2.52</v>
      </c>
      <c r="F34" s="28">
        <f t="shared" si="0"/>
        <v>3.4300000000000002</v>
      </c>
      <c r="G34" s="28">
        <f t="shared" si="0"/>
        <v>53.439999999999998</v>
      </c>
      <c r="H34" s="28">
        <f t="shared" si="0"/>
        <v>32.969999999999999</v>
      </c>
      <c r="I34" s="28">
        <f t="shared" si="0"/>
        <v>1.52</v>
      </c>
      <c r="J34" s="28">
        <f t="shared" si="0"/>
        <v>0.10000000000000001</v>
      </c>
      <c r="K34" s="28">
        <f t="shared" si="0"/>
        <v>92.189999999999998</v>
      </c>
      <c r="L34" s="28">
        <f t="shared" si="0"/>
        <v>16.98</v>
      </c>
      <c r="M34" s="28">
        <f t="shared" si="0"/>
        <v>37.75</v>
      </c>
      <c r="N34" s="28">
        <f t="shared" si="0"/>
        <v>24.899999999999999</v>
      </c>
      <c r="O34" s="28">
        <f t="shared" si="0"/>
        <v>0</v>
      </c>
      <c r="P34" s="28">
        <f t="shared" si="0"/>
        <v>0.75</v>
      </c>
      <c r="Q34" s="28">
        <f t="shared" si="0"/>
        <v>4.6699999999999999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23.84</v>
      </c>
      <c r="C35" s="29">
        <f t="shared" si="1"/>
        <v>84.730000000000004</v>
      </c>
      <c r="D35" s="29">
        <f t="shared" si="1"/>
        <v>63.229999999999997</v>
      </c>
      <c r="E35" s="29">
        <f t="shared" si="1"/>
        <v>4.8700000000000001</v>
      </c>
      <c r="F35" s="29">
        <f t="shared" si="1"/>
        <v>37.009999999999998</v>
      </c>
      <c r="G35" s="29">
        <f t="shared" si="1"/>
        <v>208.59</v>
      </c>
      <c r="H35" s="29">
        <f t="shared" si="1"/>
        <v>135.38999999999999</v>
      </c>
      <c r="I35" s="29">
        <f t="shared" si="1"/>
        <v>1.6299999999999999</v>
      </c>
      <c r="J35" s="29">
        <f t="shared" si="1"/>
        <v>1.28</v>
      </c>
      <c r="K35" s="29">
        <f t="shared" si="1"/>
        <v>356.81</v>
      </c>
      <c r="L35" s="29">
        <f t="shared" si="1"/>
        <v>28.379999999999999</v>
      </c>
      <c r="M35" s="29">
        <f t="shared" si="1"/>
        <v>84.010000000000005</v>
      </c>
      <c r="N35" s="29">
        <f t="shared" si="1"/>
        <v>628.10000000000002</v>
      </c>
      <c r="O35" s="29">
        <f t="shared" si="1"/>
        <v>0</v>
      </c>
      <c r="P35" s="29">
        <f t="shared" si="1"/>
        <v>2.1499999999999999</v>
      </c>
      <c r="Q35" s="29">
        <f t="shared" si="1"/>
        <v>6.79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9.8349999999999973</v>
      </c>
      <c r="C36" s="28">
        <f t="shared" si="2"/>
        <v>53.400416666666651</v>
      </c>
      <c r="D36" s="28">
        <f t="shared" si="2"/>
        <v>37.717083333333335</v>
      </c>
      <c r="E36" s="28">
        <f t="shared" si="2"/>
        <v>3.0407142857142859</v>
      </c>
      <c r="F36" s="28">
        <f t="shared" si="2"/>
        <v>11.107916666666666</v>
      </c>
      <c r="G36" s="28">
        <f t="shared" si="2"/>
        <v>99.599166666666676</v>
      </c>
      <c r="H36" s="28">
        <f t="shared" si="2"/>
        <v>51.098333333333336</v>
      </c>
      <c r="I36" s="28">
        <f t="shared" si="2"/>
        <v>1.55</v>
      </c>
      <c r="J36" s="28">
        <f t="shared" si="2"/>
        <v>0.42999999999999994</v>
      </c>
      <c r="K36" s="28">
        <f t="shared" si="2"/>
        <v>243.24000000000001</v>
      </c>
      <c r="L36" s="28">
        <f t="shared" si="2"/>
        <v>22.064583333333335</v>
      </c>
      <c r="M36" s="28">
        <f t="shared" si="2"/>
        <v>61.802916666666675</v>
      </c>
      <c r="N36" s="28">
        <f t="shared" si="2"/>
        <v>182.68333333333331</v>
      </c>
      <c r="O36" s="28">
        <f t="shared" si="2"/>
        <v>0</v>
      </c>
      <c r="P36" s="28">
        <f t="shared" si="2"/>
        <v>1.2354166666666664</v>
      </c>
      <c r="Q36" s="28">
        <f t="shared" si="2"/>
        <v>5.889166666666668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5.515564538096994</v>
      </c>
      <c r="C37" s="28">
        <f t="shared" si="3" ref="C37:Q37">STDEV(C9:C32)</f>
        <v>13.769457214892483</v>
      </c>
      <c r="D37" s="28">
        <f t="shared" si="3"/>
        <v>11.079399795062944</v>
      </c>
      <c r="E37" s="28">
        <f t="shared" si="3"/>
        <v>0.59463581984417746</v>
      </c>
      <c r="F37" s="28">
        <f t="shared" si="3"/>
        <v>10.079999559681957</v>
      </c>
      <c r="G37" s="28">
        <f t="shared" si="3"/>
        <v>42.406771497492947</v>
      </c>
      <c r="H37" s="28">
        <f t="shared" si="3"/>
        <v>25.454635806822498</v>
      </c>
      <c r="I37" s="28">
        <f t="shared" si="3"/>
        <v>0.025021729686848959</v>
      </c>
      <c r="J37" s="28">
        <f t="shared" si="3"/>
        <v>0.29607578348324515</v>
      </c>
      <c r="K37" s="28">
        <f t="shared" si="3"/>
        <v>108.23906559897473</v>
      </c>
      <c r="L37" s="28">
        <f t="shared" si="3"/>
        <v>3.8164654478316198</v>
      </c>
      <c r="M37" s="28">
        <f t="shared" si="3"/>
        <v>15.325372108161719</v>
      </c>
      <c r="N37" s="28">
        <f t="shared" si="3"/>
        <v>226.94561820662764</v>
      </c>
      <c r="O37" s="28">
        <f t="shared" si="3"/>
        <v>0</v>
      </c>
      <c r="P37" s="28">
        <f t="shared" si="3"/>
        <v>0.41308993827186063</v>
      </c>
      <c r="Q37" s="28">
        <f t="shared" si="3"/>
        <v>0.45564971926540848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COUNT(E9:E32)+10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521c0e7-f6d2-4f72-9086-0dbeb74dc22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614</v>
      </c>
      <c r="B9" s="54">
        <v>11.31</v>
      </c>
      <c r="C9" s="54">
        <v>50.89</v>
      </c>
      <c r="D9" s="54">
        <v>37.799999999999997</v>
      </c>
      <c r="E9" s="54">
        <v>2.72</v>
      </c>
      <c r="F9" s="54">
        <v>6.71</v>
      </c>
      <c r="G9" s="54">
        <v>154.44999999999999</v>
      </c>
      <c r="H9" s="54">
        <v>75.040000000000006</v>
      </c>
      <c r="I9" s="54">
        <v>1.60</v>
      </c>
      <c r="J9" s="54">
        <v>0.35</v>
      </c>
      <c r="K9" s="54">
        <v>288.29000000000002</v>
      </c>
      <c r="L9" s="54">
        <v>19.04</v>
      </c>
      <c r="M9" s="54">
        <v>69.66</v>
      </c>
      <c r="N9" s="54">
        <v>27.10</v>
      </c>
      <c r="O9" s="54">
        <v>0</v>
      </c>
      <c r="P9" s="54">
        <v>1.44</v>
      </c>
      <c r="Q9" s="54">
        <v>6.56</v>
      </c>
      <c r="R9" s="43"/>
      <c r="S9" s="43"/>
      <c r="T9" s="43"/>
      <c r="U9" s="43"/>
    </row>
    <row r="10" spans="1:21" s="11" customFormat="1" ht="15">
      <c r="A10" s="53" t="s">
        <v>615</v>
      </c>
      <c r="B10" s="54">
        <v>10.28</v>
      </c>
      <c r="C10" s="54">
        <v>47.58</v>
      </c>
      <c r="D10" s="54">
        <v>35.15</v>
      </c>
      <c r="E10" s="54">
        <v>2.64</v>
      </c>
      <c r="F10" s="54">
        <v>6.46</v>
      </c>
      <c r="G10" s="54">
        <v>88.26</v>
      </c>
      <c r="H10" s="54">
        <v>55.24</v>
      </c>
      <c r="I10" s="54">
        <v>1.56</v>
      </c>
      <c r="J10" s="54">
        <v>0.61</v>
      </c>
      <c r="K10" s="54">
        <v>122.46</v>
      </c>
      <c r="L10" s="54">
        <v>19.30</v>
      </c>
      <c r="M10" s="54">
        <v>68.5</v>
      </c>
      <c r="N10" s="54">
        <v>26.5</v>
      </c>
      <c r="O10" s="54">
        <v>0</v>
      </c>
      <c r="P10" s="54">
        <v>1.24</v>
      </c>
      <c r="Q10" s="54">
        <v>6.32</v>
      </c>
      <c r="R10" s="43"/>
      <c r="S10" s="43"/>
      <c r="T10" s="43"/>
      <c r="U10" s="43"/>
    </row>
    <row r="11" spans="1:21" s="11" customFormat="1" ht="15">
      <c r="A11" s="53" t="s">
        <v>616</v>
      </c>
      <c r="B11" s="54">
        <v>7.64</v>
      </c>
      <c r="C11" s="54">
        <v>42.88</v>
      </c>
      <c r="D11" s="54">
        <v>30.44</v>
      </c>
      <c r="E11" s="54">
        <v>2.56</v>
      </c>
      <c r="F11" s="54">
        <v>5.12</v>
      </c>
      <c r="G11" s="54">
        <v>63.92</v>
      </c>
      <c r="H11" s="54">
        <v>43.82</v>
      </c>
      <c r="I11" s="54">
        <v>1.52</v>
      </c>
      <c r="J11" s="54">
        <v>0.35</v>
      </c>
      <c r="K11" s="54">
        <v>330.24</v>
      </c>
      <c r="L11" s="54">
        <v>19.010000000000002</v>
      </c>
      <c r="M11" s="54">
        <v>73.459999999999994</v>
      </c>
      <c r="N11" s="54">
        <v>27.10</v>
      </c>
      <c r="O11" s="54">
        <v>0</v>
      </c>
      <c r="P11" s="54">
        <v>1.1499999999999999</v>
      </c>
      <c r="Q11" s="54">
        <v>6.16</v>
      </c>
      <c r="R11" s="43"/>
      <c r="S11" s="43"/>
      <c r="T11" s="43"/>
      <c r="U11" s="43"/>
    </row>
    <row r="12" spans="1:21" s="11" customFormat="1" ht="15">
      <c r="A12" s="53" t="s">
        <v>617</v>
      </c>
      <c r="B12" s="54">
        <v>4.87</v>
      </c>
      <c r="C12" s="54">
        <v>42.33</v>
      </c>
      <c r="D12" s="54">
        <v>27.91</v>
      </c>
      <c r="E12" s="54">
        <v>2.39</v>
      </c>
      <c r="F12" s="54">
        <v>4.63</v>
      </c>
      <c r="G12" s="54">
        <v>62.66</v>
      </c>
      <c r="H12" s="54">
        <v>30.42</v>
      </c>
      <c r="I12" s="54">
        <v>1.52</v>
      </c>
      <c r="J12" s="54">
        <v>0.13</v>
      </c>
      <c r="K12" s="54">
        <v>340.65</v>
      </c>
      <c r="L12" s="54">
        <v>17.91</v>
      </c>
      <c r="M12" s="54">
        <v>77.20</v>
      </c>
      <c r="N12" s="54">
        <v>27.20</v>
      </c>
      <c r="O12" s="54">
        <v>0</v>
      </c>
      <c r="P12" s="54">
        <v>1</v>
      </c>
      <c r="Q12" s="54">
        <v>5.72</v>
      </c>
      <c r="R12" s="43"/>
      <c r="S12" s="43"/>
      <c r="T12" s="43"/>
      <c r="U12" s="43"/>
    </row>
    <row r="13" spans="1:21" s="11" customFormat="1" ht="15">
      <c r="A13" s="53" t="s">
        <v>618</v>
      </c>
      <c r="B13" s="54">
        <v>4.9000000000000004</v>
      </c>
      <c r="C13" s="54">
        <v>40.92</v>
      </c>
      <c r="D13" s="54">
        <v>27.09</v>
      </c>
      <c r="E13" s="54">
        <v>2.2799999999999998</v>
      </c>
      <c r="F13" s="54">
        <v>4.1900000000000004</v>
      </c>
      <c r="G13" s="54">
        <v>64.849999999999994</v>
      </c>
      <c r="H13" s="54">
        <v>44.87</v>
      </c>
      <c r="I13" s="54">
        <v>1.5</v>
      </c>
      <c r="J13" s="54">
        <v>0.57999999999999996</v>
      </c>
      <c r="K13" s="54">
        <v>353.87</v>
      </c>
      <c r="L13" s="54">
        <v>17.72</v>
      </c>
      <c r="M13" s="54">
        <v>80.48</v>
      </c>
      <c r="N13" s="54">
        <v>27.10</v>
      </c>
      <c r="O13" s="54">
        <v>0</v>
      </c>
      <c r="P13" s="54">
        <v>0.88</v>
      </c>
      <c r="Q13" s="54">
        <v>5.59</v>
      </c>
      <c r="R13" s="43"/>
      <c r="S13" s="43"/>
      <c r="T13" s="43"/>
      <c r="U13" s="43"/>
    </row>
    <row r="14" spans="1:21" s="11" customFormat="1" ht="15">
      <c r="A14" s="53" t="s">
        <v>619</v>
      </c>
      <c r="B14" s="54">
        <v>6.93</v>
      </c>
      <c r="C14" s="54">
        <v>42.11</v>
      </c>
      <c r="D14" s="54">
        <v>29.34</v>
      </c>
      <c r="E14" s="54">
        <v>2.2400000000000002</v>
      </c>
      <c r="F14" s="54">
        <v>3.55</v>
      </c>
      <c r="G14" s="54">
        <v>89.08</v>
      </c>
      <c r="H14" s="54">
        <v>45.24</v>
      </c>
      <c r="I14" s="54">
        <v>1.58</v>
      </c>
      <c r="J14" s="54">
        <v>0.56000000000000005</v>
      </c>
      <c r="K14" s="54">
        <v>354.33</v>
      </c>
      <c r="L14" s="54">
        <v>17.45</v>
      </c>
      <c r="M14" s="54">
        <v>82.14</v>
      </c>
      <c r="N14" s="54">
        <v>27.70</v>
      </c>
      <c r="O14" s="54">
        <v>0</v>
      </c>
      <c r="P14" s="54">
        <v>0.95</v>
      </c>
      <c r="Q14" s="54">
        <v>5.79</v>
      </c>
      <c r="R14" s="43"/>
      <c r="S14" s="43"/>
      <c r="T14" s="43"/>
      <c r="U14" s="43"/>
    </row>
    <row r="15" spans="1:21" s="11" customFormat="1" ht="15">
      <c r="A15" s="53" t="s">
        <v>620</v>
      </c>
      <c r="B15" s="54">
        <v>8.58</v>
      </c>
      <c r="C15" s="54">
        <v>44.46</v>
      </c>
      <c r="D15" s="54">
        <v>32.06</v>
      </c>
      <c r="E15" s="54">
        <v>2.2599999999999998</v>
      </c>
      <c r="F15" s="54">
        <v>4.4800000000000004</v>
      </c>
      <c r="G15" s="54">
        <v>108.51</v>
      </c>
      <c r="H15" s="54">
        <v>46.67</v>
      </c>
      <c r="I15" s="54">
        <v>1.54</v>
      </c>
      <c r="J15" s="54">
        <v>0.77</v>
      </c>
      <c r="K15" s="54">
        <v>346.49</v>
      </c>
      <c r="L15" s="54">
        <v>17.68</v>
      </c>
      <c r="M15" s="54">
        <v>76.760000000000005</v>
      </c>
      <c r="N15" s="54">
        <v>73.400000000000006</v>
      </c>
      <c r="O15" s="54">
        <v>0</v>
      </c>
      <c r="P15" s="54">
        <v>0.94</v>
      </c>
      <c r="Q15" s="54">
        <v>5.92</v>
      </c>
      <c r="R15" s="43"/>
      <c r="S15" s="43"/>
      <c r="T15" s="43"/>
      <c r="U15" s="43"/>
    </row>
    <row r="16" spans="1:21" s="11" customFormat="1" ht="15">
      <c r="A16" s="53" t="s">
        <v>621</v>
      </c>
      <c r="B16" s="54">
        <v>11.70</v>
      </c>
      <c r="C16" s="54">
        <v>47.45</v>
      </c>
      <c r="D16" s="54">
        <v>36.21</v>
      </c>
      <c r="E16" s="54">
        <v>2.27</v>
      </c>
      <c r="F16" s="54">
        <v>3.80</v>
      </c>
      <c r="G16" s="54">
        <v>99.72</v>
      </c>
      <c r="H16" s="54">
        <v>43.72</v>
      </c>
      <c r="I16" s="54">
        <v>1.5</v>
      </c>
      <c r="J16" s="54">
        <v>0.73</v>
      </c>
      <c r="K16" s="54">
        <v>356.52</v>
      </c>
      <c r="L16" s="54">
        <v>20.34</v>
      </c>
      <c r="M16" s="54">
        <v>75.290000000000006</v>
      </c>
      <c r="N16" s="54">
        <v>216.40</v>
      </c>
      <c r="O16" s="54">
        <v>0</v>
      </c>
      <c r="P16" s="54">
        <v>1.02</v>
      </c>
      <c r="Q16" s="54">
        <v>6.16</v>
      </c>
      <c r="R16" s="43"/>
      <c r="S16" s="43"/>
      <c r="T16" s="43"/>
      <c r="U16" s="43"/>
    </row>
    <row r="17" spans="1:21" s="11" customFormat="1" ht="15">
      <c r="A17" s="53" t="s">
        <v>622</v>
      </c>
      <c r="B17" s="54">
        <v>12.05</v>
      </c>
      <c r="C17" s="54">
        <v>50.25</v>
      </c>
      <c r="D17" s="54">
        <v>38.020000000000003</v>
      </c>
      <c r="E17" s="54">
        <v>2.41</v>
      </c>
      <c r="F17" s="54">
        <v>4.37</v>
      </c>
      <c r="G17" s="54">
        <v>103.80</v>
      </c>
      <c r="H17" s="54">
        <v>52.39</v>
      </c>
      <c r="I17" s="54">
        <v>1.53</v>
      </c>
      <c r="J17" s="54">
        <v>0.52</v>
      </c>
      <c r="K17" s="54">
        <v>342.08</v>
      </c>
      <c r="L17" s="54">
        <v>22.52</v>
      </c>
      <c r="M17" s="54">
        <v>61.43</v>
      </c>
      <c r="N17" s="54">
        <v>408.80</v>
      </c>
      <c r="O17" s="54">
        <v>0</v>
      </c>
      <c r="P17" s="54">
        <v>1.04</v>
      </c>
      <c r="Q17" s="54">
        <v>6.31</v>
      </c>
      <c r="R17" s="43"/>
      <c r="S17" s="43"/>
      <c r="T17" s="43"/>
      <c r="U17" s="43"/>
    </row>
    <row r="18" spans="1:21" s="11" customFormat="1" ht="15">
      <c r="A18" s="53" t="s">
        <v>623</v>
      </c>
      <c r="B18" s="54">
        <v>12.19</v>
      </c>
      <c r="C18" s="54">
        <v>50.09</v>
      </c>
      <c r="D18" s="54">
        <v>36.979999999999997</v>
      </c>
      <c r="E18" s="54">
        <v>2.36</v>
      </c>
      <c r="F18" s="54">
        <v>5.22</v>
      </c>
      <c r="G18" s="54">
        <v>102.42</v>
      </c>
      <c r="H18" s="54">
        <v>49.30</v>
      </c>
      <c r="I18" s="54">
        <v>1.55</v>
      </c>
      <c r="J18" s="54">
        <v>0.75</v>
      </c>
      <c r="K18" s="54">
        <v>345.89</v>
      </c>
      <c r="L18" s="54">
        <v>25.73</v>
      </c>
      <c r="M18" s="54">
        <v>53.45</v>
      </c>
      <c r="N18" s="54">
        <v>479.70</v>
      </c>
      <c r="O18" s="54">
        <v>0</v>
      </c>
      <c r="P18" s="54">
        <v>1.08</v>
      </c>
      <c r="Q18" s="54">
        <v>6.34</v>
      </c>
      <c r="R18" s="43"/>
      <c r="S18" s="43"/>
      <c r="T18" s="43"/>
      <c r="U18" s="43"/>
    </row>
    <row r="19" spans="1:21" s="11" customFormat="1" ht="15">
      <c r="A19" s="53" t="s">
        <v>624</v>
      </c>
      <c r="B19" s="54">
        <v>8.56</v>
      </c>
      <c r="C19" s="54">
        <v>54.67</v>
      </c>
      <c r="D19" s="54">
        <v>35.65</v>
      </c>
      <c r="E19" s="54">
        <v>2.41</v>
      </c>
      <c r="F19" s="54">
        <v>9.2200000000000006</v>
      </c>
      <c r="G19" s="54">
        <v>99.07</v>
      </c>
      <c r="H19" s="54">
        <v>46.47</v>
      </c>
      <c r="I19" s="54">
        <v>1.54</v>
      </c>
      <c r="J19" s="54">
        <v>0.95</v>
      </c>
      <c r="K19" s="54">
        <v>111.01</v>
      </c>
      <c r="L19" s="54">
        <v>25.91</v>
      </c>
      <c r="M19" s="54">
        <v>54.66</v>
      </c>
      <c r="N19" s="54">
        <v>572.40</v>
      </c>
      <c r="O19" s="54">
        <v>0</v>
      </c>
      <c r="P19" s="54">
        <v>1.0900000000000001</v>
      </c>
      <c r="Q19" s="54">
        <v>6.15</v>
      </c>
      <c r="R19" s="43"/>
      <c r="S19" s="43"/>
      <c r="T19" s="43"/>
      <c r="U19" s="43"/>
    </row>
    <row r="20" spans="1:21" s="11" customFormat="1" ht="15">
      <c r="A20" s="53" t="s">
        <v>625</v>
      </c>
      <c r="B20" s="54">
        <v>3.5</v>
      </c>
      <c r="C20" s="54">
        <v>50.28</v>
      </c>
      <c r="D20" s="54">
        <v>30.72</v>
      </c>
      <c r="E20" s="54">
        <v>2.4500000000000002</v>
      </c>
      <c r="F20" s="54">
        <v>8.14</v>
      </c>
      <c r="G20" s="54">
        <v>87.90</v>
      </c>
      <c r="H20" s="54">
        <v>44.10</v>
      </c>
      <c r="I20" s="54">
        <v>1.53</v>
      </c>
      <c r="J20" s="54">
        <v>0.62</v>
      </c>
      <c r="K20" s="54">
        <v>90.59</v>
      </c>
      <c r="L20" s="54">
        <v>27.19</v>
      </c>
      <c r="M20" s="54">
        <v>51.24</v>
      </c>
      <c r="N20" s="54">
        <v>576</v>
      </c>
      <c r="O20" s="54">
        <v>0</v>
      </c>
      <c r="P20" s="54">
        <v>1.06</v>
      </c>
      <c r="Q20" s="54">
        <v>5.93</v>
      </c>
      <c r="R20" s="43"/>
      <c r="S20" s="43"/>
      <c r="T20" s="43"/>
      <c r="U20" s="43"/>
    </row>
    <row r="21" spans="1:21" s="11" customFormat="1" ht="15">
      <c r="A21" s="53" t="s">
        <v>626</v>
      </c>
      <c r="B21" s="54">
        <v>3.70</v>
      </c>
      <c r="C21" s="54">
        <v>48.36</v>
      </c>
      <c r="D21" s="54">
        <v>30.30</v>
      </c>
      <c r="E21" s="54">
        <v>2.38</v>
      </c>
      <c r="F21" s="54">
        <v>7.83</v>
      </c>
      <c r="G21" s="54">
        <v>81.58</v>
      </c>
      <c r="H21" s="54">
        <v>45.14</v>
      </c>
      <c r="I21" s="54">
        <v>1.56</v>
      </c>
      <c r="J21" s="54">
        <v>0.68</v>
      </c>
      <c r="K21" s="54">
        <v>351.03</v>
      </c>
      <c r="L21" s="54">
        <v>27.82</v>
      </c>
      <c r="M21" s="54">
        <v>39.49</v>
      </c>
      <c r="N21" s="54">
        <v>533.70000000000005</v>
      </c>
      <c r="O21" s="54">
        <v>0</v>
      </c>
      <c r="P21" s="54">
        <v>1.01</v>
      </c>
      <c r="Q21" s="54">
        <v>5.76</v>
      </c>
      <c r="R21" s="43"/>
      <c r="S21" s="43"/>
      <c r="T21" s="43"/>
      <c r="U21" s="43"/>
    </row>
    <row r="22" spans="1:21" s="11" customFormat="1" ht="15">
      <c r="A22" s="53" t="s">
        <v>627</v>
      </c>
      <c r="B22" s="54">
        <v>3.73</v>
      </c>
      <c r="C22" s="54">
        <v>47.05</v>
      </c>
      <c r="D22" s="54">
        <v>29.45</v>
      </c>
      <c r="E22" s="54">
        <v>2.60</v>
      </c>
      <c r="F22" s="54">
        <v>11.89</v>
      </c>
      <c r="G22" s="54">
        <v>70.849999999999994</v>
      </c>
      <c r="H22" s="54">
        <v>42.14</v>
      </c>
      <c r="I22" s="54">
        <v>1.56</v>
      </c>
      <c r="J22" s="54">
        <v>0.93</v>
      </c>
      <c r="K22" s="54">
        <v>125.10</v>
      </c>
      <c r="L22" s="54">
        <v>26.44</v>
      </c>
      <c r="M22" s="54">
        <v>40.5</v>
      </c>
      <c r="N22" s="54">
        <v>516.90</v>
      </c>
      <c r="O22" s="54">
        <v>0</v>
      </c>
      <c r="P22" s="54">
        <v>0.85</v>
      </c>
      <c r="Q22" s="54">
        <v>5.75</v>
      </c>
      <c r="R22" s="43"/>
      <c r="S22" s="43"/>
      <c r="T22" s="43"/>
      <c r="U22" s="43"/>
    </row>
    <row r="23" spans="1:21" s="11" customFormat="1" ht="15">
      <c r="A23" s="53" t="s">
        <v>628</v>
      </c>
      <c r="B23" s="54">
        <v>5.38</v>
      </c>
      <c r="C23" s="54">
        <v>48.86</v>
      </c>
      <c r="D23" s="54">
        <v>31.34</v>
      </c>
      <c r="E23" s="54">
        <v>2.94</v>
      </c>
      <c r="F23" s="54">
        <v>19.13</v>
      </c>
      <c r="G23" s="54">
        <v>57.01</v>
      </c>
      <c r="H23" s="54">
        <v>33.479999999999997</v>
      </c>
      <c r="I23" s="54">
        <v>1.56</v>
      </c>
      <c r="J23" s="54">
        <v>0.73</v>
      </c>
      <c r="K23" s="54">
        <v>352.04</v>
      </c>
      <c r="L23" s="54">
        <v>26.24</v>
      </c>
      <c r="M23" s="54">
        <v>40.93</v>
      </c>
      <c r="N23" s="54">
        <v>234.40</v>
      </c>
      <c r="O23" s="54">
        <v>0</v>
      </c>
      <c r="P23" s="54">
        <v>0.83</v>
      </c>
      <c r="Q23" s="54">
        <v>5.73</v>
      </c>
      <c r="R23" s="43"/>
      <c r="S23" s="43"/>
      <c r="T23" s="43"/>
      <c r="U23" s="43"/>
    </row>
    <row r="24" spans="1:21" s="11" customFormat="1" ht="15">
      <c r="A24" s="53" t="s">
        <v>629</v>
      </c>
      <c r="B24" s="54">
        <v>5.22</v>
      </c>
      <c r="C24" s="54">
        <v>53.37</v>
      </c>
      <c r="D24" s="54">
        <v>33.71</v>
      </c>
      <c r="E24" s="54">
        <v>3.34</v>
      </c>
      <c r="F24" s="54">
        <v>25.19</v>
      </c>
      <c r="G24" s="54">
        <v>69.61</v>
      </c>
      <c r="H24" s="54">
        <v>40.33</v>
      </c>
      <c r="I24" s="54">
        <v>1.55</v>
      </c>
      <c r="J24" s="54">
        <v>0.57999999999999996</v>
      </c>
      <c r="K24" s="54">
        <v>344.34</v>
      </c>
      <c r="L24" s="54">
        <v>25.47</v>
      </c>
      <c r="M24" s="54">
        <v>42.53</v>
      </c>
      <c r="N24" s="54">
        <v>149.5</v>
      </c>
      <c r="O24" s="54">
        <v>0</v>
      </c>
      <c r="P24" s="54">
        <v>0.87</v>
      </c>
      <c r="Q24" s="54">
        <v>6.02</v>
      </c>
      <c r="R24" s="43"/>
      <c r="S24" s="43"/>
      <c r="T24" s="43"/>
      <c r="U24" s="43"/>
    </row>
    <row r="25" spans="1:21" s="11" customFormat="1" ht="15">
      <c r="A25" s="53" t="s">
        <v>630</v>
      </c>
      <c r="B25" s="54">
        <v>6.29</v>
      </c>
      <c r="C25" s="54">
        <v>62.39</v>
      </c>
      <c r="D25" s="54">
        <v>38.200000000000003</v>
      </c>
      <c r="E25" s="54">
        <v>3.66</v>
      </c>
      <c r="F25" s="54">
        <v>24.71</v>
      </c>
      <c r="G25" s="54">
        <v>73.25</v>
      </c>
      <c r="H25" s="54">
        <v>46.57</v>
      </c>
      <c r="I25" s="54">
        <v>1.61</v>
      </c>
      <c r="J25" s="54">
        <v>0.22</v>
      </c>
      <c r="K25" s="54">
        <v>98.99</v>
      </c>
      <c r="L25" s="54">
        <v>24.76</v>
      </c>
      <c r="M25" s="54">
        <v>46.88</v>
      </c>
      <c r="N25" s="54">
        <v>81.80</v>
      </c>
      <c r="O25" s="54">
        <v>0</v>
      </c>
      <c r="P25" s="54">
        <v>0.97</v>
      </c>
      <c r="Q25" s="54">
        <v>5.63</v>
      </c>
      <c r="R25" s="43"/>
      <c r="S25" s="43"/>
      <c r="T25" s="43"/>
      <c r="U25" s="43"/>
    </row>
    <row r="26" spans="1:21" s="11" customFormat="1" ht="15">
      <c r="A26" s="53" t="s">
        <v>631</v>
      </c>
      <c r="B26" s="54">
        <v>5.91</v>
      </c>
      <c r="C26" s="54">
        <v>74.959999999999994</v>
      </c>
      <c r="D26" s="54">
        <v>45.41</v>
      </c>
      <c r="E26" s="54">
        <v>3.80</v>
      </c>
      <c r="F26" s="54">
        <v>28.17</v>
      </c>
      <c r="G26" s="54">
        <v>79.52</v>
      </c>
      <c r="H26" s="54">
        <v>44.59</v>
      </c>
      <c r="I26" s="54">
        <v>1.57</v>
      </c>
      <c r="J26" s="54">
        <v>0.20</v>
      </c>
      <c r="K26" s="54">
        <v>89.89</v>
      </c>
      <c r="L26" s="54">
        <v>23.39</v>
      </c>
      <c r="M26" s="54">
        <v>51.52</v>
      </c>
      <c r="N26" s="54">
        <v>30.5</v>
      </c>
      <c r="O26" s="54">
        <v>0</v>
      </c>
      <c r="P26" s="54">
        <v>1.40</v>
      </c>
      <c r="Q26" s="54">
        <v>5.73</v>
      </c>
      <c r="R26" s="43"/>
      <c r="S26" s="43"/>
      <c r="T26" s="43"/>
      <c r="U26" s="43"/>
    </row>
    <row r="27" spans="1:21" s="11" customFormat="1" ht="15">
      <c r="A27" s="53" t="s">
        <v>632</v>
      </c>
      <c r="B27" s="54">
        <v>5.71</v>
      </c>
      <c r="C27" s="54">
        <v>74.91</v>
      </c>
      <c r="D27" s="54">
        <v>46.11</v>
      </c>
      <c r="E27" s="54">
        <v>3.66</v>
      </c>
      <c r="F27" s="54">
        <v>10.76</v>
      </c>
      <c r="G27" s="54">
        <v>101.54</v>
      </c>
      <c r="H27" s="54">
        <v>85.43</v>
      </c>
      <c r="I27" s="54">
        <v>1.54</v>
      </c>
      <c r="J27" s="54">
        <v>0.24</v>
      </c>
      <c r="K27" s="54">
        <v>105.95</v>
      </c>
      <c r="L27" s="54">
        <v>22.63</v>
      </c>
      <c r="M27" s="54">
        <v>52.03</v>
      </c>
      <c r="N27" s="54">
        <v>27.80</v>
      </c>
      <c r="O27" s="54">
        <v>0</v>
      </c>
      <c r="P27" s="54">
        <v>1.35</v>
      </c>
      <c r="Q27" s="54">
        <v>5.75</v>
      </c>
      <c r="R27" s="43"/>
      <c r="S27" s="43"/>
      <c r="T27" s="43"/>
      <c r="U27" s="43"/>
    </row>
    <row r="28" spans="1:21" s="11" customFormat="1" ht="15">
      <c r="A28" s="53" t="s">
        <v>633</v>
      </c>
      <c r="B28" s="54">
        <v>5.90</v>
      </c>
      <c r="C28" s="54">
        <v>66.819999999999993</v>
      </c>
      <c r="D28" s="54">
        <v>42.26</v>
      </c>
      <c r="E28" s="54">
        <v>3.42</v>
      </c>
      <c r="F28" s="54">
        <v>12.44</v>
      </c>
      <c r="G28" s="54">
        <v>99.98</v>
      </c>
      <c r="H28" s="54">
        <v>69.31</v>
      </c>
      <c r="I28" s="54">
        <v>1.48</v>
      </c>
      <c r="J28" s="54">
        <v>0.24</v>
      </c>
      <c r="K28" s="54">
        <v>115.06</v>
      </c>
      <c r="L28" s="54">
        <v>22.18</v>
      </c>
      <c r="M28" s="54">
        <v>55.40</v>
      </c>
      <c r="N28" s="54">
        <v>27.70</v>
      </c>
      <c r="O28" s="54">
        <v>0</v>
      </c>
      <c r="P28" s="54">
        <v>1.37</v>
      </c>
      <c r="Q28" s="54">
        <v>5.94</v>
      </c>
      <c r="R28" s="43"/>
      <c r="S28" s="43"/>
      <c r="T28" s="43"/>
      <c r="U28" s="43"/>
    </row>
    <row r="29" spans="1:21" s="11" customFormat="1" ht="15">
      <c r="A29" s="53" t="s">
        <v>634</v>
      </c>
      <c r="B29" s="54">
        <v>9.4600000000000009</v>
      </c>
      <c r="C29" s="54">
        <v>67.03</v>
      </c>
      <c r="D29" s="54">
        <v>44.82</v>
      </c>
      <c r="E29" s="54">
        <v>3.80</v>
      </c>
      <c r="F29" s="54">
        <v>8.7200000000000006</v>
      </c>
      <c r="G29" s="54">
        <v>101.56</v>
      </c>
      <c r="H29" s="54">
        <v>60.82</v>
      </c>
      <c r="I29" s="54">
        <v>1.56</v>
      </c>
      <c r="J29" s="54">
        <v>0.20</v>
      </c>
      <c r="K29" s="54">
        <v>84.41</v>
      </c>
      <c r="L29" s="54">
        <v>21.68</v>
      </c>
      <c r="M29" s="54">
        <v>59.40</v>
      </c>
      <c r="N29" s="54">
        <v>27.90</v>
      </c>
      <c r="O29" s="54">
        <v>0</v>
      </c>
      <c r="P29" s="54">
        <v>1.57</v>
      </c>
      <c r="Q29" s="54">
        <v>5.81</v>
      </c>
      <c r="R29" s="43"/>
      <c r="S29" s="43"/>
      <c r="T29" s="43"/>
      <c r="U29" s="43"/>
    </row>
    <row r="30" spans="1:21" s="11" customFormat="1" ht="15">
      <c r="A30" s="53" t="s">
        <v>635</v>
      </c>
      <c r="B30" s="54">
        <v>11.81</v>
      </c>
      <c r="C30" s="54">
        <v>65.5</v>
      </c>
      <c r="D30" s="54">
        <v>43.45</v>
      </c>
      <c r="E30" s="54">
        <v>3.60</v>
      </c>
      <c r="F30" s="54">
        <v>9.66</v>
      </c>
      <c r="G30" s="54">
        <v>116.94</v>
      </c>
      <c r="H30" s="54">
        <v>51.39</v>
      </c>
      <c r="I30" s="54">
        <v>1.53</v>
      </c>
      <c r="J30" s="54">
        <v>0.25</v>
      </c>
      <c r="K30" s="54">
        <v>337.49</v>
      </c>
      <c r="L30" s="54">
        <v>21.11</v>
      </c>
      <c r="M30" s="54">
        <v>66.12</v>
      </c>
      <c r="N30" s="54">
        <v>27.90</v>
      </c>
      <c r="O30" s="54">
        <v>0</v>
      </c>
      <c r="P30" s="54">
        <v>1.62</v>
      </c>
      <c r="Q30" s="54">
        <v>5.97</v>
      </c>
      <c r="R30" s="43"/>
      <c r="S30" s="43"/>
      <c r="T30" s="43"/>
      <c r="U30" s="43"/>
    </row>
    <row r="31" spans="1:21" s="11" customFormat="1" ht="15">
      <c r="A31" s="53" t="s">
        <v>636</v>
      </c>
      <c r="B31" s="54">
        <v>10.88</v>
      </c>
      <c r="C31" s="54">
        <v>61.23</v>
      </c>
      <c r="D31" s="54">
        <v>42.75</v>
      </c>
      <c r="E31" s="54">
        <v>3.25</v>
      </c>
      <c r="F31" s="54">
        <v>8.83</v>
      </c>
      <c r="G31" s="54">
        <v>111.49</v>
      </c>
      <c r="H31" s="54">
        <v>51.06</v>
      </c>
      <c r="I31" s="54">
        <v>1.58</v>
      </c>
      <c r="J31" s="54">
        <v>0.11</v>
      </c>
      <c r="K31" s="54">
        <v>232.01</v>
      </c>
      <c r="L31" s="54">
        <v>20.74</v>
      </c>
      <c r="M31" s="54">
        <v>62.49</v>
      </c>
      <c r="N31" s="54">
        <v>27.80</v>
      </c>
      <c r="O31" s="54">
        <v>0</v>
      </c>
      <c r="P31" s="54">
        <v>1.48</v>
      </c>
      <c r="Q31" s="54">
        <v>6.48</v>
      </c>
      <c r="R31" s="43"/>
      <c r="S31" s="43"/>
      <c r="T31" s="43"/>
      <c r="U31" s="43"/>
    </row>
    <row r="32" spans="1:21" s="11" customFormat="1" ht="15">
      <c r="A32" s="53" t="s">
        <v>637</v>
      </c>
      <c r="B32" s="54">
        <v>10.32</v>
      </c>
      <c r="C32" s="54">
        <v>58.64</v>
      </c>
      <c r="D32" s="54">
        <v>40.44</v>
      </c>
      <c r="E32" s="54">
        <v>2.99</v>
      </c>
      <c r="F32" s="54">
        <v>7.41</v>
      </c>
      <c r="G32" s="54">
        <v>109.63</v>
      </c>
      <c r="H32" s="54">
        <v>40.26</v>
      </c>
      <c r="I32" s="54">
        <v>1.60</v>
      </c>
      <c r="J32" s="54">
        <v>0.90</v>
      </c>
      <c r="K32" s="54">
        <v>112.98</v>
      </c>
      <c r="L32" s="54">
        <v>20.58</v>
      </c>
      <c r="M32" s="54">
        <v>64.72</v>
      </c>
      <c r="N32" s="54">
        <v>27.90</v>
      </c>
      <c r="O32" s="54">
        <v>0</v>
      </c>
      <c r="P32" s="54">
        <v>1.41</v>
      </c>
      <c r="Q32" s="54">
        <v>6.51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</v>
      </c>
      <c r="C34" s="28">
        <f t="shared" si="0"/>
        <v>40.920000000000002</v>
      </c>
      <c r="D34" s="28">
        <f t="shared" si="0"/>
        <v>27.09</v>
      </c>
      <c r="E34" s="28">
        <f t="shared" si="0"/>
        <v>2.2400000000000002</v>
      </c>
      <c r="F34" s="28">
        <f t="shared" si="0"/>
        <v>3.5499999999999998</v>
      </c>
      <c r="G34" s="28">
        <f t="shared" si="0"/>
        <v>57.009999999999998</v>
      </c>
      <c r="H34" s="28">
        <f t="shared" si="0"/>
        <v>30.420000000000002</v>
      </c>
      <c r="I34" s="28">
        <f t="shared" si="0"/>
        <v>1.48</v>
      </c>
      <c r="J34" s="28">
        <f t="shared" si="0"/>
        <v>0.11</v>
      </c>
      <c r="K34" s="28">
        <f t="shared" si="0"/>
        <v>84.409999999999997</v>
      </c>
      <c r="L34" s="28">
        <f t="shared" si="0"/>
        <v>17.449999999999999</v>
      </c>
      <c r="M34" s="28">
        <f t="shared" si="0"/>
        <v>39.490000000000002</v>
      </c>
      <c r="N34" s="28">
        <f t="shared" si="0"/>
        <v>26.5</v>
      </c>
      <c r="O34" s="28">
        <f t="shared" si="0"/>
        <v>0</v>
      </c>
      <c r="P34" s="28">
        <f t="shared" si="0"/>
        <v>0.82999999999999996</v>
      </c>
      <c r="Q34" s="28">
        <f t="shared" si="0"/>
        <v>5.5899999999999999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12.19</v>
      </c>
      <c r="C35" s="29">
        <f t="shared" si="1"/>
        <v>74.959999999999994</v>
      </c>
      <c r="D35" s="29">
        <f t="shared" si="1"/>
        <v>46.109999999999999</v>
      </c>
      <c r="E35" s="29">
        <f t="shared" si="1"/>
        <v>3.7999999999999998</v>
      </c>
      <c r="F35" s="29">
        <f t="shared" si="1"/>
        <v>28.170000000000002</v>
      </c>
      <c r="G35" s="29">
        <f t="shared" si="1"/>
        <v>154.44999999999999</v>
      </c>
      <c r="H35" s="29">
        <f t="shared" si="1"/>
        <v>85.430000000000007</v>
      </c>
      <c r="I35" s="29">
        <f t="shared" si="1"/>
        <v>1.6100000000000001</v>
      </c>
      <c r="J35" s="29">
        <f t="shared" si="1"/>
        <v>0.94999999999999996</v>
      </c>
      <c r="K35" s="29">
        <f t="shared" si="1"/>
        <v>356.51999999999998</v>
      </c>
      <c r="L35" s="29">
        <f t="shared" si="1"/>
        <v>27.82</v>
      </c>
      <c r="M35" s="29">
        <f t="shared" si="1"/>
        <v>82.140000000000001</v>
      </c>
      <c r="N35" s="29">
        <f t="shared" si="1"/>
        <v>576</v>
      </c>
      <c r="O35" s="29">
        <f t="shared" si="1"/>
        <v>0</v>
      </c>
      <c r="P35" s="29">
        <f t="shared" si="1"/>
        <v>1.6200000000000001</v>
      </c>
      <c r="Q35" s="29">
        <f t="shared" si="1"/>
        <v>6.5599999999999996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7.7841666666666676</v>
      </c>
      <c r="C36" s="28">
        <f t="shared" si="2"/>
        <v>53.876249999999999</v>
      </c>
      <c r="D36" s="28">
        <f t="shared" si="2"/>
        <v>36.067083333333336</v>
      </c>
      <c r="E36" s="28">
        <f t="shared" si="2"/>
        <v>2.8512499999999998</v>
      </c>
      <c r="F36" s="28">
        <f t="shared" si="2"/>
        <v>10.026249999999999</v>
      </c>
      <c r="G36" s="28">
        <f t="shared" si="2"/>
        <v>91.566666666666663</v>
      </c>
      <c r="H36" s="28">
        <f t="shared" si="2"/>
        <v>49.491666666666667</v>
      </c>
      <c r="I36" s="28">
        <f t="shared" si="2"/>
        <v>1.5487500000000001</v>
      </c>
      <c r="J36" s="28">
        <f t="shared" si="2"/>
        <v>0.5083333333333333</v>
      </c>
      <c r="K36" s="28">
        <f t="shared" si="2"/>
        <v>238.82124999999999</v>
      </c>
      <c r="L36" s="28">
        <f t="shared" si="2"/>
        <v>22.201666666666668</v>
      </c>
      <c r="M36" s="28">
        <f t="shared" si="2"/>
        <v>60.261666666666677</v>
      </c>
      <c r="N36" s="28">
        <f t="shared" si="2"/>
        <v>175.13333333333333</v>
      </c>
      <c r="O36" s="28">
        <f t="shared" si="2"/>
        <v>0</v>
      </c>
      <c r="P36" s="28">
        <f t="shared" si="2"/>
        <v>1.1508333333333334</v>
      </c>
      <c r="Q36" s="28">
        <f t="shared" si="2"/>
        <v>6.0012499999999998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2.9697971189184318</v>
      </c>
      <c r="C37" s="28">
        <f t="shared" si="3" ref="C37:Q37">STDEV(C9:C32)</f>
        <v>10.203219786995666</v>
      </c>
      <c r="D37" s="28">
        <f t="shared" si="3"/>
        <v>5.9281212502757201</v>
      </c>
      <c r="E37" s="28">
        <f t="shared" si="3"/>
        <v>0.56110382283495686</v>
      </c>
      <c r="F37" s="28">
        <f t="shared" si="3"/>
        <v>7.1144126907835901</v>
      </c>
      <c r="G37" s="28">
        <f t="shared" si="3"/>
        <v>22.164242975266895</v>
      </c>
      <c r="H37" s="28">
        <f t="shared" si="3"/>
        <v>12.439085198667559</v>
      </c>
      <c r="I37" s="28">
        <f t="shared" si="3"/>
        <v>0.032612680915891305</v>
      </c>
      <c r="J37" s="28">
        <f t="shared" si="3"/>
        <v>0.268063371265999</v>
      </c>
      <c r="K37" s="28">
        <f t="shared" si="3"/>
        <v>118.10342318465956</v>
      </c>
      <c r="L37" s="28">
        <f t="shared" si="3"/>
        <v>3.3340935365020545</v>
      </c>
      <c r="M37" s="28">
        <f t="shared" si="3"/>
        <v>13.319192972897225</v>
      </c>
      <c r="N37" s="28">
        <f t="shared" si="3"/>
        <v>210.45918672123179</v>
      </c>
      <c r="O37" s="28">
        <f t="shared" si="3"/>
        <v>0</v>
      </c>
      <c r="P37" s="28">
        <f t="shared" si="3"/>
        <v>0.24359475732679786</v>
      </c>
      <c r="Q37" s="28">
        <f t="shared" si="3"/>
        <v>0.29488851983492903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a35a81-4a26-4614-80e0-6d5f70c1abc9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638</v>
      </c>
      <c r="B9" s="54">
        <v>7.43</v>
      </c>
      <c r="C9" s="54">
        <v>50.96</v>
      </c>
      <c r="D9" s="54">
        <v>34.729999999999997</v>
      </c>
      <c r="E9" s="54">
        <v>2.79</v>
      </c>
      <c r="F9" s="54">
        <v>7.73</v>
      </c>
      <c r="G9" s="54">
        <v>100.78</v>
      </c>
      <c r="H9" s="54">
        <v>50.75</v>
      </c>
      <c r="I9" s="54">
        <v>1.62</v>
      </c>
      <c r="J9" s="54">
        <v>0.77</v>
      </c>
      <c r="K9" s="54">
        <v>106.21</v>
      </c>
      <c r="L9" s="54">
        <v>20.5</v>
      </c>
      <c r="M9" s="54">
        <v>65.02</v>
      </c>
      <c r="N9" s="54">
        <v>27.80</v>
      </c>
      <c r="O9" s="54">
        <v>0</v>
      </c>
      <c r="P9" s="54">
        <v>1.28</v>
      </c>
      <c r="Q9" s="54">
        <v>6.24</v>
      </c>
      <c r="R9" s="43"/>
      <c r="S9" s="43"/>
      <c r="T9" s="43"/>
      <c r="U9" s="43"/>
    </row>
    <row r="10" spans="1:21" s="11" customFormat="1" ht="15">
      <c r="A10" s="53" t="s">
        <v>639</v>
      </c>
      <c r="B10" s="54">
        <v>4.33</v>
      </c>
      <c r="C10" s="54">
        <v>45.77</v>
      </c>
      <c r="D10" s="54">
        <v>29.38</v>
      </c>
      <c r="E10" s="54">
        <v>2.71</v>
      </c>
      <c r="F10" s="54">
        <v>6.24</v>
      </c>
      <c r="G10" s="54">
        <v>89.05</v>
      </c>
      <c r="H10" s="54">
        <v>55.95</v>
      </c>
      <c r="I10" s="54">
        <v>1.52</v>
      </c>
      <c r="J10" s="54">
        <v>0.80</v>
      </c>
      <c r="K10" s="54">
        <v>310.42</v>
      </c>
      <c r="L10" s="54">
        <v>20.170000000000002</v>
      </c>
      <c r="M10" s="54">
        <v>74.989999999999995</v>
      </c>
      <c r="N10" s="54">
        <v>28.5</v>
      </c>
      <c r="O10" s="54">
        <v>0</v>
      </c>
      <c r="P10" s="54">
        <v>1.1200000000000001</v>
      </c>
      <c r="Q10" s="54">
        <v>5.85</v>
      </c>
      <c r="R10" s="43"/>
      <c r="S10" s="43"/>
      <c r="T10" s="43"/>
      <c r="U10" s="43"/>
    </row>
    <row r="11" spans="1:21" s="11" customFormat="1" ht="15">
      <c r="A11" s="53" t="s">
        <v>640</v>
      </c>
      <c r="B11" s="54">
        <v>4.0999999999999996</v>
      </c>
      <c r="C11" s="54">
        <v>41.79</v>
      </c>
      <c r="D11" s="54">
        <v>26.92</v>
      </c>
      <c r="E11" s="54">
        <v>2.65</v>
      </c>
      <c r="F11" s="54">
        <v>5.26</v>
      </c>
      <c r="G11" s="54">
        <v>83.26</v>
      </c>
      <c r="H11" s="54">
        <v>49.70</v>
      </c>
      <c r="I11" s="54">
        <v>1.52</v>
      </c>
      <c r="J11" s="54">
        <v>0.14000000000000001</v>
      </c>
      <c r="K11" s="54">
        <v>328.48</v>
      </c>
      <c r="L11" s="54">
        <v>18.53</v>
      </c>
      <c r="M11" s="54">
        <v>84.72</v>
      </c>
      <c r="N11" s="54">
        <v>28.20</v>
      </c>
      <c r="O11" s="54">
        <v>0</v>
      </c>
      <c r="P11" s="54">
        <v>1.01</v>
      </c>
      <c r="Q11" s="54">
        <v>5.63</v>
      </c>
      <c r="R11" s="43"/>
      <c r="S11" s="43"/>
      <c r="T11" s="43"/>
      <c r="U11" s="43"/>
    </row>
    <row r="12" spans="1:21" s="11" customFormat="1" ht="15">
      <c r="A12" s="53" t="s">
        <v>641</v>
      </c>
      <c r="B12" s="54">
        <v>5.47</v>
      </c>
      <c r="C12" s="54">
        <v>42.23</v>
      </c>
      <c r="D12" s="54">
        <v>28.34</v>
      </c>
      <c r="E12" s="54">
        <v>2.67</v>
      </c>
      <c r="F12" s="54">
        <v>5.55</v>
      </c>
      <c r="G12" s="54">
        <v>84.88</v>
      </c>
      <c r="H12" s="54">
        <v>54.44</v>
      </c>
      <c r="I12" s="54">
        <v>1.56</v>
      </c>
      <c r="J12" s="54">
        <v>0.83</v>
      </c>
      <c r="K12" s="54">
        <v>349.46</v>
      </c>
      <c r="L12" s="54">
        <v>18.940000000000001</v>
      </c>
      <c r="M12" s="54">
        <v>80.36</v>
      </c>
      <c r="N12" s="54">
        <v>28</v>
      </c>
      <c r="O12" s="54">
        <v>0</v>
      </c>
      <c r="P12" s="54">
        <v>0.94</v>
      </c>
      <c r="Q12" s="54">
        <v>5.74</v>
      </c>
      <c r="R12" s="43"/>
      <c r="S12" s="43"/>
      <c r="T12" s="43"/>
      <c r="U12" s="43"/>
    </row>
    <row r="13" spans="1:21" s="11" customFormat="1" ht="15">
      <c r="A13" s="53" t="s">
        <v>642</v>
      </c>
      <c r="B13" s="54">
        <v>7.59</v>
      </c>
      <c r="C13" s="54">
        <v>43.96</v>
      </c>
      <c r="D13" s="54">
        <v>30.90</v>
      </c>
      <c r="E13" s="54">
        <v>2.73</v>
      </c>
      <c r="F13" s="54">
        <v>3.84</v>
      </c>
      <c r="G13" s="54">
        <v>94.07</v>
      </c>
      <c r="H13" s="54">
        <v>52.19</v>
      </c>
      <c r="I13" s="54">
        <v>1.58</v>
      </c>
      <c r="J13" s="54">
        <v>0.46</v>
      </c>
      <c r="K13" s="54">
        <v>349.71</v>
      </c>
      <c r="L13" s="54">
        <v>18.70</v>
      </c>
      <c r="M13" s="54">
        <v>80.45</v>
      </c>
      <c r="N13" s="54">
        <v>28.20</v>
      </c>
      <c r="O13" s="54">
        <v>0</v>
      </c>
      <c r="P13" s="54">
        <v>1.17</v>
      </c>
      <c r="Q13" s="54">
        <v>5.91</v>
      </c>
      <c r="R13" s="43"/>
      <c r="S13" s="43"/>
      <c r="T13" s="43"/>
      <c r="U13" s="43"/>
    </row>
    <row r="14" spans="1:21" s="11" customFormat="1" ht="15">
      <c r="A14" s="53" t="s">
        <v>643</v>
      </c>
      <c r="B14" s="54">
        <v>8.01</v>
      </c>
      <c r="C14" s="54">
        <v>43.63</v>
      </c>
      <c r="D14" s="54">
        <v>31.01</v>
      </c>
      <c r="E14" s="54">
        <v>2.66</v>
      </c>
      <c r="F14" s="54">
        <v>3.75</v>
      </c>
      <c r="G14" s="54">
        <v>114.56</v>
      </c>
      <c r="H14" s="54">
        <v>49.14</v>
      </c>
      <c r="I14" s="54">
        <v>1.56</v>
      </c>
      <c r="J14" s="54">
        <v>0.070000000000000007</v>
      </c>
      <c r="K14" s="54">
        <v>330.44</v>
      </c>
      <c r="L14" s="54">
        <v>17.47</v>
      </c>
      <c r="M14" s="54">
        <v>79.75</v>
      </c>
      <c r="N14" s="54">
        <v>28</v>
      </c>
      <c r="O14" s="54">
        <v>0</v>
      </c>
      <c r="P14" s="54">
        <v>1.1599999999999999</v>
      </c>
      <c r="Q14" s="54">
        <v>6.03</v>
      </c>
      <c r="R14" s="43"/>
      <c r="S14" s="43"/>
      <c r="T14" s="43"/>
      <c r="U14" s="43"/>
    </row>
    <row r="15" spans="1:21" s="11" customFormat="1" ht="15">
      <c r="A15" s="53" t="s">
        <v>644</v>
      </c>
      <c r="B15" s="54">
        <v>7.85</v>
      </c>
      <c r="C15" s="54">
        <v>43.03</v>
      </c>
      <c r="D15" s="54">
        <v>30.53</v>
      </c>
      <c r="E15" s="54">
        <v>2.54</v>
      </c>
      <c r="F15" s="54">
        <v>3.58</v>
      </c>
      <c r="G15" s="54">
        <v>105.17</v>
      </c>
      <c r="H15" s="54">
        <v>56.77</v>
      </c>
      <c r="I15" s="54">
        <v>1.54</v>
      </c>
      <c r="J15" s="54">
        <v>0.26</v>
      </c>
      <c r="K15" s="54">
        <v>105.66</v>
      </c>
      <c r="L15" s="54">
        <v>17.989999999999998</v>
      </c>
      <c r="M15" s="54">
        <v>75.209999999999994</v>
      </c>
      <c r="N15" s="54">
        <v>71.30</v>
      </c>
      <c r="O15" s="54">
        <v>0</v>
      </c>
      <c r="P15" s="54">
        <v>1.0900000000000001</v>
      </c>
      <c r="Q15" s="54">
        <v>6.04</v>
      </c>
      <c r="R15" s="43"/>
      <c r="S15" s="43"/>
      <c r="T15" s="43"/>
      <c r="U15" s="43"/>
    </row>
    <row r="16" spans="1:21" s="11" customFormat="1" ht="15">
      <c r="A16" s="53" t="s">
        <v>645</v>
      </c>
      <c r="B16" s="54">
        <v>7.34</v>
      </c>
      <c r="C16" s="54">
        <v>43.55</v>
      </c>
      <c r="D16" s="54">
        <v>30.46</v>
      </c>
      <c r="E16" s="54">
        <v>2.5299999999999998</v>
      </c>
      <c r="F16" s="54">
        <v>4.01</v>
      </c>
      <c r="G16" s="54">
        <v>92.57</v>
      </c>
      <c r="H16" s="54">
        <v>53.82</v>
      </c>
      <c r="I16" s="54">
        <v>1.52</v>
      </c>
      <c r="J16" s="54">
        <v>1.03</v>
      </c>
      <c r="K16" s="54">
        <v>109.05</v>
      </c>
      <c r="L16" s="54">
        <v>19.739999999999998</v>
      </c>
      <c r="M16" s="54">
        <v>69.010000000000005</v>
      </c>
      <c r="N16" s="54">
        <v>209.80</v>
      </c>
      <c r="O16" s="54">
        <v>0</v>
      </c>
      <c r="P16" s="54">
        <v>1</v>
      </c>
      <c r="Q16" s="54">
        <v>5.86</v>
      </c>
      <c r="R16" s="43"/>
      <c r="S16" s="43"/>
      <c r="T16" s="43"/>
      <c r="U16" s="43"/>
    </row>
    <row r="17" spans="1:21" s="11" customFormat="1" ht="15">
      <c r="A17" s="53" t="s">
        <v>646</v>
      </c>
      <c r="B17" s="54">
        <v>8.5399999999999991</v>
      </c>
      <c r="C17" s="54">
        <v>46.94</v>
      </c>
      <c r="D17" s="54">
        <v>33.40</v>
      </c>
      <c r="E17" s="54">
        <v>2.35</v>
      </c>
      <c r="F17" s="54">
        <v>3.78</v>
      </c>
      <c r="G17" s="54">
        <v>89.92</v>
      </c>
      <c r="H17" s="54">
        <v>49.74</v>
      </c>
      <c r="I17" s="54">
        <v>1.55</v>
      </c>
      <c r="J17" s="54">
        <v>0.28999999999999998</v>
      </c>
      <c r="K17" s="54">
        <v>92.81</v>
      </c>
      <c r="L17" s="54">
        <v>21.69</v>
      </c>
      <c r="M17" s="54">
        <v>61.57</v>
      </c>
      <c r="N17" s="54">
        <v>326.89999999999998</v>
      </c>
      <c r="O17" s="54">
        <v>0</v>
      </c>
      <c r="P17" s="54">
        <v>0.97</v>
      </c>
      <c r="Q17" s="54">
        <v>5.92</v>
      </c>
      <c r="R17" s="43"/>
      <c r="S17" s="43"/>
      <c r="T17" s="43"/>
      <c r="U17" s="43"/>
    </row>
    <row r="18" spans="1:21" s="11" customFormat="1" ht="15">
      <c r="A18" s="53" t="s">
        <v>647</v>
      </c>
      <c r="B18" s="54">
        <v>8.57</v>
      </c>
      <c r="C18" s="54">
        <v>48.05</v>
      </c>
      <c r="D18" s="54">
        <v>34.03</v>
      </c>
      <c r="E18" s="54">
        <v>2.38</v>
      </c>
      <c r="F18" s="54">
        <v>5.20</v>
      </c>
      <c r="G18" s="54">
        <v>89.59</v>
      </c>
      <c r="H18" s="54">
        <v>48.56</v>
      </c>
      <c r="I18" s="54">
        <v>1.48</v>
      </c>
      <c r="J18" s="54">
        <v>0.68</v>
      </c>
      <c r="K18" s="54">
        <v>111.03</v>
      </c>
      <c r="L18" s="54">
        <v>22.94</v>
      </c>
      <c r="M18" s="54">
        <v>60.04</v>
      </c>
      <c r="N18" s="54">
        <v>458.40</v>
      </c>
      <c r="O18" s="54">
        <v>0</v>
      </c>
      <c r="P18" s="54">
        <v>0.96</v>
      </c>
      <c r="Q18" s="54">
        <v>6.03</v>
      </c>
      <c r="R18" s="43"/>
      <c r="S18" s="43"/>
      <c r="T18" s="43"/>
      <c r="U18" s="43"/>
    </row>
    <row r="19" spans="1:21" s="11" customFormat="1" ht="15">
      <c r="A19" s="53" t="s">
        <v>648</v>
      </c>
      <c r="B19" s="54">
        <v>7.18</v>
      </c>
      <c r="C19" s="54">
        <v>46.25</v>
      </c>
      <c r="D19" s="54">
        <v>31.93</v>
      </c>
      <c r="E19" s="54">
        <v>2.42</v>
      </c>
      <c r="F19" s="54">
        <v>5.77</v>
      </c>
      <c r="G19" s="54">
        <v>86.12</v>
      </c>
      <c r="H19" s="54">
        <v>48.22</v>
      </c>
      <c r="I19" s="54">
        <v>1.52</v>
      </c>
      <c r="J19" s="54">
        <v>1.19</v>
      </c>
      <c r="K19" s="54">
        <v>116</v>
      </c>
      <c r="L19" s="54">
        <v>25.16</v>
      </c>
      <c r="M19" s="54">
        <v>56.98</v>
      </c>
      <c r="N19" s="54">
        <v>561.60</v>
      </c>
      <c r="O19" s="54">
        <v>0</v>
      </c>
      <c r="P19" s="54">
        <v>0.92</v>
      </c>
      <c r="Q19" s="54">
        <v>5.96</v>
      </c>
      <c r="R19" s="43"/>
      <c r="S19" s="43"/>
      <c r="T19" s="43"/>
      <c r="U19" s="43"/>
    </row>
    <row r="20" spans="1:21" s="11" customFormat="1" ht="15">
      <c r="A20" s="53" t="s">
        <v>649</v>
      </c>
      <c r="B20" s="54">
        <v>5.66</v>
      </c>
      <c r="C20" s="54">
        <v>43.88</v>
      </c>
      <c r="D20" s="54">
        <v>29.40</v>
      </c>
      <c r="E20" s="54">
        <v>2.52</v>
      </c>
      <c r="F20" s="54">
        <v>8.68</v>
      </c>
      <c r="G20" s="54">
        <v>81.41</v>
      </c>
      <c r="H20" s="54">
        <v>42.18</v>
      </c>
      <c r="I20" s="54">
        <v>1.52</v>
      </c>
      <c r="J20" s="54">
        <v>1.37</v>
      </c>
      <c r="K20" s="54">
        <v>115.67</v>
      </c>
      <c r="L20" s="54">
        <v>25.41</v>
      </c>
      <c r="M20" s="54">
        <v>51.61</v>
      </c>
      <c r="N20" s="54">
        <v>611</v>
      </c>
      <c r="O20" s="54">
        <v>0</v>
      </c>
      <c r="P20" s="54">
        <v>0.88</v>
      </c>
      <c r="Q20" s="54">
        <v>5.86</v>
      </c>
      <c r="R20" s="43"/>
      <c r="S20" s="43"/>
      <c r="T20" s="43"/>
      <c r="U20" s="43"/>
    </row>
    <row r="21" spans="1:21" s="11" customFormat="1" ht="15">
      <c r="A21" s="53" t="s">
        <v>650</v>
      </c>
      <c r="B21" s="54">
        <v>4.58</v>
      </c>
      <c r="C21" s="54">
        <v>42.27</v>
      </c>
      <c r="D21" s="54">
        <v>27.65</v>
      </c>
      <c r="E21" s="54">
        <v>2.5299999999999998</v>
      </c>
      <c r="F21" s="54">
        <v>8.06</v>
      </c>
      <c r="G21" s="54">
        <v>76.34</v>
      </c>
      <c r="H21" s="54">
        <v>38.43</v>
      </c>
      <c r="I21" s="54">
        <v>1.55</v>
      </c>
      <c r="J21" s="54">
        <v>0.95</v>
      </c>
      <c r="K21" s="54">
        <v>127.14</v>
      </c>
      <c r="L21" s="54">
        <v>27.35</v>
      </c>
      <c r="M21" s="54">
        <v>43.87</v>
      </c>
      <c r="N21" s="54">
        <v>632.79999999999995</v>
      </c>
      <c r="O21" s="54">
        <v>0</v>
      </c>
      <c r="P21" s="54">
        <v>0.81</v>
      </c>
      <c r="Q21" s="54">
        <v>5.65</v>
      </c>
      <c r="R21" s="43"/>
      <c r="S21" s="43"/>
      <c r="T21" s="43"/>
      <c r="U21" s="43"/>
    </row>
    <row r="22" spans="1:21" s="11" customFormat="1" ht="15">
      <c r="A22" s="53" t="s">
        <v>651</v>
      </c>
      <c r="B22" s="54">
        <v>3.57</v>
      </c>
      <c r="C22" s="54">
        <v>46.16</v>
      </c>
      <c r="D22" s="54">
        <v>28.97</v>
      </c>
      <c r="E22" s="54">
        <v>2.5099999999999998</v>
      </c>
      <c r="F22" s="54">
        <v>10.45</v>
      </c>
      <c r="G22" s="54">
        <v>69.41</v>
      </c>
      <c r="H22" s="54">
        <v>30.95</v>
      </c>
      <c r="I22" s="54">
        <v>1.58</v>
      </c>
      <c r="J22" s="54">
        <v>0.71</v>
      </c>
      <c r="K22" s="54">
        <v>337.93</v>
      </c>
      <c r="L22" s="54">
        <v>27.32</v>
      </c>
      <c r="M22" s="54">
        <v>37.60</v>
      </c>
      <c r="N22" s="54">
        <v>499.80</v>
      </c>
      <c r="O22" s="54">
        <v>0</v>
      </c>
      <c r="P22" s="54">
        <v>0.77</v>
      </c>
      <c r="Q22" s="54">
        <v>5.65</v>
      </c>
      <c r="R22" s="43"/>
      <c r="S22" s="43"/>
      <c r="T22" s="43"/>
      <c r="U22" s="43"/>
    </row>
    <row r="23" spans="1:21" s="11" customFormat="1" ht="15">
      <c r="A23" s="53" t="s">
        <v>652</v>
      </c>
      <c r="B23" s="54">
        <v>3.69</v>
      </c>
      <c r="C23" s="54">
        <v>45.18</v>
      </c>
      <c r="D23" s="54">
        <v>28.10</v>
      </c>
      <c r="E23" s="54">
        <v>2.97</v>
      </c>
      <c r="F23" s="54">
        <v>24.38</v>
      </c>
      <c r="G23" s="54">
        <v>65.98</v>
      </c>
      <c r="H23" s="54">
        <v>47.23</v>
      </c>
      <c r="I23" s="54">
        <v>1.55</v>
      </c>
      <c r="J23" s="54">
        <v>0.96</v>
      </c>
      <c r="K23" s="54">
        <v>348.52</v>
      </c>
      <c r="L23" s="54">
        <v>26.93</v>
      </c>
      <c r="M23" s="54">
        <v>37.44</v>
      </c>
      <c r="N23" s="54">
        <v>215.20</v>
      </c>
      <c r="O23" s="54">
        <v>0</v>
      </c>
      <c r="P23" s="54">
        <v>0.80</v>
      </c>
      <c r="Q23" s="54">
        <v>5.5</v>
      </c>
      <c r="R23" s="43"/>
      <c r="S23" s="43"/>
      <c r="T23" s="43"/>
      <c r="U23" s="43"/>
    </row>
    <row r="24" spans="1:21" s="11" customFormat="1" ht="15">
      <c r="A24" s="53" t="s">
        <v>653</v>
      </c>
      <c r="B24" s="54">
        <v>4.75</v>
      </c>
      <c r="C24" s="54">
        <v>49.75</v>
      </c>
      <c r="D24" s="54">
        <v>31.14</v>
      </c>
      <c r="E24" s="54">
        <v>3.36</v>
      </c>
      <c r="F24" s="54">
        <v>27.21</v>
      </c>
      <c r="G24" s="54">
        <v>65.650000000000006</v>
      </c>
      <c r="H24" s="54">
        <v>35.97</v>
      </c>
      <c r="I24" s="54">
        <v>1.57</v>
      </c>
      <c r="J24" s="54">
        <v>0.59</v>
      </c>
      <c r="K24" s="54">
        <v>349.40</v>
      </c>
      <c r="L24" s="54">
        <v>26.63</v>
      </c>
      <c r="M24" s="54">
        <v>38.130000000000003</v>
      </c>
      <c r="N24" s="54">
        <v>142.19999999999999</v>
      </c>
      <c r="O24" s="54">
        <v>0</v>
      </c>
      <c r="P24" s="54">
        <v>0.89</v>
      </c>
      <c r="Q24" s="54">
        <v>5.51</v>
      </c>
      <c r="R24" s="43"/>
      <c r="S24" s="43"/>
      <c r="T24" s="43"/>
      <c r="U24" s="43"/>
    </row>
    <row r="25" spans="1:21" s="11" customFormat="1" ht="15">
      <c r="A25" s="53" t="s">
        <v>654</v>
      </c>
      <c r="B25" s="54">
        <v>9.40</v>
      </c>
      <c r="C25" s="54">
        <v>58.60</v>
      </c>
      <c r="D25" s="54">
        <v>40.520000000000003</v>
      </c>
      <c r="E25" s="54">
        <v>3.81</v>
      </c>
      <c r="F25" s="54">
        <v>17</v>
      </c>
      <c r="G25" s="54">
        <v>68.45</v>
      </c>
      <c r="H25" s="54">
        <v>47.62</v>
      </c>
      <c r="I25" s="54">
        <v>1.57</v>
      </c>
      <c r="J25" s="54">
        <v>0.98</v>
      </c>
      <c r="K25" s="54">
        <v>348.60</v>
      </c>
      <c r="L25" s="54">
        <v>25.47</v>
      </c>
      <c r="M25" s="54">
        <v>39.200000000000003</v>
      </c>
      <c r="N25" s="54">
        <v>79.70</v>
      </c>
      <c r="O25" s="54">
        <v>0</v>
      </c>
      <c r="P25" s="54">
        <v>1.07</v>
      </c>
      <c r="Q25" s="54">
        <v>5.49</v>
      </c>
      <c r="R25" s="43"/>
      <c r="S25" s="43"/>
      <c r="T25" s="43"/>
      <c r="U25" s="43"/>
    </row>
    <row r="26" spans="1:21" s="11" customFormat="1" ht="15">
      <c r="A26" s="53" t="s">
        <v>655</v>
      </c>
      <c r="B26" s="54">
        <v>21.17</v>
      </c>
      <c r="C26" s="54">
        <v>70.62</v>
      </c>
      <c r="D26" s="54">
        <v>56.60</v>
      </c>
      <c r="E26" s="54">
        <v>3.54</v>
      </c>
      <c r="F26" s="54">
        <v>11.05</v>
      </c>
      <c r="G26" s="54">
        <v>79.73</v>
      </c>
      <c r="H26" s="54">
        <v>50.18</v>
      </c>
      <c r="I26" s="54">
        <v>1.58</v>
      </c>
      <c r="J26" s="54">
        <v>0.55000000000000004</v>
      </c>
      <c r="K26" s="54">
        <v>346.22</v>
      </c>
      <c r="L26" s="54">
        <v>23.85</v>
      </c>
      <c r="M26" s="54">
        <v>45</v>
      </c>
      <c r="N26" s="54">
        <v>32.799999999999997</v>
      </c>
      <c r="O26" s="54">
        <v>0</v>
      </c>
      <c r="P26" s="54">
        <v>1.58</v>
      </c>
      <c r="Q26" s="54">
        <v>5.18</v>
      </c>
      <c r="R26" s="43"/>
      <c r="S26" s="43"/>
      <c r="T26" s="43"/>
      <c r="U26" s="43"/>
    </row>
    <row r="27" spans="1:21" s="11" customFormat="1" ht="15">
      <c r="A27" s="53" t="s">
        <v>656</v>
      </c>
      <c r="B27" s="54">
        <v>16.89</v>
      </c>
      <c r="C27" s="54">
        <v>67.84</v>
      </c>
      <c r="D27" s="54">
        <v>51.63</v>
      </c>
      <c r="E27" s="54">
        <v>3.45</v>
      </c>
      <c r="F27" s="54">
        <v>10.39</v>
      </c>
      <c r="G27" s="54">
        <v>91.58</v>
      </c>
      <c r="H27" s="54">
        <v>65.39</v>
      </c>
      <c r="I27" s="54">
        <v>1.52</v>
      </c>
      <c r="J27" s="54">
        <v>0.25</v>
      </c>
      <c r="K27" s="54">
        <v>93.03</v>
      </c>
      <c r="L27" s="54">
        <v>22.17</v>
      </c>
      <c r="M27" s="54">
        <v>46.86</v>
      </c>
      <c r="N27" s="54">
        <v>29.30</v>
      </c>
      <c r="O27" s="54">
        <v>0</v>
      </c>
      <c r="P27" s="54">
        <v>1.62</v>
      </c>
      <c r="Q27" s="54">
        <v>6.22</v>
      </c>
      <c r="R27" s="43"/>
      <c r="S27" s="43"/>
      <c r="T27" s="43"/>
      <c r="U27" s="43"/>
    </row>
    <row r="28" spans="1:21" s="11" customFormat="1" ht="15">
      <c r="A28" s="53" t="s">
        <v>657</v>
      </c>
      <c r="B28" s="54">
        <v>11.68</v>
      </c>
      <c r="C28" s="54">
        <v>56.76</v>
      </c>
      <c r="D28" s="54">
        <v>40.93</v>
      </c>
      <c r="E28" s="54">
        <v>3.09</v>
      </c>
      <c r="F28" s="54">
        <v>11.42</v>
      </c>
      <c r="G28" s="54">
        <v>106.56</v>
      </c>
      <c r="H28" s="54">
        <v>55.79</v>
      </c>
      <c r="I28" s="54">
        <v>1.54</v>
      </c>
      <c r="J28" s="54">
        <v>0.23</v>
      </c>
      <c r="K28" s="54">
        <v>97.22</v>
      </c>
      <c r="L28" s="54">
        <v>21.36</v>
      </c>
      <c r="M28" s="54">
        <v>49.72</v>
      </c>
      <c r="N28" s="54">
        <v>29.20</v>
      </c>
      <c r="O28" s="54">
        <v>0</v>
      </c>
      <c r="P28" s="54">
        <v>1.42</v>
      </c>
      <c r="Q28" s="54">
        <v>6.48</v>
      </c>
      <c r="R28" s="43"/>
      <c r="S28" s="43"/>
      <c r="T28" s="43"/>
      <c r="U28" s="43"/>
    </row>
    <row r="29" spans="1:21" s="11" customFormat="1" ht="15">
      <c r="A29" s="53" t="s">
        <v>658</v>
      </c>
      <c r="B29" s="54">
        <v>9.98</v>
      </c>
      <c r="C29" s="54">
        <v>55.13</v>
      </c>
      <c r="D29" s="54">
        <v>39.07</v>
      </c>
      <c r="E29" s="54">
        <v>2.72</v>
      </c>
      <c r="F29" s="54">
        <v>10.08</v>
      </c>
      <c r="G29" s="54">
        <v>103.44</v>
      </c>
      <c r="H29" s="54">
        <v>51.80</v>
      </c>
      <c r="I29" s="54">
        <v>1.48</v>
      </c>
      <c r="J29" s="54">
        <v>0.59</v>
      </c>
      <c r="K29" s="54">
        <v>106.72</v>
      </c>
      <c r="L29" s="54">
        <v>20.85</v>
      </c>
      <c r="M29" s="54">
        <v>52.22</v>
      </c>
      <c r="N29" s="54">
        <v>29.10</v>
      </c>
      <c r="O29" s="54">
        <v>0</v>
      </c>
      <c r="P29" s="54">
        <v>1.40</v>
      </c>
      <c r="Q29" s="54">
        <v>6.36</v>
      </c>
      <c r="R29" s="43"/>
      <c r="S29" s="43"/>
      <c r="T29" s="43"/>
      <c r="U29" s="43"/>
    </row>
    <row r="30" spans="1:21" s="11" customFormat="1" ht="15">
      <c r="A30" s="53" t="s">
        <v>659</v>
      </c>
      <c r="B30" s="54">
        <v>6.11</v>
      </c>
      <c r="C30" s="54">
        <v>53.68</v>
      </c>
      <c r="D30" s="54">
        <v>35.17</v>
      </c>
      <c r="E30" s="54">
        <v>2.59</v>
      </c>
      <c r="F30" s="54">
        <v>6.93</v>
      </c>
      <c r="G30" s="54">
        <v>98.52</v>
      </c>
      <c r="H30" s="54">
        <v>52.56</v>
      </c>
      <c r="I30" s="54">
        <v>1.53</v>
      </c>
      <c r="J30" s="54">
        <v>0.72</v>
      </c>
      <c r="K30" s="54">
        <v>113.56</v>
      </c>
      <c r="L30" s="54">
        <v>20.54</v>
      </c>
      <c r="M30" s="54">
        <v>53.60</v>
      </c>
      <c r="N30" s="54">
        <v>29.20</v>
      </c>
      <c r="O30" s="54">
        <v>0</v>
      </c>
      <c r="P30" s="54">
        <v>1.38</v>
      </c>
      <c r="Q30" s="54">
        <v>5.97</v>
      </c>
      <c r="R30" s="43"/>
      <c r="S30" s="43"/>
      <c r="T30" s="43"/>
      <c r="U30" s="43"/>
    </row>
    <row r="31" spans="1:21" s="11" customFormat="1" ht="15">
      <c r="A31" s="53" t="s">
        <v>660</v>
      </c>
      <c r="B31" s="54">
        <v>6.43</v>
      </c>
      <c r="C31" s="54">
        <v>53.31</v>
      </c>
      <c r="D31" s="54">
        <v>35.22</v>
      </c>
      <c r="E31" s="54">
        <v>2.58</v>
      </c>
      <c r="F31" s="54">
        <v>6.06</v>
      </c>
      <c r="G31" s="54">
        <v>96.73</v>
      </c>
      <c r="H31" s="54">
        <v>52.29</v>
      </c>
      <c r="I31" s="54">
        <v>1.56</v>
      </c>
      <c r="J31" s="54">
        <v>0.21</v>
      </c>
      <c r="K31" s="54">
        <v>96.94</v>
      </c>
      <c r="L31" s="54">
        <v>20.12</v>
      </c>
      <c r="M31" s="54">
        <v>55.98</v>
      </c>
      <c r="N31" s="54">
        <v>29.60</v>
      </c>
      <c r="O31" s="54">
        <v>0</v>
      </c>
      <c r="P31" s="54">
        <v>1.29</v>
      </c>
      <c r="Q31" s="54">
        <v>5.72</v>
      </c>
      <c r="R31" s="43"/>
      <c r="S31" s="43"/>
      <c r="T31" s="43"/>
      <c r="U31" s="43"/>
    </row>
    <row r="32" spans="1:21" s="11" customFormat="1" ht="15">
      <c r="A32" s="53" t="s">
        <v>661</v>
      </c>
      <c r="B32" s="54">
        <v>6.11</v>
      </c>
      <c r="C32" s="54">
        <v>52.16</v>
      </c>
      <c r="D32" s="54">
        <v>34.340000000000003</v>
      </c>
      <c r="E32" s="54">
        <v>2.5499999999999998</v>
      </c>
      <c r="F32" s="54">
        <v>6.65</v>
      </c>
      <c r="G32" s="54">
        <v>95.75</v>
      </c>
      <c r="H32" s="54">
        <v>52.57</v>
      </c>
      <c r="I32" s="54">
        <v>1.53</v>
      </c>
      <c r="J32" s="54">
        <v>0.57999999999999996</v>
      </c>
      <c r="K32" s="54">
        <v>107.94</v>
      </c>
      <c r="L32" s="54">
        <v>19.61</v>
      </c>
      <c r="M32" s="54">
        <v>59.72</v>
      </c>
      <c r="N32" s="54">
        <v>29.60</v>
      </c>
      <c r="O32" s="54">
        <v>0</v>
      </c>
      <c r="P32" s="54">
        <v>1.23</v>
      </c>
      <c r="Q32" s="54">
        <v>5.81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3.5699999999999998</v>
      </c>
      <c r="C34" s="28">
        <f t="shared" si="0"/>
        <v>41.789999999999999</v>
      </c>
      <c r="D34" s="28">
        <f t="shared" si="0"/>
        <v>26.920000000000002</v>
      </c>
      <c r="E34" s="28">
        <f t="shared" si="0"/>
        <v>2.3500000000000001</v>
      </c>
      <c r="F34" s="28">
        <f t="shared" si="0"/>
        <v>3.5800000000000001</v>
      </c>
      <c r="G34" s="28">
        <f t="shared" si="0"/>
        <v>65.650000000000006</v>
      </c>
      <c r="H34" s="28">
        <f t="shared" si="0"/>
        <v>30.949999999999999</v>
      </c>
      <c r="I34" s="28">
        <f t="shared" si="0"/>
        <v>1.48</v>
      </c>
      <c r="J34" s="28">
        <f t="shared" si="0"/>
        <v>0.070000000000000007</v>
      </c>
      <c r="K34" s="28">
        <f t="shared" si="0"/>
        <v>92.810000000000002</v>
      </c>
      <c r="L34" s="28">
        <f t="shared" si="0"/>
        <v>17.469999999999999</v>
      </c>
      <c r="M34" s="28">
        <f t="shared" si="0"/>
        <v>37.439999999999998</v>
      </c>
      <c r="N34" s="28">
        <f t="shared" si="0"/>
        <v>27.800000000000001</v>
      </c>
      <c r="O34" s="28">
        <f t="shared" si="0"/>
        <v>0</v>
      </c>
      <c r="P34" s="28">
        <f t="shared" si="0"/>
        <v>0.77000000000000002</v>
      </c>
      <c r="Q34" s="28">
        <f t="shared" si="0"/>
        <v>5.1799999999999997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21.170000000000002</v>
      </c>
      <c r="C35" s="29">
        <f t="shared" si="1"/>
        <v>70.620000000000005</v>
      </c>
      <c r="D35" s="29">
        <f t="shared" si="1"/>
        <v>56.600000000000001</v>
      </c>
      <c r="E35" s="29">
        <f t="shared" si="1"/>
        <v>3.8100000000000001</v>
      </c>
      <c r="F35" s="29">
        <f t="shared" si="1"/>
        <v>27.210000000000001</v>
      </c>
      <c r="G35" s="29">
        <f t="shared" si="1"/>
        <v>114.56</v>
      </c>
      <c r="H35" s="29">
        <f t="shared" si="1"/>
        <v>65.390000000000001</v>
      </c>
      <c r="I35" s="29">
        <f t="shared" si="1"/>
        <v>1.6200000000000001</v>
      </c>
      <c r="J35" s="29">
        <f t="shared" si="1"/>
        <v>1.3700000000000001</v>
      </c>
      <c r="K35" s="29">
        <f t="shared" si="1"/>
        <v>349.70999999999998</v>
      </c>
      <c r="L35" s="29">
        <f t="shared" si="1"/>
        <v>27.350000000000001</v>
      </c>
      <c r="M35" s="29">
        <f t="shared" si="1"/>
        <v>84.719999999999999</v>
      </c>
      <c r="N35" s="29">
        <f t="shared" si="1"/>
        <v>632.79999999999995</v>
      </c>
      <c r="O35" s="29">
        <f t="shared" si="1"/>
        <v>0</v>
      </c>
      <c r="P35" s="29">
        <f t="shared" si="1"/>
        <v>1.6200000000000001</v>
      </c>
      <c r="Q35" s="29">
        <f t="shared" si="1"/>
        <v>6.4800000000000004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7.7679166666666681</v>
      </c>
      <c r="C36" s="28">
        <f t="shared" si="2"/>
        <v>49.645833333333343</v>
      </c>
      <c r="D36" s="28">
        <f t="shared" si="2"/>
        <v>34.182083333333331</v>
      </c>
      <c r="E36" s="28">
        <f t="shared" si="2"/>
        <v>2.7770833333333331</v>
      </c>
      <c r="F36" s="28">
        <f t="shared" si="2"/>
        <v>8.8779166666666676</v>
      </c>
      <c r="G36" s="28">
        <f t="shared" si="2"/>
        <v>88.730000000000004</v>
      </c>
      <c r="H36" s="28">
        <f t="shared" si="2"/>
        <v>49.676666666666655</v>
      </c>
      <c r="I36" s="28">
        <f t="shared" si="2"/>
        <v>1.5437500000000004</v>
      </c>
      <c r="J36" s="28">
        <f t="shared" si="2"/>
        <v>0.63375000000000015</v>
      </c>
      <c r="K36" s="28">
        <f t="shared" si="2"/>
        <v>204.09</v>
      </c>
      <c r="L36" s="28">
        <f t="shared" si="2"/>
        <v>22.060000000000006</v>
      </c>
      <c r="M36" s="28">
        <f t="shared" si="2"/>
        <v>58.293749999999996</v>
      </c>
      <c r="N36" s="28">
        <f t="shared" si="2"/>
        <v>174.42500000000004</v>
      </c>
      <c r="O36" s="28">
        <f t="shared" si="2"/>
        <v>0</v>
      </c>
      <c r="P36" s="28">
        <f t="shared" si="2"/>
        <v>1.115</v>
      </c>
      <c r="Q36" s="28">
        <f t="shared" si="2"/>
        <v>5.8587500000000006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4.0832403790070479</v>
      </c>
      <c r="C37" s="28">
        <f t="shared" si="3" ref="C37:Q37">STDEV(C9:C32)</f>
        <v>7.7792588876176678</v>
      </c>
      <c r="D37" s="28">
        <f t="shared" si="3"/>
        <v>7.2877950259718256</v>
      </c>
      <c r="E37" s="28">
        <f t="shared" si="3"/>
        <v>0.39214548283786915</v>
      </c>
      <c r="F37" s="28">
        <f t="shared" si="3"/>
        <v>6.1226386604687555</v>
      </c>
      <c r="G37" s="28">
        <f t="shared" si="3"/>
        <v>13.276595949263484</v>
      </c>
      <c r="H37" s="28">
        <f t="shared" si="3"/>
        <v>7.1768932764428035</v>
      </c>
      <c r="I37" s="28">
        <f t="shared" si="3"/>
        <v>0.032277667606054779</v>
      </c>
      <c r="J37" s="28">
        <f t="shared" si="3"/>
        <v>0.34817302670043082</v>
      </c>
      <c r="K37" s="28">
        <f t="shared" si="3"/>
        <v>117.77934446501517</v>
      </c>
      <c r="L37" s="28">
        <f t="shared" si="3"/>
        <v>3.1854164972369334</v>
      </c>
      <c r="M37" s="28">
        <f t="shared" si="3"/>
        <v>15.052514397067153</v>
      </c>
      <c r="N37" s="28">
        <f t="shared" si="3"/>
        <v>214.55045874531729</v>
      </c>
      <c r="O37" s="28">
        <f t="shared" si="3"/>
        <v>0</v>
      </c>
      <c r="P37" s="28">
        <f t="shared" si="3"/>
        <v>0.2422359611403008</v>
      </c>
      <c r="Q37" s="28">
        <f t="shared" si="3"/>
        <v>0.29897378829414312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aa72a3-f79d-4962-803d-e5bb7f0cdfbc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39" sqref="E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1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4"/>
      <c r="B8" s="65" t="s">
        <v>22</v>
      </c>
      <c r="C8" s="65" t="s">
        <v>22</v>
      </c>
      <c r="D8" s="29" t="s">
        <v>61</v>
      </c>
      <c r="E8" s="65" t="s">
        <v>22</v>
      </c>
      <c r="F8" s="65" t="s">
        <v>22</v>
      </c>
      <c r="G8" s="65" t="s">
        <v>23</v>
      </c>
      <c r="H8" s="65" t="s">
        <v>22</v>
      </c>
      <c r="I8" s="65" t="s">
        <v>22</v>
      </c>
      <c r="J8" s="65" t="s">
        <v>24</v>
      </c>
      <c r="K8" s="65" t="s">
        <v>25</v>
      </c>
      <c r="L8" s="64" t="s">
        <v>27</v>
      </c>
      <c r="M8" s="65" t="s">
        <v>26</v>
      </c>
      <c r="N8" s="65" t="s">
        <v>28</v>
      </c>
      <c r="O8" s="64" t="s">
        <v>29</v>
      </c>
      <c r="P8" s="65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662</v>
      </c>
      <c r="B9" s="54">
        <v>4.5999999999999996</v>
      </c>
      <c r="C9" s="54">
        <v>46.92</v>
      </c>
      <c r="D9" s="54">
        <v>30.23</v>
      </c>
      <c r="E9" s="54">
        <v>2.58</v>
      </c>
      <c r="F9" s="54">
        <v>6.28</v>
      </c>
      <c r="G9" s="54">
        <v>91.65</v>
      </c>
      <c r="H9" s="54">
        <v>48.26</v>
      </c>
      <c r="I9" s="54">
        <v>1.58</v>
      </c>
      <c r="J9" s="54">
        <v>0.41</v>
      </c>
      <c r="K9" s="54">
        <v>358.02</v>
      </c>
      <c r="L9" s="54">
        <v>18.899999999999999</v>
      </c>
      <c r="M9" s="54">
        <v>66.66</v>
      </c>
      <c r="N9" s="54">
        <v>29.90</v>
      </c>
      <c r="O9" s="54">
        <v>0</v>
      </c>
      <c r="P9" s="54">
        <v>1.1299999999999999</v>
      </c>
      <c r="Q9" s="54">
        <v>5.80</v>
      </c>
      <c r="R9" s="43"/>
      <c r="S9" s="43"/>
      <c r="T9" s="43"/>
      <c r="U9" s="43"/>
    </row>
    <row r="10" spans="1:21" s="11" customFormat="1" ht="15">
      <c r="A10" s="53" t="s">
        <v>663</v>
      </c>
      <c r="B10" s="54">
        <v>6.80</v>
      </c>
      <c r="C10" s="54">
        <v>46.25</v>
      </c>
      <c r="D10" s="54">
        <v>31.56</v>
      </c>
      <c r="E10" s="54">
        <v>2.57</v>
      </c>
      <c r="F10" s="54">
        <v>5.14</v>
      </c>
      <c r="G10" s="54">
        <v>85.96</v>
      </c>
      <c r="H10" s="54">
        <v>43.53</v>
      </c>
      <c r="I10" s="54">
        <v>1.53</v>
      </c>
      <c r="J10" s="54">
        <v>0.12</v>
      </c>
      <c r="K10" s="54">
        <v>331.51</v>
      </c>
      <c r="L10" s="54">
        <v>18.05</v>
      </c>
      <c r="M10" s="54">
        <v>78.92</v>
      </c>
      <c r="N10" s="54">
        <v>30.30</v>
      </c>
      <c r="O10" s="54">
        <v>0</v>
      </c>
      <c r="P10" s="54">
        <v>1.07</v>
      </c>
      <c r="Q10" s="54">
        <v>5.80</v>
      </c>
      <c r="R10" s="43"/>
      <c r="S10" s="43"/>
      <c r="T10" s="43"/>
      <c r="U10" s="43"/>
    </row>
    <row r="11" spans="1:21" s="11" customFormat="1" ht="15">
      <c r="A11" s="53" t="s">
        <v>664</v>
      </c>
      <c r="B11" s="54">
        <v>7.40</v>
      </c>
      <c r="C11" s="54">
        <v>45.91</v>
      </c>
      <c r="D11" s="54">
        <v>31.45</v>
      </c>
      <c r="E11" s="54">
        <v>2.4500000000000002</v>
      </c>
      <c r="F11" s="54">
        <v>4.4400000000000004</v>
      </c>
      <c r="G11" s="54">
        <v>85.56</v>
      </c>
      <c r="H11" s="54">
        <v>40.98</v>
      </c>
      <c r="I11" s="54">
        <v>1.5</v>
      </c>
      <c r="J11" s="54">
        <v>0.49</v>
      </c>
      <c r="K11" s="54">
        <v>349.24</v>
      </c>
      <c r="L11" s="54">
        <v>16.45</v>
      </c>
      <c r="M11" s="54">
        <v>83.71</v>
      </c>
      <c r="N11" s="54">
        <v>29.90</v>
      </c>
      <c r="O11" s="54">
        <v>0</v>
      </c>
      <c r="P11" s="54">
        <v>1.02</v>
      </c>
      <c r="Q11" s="54">
        <v>5.98</v>
      </c>
      <c r="R11" s="43"/>
      <c r="S11" s="43"/>
      <c r="T11" s="43"/>
      <c r="U11" s="43"/>
    </row>
    <row r="12" spans="1:21" s="11" customFormat="1" ht="15">
      <c r="A12" s="53" t="s">
        <v>665</v>
      </c>
      <c r="B12" s="54">
        <v>8.2200000000000006</v>
      </c>
      <c r="C12" s="54">
        <v>45.73</v>
      </c>
      <c r="D12" s="54">
        <v>32.479999999999997</v>
      </c>
      <c r="E12" s="54">
        <v>2.35</v>
      </c>
      <c r="F12" s="54">
        <v>3.63</v>
      </c>
      <c r="G12" s="54">
        <v>100.19</v>
      </c>
      <c r="H12" s="54">
        <v>50.73</v>
      </c>
      <c r="I12" s="54">
        <v>1.58</v>
      </c>
      <c r="J12" s="54">
        <v>0.64</v>
      </c>
      <c r="K12" s="54">
        <v>350.32</v>
      </c>
      <c r="L12" s="54">
        <v>16.70</v>
      </c>
      <c r="M12" s="54">
        <v>81.02</v>
      </c>
      <c r="N12" s="54">
        <v>30</v>
      </c>
      <c r="O12" s="54">
        <v>0</v>
      </c>
      <c r="P12" s="54">
        <v>1.1399999999999999</v>
      </c>
      <c r="Q12" s="54">
        <v>5.97</v>
      </c>
      <c r="R12" s="43"/>
      <c r="S12" s="43"/>
      <c r="T12" s="43"/>
      <c r="U12" s="43"/>
    </row>
    <row r="13" spans="1:21" s="11" customFormat="1" ht="15">
      <c r="A13" s="53" t="s">
        <v>666</v>
      </c>
      <c r="B13" s="54">
        <v>9.2200000000000006</v>
      </c>
      <c r="C13" s="54">
        <v>46.29</v>
      </c>
      <c r="D13" s="54">
        <v>33.58</v>
      </c>
      <c r="E13" s="54">
        <v>2.2799999999999998</v>
      </c>
      <c r="F13" s="54">
        <v>3.39</v>
      </c>
      <c r="G13" s="54">
        <v>121.01</v>
      </c>
      <c r="H13" s="54">
        <v>61.76</v>
      </c>
      <c r="I13" s="54">
        <v>1.53</v>
      </c>
      <c r="J13" s="54">
        <v>0.59</v>
      </c>
      <c r="K13" s="54">
        <v>346.46</v>
      </c>
      <c r="L13" s="54">
        <v>16.47</v>
      </c>
      <c r="M13" s="54">
        <v>78.61</v>
      </c>
      <c r="N13" s="54">
        <v>30</v>
      </c>
      <c r="O13" s="54">
        <v>0</v>
      </c>
      <c r="P13" s="54">
        <v>1.20</v>
      </c>
      <c r="Q13" s="54">
        <v>6.03</v>
      </c>
      <c r="R13" s="43"/>
      <c r="S13" s="43"/>
      <c r="T13" s="43"/>
      <c r="U13" s="43"/>
    </row>
    <row r="14" spans="1:21" s="11" customFormat="1" ht="15">
      <c r="A14" s="53" t="s">
        <v>667</v>
      </c>
      <c r="B14" s="54">
        <v>9.1199999999999992</v>
      </c>
      <c r="C14" s="54">
        <v>46.07</v>
      </c>
      <c r="D14" s="54">
        <v>33.39</v>
      </c>
      <c r="E14" s="54">
        <v>2.34</v>
      </c>
      <c r="F14" s="54">
        <v>3.49</v>
      </c>
      <c r="G14" s="54">
        <v>123.49</v>
      </c>
      <c r="H14" s="54">
        <v>59.26</v>
      </c>
      <c r="I14" s="54">
        <v>1.53</v>
      </c>
      <c r="J14" s="54">
        <v>0.70</v>
      </c>
      <c r="K14" s="54">
        <v>114.44</v>
      </c>
      <c r="L14" s="54">
        <v>16.47</v>
      </c>
      <c r="M14" s="54">
        <v>79.92</v>
      </c>
      <c r="N14" s="54">
        <v>29.90</v>
      </c>
      <c r="O14" s="54">
        <v>0</v>
      </c>
      <c r="P14" s="54">
        <v>1.17</v>
      </c>
      <c r="Q14" s="54">
        <v>6.01</v>
      </c>
      <c r="R14" s="43"/>
      <c r="S14" s="43"/>
      <c r="T14" s="43"/>
      <c r="U14" s="43"/>
    </row>
    <row r="15" spans="1:21" s="11" customFormat="1" ht="15">
      <c r="A15" s="53" t="s">
        <v>668</v>
      </c>
      <c r="B15" s="54">
        <v>7.11</v>
      </c>
      <c r="C15" s="54">
        <v>43.86</v>
      </c>
      <c r="D15" s="54">
        <v>30.55</v>
      </c>
      <c r="E15" s="54">
        <v>2.3199999999999998</v>
      </c>
      <c r="F15" s="54">
        <v>4.20</v>
      </c>
      <c r="G15" s="54">
        <v>113.81</v>
      </c>
      <c r="H15" s="54">
        <v>52.30</v>
      </c>
      <c r="I15" s="54">
        <v>1.56</v>
      </c>
      <c r="J15" s="54">
        <v>0.97</v>
      </c>
      <c r="K15" s="54">
        <v>117.5</v>
      </c>
      <c r="L15" s="54">
        <v>16.66</v>
      </c>
      <c r="M15" s="54">
        <v>78.680000000000007</v>
      </c>
      <c r="N15" s="54">
        <v>74.30</v>
      </c>
      <c r="O15" s="54">
        <v>0</v>
      </c>
      <c r="P15" s="54">
        <v>1.08</v>
      </c>
      <c r="Q15" s="54">
        <v>5.88</v>
      </c>
      <c r="R15" s="43"/>
      <c r="S15" s="43"/>
      <c r="T15" s="43"/>
      <c r="U15" s="43"/>
    </row>
    <row r="16" spans="1:21" s="11" customFormat="1" ht="15">
      <c r="A16" s="53" t="s">
        <v>669</v>
      </c>
      <c r="B16" s="54">
        <v>8.49</v>
      </c>
      <c r="C16" s="54">
        <v>46.44</v>
      </c>
      <c r="D16" s="54">
        <v>33.090000000000003</v>
      </c>
      <c r="E16" s="54">
        <v>2.31</v>
      </c>
      <c r="F16" s="54">
        <v>4.0999999999999996</v>
      </c>
      <c r="G16" s="54">
        <v>98.13</v>
      </c>
      <c r="H16" s="54">
        <v>48.40</v>
      </c>
      <c r="I16" s="54">
        <v>1.56</v>
      </c>
      <c r="J16" s="54">
        <v>0.43</v>
      </c>
      <c r="K16" s="54">
        <v>103.18</v>
      </c>
      <c r="L16" s="54">
        <v>19.62</v>
      </c>
      <c r="M16" s="54">
        <v>77.349999999999994</v>
      </c>
      <c r="N16" s="54">
        <v>239.80</v>
      </c>
      <c r="O16" s="54">
        <v>0</v>
      </c>
      <c r="P16" s="54">
        <v>1.02</v>
      </c>
      <c r="Q16" s="54">
        <v>6.04</v>
      </c>
      <c r="R16" s="43"/>
      <c r="S16" s="43"/>
      <c r="T16" s="43"/>
      <c r="U16" s="43"/>
    </row>
    <row r="17" spans="1:21" s="11" customFormat="1" ht="15">
      <c r="A17" s="53" t="s">
        <v>670</v>
      </c>
      <c r="B17" s="54">
        <v>8.84</v>
      </c>
      <c r="C17" s="54">
        <v>46.80</v>
      </c>
      <c r="D17" s="54">
        <v>33.54</v>
      </c>
      <c r="E17" s="54">
        <v>2.37</v>
      </c>
      <c r="F17" s="54">
        <v>3.58</v>
      </c>
      <c r="G17" s="54">
        <v>92.32</v>
      </c>
      <c r="H17" s="54">
        <v>51.55</v>
      </c>
      <c r="I17" s="54">
        <v>1.58</v>
      </c>
      <c r="J17" s="54">
        <v>0.44</v>
      </c>
      <c r="K17" s="54">
        <v>332.31</v>
      </c>
      <c r="L17" s="54">
        <v>21.77</v>
      </c>
      <c r="M17" s="54">
        <v>71.03</v>
      </c>
      <c r="N17" s="54">
        <v>416.10</v>
      </c>
      <c r="O17" s="54">
        <v>0</v>
      </c>
      <c r="P17" s="54">
        <v>1.03</v>
      </c>
      <c r="Q17" s="54">
        <v>6.15</v>
      </c>
      <c r="R17" s="43"/>
      <c r="S17" s="43"/>
      <c r="T17" s="43"/>
      <c r="U17" s="43"/>
    </row>
    <row r="18" spans="1:21" s="11" customFormat="1" ht="15">
      <c r="A18" s="53" t="s">
        <v>671</v>
      </c>
      <c r="B18" s="54">
        <v>8.4499999999999993</v>
      </c>
      <c r="C18" s="54">
        <v>47.78</v>
      </c>
      <c r="D18" s="54">
        <v>33.75</v>
      </c>
      <c r="E18" s="54">
        <v>2.39</v>
      </c>
      <c r="F18" s="54">
        <v>4.72</v>
      </c>
      <c r="G18" s="54">
        <v>89.69</v>
      </c>
      <c r="H18" s="54">
        <v>49.39</v>
      </c>
      <c r="I18" s="54">
        <v>1.59</v>
      </c>
      <c r="J18" s="54">
        <v>0.64</v>
      </c>
      <c r="K18" s="54">
        <v>114.48</v>
      </c>
      <c r="L18" s="54">
        <v>23.41</v>
      </c>
      <c r="M18" s="54">
        <v>66.88</v>
      </c>
      <c r="N18" s="54">
        <v>549.70000000000005</v>
      </c>
      <c r="O18" s="54">
        <v>0</v>
      </c>
      <c r="P18" s="54">
        <v>1.01</v>
      </c>
      <c r="Q18" s="54">
        <v>6.21</v>
      </c>
      <c r="R18" s="43"/>
      <c r="S18" s="43"/>
      <c r="T18" s="43"/>
      <c r="U18" s="43"/>
    </row>
    <row r="19" spans="1:21" s="11" customFormat="1" ht="15">
      <c r="A19" s="53" t="s">
        <v>672</v>
      </c>
      <c r="B19" s="54">
        <v>6.41</v>
      </c>
      <c r="C19" s="54">
        <v>48.40</v>
      </c>
      <c r="D19" s="54">
        <v>32.40</v>
      </c>
      <c r="E19" s="54">
        <v>2.40</v>
      </c>
      <c r="F19" s="54">
        <v>5.08</v>
      </c>
      <c r="G19" s="54">
        <v>87.32</v>
      </c>
      <c r="H19" s="54">
        <v>47.04</v>
      </c>
      <c r="I19" s="54">
        <v>1.54</v>
      </c>
      <c r="J19" s="54">
        <v>0.86</v>
      </c>
      <c r="K19" s="54">
        <v>121.74</v>
      </c>
      <c r="L19" s="54">
        <v>24.90</v>
      </c>
      <c r="M19" s="54">
        <v>59.75</v>
      </c>
      <c r="N19" s="54">
        <v>602.40</v>
      </c>
      <c r="O19" s="54">
        <v>0</v>
      </c>
      <c r="P19" s="54">
        <v>1</v>
      </c>
      <c r="Q19" s="54">
        <v>6.10</v>
      </c>
      <c r="R19" s="43"/>
      <c r="S19" s="43"/>
      <c r="T19" s="43"/>
      <c r="U19" s="43"/>
    </row>
    <row r="20" spans="1:21" s="11" customFormat="1" ht="15">
      <c r="A20" s="53" t="s">
        <v>673</v>
      </c>
      <c r="B20" s="54">
        <v>3.78</v>
      </c>
      <c r="C20" s="54">
        <v>48.17</v>
      </c>
      <c r="D20" s="54">
        <v>30.27</v>
      </c>
      <c r="E20" s="54">
        <v>2.42</v>
      </c>
      <c r="F20" s="54">
        <v>6.64</v>
      </c>
      <c r="G20" s="54">
        <v>83.94</v>
      </c>
      <c r="H20" s="54">
        <v>48.52</v>
      </c>
      <c r="I20" s="54">
        <v>1.52</v>
      </c>
      <c r="J20" s="54">
        <v>0.66</v>
      </c>
      <c r="K20" s="54">
        <v>132.60</v>
      </c>
      <c r="L20" s="54">
        <v>26.30</v>
      </c>
      <c r="M20" s="54">
        <v>52.32</v>
      </c>
      <c r="N20" s="54">
        <v>675.80</v>
      </c>
      <c r="O20" s="54">
        <v>0</v>
      </c>
      <c r="P20" s="54">
        <v>0.98</v>
      </c>
      <c r="Q20" s="54">
        <v>5.90</v>
      </c>
      <c r="R20" s="43"/>
      <c r="S20" s="43"/>
      <c r="T20" s="43"/>
      <c r="U20" s="43"/>
    </row>
    <row r="21" spans="1:21" s="11" customFormat="1" ht="15">
      <c r="A21" s="53" t="s">
        <v>674</v>
      </c>
      <c r="B21" s="54">
        <v>2.93</v>
      </c>
      <c r="C21" s="54">
        <v>47.23</v>
      </c>
      <c r="D21" s="54">
        <v>29.06</v>
      </c>
      <c r="E21" s="54">
        <v>2.34</v>
      </c>
      <c r="F21" s="54">
        <v>8.23</v>
      </c>
      <c r="G21" s="54">
        <v>80.83</v>
      </c>
      <c r="H21" s="54">
        <v>45.25</v>
      </c>
      <c r="I21" s="54">
        <v>1.57</v>
      </c>
      <c r="J21" s="54">
        <v>0.74</v>
      </c>
      <c r="K21" s="54">
        <v>343.30</v>
      </c>
      <c r="L21" s="54">
        <v>28.10</v>
      </c>
      <c r="M21" s="54">
        <v>40.90</v>
      </c>
      <c r="N21" s="54">
        <v>674.20</v>
      </c>
      <c r="O21" s="54">
        <v>0</v>
      </c>
      <c r="P21" s="54">
        <v>0.93</v>
      </c>
      <c r="Q21" s="54">
        <v>5.71</v>
      </c>
      <c r="R21" s="43"/>
      <c r="S21" s="43"/>
      <c r="T21" s="43"/>
      <c r="U21" s="43"/>
    </row>
    <row r="22" spans="1:21" s="11" customFormat="1" ht="15">
      <c r="A22" s="53" t="s">
        <v>675</v>
      </c>
      <c r="B22" s="54">
        <v>3.79</v>
      </c>
      <c r="C22" s="54">
        <v>45.63</v>
      </c>
      <c r="D22" s="54">
        <v>28.86</v>
      </c>
      <c r="E22" s="54">
        <v>2.44</v>
      </c>
      <c r="F22" s="54">
        <v>12.48</v>
      </c>
      <c r="G22" s="54">
        <v>71.44</v>
      </c>
      <c r="H22" s="54">
        <v>44.22</v>
      </c>
      <c r="I22" s="54">
        <v>1.56</v>
      </c>
      <c r="J22" s="54">
        <v>0.66</v>
      </c>
      <c r="K22" s="54">
        <v>359.15</v>
      </c>
      <c r="L22" s="54">
        <v>28.42</v>
      </c>
      <c r="M22" s="54">
        <v>35.10</v>
      </c>
      <c r="N22" s="54">
        <v>579.10</v>
      </c>
      <c r="O22" s="54">
        <v>0</v>
      </c>
      <c r="P22" s="54">
        <v>0.87</v>
      </c>
      <c r="Q22" s="54">
        <v>5.68</v>
      </c>
      <c r="R22" s="43"/>
      <c r="S22" s="43"/>
      <c r="T22" s="43"/>
      <c r="U22" s="43"/>
    </row>
    <row r="23" spans="1:21" s="11" customFormat="1" ht="15">
      <c r="A23" s="53" t="s">
        <v>676</v>
      </c>
      <c r="B23" s="54">
        <v>3.60</v>
      </c>
      <c r="C23" s="54">
        <v>42.33</v>
      </c>
      <c r="D23" s="54">
        <v>26.71</v>
      </c>
      <c r="E23" s="54">
        <v>2.74</v>
      </c>
      <c r="F23" s="54">
        <v>17.05</v>
      </c>
      <c r="G23" s="54">
        <v>61.96</v>
      </c>
      <c r="H23" s="54">
        <v>38.57</v>
      </c>
      <c r="I23" s="54">
        <v>1.55</v>
      </c>
      <c r="J23" s="54">
        <v>0.47</v>
      </c>
      <c r="K23" s="54">
        <v>291.89999999999998</v>
      </c>
      <c r="L23" s="54">
        <v>26.18</v>
      </c>
      <c r="M23" s="54">
        <v>39.67</v>
      </c>
      <c r="N23" s="54">
        <v>211.30</v>
      </c>
      <c r="O23" s="54">
        <v>0</v>
      </c>
      <c r="P23" s="54">
        <v>0.85</v>
      </c>
      <c r="Q23" s="54">
        <v>5.71</v>
      </c>
      <c r="R23" s="43"/>
      <c r="S23" s="43"/>
      <c r="T23" s="43"/>
      <c r="U23" s="43"/>
    </row>
    <row r="24" spans="1:21" s="11" customFormat="1" ht="15">
      <c r="A24" s="53" t="s">
        <v>677</v>
      </c>
      <c r="B24" s="54">
        <v>5.24</v>
      </c>
      <c r="C24" s="54">
        <v>48.23</v>
      </c>
      <c r="D24" s="54">
        <v>31.34</v>
      </c>
      <c r="E24" s="54">
        <v>2.82</v>
      </c>
      <c r="F24" s="54">
        <v>14.07</v>
      </c>
      <c r="G24" s="54">
        <v>59.24</v>
      </c>
      <c r="H24" s="54">
        <v>34.47</v>
      </c>
      <c r="I24" s="54">
        <v>1.54</v>
      </c>
      <c r="J24" s="54">
        <v>0.61</v>
      </c>
      <c r="K24" s="54">
        <v>333.86</v>
      </c>
      <c r="L24" s="54">
        <v>24.89</v>
      </c>
      <c r="M24" s="54">
        <v>45.09</v>
      </c>
      <c r="N24" s="54">
        <v>153.19999999999999</v>
      </c>
      <c r="O24" s="54">
        <v>0</v>
      </c>
      <c r="P24" s="54">
        <v>0.85</v>
      </c>
      <c r="Q24" s="54">
        <v>5.78</v>
      </c>
      <c r="R24" s="43"/>
      <c r="S24" s="43"/>
      <c r="T24" s="43"/>
      <c r="U24" s="43"/>
    </row>
    <row r="25" spans="1:21" s="11" customFormat="1" ht="15">
      <c r="A25" s="53" t="s">
        <v>678</v>
      </c>
      <c r="B25" s="54">
        <v>5.58</v>
      </c>
      <c r="C25" s="54">
        <v>60.10</v>
      </c>
      <c r="D25" s="54">
        <v>38.29</v>
      </c>
      <c r="E25" s="57" t="s">
        <v>14</v>
      </c>
      <c r="F25" s="54">
        <v>15.22</v>
      </c>
      <c r="G25" s="54">
        <v>60.18</v>
      </c>
      <c r="H25" s="54">
        <v>38.22</v>
      </c>
      <c r="I25" s="54">
        <v>1.55</v>
      </c>
      <c r="J25" s="54">
        <v>0.16</v>
      </c>
      <c r="K25" s="54">
        <v>316.88</v>
      </c>
      <c r="L25" s="54">
        <v>24.28</v>
      </c>
      <c r="M25" s="54">
        <v>39.53</v>
      </c>
      <c r="N25" s="54">
        <v>89.70</v>
      </c>
      <c r="O25" s="54">
        <v>0</v>
      </c>
      <c r="P25" s="54">
        <v>0.99</v>
      </c>
      <c r="Q25" s="54">
        <v>5.72</v>
      </c>
      <c r="R25" s="43"/>
      <c r="S25" s="43"/>
      <c r="T25" s="43"/>
      <c r="U25" s="43"/>
    </row>
    <row r="26" spans="1:21" s="11" customFormat="1" ht="15">
      <c r="A26" s="53" t="s">
        <v>679</v>
      </c>
      <c r="B26" s="54">
        <v>21.46</v>
      </c>
      <c r="C26" s="54">
        <v>77.77</v>
      </c>
      <c r="D26" s="54">
        <v>60.77</v>
      </c>
      <c r="E26" s="57" t="s">
        <v>14</v>
      </c>
      <c r="F26" s="54">
        <v>10.53</v>
      </c>
      <c r="G26" s="54">
        <v>64.5</v>
      </c>
      <c r="H26" s="54">
        <v>37.85</v>
      </c>
      <c r="I26" s="54">
        <v>1.55</v>
      </c>
      <c r="J26" s="54">
        <v>0.40</v>
      </c>
      <c r="K26" s="54">
        <v>346.55</v>
      </c>
      <c r="L26" s="54">
        <v>22.35</v>
      </c>
      <c r="M26" s="54">
        <v>46.73</v>
      </c>
      <c r="N26" s="54">
        <v>32.5</v>
      </c>
      <c r="O26" s="54">
        <v>0</v>
      </c>
      <c r="P26" s="54">
        <v>1.41</v>
      </c>
      <c r="Q26" s="54">
        <v>5.73</v>
      </c>
      <c r="R26" s="43"/>
      <c r="S26" s="43"/>
      <c r="T26" s="43"/>
      <c r="U26" s="43"/>
    </row>
    <row r="27" spans="1:21" s="11" customFormat="1" ht="15">
      <c r="A27" s="53" t="s">
        <v>680</v>
      </c>
      <c r="B27" s="54">
        <v>14.99</v>
      </c>
      <c r="C27" s="54">
        <v>74.64</v>
      </c>
      <c r="D27" s="54">
        <v>53.86</v>
      </c>
      <c r="E27" s="57" t="s">
        <v>14</v>
      </c>
      <c r="F27" s="54">
        <v>8.76</v>
      </c>
      <c r="G27" s="54">
        <v>78.650000000000006</v>
      </c>
      <c r="H27" s="54">
        <v>44.72</v>
      </c>
      <c r="I27" s="54">
        <v>1.57</v>
      </c>
      <c r="J27" s="54">
        <v>0.18</v>
      </c>
      <c r="K27" s="54">
        <v>337.30</v>
      </c>
      <c r="L27" s="54">
        <v>21.28</v>
      </c>
      <c r="M27" s="54">
        <v>50.31</v>
      </c>
      <c r="N27" s="54">
        <v>29.80</v>
      </c>
      <c r="O27" s="54">
        <v>0</v>
      </c>
      <c r="P27" s="54">
        <v>1.70</v>
      </c>
      <c r="Q27" s="54">
        <v>6.15</v>
      </c>
      <c r="R27" s="43"/>
      <c r="S27" s="43"/>
      <c r="T27" s="43"/>
      <c r="U27" s="43"/>
    </row>
    <row r="28" spans="1:21" s="11" customFormat="1" ht="15">
      <c r="A28" s="53" t="s">
        <v>681</v>
      </c>
      <c r="B28" s="54">
        <v>14.11</v>
      </c>
      <c r="C28" s="54">
        <v>71.67</v>
      </c>
      <c r="D28" s="54">
        <v>50.62</v>
      </c>
      <c r="E28" s="57" t="s">
        <v>14</v>
      </c>
      <c r="F28" s="54">
        <v>6.59</v>
      </c>
      <c r="G28" s="54">
        <v>91.97</v>
      </c>
      <c r="H28" s="54">
        <v>48.31</v>
      </c>
      <c r="I28" s="54">
        <v>1.53</v>
      </c>
      <c r="J28" s="54">
        <v>0.23</v>
      </c>
      <c r="K28" s="54">
        <v>95.92</v>
      </c>
      <c r="L28" s="54">
        <v>20.51</v>
      </c>
      <c r="M28" s="54">
        <v>51.34</v>
      </c>
      <c r="N28" s="54">
        <v>30.20</v>
      </c>
      <c r="O28" s="54">
        <v>0</v>
      </c>
      <c r="P28" s="54">
        <v>1.68</v>
      </c>
      <c r="Q28" s="54">
        <v>6.49</v>
      </c>
      <c r="R28" s="43"/>
      <c r="S28" s="43"/>
      <c r="T28" s="43"/>
      <c r="U28" s="43"/>
    </row>
    <row r="29" spans="1:21" s="11" customFormat="1" ht="15">
      <c r="A29" s="53" t="s">
        <v>682</v>
      </c>
      <c r="B29" s="54">
        <v>15.61</v>
      </c>
      <c r="C29" s="54">
        <v>65.91</v>
      </c>
      <c r="D29" s="54">
        <v>48.11</v>
      </c>
      <c r="E29" s="57" t="s">
        <v>14</v>
      </c>
      <c r="F29" s="54">
        <v>5.87</v>
      </c>
      <c r="G29" s="54">
        <v>101.57</v>
      </c>
      <c r="H29" s="54">
        <v>50.79</v>
      </c>
      <c r="I29" s="54">
        <v>1.55</v>
      </c>
      <c r="J29" s="54">
        <v>0.19</v>
      </c>
      <c r="K29" s="54">
        <v>333.91</v>
      </c>
      <c r="L29" s="54">
        <v>19.71</v>
      </c>
      <c r="M29" s="54">
        <v>56.09</v>
      </c>
      <c r="N29" s="54">
        <v>30.70</v>
      </c>
      <c r="O29" s="54">
        <v>0</v>
      </c>
      <c r="P29" s="54">
        <v>1.85</v>
      </c>
      <c r="Q29" s="54">
        <v>6.40</v>
      </c>
      <c r="R29" s="43"/>
      <c r="S29" s="43"/>
      <c r="T29" s="43"/>
      <c r="U29" s="43"/>
    </row>
    <row r="30" spans="1:21" s="11" customFormat="1" ht="15">
      <c r="A30" s="53" t="s">
        <v>683</v>
      </c>
      <c r="B30" s="54">
        <v>14.01</v>
      </c>
      <c r="C30" s="54">
        <v>63.30</v>
      </c>
      <c r="D30" s="54">
        <v>46.51</v>
      </c>
      <c r="E30" s="57" t="s">
        <v>14</v>
      </c>
      <c r="F30" s="54">
        <v>7.64</v>
      </c>
      <c r="G30" s="54">
        <v>102.96</v>
      </c>
      <c r="H30" s="54">
        <v>51.59</v>
      </c>
      <c r="I30" s="54">
        <v>1.56</v>
      </c>
      <c r="J30" s="54">
        <v>0.53</v>
      </c>
      <c r="K30" s="54">
        <v>347.67</v>
      </c>
      <c r="L30" s="54">
        <v>19.23</v>
      </c>
      <c r="M30" s="54">
        <v>56.60</v>
      </c>
      <c r="N30" s="54">
        <v>30.90</v>
      </c>
      <c r="O30" s="54">
        <v>0</v>
      </c>
      <c r="P30" s="54">
        <v>1.81</v>
      </c>
      <c r="Q30" s="54">
        <v>6.70</v>
      </c>
      <c r="R30" s="43"/>
      <c r="S30" s="43"/>
      <c r="T30" s="43"/>
      <c r="U30" s="43"/>
    </row>
    <row r="31" spans="1:21" s="11" customFormat="1" ht="15">
      <c r="A31" s="53" t="s">
        <v>684</v>
      </c>
      <c r="B31" s="54">
        <v>11.88</v>
      </c>
      <c r="C31" s="54">
        <v>57.93</v>
      </c>
      <c r="D31" s="54">
        <v>42.14</v>
      </c>
      <c r="E31" s="57" t="s">
        <v>14</v>
      </c>
      <c r="F31" s="54">
        <v>5.12</v>
      </c>
      <c r="G31" s="54">
        <v>99.65</v>
      </c>
      <c r="H31" s="54">
        <v>50.09</v>
      </c>
      <c r="I31" s="54">
        <v>1.52</v>
      </c>
      <c r="J31" s="54">
        <v>0.49</v>
      </c>
      <c r="K31" s="54">
        <v>111.24</v>
      </c>
      <c r="L31" s="54">
        <v>18.63</v>
      </c>
      <c r="M31" s="54">
        <v>57.58</v>
      </c>
      <c r="N31" s="54">
        <v>31.40</v>
      </c>
      <c r="O31" s="54">
        <v>0</v>
      </c>
      <c r="P31" s="54">
        <v>1.72</v>
      </c>
      <c r="Q31" s="54">
        <v>6.59</v>
      </c>
      <c r="R31" s="43"/>
      <c r="S31" s="43"/>
      <c r="T31" s="43"/>
      <c r="U31" s="43"/>
    </row>
    <row r="32" spans="1:21" s="11" customFormat="1" ht="15">
      <c r="A32" s="53" t="s">
        <v>685</v>
      </c>
      <c r="B32" s="54">
        <v>9.7100000000000009</v>
      </c>
      <c r="C32" s="54">
        <v>53.78</v>
      </c>
      <c r="D32" s="54">
        <v>38.11</v>
      </c>
      <c r="E32" s="57" t="s">
        <v>14</v>
      </c>
      <c r="F32" s="54">
        <v>5.25</v>
      </c>
      <c r="G32" s="54">
        <v>94.05</v>
      </c>
      <c r="H32" s="54">
        <v>47.66</v>
      </c>
      <c r="I32" s="54">
        <v>1.59</v>
      </c>
      <c r="J32" s="54">
        <v>0.74</v>
      </c>
      <c r="K32" s="54">
        <v>111.43</v>
      </c>
      <c r="L32" s="54">
        <v>18.46</v>
      </c>
      <c r="M32" s="54">
        <v>63.64</v>
      </c>
      <c r="N32" s="54">
        <v>31.90</v>
      </c>
      <c r="O32" s="54">
        <v>0</v>
      </c>
      <c r="P32" s="54">
        <v>1.58</v>
      </c>
      <c r="Q32" s="54">
        <v>6.47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2.9300000000000002</v>
      </c>
      <c r="C34" s="28">
        <f t="shared" si="0"/>
        <v>42.329999999999998</v>
      </c>
      <c r="D34" s="28">
        <f t="shared" si="0"/>
        <v>26.710000000000001</v>
      </c>
      <c r="E34" s="28">
        <f t="shared" si="0"/>
        <v>2.2799999999999998</v>
      </c>
      <c r="F34" s="28">
        <f t="shared" si="0"/>
        <v>3.3900000000000001</v>
      </c>
      <c r="G34" s="28">
        <f t="shared" si="0"/>
        <v>59.240000000000002</v>
      </c>
      <c r="H34" s="28">
        <f t="shared" si="0"/>
        <v>34.469999999999999</v>
      </c>
      <c r="I34" s="28">
        <f t="shared" si="0"/>
        <v>1.5</v>
      </c>
      <c r="J34" s="28">
        <f t="shared" si="0"/>
        <v>0.12</v>
      </c>
      <c r="K34" s="28">
        <f t="shared" si="0"/>
        <v>95.920000000000002</v>
      </c>
      <c r="L34" s="28">
        <f t="shared" si="0"/>
        <v>16.449999999999999</v>
      </c>
      <c r="M34" s="28">
        <f t="shared" si="0"/>
        <v>35.100000000000001</v>
      </c>
      <c r="N34" s="28">
        <f t="shared" si="0"/>
        <v>29.800000000000001</v>
      </c>
      <c r="O34" s="28">
        <f t="shared" si="0"/>
        <v>0</v>
      </c>
      <c r="P34" s="28">
        <f t="shared" si="0"/>
        <v>0.84999999999999998</v>
      </c>
      <c r="Q34" s="28">
        <f t="shared" si="0"/>
        <v>5.6799999999999997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21.460000000000001</v>
      </c>
      <c r="C35" s="29">
        <f t="shared" si="1"/>
        <v>77.769999999999996</v>
      </c>
      <c r="D35" s="29">
        <f t="shared" si="1"/>
        <v>60.770000000000003</v>
      </c>
      <c r="E35" s="29">
        <f t="shared" si="1"/>
        <v>2.8199999999999998</v>
      </c>
      <c r="F35" s="29">
        <f t="shared" si="1"/>
        <v>17.050000000000001</v>
      </c>
      <c r="G35" s="29">
        <f t="shared" si="1"/>
        <v>123.48999999999999</v>
      </c>
      <c r="H35" s="29">
        <f t="shared" si="1"/>
        <v>61.759999999999998</v>
      </c>
      <c r="I35" s="29">
        <f t="shared" si="1"/>
        <v>1.5900000000000001</v>
      </c>
      <c r="J35" s="29">
        <f t="shared" si="1"/>
        <v>0.96999999999999997</v>
      </c>
      <c r="K35" s="29">
        <f t="shared" si="1"/>
        <v>359.14999999999998</v>
      </c>
      <c r="L35" s="29">
        <f t="shared" si="1"/>
        <v>28.420000000000002</v>
      </c>
      <c r="M35" s="29">
        <f t="shared" si="1"/>
        <v>83.709999999999994</v>
      </c>
      <c r="N35" s="29">
        <f t="shared" si="1"/>
        <v>675.79999999999995</v>
      </c>
      <c r="O35" s="29">
        <f t="shared" si="1"/>
        <v>0</v>
      </c>
      <c r="P35" s="29">
        <f t="shared" si="1"/>
        <v>1.8500000000000001</v>
      </c>
      <c r="Q35" s="29">
        <f t="shared" si="1"/>
        <v>6.7000000000000002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8.8062500000000004</v>
      </c>
      <c r="C36" s="28">
        <f t="shared" si="2"/>
        <v>52.797500000000007</v>
      </c>
      <c r="D36" s="28">
        <f t="shared" si="2"/>
        <v>36.694583333333334</v>
      </c>
      <c r="E36" s="28">
        <f t="shared" si="2"/>
        <v>2.4450000000000003</v>
      </c>
      <c r="F36" s="28">
        <f t="shared" si="2"/>
        <v>7.1458333333333321</v>
      </c>
      <c r="G36" s="28">
        <f t="shared" si="2"/>
        <v>89.169583333333364</v>
      </c>
      <c r="H36" s="28">
        <f t="shared" si="2"/>
        <v>47.227499999999999</v>
      </c>
      <c r="I36" s="28">
        <f t="shared" si="2"/>
        <v>1.551666666666667</v>
      </c>
      <c r="J36" s="28">
        <f t="shared" si="2"/>
        <v>0.51458333333333328</v>
      </c>
      <c r="K36" s="28">
        <f t="shared" si="2"/>
        <v>254.20458333333337</v>
      </c>
      <c r="L36" s="28">
        <f t="shared" si="2"/>
        <v>21.155833333333334</v>
      </c>
      <c r="M36" s="28">
        <f t="shared" si="2"/>
        <v>60.726249999999986</v>
      </c>
      <c r="N36" s="28">
        <f t="shared" si="2"/>
        <v>194.2916666666666</v>
      </c>
      <c r="O36" s="28">
        <f t="shared" si="2"/>
        <v>0</v>
      </c>
      <c r="P36" s="28">
        <f t="shared" si="2"/>
        <v>1.2120833333333332</v>
      </c>
      <c r="Q36" s="28">
        <f t="shared" si="2"/>
        <v>6.041666666666667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4.5610094348967758</v>
      </c>
      <c r="C37" s="28">
        <f t="shared" si="3" ref="C37:Q37">STDEV(C9:C32)</f>
        <v>10.461460638727845</v>
      </c>
      <c r="D37" s="28">
        <f t="shared" si="3"/>
        <v>8.9447934718261344</v>
      </c>
      <c r="E37" s="28">
        <f t="shared" si="3"/>
        <v>0.15599145275729101</v>
      </c>
      <c r="F37" s="28">
        <f t="shared" si="3"/>
        <v>3.9441766834340641</v>
      </c>
      <c r="G37" s="28">
        <f t="shared" si="3"/>
        <v>17.614421334499447</v>
      </c>
      <c r="H37" s="28">
        <f t="shared" si="3"/>
        <v>6.3979597631146774</v>
      </c>
      <c r="I37" s="28">
        <f t="shared" si="3"/>
        <v>0.023895909540204246</v>
      </c>
      <c r="J37" s="28">
        <f t="shared" si="3"/>
        <v>0.22565805540909573</v>
      </c>
      <c r="K37" s="28">
        <f t="shared" si="3"/>
        <v>112.20474154823305</v>
      </c>
      <c r="L37" s="28">
        <f t="shared" si="3"/>
        <v>3.8470812388057443</v>
      </c>
      <c r="M37" s="28">
        <f t="shared" si="3"/>
        <v>15.386623443051484</v>
      </c>
      <c r="N37" s="28">
        <f t="shared" si="3"/>
        <v>240.48564797937109</v>
      </c>
      <c r="O37" s="28">
        <f t="shared" si="3"/>
        <v>0</v>
      </c>
      <c r="P37" s="28">
        <f t="shared" si="3"/>
        <v>0.32705509663034488</v>
      </c>
      <c r="Q37" s="28">
        <f t="shared" si="3"/>
        <v>0.30181576105828167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COUNT(E9:E32)+8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993931-c6e2-4469-9f3d-bba86ccf4cb1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39" sqref="E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62" t="s">
        <v>22</v>
      </c>
      <c r="R8" s="27"/>
      <c r="S8" s="29"/>
      <c r="T8" s="27"/>
      <c r="U8" s="27"/>
    </row>
    <row r="9" spans="1:21" s="11" customFormat="1" ht="15">
      <c r="A9" s="53" t="s">
        <v>686</v>
      </c>
      <c r="B9" s="54">
        <v>6.40</v>
      </c>
      <c r="C9" s="54">
        <v>49.59</v>
      </c>
      <c r="D9" s="54">
        <v>33.14</v>
      </c>
      <c r="E9" s="57" t="s">
        <v>14</v>
      </c>
      <c r="F9" s="54">
        <v>3.73</v>
      </c>
      <c r="G9" s="54">
        <v>89.92</v>
      </c>
      <c r="H9" s="54">
        <v>48.47</v>
      </c>
      <c r="I9" s="54">
        <v>1.52</v>
      </c>
      <c r="J9" s="54">
        <v>1.26</v>
      </c>
      <c r="K9" s="54">
        <v>116.28</v>
      </c>
      <c r="L9" s="54">
        <v>18.510000000000002</v>
      </c>
      <c r="M9" s="54">
        <v>66.900000000000006</v>
      </c>
      <c r="N9" s="54">
        <v>32.40</v>
      </c>
      <c r="O9" s="54">
        <v>0</v>
      </c>
      <c r="P9" s="54">
        <v>1.40</v>
      </c>
      <c r="Q9" s="54">
        <v>6.14</v>
      </c>
      <c r="R9" s="43"/>
      <c r="S9" s="43"/>
      <c r="T9" s="43"/>
      <c r="U9" s="43"/>
    </row>
    <row r="10" spans="1:21" s="11" customFormat="1" ht="15">
      <c r="A10" s="53" t="s">
        <v>687</v>
      </c>
      <c r="B10" s="54">
        <v>3.79</v>
      </c>
      <c r="C10" s="54">
        <v>45.42</v>
      </c>
      <c r="D10" s="54">
        <v>28.75</v>
      </c>
      <c r="E10" s="57" t="s">
        <v>14</v>
      </c>
      <c r="F10" s="54">
        <v>4.0599999999999996</v>
      </c>
      <c r="G10" s="54">
        <v>83.05</v>
      </c>
      <c r="H10" s="54">
        <v>37.03</v>
      </c>
      <c r="I10" s="54">
        <v>1.54</v>
      </c>
      <c r="J10" s="54">
        <v>1.28</v>
      </c>
      <c r="K10" s="54">
        <v>119.93</v>
      </c>
      <c r="L10" s="54">
        <v>18.55</v>
      </c>
      <c r="M10" s="54">
        <v>70.540000000000006</v>
      </c>
      <c r="N10" s="54">
        <v>32.799999999999997</v>
      </c>
      <c r="O10" s="54">
        <v>0</v>
      </c>
      <c r="P10" s="54">
        <v>1.17</v>
      </c>
      <c r="Q10" s="54">
        <v>5.78</v>
      </c>
      <c r="R10" s="43"/>
      <c r="S10" s="43"/>
      <c r="T10" s="43"/>
      <c r="U10" s="43"/>
    </row>
    <row r="11" spans="1:21" s="11" customFormat="1" ht="15">
      <c r="A11" s="53" t="s">
        <v>688</v>
      </c>
      <c r="B11" s="54">
        <v>3.05</v>
      </c>
      <c r="C11" s="54">
        <v>42.08</v>
      </c>
      <c r="D11" s="54">
        <v>26.32</v>
      </c>
      <c r="E11" s="57" t="s">
        <v>14</v>
      </c>
      <c r="F11" s="54">
        <v>4.01</v>
      </c>
      <c r="G11" s="54">
        <v>73.239999999999995</v>
      </c>
      <c r="H11" s="54">
        <v>30.93</v>
      </c>
      <c r="I11" s="54">
        <v>1.54</v>
      </c>
      <c r="J11" s="54">
        <v>1.51</v>
      </c>
      <c r="K11" s="54">
        <v>114.41</v>
      </c>
      <c r="L11" s="54">
        <v>18.13</v>
      </c>
      <c r="M11" s="54">
        <v>71.89</v>
      </c>
      <c r="N11" s="54">
        <v>33.10</v>
      </c>
      <c r="O11" s="54">
        <v>0</v>
      </c>
      <c r="P11" s="54">
        <v>1.06</v>
      </c>
      <c r="Q11" s="54">
        <v>5.63</v>
      </c>
      <c r="R11" s="43"/>
      <c r="S11" s="43"/>
      <c r="T11" s="43"/>
      <c r="U11" s="43"/>
    </row>
    <row r="12" spans="1:21" s="11" customFormat="1" ht="15">
      <c r="A12" s="53" t="s">
        <v>689</v>
      </c>
      <c r="B12" s="54">
        <v>6.99</v>
      </c>
      <c r="C12" s="54">
        <v>34.18</v>
      </c>
      <c r="D12" s="54">
        <v>24.78</v>
      </c>
      <c r="E12" s="57" t="s">
        <v>14</v>
      </c>
      <c r="F12" s="54">
        <v>3.80</v>
      </c>
      <c r="G12" s="54">
        <v>68.38</v>
      </c>
      <c r="H12" s="54">
        <v>34.78</v>
      </c>
      <c r="I12" s="54">
        <v>1.54</v>
      </c>
      <c r="J12" s="54">
        <v>1.69</v>
      </c>
      <c r="K12" s="54">
        <v>114.75</v>
      </c>
      <c r="L12" s="54">
        <v>17.72</v>
      </c>
      <c r="M12" s="54">
        <v>72.77</v>
      </c>
      <c r="N12" s="54">
        <v>33.60</v>
      </c>
      <c r="O12" s="54">
        <v>0</v>
      </c>
      <c r="P12" s="54">
        <v>0.94</v>
      </c>
      <c r="Q12" s="54">
        <v>5.60</v>
      </c>
      <c r="R12" s="43"/>
      <c r="S12" s="43"/>
      <c r="T12" s="43"/>
      <c r="U12" s="43"/>
    </row>
    <row r="13" spans="1:21" s="11" customFormat="1" ht="15">
      <c r="A13" s="53" t="s">
        <v>690</v>
      </c>
      <c r="B13" s="54">
        <v>5.26</v>
      </c>
      <c r="C13" s="54">
        <v>42.14</v>
      </c>
      <c r="D13" s="54">
        <v>27.72</v>
      </c>
      <c r="E13" s="57" t="s">
        <v>14</v>
      </c>
      <c r="F13" s="54">
        <v>3.80</v>
      </c>
      <c r="G13" s="54">
        <v>65.150000000000006</v>
      </c>
      <c r="H13" s="54">
        <v>35.14</v>
      </c>
      <c r="I13" s="54">
        <v>1.59</v>
      </c>
      <c r="J13" s="54">
        <v>0.51</v>
      </c>
      <c r="K13" s="54">
        <v>110.32</v>
      </c>
      <c r="L13" s="54">
        <v>17.62</v>
      </c>
      <c r="M13" s="54">
        <v>72.92</v>
      </c>
      <c r="N13" s="54">
        <v>34</v>
      </c>
      <c r="O13" s="54">
        <v>0</v>
      </c>
      <c r="P13" s="54">
        <v>0.85</v>
      </c>
      <c r="Q13" s="54">
        <v>5.68</v>
      </c>
      <c r="R13" s="43"/>
      <c r="S13" s="43"/>
      <c r="T13" s="43"/>
      <c r="U13" s="43"/>
    </row>
    <row r="14" spans="1:21" s="11" customFormat="1" ht="15">
      <c r="A14" s="53" t="s">
        <v>691</v>
      </c>
      <c r="B14" s="54">
        <v>12.10</v>
      </c>
      <c r="C14" s="54">
        <v>57.92</v>
      </c>
      <c r="D14" s="54">
        <v>41.59</v>
      </c>
      <c r="E14" s="57" t="s">
        <v>14</v>
      </c>
      <c r="F14" s="54">
        <v>3.89</v>
      </c>
      <c r="G14" s="54">
        <v>64.45</v>
      </c>
      <c r="H14" s="54">
        <v>38.68</v>
      </c>
      <c r="I14" s="54">
        <v>1.51</v>
      </c>
      <c r="J14" s="54">
        <v>0.17</v>
      </c>
      <c r="K14" s="54">
        <v>114.14</v>
      </c>
      <c r="L14" s="54">
        <v>17.28</v>
      </c>
      <c r="M14" s="54">
        <v>77.98</v>
      </c>
      <c r="N14" s="54">
        <v>34.60</v>
      </c>
      <c r="O14" s="54">
        <v>0</v>
      </c>
      <c r="P14" s="54">
        <v>0.82</v>
      </c>
      <c r="Q14" s="54">
        <v>5.79</v>
      </c>
      <c r="R14" s="43"/>
      <c r="S14" s="43"/>
      <c r="T14" s="43"/>
      <c r="U14" s="43"/>
    </row>
    <row r="15" spans="1:21" s="11" customFormat="1" ht="15">
      <c r="A15" s="53" t="s">
        <v>692</v>
      </c>
      <c r="B15" s="54">
        <v>15.22</v>
      </c>
      <c r="C15" s="54">
        <v>70.86</v>
      </c>
      <c r="D15" s="54">
        <v>51.96</v>
      </c>
      <c r="E15" s="57" t="s">
        <v>14</v>
      </c>
      <c r="F15" s="54">
        <v>3.77</v>
      </c>
      <c r="G15" s="54">
        <v>66.900000000000006</v>
      </c>
      <c r="H15" s="54">
        <v>36.840000000000003</v>
      </c>
      <c r="I15" s="54">
        <v>1.55</v>
      </c>
      <c r="J15" s="54">
        <v>0.40</v>
      </c>
      <c r="K15" s="54">
        <v>352.21</v>
      </c>
      <c r="L15" s="54">
        <v>16.77</v>
      </c>
      <c r="M15" s="54">
        <v>81.87</v>
      </c>
      <c r="N15" s="54">
        <v>83.80</v>
      </c>
      <c r="O15" s="54">
        <v>0</v>
      </c>
      <c r="P15" s="54">
        <v>0.85</v>
      </c>
      <c r="Q15" s="54">
        <v>6.06</v>
      </c>
      <c r="R15" s="43"/>
      <c r="S15" s="43"/>
      <c r="T15" s="43"/>
      <c r="U15" s="43"/>
    </row>
    <row r="16" spans="1:21" s="11" customFormat="1" ht="15">
      <c r="A16" s="53" t="s">
        <v>693</v>
      </c>
      <c r="B16" s="54">
        <v>15.19</v>
      </c>
      <c r="C16" s="54">
        <v>76.41</v>
      </c>
      <c r="D16" s="54">
        <v>54.93</v>
      </c>
      <c r="E16" s="57" t="s">
        <v>14</v>
      </c>
      <c r="F16" s="54">
        <v>3.38</v>
      </c>
      <c r="G16" s="54">
        <v>71.16</v>
      </c>
      <c r="H16" s="54">
        <v>42.88</v>
      </c>
      <c r="I16" s="54">
        <v>1.52</v>
      </c>
      <c r="J16" s="54">
        <v>0.67</v>
      </c>
      <c r="K16" s="54">
        <v>358.96</v>
      </c>
      <c r="L16" s="54">
        <v>20.059999999999999</v>
      </c>
      <c r="M16" s="54">
        <v>75.650000000000006</v>
      </c>
      <c r="N16" s="54">
        <v>217.70</v>
      </c>
      <c r="O16" s="54">
        <v>0</v>
      </c>
      <c r="P16" s="54">
        <v>0.94</v>
      </c>
      <c r="Q16" s="54">
        <v>6.15</v>
      </c>
      <c r="R16" s="43"/>
      <c r="S16" s="43"/>
      <c r="T16" s="43"/>
      <c r="U16" s="43"/>
    </row>
    <row r="17" spans="1:21" s="11" customFormat="1" ht="15">
      <c r="A17" s="53" t="s">
        <v>694</v>
      </c>
      <c r="B17" s="54">
        <v>18.13</v>
      </c>
      <c r="C17" s="54">
        <v>89.45</v>
      </c>
      <c r="D17" s="54">
        <v>64.55</v>
      </c>
      <c r="E17" s="57" t="s">
        <v>14</v>
      </c>
      <c r="F17" s="54">
        <v>3.51</v>
      </c>
      <c r="G17" s="54">
        <v>83.40</v>
      </c>
      <c r="H17" s="54">
        <v>44.84</v>
      </c>
      <c r="I17" s="54">
        <v>1.5</v>
      </c>
      <c r="J17" s="54">
        <v>0.54</v>
      </c>
      <c r="K17" s="54">
        <v>352.82</v>
      </c>
      <c r="L17" s="54">
        <v>20.39</v>
      </c>
      <c r="M17" s="54">
        <v>65</v>
      </c>
      <c r="N17" s="54">
        <v>201.70</v>
      </c>
      <c r="O17" s="54">
        <v>0</v>
      </c>
      <c r="P17" s="54">
        <v>1.04</v>
      </c>
      <c r="Q17" s="54">
        <v>6.40</v>
      </c>
      <c r="R17" s="43"/>
      <c r="S17" s="43"/>
      <c r="T17" s="43"/>
      <c r="U17" s="43"/>
    </row>
    <row r="18" spans="1:21" s="11" customFormat="1" ht="15">
      <c r="A18" s="53" t="s">
        <v>695</v>
      </c>
      <c r="B18" s="54">
        <v>15.76</v>
      </c>
      <c r="C18" s="54">
        <v>85.61</v>
      </c>
      <c r="D18" s="54">
        <v>60.53</v>
      </c>
      <c r="E18" s="57" t="s">
        <v>14</v>
      </c>
      <c r="F18" s="54">
        <v>3.30</v>
      </c>
      <c r="G18" s="54">
        <v>89.97</v>
      </c>
      <c r="H18" s="54">
        <v>46.14</v>
      </c>
      <c r="I18" s="54">
        <v>1.52</v>
      </c>
      <c r="J18" s="54">
        <v>0.64</v>
      </c>
      <c r="K18" s="54">
        <v>356.73</v>
      </c>
      <c r="L18" s="54">
        <v>22.52</v>
      </c>
      <c r="M18" s="54">
        <v>59.82</v>
      </c>
      <c r="N18" s="54">
        <v>316.10000000000002</v>
      </c>
      <c r="O18" s="54">
        <v>0</v>
      </c>
      <c r="P18" s="54">
        <v>1.1399999999999999</v>
      </c>
      <c r="Q18" s="54">
        <v>6.54</v>
      </c>
      <c r="R18" s="43"/>
      <c r="S18" s="43"/>
      <c r="T18" s="43"/>
      <c r="U18" s="43"/>
    </row>
    <row r="19" spans="1:21" s="11" customFormat="1" ht="15">
      <c r="A19" s="53" t="s">
        <v>696</v>
      </c>
      <c r="B19" s="54">
        <v>26.58</v>
      </c>
      <c r="C19" s="54">
        <v>103.89</v>
      </c>
      <c r="D19" s="54">
        <v>79.290000000000006</v>
      </c>
      <c r="E19" s="54">
        <v>2.39</v>
      </c>
      <c r="F19" s="54">
        <v>3.75</v>
      </c>
      <c r="G19" s="54">
        <v>89.93</v>
      </c>
      <c r="H19" s="54">
        <v>46</v>
      </c>
      <c r="I19" s="54">
        <v>1.57</v>
      </c>
      <c r="J19" s="54">
        <v>1.30</v>
      </c>
      <c r="K19" s="54">
        <v>345.47</v>
      </c>
      <c r="L19" s="54">
        <v>23.30</v>
      </c>
      <c r="M19" s="54">
        <v>57.11</v>
      </c>
      <c r="N19" s="54">
        <v>293</v>
      </c>
      <c r="O19" s="54">
        <v>0</v>
      </c>
      <c r="P19" s="54">
        <v>1.45</v>
      </c>
      <c r="Q19" s="54">
        <v>7.05</v>
      </c>
      <c r="R19" s="43"/>
      <c r="S19" s="43"/>
      <c r="T19" s="43"/>
      <c r="U19" s="43"/>
    </row>
    <row r="20" spans="1:21" s="11" customFormat="1" ht="15">
      <c r="A20" s="53" t="s">
        <v>697</v>
      </c>
      <c r="B20" s="54">
        <v>20.059999999999999</v>
      </c>
      <c r="C20" s="54">
        <v>114.17</v>
      </c>
      <c r="D20" s="54">
        <v>79.05</v>
      </c>
      <c r="E20" s="54">
        <v>2.42</v>
      </c>
      <c r="F20" s="54">
        <v>3.60</v>
      </c>
      <c r="G20" s="54">
        <v>111.86</v>
      </c>
      <c r="H20" s="54">
        <v>49.38</v>
      </c>
      <c r="I20" s="54">
        <v>1.56</v>
      </c>
      <c r="J20" s="54">
        <v>1.17</v>
      </c>
      <c r="K20" s="54">
        <v>343.87</v>
      </c>
      <c r="L20" s="54">
        <v>23.29</v>
      </c>
      <c r="M20" s="54">
        <v>56.20</v>
      </c>
      <c r="N20" s="54">
        <v>275.70</v>
      </c>
      <c r="O20" s="54">
        <v>0</v>
      </c>
      <c r="P20" s="54">
        <v>1.60</v>
      </c>
      <c r="Q20" s="54">
        <v>7.32</v>
      </c>
      <c r="R20" s="43"/>
      <c r="S20" s="43"/>
      <c r="T20" s="43"/>
      <c r="U20" s="43"/>
    </row>
    <row r="21" spans="1:21" s="11" customFormat="1" ht="15">
      <c r="A21" s="53" t="s">
        <v>698</v>
      </c>
      <c r="B21" s="54">
        <v>13.72</v>
      </c>
      <c r="C21" s="54">
        <v>90.09</v>
      </c>
      <c r="D21" s="54">
        <v>61.37</v>
      </c>
      <c r="E21" s="54">
        <v>2.34</v>
      </c>
      <c r="F21" s="54">
        <v>3.62</v>
      </c>
      <c r="G21" s="54">
        <v>135.24</v>
      </c>
      <c r="H21" s="54">
        <v>62.60</v>
      </c>
      <c r="I21" s="54">
        <v>1.54</v>
      </c>
      <c r="J21" s="54">
        <v>0.87</v>
      </c>
      <c r="K21" s="54">
        <v>116.35</v>
      </c>
      <c r="L21" s="54">
        <v>21.91</v>
      </c>
      <c r="M21" s="54">
        <v>61.78</v>
      </c>
      <c r="N21" s="54">
        <v>275.60000000000002</v>
      </c>
      <c r="O21" s="54">
        <v>0</v>
      </c>
      <c r="P21" s="54">
        <v>1.63</v>
      </c>
      <c r="Q21" s="54">
        <v>7.33</v>
      </c>
      <c r="R21" s="43"/>
      <c r="S21" s="43"/>
      <c r="T21" s="43"/>
      <c r="U21" s="43"/>
    </row>
    <row r="22" spans="1:21" s="11" customFormat="1" ht="15">
      <c r="A22" s="53" t="s">
        <v>699</v>
      </c>
      <c r="B22" s="54">
        <v>7.30</v>
      </c>
      <c r="C22" s="54">
        <v>71.22</v>
      </c>
      <c r="D22" s="54">
        <v>45.81</v>
      </c>
      <c r="E22" s="54">
        <v>2.4500000000000002</v>
      </c>
      <c r="F22" s="54">
        <v>7.11</v>
      </c>
      <c r="G22" s="54">
        <v>121.65</v>
      </c>
      <c r="H22" s="54">
        <v>56.34</v>
      </c>
      <c r="I22" s="54">
        <v>1.5</v>
      </c>
      <c r="J22" s="54">
        <v>1.24</v>
      </c>
      <c r="K22" s="54">
        <v>118.53</v>
      </c>
      <c r="L22" s="54">
        <v>23.20</v>
      </c>
      <c r="M22" s="54">
        <v>56.02</v>
      </c>
      <c r="N22" s="54">
        <v>401.40</v>
      </c>
      <c r="O22" s="54">
        <v>0</v>
      </c>
      <c r="P22" s="54">
        <v>1.47</v>
      </c>
      <c r="Q22" s="54">
        <v>6.89</v>
      </c>
      <c r="R22" s="43"/>
      <c r="S22" s="43"/>
      <c r="T22" s="43"/>
      <c r="U22" s="43"/>
    </row>
    <row r="23" spans="1:21" s="11" customFormat="1" ht="15">
      <c r="A23" s="53" t="s">
        <v>700</v>
      </c>
      <c r="B23" s="54">
        <v>4.4000000000000004</v>
      </c>
      <c r="C23" s="54">
        <v>50.18</v>
      </c>
      <c r="D23" s="54">
        <v>31.87</v>
      </c>
      <c r="E23" s="54">
        <v>2.37</v>
      </c>
      <c r="F23" s="54">
        <v>7.47</v>
      </c>
      <c r="G23" s="54">
        <v>100.64</v>
      </c>
      <c r="H23" s="54">
        <v>52.43</v>
      </c>
      <c r="I23" s="54">
        <v>1.56</v>
      </c>
      <c r="J23" s="54">
        <v>0.83</v>
      </c>
      <c r="K23" s="54">
        <v>109.81</v>
      </c>
      <c r="L23" s="54">
        <v>22.61</v>
      </c>
      <c r="M23" s="54">
        <v>49.71</v>
      </c>
      <c r="N23" s="54">
        <v>206.10</v>
      </c>
      <c r="O23" s="54">
        <v>0</v>
      </c>
      <c r="P23" s="54">
        <v>1.17</v>
      </c>
      <c r="Q23" s="54">
        <v>6.26</v>
      </c>
      <c r="R23" s="43"/>
      <c r="S23" s="43"/>
      <c r="T23" s="43"/>
      <c r="U23" s="43"/>
    </row>
    <row r="24" spans="1:21" s="11" customFormat="1" ht="15">
      <c r="A24" s="53" t="s">
        <v>701</v>
      </c>
      <c r="B24" s="54">
        <v>19.100000000000001</v>
      </c>
      <c r="C24" s="54">
        <v>98.82</v>
      </c>
      <c r="D24" s="54">
        <v>70.5</v>
      </c>
      <c r="E24" s="54">
        <v>2.29</v>
      </c>
      <c r="F24" s="54">
        <v>9.1300000000000008</v>
      </c>
      <c r="G24" s="54">
        <v>84.56</v>
      </c>
      <c r="H24" s="54">
        <v>46.40</v>
      </c>
      <c r="I24" s="54">
        <v>1.53</v>
      </c>
      <c r="J24" s="54">
        <v>0.64</v>
      </c>
      <c r="K24" s="54">
        <v>359.99</v>
      </c>
      <c r="L24" s="54">
        <v>22.30</v>
      </c>
      <c r="M24" s="54">
        <v>48.82</v>
      </c>
      <c r="N24" s="54">
        <v>115.10</v>
      </c>
      <c r="O24" s="54">
        <v>0</v>
      </c>
      <c r="P24" s="54">
        <v>1.1100000000000001</v>
      </c>
      <c r="Q24" s="54">
        <v>6.10</v>
      </c>
      <c r="R24" s="43"/>
      <c r="S24" s="43"/>
      <c r="T24" s="43"/>
      <c r="U24" s="43"/>
    </row>
    <row r="25" spans="1:21" s="11" customFormat="1" ht="15">
      <c r="A25" s="53" t="s">
        <v>702</v>
      </c>
      <c r="B25" s="54">
        <v>8.08</v>
      </c>
      <c r="C25" s="54">
        <v>67.41</v>
      </c>
      <c r="D25" s="54">
        <v>44.33</v>
      </c>
      <c r="E25" s="54">
        <v>2.19</v>
      </c>
      <c r="F25" s="54">
        <v>4.33</v>
      </c>
      <c r="G25" s="54">
        <v>78</v>
      </c>
      <c r="H25" s="54">
        <v>45.13</v>
      </c>
      <c r="I25" s="54">
        <v>1.57</v>
      </c>
      <c r="J25" s="54">
        <v>0.59</v>
      </c>
      <c r="K25" s="54">
        <v>327.45</v>
      </c>
      <c r="L25" s="54">
        <v>22.15</v>
      </c>
      <c r="M25" s="54">
        <v>53.02</v>
      </c>
      <c r="N25" s="54">
        <v>115.40</v>
      </c>
      <c r="O25" s="54">
        <v>0</v>
      </c>
      <c r="P25" s="54">
        <v>1.1399999999999999</v>
      </c>
      <c r="Q25" s="54">
        <v>6.28</v>
      </c>
      <c r="R25" s="43"/>
      <c r="S25" s="43"/>
      <c r="T25" s="43"/>
      <c r="U25" s="43"/>
    </row>
    <row r="26" spans="1:21" s="11" customFormat="1" ht="15">
      <c r="A26" s="53" t="s">
        <v>703</v>
      </c>
      <c r="B26" s="54">
        <v>40.75</v>
      </c>
      <c r="C26" s="54">
        <v>122.09</v>
      </c>
      <c r="D26" s="54">
        <v>100.34</v>
      </c>
      <c r="E26" s="54">
        <v>2.2000000000000002</v>
      </c>
      <c r="F26" s="54">
        <v>3.63</v>
      </c>
      <c r="G26" s="54">
        <v>68.03</v>
      </c>
      <c r="H26" s="54">
        <v>44.10</v>
      </c>
      <c r="I26" s="54">
        <v>1.56</v>
      </c>
      <c r="J26" s="54">
        <v>0.35</v>
      </c>
      <c r="K26" s="54">
        <v>341.74</v>
      </c>
      <c r="L26" s="54">
        <v>20.72</v>
      </c>
      <c r="M26" s="54">
        <v>68.37</v>
      </c>
      <c r="N26" s="54">
        <v>35.200000000000003</v>
      </c>
      <c r="O26" s="54">
        <v>0</v>
      </c>
      <c r="P26" s="54">
        <v>1.43</v>
      </c>
      <c r="Q26" s="54">
        <v>6.49</v>
      </c>
      <c r="R26" s="43"/>
      <c r="S26" s="43"/>
      <c r="T26" s="43"/>
      <c r="U26" s="43"/>
    </row>
    <row r="27" spans="1:21" s="11" customFormat="1" ht="15">
      <c r="A27" s="53" t="s">
        <v>704</v>
      </c>
      <c r="B27" s="54">
        <v>32.840000000000003</v>
      </c>
      <c r="C27" s="54">
        <v>111.40</v>
      </c>
      <c r="D27" s="54">
        <v>88.46</v>
      </c>
      <c r="E27" s="54">
        <v>2.17</v>
      </c>
      <c r="F27" s="54">
        <v>3.37</v>
      </c>
      <c r="G27" s="54">
        <v>144.65</v>
      </c>
      <c r="H27" s="54">
        <v>47.25</v>
      </c>
      <c r="I27" s="54">
        <v>1.61</v>
      </c>
      <c r="J27" s="54">
        <v>0.30</v>
      </c>
      <c r="K27" s="54">
        <v>346</v>
      </c>
      <c r="L27" s="54">
        <v>20.52</v>
      </c>
      <c r="M27" s="54">
        <v>58.58</v>
      </c>
      <c r="N27" s="54">
        <v>34.5</v>
      </c>
      <c r="O27" s="54">
        <v>0</v>
      </c>
      <c r="P27" s="54">
        <v>1.5</v>
      </c>
      <c r="Q27" s="54">
        <v>6.82</v>
      </c>
      <c r="R27" s="43"/>
      <c r="S27" s="43"/>
      <c r="T27" s="43"/>
      <c r="U27" s="43"/>
    </row>
    <row r="28" spans="1:21" s="11" customFormat="1" ht="15">
      <c r="A28" s="53" t="s">
        <v>705</v>
      </c>
      <c r="B28" s="54">
        <v>30.76</v>
      </c>
      <c r="C28" s="54">
        <v>108.07</v>
      </c>
      <c r="D28" s="54">
        <v>84.96</v>
      </c>
      <c r="E28" s="54">
        <v>2.16</v>
      </c>
      <c r="F28" s="54">
        <v>3.38</v>
      </c>
      <c r="G28" s="54">
        <v>129.88999999999999</v>
      </c>
      <c r="H28" s="54">
        <v>50.86</v>
      </c>
      <c r="I28" s="54">
        <v>1.52</v>
      </c>
      <c r="J28" s="54">
        <v>0.78</v>
      </c>
      <c r="K28" s="54">
        <v>351.76</v>
      </c>
      <c r="L28" s="54">
        <v>20.04</v>
      </c>
      <c r="M28" s="54">
        <v>60.79</v>
      </c>
      <c r="N28" s="54">
        <v>35.700000000000003</v>
      </c>
      <c r="O28" s="54">
        <v>0</v>
      </c>
      <c r="P28" s="54">
        <v>1.57</v>
      </c>
      <c r="Q28" s="54">
        <v>7.01</v>
      </c>
      <c r="R28" s="43"/>
      <c r="S28" s="43"/>
      <c r="T28" s="43"/>
      <c r="U28" s="43"/>
    </row>
    <row r="29" spans="1:21" s="11" customFormat="1" ht="15">
      <c r="A29" s="53" t="s">
        <v>706</v>
      </c>
      <c r="B29" s="54">
        <v>29.84</v>
      </c>
      <c r="C29" s="54">
        <v>81.27</v>
      </c>
      <c r="D29" s="54">
        <v>65.989999999999995</v>
      </c>
      <c r="E29" s="54">
        <v>2.2799999999999998</v>
      </c>
      <c r="F29" s="54">
        <v>3.41</v>
      </c>
      <c r="G29" s="54">
        <v>129.62</v>
      </c>
      <c r="H29" s="54">
        <v>57.73</v>
      </c>
      <c r="I29" s="54">
        <v>1.55</v>
      </c>
      <c r="J29" s="54">
        <v>0.96</v>
      </c>
      <c r="K29" s="54">
        <v>343.86</v>
      </c>
      <c r="L29" s="54">
        <v>19.739999999999998</v>
      </c>
      <c r="M29" s="54">
        <v>67.180000000000007</v>
      </c>
      <c r="N29" s="54">
        <v>37</v>
      </c>
      <c r="O29" s="54">
        <v>0</v>
      </c>
      <c r="P29" s="54">
        <v>1.76</v>
      </c>
      <c r="Q29" s="54">
        <v>7.20</v>
      </c>
      <c r="R29" s="43"/>
      <c r="S29" s="43"/>
      <c r="T29" s="43"/>
      <c r="U29" s="43"/>
    </row>
    <row r="30" spans="1:21" s="11" customFormat="1" ht="15">
      <c r="A30" s="53" t="s">
        <v>707</v>
      </c>
      <c r="B30" s="54">
        <v>43.42</v>
      </c>
      <c r="C30" s="54">
        <v>87.70</v>
      </c>
      <c r="D30" s="54">
        <v>83.87</v>
      </c>
      <c r="E30" s="54">
        <v>2.2200000000000002</v>
      </c>
      <c r="F30" s="54">
        <v>3.34</v>
      </c>
      <c r="G30" s="54">
        <v>150.97</v>
      </c>
      <c r="H30" s="54">
        <v>65.010000000000005</v>
      </c>
      <c r="I30" s="54">
        <v>1.53</v>
      </c>
      <c r="J30" s="54">
        <v>0.54</v>
      </c>
      <c r="K30" s="54">
        <v>343.16</v>
      </c>
      <c r="L30" s="54">
        <v>19.36</v>
      </c>
      <c r="M30" s="54">
        <v>66.709999999999994</v>
      </c>
      <c r="N30" s="54">
        <v>38.10</v>
      </c>
      <c r="O30" s="54">
        <v>0</v>
      </c>
      <c r="P30" s="54">
        <v>1.89</v>
      </c>
      <c r="Q30" s="54">
        <v>7.28</v>
      </c>
      <c r="R30" s="43"/>
      <c r="S30" s="43"/>
      <c r="T30" s="43"/>
      <c r="U30" s="43"/>
    </row>
    <row r="31" spans="1:21" s="11" customFormat="1" ht="15">
      <c r="A31" s="53" t="s">
        <v>708</v>
      </c>
      <c r="B31" s="54">
        <v>17.11</v>
      </c>
      <c r="C31" s="54">
        <v>83.21</v>
      </c>
      <c r="D31" s="54">
        <v>59.15</v>
      </c>
      <c r="E31" s="54">
        <v>2.21</v>
      </c>
      <c r="F31" s="54">
        <v>3.37</v>
      </c>
      <c r="G31" s="54">
        <v>132.02000000000001</v>
      </c>
      <c r="H31" s="54">
        <v>66.30</v>
      </c>
      <c r="I31" s="54">
        <v>1.51</v>
      </c>
      <c r="J31" s="54">
        <v>0.39</v>
      </c>
      <c r="K31" s="54">
        <v>332.36</v>
      </c>
      <c r="L31" s="54">
        <v>19.21</v>
      </c>
      <c r="M31" s="54">
        <v>64.81</v>
      </c>
      <c r="N31" s="54">
        <v>39.200000000000003</v>
      </c>
      <c r="O31" s="54">
        <v>0</v>
      </c>
      <c r="P31" s="54">
        <v>1.89</v>
      </c>
      <c r="Q31" s="54">
        <v>7.17</v>
      </c>
      <c r="R31" s="43"/>
      <c r="S31" s="43"/>
      <c r="T31" s="43"/>
      <c r="U31" s="43"/>
    </row>
    <row r="32" spans="1:21" s="11" customFormat="1" ht="15">
      <c r="A32" s="53" t="s">
        <v>709</v>
      </c>
      <c r="B32" s="54">
        <v>10.06</v>
      </c>
      <c r="C32" s="54">
        <v>59.01</v>
      </c>
      <c r="D32" s="54">
        <v>39.76</v>
      </c>
      <c r="E32" s="54">
        <v>2.2799999999999998</v>
      </c>
      <c r="F32" s="54">
        <v>3.41</v>
      </c>
      <c r="G32" s="54">
        <v>111.10</v>
      </c>
      <c r="H32" s="54">
        <v>62.98</v>
      </c>
      <c r="I32" s="54">
        <v>1.61</v>
      </c>
      <c r="J32" s="54">
        <v>0.17</v>
      </c>
      <c r="K32" s="54">
        <v>314.98</v>
      </c>
      <c r="L32" s="54">
        <v>18.489999999999998</v>
      </c>
      <c r="M32" s="54">
        <v>68.430000000000007</v>
      </c>
      <c r="N32" s="54">
        <v>39.799999999999997</v>
      </c>
      <c r="O32" s="54">
        <v>0</v>
      </c>
      <c r="P32" s="54">
        <v>1.74</v>
      </c>
      <c r="Q32" s="54">
        <v>6.90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3.0499999999999998</v>
      </c>
      <c r="C34" s="28">
        <f t="shared" si="0"/>
        <v>34.18</v>
      </c>
      <c r="D34" s="28">
        <f t="shared" si="0"/>
        <v>24.780000000000001</v>
      </c>
      <c r="E34" s="28">
        <f t="shared" si="0"/>
        <v>2.1600000000000001</v>
      </c>
      <c r="F34" s="28">
        <f t="shared" si="0"/>
        <v>3.2999999999999998</v>
      </c>
      <c r="G34" s="28">
        <f t="shared" si="0"/>
        <v>64.450000000000003</v>
      </c>
      <c r="H34" s="28">
        <f t="shared" si="0"/>
        <v>30.93</v>
      </c>
      <c r="I34" s="28">
        <f t="shared" si="0"/>
        <v>1.5</v>
      </c>
      <c r="J34" s="28">
        <f t="shared" si="0"/>
        <v>0.17000000000000001</v>
      </c>
      <c r="K34" s="28">
        <f t="shared" si="0"/>
        <v>109.81</v>
      </c>
      <c r="L34" s="28">
        <f t="shared" si="0"/>
        <v>16.77</v>
      </c>
      <c r="M34" s="28">
        <f t="shared" si="0"/>
        <v>48.82</v>
      </c>
      <c r="N34" s="28">
        <f t="shared" si="0"/>
        <v>32.399999999999999</v>
      </c>
      <c r="O34" s="28">
        <f t="shared" si="0"/>
        <v>0</v>
      </c>
      <c r="P34" s="28">
        <f t="shared" si="0"/>
        <v>0.81999999999999995</v>
      </c>
      <c r="Q34" s="28">
        <f t="shared" si="0"/>
        <v>5.5999999999999996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43.420000000000002</v>
      </c>
      <c r="C35" s="29">
        <f t="shared" si="1"/>
        <v>122.09</v>
      </c>
      <c r="D35" s="29">
        <f t="shared" si="1"/>
        <v>100.34</v>
      </c>
      <c r="E35" s="29">
        <f t="shared" si="1"/>
        <v>2.4500000000000002</v>
      </c>
      <c r="F35" s="29">
        <f t="shared" si="1"/>
        <v>9.1300000000000008</v>
      </c>
      <c r="G35" s="29">
        <f t="shared" si="1"/>
        <v>150.97</v>
      </c>
      <c r="H35" s="29">
        <f t="shared" si="1"/>
        <v>66.299999999999997</v>
      </c>
      <c r="I35" s="29">
        <f t="shared" si="1"/>
        <v>1.6100000000000001</v>
      </c>
      <c r="J35" s="29">
        <f t="shared" si="1"/>
        <v>1.6899999999999999</v>
      </c>
      <c r="K35" s="29">
        <f t="shared" si="1"/>
        <v>359.99000000000001</v>
      </c>
      <c r="L35" s="29">
        <f t="shared" si="1"/>
        <v>23.300000000000001</v>
      </c>
      <c r="M35" s="29">
        <f t="shared" si="1"/>
        <v>81.870000000000005</v>
      </c>
      <c r="N35" s="29">
        <f t="shared" si="1"/>
        <v>401.39999999999998</v>
      </c>
      <c r="O35" s="29">
        <f t="shared" si="1"/>
        <v>0</v>
      </c>
      <c r="P35" s="29">
        <f t="shared" si="1"/>
        <v>1.8899999999999999</v>
      </c>
      <c r="Q35" s="29">
        <f t="shared" si="1"/>
        <v>7.3300000000000001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16.912916666666668</v>
      </c>
      <c r="C36" s="28">
        <f t="shared" si="2"/>
        <v>76.757916666666674</v>
      </c>
      <c r="D36" s="28">
        <f t="shared" si="2"/>
        <v>56.209166666666675</v>
      </c>
      <c r="E36" s="28">
        <f t="shared" si="2"/>
        <v>2.2835714285714288</v>
      </c>
      <c r="F36" s="28">
        <f t="shared" si="2"/>
        <v>4.1737499999999992</v>
      </c>
      <c r="G36" s="28">
        <f t="shared" si="2"/>
        <v>97.657499999999985</v>
      </c>
      <c r="H36" s="28">
        <f t="shared" si="2"/>
        <v>47.843333333333334</v>
      </c>
      <c r="I36" s="28">
        <f t="shared" si="2"/>
        <v>1.5437499999999995</v>
      </c>
      <c r="J36" s="28">
        <f t="shared" si="2"/>
        <v>0.78333333333333355</v>
      </c>
      <c r="K36" s="28">
        <f t="shared" si="2"/>
        <v>258.57833333333332</v>
      </c>
      <c r="L36" s="28">
        <f t="shared" si="2"/>
        <v>20.182916666666667</v>
      </c>
      <c r="M36" s="28">
        <f t="shared" si="2"/>
        <v>64.702916666666667</v>
      </c>
      <c r="N36" s="28">
        <f t="shared" si="2"/>
        <v>123.39999999999998</v>
      </c>
      <c r="O36" s="28">
        <f t="shared" si="2"/>
        <v>0</v>
      </c>
      <c r="P36" s="28">
        <f t="shared" si="2"/>
        <v>1.3150000000000002</v>
      </c>
      <c r="Q36" s="28">
        <f t="shared" si="2"/>
        <v>6.494583333333332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11.640763264668601</v>
      </c>
      <c r="C37" s="28">
        <f t="shared" si="3" ref="C37:Q37">STDEV(C9:C32)</f>
        <v>25.469654233525848</v>
      </c>
      <c r="D37" s="28">
        <f t="shared" si="3"/>
        <v>22.24550817711231</v>
      </c>
      <c r="E37" s="28">
        <f t="shared" si="3"/>
        <v>0.096763561391600778</v>
      </c>
      <c r="F37" s="28">
        <f t="shared" si="3"/>
        <v>1.4973042805975194</v>
      </c>
      <c r="G37" s="28">
        <f t="shared" si="3"/>
        <v>27.946623075147205</v>
      </c>
      <c r="H37" s="28">
        <f t="shared" si="3"/>
        <v>9.9757761675434349</v>
      </c>
      <c r="I37" s="28">
        <f t="shared" si="3"/>
        <v>0.030901315576328265</v>
      </c>
      <c r="J37" s="28">
        <f t="shared" si="3"/>
        <v>0.42984999068599877</v>
      </c>
      <c r="K37" s="28">
        <f t="shared" si="3"/>
        <v>114.06803841745419</v>
      </c>
      <c r="L37" s="28">
        <f t="shared" si="3"/>
        <v>2.0717068769635487</v>
      </c>
      <c r="M37" s="28">
        <f t="shared" si="3"/>
        <v>8.7368776032187103</v>
      </c>
      <c r="N37" s="28">
        <f t="shared" si="3"/>
        <v>116.82092948276605</v>
      </c>
      <c r="O37" s="28">
        <f t="shared" si="3"/>
        <v>0</v>
      </c>
      <c r="P37" s="28">
        <f t="shared" si="3"/>
        <v>0.33796063573195517</v>
      </c>
      <c r="Q37" s="28">
        <f t="shared" si="3"/>
        <v>0.58496361214714698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COUNT(E9:E32)+10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298172-cef8-43a2-8e62-dbe29ba193f0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710</v>
      </c>
      <c r="B9" s="54">
        <v>7.91</v>
      </c>
      <c r="C9" s="54">
        <v>56.06</v>
      </c>
      <c r="D9" s="54">
        <v>37.93</v>
      </c>
      <c r="E9" s="54">
        <v>2.21</v>
      </c>
      <c r="F9" s="54">
        <v>3.34</v>
      </c>
      <c r="G9" s="54">
        <v>90.63</v>
      </c>
      <c r="H9" s="54">
        <v>58.38</v>
      </c>
      <c r="I9" s="54">
        <v>1.54</v>
      </c>
      <c r="J9" s="54">
        <v>0.37</v>
      </c>
      <c r="K9" s="54">
        <v>108.43</v>
      </c>
      <c r="L9" s="54">
        <v>17.940000000000001</v>
      </c>
      <c r="M9" s="54">
        <v>68.14</v>
      </c>
      <c r="N9" s="54">
        <v>40.5</v>
      </c>
      <c r="O9" s="54">
        <v>0</v>
      </c>
      <c r="P9" s="54">
        <v>1.57</v>
      </c>
      <c r="Q9" s="54">
        <v>6.52</v>
      </c>
      <c r="R9" s="43"/>
      <c r="S9" s="43"/>
      <c r="T9" s="43"/>
      <c r="U9" s="43"/>
    </row>
    <row r="10" spans="1:21" s="11" customFormat="1" ht="15">
      <c r="A10" s="53" t="s">
        <v>711</v>
      </c>
      <c r="B10" s="54">
        <v>4.18</v>
      </c>
      <c r="C10" s="54">
        <v>38.51</v>
      </c>
      <c r="D10" s="54">
        <v>25.21</v>
      </c>
      <c r="E10" s="54">
        <v>2.2400000000000002</v>
      </c>
      <c r="F10" s="54">
        <v>3.47</v>
      </c>
      <c r="G10" s="54">
        <v>77.44</v>
      </c>
      <c r="H10" s="54">
        <v>55.07</v>
      </c>
      <c r="I10" s="54">
        <v>1.57</v>
      </c>
      <c r="J10" s="54">
        <v>0.39</v>
      </c>
      <c r="K10" s="54">
        <v>112.61</v>
      </c>
      <c r="L10" s="54">
        <v>17.600000000000001</v>
      </c>
      <c r="M10" s="54">
        <v>70.209999999999994</v>
      </c>
      <c r="N10" s="54">
        <v>41.40</v>
      </c>
      <c r="O10" s="54">
        <v>0</v>
      </c>
      <c r="P10" s="54">
        <v>1.36</v>
      </c>
      <c r="Q10" s="54">
        <v>6.29</v>
      </c>
      <c r="R10" s="43"/>
      <c r="S10" s="43"/>
      <c r="T10" s="43"/>
      <c r="U10" s="43"/>
    </row>
    <row r="11" spans="1:21" s="11" customFormat="1" ht="15">
      <c r="A11" s="53" t="s">
        <v>712</v>
      </c>
      <c r="B11" s="54">
        <v>4.33</v>
      </c>
      <c r="C11" s="54">
        <v>40.5</v>
      </c>
      <c r="D11" s="54">
        <v>26.47</v>
      </c>
      <c r="E11" s="54">
        <v>2.27</v>
      </c>
      <c r="F11" s="54">
        <v>3.44</v>
      </c>
      <c r="G11" s="54">
        <v>75.97</v>
      </c>
      <c r="H11" s="54">
        <v>45.93</v>
      </c>
      <c r="I11" s="54">
        <v>1.65</v>
      </c>
      <c r="J11" s="54">
        <v>0.54</v>
      </c>
      <c r="K11" s="54">
        <v>108.15</v>
      </c>
      <c r="L11" s="54">
        <v>17.18</v>
      </c>
      <c r="M11" s="54">
        <v>73.33</v>
      </c>
      <c r="N11" s="54">
        <v>42</v>
      </c>
      <c r="O11" s="54">
        <v>0</v>
      </c>
      <c r="P11" s="54">
        <v>1.24</v>
      </c>
      <c r="Q11" s="54">
        <v>6.16</v>
      </c>
      <c r="R11" s="43"/>
      <c r="S11" s="43"/>
      <c r="T11" s="43"/>
      <c r="U11" s="43"/>
    </row>
    <row r="12" spans="1:21" s="11" customFormat="1" ht="15">
      <c r="A12" s="53" t="s">
        <v>713</v>
      </c>
      <c r="B12" s="54">
        <v>7.19</v>
      </c>
      <c r="C12" s="54">
        <v>38.46</v>
      </c>
      <c r="D12" s="54">
        <v>27.63</v>
      </c>
      <c r="E12" s="54">
        <v>2.2599999999999998</v>
      </c>
      <c r="F12" s="54">
        <v>3.5</v>
      </c>
      <c r="G12" s="54">
        <v>73.290000000000006</v>
      </c>
      <c r="H12" s="54">
        <v>43.60</v>
      </c>
      <c r="I12" s="54">
        <v>1.54</v>
      </c>
      <c r="J12" s="54">
        <v>0.40</v>
      </c>
      <c r="K12" s="54">
        <v>102.77</v>
      </c>
      <c r="L12" s="54">
        <v>17.20</v>
      </c>
      <c r="M12" s="54">
        <v>76.069999999999993</v>
      </c>
      <c r="N12" s="54">
        <v>43.60</v>
      </c>
      <c r="O12" s="54">
        <v>0</v>
      </c>
      <c r="P12" s="54">
        <v>1.1200000000000001</v>
      </c>
      <c r="Q12" s="54">
        <v>6.13</v>
      </c>
      <c r="R12" s="43"/>
      <c r="S12" s="43"/>
      <c r="T12" s="43"/>
      <c r="U12" s="43"/>
    </row>
    <row r="13" spans="1:21" s="11" customFormat="1" ht="15">
      <c r="A13" s="53" t="s">
        <v>714</v>
      </c>
      <c r="B13" s="54">
        <v>12.19</v>
      </c>
      <c r="C13" s="54">
        <v>50.49</v>
      </c>
      <c r="D13" s="54">
        <v>38.28</v>
      </c>
      <c r="E13" s="54">
        <v>2.34</v>
      </c>
      <c r="F13" s="54">
        <v>3.34</v>
      </c>
      <c r="G13" s="54">
        <v>70.900000000000006</v>
      </c>
      <c r="H13" s="54">
        <v>43.25</v>
      </c>
      <c r="I13" s="54">
        <v>1.53</v>
      </c>
      <c r="J13" s="54">
        <v>0.38</v>
      </c>
      <c r="K13" s="54">
        <v>339.54</v>
      </c>
      <c r="L13" s="54">
        <v>16.86</v>
      </c>
      <c r="M13" s="54">
        <v>78.14</v>
      </c>
      <c r="N13" s="54">
        <v>44.30</v>
      </c>
      <c r="O13" s="54">
        <v>0</v>
      </c>
      <c r="P13" s="54">
        <v>1.03</v>
      </c>
      <c r="Q13" s="54">
        <v>6.01</v>
      </c>
      <c r="R13" s="43"/>
      <c r="S13" s="43"/>
      <c r="T13" s="43"/>
      <c r="U13" s="43"/>
    </row>
    <row r="14" spans="1:21" s="11" customFormat="1" ht="15">
      <c r="A14" s="53" t="s">
        <v>715</v>
      </c>
      <c r="B14" s="54">
        <v>11.62</v>
      </c>
      <c r="C14" s="54">
        <v>48.04</v>
      </c>
      <c r="D14" s="54">
        <v>35.79</v>
      </c>
      <c r="E14" s="54">
        <v>2.35</v>
      </c>
      <c r="F14" s="54">
        <v>3.25</v>
      </c>
      <c r="G14" s="54">
        <v>71.69</v>
      </c>
      <c r="H14" s="54">
        <v>43.70</v>
      </c>
      <c r="I14" s="54">
        <v>1.54</v>
      </c>
      <c r="J14" s="54">
        <v>0.39</v>
      </c>
      <c r="K14" s="54">
        <v>100.06</v>
      </c>
      <c r="L14" s="54">
        <v>16.45</v>
      </c>
      <c r="M14" s="54">
        <v>79.150000000000006</v>
      </c>
      <c r="N14" s="54">
        <v>49.40</v>
      </c>
      <c r="O14" s="54">
        <v>0</v>
      </c>
      <c r="P14" s="54">
        <v>0.97</v>
      </c>
      <c r="Q14" s="54">
        <v>6.02</v>
      </c>
      <c r="R14" s="43"/>
      <c r="S14" s="43"/>
      <c r="T14" s="43"/>
      <c r="U14" s="43"/>
    </row>
    <row r="15" spans="1:21" s="11" customFormat="1" ht="15">
      <c r="A15" s="53" t="s">
        <v>716</v>
      </c>
      <c r="B15" s="54">
        <v>21.93</v>
      </c>
      <c r="C15" s="54">
        <v>60.52</v>
      </c>
      <c r="D15" s="54">
        <v>51.63</v>
      </c>
      <c r="E15" s="54">
        <v>2.29</v>
      </c>
      <c r="F15" s="54">
        <v>3.48</v>
      </c>
      <c r="G15" s="54">
        <v>66.47</v>
      </c>
      <c r="H15" s="54">
        <v>45.39</v>
      </c>
      <c r="I15" s="54">
        <v>1.48</v>
      </c>
      <c r="J15" s="54">
        <v>0.57999999999999996</v>
      </c>
      <c r="K15" s="54">
        <v>347.81</v>
      </c>
      <c r="L15" s="54">
        <v>16.690000000000001</v>
      </c>
      <c r="M15" s="54">
        <v>81.28</v>
      </c>
      <c r="N15" s="54">
        <v>115</v>
      </c>
      <c r="O15" s="54">
        <v>0</v>
      </c>
      <c r="P15" s="54">
        <v>0.95</v>
      </c>
      <c r="Q15" s="54">
        <v>6.11</v>
      </c>
      <c r="R15" s="43"/>
      <c r="S15" s="43"/>
      <c r="T15" s="43"/>
      <c r="U15" s="43"/>
    </row>
    <row r="16" spans="1:21" s="11" customFormat="1" ht="15">
      <c r="A16" s="53" t="s">
        <v>717</v>
      </c>
      <c r="B16" s="54">
        <v>22.39</v>
      </c>
      <c r="C16" s="54">
        <v>77.290000000000006</v>
      </c>
      <c r="D16" s="54">
        <v>61.26</v>
      </c>
      <c r="E16" s="54">
        <v>2.3199999999999998</v>
      </c>
      <c r="F16" s="54">
        <v>3.20</v>
      </c>
      <c r="G16" s="54">
        <v>75.400000000000006</v>
      </c>
      <c r="H16" s="54">
        <v>40.049999999999997</v>
      </c>
      <c r="I16" s="54">
        <v>1.61</v>
      </c>
      <c r="J16" s="54">
        <v>0.63</v>
      </c>
      <c r="K16" s="54">
        <v>345.86</v>
      </c>
      <c r="L16" s="54">
        <v>20.13</v>
      </c>
      <c r="M16" s="54">
        <v>75.319999999999993</v>
      </c>
      <c r="N16" s="54">
        <v>300.30</v>
      </c>
      <c r="O16" s="54">
        <v>0</v>
      </c>
      <c r="P16" s="54">
        <v>1.1100000000000001</v>
      </c>
      <c r="Q16" s="54">
        <v>6.49</v>
      </c>
      <c r="R16" s="43"/>
      <c r="S16" s="43"/>
      <c r="T16" s="43"/>
      <c r="U16" s="43"/>
    </row>
    <row r="17" spans="1:21" s="11" customFormat="1" ht="15">
      <c r="A17" s="53" t="s">
        <v>718</v>
      </c>
      <c r="B17" s="54">
        <v>20.62</v>
      </c>
      <c r="C17" s="54">
        <v>84.66</v>
      </c>
      <c r="D17" s="54">
        <v>60.5</v>
      </c>
      <c r="E17" s="54">
        <v>2.34</v>
      </c>
      <c r="F17" s="54">
        <v>3.24</v>
      </c>
      <c r="G17" s="54">
        <v>120.18</v>
      </c>
      <c r="H17" s="54">
        <v>40.76</v>
      </c>
      <c r="I17" s="54">
        <v>1.55</v>
      </c>
      <c r="J17" s="54">
        <v>0.97</v>
      </c>
      <c r="K17" s="54">
        <v>341.56</v>
      </c>
      <c r="L17" s="54">
        <v>22.89</v>
      </c>
      <c r="M17" s="54">
        <v>56.64</v>
      </c>
      <c r="N17" s="54">
        <v>368</v>
      </c>
      <c r="O17" s="54">
        <v>0</v>
      </c>
      <c r="P17" s="54">
        <v>1.1399999999999999</v>
      </c>
      <c r="Q17" s="54">
        <v>6.68</v>
      </c>
      <c r="R17" s="43"/>
      <c r="S17" s="43"/>
      <c r="T17" s="43"/>
      <c r="U17" s="43"/>
    </row>
    <row r="18" spans="1:21" s="11" customFormat="1" ht="15">
      <c r="A18" s="53" t="s">
        <v>719</v>
      </c>
      <c r="B18" s="54">
        <v>14.71</v>
      </c>
      <c r="C18" s="54">
        <v>83.64</v>
      </c>
      <c r="D18" s="54">
        <v>58.61</v>
      </c>
      <c r="E18" s="54">
        <v>2.35</v>
      </c>
      <c r="F18" s="54">
        <v>3.48</v>
      </c>
      <c r="G18" s="54">
        <v>104.22</v>
      </c>
      <c r="H18" s="54">
        <v>49.42</v>
      </c>
      <c r="I18" s="54">
        <v>1.51</v>
      </c>
      <c r="J18" s="54">
        <v>1.1000000000000001</v>
      </c>
      <c r="K18" s="54">
        <v>347.78</v>
      </c>
      <c r="L18" s="54">
        <v>23.11</v>
      </c>
      <c r="M18" s="54">
        <v>52.75</v>
      </c>
      <c r="N18" s="54">
        <v>378.70</v>
      </c>
      <c r="O18" s="54">
        <v>0</v>
      </c>
      <c r="P18" s="54">
        <v>1.17</v>
      </c>
      <c r="Q18" s="54">
        <v>6.73</v>
      </c>
      <c r="R18" s="43"/>
      <c r="S18" s="43"/>
      <c r="T18" s="43"/>
      <c r="U18" s="43"/>
    </row>
    <row r="19" spans="1:21" s="11" customFormat="1" ht="15">
      <c r="A19" s="53" t="s">
        <v>720</v>
      </c>
      <c r="B19" s="54">
        <v>13.23</v>
      </c>
      <c r="C19" s="54">
        <v>82.80</v>
      </c>
      <c r="D19" s="54">
        <v>56.95</v>
      </c>
      <c r="E19" s="54">
        <v>2.36</v>
      </c>
      <c r="F19" s="54">
        <v>3.37</v>
      </c>
      <c r="G19" s="54">
        <v>95.45</v>
      </c>
      <c r="H19" s="54">
        <v>67.86</v>
      </c>
      <c r="I19" s="54">
        <v>1.54</v>
      </c>
      <c r="J19" s="54">
        <v>1.0900000000000001</v>
      </c>
      <c r="K19" s="54">
        <v>347.21</v>
      </c>
      <c r="L19" s="54">
        <v>23.77</v>
      </c>
      <c r="M19" s="54">
        <v>50.56</v>
      </c>
      <c r="N19" s="54">
        <v>369.5</v>
      </c>
      <c r="O19" s="54">
        <v>0</v>
      </c>
      <c r="P19" s="54">
        <v>1.23</v>
      </c>
      <c r="Q19" s="54">
        <v>6.80</v>
      </c>
      <c r="R19" s="43"/>
      <c r="S19" s="43"/>
      <c r="T19" s="43"/>
      <c r="U19" s="43"/>
    </row>
    <row r="20" spans="1:21" s="11" customFormat="1" ht="15">
      <c r="A20" s="53" t="s">
        <v>721</v>
      </c>
      <c r="B20" s="54">
        <v>15.61</v>
      </c>
      <c r="C20" s="54">
        <v>98.52</v>
      </c>
      <c r="D20" s="54">
        <v>67.540000000000006</v>
      </c>
      <c r="E20" s="54">
        <v>2.3199999999999998</v>
      </c>
      <c r="F20" s="54">
        <v>3.62</v>
      </c>
      <c r="G20" s="54">
        <v>90.42</v>
      </c>
      <c r="H20" s="54">
        <v>58.11</v>
      </c>
      <c r="I20" s="54">
        <v>1.55</v>
      </c>
      <c r="J20" s="54">
        <v>1.77</v>
      </c>
      <c r="K20" s="54">
        <v>344.06</v>
      </c>
      <c r="L20" s="54">
        <v>24.15</v>
      </c>
      <c r="M20" s="54">
        <v>48.56</v>
      </c>
      <c r="N20" s="54">
        <v>307.39999999999998</v>
      </c>
      <c r="O20" s="54">
        <v>0</v>
      </c>
      <c r="P20" s="54">
        <v>1.27</v>
      </c>
      <c r="Q20" s="54">
        <v>6.66</v>
      </c>
      <c r="R20" s="43"/>
      <c r="S20" s="43"/>
      <c r="T20" s="43"/>
      <c r="U20" s="43"/>
    </row>
    <row r="21" spans="1:21" s="11" customFormat="1" ht="15">
      <c r="A21" s="53" t="s">
        <v>722</v>
      </c>
      <c r="B21" s="54">
        <v>12.77</v>
      </c>
      <c r="C21" s="54">
        <v>80.58</v>
      </c>
      <c r="D21" s="54">
        <v>55.35</v>
      </c>
      <c r="E21" s="54">
        <v>2.2799999999999998</v>
      </c>
      <c r="F21" s="54">
        <v>3.91</v>
      </c>
      <c r="G21" s="54">
        <v>96.21</v>
      </c>
      <c r="H21" s="54">
        <v>55.40</v>
      </c>
      <c r="I21" s="54">
        <v>1.54</v>
      </c>
      <c r="J21" s="54">
        <v>2.46</v>
      </c>
      <c r="K21" s="54">
        <v>345.11</v>
      </c>
      <c r="L21" s="54">
        <v>23.40</v>
      </c>
      <c r="M21" s="54">
        <v>55.23</v>
      </c>
      <c r="N21" s="54">
        <v>224.60</v>
      </c>
      <c r="O21" s="54">
        <v>0</v>
      </c>
      <c r="P21" s="54">
        <v>1.29</v>
      </c>
      <c r="Q21" s="54">
        <v>6.68</v>
      </c>
      <c r="R21" s="43"/>
      <c r="S21" s="43"/>
      <c r="T21" s="43"/>
      <c r="U21" s="43"/>
    </row>
    <row r="22" spans="1:21" s="11" customFormat="1" ht="15">
      <c r="A22" s="53" t="s">
        <v>723</v>
      </c>
      <c r="B22" s="54">
        <v>9.68</v>
      </c>
      <c r="C22" s="54">
        <v>68.37</v>
      </c>
      <c r="D22" s="54">
        <v>46.14</v>
      </c>
      <c r="E22" s="54">
        <v>3.54</v>
      </c>
      <c r="F22" s="54">
        <v>4.62</v>
      </c>
      <c r="G22" s="54">
        <v>112.87</v>
      </c>
      <c r="H22" s="54">
        <v>59.65</v>
      </c>
      <c r="I22" s="54">
        <v>1.57</v>
      </c>
      <c r="J22" s="54">
        <v>2.86</v>
      </c>
      <c r="K22" s="54">
        <v>343.31</v>
      </c>
      <c r="L22" s="54">
        <v>21.25</v>
      </c>
      <c r="M22" s="54">
        <v>59.88</v>
      </c>
      <c r="N22" s="54">
        <v>180.5</v>
      </c>
      <c r="O22" s="54">
        <v>0</v>
      </c>
      <c r="P22" s="54">
        <v>1.25</v>
      </c>
      <c r="Q22" s="54">
        <v>6.53</v>
      </c>
      <c r="R22" s="43"/>
      <c r="S22" s="43"/>
      <c r="T22" s="43"/>
      <c r="U22" s="43"/>
    </row>
    <row r="23" spans="1:21" s="11" customFormat="1" ht="15">
      <c r="A23" s="53" t="s">
        <v>724</v>
      </c>
      <c r="B23" s="54">
        <v>13.82</v>
      </c>
      <c r="C23" s="54">
        <v>57.98</v>
      </c>
      <c r="D23" s="54">
        <v>42.56</v>
      </c>
      <c r="E23" s="54">
        <v>2.25</v>
      </c>
      <c r="F23" s="54">
        <v>4.51</v>
      </c>
      <c r="G23" s="54">
        <v>116.77</v>
      </c>
      <c r="H23" s="54">
        <v>62.84</v>
      </c>
      <c r="I23" s="54">
        <v>1.55</v>
      </c>
      <c r="J23" s="54">
        <v>2.2599999999999998</v>
      </c>
      <c r="K23" s="54">
        <v>342.63</v>
      </c>
      <c r="L23" s="54">
        <v>19.809999999999999</v>
      </c>
      <c r="M23" s="54">
        <v>81.88</v>
      </c>
      <c r="N23" s="54">
        <v>96.10</v>
      </c>
      <c r="O23" s="54">
        <v>0</v>
      </c>
      <c r="P23" s="54">
        <v>1.23</v>
      </c>
      <c r="Q23" s="54">
        <v>6.32</v>
      </c>
      <c r="R23" s="43"/>
      <c r="S23" s="43"/>
      <c r="T23" s="43"/>
      <c r="U23" s="43"/>
    </row>
    <row r="24" spans="1:21" s="11" customFormat="1" ht="15">
      <c r="A24" s="53" t="s">
        <v>725</v>
      </c>
      <c r="B24" s="54">
        <v>32.44</v>
      </c>
      <c r="C24" s="54">
        <v>62.39</v>
      </c>
      <c r="D24" s="54">
        <v>61.09</v>
      </c>
      <c r="E24" s="54">
        <v>2.2599999999999998</v>
      </c>
      <c r="F24" s="54">
        <v>3.61</v>
      </c>
      <c r="G24" s="54">
        <v>98.28</v>
      </c>
      <c r="H24" s="54">
        <v>52.59</v>
      </c>
      <c r="I24" s="54">
        <v>1.55</v>
      </c>
      <c r="J24" s="54">
        <v>1.74</v>
      </c>
      <c r="K24" s="54">
        <v>342.95</v>
      </c>
      <c r="L24" s="54">
        <v>17.93</v>
      </c>
      <c r="M24" s="54">
        <v>98.94</v>
      </c>
      <c r="N24" s="54">
        <v>64.5</v>
      </c>
      <c r="O24" s="54">
        <v>0.40</v>
      </c>
      <c r="P24" s="54">
        <v>1.1200000000000001</v>
      </c>
      <c r="Q24" s="54">
        <v>6.63</v>
      </c>
      <c r="R24" s="43"/>
      <c r="S24" s="43"/>
      <c r="T24" s="43"/>
      <c r="U24" s="43"/>
    </row>
    <row r="25" spans="1:21" s="11" customFormat="1" ht="15">
      <c r="A25" s="53" t="s">
        <v>726</v>
      </c>
      <c r="B25" s="54">
        <v>57.67</v>
      </c>
      <c r="C25" s="54">
        <v>64.39</v>
      </c>
      <c r="D25" s="54">
        <v>82.42</v>
      </c>
      <c r="E25" s="54">
        <v>2.2999999999999998</v>
      </c>
      <c r="F25" s="54">
        <v>3.26</v>
      </c>
      <c r="G25" s="54">
        <v>69.80</v>
      </c>
      <c r="H25" s="54">
        <v>40.19</v>
      </c>
      <c r="I25" s="54">
        <v>1.52</v>
      </c>
      <c r="J25" s="54">
        <v>0.92</v>
      </c>
      <c r="K25" s="54">
        <v>338.46</v>
      </c>
      <c r="L25" s="54">
        <v>16.47</v>
      </c>
      <c r="M25" s="54">
        <v>98.98</v>
      </c>
      <c r="N25" s="54">
        <v>57.30</v>
      </c>
      <c r="O25" s="54">
        <v>0.20</v>
      </c>
      <c r="P25" s="54">
        <v>1.07</v>
      </c>
      <c r="Q25" s="54">
        <v>7.01</v>
      </c>
      <c r="R25" s="43"/>
      <c r="S25" s="43"/>
      <c r="T25" s="43"/>
      <c r="U25" s="43"/>
    </row>
    <row r="26" spans="1:21" s="11" customFormat="1" ht="15">
      <c r="A26" s="53" t="s">
        <v>727</v>
      </c>
      <c r="B26" s="54">
        <v>30.16</v>
      </c>
      <c r="C26" s="54">
        <v>52.94</v>
      </c>
      <c r="D26" s="54">
        <v>54.05</v>
      </c>
      <c r="E26" s="54">
        <v>2.34</v>
      </c>
      <c r="F26" s="54">
        <v>3.43</v>
      </c>
      <c r="G26" s="54">
        <v>51.18</v>
      </c>
      <c r="H26" s="54">
        <v>51.95</v>
      </c>
      <c r="I26" s="54">
        <v>1.53</v>
      </c>
      <c r="J26" s="54">
        <v>1.01</v>
      </c>
      <c r="K26" s="54">
        <v>116.83</v>
      </c>
      <c r="L26" s="54">
        <v>16.05</v>
      </c>
      <c r="M26" s="54">
        <v>98.98</v>
      </c>
      <c r="N26" s="54">
        <v>39.799999999999997</v>
      </c>
      <c r="O26" s="54">
        <v>0</v>
      </c>
      <c r="P26" s="54">
        <v>1.06</v>
      </c>
      <c r="Q26" s="54">
        <v>7.30</v>
      </c>
      <c r="R26" s="43"/>
      <c r="S26" s="43"/>
      <c r="T26" s="43"/>
      <c r="U26" s="43"/>
    </row>
    <row r="27" spans="1:21" s="11" customFormat="1" ht="15">
      <c r="A27" s="53" t="s">
        <v>728</v>
      </c>
      <c r="B27" s="54">
        <v>18.079999999999998</v>
      </c>
      <c r="C27" s="54">
        <v>43.86</v>
      </c>
      <c r="D27" s="54">
        <v>39.03</v>
      </c>
      <c r="E27" s="54">
        <v>2.35</v>
      </c>
      <c r="F27" s="54">
        <v>3.30</v>
      </c>
      <c r="G27" s="54">
        <v>40.72</v>
      </c>
      <c r="H27" s="54">
        <v>35.56</v>
      </c>
      <c r="I27" s="54">
        <v>1.53</v>
      </c>
      <c r="J27" s="54">
        <v>1.5</v>
      </c>
      <c r="K27" s="54">
        <v>111.10</v>
      </c>
      <c r="L27" s="54">
        <v>16.25</v>
      </c>
      <c r="M27" s="54">
        <v>98.98</v>
      </c>
      <c r="N27" s="54">
        <v>39.799999999999997</v>
      </c>
      <c r="O27" s="54">
        <v>0.20</v>
      </c>
      <c r="P27" s="54">
        <v>1</v>
      </c>
      <c r="Q27" s="54">
        <v>7.16</v>
      </c>
      <c r="R27" s="43"/>
      <c r="S27" s="43"/>
      <c r="T27" s="43"/>
      <c r="U27" s="43"/>
    </row>
    <row r="28" spans="1:21" s="11" customFormat="1" ht="15">
      <c r="A28" s="53" t="s">
        <v>729</v>
      </c>
      <c r="B28" s="54">
        <v>48.05</v>
      </c>
      <c r="C28" s="54">
        <v>57.90</v>
      </c>
      <c r="D28" s="54">
        <v>71.14</v>
      </c>
      <c r="E28" s="54">
        <v>2.3199999999999998</v>
      </c>
      <c r="F28" s="54">
        <v>3.38</v>
      </c>
      <c r="G28" s="54">
        <v>34.950000000000003</v>
      </c>
      <c r="H28" s="54">
        <v>25.67</v>
      </c>
      <c r="I28" s="54">
        <v>1.56</v>
      </c>
      <c r="J28" s="54">
        <v>0.39</v>
      </c>
      <c r="K28" s="54">
        <v>344.01</v>
      </c>
      <c r="L28" s="54">
        <v>16.32</v>
      </c>
      <c r="M28" s="54">
        <v>98.74</v>
      </c>
      <c r="N28" s="54">
        <v>40.200000000000003</v>
      </c>
      <c r="O28" s="54">
        <v>0.20</v>
      </c>
      <c r="P28" s="54">
        <v>1.04</v>
      </c>
      <c r="Q28" s="54">
        <v>7.16</v>
      </c>
      <c r="R28" s="43"/>
      <c r="S28" s="43"/>
      <c r="T28" s="43"/>
      <c r="U28" s="43"/>
    </row>
    <row r="29" spans="1:21" s="11" customFormat="1" ht="15">
      <c r="A29" s="53" t="s">
        <v>730</v>
      </c>
      <c r="B29" s="54">
        <v>60.63</v>
      </c>
      <c r="C29" s="54">
        <v>58.69</v>
      </c>
      <c r="D29" s="54">
        <v>81.66</v>
      </c>
      <c r="E29" s="54">
        <v>2.2799999999999998</v>
      </c>
      <c r="F29" s="54">
        <v>3.24</v>
      </c>
      <c r="G29" s="54">
        <v>30.63</v>
      </c>
      <c r="H29" s="54">
        <v>23.59</v>
      </c>
      <c r="I29" s="54">
        <v>1.51</v>
      </c>
      <c r="J29" s="54">
        <v>0.10</v>
      </c>
      <c r="K29" s="54">
        <v>347.43</v>
      </c>
      <c r="L29" s="54">
        <v>16.23</v>
      </c>
      <c r="M29" s="54">
        <v>97.98</v>
      </c>
      <c r="N29" s="54">
        <v>40.10</v>
      </c>
      <c r="O29" s="54">
        <v>0</v>
      </c>
      <c r="P29" s="54">
        <v>1.25</v>
      </c>
      <c r="Q29" s="54">
        <v>7.90</v>
      </c>
      <c r="R29" s="43"/>
      <c r="S29" s="43"/>
      <c r="T29" s="43"/>
      <c r="U29" s="43"/>
    </row>
    <row r="30" spans="1:21" s="11" customFormat="1" ht="15">
      <c r="A30" s="53" t="s">
        <v>731</v>
      </c>
      <c r="B30" s="54">
        <v>82.88</v>
      </c>
      <c r="C30" s="54">
        <v>56.97</v>
      </c>
      <c r="D30" s="54">
        <v>96.17</v>
      </c>
      <c r="E30" s="54">
        <v>2.34</v>
      </c>
      <c r="F30" s="54">
        <v>3.46</v>
      </c>
      <c r="G30" s="54">
        <v>33.729999999999997</v>
      </c>
      <c r="H30" s="54">
        <v>25.54</v>
      </c>
      <c r="I30" s="54">
        <v>1.47</v>
      </c>
      <c r="J30" s="54">
        <v>0.15</v>
      </c>
      <c r="K30" s="54">
        <v>348.51</v>
      </c>
      <c r="L30" s="54">
        <v>15.84</v>
      </c>
      <c r="M30" s="54">
        <v>98.05</v>
      </c>
      <c r="N30" s="54">
        <v>40.10</v>
      </c>
      <c r="O30" s="54">
        <v>0</v>
      </c>
      <c r="P30" s="54">
        <v>1.39</v>
      </c>
      <c r="Q30" s="54">
        <v>8.56</v>
      </c>
      <c r="R30" s="43"/>
      <c r="S30" s="43"/>
      <c r="T30" s="43"/>
      <c r="U30" s="43"/>
    </row>
    <row r="31" spans="1:21" s="11" customFormat="1" ht="15">
      <c r="A31" s="53" t="s">
        <v>732</v>
      </c>
      <c r="B31" s="54">
        <v>62.51</v>
      </c>
      <c r="C31" s="54">
        <v>54.67</v>
      </c>
      <c r="D31" s="54">
        <v>80.819999999999993</v>
      </c>
      <c r="E31" s="54">
        <v>2.37</v>
      </c>
      <c r="F31" s="54">
        <v>3.22</v>
      </c>
      <c r="G31" s="54">
        <v>35.93</v>
      </c>
      <c r="H31" s="54">
        <v>21.71</v>
      </c>
      <c r="I31" s="54">
        <v>1.53</v>
      </c>
      <c r="J31" s="54">
        <v>0.81</v>
      </c>
      <c r="K31" s="54">
        <v>338.74</v>
      </c>
      <c r="L31" s="54">
        <v>15.90</v>
      </c>
      <c r="M31" s="54">
        <v>98.05</v>
      </c>
      <c r="N31" s="54">
        <v>40.90</v>
      </c>
      <c r="O31" s="54">
        <v>0</v>
      </c>
      <c r="P31" s="54">
        <v>1.42</v>
      </c>
      <c r="Q31" s="54">
        <v>9.1300000000000008</v>
      </c>
      <c r="R31" s="43"/>
      <c r="S31" s="43"/>
      <c r="T31" s="43"/>
      <c r="U31" s="43"/>
    </row>
    <row r="32" spans="1:21" s="11" customFormat="1" ht="15">
      <c r="A32" s="53" t="s">
        <v>733</v>
      </c>
      <c r="B32" s="54">
        <v>41.31</v>
      </c>
      <c r="C32" s="54">
        <v>53.36</v>
      </c>
      <c r="D32" s="54">
        <v>62.11</v>
      </c>
      <c r="E32" s="54">
        <v>2.42</v>
      </c>
      <c r="F32" s="54">
        <v>3.46</v>
      </c>
      <c r="G32" s="54">
        <v>37.549999999999997</v>
      </c>
      <c r="H32" s="54">
        <v>32.24</v>
      </c>
      <c r="I32" s="54">
        <v>1.56</v>
      </c>
      <c r="J32" s="54">
        <v>0.91</v>
      </c>
      <c r="K32" s="54">
        <v>340.21</v>
      </c>
      <c r="L32" s="54">
        <v>15.79</v>
      </c>
      <c r="M32" s="54">
        <v>98.05</v>
      </c>
      <c r="N32" s="54">
        <v>40.700000000000003</v>
      </c>
      <c r="O32" s="54">
        <v>0</v>
      </c>
      <c r="P32" s="54">
        <v>1.40</v>
      </c>
      <c r="Q32" s="54">
        <v>9.2100000000000009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4.1799999999999997</v>
      </c>
      <c r="C34" s="28">
        <f t="shared" si="0"/>
        <v>38.460000000000001</v>
      </c>
      <c r="D34" s="28">
        <f t="shared" si="0"/>
        <v>25.210000000000001</v>
      </c>
      <c r="E34" s="28">
        <f t="shared" si="0"/>
        <v>2.21</v>
      </c>
      <c r="F34" s="28">
        <f t="shared" si="0"/>
        <v>3.2000000000000002</v>
      </c>
      <c r="G34" s="28">
        <f t="shared" si="0"/>
        <v>30.629999999999999</v>
      </c>
      <c r="H34" s="28">
        <f t="shared" si="0"/>
        <v>21.710000000000001</v>
      </c>
      <c r="I34" s="28">
        <f t="shared" si="0"/>
        <v>1.47</v>
      </c>
      <c r="J34" s="28">
        <f t="shared" si="0"/>
        <v>0.10000000000000001</v>
      </c>
      <c r="K34" s="28">
        <f t="shared" si="0"/>
        <v>100.06</v>
      </c>
      <c r="L34" s="28">
        <f t="shared" si="0"/>
        <v>15.789999999999999</v>
      </c>
      <c r="M34" s="28">
        <f t="shared" si="0"/>
        <v>48.560000000000002</v>
      </c>
      <c r="N34" s="28">
        <f t="shared" si="0"/>
        <v>39.799999999999997</v>
      </c>
      <c r="O34" s="28">
        <f t="shared" si="0"/>
        <v>0</v>
      </c>
      <c r="P34" s="28">
        <f t="shared" si="0"/>
        <v>0.94999999999999996</v>
      </c>
      <c r="Q34" s="28">
        <f t="shared" si="0"/>
        <v>6.0099999999999998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82.879999999999995</v>
      </c>
      <c r="C35" s="29">
        <f t="shared" si="1"/>
        <v>98.519999999999996</v>
      </c>
      <c r="D35" s="29">
        <f t="shared" si="1"/>
        <v>96.170000000000002</v>
      </c>
      <c r="E35" s="29">
        <f t="shared" si="1"/>
        <v>3.54</v>
      </c>
      <c r="F35" s="29">
        <f t="shared" si="1"/>
        <v>4.6200000000000001</v>
      </c>
      <c r="G35" s="29">
        <f t="shared" si="1"/>
        <v>120.18000000000001</v>
      </c>
      <c r="H35" s="29">
        <f t="shared" si="1"/>
        <v>67.859999999999999</v>
      </c>
      <c r="I35" s="29">
        <f t="shared" si="1"/>
        <v>1.6499999999999999</v>
      </c>
      <c r="J35" s="29">
        <f t="shared" si="1"/>
        <v>2.8599999999999999</v>
      </c>
      <c r="K35" s="29">
        <f t="shared" si="1"/>
        <v>348.50999999999999</v>
      </c>
      <c r="L35" s="29">
        <f t="shared" si="1"/>
        <v>24.149999999999999</v>
      </c>
      <c r="M35" s="29">
        <f t="shared" si="1"/>
        <v>98.980000000000004</v>
      </c>
      <c r="N35" s="29">
        <f t="shared" si="1"/>
        <v>378.69999999999999</v>
      </c>
      <c r="O35" s="29">
        <f t="shared" si="1"/>
        <v>0.40000000000000002</v>
      </c>
      <c r="P35" s="29">
        <f t="shared" si="1"/>
        <v>1.5700000000000001</v>
      </c>
      <c r="Q35" s="29">
        <f t="shared" si="1"/>
        <v>9.2100000000000009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26.079583333333328</v>
      </c>
      <c r="C36" s="28">
        <f t="shared" si="2"/>
        <v>61.316250000000004</v>
      </c>
      <c r="D36" s="28">
        <f t="shared" si="2"/>
        <v>55.014166666666654</v>
      </c>
      <c r="E36" s="28">
        <f t="shared" si="2"/>
        <v>2.3625000000000003</v>
      </c>
      <c r="F36" s="28">
        <f t="shared" si="2"/>
        <v>3.5054166666666648</v>
      </c>
      <c r="G36" s="28">
        <f t="shared" si="2"/>
        <v>73.778333333333336</v>
      </c>
      <c r="H36" s="28">
        <f t="shared" si="2"/>
        <v>44.935416666666669</v>
      </c>
      <c r="I36" s="28">
        <f t="shared" si="2"/>
        <v>1.5429166666666669</v>
      </c>
      <c r="J36" s="28">
        <f t="shared" si="2"/>
        <v>0.98833333333333329</v>
      </c>
      <c r="K36" s="28">
        <f t="shared" si="2"/>
        <v>275.21375000000006</v>
      </c>
      <c r="L36" s="28">
        <f t="shared" si="2"/>
        <v>18.550416666666667</v>
      </c>
      <c r="M36" s="28">
        <f t="shared" si="2"/>
        <v>78.912083333333328</v>
      </c>
      <c r="N36" s="28">
        <f t="shared" si="2"/>
        <v>125.19583333333333</v>
      </c>
      <c r="O36" s="28">
        <f t="shared" si="2"/>
        <v>0.041666666666666664</v>
      </c>
      <c r="P36" s="28">
        <f t="shared" si="2"/>
        <v>1.1950000000000001</v>
      </c>
      <c r="Q36" s="28">
        <f t="shared" si="2"/>
        <v>6.9245833333333335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21.552278902839895</v>
      </c>
      <c r="C37" s="28">
        <f t="shared" si="3" ref="C37:Q37">STDEV(C9:C32)</f>
        <v>16.02183749232384</v>
      </c>
      <c r="D37" s="28">
        <f t="shared" si="3"/>
        <v>19.004664625723706</v>
      </c>
      <c r="E37" s="28">
        <f t="shared" si="3"/>
        <v>0.25546632552698467</v>
      </c>
      <c r="F37" s="28">
        <f t="shared" si="3"/>
        <v>0.36283879720013656</v>
      </c>
      <c r="G37" s="28">
        <f t="shared" si="3"/>
        <v>27.986895794851655</v>
      </c>
      <c r="H37" s="28">
        <f t="shared" si="3"/>
        <v>12.886976229534202</v>
      </c>
      <c r="I37" s="28">
        <f t="shared" si="3"/>
        <v>0.036651017740975157</v>
      </c>
      <c r="J37" s="28">
        <f t="shared" si="3"/>
        <v>0.75038347684290108</v>
      </c>
      <c r="K37" s="28">
        <f t="shared" si="3"/>
        <v>109.3116429143319</v>
      </c>
      <c r="L37" s="28">
        <f t="shared" si="3"/>
        <v>2.929787763743247</v>
      </c>
      <c r="M37" s="28">
        <f t="shared" si="3"/>
        <v>18.120869779289592</v>
      </c>
      <c r="N37" s="28">
        <f t="shared" si="3"/>
        <v>125.02999458970422</v>
      </c>
      <c r="O37" s="28">
        <f t="shared" si="3"/>
        <v>0.10179547554081032</v>
      </c>
      <c r="P37" s="28">
        <f t="shared" si="3"/>
        <v>0.1587450786638763</v>
      </c>
      <c r="Q37" s="28">
        <f t="shared" si="3"/>
        <v>0.91158237561738042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9cf02d9-bfb6-4862-afd6-0a5849bcf01c}">
  <sheetPr codeName=""/>
  <dimension ref="A1:U119"/>
  <sheetViews>
    <sheetView workbookViewId="0" topLeftCell="A1">
      <selection pane="topLeft" activeCell="Q39" sqref="Q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734</v>
      </c>
      <c r="B9" s="54">
        <v>33.46</v>
      </c>
      <c r="C9" s="54">
        <v>50.25</v>
      </c>
      <c r="D9" s="54">
        <v>55.21</v>
      </c>
      <c r="E9" s="54">
        <v>2.3199999999999998</v>
      </c>
      <c r="F9" s="54">
        <v>3.14</v>
      </c>
      <c r="G9" s="54">
        <v>55.21</v>
      </c>
      <c r="H9" s="54">
        <v>39.909999999999997</v>
      </c>
      <c r="I9" s="54">
        <v>1.63</v>
      </c>
      <c r="J9" s="54">
        <v>0.61</v>
      </c>
      <c r="K9" s="54">
        <v>337.44</v>
      </c>
      <c r="L9" s="54">
        <v>15.79</v>
      </c>
      <c r="M9" s="54">
        <v>98.05</v>
      </c>
      <c r="N9" s="54">
        <v>41.40</v>
      </c>
      <c r="O9" s="54">
        <v>0</v>
      </c>
      <c r="P9" s="54">
        <v>1.37</v>
      </c>
      <c r="Q9" s="54">
        <v>9.2200000000000006</v>
      </c>
      <c r="R9" s="43"/>
      <c r="S9" s="43"/>
      <c r="T9" s="43"/>
      <c r="U9" s="43"/>
    </row>
    <row r="10" spans="1:21" s="11" customFormat="1" ht="15">
      <c r="A10" s="53" t="s">
        <v>735</v>
      </c>
      <c r="B10" s="54">
        <v>45.03</v>
      </c>
      <c r="C10" s="54">
        <v>53.49</v>
      </c>
      <c r="D10" s="54">
        <v>66.27</v>
      </c>
      <c r="E10" s="54">
        <v>2.29</v>
      </c>
      <c r="F10" s="54">
        <v>3.11</v>
      </c>
      <c r="G10" s="54">
        <v>77.08</v>
      </c>
      <c r="H10" s="54">
        <v>54.72</v>
      </c>
      <c r="I10" s="54">
        <v>1.48</v>
      </c>
      <c r="J10" s="54">
        <v>1.32</v>
      </c>
      <c r="K10" s="54">
        <v>348.48</v>
      </c>
      <c r="L10" s="54">
        <v>15.65</v>
      </c>
      <c r="M10" s="54">
        <v>98.06</v>
      </c>
      <c r="N10" s="54">
        <v>41.60</v>
      </c>
      <c r="O10" s="54">
        <v>0</v>
      </c>
      <c r="P10" s="54">
        <v>1.21</v>
      </c>
      <c r="Q10" s="54">
        <v>8.83</v>
      </c>
      <c r="R10" s="43"/>
      <c r="S10" s="43"/>
      <c r="T10" s="43"/>
      <c r="U10" s="43"/>
    </row>
    <row r="11" spans="1:21" s="11" customFormat="1" ht="15">
      <c r="A11" s="53" t="s">
        <v>736</v>
      </c>
      <c r="B11" s="54">
        <v>38.76</v>
      </c>
      <c r="C11" s="54">
        <v>54.71</v>
      </c>
      <c r="D11" s="54">
        <v>61.92</v>
      </c>
      <c r="E11" s="54">
        <v>2.3199999999999998</v>
      </c>
      <c r="F11" s="54">
        <v>3.25</v>
      </c>
      <c r="G11" s="54">
        <v>167.63</v>
      </c>
      <c r="H11" s="54">
        <v>77.78</v>
      </c>
      <c r="I11" s="54">
        <v>1.46</v>
      </c>
      <c r="J11" s="54">
        <v>1.34</v>
      </c>
      <c r="K11" s="54">
        <v>347.91</v>
      </c>
      <c r="L11" s="54">
        <v>15.57</v>
      </c>
      <c r="M11" s="54">
        <v>98.08</v>
      </c>
      <c r="N11" s="54">
        <v>41.90</v>
      </c>
      <c r="O11" s="54">
        <v>0</v>
      </c>
      <c r="P11" s="54">
        <v>1.22</v>
      </c>
      <c r="Q11" s="54">
        <v>8.86</v>
      </c>
      <c r="R11" s="43"/>
      <c r="S11" s="43"/>
      <c r="T11" s="43"/>
      <c r="U11" s="43"/>
    </row>
    <row r="12" spans="1:21" s="11" customFormat="1" ht="15">
      <c r="A12" s="53" t="s">
        <v>737</v>
      </c>
      <c r="B12" s="54">
        <v>45.54</v>
      </c>
      <c r="C12" s="54">
        <v>52.61</v>
      </c>
      <c r="D12" s="54">
        <v>63.16</v>
      </c>
      <c r="E12" s="54">
        <v>2.2799999999999998</v>
      </c>
      <c r="F12" s="54">
        <v>3.49</v>
      </c>
      <c r="G12" s="54">
        <v>125</v>
      </c>
      <c r="H12" s="54">
        <v>63.83</v>
      </c>
      <c r="I12" s="54">
        <v>1.61</v>
      </c>
      <c r="J12" s="54">
        <v>0.72</v>
      </c>
      <c r="K12" s="54">
        <v>351.71</v>
      </c>
      <c r="L12" s="54">
        <v>15.5</v>
      </c>
      <c r="M12" s="54">
        <v>98.08</v>
      </c>
      <c r="N12" s="54">
        <v>42.10</v>
      </c>
      <c r="O12" s="54">
        <v>0</v>
      </c>
      <c r="P12" s="54">
        <v>1.0900000000000001</v>
      </c>
      <c r="Q12" s="54">
        <v>8.60</v>
      </c>
      <c r="R12" s="43"/>
      <c r="S12" s="43"/>
      <c r="T12" s="43"/>
      <c r="U12" s="43"/>
    </row>
    <row r="13" spans="1:21" s="11" customFormat="1" ht="15">
      <c r="A13" s="53" t="s">
        <v>738</v>
      </c>
      <c r="B13" s="54">
        <v>37.35</v>
      </c>
      <c r="C13" s="54">
        <v>53.47</v>
      </c>
      <c r="D13" s="54">
        <v>59.45</v>
      </c>
      <c r="E13" s="54">
        <v>2.33</v>
      </c>
      <c r="F13" s="54">
        <v>3.05</v>
      </c>
      <c r="G13" s="54">
        <v>120.48</v>
      </c>
      <c r="H13" s="54">
        <v>62.62</v>
      </c>
      <c r="I13" s="54">
        <v>1.56</v>
      </c>
      <c r="J13" s="54">
        <v>0.85</v>
      </c>
      <c r="K13" s="54">
        <v>356.17</v>
      </c>
      <c r="L13" s="54">
        <v>15.27</v>
      </c>
      <c r="M13" s="54">
        <v>98.10</v>
      </c>
      <c r="N13" s="54">
        <v>42.10</v>
      </c>
      <c r="O13" s="54">
        <v>0</v>
      </c>
      <c r="P13" s="54">
        <v>1.1399999999999999</v>
      </c>
      <c r="Q13" s="54">
        <v>8.73</v>
      </c>
      <c r="R13" s="43"/>
      <c r="S13" s="43"/>
      <c r="T13" s="43"/>
      <c r="U13" s="43"/>
    </row>
    <row r="14" spans="1:21" s="11" customFormat="1" ht="15">
      <c r="A14" s="53" t="s">
        <v>739</v>
      </c>
      <c r="B14" s="54">
        <v>48.11</v>
      </c>
      <c r="C14" s="54">
        <v>53.63</v>
      </c>
      <c r="D14" s="54">
        <v>68.22</v>
      </c>
      <c r="E14" s="54">
        <v>2.31</v>
      </c>
      <c r="F14" s="54">
        <v>3.19</v>
      </c>
      <c r="G14" s="54">
        <v>103.88</v>
      </c>
      <c r="H14" s="54">
        <v>53.35</v>
      </c>
      <c r="I14" s="54">
        <v>1.56</v>
      </c>
      <c r="J14" s="54">
        <v>1.02</v>
      </c>
      <c r="K14" s="54">
        <v>346.73</v>
      </c>
      <c r="L14" s="54">
        <v>15.28</v>
      </c>
      <c r="M14" s="54">
        <v>98.10</v>
      </c>
      <c r="N14" s="54">
        <v>42.5</v>
      </c>
      <c r="O14" s="54">
        <v>0</v>
      </c>
      <c r="P14" s="54">
        <v>1.1100000000000001</v>
      </c>
      <c r="Q14" s="54">
        <v>8.84</v>
      </c>
      <c r="R14" s="43"/>
      <c r="S14" s="43"/>
      <c r="T14" s="43"/>
      <c r="U14" s="43"/>
    </row>
    <row r="15" spans="1:21" s="11" customFormat="1" ht="15">
      <c r="A15" s="53" t="s">
        <v>740</v>
      </c>
      <c r="B15" s="54">
        <v>40.11</v>
      </c>
      <c r="C15" s="54">
        <v>54.30</v>
      </c>
      <c r="D15" s="54">
        <v>59.33</v>
      </c>
      <c r="E15" s="54">
        <v>2.31</v>
      </c>
      <c r="F15" s="54">
        <v>3.42</v>
      </c>
      <c r="G15" s="54">
        <v>76.66</v>
      </c>
      <c r="H15" s="54">
        <v>38.32</v>
      </c>
      <c r="I15" s="54">
        <v>1.58</v>
      </c>
      <c r="J15" s="54">
        <v>0.41</v>
      </c>
      <c r="K15" s="54">
        <v>345.47</v>
      </c>
      <c r="L15" s="54">
        <v>15.17</v>
      </c>
      <c r="M15" s="54">
        <v>98.10</v>
      </c>
      <c r="N15" s="54">
        <v>90.10</v>
      </c>
      <c r="O15" s="54">
        <v>0</v>
      </c>
      <c r="P15" s="54">
        <v>1.02</v>
      </c>
      <c r="Q15" s="54">
        <v>8.83</v>
      </c>
      <c r="R15" s="43"/>
      <c r="S15" s="43"/>
      <c r="T15" s="43"/>
      <c r="U15" s="43"/>
    </row>
    <row r="16" spans="1:21" s="11" customFormat="1" ht="15">
      <c r="A16" s="53" t="s">
        <v>741</v>
      </c>
      <c r="B16" s="54">
        <v>50.84</v>
      </c>
      <c r="C16" s="54">
        <v>48.09</v>
      </c>
      <c r="D16" s="54">
        <v>67.959999999999994</v>
      </c>
      <c r="E16" s="54">
        <v>2.29</v>
      </c>
      <c r="F16" s="54">
        <v>3.24</v>
      </c>
      <c r="G16" s="54">
        <v>57.36</v>
      </c>
      <c r="H16" s="54">
        <v>36.18</v>
      </c>
      <c r="I16" s="54">
        <v>1.57</v>
      </c>
      <c r="J16" s="54">
        <v>0.82</v>
      </c>
      <c r="K16" s="54">
        <v>356.73</v>
      </c>
      <c r="L16" s="54">
        <v>18.23</v>
      </c>
      <c r="M16" s="54">
        <v>98.06</v>
      </c>
      <c r="N16" s="54">
        <v>269.39999999999998</v>
      </c>
      <c r="O16" s="54">
        <v>0</v>
      </c>
      <c r="P16" s="54">
        <v>1</v>
      </c>
      <c r="Q16" s="54">
        <v>8.81</v>
      </c>
      <c r="R16" s="43"/>
      <c r="S16" s="43"/>
      <c r="T16" s="43"/>
      <c r="U16" s="43"/>
    </row>
    <row r="17" spans="1:21" s="11" customFormat="1" ht="15">
      <c r="A17" s="53" t="s">
        <v>742</v>
      </c>
      <c r="B17" s="54">
        <v>43.73</v>
      </c>
      <c r="C17" s="54">
        <v>56.17</v>
      </c>
      <c r="D17" s="54">
        <v>66.66</v>
      </c>
      <c r="E17" s="54">
        <v>2.2599999999999998</v>
      </c>
      <c r="F17" s="54">
        <v>3.12</v>
      </c>
      <c r="G17" s="54">
        <v>67.97</v>
      </c>
      <c r="H17" s="54">
        <v>34.94</v>
      </c>
      <c r="I17" s="54">
        <v>1.48</v>
      </c>
      <c r="J17" s="54">
        <v>0.84</v>
      </c>
      <c r="K17" s="54">
        <v>343.26</v>
      </c>
      <c r="L17" s="54">
        <v>19.510000000000002</v>
      </c>
      <c r="M17" s="54">
        <v>91.34</v>
      </c>
      <c r="N17" s="54">
        <v>372.20</v>
      </c>
      <c r="O17" s="54">
        <v>0</v>
      </c>
      <c r="P17" s="54">
        <v>1</v>
      </c>
      <c r="Q17" s="54">
        <v>8.8699999999999992</v>
      </c>
      <c r="R17" s="43"/>
      <c r="S17" s="43"/>
      <c r="T17" s="43"/>
      <c r="U17" s="43"/>
    </row>
    <row r="18" spans="1:21" s="11" customFormat="1" ht="15">
      <c r="A18" s="53" t="s">
        <v>743</v>
      </c>
      <c r="B18" s="54">
        <v>54.78</v>
      </c>
      <c r="C18" s="54">
        <v>67.02</v>
      </c>
      <c r="D18" s="54">
        <v>81.569999999999993</v>
      </c>
      <c r="E18" s="54">
        <v>2.29</v>
      </c>
      <c r="F18" s="54">
        <v>3.23</v>
      </c>
      <c r="G18" s="54">
        <v>70.209999999999994</v>
      </c>
      <c r="H18" s="54">
        <v>31.55</v>
      </c>
      <c r="I18" s="54">
        <v>1.56</v>
      </c>
      <c r="J18" s="54">
        <v>1.05</v>
      </c>
      <c r="K18" s="54">
        <v>345.35</v>
      </c>
      <c r="L18" s="54">
        <v>23.55</v>
      </c>
      <c r="M18" s="54">
        <v>78.209999999999994</v>
      </c>
      <c r="N18" s="54">
        <v>591.29999999999995</v>
      </c>
      <c r="O18" s="54">
        <v>0</v>
      </c>
      <c r="P18" s="54">
        <v>1</v>
      </c>
      <c r="Q18" s="54">
        <v>8.9499999999999993</v>
      </c>
      <c r="R18" s="43"/>
      <c r="S18" s="43"/>
      <c r="T18" s="43"/>
      <c r="U18" s="43"/>
    </row>
    <row r="19" spans="1:21" s="11" customFormat="1" ht="15">
      <c r="A19" s="53" t="s">
        <v>744</v>
      </c>
      <c r="B19" s="54">
        <v>33.020000000000003</v>
      </c>
      <c r="C19" s="54">
        <v>65.48</v>
      </c>
      <c r="D19" s="54">
        <v>60.62</v>
      </c>
      <c r="E19" s="54">
        <v>2.2200000000000002</v>
      </c>
      <c r="F19" s="54">
        <v>3.05</v>
      </c>
      <c r="G19" s="54">
        <v>63.59</v>
      </c>
      <c r="H19" s="54">
        <v>26.13</v>
      </c>
      <c r="I19" s="54">
        <v>1.58</v>
      </c>
      <c r="J19" s="54">
        <v>0.63</v>
      </c>
      <c r="K19" s="54">
        <v>103.36</v>
      </c>
      <c r="L19" s="54">
        <v>24.19</v>
      </c>
      <c r="M19" s="54">
        <v>69.59</v>
      </c>
      <c r="N19" s="54">
        <v>684.30</v>
      </c>
      <c r="O19" s="54">
        <v>0</v>
      </c>
      <c r="P19" s="54">
        <v>1</v>
      </c>
      <c r="Q19" s="54">
        <v>8.91</v>
      </c>
      <c r="R19" s="43"/>
      <c r="S19" s="43"/>
      <c r="T19" s="43"/>
      <c r="U19" s="43"/>
    </row>
    <row r="20" spans="1:21" s="11" customFormat="1" ht="15">
      <c r="A20" s="53" t="s">
        <v>745</v>
      </c>
      <c r="B20" s="54">
        <v>21.94</v>
      </c>
      <c r="C20" s="54">
        <v>68.319999999999993</v>
      </c>
      <c r="D20" s="54">
        <v>55.06</v>
      </c>
      <c r="E20" s="54">
        <v>1.96</v>
      </c>
      <c r="F20" s="54">
        <v>3.39</v>
      </c>
      <c r="G20" s="18" t="s">
        <v>12</v>
      </c>
      <c r="H20" s="18" t="s">
        <v>12</v>
      </c>
      <c r="I20" s="54">
        <v>1.54</v>
      </c>
      <c r="J20" s="54">
        <v>0.90</v>
      </c>
      <c r="K20" s="54">
        <v>347.82</v>
      </c>
      <c r="L20" s="54">
        <v>26.83</v>
      </c>
      <c r="M20" s="54">
        <v>56</v>
      </c>
      <c r="N20" s="54">
        <v>694</v>
      </c>
      <c r="O20" s="54">
        <v>0</v>
      </c>
      <c r="P20" s="54">
        <v>0.94</v>
      </c>
      <c r="Q20" s="54">
        <v>8.32</v>
      </c>
      <c r="R20" s="43"/>
      <c r="S20" s="43"/>
      <c r="T20" s="43"/>
      <c r="U20" s="43"/>
    </row>
    <row r="21" spans="1:21" s="11" customFormat="1" ht="15">
      <c r="A21" s="53" t="s">
        <v>746</v>
      </c>
      <c r="B21" s="54">
        <v>17.16</v>
      </c>
      <c r="C21" s="54">
        <v>78.37</v>
      </c>
      <c r="D21" s="54">
        <v>53.98</v>
      </c>
      <c r="E21" s="54">
        <v>2.2599999999999998</v>
      </c>
      <c r="F21" s="54">
        <v>4.3099999999999996</v>
      </c>
      <c r="G21" s="54">
        <v>52.52</v>
      </c>
      <c r="H21" s="54">
        <v>19.190000000000001</v>
      </c>
      <c r="I21" s="54">
        <v>1.52</v>
      </c>
      <c r="J21" s="54">
        <v>0.99</v>
      </c>
      <c r="K21" s="54">
        <v>108.25</v>
      </c>
      <c r="L21" s="54">
        <v>27.27</v>
      </c>
      <c r="M21" s="54">
        <v>52.62</v>
      </c>
      <c r="N21" s="54">
        <v>683.5</v>
      </c>
      <c r="O21" s="54">
        <v>0</v>
      </c>
      <c r="P21" s="54">
        <v>0.90</v>
      </c>
      <c r="Q21" s="54">
        <v>7.96</v>
      </c>
      <c r="R21" s="43"/>
      <c r="S21" s="43"/>
      <c r="T21" s="43"/>
      <c r="U21" s="43"/>
    </row>
    <row r="22" spans="1:21" s="11" customFormat="1" ht="15">
      <c r="A22" s="53" t="s">
        <v>747</v>
      </c>
      <c r="B22" s="54">
        <v>12.06</v>
      </c>
      <c r="C22" s="54">
        <v>61.62</v>
      </c>
      <c r="D22" s="54">
        <v>44.32</v>
      </c>
      <c r="E22" s="54">
        <v>2.2200000000000002</v>
      </c>
      <c r="F22" s="54">
        <v>3.62</v>
      </c>
      <c r="G22" s="54">
        <v>96.14</v>
      </c>
      <c r="H22" s="54">
        <v>19.190000000000001</v>
      </c>
      <c r="I22" s="54">
        <v>1.51</v>
      </c>
      <c r="J22" s="54">
        <v>0.62</v>
      </c>
      <c r="K22" s="54">
        <v>94.31</v>
      </c>
      <c r="L22" s="54">
        <v>25.60</v>
      </c>
      <c r="M22" s="54">
        <v>49.11</v>
      </c>
      <c r="N22" s="54">
        <v>507.30</v>
      </c>
      <c r="O22" s="54">
        <v>0</v>
      </c>
      <c r="P22" s="54">
        <v>0.84</v>
      </c>
      <c r="Q22" s="5" t="s">
        <v>14</v>
      </c>
      <c r="R22" s="43"/>
      <c r="S22" s="43"/>
      <c r="T22" s="43"/>
      <c r="U22" s="43"/>
    </row>
    <row r="23" spans="1:21" s="11" customFormat="1" ht="15">
      <c r="A23" s="53" t="s">
        <v>748</v>
      </c>
      <c r="B23" s="66" t="s">
        <v>4</v>
      </c>
      <c r="C23" s="66" t="s">
        <v>4</v>
      </c>
      <c r="D23" s="66" t="s">
        <v>4</v>
      </c>
      <c r="E23" s="66" t="s">
        <v>4</v>
      </c>
      <c r="F23" s="66" t="s">
        <v>4</v>
      </c>
      <c r="G23" s="66" t="s">
        <v>4</v>
      </c>
      <c r="H23" s="66" t="s">
        <v>4</v>
      </c>
      <c r="I23" s="66" t="s">
        <v>4</v>
      </c>
      <c r="J23" s="66" t="s">
        <v>4</v>
      </c>
      <c r="K23" s="66" t="s">
        <v>4</v>
      </c>
      <c r="L23" s="66" t="s">
        <v>4</v>
      </c>
      <c r="M23" s="66" t="s">
        <v>4</v>
      </c>
      <c r="N23" s="66" t="s">
        <v>4</v>
      </c>
      <c r="O23" s="66" t="s">
        <v>4</v>
      </c>
      <c r="P23" s="66" t="s">
        <v>4</v>
      </c>
      <c r="Q23" s="66" t="s">
        <v>4</v>
      </c>
      <c r="R23" s="43"/>
      <c r="S23" s="43"/>
      <c r="T23" s="43"/>
      <c r="U23" s="43"/>
    </row>
    <row r="24" spans="1:21" s="11" customFormat="1" ht="15">
      <c r="A24" s="53" t="s">
        <v>749</v>
      </c>
      <c r="B24" s="67" t="s">
        <v>20</v>
      </c>
      <c r="C24" s="67" t="s">
        <v>20</v>
      </c>
      <c r="D24" s="67" t="s">
        <v>20</v>
      </c>
      <c r="E24" s="67" t="s">
        <v>20</v>
      </c>
      <c r="F24" s="54">
        <v>6.75</v>
      </c>
      <c r="G24" s="54">
        <v>51.56</v>
      </c>
      <c r="H24" s="54">
        <v>19.16</v>
      </c>
      <c r="I24" s="54">
        <v>1.43</v>
      </c>
      <c r="J24" s="54">
        <v>0.11</v>
      </c>
      <c r="K24" s="54">
        <v>317.08</v>
      </c>
      <c r="L24" s="54">
        <v>24.91</v>
      </c>
      <c r="M24" s="54">
        <v>48.26</v>
      </c>
      <c r="N24" s="54">
        <v>87.20</v>
      </c>
      <c r="O24" s="54">
        <v>0</v>
      </c>
      <c r="P24" s="67" t="s">
        <v>20</v>
      </c>
      <c r="Q24" s="67" t="s">
        <v>20</v>
      </c>
      <c r="R24" s="43"/>
      <c r="S24" s="43"/>
      <c r="T24" s="43"/>
      <c r="U24" s="43"/>
    </row>
    <row r="25" spans="1:21" s="11" customFormat="1" ht="15">
      <c r="A25" s="53" t="s">
        <v>750</v>
      </c>
      <c r="B25" s="54">
        <v>19.03</v>
      </c>
      <c r="C25" s="54">
        <v>78.64</v>
      </c>
      <c r="D25" s="54">
        <v>53.86</v>
      </c>
      <c r="E25" s="54">
        <v>2.75</v>
      </c>
      <c r="F25" s="54">
        <v>4.66</v>
      </c>
      <c r="G25" s="54">
        <v>138.68</v>
      </c>
      <c r="H25" s="54">
        <v>18.70</v>
      </c>
      <c r="I25" s="54">
        <v>1.58</v>
      </c>
      <c r="J25" s="54">
        <v>0.34</v>
      </c>
      <c r="K25" s="54">
        <v>346.88</v>
      </c>
      <c r="L25" s="54">
        <v>24.89</v>
      </c>
      <c r="M25" s="54">
        <v>52.99</v>
      </c>
      <c r="N25" s="54">
        <v>77.30</v>
      </c>
      <c r="O25" s="54">
        <v>0</v>
      </c>
      <c r="P25" s="54">
        <v>1.07</v>
      </c>
      <c r="Q25" s="54">
        <v>6.87</v>
      </c>
      <c r="R25" s="43"/>
      <c r="S25" s="43"/>
      <c r="T25" s="43"/>
      <c r="U25" s="43"/>
    </row>
    <row r="26" spans="1:21" s="11" customFormat="1" ht="15">
      <c r="A26" s="53" t="s">
        <v>751</v>
      </c>
      <c r="B26" s="54">
        <v>27.38</v>
      </c>
      <c r="C26" s="54">
        <v>56.84</v>
      </c>
      <c r="D26" s="54">
        <v>53.95</v>
      </c>
      <c r="E26" s="54">
        <v>-0.68</v>
      </c>
      <c r="F26" s="54">
        <v>3.60</v>
      </c>
      <c r="G26" s="54">
        <v>144.53</v>
      </c>
      <c r="H26" s="54">
        <v>26.60</v>
      </c>
      <c r="I26" s="54">
        <v>1.52</v>
      </c>
      <c r="J26" s="54">
        <v>0.13</v>
      </c>
      <c r="K26" s="54">
        <v>327.19</v>
      </c>
      <c r="L26" s="54">
        <v>23.03</v>
      </c>
      <c r="M26" s="54">
        <v>66.30</v>
      </c>
      <c r="N26" s="54">
        <v>28.10</v>
      </c>
      <c r="O26" s="54">
        <v>0</v>
      </c>
      <c r="P26" s="54">
        <v>1.33</v>
      </c>
      <c r="Q26" s="54">
        <v>6.35</v>
      </c>
      <c r="R26" s="43"/>
      <c r="S26" s="43"/>
      <c r="T26" s="43"/>
      <c r="U26" s="43"/>
    </row>
    <row r="27" spans="1:21" s="11" customFormat="1" ht="15">
      <c r="A27" s="53" t="s">
        <v>752</v>
      </c>
      <c r="B27" s="54">
        <v>50.98</v>
      </c>
      <c r="C27" s="54">
        <v>77.099999999999994</v>
      </c>
      <c r="D27" s="54">
        <v>84.08</v>
      </c>
      <c r="E27" s="54">
        <v>-1.19</v>
      </c>
      <c r="F27" s="54">
        <v>3.40</v>
      </c>
      <c r="G27" s="54">
        <v>144.53</v>
      </c>
      <c r="H27" s="54">
        <v>35.57</v>
      </c>
      <c r="I27" s="54">
        <v>1.54</v>
      </c>
      <c r="J27" s="54">
        <v>0.22</v>
      </c>
      <c r="K27" s="54">
        <v>349.60</v>
      </c>
      <c r="L27" s="54">
        <v>22</v>
      </c>
      <c r="M27" s="54">
        <v>61.72</v>
      </c>
      <c r="N27" s="54">
        <v>24.5</v>
      </c>
      <c r="O27" s="54">
        <v>0</v>
      </c>
      <c r="P27" s="54">
        <v>1.47</v>
      </c>
      <c r="Q27" s="54">
        <v>6.71</v>
      </c>
      <c r="R27" s="43"/>
      <c r="S27" s="43"/>
      <c r="T27" s="43"/>
      <c r="U27" s="43"/>
    </row>
    <row r="28" spans="1:21" s="11" customFormat="1" ht="15">
      <c r="A28" s="53" t="s">
        <v>753</v>
      </c>
      <c r="B28" s="54">
        <v>51.04</v>
      </c>
      <c r="C28" s="54">
        <v>78.33</v>
      </c>
      <c r="D28" s="54">
        <v>82.10</v>
      </c>
      <c r="E28" s="54">
        <v>2.17</v>
      </c>
      <c r="F28" s="54">
        <v>3.19</v>
      </c>
      <c r="G28" s="54">
        <v>111.24</v>
      </c>
      <c r="H28" s="54">
        <v>46.39</v>
      </c>
      <c r="I28" s="54">
        <v>1.60</v>
      </c>
      <c r="J28" s="54">
        <v>0.26</v>
      </c>
      <c r="K28" s="54">
        <v>336.68</v>
      </c>
      <c r="L28" s="54">
        <v>21.55</v>
      </c>
      <c r="M28" s="54">
        <v>69.73</v>
      </c>
      <c r="N28" s="54">
        <v>24.60</v>
      </c>
      <c r="O28" s="54">
        <v>0</v>
      </c>
      <c r="P28" s="54">
        <v>1.99</v>
      </c>
      <c r="Q28" s="54">
        <v>7.19</v>
      </c>
      <c r="R28" s="43"/>
      <c r="S28" s="43"/>
      <c r="T28" s="43"/>
      <c r="U28" s="43"/>
    </row>
    <row r="29" spans="1:21" s="11" customFormat="1" ht="15">
      <c r="A29" s="53" t="s">
        <v>754</v>
      </c>
      <c r="B29" s="54">
        <v>62.40</v>
      </c>
      <c r="C29" s="54">
        <v>78.290000000000006</v>
      </c>
      <c r="D29" s="54">
        <v>90.57</v>
      </c>
      <c r="E29" s="54">
        <v>2.38</v>
      </c>
      <c r="F29" s="54">
        <v>3.35</v>
      </c>
      <c r="G29" s="54">
        <v>111.24</v>
      </c>
      <c r="H29" s="54">
        <v>46.39</v>
      </c>
      <c r="I29" s="54">
        <v>1.53</v>
      </c>
      <c r="J29" s="54">
        <v>0.24</v>
      </c>
      <c r="K29" s="54">
        <v>312.30</v>
      </c>
      <c r="L29" s="54">
        <v>20.79</v>
      </c>
      <c r="M29" s="54">
        <v>76.930000000000007</v>
      </c>
      <c r="N29" s="54">
        <v>24.5</v>
      </c>
      <c r="O29" s="54">
        <v>0</v>
      </c>
      <c r="P29" s="54">
        <v>1.98</v>
      </c>
      <c r="Q29" s="54">
        <v>7.37</v>
      </c>
      <c r="R29" s="43"/>
      <c r="S29" s="43"/>
      <c r="T29" s="43"/>
      <c r="U29" s="43"/>
    </row>
    <row r="30" spans="1:21" s="11" customFormat="1" ht="15">
      <c r="A30" s="53" t="s">
        <v>755</v>
      </c>
      <c r="B30" s="54">
        <v>73.73</v>
      </c>
      <c r="C30" s="54">
        <v>68.260000000000005</v>
      </c>
      <c r="D30" s="54">
        <v>97.44</v>
      </c>
      <c r="E30" s="54">
        <v>2.3199999999999998</v>
      </c>
      <c r="F30" s="54">
        <v>3.19</v>
      </c>
      <c r="G30" s="54">
        <v>85.28</v>
      </c>
      <c r="H30" s="54">
        <v>40.28</v>
      </c>
      <c r="I30" s="54">
        <v>1.52</v>
      </c>
      <c r="J30" s="54">
        <v>0.13</v>
      </c>
      <c r="K30" s="54">
        <v>340.25</v>
      </c>
      <c r="L30" s="54">
        <v>20.22</v>
      </c>
      <c r="M30" s="54">
        <v>79.44</v>
      </c>
      <c r="N30" s="54">
        <v>24.30</v>
      </c>
      <c r="O30" s="54">
        <v>0</v>
      </c>
      <c r="P30" s="54">
        <v>1.93</v>
      </c>
      <c r="Q30" s="54">
        <v>7.58</v>
      </c>
      <c r="R30" s="43"/>
      <c r="S30" s="43"/>
      <c r="T30" s="43"/>
      <c r="U30" s="43"/>
    </row>
    <row r="31" spans="1:21" s="11" customFormat="1" ht="15">
      <c r="A31" s="53" t="s">
        <v>756</v>
      </c>
      <c r="B31" s="54">
        <v>48.76</v>
      </c>
      <c r="C31" s="54">
        <v>59.84</v>
      </c>
      <c r="D31" s="54">
        <v>72.77</v>
      </c>
      <c r="E31" s="54">
        <v>2.31</v>
      </c>
      <c r="F31" s="54">
        <v>3.26</v>
      </c>
      <c r="G31" s="54">
        <v>81.510000000000005</v>
      </c>
      <c r="H31" s="54">
        <v>39.24</v>
      </c>
      <c r="I31" s="54">
        <v>1.53</v>
      </c>
      <c r="J31" s="54">
        <v>0.43</v>
      </c>
      <c r="K31" s="54">
        <v>166.36</v>
      </c>
      <c r="L31" s="54">
        <v>19.940000000000001</v>
      </c>
      <c r="M31" s="54">
        <v>78.80</v>
      </c>
      <c r="N31" s="54">
        <v>24.40</v>
      </c>
      <c r="O31" s="54">
        <v>0</v>
      </c>
      <c r="P31" s="54">
        <v>1.82</v>
      </c>
      <c r="Q31" s="54">
        <v>7.67</v>
      </c>
      <c r="R31" s="43"/>
      <c r="S31" s="43"/>
      <c r="T31" s="43"/>
      <c r="U31" s="43"/>
    </row>
    <row r="32" spans="1:21" s="11" customFormat="1" ht="15">
      <c r="A32" s="53" t="s">
        <v>757</v>
      </c>
      <c r="B32" s="54">
        <v>33.700000000000003</v>
      </c>
      <c r="C32" s="54">
        <v>46.96</v>
      </c>
      <c r="D32" s="54">
        <v>53.15</v>
      </c>
      <c r="E32" s="54">
        <v>2.29</v>
      </c>
      <c r="F32" s="54">
        <v>3.30</v>
      </c>
      <c r="G32" s="54">
        <v>70.849999999999994</v>
      </c>
      <c r="H32" s="54">
        <v>37.99</v>
      </c>
      <c r="I32" s="54">
        <v>1.54</v>
      </c>
      <c r="J32" s="54">
        <v>0.49</v>
      </c>
      <c r="K32" s="54">
        <v>107.96</v>
      </c>
      <c r="L32" s="54">
        <v>19.59</v>
      </c>
      <c r="M32" s="54">
        <v>79.39</v>
      </c>
      <c r="N32" s="54">
        <v>24.40</v>
      </c>
      <c r="O32" s="54">
        <v>0</v>
      </c>
      <c r="P32" s="54">
        <v>1.62</v>
      </c>
      <c r="Q32" s="54">
        <v>7.59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12.06</v>
      </c>
      <c r="C34" s="28">
        <f t="shared" si="0"/>
        <v>46.960000000000001</v>
      </c>
      <c r="D34" s="28">
        <f t="shared" si="0"/>
        <v>44.32</v>
      </c>
      <c r="E34" s="28">
        <f t="shared" si="0"/>
        <v>-1.1899999999999999</v>
      </c>
      <c r="F34" s="28">
        <f t="shared" si="0"/>
        <v>3.0499999999999998</v>
      </c>
      <c r="G34" s="28">
        <f t="shared" si="0"/>
        <v>51.560000000000002</v>
      </c>
      <c r="H34" s="28">
        <f t="shared" si="0"/>
        <v>18.699999999999999</v>
      </c>
      <c r="I34" s="28">
        <f t="shared" si="0"/>
        <v>1.4299999999999999</v>
      </c>
      <c r="J34" s="28">
        <f t="shared" si="0"/>
        <v>0.11</v>
      </c>
      <c r="K34" s="28">
        <f t="shared" si="0"/>
        <v>94.310000000000002</v>
      </c>
      <c r="L34" s="28">
        <f t="shared" si="0"/>
        <v>15.17</v>
      </c>
      <c r="M34" s="28">
        <f t="shared" si="0"/>
        <v>48.259999999999998</v>
      </c>
      <c r="N34" s="28">
        <f t="shared" si="0"/>
        <v>24.300000000000001</v>
      </c>
      <c r="O34" s="28">
        <f t="shared" si="0"/>
        <v>0</v>
      </c>
      <c r="P34" s="28">
        <f t="shared" si="0"/>
        <v>0.83999999999999997</v>
      </c>
      <c r="Q34" s="28">
        <f t="shared" si="0"/>
        <v>6.3499999999999996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73.730000000000004</v>
      </c>
      <c r="C35" s="29">
        <f t="shared" si="1"/>
        <v>78.640000000000001</v>
      </c>
      <c r="D35" s="29">
        <f t="shared" si="1"/>
        <v>97.439999999999998</v>
      </c>
      <c r="E35" s="29">
        <f t="shared" si="1"/>
        <v>2.75</v>
      </c>
      <c r="F35" s="29">
        <f t="shared" si="1"/>
        <v>6.75</v>
      </c>
      <c r="G35" s="29">
        <f t="shared" si="1"/>
        <v>167.63</v>
      </c>
      <c r="H35" s="29">
        <f t="shared" si="1"/>
        <v>77.780000000000001</v>
      </c>
      <c r="I35" s="29">
        <f t="shared" si="1"/>
        <v>1.6299999999999999</v>
      </c>
      <c r="J35" s="29">
        <f t="shared" si="1"/>
        <v>1.3400000000000001</v>
      </c>
      <c r="K35" s="29">
        <f t="shared" si="1"/>
        <v>356.73000000000002</v>
      </c>
      <c r="L35" s="29">
        <f t="shared" si="1"/>
        <v>27.27</v>
      </c>
      <c r="M35" s="29">
        <f t="shared" si="1"/>
        <v>98.099999999999994</v>
      </c>
      <c r="N35" s="29">
        <f t="shared" si="1"/>
        <v>694</v>
      </c>
      <c r="O35" s="29">
        <f t="shared" si="1"/>
        <v>0</v>
      </c>
      <c r="P35" s="29">
        <f t="shared" si="1"/>
        <v>1.99</v>
      </c>
      <c r="Q35" s="29">
        <f t="shared" si="1"/>
        <v>9.2200000000000006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40.405000000000001</v>
      </c>
      <c r="C36" s="28">
        <f t="shared" si="2"/>
        <v>61.899545454545439</v>
      </c>
      <c r="D36" s="28">
        <f t="shared" si="2"/>
        <v>65.984090909090909</v>
      </c>
      <c r="E36" s="28">
        <f t="shared" si="2"/>
        <v>2.0004545454545455</v>
      </c>
      <c r="F36" s="28">
        <f t="shared" si="2"/>
        <v>3.5352173913043474</v>
      </c>
      <c r="G36" s="28">
        <f t="shared" si="2"/>
        <v>94.234090909090909</v>
      </c>
      <c r="H36" s="28">
        <f t="shared" si="2"/>
        <v>39.455909090909103</v>
      </c>
      <c r="I36" s="28">
        <f t="shared" si="2"/>
        <v>1.5404347826086957</v>
      </c>
      <c r="J36" s="28">
        <f t="shared" si="2"/>
        <v>0.62913043478260877</v>
      </c>
      <c r="K36" s="28">
        <f t="shared" si="2"/>
        <v>292.92565217391308</v>
      </c>
      <c r="L36" s="28">
        <f t="shared" si="2"/>
        <v>20.44913043478261</v>
      </c>
      <c r="M36" s="28">
        <f t="shared" si="2"/>
        <v>78.046086956521748</v>
      </c>
      <c r="N36" s="28">
        <f t="shared" si="2"/>
        <v>194.91304347826087</v>
      </c>
      <c r="O36" s="28">
        <f t="shared" si="2"/>
        <v>0</v>
      </c>
      <c r="P36" s="28">
        <f t="shared" si="2"/>
        <v>1.2750000000000001</v>
      </c>
      <c r="Q36" s="28">
        <f t="shared" si="2"/>
        <v>8.1457142857142859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15.10898148217052</v>
      </c>
      <c r="C37" s="28">
        <f t="shared" si="3" ref="C37:Q37">STDEV(C9:C32)</f>
        <v>10.823583368109084</v>
      </c>
      <c r="D37" s="28">
        <f t="shared" si="3"/>
        <v>13.671570313920933</v>
      </c>
      <c r="E37" s="28">
        <f t="shared" si="3"/>
        <v>0.96231604190212106</v>
      </c>
      <c r="F37" s="28">
        <f t="shared" si="3"/>
        <v>0.79861169063010307</v>
      </c>
      <c r="G37" s="28">
        <f t="shared" si="3"/>
        <v>34.346947553997516</v>
      </c>
      <c r="H37" s="28">
        <f t="shared" si="3"/>
        <v>15.798897990227893</v>
      </c>
      <c r="I37" s="28">
        <f t="shared" si="3"/>
        <v>0.048380899768926178</v>
      </c>
      <c r="J37" s="28">
        <f t="shared" si="3"/>
        <v>0.3734350745989341</v>
      </c>
      <c r="K37" s="28">
        <f t="shared" si="3"/>
        <v>96.694951068064299</v>
      </c>
      <c r="L37" s="28">
        <f t="shared" si="3"/>
        <v>4.0938056456103933</v>
      </c>
      <c r="M37" s="28">
        <f t="shared" si="3"/>
        <v>18.368435806896951</v>
      </c>
      <c r="N37" s="28">
        <f t="shared" si="3"/>
        <v>252.0824690171269</v>
      </c>
      <c r="O37" s="28">
        <f t="shared" si="3"/>
        <v>0</v>
      </c>
      <c r="P37" s="28">
        <f t="shared" si="3"/>
        <v>0.36787355488122897</v>
      </c>
      <c r="Q37" s="28">
        <f t="shared" si="3"/>
        <v>0.87108880964326107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</f>
        <v>24</v>
      </c>
      <c r="C38" s="32">
        <f>COUNT(C9:C32)+2</f>
        <v>24</v>
      </c>
      <c r="D38" s="32">
        <f>COUNT(D9:D32)+2</f>
        <v>24</v>
      </c>
      <c r="E38" s="32">
        <f>COUNT(E9:E32)+2</f>
        <v>24</v>
      </c>
      <c r="F38" s="32">
        <f>COUNT(F9:F32)+1</f>
        <v>24</v>
      </c>
      <c r="G38" s="32">
        <f>COUNT(G9:G32)+2</f>
        <v>24</v>
      </c>
      <c r="H38" s="32">
        <f>COUNT(H9:H32)+2</f>
        <v>24</v>
      </c>
      <c r="I38" s="32">
        <f>COUNT(I9:I32)+1</f>
        <v>24</v>
      </c>
      <c r="J38" s="32">
        <f t="shared" si="4" ref="J38:O38">COUNT(J9:J32)+1</f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COUNT(P9:P32)+2</f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524d11-ca2e-4603-a8b2-1ddc5b7624b9}">
  <sheetPr codeName=""/>
  <dimension ref="A1:U119"/>
  <sheetViews>
    <sheetView workbookViewId="0" topLeftCell="A1">
      <selection pane="topLeft" activeCell="G50" sqref="G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758</v>
      </c>
      <c r="B9" s="54">
        <v>24.12</v>
      </c>
      <c r="C9" s="54">
        <v>47.22</v>
      </c>
      <c r="D9" s="54">
        <v>45.09</v>
      </c>
      <c r="E9" s="54">
        <v>2.39</v>
      </c>
      <c r="F9" s="54">
        <v>3.18</v>
      </c>
      <c r="G9" s="54">
        <v>56.51</v>
      </c>
      <c r="H9" s="54">
        <v>32.28</v>
      </c>
      <c r="I9" s="54">
        <v>1.54</v>
      </c>
      <c r="J9" s="54">
        <v>0.31</v>
      </c>
      <c r="K9" s="54">
        <v>130.96</v>
      </c>
      <c r="L9" s="54">
        <v>18.98</v>
      </c>
      <c r="M9" s="54">
        <v>83.13</v>
      </c>
      <c r="N9" s="54">
        <v>24.40</v>
      </c>
      <c r="O9" s="54">
        <v>0</v>
      </c>
      <c r="P9" s="54">
        <v>1.39</v>
      </c>
      <c r="Q9" s="54">
        <v>7.04</v>
      </c>
      <c r="R9" s="43"/>
      <c r="S9" s="43"/>
      <c r="T9" s="43"/>
      <c r="U9" s="43"/>
    </row>
    <row r="10" spans="1:21" s="11" customFormat="1" ht="15">
      <c r="A10" s="53" t="s">
        <v>759</v>
      </c>
      <c r="B10" s="54">
        <v>20.72</v>
      </c>
      <c r="C10" s="54">
        <v>44.77</v>
      </c>
      <c r="D10" s="54">
        <v>41.76</v>
      </c>
      <c r="E10" s="54">
        <v>2.2999999999999998</v>
      </c>
      <c r="F10" s="54">
        <v>3.08</v>
      </c>
      <c r="G10" s="54">
        <v>51.65</v>
      </c>
      <c r="H10" s="54">
        <v>26.52</v>
      </c>
      <c r="I10" s="54">
        <v>1.52</v>
      </c>
      <c r="J10" s="54">
        <v>0.40</v>
      </c>
      <c r="K10" s="54">
        <v>104.99</v>
      </c>
      <c r="L10" s="54">
        <v>18.46</v>
      </c>
      <c r="M10" s="54">
        <v>85.67</v>
      </c>
      <c r="N10" s="54">
        <v>24.5</v>
      </c>
      <c r="O10" s="54">
        <v>0</v>
      </c>
      <c r="P10" s="54">
        <v>1.1399999999999999</v>
      </c>
      <c r="Q10" s="54">
        <v>6.56</v>
      </c>
      <c r="R10" s="43"/>
      <c r="S10" s="43"/>
      <c r="T10" s="43"/>
      <c r="U10" s="43"/>
    </row>
    <row r="11" spans="1:21" s="11" customFormat="1" ht="15">
      <c r="A11" s="53" t="s">
        <v>760</v>
      </c>
      <c r="B11" s="54">
        <v>21.13</v>
      </c>
      <c r="C11" s="54">
        <v>40.85</v>
      </c>
      <c r="D11" s="54">
        <v>40.14</v>
      </c>
      <c r="E11" s="54">
        <v>2.31</v>
      </c>
      <c r="F11" s="54">
        <v>2.96</v>
      </c>
      <c r="G11" s="54">
        <v>52.79</v>
      </c>
      <c r="H11" s="54">
        <v>27.06</v>
      </c>
      <c r="I11" s="54">
        <v>1.5</v>
      </c>
      <c r="J11" s="54">
        <v>0.43</v>
      </c>
      <c r="K11" s="54">
        <v>345.88</v>
      </c>
      <c r="L11" s="54">
        <v>18.510000000000002</v>
      </c>
      <c r="M11" s="54">
        <v>90.39</v>
      </c>
      <c r="N11" s="54">
        <v>24.80</v>
      </c>
      <c r="O11" s="54">
        <v>0</v>
      </c>
      <c r="P11" s="54">
        <v>1.02</v>
      </c>
      <c r="Q11" s="54">
        <v>6.18</v>
      </c>
      <c r="R11" s="43"/>
      <c r="S11" s="43"/>
      <c r="T11" s="43"/>
      <c r="U11" s="43"/>
    </row>
    <row r="12" spans="1:21" s="11" customFormat="1" ht="15">
      <c r="A12" s="53" t="s">
        <v>761</v>
      </c>
      <c r="B12" s="54">
        <v>19.84</v>
      </c>
      <c r="C12" s="54">
        <v>40.11</v>
      </c>
      <c r="D12" s="54">
        <v>38.700000000000003</v>
      </c>
      <c r="E12" s="54">
        <v>2.34</v>
      </c>
      <c r="F12" s="54">
        <v>3.20</v>
      </c>
      <c r="G12" s="54">
        <v>53.45</v>
      </c>
      <c r="H12" s="54">
        <v>27.46</v>
      </c>
      <c r="I12" s="54">
        <v>1.57</v>
      </c>
      <c r="J12" s="54">
        <v>0.16</v>
      </c>
      <c r="K12" s="54">
        <v>343.92</v>
      </c>
      <c r="L12" s="54">
        <v>17.25</v>
      </c>
      <c r="M12" s="54">
        <v>94.14</v>
      </c>
      <c r="N12" s="54">
        <v>24.30</v>
      </c>
      <c r="O12" s="54">
        <v>0</v>
      </c>
      <c r="P12" s="54">
        <v>0.90</v>
      </c>
      <c r="Q12" s="54">
        <v>5.88</v>
      </c>
      <c r="R12" s="43"/>
      <c r="S12" s="43"/>
      <c r="T12" s="43"/>
      <c r="U12" s="43"/>
    </row>
    <row r="13" spans="1:21" s="11" customFormat="1" ht="15">
      <c r="A13" s="53" t="s">
        <v>762</v>
      </c>
      <c r="B13" s="54">
        <v>43.10</v>
      </c>
      <c r="C13" s="54">
        <v>42.58</v>
      </c>
      <c r="D13" s="54">
        <v>58.71</v>
      </c>
      <c r="E13" s="54">
        <v>2.27</v>
      </c>
      <c r="F13" s="54">
        <v>3.30</v>
      </c>
      <c r="G13" s="54">
        <v>53.45</v>
      </c>
      <c r="H13" s="54">
        <v>27.46</v>
      </c>
      <c r="I13" s="54">
        <v>1.54</v>
      </c>
      <c r="J13" s="54">
        <v>0.24</v>
      </c>
      <c r="K13" s="54">
        <v>341.38</v>
      </c>
      <c r="L13" s="54">
        <v>17.079999999999998</v>
      </c>
      <c r="M13" s="54">
        <v>96.76</v>
      </c>
      <c r="N13" s="54">
        <v>24.5</v>
      </c>
      <c r="O13" s="54">
        <v>0</v>
      </c>
      <c r="P13" s="54">
        <v>0.84</v>
      </c>
      <c r="Q13" s="54">
        <v>5.85</v>
      </c>
      <c r="R13" s="43"/>
      <c r="S13" s="43"/>
      <c r="T13" s="43"/>
      <c r="U13" s="43"/>
    </row>
    <row r="14" spans="1:21" s="11" customFormat="1" ht="15">
      <c r="A14" s="53" t="s">
        <v>763</v>
      </c>
      <c r="B14" s="54">
        <v>50.05</v>
      </c>
      <c r="C14" s="54">
        <v>47.27</v>
      </c>
      <c r="D14" s="54">
        <v>66.87</v>
      </c>
      <c r="E14" s="54">
        <v>2.31</v>
      </c>
      <c r="F14" s="54">
        <v>3.33</v>
      </c>
      <c r="G14" s="54">
        <v>50.96</v>
      </c>
      <c r="H14" s="54">
        <v>27.28</v>
      </c>
      <c r="I14" s="54">
        <v>1.55</v>
      </c>
      <c r="J14" s="54">
        <v>1</v>
      </c>
      <c r="K14" s="54">
        <v>141.99</v>
      </c>
      <c r="L14" s="54">
        <v>17.43</v>
      </c>
      <c r="M14" s="54">
        <v>98</v>
      </c>
      <c r="N14" s="54">
        <v>24.20</v>
      </c>
      <c r="O14" s="54">
        <v>0</v>
      </c>
      <c r="P14" s="54">
        <v>0.79</v>
      </c>
      <c r="Q14" s="54">
        <v>6.17</v>
      </c>
      <c r="R14" s="43"/>
      <c r="S14" s="43"/>
      <c r="T14" s="43"/>
      <c r="U14" s="43"/>
    </row>
    <row r="15" spans="1:21" s="11" customFormat="1" ht="15">
      <c r="A15" s="53" t="s">
        <v>764</v>
      </c>
      <c r="B15" s="54">
        <v>54.99</v>
      </c>
      <c r="C15" s="54">
        <v>54.33</v>
      </c>
      <c r="D15" s="54">
        <v>73.73</v>
      </c>
      <c r="E15" s="54">
        <v>2.33</v>
      </c>
      <c r="F15" s="54">
        <v>3.30</v>
      </c>
      <c r="G15" s="54">
        <v>57.25</v>
      </c>
      <c r="H15" s="54">
        <v>28.78</v>
      </c>
      <c r="I15" s="54">
        <v>1.54</v>
      </c>
      <c r="J15" s="54">
        <v>0.95</v>
      </c>
      <c r="K15" s="54">
        <v>351.41</v>
      </c>
      <c r="L15" s="54">
        <v>17.41</v>
      </c>
      <c r="M15" s="54">
        <v>97.66</v>
      </c>
      <c r="N15" s="54">
        <v>67.5</v>
      </c>
      <c r="O15" s="54">
        <v>0</v>
      </c>
      <c r="P15" s="54">
        <v>0.82</v>
      </c>
      <c r="Q15" s="54">
        <v>6.61</v>
      </c>
      <c r="R15" s="43"/>
      <c r="S15" s="43"/>
      <c r="T15" s="43"/>
      <c r="U15" s="43"/>
    </row>
    <row r="16" spans="1:21" s="11" customFormat="1" ht="15">
      <c r="A16" s="53" t="s">
        <v>765</v>
      </c>
      <c r="B16" s="54">
        <v>52.20</v>
      </c>
      <c r="C16" s="54">
        <v>58.52</v>
      </c>
      <c r="D16" s="54">
        <v>74.80</v>
      </c>
      <c r="E16" s="54">
        <v>2.34</v>
      </c>
      <c r="F16" s="54">
        <v>3.13</v>
      </c>
      <c r="G16" s="54">
        <v>109.29</v>
      </c>
      <c r="H16" s="54">
        <v>40.83</v>
      </c>
      <c r="I16" s="54">
        <v>1.51</v>
      </c>
      <c r="J16" s="54">
        <v>1.37</v>
      </c>
      <c r="K16" s="54">
        <v>346.45</v>
      </c>
      <c r="L16" s="54">
        <v>19.829999999999998</v>
      </c>
      <c r="M16" s="54">
        <v>94.95</v>
      </c>
      <c r="N16" s="54">
        <v>194.40</v>
      </c>
      <c r="O16" s="54">
        <v>0</v>
      </c>
      <c r="P16" s="54">
        <v>1.01</v>
      </c>
      <c r="Q16" s="54">
        <v>7.01</v>
      </c>
      <c r="R16" s="43"/>
      <c r="S16" s="43"/>
      <c r="T16" s="43"/>
      <c r="U16" s="43"/>
    </row>
    <row r="17" spans="1:21" s="11" customFormat="1" ht="15">
      <c r="A17" s="53" t="s">
        <v>766</v>
      </c>
      <c r="B17" s="54">
        <v>52.66</v>
      </c>
      <c r="C17" s="54">
        <v>77.91</v>
      </c>
      <c r="D17" s="54">
        <v>80.75</v>
      </c>
      <c r="E17" s="54">
        <v>2.34</v>
      </c>
      <c r="F17" s="54">
        <v>3.26</v>
      </c>
      <c r="G17" s="54">
        <v>109.29</v>
      </c>
      <c r="H17" s="54">
        <v>43.84</v>
      </c>
      <c r="I17" s="54">
        <v>1.54</v>
      </c>
      <c r="J17" s="54">
        <v>0.84</v>
      </c>
      <c r="K17" s="54">
        <v>346.17</v>
      </c>
      <c r="L17" s="54">
        <v>24.71</v>
      </c>
      <c r="M17" s="54">
        <v>82.65</v>
      </c>
      <c r="N17" s="54">
        <v>423.60</v>
      </c>
      <c r="O17" s="54">
        <v>0</v>
      </c>
      <c r="P17" s="54">
        <v>1.21</v>
      </c>
      <c r="Q17" s="54">
        <v>7.58</v>
      </c>
      <c r="R17" s="43"/>
      <c r="S17" s="43"/>
      <c r="T17" s="43"/>
      <c r="U17" s="43"/>
    </row>
    <row r="18" spans="1:21" s="11" customFormat="1" ht="15">
      <c r="A18" s="53" t="s">
        <v>767</v>
      </c>
      <c r="B18" s="54">
        <v>32.68</v>
      </c>
      <c r="C18" s="54">
        <v>83.42</v>
      </c>
      <c r="D18" s="54">
        <v>62.26</v>
      </c>
      <c r="E18" s="54">
        <v>2.21</v>
      </c>
      <c r="F18" s="54">
        <v>3.13</v>
      </c>
      <c r="G18" s="54">
        <v>110.96</v>
      </c>
      <c r="H18" s="54">
        <v>47.61</v>
      </c>
      <c r="I18" s="54">
        <v>1.52</v>
      </c>
      <c r="J18" s="54">
        <v>0.51</v>
      </c>
      <c r="K18" s="54">
        <v>346.24</v>
      </c>
      <c r="L18" s="54">
        <v>26.67</v>
      </c>
      <c r="M18" s="54">
        <v>63.61</v>
      </c>
      <c r="N18" s="54">
        <v>582.29999999999995</v>
      </c>
      <c r="O18" s="54">
        <v>0</v>
      </c>
      <c r="P18" s="54">
        <v>1.24</v>
      </c>
      <c r="Q18" s="54">
        <v>7.58</v>
      </c>
      <c r="R18" s="43"/>
      <c r="S18" s="43"/>
      <c r="T18" s="43"/>
      <c r="U18" s="43"/>
    </row>
    <row r="19" spans="1:21" s="11" customFormat="1" ht="15">
      <c r="A19" s="53" t="s">
        <v>768</v>
      </c>
      <c r="B19" s="54">
        <v>13.64</v>
      </c>
      <c r="C19" s="54">
        <v>87.49</v>
      </c>
      <c r="D19" s="54">
        <v>59.86</v>
      </c>
      <c r="E19" s="54">
        <v>2.2599999999999998</v>
      </c>
      <c r="F19" s="54">
        <v>3.45</v>
      </c>
      <c r="G19" s="54">
        <v>110.96</v>
      </c>
      <c r="H19" s="54">
        <v>47.61</v>
      </c>
      <c r="I19" s="54">
        <v>1.54</v>
      </c>
      <c r="J19" s="54">
        <v>0.88</v>
      </c>
      <c r="K19" s="54">
        <v>334.55</v>
      </c>
      <c r="L19" s="54">
        <v>29.97</v>
      </c>
      <c r="M19" s="54">
        <v>46.31</v>
      </c>
      <c r="N19" s="54">
        <v>669.5</v>
      </c>
      <c r="O19" s="54">
        <v>0</v>
      </c>
      <c r="P19" s="54">
        <v>1.25</v>
      </c>
      <c r="Q19" s="54">
        <v>7.09</v>
      </c>
      <c r="R19" s="43"/>
      <c r="S19" s="43"/>
      <c r="T19" s="43"/>
      <c r="U19" s="43"/>
    </row>
    <row r="20" spans="1:21" s="11" customFormat="1" ht="15">
      <c r="A20" s="53" t="s">
        <v>769</v>
      </c>
      <c r="B20" s="54">
        <v>12.37</v>
      </c>
      <c r="C20" s="54">
        <v>75.5</v>
      </c>
      <c r="D20" s="54">
        <v>47.94</v>
      </c>
      <c r="E20" s="54">
        <v>2.29</v>
      </c>
      <c r="F20" s="54">
        <v>3.49</v>
      </c>
      <c r="G20" s="54">
        <v>89.87</v>
      </c>
      <c r="H20" s="54">
        <v>44.09</v>
      </c>
      <c r="I20" s="54">
        <v>1.58</v>
      </c>
      <c r="J20" s="54">
        <v>0.87</v>
      </c>
      <c r="K20" s="54">
        <v>345.70</v>
      </c>
      <c r="L20" s="54">
        <v>30.58</v>
      </c>
      <c r="M20" s="54">
        <v>51.11</v>
      </c>
      <c r="N20" s="54">
        <v>697.10</v>
      </c>
      <c r="O20" s="54">
        <v>0</v>
      </c>
      <c r="P20" s="54">
        <v>1.25</v>
      </c>
      <c r="Q20" s="54">
        <v>6.62</v>
      </c>
      <c r="R20" s="43"/>
      <c r="S20" s="43"/>
      <c r="T20" s="43"/>
      <c r="U20" s="43"/>
    </row>
    <row r="21" spans="1:21" s="11" customFormat="1" ht="15">
      <c r="A21" s="53" t="s">
        <v>770</v>
      </c>
      <c r="B21" s="54">
        <v>8.75</v>
      </c>
      <c r="C21" s="54">
        <v>67.94</v>
      </c>
      <c r="D21" s="54">
        <v>44.95</v>
      </c>
      <c r="E21" s="54">
        <v>2.31</v>
      </c>
      <c r="F21" s="54">
        <v>3.59</v>
      </c>
      <c r="G21" s="54">
        <v>77.400000000000006</v>
      </c>
      <c r="H21" s="54">
        <v>43.62</v>
      </c>
      <c r="I21" s="54">
        <v>1.54</v>
      </c>
      <c r="J21" s="54">
        <v>0.57999999999999996</v>
      </c>
      <c r="K21" s="54">
        <v>356.58</v>
      </c>
      <c r="L21" s="54">
        <v>29.44</v>
      </c>
      <c r="M21" s="54">
        <v>47.80</v>
      </c>
      <c r="N21" s="54">
        <v>664.20</v>
      </c>
      <c r="O21" s="54">
        <v>0</v>
      </c>
      <c r="P21" s="54">
        <v>1.23</v>
      </c>
      <c r="Q21" s="54">
        <v>6</v>
      </c>
      <c r="R21" s="43"/>
      <c r="S21" s="43"/>
      <c r="T21" s="43"/>
      <c r="U21" s="43"/>
    </row>
    <row r="22" spans="1:21" s="11" customFormat="1" ht="15">
      <c r="A22" s="53" t="s">
        <v>771</v>
      </c>
      <c r="B22" s="54">
        <v>7.67</v>
      </c>
      <c r="C22" s="54">
        <v>82.01</v>
      </c>
      <c r="D22" s="54">
        <v>51.74</v>
      </c>
      <c r="E22" s="54">
        <v>2.39</v>
      </c>
      <c r="F22" s="54">
        <v>3.81</v>
      </c>
      <c r="G22" s="54">
        <v>71.52</v>
      </c>
      <c r="H22" s="54">
        <v>42.72</v>
      </c>
      <c r="I22" s="54">
        <v>1.52</v>
      </c>
      <c r="J22" s="54">
        <v>0.85</v>
      </c>
      <c r="K22" s="54">
        <v>340.46</v>
      </c>
      <c r="L22" s="54">
        <v>30.77</v>
      </c>
      <c r="M22" s="54">
        <v>40.57</v>
      </c>
      <c r="N22" s="54">
        <v>582.10</v>
      </c>
      <c r="O22" s="54">
        <v>0</v>
      </c>
      <c r="P22" s="54">
        <v>1.17</v>
      </c>
      <c r="Q22" s="54">
        <v>5.68</v>
      </c>
      <c r="R22" s="43"/>
      <c r="S22" s="43"/>
      <c r="T22" s="43"/>
      <c r="U22" s="43"/>
    </row>
    <row r="23" spans="1:21" s="11" customFormat="1" ht="15">
      <c r="A23" s="53" t="s">
        <v>772</v>
      </c>
      <c r="B23" s="54">
        <v>5.94</v>
      </c>
      <c r="C23" s="54">
        <v>63.86</v>
      </c>
      <c r="D23" s="54">
        <v>40.56</v>
      </c>
      <c r="E23" s="54">
        <v>2.2599999999999998</v>
      </c>
      <c r="F23" s="54">
        <v>3.64</v>
      </c>
      <c r="G23" s="54">
        <v>69.42</v>
      </c>
      <c r="H23" s="54">
        <v>39.78</v>
      </c>
      <c r="I23" s="54">
        <v>1.56</v>
      </c>
      <c r="J23" s="54">
        <v>0.78</v>
      </c>
      <c r="K23" s="54">
        <v>107.45</v>
      </c>
      <c r="L23" s="54">
        <v>29.12</v>
      </c>
      <c r="M23" s="54">
        <v>44.71</v>
      </c>
      <c r="N23" s="54">
        <v>187.80</v>
      </c>
      <c r="O23" s="54">
        <v>0</v>
      </c>
      <c r="P23" s="54">
        <v>1.1499999999999999</v>
      </c>
      <c r="Q23" s="54">
        <v>5.0599999999999996</v>
      </c>
      <c r="R23" s="43"/>
      <c r="S23" s="43"/>
      <c r="T23" s="43"/>
      <c r="U23" s="43"/>
    </row>
    <row r="24" spans="1:21" s="11" customFormat="1" ht="15">
      <c r="A24" s="53" t="s">
        <v>773</v>
      </c>
      <c r="B24" s="54">
        <v>8.44</v>
      </c>
      <c r="C24" s="54">
        <v>55.01</v>
      </c>
      <c r="D24" s="54">
        <v>37.770000000000003</v>
      </c>
      <c r="E24" s="54">
        <v>2.23</v>
      </c>
      <c r="F24" s="54">
        <v>3.83</v>
      </c>
      <c r="G24" s="54">
        <v>63.13</v>
      </c>
      <c r="H24" s="54">
        <v>36.17</v>
      </c>
      <c r="I24" s="54">
        <v>1.5</v>
      </c>
      <c r="J24" s="54">
        <v>0.66</v>
      </c>
      <c r="K24" s="54">
        <v>357.04</v>
      </c>
      <c r="L24" s="54">
        <v>26.54</v>
      </c>
      <c r="M24" s="54">
        <v>46.42</v>
      </c>
      <c r="N24" s="54">
        <v>119</v>
      </c>
      <c r="O24" s="54">
        <v>0</v>
      </c>
      <c r="P24" s="54">
        <v>1.03</v>
      </c>
      <c r="Q24" s="54">
        <v>5.20</v>
      </c>
      <c r="R24" s="43"/>
      <c r="S24" s="43"/>
      <c r="T24" s="43"/>
      <c r="U24" s="43"/>
    </row>
    <row r="25" spans="1:21" s="11" customFormat="1" ht="15">
      <c r="A25" s="53" t="s">
        <v>774</v>
      </c>
      <c r="B25" s="54">
        <v>42.21</v>
      </c>
      <c r="C25" s="54">
        <v>95.30</v>
      </c>
      <c r="D25" s="54">
        <v>87.09</v>
      </c>
      <c r="E25" s="54">
        <v>2.38</v>
      </c>
      <c r="F25" s="54">
        <v>3.56</v>
      </c>
      <c r="G25" s="54">
        <v>63.70</v>
      </c>
      <c r="H25" s="54">
        <v>32.61</v>
      </c>
      <c r="I25" s="54">
        <v>1.55</v>
      </c>
      <c r="J25" s="54">
        <v>0.19</v>
      </c>
      <c r="K25" s="54">
        <v>353.83</v>
      </c>
      <c r="L25" s="54">
        <v>26.22</v>
      </c>
      <c r="M25" s="54">
        <v>52.47</v>
      </c>
      <c r="N25" s="54">
        <v>79</v>
      </c>
      <c r="O25" s="54">
        <v>0</v>
      </c>
      <c r="P25" s="54">
        <v>1.33</v>
      </c>
      <c r="Q25" s="54">
        <v>5.04</v>
      </c>
      <c r="R25" s="43"/>
      <c r="S25" s="43"/>
      <c r="T25" s="43"/>
      <c r="U25" s="43"/>
    </row>
    <row r="26" spans="1:21" s="11" customFormat="1" ht="15">
      <c r="A26" s="53" t="s">
        <v>775</v>
      </c>
      <c r="B26" s="54">
        <v>54.5</v>
      </c>
      <c r="C26" s="54">
        <v>84.79</v>
      </c>
      <c r="D26" s="54">
        <v>91.15</v>
      </c>
      <c r="E26" s="54">
        <v>2.41</v>
      </c>
      <c r="F26" s="54">
        <v>3.43</v>
      </c>
      <c r="G26" s="54">
        <v>72.88</v>
      </c>
      <c r="H26" s="54">
        <v>39.90</v>
      </c>
      <c r="I26" s="54">
        <v>1.56</v>
      </c>
      <c r="J26" s="54">
        <v>0.22</v>
      </c>
      <c r="K26" s="54">
        <v>346.49</v>
      </c>
      <c r="L26" s="54">
        <v>24.35</v>
      </c>
      <c r="M26" s="54">
        <v>62.90</v>
      </c>
      <c r="N26" s="54">
        <v>23.20</v>
      </c>
      <c r="O26" s="54">
        <v>0</v>
      </c>
      <c r="P26" s="54">
        <v>1.86</v>
      </c>
      <c r="Q26" s="54">
        <v>5.68</v>
      </c>
      <c r="R26" s="43"/>
      <c r="S26" s="43"/>
      <c r="T26" s="43"/>
      <c r="U26" s="43"/>
    </row>
    <row r="27" spans="1:21" s="11" customFormat="1" ht="15">
      <c r="A27" s="53" t="s">
        <v>776</v>
      </c>
      <c r="B27" s="54">
        <v>36.58</v>
      </c>
      <c r="C27" s="54">
        <v>83.97</v>
      </c>
      <c r="D27" s="54">
        <v>76.319999999999993</v>
      </c>
      <c r="E27" s="54">
        <v>2.48</v>
      </c>
      <c r="F27" s="54">
        <v>3.46</v>
      </c>
      <c r="G27" s="54">
        <v>91.16</v>
      </c>
      <c r="H27" s="54">
        <v>39.90</v>
      </c>
      <c r="I27" s="54">
        <v>1.53</v>
      </c>
      <c r="J27" s="54">
        <v>0.18</v>
      </c>
      <c r="K27" s="54">
        <v>81.02</v>
      </c>
      <c r="L27" s="54">
        <v>23.70</v>
      </c>
      <c r="M27" s="54">
        <v>59.65</v>
      </c>
      <c r="N27" s="54">
        <v>19.80</v>
      </c>
      <c r="O27" s="54">
        <v>0</v>
      </c>
      <c r="P27" s="54">
        <v>1.69</v>
      </c>
      <c r="Q27" s="54">
        <v>6.08</v>
      </c>
      <c r="R27" s="43"/>
      <c r="S27" s="43"/>
      <c r="T27" s="43"/>
      <c r="U27" s="43"/>
    </row>
    <row r="28" spans="1:21" s="11" customFormat="1" ht="15">
      <c r="A28" s="53" t="s">
        <v>777</v>
      </c>
      <c r="B28" s="54">
        <v>20.55</v>
      </c>
      <c r="C28" s="54">
        <v>79.38</v>
      </c>
      <c r="D28" s="54">
        <v>60.94</v>
      </c>
      <c r="E28" s="54">
        <v>2.42</v>
      </c>
      <c r="F28" s="54">
        <v>3.36</v>
      </c>
      <c r="G28" s="54">
        <v>92.68</v>
      </c>
      <c r="H28" s="54">
        <v>23.94</v>
      </c>
      <c r="I28" s="54">
        <v>1.56</v>
      </c>
      <c r="J28" s="54">
        <v>0.60</v>
      </c>
      <c r="K28" s="54">
        <v>104.88</v>
      </c>
      <c r="L28" s="54">
        <v>23.33</v>
      </c>
      <c r="M28" s="54">
        <v>59.18</v>
      </c>
      <c r="N28" s="54">
        <v>19.600000000000001</v>
      </c>
      <c r="O28" s="54">
        <v>0</v>
      </c>
      <c r="P28" s="54">
        <v>1.59</v>
      </c>
      <c r="Q28" s="54">
        <v>6.18</v>
      </c>
      <c r="R28" s="43"/>
      <c r="S28" s="43"/>
      <c r="T28" s="43"/>
      <c r="U28" s="43"/>
    </row>
    <row r="29" spans="1:21" s="11" customFormat="1" ht="15">
      <c r="A29" s="53" t="s">
        <v>778</v>
      </c>
      <c r="B29" s="54">
        <v>18.5</v>
      </c>
      <c r="C29" s="54">
        <v>50.91</v>
      </c>
      <c r="D29" s="54">
        <v>42.96</v>
      </c>
      <c r="E29" s="54">
        <v>2.2799999999999998</v>
      </c>
      <c r="F29" s="54">
        <v>3.47</v>
      </c>
      <c r="G29" s="54">
        <v>92.68</v>
      </c>
      <c r="H29" s="54">
        <v>36.340000000000003</v>
      </c>
      <c r="I29" s="54">
        <v>1.55</v>
      </c>
      <c r="J29" s="54">
        <v>0.31</v>
      </c>
      <c r="K29" s="54">
        <v>105.13</v>
      </c>
      <c r="L29" s="54">
        <v>23.01</v>
      </c>
      <c r="M29" s="54">
        <v>63.77</v>
      </c>
      <c r="N29" s="54">
        <v>19.600000000000001</v>
      </c>
      <c r="O29" s="54">
        <v>0</v>
      </c>
      <c r="P29" s="54">
        <v>1.46</v>
      </c>
      <c r="Q29" s="54">
        <v>6.17</v>
      </c>
      <c r="R29" s="43"/>
      <c r="S29" s="43"/>
      <c r="T29" s="43"/>
      <c r="U29" s="43"/>
    </row>
    <row r="30" spans="1:21" s="11" customFormat="1" ht="15">
      <c r="A30" s="53" t="s">
        <v>779</v>
      </c>
      <c r="B30" s="54">
        <v>13.98</v>
      </c>
      <c r="C30" s="54">
        <v>49.82</v>
      </c>
      <c r="D30" s="54">
        <v>39.090000000000003</v>
      </c>
      <c r="E30" s="54">
        <v>2.29</v>
      </c>
      <c r="F30" s="54">
        <v>3.43</v>
      </c>
      <c r="G30" s="54">
        <v>82.26</v>
      </c>
      <c r="H30" s="54">
        <v>40.17</v>
      </c>
      <c r="I30" s="54">
        <v>1.57</v>
      </c>
      <c r="J30" s="54">
        <v>0.62</v>
      </c>
      <c r="K30" s="54">
        <v>119.90</v>
      </c>
      <c r="L30" s="54">
        <v>22.27</v>
      </c>
      <c r="M30" s="54">
        <v>65.989999999999995</v>
      </c>
      <c r="N30" s="54">
        <v>19.70</v>
      </c>
      <c r="O30" s="54">
        <v>0</v>
      </c>
      <c r="P30" s="54">
        <v>1.38</v>
      </c>
      <c r="Q30" s="54">
        <v>5.64</v>
      </c>
      <c r="R30" s="43"/>
      <c r="S30" s="43"/>
      <c r="T30" s="43"/>
      <c r="U30" s="43"/>
    </row>
    <row r="31" spans="1:21" s="11" customFormat="1" ht="15">
      <c r="A31" s="53" t="s">
        <v>780</v>
      </c>
      <c r="B31" s="54">
        <v>11.61</v>
      </c>
      <c r="C31" s="54">
        <v>50.87</v>
      </c>
      <c r="D31" s="54">
        <v>38.03</v>
      </c>
      <c r="E31" s="54">
        <v>2.23</v>
      </c>
      <c r="F31" s="54">
        <v>3.24</v>
      </c>
      <c r="G31" s="54">
        <v>79.17</v>
      </c>
      <c r="H31" s="54">
        <v>40.17</v>
      </c>
      <c r="I31" s="54">
        <v>1.56</v>
      </c>
      <c r="J31" s="54">
        <v>0.40</v>
      </c>
      <c r="K31" s="54">
        <v>121.17</v>
      </c>
      <c r="L31" s="54">
        <v>21.52</v>
      </c>
      <c r="M31" s="54">
        <v>70.459999999999994</v>
      </c>
      <c r="N31" s="54">
        <v>19.600000000000001</v>
      </c>
      <c r="O31" s="54">
        <v>0</v>
      </c>
      <c r="P31" s="54">
        <v>1.28</v>
      </c>
      <c r="Q31" s="54">
        <v>5.25</v>
      </c>
      <c r="R31" s="43"/>
      <c r="S31" s="43"/>
      <c r="T31" s="43"/>
      <c r="U31" s="43"/>
    </row>
    <row r="32" spans="1:21" s="11" customFormat="1" ht="15">
      <c r="A32" s="53" t="s">
        <v>781</v>
      </c>
      <c r="B32" s="54">
        <v>9.68</v>
      </c>
      <c r="C32" s="54">
        <v>55.42</v>
      </c>
      <c r="D32" s="54">
        <v>38.01</v>
      </c>
      <c r="E32" s="54">
        <v>2.29</v>
      </c>
      <c r="F32" s="54">
        <v>3.21</v>
      </c>
      <c r="G32" s="54">
        <v>72.09</v>
      </c>
      <c r="H32" s="54">
        <v>35.58</v>
      </c>
      <c r="I32" s="54">
        <v>1.56</v>
      </c>
      <c r="J32" s="54">
        <v>0.64</v>
      </c>
      <c r="K32" s="54">
        <v>124.18</v>
      </c>
      <c r="L32" s="54">
        <v>20.94</v>
      </c>
      <c r="M32" s="54">
        <v>73.61</v>
      </c>
      <c r="N32" s="54">
        <v>19.70</v>
      </c>
      <c r="O32" s="54">
        <v>0</v>
      </c>
      <c r="P32" s="54">
        <v>1.17</v>
      </c>
      <c r="Q32" s="54">
        <v>5.0199999999999996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5.9400000000000004</v>
      </c>
      <c r="C34" s="28">
        <f t="shared" si="0"/>
        <v>40.109999999999999</v>
      </c>
      <c r="D34" s="28">
        <f t="shared" si="0"/>
        <v>37.770000000000003</v>
      </c>
      <c r="E34" s="28">
        <f t="shared" si="0"/>
        <v>2.21</v>
      </c>
      <c r="F34" s="28">
        <f t="shared" si="0"/>
        <v>2.96</v>
      </c>
      <c r="G34" s="28">
        <f t="shared" si="0"/>
        <v>50.960000000000001</v>
      </c>
      <c r="H34" s="28">
        <f t="shared" si="0"/>
        <v>23.940000000000001</v>
      </c>
      <c r="I34" s="28">
        <f t="shared" si="0"/>
        <v>1.5</v>
      </c>
      <c r="J34" s="28">
        <f t="shared" si="0"/>
        <v>0.16</v>
      </c>
      <c r="K34" s="28">
        <f t="shared" si="0"/>
        <v>81.019999999999996</v>
      </c>
      <c r="L34" s="28">
        <f t="shared" si="0"/>
        <v>17.079999999999998</v>
      </c>
      <c r="M34" s="28">
        <f t="shared" si="0"/>
        <v>40.57</v>
      </c>
      <c r="N34" s="28">
        <f t="shared" si="0"/>
        <v>19.600000000000001</v>
      </c>
      <c r="O34" s="28">
        <f t="shared" si="0"/>
        <v>0</v>
      </c>
      <c r="P34" s="28">
        <f t="shared" si="0"/>
        <v>0.79000000000000004</v>
      </c>
      <c r="Q34" s="28">
        <f t="shared" si="0"/>
        <v>5.0199999999999996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54.990000000000002</v>
      </c>
      <c r="C35" s="29">
        <f t="shared" si="1"/>
        <v>95.299999999999997</v>
      </c>
      <c r="D35" s="29">
        <f t="shared" si="1"/>
        <v>91.150000000000006</v>
      </c>
      <c r="E35" s="29">
        <f t="shared" si="1"/>
        <v>2.48</v>
      </c>
      <c r="F35" s="29">
        <f t="shared" si="1"/>
        <v>3.8300000000000001</v>
      </c>
      <c r="G35" s="29">
        <f t="shared" si="1"/>
        <v>110.95999999999999</v>
      </c>
      <c r="H35" s="29">
        <f t="shared" si="1"/>
        <v>47.609999999999999</v>
      </c>
      <c r="I35" s="29">
        <f t="shared" si="1"/>
        <v>1.5800000000000001</v>
      </c>
      <c r="J35" s="29">
        <f t="shared" si="1"/>
        <v>1.3700000000000001</v>
      </c>
      <c r="K35" s="29">
        <f t="shared" si="1"/>
        <v>357.04000000000002</v>
      </c>
      <c r="L35" s="29">
        <f t="shared" si="1"/>
        <v>30.77</v>
      </c>
      <c r="M35" s="29">
        <f t="shared" si="1"/>
        <v>98</v>
      </c>
      <c r="N35" s="29">
        <f t="shared" si="1"/>
        <v>697.10000000000002</v>
      </c>
      <c r="O35" s="29">
        <f t="shared" si="1"/>
        <v>0</v>
      </c>
      <c r="P35" s="29">
        <f t="shared" si="1"/>
        <v>1.8600000000000001</v>
      </c>
      <c r="Q35" s="29">
        <f t="shared" si="1"/>
        <v>7.5800000000000001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26.49625</v>
      </c>
      <c r="C36" s="28">
        <f t="shared" si="2"/>
        <v>63.302083333333336</v>
      </c>
      <c r="D36" s="28">
        <f t="shared" si="2"/>
        <v>55.800833333333323</v>
      </c>
      <c r="E36" s="28">
        <f t="shared" si="2"/>
        <v>2.3191666666666659</v>
      </c>
      <c r="F36" s="28">
        <f t="shared" si="2"/>
        <v>3.3683333333333327</v>
      </c>
      <c r="G36" s="28">
        <f t="shared" si="2"/>
        <v>76.438333333333361</v>
      </c>
      <c r="H36" s="28">
        <f t="shared" si="2"/>
        <v>36.321666666666665</v>
      </c>
      <c r="I36" s="28">
        <f t="shared" si="2"/>
        <v>1.5420833333333335</v>
      </c>
      <c r="J36" s="28">
        <f t="shared" si="2"/>
        <v>0.58291666666666664</v>
      </c>
      <c r="K36" s="28">
        <f t="shared" si="2"/>
        <v>249.90708333333336</v>
      </c>
      <c r="L36" s="28">
        <f t="shared" si="2"/>
        <v>23.25375</v>
      </c>
      <c r="M36" s="28">
        <f t="shared" si="2"/>
        <v>69.662916666666675</v>
      </c>
      <c r="N36" s="28">
        <f t="shared" si="2"/>
        <v>189.76666666666668</v>
      </c>
      <c r="O36" s="28">
        <f t="shared" si="2"/>
        <v>0</v>
      </c>
      <c r="P36" s="28">
        <f t="shared" si="2"/>
        <v>1.2166666666666668</v>
      </c>
      <c r="Q36" s="28">
        <f t="shared" si="2"/>
        <v>6.1320833333333331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17.212064225167889</v>
      </c>
      <c r="C37" s="28">
        <f t="shared" si="3" ref="C37:Q37">STDEV(C9:C32)</f>
        <v>17.382707043687574</v>
      </c>
      <c r="D37" s="28">
        <f t="shared" si="3"/>
        <v>17.257051971690426</v>
      </c>
      <c r="E37" s="28">
        <f t="shared" si="3"/>
        <v>0.066392552402331662</v>
      </c>
      <c r="F37" s="28">
        <f t="shared" si="3"/>
        <v>0.21939970803094028</v>
      </c>
      <c r="G37" s="28">
        <f t="shared" si="3"/>
        <v>20.428513676097147</v>
      </c>
      <c r="H37" s="28">
        <f t="shared" si="3"/>
        <v>7.2680705331856821</v>
      </c>
      <c r="I37" s="28">
        <f t="shared" si="3"/>
        <v>0.021865033961668761</v>
      </c>
      <c r="J37" s="28">
        <f t="shared" si="3"/>
        <v>0.31453871216318569</v>
      </c>
      <c r="K37" s="28">
        <f t="shared" si="3"/>
        <v>117.76908014818349</v>
      </c>
      <c r="L37" s="28">
        <f t="shared" si="3"/>
        <v>4.6148963081289844</v>
      </c>
      <c r="M37" s="28">
        <f t="shared" si="3"/>
        <v>19.364800985554766</v>
      </c>
      <c r="N37" s="28">
        <f t="shared" si="3"/>
        <v>253.05799930943257</v>
      </c>
      <c r="O37" s="28">
        <f t="shared" si="3"/>
        <v>0</v>
      </c>
      <c r="P37" s="28">
        <f t="shared" si="3"/>
        <v>0.26584838220090751</v>
      </c>
      <c r="Q37" s="28">
        <f t="shared" si="3"/>
        <v>0.76335631412784288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17055d-a588-47ee-8f93-e91d0c2c6f92}">
  <sheetPr codeName=""/>
  <dimension ref="A1:X54"/>
  <sheetViews>
    <sheetView tabSelected="1" workbookViewId="0" topLeftCell="A1">
      <pane xSplit="1" ySplit="8" topLeftCell="B12" activePane="bottomRight" state="frozen"/>
      <selection pane="topLeft" activeCell="B2" sqref="B2"/>
      <selection pane="topRight" activeCell="B2" sqref="B2"/>
      <selection pane="bottomLeft" activeCell="B2" sqref="B2"/>
      <selection pane="bottomRight" activeCell="P28" sqref="P28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01-11-2023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01-11-2023 01:00</v>
      </c>
      <c r="B9" s="24">
        <f>'01'!B36</f>
        <v>10.849166666666667</v>
      </c>
      <c r="C9" s="24">
        <f>'01'!C36</f>
        <v>34.016249999999999</v>
      </c>
      <c r="D9" s="24">
        <f>'01'!D36</f>
        <v>28.358750000000001</v>
      </c>
      <c r="E9" s="24">
        <f>'01'!E36</f>
        <v>1.6208333333333336</v>
      </c>
      <c r="F9" s="24">
        <f>'01'!F36</f>
        <v>7.6149999999999993</v>
      </c>
      <c r="G9" s="24">
        <f>'01'!G36</f>
        <v>93.812500000000014</v>
      </c>
      <c r="H9" s="24">
        <f>'01'!H36</f>
        <v>46.365416666666668</v>
      </c>
      <c r="I9" s="24">
        <f>'01'!I36</f>
        <v>1.5408333333333333</v>
      </c>
      <c r="J9" s="24">
        <f>'01'!J36</f>
        <v>0.50083333333333335</v>
      </c>
      <c r="K9" s="24">
        <f>'01'!K36</f>
        <v>187.77500000000001</v>
      </c>
      <c r="L9" s="24">
        <f>'01'!L36</f>
        <v>23.062500000000011</v>
      </c>
      <c r="M9" s="24">
        <f>'01'!M36</f>
        <v>66.735833333333332</v>
      </c>
      <c r="N9" s="24">
        <f>'01'!N36</f>
        <v>84.31578947368422</v>
      </c>
      <c r="O9" s="24">
        <f>'01'!O36</f>
        <v>0</v>
      </c>
      <c r="P9" s="30">
        <f>'01'!$P$36</f>
        <v>0.98541666666666672</v>
      </c>
      <c r="Q9" s="24">
        <f>'01'!Q36</f>
        <v>5.0624999999999991</v>
      </c>
      <c r="R9" s="45"/>
      <c r="S9" s="45"/>
      <c r="T9" s="45"/>
      <c r="U9" s="46"/>
    </row>
    <row r="10" spans="1:21" s="34" customFormat="1" ht="15">
      <c r="A10" s="36" t="str">
        <f>'02'!$B$2</f>
        <v>02-11-2023 01:00</v>
      </c>
      <c r="B10" s="33">
        <f>'02'!B36</f>
        <v>14.251249999999999</v>
      </c>
      <c r="C10" s="33">
        <f>'02'!C36</f>
        <v>35.527916666666663</v>
      </c>
      <c r="D10" s="33">
        <f>'02'!D36</f>
        <v>31.453333333333337</v>
      </c>
      <c r="E10" s="33">
        <f>'02'!E36</f>
        <v>2.1712500000000001</v>
      </c>
      <c r="F10" s="33">
        <f>'02'!F36</f>
        <v>5.8716666666666661</v>
      </c>
      <c r="G10" s="33">
        <f>'02'!G36</f>
        <v>120.0983333333333</v>
      </c>
      <c r="H10" s="33">
        <f>'02'!H36</f>
        <v>55.332916666666655</v>
      </c>
      <c r="I10" s="33">
        <f>'02'!I36</f>
        <v>1.5441666666666667</v>
      </c>
      <c r="J10" s="33">
        <f>'02'!J36</f>
        <v>0.53125</v>
      </c>
      <c r="K10" s="33">
        <f>'02'!K36</f>
        <v>261.03916666666663</v>
      </c>
      <c r="L10" s="33">
        <f>'02'!L36</f>
        <v>24.096666666666664</v>
      </c>
      <c r="M10" s="33">
        <f>'02'!M36</f>
        <v>74.287083333333328</v>
      </c>
      <c r="N10" s="33">
        <f>'02'!N36</f>
        <v>163.19999999999999</v>
      </c>
      <c r="O10" s="33">
        <f>'02'!O36</f>
        <v>0</v>
      </c>
      <c r="P10" s="30">
        <f>'02'!$P$36</f>
        <v>1.3195833333333333</v>
      </c>
      <c r="Q10" s="33">
        <f>'02'!Q36</f>
        <v>5.3825000000000003</v>
      </c>
      <c r="R10" s="47"/>
      <c r="S10" s="47"/>
      <c r="T10" s="47"/>
      <c r="U10" s="47"/>
    </row>
    <row r="11" spans="1:21" s="34" customFormat="1" ht="15">
      <c r="A11" s="36" t="str">
        <f>'03'!$B$2</f>
        <v>03-11-2023 01:00</v>
      </c>
      <c r="B11" s="33">
        <f>'03'!B36</f>
        <v>20.272916666666664</v>
      </c>
      <c r="C11" s="33">
        <f>'03'!C36</f>
        <v>34.884999999999998</v>
      </c>
      <c r="D11" s="33">
        <f>'03'!D36</f>
        <v>36.290416666666665</v>
      </c>
      <c r="E11" s="33">
        <f>'03'!E36</f>
        <v>3.6374999999999997</v>
      </c>
      <c r="F11" s="33">
        <f>'03'!F36</f>
        <v>5.2387499999999996</v>
      </c>
      <c r="G11" s="33">
        <f>'03'!G36</f>
        <v>123.64041666666667</v>
      </c>
      <c r="H11" s="33">
        <f>'03'!H36</f>
        <v>61.197916666666664</v>
      </c>
      <c r="I11" s="33">
        <f>'03'!I36</f>
        <v>1.5520833333333337</v>
      </c>
      <c r="J11" s="33">
        <f>'03'!J36</f>
        <v>0.60791666666666666</v>
      </c>
      <c r="K11" s="33">
        <f>'03'!K36</f>
        <v>278.33124999999995</v>
      </c>
      <c r="L11" s="33">
        <f>'03'!L36</f>
        <v>24.59</v>
      </c>
      <c r="M11" s="33">
        <f>'03'!M36</f>
        <v>81.303333333333327</v>
      </c>
      <c r="N11" s="33">
        <f>'03'!N36</f>
        <v>187.33750000000001</v>
      </c>
      <c r="O11" s="33">
        <f>'03'!O36</f>
        <v>0.23333333333333331</v>
      </c>
      <c r="P11" s="30">
        <f>'03'!$P$36</f>
        <v>1.3245833333333334</v>
      </c>
      <c r="Q11" s="33">
        <f>'03'!Q36</f>
        <v>5.8754166666666663</v>
      </c>
      <c r="R11" s="47"/>
      <c r="S11" s="47"/>
      <c r="T11" s="47"/>
      <c r="U11" s="47"/>
    </row>
    <row r="12" spans="1:21" s="34" customFormat="1" ht="15">
      <c r="A12" s="36" t="str">
        <f>'04'!$B$2</f>
        <v>04-11-2023 01:00</v>
      </c>
      <c r="B12" s="33">
        <f>'04'!B36</f>
        <v>17.390833333333333</v>
      </c>
      <c r="C12" s="33">
        <f>'04'!C36</f>
        <v>37.681666666666665</v>
      </c>
      <c r="D12" s="33">
        <f>'04'!D36</f>
        <v>35.310000000000009</v>
      </c>
      <c r="E12" s="33">
        <f>'04'!E36</f>
        <v>4.2590476190476201</v>
      </c>
      <c r="F12" s="33">
        <f>'04'!F36</f>
        <v>7.8233333333333333</v>
      </c>
      <c r="G12" s="33">
        <f>'04'!G36</f>
        <v>81.254285714285729</v>
      </c>
      <c r="H12" s="33">
        <f>'04'!H36</f>
        <v>39.997619047619047</v>
      </c>
      <c r="I12" s="33">
        <f>'04'!I36</f>
        <v>1.5466666666666669</v>
      </c>
      <c r="J12" s="33">
        <f>'04'!J36</f>
        <v>0.46375000000000005</v>
      </c>
      <c r="K12" s="33">
        <f>'04'!K36</f>
        <v>240.13708333333332</v>
      </c>
      <c r="L12" s="33">
        <f>'04'!L36</f>
        <v>24.186666666666678</v>
      </c>
      <c r="M12" s="33">
        <f>'04'!M36</f>
        <v>82.132916666666688</v>
      </c>
      <c r="N12" s="33">
        <f>'04'!N36</f>
        <v>215.17916666666667</v>
      </c>
      <c r="O12" s="33">
        <f>'04'!O36</f>
        <v>0</v>
      </c>
      <c r="P12" s="30">
        <f>'04'!$P$36</f>
        <v>1.0258333333333332</v>
      </c>
      <c r="Q12" s="33">
        <f>'04'!Q36</f>
        <v>5.251666666666666</v>
      </c>
      <c r="R12" s="47"/>
      <c r="S12" s="47"/>
      <c r="T12" s="47"/>
      <c r="U12" s="47"/>
    </row>
    <row r="13" spans="1:21" s="34" customFormat="1" ht="15">
      <c r="A13" s="36" t="str">
        <f>'05'!$B$2</f>
        <v>05-11-2023 01:00</v>
      </c>
      <c r="B13" s="33">
        <f>'05'!B36</f>
        <v>9.7820833333333344</v>
      </c>
      <c r="C13" s="33">
        <f>'05'!C36</f>
        <v>24.167083333333334</v>
      </c>
      <c r="D13" s="33">
        <f>'05'!D36</f>
        <v>22.197916666666668</v>
      </c>
      <c r="E13" s="33">
        <f>'05'!E36</f>
        <v>2.3104166666666668</v>
      </c>
      <c r="F13" s="33">
        <f>'05'!F36</f>
        <v>4.7741666666666669</v>
      </c>
      <c r="G13" s="33">
        <f>'05'!G36</f>
        <v>107.52916666666665</v>
      </c>
      <c r="H13" s="33">
        <f>'05'!H36</f>
        <v>55.590833333333336</v>
      </c>
      <c r="I13" s="33">
        <f>'05'!I36</f>
        <v>1.5495833333333333</v>
      </c>
      <c r="J13" s="33">
        <f>'05'!J36</f>
        <v>0.53750000000000009</v>
      </c>
      <c r="K13" s="33">
        <f>'05'!K36</f>
        <v>232.7608333333333</v>
      </c>
      <c r="L13" s="33">
        <f>'05'!L36</f>
        <v>23.296250000000001</v>
      </c>
      <c r="M13" s="33">
        <f>'05'!M36</f>
        <v>66.373749999999987</v>
      </c>
      <c r="N13" s="33">
        <f>'05'!N36</f>
        <v>215.07916666666662</v>
      </c>
      <c r="O13" s="33">
        <f>'05'!O36</f>
        <v>0</v>
      </c>
      <c r="P13" s="30">
        <f>'05'!$P$36</f>
        <v>0.84791666666666654</v>
      </c>
      <c r="Q13" s="33">
        <f>'05'!Q36</f>
        <v>5.2799999999999985</v>
      </c>
      <c r="R13" s="47"/>
      <c r="S13" s="47"/>
      <c r="T13" s="47"/>
      <c r="U13" s="47"/>
    </row>
    <row r="14" spans="1:21" s="34" customFormat="1" ht="15">
      <c r="A14" s="36" t="str">
        <f>'06'!$B$2</f>
        <v>06-11-2023 01:00</v>
      </c>
      <c r="B14" s="33">
        <f>'06'!B36</f>
        <v>34.841428571428573</v>
      </c>
      <c r="C14" s="33">
        <f>'06'!C36</f>
        <v>39.769523809523804</v>
      </c>
      <c r="D14" s="33">
        <f>'06'!D36</f>
        <v>67.818095238095239</v>
      </c>
      <c r="E14" s="33">
        <f>'06'!E36</f>
        <v>2.7508333333333326</v>
      </c>
      <c r="F14" s="33">
        <f>'06'!F36</f>
        <v>5.3000000000000007</v>
      </c>
      <c r="G14" s="33">
        <f>'06'!G36</f>
        <v>122.91249999999998</v>
      </c>
      <c r="H14" s="33">
        <f>'06'!H36</f>
        <v>54.105000000000011</v>
      </c>
      <c r="I14" s="33">
        <f>'06'!I36</f>
        <v>1.5454166666666664</v>
      </c>
      <c r="J14" s="33">
        <f>'06'!J36</f>
        <v>0.53416666666666679</v>
      </c>
      <c r="K14" s="33">
        <f>'06'!K36</f>
        <v>250.19916666666663</v>
      </c>
      <c r="L14" s="33">
        <f>'06'!L36</f>
        <v>22.610833333333332</v>
      </c>
      <c r="M14" s="33">
        <f>'06'!M36</f>
        <v>60.464166666666664</v>
      </c>
      <c r="N14" s="33">
        <f>'06'!N36</f>
        <v>260.94166666666661</v>
      </c>
      <c r="O14" s="33">
        <f>'06'!O36</f>
        <v>0</v>
      </c>
      <c r="P14" s="30">
        <f>'06'!$P$36</f>
        <v>1.1840909090909089</v>
      </c>
      <c r="Q14" s="33">
        <f>'06'!Q36</f>
        <v>5.7349999999999994</v>
      </c>
      <c r="R14" s="47"/>
      <c r="S14" s="47"/>
      <c r="T14" s="47"/>
      <c r="U14" s="47"/>
    </row>
    <row r="15" spans="1:21" s="34" customFormat="1" ht="15">
      <c r="A15" s="36" t="str">
        <f>'07'!$B$2</f>
        <v>07-11-2023 01:00</v>
      </c>
      <c r="B15" s="33">
        <f>'07'!B36</f>
        <v>63.880833333333321</v>
      </c>
      <c r="C15" s="33">
        <f>'07'!C36</f>
        <v>43.086666666666666</v>
      </c>
      <c r="D15" s="33">
        <f>'07'!D36</f>
        <v>105.35541666666667</v>
      </c>
      <c r="E15" s="33">
        <f>'07'!E36</f>
        <v>1.5333333333333332</v>
      </c>
      <c r="F15" s="33">
        <f>'07'!F36</f>
        <v>4.902916666666667</v>
      </c>
      <c r="G15" s="33">
        <f>'07'!G36</f>
        <v>143.611875</v>
      </c>
      <c r="H15" s="33">
        <f>'07'!H36</f>
        <v>71.569374999999994</v>
      </c>
      <c r="I15" s="33">
        <f>'07'!I36</f>
        <v>1.5458333333333334</v>
      </c>
      <c r="J15" s="33">
        <f>'07'!J36</f>
        <v>0.35583333333333328</v>
      </c>
      <c r="K15" s="33">
        <f>'07'!K36</f>
        <v>304.46625</v>
      </c>
      <c r="L15" s="33">
        <f>'07'!L36</f>
        <v>23.212500000000006</v>
      </c>
      <c r="M15" s="33">
        <f>'07'!M36</f>
        <v>61.327499999999993</v>
      </c>
      <c r="N15" s="33">
        <f>'07'!N37</f>
        <v>282.6992755856773</v>
      </c>
      <c r="O15" s="33">
        <f>'06'!O37</f>
        <v>0</v>
      </c>
      <c r="P15" s="30">
        <f>'07'!$P$36</f>
        <v>1.6208333333333333</v>
      </c>
      <c r="Q15" s="33">
        <f>'07'!Q36</f>
        <v>8.5183333333333344</v>
      </c>
      <c r="R15" s="47"/>
      <c r="S15" s="47"/>
      <c r="T15" s="47"/>
      <c r="U15" s="47"/>
    </row>
    <row r="16" spans="1:21" s="34" customFormat="1" ht="15">
      <c r="A16" s="36" t="str">
        <f>'08'!$B$2</f>
        <v>08-11-2023 01:00</v>
      </c>
      <c r="B16" s="33">
        <f>'08'!B36</f>
        <v>68.21041666666666</v>
      </c>
      <c r="C16" s="33">
        <f>'08'!C36</f>
        <v>45.878750000000004</v>
      </c>
      <c r="D16" s="33">
        <f>'08'!D36</f>
        <v>112.48500000000001</v>
      </c>
      <c r="E16" s="33">
        <f>'08'!E36</f>
        <v>0.77583333333333326</v>
      </c>
      <c r="F16" s="33">
        <f>'08'!F36</f>
        <v>5.1570833333333335</v>
      </c>
      <c r="G16" s="33">
        <f>'08'!G36</f>
        <v>146.50399999999999</v>
      </c>
      <c r="H16" s="33">
        <f>'08'!H36</f>
        <v>56.588999999999999</v>
      </c>
      <c r="I16" s="33">
        <f>'08'!I36</f>
        <v>1.5374999999999996</v>
      </c>
      <c r="J16" s="33">
        <f>'08'!J36</f>
        <v>0.3833333333333333</v>
      </c>
      <c r="K16" s="33">
        <f>'08'!K36</f>
        <v>306.96166666666664</v>
      </c>
      <c r="L16" s="33">
        <f>'08'!L36</f>
        <v>22.627083333333331</v>
      </c>
      <c r="M16" s="33">
        <f>'08'!M36</f>
        <v>64.899166666666673</v>
      </c>
      <c r="N16" s="33">
        <f>'08'!N36</f>
        <v>217.86666666666665</v>
      </c>
      <c r="O16" s="33">
        <f>'08'!O36</f>
        <v>0</v>
      </c>
      <c r="P16" s="30">
        <f>'08'!$P$36</f>
        <v>1.5829166666666665</v>
      </c>
      <c r="Q16" s="33">
        <f>'08'!Q36</f>
        <v>8.6400000000000006</v>
      </c>
      <c r="R16" s="47"/>
      <c r="S16" s="47"/>
      <c r="T16" s="47"/>
      <c r="U16" s="47"/>
    </row>
    <row r="17" spans="1:24" s="34" customFormat="1" ht="15">
      <c r="A17" s="36" t="str">
        <f>'09'!$B$2</f>
        <v>09-11-2023 01:00</v>
      </c>
      <c r="B17" s="33">
        <f>'09'!B36</f>
        <v>52.362916666666656</v>
      </c>
      <c r="C17" s="33">
        <f>'09'!C36</f>
        <v>46.486250000000013</v>
      </c>
      <c r="D17" s="33">
        <f>'09'!D36</f>
        <v>98.132916666666674</v>
      </c>
      <c r="E17" s="33">
        <f>'09'!E36</f>
        <v>0.83499999999999985</v>
      </c>
      <c r="F17" s="33">
        <f>'09'!F36</f>
        <v>10.023333333333335</v>
      </c>
      <c r="G17" s="33">
        <f>'09'!G36</f>
        <v>138.90416666666673</v>
      </c>
      <c r="H17" s="33">
        <f>'09'!H36</f>
        <v>59.866666666666667</v>
      </c>
      <c r="I17" s="33">
        <f>'09'!I36</f>
        <v>1.5429166666666665</v>
      </c>
      <c r="J17" s="33">
        <f>'09'!J36</f>
        <v>0.39375000000000004</v>
      </c>
      <c r="K17" s="33">
        <f>'09'!K36</f>
        <v>260.31333333333333</v>
      </c>
      <c r="L17" s="33">
        <f>'09'!L36</f>
        <v>22.957916666666666</v>
      </c>
      <c r="M17" s="33">
        <f>'09'!M36</f>
        <v>61.364166666666648</v>
      </c>
      <c r="N17" s="33">
        <f>'09'!N37</f>
        <v>283.17646515320916</v>
      </c>
      <c r="O17" s="33">
        <f>'08'!O37</f>
        <v>0</v>
      </c>
      <c r="P17" s="30">
        <f>'09'!$P$36</f>
        <v>1.5570833333333332</v>
      </c>
      <c r="Q17" s="33">
        <f>'09'!Q36</f>
        <v>7.192499999999999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10-11-2023 01:00</v>
      </c>
      <c r="B18" s="33">
        <f>'10'!B36</f>
        <v>66.840000000000003</v>
      </c>
      <c r="C18" s="33">
        <f>'10'!C36</f>
        <v>52.744166666666672</v>
      </c>
      <c r="D18" s="33">
        <f>'10'!D36</f>
        <v>117.45625</v>
      </c>
      <c r="E18" s="33">
        <f>'10'!E36</f>
        <v>1.1520833333333333</v>
      </c>
      <c r="F18" s="33">
        <f>'10'!F36</f>
        <v>9.8420833333333331</v>
      </c>
      <c r="G18" s="33">
        <f>'10'!G36</f>
        <v>132.28749999999997</v>
      </c>
      <c r="H18" s="33">
        <f>'10'!H36</f>
        <v>62.175416666666678</v>
      </c>
      <c r="I18" s="33">
        <f>'10'!I36</f>
        <v>1.5370833333333334</v>
      </c>
      <c r="J18" s="33">
        <f>'10'!J36</f>
        <v>0.33958333333333329</v>
      </c>
      <c r="K18" s="33">
        <f>'10'!K36</f>
        <v>254.0708333333333</v>
      </c>
      <c r="L18" s="33">
        <f>'10'!L36</f>
        <v>23.206250000000001</v>
      </c>
      <c r="M18" s="33">
        <f>'10'!M36</f>
        <v>64.64791666666666</v>
      </c>
      <c r="N18" s="33">
        <f>'10'!N36</f>
        <v>223.24583333333337</v>
      </c>
      <c r="O18" s="33">
        <f>'10'!O36</f>
        <v>0</v>
      </c>
      <c r="P18" s="30">
        <f>'10'!$P$36</f>
        <v>1.6916666666666667</v>
      </c>
      <c r="Q18" s="33">
        <f>'10'!Q36</f>
        <v>7.7754166666666675</v>
      </c>
      <c r="R18" s="47"/>
      <c r="S18" s="47"/>
      <c r="T18" s="47"/>
      <c r="U18" s="47"/>
    </row>
    <row r="19" spans="1:21" s="34" customFormat="1" ht="15">
      <c r="A19" s="36" t="str">
        <f>'11'!$B$2</f>
        <v>11-11-2023 01:00</v>
      </c>
      <c r="B19" s="33">
        <f>'11'!B36</f>
        <v>41.138333333333328</v>
      </c>
      <c r="C19" s="33">
        <f>'11'!C36</f>
        <v>55.028750000000002</v>
      </c>
      <c r="D19" s="33">
        <f>'11'!D36</f>
        <v>93.68791666666668</v>
      </c>
      <c r="E19" s="33">
        <f>'11'!E36</f>
        <v>1.6108333333333336</v>
      </c>
      <c r="F19" s="33">
        <f>'11'!F36</f>
        <v>13.480833333333335</v>
      </c>
      <c r="G19" s="33">
        <f>'11'!G36</f>
        <v>154.62666666666667</v>
      </c>
      <c r="H19" s="33">
        <f>'11'!H36</f>
        <v>77.127500000000026</v>
      </c>
      <c r="I19" s="33">
        <f>'11'!I36</f>
        <v>1.5529166666666667</v>
      </c>
      <c r="J19" s="33">
        <f>'11'!J36</f>
        <v>0.30750000000000005</v>
      </c>
      <c r="K19" s="33">
        <f>'11'!K36</f>
        <v>299.4975</v>
      </c>
      <c r="L19" s="33">
        <f>'11'!L36</f>
        <v>24.191249999999997</v>
      </c>
      <c r="M19" s="33">
        <f>'11'!M36</f>
        <v>65.754583333333329</v>
      </c>
      <c r="N19" s="33">
        <f>'11'!N36</f>
        <v>203.11249999999998</v>
      </c>
      <c r="O19" s="33">
        <f>'11'!O36</f>
        <v>0</v>
      </c>
      <c r="P19" s="33">
        <f>'11'!P36</f>
        <v>1.6445833333333331</v>
      </c>
      <c r="Q19" s="33">
        <f>'11'!Q36</f>
        <v>6.6791666666666663</v>
      </c>
      <c r="R19" s="47"/>
      <c r="S19" s="47"/>
      <c r="T19" s="47"/>
      <c r="U19" s="47"/>
    </row>
    <row r="20" spans="1:21" s="34" customFormat="1" ht="15">
      <c r="A20" s="36" t="str">
        <f>'12'!$B$2</f>
        <v>12-11-2023 01:00</v>
      </c>
      <c r="B20" s="33">
        <f>'12'!B36</f>
        <v>27.905833333333337</v>
      </c>
      <c r="C20" s="33">
        <f>'12'!C36</f>
        <v>45.902083333333337</v>
      </c>
      <c r="D20" s="33">
        <f>'12'!D36</f>
        <v>72.174166666666665</v>
      </c>
      <c r="E20" s="33">
        <f>'12'!E36</f>
        <v>1.2908333333333333</v>
      </c>
      <c r="F20" s="33">
        <f>'12'!F36</f>
        <v>7.0225000000000009</v>
      </c>
      <c r="G20" s="33">
        <f>'12'!G36</f>
        <v>130.04681818181817</v>
      </c>
      <c r="H20" s="33">
        <f>'12'!H36</f>
        <v>67.258181818181811</v>
      </c>
      <c r="I20" s="33">
        <f>'12'!I36</f>
        <v>1.5420833333333333</v>
      </c>
      <c r="J20" s="33">
        <f>'12'!J36</f>
        <v>0.44916666666666666</v>
      </c>
      <c r="K20" s="33">
        <f>'12'!K36</f>
        <v>326.04750000000001</v>
      </c>
      <c r="L20" s="33">
        <f>'12'!L36</f>
        <v>24.586250000000007</v>
      </c>
      <c r="M20" s="33">
        <f>'12'!M36</f>
        <v>62.342083333333328</v>
      </c>
      <c r="N20" s="33">
        <f>'12'!N36</f>
        <v>207.34166666666667</v>
      </c>
      <c r="O20" s="33">
        <f>'12'!O36</f>
        <v>0</v>
      </c>
      <c r="P20" s="33">
        <f>'12'!P36</f>
        <v>1.4300000000000004</v>
      </c>
      <c r="Q20" s="33">
        <f>'12'!Q36</f>
        <v>5.8162499999999993</v>
      </c>
      <c r="R20" s="47"/>
      <c r="S20" s="47"/>
      <c r="T20" s="47"/>
      <c r="U20" s="47"/>
    </row>
    <row r="21" spans="1:21" s="34" customFormat="1" ht="15">
      <c r="A21" s="36" t="str">
        <f>'13'!$B$2</f>
        <v>13-11-2023 01:00</v>
      </c>
      <c r="B21" s="33">
        <f>'13'!B36</f>
        <v>25.097916666666674</v>
      </c>
      <c r="C21" s="33">
        <f>'13'!C36</f>
        <v>40.464999999999996</v>
      </c>
      <c r="D21" s="33">
        <f>'13'!D36</f>
        <v>64.518749999999997</v>
      </c>
      <c r="E21" s="33">
        <f>'13'!E36</f>
        <v>1.9420833333333329</v>
      </c>
      <c r="F21" s="33">
        <f>'13'!F36</f>
        <v>8.9016666666666655</v>
      </c>
      <c r="G21" s="33">
        <f>'13'!G36</f>
        <v>126.01333333333335</v>
      </c>
      <c r="H21" s="33">
        <f>'13'!H36</f>
        <v>65.228571428571428</v>
      </c>
      <c r="I21" s="33">
        <f>'13'!I36</f>
        <v>1.5366666666666668</v>
      </c>
      <c r="J21" s="33">
        <f>'13'!J36</f>
        <v>0.40083333333333343</v>
      </c>
      <c r="K21" s="33">
        <f>'13'!K36</f>
        <v>264.05208333333331</v>
      </c>
      <c r="L21" s="33">
        <f>'13'!L36</f>
        <v>23.35541666666667</v>
      </c>
      <c r="M21" s="33">
        <f>'13'!M36</f>
        <v>63.78583333333335</v>
      </c>
      <c r="N21" s="33">
        <f>'13'!N36</f>
        <v>201.22916666666671</v>
      </c>
      <c r="O21" s="33">
        <f>'13'!O36</f>
        <v>0</v>
      </c>
      <c r="P21" s="33">
        <f>'13'!P36</f>
        <v>1.340416666666667</v>
      </c>
      <c r="Q21" s="33">
        <f>'13'!Q36</f>
        <v>6.459583333333331</v>
      </c>
      <c r="R21" s="47"/>
      <c r="S21" s="47"/>
      <c r="T21" s="47"/>
      <c r="U21" s="47"/>
    </row>
    <row r="22" spans="1:21" s="34" customFormat="1" ht="15">
      <c r="A22" s="36" t="str">
        <f>'14'!$B$2</f>
        <v>14-11-2023 01:00</v>
      </c>
      <c r="B22" s="30">
        <f>'14'!B36</f>
        <v>5.8016666666666659</v>
      </c>
      <c r="C22" s="30">
        <f>'14'!C36</f>
        <v>37.917916666666663</v>
      </c>
      <c r="D22" s="30">
        <f>'14'!D36</f>
        <v>33.302083333333336</v>
      </c>
      <c r="E22" s="30">
        <f>'14'!E36</f>
        <v>2.4175</v>
      </c>
      <c r="F22" s="30">
        <f>'14'!F36</f>
        <v>12.631666666666668</v>
      </c>
      <c r="G22" s="30">
        <f>'14'!G36</f>
        <v>98.182173913043485</v>
      </c>
      <c r="H22" s="30">
        <f>'14'!H36</f>
        <v>49.687391304347827</v>
      </c>
      <c r="I22" s="30">
        <f>'14'!I36</f>
        <v>1.5454166666666669</v>
      </c>
      <c r="J22" s="30">
        <f>'14'!J36</f>
        <v>0.52333333333333332</v>
      </c>
      <c r="K22" s="30">
        <f>'14'!K36</f>
        <v>235.89250000000004</v>
      </c>
      <c r="L22" s="30">
        <f>'14'!L36</f>
        <v>22.401250000000001</v>
      </c>
      <c r="M22" s="30">
        <f>'14'!M36</f>
        <v>67.494166666666686</v>
      </c>
      <c r="N22" s="30">
        <f>'14'!N36</f>
        <v>188.43750000000003</v>
      </c>
      <c r="O22" s="30">
        <f>'14'!O36</f>
        <v>0</v>
      </c>
      <c r="P22" s="30">
        <f>'14'!P36</f>
        <v>1.1562499999999998</v>
      </c>
      <c r="Q22" s="30">
        <f>'14'!Q36</f>
        <v>5.0054166666666662</v>
      </c>
      <c r="R22" s="48"/>
      <c r="S22" s="48"/>
      <c r="T22" s="48"/>
      <c r="U22" s="48"/>
    </row>
    <row r="23" spans="1:21" s="34" customFormat="1" ht="15">
      <c r="A23" s="36" t="str">
        <f>'15'!$B$2</f>
        <v>15-11-2023 01:00</v>
      </c>
      <c r="B23" s="33">
        <f>'15'!B36</f>
        <v>3.995416666666666</v>
      </c>
      <c r="C23" s="33">
        <f>'15'!C36</f>
        <v>31.86666666666666</v>
      </c>
      <c r="D23" s="33">
        <f>'15'!D36</f>
        <v>21.368749999999995</v>
      </c>
      <c r="E23" s="33">
        <f>'15'!E36</f>
        <v>2.7012499999999999</v>
      </c>
      <c r="F23" s="33">
        <f>'15'!F36</f>
        <v>9.6308333333333334</v>
      </c>
      <c r="G23" s="33">
        <f>'15'!G36</f>
        <v>74.765416666666667</v>
      </c>
      <c r="H23" s="33">
        <f>'15'!H36</f>
        <v>39.379166666666677</v>
      </c>
      <c r="I23" s="33">
        <f>'15'!I36</f>
        <v>1.5429166666666669</v>
      </c>
      <c r="J23" s="33">
        <f>'15'!J36</f>
        <v>0.85624999999999984</v>
      </c>
      <c r="K23" s="33">
        <f>'15'!K36</f>
        <v>211.76916666666673</v>
      </c>
      <c r="L23" s="33">
        <f>'15'!L36</f>
        <v>22.348749999999999</v>
      </c>
      <c r="M23" s="33">
        <f>'15'!M36</f>
        <v>66.91583333333331</v>
      </c>
      <c r="N23" s="33">
        <f>'15'!N36</f>
        <v>199.17083333333332</v>
      </c>
      <c r="O23" s="33">
        <f>'15'!O36</f>
        <v>0</v>
      </c>
      <c r="P23" s="30">
        <f>'15'!P36</f>
        <v>1.0170833333333336</v>
      </c>
      <c r="Q23" s="30">
        <f>'15'!Q36</f>
        <v>5.2095833333333301</v>
      </c>
      <c r="R23" s="48"/>
      <c r="S23" s="48"/>
      <c r="T23" s="48"/>
      <c r="U23" s="47"/>
    </row>
    <row r="24" spans="1:21" s="34" customFormat="1" ht="15">
      <c r="A24" s="36" t="str">
        <f>'16'!$B$2</f>
        <v>16-11-2023 01:00</v>
      </c>
      <c r="B24" s="33">
        <f>'16'!B36</f>
        <v>7.1016666666666666</v>
      </c>
      <c r="C24" s="33">
        <f>'16'!C36</f>
        <v>35.803750000000001</v>
      </c>
      <c r="D24" s="33">
        <f>'16'!D36</f>
        <v>25.81625</v>
      </c>
      <c r="E24" s="33">
        <f>'16'!E36</f>
        <v>2.5662500000000001</v>
      </c>
      <c r="F24" s="33">
        <f>'16'!F36</f>
        <v>8.1729166666666657</v>
      </c>
      <c r="G24" s="33">
        <f>'16'!G36</f>
        <v>70.092083333333321</v>
      </c>
      <c r="H24" s="33">
        <f>'16'!H36</f>
        <v>31.288749999999993</v>
      </c>
      <c r="I24" s="33">
        <f>'16'!I36</f>
        <v>1.551666666666667</v>
      </c>
      <c r="J24" s="33">
        <f>'16'!J36</f>
        <v>0.6499999999999998</v>
      </c>
      <c r="K24" s="33">
        <f>'16'!K36</f>
        <v>272.27333333333326</v>
      </c>
      <c r="L24" s="33">
        <f>'16'!L36</f>
        <v>21.929583333333337</v>
      </c>
      <c r="M24" s="33">
        <f>'16'!M36</f>
        <v>57.592083333333314</v>
      </c>
      <c r="N24" s="33">
        <f>'16'!N36</f>
        <v>221.11666666666667</v>
      </c>
      <c r="O24" s="33">
        <f>'16'!O36</f>
        <v>0</v>
      </c>
      <c r="P24" s="30">
        <f>'16'!P36</f>
        <v>1.0787500000000001</v>
      </c>
      <c r="Q24" s="30">
        <f>'16'!Q36</f>
        <v>5.1645833333333329</v>
      </c>
      <c r="R24" s="48"/>
      <c r="S24" s="48"/>
      <c r="T24" s="48"/>
      <c r="U24" s="47"/>
    </row>
    <row r="25" spans="1:21" s="34" customFormat="1" ht="15">
      <c r="A25" s="36" t="str">
        <f>'17'!$B$2</f>
        <v>17-11-2023 01:00</v>
      </c>
      <c r="B25" s="33">
        <f>'17'!B36</f>
        <v>15.473333333333334</v>
      </c>
      <c r="C25" s="33">
        <f>'17'!C36</f>
        <v>46.282916666666672</v>
      </c>
      <c r="D25" s="33">
        <f>'17'!D36</f>
        <v>37.671666666666674</v>
      </c>
      <c r="E25" s="33">
        <f>'17'!E36</f>
        <v>2.7158333333333338</v>
      </c>
      <c r="F25" s="33">
        <f>'17'!F36</f>
        <v>11.374166666666669</v>
      </c>
      <c r="G25" s="33">
        <f>'17'!G36</f>
        <v>58.847499999999997</v>
      </c>
      <c r="H25" s="33">
        <f>'17'!H36</f>
        <v>25.023333333333326</v>
      </c>
      <c r="I25" s="33">
        <f>'17'!I36</f>
        <v>1.5354166666666667</v>
      </c>
      <c r="J25" s="33">
        <f>'17'!J36</f>
        <v>0.66208333333333336</v>
      </c>
      <c r="K25" s="33">
        <f>'17'!K36</f>
        <v>289.46249999999992</v>
      </c>
      <c r="L25" s="33">
        <f>'17'!L36</f>
        <v>22.402916666666659</v>
      </c>
      <c r="M25" s="33">
        <f>'17'!M36</f>
        <v>61.258333333333333</v>
      </c>
      <c r="N25" s="33">
        <f>'17'!N36</f>
        <v>237.59999999999999</v>
      </c>
      <c r="O25" s="33">
        <f>'17'!O36</f>
        <v>0</v>
      </c>
      <c r="P25" s="30">
        <f>'17'!P36</f>
        <v>1.2595833333333333</v>
      </c>
      <c r="Q25" s="30">
        <f>'17'!Q36</f>
        <v>5.3870833333333321</v>
      </c>
      <c r="R25" s="48"/>
      <c r="S25" s="48"/>
      <c r="T25" s="48"/>
      <c r="U25" s="47"/>
    </row>
    <row r="26" spans="1:21" s="34" customFormat="1" ht="15">
      <c r="A26" s="36" t="str">
        <f>'18'!$B$2</f>
        <v>18-11-2023 01:00</v>
      </c>
      <c r="B26" s="33">
        <f>'18'!B36</f>
        <v>39.423750000000013</v>
      </c>
      <c r="C26" s="33">
        <f>'18'!C36</f>
        <v>53.134999999999998</v>
      </c>
      <c r="D26" s="33">
        <f>'18'!D36</f>
        <v>61.045833333333327</v>
      </c>
      <c r="E26" s="33">
        <f>'18'!E36</f>
        <v>3.0983333333333332</v>
      </c>
      <c r="F26" s="33">
        <f>'18'!F36</f>
        <v>12.940833333333336</v>
      </c>
      <c r="G26" s="33">
        <f>'18'!G36</f>
        <v>81.049999999999997</v>
      </c>
      <c r="H26" s="33">
        <f>'18'!H36</f>
        <v>32.048333333333332</v>
      </c>
      <c r="I26" s="33">
        <f>'18'!I36</f>
        <v>1.5395833333333335</v>
      </c>
      <c r="J26" s="33">
        <f>'18'!J36</f>
        <v>0.3495833333333333</v>
      </c>
      <c r="K26" s="33">
        <f>'18'!K36</f>
        <v>280.0575</v>
      </c>
      <c r="L26" s="33">
        <f>'18'!L36</f>
        <v>22.660833333333333</v>
      </c>
      <c r="M26" s="33">
        <f>'18'!M36</f>
        <v>70.153750000000016</v>
      </c>
      <c r="N26" s="33">
        <f>'18'!N36</f>
        <v>245.06250000000009</v>
      </c>
      <c r="O26" s="33">
        <f>'18'!O36</f>
        <v>0</v>
      </c>
      <c r="P26" s="30">
        <f>'18'!P36</f>
        <v>1.85625</v>
      </c>
      <c r="Q26" s="30">
        <f>'18'!Q36</f>
        <v>7.5124999999999993</v>
      </c>
      <c r="R26" s="48"/>
      <c r="S26" s="48"/>
      <c r="T26" s="48"/>
      <c r="U26" s="47"/>
    </row>
    <row r="27" spans="1:21" s="34" customFormat="1" ht="15">
      <c r="A27" s="36" t="str">
        <f>'19'!$B$2</f>
        <v>19-11-2023 01:00</v>
      </c>
      <c r="B27" s="33">
        <f>'19'!B36</f>
        <v>14.386250000000002</v>
      </c>
      <c r="C27" s="33">
        <f>'19'!C36</f>
        <v>40.440416666666671</v>
      </c>
      <c r="D27" s="33">
        <f>'19'!D36</f>
        <v>33.924166666666665</v>
      </c>
      <c r="E27" s="33">
        <f>'19'!E36</f>
        <v>2.5729166666666674</v>
      </c>
      <c r="F27" s="33">
        <f>'19'!F36</f>
        <v>7.9775</v>
      </c>
      <c r="G27" s="33">
        <f>'19'!G36</f>
        <v>57.20750000000001</v>
      </c>
      <c r="H27" s="33">
        <f>'19'!H36</f>
        <v>29.896666666666665</v>
      </c>
      <c r="I27" s="33">
        <f>'19'!I36</f>
        <v>1.5408333333333337</v>
      </c>
      <c r="J27" s="33">
        <f>'19'!J36</f>
        <v>0.65000000000000013</v>
      </c>
      <c r="K27" s="33">
        <f>'19'!K36</f>
        <v>183.00916666666663</v>
      </c>
      <c r="L27" s="33">
        <f>'19'!L36</f>
        <v>22.990833333333338</v>
      </c>
      <c r="M27" s="33">
        <f>'19'!M36</f>
        <v>67.046250000000001</v>
      </c>
      <c r="N27" s="33">
        <f>'19'!N36</f>
        <v>216.82083333333335</v>
      </c>
      <c r="O27" s="33">
        <f>'19'!O36</f>
        <v>0</v>
      </c>
      <c r="P27" s="30">
        <f>'19'!P36</f>
        <v>1.1691666666666665</v>
      </c>
      <c r="Q27" s="30">
        <f>'19'!Q36</f>
        <v>5.2841666666666649</v>
      </c>
      <c r="R27" s="48"/>
      <c r="S27" s="48"/>
      <c r="T27" s="48"/>
      <c r="U27" s="47"/>
    </row>
    <row r="28" spans="1:21" s="34" customFormat="1" ht="15">
      <c r="A28" s="36" t="str">
        <f>'20'!$B$2</f>
        <v>20-11-2023 01:00</v>
      </c>
      <c r="B28" s="33">
        <f>'20'!B36</f>
        <v>6.786666666666668</v>
      </c>
      <c r="C28" s="33">
        <f>'20'!C36</f>
        <v>37.242083333333333</v>
      </c>
      <c r="D28" s="33">
        <f>'20'!D36</f>
        <v>26.365833333333331</v>
      </c>
      <c r="E28" s="33">
        <f>'20'!E36</f>
        <v>2.3916666666666671</v>
      </c>
      <c r="F28" s="33">
        <f>'20'!F36</f>
        <v>7.7858333333333336</v>
      </c>
      <c r="G28" s="33">
        <f>'20'!G36</f>
        <v>45.280000000000001</v>
      </c>
      <c r="H28" s="33">
        <f>'20'!H36</f>
        <v>22.487916666666667</v>
      </c>
      <c r="I28" s="33">
        <f>'20'!I36</f>
        <v>1.549166666666667</v>
      </c>
      <c r="J28" s="33">
        <f>'20'!J36</f>
        <v>1.0233333333333337</v>
      </c>
      <c r="K28" s="33">
        <f>'20'!K36</f>
        <v>168.20291666666662</v>
      </c>
      <c r="L28" s="33">
        <f>'20'!L36</f>
        <v>22.965833333333332</v>
      </c>
      <c r="M28" s="33">
        <f>'20'!M36</f>
        <v>63.370833333333316</v>
      </c>
      <c r="N28" s="33">
        <f>'20'!N36</f>
        <v>210.3125</v>
      </c>
      <c r="O28" s="33">
        <f>'20'!O36</f>
        <v>0</v>
      </c>
      <c r="P28" s="30">
        <f>'20'!P36</f>
        <v>0.69499999999999995</v>
      </c>
      <c r="Q28" s="30">
        <f>'20'!Q36</f>
        <v>5.1674999999999995</v>
      </c>
      <c r="R28" s="48"/>
      <c r="S28" s="48"/>
      <c r="T28" s="48"/>
      <c r="U28" s="47"/>
    </row>
    <row r="29" spans="1:21" s="34" customFormat="1" ht="15">
      <c r="A29" s="36" t="str">
        <f>'21'!$B$2</f>
        <v>21-11-2023 01:00</v>
      </c>
      <c r="B29" s="33">
        <f>'21'!B36</f>
        <v>21.026666666666667</v>
      </c>
      <c r="C29" s="33">
        <f>'21'!C36</f>
        <v>48.413333333333334</v>
      </c>
      <c r="D29" s="33">
        <f>'21'!D36</f>
        <v>43.925833333333337</v>
      </c>
      <c r="E29" s="33">
        <f>'21'!E36</f>
        <v>2.6238888888888887</v>
      </c>
      <c r="F29" s="33">
        <f>'21'!F36</f>
        <v>7.5795833333333347</v>
      </c>
      <c r="G29" s="33">
        <f>'21'!G36</f>
        <v>66.523333333333326</v>
      </c>
      <c r="H29" s="33">
        <f>'21'!H36</f>
        <v>28.504999999999995</v>
      </c>
      <c r="I29" s="33">
        <f>'21'!I36</f>
        <v>1.5470833333333334</v>
      </c>
      <c r="J29" s="33">
        <f>'21'!J36</f>
        <v>0.57791666666666652</v>
      </c>
      <c r="K29" s="33">
        <f>'21'!K36</f>
        <v>286.77666666666664</v>
      </c>
      <c r="L29" s="33">
        <f>'21'!L36</f>
        <v>22.350416666666664</v>
      </c>
      <c r="M29" s="33">
        <f>'21'!M36</f>
        <v>67.910416666666677</v>
      </c>
      <c r="N29" s="33">
        <f>'21'!N36</f>
        <v>204.82916666666665</v>
      </c>
      <c r="O29" s="33">
        <f>'21'!O36</f>
        <v>0</v>
      </c>
      <c r="P29" s="30">
        <f>'21'!P36</f>
        <v>1.2962499999999999</v>
      </c>
      <c r="Q29" s="30">
        <f>'21'!Q36</f>
        <v>5.8658333333333337</v>
      </c>
      <c r="R29" s="48"/>
      <c r="S29" s="48"/>
      <c r="T29" s="48"/>
      <c r="U29" s="47"/>
    </row>
    <row r="30" spans="1:21" s="34" customFormat="1" ht="15">
      <c r="A30" s="36" t="str">
        <f>'22'!$B$2</f>
        <v>22-11-2023 01:00</v>
      </c>
      <c r="B30" s="33">
        <f>'22'!B36</f>
        <v>21.558333333333326</v>
      </c>
      <c r="C30" s="33">
        <f>'22'!C36</f>
        <v>52.228749999999991</v>
      </c>
      <c r="D30" s="33">
        <f>'22'!D36</f>
        <v>46.325833333333343</v>
      </c>
      <c r="E30" s="8" t="s">
        <v>8</v>
      </c>
      <c r="F30" s="33">
        <f>'22'!F36</f>
        <v>7.5783333333333331</v>
      </c>
      <c r="G30" s="33">
        <f>'22'!G36</f>
        <v>85.245833333333351</v>
      </c>
      <c r="H30" s="33">
        <f>'22'!H36</f>
        <v>40.554166666666674</v>
      </c>
      <c r="I30" s="33">
        <f>'22'!I36</f>
        <v>1.5608333333333331</v>
      </c>
      <c r="J30" s="33">
        <f>'22'!J36</f>
        <v>0.55458333333333332</v>
      </c>
      <c r="K30" s="33">
        <f>'22'!K36</f>
        <v>301.71583333333336</v>
      </c>
      <c r="L30" s="33">
        <f>'22'!L36</f>
        <v>22.621250000000003</v>
      </c>
      <c r="M30" s="33">
        <f>'22'!M36</f>
        <v>64.065833333333345</v>
      </c>
      <c r="N30" s="33">
        <f>'22'!N36</f>
        <v>194.48750000000007</v>
      </c>
      <c r="O30" s="33">
        <f>'22'!O36</f>
        <v>0</v>
      </c>
      <c r="P30" s="30">
        <f>'22'!P36</f>
        <v>1.4862499999999994</v>
      </c>
      <c r="Q30" s="30">
        <f>'22'!Q36</f>
        <v>6.6983333333333341</v>
      </c>
      <c r="R30" s="48"/>
      <c r="S30" s="47"/>
      <c r="T30" s="47"/>
      <c r="U30" s="47"/>
    </row>
    <row r="31" spans="1:21" s="34" customFormat="1" ht="15">
      <c r="A31" s="36" t="str">
        <f>'23'!$B$2</f>
        <v>23-11-2023 01:00</v>
      </c>
      <c r="B31" s="33">
        <f>'23'!B36</f>
        <v>9.8349999999999973</v>
      </c>
      <c r="C31" s="33">
        <f>'23'!C36</f>
        <v>53.400416666666651</v>
      </c>
      <c r="D31" s="33">
        <f>'23'!D36</f>
        <v>37.717083333333335</v>
      </c>
      <c r="E31" s="33">
        <f>'23'!E36</f>
        <v>3.0407142857142859</v>
      </c>
      <c r="F31" s="33">
        <f>'23'!F36</f>
        <v>11.107916666666666</v>
      </c>
      <c r="G31" s="33">
        <f>'23'!G36</f>
        <v>99.599166666666676</v>
      </c>
      <c r="H31" s="33">
        <f>'23'!H36</f>
        <v>51.098333333333336</v>
      </c>
      <c r="I31" s="33">
        <f>'23'!I36</f>
        <v>1.55</v>
      </c>
      <c r="J31" s="33">
        <f>'23'!J36</f>
        <v>0.42999999999999994</v>
      </c>
      <c r="K31" s="33">
        <f>'23'!K36</f>
        <v>243.24000000000001</v>
      </c>
      <c r="L31" s="33">
        <f>'23'!L36</f>
        <v>22.064583333333335</v>
      </c>
      <c r="M31" s="33">
        <f>'23'!M36</f>
        <v>61.802916666666675</v>
      </c>
      <c r="N31" s="33">
        <f>'23'!N36</f>
        <v>182.68333333333331</v>
      </c>
      <c r="O31" s="33">
        <f>'23'!O36</f>
        <v>0</v>
      </c>
      <c r="P31" s="33">
        <f>'23'!P36</f>
        <v>1.2354166666666664</v>
      </c>
      <c r="Q31" s="33">
        <f>'23'!Q36</f>
        <v>5.889166666666668</v>
      </c>
      <c r="R31" s="47"/>
      <c r="S31" s="47"/>
      <c r="T31" s="47"/>
      <c r="U31" s="47"/>
    </row>
    <row r="32" spans="1:21" s="34" customFormat="1" ht="15">
      <c r="A32" s="36" t="str">
        <f>'24'!$B$2</f>
        <v>24-11-2023 01:00</v>
      </c>
      <c r="B32" s="33">
        <f>'24'!B36</f>
        <v>7.7841666666666676</v>
      </c>
      <c r="C32" s="33">
        <f>'24'!C36</f>
        <v>53.876249999999999</v>
      </c>
      <c r="D32" s="33">
        <f>'24'!D36</f>
        <v>36.067083333333336</v>
      </c>
      <c r="E32" s="33">
        <f>'24'!E36</f>
        <v>2.8512499999999998</v>
      </c>
      <c r="F32" s="33">
        <f>'24'!F36</f>
        <v>10.026249999999999</v>
      </c>
      <c r="G32" s="33">
        <f>'24'!G36</f>
        <v>91.566666666666663</v>
      </c>
      <c r="H32" s="33">
        <f>'24'!H36</f>
        <v>49.491666666666667</v>
      </c>
      <c r="I32" s="33">
        <f>'24'!I36</f>
        <v>1.5487500000000001</v>
      </c>
      <c r="J32" s="33">
        <f>'24'!J36</f>
        <v>0.5083333333333333</v>
      </c>
      <c r="K32" s="33">
        <f>'24'!K36</f>
        <v>238.82124999999999</v>
      </c>
      <c r="L32" s="33">
        <f>'24'!L36</f>
        <v>22.201666666666668</v>
      </c>
      <c r="M32" s="33">
        <f>'24'!M36</f>
        <v>60.261666666666677</v>
      </c>
      <c r="N32" s="33">
        <f>'24'!N36</f>
        <v>175.13333333333333</v>
      </c>
      <c r="O32" s="33">
        <f>'24'!O36</f>
        <v>0</v>
      </c>
      <c r="P32" s="33">
        <f>'24'!P36</f>
        <v>1.1508333333333334</v>
      </c>
      <c r="Q32" s="33">
        <f>'24'!Q36</f>
        <v>6.0012499999999998</v>
      </c>
      <c r="R32" s="47"/>
      <c r="S32" s="47"/>
      <c r="T32" s="47"/>
      <c r="U32" s="47"/>
    </row>
    <row r="33" spans="1:21" s="34" customFormat="1" ht="15">
      <c r="A33" s="36" t="str">
        <f>'25'!$B$2</f>
        <v>25-11-2023 01:00</v>
      </c>
      <c r="B33" s="33">
        <f>'25'!B36</f>
        <v>7.7679166666666681</v>
      </c>
      <c r="C33" s="33">
        <f>'25'!C36</f>
        <v>49.645833333333343</v>
      </c>
      <c r="D33" s="33">
        <f>'25'!D36</f>
        <v>34.182083333333331</v>
      </c>
      <c r="E33" s="33">
        <f>'25'!E36</f>
        <v>2.7770833333333331</v>
      </c>
      <c r="F33" s="33">
        <f>'25'!F36</f>
        <v>8.8779166666666676</v>
      </c>
      <c r="G33" s="33">
        <f>'25'!G36</f>
        <v>88.730000000000004</v>
      </c>
      <c r="H33" s="33">
        <f>'25'!H36</f>
        <v>49.676666666666655</v>
      </c>
      <c r="I33" s="33">
        <f>'25'!I36</f>
        <v>1.5437500000000004</v>
      </c>
      <c r="J33" s="33">
        <f>'25'!J36</f>
        <v>0.63375000000000015</v>
      </c>
      <c r="K33" s="33">
        <f>'25'!K36</f>
        <v>204.09</v>
      </c>
      <c r="L33" s="33">
        <f>'25'!L36</f>
        <v>22.060000000000006</v>
      </c>
      <c r="M33" s="33">
        <f>'25'!M36</f>
        <v>58.293749999999996</v>
      </c>
      <c r="N33" s="33">
        <f>'25'!N36</f>
        <v>174.42500000000004</v>
      </c>
      <c r="O33" s="33">
        <f>'25'!O36</f>
        <v>0</v>
      </c>
      <c r="P33" s="33">
        <f>'25'!P36</f>
        <v>1.115</v>
      </c>
      <c r="Q33" s="33">
        <f>'25'!Q36</f>
        <v>5.8587500000000006</v>
      </c>
      <c r="R33" s="47"/>
      <c r="S33" s="47"/>
      <c r="T33" s="47"/>
      <c r="U33" s="47"/>
    </row>
    <row r="34" spans="1:21" s="34" customFormat="1" ht="15">
      <c r="A34" s="36" t="str">
        <f>'26'!$B$2</f>
        <v>26-11-2023 01:00</v>
      </c>
      <c r="B34" s="33">
        <f>'26'!B36</f>
        <v>8.8062500000000004</v>
      </c>
      <c r="C34" s="33">
        <f>'26'!C36</f>
        <v>52.797500000000007</v>
      </c>
      <c r="D34" s="33">
        <f>'26'!D36</f>
        <v>36.694583333333334</v>
      </c>
      <c r="E34" s="33">
        <f>'26'!E36</f>
        <v>2.4450000000000003</v>
      </c>
      <c r="F34" s="33">
        <f>'26'!F36</f>
        <v>7.1458333333333321</v>
      </c>
      <c r="G34" s="33">
        <f>'26'!G36</f>
        <v>89.169583333333364</v>
      </c>
      <c r="H34" s="33">
        <f>'26'!H36</f>
        <v>47.227499999999999</v>
      </c>
      <c r="I34" s="33">
        <f>'26'!I36</f>
        <v>1.551666666666667</v>
      </c>
      <c r="J34" s="33">
        <f>'26'!J36</f>
        <v>0.51458333333333328</v>
      </c>
      <c r="K34" s="33">
        <f>'26'!K36</f>
        <v>254.20458333333337</v>
      </c>
      <c r="L34" s="33">
        <f>'26'!L36</f>
        <v>21.155833333333334</v>
      </c>
      <c r="M34" s="33">
        <f>'26'!M36</f>
        <v>60.726249999999986</v>
      </c>
      <c r="N34" s="33">
        <f>'26'!N36</f>
        <v>194.2916666666666</v>
      </c>
      <c r="O34" s="33">
        <f>'26'!O36</f>
        <v>0</v>
      </c>
      <c r="P34" s="33">
        <f>'26'!P36</f>
        <v>1.2120833333333332</v>
      </c>
      <c r="Q34" s="33">
        <f>'26'!Q36</f>
        <v>6.041666666666667</v>
      </c>
      <c r="R34" s="47"/>
      <c r="S34" s="47"/>
      <c r="T34" s="47"/>
      <c r="U34" s="47"/>
    </row>
    <row r="35" spans="1:21" s="34" customFormat="1" ht="15">
      <c r="A35" s="36" t="str">
        <f>'27'!$B$2</f>
        <v>27-11-2023 01:00</v>
      </c>
      <c r="B35" s="33">
        <f>'27'!B36</f>
        <v>16.912916666666668</v>
      </c>
      <c r="C35" s="33">
        <f>'27'!C36</f>
        <v>76.757916666666674</v>
      </c>
      <c r="D35" s="33">
        <f>'27'!D36</f>
        <v>56.209166666666675</v>
      </c>
      <c r="E35" s="33">
        <f>'27'!E36</f>
        <v>2.2835714285714288</v>
      </c>
      <c r="F35" s="33">
        <f>'27'!F36</f>
        <v>4.1737499999999992</v>
      </c>
      <c r="G35" s="33">
        <f>'27'!G36</f>
        <v>97.657499999999985</v>
      </c>
      <c r="H35" s="33">
        <f>'27'!H36</f>
        <v>47.843333333333334</v>
      </c>
      <c r="I35" s="33">
        <f>'27'!I36</f>
        <v>1.5437499999999995</v>
      </c>
      <c r="J35" s="33">
        <f>'27'!J36</f>
        <v>0.78333333333333355</v>
      </c>
      <c r="K35" s="33">
        <f>'27'!K36</f>
        <v>258.57833333333332</v>
      </c>
      <c r="L35" s="33">
        <f>'27'!L36</f>
        <v>20.182916666666667</v>
      </c>
      <c r="M35" s="33">
        <f>'27'!M36</f>
        <v>64.702916666666667</v>
      </c>
      <c r="N35" s="33">
        <f>'27'!N36</f>
        <v>123.39999999999998</v>
      </c>
      <c r="O35" s="33">
        <f>'27'!O36</f>
        <v>0</v>
      </c>
      <c r="P35" s="30">
        <f>'27'!P36</f>
        <v>1.3150000000000002</v>
      </c>
      <c r="Q35" s="33">
        <f>'27'!Q36</f>
        <v>6.494583333333332</v>
      </c>
      <c r="R35" s="47"/>
      <c r="S35" s="47"/>
      <c r="T35" s="47"/>
      <c r="U35" s="47"/>
    </row>
    <row r="36" spans="1:21" s="34" customFormat="1" ht="15">
      <c r="A36" s="36" t="str">
        <f>'28'!$B$2</f>
        <v>28-11-2023 01:00</v>
      </c>
      <c r="B36" s="33">
        <f>'28'!B36</f>
        <v>26.079583333333328</v>
      </c>
      <c r="C36" s="33">
        <f>'28'!C36</f>
        <v>61.316250000000004</v>
      </c>
      <c r="D36" s="33">
        <f>'28'!D36</f>
        <v>55.014166666666654</v>
      </c>
      <c r="E36" s="33">
        <f>'28'!E36</f>
        <v>2.3625000000000003</v>
      </c>
      <c r="F36" s="33">
        <f>'28'!F36</f>
        <v>3.5054166666666648</v>
      </c>
      <c r="G36" s="33">
        <f>'28'!G36</f>
        <v>73.778333333333336</v>
      </c>
      <c r="H36" s="33">
        <f>'28'!H36</f>
        <v>44.935416666666669</v>
      </c>
      <c r="I36" s="33">
        <f>'28'!I36</f>
        <v>1.5429166666666669</v>
      </c>
      <c r="J36" s="33">
        <f>'28'!J36</f>
        <v>0.98833333333333329</v>
      </c>
      <c r="K36" s="33">
        <f>'28'!K36</f>
        <v>275.21375000000006</v>
      </c>
      <c r="L36" s="33">
        <f>'28'!L36</f>
        <v>18.550416666666667</v>
      </c>
      <c r="M36" s="33">
        <f>'28'!M36</f>
        <v>78.912083333333328</v>
      </c>
      <c r="N36" s="33">
        <f>'28'!N36</f>
        <v>125.19583333333333</v>
      </c>
      <c r="O36" s="33">
        <f>'28'!O36</f>
        <v>0.041666666666666664</v>
      </c>
      <c r="P36" s="30">
        <f>'28'!P36</f>
        <v>1.1950000000000001</v>
      </c>
      <c r="Q36" s="33">
        <f>'28'!Q36</f>
        <v>6.9245833333333335</v>
      </c>
      <c r="R36" s="47"/>
      <c r="S36" s="47"/>
      <c r="T36" s="47"/>
      <c r="U36" s="47"/>
    </row>
    <row r="37" spans="1:21" s="34" customFormat="1" ht="15">
      <c r="A37" s="36" t="str">
        <f>'29'!$B$2</f>
        <v>29-11-2023 01:00</v>
      </c>
      <c r="B37" s="33">
        <f>'29'!B36</f>
        <v>40.405000000000001</v>
      </c>
      <c r="C37" s="33">
        <f>'29'!C36</f>
        <v>61.899545454545439</v>
      </c>
      <c r="D37" s="33">
        <f>'29'!D36</f>
        <v>65.984090909090909</v>
      </c>
      <c r="E37" s="33">
        <f>'29'!E36</f>
        <v>2.0004545454545455</v>
      </c>
      <c r="F37" s="33">
        <f>'29'!F36</f>
        <v>3.5352173913043474</v>
      </c>
      <c r="G37" s="33">
        <f>'29'!G36</f>
        <v>94.234090909090909</v>
      </c>
      <c r="H37" s="33">
        <f>'29'!H36</f>
        <v>39.455909090909103</v>
      </c>
      <c r="I37" s="33">
        <f>'29'!I36</f>
        <v>1.5404347826086957</v>
      </c>
      <c r="J37" s="33">
        <f>'29'!J36</f>
        <v>0.62913043478260877</v>
      </c>
      <c r="K37" s="33">
        <f>'29'!K36</f>
        <v>292.92565217391308</v>
      </c>
      <c r="L37" s="33">
        <f>'29'!L36</f>
        <v>20.44913043478261</v>
      </c>
      <c r="M37" s="33">
        <f>'29'!M36</f>
        <v>78.046086956521748</v>
      </c>
      <c r="N37" s="33">
        <f>'29'!N36</f>
        <v>194.91304347826087</v>
      </c>
      <c r="O37" s="33">
        <f>'29'!O36</f>
        <v>0</v>
      </c>
      <c r="P37" s="33">
        <f>'29'!P36</f>
        <v>1.2750000000000001</v>
      </c>
      <c r="Q37" s="33">
        <f>'29'!Q36</f>
        <v>8.1457142857142859</v>
      </c>
      <c r="R37" s="47"/>
      <c r="S37" s="47"/>
      <c r="T37" s="47"/>
      <c r="U37" s="47"/>
    </row>
    <row r="38" spans="1:21" s="34" customFormat="1" ht="15">
      <c r="A38" s="36" t="str">
        <f>'30'!$B$2</f>
        <v>30-11-2023 01:00</v>
      </c>
      <c r="B38" s="33">
        <f>'30'!B36</f>
        <v>26.49625</v>
      </c>
      <c r="C38" s="33">
        <f>'30'!C36</f>
        <v>63.302083333333336</v>
      </c>
      <c r="D38" s="33">
        <f>'30'!D36</f>
        <v>55.800833333333323</v>
      </c>
      <c r="E38" s="33">
        <f>'30'!E36</f>
        <v>2.3191666666666659</v>
      </c>
      <c r="F38" s="33">
        <f>'30'!F36</f>
        <v>3.3683333333333327</v>
      </c>
      <c r="G38" s="33">
        <f>'30'!G36</f>
        <v>76.438333333333361</v>
      </c>
      <c r="H38" s="33">
        <f>'30'!H36</f>
        <v>36.321666666666665</v>
      </c>
      <c r="I38" s="33">
        <f>'30'!I36</f>
        <v>1.5420833333333335</v>
      </c>
      <c r="J38" s="33">
        <f>'30'!J36</f>
        <v>0.58291666666666664</v>
      </c>
      <c r="K38" s="33">
        <f>'30'!K36</f>
        <v>249.90708333333336</v>
      </c>
      <c r="L38" s="33">
        <f>'30'!L36</f>
        <v>23.25375</v>
      </c>
      <c r="M38" s="33">
        <f>'30'!M36</f>
        <v>69.662916666666675</v>
      </c>
      <c r="N38" s="33">
        <f>'30'!N36</f>
        <v>189.76666666666668</v>
      </c>
      <c r="O38" s="33">
        <f>'30'!O36</f>
        <v>0</v>
      </c>
      <c r="P38" s="33">
        <f>'30'!P36</f>
        <v>1.2166666666666668</v>
      </c>
      <c r="Q38" s="33">
        <f>'30'!Q36</f>
        <v>6.1320833333333331</v>
      </c>
      <c r="R38" s="47"/>
      <c r="S38" s="47"/>
      <c r="T38" s="47"/>
      <c r="U38" s="47"/>
    </row>
    <row r="39" spans="2:21" ht="1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9"/>
    </row>
    <row r="40" spans="1:21" s="21" customFormat="1" ht="15">
      <c r="A40" s="14" t="s">
        <v>30</v>
      </c>
      <c r="B40" s="15">
        <f t="shared" si="0" ref="B40:Q40">MIN(B9:B38)</f>
        <v>3.995416666666666</v>
      </c>
      <c r="C40" s="15">
        <f t="shared" si="0"/>
        <v>24.167083333333334</v>
      </c>
      <c r="D40" s="15">
        <f t="shared" si="0"/>
        <v>21.368749999999995</v>
      </c>
      <c r="E40" s="15">
        <f t="shared" si="0"/>
        <v>0.77583333333333326</v>
      </c>
      <c r="F40" s="15">
        <f t="shared" si="0"/>
        <v>3.3683333333333327</v>
      </c>
      <c r="G40" s="15">
        <f t="shared" si="0"/>
        <v>45.280000000000001</v>
      </c>
      <c r="H40" s="15">
        <f t="shared" si="0"/>
        <v>22.487916666666667</v>
      </c>
      <c r="I40" s="15">
        <f t="shared" si="0"/>
        <v>1.5354166666666667</v>
      </c>
      <c r="J40" s="15">
        <f t="shared" si="0"/>
        <v>0.30750000000000005</v>
      </c>
      <c r="K40" s="15">
        <f t="shared" si="0"/>
        <v>168.20291666666662</v>
      </c>
      <c r="L40" s="15">
        <f t="shared" si="0"/>
        <v>18.550416666666667</v>
      </c>
      <c r="M40" s="15">
        <f t="shared" si="0"/>
        <v>57.592083333333314</v>
      </c>
      <c r="N40" s="15">
        <f t="shared" si="0"/>
        <v>84.31578947368422</v>
      </c>
      <c r="O40" s="15">
        <f t="shared" si="0"/>
        <v>0</v>
      </c>
      <c r="P40" s="15">
        <f t="shared" si="0"/>
        <v>0.69499999999999995</v>
      </c>
      <c r="Q40" s="15">
        <f t="shared" si="0"/>
        <v>5.0054166666666662</v>
      </c>
      <c r="R40" s="28"/>
      <c r="S40" s="28"/>
      <c r="T40" s="28"/>
      <c r="U40" s="28"/>
    </row>
    <row r="41" spans="1:21" s="21" customFormat="1" ht="15">
      <c r="A41" s="14" t="s">
        <v>31</v>
      </c>
      <c r="B41" s="15">
        <f t="shared" si="1" ref="B41:Q41">MAX(B9:B38)</f>
        <v>68.21041666666666</v>
      </c>
      <c r="C41" s="15">
        <f t="shared" si="1"/>
        <v>76.757916666666674</v>
      </c>
      <c r="D41" s="15">
        <f t="shared" si="1"/>
        <v>117.45625</v>
      </c>
      <c r="E41" s="15">
        <f t="shared" si="1"/>
        <v>4.2590476190476201</v>
      </c>
      <c r="F41" s="15">
        <f t="shared" si="1"/>
        <v>13.480833333333335</v>
      </c>
      <c r="G41" s="15">
        <f t="shared" si="1"/>
        <v>154.62666666666667</v>
      </c>
      <c r="H41" s="15">
        <f t="shared" si="1"/>
        <v>77.127500000000026</v>
      </c>
      <c r="I41" s="15">
        <f t="shared" si="1"/>
        <v>1.5608333333333331</v>
      </c>
      <c r="J41" s="15">
        <f t="shared" si="1"/>
        <v>1.0233333333333337</v>
      </c>
      <c r="K41" s="15">
        <f t="shared" si="1"/>
        <v>326.04750000000001</v>
      </c>
      <c r="L41" s="15">
        <f t="shared" si="1"/>
        <v>24.59</v>
      </c>
      <c r="M41" s="15">
        <f t="shared" si="1"/>
        <v>82.132916666666688</v>
      </c>
      <c r="N41" s="15">
        <f t="shared" si="1"/>
        <v>283.17646515320916</v>
      </c>
      <c r="O41" s="15">
        <f t="shared" si="1"/>
        <v>0.23333333333333331</v>
      </c>
      <c r="P41" s="15">
        <f t="shared" si="1"/>
        <v>1.85625</v>
      </c>
      <c r="Q41" s="15">
        <f t="shared" si="1"/>
        <v>8.6400000000000006</v>
      </c>
      <c r="R41" s="28"/>
      <c r="S41" s="28"/>
      <c r="T41" s="28"/>
      <c r="U41" s="28"/>
    </row>
    <row r="42" spans="1:21" s="21" customFormat="1" ht="15">
      <c r="A42" s="14" t="s">
        <v>32</v>
      </c>
      <c r="B42" s="15">
        <f t="shared" si="2" ref="B42:Q42">AVERAGE(B9:B38)</f>
        <v>24.415492063492064</v>
      </c>
      <c r="C42" s="15">
        <f t="shared" si="2"/>
        <v>46.398857864357858</v>
      </c>
      <c r="D42" s="15">
        <f t="shared" si="2"/>
        <v>53.088475649350634</v>
      </c>
      <c r="E42" s="15">
        <f t="shared" si="2"/>
        <v>2.3123193138279339</v>
      </c>
      <c r="F42" s="15">
        <f t="shared" si="2"/>
        <v>7.7788544685990342</v>
      </c>
      <c r="G42" s="15">
        <f t="shared" si="2"/>
        <v>98.986969235052399</v>
      </c>
      <c r="H42" s="15">
        <f t="shared" si="2"/>
        <v>47.910854367432087</v>
      </c>
      <c r="I42" s="15">
        <f t="shared" si="2"/>
        <v>1.5450006038647348</v>
      </c>
      <c r="J42" s="15">
        <f t="shared" si="2"/>
        <v>0.557429347826087</v>
      </c>
      <c r="K42" s="15">
        <f t="shared" si="2"/>
        <v>257.05973007246376</v>
      </c>
      <c r="L42" s="15">
        <f t="shared" si="2"/>
        <v>22.618984903381648</v>
      </c>
      <c r="M42" s="15">
        <f t="shared" si="2"/>
        <v>66.454480676328515</v>
      </c>
      <c r="N42" s="15">
        <f t="shared" si="2"/>
        <v>200.74570801191658</v>
      </c>
      <c r="O42" s="15">
        <f t="shared" si="2"/>
        <v>0.009166666666666665</v>
      </c>
      <c r="P42" s="15">
        <f t="shared" si="2"/>
        <v>1.2761502525252522</v>
      </c>
      <c r="Q42" s="15">
        <f t="shared" si="2"/>
        <v>6.215037698412698</v>
      </c>
      <c r="R42" s="28"/>
      <c r="S42" s="28"/>
      <c r="T42" s="28"/>
      <c r="U42" s="28"/>
    </row>
    <row r="43" spans="1:21" s="21" customFormat="1" ht="15">
      <c r="A43" s="14" t="s">
        <v>38</v>
      </c>
      <c r="B43" s="15">
        <f t="shared" si="3" ref="B43:Q43">STDEV(B9:B38)</f>
        <v>18.71186519308031</v>
      </c>
      <c r="C43" s="15">
        <f t="shared" si="3"/>
        <v>11.148635961349079</v>
      </c>
      <c r="D43" s="15">
        <f t="shared" si="3"/>
        <v>27.802932846634249</v>
      </c>
      <c r="E43" s="15">
        <f t="shared" si="3"/>
        <v>0.77318975169651705</v>
      </c>
      <c r="F43" s="15">
        <f t="shared" si="3"/>
        <v>2.8609423910146314</v>
      </c>
      <c r="G43" s="15">
        <f t="shared" si="3"/>
        <v>29.02775183056557</v>
      </c>
      <c r="H43" s="15">
        <f t="shared" si="3"/>
        <v>13.974632560044368</v>
      </c>
      <c r="I43" s="15">
        <f t="shared" si="3"/>
        <v>0.005684179594531099</v>
      </c>
      <c r="J43" s="15">
        <f t="shared" si="3"/>
        <v>0.17695802246364103</v>
      </c>
      <c r="K43" s="15">
        <f t="shared" si="3"/>
        <v>38.565514631117566</v>
      </c>
      <c r="L43" s="15">
        <f t="shared" si="3"/>
        <v>1.2917057860170444</v>
      </c>
      <c r="M43" s="15">
        <f t="shared" si="3"/>
        <v>6.5562460198159869</v>
      </c>
      <c r="N43" s="15">
        <f t="shared" si="3"/>
        <v>42.100442785083828</v>
      </c>
      <c r="O43" s="15">
        <f t="shared" si="3"/>
        <v>0.043015523349625134</v>
      </c>
      <c r="P43" s="15">
        <f t="shared" si="3"/>
        <v>0.25470439252338234</v>
      </c>
      <c r="Q43" s="15">
        <f t="shared" si="3"/>
        <v>1.0516072265045213</v>
      </c>
      <c r="R43" s="28"/>
      <c r="S43" s="28"/>
      <c r="T43" s="28"/>
      <c r="U43" s="28"/>
    </row>
    <row r="44" spans="1:21" s="21" customFormat="1" ht="15">
      <c r="A44" s="14" t="s">
        <v>33</v>
      </c>
      <c r="B44" s="12">
        <f>COUNT(B9:B38)</f>
        <v>30</v>
      </c>
      <c r="C44" s="12">
        <f>COUNT(C9:C38)</f>
        <v>30</v>
      </c>
      <c r="D44" s="12">
        <f>COUNT(D9:D38)</f>
        <v>30</v>
      </c>
      <c r="E44" s="15">
        <f>COUNT(E9:E38)+1</f>
        <v>30</v>
      </c>
      <c r="F44" s="12">
        <f>COUNT(F9:F38)</f>
        <v>30</v>
      </c>
      <c r="G44" s="12">
        <f>COUNT(G9:G38)</f>
        <v>30</v>
      </c>
      <c r="H44" s="12">
        <f>COUNT(H9:H38)</f>
        <v>30</v>
      </c>
      <c r="I44" s="12">
        <f>COUNT(I9:I38)</f>
        <v>30</v>
      </c>
      <c r="J44" s="12">
        <f>COUNT(J9:J38)</f>
        <v>30</v>
      </c>
      <c r="K44" s="12">
        <f>COUNT(K9:K38)</f>
        <v>30</v>
      </c>
      <c r="L44" s="12">
        <f>COUNT(L9:L38)</f>
        <v>30</v>
      </c>
      <c r="M44" s="12">
        <f>COUNT(M9:M38)</f>
        <v>30</v>
      </c>
      <c r="N44" s="12">
        <f>COUNT(N9:N38)</f>
        <v>30</v>
      </c>
      <c r="O44" s="12">
        <f>COUNT(O9:O38)</f>
        <v>30</v>
      </c>
      <c r="P44" s="12">
        <f>COUNT(P9:P38)</f>
        <v>30</v>
      </c>
      <c r="Q44" s="12">
        <f>COUNT(Q9:Q38)</f>
        <v>30</v>
      </c>
      <c r="R44" s="29"/>
      <c r="S44" s="29"/>
      <c r="T44" s="29"/>
      <c r="U44" s="29"/>
    </row>
    <row r="45" spans="1:21" s="21" customFormat="1" ht="15">
      <c r="A45" s="14" t="s">
        <v>34</v>
      </c>
      <c r="B45" s="12" t="str">
        <f>IF(B44&gt;=28,"&gt;90%",IF(B44&lt;=28,"&lt;90%"))</f>
        <v>&gt;90%</v>
      </c>
      <c r="C45" s="12" t="str">
        <f t="shared" si="4" ref="C45:Q45">IF(C44&gt;=28,"&gt;90%",IF(C44&lt;=28,"&lt;90%"))</f>
        <v>&gt;90%</v>
      </c>
      <c r="D45" s="12" t="str">
        <f t="shared" si="4"/>
        <v>&gt;90%</v>
      </c>
      <c r="E45" s="12" t="str">
        <f t="shared" si="4"/>
        <v>&gt;90%</v>
      </c>
      <c r="F45" s="12" t="str">
        <f t="shared" si="4"/>
        <v>&gt;90%</v>
      </c>
      <c r="G45" s="12" t="str">
        <f t="shared" si="4"/>
        <v>&gt;90%</v>
      </c>
      <c r="H45" s="12" t="str">
        <f t="shared" si="4"/>
        <v>&gt;90%</v>
      </c>
      <c r="I45" s="12" t="str">
        <f t="shared" si="4"/>
        <v>&gt;90%</v>
      </c>
      <c r="J45" s="12" t="str">
        <f t="shared" si="4"/>
        <v>&gt;90%</v>
      </c>
      <c r="K45" s="12" t="str">
        <f t="shared" si="4"/>
        <v>&gt;90%</v>
      </c>
      <c r="L45" s="12" t="str">
        <f t="shared" si="4"/>
        <v>&gt;90%</v>
      </c>
      <c r="M45" s="12" t="str">
        <f t="shared" si="4"/>
        <v>&gt;90%</v>
      </c>
      <c r="N45" s="12" t="str">
        <f t="shared" si="4"/>
        <v>&gt;90%</v>
      </c>
      <c r="O45" s="12" t="str">
        <f t="shared" si="4"/>
        <v>&gt;90%</v>
      </c>
      <c r="P45" s="12" t="str">
        <f t="shared" si="4"/>
        <v>&gt;90%</v>
      </c>
      <c r="Q45" s="12" t="str">
        <f t="shared" si="4"/>
        <v>&gt;90%</v>
      </c>
      <c r="R45" s="29"/>
      <c r="S45" s="29"/>
      <c r="T45" s="29"/>
      <c r="U45" s="29"/>
    </row>
    <row r="46" spans="1:21" s="21" customFormat="1" ht="15">
      <c r="A46" s="14" t="s">
        <v>1</v>
      </c>
      <c r="B46" s="12" t="str">
        <f>IF(B44&gt;=28,"OK",IF(B44&lt;=28,"LESS"))</f>
        <v>OK</v>
      </c>
      <c r="C46" s="12" t="str">
        <f t="shared" si="5" ref="C46:Q46">IF(C44&gt;=28,"OK",IF(C44&lt;=28,"LESS"))</f>
        <v>OK</v>
      </c>
      <c r="D46" s="12" t="str">
        <f t="shared" si="5"/>
        <v>OK</v>
      </c>
      <c r="E46" s="12" t="str">
        <f t="shared" si="5"/>
        <v>OK</v>
      </c>
      <c r="F46" s="12" t="str">
        <f t="shared" si="5"/>
        <v>OK</v>
      </c>
      <c r="G46" s="12" t="str">
        <f t="shared" si="5"/>
        <v>OK</v>
      </c>
      <c r="H46" s="12" t="str">
        <f t="shared" si="5"/>
        <v>OK</v>
      </c>
      <c r="I46" s="12" t="str">
        <f t="shared" si="5"/>
        <v>OK</v>
      </c>
      <c r="J46" s="12" t="str">
        <f t="shared" si="5"/>
        <v>OK</v>
      </c>
      <c r="K46" s="12" t="str">
        <f t="shared" si="5"/>
        <v>OK</v>
      </c>
      <c r="L46" s="12" t="str">
        <f t="shared" si="5"/>
        <v>OK</v>
      </c>
      <c r="M46" s="12" t="str">
        <f t="shared" si="5"/>
        <v>OK</v>
      </c>
      <c r="N46" s="12" t="str">
        <f t="shared" si="5"/>
        <v>OK</v>
      </c>
      <c r="O46" s="12" t="str">
        <f t="shared" si="5"/>
        <v>OK</v>
      </c>
      <c r="P46" s="12" t="str">
        <f t="shared" si="5"/>
        <v>OK</v>
      </c>
      <c r="Q46" s="12" t="str">
        <f t="shared" si="5"/>
        <v>OK</v>
      </c>
      <c r="R46" s="29"/>
      <c r="S46" s="29"/>
      <c r="T46" s="29"/>
      <c r="U46" s="29"/>
    </row>
    <row r="47" spans="2:20" ht="1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ht="15">
      <c r="A49" s="14" t="s">
        <v>35</v>
      </c>
      <c r="B49" s="40" t="s">
        <v>60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>
      <c r="A51" s="17" t="s">
        <v>36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sheetProtection/>
  <mergeCells count="1">
    <mergeCell ref="B51:P5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2018-07-30T12:51:54Z</cp:lastPrinted>
  <dcterms:created xsi:type="dcterms:W3CDTF">2013-08-23T16:44:31Z</dcterms:created>
  <dcterms:modified xsi:type="dcterms:W3CDTF">2023-12-04T12:55:01Z</dcterms:modified>
  <cp:category/>
</cp:coreProperties>
</file>