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Q110" i="40"/>
  <c r="Q112" i="40"/>
  <c r="J110" i="40"/>
  <c r="J111" i="40" s="1"/>
  <c r="K110" i="40"/>
  <c r="L110" i="40"/>
  <c r="L112" i="40" s="1"/>
  <c r="M110" i="40"/>
  <c r="M112" i="40"/>
  <c r="N110" i="40"/>
  <c r="O110" i="40"/>
  <c r="P110" i="40"/>
  <c r="I110" i="40"/>
  <c r="I112" i="40"/>
  <c r="H110" i="40"/>
  <c r="H112" i="40" s="1"/>
  <c r="G110" i="40"/>
  <c r="G111" i="40"/>
  <c r="C110" i="40"/>
  <c r="D110" i="40"/>
  <c r="D112" i="40" s="1"/>
  <c r="B110" i="40"/>
  <c r="B112" i="40" s="1"/>
  <c r="F110" i="40"/>
  <c r="F112" i="40"/>
  <c r="E110" i="40"/>
  <c r="E112" i="40"/>
  <c r="G110" i="33"/>
  <c r="H110" i="33"/>
  <c r="I110" i="33"/>
  <c r="I112" i="33" s="1"/>
  <c r="J110" i="33"/>
  <c r="J112" i="33" s="1"/>
  <c r="I110" i="32"/>
  <c r="Q110" i="31"/>
  <c r="G110" i="31"/>
  <c r="H110" i="31"/>
  <c r="H112" i="31"/>
  <c r="I110" i="31"/>
  <c r="I111" i="31" s="1"/>
  <c r="I110" i="30"/>
  <c r="I112" i="30"/>
  <c r="J110" i="29"/>
  <c r="J110" i="28"/>
  <c r="I110" i="27"/>
  <c r="J110" i="26"/>
  <c r="J111" i="26" s="1"/>
  <c r="C110" i="26"/>
  <c r="C111" i="26" s="1"/>
  <c r="D110" i="26"/>
  <c r="E110" i="26"/>
  <c r="E112" i="26"/>
  <c r="F110" i="26"/>
  <c r="G110" i="26"/>
  <c r="H110" i="26"/>
  <c r="H111" i="26" s="1"/>
  <c r="I110" i="26"/>
  <c r="I112" i="26"/>
  <c r="K110" i="26"/>
  <c r="L110" i="26"/>
  <c r="M110" i="26"/>
  <c r="N110" i="26"/>
  <c r="O110" i="26"/>
  <c r="P110" i="26"/>
  <c r="Q110" i="26"/>
  <c r="Q111" i="26" s="1"/>
  <c r="B110" i="26"/>
  <c r="B112" i="26"/>
  <c r="C110" i="25"/>
  <c r="D110" i="25"/>
  <c r="E110" i="25"/>
  <c r="F110" i="25"/>
  <c r="G110" i="25"/>
  <c r="H110" i="25"/>
  <c r="H111" i="25"/>
  <c r="I110" i="25"/>
  <c r="J110" i="25"/>
  <c r="K110" i="25"/>
  <c r="L110" i="25"/>
  <c r="M110" i="25"/>
  <c r="M112" i="25" s="1"/>
  <c r="N110" i="25"/>
  <c r="N111" i="25" s="1"/>
  <c r="O110" i="25"/>
  <c r="P110" i="25"/>
  <c r="P111" i="25"/>
  <c r="Q110" i="25"/>
  <c r="Q111" i="25" s="1"/>
  <c r="B110" i="25"/>
  <c r="B111" i="25" s="1"/>
  <c r="G110" i="22"/>
  <c r="H110" i="22"/>
  <c r="H112" i="22" s="1"/>
  <c r="P110" i="19"/>
  <c r="P111" i="19" s="1"/>
  <c r="Q110" i="19"/>
  <c r="H110" i="19"/>
  <c r="H112" i="19" s="1"/>
  <c r="G110" i="19"/>
  <c r="G112" i="19" s="1"/>
  <c r="F110" i="19"/>
  <c r="F112" i="19"/>
  <c r="E110" i="19"/>
  <c r="E111" i="19" s="1"/>
  <c r="D110" i="19"/>
  <c r="C110" i="19"/>
  <c r="C111" i="19"/>
  <c r="B110" i="19"/>
  <c r="B112" i="19" s="1"/>
  <c r="J110" i="18"/>
  <c r="I110" i="18"/>
  <c r="I112" i="18" s="1"/>
  <c r="H110" i="18"/>
  <c r="H112" i="18" s="1"/>
  <c r="Q110" i="16"/>
  <c r="Q112" i="16" s="1"/>
  <c r="Q110" i="15"/>
  <c r="Q112" i="15"/>
  <c r="Q110" i="14"/>
  <c r="I110" i="14"/>
  <c r="I111" i="14" s="1"/>
  <c r="F110" i="13"/>
  <c r="F112" i="13" s="1"/>
  <c r="H110" i="13"/>
  <c r="H112" i="13" s="1"/>
  <c r="G110" i="13"/>
  <c r="G111" i="13" s="1"/>
  <c r="I110" i="13"/>
  <c r="I112" i="13" s="1"/>
  <c r="I110" i="12"/>
  <c r="I112" i="12"/>
  <c r="H110" i="12"/>
  <c r="G110" i="12"/>
  <c r="G111" i="12"/>
  <c r="H110" i="11"/>
  <c r="I110" i="11"/>
  <c r="F110" i="11"/>
  <c r="F112" i="11" s="1"/>
  <c r="C110" i="11"/>
  <c r="D110" i="11"/>
  <c r="D112" i="11" s="1"/>
  <c r="B110" i="11"/>
  <c r="B111" i="11" s="1"/>
  <c r="H110" i="9"/>
  <c r="G110" i="9"/>
  <c r="G111" i="9" s="1"/>
  <c r="E110" i="9"/>
  <c r="E112" i="9" s="1"/>
  <c r="C110" i="8"/>
  <c r="D110" i="8"/>
  <c r="E110" i="8"/>
  <c r="F110" i="8"/>
  <c r="G110" i="8"/>
  <c r="H110" i="8"/>
  <c r="I110" i="8"/>
  <c r="I111" i="8" s="1"/>
  <c r="J110" i="8"/>
  <c r="J111" i="8"/>
  <c r="K110" i="8"/>
  <c r="L110" i="8"/>
  <c r="M110" i="8"/>
  <c r="N110" i="8"/>
  <c r="O110" i="8"/>
  <c r="O112" i="8" s="1"/>
  <c r="P110" i="8"/>
  <c r="Q110" i="8"/>
  <c r="B110" i="8"/>
  <c r="B111" i="8"/>
  <c r="I110" i="3"/>
  <c r="N110" i="2"/>
  <c r="N111" i="2" s="1"/>
  <c r="I110" i="2"/>
  <c r="I111" i="41"/>
  <c r="J110" i="41"/>
  <c r="J112" i="41" s="1"/>
  <c r="H110" i="41"/>
  <c r="H112" i="41" s="1"/>
  <c r="G112" i="33"/>
  <c r="H112" i="33"/>
  <c r="J110" i="32"/>
  <c r="J111" i="32" s="1"/>
  <c r="I112" i="32"/>
  <c r="H110" i="32"/>
  <c r="H111" i="32"/>
  <c r="J110" i="31"/>
  <c r="J111" i="31" s="1"/>
  <c r="G112" i="31"/>
  <c r="J110" i="30"/>
  <c r="J112" i="30"/>
  <c r="H110" i="30"/>
  <c r="H112" i="30" s="1"/>
  <c r="J112" i="29"/>
  <c r="I110" i="29"/>
  <c r="I112" i="29"/>
  <c r="H110" i="29"/>
  <c r="H112" i="29"/>
  <c r="J112" i="28"/>
  <c r="I110" i="28"/>
  <c r="I112" i="28" s="1"/>
  <c r="H110" i="28"/>
  <c r="H111" i="28" s="1"/>
  <c r="I112" i="27"/>
  <c r="C110" i="27"/>
  <c r="C111" i="27" s="1"/>
  <c r="D110" i="27"/>
  <c r="D111" i="27" s="1"/>
  <c r="E110" i="27"/>
  <c r="F110" i="27"/>
  <c r="F112" i="27" s="1"/>
  <c r="G110" i="27"/>
  <c r="G111" i="27" s="1"/>
  <c r="H110" i="27"/>
  <c r="J110" i="27"/>
  <c r="K110" i="27"/>
  <c r="L110" i="27"/>
  <c r="M110" i="27"/>
  <c r="N110" i="27"/>
  <c r="O110" i="27"/>
  <c r="P110" i="27"/>
  <c r="Q110" i="27"/>
  <c r="G112" i="26"/>
  <c r="F112" i="26"/>
  <c r="O111" i="25"/>
  <c r="L112" i="25"/>
  <c r="K111" i="25"/>
  <c r="J112" i="25"/>
  <c r="I111" i="25"/>
  <c r="G111" i="25"/>
  <c r="F112" i="25"/>
  <c r="E111" i="25"/>
  <c r="D112" i="25"/>
  <c r="C111" i="25"/>
  <c r="J110" i="24"/>
  <c r="J111" i="24"/>
  <c r="I110" i="24"/>
  <c r="I112" i="24" s="1"/>
  <c r="H110" i="24"/>
  <c r="H111" i="24" s="1"/>
  <c r="J110" i="23"/>
  <c r="J112" i="23" s="1"/>
  <c r="I110" i="23"/>
  <c r="I111" i="23" s="1"/>
  <c r="H110" i="23"/>
  <c r="J110" i="22"/>
  <c r="J112" i="22"/>
  <c r="I110" i="22"/>
  <c r="I112" i="22" s="1"/>
  <c r="G111" i="22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1" i="20" s="1"/>
  <c r="Q112" i="19"/>
  <c r="J110" i="19"/>
  <c r="J111" i="19" s="1"/>
  <c r="I110" i="19"/>
  <c r="I111" i="19"/>
  <c r="Q110" i="17"/>
  <c r="Q112" i="17"/>
  <c r="J110" i="17"/>
  <c r="J112" i="17"/>
  <c r="I110" i="17"/>
  <c r="I111" i="17"/>
  <c r="H110" i="17"/>
  <c r="H112" i="17"/>
  <c r="H110" i="16"/>
  <c r="H111" i="16"/>
  <c r="I110" i="16"/>
  <c r="I111" i="16"/>
  <c r="J110" i="16"/>
  <c r="J112" i="16" s="1"/>
  <c r="H110" i="15"/>
  <c r="H111" i="15"/>
  <c r="I110" i="15"/>
  <c r="I112" i="15"/>
  <c r="J110" i="15"/>
  <c r="J112" i="15"/>
  <c r="Q111" i="14"/>
  <c r="J110" i="14"/>
  <c r="J111" i="14" s="1"/>
  <c r="H110" i="14"/>
  <c r="H111" i="14" s="1"/>
  <c r="C112" i="11"/>
  <c r="J110" i="13"/>
  <c r="J112" i="13" s="1"/>
  <c r="F110" i="12"/>
  <c r="F111" i="12" s="1"/>
  <c r="J110" i="12"/>
  <c r="J111" i="12"/>
  <c r="H111" i="12"/>
  <c r="J110" i="11"/>
  <c r="J111" i="11" s="1"/>
  <c r="I111" i="11"/>
  <c r="H111" i="11"/>
  <c r="G110" i="11"/>
  <c r="G112" i="11" s="1"/>
  <c r="J110" i="10"/>
  <c r="J112" i="10" s="1"/>
  <c r="I110" i="10"/>
  <c r="I112" i="10" s="1"/>
  <c r="H110" i="10"/>
  <c r="H112" i="10" s="1"/>
  <c r="J110" i="9"/>
  <c r="J112" i="9"/>
  <c r="I110" i="9"/>
  <c r="I111" i="9" s="1"/>
  <c r="H111" i="9"/>
  <c r="Q111" i="8"/>
  <c r="H111" i="8"/>
  <c r="P112" i="8"/>
  <c r="L112" i="8"/>
  <c r="K111" i="8"/>
  <c r="G111" i="8"/>
  <c r="F111" i="8"/>
  <c r="I112" i="3"/>
  <c r="I111" i="2"/>
  <c r="B2" i="23"/>
  <c r="C110" i="2"/>
  <c r="C111" i="2" s="1"/>
  <c r="D110" i="2"/>
  <c r="E110" i="2"/>
  <c r="E111" i="2" s="1"/>
  <c r="F110" i="2"/>
  <c r="F112" i="2" s="1"/>
  <c r="G110" i="2"/>
  <c r="G112" i="2" s="1"/>
  <c r="H110" i="2"/>
  <c r="H111" i="2" s="1"/>
  <c r="J110" i="2"/>
  <c r="K110" i="2"/>
  <c r="K111" i="2" s="1"/>
  <c r="L110" i="2"/>
  <c r="L112" i="2" s="1"/>
  <c r="M110" i="2"/>
  <c r="M112" i="2" s="1"/>
  <c r="O110" i="2"/>
  <c r="P110" i="2"/>
  <c r="P112" i="2"/>
  <c r="Q110" i="2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 s="1"/>
  <c r="J110" i="3"/>
  <c r="J111" i="3"/>
  <c r="K110" i="3"/>
  <c r="K111" i="3" s="1"/>
  <c r="L110" i="3"/>
  <c r="L111" i="3" s="1"/>
  <c r="M110" i="3"/>
  <c r="M112" i="3" s="1"/>
  <c r="N110" i="3"/>
  <c r="N111" i="3" s="1"/>
  <c r="O110" i="3"/>
  <c r="P110" i="3"/>
  <c r="Q110" i="3"/>
  <c r="Q110" i="41"/>
  <c r="Q111" i="41"/>
  <c r="P110" i="41"/>
  <c r="P112" i="41" s="1"/>
  <c r="O110" i="41"/>
  <c r="O112" i="41"/>
  <c r="N110" i="41"/>
  <c r="N112" i="41"/>
  <c r="M110" i="41"/>
  <c r="M112" i="41"/>
  <c r="L110" i="41"/>
  <c r="L112" i="41"/>
  <c r="K110" i="41"/>
  <c r="K112" i="41"/>
  <c r="G110" i="41"/>
  <c r="G112" i="41"/>
  <c r="F110" i="41"/>
  <c r="F112" i="41"/>
  <c r="E110" i="41"/>
  <c r="E112" i="41" s="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P112" i="40"/>
  <c r="O112" i="40"/>
  <c r="N112" i="40"/>
  <c r="K112" i="40"/>
  <c r="G112" i="40"/>
  <c r="C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M37" i="39" s="1"/>
  <c r="L108" i="40"/>
  <c r="K108" i="40"/>
  <c r="J108" i="40"/>
  <c r="I108" i="40"/>
  <c r="H108" i="40"/>
  <c r="H37" i="39"/>
  <c r="G108" i="40"/>
  <c r="G37" i="39" s="1"/>
  <c r="F108" i="40"/>
  <c r="F37" i="39"/>
  <c r="E108" i="40"/>
  <c r="D108" i="40"/>
  <c r="D37" i="39" s="1"/>
  <c r="C108" i="40"/>
  <c r="C37" i="39" s="1"/>
  <c r="B108" i="40"/>
  <c r="B37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/>
  <c r="P110" i="33"/>
  <c r="P112" i="33"/>
  <c r="O110" i="33"/>
  <c r="O112" i="33" s="1"/>
  <c r="N110" i="33"/>
  <c r="N112" i="33"/>
  <c r="M110" i="33"/>
  <c r="M112" i="33"/>
  <c r="L110" i="33"/>
  <c r="L112" i="33"/>
  <c r="K110" i="33"/>
  <c r="K111" i="33"/>
  <c r="F110" i="33"/>
  <c r="F112" i="33"/>
  <c r="E110" i="33"/>
  <c r="E112" i="33"/>
  <c r="D110" i="33"/>
  <c r="D112" i="33"/>
  <c r="C110" i="33"/>
  <c r="C112" i="33" s="1"/>
  <c r="B110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/>
  <c r="K108" i="33"/>
  <c r="J108" i="33"/>
  <c r="I108" i="33"/>
  <c r="I36" i="39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/>
  <c r="P110" i="32"/>
  <c r="P112" i="32"/>
  <c r="O110" i="32"/>
  <c r="O112" i="32"/>
  <c r="N110" i="32"/>
  <c r="N111" i="32"/>
  <c r="M110" i="32"/>
  <c r="M112" i="32" s="1"/>
  <c r="L110" i="32"/>
  <c r="L112" i="32"/>
  <c r="K110" i="32"/>
  <c r="K112" i="32"/>
  <c r="G110" i="32"/>
  <c r="G112" i="32"/>
  <c r="F110" i="32"/>
  <c r="F112" i="32"/>
  <c r="E110" i="32"/>
  <c r="E111" i="32"/>
  <c r="D110" i="32"/>
  <c r="D112" i="32"/>
  <c r="C110" i="32"/>
  <c r="C111" i="32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/>
  <c r="N108" i="32"/>
  <c r="M108" i="32"/>
  <c r="L108" i="32"/>
  <c r="K108" i="32"/>
  <c r="K35" i="39" s="1"/>
  <c r="J108" i="32"/>
  <c r="J35" i="39"/>
  <c r="I108" i="32"/>
  <c r="I35" i="39" s="1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 s="1"/>
  <c r="N110" i="31"/>
  <c r="N112" i="31" s="1"/>
  <c r="M110" i="31"/>
  <c r="M111" i="31"/>
  <c r="L110" i="31"/>
  <c r="L112" i="31"/>
  <c r="K110" i="31"/>
  <c r="K111" i="3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/>
  <c r="O108" i="31"/>
  <c r="O34" i="39"/>
  <c r="N108" i="31"/>
  <c r="N34" i="39" s="1"/>
  <c r="M108" i="31"/>
  <c r="L108" i="31"/>
  <c r="K108" i="31"/>
  <c r="J108" i="31"/>
  <c r="I108" i="31"/>
  <c r="I34" i="39" s="1"/>
  <c r="H108" i="31"/>
  <c r="G108" i="31"/>
  <c r="F108" i="31"/>
  <c r="E108" i="31"/>
  <c r="D108" i="31"/>
  <c r="D34" i="39" s="1"/>
  <c r="C108" i="31"/>
  <c r="C34" i="39" s="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/>
  <c r="P110" i="30"/>
  <c r="P112" i="30"/>
  <c r="O110" i="30"/>
  <c r="O112" i="30"/>
  <c r="N110" i="30"/>
  <c r="N112" i="30"/>
  <c r="M110" i="30"/>
  <c r="M112" i="30"/>
  <c r="L110" i="30"/>
  <c r="L112" i="30" s="1"/>
  <c r="K110" i="30"/>
  <c r="K112" i="30" s="1"/>
  <c r="G110" i="30"/>
  <c r="G111" i="30"/>
  <c r="F110" i="30"/>
  <c r="F112" i="30"/>
  <c r="E110" i="30"/>
  <c r="E112" i="30"/>
  <c r="D110" i="30"/>
  <c r="D112" i="30"/>
  <c r="C110" i="30"/>
  <c r="C111" i="30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/>
  <c r="M108" i="30"/>
  <c r="L108" i="30"/>
  <c r="K108" i="30"/>
  <c r="K33" i="39"/>
  <c r="J108" i="30"/>
  <c r="I108" i="30"/>
  <c r="H108" i="30"/>
  <c r="G108" i="30"/>
  <c r="F108" i="30"/>
  <c r="E108" i="30"/>
  <c r="E33" i="39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2" i="29"/>
  <c r="K110" i="29"/>
  <c r="K112" i="29" s="1"/>
  <c r="G110" i="29"/>
  <c r="G111" i="29" s="1"/>
  <c r="F110" i="29"/>
  <c r="F111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/>
  <c r="O110" i="28"/>
  <c r="O112" i="28"/>
  <c r="N110" i="28"/>
  <c r="N112" i="28"/>
  <c r="M110" i="28"/>
  <c r="M112" i="28" s="1"/>
  <c r="L110" i="28"/>
  <c r="L112" i="28"/>
  <c r="K110" i="28"/>
  <c r="K112" i="28" s="1"/>
  <c r="G110" i="28"/>
  <c r="G112" i="28"/>
  <c r="F110" i="28"/>
  <c r="F112" i="28" s="1"/>
  <c r="E110" i="28"/>
  <c r="E112" i="28"/>
  <c r="D110" i="28"/>
  <c r="D112" i="28"/>
  <c r="C110" i="28"/>
  <c r="C112" i="28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K31" i="39"/>
  <c r="J108" i="28"/>
  <c r="I108" i="28"/>
  <c r="H108" i="28"/>
  <c r="H31" i="39"/>
  <c r="G108" i="28"/>
  <c r="F108" i="28"/>
  <c r="E108" i="28"/>
  <c r="E31" i="39"/>
  <c r="D108" i="28"/>
  <c r="D31" i="39" s="1"/>
  <c r="C108" i="28"/>
  <c r="C31" i="39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P112" i="27"/>
  <c r="O112" i="27"/>
  <c r="N112" i="27"/>
  <c r="M112" i="27"/>
  <c r="L112" i="27"/>
  <c r="K112" i="27"/>
  <c r="J112" i="27"/>
  <c r="H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 s="1"/>
  <c r="J108" i="27"/>
  <c r="J30" i="39"/>
  <c r="I108" i="27"/>
  <c r="H108" i="27"/>
  <c r="H30" i="39" s="1"/>
  <c r="G108" i="27"/>
  <c r="G30" i="39" s="1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N112" i="26"/>
  <c r="M111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I108" i="26"/>
  <c r="H108" i="26"/>
  <c r="G108" i="26"/>
  <c r="F108" i="26"/>
  <c r="E108" i="26"/>
  <c r="D108" i="26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M108" i="25"/>
  <c r="L108" i="25"/>
  <c r="K108" i="25"/>
  <c r="J108" i="25"/>
  <c r="I108" i="25"/>
  <c r="I28" i="39"/>
  <c r="H108" i="25"/>
  <c r="H28" i="39" s="1"/>
  <c r="G108" i="25"/>
  <c r="F108" i="25"/>
  <c r="E108" i="25"/>
  <c r="E28" i="39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/>
  <c r="P110" i="24"/>
  <c r="P112" i="24"/>
  <c r="O110" i="24"/>
  <c r="O112" i="24" s="1"/>
  <c r="N110" i="24"/>
  <c r="N112" i="24" s="1"/>
  <c r="M110" i="24"/>
  <c r="M112" i="24"/>
  <c r="L110" i="24"/>
  <c r="L112" i="24" s="1"/>
  <c r="K110" i="24"/>
  <c r="K112" i="24"/>
  <c r="G110" i="24"/>
  <c r="G112" i="24" s="1"/>
  <c r="F110" i="24"/>
  <c r="F112" i="24"/>
  <c r="E110" i="24"/>
  <c r="E112" i="24"/>
  <c r="D110" i="24"/>
  <c r="D112" i="24" s="1"/>
  <c r="C110" i="24"/>
  <c r="C112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 s="1"/>
  <c r="M108" i="24"/>
  <c r="L108" i="24"/>
  <c r="K108" i="24"/>
  <c r="K27" i="39"/>
  <c r="J108" i="24"/>
  <c r="J27" i="39" s="1"/>
  <c r="I108" i="24"/>
  <c r="I27" i="39"/>
  <c r="H108" i="24"/>
  <c r="G108" i="24"/>
  <c r="F108" i="24"/>
  <c r="E108" i="24"/>
  <c r="E27" i="39" s="1"/>
  <c r="D108" i="24"/>
  <c r="D27" i="39"/>
  <c r="C108" i="24"/>
  <c r="C27" i="39" s="1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/>
  <c r="P110" i="23"/>
  <c r="P112" i="23"/>
  <c r="O110" i="23"/>
  <c r="O112" i="23"/>
  <c r="N110" i="23"/>
  <c r="N112" i="23" s="1"/>
  <c r="M110" i="23"/>
  <c r="M112" i="23"/>
  <c r="L110" i="23"/>
  <c r="L112" i="23" s="1"/>
  <c r="K110" i="23"/>
  <c r="K112" i="23"/>
  <c r="H112" i="23"/>
  <c r="G110" i="23"/>
  <c r="G111" i="23"/>
  <c r="F110" i="23"/>
  <c r="F111" i="23" s="1"/>
  <c r="E110" i="23"/>
  <c r="E112" i="23" s="1"/>
  <c r="D110" i="23"/>
  <c r="D112" i="23"/>
  <c r="C110" i="23"/>
  <c r="C112" i="23" s="1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/>
  <c r="M108" i="23"/>
  <c r="M26" i="39"/>
  <c r="L108" i="23"/>
  <c r="K108" i="23"/>
  <c r="J108" i="23"/>
  <c r="I108" i="23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/>
  <c r="P110" i="22"/>
  <c r="P112" i="22"/>
  <c r="O110" i="22"/>
  <c r="O111" i="22"/>
  <c r="N110" i="22"/>
  <c r="N112" i="22" s="1"/>
  <c r="M110" i="22"/>
  <c r="M112" i="22"/>
  <c r="L110" i="22"/>
  <c r="L111" i="22" s="1"/>
  <c r="K110" i="22"/>
  <c r="K112" i="22"/>
  <c r="F110" i="22"/>
  <c r="F111" i="22" s="1"/>
  <c r="E110" i="22"/>
  <c r="E112" i="22"/>
  <c r="D110" i="22"/>
  <c r="D112" i="22"/>
  <c r="C110" i="22"/>
  <c r="C112" i="22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 s="1"/>
  <c r="P110" i="21"/>
  <c r="P111" i="21"/>
  <c r="O110" i="21"/>
  <c r="O112" i="21"/>
  <c r="N110" i="21"/>
  <c r="N112" i="21"/>
  <c r="M110" i="21"/>
  <c r="M112" i="21" s="1"/>
  <c r="L110" i="21"/>
  <c r="L112" i="21"/>
  <c r="K110" i="21"/>
  <c r="K112" i="21" s="1"/>
  <c r="G110" i="21"/>
  <c r="G112" i="21"/>
  <c r="F110" i="21"/>
  <c r="F112" i="21" s="1"/>
  <c r="E110" i="21"/>
  <c r="E112" i="21"/>
  <c r="D110" i="21"/>
  <c r="D111" i="21"/>
  <c r="C110" i="21"/>
  <c r="C112" i="2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/>
  <c r="M108" i="21"/>
  <c r="M24" i="39" s="1"/>
  <c r="L108" i="21"/>
  <c r="L24" i="39"/>
  <c r="K108" i="21"/>
  <c r="K24" i="39"/>
  <c r="J108" i="21"/>
  <c r="J24" i="39" s="1"/>
  <c r="I108" i="21"/>
  <c r="I24" i="39" s="1"/>
  <c r="H108" i="21"/>
  <c r="G108" i="21"/>
  <c r="F108" i="21"/>
  <c r="E108" i="21"/>
  <c r="D108" i="21"/>
  <c r="D24" i="39"/>
  <c r="C108" i="21"/>
  <c r="C24" i="39" s="1"/>
  <c r="B108" i="21"/>
  <c r="B24" i="39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/>
  <c r="Q110" i="20"/>
  <c r="Q111" i="20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/>
  <c r="G110" i="20"/>
  <c r="G112" i="20"/>
  <c r="F110" i="20"/>
  <c r="F112" i="20"/>
  <c r="E110" i="20"/>
  <c r="E112" i="20" s="1"/>
  <c r="D110" i="20"/>
  <c r="D112" i="20" s="1"/>
  <c r="C110" i="20"/>
  <c r="C112" i="20" s="1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N23" i="39" s="1"/>
  <c r="M108" i="20"/>
  <c r="L108" i="20"/>
  <c r="K108" i="20"/>
  <c r="K23" i="39" s="1"/>
  <c r="J108" i="20"/>
  <c r="J23" i="39" s="1"/>
  <c r="I108" i="20"/>
  <c r="H108" i="20"/>
  <c r="G108" i="20"/>
  <c r="F108" i="20"/>
  <c r="F23" i="39" s="1"/>
  <c r="E108" i="20"/>
  <c r="E23" i="39"/>
  <c r="D108" i="20"/>
  <c r="D23" i="39"/>
  <c r="C108" i="20"/>
  <c r="C23" i="39" s="1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O110" i="19"/>
  <c r="O112" i="19"/>
  <c r="N110" i="19"/>
  <c r="N112" i="19"/>
  <c r="M110" i="19"/>
  <c r="M111" i="19"/>
  <c r="L110" i="19"/>
  <c r="L112" i="19" s="1"/>
  <c r="K110" i="19"/>
  <c r="K111" i="19"/>
  <c r="D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M22" i="39"/>
  <c r="L108" i="19"/>
  <c r="K108" i="19"/>
  <c r="K22" i="39" s="1"/>
  <c r="J108" i="19"/>
  <c r="I108" i="19"/>
  <c r="I22" i="39" s="1"/>
  <c r="H108" i="19"/>
  <c r="G108" i="19"/>
  <c r="F108" i="19"/>
  <c r="F22" i="39"/>
  <c r="E108" i="19"/>
  <c r="E22" i="39" s="1"/>
  <c r="D108" i="19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/>
  <c r="O110" i="18"/>
  <c r="O112" i="18" s="1"/>
  <c r="N110" i="18"/>
  <c r="N112" i="18"/>
  <c r="M110" i="18"/>
  <c r="M111" i="18"/>
  <c r="L110" i="18"/>
  <c r="L112" i="18" s="1"/>
  <c r="K110" i="18"/>
  <c r="K112" i="18" s="1"/>
  <c r="J111" i="18"/>
  <c r="G110" i="18"/>
  <c r="G112" i="18"/>
  <c r="F110" i="18"/>
  <c r="F112" i="18" s="1"/>
  <c r="E110" i="18"/>
  <c r="E112" i="18" s="1"/>
  <c r="D110" i="18"/>
  <c r="D112" i="18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/>
  <c r="N108" i="18"/>
  <c r="M108" i="18"/>
  <c r="L108" i="18"/>
  <c r="K108" i="18"/>
  <c r="J108" i="18"/>
  <c r="J21" i="39" s="1"/>
  <c r="I108" i="18"/>
  <c r="I21" i="39"/>
  <c r="H108" i="18"/>
  <c r="H21" i="39" s="1"/>
  <c r="G108" i="18"/>
  <c r="G21" i="39" s="1"/>
  <c r="F108" i="18"/>
  <c r="E108" i="18"/>
  <c r="E21" i="39" s="1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/>
  <c r="O110" i="17"/>
  <c r="O112" i="17" s="1"/>
  <c r="N110" i="17"/>
  <c r="N111" i="17"/>
  <c r="M110" i="17"/>
  <c r="M112" i="17"/>
  <c r="L110" i="17"/>
  <c r="L111" i="17" s="1"/>
  <c r="K110" i="17"/>
  <c r="K111" i="17" s="1"/>
  <c r="G110" i="17"/>
  <c r="G112" i="17" s="1"/>
  <c r="F110" i="17"/>
  <c r="F111" i="17" s="1"/>
  <c r="E110" i="17"/>
  <c r="E111" i="17"/>
  <c r="D110" i="17"/>
  <c r="D111" i="17" s="1"/>
  <c r="C110" i="17"/>
  <c r="C111" i="17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/>
  <c r="M108" i="17"/>
  <c r="L108" i="17"/>
  <c r="K108" i="17"/>
  <c r="K20" i="39" s="1"/>
  <c r="J108" i="17"/>
  <c r="J20" i="39"/>
  <c r="I108" i="17"/>
  <c r="I20" i="39" s="1"/>
  <c r="H108" i="17"/>
  <c r="H20" i="39" s="1"/>
  <c r="G108" i="17"/>
  <c r="G20" i="39"/>
  <c r="F108" i="17"/>
  <c r="E108" i="17"/>
  <c r="E20" i="39" s="1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/>
  <c r="O110" i="16"/>
  <c r="O112" i="16"/>
  <c r="N110" i="16"/>
  <c r="N112" i="16" s="1"/>
  <c r="M110" i="16"/>
  <c r="M112" i="16" s="1"/>
  <c r="L110" i="16"/>
  <c r="L112" i="16" s="1"/>
  <c r="K110" i="16"/>
  <c r="K112" i="16" s="1"/>
  <c r="G110" i="16"/>
  <c r="G112" i="16"/>
  <c r="F110" i="16"/>
  <c r="F112" i="16" s="1"/>
  <c r="E110" i="16"/>
  <c r="E112" i="16"/>
  <c r="D110" i="16"/>
  <c r="D112" i="16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/>
  <c r="N108" i="16"/>
  <c r="M108" i="16"/>
  <c r="M19" i="39"/>
  <c r="L108" i="16"/>
  <c r="L19" i="39" s="1"/>
  <c r="K108" i="16"/>
  <c r="J108" i="16"/>
  <c r="J19" i="39" s="1"/>
  <c r="I108" i="16"/>
  <c r="I19" i="39"/>
  <c r="H108" i="16"/>
  <c r="G108" i="16"/>
  <c r="F108" i="16"/>
  <c r="E108" i="16"/>
  <c r="E19" i="39" s="1"/>
  <c r="D108" i="16"/>
  <c r="D19" i="39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/>
  <c r="N110" i="15"/>
  <c r="N112" i="15"/>
  <c r="M110" i="15"/>
  <c r="M112" i="15"/>
  <c r="L110" i="15"/>
  <c r="L111" i="15" s="1"/>
  <c r="K110" i="15"/>
  <c r="K112" i="15" s="1"/>
  <c r="G110" i="15"/>
  <c r="G111" i="15"/>
  <c r="F110" i="15"/>
  <c r="F112" i="15" s="1"/>
  <c r="E110" i="15"/>
  <c r="E112" i="15" s="1"/>
  <c r="D110" i="15"/>
  <c r="D112" i="15"/>
  <c r="C110" i="15"/>
  <c r="C112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/>
  <c r="M108" i="15"/>
  <c r="M18" i="39" s="1"/>
  <c r="L108" i="15"/>
  <c r="K108" i="15"/>
  <c r="K18" i="39" s="1"/>
  <c r="J108" i="15"/>
  <c r="I108" i="15"/>
  <c r="H108" i="15"/>
  <c r="G108" i="15"/>
  <c r="F108" i="15"/>
  <c r="F18" i="39" s="1"/>
  <c r="E108" i="15"/>
  <c r="D108" i="15"/>
  <c r="C108" i="15"/>
  <c r="C18" i="39" s="1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 s="1"/>
  <c r="O110" i="14"/>
  <c r="O111" i="14" s="1"/>
  <c r="N110" i="14"/>
  <c r="N112" i="14" s="1"/>
  <c r="M110" i="14"/>
  <c r="M112" i="14" s="1"/>
  <c r="L110" i="14"/>
  <c r="L112" i="14"/>
  <c r="K110" i="14"/>
  <c r="K112" i="14" s="1"/>
  <c r="G110" i="14"/>
  <c r="G112" i="14"/>
  <c r="F110" i="14"/>
  <c r="F111" i="14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L17" i="39" s="1"/>
  <c r="K108" i="14"/>
  <c r="K17" i="39" s="1"/>
  <c r="J108" i="14"/>
  <c r="I108" i="14"/>
  <c r="H108" i="14"/>
  <c r="G108" i="14"/>
  <c r="G17" i="39" s="1"/>
  <c r="F108" i="14"/>
  <c r="F17" i="39" s="1"/>
  <c r="E108" i="14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1" i="13"/>
  <c r="O110" i="13"/>
  <c r="O111" i="13"/>
  <c r="N110" i="13"/>
  <c r="N112" i="13"/>
  <c r="M110" i="13"/>
  <c r="M111" i="13"/>
  <c r="L110" i="13"/>
  <c r="L112" i="13" s="1"/>
  <c r="K110" i="13"/>
  <c r="K112" i="13"/>
  <c r="E110" i="13"/>
  <c r="E112" i="13" s="1"/>
  <c r="D110" i="13"/>
  <c r="D111" i="13" s="1"/>
  <c r="C110" i="13"/>
  <c r="C112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L108" i="13"/>
  <c r="K108" i="13"/>
  <c r="J108" i="13"/>
  <c r="J16" i="39" s="1"/>
  <c r="I108" i="13"/>
  <c r="H108" i="13"/>
  <c r="H16" i="39" s="1"/>
  <c r="G108" i="13"/>
  <c r="G16" i="39"/>
  <c r="F108" i="13"/>
  <c r="F16" i="39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/>
  <c r="P110" i="12"/>
  <c r="P112" i="12" s="1"/>
  <c r="O110" i="12"/>
  <c r="O111" i="12" s="1"/>
  <c r="N110" i="12"/>
  <c r="N112" i="12"/>
  <c r="M110" i="12"/>
  <c r="M111" i="12"/>
  <c r="L110" i="12"/>
  <c r="L112" i="12"/>
  <c r="K110" i="12"/>
  <c r="K111" i="12"/>
  <c r="E110" i="12"/>
  <c r="E112" i="12" s="1"/>
  <c r="D110" i="12"/>
  <c r="D112" i="12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 s="1"/>
  <c r="N108" i="12"/>
  <c r="N15" i="39" s="1"/>
  <c r="M108" i="12"/>
  <c r="M15" i="39"/>
  <c r="L108" i="12"/>
  <c r="K108" i="12"/>
  <c r="J108" i="12"/>
  <c r="I108" i="12"/>
  <c r="I15" i="39" s="1"/>
  <c r="H108" i="12"/>
  <c r="G108" i="12"/>
  <c r="F108" i="12"/>
  <c r="F15" i="39"/>
  <c r="E108" i="12"/>
  <c r="E15" i="39"/>
  <c r="D108" i="12"/>
  <c r="D15" i="39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/>
  <c r="P110" i="11"/>
  <c r="P112" i="11"/>
  <c r="O110" i="11"/>
  <c r="O112" i="11"/>
  <c r="N110" i="11"/>
  <c r="N112" i="11" s="1"/>
  <c r="M110" i="11"/>
  <c r="M112" i="11" s="1"/>
  <c r="L110" i="11"/>
  <c r="L112" i="11" s="1"/>
  <c r="K110" i="11"/>
  <c r="K112" i="1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/>
  <c r="N108" i="11"/>
  <c r="N14" i="39" s="1"/>
  <c r="M108" i="11"/>
  <c r="M14" i="39" s="1"/>
  <c r="L108" i="11"/>
  <c r="K108" i="11"/>
  <c r="K14" i="39"/>
  <c r="J108" i="11"/>
  <c r="J14" i="39" s="1"/>
  <c r="I108" i="11"/>
  <c r="H108" i="11"/>
  <c r="G108" i="11"/>
  <c r="G14" i="39" s="1"/>
  <c r="F108" i="1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/>
  <c r="P110" i="10"/>
  <c r="P112" i="10"/>
  <c r="O110" i="10"/>
  <c r="O111" i="10"/>
  <c r="N110" i="10"/>
  <c r="N112" i="10"/>
  <c r="M110" i="10"/>
  <c r="M111" i="10"/>
  <c r="L110" i="10"/>
  <c r="L111" i="10" s="1"/>
  <c r="K110" i="10"/>
  <c r="K112" i="10" s="1"/>
  <c r="G110" i="10"/>
  <c r="G112" i="10" s="1"/>
  <c r="F110" i="10"/>
  <c r="F112" i="10"/>
  <c r="E110" i="10"/>
  <c r="E112" i="10"/>
  <c r="D110" i="10"/>
  <c r="D112" i="10"/>
  <c r="C110" i="10"/>
  <c r="C112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/>
  <c r="N108" i="10"/>
  <c r="M108" i="10"/>
  <c r="M13" i="39"/>
  <c r="L108" i="10"/>
  <c r="L13" i="39" s="1"/>
  <c r="K108" i="10"/>
  <c r="K13" i="39"/>
  <c r="J108" i="10"/>
  <c r="I108" i="10"/>
  <c r="I13" i="39" s="1"/>
  <c r="H108" i="10"/>
  <c r="H13" i="39"/>
  <c r="G108" i="10"/>
  <c r="G13" i="39"/>
  <c r="F108" i="10"/>
  <c r="F13" i="39"/>
  <c r="E108" i="10"/>
  <c r="E13" i="39" s="1"/>
  <c r="D108" i="10"/>
  <c r="D13" i="39" s="1"/>
  <c r="C108" i="10"/>
  <c r="C13" i="39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/>
  <c r="P110" i="9"/>
  <c r="P112" i="9"/>
  <c r="O110" i="9"/>
  <c r="O112" i="9"/>
  <c r="N110" i="9"/>
  <c r="N112" i="9" s="1"/>
  <c r="M110" i="9"/>
  <c r="M112" i="9" s="1"/>
  <c r="L110" i="9"/>
  <c r="L112" i="9"/>
  <c r="K110" i="9"/>
  <c r="K112" i="9" s="1"/>
  <c r="F110" i="9"/>
  <c r="F111" i="9" s="1"/>
  <c r="D110" i="9"/>
  <c r="D111" i="9"/>
  <c r="C110" i="9"/>
  <c r="C112" i="9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N108" i="9"/>
  <c r="N12" i="39"/>
  <c r="M108" i="9"/>
  <c r="M12" i="39" s="1"/>
  <c r="L108" i="9"/>
  <c r="K108" i="9"/>
  <c r="J108" i="9"/>
  <c r="J12" i="39"/>
  <c r="I108" i="9"/>
  <c r="H108" i="9"/>
  <c r="H12" i="39" s="1"/>
  <c r="G108" i="9"/>
  <c r="G12" i="39" s="1"/>
  <c r="F108" i="9"/>
  <c r="F12" i="39"/>
  <c r="E108" i="9"/>
  <c r="E12" i="39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/>
  <c r="N108" i="8"/>
  <c r="N11" i="39" s="1"/>
  <c r="M108" i="8"/>
  <c r="M11" i="39"/>
  <c r="L108" i="8"/>
  <c r="L11" i="39" s="1"/>
  <c r="K108" i="8"/>
  <c r="K11" i="39" s="1"/>
  <c r="J108" i="8"/>
  <c r="I108" i="8"/>
  <c r="I11" i="39"/>
  <c r="H108" i="8"/>
  <c r="H11" i="39" s="1"/>
  <c r="G108" i="8"/>
  <c r="G11" i="39" s="1"/>
  <c r="F108" i="8"/>
  <c r="F11" i="39"/>
  <c r="E108" i="8"/>
  <c r="E11" i="39" s="1"/>
  <c r="D108" i="8"/>
  <c r="D11" i="39" s="1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Q112" i="3"/>
  <c r="P112" i="3"/>
  <c r="O112" i="3"/>
  <c r="K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/>
  <c r="M108" i="3"/>
  <c r="M10" i="39"/>
  <c r="L108" i="3"/>
  <c r="L10" i="39"/>
  <c r="K108" i="3"/>
  <c r="K10" i="39" s="1"/>
  <c r="J108" i="3"/>
  <c r="J10" i="39" s="1"/>
  <c r="I108" i="3"/>
  <c r="I10" i="39"/>
  <c r="H108" i="3"/>
  <c r="H10" i="39" s="1"/>
  <c r="G108" i="3"/>
  <c r="G10" i="39" s="1"/>
  <c r="F108" i="3"/>
  <c r="F10" i="39"/>
  <c r="E108" i="3"/>
  <c r="E10" i="39"/>
  <c r="D108" i="3"/>
  <c r="D10" i="39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/>
  <c r="A34" i="39"/>
  <c r="F27" i="39"/>
  <c r="N109" i="2"/>
  <c r="O109" i="2"/>
  <c r="P109" i="2"/>
  <c r="N108" i="2"/>
  <c r="N9" i="39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N21" i="39"/>
  <c r="N17" i="39"/>
  <c r="Q35" i="39"/>
  <c r="M35" i="39"/>
  <c r="L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/>
  <c r="D112" i="2"/>
  <c r="O112" i="2"/>
  <c r="Q112" i="2"/>
  <c r="T40" i="6"/>
  <c r="T21" i="6"/>
  <c r="K88" i="6"/>
  <c r="J88" i="6"/>
  <c r="K115" i="6"/>
  <c r="J115" i="6"/>
  <c r="I115" i="6"/>
  <c r="L12" i="39"/>
  <c r="I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L37" i="39"/>
  <c r="K37" i="39"/>
  <c r="J37" i="39"/>
  <c r="I37" i="39"/>
  <c r="E37" i="39"/>
  <c r="A37" i="39"/>
  <c r="A26" i="39"/>
  <c r="C26" i="39"/>
  <c r="D26" i="39"/>
  <c r="H26" i="39"/>
  <c r="I26" i="39"/>
  <c r="J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Q23" i="39"/>
  <c r="M23" i="39"/>
  <c r="L23" i="39"/>
  <c r="I23" i="39"/>
  <c r="H23" i="39"/>
  <c r="B23" i="39"/>
  <c r="Q22" i="39"/>
  <c r="N22" i="39"/>
  <c r="L22" i="39"/>
  <c r="G22" i="39"/>
  <c r="Q21" i="39"/>
  <c r="P21" i="39"/>
  <c r="M21" i="39"/>
  <c r="L21" i="39"/>
  <c r="K21" i="39"/>
  <c r="F21" i="39"/>
  <c r="D21" i="39"/>
  <c r="C21" i="39"/>
  <c r="B21" i="39"/>
  <c r="A21" i="39"/>
  <c r="M20" i="39"/>
  <c r="A20" i="39"/>
  <c r="K19" i="39"/>
  <c r="H19" i="39"/>
  <c r="G19" i="39"/>
  <c r="B19" i="39"/>
  <c r="L18" i="39"/>
  <c r="J18" i="39"/>
  <c r="I18" i="39"/>
  <c r="H18" i="39"/>
  <c r="G18" i="39"/>
  <c r="E18" i="39"/>
  <c r="D18" i="39"/>
  <c r="P17" i="39"/>
  <c r="M17" i="39"/>
  <c r="I17" i="39"/>
  <c r="C17" i="39"/>
  <c r="Q16" i="39"/>
  <c r="P16" i="39"/>
  <c r="L16" i="39"/>
  <c r="I16" i="39"/>
  <c r="E16" i="39"/>
  <c r="D16" i="39"/>
  <c r="C16" i="39"/>
  <c r="B16" i="39"/>
  <c r="L15" i="39"/>
  <c r="H15" i="39"/>
  <c r="G15" i="39"/>
  <c r="C15" i="39"/>
  <c r="L14" i="39"/>
  <c r="I14" i="39"/>
  <c r="H14" i="39"/>
  <c r="F14" i="39"/>
  <c r="E14" i="39"/>
  <c r="D14" i="39"/>
  <c r="P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/>
  <c r="C108" i="2"/>
  <c r="C9" i="39" s="1"/>
  <c r="D108" i="2"/>
  <c r="D9" i="39" s="1"/>
  <c r="E108" i="2"/>
  <c r="E9" i="39" s="1"/>
  <c r="F108" i="2"/>
  <c r="F9" i="39" s="1"/>
  <c r="G108" i="2"/>
  <c r="G9" i="39"/>
  <c r="H108" i="2"/>
  <c r="H9" i="39"/>
  <c r="I108" i="2"/>
  <c r="I9" i="39"/>
  <c r="J108" i="2"/>
  <c r="J9" i="39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J29" i="39"/>
  <c r="I29" i="39"/>
  <c r="H29" i="39"/>
  <c r="G29" i="39"/>
  <c r="F29" i="39"/>
  <c r="E29" i="39"/>
  <c r="D29" i="39"/>
  <c r="P28" i="39"/>
  <c r="N28" i="39"/>
  <c r="M28" i="39"/>
  <c r="L28" i="39"/>
  <c r="K28" i="39"/>
  <c r="G28" i="39"/>
  <c r="F28" i="39"/>
  <c r="B28" i="39"/>
  <c r="P27" i="39"/>
  <c r="O27" i="39"/>
  <c r="M27" i="39"/>
  <c r="L27" i="39"/>
  <c r="H27" i="39"/>
  <c r="G27" i="39"/>
  <c r="B27" i="39"/>
  <c r="O26" i="39"/>
  <c r="G26" i="39"/>
  <c r="I25" i="39"/>
  <c r="P24" i="39"/>
  <c r="H24" i="39"/>
  <c r="O22" i="39"/>
  <c r="D22" i="39"/>
  <c r="P20" i="39"/>
  <c r="F20" i="39"/>
  <c r="D20" i="39"/>
  <c r="E17" i="39"/>
  <c r="M16" i="39"/>
  <c r="K16" i="39"/>
  <c r="K15" i="39"/>
  <c r="J15" i="39"/>
  <c r="Q12" i="39"/>
  <c r="O12" i="39"/>
  <c r="B12" i="39"/>
  <c r="P10" i="39"/>
  <c r="P36" i="39"/>
  <c r="E34" i="39"/>
  <c r="E26" i="39"/>
  <c r="P23" i="39"/>
  <c r="P18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22" i="39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P111" i="40"/>
  <c r="O111" i="40"/>
  <c r="N111" i="40"/>
  <c r="M111" i="40"/>
  <c r="K111" i="40"/>
  <c r="C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G111" i="32"/>
  <c r="F111" i="32"/>
  <c r="D111" i="32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N111" i="29"/>
  <c r="M111" i="29"/>
  <c r="L111" i="29"/>
  <c r="K111" i="29"/>
  <c r="D111" i="29"/>
  <c r="C111" i="29"/>
  <c r="B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N111" i="24"/>
  <c r="M111" i="24"/>
  <c r="L111" i="24"/>
  <c r="K111" i="24"/>
  <c r="Q111" i="24"/>
  <c r="F111" i="24"/>
  <c r="E111" i="24"/>
  <c r="C111" i="24"/>
  <c r="B111" i="24"/>
  <c r="P111" i="23"/>
  <c r="N111" i="23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G111" i="21"/>
  <c r="E111" i="21"/>
  <c r="C111" i="21"/>
  <c r="B111" i="21"/>
  <c r="O111" i="20"/>
  <c r="Q112" i="20"/>
  <c r="M111" i="20"/>
  <c r="L111" i="20"/>
  <c r="K111" i="20"/>
  <c r="G111" i="20"/>
  <c r="F111" i="20"/>
  <c r="E111" i="20"/>
  <c r="D111" i="20"/>
  <c r="B111" i="20"/>
  <c r="O111" i="19"/>
  <c r="N111" i="19"/>
  <c r="L111" i="19"/>
  <c r="H111" i="19"/>
  <c r="Q111" i="18"/>
  <c r="P111" i="18"/>
  <c r="O111" i="18"/>
  <c r="N111" i="18"/>
  <c r="L111" i="18"/>
  <c r="I111" i="18"/>
  <c r="G111" i="18"/>
  <c r="F111" i="18"/>
  <c r="E111" i="18"/>
  <c r="D111" i="18"/>
  <c r="P111" i="17"/>
  <c r="O111" i="17"/>
  <c r="B111" i="17"/>
  <c r="O111" i="16"/>
  <c r="N111" i="16"/>
  <c r="L111" i="16"/>
  <c r="G111" i="16"/>
  <c r="F111" i="16"/>
  <c r="E111" i="16"/>
  <c r="D111" i="16"/>
  <c r="P111" i="15"/>
  <c r="O111" i="15"/>
  <c r="N111" i="15"/>
  <c r="M111" i="15"/>
  <c r="K111" i="15"/>
  <c r="J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C111" i="13"/>
  <c r="Q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C111" i="9"/>
  <c r="M111" i="8"/>
  <c r="E111" i="8"/>
  <c r="D111" i="8"/>
  <c r="C111" i="8"/>
  <c r="Q111" i="3"/>
  <c r="P111" i="3"/>
  <c r="O111" i="3"/>
  <c r="H111" i="3"/>
  <c r="G111" i="3"/>
  <c r="C112" i="30"/>
  <c r="D112" i="3"/>
  <c r="M111" i="2"/>
  <c r="K112" i="2"/>
  <c r="Q111" i="2"/>
  <c r="G111" i="2"/>
  <c r="J112" i="2"/>
  <c r="D111" i="2"/>
  <c r="L112" i="10"/>
  <c r="M112" i="10"/>
  <c r="E111" i="10"/>
  <c r="L111" i="9"/>
  <c r="E112" i="2"/>
  <c r="C112" i="2"/>
  <c r="B111" i="3"/>
  <c r="I112" i="2"/>
  <c r="L111" i="2"/>
  <c r="I111" i="3"/>
  <c r="F112" i="3"/>
  <c r="M111" i="3"/>
  <c r="J111" i="10"/>
  <c r="I111" i="10"/>
  <c r="I112" i="9"/>
  <c r="H112" i="9"/>
  <c r="B111" i="9"/>
  <c r="J112" i="8"/>
  <c r="P111" i="8"/>
  <c r="L111" i="8"/>
  <c r="I112" i="8"/>
  <c r="H112" i="8"/>
  <c r="G112" i="8"/>
  <c r="F112" i="8"/>
  <c r="N111" i="8"/>
  <c r="J111" i="13"/>
  <c r="P112" i="13"/>
  <c r="F112" i="12"/>
  <c r="J112" i="12"/>
  <c r="H112" i="12"/>
  <c r="O112" i="12"/>
  <c r="J112" i="11"/>
  <c r="Q112" i="11"/>
  <c r="P111" i="11"/>
  <c r="H112" i="11"/>
  <c r="I112" i="11"/>
  <c r="D111" i="11"/>
  <c r="C111" i="11"/>
  <c r="C111" i="16"/>
  <c r="I112" i="16"/>
  <c r="P111" i="16"/>
  <c r="I111" i="15"/>
  <c r="Q112" i="14"/>
  <c r="I112" i="14"/>
  <c r="H112" i="14"/>
  <c r="B112" i="14"/>
  <c r="Q111" i="17"/>
  <c r="B112" i="18"/>
  <c r="J112" i="18"/>
  <c r="J111" i="17"/>
  <c r="I112" i="17"/>
  <c r="H111" i="17"/>
  <c r="N112" i="17"/>
  <c r="L112" i="17"/>
  <c r="M111" i="17"/>
  <c r="K112" i="17"/>
  <c r="F112" i="17"/>
  <c r="D112" i="17"/>
  <c r="E112" i="17"/>
  <c r="I112" i="20"/>
  <c r="J112" i="20"/>
  <c r="Q111" i="19"/>
  <c r="J112" i="19"/>
  <c r="I112" i="19"/>
  <c r="M112" i="19"/>
  <c r="P112" i="25"/>
  <c r="O112" i="25"/>
  <c r="L111" i="25"/>
  <c r="J111" i="25"/>
  <c r="H112" i="25"/>
  <c r="G112" i="25"/>
  <c r="F111" i="25"/>
  <c r="Q112" i="25"/>
  <c r="D111" i="25"/>
  <c r="K112" i="25"/>
  <c r="C112" i="25"/>
  <c r="I112" i="25"/>
  <c r="J112" i="24"/>
  <c r="I111" i="24"/>
  <c r="H112" i="24"/>
  <c r="Q111" i="23"/>
  <c r="O111" i="23"/>
  <c r="I112" i="23"/>
  <c r="G112" i="23"/>
  <c r="J111" i="22"/>
  <c r="H111" i="22"/>
  <c r="Q112" i="22"/>
  <c r="O112" i="22"/>
  <c r="J112" i="21"/>
  <c r="H112" i="21"/>
  <c r="P112" i="21"/>
  <c r="D112" i="27"/>
  <c r="C112" i="27"/>
  <c r="H111" i="27"/>
  <c r="Q111" i="27"/>
  <c r="I111" i="26"/>
  <c r="G111" i="26"/>
  <c r="F111" i="26"/>
  <c r="E111" i="26"/>
  <c r="H112" i="26"/>
  <c r="P112" i="26"/>
  <c r="O111" i="27"/>
  <c r="K111" i="27"/>
  <c r="J111" i="27"/>
  <c r="I111" i="32"/>
  <c r="B112" i="32"/>
  <c r="J112" i="32"/>
  <c r="H112" i="32"/>
  <c r="I112" i="31"/>
  <c r="Q112" i="31"/>
  <c r="G111" i="31"/>
  <c r="P111" i="31"/>
  <c r="J111" i="30"/>
  <c r="H111" i="30"/>
  <c r="I111" i="30"/>
  <c r="G112" i="30"/>
  <c r="J111" i="29"/>
  <c r="I111" i="29"/>
  <c r="H111" i="29"/>
  <c r="O111" i="29"/>
  <c r="G112" i="29"/>
  <c r="I111" i="28"/>
  <c r="H112" i="28"/>
  <c r="J111" i="28"/>
  <c r="B111" i="28"/>
  <c r="D111" i="40"/>
  <c r="G111" i="33"/>
  <c r="H111" i="33"/>
  <c r="J111" i="41"/>
  <c r="H111" i="41"/>
  <c r="I112" i="41"/>
  <c r="Q112" i="41"/>
  <c r="P111" i="2"/>
  <c r="F111" i="2"/>
  <c r="B111" i="2"/>
  <c r="J112" i="3"/>
  <c r="L112" i="3"/>
  <c r="C112" i="3"/>
  <c r="K112" i="8"/>
  <c r="Q112" i="8"/>
  <c r="F112" i="9"/>
  <c r="J111" i="9"/>
  <c r="Q112" i="9"/>
  <c r="D112" i="9"/>
  <c r="O111" i="9"/>
  <c r="D111" i="10"/>
  <c r="O112" i="10"/>
  <c r="H111" i="10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K111" i="18"/>
  <c r="K112" i="19"/>
  <c r="P112" i="20"/>
  <c r="C111" i="20"/>
  <c r="N112" i="20"/>
  <c r="F111" i="21"/>
  <c r="D112" i="21"/>
  <c r="O111" i="21"/>
  <c r="I112" i="21"/>
  <c r="I111" i="22"/>
  <c r="L112" i="22"/>
  <c r="F112" i="22"/>
  <c r="G112" i="22"/>
  <c r="G111" i="24"/>
  <c r="M111" i="25"/>
  <c r="E112" i="25"/>
  <c r="O112" i="26"/>
  <c r="M112" i="26"/>
  <c r="F111" i="27"/>
  <c r="P112" i="28"/>
  <c r="F112" i="29"/>
  <c r="Q112" i="29"/>
  <c r="K111" i="30"/>
  <c r="F111" i="30"/>
  <c r="Q112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B112" i="8"/>
  <c r="N112" i="2"/>
  <c r="G112" i="9"/>
  <c r="P112" i="19"/>
  <c r="F111" i="19"/>
  <c r="C112" i="19"/>
  <c r="D111" i="19"/>
  <c r="B111" i="19"/>
  <c r="E112" i="19"/>
  <c r="H111" i="18"/>
  <c r="G111" i="17"/>
  <c r="C112" i="17"/>
  <c r="Q111" i="15"/>
  <c r="G112" i="13"/>
  <c r="I111" i="13"/>
  <c r="F111" i="13"/>
  <c r="I111" i="12"/>
  <c r="G112" i="12"/>
  <c r="B112" i="11"/>
  <c r="F111" i="11"/>
  <c r="J112" i="40"/>
  <c r="I111" i="40"/>
  <c r="B111" i="40"/>
  <c r="F111" i="40"/>
  <c r="E111" i="40"/>
  <c r="Q111" i="40"/>
  <c r="J112" i="26"/>
  <c r="B111" i="26"/>
  <c r="B112" i="25"/>
  <c r="D44" i="5" l="1"/>
  <c r="H40" i="39"/>
  <c r="H44" i="39"/>
  <c r="H41" i="39"/>
  <c r="H42" i="39"/>
  <c r="H43" i="39"/>
  <c r="I43" i="39"/>
  <c r="G41" i="39"/>
  <c r="G43" i="39"/>
  <c r="G42" i="39"/>
  <c r="G44" i="39"/>
  <c r="G40" i="39"/>
  <c r="J42" i="39"/>
  <c r="J44" i="39"/>
  <c r="J43" i="39"/>
  <c r="J40" i="39"/>
  <c r="J41" i="39"/>
  <c r="F43" i="39"/>
  <c r="F41" i="39"/>
  <c r="F42" i="39"/>
  <c r="F44" i="39"/>
  <c r="F40" i="39"/>
  <c r="E40" i="39"/>
  <c r="E43" i="39"/>
  <c r="E42" i="39"/>
  <c r="E44" i="39"/>
  <c r="E41" i="39"/>
  <c r="D41" i="39"/>
  <c r="D40" i="39"/>
  <c r="D43" i="39"/>
  <c r="D42" i="39"/>
  <c r="D44" i="39"/>
  <c r="B40" i="39"/>
  <c r="B42" i="39"/>
  <c r="B41" i="39"/>
  <c r="B44" i="39"/>
  <c r="B43" i="39"/>
  <c r="N43" i="39"/>
  <c r="N42" i="39"/>
  <c r="N41" i="39"/>
  <c r="N40" i="39"/>
  <c r="N44" i="39"/>
  <c r="C41" i="39"/>
  <c r="C43" i="39"/>
  <c r="C44" i="39"/>
  <c r="C42" i="39"/>
  <c r="C40" i="39"/>
  <c r="Q43" i="39"/>
  <c r="Q42" i="39"/>
  <c r="Q40" i="39"/>
  <c r="Q41" i="39"/>
  <c r="Q44" i="39"/>
  <c r="M43" i="39"/>
  <c r="M40" i="39"/>
  <c r="M41" i="39"/>
  <c r="M44" i="39"/>
  <c r="M42" i="39"/>
  <c r="L44" i="39"/>
  <c r="L40" i="39"/>
  <c r="L41" i="39"/>
  <c r="L43" i="39"/>
  <c r="L42" i="39"/>
  <c r="K44" i="39"/>
  <c r="K42" i="39"/>
  <c r="K40" i="39"/>
  <c r="K43" i="39"/>
  <c r="K41" i="39"/>
  <c r="P43" i="39"/>
  <c r="P41" i="39"/>
  <c r="P40" i="39"/>
  <c r="P44" i="39"/>
  <c r="P42" i="39"/>
  <c r="O40" i="39"/>
  <c r="O41" i="39"/>
  <c r="O44" i="39"/>
  <c r="O43" i="39"/>
  <c r="O42" i="39"/>
  <c r="E111" i="29"/>
  <c r="H112" i="2"/>
  <c r="H111" i="40"/>
  <c r="G112" i="27"/>
  <c r="N112" i="25"/>
  <c r="C112" i="26"/>
  <c r="H111" i="20"/>
  <c r="N112" i="3"/>
  <c r="Q112" i="26"/>
  <c r="J111" i="23"/>
  <c r="G111" i="11"/>
  <c r="O111" i="8"/>
  <c r="P111" i="12"/>
  <c r="P111" i="29"/>
  <c r="O111" i="31"/>
  <c r="J111" i="33"/>
  <c r="O111" i="24"/>
  <c r="C112" i="18"/>
  <c r="J112" i="14"/>
  <c r="E111" i="13"/>
  <c r="F112" i="23"/>
  <c r="F111" i="15"/>
  <c r="I41" i="39"/>
  <c r="G111" i="19"/>
  <c r="I44" i="39"/>
  <c r="E111" i="9"/>
  <c r="Q111" i="16"/>
  <c r="E112" i="3"/>
  <c r="K111" i="9"/>
  <c r="I42" i="39"/>
  <c r="I40" i="39"/>
  <c r="D111" i="24"/>
  <c r="B46" i="39" l="1"/>
  <c r="B45" i="39"/>
  <c r="D45" i="39"/>
  <c r="D46" i="39"/>
  <c r="Q46" i="39"/>
  <c r="Q45" i="39"/>
  <c r="H45" i="39"/>
  <c r="H46" i="39"/>
  <c r="K45" i="39"/>
  <c r="K46" i="39"/>
  <c r="F46" i="39"/>
  <c r="F45" i="39"/>
  <c r="G46" i="39"/>
  <c r="G45" i="39"/>
  <c r="E45" i="39"/>
  <c r="E46" i="39"/>
  <c r="M46" i="39"/>
  <c r="M45" i="39"/>
  <c r="J45" i="39"/>
  <c r="J46" i="39"/>
  <c r="O45" i="39"/>
  <c r="O46" i="39"/>
  <c r="N45" i="39"/>
  <c r="N46" i="39"/>
  <c r="C45" i="39"/>
  <c r="C46" i="39"/>
  <c r="L45" i="39"/>
  <c r="L46" i="39"/>
  <c r="P46" i="39"/>
  <c r="P45" i="39"/>
  <c r="I46" i="39"/>
  <c r="I45" i="39"/>
</calcChain>
</file>

<file path=xl/sharedStrings.xml><?xml version="1.0" encoding="utf-8"?>
<sst xmlns="http://schemas.openxmlformats.org/spreadsheetml/2006/main" count="6087" uniqueCount="3130">
  <si>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</si>
  <si>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</si>
  <si>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</si>
  <si>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</si>
  <si>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</si>
  <si>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</si>
  <si>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</si>
  <si>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</si>
  <si>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</si>
  <si>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</si>
  <si>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</si>
  <si>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</si>
  <si>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</si>
  <si>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</si>
  <si>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</si>
  <si>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</si>
  <si>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</si>
  <si>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</si>
  <si>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</si>
  <si>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</si>
  <si>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</si>
  <si>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</si>
  <si>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</si>
  <si>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</si>
  <si>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</si>
  <si>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</si>
  <si>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</si>
  <si>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</si>
  <si>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</si>
  <si>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</si>
  <si>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</si>
  <si>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</si>
  <si>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</si>
  <si>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</si>
  <si>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</si>
  <si>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</si>
  <si>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</si>
  <si>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</si>
  <si>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</si>
  <si>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</si>
  <si>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</si>
  <si>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</si>
  <si>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</si>
  <si>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</si>
  <si>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</si>
  <si>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</si>
  <si>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</si>
  <si>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</si>
  <si>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</si>
  <si>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</si>
  <si>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</si>
  <si>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</si>
  <si>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</si>
  <si>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</si>
  <si>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</si>
  <si>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</si>
  <si>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</si>
  <si>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</si>
  <si>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</si>
  <si>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</si>
  <si>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</si>
  <si>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</si>
  <si>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</si>
  <si>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</si>
  <si>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</si>
  <si>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</si>
  <si>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</si>
  <si>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</si>
  <si>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</si>
  <si>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</si>
  <si>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</si>
  <si>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</si>
  <si>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</si>
  <si>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</si>
  <si>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</si>
  <si>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</si>
  <si>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</si>
  <si>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</si>
  <si>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</si>
  <si>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</si>
  <si>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</si>
  <si>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</si>
  <si>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</si>
  <si>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</si>
  <si>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</si>
  <si>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</si>
  <si>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</si>
  <si>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</si>
  <si>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</si>
  <si>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</si>
  <si>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</si>
  <si>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</si>
  <si>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</si>
  <si>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</si>
  <si>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</si>
  <si>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</si>
  <si>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</si>
  <si>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</si>
  <si>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</si>
  <si>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</si>
  <si>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</si>
  <si>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</si>
  <si>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</si>
  <si>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</si>
  <si>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</si>
  <si>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</si>
  <si>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</si>
  <si>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</si>
  <si>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</si>
  <si>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</si>
  <si>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</si>
  <si>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</si>
  <si>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</si>
  <si>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</si>
  <si>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</si>
  <si>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</si>
  <si>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</si>
  <si>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</si>
  <si>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</si>
  <si>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</si>
  <si>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</si>
  <si>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</si>
  <si>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</si>
  <si>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</si>
  <si>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</si>
  <si>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</si>
  <si>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</si>
  <si>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</si>
  <si>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</si>
  <si>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</si>
  <si>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</si>
  <si>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</si>
  <si>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</si>
  <si>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</si>
  <si>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</si>
  <si>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</si>
  <si>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</si>
  <si>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</si>
  <si>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</si>
  <si>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</si>
  <si>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</si>
  <si>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</si>
  <si>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</si>
  <si>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</si>
  <si>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</si>
  <si>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</si>
  <si>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</si>
  <si>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</si>
  <si>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</si>
  <si>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</si>
  <si>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</si>
  <si>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</si>
  <si>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</si>
  <si>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</si>
  <si>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</si>
  <si>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</si>
  <si>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</si>
  <si>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</si>
  <si>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</si>
  <si>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</si>
  <si>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</si>
  <si>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</si>
  <si>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</si>
  <si>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</si>
  <si>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</si>
  <si>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</si>
  <si>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</si>
  <si>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</si>
  <si>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</si>
  <si>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</si>
  <si>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</si>
  <si>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</si>
  <si>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</si>
  <si>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</si>
  <si>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</si>
  <si>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</si>
  <si>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</si>
  <si>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</si>
  <si>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</si>
  <si>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</si>
  <si>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</si>
  <si>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</si>
  <si>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</si>
  <si>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</si>
  <si>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</si>
  <si>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</si>
  <si>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</si>
  <si>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</si>
  <si>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</si>
  <si>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</si>
  <si>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</si>
  <si>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</si>
  <si>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</si>
  <si>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</si>
  <si>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</si>
  <si>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</si>
  <si>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</si>
  <si>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</si>
  <si>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</si>
  <si>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</si>
  <si>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</si>
  <si>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</si>
  <si>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</si>
  <si>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</si>
  <si>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</si>
  <si>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</si>
  <si>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</si>
  <si>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</si>
  <si>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</si>
  <si>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</si>
  <si>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</si>
  <si>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</si>
  <si>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</si>
  <si>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</si>
  <si>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</si>
  <si>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</si>
  <si>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</si>
  <si>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</si>
  <si>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</si>
  <si>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</si>
  <si>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</si>
  <si>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</si>
  <si>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</si>
  <si>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</si>
  <si>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</si>
  <si>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</si>
  <si>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</si>
  <si>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</si>
  <si>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</si>
  <si>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</si>
  <si>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</si>
  <si>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</si>
  <si>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</si>
  <si>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</si>
  <si>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</si>
  <si>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</si>
  <si>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</si>
  <si>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</si>
  <si>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</si>
  <si>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</si>
  <si>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</si>
  <si>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</si>
  <si>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</si>
  <si>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</si>
  <si>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</si>
  <si>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</si>
  <si>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01/04/2023 - 30/04/2023</t>
  </si>
  <si>
    <t>ppb</t>
  </si>
  <si>
    <t>01-11-2023 00:15</t>
  </si>
  <si>
    <t>01-11-2023 00:30</t>
  </si>
  <si>
    <t>01-11-2023 00:45</t>
  </si>
  <si>
    <t>01-11-2023 01:00</t>
  </si>
  <si>
    <t>01-11-2023 01:15</t>
  </si>
  <si>
    <t>01-11-2023 01:30</t>
  </si>
  <si>
    <t>01-11-2023 01:45</t>
  </si>
  <si>
    <t>01-11-2023 02:00</t>
  </si>
  <si>
    <t>01-11-2023 02:15</t>
  </si>
  <si>
    <t>01-11-2023 02:30</t>
  </si>
  <si>
    <t>01-11-2023 02:45</t>
  </si>
  <si>
    <t>01-11-2023 03:00</t>
  </si>
  <si>
    <t>01-11-2023 03:15</t>
  </si>
  <si>
    <t>01-11-2023 03:30</t>
  </si>
  <si>
    <t>01-11-2023 03:45</t>
  </si>
  <si>
    <t>01-11-2023 04:00</t>
  </si>
  <si>
    <t>01-11-2023 04:15</t>
  </si>
  <si>
    <t>01-11-2023 04:30</t>
  </si>
  <si>
    <t>01-11-2023 04:45</t>
  </si>
  <si>
    <t>01-11-2023 05:00</t>
  </si>
  <si>
    <t>01-11-2023 05:15</t>
  </si>
  <si>
    <t>01-11-2023 05:30</t>
  </si>
  <si>
    <t>01-11-2023 05:45</t>
  </si>
  <si>
    <t>01-11-2023 06:00</t>
  </si>
  <si>
    <t>01-11-2023 06:15</t>
  </si>
  <si>
    <t>01-11-2023 06:30</t>
  </si>
  <si>
    <t>01-11-2023 06:45</t>
  </si>
  <si>
    <t>01-11-2023 07:00</t>
  </si>
  <si>
    <t>01-11-2023 07:15</t>
  </si>
  <si>
    <t>01-11-2023 07:30</t>
  </si>
  <si>
    <t>01-11-2023 07:45</t>
  </si>
  <si>
    <t>01-11-2023 08:00</t>
  </si>
  <si>
    <t>01-11-2023 08:15</t>
  </si>
  <si>
    <t>01-11-2023 08:30</t>
  </si>
  <si>
    <t>01-11-2023 08:45</t>
  </si>
  <si>
    <t>01-11-2023 09:00</t>
  </si>
  <si>
    <t>01-11-2023 09:15</t>
  </si>
  <si>
    <t>01-11-2023 09:30</t>
  </si>
  <si>
    <t>01-11-2023 09:45</t>
  </si>
  <si>
    <t>01-11-2023 10:00</t>
  </si>
  <si>
    <t>01-11-2023 10:15</t>
  </si>
  <si>
    <t>01-11-2023 10:30</t>
  </si>
  <si>
    <t>01-11-2023 10:45</t>
  </si>
  <si>
    <t>01-11-2023 11:00</t>
  </si>
  <si>
    <t>01-11-2023 11:15</t>
  </si>
  <si>
    <t>01-11-2023 11:30</t>
  </si>
  <si>
    <t>01-11-2023 11:45</t>
  </si>
  <si>
    <t>01-11-2023 12:00</t>
  </si>
  <si>
    <t>01-11-2023 12:15</t>
  </si>
  <si>
    <t>01-11-2023 12:30</t>
  </si>
  <si>
    <t>01-11-2023 12:45</t>
  </si>
  <si>
    <t>01-11-2023 13:00</t>
  </si>
  <si>
    <t>01-11-2023 13:15</t>
  </si>
  <si>
    <t>01-11-2023 13:30</t>
  </si>
  <si>
    <t>01-11-2023 13:45</t>
  </si>
  <si>
    <t>01-11-2023 14:00</t>
  </si>
  <si>
    <t>01-11-2023 14:15</t>
  </si>
  <si>
    <t>01-11-2023 14:30</t>
  </si>
  <si>
    <t>01-11-2023 14:45</t>
  </si>
  <si>
    <t>01-11-2023 15:00</t>
  </si>
  <si>
    <t>01-11-2023 15:15</t>
  </si>
  <si>
    <t>01-11-2023 15:30</t>
  </si>
  <si>
    <t>01-11-2023 15:45</t>
  </si>
  <si>
    <t>01-11-2023 16:00</t>
  </si>
  <si>
    <t>01-11-2023 16:15</t>
  </si>
  <si>
    <t>01-11-2023 16:30</t>
  </si>
  <si>
    <t>01-11-2023 16:45</t>
  </si>
  <si>
    <t>01-11-2023 17:00</t>
  </si>
  <si>
    <t>01-11-2023 17:15</t>
  </si>
  <si>
    <t>01-11-2023 17:30</t>
  </si>
  <si>
    <t>01-11-2023 17:45</t>
  </si>
  <si>
    <t>01-11-2023 18:00</t>
  </si>
  <si>
    <t>01-11-2023 18:15</t>
  </si>
  <si>
    <t>01-11-2023 18:30</t>
  </si>
  <si>
    <t>01-11-2023 18:45</t>
  </si>
  <si>
    <t>01-11-2023 19:00</t>
  </si>
  <si>
    <t>01-11-2023 19:15</t>
  </si>
  <si>
    <t>01-11-2023 19:30</t>
  </si>
  <si>
    <t>01-11-2023 19:45</t>
  </si>
  <si>
    <t>01-11-2023 20:00</t>
  </si>
  <si>
    <t>01-11-2023 20:15</t>
  </si>
  <si>
    <t>01-11-2023 20:30</t>
  </si>
  <si>
    <t>01-11-2023 20:45</t>
  </si>
  <si>
    <t>01-11-2023 21:00</t>
  </si>
  <si>
    <t>01-11-2023 21:15</t>
  </si>
  <si>
    <t>01-11-2023 21:30</t>
  </si>
  <si>
    <t>01-11-2023 21:45</t>
  </si>
  <si>
    <t>01-11-2023 22:00</t>
  </si>
  <si>
    <t>01-11-2023 22:15</t>
  </si>
  <si>
    <t>01-11-2023 22:30</t>
  </si>
  <si>
    <t>01-11-2023 22:45</t>
  </si>
  <si>
    <t>01-11-2023 23:00</t>
  </si>
  <si>
    <t>01-11-2023 23:15</t>
  </si>
  <si>
    <t>01-11-2023 23:30</t>
  </si>
  <si>
    <t>01-11-2023 23:45</t>
  </si>
  <si>
    <t>01-11-2023 24:00</t>
  </si>
  <si>
    <t>02-11-2023 00:15</t>
  </si>
  <si>
    <t>02-11-2023 00:30</t>
  </si>
  <si>
    <t>02-11-2023 00:45</t>
  </si>
  <si>
    <t>02-11-2023 01:00</t>
  </si>
  <si>
    <t>02-11-2023 01:15</t>
  </si>
  <si>
    <t>02-11-2023 01:30</t>
  </si>
  <si>
    <t>02-11-2023 01:45</t>
  </si>
  <si>
    <t>02-11-2023 02:00</t>
  </si>
  <si>
    <t>02-11-2023 02:15</t>
  </si>
  <si>
    <t>02-11-2023 02:30</t>
  </si>
  <si>
    <t>02-11-2023 02:45</t>
  </si>
  <si>
    <t>02-11-2023 03:00</t>
  </si>
  <si>
    <t>02-11-2023 03:15</t>
  </si>
  <si>
    <t>02-11-2023 03:30</t>
  </si>
  <si>
    <t>02-11-2023 03:45</t>
  </si>
  <si>
    <t>02-11-2023 04:00</t>
  </si>
  <si>
    <t>02-11-2023 04:15</t>
  </si>
  <si>
    <t>02-11-2023 04:30</t>
  </si>
  <si>
    <t>02-11-2023 04:45</t>
  </si>
  <si>
    <t>02-11-2023 05:00</t>
  </si>
  <si>
    <t>02-11-2023 05:15</t>
  </si>
  <si>
    <t>02-11-2023 05:30</t>
  </si>
  <si>
    <t>02-11-2023 05:45</t>
  </si>
  <si>
    <t>02-11-2023 06:00</t>
  </si>
  <si>
    <t>02-11-2023 06:15</t>
  </si>
  <si>
    <t>02-11-2023 06:30</t>
  </si>
  <si>
    <t>02-11-2023 06:45</t>
  </si>
  <si>
    <t>02-11-2023 07:00</t>
  </si>
  <si>
    <t>02-11-2023 07:15</t>
  </si>
  <si>
    <t>02-11-2023 07:30</t>
  </si>
  <si>
    <t>02-11-2023 07:45</t>
  </si>
  <si>
    <t>02-11-2023 08:00</t>
  </si>
  <si>
    <t>02-11-2023 08:15</t>
  </si>
  <si>
    <t>02-11-2023 08:30</t>
  </si>
  <si>
    <t>02-11-2023 08:45</t>
  </si>
  <si>
    <t>02-11-2023 09:00</t>
  </si>
  <si>
    <t>02-11-2023 09:15</t>
  </si>
  <si>
    <t>02-11-2023 09:30</t>
  </si>
  <si>
    <t>02-11-2023 09:45</t>
  </si>
  <si>
    <t>02-11-2023 10:00</t>
  </si>
  <si>
    <t>02-11-2023 10:15</t>
  </si>
  <si>
    <t>02-11-2023 10:30</t>
  </si>
  <si>
    <t>02-11-2023 10:45</t>
  </si>
  <si>
    <t>02-11-2023 11:00</t>
  </si>
  <si>
    <t>02-11-2023 11:15</t>
  </si>
  <si>
    <t>02-11-2023 11:30</t>
  </si>
  <si>
    <t>02-11-2023 11:45</t>
  </si>
  <si>
    <t>02-11-2023 12:00</t>
  </si>
  <si>
    <t>02-11-2023 12:15</t>
  </si>
  <si>
    <t>02-11-2023 12:30</t>
  </si>
  <si>
    <t>02-11-2023 12:45</t>
  </si>
  <si>
    <t>02-11-2023 13:00</t>
  </si>
  <si>
    <t>02-11-2023 13:15</t>
  </si>
  <si>
    <t>02-11-2023 13:30</t>
  </si>
  <si>
    <t>02-11-2023 13:45</t>
  </si>
  <si>
    <t>02-11-2023 14:00</t>
  </si>
  <si>
    <t>02-11-2023 14:15</t>
  </si>
  <si>
    <t>02-11-2023 14:30</t>
  </si>
  <si>
    <t>02-11-2023 14:45</t>
  </si>
  <si>
    <t>02-11-2023 15:00</t>
  </si>
  <si>
    <t>02-11-2023 15:15</t>
  </si>
  <si>
    <t>02-11-2023 15:30</t>
  </si>
  <si>
    <t>02-11-2023 15:45</t>
  </si>
  <si>
    <t>02-11-2023 16:00</t>
  </si>
  <si>
    <t>02-11-2023 16:15</t>
  </si>
  <si>
    <t>02-11-2023 16:30</t>
  </si>
  <si>
    <t>02-11-2023 16:45</t>
  </si>
  <si>
    <t>02-11-2023 17:00</t>
  </si>
  <si>
    <t>02-11-2023 17:15</t>
  </si>
  <si>
    <t>02-11-2023 17:30</t>
  </si>
  <si>
    <t>02-11-2023 17:45</t>
  </si>
  <si>
    <t>02-11-2023 18:00</t>
  </si>
  <si>
    <t>02-11-2023 18:15</t>
  </si>
  <si>
    <t>02-11-2023 18:30</t>
  </si>
  <si>
    <t>02-11-2023 18:45</t>
  </si>
  <si>
    <t>02-11-2023 19:00</t>
  </si>
  <si>
    <t>02-11-2023 19:15</t>
  </si>
  <si>
    <t>02-11-2023 19:30</t>
  </si>
  <si>
    <t>02-11-2023 19:45</t>
  </si>
  <si>
    <t>02-11-2023 20:00</t>
  </si>
  <si>
    <t>02-11-2023 20:15</t>
  </si>
  <si>
    <t>02-11-2023 20:30</t>
  </si>
  <si>
    <t>02-11-2023 20:45</t>
  </si>
  <si>
    <t>02-11-2023 21:00</t>
  </si>
  <si>
    <t>02-11-2023 21:15</t>
  </si>
  <si>
    <t>02-11-2023 21:30</t>
  </si>
  <si>
    <t>02-11-2023 21:45</t>
  </si>
  <si>
    <t>02-11-2023 22:00</t>
  </si>
  <si>
    <t>02-11-2023 22:15</t>
  </si>
  <si>
    <t>02-11-2023 22:30</t>
  </si>
  <si>
    <t>02-11-2023 22:45</t>
  </si>
  <si>
    <t>02-11-2023 23:00</t>
  </si>
  <si>
    <t>02-11-2023 23:15</t>
  </si>
  <si>
    <t>02-11-2023 23:30</t>
  </si>
  <si>
    <t>02-11-2023 23:45</t>
  </si>
  <si>
    <t>02-11-2023 24:00</t>
  </si>
  <si>
    <t>03-11-2023 00:15</t>
  </si>
  <si>
    <t>03-11-2023 00:30</t>
  </si>
  <si>
    <t>03-11-2023 00:45</t>
  </si>
  <si>
    <t>03-11-2023 01:00</t>
  </si>
  <si>
    <t>03-11-2023 01:15</t>
  </si>
  <si>
    <t>03-11-2023 01:30</t>
  </si>
  <si>
    <t>03-11-2023 01:45</t>
  </si>
  <si>
    <t>03-11-2023 02:00</t>
  </si>
  <si>
    <t>03-11-2023 02:15</t>
  </si>
  <si>
    <t>03-11-2023 02:30</t>
  </si>
  <si>
    <t>03-11-2023 02:45</t>
  </si>
  <si>
    <t>03-11-2023 03:00</t>
  </si>
  <si>
    <t>03-11-2023 03:15</t>
  </si>
  <si>
    <t>03-11-2023 03:30</t>
  </si>
  <si>
    <t>03-11-2023 03:45</t>
  </si>
  <si>
    <t>03-11-2023 04:00</t>
  </si>
  <si>
    <t>03-11-2023 04:15</t>
  </si>
  <si>
    <t>03-11-2023 04:30</t>
  </si>
  <si>
    <t>03-11-2023 04:45</t>
  </si>
  <si>
    <t>03-11-2023 05:00</t>
  </si>
  <si>
    <t>03-11-2023 05:15</t>
  </si>
  <si>
    <t>03-11-2023 05:30</t>
  </si>
  <si>
    <t>03-11-2023 05:45</t>
  </si>
  <si>
    <t>03-11-2023 06:00</t>
  </si>
  <si>
    <t>03-11-2023 06:15</t>
  </si>
  <si>
    <t>03-11-2023 06:30</t>
  </si>
  <si>
    <t>03-11-2023 06:45</t>
  </si>
  <si>
    <t>03-11-2023 07:00</t>
  </si>
  <si>
    <t>03-11-2023 07:15</t>
  </si>
  <si>
    <t>03-11-2023 07:30</t>
  </si>
  <si>
    <t>03-11-2023 07:45</t>
  </si>
  <si>
    <t>03-11-2023 08:00</t>
  </si>
  <si>
    <t>03-11-2023 08:15</t>
  </si>
  <si>
    <t>03-11-2023 08:30</t>
  </si>
  <si>
    <t>03-11-2023 08:45</t>
  </si>
  <si>
    <t>03-11-2023 09:00</t>
  </si>
  <si>
    <t>03-11-2023 09:15</t>
  </si>
  <si>
    <t>03-11-2023 09:30</t>
  </si>
  <si>
    <t>03-11-2023 09:45</t>
  </si>
  <si>
    <t>03-11-2023 10:00</t>
  </si>
  <si>
    <t>03-11-2023 10:15</t>
  </si>
  <si>
    <t>03-11-2023 10:30</t>
  </si>
  <si>
    <t>03-11-2023 10:45</t>
  </si>
  <si>
    <t>03-11-2023 11:00</t>
  </si>
  <si>
    <t>03-11-2023 11:15</t>
  </si>
  <si>
    <t>03-11-2023 11:30</t>
  </si>
  <si>
    <t>03-11-2023 11:45</t>
  </si>
  <si>
    <t>03-11-2023 12:00</t>
  </si>
  <si>
    <t>03-11-2023 12:15</t>
  </si>
  <si>
    <t>03-11-2023 12:30</t>
  </si>
  <si>
    <t>03-11-2023 12:45</t>
  </si>
  <si>
    <t>03-11-2023 13:00</t>
  </si>
  <si>
    <t>03-11-2023 13:15</t>
  </si>
  <si>
    <t>03-11-2023 13:30</t>
  </si>
  <si>
    <t>03-11-2023 13:45</t>
  </si>
  <si>
    <t>03-11-2023 14:00</t>
  </si>
  <si>
    <t>03-11-2023 14:15</t>
  </si>
  <si>
    <t>03-11-2023 14:30</t>
  </si>
  <si>
    <t>03-11-2023 14:45</t>
  </si>
  <si>
    <t>03-11-2023 15:00</t>
  </si>
  <si>
    <t>03-11-2023 15:15</t>
  </si>
  <si>
    <t>03-11-2023 15:30</t>
  </si>
  <si>
    <t>03-11-2023 15:45</t>
  </si>
  <si>
    <t>03-11-2023 16:00</t>
  </si>
  <si>
    <t>03-11-2023 16:15</t>
  </si>
  <si>
    <t>03-11-2023 16:30</t>
  </si>
  <si>
    <t>03-11-2023 16:45</t>
  </si>
  <si>
    <t>03-11-2023 17:00</t>
  </si>
  <si>
    <t>03-11-2023 17:15</t>
  </si>
  <si>
    <t>03-11-2023 17:30</t>
  </si>
  <si>
    <t>03-11-2023 17:45</t>
  </si>
  <si>
    <t>03-11-2023 18:00</t>
  </si>
  <si>
    <t>03-11-2023 18:15</t>
  </si>
  <si>
    <t>03-11-2023 18:30</t>
  </si>
  <si>
    <t>03-11-2023 18:45</t>
  </si>
  <si>
    <t>03-11-2023 19:00</t>
  </si>
  <si>
    <t>03-11-2023 19:15</t>
  </si>
  <si>
    <t>03-11-2023 19:30</t>
  </si>
  <si>
    <t>03-11-2023 19:45</t>
  </si>
  <si>
    <t>03-11-2023 20:00</t>
  </si>
  <si>
    <t>03-11-2023 20:15</t>
  </si>
  <si>
    <t>03-11-2023 20:30</t>
  </si>
  <si>
    <t>03-11-2023 20:45</t>
  </si>
  <si>
    <t>03-11-2023 21:00</t>
  </si>
  <si>
    <t>03-11-2023 21:15</t>
  </si>
  <si>
    <t>03-11-2023 21:30</t>
  </si>
  <si>
    <t>03-11-2023 21:45</t>
  </si>
  <si>
    <t>03-11-2023 22:00</t>
  </si>
  <si>
    <t>03-11-2023 22:15</t>
  </si>
  <si>
    <t>03-11-2023 22:30</t>
  </si>
  <si>
    <t>03-11-2023 22:45</t>
  </si>
  <si>
    <t>03-11-2023 23:00</t>
  </si>
  <si>
    <t>03-11-2023 23:15</t>
  </si>
  <si>
    <t>03-11-2023 23:30</t>
  </si>
  <si>
    <t>03-11-2023 23:45</t>
  </si>
  <si>
    <t>03-11-2023 24:00</t>
  </si>
  <si>
    <t>04-11-2023 00:15</t>
  </si>
  <si>
    <t>04-11-2023 00:30</t>
  </si>
  <si>
    <t>04-11-2023 00:45</t>
  </si>
  <si>
    <t>04-11-2023 01:00</t>
  </si>
  <si>
    <t>04-11-2023 01:15</t>
  </si>
  <si>
    <t>04-11-2023 01:30</t>
  </si>
  <si>
    <t>04-11-2023 01:45</t>
  </si>
  <si>
    <t>04-11-2023 02:00</t>
  </si>
  <si>
    <t>04-11-2023 02:15</t>
  </si>
  <si>
    <t>04-11-2023 02:30</t>
  </si>
  <si>
    <t>04-11-2023 02:45</t>
  </si>
  <si>
    <t>04-11-2023 03:00</t>
  </si>
  <si>
    <t>04-11-2023 03:15</t>
  </si>
  <si>
    <t>04-11-2023 03:30</t>
  </si>
  <si>
    <t>04-11-2023 03:45</t>
  </si>
  <si>
    <t>04-11-2023 04:00</t>
  </si>
  <si>
    <t>04-11-2023 04:15</t>
  </si>
  <si>
    <t>04-11-2023 04:30</t>
  </si>
  <si>
    <t>04-11-2023 04:45</t>
  </si>
  <si>
    <t>04-11-2023 05:00</t>
  </si>
  <si>
    <t>04-11-2023 05:15</t>
  </si>
  <si>
    <t>04-11-2023 05:30</t>
  </si>
  <si>
    <t>04-11-2023 05:45</t>
  </si>
  <si>
    <t>04-11-2023 06:00</t>
  </si>
  <si>
    <t>04-11-2023 06:15</t>
  </si>
  <si>
    <t>04-11-2023 06:30</t>
  </si>
  <si>
    <t>04-11-2023 06:45</t>
  </si>
  <si>
    <t>04-11-2023 07:00</t>
  </si>
  <si>
    <t>04-11-2023 07:15</t>
  </si>
  <si>
    <t>04-11-2023 07:30</t>
  </si>
  <si>
    <t>04-11-2023 07:45</t>
  </si>
  <si>
    <t>04-11-2023 08:00</t>
  </si>
  <si>
    <t>04-11-2023 08:15</t>
  </si>
  <si>
    <t>04-11-2023 08:30</t>
  </si>
  <si>
    <t>04-11-2023 08:45</t>
  </si>
  <si>
    <t>04-11-2023 09:00</t>
  </si>
  <si>
    <t>04-11-2023 09:15</t>
  </si>
  <si>
    <t>04-11-2023 09:30</t>
  </si>
  <si>
    <t>04-11-2023 09:45</t>
  </si>
  <si>
    <t>04-11-2023 10:00</t>
  </si>
  <si>
    <t>04-11-2023 10:15</t>
  </si>
  <si>
    <t>04-11-2023 10:30</t>
  </si>
  <si>
    <t>04-11-2023 10:45</t>
  </si>
  <si>
    <t>04-11-2023 11:00</t>
  </si>
  <si>
    <t>04-11-2023 11:15</t>
  </si>
  <si>
    <t>04-11-2023 11:30</t>
  </si>
  <si>
    <t>04-11-2023 11:45</t>
  </si>
  <si>
    <t>04-11-2023 12:00</t>
  </si>
  <si>
    <t>04-11-2023 12:15</t>
  </si>
  <si>
    <t>04-11-2023 12:30</t>
  </si>
  <si>
    <t>04-11-2023 12:45</t>
  </si>
  <si>
    <t>04-11-2023 13:00</t>
  </si>
  <si>
    <t>04-11-2023 13:15</t>
  </si>
  <si>
    <t>04-11-2023 13:30</t>
  </si>
  <si>
    <t>04-11-2023 13:45</t>
  </si>
  <si>
    <t>04-11-2023 14:00</t>
  </si>
  <si>
    <t>04-11-2023 14:15</t>
  </si>
  <si>
    <t>04-11-2023 14:30</t>
  </si>
  <si>
    <t>04-11-2023 14:45</t>
  </si>
  <si>
    <t>04-11-2023 15:00</t>
  </si>
  <si>
    <t>04-11-2023 15:15</t>
  </si>
  <si>
    <t>04-11-2023 15:30</t>
  </si>
  <si>
    <t>04-11-2023 15:45</t>
  </si>
  <si>
    <t>04-11-2023 16:00</t>
  </si>
  <si>
    <t>04-11-2023 16:15</t>
  </si>
  <si>
    <t>04-11-2023 16:30</t>
  </si>
  <si>
    <t>04-11-2023 16:45</t>
  </si>
  <si>
    <t>04-11-2023 17:00</t>
  </si>
  <si>
    <t>04-11-2023 17:15</t>
  </si>
  <si>
    <t>04-11-2023 17:30</t>
  </si>
  <si>
    <t>04-11-2023 17:45</t>
  </si>
  <si>
    <t>04-11-2023 18:00</t>
  </si>
  <si>
    <t>04-11-2023 18:15</t>
  </si>
  <si>
    <t>04-11-2023 18:30</t>
  </si>
  <si>
    <t>04-11-2023 18:45</t>
  </si>
  <si>
    <t>04-11-2023 19:00</t>
  </si>
  <si>
    <t>04-11-2023 19:15</t>
  </si>
  <si>
    <t>04-11-2023 19:30</t>
  </si>
  <si>
    <t>04-11-2023 19:45</t>
  </si>
  <si>
    <t>04-11-2023 20:00</t>
  </si>
  <si>
    <t>04-11-2023 20:15</t>
  </si>
  <si>
    <t>04-11-2023 20:30</t>
  </si>
  <si>
    <t>04-11-2023 20:45</t>
  </si>
  <si>
    <t>04-11-2023 21:00</t>
  </si>
  <si>
    <t>04-11-2023 21:15</t>
  </si>
  <si>
    <t>04-11-2023 21:30</t>
  </si>
  <si>
    <t>04-11-2023 21:45</t>
  </si>
  <si>
    <t>04-11-2023 22:00</t>
  </si>
  <si>
    <t>04-11-2023 22:15</t>
  </si>
  <si>
    <t>04-11-2023 22:30</t>
  </si>
  <si>
    <t>04-11-2023 22:45</t>
  </si>
  <si>
    <t>04-11-2023 23:00</t>
  </si>
  <si>
    <t>04-11-2023 23:15</t>
  </si>
  <si>
    <t>04-11-2023 23:30</t>
  </si>
  <si>
    <t>04-11-2023 23:45</t>
  </si>
  <si>
    <t>04-11-2023 24:00</t>
  </si>
  <si>
    <t>05-11-2023 00:15</t>
  </si>
  <si>
    <t>05-11-2023 00:30</t>
  </si>
  <si>
    <t>05-11-2023 00:45</t>
  </si>
  <si>
    <t>05-11-2023 01:00</t>
  </si>
  <si>
    <t>05-11-2023 01:15</t>
  </si>
  <si>
    <t>05-11-2023 01:30</t>
  </si>
  <si>
    <t>05-11-2023 01:45</t>
  </si>
  <si>
    <t>05-11-2023 02:00</t>
  </si>
  <si>
    <t>05-11-2023 02:15</t>
  </si>
  <si>
    <t>05-11-2023 02:30</t>
  </si>
  <si>
    <t>05-11-2023 02:45</t>
  </si>
  <si>
    <t>05-11-2023 03:00</t>
  </si>
  <si>
    <t>05-11-2023 03:15</t>
  </si>
  <si>
    <t>05-11-2023 03:30</t>
  </si>
  <si>
    <t>05-11-2023 03:45</t>
  </si>
  <si>
    <t>05-11-2023 04:00</t>
  </si>
  <si>
    <t>05-11-2023 04:15</t>
  </si>
  <si>
    <t>05-11-2023 04:30</t>
  </si>
  <si>
    <t>05-11-2023 04:45</t>
  </si>
  <si>
    <t>05-11-2023 05:00</t>
  </si>
  <si>
    <t>05-11-2023 05:15</t>
  </si>
  <si>
    <t>05-11-2023 05:30</t>
  </si>
  <si>
    <t>05-11-2023 05:45</t>
  </si>
  <si>
    <t>05-11-2023 06:00</t>
  </si>
  <si>
    <t>05-11-2023 06:15</t>
  </si>
  <si>
    <t>05-11-2023 06:30</t>
  </si>
  <si>
    <t>05-11-2023 06:45</t>
  </si>
  <si>
    <t>05-11-2023 07:00</t>
  </si>
  <si>
    <t>05-11-2023 07:15</t>
  </si>
  <si>
    <t>05-11-2023 07:30</t>
  </si>
  <si>
    <t>05-11-2023 07:45</t>
  </si>
  <si>
    <t>05-11-2023 08:00</t>
  </si>
  <si>
    <t>05-11-2023 08:15</t>
  </si>
  <si>
    <t>05-11-2023 08:30</t>
  </si>
  <si>
    <t>05-11-2023 08:45</t>
  </si>
  <si>
    <t>05-11-2023 09:00</t>
  </si>
  <si>
    <t>05-11-2023 09:15</t>
  </si>
  <si>
    <t>05-11-2023 09:30</t>
  </si>
  <si>
    <t>05-11-2023 09:45</t>
  </si>
  <si>
    <t>05-11-2023 10:00</t>
  </si>
  <si>
    <t>05-11-2023 10:15</t>
  </si>
  <si>
    <t>05-11-2023 10:30</t>
  </si>
  <si>
    <t>05-11-2023 10:45</t>
  </si>
  <si>
    <t>05-11-2023 11:00</t>
  </si>
  <si>
    <t>05-11-2023 11:15</t>
  </si>
  <si>
    <t>05-11-2023 11:30</t>
  </si>
  <si>
    <t>05-11-2023 11:45</t>
  </si>
  <si>
    <t>05-11-2023 12:00</t>
  </si>
  <si>
    <t>05-11-2023 12:15</t>
  </si>
  <si>
    <t>05-11-2023 12:30</t>
  </si>
  <si>
    <t>05-11-2023 12:45</t>
  </si>
  <si>
    <t>05-11-2023 13:00</t>
  </si>
  <si>
    <t>05-11-2023 13:15</t>
  </si>
  <si>
    <t>05-11-2023 13:30</t>
  </si>
  <si>
    <t>05-11-2023 13:45</t>
  </si>
  <si>
    <t>05-11-2023 14:00</t>
  </si>
  <si>
    <t>05-11-2023 14:15</t>
  </si>
  <si>
    <t>05-11-2023 14:30</t>
  </si>
  <si>
    <t>05-11-2023 14:45</t>
  </si>
  <si>
    <t>05-11-2023 15:00</t>
  </si>
  <si>
    <t>05-11-2023 15:15</t>
  </si>
  <si>
    <t>05-11-2023 15:30</t>
  </si>
  <si>
    <t>05-11-2023 15:45</t>
  </si>
  <si>
    <t>05-11-2023 16:00</t>
  </si>
  <si>
    <t>05-11-2023 16:15</t>
  </si>
  <si>
    <t>05-11-2023 16:30</t>
  </si>
  <si>
    <t>05-11-2023 16:45</t>
  </si>
  <si>
    <t>05-11-2023 17:00</t>
  </si>
  <si>
    <t>05-11-2023 17:15</t>
  </si>
  <si>
    <t>05-11-2023 17:30</t>
  </si>
  <si>
    <t>05-11-2023 17:45</t>
  </si>
  <si>
    <t>05-11-2023 18:00</t>
  </si>
  <si>
    <t>05-11-2023 18:15</t>
  </si>
  <si>
    <t>05-11-2023 18:30</t>
  </si>
  <si>
    <t>05-11-2023 18:45</t>
  </si>
  <si>
    <t>05-11-2023 19:00</t>
  </si>
  <si>
    <t>05-11-2023 19:15</t>
  </si>
  <si>
    <t>05-11-2023 19:30</t>
  </si>
  <si>
    <t>05-11-2023 19:45</t>
  </si>
  <si>
    <t>05-11-2023 20:00</t>
  </si>
  <si>
    <t>05-11-2023 20:15</t>
  </si>
  <si>
    <t>05-11-2023 20:30</t>
  </si>
  <si>
    <t>05-11-2023 20:45</t>
  </si>
  <si>
    <t>05-11-2023 21:00</t>
  </si>
  <si>
    <t>05-11-2023 21:15</t>
  </si>
  <si>
    <t>05-11-2023 21:30</t>
  </si>
  <si>
    <t>05-11-2023 21:45</t>
  </si>
  <si>
    <t>05-11-2023 22:00</t>
  </si>
  <si>
    <t>05-11-2023 22:15</t>
  </si>
  <si>
    <t>05-11-2023 22:30</t>
  </si>
  <si>
    <t>05-11-2023 22:45</t>
  </si>
  <si>
    <t>05-11-2023 23:00</t>
  </si>
  <si>
    <t>05-11-2023 23:15</t>
  </si>
  <si>
    <t>05-11-2023 23:30</t>
  </si>
  <si>
    <t>05-11-2023 23:45</t>
  </si>
  <si>
    <t>05-11-2023 24:00</t>
  </si>
  <si>
    <t>Akash</t>
  </si>
  <si>
    <t>06-11-2023 00:15</t>
  </si>
  <si>
    <t>06-11-2023 00:30</t>
  </si>
  <si>
    <t>06-11-2023 00:45</t>
  </si>
  <si>
    <t>06-11-2023 01:00</t>
  </si>
  <si>
    <t>06-11-2023 01:15</t>
  </si>
  <si>
    <t>06-11-2023 01:30</t>
  </si>
  <si>
    <t>06-11-2023 01:45</t>
  </si>
  <si>
    <t>06-11-2023 02:00</t>
  </si>
  <si>
    <t>06-11-2023 02:15</t>
  </si>
  <si>
    <t>06-11-2023 02:30</t>
  </si>
  <si>
    <t>06-11-2023 02:45</t>
  </si>
  <si>
    <t>06-11-2023 03:00</t>
  </si>
  <si>
    <t>06-11-2023 03:15</t>
  </si>
  <si>
    <t>06-11-2023 03:30</t>
  </si>
  <si>
    <t>06-11-2023 03:45</t>
  </si>
  <si>
    <t>06-11-2023 04:00</t>
  </si>
  <si>
    <t>06-11-2023 04:15</t>
  </si>
  <si>
    <t>06-11-2023 04:30</t>
  </si>
  <si>
    <t>06-11-2023 04:45</t>
  </si>
  <si>
    <t>06-11-2023 05:00</t>
  </si>
  <si>
    <t>06-11-2023 05:15</t>
  </si>
  <si>
    <t>06-11-2023 05:30</t>
  </si>
  <si>
    <t>06-11-2023 05:45</t>
  </si>
  <si>
    <t>06-11-2023 06:00</t>
  </si>
  <si>
    <t>06-11-2023 06:15</t>
  </si>
  <si>
    <t>06-11-2023 06:30</t>
  </si>
  <si>
    <t>06-11-2023 06:45</t>
  </si>
  <si>
    <t>06-11-2023 07:00</t>
  </si>
  <si>
    <t>06-11-2023 07:15</t>
  </si>
  <si>
    <t>06-11-2023 07:30</t>
  </si>
  <si>
    <t>06-11-2023 07:45</t>
  </si>
  <si>
    <t>06-11-2023 08:00</t>
  </si>
  <si>
    <t>06-11-2023 08:15</t>
  </si>
  <si>
    <t>06-11-2023 08:30</t>
  </si>
  <si>
    <t>06-11-2023 08:45</t>
  </si>
  <si>
    <t>06-11-2023 09:00</t>
  </si>
  <si>
    <t>06-11-2023 09:15</t>
  </si>
  <si>
    <t>06-11-2023 09:30</t>
  </si>
  <si>
    <t>06-11-2023 09:45</t>
  </si>
  <si>
    <t>06-11-2023 10:00</t>
  </si>
  <si>
    <t>06-11-2023 10:15</t>
  </si>
  <si>
    <t>06-11-2023 10:30</t>
  </si>
  <si>
    <t>06-11-2023 10:45</t>
  </si>
  <si>
    <t>06-11-2023 11:00</t>
  </si>
  <si>
    <t>06-11-2023 11:15</t>
  </si>
  <si>
    <t>06-11-2023 11:30</t>
  </si>
  <si>
    <t>06-11-2023 11:45</t>
  </si>
  <si>
    <t>06-11-2023 12:00</t>
  </si>
  <si>
    <t>06-11-2023 12:15</t>
  </si>
  <si>
    <t>06-11-2023 12:30</t>
  </si>
  <si>
    <t>06-11-2023 12:45</t>
  </si>
  <si>
    <t>06-11-2023 13:00</t>
  </si>
  <si>
    <t>06-11-2023 13:15</t>
  </si>
  <si>
    <t>06-11-2023 13:30</t>
  </si>
  <si>
    <t>06-11-2023 13:45</t>
  </si>
  <si>
    <t>06-11-2023 14:00</t>
  </si>
  <si>
    <t>06-11-2023 14:15</t>
  </si>
  <si>
    <t>06-11-2023 14:30</t>
  </si>
  <si>
    <t>06-11-2023 14:45</t>
  </si>
  <si>
    <t>06-11-2023 15:00</t>
  </si>
  <si>
    <t>06-11-2023 15:15</t>
  </si>
  <si>
    <t>06-11-2023 15:30</t>
  </si>
  <si>
    <t>06-11-2023 15:45</t>
  </si>
  <si>
    <t>06-11-2023 16:00</t>
  </si>
  <si>
    <t>06-11-2023 16:15</t>
  </si>
  <si>
    <t>06-11-2023 16:30</t>
  </si>
  <si>
    <t>06-11-2023 16:45</t>
  </si>
  <si>
    <t>06-11-2023 17:00</t>
  </si>
  <si>
    <t>06-11-2023 17:15</t>
  </si>
  <si>
    <t>06-11-2023 17:30</t>
  </si>
  <si>
    <t>06-11-2023 17:45</t>
  </si>
  <si>
    <t>06-11-2023 18:00</t>
  </si>
  <si>
    <t>06-11-2023 18:15</t>
  </si>
  <si>
    <t>06-11-2023 18:30</t>
  </si>
  <si>
    <t>06-11-2023 18:45</t>
  </si>
  <si>
    <t>06-11-2023 19:00</t>
  </si>
  <si>
    <t>06-11-2023 19:15</t>
  </si>
  <si>
    <t>06-11-2023 19:30</t>
  </si>
  <si>
    <t>06-11-2023 19:45</t>
  </si>
  <si>
    <t>06-11-2023 20:00</t>
  </si>
  <si>
    <t>06-11-2023 20:15</t>
  </si>
  <si>
    <t>06-11-2023 20:30</t>
  </si>
  <si>
    <t>06-11-2023 20:45</t>
  </si>
  <si>
    <t>06-11-2023 21:00</t>
  </si>
  <si>
    <t>06-11-2023 21:15</t>
  </si>
  <si>
    <t>06-11-2023 21:30</t>
  </si>
  <si>
    <t>06-11-2023 21:45</t>
  </si>
  <si>
    <t>06-11-2023 22:00</t>
  </si>
  <si>
    <t>06-11-2023 22:15</t>
  </si>
  <si>
    <t>06-11-2023 22:30</t>
  </si>
  <si>
    <t>06-11-2023 22:45</t>
  </si>
  <si>
    <t>06-11-2023 23:00</t>
  </si>
  <si>
    <t>06-11-2023 23:15</t>
  </si>
  <si>
    <t>06-11-2023 23:30</t>
  </si>
  <si>
    <t>06-11-2023 23:45</t>
  </si>
  <si>
    <t>06-11-2023 24:00</t>
  </si>
  <si>
    <t>07-11-2023 00:15</t>
  </si>
  <si>
    <t>07-11-2023 00:30</t>
  </si>
  <si>
    <t>07-11-2023 00:45</t>
  </si>
  <si>
    <t>07-11-2023 01:00</t>
  </si>
  <si>
    <t>07-11-2023 01:15</t>
  </si>
  <si>
    <t>07-11-2023 01:30</t>
  </si>
  <si>
    <t>07-11-2023 01:45</t>
  </si>
  <si>
    <t>07-11-2023 02:00</t>
  </si>
  <si>
    <t>07-11-2023 02:15</t>
  </si>
  <si>
    <t>07-11-2023 02:30</t>
  </si>
  <si>
    <t>07-11-2023 02:45</t>
  </si>
  <si>
    <t>07-11-2023 03:00</t>
  </si>
  <si>
    <t>07-11-2023 03:15</t>
  </si>
  <si>
    <t>07-11-2023 03:30</t>
  </si>
  <si>
    <t>07-11-2023 03:45</t>
  </si>
  <si>
    <t>07-11-2023 04:00</t>
  </si>
  <si>
    <t>07-11-2023 04:15</t>
  </si>
  <si>
    <t>07-11-2023 04:30</t>
  </si>
  <si>
    <t>07-11-2023 04:45</t>
  </si>
  <si>
    <t>07-11-2023 05:00</t>
  </si>
  <si>
    <t>07-11-2023 05:15</t>
  </si>
  <si>
    <t>07-11-2023 05:30</t>
  </si>
  <si>
    <t>07-11-2023 05:45</t>
  </si>
  <si>
    <t>07-11-2023 06:00</t>
  </si>
  <si>
    <t>07-11-2023 06:15</t>
  </si>
  <si>
    <t>07-11-2023 06:30</t>
  </si>
  <si>
    <t>07-11-2023 06:45</t>
  </si>
  <si>
    <t>07-11-2023 07:00</t>
  </si>
  <si>
    <t>07-11-2023 07:15</t>
  </si>
  <si>
    <t>07-11-2023 07:30</t>
  </si>
  <si>
    <t>07-11-2023 07:45</t>
  </si>
  <si>
    <t>07-11-2023 08:00</t>
  </si>
  <si>
    <t>07-11-2023 08:15</t>
  </si>
  <si>
    <t>07-11-2023 08:30</t>
  </si>
  <si>
    <t>07-11-2023 08:45</t>
  </si>
  <si>
    <t>07-11-2023 09:00</t>
  </si>
  <si>
    <t>07-11-2023 09:15</t>
  </si>
  <si>
    <t>07-11-2023 09:30</t>
  </si>
  <si>
    <t>07-11-2023 09:45</t>
  </si>
  <si>
    <t>07-11-2023 10:00</t>
  </si>
  <si>
    <t>07-11-2023 10:15</t>
  </si>
  <si>
    <t>07-11-2023 10:30</t>
  </si>
  <si>
    <t>07-11-2023 10:45</t>
  </si>
  <si>
    <t>07-11-2023 11:00</t>
  </si>
  <si>
    <t>07-11-2023 11:15</t>
  </si>
  <si>
    <t>07-11-2023 11:30</t>
  </si>
  <si>
    <t>07-11-2023 11:45</t>
  </si>
  <si>
    <t>07-11-2023 12:00</t>
  </si>
  <si>
    <t>07-11-2023 12:15</t>
  </si>
  <si>
    <t>07-11-2023 12:30</t>
  </si>
  <si>
    <t>07-11-2023 12:45</t>
  </si>
  <si>
    <t>07-11-2023 13:00</t>
  </si>
  <si>
    <t>07-11-2023 13:15</t>
  </si>
  <si>
    <t>07-11-2023 13:30</t>
  </si>
  <si>
    <t>07-11-2023 13:45</t>
  </si>
  <si>
    <t>07-11-2023 14:00</t>
  </si>
  <si>
    <t>07-11-2023 14:15</t>
  </si>
  <si>
    <t>07-11-2023 14:30</t>
  </si>
  <si>
    <t>07-11-2023 14:45</t>
  </si>
  <si>
    <t>07-11-2023 15:00</t>
  </si>
  <si>
    <t>07-11-2023 15:15</t>
  </si>
  <si>
    <t>07-11-2023 15:30</t>
  </si>
  <si>
    <t>07-11-2023 15:45</t>
  </si>
  <si>
    <t>07-11-2023 16:00</t>
  </si>
  <si>
    <t>07-11-2023 16:15</t>
  </si>
  <si>
    <t>07-11-2023 16:30</t>
  </si>
  <si>
    <t>07-11-2023 16:45</t>
  </si>
  <si>
    <t>07-11-2023 17:00</t>
  </si>
  <si>
    <t>07-11-2023 17:15</t>
  </si>
  <si>
    <t>07-11-2023 17:30</t>
  </si>
  <si>
    <t>07-11-2023 17:45</t>
  </si>
  <si>
    <t>07-11-2023 18:00</t>
  </si>
  <si>
    <t>07-11-2023 18:15</t>
  </si>
  <si>
    <t>07-11-2023 18:30</t>
  </si>
  <si>
    <t>07-11-2023 18:45</t>
  </si>
  <si>
    <t>07-11-2023 19:00</t>
  </si>
  <si>
    <t>07-11-2023 19:15</t>
  </si>
  <si>
    <t>07-11-2023 19:30</t>
  </si>
  <si>
    <t>07-11-2023 19:45</t>
  </si>
  <si>
    <t>07-11-2023 20:00</t>
  </si>
  <si>
    <t>07-11-2023 20:15</t>
  </si>
  <si>
    <t>07-11-2023 20:30</t>
  </si>
  <si>
    <t>07-11-2023 20:45</t>
  </si>
  <si>
    <t>07-11-2023 21:00</t>
  </si>
  <si>
    <t>07-11-2023 21:15</t>
  </si>
  <si>
    <t>07-11-2023 21:30</t>
  </si>
  <si>
    <t>07-11-2023 21:45</t>
  </si>
  <si>
    <t>07-11-2023 22:00</t>
  </si>
  <si>
    <t>07-11-2023 22:15</t>
  </si>
  <si>
    <t>07-11-2023 22:30</t>
  </si>
  <si>
    <t>07-11-2023 22:45</t>
  </si>
  <si>
    <t>07-11-2023 23:00</t>
  </si>
  <si>
    <t>07-11-2023 23:15</t>
  </si>
  <si>
    <t>07-11-2023 23:30</t>
  </si>
  <si>
    <t>07-11-2023 23:45</t>
  </si>
  <si>
    <t>07-11-2023 24:00</t>
  </si>
  <si>
    <t>08-11-2023 00:15</t>
  </si>
  <si>
    <t>08-11-2023 00:30</t>
  </si>
  <si>
    <t>08-11-2023 00:45</t>
  </si>
  <si>
    <t>08-11-2023 01:00</t>
  </si>
  <si>
    <t>08-11-2023 01:15</t>
  </si>
  <si>
    <t>08-11-2023 01:30</t>
  </si>
  <si>
    <t>08-11-2023 01:45</t>
  </si>
  <si>
    <t>08-11-2023 02:00</t>
  </si>
  <si>
    <t>08-11-2023 02:15</t>
  </si>
  <si>
    <t>08-11-2023 02:30</t>
  </si>
  <si>
    <t>08-11-2023 02:45</t>
  </si>
  <si>
    <t>08-11-2023 03:00</t>
  </si>
  <si>
    <t>08-11-2023 03:15</t>
  </si>
  <si>
    <t>08-11-2023 03:30</t>
  </si>
  <si>
    <t>08-11-2023 03:45</t>
  </si>
  <si>
    <t>08-11-2023 04:00</t>
  </si>
  <si>
    <t>08-11-2023 04:15</t>
  </si>
  <si>
    <t>08-11-2023 04:30</t>
  </si>
  <si>
    <t>08-11-2023 04:45</t>
  </si>
  <si>
    <t>08-11-2023 05:00</t>
  </si>
  <si>
    <t>08-11-2023 05:15</t>
  </si>
  <si>
    <t>08-11-2023 05:30</t>
  </si>
  <si>
    <t>08-11-2023 05:45</t>
  </si>
  <si>
    <t>08-11-2023 06:00</t>
  </si>
  <si>
    <t>08-11-2023 06:15</t>
  </si>
  <si>
    <t>08-11-2023 06:30</t>
  </si>
  <si>
    <t>08-11-2023 06:45</t>
  </si>
  <si>
    <t>08-11-2023 07:00</t>
  </si>
  <si>
    <t>08-11-2023 07:15</t>
  </si>
  <si>
    <t>08-11-2023 07:30</t>
  </si>
  <si>
    <t>08-11-2023 07:45</t>
  </si>
  <si>
    <t>08-11-2023 08:00</t>
  </si>
  <si>
    <t>08-11-2023 08:15</t>
  </si>
  <si>
    <t>08-11-2023 08:30</t>
  </si>
  <si>
    <t>08-11-2023 08:45</t>
  </si>
  <si>
    <t>08-11-2023 09:00</t>
  </si>
  <si>
    <t>08-11-2023 09:15</t>
  </si>
  <si>
    <t>08-11-2023 09:30</t>
  </si>
  <si>
    <t>08-11-2023 09:45</t>
  </si>
  <si>
    <t>08-11-2023 10:00</t>
  </si>
  <si>
    <t>08-11-2023 10:15</t>
  </si>
  <si>
    <t>08-11-2023 10:30</t>
  </si>
  <si>
    <t>08-11-2023 10:45</t>
  </si>
  <si>
    <t>08-11-2023 11:00</t>
  </si>
  <si>
    <t>08-11-2023 11:15</t>
  </si>
  <si>
    <t>08-11-2023 11:30</t>
  </si>
  <si>
    <t>08-11-2023 11:45</t>
  </si>
  <si>
    <t>08-11-2023 12:00</t>
  </si>
  <si>
    <t>08-11-2023 12:15</t>
  </si>
  <si>
    <t>08-11-2023 12:30</t>
  </si>
  <si>
    <t>08-11-2023 12:45</t>
  </si>
  <si>
    <t>08-11-2023 13:00</t>
  </si>
  <si>
    <t>08-11-2023 13:15</t>
  </si>
  <si>
    <t>08-11-2023 13:30</t>
  </si>
  <si>
    <t>08-11-2023 13:45</t>
  </si>
  <si>
    <t>08-11-2023 14:00</t>
  </si>
  <si>
    <t>08-11-2023 14:15</t>
  </si>
  <si>
    <t>08-11-2023 14:30</t>
  </si>
  <si>
    <t>08-11-2023 14:45</t>
  </si>
  <si>
    <t>08-11-2023 15:00</t>
  </si>
  <si>
    <t>08-11-2023 15:15</t>
  </si>
  <si>
    <t>08-11-2023 15:30</t>
  </si>
  <si>
    <t>08-11-2023 15:45</t>
  </si>
  <si>
    <t>08-11-2023 16:00</t>
  </si>
  <si>
    <t>08-11-2023 16:15</t>
  </si>
  <si>
    <t>08-11-2023 16:30</t>
  </si>
  <si>
    <t>08-11-2023 16:45</t>
  </si>
  <si>
    <t>08-11-2023 17:00</t>
  </si>
  <si>
    <t>08-11-2023 17:15</t>
  </si>
  <si>
    <t>08-11-2023 17:30</t>
  </si>
  <si>
    <t>08-11-2023 17:45</t>
  </si>
  <si>
    <t>08-11-2023 18:00</t>
  </si>
  <si>
    <t>08-11-2023 18:15</t>
  </si>
  <si>
    <t>08-11-2023 18:30</t>
  </si>
  <si>
    <t>08-11-2023 18:45</t>
  </si>
  <si>
    <t>08-11-2023 19:00</t>
  </si>
  <si>
    <t>08-11-2023 19:15</t>
  </si>
  <si>
    <t>08-11-2023 19:30</t>
  </si>
  <si>
    <t>08-11-2023 19:45</t>
  </si>
  <si>
    <t>08-11-2023 20:00</t>
  </si>
  <si>
    <t>08-11-2023 20:15</t>
  </si>
  <si>
    <t>08-11-2023 20:30</t>
  </si>
  <si>
    <t>08-11-2023 20:45</t>
  </si>
  <si>
    <t>08-11-2023 21:00</t>
  </si>
  <si>
    <t>08-11-2023 21:15</t>
  </si>
  <si>
    <t>08-11-2023 21:30</t>
  </si>
  <si>
    <t>08-11-2023 21:45</t>
  </si>
  <si>
    <t>08-11-2023 22:00</t>
  </si>
  <si>
    <t>08-11-2023 22:15</t>
  </si>
  <si>
    <t>08-11-2023 22:30</t>
  </si>
  <si>
    <t>08-11-2023 22:45</t>
  </si>
  <si>
    <t>08-11-2023 23:00</t>
  </si>
  <si>
    <t>08-11-2023 23:15</t>
  </si>
  <si>
    <t>08-11-2023 23:30</t>
  </si>
  <si>
    <t>08-11-2023 23:45</t>
  </si>
  <si>
    <t>08-11-2023 24:00</t>
  </si>
  <si>
    <t>09-11-2023 00:15</t>
  </si>
  <si>
    <t>09-11-2023 00:30</t>
  </si>
  <si>
    <t>09-11-2023 00:45</t>
  </si>
  <si>
    <t>09-11-2023 01:00</t>
  </si>
  <si>
    <t>09-11-2023 01:15</t>
  </si>
  <si>
    <t>09-11-2023 01:30</t>
  </si>
  <si>
    <t>09-11-2023 01:45</t>
  </si>
  <si>
    <t>09-11-2023 02:00</t>
  </si>
  <si>
    <t>09-11-2023 02:15</t>
  </si>
  <si>
    <t>09-11-2023 02:30</t>
  </si>
  <si>
    <t>09-11-2023 02:45</t>
  </si>
  <si>
    <t>09-11-2023 03:00</t>
  </si>
  <si>
    <t>09-11-2023 03:15</t>
  </si>
  <si>
    <t>09-11-2023 03:30</t>
  </si>
  <si>
    <t>09-11-2023 03:45</t>
  </si>
  <si>
    <t>09-11-2023 04:00</t>
  </si>
  <si>
    <t>09-11-2023 04:15</t>
  </si>
  <si>
    <t>09-11-2023 04:30</t>
  </si>
  <si>
    <t>09-11-2023 04:45</t>
  </si>
  <si>
    <t>09-11-2023 05:00</t>
  </si>
  <si>
    <t>09-11-2023 05:15</t>
  </si>
  <si>
    <t>09-11-2023 05:30</t>
  </si>
  <si>
    <t>09-11-2023 05:45</t>
  </si>
  <si>
    <t>09-11-2023 06:00</t>
  </si>
  <si>
    <t>09-11-2023 06:15</t>
  </si>
  <si>
    <t>09-11-2023 06:30</t>
  </si>
  <si>
    <t>09-11-2023 06:45</t>
  </si>
  <si>
    <t>09-11-2023 07:00</t>
  </si>
  <si>
    <t>09-11-2023 07:15</t>
  </si>
  <si>
    <t>09-11-2023 07:30</t>
  </si>
  <si>
    <t>09-11-2023 07:45</t>
  </si>
  <si>
    <t>09-11-2023 08:00</t>
  </si>
  <si>
    <t>09-11-2023 08:15</t>
  </si>
  <si>
    <t>09-11-2023 08:30</t>
  </si>
  <si>
    <t>09-11-2023 08:45</t>
  </si>
  <si>
    <t>09-11-2023 09:00</t>
  </si>
  <si>
    <t>09-11-2023 09:15</t>
  </si>
  <si>
    <t>09-11-2023 09:30</t>
  </si>
  <si>
    <t>09-11-2023 09:45</t>
  </si>
  <si>
    <t>09-11-2023 10:00</t>
  </si>
  <si>
    <t>09-11-2023 10:15</t>
  </si>
  <si>
    <t>09-11-2023 10:30</t>
  </si>
  <si>
    <t>09-11-2023 10:45</t>
  </si>
  <si>
    <t>09-11-2023 11:00</t>
  </si>
  <si>
    <t>09-11-2023 11:15</t>
  </si>
  <si>
    <t>09-11-2023 11:30</t>
  </si>
  <si>
    <t>09-11-2023 11:45</t>
  </si>
  <si>
    <t>09-11-2023 12:00</t>
  </si>
  <si>
    <t>09-11-2023 12:15</t>
  </si>
  <si>
    <t>09-11-2023 12:30</t>
  </si>
  <si>
    <t>09-11-2023 12:45</t>
  </si>
  <si>
    <t>09-11-2023 13:00</t>
  </si>
  <si>
    <t>09-11-2023 13:15</t>
  </si>
  <si>
    <t>09-11-2023 13:30</t>
  </si>
  <si>
    <t>09-11-2023 13:45</t>
  </si>
  <si>
    <t>09-11-2023 14:00</t>
  </si>
  <si>
    <t>09-11-2023 14:15</t>
  </si>
  <si>
    <t>09-11-2023 14:30</t>
  </si>
  <si>
    <t>09-11-2023 14:45</t>
  </si>
  <si>
    <t>09-11-2023 15:00</t>
  </si>
  <si>
    <t>09-11-2023 15:15</t>
  </si>
  <si>
    <t>09-11-2023 15:30</t>
  </si>
  <si>
    <t>09-11-2023 15:45</t>
  </si>
  <si>
    <t>09-11-2023 16:00</t>
  </si>
  <si>
    <t>09-11-2023 16:15</t>
  </si>
  <si>
    <t>09-11-2023 16:30</t>
  </si>
  <si>
    <t>09-11-2023 16:45</t>
  </si>
  <si>
    <t>09-11-2023 17:00</t>
  </si>
  <si>
    <t>09-11-2023 17:15</t>
  </si>
  <si>
    <t>09-11-2023 17:30</t>
  </si>
  <si>
    <t>09-11-2023 17:45</t>
  </si>
  <si>
    <t>09-11-2023 18:00</t>
  </si>
  <si>
    <t>09-11-2023 18:15</t>
  </si>
  <si>
    <t>09-11-2023 18:30</t>
  </si>
  <si>
    <t>09-11-2023 18:45</t>
  </si>
  <si>
    <t>09-11-2023 19:00</t>
  </si>
  <si>
    <t>09-11-2023 19:15</t>
  </si>
  <si>
    <t>09-11-2023 19:30</t>
  </si>
  <si>
    <t>09-11-2023 19:45</t>
  </si>
  <si>
    <t>09-11-2023 20:00</t>
  </si>
  <si>
    <t>09-11-2023 20:15</t>
  </si>
  <si>
    <t>09-11-2023 20:30</t>
  </si>
  <si>
    <t>09-11-2023 20:45</t>
  </si>
  <si>
    <t>09-11-2023 21:00</t>
  </si>
  <si>
    <t>09-11-2023 21:15</t>
  </si>
  <si>
    <t>09-11-2023 21:30</t>
  </si>
  <si>
    <t>09-11-2023 21:45</t>
  </si>
  <si>
    <t>09-11-2023 22:00</t>
  </si>
  <si>
    <t>09-11-2023 22:15</t>
  </si>
  <si>
    <t>09-11-2023 22:30</t>
  </si>
  <si>
    <t>09-11-2023 22:45</t>
  </si>
  <si>
    <t>09-11-2023 23:00</t>
  </si>
  <si>
    <t>09-11-2023 23:15</t>
  </si>
  <si>
    <t>09-11-2023 23:30</t>
  </si>
  <si>
    <t>09-11-2023 23:45</t>
  </si>
  <si>
    <t>09-11-2023 24:00</t>
  </si>
  <si>
    <t>10-11-2023 00:15</t>
  </si>
  <si>
    <t>10-11-2023 00:30</t>
  </si>
  <si>
    <t>10-11-2023 00:45</t>
  </si>
  <si>
    <t>10-11-2023 01:00</t>
  </si>
  <si>
    <t>10-11-2023 01:15</t>
  </si>
  <si>
    <t>10-11-2023 01:30</t>
  </si>
  <si>
    <t>10-11-2023 01:45</t>
  </si>
  <si>
    <t>10-11-2023 02:00</t>
  </si>
  <si>
    <t>10-11-2023 02:15</t>
  </si>
  <si>
    <t>10-11-2023 02:30</t>
  </si>
  <si>
    <t>10-11-2023 02:45</t>
  </si>
  <si>
    <t>10-11-2023 03:00</t>
  </si>
  <si>
    <t>10-11-2023 03:15</t>
  </si>
  <si>
    <t>10-11-2023 03:30</t>
  </si>
  <si>
    <t>10-11-2023 03:45</t>
  </si>
  <si>
    <t>10-11-2023 04:00</t>
  </si>
  <si>
    <t>10-11-2023 04:15</t>
  </si>
  <si>
    <t>10-11-2023 04:30</t>
  </si>
  <si>
    <t>10-11-2023 04:45</t>
  </si>
  <si>
    <t>10-11-2023 05:00</t>
  </si>
  <si>
    <t>10-11-2023 05:15</t>
  </si>
  <si>
    <t>10-11-2023 05:30</t>
  </si>
  <si>
    <t>10-11-2023 05:45</t>
  </si>
  <si>
    <t>10-11-2023 06:00</t>
  </si>
  <si>
    <t>10-11-2023 06:15</t>
  </si>
  <si>
    <t>10-11-2023 06:30</t>
  </si>
  <si>
    <t>10-11-2023 06:45</t>
  </si>
  <si>
    <t>10-11-2023 07:00</t>
  </si>
  <si>
    <t>10-11-2023 07:15</t>
  </si>
  <si>
    <t>10-11-2023 07:30</t>
  </si>
  <si>
    <t>10-11-2023 07:45</t>
  </si>
  <si>
    <t>10-11-2023 08:00</t>
  </si>
  <si>
    <t>10-11-2023 08:15</t>
  </si>
  <si>
    <t>10-11-2023 08:30</t>
  </si>
  <si>
    <t>10-11-2023 08:45</t>
  </si>
  <si>
    <t>10-11-2023 09:00</t>
  </si>
  <si>
    <t>10-11-2023 09:15</t>
  </si>
  <si>
    <t>10-11-2023 09:30</t>
  </si>
  <si>
    <t>10-11-2023 09:45</t>
  </si>
  <si>
    <t>10-11-2023 10:00</t>
  </si>
  <si>
    <t>10-11-2023 10:15</t>
  </si>
  <si>
    <t>10-11-2023 10:30</t>
  </si>
  <si>
    <t>10-11-2023 10:45</t>
  </si>
  <si>
    <t>10-11-2023 11:00</t>
  </si>
  <si>
    <t>10-11-2023 11:15</t>
  </si>
  <si>
    <t>10-11-2023 11:30</t>
  </si>
  <si>
    <t>10-11-2023 11:45</t>
  </si>
  <si>
    <t>10-11-2023 12:00</t>
  </si>
  <si>
    <t>10-11-2023 12:15</t>
  </si>
  <si>
    <t>10-11-2023 12:30</t>
  </si>
  <si>
    <t>10-11-2023 12:45</t>
  </si>
  <si>
    <t>10-11-2023 13:00</t>
  </si>
  <si>
    <t>10-11-2023 13:15</t>
  </si>
  <si>
    <t>10-11-2023 13:30</t>
  </si>
  <si>
    <t>10-11-2023 13:45</t>
  </si>
  <si>
    <t>10-11-2023 14:00</t>
  </si>
  <si>
    <t>10-11-2023 14:15</t>
  </si>
  <si>
    <t>10-11-2023 14:30</t>
  </si>
  <si>
    <t>10-11-2023 14:45</t>
  </si>
  <si>
    <t>10-11-2023 15:00</t>
  </si>
  <si>
    <t>10-11-2023 15:15</t>
  </si>
  <si>
    <t>10-11-2023 15:30</t>
  </si>
  <si>
    <t>10-11-2023 15:45</t>
  </si>
  <si>
    <t>10-11-2023 16:00</t>
  </si>
  <si>
    <t>10-11-2023 16:15</t>
  </si>
  <si>
    <t>10-11-2023 16:30</t>
  </si>
  <si>
    <t>10-11-2023 16:45</t>
  </si>
  <si>
    <t>10-11-2023 17:00</t>
  </si>
  <si>
    <t>10-11-2023 17:15</t>
  </si>
  <si>
    <t>10-11-2023 17:30</t>
  </si>
  <si>
    <t>10-11-2023 17:45</t>
  </si>
  <si>
    <t>10-11-2023 18:00</t>
  </si>
  <si>
    <t>10-11-2023 18:15</t>
  </si>
  <si>
    <t>10-11-2023 18:30</t>
  </si>
  <si>
    <t>10-11-2023 18:45</t>
  </si>
  <si>
    <t>10-11-2023 19:00</t>
  </si>
  <si>
    <t>10-11-2023 19:15</t>
  </si>
  <si>
    <t>10-11-2023 19:30</t>
  </si>
  <si>
    <t>10-11-2023 19:45</t>
  </si>
  <si>
    <t>10-11-2023 20:00</t>
  </si>
  <si>
    <t>10-11-2023 20:15</t>
  </si>
  <si>
    <t>10-11-2023 20:30</t>
  </si>
  <si>
    <t>10-11-2023 20:45</t>
  </si>
  <si>
    <t>10-11-2023 21:00</t>
  </si>
  <si>
    <t>10-11-2023 21:15</t>
  </si>
  <si>
    <t>10-11-2023 21:30</t>
  </si>
  <si>
    <t>10-11-2023 21:45</t>
  </si>
  <si>
    <t>10-11-2023 22:00</t>
  </si>
  <si>
    <t>10-11-2023 22:15</t>
  </si>
  <si>
    <t>10-11-2023 22:30</t>
  </si>
  <si>
    <t>10-11-2023 22:45</t>
  </si>
  <si>
    <t>10-11-2023 23:00</t>
  </si>
  <si>
    <t>10-11-2023 23:15</t>
  </si>
  <si>
    <t>10-11-2023 23:30</t>
  </si>
  <si>
    <t>10-11-2023 23:45</t>
  </si>
  <si>
    <t>10-11-2023 24:00</t>
  </si>
  <si>
    <t>11-11-2023 00:15</t>
  </si>
  <si>
    <t>11-11-2023 00:30</t>
  </si>
  <si>
    <t>11-11-2023 00:45</t>
  </si>
  <si>
    <t>11-11-2023 01:00</t>
  </si>
  <si>
    <t>11-11-2023 01:15</t>
  </si>
  <si>
    <t>11-11-2023 01:30</t>
  </si>
  <si>
    <t>11-11-2023 01:45</t>
  </si>
  <si>
    <t>11-11-2023 02:00</t>
  </si>
  <si>
    <t>11-11-2023 02:15</t>
  </si>
  <si>
    <t>11-11-2023 02:30</t>
  </si>
  <si>
    <t>11-11-2023 02:45</t>
  </si>
  <si>
    <t>11-11-2023 03:00</t>
  </si>
  <si>
    <t>11-11-2023 03:15</t>
  </si>
  <si>
    <t>11-11-2023 03:30</t>
  </si>
  <si>
    <t>11-11-2023 03:45</t>
  </si>
  <si>
    <t>11-11-2023 04:00</t>
  </si>
  <si>
    <t>11-11-2023 04:15</t>
  </si>
  <si>
    <t>11-11-2023 04:30</t>
  </si>
  <si>
    <t>11-11-2023 04:45</t>
  </si>
  <si>
    <t>11-11-2023 05:00</t>
  </si>
  <si>
    <t>11-11-2023 05:15</t>
  </si>
  <si>
    <t>11-11-2023 05:30</t>
  </si>
  <si>
    <t>11-11-2023 05:45</t>
  </si>
  <si>
    <t>11-11-2023 06:00</t>
  </si>
  <si>
    <t>11-11-2023 06:15</t>
  </si>
  <si>
    <t>11-11-2023 06:30</t>
  </si>
  <si>
    <t>11-11-2023 06:45</t>
  </si>
  <si>
    <t>11-11-2023 07:00</t>
  </si>
  <si>
    <t>11-11-2023 07:15</t>
  </si>
  <si>
    <t>11-11-2023 07:30</t>
  </si>
  <si>
    <t>11-11-2023 07:45</t>
  </si>
  <si>
    <t>11-11-2023 08:00</t>
  </si>
  <si>
    <t>11-11-2023 08:15</t>
  </si>
  <si>
    <t>11-11-2023 08:30</t>
  </si>
  <si>
    <t>11-11-2023 08:45</t>
  </si>
  <si>
    <t>11-11-2023 09:00</t>
  </si>
  <si>
    <t>11-11-2023 09:15</t>
  </si>
  <si>
    <t>11-11-2023 09:30</t>
  </si>
  <si>
    <t>11-11-2023 09:45</t>
  </si>
  <si>
    <t>11-11-2023 10:00</t>
  </si>
  <si>
    <t>11-11-2023 10:15</t>
  </si>
  <si>
    <t>11-11-2023 10:30</t>
  </si>
  <si>
    <t>11-11-2023 10:45</t>
  </si>
  <si>
    <t>11-11-2023 11:00</t>
  </si>
  <si>
    <t>11-11-2023 11:15</t>
  </si>
  <si>
    <t>11-11-2023 11:30</t>
  </si>
  <si>
    <t>11-11-2023 11:45</t>
  </si>
  <si>
    <t>11-11-2023 12:00</t>
  </si>
  <si>
    <t>11-11-2023 12:15</t>
  </si>
  <si>
    <t>11-11-2023 12:30</t>
  </si>
  <si>
    <t>11-11-2023 12:45</t>
  </si>
  <si>
    <t>11-11-2023 13:00</t>
  </si>
  <si>
    <t>11-11-2023 13:15</t>
  </si>
  <si>
    <t>11-11-2023 13:30</t>
  </si>
  <si>
    <t>11-11-2023 13:45</t>
  </si>
  <si>
    <t>11-11-2023 14:00</t>
  </si>
  <si>
    <t>11-11-2023 14:15</t>
  </si>
  <si>
    <t>11-11-2023 14:30</t>
  </si>
  <si>
    <t>11-11-2023 14:45</t>
  </si>
  <si>
    <t>11-11-2023 15:00</t>
  </si>
  <si>
    <t>11-11-2023 15:15</t>
  </si>
  <si>
    <t>11-11-2023 15:30</t>
  </si>
  <si>
    <t>11-11-2023 15:45</t>
  </si>
  <si>
    <t>11-11-2023 16:00</t>
  </si>
  <si>
    <t>11-11-2023 16:15</t>
  </si>
  <si>
    <t>11-11-2023 16:30</t>
  </si>
  <si>
    <t>11-11-2023 16:45</t>
  </si>
  <si>
    <t>11-11-2023 17:00</t>
  </si>
  <si>
    <t>11-11-2023 17:15</t>
  </si>
  <si>
    <t>11-11-2023 17:30</t>
  </si>
  <si>
    <t>11-11-2023 17:45</t>
  </si>
  <si>
    <t>11-11-2023 18:00</t>
  </si>
  <si>
    <t>11-11-2023 18:15</t>
  </si>
  <si>
    <t>11-11-2023 18:30</t>
  </si>
  <si>
    <t>11-11-2023 18:45</t>
  </si>
  <si>
    <t>11-11-2023 19:00</t>
  </si>
  <si>
    <t>11-11-2023 19:15</t>
  </si>
  <si>
    <t>11-11-2023 19:30</t>
  </si>
  <si>
    <t>11-11-2023 19:45</t>
  </si>
  <si>
    <t>11-11-2023 20:00</t>
  </si>
  <si>
    <t>11-11-2023 20:15</t>
  </si>
  <si>
    <t>11-11-2023 20:30</t>
  </si>
  <si>
    <t>11-11-2023 20:45</t>
  </si>
  <si>
    <t>11-11-2023 21:00</t>
  </si>
  <si>
    <t>11-11-2023 21:15</t>
  </si>
  <si>
    <t>11-11-2023 21:30</t>
  </si>
  <si>
    <t>11-11-2023 21:45</t>
  </si>
  <si>
    <t>11-11-2023 22:00</t>
  </si>
  <si>
    <t>11-11-2023 22:15</t>
  </si>
  <si>
    <t>11-11-2023 22:30</t>
  </si>
  <si>
    <t>11-11-2023 22:45</t>
  </si>
  <si>
    <t>11-11-2023 23:00</t>
  </si>
  <si>
    <t>11-11-2023 23:15</t>
  </si>
  <si>
    <t>11-11-2023 23:30</t>
  </si>
  <si>
    <t>11-11-2023 23:45</t>
  </si>
  <si>
    <t>11-11-2023 24:00</t>
  </si>
  <si>
    <t>12-11-2023 00:15</t>
  </si>
  <si>
    <t>12-11-2023 00:30</t>
  </si>
  <si>
    <t>12-11-2023 00:45</t>
  </si>
  <si>
    <t>12-11-2023 01:00</t>
  </si>
  <si>
    <t>12-11-2023 01:15</t>
  </si>
  <si>
    <t>12-11-2023 01:30</t>
  </si>
  <si>
    <t>12-11-2023 01:45</t>
  </si>
  <si>
    <t>12-11-2023 02:00</t>
  </si>
  <si>
    <t>12-11-2023 02:15</t>
  </si>
  <si>
    <t>12-11-2023 02:30</t>
  </si>
  <si>
    <t>12-11-2023 02:45</t>
  </si>
  <si>
    <t>12-11-2023 03:00</t>
  </si>
  <si>
    <t>12-11-2023 03:15</t>
  </si>
  <si>
    <t>12-11-2023 03:30</t>
  </si>
  <si>
    <t>12-11-2023 03:45</t>
  </si>
  <si>
    <t>12-11-2023 04:00</t>
  </si>
  <si>
    <t>12-11-2023 04:15</t>
  </si>
  <si>
    <t>12-11-2023 04:30</t>
  </si>
  <si>
    <t>12-11-2023 04:45</t>
  </si>
  <si>
    <t>12-11-2023 05:00</t>
  </si>
  <si>
    <t>12-11-2023 05:15</t>
  </si>
  <si>
    <t>12-11-2023 05:30</t>
  </si>
  <si>
    <t>12-11-2023 05:45</t>
  </si>
  <si>
    <t>12-11-2023 06:00</t>
  </si>
  <si>
    <t>12-11-2023 06:15</t>
  </si>
  <si>
    <t>12-11-2023 06:30</t>
  </si>
  <si>
    <t>12-11-2023 06:45</t>
  </si>
  <si>
    <t>12-11-2023 07:00</t>
  </si>
  <si>
    <t>12-11-2023 07:15</t>
  </si>
  <si>
    <t>12-11-2023 07:30</t>
  </si>
  <si>
    <t>12-11-2023 07:45</t>
  </si>
  <si>
    <t>12-11-2023 08:00</t>
  </si>
  <si>
    <t>12-11-2023 08:15</t>
  </si>
  <si>
    <t>12-11-2023 08:30</t>
  </si>
  <si>
    <t>12-11-2023 08:45</t>
  </si>
  <si>
    <t>12-11-2023 09:00</t>
  </si>
  <si>
    <t>12-11-2023 09:15</t>
  </si>
  <si>
    <t>12-11-2023 09:30</t>
  </si>
  <si>
    <t>12-11-2023 09:45</t>
  </si>
  <si>
    <t>12-11-2023 10:00</t>
  </si>
  <si>
    <t>12-11-2023 10:15</t>
  </si>
  <si>
    <t>12-11-2023 10:30</t>
  </si>
  <si>
    <t>12-11-2023 10:45</t>
  </si>
  <si>
    <t>12-11-2023 11:00</t>
  </si>
  <si>
    <t>12-11-2023 11:15</t>
  </si>
  <si>
    <t>12-11-2023 11:30</t>
  </si>
  <si>
    <t>12-11-2023 11:45</t>
  </si>
  <si>
    <t>12-11-2023 12:00</t>
  </si>
  <si>
    <t>12-11-2023 12:15</t>
  </si>
  <si>
    <t>12-11-2023 12:30</t>
  </si>
  <si>
    <t>12-11-2023 12:45</t>
  </si>
  <si>
    <t>12-11-2023 13:00</t>
  </si>
  <si>
    <t>12-11-2023 13:15</t>
  </si>
  <si>
    <t>12-11-2023 13:30</t>
  </si>
  <si>
    <t>12-11-2023 13:45</t>
  </si>
  <si>
    <t>12-11-2023 14:00</t>
  </si>
  <si>
    <t>12-11-2023 14:15</t>
  </si>
  <si>
    <t>12-11-2023 14:30</t>
  </si>
  <si>
    <t>12-11-2023 14:45</t>
  </si>
  <si>
    <t>12-11-2023 15:00</t>
  </si>
  <si>
    <t>12-11-2023 15:15</t>
  </si>
  <si>
    <t>12-11-2023 15:30</t>
  </si>
  <si>
    <t>12-11-2023 15:45</t>
  </si>
  <si>
    <t>12-11-2023 16:00</t>
  </si>
  <si>
    <t>12-11-2023 16:15</t>
  </si>
  <si>
    <t>12-11-2023 16:30</t>
  </si>
  <si>
    <t>12-11-2023 16:45</t>
  </si>
  <si>
    <t>12-11-2023 17:00</t>
  </si>
  <si>
    <t>12-11-2023 17:15</t>
  </si>
  <si>
    <t>12-11-2023 17:30</t>
  </si>
  <si>
    <t>12-11-2023 17:45</t>
  </si>
  <si>
    <t>12-11-2023 18:00</t>
  </si>
  <si>
    <t>12-11-2023 18:15</t>
  </si>
  <si>
    <t>12-11-2023 18:30</t>
  </si>
  <si>
    <t>12-11-2023 18:45</t>
  </si>
  <si>
    <t>12-11-2023 19:00</t>
  </si>
  <si>
    <t>12-11-2023 19:15</t>
  </si>
  <si>
    <t>12-11-2023 19:30</t>
  </si>
  <si>
    <t>12-11-2023 19:45</t>
  </si>
  <si>
    <t>12-11-2023 20:00</t>
  </si>
  <si>
    <t>12-11-2023 20:15</t>
  </si>
  <si>
    <t>12-11-2023 20:30</t>
  </si>
  <si>
    <t>12-11-2023 20:45</t>
  </si>
  <si>
    <t>12-11-2023 21:00</t>
  </si>
  <si>
    <t>12-11-2023 21:15</t>
  </si>
  <si>
    <t>12-11-2023 21:30</t>
  </si>
  <si>
    <t>12-11-2023 21:45</t>
  </si>
  <si>
    <t>12-11-2023 22:00</t>
  </si>
  <si>
    <t>12-11-2023 22:15</t>
  </si>
  <si>
    <t>12-11-2023 22:30</t>
  </si>
  <si>
    <t>12-11-2023 22:45</t>
  </si>
  <si>
    <t>12-11-2023 23:00</t>
  </si>
  <si>
    <t>12-11-2023 23:15</t>
  </si>
  <si>
    <t>12-11-2023 23:30</t>
  </si>
  <si>
    <t>12-11-2023 23:45</t>
  </si>
  <si>
    <t>12-11-2023 24:00</t>
  </si>
  <si>
    <t>13-11-2023 00:15</t>
  </si>
  <si>
    <t>13-11-2023 00:30</t>
  </si>
  <si>
    <t>13-11-2023 00:45</t>
  </si>
  <si>
    <t>13-11-2023 01:00</t>
  </si>
  <si>
    <t>13-11-2023 01:15</t>
  </si>
  <si>
    <t>13-11-2023 01:30</t>
  </si>
  <si>
    <t>13-11-2023 01:45</t>
  </si>
  <si>
    <t>13-11-2023 02:00</t>
  </si>
  <si>
    <t>13-11-2023 02:15</t>
  </si>
  <si>
    <t>13-11-2023 02:30</t>
  </si>
  <si>
    <t>13-11-2023 02:45</t>
  </si>
  <si>
    <t>13-11-2023 03:00</t>
  </si>
  <si>
    <t>13-11-2023 03:15</t>
  </si>
  <si>
    <t>13-11-2023 03:30</t>
  </si>
  <si>
    <t>13-11-2023 03:45</t>
  </si>
  <si>
    <t>13-11-2023 04:00</t>
  </si>
  <si>
    <t>13-11-2023 04:15</t>
  </si>
  <si>
    <t>13-11-2023 04:30</t>
  </si>
  <si>
    <t>13-11-2023 04:45</t>
  </si>
  <si>
    <t>13-11-2023 05:00</t>
  </si>
  <si>
    <t>13-11-2023 05:15</t>
  </si>
  <si>
    <t>13-11-2023 05:30</t>
  </si>
  <si>
    <t>13-11-2023 05:45</t>
  </si>
  <si>
    <t>13-11-2023 06:00</t>
  </si>
  <si>
    <t>13-11-2023 06:15</t>
  </si>
  <si>
    <t>13-11-2023 06:30</t>
  </si>
  <si>
    <t>13-11-2023 06:45</t>
  </si>
  <si>
    <t>13-11-2023 07:00</t>
  </si>
  <si>
    <t>13-11-2023 07:15</t>
  </si>
  <si>
    <t>13-11-2023 07:30</t>
  </si>
  <si>
    <t>13-11-2023 07:45</t>
  </si>
  <si>
    <t>13-11-2023 08:00</t>
  </si>
  <si>
    <t>13-11-2023 08:15</t>
  </si>
  <si>
    <t>13-11-2023 08:30</t>
  </si>
  <si>
    <t>13-11-2023 08:45</t>
  </si>
  <si>
    <t>13-11-2023 09:00</t>
  </si>
  <si>
    <t>13-11-2023 09:15</t>
  </si>
  <si>
    <t>13-11-2023 09:30</t>
  </si>
  <si>
    <t>13-11-2023 09:45</t>
  </si>
  <si>
    <t>13-11-2023 10:00</t>
  </si>
  <si>
    <t>13-11-2023 10:15</t>
  </si>
  <si>
    <t>13-11-2023 10:30</t>
  </si>
  <si>
    <t>13-11-2023 10:45</t>
  </si>
  <si>
    <t>13-11-2023 11:00</t>
  </si>
  <si>
    <t>13-11-2023 11:15</t>
  </si>
  <si>
    <t>13-11-2023 11:30</t>
  </si>
  <si>
    <t>13-11-2023 11:45</t>
  </si>
  <si>
    <t>13-11-2023 12:00</t>
  </si>
  <si>
    <t>13-11-2023 12:15</t>
  </si>
  <si>
    <t>13-11-2023 12:30</t>
  </si>
  <si>
    <t>13-11-2023 12:45</t>
  </si>
  <si>
    <t>13-11-2023 13:00</t>
  </si>
  <si>
    <t>13-11-2023 13:15</t>
  </si>
  <si>
    <t>13-11-2023 13:30</t>
  </si>
  <si>
    <t>13-11-2023 13:45</t>
  </si>
  <si>
    <t>13-11-2023 14:00</t>
  </si>
  <si>
    <t>13-11-2023 14:15</t>
  </si>
  <si>
    <t>13-11-2023 14:30</t>
  </si>
  <si>
    <t>13-11-2023 14:45</t>
  </si>
  <si>
    <t>13-11-2023 15:00</t>
  </si>
  <si>
    <t>13-11-2023 15:15</t>
  </si>
  <si>
    <t>13-11-2023 15:30</t>
  </si>
  <si>
    <t>13-11-2023 15:45</t>
  </si>
  <si>
    <t>13-11-2023 16:00</t>
  </si>
  <si>
    <t>13-11-2023 16:15</t>
  </si>
  <si>
    <t>13-11-2023 16:30</t>
  </si>
  <si>
    <t>13-11-2023 16:45</t>
  </si>
  <si>
    <t>13-11-2023 17:00</t>
  </si>
  <si>
    <t>13-11-2023 17:15</t>
  </si>
  <si>
    <t>13-11-2023 17:30</t>
  </si>
  <si>
    <t>13-11-2023 17:45</t>
  </si>
  <si>
    <t>13-11-2023 18:00</t>
  </si>
  <si>
    <t>13-11-2023 18:15</t>
  </si>
  <si>
    <t>13-11-2023 18:30</t>
  </si>
  <si>
    <t>13-11-2023 18:45</t>
  </si>
  <si>
    <t>13-11-2023 19:00</t>
  </si>
  <si>
    <t>13-11-2023 19:15</t>
  </si>
  <si>
    <t>13-11-2023 19:30</t>
  </si>
  <si>
    <t>13-11-2023 19:45</t>
  </si>
  <si>
    <t>13-11-2023 20:00</t>
  </si>
  <si>
    <t>13-11-2023 20:15</t>
  </si>
  <si>
    <t>13-11-2023 20:30</t>
  </si>
  <si>
    <t>13-11-2023 20:45</t>
  </si>
  <si>
    <t>13-11-2023 21:00</t>
  </si>
  <si>
    <t>13-11-2023 21:15</t>
  </si>
  <si>
    <t>13-11-2023 21:30</t>
  </si>
  <si>
    <t>13-11-2023 21:45</t>
  </si>
  <si>
    <t>13-11-2023 22:00</t>
  </si>
  <si>
    <t>13-11-2023 22:15</t>
  </si>
  <si>
    <t>13-11-2023 22:30</t>
  </si>
  <si>
    <t>13-11-2023 22:45</t>
  </si>
  <si>
    <t>13-11-2023 23:00</t>
  </si>
  <si>
    <t>13-11-2023 23:15</t>
  </si>
  <si>
    <t>13-11-2023 23:30</t>
  </si>
  <si>
    <t>13-11-2023 23:45</t>
  </si>
  <si>
    <t>13-11-2023 24:00</t>
  </si>
  <si>
    <t>due to burning of crackers pm 10 and pm 2.5 value is verry high</t>
  </si>
  <si>
    <t>14-11-2023 00:15</t>
  </si>
  <si>
    <t>14-11-2023 00:30</t>
  </si>
  <si>
    <t>14-11-2023 00:45</t>
  </si>
  <si>
    <t>14-11-2023 01:00</t>
  </si>
  <si>
    <t>14-11-2023 01:15</t>
  </si>
  <si>
    <t>14-11-2023 01:30</t>
  </si>
  <si>
    <t>14-11-2023 01:45</t>
  </si>
  <si>
    <t>14-11-2023 02:00</t>
  </si>
  <si>
    <t>14-11-2023 02:15</t>
  </si>
  <si>
    <t>14-11-2023 02:30</t>
  </si>
  <si>
    <t>14-11-2023 02:45</t>
  </si>
  <si>
    <t>14-11-2023 03:00</t>
  </si>
  <si>
    <t>14-11-2023 03:15</t>
  </si>
  <si>
    <t>14-11-2023 03:30</t>
  </si>
  <si>
    <t>14-11-2023 03:45</t>
  </si>
  <si>
    <t>14-11-2023 04:00</t>
  </si>
  <si>
    <t>14-11-2023 04:15</t>
  </si>
  <si>
    <t>14-11-2023 04:30</t>
  </si>
  <si>
    <t>14-11-2023 04:45</t>
  </si>
  <si>
    <t>14-11-2023 05:00</t>
  </si>
  <si>
    <t>14-11-2023 05:15</t>
  </si>
  <si>
    <t>14-11-2023 05:30</t>
  </si>
  <si>
    <t>14-11-2023 05:45</t>
  </si>
  <si>
    <t>14-11-2023 06:00</t>
  </si>
  <si>
    <t>14-11-2023 06:15</t>
  </si>
  <si>
    <t>14-11-2023 06:30</t>
  </si>
  <si>
    <t>14-11-2023 06:45</t>
  </si>
  <si>
    <t>14-11-2023 07:00</t>
  </si>
  <si>
    <t>14-11-2023 07:15</t>
  </si>
  <si>
    <t>14-11-2023 07:30</t>
  </si>
  <si>
    <t>14-11-2023 07:45</t>
  </si>
  <si>
    <t>14-11-2023 08:00</t>
  </si>
  <si>
    <t>14-11-2023 08:15</t>
  </si>
  <si>
    <t>14-11-2023 08:30</t>
  </si>
  <si>
    <t>14-11-2023 08:45</t>
  </si>
  <si>
    <t>14-11-2023 09:00</t>
  </si>
  <si>
    <t>14-11-2023 09:15</t>
  </si>
  <si>
    <t>14-11-2023 09:30</t>
  </si>
  <si>
    <t>14-11-2023 09:45</t>
  </si>
  <si>
    <t>14-11-2023 10:00</t>
  </si>
  <si>
    <t>14-11-2023 10:15</t>
  </si>
  <si>
    <t>14-11-2023 10:30</t>
  </si>
  <si>
    <t>14-11-2023 10:45</t>
  </si>
  <si>
    <t>14-11-2023 11:00</t>
  </si>
  <si>
    <t>14-11-2023 11:15</t>
  </si>
  <si>
    <t>14-11-2023 11:30</t>
  </si>
  <si>
    <t>14-11-2023 11:45</t>
  </si>
  <si>
    <t>14-11-2023 12:00</t>
  </si>
  <si>
    <t>14-11-2023 12:15</t>
  </si>
  <si>
    <t>14-11-2023 12:30</t>
  </si>
  <si>
    <t>14-11-2023 12:45</t>
  </si>
  <si>
    <t>14-11-2023 13:00</t>
  </si>
  <si>
    <t>14-11-2023 13:15</t>
  </si>
  <si>
    <t>14-11-2023 13:30</t>
  </si>
  <si>
    <t>14-11-2023 13:45</t>
  </si>
  <si>
    <t>14-11-2023 14:00</t>
  </si>
  <si>
    <t>14-11-2023 14:15</t>
  </si>
  <si>
    <t>14-11-2023 14:30</t>
  </si>
  <si>
    <t>14-11-2023 14:45</t>
  </si>
  <si>
    <t>14-11-2023 15:00</t>
  </si>
  <si>
    <t>14-11-2023 15:15</t>
  </si>
  <si>
    <t>14-11-2023 15:30</t>
  </si>
  <si>
    <t>14-11-2023 15:45</t>
  </si>
  <si>
    <t>14-11-2023 16:00</t>
  </si>
  <si>
    <t>14-11-2023 16:15</t>
  </si>
  <si>
    <t>14-11-2023 16:30</t>
  </si>
  <si>
    <t>14-11-2023 16:45</t>
  </si>
  <si>
    <t>14-11-2023 17:00</t>
  </si>
  <si>
    <t>14-11-2023 17:15</t>
  </si>
  <si>
    <t>14-11-2023 17:30</t>
  </si>
  <si>
    <t>14-11-2023 17:45</t>
  </si>
  <si>
    <t>14-11-2023 18:00</t>
  </si>
  <si>
    <t>14-11-2023 18:15</t>
  </si>
  <si>
    <t>14-11-2023 18:30</t>
  </si>
  <si>
    <t>14-11-2023 18:45</t>
  </si>
  <si>
    <t>14-11-2023 19:00</t>
  </si>
  <si>
    <t>14-11-2023 19:15</t>
  </si>
  <si>
    <t>14-11-2023 19:30</t>
  </si>
  <si>
    <t>14-11-2023 19:45</t>
  </si>
  <si>
    <t>14-11-2023 20:00</t>
  </si>
  <si>
    <t>14-11-2023 20:15</t>
  </si>
  <si>
    <t>14-11-2023 20:30</t>
  </si>
  <si>
    <t>14-11-2023 20:45</t>
  </si>
  <si>
    <t>14-11-2023 21:00</t>
  </si>
  <si>
    <t>14-11-2023 21:15</t>
  </si>
  <si>
    <t>14-11-2023 21:30</t>
  </si>
  <si>
    <t>14-11-2023 21:45</t>
  </si>
  <si>
    <t>14-11-2023 22:00</t>
  </si>
  <si>
    <t>14-11-2023 22:15</t>
  </si>
  <si>
    <t>14-11-2023 22:30</t>
  </si>
  <si>
    <t>14-11-2023 22:45</t>
  </si>
  <si>
    <t>14-11-2023 23:00</t>
  </si>
  <si>
    <t>14-11-2023 23:15</t>
  </si>
  <si>
    <t>14-11-2023 23:30</t>
  </si>
  <si>
    <t>14-11-2023 23:45</t>
  </si>
  <si>
    <t>14-11-2023 24:00</t>
  </si>
  <si>
    <t>15-11-2023 00:15</t>
  </si>
  <si>
    <t>15-11-2023 00:30</t>
  </si>
  <si>
    <t>15-11-2023 00:45</t>
  </si>
  <si>
    <t>15-11-2023 01:00</t>
  </si>
  <si>
    <t>15-11-2023 01:15</t>
  </si>
  <si>
    <t>15-11-2023 01:30</t>
  </si>
  <si>
    <t>15-11-2023 01:45</t>
  </si>
  <si>
    <t>15-11-2023 02:00</t>
  </si>
  <si>
    <t>15-11-2023 02:15</t>
  </si>
  <si>
    <t>15-11-2023 02:30</t>
  </si>
  <si>
    <t>15-11-2023 02:45</t>
  </si>
  <si>
    <t>15-11-2023 03:00</t>
  </si>
  <si>
    <t>15-11-2023 03:15</t>
  </si>
  <si>
    <t>15-11-2023 03:30</t>
  </si>
  <si>
    <t>15-11-2023 03:45</t>
  </si>
  <si>
    <t>15-11-2023 04:00</t>
  </si>
  <si>
    <t>15-11-2023 04:15</t>
  </si>
  <si>
    <t>15-11-2023 04:30</t>
  </si>
  <si>
    <t>15-11-2023 04:45</t>
  </si>
  <si>
    <t>15-11-2023 05:00</t>
  </si>
  <si>
    <t>15-11-2023 05:15</t>
  </si>
  <si>
    <t>15-11-2023 05:30</t>
  </si>
  <si>
    <t>15-11-2023 05:45</t>
  </si>
  <si>
    <t>15-11-2023 06:00</t>
  </si>
  <si>
    <t>15-11-2023 06:15</t>
  </si>
  <si>
    <t>15-11-2023 06:30</t>
  </si>
  <si>
    <t>15-11-2023 06:45</t>
  </si>
  <si>
    <t>15-11-2023 07:00</t>
  </si>
  <si>
    <t>15-11-2023 07:15</t>
  </si>
  <si>
    <t>15-11-2023 07:30</t>
  </si>
  <si>
    <t>15-11-2023 07:45</t>
  </si>
  <si>
    <t>15-11-2023 08:00</t>
  </si>
  <si>
    <t>15-11-2023 08:15</t>
  </si>
  <si>
    <t>15-11-2023 08:30</t>
  </si>
  <si>
    <t>15-11-2023 08:45</t>
  </si>
  <si>
    <t>15-11-2023 09:00</t>
  </si>
  <si>
    <t>15-11-2023 09:15</t>
  </si>
  <si>
    <t>15-11-2023 09:30</t>
  </si>
  <si>
    <t>15-11-2023 09:45</t>
  </si>
  <si>
    <t>15-11-2023 10:00</t>
  </si>
  <si>
    <t>15-11-2023 10:15</t>
  </si>
  <si>
    <t>15-11-2023 10:30</t>
  </si>
  <si>
    <t>15-11-2023 10:45</t>
  </si>
  <si>
    <t>15-11-2023 11:00</t>
  </si>
  <si>
    <t>15-11-2023 11:15</t>
  </si>
  <si>
    <t>15-11-2023 11:30</t>
  </si>
  <si>
    <t>15-11-2023 11:45</t>
  </si>
  <si>
    <t>15-11-2023 12:00</t>
  </si>
  <si>
    <t>15-11-2023 12:15</t>
  </si>
  <si>
    <t>15-11-2023 12:30</t>
  </si>
  <si>
    <t>15-11-2023 12:45</t>
  </si>
  <si>
    <t>15-11-2023 13:00</t>
  </si>
  <si>
    <t>15-11-2023 13:15</t>
  </si>
  <si>
    <t>15-11-2023 13:30</t>
  </si>
  <si>
    <t>15-11-2023 13:45</t>
  </si>
  <si>
    <t>15-11-2023 14:00</t>
  </si>
  <si>
    <t>15-11-2023 14:15</t>
  </si>
  <si>
    <t>15-11-2023 14:30</t>
  </si>
  <si>
    <t>15-11-2023 14:45</t>
  </si>
  <si>
    <t>15-11-2023 15:00</t>
  </si>
  <si>
    <t>15-11-2023 15:15</t>
  </si>
  <si>
    <t>15-11-2023 15:30</t>
  </si>
  <si>
    <t>15-11-2023 15:45</t>
  </si>
  <si>
    <t>15-11-2023 16:00</t>
  </si>
  <si>
    <t>15-11-2023 16:15</t>
  </si>
  <si>
    <t>15-11-2023 16:30</t>
  </si>
  <si>
    <t>15-11-2023 16:45</t>
  </si>
  <si>
    <t>15-11-2023 17:00</t>
  </si>
  <si>
    <t>15-11-2023 17:15</t>
  </si>
  <si>
    <t>15-11-2023 17:30</t>
  </si>
  <si>
    <t>15-11-2023 17:45</t>
  </si>
  <si>
    <t>15-11-2023 18:00</t>
  </si>
  <si>
    <t>15-11-2023 18:15</t>
  </si>
  <si>
    <t>15-11-2023 18:30</t>
  </si>
  <si>
    <t>15-11-2023 18:45</t>
  </si>
  <si>
    <t>15-11-2023 19:00</t>
  </si>
  <si>
    <t>15-11-2023 19:15</t>
  </si>
  <si>
    <t>15-11-2023 19:30</t>
  </si>
  <si>
    <t>15-11-2023 19:45</t>
  </si>
  <si>
    <t>15-11-2023 20:00</t>
  </si>
  <si>
    <t>15-11-2023 20:15</t>
  </si>
  <si>
    <t>15-11-2023 20:30</t>
  </si>
  <si>
    <t>15-11-2023 20:45</t>
  </si>
  <si>
    <t>15-11-2023 21:00</t>
  </si>
  <si>
    <t>15-11-2023 21:15</t>
  </si>
  <si>
    <t>15-11-2023 21:30</t>
  </si>
  <si>
    <t>15-11-2023 21:45</t>
  </si>
  <si>
    <t>15-11-2023 22:00</t>
  </si>
  <si>
    <t>15-11-2023 22:15</t>
  </si>
  <si>
    <t>15-11-2023 22:30</t>
  </si>
  <si>
    <t>15-11-2023 22:45</t>
  </si>
  <si>
    <t>15-11-2023 23:00</t>
  </si>
  <si>
    <t>15-11-2023 23:15</t>
  </si>
  <si>
    <t>15-11-2023 23:30</t>
  </si>
  <si>
    <t>15-11-2023 23:45</t>
  </si>
  <si>
    <t>15-11-2023 24:00</t>
  </si>
  <si>
    <t>16-11-2023 00:15</t>
  </si>
  <si>
    <t>16-11-2023 00:30</t>
  </si>
  <si>
    <t>16-11-2023 00:45</t>
  </si>
  <si>
    <t>16-11-2023 01:00</t>
  </si>
  <si>
    <t>16-11-2023 01:15</t>
  </si>
  <si>
    <t>16-11-2023 01:30</t>
  </si>
  <si>
    <t>16-11-2023 01:45</t>
  </si>
  <si>
    <t>16-11-2023 02:00</t>
  </si>
  <si>
    <t>16-11-2023 02:15</t>
  </si>
  <si>
    <t>16-11-2023 02:30</t>
  </si>
  <si>
    <t>16-11-2023 02:45</t>
  </si>
  <si>
    <t>16-11-2023 03:00</t>
  </si>
  <si>
    <t>16-11-2023 03:15</t>
  </si>
  <si>
    <t>16-11-2023 03:30</t>
  </si>
  <si>
    <t>16-11-2023 03:45</t>
  </si>
  <si>
    <t>16-11-2023 04:00</t>
  </si>
  <si>
    <t>16-11-2023 04:15</t>
  </si>
  <si>
    <t>16-11-2023 04:30</t>
  </si>
  <si>
    <t>16-11-2023 04:45</t>
  </si>
  <si>
    <t>16-11-2023 05:00</t>
  </si>
  <si>
    <t>16-11-2023 05:15</t>
  </si>
  <si>
    <t>16-11-2023 05:30</t>
  </si>
  <si>
    <t>16-11-2023 05:45</t>
  </si>
  <si>
    <t>16-11-2023 06:00</t>
  </si>
  <si>
    <t>16-11-2023 06:15</t>
  </si>
  <si>
    <t>16-11-2023 06:30</t>
  </si>
  <si>
    <t>16-11-2023 06:45</t>
  </si>
  <si>
    <t>16-11-2023 07:00</t>
  </si>
  <si>
    <t>16-11-2023 07:15</t>
  </si>
  <si>
    <t>16-11-2023 07:30</t>
  </si>
  <si>
    <t>16-11-2023 07:45</t>
  </si>
  <si>
    <t>16-11-2023 08:00</t>
  </si>
  <si>
    <t>16-11-2023 08:15</t>
  </si>
  <si>
    <t>16-11-2023 08:30</t>
  </si>
  <si>
    <t>16-11-2023 08:45</t>
  </si>
  <si>
    <t>16-11-2023 09:00</t>
  </si>
  <si>
    <t>16-11-2023 09:15</t>
  </si>
  <si>
    <t>16-11-2023 09:30</t>
  </si>
  <si>
    <t>16-11-2023 09:45</t>
  </si>
  <si>
    <t>16-11-2023 10:00</t>
  </si>
  <si>
    <t>16-11-2023 10:15</t>
  </si>
  <si>
    <t>16-11-2023 10:30</t>
  </si>
  <si>
    <t>16-11-2023 10:45</t>
  </si>
  <si>
    <t>16-11-2023 11:00</t>
  </si>
  <si>
    <t>16-11-2023 11:15</t>
  </si>
  <si>
    <t>16-11-2023 11:30</t>
  </si>
  <si>
    <t>16-11-2023 11:45</t>
  </si>
  <si>
    <t>16-11-2023 12:00</t>
  </si>
  <si>
    <t>16-11-2023 12:15</t>
  </si>
  <si>
    <t>16-11-2023 12:30</t>
  </si>
  <si>
    <t>16-11-2023 12:45</t>
  </si>
  <si>
    <t>16-11-2023 13:00</t>
  </si>
  <si>
    <t>16-11-2023 13:15</t>
  </si>
  <si>
    <t>16-11-2023 13:30</t>
  </si>
  <si>
    <t>16-11-2023 13:45</t>
  </si>
  <si>
    <t>16-11-2023 14:00</t>
  </si>
  <si>
    <t>16-11-2023 14:15</t>
  </si>
  <si>
    <t>16-11-2023 14:30</t>
  </si>
  <si>
    <t>16-11-2023 14:45</t>
  </si>
  <si>
    <t>16-11-2023 15:00</t>
  </si>
  <si>
    <t>16-11-2023 15:15</t>
  </si>
  <si>
    <t>16-11-2023 15:30</t>
  </si>
  <si>
    <t>16-11-2023 15:45</t>
  </si>
  <si>
    <t>16-11-2023 16:00</t>
  </si>
  <si>
    <t>16-11-2023 16:15</t>
  </si>
  <si>
    <t>16-11-2023 16:30</t>
  </si>
  <si>
    <t>16-11-2023 16:45</t>
  </si>
  <si>
    <t>16-11-2023 17:00</t>
  </si>
  <si>
    <t>16-11-2023 17:15</t>
  </si>
  <si>
    <t>16-11-2023 17:30</t>
  </si>
  <si>
    <t>16-11-2023 17:45</t>
  </si>
  <si>
    <t>16-11-2023 18:00</t>
  </si>
  <si>
    <t>16-11-2023 18:15</t>
  </si>
  <si>
    <t>16-11-2023 18:30</t>
  </si>
  <si>
    <t>16-11-2023 18:45</t>
  </si>
  <si>
    <t>16-11-2023 19:00</t>
  </si>
  <si>
    <t>16-11-2023 19:15</t>
  </si>
  <si>
    <t>16-11-2023 19:30</t>
  </si>
  <si>
    <t>16-11-2023 19:45</t>
  </si>
  <si>
    <t>16-11-2023 20:00</t>
  </si>
  <si>
    <t>16-11-2023 20:15</t>
  </si>
  <si>
    <t>16-11-2023 20:30</t>
  </si>
  <si>
    <t>16-11-2023 20:45</t>
  </si>
  <si>
    <t>16-11-2023 21:00</t>
  </si>
  <si>
    <t>16-11-2023 21:15</t>
  </si>
  <si>
    <t>16-11-2023 21:30</t>
  </si>
  <si>
    <t>16-11-2023 21:45</t>
  </si>
  <si>
    <t>16-11-2023 22:00</t>
  </si>
  <si>
    <t>16-11-2023 22:15</t>
  </si>
  <si>
    <t>16-11-2023 22:30</t>
  </si>
  <si>
    <t>16-11-2023 22:45</t>
  </si>
  <si>
    <t>16-11-2023 23:00</t>
  </si>
  <si>
    <t>16-11-2023 23:15</t>
  </si>
  <si>
    <t>16-11-2023 23:30</t>
  </si>
  <si>
    <t>16-11-2023 23:45</t>
  </si>
  <si>
    <t>16-11-2023 24:00</t>
  </si>
  <si>
    <t>17-11-2023 00:15</t>
  </si>
  <si>
    <t>17-11-2023 00:30</t>
  </si>
  <si>
    <t>17-11-2023 00:45</t>
  </si>
  <si>
    <t>17-11-2023 01:00</t>
  </si>
  <si>
    <t>17-11-2023 01:15</t>
  </si>
  <si>
    <t>17-11-2023 01:30</t>
  </si>
  <si>
    <t>17-11-2023 01:45</t>
  </si>
  <si>
    <t>17-11-2023 02:00</t>
  </si>
  <si>
    <t>17-11-2023 02:15</t>
  </si>
  <si>
    <t>17-11-2023 02:30</t>
  </si>
  <si>
    <t>17-11-2023 02:45</t>
  </si>
  <si>
    <t>17-11-2023 03:00</t>
  </si>
  <si>
    <t>17-11-2023 03:15</t>
  </si>
  <si>
    <t>17-11-2023 03:30</t>
  </si>
  <si>
    <t>17-11-2023 03:45</t>
  </si>
  <si>
    <t>17-11-2023 04:00</t>
  </si>
  <si>
    <t>17-11-2023 04:15</t>
  </si>
  <si>
    <t>17-11-2023 04:30</t>
  </si>
  <si>
    <t>17-11-2023 04:45</t>
  </si>
  <si>
    <t>17-11-2023 05:00</t>
  </si>
  <si>
    <t>17-11-2023 05:15</t>
  </si>
  <si>
    <t>17-11-2023 05:30</t>
  </si>
  <si>
    <t>17-11-2023 05:45</t>
  </si>
  <si>
    <t>17-11-2023 06:00</t>
  </si>
  <si>
    <t>17-11-2023 06:15</t>
  </si>
  <si>
    <t>17-11-2023 06:30</t>
  </si>
  <si>
    <t>17-11-2023 06:45</t>
  </si>
  <si>
    <t>17-11-2023 07:00</t>
  </si>
  <si>
    <t>17-11-2023 07:15</t>
  </si>
  <si>
    <t>17-11-2023 07:30</t>
  </si>
  <si>
    <t>17-11-2023 07:45</t>
  </si>
  <si>
    <t>17-11-2023 08:00</t>
  </si>
  <si>
    <t>17-11-2023 08:15</t>
  </si>
  <si>
    <t>17-11-2023 08:30</t>
  </si>
  <si>
    <t>17-11-2023 08:45</t>
  </si>
  <si>
    <t>17-11-2023 09:00</t>
  </si>
  <si>
    <t>17-11-2023 09:15</t>
  </si>
  <si>
    <t>17-11-2023 09:30</t>
  </si>
  <si>
    <t>17-11-2023 09:45</t>
  </si>
  <si>
    <t>17-11-2023 10:00</t>
  </si>
  <si>
    <t>17-11-2023 10:15</t>
  </si>
  <si>
    <t>17-11-2023 10:30</t>
  </si>
  <si>
    <t>17-11-2023 10:45</t>
  </si>
  <si>
    <t>17-11-2023 11:00</t>
  </si>
  <si>
    <t>17-11-2023 11:15</t>
  </si>
  <si>
    <t>17-11-2023 11:30</t>
  </si>
  <si>
    <t>17-11-2023 11:45</t>
  </si>
  <si>
    <t>17-11-2023 12:00</t>
  </si>
  <si>
    <t>17-11-2023 12:15</t>
  </si>
  <si>
    <t>17-11-2023 12:30</t>
  </si>
  <si>
    <t>17-11-2023 12:45</t>
  </si>
  <si>
    <t>17-11-2023 13:00</t>
  </si>
  <si>
    <t>17-11-2023 13:15</t>
  </si>
  <si>
    <t>17-11-2023 13:30</t>
  </si>
  <si>
    <t>17-11-2023 13:45</t>
  </si>
  <si>
    <t>17-11-2023 14:00</t>
  </si>
  <si>
    <t>17-11-2023 14:15</t>
  </si>
  <si>
    <t>17-11-2023 14:30</t>
  </si>
  <si>
    <t>17-11-2023 14:45</t>
  </si>
  <si>
    <t>17-11-2023 15:00</t>
  </si>
  <si>
    <t>17-11-2023 15:15</t>
  </si>
  <si>
    <t>17-11-2023 15:30</t>
  </si>
  <si>
    <t>17-11-2023 15:45</t>
  </si>
  <si>
    <t>17-11-2023 16:00</t>
  </si>
  <si>
    <t>17-11-2023 16:15</t>
  </si>
  <si>
    <t>17-11-2023 16:30</t>
  </si>
  <si>
    <t>17-11-2023 16:45</t>
  </si>
  <si>
    <t>17-11-2023 17:00</t>
  </si>
  <si>
    <t>17-11-2023 17:15</t>
  </si>
  <si>
    <t>17-11-2023 17:30</t>
  </si>
  <si>
    <t>17-11-2023 17:45</t>
  </si>
  <si>
    <t>17-11-2023 18:00</t>
  </si>
  <si>
    <t>17-11-2023 18:15</t>
  </si>
  <si>
    <t>17-11-2023 18:30</t>
  </si>
  <si>
    <t>17-11-2023 18:45</t>
  </si>
  <si>
    <t>17-11-2023 19:00</t>
  </si>
  <si>
    <t>17-11-2023 19:15</t>
  </si>
  <si>
    <t>17-11-2023 19:30</t>
  </si>
  <si>
    <t>17-11-2023 19:45</t>
  </si>
  <si>
    <t>17-11-2023 20:00</t>
  </si>
  <si>
    <t>17-11-2023 20:15</t>
  </si>
  <si>
    <t>17-11-2023 20:30</t>
  </si>
  <si>
    <t>17-11-2023 20:45</t>
  </si>
  <si>
    <t>17-11-2023 21:00</t>
  </si>
  <si>
    <t>17-11-2023 21:15</t>
  </si>
  <si>
    <t>17-11-2023 21:30</t>
  </si>
  <si>
    <t>17-11-2023 21:45</t>
  </si>
  <si>
    <t>17-11-2023 22:00</t>
  </si>
  <si>
    <t>17-11-2023 22:15</t>
  </si>
  <si>
    <t>17-11-2023 22:30</t>
  </si>
  <si>
    <t>17-11-2023 22:45</t>
  </si>
  <si>
    <t>17-11-2023 23:00</t>
  </si>
  <si>
    <t>17-11-2023 23:15</t>
  </si>
  <si>
    <t>17-11-2023 23:30</t>
  </si>
  <si>
    <t>17-11-2023 23:45</t>
  </si>
  <si>
    <t>17-11-2023 24:00</t>
  </si>
  <si>
    <t>18-11-2023 00:15</t>
  </si>
  <si>
    <t>18-11-2023 00:30</t>
  </si>
  <si>
    <t>18-11-2023 00:45</t>
  </si>
  <si>
    <t>18-11-2023 01:00</t>
  </si>
  <si>
    <t>18-11-2023 01:15</t>
  </si>
  <si>
    <t>18-11-2023 01:30</t>
  </si>
  <si>
    <t>18-11-2023 01:45</t>
  </si>
  <si>
    <t>18-11-2023 02:00</t>
  </si>
  <si>
    <t>18-11-2023 02:15</t>
  </si>
  <si>
    <t>18-11-2023 02:30</t>
  </si>
  <si>
    <t>18-11-2023 02:45</t>
  </si>
  <si>
    <t>18-11-2023 03:00</t>
  </si>
  <si>
    <t>18-11-2023 03:15</t>
  </si>
  <si>
    <t>18-11-2023 03:30</t>
  </si>
  <si>
    <t>18-11-2023 03:45</t>
  </si>
  <si>
    <t>18-11-2023 04:00</t>
  </si>
  <si>
    <t>18-11-2023 04:15</t>
  </si>
  <si>
    <t>18-11-2023 04:30</t>
  </si>
  <si>
    <t>18-11-2023 04:45</t>
  </si>
  <si>
    <t>18-11-2023 05:00</t>
  </si>
  <si>
    <t>18-11-2023 05:15</t>
  </si>
  <si>
    <t>18-11-2023 05:30</t>
  </si>
  <si>
    <t>18-11-2023 05:45</t>
  </si>
  <si>
    <t>18-11-2023 06:00</t>
  </si>
  <si>
    <t>18-11-2023 06:15</t>
  </si>
  <si>
    <t>18-11-2023 06:30</t>
  </si>
  <si>
    <t>18-11-2023 06:45</t>
  </si>
  <si>
    <t>18-11-2023 07:00</t>
  </si>
  <si>
    <t>18-11-2023 07:15</t>
  </si>
  <si>
    <t>18-11-2023 07:30</t>
  </si>
  <si>
    <t>18-11-2023 07:45</t>
  </si>
  <si>
    <t>18-11-2023 08:00</t>
  </si>
  <si>
    <t>18-11-2023 08:15</t>
  </si>
  <si>
    <t>18-11-2023 08:30</t>
  </si>
  <si>
    <t>18-11-2023 08:45</t>
  </si>
  <si>
    <t>18-11-2023 09:00</t>
  </si>
  <si>
    <t>18-11-2023 09:15</t>
  </si>
  <si>
    <t>18-11-2023 09:30</t>
  </si>
  <si>
    <t>18-11-2023 09:45</t>
  </si>
  <si>
    <t>18-11-2023 10:00</t>
  </si>
  <si>
    <t>18-11-2023 10:15</t>
  </si>
  <si>
    <t>18-11-2023 10:30</t>
  </si>
  <si>
    <t>18-11-2023 10:45</t>
  </si>
  <si>
    <t>18-11-2023 11:00</t>
  </si>
  <si>
    <t>18-11-2023 11:15</t>
  </si>
  <si>
    <t>18-11-2023 11:30</t>
  </si>
  <si>
    <t>18-11-2023 11:45</t>
  </si>
  <si>
    <t>18-11-2023 12:00</t>
  </si>
  <si>
    <t>18-11-2023 12:15</t>
  </si>
  <si>
    <t>18-11-2023 12:30</t>
  </si>
  <si>
    <t>18-11-2023 12:45</t>
  </si>
  <si>
    <t>18-11-2023 13:00</t>
  </si>
  <si>
    <t>18-11-2023 13:15</t>
  </si>
  <si>
    <t>18-11-2023 13:30</t>
  </si>
  <si>
    <t>18-11-2023 13:45</t>
  </si>
  <si>
    <t>18-11-2023 14:00</t>
  </si>
  <si>
    <t>18-11-2023 14:15</t>
  </si>
  <si>
    <t>18-11-2023 14:30</t>
  </si>
  <si>
    <t>18-11-2023 14:45</t>
  </si>
  <si>
    <t>18-11-2023 15:00</t>
  </si>
  <si>
    <t>18-11-2023 15:15</t>
  </si>
  <si>
    <t>18-11-2023 15:30</t>
  </si>
  <si>
    <t>18-11-2023 15:45</t>
  </si>
  <si>
    <t>18-11-2023 16:00</t>
  </si>
  <si>
    <t>18-11-2023 16:15</t>
  </si>
  <si>
    <t>18-11-2023 16:30</t>
  </si>
  <si>
    <t>18-11-2023 16:45</t>
  </si>
  <si>
    <t>18-11-2023 17:00</t>
  </si>
  <si>
    <t>18-11-2023 17:15</t>
  </si>
  <si>
    <t>18-11-2023 17:30</t>
  </si>
  <si>
    <t>18-11-2023 17:45</t>
  </si>
  <si>
    <t>18-11-2023 18:00</t>
  </si>
  <si>
    <t>18-11-2023 18:15</t>
  </si>
  <si>
    <t>18-11-2023 18:30</t>
  </si>
  <si>
    <t>18-11-2023 18:45</t>
  </si>
  <si>
    <t>18-11-2023 19:00</t>
  </si>
  <si>
    <t>18-11-2023 19:15</t>
  </si>
  <si>
    <t>18-11-2023 19:30</t>
  </si>
  <si>
    <t>18-11-2023 19:45</t>
  </si>
  <si>
    <t>18-11-2023 20:00</t>
  </si>
  <si>
    <t>18-11-2023 20:15</t>
  </si>
  <si>
    <t>18-11-2023 20:30</t>
  </si>
  <si>
    <t>18-11-2023 20:45</t>
  </si>
  <si>
    <t>18-11-2023 21:00</t>
  </si>
  <si>
    <t>18-11-2023 21:15</t>
  </si>
  <si>
    <t>18-11-2023 21:30</t>
  </si>
  <si>
    <t>18-11-2023 21:45</t>
  </si>
  <si>
    <t>18-11-2023 22:00</t>
  </si>
  <si>
    <t>18-11-2023 22:15</t>
  </si>
  <si>
    <t>18-11-2023 22:30</t>
  </si>
  <si>
    <t>18-11-2023 22:45</t>
  </si>
  <si>
    <t>18-11-2023 23:00</t>
  </si>
  <si>
    <t>18-11-2023 23:15</t>
  </si>
  <si>
    <t>18-11-2023 23:30</t>
  </si>
  <si>
    <t>18-11-2023 23:45</t>
  </si>
  <si>
    <t>18-11-2023 24:00</t>
  </si>
  <si>
    <t>19-11-2023 00:15</t>
  </si>
  <si>
    <t>19-11-2023 00:30</t>
  </si>
  <si>
    <t>19-11-2023 00:45</t>
  </si>
  <si>
    <t>19-11-2023 01:00</t>
  </si>
  <si>
    <t>19-11-2023 01:15</t>
  </si>
  <si>
    <t>19-11-2023 01:30</t>
  </si>
  <si>
    <t>19-11-2023 01:45</t>
  </si>
  <si>
    <t>19-11-2023 02:00</t>
  </si>
  <si>
    <t>19-11-2023 02:15</t>
  </si>
  <si>
    <t>19-11-2023 02:30</t>
  </si>
  <si>
    <t>19-11-2023 02:45</t>
  </si>
  <si>
    <t>19-11-2023 03:00</t>
  </si>
  <si>
    <t>19-11-2023 03:15</t>
  </si>
  <si>
    <t>19-11-2023 03:30</t>
  </si>
  <si>
    <t>19-11-2023 03:45</t>
  </si>
  <si>
    <t>19-11-2023 04:00</t>
  </si>
  <si>
    <t>19-11-2023 04:15</t>
  </si>
  <si>
    <t>19-11-2023 04:30</t>
  </si>
  <si>
    <t>19-11-2023 04:45</t>
  </si>
  <si>
    <t>19-11-2023 05:00</t>
  </si>
  <si>
    <t>19-11-2023 05:15</t>
  </si>
  <si>
    <t>19-11-2023 05:30</t>
  </si>
  <si>
    <t>19-11-2023 05:45</t>
  </si>
  <si>
    <t>19-11-2023 06:00</t>
  </si>
  <si>
    <t>19-11-2023 06:15</t>
  </si>
  <si>
    <t>19-11-2023 06:30</t>
  </si>
  <si>
    <t>19-11-2023 06:45</t>
  </si>
  <si>
    <t>19-11-2023 07:00</t>
  </si>
  <si>
    <t>19-11-2023 07:15</t>
  </si>
  <si>
    <t>19-11-2023 07:30</t>
  </si>
  <si>
    <t>19-11-2023 07:45</t>
  </si>
  <si>
    <t>19-11-2023 08:00</t>
  </si>
  <si>
    <t>19-11-2023 08:15</t>
  </si>
  <si>
    <t>19-11-2023 08:30</t>
  </si>
  <si>
    <t>19-11-2023 08:45</t>
  </si>
  <si>
    <t>19-11-2023 09:00</t>
  </si>
  <si>
    <t>19-11-2023 09:15</t>
  </si>
  <si>
    <t>19-11-2023 09:30</t>
  </si>
  <si>
    <t>19-11-2023 09:45</t>
  </si>
  <si>
    <t>19-11-2023 10:00</t>
  </si>
  <si>
    <t>19-11-2023 10:15</t>
  </si>
  <si>
    <t>19-11-2023 10:30</t>
  </si>
  <si>
    <t>19-11-2023 10:45</t>
  </si>
  <si>
    <t>19-11-2023 11:00</t>
  </si>
  <si>
    <t>19-11-2023 11:15</t>
  </si>
  <si>
    <t>19-11-2023 11:30</t>
  </si>
  <si>
    <t>19-11-2023 11:45</t>
  </si>
  <si>
    <t>19-11-2023 12:00</t>
  </si>
  <si>
    <t>19-11-2023 12:15</t>
  </si>
  <si>
    <t>19-11-2023 12:30</t>
  </si>
  <si>
    <t>19-11-2023 12:45</t>
  </si>
  <si>
    <t>19-11-2023 13:00</t>
  </si>
  <si>
    <t>19-11-2023 13:15</t>
  </si>
  <si>
    <t>19-11-2023 13:30</t>
  </si>
  <si>
    <t>19-11-2023 13:45</t>
  </si>
  <si>
    <t>19-11-2023 14:00</t>
  </si>
  <si>
    <t>19-11-2023 14:15</t>
  </si>
  <si>
    <t>19-11-2023 14:30</t>
  </si>
  <si>
    <t>19-11-2023 14:45</t>
  </si>
  <si>
    <t>19-11-2023 15:00</t>
  </si>
  <si>
    <t>19-11-2023 15:15</t>
  </si>
  <si>
    <t>19-11-2023 15:30</t>
  </si>
  <si>
    <t>19-11-2023 15:45</t>
  </si>
  <si>
    <t>19-11-2023 16:00</t>
  </si>
  <si>
    <t>19-11-2023 16:15</t>
  </si>
  <si>
    <t>19-11-2023 16:30</t>
  </si>
  <si>
    <t>19-11-2023 16:45</t>
  </si>
  <si>
    <t>19-11-2023 17:00</t>
  </si>
  <si>
    <t>19-11-2023 17:15</t>
  </si>
  <si>
    <t>19-11-2023 17:30</t>
  </si>
  <si>
    <t>19-11-2023 17:45</t>
  </si>
  <si>
    <t>19-11-2023 18:00</t>
  </si>
  <si>
    <t>19-11-2023 18:15</t>
  </si>
  <si>
    <t>19-11-2023 18:30</t>
  </si>
  <si>
    <t>19-11-2023 18:45</t>
  </si>
  <si>
    <t>19-11-2023 19:00</t>
  </si>
  <si>
    <t>19-11-2023 19:15</t>
  </si>
  <si>
    <t>19-11-2023 19:30</t>
  </si>
  <si>
    <t>19-11-2023 19:45</t>
  </si>
  <si>
    <t>19-11-2023 20:00</t>
  </si>
  <si>
    <t>19-11-2023 20:15</t>
  </si>
  <si>
    <t>19-11-2023 20:30</t>
  </si>
  <si>
    <t>19-11-2023 20:45</t>
  </si>
  <si>
    <t>19-11-2023 21:00</t>
  </si>
  <si>
    <t>19-11-2023 21:15</t>
  </si>
  <si>
    <t>19-11-2023 21:30</t>
  </si>
  <si>
    <t>19-11-2023 21:45</t>
  </si>
  <si>
    <t>19-11-2023 22:00</t>
  </si>
  <si>
    <t>19-11-2023 22:15</t>
  </si>
  <si>
    <t>19-11-2023 22:30</t>
  </si>
  <si>
    <t>19-11-2023 22:45</t>
  </si>
  <si>
    <t>19-11-2023 23:00</t>
  </si>
  <si>
    <t>19-11-2023 23:15</t>
  </si>
  <si>
    <t>19-11-2023 23:30</t>
  </si>
  <si>
    <t>19-11-2023 23:45</t>
  </si>
  <si>
    <t>19-11-2023 24:00</t>
  </si>
  <si>
    <t>20-11-2023 00:15</t>
  </si>
  <si>
    <t>20-11-2023 00:30</t>
  </si>
  <si>
    <t>20-11-2023 00:45</t>
  </si>
  <si>
    <t>20-11-2023 01:00</t>
  </si>
  <si>
    <t>20-11-2023 01:15</t>
  </si>
  <si>
    <t>20-11-2023 01:30</t>
  </si>
  <si>
    <t>20-11-2023 01:45</t>
  </si>
  <si>
    <t>20-11-2023 02:00</t>
  </si>
  <si>
    <t>20-11-2023 02:15</t>
  </si>
  <si>
    <t>20-11-2023 02:30</t>
  </si>
  <si>
    <t>20-11-2023 02:45</t>
  </si>
  <si>
    <t>20-11-2023 03:00</t>
  </si>
  <si>
    <t>20-11-2023 03:15</t>
  </si>
  <si>
    <t>20-11-2023 03:30</t>
  </si>
  <si>
    <t>20-11-2023 03:45</t>
  </si>
  <si>
    <t>20-11-2023 04:00</t>
  </si>
  <si>
    <t>20-11-2023 04:15</t>
  </si>
  <si>
    <t>20-11-2023 04:30</t>
  </si>
  <si>
    <t>20-11-2023 04:45</t>
  </si>
  <si>
    <t>20-11-2023 05:00</t>
  </si>
  <si>
    <t>20-11-2023 05:15</t>
  </si>
  <si>
    <t>20-11-2023 05:30</t>
  </si>
  <si>
    <t>20-11-2023 05:45</t>
  </si>
  <si>
    <t>20-11-2023 06:00</t>
  </si>
  <si>
    <t>20-11-2023 06:15</t>
  </si>
  <si>
    <t>20-11-2023 06:30</t>
  </si>
  <si>
    <t>20-11-2023 06:45</t>
  </si>
  <si>
    <t>20-11-2023 07:00</t>
  </si>
  <si>
    <t>20-11-2023 07:15</t>
  </si>
  <si>
    <t>20-11-2023 07:30</t>
  </si>
  <si>
    <t>20-11-2023 07:45</t>
  </si>
  <si>
    <t>20-11-2023 08:00</t>
  </si>
  <si>
    <t>20-11-2023 08:15</t>
  </si>
  <si>
    <t>20-11-2023 08:30</t>
  </si>
  <si>
    <t>20-11-2023 08:45</t>
  </si>
  <si>
    <t>20-11-2023 09:00</t>
  </si>
  <si>
    <t>20-11-2023 09:15</t>
  </si>
  <si>
    <t>20-11-2023 09:30</t>
  </si>
  <si>
    <t>20-11-2023 09:45</t>
  </si>
  <si>
    <t>20-11-2023 10:00</t>
  </si>
  <si>
    <t>20-11-2023 10:15</t>
  </si>
  <si>
    <t>20-11-2023 10:30</t>
  </si>
  <si>
    <t>20-11-2023 10:45</t>
  </si>
  <si>
    <t>20-11-2023 11:00</t>
  </si>
  <si>
    <t>20-11-2023 11:15</t>
  </si>
  <si>
    <t>20-11-2023 11:30</t>
  </si>
  <si>
    <t>20-11-2023 11:45</t>
  </si>
  <si>
    <t>20-11-2023 12:00</t>
  </si>
  <si>
    <t>20-11-2023 12:15</t>
  </si>
  <si>
    <t>20-11-2023 12:30</t>
  </si>
  <si>
    <t>20-11-2023 12:45</t>
  </si>
  <si>
    <t>20-11-2023 13:00</t>
  </si>
  <si>
    <t>20-11-2023 13:15</t>
  </si>
  <si>
    <t>20-11-2023 13:30</t>
  </si>
  <si>
    <t>20-11-2023 13:45</t>
  </si>
  <si>
    <t>20-11-2023 14:00</t>
  </si>
  <si>
    <t>20-11-2023 14:15</t>
  </si>
  <si>
    <t>20-11-2023 14:30</t>
  </si>
  <si>
    <t>20-11-2023 14:45</t>
  </si>
  <si>
    <t>20-11-2023 15:00</t>
  </si>
  <si>
    <t>20-11-2023 15:15</t>
  </si>
  <si>
    <t>20-11-2023 15:30</t>
  </si>
  <si>
    <t>20-11-2023 15:45</t>
  </si>
  <si>
    <t>20-11-2023 16:00</t>
  </si>
  <si>
    <t>20-11-2023 16:15</t>
  </si>
  <si>
    <t>20-11-2023 16:30</t>
  </si>
  <si>
    <t>20-11-2023 16:45</t>
  </si>
  <si>
    <t>20-11-2023 17:00</t>
  </si>
  <si>
    <t>20-11-2023 17:15</t>
  </si>
  <si>
    <t>20-11-2023 17:30</t>
  </si>
  <si>
    <t>20-11-2023 17:45</t>
  </si>
  <si>
    <t>20-11-2023 18:00</t>
  </si>
  <si>
    <t>20-11-2023 18:15</t>
  </si>
  <si>
    <t>20-11-2023 18:30</t>
  </si>
  <si>
    <t>20-11-2023 18:45</t>
  </si>
  <si>
    <t>20-11-2023 19:00</t>
  </si>
  <si>
    <t>20-11-2023 19:15</t>
  </si>
  <si>
    <t>20-11-2023 19:30</t>
  </si>
  <si>
    <t>20-11-2023 19:45</t>
  </si>
  <si>
    <t>20-11-2023 20:00</t>
  </si>
  <si>
    <t>20-11-2023 20:15</t>
  </si>
  <si>
    <t>20-11-2023 20:30</t>
  </si>
  <si>
    <t>20-11-2023 20:45</t>
  </si>
  <si>
    <t>20-11-2023 21:00</t>
  </si>
  <si>
    <t>20-11-2023 21:15</t>
  </si>
  <si>
    <t>20-11-2023 21:30</t>
  </si>
  <si>
    <t>20-11-2023 21:45</t>
  </si>
  <si>
    <t>20-11-2023 22:00</t>
  </si>
  <si>
    <t>20-11-2023 22:15</t>
  </si>
  <si>
    <t>20-11-2023 22:30</t>
  </si>
  <si>
    <t>20-11-2023 22:45</t>
  </si>
  <si>
    <t>20-11-2023 23:00</t>
  </si>
  <si>
    <t>20-11-2023 23:15</t>
  </si>
  <si>
    <t>20-11-2023 23:30</t>
  </si>
  <si>
    <t>20-11-2023 23:45</t>
  </si>
  <si>
    <t>20-11-2023 24:00</t>
  </si>
  <si>
    <t>21-11-2023 00:15</t>
  </si>
  <si>
    <t>21-11-2023 00:30</t>
  </si>
  <si>
    <t>21-11-2023 00:45</t>
  </si>
  <si>
    <t>21-11-2023 01:00</t>
  </si>
  <si>
    <t>21-11-2023 01:15</t>
  </si>
  <si>
    <t>21-11-2023 01:30</t>
  </si>
  <si>
    <t>21-11-2023 01:45</t>
  </si>
  <si>
    <t>21-11-2023 02:00</t>
  </si>
  <si>
    <t>21-11-2023 02:15</t>
  </si>
  <si>
    <t>21-11-2023 02:30</t>
  </si>
  <si>
    <t>21-11-2023 02:45</t>
  </si>
  <si>
    <t>21-11-2023 03:00</t>
  </si>
  <si>
    <t>21-11-2023 03:15</t>
  </si>
  <si>
    <t>21-11-2023 03:30</t>
  </si>
  <si>
    <t>21-11-2023 03:45</t>
  </si>
  <si>
    <t>21-11-2023 04:00</t>
  </si>
  <si>
    <t>21-11-2023 04:15</t>
  </si>
  <si>
    <t>21-11-2023 04:30</t>
  </si>
  <si>
    <t>21-11-2023 04:45</t>
  </si>
  <si>
    <t>21-11-2023 05:00</t>
  </si>
  <si>
    <t>21-11-2023 05:15</t>
  </si>
  <si>
    <t>21-11-2023 05:30</t>
  </si>
  <si>
    <t>21-11-2023 05:45</t>
  </si>
  <si>
    <t>21-11-2023 06:00</t>
  </si>
  <si>
    <t>21-11-2023 06:15</t>
  </si>
  <si>
    <t>21-11-2023 06:30</t>
  </si>
  <si>
    <t>21-11-2023 06:45</t>
  </si>
  <si>
    <t>21-11-2023 07:00</t>
  </si>
  <si>
    <t>21-11-2023 07:15</t>
  </si>
  <si>
    <t>21-11-2023 07:30</t>
  </si>
  <si>
    <t>21-11-2023 07:45</t>
  </si>
  <si>
    <t>21-11-2023 08:00</t>
  </si>
  <si>
    <t>21-11-2023 08:15</t>
  </si>
  <si>
    <t>21-11-2023 08:30</t>
  </si>
  <si>
    <t>21-11-2023 08:45</t>
  </si>
  <si>
    <t>21-11-2023 09:00</t>
  </si>
  <si>
    <t>21-11-2023 09:15</t>
  </si>
  <si>
    <t>21-11-2023 09:30</t>
  </si>
  <si>
    <t>21-11-2023 09:45</t>
  </si>
  <si>
    <t>21-11-2023 10:00</t>
  </si>
  <si>
    <t>21-11-2023 10:15</t>
  </si>
  <si>
    <t>21-11-2023 10:30</t>
  </si>
  <si>
    <t>21-11-2023 10:45</t>
  </si>
  <si>
    <t>21-11-2023 11:00</t>
  </si>
  <si>
    <t>21-11-2023 11:15</t>
  </si>
  <si>
    <t>21-11-2023 11:30</t>
  </si>
  <si>
    <t>21-11-2023 11:45</t>
  </si>
  <si>
    <t>21-11-2023 12:00</t>
  </si>
  <si>
    <t>21-11-2023 12:15</t>
  </si>
  <si>
    <t>21-11-2023 12:30</t>
  </si>
  <si>
    <t>21-11-2023 12:45</t>
  </si>
  <si>
    <t>21-11-2023 13:00</t>
  </si>
  <si>
    <t>21-11-2023 13:15</t>
  </si>
  <si>
    <t>21-11-2023 13:30</t>
  </si>
  <si>
    <t>21-11-2023 13:45</t>
  </si>
  <si>
    <t>21-11-2023 14:00</t>
  </si>
  <si>
    <t>21-11-2023 14:15</t>
  </si>
  <si>
    <t>21-11-2023 14:30</t>
  </si>
  <si>
    <t>21-11-2023 14:45</t>
  </si>
  <si>
    <t>21-11-2023 15:00</t>
  </si>
  <si>
    <t>21-11-2023 15:15</t>
  </si>
  <si>
    <t>21-11-2023 15:30</t>
  </si>
  <si>
    <t>21-11-2023 15:45</t>
  </si>
  <si>
    <t>21-11-2023 16:00</t>
  </si>
  <si>
    <t>21-11-2023 16:15</t>
  </si>
  <si>
    <t>21-11-2023 16:30</t>
  </si>
  <si>
    <t>21-11-2023 16:45</t>
  </si>
  <si>
    <t>21-11-2023 17:00</t>
  </si>
  <si>
    <t>21-11-2023 17:15</t>
  </si>
  <si>
    <t>21-11-2023 17:30</t>
  </si>
  <si>
    <t>21-11-2023 17:45</t>
  </si>
  <si>
    <t>21-11-2023 18:00</t>
  </si>
  <si>
    <t>21-11-2023 18:15</t>
  </si>
  <si>
    <t>21-11-2023 18:30</t>
  </si>
  <si>
    <t>21-11-2023 18:45</t>
  </si>
  <si>
    <t>21-11-2023 19:00</t>
  </si>
  <si>
    <t>21-11-2023 19:15</t>
  </si>
  <si>
    <t>21-11-2023 19:30</t>
  </si>
  <si>
    <t>21-11-2023 19:45</t>
  </si>
  <si>
    <t>21-11-2023 20:00</t>
  </si>
  <si>
    <t>21-11-2023 20:15</t>
  </si>
  <si>
    <t>21-11-2023 20:30</t>
  </si>
  <si>
    <t>21-11-2023 20:45</t>
  </si>
  <si>
    <t>21-11-2023 21:00</t>
  </si>
  <si>
    <t>21-11-2023 21:15</t>
  </si>
  <si>
    <t>21-11-2023 21:30</t>
  </si>
  <si>
    <t>21-11-2023 21:45</t>
  </si>
  <si>
    <t>21-11-2023 22:00</t>
  </si>
  <si>
    <t>21-11-2023 22:15</t>
  </si>
  <si>
    <t>21-11-2023 22:30</t>
  </si>
  <si>
    <t>21-11-2023 22:45</t>
  </si>
  <si>
    <t>21-11-2023 23:00</t>
  </si>
  <si>
    <t>21-11-2023 23:15</t>
  </si>
  <si>
    <t>21-11-2023 23:30</t>
  </si>
  <si>
    <t>21-11-2023 23:45</t>
  </si>
  <si>
    <t>21-11-2023 24:00</t>
  </si>
  <si>
    <t>22-11-2023 00:15</t>
  </si>
  <si>
    <t>22-11-2023 00:30</t>
  </si>
  <si>
    <t>22-11-2023 00:45</t>
  </si>
  <si>
    <t>22-11-2023 01:00</t>
  </si>
  <si>
    <t>22-11-2023 01:15</t>
  </si>
  <si>
    <t>22-11-2023 01:30</t>
  </si>
  <si>
    <t>22-11-2023 01:45</t>
  </si>
  <si>
    <t>22-11-2023 02:00</t>
  </si>
  <si>
    <t>22-11-2023 02:15</t>
  </si>
  <si>
    <t>22-11-2023 02:30</t>
  </si>
  <si>
    <t>22-11-2023 02:45</t>
  </si>
  <si>
    <t>22-11-2023 03:00</t>
  </si>
  <si>
    <t>22-11-2023 03:15</t>
  </si>
  <si>
    <t>22-11-2023 03:30</t>
  </si>
  <si>
    <t>22-11-2023 03:45</t>
  </si>
  <si>
    <t>22-11-2023 04:00</t>
  </si>
  <si>
    <t>22-11-2023 04:15</t>
  </si>
  <si>
    <t>22-11-2023 04:30</t>
  </si>
  <si>
    <t>22-11-2023 04:45</t>
  </si>
  <si>
    <t>22-11-2023 05:00</t>
  </si>
  <si>
    <t>22-11-2023 05:15</t>
  </si>
  <si>
    <t>22-11-2023 05:30</t>
  </si>
  <si>
    <t>22-11-2023 05:45</t>
  </si>
  <si>
    <t>22-11-2023 06:00</t>
  </si>
  <si>
    <t>22-11-2023 06:15</t>
  </si>
  <si>
    <t>22-11-2023 06:30</t>
  </si>
  <si>
    <t>22-11-2023 06:45</t>
  </si>
  <si>
    <t>22-11-2023 07:00</t>
  </si>
  <si>
    <t>22-11-2023 07:15</t>
  </si>
  <si>
    <t>22-11-2023 07:30</t>
  </si>
  <si>
    <t>22-11-2023 07:45</t>
  </si>
  <si>
    <t>22-11-2023 08:00</t>
  </si>
  <si>
    <t>22-11-2023 08:15</t>
  </si>
  <si>
    <t>22-11-2023 08:30</t>
  </si>
  <si>
    <t>22-11-2023 08:45</t>
  </si>
  <si>
    <t>22-11-2023 09:00</t>
  </si>
  <si>
    <t>22-11-2023 09:15</t>
  </si>
  <si>
    <t>22-11-2023 09:30</t>
  </si>
  <si>
    <t>22-11-2023 09:45</t>
  </si>
  <si>
    <t>22-11-2023 10:00</t>
  </si>
  <si>
    <t>22-11-2023 10:15</t>
  </si>
  <si>
    <t>22-11-2023 10:30</t>
  </si>
  <si>
    <t>22-11-2023 10:45</t>
  </si>
  <si>
    <t>22-11-2023 11:00</t>
  </si>
  <si>
    <t>22-11-2023 11:15</t>
  </si>
  <si>
    <t>22-11-2023 11:30</t>
  </si>
  <si>
    <t>22-11-2023 11:45</t>
  </si>
  <si>
    <t>22-11-2023 12:00</t>
  </si>
  <si>
    <t>22-11-2023 12:15</t>
  </si>
  <si>
    <t>22-11-2023 12:30</t>
  </si>
  <si>
    <t>22-11-2023 12:45</t>
  </si>
  <si>
    <t>22-11-2023 13:00</t>
  </si>
  <si>
    <t>22-11-2023 13:15</t>
  </si>
  <si>
    <t>22-11-2023 13:30</t>
  </si>
  <si>
    <t>22-11-2023 13:45</t>
  </si>
  <si>
    <t>22-11-2023 14:00</t>
  </si>
  <si>
    <t>22-11-2023 14:15</t>
  </si>
  <si>
    <t>22-11-2023 14:30</t>
  </si>
  <si>
    <t>22-11-2023 14:45</t>
  </si>
  <si>
    <t>22-11-2023 15:00</t>
  </si>
  <si>
    <t>22-11-2023 15:15</t>
  </si>
  <si>
    <t>22-11-2023 15:30</t>
  </si>
  <si>
    <t>22-11-2023 15:45</t>
  </si>
  <si>
    <t>22-11-2023 16:00</t>
  </si>
  <si>
    <t>22-11-2023 16:15</t>
  </si>
  <si>
    <t>22-11-2023 16:30</t>
  </si>
  <si>
    <t>22-11-2023 16:45</t>
  </si>
  <si>
    <t>22-11-2023 17:00</t>
  </si>
  <si>
    <t>22-11-2023 17:15</t>
  </si>
  <si>
    <t>22-11-2023 17:30</t>
  </si>
  <si>
    <t>22-11-2023 17:45</t>
  </si>
  <si>
    <t>22-11-2023 18:00</t>
  </si>
  <si>
    <t>22-11-2023 18:15</t>
  </si>
  <si>
    <t>22-11-2023 18:30</t>
  </si>
  <si>
    <t>22-11-2023 18:45</t>
  </si>
  <si>
    <t>22-11-2023 19:00</t>
  </si>
  <si>
    <t>22-11-2023 19:15</t>
  </si>
  <si>
    <t>22-11-2023 19:30</t>
  </si>
  <si>
    <t>22-11-2023 19:45</t>
  </si>
  <si>
    <t>22-11-2023 20:00</t>
  </si>
  <si>
    <t>22-11-2023 20:15</t>
  </si>
  <si>
    <t>22-11-2023 20:30</t>
  </si>
  <si>
    <t>22-11-2023 20:45</t>
  </si>
  <si>
    <t>22-11-2023 21:00</t>
  </si>
  <si>
    <t>22-11-2023 21:15</t>
  </si>
  <si>
    <t>22-11-2023 21:30</t>
  </si>
  <si>
    <t>22-11-2023 21:45</t>
  </si>
  <si>
    <t>22-11-2023 22:00</t>
  </si>
  <si>
    <t>22-11-2023 22:15</t>
  </si>
  <si>
    <t>22-11-2023 22:30</t>
  </si>
  <si>
    <t>22-11-2023 22:45</t>
  </si>
  <si>
    <t>22-11-2023 23:00</t>
  </si>
  <si>
    <t>22-11-2023 23:15</t>
  </si>
  <si>
    <t>22-11-2023 23:30</t>
  </si>
  <si>
    <t>22-11-2023 23:45</t>
  </si>
  <si>
    <t>22-11-2023 24:00</t>
  </si>
  <si>
    <t>23-11-2023 00:15</t>
  </si>
  <si>
    <t>23-11-2023 00:30</t>
  </si>
  <si>
    <t>23-11-2023 00:45</t>
  </si>
  <si>
    <t>23-11-2023 01:00</t>
  </si>
  <si>
    <t>23-11-2023 01:15</t>
  </si>
  <si>
    <t>23-11-2023 01:30</t>
  </si>
  <si>
    <t>23-11-2023 01:45</t>
  </si>
  <si>
    <t>23-11-2023 02:00</t>
  </si>
  <si>
    <t>23-11-2023 02:15</t>
  </si>
  <si>
    <t>23-11-2023 02:30</t>
  </si>
  <si>
    <t>23-11-2023 02:45</t>
  </si>
  <si>
    <t>23-11-2023 03:00</t>
  </si>
  <si>
    <t>23-11-2023 03:15</t>
  </si>
  <si>
    <t>23-11-2023 03:30</t>
  </si>
  <si>
    <t>23-11-2023 03:45</t>
  </si>
  <si>
    <t>23-11-2023 04:00</t>
  </si>
  <si>
    <t>23-11-2023 04:15</t>
  </si>
  <si>
    <t>23-11-2023 04:30</t>
  </si>
  <si>
    <t>23-11-2023 04:45</t>
  </si>
  <si>
    <t>23-11-2023 05:00</t>
  </si>
  <si>
    <t>23-11-2023 05:15</t>
  </si>
  <si>
    <t>23-11-2023 05:30</t>
  </si>
  <si>
    <t>23-11-2023 05:45</t>
  </si>
  <si>
    <t>23-11-2023 06:00</t>
  </si>
  <si>
    <t>23-11-2023 06:15</t>
  </si>
  <si>
    <t>23-11-2023 06:30</t>
  </si>
  <si>
    <t>23-11-2023 06:45</t>
  </si>
  <si>
    <t>23-11-2023 07:00</t>
  </si>
  <si>
    <t>23-11-2023 07:15</t>
  </si>
  <si>
    <t>23-11-2023 07:30</t>
  </si>
  <si>
    <t>23-11-2023 07:45</t>
  </si>
  <si>
    <t>23-11-2023 08:00</t>
  </si>
  <si>
    <t>23-11-2023 08:15</t>
  </si>
  <si>
    <t>23-11-2023 08:30</t>
  </si>
  <si>
    <t>23-11-2023 08:45</t>
  </si>
  <si>
    <t>23-11-2023 09:00</t>
  </si>
  <si>
    <t>23-11-2023 09:15</t>
  </si>
  <si>
    <t>23-11-2023 09:30</t>
  </si>
  <si>
    <t>23-11-2023 09:45</t>
  </si>
  <si>
    <t>23-11-2023 10:00</t>
  </si>
  <si>
    <t>23-11-2023 10:15</t>
  </si>
  <si>
    <t>23-11-2023 10:30</t>
  </si>
  <si>
    <t>23-11-2023 10:45</t>
  </si>
  <si>
    <t>23-11-2023 11:00</t>
  </si>
  <si>
    <t>23-11-2023 11:15</t>
  </si>
  <si>
    <t>23-11-2023 11:30</t>
  </si>
  <si>
    <t>23-11-2023 11:45</t>
  </si>
  <si>
    <t>23-11-2023 12:00</t>
  </si>
  <si>
    <t>23-11-2023 12:15</t>
  </si>
  <si>
    <t>23-11-2023 12:30</t>
  </si>
  <si>
    <t>23-11-2023 12:45</t>
  </si>
  <si>
    <t>23-11-2023 13:00</t>
  </si>
  <si>
    <t>23-11-2023 13:15</t>
  </si>
  <si>
    <t>23-11-2023 13:30</t>
  </si>
  <si>
    <t>23-11-2023 13:45</t>
  </si>
  <si>
    <t>23-11-2023 14:00</t>
  </si>
  <si>
    <t>23-11-2023 14:15</t>
  </si>
  <si>
    <t>23-11-2023 14:30</t>
  </si>
  <si>
    <t>23-11-2023 14:45</t>
  </si>
  <si>
    <t>23-11-2023 15:00</t>
  </si>
  <si>
    <t>23-11-2023 15:15</t>
  </si>
  <si>
    <t>23-11-2023 15:30</t>
  </si>
  <si>
    <t>23-11-2023 15:45</t>
  </si>
  <si>
    <t>23-11-2023 16:00</t>
  </si>
  <si>
    <t>23-11-2023 16:15</t>
  </si>
  <si>
    <t>23-11-2023 16:30</t>
  </si>
  <si>
    <t>23-11-2023 16:45</t>
  </si>
  <si>
    <t>23-11-2023 17:00</t>
  </si>
  <si>
    <t>23-11-2023 17:15</t>
  </si>
  <si>
    <t>23-11-2023 17:30</t>
  </si>
  <si>
    <t>23-11-2023 17:45</t>
  </si>
  <si>
    <t>23-11-2023 18:00</t>
  </si>
  <si>
    <t>23-11-2023 18:15</t>
  </si>
  <si>
    <t>23-11-2023 18:30</t>
  </si>
  <si>
    <t>23-11-2023 18:45</t>
  </si>
  <si>
    <t>23-11-2023 19:00</t>
  </si>
  <si>
    <t>23-11-2023 19:15</t>
  </si>
  <si>
    <t>23-11-2023 19:30</t>
  </si>
  <si>
    <t>23-11-2023 19:45</t>
  </si>
  <si>
    <t>23-11-2023 20:00</t>
  </si>
  <si>
    <t>23-11-2023 20:15</t>
  </si>
  <si>
    <t>23-11-2023 20:30</t>
  </si>
  <si>
    <t>23-11-2023 20:45</t>
  </si>
  <si>
    <t>23-11-2023 21:00</t>
  </si>
  <si>
    <t>23-11-2023 21:15</t>
  </si>
  <si>
    <t>23-11-2023 21:30</t>
  </si>
  <si>
    <t>23-11-2023 21:45</t>
  </si>
  <si>
    <t>23-11-2023 22:00</t>
  </si>
  <si>
    <t>23-11-2023 22:15</t>
  </si>
  <si>
    <t>23-11-2023 22:30</t>
  </si>
  <si>
    <t>23-11-2023 22:45</t>
  </si>
  <si>
    <t>23-11-2023 23:00</t>
  </si>
  <si>
    <t>23-11-2023 23:15</t>
  </si>
  <si>
    <t>23-11-2023 23:30</t>
  </si>
  <si>
    <t>23-11-2023 23:45</t>
  </si>
  <si>
    <t>23-11-2023 24:00</t>
  </si>
  <si>
    <t>24-11-2023 00:15</t>
  </si>
  <si>
    <t>24-11-2023 00:30</t>
  </si>
  <si>
    <t>24-11-2023 00:45</t>
  </si>
  <si>
    <t>24-11-2023 01:00</t>
  </si>
  <si>
    <t>24-11-2023 01:15</t>
  </si>
  <si>
    <t>24-11-2023 01:30</t>
  </si>
  <si>
    <t>24-11-2023 01:45</t>
  </si>
  <si>
    <t>24-11-2023 02:00</t>
  </si>
  <si>
    <t>24-11-2023 02:15</t>
  </si>
  <si>
    <t>24-11-2023 02:30</t>
  </si>
  <si>
    <t>24-11-2023 02:45</t>
  </si>
  <si>
    <t>24-11-2023 03:00</t>
  </si>
  <si>
    <t>24-11-2023 03:15</t>
  </si>
  <si>
    <t>24-11-2023 03:30</t>
  </si>
  <si>
    <t>24-11-2023 03:45</t>
  </si>
  <si>
    <t>24-11-2023 04:00</t>
  </si>
  <si>
    <t>24-11-2023 04:15</t>
  </si>
  <si>
    <t>24-11-2023 04:30</t>
  </si>
  <si>
    <t>24-11-2023 04:45</t>
  </si>
  <si>
    <t>24-11-2023 05:00</t>
  </si>
  <si>
    <t>24-11-2023 05:15</t>
  </si>
  <si>
    <t>24-11-2023 05:30</t>
  </si>
  <si>
    <t>24-11-2023 05:45</t>
  </si>
  <si>
    <t>24-11-2023 06:00</t>
  </si>
  <si>
    <t>24-11-2023 06:15</t>
  </si>
  <si>
    <t>24-11-2023 06:30</t>
  </si>
  <si>
    <t>24-11-2023 06:45</t>
  </si>
  <si>
    <t>24-11-2023 07:00</t>
  </si>
  <si>
    <t>24-11-2023 07:15</t>
  </si>
  <si>
    <t>24-11-2023 07:30</t>
  </si>
  <si>
    <t>24-11-2023 07:45</t>
  </si>
  <si>
    <t>24-11-2023 08:00</t>
  </si>
  <si>
    <t>24-11-2023 08:15</t>
  </si>
  <si>
    <t>24-11-2023 08:30</t>
  </si>
  <si>
    <t>24-11-2023 08:45</t>
  </si>
  <si>
    <t>24-11-2023 09:00</t>
  </si>
  <si>
    <t>24-11-2023 09:15</t>
  </si>
  <si>
    <t>24-11-2023 09:30</t>
  </si>
  <si>
    <t>24-11-2023 09:45</t>
  </si>
  <si>
    <t>24-11-2023 10:00</t>
  </si>
  <si>
    <t>24-11-2023 10:15</t>
  </si>
  <si>
    <t>24-11-2023 10:30</t>
  </si>
  <si>
    <t>24-11-2023 10:45</t>
  </si>
  <si>
    <t>24-11-2023 11:00</t>
  </si>
  <si>
    <t>24-11-2023 11:15</t>
  </si>
  <si>
    <t>24-11-2023 11:30</t>
  </si>
  <si>
    <t>24-11-2023 11:45</t>
  </si>
  <si>
    <t>24-11-2023 12:00</t>
  </si>
  <si>
    <t>24-11-2023 12:15</t>
  </si>
  <si>
    <t>24-11-2023 12:30</t>
  </si>
  <si>
    <t>24-11-2023 12:45</t>
  </si>
  <si>
    <t>24-11-2023 13:00</t>
  </si>
  <si>
    <t>24-11-2023 13:15</t>
  </si>
  <si>
    <t>24-11-2023 13:30</t>
  </si>
  <si>
    <t>24-11-2023 13:45</t>
  </si>
  <si>
    <t>24-11-2023 14:00</t>
  </si>
  <si>
    <t>24-11-2023 14:15</t>
  </si>
  <si>
    <t>24-11-2023 14:30</t>
  </si>
  <si>
    <t>24-11-2023 14:45</t>
  </si>
  <si>
    <t>24-11-2023 15:00</t>
  </si>
  <si>
    <t>24-11-2023 15:15</t>
  </si>
  <si>
    <t>24-11-2023 15:30</t>
  </si>
  <si>
    <t>24-11-2023 15:45</t>
  </si>
  <si>
    <t>24-11-2023 16:00</t>
  </si>
  <si>
    <t>24-11-2023 16:15</t>
  </si>
  <si>
    <t>24-11-2023 16:30</t>
  </si>
  <si>
    <t>24-11-2023 16:45</t>
  </si>
  <si>
    <t>24-11-2023 17:00</t>
  </si>
  <si>
    <t>24-11-2023 17:15</t>
  </si>
  <si>
    <t>24-11-2023 17:30</t>
  </si>
  <si>
    <t>24-11-2023 17:45</t>
  </si>
  <si>
    <t>24-11-2023 18:00</t>
  </si>
  <si>
    <t>24-11-2023 18:15</t>
  </si>
  <si>
    <t>24-11-2023 18:30</t>
  </si>
  <si>
    <t>24-11-2023 18:45</t>
  </si>
  <si>
    <t>24-11-2023 19:00</t>
  </si>
  <si>
    <t>24-11-2023 19:15</t>
  </si>
  <si>
    <t>24-11-2023 19:30</t>
  </si>
  <si>
    <t>24-11-2023 19:45</t>
  </si>
  <si>
    <t>24-11-2023 20:00</t>
  </si>
  <si>
    <t>24-11-2023 20:15</t>
  </si>
  <si>
    <t>24-11-2023 20:30</t>
  </si>
  <si>
    <t>24-11-2023 20:45</t>
  </si>
  <si>
    <t>24-11-2023 21:00</t>
  </si>
  <si>
    <t>24-11-2023 21:15</t>
  </si>
  <si>
    <t>24-11-2023 21:30</t>
  </si>
  <si>
    <t>24-11-2023 21:45</t>
  </si>
  <si>
    <t>24-11-2023 22:00</t>
  </si>
  <si>
    <t>24-11-2023 22:15</t>
  </si>
  <si>
    <t>24-11-2023 22:30</t>
  </si>
  <si>
    <t>24-11-2023 22:45</t>
  </si>
  <si>
    <t>24-11-2023 23:00</t>
  </si>
  <si>
    <t>24-11-2023 23:15</t>
  </si>
  <si>
    <t>24-11-2023 23:30</t>
  </si>
  <si>
    <t>24-11-2023 23:45</t>
  </si>
  <si>
    <t>24-11-2023 24:00</t>
  </si>
  <si>
    <t>25-11-2023 00:15</t>
  </si>
  <si>
    <t>25-11-2023 00:30</t>
  </si>
  <si>
    <t>25-11-2023 00:45</t>
  </si>
  <si>
    <t>25-11-2023 01:00</t>
  </si>
  <si>
    <t>25-11-2023 01:15</t>
  </si>
  <si>
    <t>25-11-2023 01:30</t>
  </si>
  <si>
    <t>25-11-2023 01:45</t>
  </si>
  <si>
    <t>25-11-2023 02:00</t>
  </si>
  <si>
    <t>25-11-2023 02:15</t>
  </si>
  <si>
    <t>25-11-2023 02:30</t>
  </si>
  <si>
    <t>25-11-2023 02:45</t>
  </si>
  <si>
    <t>25-11-2023 03:00</t>
  </si>
  <si>
    <t>25-11-2023 03:15</t>
  </si>
  <si>
    <t>25-11-2023 03:30</t>
  </si>
  <si>
    <t>25-11-2023 03:45</t>
  </si>
  <si>
    <t>25-11-2023 04:00</t>
  </si>
  <si>
    <t>25-11-2023 04:15</t>
  </si>
  <si>
    <t>25-11-2023 04:30</t>
  </si>
  <si>
    <t>25-11-2023 04:45</t>
  </si>
  <si>
    <t>25-11-2023 05:00</t>
  </si>
  <si>
    <t>25-11-2023 05:15</t>
  </si>
  <si>
    <t>25-11-2023 05:30</t>
  </si>
  <si>
    <t>25-11-2023 05:45</t>
  </si>
  <si>
    <t>25-11-2023 06:00</t>
  </si>
  <si>
    <t>25-11-2023 06:15</t>
  </si>
  <si>
    <t>25-11-2023 06:30</t>
  </si>
  <si>
    <t>25-11-2023 06:45</t>
  </si>
  <si>
    <t>25-11-2023 07:00</t>
  </si>
  <si>
    <t>25-11-2023 07:15</t>
  </si>
  <si>
    <t>25-11-2023 07:30</t>
  </si>
  <si>
    <t>25-11-2023 07:45</t>
  </si>
  <si>
    <t>25-11-2023 08:00</t>
  </si>
  <si>
    <t>25-11-2023 08:15</t>
  </si>
  <si>
    <t>25-11-2023 08:30</t>
  </si>
  <si>
    <t>25-11-2023 08:45</t>
  </si>
  <si>
    <t>25-11-2023 09:00</t>
  </si>
  <si>
    <t>25-11-2023 09:15</t>
  </si>
  <si>
    <t>25-11-2023 09:30</t>
  </si>
  <si>
    <t>25-11-2023 09:45</t>
  </si>
  <si>
    <t>25-11-2023 10:00</t>
  </si>
  <si>
    <t>25-11-2023 10:15</t>
  </si>
  <si>
    <t>25-11-2023 10:30</t>
  </si>
  <si>
    <t>25-11-2023 10:45</t>
  </si>
  <si>
    <t>25-11-2023 11:00</t>
  </si>
  <si>
    <t>25-11-2023 11:15</t>
  </si>
  <si>
    <t>25-11-2023 11:30</t>
  </si>
  <si>
    <t>25-11-2023 11:45</t>
  </si>
  <si>
    <t>25-11-2023 12:00</t>
  </si>
  <si>
    <t>25-11-2023 12:15</t>
  </si>
  <si>
    <t>25-11-2023 12:30</t>
  </si>
  <si>
    <t>25-11-2023 12:45</t>
  </si>
  <si>
    <t>25-11-2023 13:00</t>
  </si>
  <si>
    <t>25-11-2023 13:15</t>
  </si>
  <si>
    <t>25-11-2023 13:30</t>
  </si>
  <si>
    <t>25-11-2023 13:45</t>
  </si>
  <si>
    <t>25-11-2023 14:00</t>
  </si>
  <si>
    <t>25-11-2023 14:15</t>
  </si>
  <si>
    <t>25-11-2023 14:30</t>
  </si>
  <si>
    <t>25-11-2023 14:45</t>
  </si>
  <si>
    <t>25-11-2023 15:00</t>
  </si>
  <si>
    <t>25-11-2023 15:15</t>
  </si>
  <si>
    <t>25-11-2023 15:30</t>
  </si>
  <si>
    <t>25-11-2023 15:45</t>
  </si>
  <si>
    <t>25-11-2023 16:00</t>
  </si>
  <si>
    <t>25-11-2023 16:15</t>
  </si>
  <si>
    <t>25-11-2023 16:30</t>
  </si>
  <si>
    <t>25-11-2023 16:45</t>
  </si>
  <si>
    <t>25-11-2023 17:00</t>
  </si>
  <si>
    <t>25-11-2023 17:15</t>
  </si>
  <si>
    <t>25-11-2023 17:30</t>
  </si>
  <si>
    <t>25-11-2023 17:45</t>
  </si>
  <si>
    <t>25-11-2023 18:00</t>
  </si>
  <si>
    <t>25-11-2023 18:15</t>
  </si>
  <si>
    <t>25-11-2023 18:30</t>
  </si>
  <si>
    <t>25-11-2023 18:45</t>
  </si>
  <si>
    <t>25-11-2023 19:00</t>
  </si>
  <si>
    <t>25-11-2023 19:15</t>
  </si>
  <si>
    <t>25-11-2023 19:30</t>
  </si>
  <si>
    <t>25-11-2023 19:45</t>
  </si>
  <si>
    <t>25-11-2023 20:00</t>
  </si>
  <si>
    <t>25-11-2023 20:15</t>
  </si>
  <si>
    <t>25-11-2023 20:30</t>
  </si>
  <si>
    <t>25-11-2023 20:45</t>
  </si>
  <si>
    <t>25-11-2023 21:00</t>
  </si>
  <si>
    <t>25-11-2023 21:15</t>
  </si>
  <si>
    <t>25-11-2023 21:30</t>
  </si>
  <si>
    <t>25-11-2023 21:45</t>
  </si>
  <si>
    <t>25-11-2023 22:00</t>
  </si>
  <si>
    <t>25-11-2023 22:15</t>
  </si>
  <si>
    <t>25-11-2023 22:30</t>
  </si>
  <si>
    <t>25-11-2023 22:45</t>
  </si>
  <si>
    <t>25-11-2023 23:00</t>
  </si>
  <si>
    <t>25-11-2023 23:15</t>
  </si>
  <si>
    <t>25-11-2023 23:30</t>
  </si>
  <si>
    <t>25-11-2023 23:45</t>
  </si>
  <si>
    <t>25-11-2023 24:00</t>
  </si>
  <si>
    <t>26-11-2023 00:15</t>
  </si>
  <si>
    <t>26-11-2023 00:30</t>
  </si>
  <si>
    <t>26-11-2023 00:45</t>
  </si>
  <si>
    <t>26-11-2023 01:00</t>
  </si>
  <si>
    <t>26-11-2023 01:15</t>
  </si>
  <si>
    <t>26-11-2023 01:30</t>
  </si>
  <si>
    <t>26-11-2023 01:45</t>
  </si>
  <si>
    <t>26-11-2023 02:00</t>
  </si>
  <si>
    <t>26-11-2023 02:15</t>
  </si>
  <si>
    <t>26-11-2023 02:30</t>
  </si>
  <si>
    <t>26-11-2023 02:45</t>
  </si>
  <si>
    <t>26-11-2023 03:00</t>
  </si>
  <si>
    <t>26-11-2023 03:15</t>
  </si>
  <si>
    <t>26-11-2023 03:30</t>
  </si>
  <si>
    <t>26-11-2023 03:45</t>
  </si>
  <si>
    <t>26-11-2023 04:00</t>
  </si>
  <si>
    <t>26-11-2023 04:15</t>
  </si>
  <si>
    <t>26-11-2023 04:30</t>
  </si>
  <si>
    <t>26-11-2023 04:45</t>
  </si>
  <si>
    <t>26-11-2023 05:00</t>
  </si>
  <si>
    <t>26-11-2023 05:15</t>
  </si>
  <si>
    <t>26-11-2023 05:30</t>
  </si>
  <si>
    <t>26-11-2023 05:45</t>
  </si>
  <si>
    <t>26-11-2023 06:00</t>
  </si>
  <si>
    <t>26-11-2023 06:15</t>
  </si>
  <si>
    <t>26-11-2023 06:30</t>
  </si>
  <si>
    <t>26-11-2023 06:45</t>
  </si>
  <si>
    <t>26-11-2023 07:00</t>
  </si>
  <si>
    <t>26-11-2023 07:15</t>
  </si>
  <si>
    <t>26-11-2023 07:30</t>
  </si>
  <si>
    <t>26-11-2023 07:45</t>
  </si>
  <si>
    <t>26-11-2023 08:00</t>
  </si>
  <si>
    <t>26-11-2023 08:15</t>
  </si>
  <si>
    <t>26-11-2023 08:30</t>
  </si>
  <si>
    <t>26-11-2023 08:45</t>
  </si>
  <si>
    <t>26-11-2023 09:00</t>
  </si>
  <si>
    <t>26-11-2023 09:15</t>
  </si>
  <si>
    <t>26-11-2023 09:30</t>
  </si>
  <si>
    <t>26-11-2023 09:45</t>
  </si>
  <si>
    <t>26-11-2023 10:00</t>
  </si>
  <si>
    <t>26-11-2023 10:15</t>
  </si>
  <si>
    <t>26-11-2023 10:30</t>
  </si>
  <si>
    <t>26-11-2023 10:45</t>
  </si>
  <si>
    <t>26-11-2023 11:00</t>
  </si>
  <si>
    <t>26-11-2023 11:15</t>
  </si>
  <si>
    <t>26-11-2023 11:30</t>
  </si>
  <si>
    <t>26-11-2023 11:45</t>
  </si>
  <si>
    <t>26-11-2023 12:00</t>
  </si>
  <si>
    <t>26-11-2023 12:15</t>
  </si>
  <si>
    <t>26-11-2023 12:30</t>
  </si>
  <si>
    <t>26-11-2023 12:45</t>
  </si>
  <si>
    <t>26-11-2023 13:00</t>
  </si>
  <si>
    <t>26-11-2023 13:15</t>
  </si>
  <si>
    <t>26-11-2023 13:30</t>
  </si>
  <si>
    <t>26-11-2023 13:45</t>
  </si>
  <si>
    <t>26-11-2023 14:00</t>
  </si>
  <si>
    <t>26-11-2023 14:15</t>
  </si>
  <si>
    <t>26-11-2023 14:30</t>
  </si>
  <si>
    <t>26-11-2023 14:45</t>
  </si>
  <si>
    <t>26-11-2023 15:00</t>
  </si>
  <si>
    <t>26-11-2023 15:15</t>
  </si>
  <si>
    <t>26-11-2023 15:30</t>
  </si>
  <si>
    <t>26-11-2023 15:45</t>
  </si>
  <si>
    <t>26-11-2023 16:00</t>
  </si>
  <si>
    <t>26-11-2023 16:15</t>
  </si>
  <si>
    <t>26-11-2023 16:30</t>
  </si>
  <si>
    <t>26-11-2023 16:45</t>
  </si>
  <si>
    <t>26-11-2023 17:00</t>
  </si>
  <si>
    <t>26-11-2023 17:15</t>
  </si>
  <si>
    <t>26-11-2023 17:30</t>
  </si>
  <si>
    <t>26-11-2023 17:45</t>
  </si>
  <si>
    <t>26-11-2023 18:00</t>
  </si>
  <si>
    <t>26-11-2023 18:15</t>
  </si>
  <si>
    <t>26-11-2023 18:30</t>
  </si>
  <si>
    <t>26-11-2023 18:45</t>
  </si>
  <si>
    <t>26-11-2023 19:00</t>
  </si>
  <si>
    <t>26-11-2023 19:15</t>
  </si>
  <si>
    <t>26-11-2023 19:30</t>
  </si>
  <si>
    <t>26-11-2023 19:45</t>
  </si>
  <si>
    <t>26-11-2023 20:00</t>
  </si>
  <si>
    <t>26-11-2023 20:15</t>
  </si>
  <si>
    <t>26-11-2023 20:30</t>
  </si>
  <si>
    <t>26-11-2023 20:45</t>
  </si>
  <si>
    <t>26-11-2023 21:00</t>
  </si>
  <si>
    <t>26-11-2023 21:15</t>
  </si>
  <si>
    <t>26-11-2023 21:30</t>
  </si>
  <si>
    <t>26-11-2023 21:45</t>
  </si>
  <si>
    <t>26-11-2023 22:00</t>
  </si>
  <si>
    <t>26-11-2023 22:15</t>
  </si>
  <si>
    <t>26-11-2023 22:30</t>
  </si>
  <si>
    <t>26-11-2023 22:45</t>
  </si>
  <si>
    <t>26-11-2023 23:00</t>
  </si>
  <si>
    <t>26-11-2023 23:15</t>
  </si>
  <si>
    <t>26-11-2023 23:30</t>
  </si>
  <si>
    <t>26-11-2023 23:45</t>
  </si>
  <si>
    <t>26-11-2023 24:00</t>
  </si>
  <si>
    <t>27-11-2023 00:15</t>
  </si>
  <si>
    <t>27-11-2023 00:30</t>
  </si>
  <si>
    <t>27-11-2023 00:45</t>
  </si>
  <si>
    <t>27-11-2023 01:00</t>
  </si>
  <si>
    <t>27-11-2023 01:15</t>
  </si>
  <si>
    <t>27-11-2023 01:30</t>
  </si>
  <si>
    <t>27-11-2023 01:45</t>
  </si>
  <si>
    <t>27-11-2023 02:00</t>
  </si>
  <si>
    <t>27-11-2023 02:15</t>
  </si>
  <si>
    <t>27-11-2023 02:30</t>
  </si>
  <si>
    <t>27-11-2023 02:45</t>
  </si>
  <si>
    <t>27-11-2023 03:00</t>
  </si>
  <si>
    <t>27-11-2023 03:15</t>
  </si>
  <si>
    <t>27-11-2023 03:30</t>
  </si>
  <si>
    <t>27-11-2023 03:45</t>
  </si>
  <si>
    <t>27-11-2023 04:00</t>
  </si>
  <si>
    <t>27-11-2023 04:15</t>
  </si>
  <si>
    <t>27-11-2023 04:30</t>
  </si>
  <si>
    <t>27-11-2023 04:45</t>
  </si>
  <si>
    <t>27-11-2023 05:00</t>
  </si>
  <si>
    <t>27-11-2023 05:15</t>
  </si>
  <si>
    <t>27-11-2023 05:30</t>
  </si>
  <si>
    <t>27-11-2023 05:45</t>
  </si>
  <si>
    <t>27-11-2023 06:00</t>
  </si>
  <si>
    <t>27-11-2023 06:15</t>
  </si>
  <si>
    <t>27-11-2023 06:30</t>
  </si>
  <si>
    <t>27-11-2023 06:45</t>
  </si>
  <si>
    <t>27-11-2023 07:00</t>
  </si>
  <si>
    <t>27-11-2023 07:15</t>
  </si>
  <si>
    <t>27-11-2023 07:30</t>
  </si>
  <si>
    <t>27-11-2023 07:45</t>
  </si>
  <si>
    <t>27-11-2023 08:00</t>
  </si>
  <si>
    <t>27-11-2023 08:15</t>
  </si>
  <si>
    <t>27-11-2023 08:30</t>
  </si>
  <si>
    <t>27-11-2023 08:45</t>
  </si>
  <si>
    <t>27-11-2023 09:00</t>
  </si>
  <si>
    <t>27-11-2023 09:15</t>
  </si>
  <si>
    <t>27-11-2023 09:30</t>
  </si>
  <si>
    <t>27-11-2023 09:45</t>
  </si>
  <si>
    <t>27-11-2023 10:00</t>
  </si>
  <si>
    <t>27-11-2023 10:15</t>
  </si>
  <si>
    <t>27-11-2023 10:30</t>
  </si>
  <si>
    <t>27-11-2023 10:45</t>
  </si>
  <si>
    <t>27-11-2023 11:00</t>
  </si>
  <si>
    <t>27-11-2023 11:15</t>
  </si>
  <si>
    <t>27-11-2023 11:30</t>
  </si>
  <si>
    <t>27-11-2023 11:45</t>
  </si>
  <si>
    <t>27-11-2023 12:00</t>
  </si>
  <si>
    <t>27-11-2023 12:15</t>
  </si>
  <si>
    <t>27-11-2023 12:30</t>
  </si>
  <si>
    <t>27-11-2023 12:45</t>
  </si>
  <si>
    <t>27-11-2023 13:00</t>
  </si>
  <si>
    <t>27-11-2023 13:15</t>
  </si>
  <si>
    <t>27-11-2023 13:30</t>
  </si>
  <si>
    <t>27-11-2023 13:45</t>
  </si>
  <si>
    <t>27-11-2023 14:00</t>
  </si>
  <si>
    <t>27-11-2023 14:15</t>
  </si>
  <si>
    <t>27-11-2023 14:30</t>
  </si>
  <si>
    <t>27-11-2023 14:45</t>
  </si>
  <si>
    <t>27-11-2023 15:00</t>
  </si>
  <si>
    <t>27-11-2023 15:15</t>
  </si>
  <si>
    <t>27-11-2023 15:30</t>
  </si>
  <si>
    <t>27-11-2023 15:45</t>
  </si>
  <si>
    <t>27-11-2023 16:00</t>
  </si>
  <si>
    <t>27-11-2023 16:15</t>
  </si>
  <si>
    <t>27-11-2023 16:30</t>
  </si>
  <si>
    <t>27-11-2023 16:45</t>
  </si>
  <si>
    <t>27-11-2023 17:00</t>
  </si>
  <si>
    <t>27-11-2023 17:15</t>
  </si>
  <si>
    <t>27-11-2023 17:30</t>
  </si>
  <si>
    <t>27-11-2023 17:45</t>
  </si>
  <si>
    <t>27-11-2023 18:00</t>
  </si>
  <si>
    <t>27-11-2023 18:15</t>
  </si>
  <si>
    <t>27-11-2023 18:30</t>
  </si>
  <si>
    <t>27-11-2023 18:45</t>
  </si>
  <si>
    <t>27-11-2023 19:00</t>
  </si>
  <si>
    <t>27-11-2023 19:15</t>
  </si>
  <si>
    <t>27-11-2023 19:30</t>
  </si>
  <si>
    <t>27-11-2023 19:45</t>
  </si>
  <si>
    <t>27-11-2023 20:00</t>
  </si>
  <si>
    <t>27-11-2023 20:15</t>
  </si>
  <si>
    <t>27-11-2023 20:30</t>
  </si>
  <si>
    <t>27-11-2023 20:45</t>
  </si>
  <si>
    <t>27-11-2023 21:00</t>
  </si>
  <si>
    <t>27-11-2023 21:15</t>
  </si>
  <si>
    <t>27-11-2023 21:30</t>
  </si>
  <si>
    <t>27-11-2023 21:45</t>
  </si>
  <si>
    <t>27-11-2023 22:00</t>
  </si>
  <si>
    <t>27-11-2023 22:15</t>
  </si>
  <si>
    <t>27-11-2023 22:30</t>
  </si>
  <si>
    <t>27-11-2023 22:45</t>
  </si>
  <si>
    <t>27-11-2023 23:00</t>
  </si>
  <si>
    <t>27-11-2023 23:15</t>
  </si>
  <si>
    <t>27-11-2023 23:30</t>
  </si>
  <si>
    <t>27-11-2023 23:45</t>
  </si>
  <si>
    <t>27-11-2023 24:00</t>
  </si>
  <si>
    <t>28-11-2023 00:15</t>
  </si>
  <si>
    <t>28-11-2023 00:30</t>
  </si>
  <si>
    <t>28-11-2023 00:45</t>
  </si>
  <si>
    <t>28-11-2023 01:00</t>
  </si>
  <si>
    <t>28-11-2023 01:15</t>
  </si>
  <si>
    <t>28-11-2023 01:30</t>
  </si>
  <si>
    <t>28-11-2023 01:45</t>
  </si>
  <si>
    <t>28-11-2023 02:00</t>
  </si>
  <si>
    <t>28-11-2023 02:15</t>
  </si>
  <si>
    <t>28-11-2023 02:30</t>
  </si>
  <si>
    <t>28-11-2023 02:45</t>
  </si>
  <si>
    <t>28-11-2023 03:00</t>
  </si>
  <si>
    <t>28-11-2023 03:15</t>
  </si>
  <si>
    <t>28-11-2023 03:30</t>
  </si>
  <si>
    <t>28-11-2023 03:45</t>
  </si>
  <si>
    <t>28-11-2023 04:00</t>
  </si>
  <si>
    <t>28-11-2023 04:15</t>
  </si>
  <si>
    <t>28-11-2023 04:30</t>
  </si>
  <si>
    <t>28-11-2023 04:45</t>
  </si>
  <si>
    <t>28-11-2023 05:00</t>
  </si>
  <si>
    <t>28-11-2023 05:15</t>
  </si>
  <si>
    <t>28-11-2023 05:30</t>
  </si>
  <si>
    <t>28-11-2023 05:45</t>
  </si>
  <si>
    <t>28-11-2023 06:00</t>
  </si>
  <si>
    <t>28-11-2023 06:15</t>
  </si>
  <si>
    <t>28-11-2023 06:30</t>
  </si>
  <si>
    <t>28-11-2023 06:45</t>
  </si>
  <si>
    <t>28-11-2023 07:00</t>
  </si>
  <si>
    <t>28-11-2023 07:15</t>
  </si>
  <si>
    <t>28-11-2023 07:30</t>
  </si>
  <si>
    <t>28-11-2023 07:45</t>
  </si>
  <si>
    <t>28-11-2023 08:00</t>
  </si>
  <si>
    <t>28-11-2023 08:15</t>
  </si>
  <si>
    <t>28-11-2023 08:30</t>
  </si>
  <si>
    <t>28-11-2023 08:45</t>
  </si>
  <si>
    <t>28-11-2023 09:00</t>
  </si>
  <si>
    <t>28-11-2023 09:15</t>
  </si>
  <si>
    <t>28-11-2023 09:30</t>
  </si>
  <si>
    <t>28-11-2023 09:45</t>
  </si>
  <si>
    <t>28-11-2023 10:00</t>
  </si>
  <si>
    <t>28-11-2023 10:15</t>
  </si>
  <si>
    <t>28-11-2023 10:30</t>
  </si>
  <si>
    <t>28-11-2023 10:45</t>
  </si>
  <si>
    <t>28-11-2023 11:00</t>
  </si>
  <si>
    <t>28-11-2023 11:15</t>
  </si>
  <si>
    <t>28-11-2023 11:30</t>
  </si>
  <si>
    <t>28-11-2023 11:45</t>
  </si>
  <si>
    <t>28-11-2023 12:00</t>
  </si>
  <si>
    <t>28-11-2023 12:15</t>
  </si>
  <si>
    <t>28-11-2023 12:30</t>
  </si>
  <si>
    <t>28-11-2023 12:45</t>
  </si>
  <si>
    <t>28-11-2023 13:00</t>
  </si>
  <si>
    <t>28-11-2023 13:15</t>
  </si>
  <si>
    <t>28-11-2023 13:30</t>
  </si>
  <si>
    <t>28-11-2023 13:45</t>
  </si>
  <si>
    <t>28-11-2023 14:00</t>
  </si>
  <si>
    <t>28-11-2023 14:15</t>
  </si>
  <si>
    <t>28-11-2023 14:30</t>
  </si>
  <si>
    <t>28-11-2023 14:45</t>
  </si>
  <si>
    <t>28-11-2023 15:00</t>
  </si>
  <si>
    <t>28-11-2023 15:15</t>
  </si>
  <si>
    <t>28-11-2023 15:30</t>
  </si>
  <si>
    <t>28-11-2023 15:45</t>
  </si>
  <si>
    <t>28-11-2023 16:00</t>
  </si>
  <si>
    <t>28-11-2023 16:15</t>
  </si>
  <si>
    <t>28-11-2023 16:30</t>
  </si>
  <si>
    <t>28-11-2023 16:45</t>
  </si>
  <si>
    <t>28-11-2023 17:00</t>
  </si>
  <si>
    <t>28-11-2023 17:15</t>
  </si>
  <si>
    <t>28-11-2023 17:30</t>
  </si>
  <si>
    <t>28-11-2023 17:45</t>
  </si>
  <si>
    <t>28-11-2023 18:00</t>
  </si>
  <si>
    <t>28-11-2023 18:15</t>
  </si>
  <si>
    <t>28-11-2023 18:30</t>
  </si>
  <si>
    <t>28-11-2023 18:45</t>
  </si>
  <si>
    <t>28-11-2023 19:00</t>
  </si>
  <si>
    <t>28-11-2023 19:15</t>
  </si>
  <si>
    <t>28-11-2023 19:30</t>
  </si>
  <si>
    <t>28-11-2023 19:45</t>
  </si>
  <si>
    <t>28-11-2023 20:00</t>
  </si>
  <si>
    <t>28-11-2023 20:15</t>
  </si>
  <si>
    <t>28-11-2023 20:30</t>
  </si>
  <si>
    <t>28-11-2023 20:45</t>
  </si>
  <si>
    <t>28-11-2023 21:00</t>
  </si>
  <si>
    <t>28-11-2023 21:15</t>
  </si>
  <si>
    <t>28-11-2023 21:30</t>
  </si>
  <si>
    <t>28-11-2023 21:45</t>
  </si>
  <si>
    <t>28-11-2023 22:00</t>
  </si>
  <si>
    <t>28-11-2023 22:15</t>
  </si>
  <si>
    <t>28-11-2023 22:30</t>
  </si>
  <si>
    <t>28-11-2023 22:45</t>
  </si>
  <si>
    <t>28-11-2023 23:00</t>
  </si>
  <si>
    <t>28-11-2023 23:15</t>
  </si>
  <si>
    <t>28-11-2023 23:30</t>
  </si>
  <si>
    <t>28-11-2023 23:45</t>
  </si>
  <si>
    <t>28-11-2023 24:00</t>
  </si>
  <si>
    <t>29-11-2023 00:15</t>
  </si>
  <si>
    <t>29-11-2023 00:30</t>
  </si>
  <si>
    <t>29-11-2023 00:45</t>
  </si>
  <si>
    <t>29-11-2023 01:00</t>
  </si>
  <si>
    <t>29-11-2023 01:15</t>
  </si>
  <si>
    <t>29-11-2023 01:30</t>
  </si>
  <si>
    <t>29-11-2023 01:45</t>
  </si>
  <si>
    <t>29-11-2023 02:00</t>
  </si>
  <si>
    <t>29-11-2023 02:15</t>
  </si>
  <si>
    <t>29-11-2023 02:30</t>
  </si>
  <si>
    <t>29-11-2023 02:45</t>
  </si>
  <si>
    <t>29-11-2023 03:00</t>
  </si>
  <si>
    <t>29-11-2023 03:15</t>
  </si>
  <si>
    <t>29-11-2023 03:30</t>
  </si>
  <si>
    <t>29-11-2023 03:45</t>
  </si>
  <si>
    <t>29-11-2023 04:00</t>
  </si>
  <si>
    <t>29-11-2023 04:15</t>
  </si>
  <si>
    <t>29-11-2023 04:30</t>
  </si>
  <si>
    <t>29-11-2023 04:45</t>
  </si>
  <si>
    <t>29-11-2023 05:00</t>
  </si>
  <si>
    <t>29-11-2023 05:15</t>
  </si>
  <si>
    <t>29-11-2023 05:30</t>
  </si>
  <si>
    <t>29-11-2023 05:45</t>
  </si>
  <si>
    <t>29-11-2023 06:00</t>
  </si>
  <si>
    <t>29-11-2023 06:15</t>
  </si>
  <si>
    <t>29-11-2023 06:30</t>
  </si>
  <si>
    <t>29-11-2023 06:45</t>
  </si>
  <si>
    <t>29-11-2023 07:00</t>
  </si>
  <si>
    <t>29-11-2023 07:15</t>
  </si>
  <si>
    <t>29-11-2023 07:30</t>
  </si>
  <si>
    <t>29-11-2023 07:45</t>
  </si>
  <si>
    <t>29-11-2023 08:00</t>
  </si>
  <si>
    <t>29-11-2023 08:15</t>
  </si>
  <si>
    <t>29-11-2023 08:30</t>
  </si>
  <si>
    <t>29-11-2023 08:45</t>
  </si>
  <si>
    <t>29-11-2023 09:00</t>
  </si>
  <si>
    <t>29-11-2023 09:15</t>
  </si>
  <si>
    <t>29-11-2023 09:30</t>
  </si>
  <si>
    <t>29-11-2023 09:45</t>
  </si>
  <si>
    <t>29-11-2023 10:00</t>
  </si>
  <si>
    <t>29-11-2023 10:15</t>
  </si>
  <si>
    <t>29-11-2023 10:30</t>
  </si>
  <si>
    <t>29-11-2023 10:45</t>
  </si>
  <si>
    <t>29-11-2023 11:00</t>
  </si>
  <si>
    <t>29-11-2023 11:15</t>
  </si>
  <si>
    <t>29-11-2023 11:30</t>
  </si>
  <si>
    <t>29-11-2023 11:45</t>
  </si>
  <si>
    <t>29-11-2023 12:00</t>
  </si>
  <si>
    <t>29-11-2023 12:15</t>
  </si>
  <si>
    <t>29-11-2023 12:30</t>
  </si>
  <si>
    <t>29-11-2023 12:45</t>
  </si>
  <si>
    <t>29-11-2023 13:00</t>
  </si>
  <si>
    <t>29-11-2023 13:15</t>
  </si>
  <si>
    <t>29-11-2023 13:30</t>
  </si>
  <si>
    <t>29-11-2023 13:45</t>
  </si>
  <si>
    <t>29-11-2023 14:00</t>
  </si>
  <si>
    <t>29-11-2023 14:15</t>
  </si>
  <si>
    <t>29-11-2023 14:30</t>
  </si>
  <si>
    <t>29-11-2023 14:45</t>
  </si>
  <si>
    <t>29-11-2023 15:00</t>
  </si>
  <si>
    <t>29-11-2023 15:15</t>
  </si>
  <si>
    <t>29-11-2023 15:30</t>
  </si>
  <si>
    <t>29-11-2023 15:45</t>
  </si>
  <si>
    <t>29-11-2023 16:00</t>
  </si>
  <si>
    <t>29-11-2023 16:15</t>
  </si>
  <si>
    <t>29-11-2023 16:30</t>
  </si>
  <si>
    <t>29-11-2023 16:45</t>
  </si>
  <si>
    <t>29-11-2023 17:00</t>
  </si>
  <si>
    <t>29-11-2023 17:15</t>
  </si>
  <si>
    <t>29-11-2023 17:30</t>
  </si>
  <si>
    <t>29-11-2023 17:45</t>
  </si>
  <si>
    <t>29-11-2023 18:00</t>
  </si>
  <si>
    <t>29-11-2023 18:15</t>
  </si>
  <si>
    <t>29-11-2023 18:30</t>
  </si>
  <si>
    <t>29-11-2023 18:45</t>
  </si>
  <si>
    <t>29-11-2023 19:00</t>
  </si>
  <si>
    <t>29-11-2023 19:15</t>
  </si>
  <si>
    <t>29-11-2023 19:30</t>
  </si>
  <si>
    <t>29-11-2023 19:45</t>
  </si>
  <si>
    <t>29-11-2023 20:00</t>
  </si>
  <si>
    <t>29-11-2023 20:15</t>
  </si>
  <si>
    <t>29-11-2023 20:30</t>
  </si>
  <si>
    <t>29-11-2023 20:45</t>
  </si>
  <si>
    <t>29-11-2023 21:00</t>
  </si>
  <si>
    <t>29-11-2023 21:15</t>
  </si>
  <si>
    <t>29-11-2023 21:30</t>
  </si>
  <si>
    <t>29-11-2023 21:45</t>
  </si>
  <si>
    <t>29-11-2023 22:00</t>
  </si>
  <si>
    <t>29-11-2023 22:15</t>
  </si>
  <si>
    <t>29-11-2023 22:30</t>
  </si>
  <si>
    <t>29-11-2023 22:45</t>
  </si>
  <si>
    <t>29-11-2023 23:00</t>
  </si>
  <si>
    <t>29-11-2023 23:15</t>
  </si>
  <si>
    <t>29-11-2023 23:30</t>
  </si>
  <si>
    <t>29-11-2023 23:45</t>
  </si>
  <si>
    <t>29-11-2023 24:00</t>
  </si>
  <si>
    <t>30-11-2023 00:15</t>
  </si>
  <si>
    <t>30-11-2023 00:30</t>
  </si>
  <si>
    <t>30-11-2023 00:45</t>
  </si>
  <si>
    <t>30-11-2023 01:00</t>
  </si>
  <si>
    <t>30-11-2023 01:15</t>
  </si>
  <si>
    <t>30-11-2023 01:30</t>
  </si>
  <si>
    <t>30-11-2023 01:45</t>
  </si>
  <si>
    <t>30-11-2023 02:00</t>
  </si>
  <si>
    <t>30-11-2023 02:15</t>
  </si>
  <si>
    <t>30-11-2023 02:30</t>
  </si>
  <si>
    <t>30-11-2023 02:45</t>
  </si>
  <si>
    <t>30-11-2023 03:00</t>
  </si>
  <si>
    <t>30-11-2023 03:15</t>
  </si>
  <si>
    <t>30-11-2023 03:30</t>
  </si>
  <si>
    <t>30-11-2023 03:45</t>
  </si>
  <si>
    <t>30-11-2023 04:00</t>
  </si>
  <si>
    <t>30-11-2023 04:15</t>
  </si>
  <si>
    <t>30-11-2023 04:30</t>
  </si>
  <si>
    <t>30-11-2023 04:45</t>
  </si>
  <si>
    <t>30-11-2023 05:00</t>
  </si>
  <si>
    <t>30-11-2023 05:15</t>
  </si>
  <si>
    <t>30-11-2023 05:30</t>
  </si>
  <si>
    <t>30-11-2023 05:45</t>
  </si>
  <si>
    <t>30-11-2023 06:00</t>
  </si>
  <si>
    <t>30-11-2023 06:15</t>
  </si>
  <si>
    <t>30-11-2023 06:30</t>
  </si>
  <si>
    <t>30-11-2023 06:45</t>
  </si>
  <si>
    <t>30-11-2023 07:00</t>
  </si>
  <si>
    <t>30-11-2023 07:15</t>
  </si>
  <si>
    <t>30-11-2023 07:30</t>
  </si>
  <si>
    <t>30-11-2023 07:45</t>
  </si>
  <si>
    <t>30-11-2023 08:00</t>
  </si>
  <si>
    <t>30-11-2023 08:15</t>
  </si>
  <si>
    <t>30-11-2023 08:30</t>
  </si>
  <si>
    <t>30-11-2023 08:45</t>
  </si>
  <si>
    <t>30-11-2023 09:00</t>
  </si>
  <si>
    <t>30-11-2023 09:15</t>
  </si>
  <si>
    <t>30-11-2023 09:30</t>
  </si>
  <si>
    <t>30-11-2023 09:45</t>
  </si>
  <si>
    <t>30-11-2023 10:00</t>
  </si>
  <si>
    <t>30-11-2023 10:15</t>
  </si>
  <si>
    <t>30-11-2023 10:30</t>
  </si>
  <si>
    <t>30-11-2023 10:45</t>
  </si>
  <si>
    <t>30-11-2023 11:00</t>
  </si>
  <si>
    <t>30-11-2023 11:15</t>
  </si>
  <si>
    <t>30-11-2023 11:30</t>
  </si>
  <si>
    <t>30-11-2023 11:45</t>
  </si>
  <si>
    <t>30-11-2023 12:00</t>
  </si>
  <si>
    <t>30-11-2023 12:15</t>
  </si>
  <si>
    <t>30-11-2023 12:30</t>
  </si>
  <si>
    <t>30-11-2023 12:45</t>
  </si>
  <si>
    <t>30-11-2023 13:00</t>
  </si>
  <si>
    <t>30-11-2023 13:15</t>
  </si>
  <si>
    <t>30-11-2023 13:30</t>
  </si>
  <si>
    <t>30-11-2023 13:45</t>
  </si>
  <si>
    <t>30-11-2023 14:00</t>
  </si>
  <si>
    <t>30-11-2023 14:15</t>
  </si>
  <si>
    <t>30-11-2023 14:30</t>
  </si>
  <si>
    <t>30-11-2023 14:45</t>
  </si>
  <si>
    <t>30-11-2023 15:00</t>
  </si>
  <si>
    <t>30-11-2023 15:15</t>
  </si>
  <si>
    <t>30-11-2023 15:30</t>
  </si>
  <si>
    <t>30-11-2023 15:45</t>
  </si>
  <si>
    <t>30-11-2023 16:00</t>
  </si>
  <si>
    <t>30-11-2023 16:15</t>
  </si>
  <si>
    <t>30-11-2023 16:30</t>
  </si>
  <si>
    <t>30-11-2023 16:45</t>
  </si>
  <si>
    <t>30-11-2023 17:00</t>
  </si>
  <si>
    <t>30-11-2023 17:15</t>
  </si>
  <si>
    <t>30-11-2023 17:30</t>
  </si>
  <si>
    <t>30-11-2023 17:45</t>
  </si>
  <si>
    <t>30-11-2023 18:00</t>
  </si>
  <si>
    <t>30-11-2023 18:15</t>
  </si>
  <si>
    <t>30-11-2023 18:30</t>
  </si>
  <si>
    <t>30-11-2023 18:45</t>
  </si>
  <si>
    <t>30-11-2023 19:00</t>
  </si>
  <si>
    <t>30-11-2023 19:15</t>
  </si>
  <si>
    <t>30-11-2023 19:30</t>
  </si>
  <si>
    <t>30-11-2023 19:45</t>
  </si>
  <si>
    <t>30-11-2023 20:00</t>
  </si>
  <si>
    <t>30-11-2023 20:15</t>
  </si>
  <si>
    <t>30-11-2023 20:30</t>
  </si>
  <si>
    <t>30-11-2023 20:45</t>
  </si>
  <si>
    <t>30-11-2023 21:00</t>
  </si>
  <si>
    <t>30-11-2023 21:15</t>
  </si>
  <si>
    <t>30-11-2023 21:30</t>
  </si>
  <si>
    <t>30-11-2023 21:45</t>
  </si>
  <si>
    <t>30-11-2023 22:00</t>
  </si>
  <si>
    <t>30-11-2023 22:15</t>
  </si>
  <si>
    <t>30-11-2023 22:30</t>
  </si>
  <si>
    <t>30-11-2023 22:45</t>
  </si>
  <si>
    <t>30-11-2023 23:00</t>
  </si>
  <si>
    <t>30-11-2023 23:15</t>
  </si>
  <si>
    <t>30-11-2023 23:30</t>
  </si>
  <si>
    <t>30-11-2023 23:45</t>
  </si>
  <si>
    <t>30-11-2023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</si>
</sst>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N111" sqref="N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248</v>
      </c>
      <c r="B9" s="64">
        <v>2.48</v>
      </c>
      <c r="C9" s="64">
        <v>20.78</v>
      </c>
      <c r="D9" s="64">
        <v>14.75</v>
      </c>
      <c r="E9" s="64">
        <v>1.95</v>
      </c>
      <c r="F9" s="64">
        <v>2.2200000000000002</v>
      </c>
      <c r="G9" s="64">
        <v>76.98</v>
      </c>
      <c r="H9" s="64">
        <v>45.32</v>
      </c>
      <c r="I9" s="64">
        <v>1.41</v>
      </c>
      <c r="J9" s="64">
        <v>0.11</v>
      </c>
      <c r="K9" s="64">
        <v>200.19</v>
      </c>
      <c r="L9" s="64">
        <v>20.43</v>
      </c>
      <c r="M9" s="64">
        <v>73.05</v>
      </c>
      <c r="N9" s="64">
        <v>34.299999999999997</v>
      </c>
      <c r="O9" s="64">
        <v>0</v>
      </c>
      <c r="P9" s="64">
        <v>0.84</v>
      </c>
      <c r="Q9" s="64">
        <v>4.99</v>
      </c>
      <c r="R9" s="198"/>
      <c r="S9" s="198"/>
      <c r="T9" s="198"/>
      <c r="U9" s="198"/>
    </row>
    <row r="10" spans="1:21" s="12" customFormat="1" x14ac:dyDescent="0.25">
      <c r="A10" s="215" t="s">
        <v>249</v>
      </c>
      <c r="B10" s="64">
        <v>2.44</v>
      </c>
      <c r="C10" s="64">
        <v>20.63</v>
      </c>
      <c r="D10" s="64">
        <v>14.63</v>
      </c>
      <c r="E10" s="64">
        <v>2.1</v>
      </c>
      <c r="F10" s="64">
        <v>1.68</v>
      </c>
      <c r="G10" s="64">
        <v>76.98</v>
      </c>
      <c r="H10" s="64">
        <v>45.32</v>
      </c>
      <c r="I10" s="64">
        <v>1.55</v>
      </c>
      <c r="J10" s="64">
        <v>0.13</v>
      </c>
      <c r="K10" s="64">
        <v>223.09</v>
      </c>
      <c r="L10" s="64">
        <v>20.23</v>
      </c>
      <c r="M10" s="64">
        <v>72.849999999999994</v>
      </c>
      <c r="N10" s="64">
        <v>33.9</v>
      </c>
      <c r="O10" s="64">
        <v>0</v>
      </c>
      <c r="P10" s="64">
        <v>0.84</v>
      </c>
      <c r="Q10" s="64">
        <v>4.99</v>
      </c>
      <c r="R10" s="198"/>
      <c r="S10" s="198"/>
      <c r="T10" s="198"/>
      <c r="U10" s="198"/>
    </row>
    <row r="11" spans="1:21" s="12" customFormat="1" x14ac:dyDescent="0.25">
      <c r="A11" s="215" t="s">
        <v>250</v>
      </c>
      <c r="B11" s="64">
        <v>2.35</v>
      </c>
      <c r="C11" s="64">
        <v>20.71</v>
      </c>
      <c r="D11" s="64">
        <v>14.61</v>
      </c>
      <c r="E11" s="64">
        <v>1.86</v>
      </c>
      <c r="F11" s="64">
        <v>1.49</v>
      </c>
      <c r="G11" s="64">
        <v>74.040000000000006</v>
      </c>
      <c r="H11" s="64">
        <v>40.880000000000003</v>
      </c>
      <c r="I11" s="64">
        <v>1.51</v>
      </c>
      <c r="J11" s="64">
        <v>0.03</v>
      </c>
      <c r="K11" s="64">
        <v>234.38</v>
      </c>
      <c r="L11" s="64">
        <v>20.010000000000002</v>
      </c>
      <c r="M11" s="64">
        <v>73.39</v>
      </c>
      <c r="N11" s="64">
        <v>33.9</v>
      </c>
      <c r="O11" s="64">
        <v>0</v>
      </c>
      <c r="P11" s="64">
        <v>0.83</v>
      </c>
      <c r="Q11" s="64">
        <v>4.99</v>
      </c>
      <c r="R11" s="198"/>
      <c r="S11" s="198"/>
      <c r="T11" s="198"/>
      <c r="U11" s="198"/>
    </row>
    <row r="12" spans="1:21" s="12" customFormat="1" x14ac:dyDescent="0.25">
      <c r="A12" s="215" t="s">
        <v>251</v>
      </c>
      <c r="B12" s="64">
        <v>2.21</v>
      </c>
      <c r="C12" s="64">
        <v>20.94</v>
      </c>
      <c r="D12" s="64">
        <v>14.62</v>
      </c>
      <c r="E12" s="64">
        <v>2.13</v>
      </c>
      <c r="F12" s="64">
        <v>8.1300000000000008</v>
      </c>
      <c r="G12" s="64">
        <v>71.36</v>
      </c>
      <c r="H12" s="64">
        <v>38.86</v>
      </c>
      <c r="I12" s="64">
        <v>1.46</v>
      </c>
      <c r="J12" s="64">
        <v>0.04</v>
      </c>
      <c r="K12" s="64">
        <v>275.55</v>
      </c>
      <c r="L12" s="64">
        <v>19.75</v>
      </c>
      <c r="M12" s="64">
        <v>74.73</v>
      </c>
      <c r="N12" s="64">
        <v>33.9</v>
      </c>
      <c r="O12" s="64">
        <v>0</v>
      </c>
      <c r="P12" s="64">
        <v>0.76</v>
      </c>
      <c r="Q12" s="64">
        <v>4.99</v>
      </c>
      <c r="R12" s="198"/>
      <c r="S12" s="198"/>
      <c r="T12" s="198"/>
      <c r="U12" s="198"/>
    </row>
    <row r="13" spans="1:21" s="12" customFormat="1" x14ac:dyDescent="0.25">
      <c r="A13" s="215" t="s">
        <v>252</v>
      </c>
      <c r="B13" s="64">
        <v>2.1800000000000002</v>
      </c>
      <c r="C13" s="64">
        <v>21.17</v>
      </c>
      <c r="D13" s="64">
        <v>14.72</v>
      </c>
      <c r="E13" s="64">
        <v>2.17</v>
      </c>
      <c r="F13" s="64">
        <v>7.68</v>
      </c>
      <c r="G13" s="64">
        <v>71.36</v>
      </c>
      <c r="H13" s="64">
        <v>38.86</v>
      </c>
      <c r="I13" s="64">
        <v>1.47</v>
      </c>
      <c r="J13" s="64">
        <v>0.16</v>
      </c>
      <c r="K13" s="64">
        <v>228.62</v>
      </c>
      <c r="L13" s="64">
        <v>19.68</v>
      </c>
      <c r="M13" s="64">
        <v>75.63</v>
      </c>
      <c r="N13" s="64">
        <v>33.6</v>
      </c>
      <c r="O13" s="64">
        <v>0</v>
      </c>
      <c r="P13" s="64">
        <v>0.74</v>
      </c>
      <c r="Q13" s="64">
        <v>4.9800000000000004</v>
      </c>
      <c r="R13" s="198"/>
      <c r="S13" s="198"/>
      <c r="T13" s="198"/>
      <c r="U13" s="198"/>
    </row>
    <row r="14" spans="1:21" s="12" customFormat="1" x14ac:dyDescent="0.25">
      <c r="A14" s="215" t="s">
        <v>253</v>
      </c>
      <c r="B14" s="64">
        <v>2.37</v>
      </c>
      <c r="C14" s="64">
        <v>24.05</v>
      </c>
      <c r="D14" s="64">
        <v>16.46</v>
      </c>
      <c r="E14" s="64">
        <v>2.13</v>
      </c>
      <c r="F14" s="64">
        <v>5.17</v>
      </c>
      <c r="G14" s="64">
        <v>71.36</v>
      </c>
      <c r="H14" s="64">
        <v>38.86</v>
      </c>
      <c r="I14" s="64">
        <v>1.41</v>
      </c>
      <c r="J14" s="64">
        <v>0.14000000000000001</v>
      </c>
      <c r="K14" s="64">
        <v>271.62</v>
      </c>
      <c r="L14" s="64">
        <v>19.670000000000002</v>
      </c>
      <c r="M14" s="64">
        <v>75.349999999999994</v>
      </c>
      <c r="N14" s="64">
        <v>33.700000000000003</v>
      </c>
      <c r="O14" s="64">
        <v>0</v>
      </c>
      <c r="P14" s="64">
        <v>0.8</v>
      </c>
      <c r="Q14" s="64">
        <v>4.8899999999999997</v>
      </c>
      <c r="R14" s="198"/>
      <c r="S14" s="198"/>
      <c r="T14" s="198"/>
      <c r="U14" s="198"/>
    </row>
    <row r="15" spans="1:21" s="12" customFormat="1" x14ac:dyDescent="0.25">
      <c r="A15" s="215" t="s">
        <v>254</v>
      </c>
      <c r="B15" s="64">
        <v>2.5499999999999998</v>
      </c>
      <c r="C15" s="64">
        <v>23.22</v>
      </c>
      <c r="D15" s="64">
        <v>16.149999999999999</v>
      </c>
      <c r="E15" s="64">
        <v>2.0099999999999998</v>
      </c>
      <c r="F15" s="64">
        <v>3.19</v>
      </c>
      <c r="G15" s="64">
        <v>67.36</v>
      </c>
      <c r="H15" s="64">
        <v>37.76</v>
      </c>
      <c r="I15" s="64">
        <v>1.51</v>
      </c>
      <c r="J15" s="64">
        <v>0.2</v>
      </c>
      <c r="K15" s="64">
        <v>318.76</v>
      </c>
      <c r="L15" s="64">
        <v>19.010000000000002</v>
      </c>
      <c r="M15" s="64">
        <v>85.18</v>
      </c>
      <c r="N15" s="64">
        <v>34.200000000000003</v>
      </c>
      <c r="O15" s="64">
        <v>0</v>
      </c>
      <c r="P15" s="64">
        <v>0.76</v>
      </c>
      <c r="Q15" s="64">
        <v>4.91</v>
      </c>
      <c r="R15" s="198"/>
      <c r="S15" s="198"/>
      <c r="T15" s="198"/>
      <c r="U15" s="198"/>
    </row>
    <row r="16" spans="1:21" s="12" customFormat="1" x14ac:dyDescent="0.25">
      <c r="A16" s="215" t="s">
        <v>255</v>
      </c>
      <c r="B16" s="64">
        <v>2.82</v>
      </c>
      <c r="C16" s="64">
        <v>21.97</v>
      </c>
      <c r="D16" s="64">
        <v>15.68</v>
      </c>
      <c r="E16" s="64">
        <v>1.95</v>
      </c>
      <c r="F16" s="64">
        <v>3.51</v>
      </c>
      <c r="G16" s="64">
        <v>63.53</v>
      </c>
      <c r="H16" s="64">
        <v>37.26</v>
      </c>
      <c r="I16" s="64">
        <v>1.48</v>
      </c>
      <c r="J16" s="64">
        <v>0.15</v>
      </c>
      <c r="K16" s="64">
        <v>304.27</v>
      </c>
      <c r="L16" s="64">
        <v>18.57</v>
      </c>
      <c r="M16" s="64">
        <v>85.4</v>
      </c>
      <c r="N16" s="64">
        <v>34</v>
      </c>
      <c r="O16" s="64">
        <v>0</v>
      </c>
      <c r="P16" s="64">
        <v>0.76</v>
      </c>
      <c r="Q16" s="64">
        <v>4.9400000000000004</v>
      </c>
      <c r="R16" s="198"/>
      <c r="S16" s="198"/>
      <c r="T16" s="198"/>
      <c r="U16" s="198"/>
    </row>
    <row r="17" spans="1:21" s="12" customFormat="1" x14ac:dyDescent="0.25">
      <c r="A17" s="215" t="s">
        <v>256</v>
      </c>
      <c r="B17" s="64">
        <v>3.23</v>
      </c>
      <c r="C17" s="64">
        <v>19.34</v>
      </c>
      <c r="D17" s="64">
        <v>14.55</v>
      </c>
      <c r="E17" s="64">
        <v>2.0699999999999998</v>
      </c>
      <c r="F17" s="64">
        <v>0.84</v>
      </c>
      <c r="G17" s="64">
        <v>63.53</v>
      </c>
      <c r="H17" s="64">
        <v>37.26</v>
      </c>
      <c r="I17" s="64">
        <v>1.46</v>
      </c>
      <c r="J17" s="64">
        <v>0.09</v>
      </c>
      <c r="K17" s="64">
        <v>299.29000000000002</v>
      </c>
      <c r="L17" s="64">
        <v>18.399999999999999</v>
      </c>
      <c r="M17" s="64">
        <v>86.54</v>
      </c>
      <c r="N17" s="64">
        <v>34</v>
      </c>
      <c r="O17" s="64">
        <v>0</v>
      </c>
      <c r="P17" s="64">
        <v>0.78</v>
      </c>
      <c r="Q17" s="64">
        <v>5.03</v>
      </c>
      <c r="R17" s="198"/>
      <c r="S17" s="198"/>
      <c r="T17" s="198"/>
      <c r="U17" s="198"/>
    </row>
    <row r="18" spans="1:21" s="12" customFormat="1" x14ac:dyDescent="0.25">
      <c r="A18" s="215" t="s">
        <v>257</v>
      </c>
      <c r="B18" s="64">
        <v>3.43</v>
      </c>
      <c r="C18" s="64">
        <v>19.66</v>
      </c>
      <c r="D18" s="64">
        <v>14.9</v>
      </c>
      <c r="E18" s="64">
        <v>1.76</v>
      </c>
      <c r="F18" s="64">
        <v>0.35</v>
      </c>
      <c r="G18" s="64">
        <v>63.53</v>
      </c>
      <c r="H18" s="64">
        <v>37.26</v>
      </c>
      <c r="I18" s="64">
        <v>1.44</v>
      </c>
      <c r="J18" s="64">
        <v>0.12</v>
      </c>
      <c r="K18" s="64">
        <v>297.04000000000002</v>
      </c>
      <c r="L18" s="64">
        <v>18.16</v>
      </c>
      <c r="M18" s="64">
        <v>88.08</v>
      </c>
      <c r="N18" s="64">
        <v>33.9</v>
      </c>
      <c r="O18" s="64">
        <v>0</v>
      </c>
      <c r="P18" s="64">
        <v>0.78</v>
      </c>
      <c r="Q18" s="64">
        <v>5.01</v>
      </c>
      <c r="R18" s="198"/>
      <c r="S18" s="198"/>
      <c r="T18" s="198"/>
      <c r="U18" s="198"/>
    </row>
    <row r="19" spans="1:21" s="12" customFormat="1" x14ac:dyDescent="0.25">
      <c r="A19" s="215" t="s">
        <v>258</v>
      </c>
      <c r="B19" s="64">
        <v>3.62</v>
      </c>
      <c r="C19" s="64">
        <v>19.98</v>
      </c>
      <c r="D19" s="64">
        <v>15.22</v>
      </c>
      <c r="E19" s="64">
        <v>1.74</v>
      </c>
      <c r="F19" s="64">
        <v>0.28000000000000003</v>
      </c>
      <c r="G19" s="64">
        <v>70.86</v>
      </c>
      <c r="H19" s="64">
        <v>38.61</v>
      </c>
      <c r="I19" s="64">
        <v>1.55</v>
      </c>
      <c r="J19" s="64">
        <v>0.11</v>
      </c>
      <c r="K19" s="64">
        <v>284.76</v>
      </c>
      <c r="L19" s="64">
        <v>18.02</v>
      </c>
      <c r="M19" s="64">
        <v>88.9</v>
      </c>
      <c r="N19" s="64">
        <v>33.799999999999997</v>
      </c>
      <c r="O19" s="64">
        <v>0</v>
      </c>
      <c r="P19" s="64">
        <v>0.78</v>
      </c>
      <c r="Q19" s="64">
        <v>4.99</v>
      </c>
      <c r="R19" s="198"/>
      <c r="S19" s="198"/>
      <c r="T19" s="198"/>
      <c r="U19" s="198"/>
    </row>
    <row r="20" spans="1:21" s="12" customFormat="1" x14ac:dyDescent="0.25">
      <c r="A20" s="215" t="s">
        <v>259</v>
      </c>
      <c r="B20" s="64">
        <v>3.94</v>
      </c>
      <c r="C20" s="64">
        <v>20.61</v>
      </c>
      <c r="D20" s="64">
        <v>15.83</v>
      </c>
      <c r="E20" s="64">
        <v>1.77</v>
      </c>
      <c r="F20" s="64">
        <v>0.2</v>
      </c>
      <c r="G20" s="64">
        <v>77.87</v>
      </c>
      <c r="H20" s="64">
        <v>39.22</v>
      </c>
      <c r="I20" s="64">
        <v>1.55</v>
      </c>
      <c r="J20" s="64">
        <v>0.15</v>
      </c>
      <c r="K20" s="64">
        <v>280.69</v>
      </c>
      <c r="L20" s="64">
        <v>17.8</v>
      </c>
      <c r="M20" s="64">
        <v>92.12</v>
      </c>
      <c r="N20" s="64">
        <v>33.9</v>
      </c>
      <c r="O20" s="64">
        <v>0</v>
      </c>
      <c r="P20" s="64">
        <v>0.77</v>
      </c>
      <c r="Q20" s="64">
        <v>5</v>
      </c>
      <c r="R20" s="198"/>
      <c r="S20" s="198"/>
      <c r="T20" s="198"/>
      <c r="U20" s="198"/>
    </row>
    <row r="21" spans="1:21" s="12" customFormat="1" x14ac:dyDescent="0.25">
      <c r="A21" s="215" t="s">
        <v>260</v>
      </c>
      <c r="B21" s="64">
        <v>4.1900000000000004</v>
      </c>
      <c r="C21" s="64">
        <v>20.56</v>
      </c>
      <c r="D21" s="64">
        <v>16</v>
      </c>
      <c r="E21" s="64">
        <v>1.56</v>
      </c>
      <c r="F21" s="64">
        <v>0.19</v>
      </c>
      <c r="G21" s="64">
        <v>77.87</v>
      </c>
      <c r="H21" s="64">
        <v>39.22</v>
      </c>
      <c r="I21" s="64">
        <v>1.51</v>
      </c>
      <c r="J21" s="64">
        <v>0.04</v>
      </c>
      <c r="K21" s="64">
        <v>285.13</v>
      </c>
      <c r="L21" s="64">
        <v>17.53</v>
      </c>
      <c r="M21" s="64">
        <v>92.4</v>
      </c>
      <c r="N21" s="64">
        <v>33.799999999999997</v>
      </c>
      <c r="O21" s="64">
        <v>0</v>
      </c>
      <c r="P21" s="64">
        <v>0.76</v>
      </c>
      <c r="Q21" s="64">
        <v>5.05</v>
      </c>
      <c r="R21" s="198"/>
      <c r="S21" s="198"/>
      <c r="T21" s="198"/>
      <c r="U21" s="198"/>
    </row>
    <row r="22" spans="1:21" s="12" customFormat="1" x14ac:dyDescent="0.25">
      <c r="A22" s="215" t="s">
        <v>261</v>
      </c>
      <c r="B22" s="64">
        <v>4.28</v>
      </c>
      <c r="C22" s="64">
        <v>20.22</v>
      </c>
      <c r="D22" s="64">
        <v>15.89</v>
      </c>
      <c r="E22" s="64">
        <v>1.68</v>
      </c>
      <c r="F22" s="64">
        <v>0.16</v>
      </c>
      <c r="G22" s="64">
        <v>77.87</v>
      </c>
      <c r="H22" s="64">
        <v>39.22</v>
      </c>
      <c r="I22" s="64">
        <v>1.52</v>
      </c>
      <c r="J22" s="64">
        <v>0.06</v>
      </c>
      <c r="K22" s="64">
        <v>98.75</v>
      </c>
      <c r="L22" s="64">
        <v>17.68</v>
      </c>
      <c r="M22" s="64">
        <v>91.2</v>
      </c>
      <c r="N22" s="64">
        <v>33.5</v>
      </c>
      <c r="O22" s="64">
        <v>0</v>
      </c>
      <c r="P22" s="64">
        <v>0.75</v>
      </c>
      <c r="Q22" s="64">
        <v>5.04</v>
      </c>
      <c r="R22" s="198"/>
      <c r="S22" s="198"/>
      <c r="T22" s="198"/>
      <c r="U22" s="198"/>
    </row>
    <row r="23" spans="1:21" s="12" customFormat="1" x14ac:dyDescent="0.25">
      <c r="A23" s="215" t="s">
        <v>262</v>
      </c>
      <c r="B23" s="64">
        <v>4.33</v>
      </c>
      <c r="C23" s="64">
        <v>21.08</v>
      </c>
      <c r="D23" s="64">
        <v>16.399999999999999</v>
      </c>
      <c r="E23" s="64">
        <v>1.72</v>
      </c>
      <c r="F23" s="64">
        <v>0.63</v>
      </c>
      <c r="G23" s="64">
        <v>78.44</v>
      </c>
      <c r="H23" s="64">
        <v>41</v>
      </c>
      <c r="I23" s="64">
        <v>1.57</v>
      </c>
      <c r="J23" s="64">
        <v>0.11</v>
      </c>
      <c r="K23" s="64">
        <v>307.16000000000003</v>
      </c>
      <c r="L23" s="64">
        <v>17.89</v>
      </c>
      <c r="M23" s="64">
        <v>90.69</v>
      </c>
      <c r="N23" s="64">
        <v>33.4</v>
      </c>
      <c r="O23" s="64">
        <v>0</v>
      </c>
      <c r="P23" s="64">
        <v>0.74</v>
      </c>
      <c r="Q23" s="64">
        <v>5.05</v>
      </c>
      <c r="R23" s="198"/>
      <c r="S23" s="198"/>
      <c r="T23" s="198"/>
      <c r="U23" s="198"/>
    </row>
    <row r="24" spans="1:21" s="12" customFormat="1" x14ac:dyDescent="0.25">
      <c r="A24" s="215" t="s">
        <v>263</v>
      </c>
      <c r="B24" s="64">
        <v>5.0199999999999996</v>
      </c>
      <c r="C24" s="64">
        <v>23.86</v>
      </c>
      <c r="D24" s="64">
        <v>18.489999999999998</v>
      </c>
      <c r="E24" s="64">
        <v>0.49</v>
      </c>
      <c r="F24" s="64">
        <v>0.46</v>
      </c>
      <c r="G24" s="64">
        <v>78.989999999999995</v>
      </c>
      <c r="H24" s="64">
        <v>41.82</v>
      </c>
      <c r="I24" s="64">
        <v>1.45</v>
      </c>
      <c r="J24" s="64">
        <v>0.14000000000000001</v>
      </c>
      <c r="K24" s="64">
        <v>305.66000000000003</v>
      </c>
      <c r="L24" s="64">
        <v>17.579999999999998</v>
      </c>
      <c r="M24" s="64">
        <v>93.14</v>
      </c>
      <c r="N24" s="64">
        <v>33.799999999999997</v>
      </c>
      <c r="O24" s="64">
        <v>0</v>
      </c>
      <c r="P24" s="64">
        <v>0.73</v>
      </c>
      <c r="Q24" s="64">
        <v>5</v>
      </c>
      <c r="R24" s="198"/>
      <c r="S24" s="198"/>
      <c r="T24" s="198"/>
      <c r="U24" s="198"/>
    </row>
    <row r="25" spans="1:21" s="12" customFormat="1" x14ac:dyDescent="0.25">
      <c r="A25" s="215" t="s">
        <v>264</v>
      </c>
      <c r="B25" s="64">
        <v>6.37</v>
      </c>
      <c r="C25" s="64">
        <v>29.59</v>
      </c>
      <c r="D25" s="64">
        <v>22.73</v>
      </c>
      <c r="E25" s="64">
        <v>1.1399999999999999</v>
      </c>
      <c r="F25" s="64">
        <v>0.19</v>
      </c>
      <c r="G25" s="64">
        <v>78.989999999999995</v>
      </c>
      <c r="H25" s="64">
        <v>41.82</v>
      </c>
      <c r="I25" s="64">
        <v>1.53</v>
      </c>
      <c r="J25" s="64">
        <v>0.14000000000000001</v>
      </c>
      <c r="K25" s="64">
        <v>295.12</v>
      </c>
      <c r="L25" s="64">
        <v>17.38</v>
      </c>
      <c r="M25" s="64">
        <v>94.43</v>
      </c>
      <c r="N25" s="64">
        <v>33.700000000000003</v>
      </c>
      <c r="O25" s="64">
        <v>0</v>
      </c>
      <c r="P25" s="64">
        <v>0.73</v>
      </c>
      <c r="Q25" s="64">
        <v>4.9400000000000004</v>
      </c>
      <c r="R25" s="198"/>
      <c r="S25" s="198"/>
      <c r="T25" s="198"/>
      <c r="U25" s="198"/>
    </row>
    <row r="26" spans="1:21" s="12" customFormat="1" x14ac:dyDescent="0.25">
      <c r="A26" s="215" t="s">
        <v>265</v>
      </c>
      <c r="B26" s="64">
        <v>10.01</v>
      </c>
      <c r="C26" s="64">
        <v>25.86</v>
      </c>
      <c r="D26" s="64">
        <v>23.59</v>
      </c>
      <c r="E26" s="64">
        <v>1.38</v>
      </c>
      <c r="F26" s="64">
        <v>7.0000000000000007E-2</v>
      </c>
      <c r="G26" s="64">
        <v>78.989999999999995</v>
      </c>
      <c r="H26" s="64">
        <v>41.82</v>
      </c>
      <c r="I26" s="64">
        <v>1.55</v>
      </c>
      <c r="J26" s="64">
        <v>0.05</v>
      </c>
      <c r="K26" s="64">
        <v>3.53</v>
      </c>
      <c r="L26" s="64">
        <v>17.329999999999998</v>
      </c>
      <c r="M26" s="64">
        <v>96.14</v>
      </c>
      <c r="N26" s="64">
        <v>33.700000000000003</v>
      </c>
      <c r="O26" s="64">
        <v>0</v>
      </c>
      <c r="P26" s="64">
        <v>0.74</v>
      </c>
      <c r="Q26" s="64">
        <v>4.87</v>
      </c>
      <c r="R26" s="198"/>
      <c r="S26" s="198"/>
      <c r="T26" s="198"/>
      <c r="U26" s="198"/>
    </row>
    <row r="27" spans="1:21" s="12" customFormat="1" x14ac:dyDescent="0.25">
      <c r="A27" s="215" t="s">
        <v>266</v>
      </c>
      <c r="B27" s="64">
        <v>7.33</v>
      </c>
      <c r="C27" s="64">
        <v>26.11</v>
      </c>
      <c r="D27" s="64">
        <v>21.58</v>
      </c>
      <c r="E27" s="64">
        <v>1.43</v>
      </c>
      <c r="F27" s="64">
        <v>0.43</v>
      </c>
      <c r="G27" s="64">
        <v>81.599999999999994</v>
      </c>
      <c r="H27" s="64">
        <v>43.47</v>
      </c>
      <c r="I27" s="64">
        <v>1.53</v>
      </c>
      <c r="J27" s="64">
        <v>0.01</v>
      </c>
      <c r="K27" s="64">
        <v>81.150000000000006</v>
      </c>
      <c r="L27" s="64">
        <v>17.68</v>
      </c>
      <c r="M27" s="64">
        <v>94.29</v>
      </c>
      <c r="N27" s="64">
        <v>30.7</v>
      </c>
      <c r="O27" s="64">
        <v>0</v>
      </c>
      <c r="P27" s="64">
        <v>0.81</v>
      </c>
      <c r="Q27" s="64">
        <v>5.0599999999999996</v>
      </c>
      <c r="R27" s="198"/>
      <c r="S27" s="198"/>
      <c r="T27" s="198"/>
      <c r="U27" s="198"/>
    </row>
    <row r="28" spans="1:21" s="12" customFormat="1" x14ac:dyDescent="0.25">
      <c r="A28" s="215" t="s">
        <v>267</v>
      </c>
      <c r="B28" s="64">
        <v>8.49</v>
      </c>
      <c r="C28" s="64">
        <v>26.55</v>
      </c>
      <c r="D28" s="64">
        <v>22.75</v>
      </c>
      <c r="E28" s="64">
        <v>1.31</v>
      </c>
      <c r="F28" s="64">
        <v>0.37</v>
      </c>
      <c r="G28" s="64">
        <v>83.99</v>
      </c>
      <c r="H28" s="64">
        <v>44.22</v>
      </c>
      <c r="I28" s="64">
        <v>1.47</v>
      </c>
      <c r="J28" s="64">
        <v>0.1</v>
      </c>
      <c r="K28" s="64">
        <v>128.49</v>
      </c>
      <c r="L28" s="64">
        <v>17.63</v>
      </c>
      <c r="M28" s="64">
        <v>95.22</v>
      </c>
      <c r="N28" s="64">
        <v>26.9</v>
      </c>
      <c r="O28" s="64">
        <v>0</v>
      </c>
      <c r="P28" s="64">
        <v>0.77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5" t="s">
        <v>268</v>
      </c>
      <c r="B29" s="64">
        <v>8.7200000000000006</v>
      </c>
      <c r="C29" s="64">
        <v>22.19</v>
      </c>
      <c r="D29" s="64">
        <v>20.53</v>
      </c>
      <c r="E29" s="64">
        <v>1.21</v>
      </c>
      <c r="F29" s="64">
        <v>0.44</v>
      </c>
      <c r="G29" s="64">
        <v>83.99</v>
      </c>
      <c r="H29" s="64">
        <v>44.22</v>
      </c>
      <c r="I29" s="64">
        <v>1.52</v>
      </c>
      <c r="J29" s="64">
        <v>0.26</v>
      </c>
      <c r="K29" s="64">
        <v>87.89</v>
      </c>
      <c r="L29" s="64">
        <v>18.07</v>
      </c>
      <c r="M29" s="64">
        <v>90.66</v>
      </c>
      <c r="N29" s="64">
        <v>26.3</v>
      </c>
      <c r="O29" s="64">
        <v>0</v>
      </c>
      <c r="P29" s="64">
        <v>0.79</v>
      </c>
      <c r="Q29" s="64">
        <v>5.36</v>
      </c>
      <c r="R29" s="198"/>
      <c r="S29" s="198"/>
      <c r="T29" s="198"/>
      <c r="U29" s="198"/>
    </row>
    <row r="30" spans="1:21" s="12" customFormat="1" x14ac:dyDescent="0.25">
      <c r="A30" s="215" t="s">
        <v>269</v>
      </c>
      <c r="B30" s="64">
        <v>9.01</v>
      </c>
      <c r="C30" s="64">
        <v>20.95</v>
      </c>
      <c r="D30" s="64">
        <v>20.079999999999998</v>
      </c>
      <c r="E30" s="64">
        <v>1.22</v>
      </c>
      <c r="F30" s="64">
        <v>0.51</v>
      </c>
      <c r="G30" s="64">
        <v>83.99</v>
      </c>
      <c r="H30" s="64">
        <v>44.22</v>
      </c>
      <c r="I30" s="64">
        <v>1.53</v>
      </c>
      <c r="J30" s="64">
        <v>0.12</v>
      </c>
      <c r="K30" s="64">
        <v>86.49</v>
      </c>
      <c r="L30" s="64">
        <v>18</v>
      </c>
      <c r="M30" s="64">
        <v>91.99</v>
      </c>
      <c r="N30" s="64">
        <v>26.7</v>
      </c>
      <c r="O30" s="64">
        <v>0</v>
      </c>
      <c r="P30" s="64">
        <v>0.8</v>
      </c>
      <c r="Q30" s="64">
        <v>5.43</v>
      </c>
      <c r="R30" s="198"/>
      <c r="S30" s="198"/>
      <c r="T30" s="198"/>
      <c r="U30" s="198"/>
    </row>
    <row r="31" spans="1:21" s="12" customFormat="1" x14ac:dyDescent="0.25">
      <c r="A31" s="215" t="s">
        <v>270</v>
      </c>
      <c r="B31" s="64">
        <v>9.16</v>
      </c>
      <c r="C31" s="64">
        <v>21.33</v>
      </c>
      <c r="D31" s="64">
        <v>20.41</v>
      </c>
      <c r="E31" s="64">
        <v>1.28</v>
      </c>
      <c r="F31" s="64">
        <v>0.34</v>
      </c>
      <c r="G31" s="64">
        <v>93</v>
      </c>
      <c r="H31" s="64">
        <v>50.66</v>
      </c>
      <c r="I31" s="64">
        <v>1.51</v>
      </c>
      <c r="J31" s="64">
        <v>0.16</v>
      </c>
      <c r="K31" s="64">
        <v>92.93</v>
      </c>
      <c r="L31" s="64">
        <v>17.98</v>
      </c>
      <c r="M31" s="64">
        <v>91.09</v>
      </c>
      <c r="N31" s="64">
        <v>26.6</v>
      </c>
      <c r="O31" s="64">
        <v>0</v>
      </c>
      <c r="P31" s="64">
        <v>0.8</v>
      </c>
      <c r="Q31" s="64">
        <v>5.41</v>
      </c>
      <c r="R31" s="198"/>
      <c r="S31" s="198"/>
      <c r="T31" s="198"/>
      <c r="U31" s="198"/>
    </row>
    <row r="32" spans="1:21" s="12" customFormat="1" x14ac:dyDescent="0.25">
      <c r="A32" s="215" t="s">
        <v>271</v>
      </c>
      <c r="B32" s="64">
        <v>9.34</v>
      </c>
      <c r="C32" s="64">
        <v>22.47</v>
      </c>
      <c r="D32" s="64">
        <v>21.18</v>
      </c>
      <c r="E32" s="64">
        <v>0.96</v>
      </c>
      <c r="F32" s="64">
        <v>0.19</v>
      </c>
      <c r="G32" s="64">
        <v>101.63</v>
      </c>
      <c r="H32" s="64">
        <v>56.54</v>
      </c>
      <c r="I32" s="64">
        <v>1.44</v>
      </c>
      <c r="J32" s="64">
        <v>0.2</v>
      </c>
      <c r="K32" s="64">
        <v>90.84</v>
      </c>
      <c r="L32" s="64">
        <v>17.84</v>
      </c>
      <c r="M32" s="64">
        <v>92.81</v>
      </c>
      <c r="N32" s="64">
        <v>28.8</v>
      </c>
      <c r="O32" s="64">
        <v>0</v>
      </c>
      <c r="P32" s="64">
        <v>0.8</v>
      </c>
      <c r="Q32" s="64">
        <v>5.44</v>
      </c>
      <c r="R32" s="198"/>
      <c r="S32" s="198"/>
      <c r="T32" s="198"/>
      <c r="U32" s="198"/>
    </row>
    <row r="33" spans="1:21" s="12" customFormat="1" x14ac:dyDescent="0.25">
      <c r="A33" s="215" t="s">
        <v>272</v>
      </c>
      <c r="B33" s="64">
        <v>9.3699999999999992</v>
      </c>
      <c r="C33" s="64">
        <v>22.23</v>
      </c>
      <c r="D33" s="64">
        <v>21.07</v>
      </c>
      <c r="E33" s="64">
        <v>1.22</v>
      </c>
      <c r="F33" s="64">
        <v>0.12</v>
      </c>
      <c r="G33" s="64">
        <v>101.63</v>
      </c>
      <c r="H33" s="64">
        <v>56.54</v>
      </c>
      <c r="I33" s="64">
        <v>1.47</v>
      </c>
      <c r="J33" s="64">
        <v>0.22</v>
      </c>
      <c r="K33" s="64">
        <v>91.29</v>
      </c>
      <c r="L33" s="64">
        <v>17.89</v>
      </c>
      <c r="M33" s="64">
        <v>94.15</v>
      </c>
      <c r="N33" s="64">
        <v>37.5</v>
      </c>
      <c r="O33" s="64">
        <v>0</v>
      </c>
      <c r="P33" s="64">
        <v>0.81</v>
      </c>
      <c r="Q33" s="64">
        <v>5.45</v>
      </c>
      <c r="R33" s="198"/>
      <c r="S33" s="198"/>
      <c r="T33" s="198"/>
      <c r="U33" s="198"/>
    </row>
    <row r="34" spans="1:21" s="12" customFormat="1" x14ac:dyDescent="0.25">
      <c r="A34" s="215" t="s">
        <v>273</v>
      </c>
      <c r="B34" s="64">
        <v>9.34</v>
      </c>
      <c r="C34" s="64">
        <v>21.87</v>
      </c>
      <c r="D34" s="64">
        <v>20.85</v>
      </c>
      <c r="E34" s="64">
        <v>1.1000000000000001</v>
      </c>
      <c r="F34" s="64">
        <v>0.1</v>
      </c>
      <c r="G34" s="64">
        <v>101.63</v>
      </c>
      <c r="H34" s="64">
        <v>56.54</v>
      </c>
      <c r="I34" s="64">
        <v>1.49</v>
      </c>
      <c r="J34" s="64">
        <v>0.14000000000000001</v>
      </c>
      <c r="K34" s="64">
        <v>95.88</v>
      </c>
      <c r="L34" s="64">
        <v>17.98</v>
      </c>
      <c r="M34" s="64">
        <v>92.84</v>
      </c>
      <c r="N34" s="64">
        <v>53.4</v>
      </c>
      <c r="O34" s="64">
        <v>0</v>
      </c>
      <c r="P34" s="64">
        <v>0.82</v>
      </c>
      <c r="Q34" s="64">
        <v>5.43</v>
      </c>
      <c r="R34" s="198"/>
      <c r="S34" s="198"/>
      <c r="T34" s="198"/>
      <c r="U34" s="198"/>
    </row>
    <row r="35" spans="1:21" s="12" customFormat="1" x14ac:dyDescent="0.25">
      <c r="A35" s="215" t="s">
        <v>274</v>
      </c>
      <c r="B35" s="64">
        <v>9.34</v>
      </c>
      <c r="C35" s="64">
        <v>21.84</v>
      </c>
      <c r="D35" s="64">
        <v>20.84</v>
      </c>
      <c r="E35" s="64">
        <v>1.21</v>
      </c>
      <c r="F35" s="64">
        <v>0.38</v>
      </c>
      <c r="G35" s="64">
        <v>102.75</v>
      </c>
      <c r="H35" s="64">
        <v>57.2</v>
      </c>
      <c r="I35" s="64">
        <v>1.51</v>
      </c>
      <c r="J35" s="64">
        <v>0.42</v>
      </c>
      <c r="K35" s="64">
        <v>108.04</v>
      </c>
      <c r="L35" s="64">
        <v>18.25</v>
      </c>
      <c r="M35" s="64">
        <v>91.04</v>
      </c>
      <c r="N35" s="64">
        <v>68.7</v>
      </c>
      <c r="O35" s="64">
        <v>0</v>
      </c>
      <c r="P35" s="64">
        <v>0.83</v>
      </c>
      <c r="Q35" s="64">
        <v>5.44</v>
      </c>
      <c r="R35" s="198"/>
      <c r="S35" s="198"/>
      <c r="T35" s="198"/>
      <c r="U35" s="198"/>
    </row>
    <row r="36" spans="1:21" s="12" customFormat="1" x14ac:dyDescent="0.25">
      <c r="A36" s="215" t="s">
        <v>275</v>
      </c>
      <c r="B36" s="64">
        <v>9.14</v>
      </c>
      <c r="C36" s="64">
        <v>22.61</v>
      </c>
      <c r="D36" s="64">
        <v>21.1</v>
      </c>
      <c r="E36" s="64">
        <v>1.0900000000000001</v>
      </c>
      <c r="F36" s="64">
        <v>0.87</v>
      </c>
      <c r="G36" s="64">
        <v>103.83</v>
      </c>
      <c r="H36" s="64">
        <v>57.5</v>
      </c>
      <c r="I36" s="64">
        <v>1.48</v>
      </c>
      <c r="J36" s="64">
        <v>0.57999999999999996</v>
      </c>
      <c r="K36" s="64">
        <v>110.51</v>
      </c>
      <c r="L36" s="64">
        <v>18.559999999999999</v>
      </c>
      <c r="M36" s="64">
        <v>88.81</v>
      </c>
      <c r="N36" s="64">
        <v>105.8</v>
      </c>
      <c r="O36" s="64">
        <v>0</v>
      </c>
      <c r="P36" s="64">
        <v>0.82</v>
      </c>
      <c r="Q36" s="64">
        <v>5.46</v>
      </c>
      <c r="R36" s="198"/>
      <c r="S36" s="198"/>
      <c r="T36" s="198"/>
      <c r="U36" s="198"/>
    </row>
    <row r="37" spans="1:21" s="12" customFormat="1" x14ac:dyDescent="0.25">
      <c r="A37" s="215" t="s">
        <v>276</v>
      </c>
      <c r="B37" s="64">
        <v>9.1300000000000008</v>
      </c>
      <c r="C37" s="64">
        <v>22.75</v>
      </c>
      <c r="D37" s="64">
        <v>21.17</v>
      </c>
      <c r="E37" s="64">
        <v>1.31</v>
      </c>
      <c r="F37" s="64">
        <v>0.62</v>
      </c>
      <c r="G37" s="64">
        <v>103.83</v>
      </c>
      <c r="H37" s="64">
        <v>57.5</v>
      </c>
      <c r="I37" s="64">
        <v>1.51</v>
      </c>
      <c r="J37" s="64">
        <v>0.43</v>
      </c>
      <c r="K37" s="64">
        <v>103.51</v>
      </c>
      <c r="L37" s="64">
        <v>19.5</v>
      </c>
      <c r="M37" s="64">
        <v>84.87</v>
      </c>
      <c r="N37" s="64">
        <v>176.7</v>
      </c>
      <c r="O37" s="64">
        <v>0</v>
      </c>
      <c r="P37" s="64">
        <v>0.72</v>
      </c>
      <c r="Q37" s="64">
        <v>5.46</v>
      </c>
      <c r="R37" s="198"/>
      <c r="S37" s="198"/>
      <c r="T37" s="198"/>
      <c r="U37" s="198"/>
    </row>
    <row r="38" spans="1:21" s="12" customFormat="1" x14ac:dyDescent="0.25">
      <c r="A38" s="215" t="s">
        <v>277</v>
      </c>
      <c r="B38" s="64">
        <v>9.06</v>
      </c>
      <c r="C38" s="64">
        <v>23.14</v>
      </c>
      <c r="D38" s="64">
        <v>21.32</v>
      </c>
      <c r="E38" s="64">
        <v>1.31</v>
      </c>
      <c r="F38" s="64">
        <v>1.17</v>
      </c>
      <c r="G38" s="64">
        <v>103.83</v>
      </c>
      <c r="H38" s="64">
        <v>57.5</v>
      </c>
      <c r="I38" s="64">
        <v>1.52</v>
      </c>
      <c r="J38" s="64">
        <v>0.26</v>
      </c>
      <c r="K38" s="64">
        <v>74.989999999999995</v>
      </c>
      <c r="L38" s="64">
        <v>20.71</v>
      </c>
      <c r="M38" s="64">
        <v>77.989999999999995</v>
      </c>
      <c r="N38" s="64">
        <v>220.9</v>
      </c>
      <c r="O38" s="64">
        <v>0</v>
      </c>
      <c r="P38" s="64">
        <v>0.76</v>
      </c>
      <c r="Q38" s="64">
        <v>5.44</v>
      </c>
      <c r="R38" s="198"/>
      <c r="S38" s="198"/>
      <c r="T38" s="198"/>
      <c r="U38" s="198"/>
    </row>
    <row r="39" spans="1:21" s="12" customFormat="1" x14ac:dyDescent="0.25">
      <c r="A39" s="215" t="s">
        <v>278</v>
      </c>
      <c r="B39" s="64">
        <v>9.08</v>
      </c>
      <c r="C39" s="64">
        <v>24.43</v>
      </c>
      <c r="D39" s="64">
        <v>22.06</v>
      </c>
      <c r="E39" s="64">
        <v>1.47</v>
      </c>
      <c r="F39" s="64">
        <v>3.02</v>
      </c>
      <c r="G39" s="64">
        <v>104.68</v>
      </c>
      <c r="H39" s="64">
        <v>56.07</v>
      </c>
      <c r="I39" s="64">
        <v>1.46</v>
      </c>
      <c r="J39" s="64">
        <v>0.18</v>
      </c>
      <c r="K39" s="64">
        <v>342.1</v>
      </c>
      <c r="L39" s="64">
        <v>22.7</v>
      </c>
      <c r="M39" s="64">
        <v>66.39</v>
      </c>
      <c r="N39" s="64">
        <v>130.9</v>
      </c>
      <c r="O39" s="64">
        <v>0</v>
      </c>
      <c r="P39" s="64">
        <v>0.77</v>
      </c>
      <c r="Q39" s="64">
        <v>5.39</v>
      </c>
      <c r="R39" s="198"/>
      <c r="S39" s="198"/>
      <c r="T39" s="198"/>
      <c r="U39" s="198"/>
    </row>
    <row r="40" spans="1:21" s="12" customFormat="1" x14ac:dyDescent="0.25">
      <c r="A40" s="215" t="s">
        <v>279</v>
      </c>
      <c r="B40" s="64">
        <v>9.42</v>
      </c>
      <c r="C40" s="64">
        <v>23.83</v>
      </c>
      <c r="D40" s="64">
        <v>22</v>
      </c>
      <c r="E40" s="64">
        <v>0.28000000000000003</v>
      </c>
      <c r="F40" s="64">
        <v>1.08</v>
      </c>
      <c r="G40" s="64">
        <v>105.49</v>
      </c>
      <c r="H40" s="64">
        <v>55.43</v>
      </c>
      <c r="I40" s="64">
        <v>1.47</v>
      </c>
      <c r="J40" s="64">
        <v>0.5</v>
      </c>
      <c r="K40" s="64">
        <v>107.31</v>
      </c>
      <c r="L40" s="64">
        <v>22.75</v>
      </c>
      <c r="M40" s="64">
        <v>66.349999999999994</v>
      </c>
      <c r="N40" s="210" t="s">
        <v>36</v>
      </c>
      <c r="O40" s="64">
        <v>0</v>
      </c>
      <c r="P40" s="64">
        <v>0.77</v>
      </c>
      <c r="Q40" s="64">
        <v>5.39</v>
      </c>
      <c r="R40" s="198"/>
      <c r="S40" s="198"/>
      <c r="T40" s="198"/>
      <c r="U40" s="198"/>
    </row>
    <row r="41" spans="1:21" s="12" customFormat="1" x14ac:dyDescent="0.25">
      <c r="A41" s="215" t="s">
        <v>280</v>
      </c>
      <c r="B41" s="64">
        <v>8.9499999999999993</v>
      </c>
      <c r="C41" s="64">
        <v>23.27</v>
      </c>
      <c r="D41" s="64">
        <v>21.31</v>
      </c>
      <c r="E41" s="64">
        <v>0.56999999999999995</v>
      </c>
      <c r="F41" s="64">
        <v>0.97</v>
      </c>
      <c r="G41" s="64">
        <v>105.49</v>
      </c>
      <c r="H41" s="64">
        <v>55.43</v>
      </c>
      <c r="I41" s="64">
        <v>1.5</v>
      </c>
      <c r="J41" s="64">
        <v>0.15</v>
      </c>
      <c r="K41" s="64">
        <v>345.28</v>
      </c>
      <c r="L41" s="64">
        <v>23.78</v>
      </c>
      <c r="M41" s="64">
        <v>62.04</v>
      </c>
      <c r="N41" s="210" t="s">
        <v>36</v>
      </c>
      <c r="O41" s="64">
        <v>0</v>
      </c>
      <c r="P41" s="64">
        <v>0.78</v>
      </c>
      <c r="Q41" s="64">
        <v>5.45</v>
      </c>
      <c r="R41" s="198"/>
      <c r="S41" s="198"/>
      <c r="T41" s="198"/>
      <c r="U41" s="198"/>
    </row>
    <row r="42" spans="1:21" s="12" customFormat="1" x14ac:dyDescent="0.25">
      <c r="A42" s="215" t="s">
        <v>281</v>
      </c>
      <c r="B42" s="64">
        <v>8.48</v>
      </c>
      <c r="C42" s="64">
        <v>23.82</v>
      </c>
      <c r="D42" s="64">
        <v>21.24</v>
      </c>
      <c r="E42" s="64">
        <v>0.71</v>
      </c>
      <c r="F42" s="64">
        <v>1.17</v>
      </c>
      <c r="G42" s="64">
        <v>105.49</v>
      </c>
      <c r="H42" s="64">
        <v>55.43</v>
      </c>
      <c r="I42" s="64">
        <v>1.49</v>
      </c>
      <c r="J42" s="64">
        <v>0.11</v>
      </c>
      <c r="K42" s="64">
        <v>25.66</v>
      </c>
      <c r="L42" s="64">
        <v>24.56</v>
      </c>
      <c r="M42" s="64">
        <v>60.98</v>
      </c>
      <c r="N42" s="210" t="s">
        <v>36</v>
      </c>
      <c r="O42" s="64">
        <v>0</v>
      </c>
      <c r="P42" s="64">
        <v>0.78</v>
      </c>
      <c r="Q42" s="64">
        <v>5.42</v>
      </c>
      <c r="R42" s="198"/>
      <c r="S42" s="198"/>
      <c r="T42" s="198"/>
      <c r="U42" s="198"/>
    </row>
    <row r="43" spans="1:21" s="12" customFormat="1" x14ac:dyDescent="0.25">
      <c r="A43" s="215" t="s">
        <v>282</v>
      </c>
      <c r="B43" s="64">
        <v>8.0299999999999994</v>
      </c>
      <c r="C43" s="64">
        <v>25.34</v>
      </c>
      <c r="D43" s="64">
        <v>21.72</v>
      </c>
      <c r="E43" s="64">
        <v>0.61</v>
      </c>
      <c r="F43" s="64">
        <v>0.84</v>
      </c>
      <c r="G43" s="64">
        <v>105.83</v>
      </c>
      <c r="H43" s="64">
        <v>57.2</v>
      </c>
      <c r="I43" s="64">
        <v>1.46</v>
      </c>
      <c r="J43" s="64">
        <v>0.09</v>
      </c>
      <c r="K43" s="64">
        <v>339.83</v>
      </c>
      <c r="L43" s="64">
        <v>24.9</v>
      </c>
      <c r="M43" s="64">
        <v>63.14</v>
      </c>
      <c r="N43" s="210" t="s">
        <v>36</v>
      </c>
      <c r="O43" s="64">
        <v>0</v>
      </c>
      <c r="P43" s="64">
        <v>0.79</v>
      </c>
      <c r="Q43" s="64">
        <v>5.36</v>
      </c>
      <c r="R43" s="198"/>
      <c r="S43" s="198"/>
      <c r="T43" s="198"/>
      <c r="U43" s="198"/>
    </row>
    <row r="44" spans="1:21" s="12" customFormat="1" x14ac:dyDescent="0.25">
      <c r="A44" s="215" t="s">
        <v>283</v>
      </c>
      <c r="B44" s="64">
        <v>7.47</v>
      </c>
      <c r="C44" s="64">
        <v>23.89</v>
      </c>
      <c r="D44" s="64">
        <v>20.47</v>
      </c>
      <c r="E44" s="64">
        <v>0.68</v>
      </c>
      <c r="F44" s="64">
        <v>0.95</v>
      </c>
      <c r="G44" s="64">
        <v>106.15</v>
      </c>
      <c r="H44" s="64">
        <v>58.01</v>
      </c>
      <c r="I44" s="64">
        <v>1.5</v>
      </c>
      <c r="J44" s="64">
        <v>0.27</v>
      </c>
      <c r="K44" s="64">
        <v>121.82</v>
      </c>
      <c r="L44" s="64">
        <v>24.61</v>
      </c>
      <c r="M44" s="64">
        <v>62.3</v>
      </c>
      <c r="N44" s="210" t="s">
        <v>36</v>
      </c>
      <c r="O44" s="64">
        <v>0</v>
      </c>
      <c r="P44" s="64">
        <v>0.79</v>
      </c>
      <c r="Q44" s="64">
        <v>5.36</v>
      </c>
      <c r="R44" s="198"/>
      <c r="S44" s="198"/>
      <c r="T44" s="198"/>
      <c r="U44" s="198"/>
    </row>
    <row r="45" spans="1:21" s="12" customFormat="1" x14ac:dyDescent="0.25">
      <c r="A45" s="215" t="s">
        <v>284</v>
      </c>
      <c r="B45" s="64">
        <v>6.77</v>
      </c>
      <c r="C45" s="64">
        <v>24.89</v>
      </c>
      <c r="D45" s="64">
        <v>20.46</v>
      </c>
      <c r="E45" s="64">
        <v>0.55000000000000004</v>
      </c>
      <c r="F45" s="64">
        <v>0.81</v>
      </c>
      <c r="G45" s="64">
        <v>106.15</v>
      </c>
      <c r="H45" s="64">
        <v>58.01</v>
      </c>
      <c r="I45" s="64">
        <v>1.52</v>
      </c>
      <c r="J45" s="64">
        <v>0.02</v>
      </c>
      <c r="K45" s="64">
        <v>107.2</v>
      </c>
      <c r="L45" s="64">
        <v>24.59</v>
      </c>
      <c r="M45" s="64">
        <v>63.04</v>
      </c>
      <c r="N45" s="210" t="s">
        <v>36</v>
      </c>
      <c r="O45" s="64">
        <v>0</v>
      </c>
      <c r="P45" s="64">
        <v>0.79</v>
      </c>
      <c r="Q45" s="64">
        <v>5.31</v>
      </c>
      <c r="R45" s="198"/>
      <c r="S45" s="198"/>
      <c r="T45" s="198"/>
      <c r="U45" s="198"/>
    </row>
    <row r="46" spans="1:21" s="12" customFormat="1" x14ac:dyDescent="0.25">
      <c r="A46" s="215" t="s">
        <v>285</v>
      </c>
      <c r="B46" s="64">
        <v>5.92</v>
      </c>
      <c r="C46" s="64">
        <v>25.35</v>
      </c>
      <c r="D46" s="64">
        <v>20.03</v>
      </c>
      <c r="E46" s="64">
        <v>0.61</v>
      </c>
      <c r="F46" s="64">
        <v>0.79</v>
      </c>
      <c r="G46" s="64">
        <v>106.15</v>
      </c>
      <c r="H46" s="64">
        <v>58.01</v>
      </c>
      <c r="I46" s="64">
        <v>1.49</v>
      </c>
      <c r="J46" s="64">
        <v>0.48</v>
      </c>
      <c r="K46" s="64">
        <v>115.62</v>
      </c>
      <c r="L46" s="64">
        <v>24.65</v>
      </c>
      <c r="M46" s="64">
        <v>61.98</v>
      </c>
      <c r="N46" s="210" t="s">
        <v>36</v>
      </c>
      <c r="O46" s="64">
        <v>0</v>
      </c>
      <c r="P46" s="64">
        <v>0.78</v>
      </c>
      <c r="Q46" s="64">
        <v>5.23</v>
      </c>
      <c r="R46" s="198"/>
      <c r="S46" s="198"/>
      <c r="T46" s="198"/>
      <c r="U46" s="198"/>
    </row>
    <row r="47" spans="1:21" s="12" customFormat="1" x14ac:dyDescent="0.25">
      <c r="A47" s="215" t="s">
        <v>286</v>
      </c>
      <c r="B47" s="64">
        <v>4.97</v>
      </c>
      <c r="C47" s="64">
        <v>23.35</v>
      </c>
      <c r="D47" s="64">
        <v>18.16</v>
      </c>
      <c r="E47" s="64">
        <v>0.59</v>
      </c>
      <c r="F47" s="64">
        <v>5.43</v>
      </c>
      <c r="G47" s="64">
        <v>109.52</v>
      </c>
      <c r="H47" s="64">
        <v>56.54</v>
      </c>
      <c r="I47" s="64">
        <v>1.53</v>
      </c>
      <c r="J47" s="64">
        <v>0.76</v>
      </c>
      <c r="K47" s="64">
        <v>116.46</v>
      </c>
      <c r="L47" s="64">
        <v>24.59</v>
      </c>
      <c r="M47" s="64">
        <v>59.84</v>
      </c>
      <c r="N47" s="210" t="s">
        <v>36</v>
      </c>
      <c r="O47" s="64">
        <v>0</v>
      </c>
      <c r="P47" s="64">
        <v>0.76</v>
      </c>
      <c r="Q47" s="64">
        <v>5.15</v>
      </c>
      <c r="R47" s="198"/>
      <c r="S47" s="198"/>
      <c r="T47" s="198"/>
      <c r="U47" s="198"/>
    </row>
    <row r="48" spans="1:21" s="12" customFormat="1" x14ac:dyDescent="0.25">
      <c r="A48" s="215" t="s">
        <v>287</v>
      </c>
      <c r="B48" s="64">
        <v>4.26</v>
      </c>
      <c r="C48" s="64">
        <v>23.57</v>
      </c>
      <c r="D48" s="64">
        <v>17.72</v>
      </c>
      <c r="E48" s="64">
        <v>0.88</v>
      </c>
      <c r="F48" s="64">
        <v>2.8</v>
      </c>
      <c r="G48" s="64">
        <v>112.62</v>
      </c>
      <c r="H48" s="64">
        <v>55.87</v>
      </c>
      <c r="I48" s="64">
        <v>1.52</v>
      </c>
      <c r="J48" s="64">
        <v>0.71</v>
      </c>
      <c r="K48" s="64">
        <v>105.76</v>
      </c>
      <c r="L48" s="64">
        <v>25.29</v>
      </c>
      <c r="M48" s="64">
        <v>56.62</v>
      </c>
      <c r="N48" s="210" t="s">
        <v>36</v>
      </c>
      <c r="O48" s="64">
        <v>0</v>
      </c>
      <c r="P48" s="64">
        <v>0.75</v>
      </c>
      <c r="Q48" s="64">
        <v>5.08</v>
      </c>
      <c r="R48" s="198"/>
      <c r="S48" s="198"/>
      <c r="T48" s="198"/>
      <c r="U48" s="198"/>
    </row>
    <row r="49" spans="1:21" s="12" customFormat="1" x14ac:dyDescent="0.25">
      <c r="A49" s="215" t="s">
        <v>288</v>
      </c>
      <c r="B49" s="64">
        <v>3.64</v>
      </c>
      <c r="C49" s="64">
        <v>23.08</v>
      </c>
      <c r="D49" s="64">
        <v>16.95</v>
      </c>
      <c r="E49" s="64">
        <v>0.79</v>
      </c>
      <c r="F49" s="64">
        <v>3.5</v>
      </c>
      <c r="G49" s="64">
        <v>112.62</v>
      </c>
      <c r="H49" s="64">
        <v>55.87</v>
      </c>
      <c r="I49" s="64">
        <v>1.44</v>
      </c>
      <c r="J49" s="64">
        <v>0.79</v>
      </c>
      <c r="K49" s="64">
        <v>109.86</v>
      </c>
      <c r="L49" s="64">
        <v>25.11</v>
      </c>
      <c r="M49" s="64">
        <v>54.57</v>
      </c>
      <c r="N49" s="210" t="s">
        <v>36</v>
      </c>
      <c r="O49" s="64">
        <v>0</v>
      </c>
      <c r="P49" s="64">
        <v>0.73</v>
      </c>
      <c r="Q49" s="64">
        <v>5.0599999999999996</v>
      </c>
      <c r="R49" s="198"/>
      <c r="S49" s="198"/>
      <c r="T49" s="198"/>
      <c r="U49" s="198"/>
    </row>
    <row r="50" spans="1:21" s="12" customFormat="1" x14ac:dyDescent="0.25">
      <c r="A50" s="215" t="s">
        <v>289</v>
      </c>
      <c r="B50" s="64">
        <v>3.1</v>
      </c>
      <c r="C50" s="64">
        <v>22.78</v>
      </c>
      <c r="D50" s="64">
        <v>16.350000000000001</v>
      </c>
      <c r="E50" s="64">
        <v>0.9</v>
      </c>
      <c r="F50" s="64">
        <v>3.22</v>
      </c>
      <c r="G50" s="64">
        <v>112.62</v>
      </c>
      <c r="H50" s="64">
        <v>55.87</v>
      </c>
      <c r="I50" s="64">
        <v>1.6</v>
      </c>
      <c r="J50" s="64">
        <v>1.5</v>
      </c>
      <c r="K50" s="64">
        <v>108.74</v>
      </c>
      <c r="L50" s="64">
        <v>25.47</v>
      </c>
      <c r="M50" s="64">
        <v>50.51</v>
      </c>
      <c r="N50" s="210" t="s">
        <v>36</v>
      </c>
      <c r="O50" s="64">
        <v>0</v>
      </c>
      <c r="P50" s="64">
        <v>0.72</v>
      </c>
      <c r="Q50" s="64">
        <v>5.0199999999999996</v>
      </c>
      <c r="R50" s="198"/>
      <c r="S50" s="198"/>
      <c r="T50" s="198"/>
      <c r="U50" s="198"/>
    </row>
    <row r="51" spans="1:21" s="12" customFormat="1" x14ac:dyDescent="0.25">
      <c r="A51" s="215" t="s">
        <v>290</v>
      </c>
      <c r="B51" s="64">
        <v>2.67</v>
      </c>
      <c r="C51" s="64">
        <v>23.79</v>
      </c>
      <c r="D51" s="64">
        <v>16.559999999999999</v>
      </c>
      <c r="E51" s="64">
        <v>0.8</v>
      </c>
      <c r="F51" s="64">
        <v>2.63</v>
      </c>
      <c r="G51" s="64">
        <v>102.4</v>
      </c>
      <c r="H51" s="64">
        <v>53</v>
      </c>
      <c r="I51" s="64">
        <v>1.47</v>
      </c>
      <c r="J51" s="64">
        <v>0.72</v>
      </c>
      <c r="K51" s="64">
        <v>114.61</v>
      </c>
      <c r="L51" s="64">
        <v>26.55</v>
      </c>
      <c r="M51" s="64">
        <v>47.17</v>
      </c>
      <c r="N51" s="210" t="s">
        <v>36</v>
      </c>
      <c r="O51" s="64">
        <v>0</v>
      </c>
      <c r="P51" s="64">
        <v>0.71</v>
      </c>
      <c r="Q51" s="64">
        <v>4.9400000000000004</v>
      </c>
      <c r="R51" s="198"/>
      <c r="S51" s="198"/>
      <c r="T51" s="198"/>
      <c r="U51" s="198"/>
    </row>
    <row r="52" spans="1:21" s="12" customFormat="1" x14ac:dyDescent="0.25">
      <c r="A52" s="215" t="s">
        <v>291</v>
      </c>
      <c r="B52" s="64">
        <v>3.18</v>
      </c>
      <c r="C52" s="64">
        <v>20.92</v>
      </c>
      <c r="D52" s="64">
        <v>15.39</v>
      </c>
      <c r="E52" s="64">
        <v>0.98</v>
      </c>
      <c r="F52" s="64">
        <v>2.4</v>
      </c>
      <c r="G52" s="64">
        <v>93.05</v>
      </c>
      <c r="H52" s="64">
        <v>51.7</v>
      </c>
      <c r="I52" s="64">
        <v>1.58</v>
      </c>
      <c r="J52" s="64">
        <v>0.74</v>
      </c>
      <c r="K52" s="64">
        <v>96.9</v>
      </c>
      <c r="L52" s="64">
        <v>27.3</v>
      </c>
      <c r="M52" s="64">
        <v>44.82</v>
      </c>
      <c r="N52" s="210" t="s">
        <v>36</v>
      </c>
      <c r="O52" s="64">
        <v>0</v>
      </c>
      <c r="P52" s="64">
        <v>0.7</v>
      </c>
      <c r="Q52" s="64">
        <v>5.0199999999999996</v>
      </c>
      <c r="R52" s="198"/>
      <c r="S52" s="198"/>
      <c r="T52" s="198"/>
      <c r="U52" s="198"/>
    </row>
    <row r="53" spans="1:21" s="12" customFormat="1" x14ac:dyDescent="0.25">
      <c r="A53" s="215" t="s">
        <v>292</v>
      </c>
      <c r="B53" s="64">
        <v>2.72</v>
      </c>
      <c r="C53" s="64">
        <v>17.98</v>
      </c>
      <c r="D53" s="64">
        <v>13.39</v>
      </c>
      <c r="E53" s="64">
        <v>0.65</v>
      </c>
      <c r="F53" s="64">
        <v>2.09</v>
      </c>
      <c r="G53" s="64">
        <v>93.05</v>
      </c>
      <c r="H53" s="64">
        <v>51.7</v>
      </c>
      <c r="I53" s="64">
        <v>1.58</v>
      </c>
      <c r="J53" s="64">
        <v>1.56</v>
      </c>
      <c r="K53" s="64">
        <v>113.29</v>
      </c>
      <c r="L53" s="64">
        <v>26.01</v>
      </c>
      <c r="M53" s="64">
        <v>47.54</v>
      </c>
      <c r="N53" s="210" t="s">
        <v>36</v>
      </c>
      <c r="O53" s="64">
        <v>0</v>
      </c>
      <c r="P53" s="64">
        <v>0.68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5" t="s">
        <v>293</v>
      </c>
      <c r="B54" s="64">
        <v>2.2200000000000002</v>
      </c>
      <c r="C54" s="64">
        <v>23.06</v>
      </c>
      <c r="D54" s="64">
        <v>15.8</v>
      </c>
      <c r="E54" s="64">
        <v>0.54</v>
      </c>
      <c r="F54" s="64">
        <v>3.11</v>
      </c>
      <c r="G54" s="64">
        <v>93.05</v>
      </c>
      <c r="H54" s="64">
        <v>51.7</v>
      </c>
      <c r="I54" s="64">
        <v>1.47</v>
      </c>
      <c r="J54" s="64">
        <v>0.73</v>
      </c>
      <c r="K54" s="64">
        <v>110.38</v>
      </c>
      <c r="L54" s="64">
        <v>26.66</v>
      </c>
      <c r="M54" s="64">
        <v>46.1</v>
      </c>
      <c r="N54" s="210" t="s">
        <v>36</v>
      </c>
      <c r="O54" s="64">
        <v>0</v>
      </c>
      <c r="P54" s="64">
        <v>0.67</v>
      </c>
      <c r="Q54" s="64">
        <v>5.14</v>
      </c>
      <c r="R54" s="198"/>
      <c r="S54" s="198"/>
      <c r="T54" s="198"/>
      <c r="U54" s="198"/>
    </row>
    <row r="55" spans="1:21" s="12" customFormat="1" x14ac:dyDescent="0.25">
      <c r="A55" s="215" t="s">
        <v>294</v>
      </c>
      <c r="B55" s="64">
        <v>2.4</v>
      </c>
      <c r="C55" s="64">
        <v>18.8</v>
      </c>
      <c r="D55" s="64">
        <v>13.59</v>
      </c>
      <c r="E55" s="64">
        <v>0.81</v>
      </c>
      <c r="F55" s="64">
        <v>4.93</v>
      </c>
      <c r="G55" s="64">
        <v>83.58</v>
      </c>
      <c r="H55" s="64">
        <v>49.07</v>
      </c>
      <c r="I55" s="64">
        <v>1.51</v>
      </c>
      <c r="J55" s="64">
        <v>0.51</v>
      </c>
      <c r="K55" s="64">
        <v>97.55</v>
      </c>
      <c r="L55" s="64">
        <v>27.38</v>
      </c>
      <c r="M55" s="64">
        <v>45.08</v>
      </c>
      <c r="N55" s="210" t="s">
        <v>36</v>
      </c>
      <c r="O55" s="64">
        <v>0</v>
      </c>
      <c r="P55" s="64">
        <v>0.66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295</v>
      </c>
      <c r="B56" s="64">
        <v>2.57</v>
      </c>
      <c r="C56" s="64">
        <v>23.98</v>
      </c>
      <c r="D56" s="64">
        <v>16.59</v>
      </c>
      <c r="E56" s="64">
        <v>0.92</v>
      </c>
      <c r="F56" s="64">
        <v>2.82</v>
      </c>
      <c r="G56" s="64">
        <v>74.91</v>
      </c>
      <c r="H56" s="64">
        <v>46.55</v>
      </c>
      <c r="I56" s="64">
        <v>1.44</v>
      </c>
      <c r="J56" s="64">
        <v>0.34</v>
      </c>
      <c r="K56" s="64">
        <v>54.08</v>
      </c>
      <c r="L56" s="64">
        <v>28.13</v>
      </c>
      <c r="M56" s="64">
        <v>42.79</v>
      </c>
      <c r="N56" s="210" t="s">
        <v>36</v>
      </c>
      <c r="O56" s="64">
        <v>0</v>
      </c>
      <c r="P56" s="64">
        <v>0.67</v>
      </c>
      <c r="Q56" s="64">
        <v>5.0599999999999996</v>
      </c>
      <c r="R56" s="198"/>
      <c r="S56" s="198"/>
      <c r="T56" s="198"/>
      <c r="U56" s="198"/>
    </row>
    <row r="57" spans="1:21" s="12" customFormat="1" x14ac:dyDescent="0.25">
      <c r="A57" s="215" t="s">
        <v>296</v>
      </c>
      <c r="B57" s="64">
        <v>2.1800000000000002</v>
      </c>
      <c r="C57" s="64">
        <v>21.05</v>
      </c>
      <c r="D57" s="64">
        <v>14.66</v>
      </c>
      <c r="E57" s="64">
        <v>1.1100000000000001</v>
      </c>
      <c r="F57" s="64">
        <v>3.21</v>
      </c>
      <c r="G57" s="64">
        <v>74.91</v>
      </c>
      <c r="H57" s="64">
        <v>46.55</v>
      </c>
      <c r="I57" s="64">
        <v>1.45</v>
      </c>
      <c r="J57" s="64">
        <v>0.28999999999999998</v>
      </c>
      <c r="K57" s="64">
        <v>45.3</v>
      </c>
      <c r="L57" s="64">
        <v>27.71</v>
      </c>
      <c r="M57" s="64">
        <v>43.11</v>
      </c>
      <c r="N57" s="210" t="s">
        <v>36</v>
      </c>
      <c r="O57" s="64">
        <v>0</v>
      </c>
      <c r="P57" s="64">
        <v>0.65</v>
      </c>
      <c r="Q57" s="64">
        <v>5.18</v>
      </c>
      <c r="R57" s="198"/>
      <c r="S57" s="198"/>
      <c r="T57" s="198"/>
      <c r="U57" s="198"/>
    </row>
    <row r="58" spans="1:21" s="12" customFormat="1" x14ac:dyDescent="0.25">
      <c r="A58" s="215" t="s">
        <v>297</v>
      </c>
      <c r="B58" s="64">
        <v>2.37</v>
      </c>
      <c r="C58" s="64">
        <v>23.04</v>
      </c>
      <c r="D58" s="64">
        <v>15.91</v>
      </c>
      <c r="E58" s="64">
        <v>1.1000000000000001</v>
      </c>
      <c r="F58" s="64">
        <v>3.3</v>
      </c>
      <c r="G58" s="64">
        <v>74.91</v>
      </c>
      <c r="H58" s="64">
        <v>46.55</v>
      </c>
      <c r="I58" s="64">
        <v>1.52</v>
      </c>
      <c r="J58" s="64">
        <v>0.69</v>
      </c>
      <c r="K58" s="64">
        <v>350.89</v>
      </c>
      <c r="L58" s="64">
        <v>28.01</v>
      </c>
      <c r="M58" s="64">
        <v>41.88</v>
      </c>
      <c r="N58" s="210" t="s">
        <v>36</v>
      </c>
      <c r="O58" s="64">
        <v>0</v>
      </c>
      <c r="P58" s="64">
        <v>0.66</v>
      </c>
      <c r="Q58" s="64">
        <v>5.16</v>
      </c>
      <c r="R58" s="198"/>
      <c r="S58" s="198"/>
      <c r="T58" s="198"/>
      <c r="U58" s="198"/>
    </row>
    <row r="59" spans="1:21" s="12" customFormat="1" x14ac:dyDescent="0.25">
      <c r="A59" s="215" t="s">
        <v>298</v>
      </c>
      <c r="B59" s="64">
        <v>3.08</v>
      </c>
      <c r="C59" s="64">
        <v>28.03</v>
      </c>
      <c r="D59" s="64">
        <v>19.23</v>
      </c>
      <c r="E59" s="64">
        <v>1.41</v>
      </c>
      <c r="F59" s="64">
        <v>5.58</v>
      </c>
      <c r="G59" s="64">
        <v>73.489999999999995</v>
      </c>
      <c r="H59" s="64">
        <v>43.88</v>
      </c>
      <c r="I59" s="64">
        <v>1.51</v>
      </c>
      <c r="J59" s="64">
        <v>0.67</v>
      </c>
      <c r="K59" s="64">
        <v>338.96</v>
      </c>
      <c r="L59" s="64">
        <v>28.7</v>
      </c>
      <c r="M59" s="64">
        <v>38.65</v>
      </c>
      <c r="N59" s="210" t="s">
        <v>36</v>
      </c>
      <c r="O59" s="64">
        <v>0</v>
      </c>
      <c r="P59" s="64">
        <v>0.66</v>
      </c>
      <c r="Q59" s="64">
        <v>4.84</v>
      </c>
      <c r="R59" s="198"/>
      <c r="S59" s="198"/>
      <c r="T59" s="198"/>
      <c r="U59" s="198"/>
    </row>
    <row r="60" spans="1:21" s="12" customFormat="1" x14ac:dyDescent="0.25">
      <c r="A60" s="215" t="s">
        <v>299</v>
      </c>
      <c r="B60" s="64">
        <v>4.25</v>
      </c>
      <c r="C60" s="64">
        <v>26.39</v>
      </c>
      <c r="D60" s="64">
        <v>19.260000000000002</v>
      </c>
      <c r="E60" s="64">
        <v>1.44</v>
      </c>
      <c r="F60" s="64">
        <v>14.01</v>
      </c>
      <c r="G60" s="64">
        <v>72.2</v>
      </c>
      <c r="H60" s="64">
        <v>42.66</v>
      </c>
      <c r="I60" s="64">
        <v>1.52</v>
      </c>
      <c r="J60" s="64">
        <v>0.86</v>
      </c>
      <c r="K60" s="64">
        <v>100.89</v>
      </c>
      <c r="L60" s="64">
        <v>27.72</v>
      </c>
      <c r="M60" s="64">
        <v>40.47</v>
      </c>
      <c r="N60" s="210" t="s">
        <v>36</v>
      </c>
      <c r="O60" s="64">
        <v>0</v>
      </c>
      <c r="P60" s="64">
        <v>0.64</v>
      </c>
      <c r="Q60" s="64">
        <v>4.78</v>
      </c>
      <c r="R60" s="198"/>
      <c r="S60" s="198"/>
      <c r="T60" s="198"/>
      <c r="U60" s="198"/>
    </row>
    <row r="61" spans="1:21" s="12" customFormat="1" x14ac:dyDescent="0.25">
      <c r="A61" s="215" t="s">
        <v>300</v>
      </c>
      <c r="B61" s="64">
        <v>3.68</v>
      </c>
      <c r="C61" s="64">
        <v>28.01</v>
      </c>
      <c r="D61" s="64">
        <v>19.7</v>
      </c>
      <c r="E61" s="64">
        <v>1.96</v>
      </c>
      <c r="F61" s="64">
        <v>16.829999999999998</v>
      </c>
      <c r="G61" s="64">
        <v>72.2</v>
      </c>
      <c r="H61" s="64">
        <v>42.66</v>
      </c>
      <c r="I61" s="64">
        <v>1.52</v>
      </c>
      <c r="J61" s="64">
        <v>0.36</v>
      </c>
      <c r="K61" s="64">
        <v>37.340000000000003</v>
      </c>
      <c r="L61" s="64">
        <v>28.31</v>
      </c>
      <c r="M61" s="64">
        <v>39.270000000000003</v>
      </c>
      <c r="N61" s="64">
        <v>274.39999999999998</v>
      </c>
      <c r="O61" s="64">
        <v>0</v>
      </c>
      <c r="P61" s="64">
        <v>0.6</v>
      </c>
      <c r="Q61" s="64">
        <v>4.49</v>
      </c>
      <c r="R61" s="198"/>
      <c r="S61" s="198"/>
      <c r="T61" s="198"/>
      <c r="U61" s="198"/>
    </row>
    <row r="62" spans="1:21" s="12" customFormat="1" x14ac:dyDescent="0.25">
      <c r="A62" s="215" t="s">
        <v>301</v>
      </c>
      <c r="B62" s="64">
        <v>2.02</v>
      </c>
      <c r="C62" s="64">
        <v>26.46</v>
      </c>
      <c r="D62" s="64">
        <v>17.510000000000002</v>
      </c>
      <c r="E62" s="64">
        <v>1.63</v>
      </c>
      <c r="F62" s="64">
        <v>10.98</v>
      </c>
      <c r="G62" s="64">
        <v>72.2</v>
      </c>
      <c r="H62" s="64">
        <v>42.66</v>
      </c>
      <c r="I62" s="64">
        <v>1.44</v>
      </c>
      <c r="J62" s="64">
        <v>0.82</v>
      </c>
      <c r="K62" s="64">
        <v>119.77</v>
      </c>
      <c r="L62" s="64">
        <v>27.01</v>
      </c>
      <c r="M62" s="64">
        <v>38.54</v>
      </c>
      <c r="N62" s="64">
        <v>499.2</v>
      </c>
      <c r="O62" s="64">
        <v>0</v>
      </c>
      <c r="P62" s="64">
        <v>0.6</v>
      </c>
      <c r="Q62" s="64">
        <v>4.8499999999999996</v>
      </c>
      <c r="R62" s="198"/>
      <c r="S62" s="198"/>
      <c r="T62" s="198"/>
      <c r="U62" s="198"/>
    </row>
    <row r="63" spans="1:21" s="12" customFormat="1" x14ac:dyDescent="0.25">
      <c r="A63" s="215" t="s">
        <v>302</v>
      </c>
      <c r="B63" s="64">
        <v>2</v>
      </c>
      <c r="C63" s="64">
        <v>24.61</v>
      </c>
      <c r="D63" s="64">
        <v>16.48</v>
      </c>
      <c r="E63" s="64">
        <v>1.71</v>
      </c>
      <c r="F63" s="64">
        <v>4.84</v>
      </c>
      <c r="G63" s="64">
        <v>69.430000000000007</v>
      </c>
      <c r="H63" s="64">
        <v>42.85</v>
      </c>
      <c r="I63" s="64">
        <v>1.48</v>
      </c>
      <c r="J63" s="64">
        <v>1.2</v>
      </c>
      <c r="K63" s="64">
        <v>128.07</v>
      </c>
      <c r="L63" s="64">
        <v>26.79</v>
      </c>
      <c r="M63" s="64">
        <v>37.119999999999997</v>
      </c>
      <c r="N63" s="64">
        <v>528.9</v>
      </c>
      <c r="O63" s="64">
        <v>0</v>
      </c>
      <c r="P63" s="64">
        <v>0.57999999999999996</v>
      </c>
      <c r="Q63" s="64">
        <v>4.9400000000000004</v>
      </c>
      <c r="R63" s="198"/>
      <c r="S63" s="198"/>
      <c r="T63" s="198"/>
      <c r="U63" s="198"/>
    </row>
    <row r="64" spans="1:21" s="12" customFormat="1" x14ac:dyDescent="0.25">
      <c r="A64" s="215" t="s">
        <v>303</v>
      </c>
      <c r="B64" s="64">
        <v>2</v>
      </c>
      <c r="C64" s="64">
        <v>20.16</v>
      </c>
      <c r="D64" s="64">
        <v>14.02</v>
      </c>
      <c r="E64" s="64">
        <v>1.5</v>
      </c>
      <c r="F64" s="64">
        <v>6.65</v>
      </c>
      <c r="G64" s="64">
        <v>66.900000000000006</v>
      </c>
      <c r="H64" s="64">
        <v>42.94</v>
      </c>
      <c r="I64" s="64">
        <v>1.49</v>
      </c>
      <c r="J64" s="64">
        <v>0.42</v>
      </c>
      <c r="K64" s="64">
        <v>111.73</v>
      </c>
      <c r="L64" s="64">
        <v>26.88</v>
      </c>
      <c r="M64" s="64">
        <v>37.78</v>
      </c>
      <c r="N64" s="64">
        <v>426.8</v>
      </c>
      <c r="O64" s="64">
        <v>0</v>
      </c>
      <c r="P64" s="64">
        <v>0.56000000000000005</v>
      </c>
      <c r="Q64" s="64">
        <v>5.17</v>
      </c>
      <c r="R64" s="198"/>
      <c r="S64" s="198"/>
      <c r="T64" s="198"/>
      <c r="U64" s="198"/>
    </row>
    <row r="65" spans="1:21" s="12" customFormat="1" x14ac:dyDescent="0.25">
      <c r="A65" s="215" t="s">
        <v>304</v>
      </c>
      <c r="B65" s="64">
        <v>2.21</v>
      </c>
      <c r="C65" s="64">
        <v>18.940000000000001</v>
      </c>
      <c r="D65" s="64">
        <v>13.52</v>
      </c>
      <c r="E65" s="64">
        <v>1.27</v>
      </c>
      <c r="F65" s="64">
        <v>4.9800000000000004</v>
      </c>
      <c r="G65" s="64">
        <v>66.900000000000006</v>
      </c>
      <c r="H65" s="64">
        <v>42.94</v>
      </c>
      <c r="I65" s="64">
        <v>1.49</v>
      </c>
      <c r="J65" s="64">
        <v>0.38</v>
      </c>
      <c r="K65" s="64">
        <v>13.75</v>
      </c>
      <c r="L65" s="64">
        <v>27.72</v>
      </c>
      <c r="M65" s="64">
        <v>37.97</v>
      </c>
      <c r="N65" s="64">
        <v>201.7</v>
      </c>
      <c r="O65" s="64">
        <v>0</v>
      </c>
      <c r="P65" s="64">
        <v>0.56999999999999995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305</v>
      </c>
      <c r="B66" s="64">
        <v>2.2999999999999998</v>
      </c>
      <c r="C66" s="64">
        <v>23.06</v>
      </c>
      <c r="D66" s="64">
        <v>15.86</v>
      </c>
      <c r="E66" s="64">
        <v>1.21</v>
      </c>
      <c r="F66" s="64">
        <v>2.56</v>
      </c>
      <c r="G66" s="64">
        <v>66.900000000000006</v>
      </c>
      <c r="H66" s="64">
        <v>42.94</v>
      </c>
      <c r="I66" s="64">
        <v>1.54</v>
      </c>
      <c r="J66" s="64">
        <v>0.96</v>
      </c>
      <c r="K66" s="64">
        <v>134.79</v>
      </c>
      <c r="L66" s="64">
        <v>26.95</v>
      </c>
      <c r="M66" s="64">
        <v>36.96</v>
      </c>
      <c r="N66" s="64">
        <v>150.1</v>
      </c>
      <c r="O66" s="64">
        <v>0</v>
      </c>
      <c r="P66" s="64">
        <v>0.56999999999999995</v>
      </c>
      <c r="Q66" s="64">
        <v>5.12</v>
      </c>
      <c r="R66" s="198"/>
      <c r="S66" s="198"/>
      <c r="T66" s="198"/>
      <c r="U66" s="198"/>
    </row>
    <row r="67" spans="1:21" s="12" customFormat="1" x14ac:dyDescent="0.25">
      <c r="A67" s="215" t="s">
        <v>306</v>
      </c>
      <c r="B67" s="64">
        <v>2.0099999999999998</v>
      </c>
      <c r="C67" s="64">
        <v>21.65</v>
      </c>
      <c r="D67" s="64">
        <v>14.85</v>
      </c>
      <c r="E67" s="64">
        <v>1.45</v>
      </c>
      <c r="F67" s="64">
        <v>10.66</v>
      </c>
      <c r="G67" s="64">
        <v>62.35</v>
      </c>
      <c r="H67" s="64">
        <v>36.380000000000003</v>
      </c>
      <c r="I67" s="64">
        <v>1.46</v>
      </c>
      <c r="J67" s="64">
        <v>0.81</v>
      </c>
      <c r="K67" s="64">
        <v>129.16999999999999</v>
      </c>
      <c r="L67" s="64">
        <v>26.67</v>
      </c>
      <c r="M67" s="64">
        <v>39.03</v>
      </c>
      <c r="N67" s="64">
        <v>134.4</v>
      </c>
      <c r="O67" s="64">
        <v>0</v>
      </c>
      <c r="P67" s="64">
        <v>0.51</v>
      </c>
      <c r="Q67" s="64">
        <v>5.14</v>
      </c>
      <c r="R67" s="198"/>
      <c r="S67" s="198"/>
      <c r="T67" s="198"/>
      <c r="U67" s="198"/>
    </row>
    <row r="68" spans="1:21" s="12" customFormat="1" x14ac:dyDescent="0.25">
      <c r="A68" s="215" t="s">
        <v>307</v>
      </c>
      <c r="B68" s="64">
        <v>2.5499999999999998</v>
      </c>
      <c r="C68" s="64">
        <v>22.73</v>
      </c>
      <c r="D68" s="64">
        <v>15.88</v>
      </c>
      <c r="E68" s="64">
        <v>1.34</v>
      </c>
      <c r="F68" s="64">
        <v>5.14</v>
      </c>
      <c r="G68" s="64">
        <v>57.99</v>
      </c>
      <c r="H68" s="64">
        <v>33.39</v>
      </c>
      <c r="I68" s="64">
        <v>1.48</v>
      </c>
      <c r="J68" s="64">
        <v>0.66</v>
      </c>
      <c r="K68" s="64">
        <v>148.94999999999999</v>
      </c>
      <c r="L68" s="64">
        <v>26.56</v>
      </c>
      <c r="M68" s="64">
        <v>38.08</v>
      </c>
      <c r="N68" s="64">
        <v>120.9</v>
      </c>
      <c r="O68" s="64">
        <v>0</v>
      </c>
      <c r="P68" s="64">
        <v>0.53</v>
      </c>
      <c r="Q68" s="64">
        <v>5.16</v>
      </c>
      <c r="R68" s="198"/>
      <c r="S68" s="198"/>
      <c r="T68" s="198"/>
      <c r="U68" s="198"/>
    </row>
    <row r="69" spans="1:21" s="12" customFormat="1" x14ac:dyDescent="0.25">
      <c r="A69" s="215" t="s">
        <v>308</v>
      </c>
      <c r="B69" s="64">
        <v>2.33</v>
      </c>
      <c r="C69" s="64">
        <v>25.15</v>
      </c>
      <c r="D69" s="64">
        <v>17.04</v>
      </c>
      <c r="E69" s="64">
        <v>1.67</v>
      </c>
      <c r="F69" s="64">
        <v>23.96</v>
      </c>
      <c r="G69" s="64">
        <v>57.99</v>
      </c>
      <c r="H69" s="64">
        <v>33.39</v>
      </c>
      <c r="I69" s="64">
        <v>1.56</v>
      </c>
      <c r="J69" s="64">
        <v>0.46</v>
      </c>
      <c r="K69" s="64">
        <v>99.75</v>
      </c>
      <c r="L69" s="64">
        <v>26.6</v>
      </c>
      <c r="M69" s="64">
        <v>38.6</v>
      </c>
      <c r="N69" s="64">
        <v>107.5</v>
      </c>
      <c r="O69" s="64">
        <v>0</v>
      </c>
      <c r="P69" s="64">
        <v>0.47</v>
      </c>
      <c r="Q69" s="64">
        <v>4.97</v>
      </c>
      <c r="R69" s="198"/>
      <c r="S69" s="198"/>
      <c r="T69" s="198"/>
      <c r="U69" s="198"/>
    </row>
    <row r="70" spans="1:21" s="12" customFormat="1" x14ac:dyDescent="0.25">
      <c r="A70" s="215" t="s">
        <v>309</v>
      </c>
      <c r="B70" s="64">
        <v>2</v>
      </c>
      <c r="C70" s="64">
        <v>20.37</v>
      </c>
      <c r="D70" s="64">
        <v>14.14</v>
      </c>
      <c r="E70" s="64">
        <v>2.08</v>
      </c>
      <c r="F70" s="64">
        <v>14.51</v>
      </c>
      <c r="G70" s="64">
        <v>57.99</v>
      </c>
      <c r="H70" s="64">
        <v>33.39</v>
      </c>
      <c r="I70" s="64">
        <v>1.53</v>
      </c>
      <c r="J70" s="64">
        <v>0.64</v>
      </c>
      <c r="K70" s="64">
        <v>149.30000000000001</v>
      </c>
      <c r="L70" s="64">
        <v>26.25</v>
      </c>
      <c r="M70" s="64">
        <v>39.5</v>
      </c>
      <c r="N70" s="64">
        <v>97.8</v>
      </c>
      <c r="O70" s="64">
        <v>0</v>
      </c>
      <c r="P70" s="64">
        <v>0.46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310</v>
      </c>
      <c r="B71" s="64">
        <v>2</v>
      </c>
      <c r="C71" s="64">
        <v>23.01</v>
      </c>
      <c r="D71" s="64">
        <v>15.59</v>
      </c>
      <c r="E71" s="64">
        <v>2.25</v>
      </c>
      <c r="F71" s="64">
        <v>26.64</v>
      </c>
      <c r="G71" s="64">
        <v>55.72</v>
      </c>
      <c r="H71" s="64">
        <v>31.15</v>
      </c>
      <c r="I71" s="64">
        <v>1.47</v>
      </c>
      <c r="J71" s="64">
        <v>0.34</v>
      </c>
      <c r="K71" s="64">
        <v>156.97999999999999</v>
      </c>
      <c r="L71" s="64">
        <v>26.23</v>
      </c>
      <c r="M71" s="64">
        <v>38.97</v>
      </c>
      <c r="N71" s="64">
        <v>87</v>
      </c>
      <c r="O71" s="64">
        <v>0</v>
      </c>
      <c r="P71" s="64">
        <v>0.41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311</v>
      </c>
      <c r="B72" s="64">
        <v>2.15</v>
      </c>
      <c r="C72" s="64">
        <v>22.27</v>
      </c>
      <c r="D72" s="64">
        <v>15.31</v>
      </c>
      <c r="E72" s="64">
        <v>0.97</v>
      </c>
      <c r="F72" s="64">
        <v>27.09</v>
      </c>
      <c r="G72" s="64">
        <v>53.55</v>
      </c>
      <c r="H72" s="64">
        <v>30.13</v>
      </c>
      <c r="I72" s="64">
        <v>1.45</v>
      </c>
      <c r="J72" s="64">
        <v>0.42</v>
      </c>
      <c r="K72" s="64">
        <v>132.01</v>
      </c>
      <c r="L72" s="64">
        <v>26.14</v>
      </c>
      <c r="M72" s="64">
        <v>40.46</v>
      </c>
      <c r="N72" s="64">
        <v>79</v>
      </c>
      <c r="O72" s="64">
        <v>0</v>
      </c>
      <c r="P72" s="64">
        <v>0.43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312</v>
      </c>
      <c r="B73" s="64">
        <v>3.6</v>
      </c>
      <c r="C73" s="64">
        <v>30.36</v>
      </c>
      <c r="D73" s="64">
        <v>20.94</v>
      </c>
      <c r="E73" s="64">
        <v>2.48</v>
      </c>
      <c r="F73" s="64">
        <v>36.96</v>
      </c>
      <c r="G73" s="64">
        <v>53.55</v>
      </c>
      <c r="H73" s="64">
        <v>30.13</v>
      </c>
      <c r="I73" s="64">
        <v>1.52</v>
      </c>
      <c r="J73" s="64">
        <v>0.3</v>
      </c>
      <c r="K73" s="64">
        <v>134.6</v>
      </c>
      <c r="L73" s="64">
        <v>25.93</v>
      </c>
      <c r="M73" s="64">
        <v>41.76</v>
      </c>
      <c r="N73" s="64">
        <v>71.3</v>
      </c>
      <c r="O73" s="64">
        <v>0</v>
      </c>
      <c r="P73" s="64">
        <v>0.39</v>
      </c>
      <c r="Q73" s="64">
        <v>4.8499999999999996</v>
      </c>
      <c r="R73" s="198"/>
      <c r="S73" s="198"/>
      <c r="T73" s="198"/>
      <c r="U73" s="198"/>
    </row>
    <row r="74" spans="1:21" s="12" customFormat="1" x14ac:dyDescent="0.25">
      <c r="A74" s="215" t="s">
        <v>313</v>
      </c>
      <c r="B74" s="64">
        <v>2</v>
      </c>
      <c r="C74" s="64">
        <v>23.67</v>
      </c>
      <c r="D74" s="64">
        <v>15.96</v>
      </c>
      <c r="E74" s="64">
        <v>2.08</v>
      </c>
      <c r="F74" s="64">
        <v>12.31</v>
      </c>
      <c r="G74" s="64">
        <v>53.55</v>
      </c>
      <c r="H74" s="64">
        <v>30.13</v>
      </c>
      <c r="I74" s="64">
        <v>1.53</v>
      </c>
      <c r="J74" s="64">
        <v>0.86</v>
      </c>
      <c r="K74" s="64">
        <v>107.47</v>
      </c>
      <c r="L74" s="64">
        <v>25.62</v>
      </c>
      <c r="M74" s="64">
        <v>44.11</v>
      </c>
      <c r="N74" s="64">
        <v>61.8</v>
      </c>
      <c r="O74" s="64">
        <v>0</v>
      </c>
      <c r="P74" s="64">
        <v>0.44</v>
      </c>
      <c r="Q74" s="64">
        <v>4.93</v>
      </c>
      <c r="R74" s="198"/>
      <c r="S74" s="198"/>
      <c r="T74" s="198"/>
      <c r="U74" s="198"/>
    </row>
    <row r="75" spans="1:21" s="12" customFormat="1" x14ac:dyDescent="0.25">
      <c r="A75" s="215" t="s">
        <v>314</v>
      </c>
      <c r="B75" s="64">
        <v>2.09</v>
      </c>
      <c r="C75" s="64">
        <v>24.29</v>
      </c>
      <c r="D75" s="64">
        <v>16.37</v>
      </c>
      <c r="E75" s="64">
        <v>1.61</v>
      </c>
      <c r="F75" s="64">
        <v>10.98</v>
      </c>
      <c r="G75" s="64">
        <v>45.18</v>
      </c>
      <c r="H75" s="64">
        <v>27.33</v>
      </c>
      <c r="I75" s="64">
        <v>1.51</v>
      </c>
      <c r="J75" s="64">
        <v>0.96</v>
      </c>
      <c r="K75" s="64">
        <v>107.08</v>
      </c>
      <c r="L75" s="64">
        <v>25.18</v>
      </c>
      <c r="M75" s="64">
        <v>46.57</v>
      </c>
      <c r="N75" s="64">
        <v>51.4</v>
      </c>
      <c r="O75" s="64">
        <v>0</v>
      </c>
      <c r="P75" s="64">
        <v>0.45</v>
      </c>
      <c r="Q75" s="64">
        <v>4.88</v>
      </c>
      <c r="R75" s="198"/>
      <c r="S75" s="198"/>
      <c r="T75" s="198"/>
      <c r="U75" s="198"/>
    </row>
    <row r="76" spans="1:21" s="12" customFormat="1" x14ac:dyDescent="0.25">
      <c r="A76" s="215" t="s">
        <v>315</v>
      </c>
      <c r="B76" s="64">
        <v>4.6900000000000004</v>
      </c>
      <c r="C76" s="64">
        <v>30.95</v>
      </c>
      <c r="D76" s="64">
        <v>22.13</v>
      </c>
      <c r="E76" s="64">
        <v>1.72</v>
      </c>
      <c r="F76" s="64">
        <v>16.21</v>
      </c>
      <c r="G76" s="64">
        <v>37.53</v>
      </c>
      <c r="H76" s="64">
        <v>26.06</v>
      </c>
      <c r="I76" s="64">
        <v>1.48</v>
      </c>
      <c r="J76" s="64">
        <v>0.16</v>
      </c>
      <c r="K76" s="64">
        <v>100.78</v>
      </c>
      <c r="L76" s="64">
        <v>24.8</v>
      </c>
      <c r="M76" s="64">
        <v>49.43</v>
      </c>
      <c r="N76" s="64">
        <v>39.5</v>
      </c>
      <c r="O76" s="64">
        <v>0</v>
      </c>
      <c r="P76" s="64">
        <v>0.53</v>
      </c>
      <c r="Q76" s="64">
        <v>4.66</v>
      </c>
      <c r="R76" s="198"/>
      <c r="S76" s="198"/>
      <c r="T76" s="198"/>
      <c r="U76" s="198"/>
    </row>
    <row r="77" spans="1:21" s="12" customFormat="1" x14ac:dyDescent="0.25">
      <c r="A77" s="215" t="s">
        <v>316</v>
      </c>
      <c r="B77" s="64">
        <v>3.07</v>
      </c>
      <c r="C77" s="64">
        <v>28.88</v>
      </c>
      <c r="D77" s="64">
        <v>19.690000000000001</v>
      </c>
      <c r="E77" s="64">
        <v>1.73</v>
      </c>
      <c r="F77" s="64">
        <v>17.87</v>
      </c>
      <c r="G77" s="64">
        <v>37.53</v>
      </c>
      <c r="H77" s="64">
        <v>26.06</v>
      </c>
      <c r="I77" s="64">
        <v>1.55</v>
      </c>
      <c r="J77" s="64">
        <v>0.34</v>
      </c>
      <c r="K77" s="64">
        <v>101.51</v>
      </c>
      <c r="L77" s="64">
        <v>24.45</v>
      </c>
      <c r="M77" s="64">
        <v>48.95</v>
      </c>
      <c r="N77" s="64">
        <v>29.4</v>
      </c>
      <c r="O77" s="64">
        <v>0</v>
      </c>
      <c r="P77" s="64">
        <v>0.57999999999999996</v>
      </c>
      <c r="Q77" s="64">
        <v>4.45</v>
      </c>
      <c r="R77" s="198"/>
      <c r="S77" s="198"/>
      <c r="T77" s="198"/>
      <c r="U77" s="198"/>
    </row>
    <row r="78" spans="1:21" s="12" customFormat="1" x14ac:dyDescent="0.25">
      <c r="A78" s="215" t="s">
        <v>317</v>
      </c>
      <c r="B78" s="64">
        <v>4.5</v>
      </c>
      <c r="C78" s="64">
        <v>30.93</v>
      </c>
      <c r="D78" s="64">
        <v>21.97</v>
      </c>
      <c r="E78" s="64">
        <v>1.69</v>
      </c>
      <c r="F78" s="64">
        <v>9.15</v>
      </c>
      <c r="G78" s="64">
        <v>37.53</v>
      </c>
      <c r="H78" s="64">
        <v>26.06</v>
      </c>
      <c r="I78" s="64">
        <v>1.44</v>
      </c>
      <c r="J78" s="64">
        <v>0.08</v>
      </c>
      <c r="K78" s="64">
        <v>325.17</v>
      </c>
      <c r="L78" s="64">
        <v>23.98</v>
      </c>
      <c r="M78" s="64">
        <v>54.32</v>
      </c>
      <c r="N78" s="64">
        <v>24.3</v>
      </c>
      <c r="O78" s="64">
        <v>0</v>
      </c>
      <c r="P78" s="64">
        <v>0.71</v>
      </c>
      <c r="Q78" s="64">
        <v>4.47</v>
      </c>
      <c r="R78" s="198"/>
      <c r="S78" s="198"/>
      <c r="T78" s="198"/>
      <c r="U78" s="198"/>
    </row>
    <row r="79" spans="1:21" s="12" customFormat="1" x14ac:dyDescent="0.25">
      <c r="A79" s="215" t="s">
        <v>318</v>
      </c>
      <c r="B79" s="64">
        <v>6.44</v>
      </c>
      <c r="C79" s="64">
        <v>42.14</v>
      </c>
      <c r="D79" s="64">
        <v>29.71</v>
      </c>
      <c r="E79" s="64">
        <v>1.4</v>
      </c>
      <c r="F79" s="64">
        <v>6.45</v>
      </c>
      <c r="G79" s="64">
        <v>55.14</v>
      </c>
      <c r="H79" s="64">
        <v>29.1</v>
      </c>
      <c r="I79" s="64">
        <v>1.43</v>
      </c>
      <c r="J79" s="64">
        <v>0.13</v>
      </c>
      <c r="K79" s="64">
        <v>312.37</v>
      </c>
      <c r="L79" s="64">
        <v>23.44</v>
      </c>
      <c r="M79" s="64">
        <v>59.01</v>
      </c>
      <c r="N79" s="64">
        <v>22.8</v>
      </c>
      <c r="O79" s="64">
        <v>0</v>
      </c>
      <c r="P79" s="64">
        <v>0.75</v>
      </c>
      <c r="Q79" s="64">
        <v>4.3899999999999997</v>
      </c>
      <c r="R79" s="198"/>
      <c r="S79" s="198"/>
      <c r="T79" s="198"/>
      <c r="U79" s="198"/>
    </row>
    <row r="80" spans="1:21" s="12" customFormat="1" x14ac:dyDescent="0.25">
      <c r="A80" s="215" t="s">
        <v>319</v>
      </c>
      <c r="B80" s="64">
        <v>5.67</v>
      </c>
      <c r="C80" s="64">
        <v>39.6</v>
      </c>
      <c r="D80" s="64">
        <v>27.7</v>
      </c>
      <c r="E80" s="64">
        <v>1.65</v>
      </c>
      <c r="F80" s="64">
        <v>12.49</v>
      </c>
      <c r="G80" s="64">
        <v>72</v>
      </c>
      <c r="H80" s="64">
        <v>31.76</v>
      </c>
      <c r="I80" s="64">
        <v>1.52</v>
      </c>
      <c r="J80" s="64">
        <v>0.09</v>
      </c>
      <c r="K80" s="64">
        <v>57.63</v>
      </c>
      <c r="L80" s="64">
        <v>23.22</v>
      </c>
      <c r="M80" s="64">
        <v>58.93</v>
      </c>
      <c r="N80" s="64">
        <v>22.7</v>
      </c>
      <c r="O80" s="64">
        <v>0</v>
      </c>
      <c r="P80" s="64">
        <v>0.75</v>
      </c>
      <c r="Q80" s="64">
        <v>4.21</v>
      </c>
      <c r="R80" s="198"/>
      <c r="S80" s="198"/>
      <c r="T80" s="198"/>
      <c r="U80" s="198"/>
    </row>
    <row r="81" spans="1:26" s="12" customFormat="1" x14ac:dyDescent="0.25">
      <c r="A81" s="215" t="s">
        <v>320</v>
      </c>
      <c r="B81" s="64">
        <v>4.21</v>
      </c>
      <c r="C81" s="64">
        <v>35.56</v>
      </c>
      <c r="D81" s="64">
        <v>24.29</v>
      </c>
      <c r="E81" s="64">
        <v>1.55</v>
      </c>
      <c r="F81" s="64">
        <v>5</v>
      </c>
      <c r="G81" s="64">
        <v>72</v>
      </c>
      <c r="H81" s="64">
        <v>31.76</v>
      </c>
      <c r="I81" s="64">
        <v>1.54</v>
      </c>
      <c r="J81" s="64">
        <v>0.11</v>
      </c>
      <c r="K81" s="64">
        <v>61.76</v>
      </c>
      <c r="L81" s="64">
        <v>22.91</v>
      </c>
      <c r="M81" s="64">
        <v>61.25</v>
      </c>
      <c r="N81" s="64">
        <v>22.8</v>
      </c>
      <c r="O81" s="64">
        <v>0</v>
      </c>
      <c r="P81" s="64">
        <v>0.75</v>
      </c>
      <c r="Q81" s="64">
        <v>4.25</v>
      </c>
      <c r="R81" s="198"/>
      <c r="S81" s="198"/>
      <c r="T81" s="198"/>
      <c r="U81" s="198"/>
    </row>
    <row r="82" spans="1:26" s="12" customFormat="1" x14ac:dyDescent="0.25">
      <c r="A82" s="215" t="s">
        <v>321</v>
      </c>
      <c r="B82" s="64">
        <v>9.2899999999999991</v>
      </c>
      <c r="C82" s="64">
        <v>54.43</v>
      </c>
      <c r="D82" s="64">
        <v>38.78</v>
      </c>
      <c r="E82" s="64">
        <v>1.32</v>
      </c>
      <c r="F82" s="64">
        <v>5.37</v>
      </c>
      <c r="G82" s="64">
        <v>72</v>
      </c>
      <c r="H82" s="64">
        <v>31.76</v>
      </c>
      <c r="I82" s="64">
        <v>1.5</v>
      </c>
      <c r="J82" s="64">
        <v>0.16</v>
      </c>
      <c r="K82" s="64">
        <v>90.25</v>
      </c>
      <c r="L82" s="64">
        <v>22.92</v>
      </c>
      <c r="M82" s="64">
        <v>56.4</v>
      </c>
      <c r="N82" s="64">
        <v>22.7</v>
      </c>
      <c r="O82" s="64">
        <v>0</v>
      </c>
      <c r="P82" s="64">
        <v>1.1299999999999999</v>
      </c>
      <c r="Q82" s="64">
        <v>3.81</v>
      </c>
      <c r="R82" s="198"/>
      <c r="S82" s="198"/>
      <c r="T82" s="198"/>
      <c r="U82" s="198"/>
    </row>
    <row r="83" spans="1:26" s="12" customFormat="1" x14ac:dyDescent="0.25">
      <c r="A83" s="215" t="s">
        <v>322</v>
      </c>
      <c r="B83" s="64">
        <v>6.04</v>
      </c>
      <c r="C83" s="64">
        <v>52.02</v>
      </c>
      <c r="D83" s="64">
        <v>34.840000000000003</v>
      </c>
      <c r="E83" s="64">
        <v>1.84</v>
      </c>
      <c r="F83" s="64">
        <v>8.1300000000000008</v>
      </c>
      <c r="G83" s="64">
        <v>80.55</v>
      </c>
      <c r="H83" s="64">
        <v>32.03</v>
      </c>
      <c r="I83" s="64">
        <v>1.53</v>
      </c>
      <c r="J83" s="64">
        <v>0.12</v>
      </c>
      <c r="K83" s="64">
        <v>102.51</v>
      </c>
      <c r="L83" s="64">
        <v>22.89</v>
      </c>
      <c r="M83" s="64">
        <v>55.81</v>
      </c>
      <c r="N83" s="64">
        <v>22.8</v>
      </c>
      <c r="O83" s="64">
        <v>0</v>
      </c>
      <c r="P83" s="64">
        <v>1.26</v>
      </c>
      <c r="Q83" s="64">
        <v>3.27</v>
      </c>
      <c r="R83" s="198"/>
      <c r="S83" s="198"/>
      <c r="T83" s="198"/>
      <c r="U83" s="198"/>
    </row>
    <row r="84" spans="1:26" s="12" customFormat="1" x14ac:dyDescent="0.25">
      <c r="A84" s="215" t="s">
        <v>323</v>
      </c>
      <c r="B84" s="64">
        <v>7.72</v>
      </c>
      <c r="C84" s="64">
        <v>58.79</v>
      </c>
      <c r="D84" s="64">
        <v>39.93</v>
      </c>
      <c r="E84" s="64">
        <v>2.2799999999999998</v>
      </c>
      <c r="F84" s="64">
        <v>7.44</v>
      </c>
      <c r="G84" s="64">
        <v>88.38</v>
      </c>
      <c r="H84" s="64">
        <v>32.15</v>
      </c>
      <c r="I84" s="64">
        <v>1.36</v>
      </c>
      <c r="J84" s="64">
        <v>0.18</v>
      </c>
      <c r="K84" s="64">
        <v>87.27</v>
      </c>
      <c r="L84" s="64">
        <v>22.75</v>
      </c>
      <c r="M84" s="64">
        <v>56.39</v>
      </c>
      <c r="N84" s="64">
        <v>22.5</v>
      </c>
      <c r="O84" s="64">
        <v>0</v>
      </c>
      <c r="P84" s="64">
        <v>1.31</v>
      </c>
      <c r="Q84" s="64">
        <v>3.04</v>
      </c>
      <c r="R84" s="198"/>
      <c r="S84" s="198"/>
      <c r="T84" s="198"/>
      <c r="U84" s="198"/>
    </row>
    <row r="85" spans="1:26" s="12" customFormat="1" x14ac:dyDescent="0.25">
      <c r="A85" s="215" t="s">
        <v>324</v>
      </c>
      <c r="B85" s="64">
        <v>14.1</v>
      </c>
      <c r="C85" s="64">
        <v>64.44</v>
      </c>
      <c r="D85" s="64">
        <v>48.16</v>
      </c>
      <c r="E85" s="64">
        <v>2.17</v>
      </c>
      <c r="F85" s="64">
        <v>5.15</v>
      </c>
      <c r="G85" s="64">
        <v>88.38</v>
      </c>
      <c r="H85" s="64">
        <v>32.15</v>
      </c>
      <c r="I85" s="64">
        <v>1.52</v>
      </c>
      <c r="J85" s="64">
        <v>0.09</v>
      </c>
      <c r="K85" s="64">
        <v>84.33</v>
      </c>
      <c r="L85" s="64">
        <v>22.75</v>
      </c>
      <c r="M85" s="64">
        <v>56.31</v>
      </c>
      <c r="N85" s="64">
        <v>22.8</v>
      </c>
      <c r="O85" s="64">
        <v>0</v>
      </c>
      <c r="P85" s="64">
        <v>1.56</v>
      </c>
      <c r="Q85" s="64">
        <v>2.8</v>
      </c>
      <c r="R85" s="198"/>
      <c r="S85" s="198"/>
      <c r="T85" s="198"/>
      <c r="U85" s="198"/>
    </row>
    <row r="86" spans="1:26" s="12" customFormat="1" x14ac:dyDescent="0.25">
      <c r="A86" s="215" t="s">
        <v>325</v>
      </c>
      <c r="B86" s="64">
        <v>10.69</v>
      </c>
      <c r="C86" s="64">
        <v>54.38</v>
      </c>
      <c r="D86" s="64">
        <v>39.880000000000003</v>
      </c>
      <c r="E86" s="64">
        <v>1.79</v>
      </c>
      <c r="F86" s="64">
        <v>1.66</v>
      </c>
      <c r="G86" s="64">
        <v>88.38</v>
      </c>
      <c r="H86" s="64">
        <v>32.15</v>
      </c>
      <c r="I86" s="64">
        <v>1.43</v>
      </c>
      <c r="J86" s="64">
        <v>0.1</v>
      </c>
      <c r="K86" s="64">
        <v>76.010000000000005</v>
      </c>
      <c r="L86" s="64">
        <v>22.34</v>
      </c>
      <c r="M86" s="64">
        <v>58.85</v>
      </c>
      <c r="N86" s="64">
        <v>23</v>
      </c>
      <c r="O86" s="64">
        <v>0</v>
      </c>
      <c r="P86" s="64">
        <v>1.28</v>
      </c>
      <c r="Q86" s="64">
        <v>2.7</v>
      </c>
      <c r="R86" s="198"/>
      <c r="S86" s="198"/>
      <c r="T86" s="198"/>
      <c r="U86" s="198"/>
    </row>
    <row r="87" spans="1:26" s="12" customFormat="1" x14ac:dyDescent="0.25">
      <c r="A87" s="215" t="s">
        <v>326</v>
      </c>
      <c r="B87" s="64">
        <v>19.440000000000001</v>
      </c>
      <c r="C87" s="64">
        <v>73.91</v>
      </c>
      <c r="D87" s="64">
        <v>57.67</v>
      </c>
      <c r="E87" s="64">
        <v>1.96</v>
      </c>
      <c r="F87" s="64">
        <v>1.8</v>
      </c>
      <c r="G87" s="64">
        <v>95.63</v>
      </c>
      <c r="H87" s="64">
        <v>38.590000000000003</v>
      </c>
      <c r="I87" s="64">
        <v>1.49</v>
      </c>
      <c r="J87" s="64">
        <v>0.06</v>
      </c>
      <c r="K87" s="64">
        <v>73.36</v>
      </c>
      <c r="L87" s="64">
        <v>22.37</v>
      </c>
      <c r="M87" s="64">
        <v>58.2</v>
      </c>
      <c r="N87" s="64">
        <v>22.7</v>
      </c>
      <c r="O87" s="64">
        <v>0</v>
      </c>
      <c r="P87" s="64">
        <v>1.66</v>
      </c>
      <c r="Q87" s="64">
        <v>2.04</v>
      </c>
      <c r="R87" s="198"/>
      <c r="S87" s="198"/>
      <c r="T87" s="198"/>
      <c r="U87" s="198"/>
    </row>
    <row r="88" spans="1:26" s="12" customFormat="1" x14ac:dyDescent="0.25">
      <c r="A88" s="215" t="s">
        <v>327</v>
      </c>
      <c r="B88" s="64">
        <v>11.4</v>
      </c>
      <c r="C88" s="64">
        <v>34.020000000000003</v>
      </c>
      <c r="D88" s="64">
        <v>29.21</v>
      </c>
      <c r="E88" s="64">
        <v>1.3</v>
      </c>
      <c r="F88" s="64">
        <v>2.89</v>
      </c>
      <c r="G88" s="64">
        <v>102.55</v>
      </c>
      <c r="H88" s="64">
        <v>41.54</v>
      </c>
      <c r="I88" s="64">
        <v>1.5</v>
      </c>
      <c r="J88" s="64">
        <v>0.12</v>
      </c>
      <c r="K88" s="64">
        <v>73.290000000000006</v>
      </c>
      <c r="L88" s="64">
        <v>22.36</v>
      </c>
      <c r="M88" s="64">
        <v>58.99</v>
      </c>
      <c r="N88" s="64">
        <v>22.8</v>
      </c>
      <c r="O88" s="64">
        <v>0</v>
      </c>
      <c r="P88" s="64">
        <v>1.1100000000000001</v>
      </c>
      <c r="Q88" s="64">
        <v>3.27</v>
      </c>
      <c r="R88" s="198"/>
      <c r="S88" s="198"/>
      <c r="T88" s="198"/>
      <c r="U88" s="198"/>
    </row>
    <row r="89" spans="1:26" s="12" customFormat="1" x14ac:dyDescent="0.25">
      <c r="A89" s="215" t="s">
        <v>328</v>
      </c>
      <c r="B89" s="64">
        <v>32.06</v>
      </c>
      <c r="C89" s="64">
        <v>68.62</v>
      </c>
      <c r="D89" s="64">
        <v>64.87</v>
      </c>
      <c r="E89" s="64">
        <v>1.68</v>
      </c>
      <c r="F89" s="64">
        <v>1.63</v>
      </c>
      <c r="G89" s="64">
        <v>102.55</v>
      </c>
      <c r="H89" s="64">
        <v>41.54</v>
      </c>
      <c r="I89" s="64">
        <v>1.5</v>
      </c>
      <c r="J89" s="64">
        <v>0.11</v>
      </c>
      <c r="K89" s="64">
        <v>31.27</v>
      </c>
      <c r="L89" s="64">
        <v>22.35</v>
      </c>
      <c r="M89" s="64">
        <v>60.47</v>
      </c>
      <c r="N89" s="64">
        <v>22.8</v>
      </c>
      <c r="O89" s="64">
        <v>0</v>
      </c>
      <c r="P89" s="64">
        <v>2.11</v>
      </c>
      <c r="Q89" s="64">
        <v>2.99</v>
      </c>
      <c r="R89" s="198"/>
      <c r="S89" s="198"/>
      <c r="T89" s="198"/>
      <c r="U89" s="198"/>
    </row>
    <row r="90" spans="1:26" s="12" customFormat="1" x14ac:dyDescent="0.25">
      <c r="A90" s="215" t="s">
        <v>329</v>
      </c>
      <c r="B90" s="64">
        <v>23.92</v>
      </c>
      <c r="C90" s="64">
        <v>40.549999999999997</v>
      </c>
      <c r="D90" s="64">
        <v>42.85</v>
      </c>
      <c r="E90" s="64">
        <v>1.82</v>
      </c>
      <c r="F90" s="64">
        <v>0.97</v>
      </c>
      <c r="G90" s="64">
        <v>102.55</v>
      </c>
      <c r="H90" s="64">
        <v>41.54</v>
      </c>
      <c r="I90" s="64">
        <v>1.56</v>
      </c>
      <c r="J90" s="64">
        <v>0.06</v>
      </c>
      <c r="K90" s="64">
        <v>26.13</v>
      </c>
      <c r="L90" s="64">
        <v>22.11</v>
      </c>
      <c r="M90" s="64">
        <v>64.650000000000006</v>
      </c>
      <c r="N90" s="64">
        <v>23</v>
      </c>
      <c r="O90" s="64">
        <v>0</v>
      </c>
      <c r="P90" s="64">
        <v>1.69</v>
      </c>
      <c r="Q90" s="64">
        <v>1.98</v>
      </c>
      <c r="R90" s="198"/>
      <c r="S90" s="198"/>
      <c r="T90" s="198"/>
      <c r="U90" s="198"/>
    </row>
    <row r="91" spans="1:26" s="12" customFormat="1" x14ac:dyDescent="0.25">
      <c r="A91" s="215" t="s">
        <v>330</v>
      </c>
      <c r="B91" s="64">
        <v>51.35</v>
      </c>
      <c r="C91" s="64">
        <v>71.010000000000005</v>
      </c>
      <c r="D91" s="64">
        <v>81.66</v>
      </c>
      <c r="E91" s="64">
        <v>1.57</v>
      </c>
      <c r="F91" s="64">
        <v>0.24</v>
      </c>
      <c r="G91" s="64">
        <v>119.04</v>
      </c>
      <c r="H91" s="64">
        <v>44.96</v>
      </c>
      <c r="I91" s="64">
        <v>1.5</v>
      </c>
      <c r="J91" s="64">
        <v>0.08</v>
      </c>
      <c r="K91" s="64">
        <v>38.840000000000003</v>
      </c>
      <c r="L91" s="64">
        <v>21.89</v>
      </c>
      <c r="M91" s="64">
        <v>63.12</v>
      </c>
      <c r="N91" s="64">
        <v>23</v>
      </c>
      <c r="O91" s="64">
        <v>0</v>
      </c>
      <c r="P91" s="64">
        <v>2.37</v>
      </c>
      <c r="Q91" s="64">
        <v>1.67</v>
      </c>
      <c r="R91" s="198"/>
      <c r="S91" s="198"/>
      <c r="T91" s="198"/>
      <c r="U91" s="198"/>
    </row>
    <row r="92" spans="1:26" s="12" customFormat="1" x14ac:dyDescent="0.25">
      <c r="A92" s="215" t="s">
        <v>331</v>
      </c>
      <c r="B92" s="64">
        <v>22.57</v>
      </c>
      <c r="C92" s="64">
        <v>38.74</v>
      </c>
      <c r="D92" s="64">
        <v>40.770000000000003</v>
      </c>
      <c r="E92" s="64">
        <v>1.61</v>
      </c>
      <c r="F92" s="64">
        <v>0.62</v>
      </c>
      <c r="G92" s="64">
        <v>134.13</v>
      </c>
      <c r="H92" s="64">
        <v>46.53</v>
      </c>
      <c r="I92" s="64">
        <v>1.54</v>
      </c>
      <c r="J92" s="64">
        <v>0.09</v>
      </c>
      <c r="K92" s="64">
        <v>81.48</v>
      </c>
      <c r="L92" s="64">
        <v>21.89</v>
      </c>
      <c r="M92" s="64">
        <v>61.17</v>
      </c>
      <c r="N92" s="64">
        <v>22.7</v>
      </c>
      <c r="O92" s="64">
        <v>0</v>
      </c>
      <c r="P92" s="64">
        <v>1.6</v>
      </c>
      <c r="Q92" s="64">
        <v>2.63</v>
      </c>
      <c r="R92" s="198"/>
      <c r="S92" s="198"/>
      <c r="T92" s="198"/>
      <c r="U92" s="198"/>
    </row>
    <row r="93" spans="1:26" s="12" customFormat="1" x14ac:dyDescent="0.25">
      <c r="A93" s="215" t="s">
        <v>332</v>
      </c>
      <c r="B93" s="64">
        <v>19.16</v>
      </c>
      <c r="C93" s="64">
        <v>61.36</v>
      </c>
      <c r="D93" s="64">
        <v>50.53</v>
      </c>
      <c r="E93" s="64">
        <v>1.36</v>
      </c>
      <c r="F93" s="64">
        <v>1.04</v>
      </c>
      <c r="G93" s="64">
        <v>134.13</v>
      </c>
      <c r="H93" s="64">
        <v>46.53</v>
      </c>
      <c r="I93" s="64">
        <v>1.52</v>
      </c>
      <c r="J93" s="64">
        <v>0.1</v>
      </c>
      <c r="K93" s="64">
        <v>35.76</v>
      </c>
      <c r="L93" s="64">
        <v>21.93</v>
      </c>
      <c r="M93" s="64">
        <v>60.5</v>
      </c>
      <c r="N93" s="64">
        <v>22.4</v>
      </c>
      <c r="O93" s="64">
        <v>0</v>
      </c>
      <c r="P93" s="64">
        <v>1.69</v>
      </c>
      <c r="Q93" s="64">
        <v>5.16</v>
      </c>
      <c r="R93" s="198"/>
      <c r="S93" s="198"/>
      <c r="T93" s="198"/>
      <c r="U93" s="198"/>
    </row>
    <row r="94" spans="1:26" s="12" customFormat="1" x14ac:dyDescent="0.25">
      <c r="A94" s="215" t="s">
        <v>333</v>
      </c>
      <c r="B94" s="64">
        <v>26.04</v>
      </c>
      <c r="C94" s="64">
        <v>57.36</v>
      </c>
      <c r="D94" s="64">
        <v>53.83</v>
      </c>
      <c r="E94" s="64">
        <v>1.41</v>
      </c>
      <c r="F94" s="64">
        <v>1.36</v>
      </c>
      <c r="G94" s="64">
        <v>134.13</v>
      </c>
      <c r="H94" s="64">
        <v>46.53</v>
      </c>
      <c r="I94" s="64">
        <v>1.57</v>
      </c>
      <c r="J94" s="64">
        <v>7.0000000000000007E-2</v>
      </c>
      <c r="K94" s="64">
        <v>76.040000000000006</v>
      </c>
      <c r="L94" s="64">
        <v>22.03</v>
      </c>
      <c r="M94" s="64">
        <v>59.75</v>
      </c>
      <c r="N94" s="64">
        <v>22.7</v>
      </c>
      <c r="O94" s="64">
        <v>0</v>
      </c>
      <c r="P94" s="64">
        <v>1.85</v>
      </c>
      <c r="Q94" s="64">
        <v>3.68</v>
      </c>
      <c r="R94" s="198"/>
      <c r="S94" s="198"/>
      <c r="T94" s="198"/>
      <c r="U94" s="198"/>
    </row>
    <row r="95" spans="1:26" s="12" customFormat="1" x14ac:dyDescent="0.25">
      <c r="A95" s="215" t="s">
        <v>334</v>
      </c>
      <c r="B95" s="64">
        <v>19.239999999999998</v>
      </c>
      <c r="C95" s="64">
        <v>53.84</v>
      </c>
      <c r="D95" s="64">
        <v>46.43</v>
      </c>
      <c r="E95" s="64">
        <v>1.52</v>
      </c>
      <c r="F95" s="64">
        <v>1.92</v>
      </c>
      <c r="G95" s="64">
        <v>127.52</v>
      </c>
      <c r="H95" s="64">
        <v>50.25</v>
      </c>
      <c r="I95" s="64">
        <v>1.48</v>
      </c>
      <c r="J95" s="64">
        <v>0.16</v>
      </c>
      <c r="K95" s="64">
        <v>81.25</v>
      </c>
      <c r="L95" s="64">
        <v>21.79</v>
      </c>
      <c r="M95" s="64">
        <v>60.69</v>
      </c>
      <c r="N95" s="64">
        <v>22.9</v>
      </c>
      <c r="O95" s="64">
        <v>0</v>
      </c>
      <c r="P95" s="64">
        <v>1.67</v>
      </c>
      <c r="Q95" s="64">
        <v>4.09</v>
      </c>
      <c r="R95" s="198"/>
      <c r="S95" s="198"/>
      <c r="T95" s="198"/>
      <c r="U95" s="198"/>
    </row>
    <row r="96" spans="1:26" s="12" customFormat="1" x14ac:dyDescent="0.25">
      <c r="A96" s="215" t="s">
        <v>335</v>
      </c>
      <c r="B96" s="64">
        <v>29.08</v>
      </c>
      <c r="C96" s="64">
        <v>57.99</v>
      </c>
      <c r="D96" s="64">
        <v>56.62</v>
      </c>
      <c r="E96" s="64">
        <v>1.37</v>
      </c>
      <c r="F96" s="64">
        <v>2</v>
      </c>
      <c r="G96" s="64">
        <v>121.48</v>
      </c>
      <c r="H96" s="64">
        <v>51.95</v>
      </c>
      <c r="I96" s="64">
        <v>1.52</v>
      </c>
      <c r="J96" s="64">
        <v>0.14000000000000001</v>
      </c>
      <c r="K96" s="64">
        <v>72.989999999999995</v>
      </c>
      <c r="L96" s="64">
        <v>21.64</v>
      </c>
      <c r="M96" s="64">
        <v>61.85</v>
      </c>
      <c r="N96" s="64">
        <v>22.9</v>
      </c>
      <c r="O96" s="64">
        <v>0</v>
      </c>
      <c r="P96" s="64">
        <v>1.69</v>
      </c>
      <c r="Q96" s="64">
        <v>3.96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336</v>
      </c>
      <c r="B97" s="64">
        <v>31.6</v>
      </c>
      <c r="C97" s="64">
        <v>49.98</v>
      </c>
      <c r="D97" s="64">
        <v>54.21</v>
      </c>
      <c r="E97" s="64">
        <v>1.56</v>
      </c>
      <c r="F97" s="64">
        <v>1.29</v>
      </c>
      <c r="G97" s="64">
        <v>121.48</v>
      </c>
      <c r="H97" s="64">
        <v>51.95</v>
      </c>
      <c r="I97" s="64">
        <v>1.48</v>
      </c>
      <c r="J97" s="64">
        <v>0.06</v>
      </c>
      <c r="K97" s="64">
        <v>61.65</v>
      </c>
      <c r="L97" s="64">
        <v>21.47</v>
      </c>
      <c r="M97" s="64">
        <v>64.95</v>
      </c>
      <c r="N97" s="64">
        <v>23</v>
      </c>
      <c r="O97" s="64">
        <v>0</v>
      </c>
      <c r="P97" s="64">
        <v>1.94</v>
      </c>
      <c r="Q97" s="64">
        <v>3.67</v>
      </c>
      <c r="R97" s="198"/>
      <c r="S97" s="198"/>
      <c r="T97" s="198"/>
      <c r="U97" s="198"/>
    </row>
    <row r="98" spans="1:33" s="12" customFormat="1" x14ac:dyDescent="0.25">
      <c r="A98" s="215" t="s">
        <v>337</v>
      </c>
      <c r="B98" s="64">
        <v>25.95</v>
      </c>
      <c r="C98" s="64">
        <v>37.380000000000003</v>
      </c>
      <c r="D98" s="64">
        <v>42.73</v>
      </c>
      <c r="E98" s="64">
        <v>1.35</v>
      </c>
      <c r="F98" s="64">
        <v>0.8</v>
      </c>
      <c r="G98" s="64">
        <v>121.48</v>
      </c>
      <c r="H98" s="64">
        <v>51.95</v>
      </c>
      <c r="I98" s="64">
        <v>1.45</v>
      </c>
      <c r="J98" s="64">
        <v>0.08</v>
      </c>
      <c r="K98" s="64">
        <v>68.84</v>
      </c>
      <c r="L98" s="64">
        <v>21.27</v>
      </c>
      <c r="M98" s="64">
        <v>67.42</v>
      </c>
      <c r="N98" s="64">
        <v>22.8</v>
      </c>
      <c r="O98" s="64">
        <v>0</v>
      </c>
      <c r="P98" s="64">
        <v>1.64</v>
      </c>
      <c r="Q98" s="64">
        <v>4.5599999999999996</v>
      </c>
      <c r="R98" s="198"/>
      <c r="S98" s="198"/>
      <c r="T98" s="198"/>
      <c r="U98" s="198"/>
    </row>
    <row r="99" spans="1:33" s="12" customFormat="1" x14ac:dyDescent="0.25">
      <c r="A99" s="215" t="s">
        <v>338</v>
      </c>
      <c r="B99" s="64">
        <v>22.76</v>
      </c>
      <c r="C99" s="64">
        <v>47.54</v>
      </c>
      <c r="D99" s="64">
        <v>45.78</v>
      </c>
      <c r="E99" s="64">
        <v>1.38</v>
      </c>
      <c r="F99" s="64">
        <v>3.07</v>
      </c>
      <c r="G99" s="64">
        <v>128.44</v>
      </c>
      <c r="H99" s="64">
        <v>53.34</v>
      </c>
      <c r="I99" s="64">
        <v>1.45</v>
      </c>
      <c r="J99" s="64">
        <v>0.12</v>
      </c>
      <c r="K99" s="64">
        <v>80.77</v>
      </c>
      <c r="L99" s="64">
        <v>21.32</v>
      </c>
      <c r="M99" s="64">
        <v>67.650000000000006</v>
      </c>
      <c r="N99" s="64">
        <v>22.6</v>
      </c>
      <c r="O99" s="64">
        <v>0</v>
      </c>
      <c r="P99" s="64">
        <v>1.59</v>
      </c>
      <c r="Q99" s="64">
        <v>5.43</v>
      </c>
      <c r="R99" s="198"/>
      <c r="S99" s="198"/>
      <c r="T99" s="198"/>
      <c r="U99" s="198"/>
    </row>
    <row r="100" spans="1:33" s="12" customFormat="1" x14ac:dyDescent="0.25">
      <c r="A100" s="215" t="s">
        <v>339</v>
      </c>
      <c r="B100" s="64">
        <v>21.66</v>
      </c>
      <c r="C100" s="64">
        <v>35</v>
      </c>
      <c r="D100" s="64">
        <v>37.979999999999997</v>
      </c>
      <c r="E100" s="64">
        <v>1.26</v>
      </c>
      <c r="F100" s="64">
        <v>1.99</v>
      </c>
      <c r="G100" s="64">
        <v>135.09</v>
      </c>
      <c r="H100" s="64">
        <v>54.16</v>
      </c>
      <c r="I100" s="64">
        <v>1.51</v>
      </c>
      <c r="J100" s="64">
        <v>7.0000000000000007E-2</v>
      </c>
      <c r="K100" s="64">
        <v>70</v>
      </c>
      <c r="L100" s="64">
        <v>21.24</v>
      </c>
      <c r="M100" s="64">
        <v>68.92</v>
      </c>
      <c r="N100" s="64">
        <v>22.8</v>
      </c>
      <c r="O100" s="64">
        <v>0</v>
      </c>
      <c r="P100" s="64">
        <v>1.59</v>
      </c>
      <c r="Q100" s="64">
        <v>6.39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340</v>
      </c>
      <c r="B101" s="64">
        <v>20.58</v>
      </c>
      <c r="C101" s="64">
        <v>35.93</v>
      </c>
      <c r="D101" s="64">
        <v>37.619999999999997</v>
      </c>
      <c r="E101" s="64">
        <v>1.26</v>
      </c>
      <c r="F101" s="64">
        <v>2.2200000000000002</v>
      </c>
      <c r="G101" s="64">
        <v>135.09</v>
      </c>
      <c r="H101" s="64">
        <v>54.16</v>
      </c>
      <c r="I101" s="64">
        <v>1.48</v>
      </c>
      <c r="J101" s="64">
        <v>0.18</v>
      </c>
      <c r="K101" s="64">
        <v>100.54</v>
      </c>
      <c r="L101" s="64">
        <v>21.19</v>
      </c>
      <c r="M101" s="64">
        <v>70.02</v>
      </c>
      <c r="N101" s="64">
        <v>22.7</v>
      </c>
      <c r="O101" s="64">
        <v>0</v>
      </c>
      <c r="P101" s="64">
        <v>1.54</v>
      </c>
      <c r="Q101" s="64">
        <v>6.54</v>
      </c>
      <c r="R101" s="198"/>
      <c r="S101" s="198"/>
      <c r="T101" s="198"/>
      <c r="U101" s="198"/>
    </row>
    <row r="102" spans="1:33" s="12" customFormat="1" x14ac:dyDescent="0.25">
      <c r="A102" s="215" t="s">
        <v>341</v>
      </c>
      <c r="B102" s="64">
        <v>21.2</v>
      </c>
      <c r="C102" s="64">
        <v>33.43</v>
      </c>
      <c r="D102" s="64">
        <v>36.74</v>
      </c>
      <c r="E102" s="64">
        <v>1.21</v>
      </c>
      <c r="F102" s="64">
        <v>1.3</v>
      </c>
      <c r="G102" s="64">
        <v>135.09</v>
      </c>
      <c r="H102" s="64">
        <v>54.16</v>
      </c>
      <c r="I102" s="64">
        <v>1.56</v>
      </c>
      <c r="J102" s="64">
        <v>0.02</v>
      </c>
      <c r="K102" s="64">
        <v>40.01</v>
      </c>
      <c r="L102" s="64">
        <v>21.06</v>
      </c>
      <c r="M102" s="64">
        <v>71.400000000000006</v>
      </c>
      <c r="N102" s="64">
        <v>22.9</v>
      </c>
      <c r="O102" s="64">
        <v>0</v>
      </c>
      <c r="P102" s="64">
        <v>1.56</v>
      </c>
      <c r="Q102" s="64">
        <v>6.62</v>
      </c>
      <c r="R102" s="198"/>
      <c r="S102" s="198"/>
      <c r="T102" s="198"/>
      <c r="U102" s="198"/>
    </row>
    <row r="103" spans="1:33" s="12" customFormat="1" x14ac:dyDescent="0.25">
      <c r="A103" s="215" t="s">
        <v>342</v>
      </c>
      <c r="B103" s="64">
        <v>20.190000000000001</v>
      </c>
      <c r="C103" s="64">
        <v>34.43</v>
      </c>
      <c r="D103" s="64">
        <v>36.479999999999997</v>
      </c>
      <c r="E103" s="64">
        <v>1.26</v>
      </c>
      <c r="F103" s="64">
        <v>1.43</v>
      </c>
      <c r="G103" s="64">
        <v>129.38999999999999</v>
      </c>
      <c r="H103" s="64">
        <v>54.16</v>
      </c>
      <c r="I103" s="64">
        <v>1.49</v>
      </c>
      <c r="J103" s="64">
        <v>0.06</v>
      </c>
      <c r="K103" s="64">
        <v>83.89</v>
      </c>
      <c r="L103" s="64">
        <v>20.94</v>
      </c>
      <c r="M103" s="64">
        <v>72.540000000000006</v>
      </c>
      <c r="N103" s="64">
        <v>23</v>
      </c>
      <c r="O103" s="64">
        <v>0</v>
      </c>
      <c r="P103" s="64">
        <v>1.53</v>
      </c>
      <c r="Q103" s="64">
        <v>6.39</v>
      </c>
      <c r="R103" s="198"/>
      <c r="S103" s="198"/>
      <c r="T103" s="198"/>
      <c r="U103" s="198"/>
    </row>
    <row r="104" spans="1:33" s="12" customFormat="1" x14ac:dyDescent="0.25">
      <c r="A104" s="215" t="s">
        <v>343</v>
      </c>
      <c r="B104" s="64">
        <v>19.23</v>
      </c>
      <c r="C104" s="64">
        <v>36.979999999999997</v>
      </c>
      <c r="D104" s="64">
        <v>37.119999999999997</v>
      </c>
      <c r="E104" s="64">
        <v>1.19</v>
      </c>
      <c r="F104" s="64">
        <v>1.55</v>
      </c>
      <c r="G104" s="64">
        <v>124.18</v>
      </c>
      <c r="H104" s="64">
        <v>54.16</v>
      </c>
      <c r="I104" s="64">
        <v>1.54</v>
      </c>
      <c r="J104" s="64">
        <v>0.06</v>
      </c>
      <c r="K104" s="64">
        <v>81.33</v>
      </c>
      <c r="L104" s="64">
        <v>20.73</v>
      </c>
      <c r="M104" s="64">
        <v>74.040000000000006</v>
      </c>
      <c r="N104" s="64">
        <v>23</v>
      </c>
      <c r="O104" s="64">
        <v>0</v>
      </c>
      <c r="P104" s="64">
        <v>1.48</v>
      </c>
      <c r="Q104" s="64">
        <v>6.35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17.98</v>
      </c>
      <c r="D106" s="67">
        <f t="shared" ref="D106:Q106" si="0">MIN(D9:D104)</f>
        <v>13.39</v>
      </c>
      <c r="E106" s="67">
        <f t="shared" si="0"/>
        <v>0.28000000000000003</v>
      </c>
      <c r="F106" s="67">
        <f t="shared" si="0"/>
        <v>7.0000000000000007E-2</v>
      </c>
      <c r="G106" s="67">
        <f t="shared" si="0"/>
        <v>37.53</v>
      </c>
      <c r="H106" s="67">
        <f t="shared" si="0"/>
        <v>26.06</v>
      </c>
      <c r="I106" s="67">
        <f t="shared" si="0"/>
        <v>1.36</v>
      </c>
      <c r="J106" s="67">
        <f t="shared" si="0"/>
        <v>0.01</v>
      </c>
      <c r="K106" s="67">
        <f t="shared" si="0"/>
        <v>3.53</v>
      </c>
      <c r="L106" s="67">
        <f t="shared" si="0"/>
        <v>17.329999999999998</v>
      </c>
      <c r="M106" s="67">
        <f t="shared" si="0"/>
        <v>36.96</v>
      </c>
      <c r="N106" s="67">
        <f t="shared" si="0"/>
        <v>22.4</v>
      </c>
      <c r="O106" s="67">
        <f t="shared" si="0"/>
        <v>0</v>
      </c>
      <c r="P106" s="67">
        <f t="shared" si="0"/>
        <v>0.39</v>
      </c>
      <c r="Q106" s="67">
        <f t="shared" si="0"/>
        <v>1.67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51.35</v>
      </c>
      <c r="C107" s="66">
        <f t="shared" ref="C107:Q107" si="1">MAX(C9:C104)</f>
        <v>73.91</v>
      </c>
      <c r="D107" s="66">
        <f t="shared" si="1"/>
        <v>81.66</v>
      </c>
      <c r="E107" s="66">
        <f t="shared" si="1"/>
        <v>2.48</v>
      </c>
      <c r="F107" s="66">
        <f t="shared" si="1"/>
        <v>36.96</v>
      </c>
      <c r="G107" s="66">
        <f t="shared" si="1"/>
        <v>135.09</v>
      </c>
      <c r="H107" s="66">
        <f t="shared" si="1"/>
        <v>58.01</v>
      </c>
      <c r="I107" s="66">
        <f t="shared" si="1"/>
        <v>1.6</v>
      </c>
      <c r="J107" s="66">
        <f t="shared" si="1"/>
        <v>1.56</v>
      </c>
      <c r="K107" s="66">
        <f t="shared" si="1"/>
        <v>350.89</v>
      </c>
      <c r="L107" s="66">
        <f t="shared" si="1"/>
        <v>28.7</v>
      </c>
      <c r="M107" s="66">
        <f t="shared" si="1"/>
        <v>96.14</v>
      </c>
      <c r="N107" s="66">
        <f t="shared" si="1"/>
        <v>528.9</v>
      </c>
      <c r="O107" s="66">
        <f t="shared" si="1"/>
        <v>0</v>
      </c>
      <c r="P107" s="66">
        <f t="shared" si="1"/>
        <v>2.37</v>
      </c>
      <c r="Q107" s="66">
        <f t="shared" si="1"/>
        <v>6.62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8.6642708333333349</v>
      </c>
      <c r="C108" s="67">
        <f t="shared" ref="C108:Q108" si="2">AVERAGE(C9:C104)</f>
        <v>30.185833333333335</v>
      </c>
      <c r="D108" s="67">
        <f t="shared" si="2"/>
        <v>24.898958333333336</v>
      </c>
      <c r="E108" s="67">
        <f t="shared" si="2"/>
        <v>1.4070833333333328</v>
      </c>
      <c r="F108" s="67">
        <f t="shared" si="2"/>
        <v>4.674687500000001</v>
      </c>
      <c r="G108" s="67">
        <f t="shared" si="2"/>
        <v>87.913958333333312</v>
      </c>
      <c r="H108" s="67">
        <f t="shared" si="2"/>
        <v>44.364895833333343</v>
      </c>
      <c r="I108" s="67">
        <f t="shared" si="2"/>
        <v>1.4984374999999996</v>
      </c>
      <c r="J108" s="67">
        <f t="shared" si="2"/>
        <v>0.31593749999999998</v>
      </c>
      <c r="K108" s="67">
        <f t="shared" si="2"/>
        <v>138.76979166666669</v>
      </c>
      <c r="L108" s="67">
        <f t="shared" si="2"/>
        <v>22.575520833333332</v>
      </c>
      <c r="M108" s="67">
        <f t="shared" si="2"/>
        <v>64.135937500000011</v>
      </c>
      <c r="N108" s="67">
        <f t="shared" si="2"/>
        <v>68.627999999999986</v>
      </c>
      <c r="O108" s="67">
        <f t="shared" si="2"/>
        <v>0</v>
      </c>
      <c r="P108" s="67">
        <f t="shared" si="2"/>
        <v>0.91479166666666678</v>
      </c>
      <c r="Q108" s="67">
        <f t="shared" si="2"/>
        <v>4.8210416666666678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8.7637314504954702</v>
      </c>
      <c r="C109" s="67">
        <f t="shared" ref="C109:Q109" si="3">STDEV(C9:C104)</f>
        <v>13.374482747827292</v>
      </c>
      <c r="D109" s="67">
        <f t="shared" si="3"/>
        <v>13.430899133531145</v>
      </c>
      <c r="E109" s="67">
        <f t="shared" si="3"/>
        <v>0.4752858788841387</v>
      </c>
      <c r="F109" s="67">
        <f t="shared" si="3"/>
        <v>6.5733697123317203</v>
      </c>
      <c r="G109" s="67">
        <f t="shared" si="3"/>
        <v>24.692808008093408</v>
      </c>
      <c r="H109" s="67">
        <f t="shared" si="3"/>
        <v>9.3612649836598436</v>
      </c>
      <c r="I109" s="67">
        <f t="shared" si="3"/>
        <v>4.2607835330827945E-2</v>
      </c>
      <c r="J109" s="67">
        <f t="shared" si="3"/>
        <v>0.32604028851791</v>
      </c>
      <c r="K109" s="67">
        <f t="shared" si="3"/>
        <v>94.230259649649412</v>
      </c>
      <c r="L109" s="67">
        <f t="shared" si="3"/>
        <v>3.3995036386265194</v>
      </c>
      <c r="M109" s="67">
        <f t="shared" si="3"/>
        <v>18.527029959274198</v>
      </c>
      <c r="N109" s="67">
        <f t="shared" si="3"/>
        <v>99.634029734228307</v>
      </c>
      <c r="O109" s="67">
        <f t="shared" si="3"/>
        <v>0</v>
      </c>
      <c r="P109" s="67">
        <f t="shared" si="3"/>
        <v>0.42485658054817421</v>
      </c>
      <c r="Q109" s="67">
        <f t="shared" si="3"/>
        <v>0.91555157854839242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COUNT(N9:N104)+21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344</v>
      </c>
      <c r="B9" s="64">
        <v>17.79</v>
      </c>
      <c r="C9" s="64">
        <v>34.21</v>
      </c>
      <c r="D9" s="64">
        <v>34.44</v>
      </c>
      <c r="E9" s="64">
        <v>1.51</v>
      </c>
      <c r="F9" s="64">
        <v>3.46</v>
      </c>
      <c r="G9" s="64">
        <v>124.18</v>
      </c>
      <c r="H9" s="64">
        <v>54.16</v>
      </c>
      <c r="I9" s="64">
        <v>1.46</v>
      </c>
      <c r="J9" s="64">
        <v>0.1</v>
      </c>
      <c r="K9" s="64">
        <v>320.69</v>
      </c>
      <c r="L9" s="64">
        <v>20.7</v>
      </c>
      <c r="M9" s="64">
        <v>73.86</v>
      </c>
      <c r="N9" s="64">
        <v>22.8</v>
      </c>
      <c r="O9" s="64">
        <v>0</v>
      </c>
      <c r="P9" s="64">
        <v>1.45</v>
      </c>
      <c r="Q9" s="64">
        <v>6.41</v>
      </c>
      <c r="R9" s="198"/>
      <c r="S9" s="198"/>
      <c r="T9" s="198"/>
      <c r="U9" s="198"/>
    </row>
    <row r="10" spans="1:21" s="12" customFormat="1" x14ac:dyDescent="0.25">
      <c r="A10" s="215" t="s">
        <v>345</v>
      </c>
      <c r="B10" s="64">
        <v>12.46</v>
      </c>
      <c r="C10" s="64">
        <v>33.69</v>
      </c>
      <c r="D10" s="64">
        <v>29.88</v>
      </c>
      <c r="E10" s="64">
        <v>1.78</v>
      </c>
      <c r="F10" s="64">
        <v>7.83</v>
      </c>
      <c r="G10" s="64">
        <v>124.18</v>
      </c>
      <c r="H10" s="64">
        <v>54.16</v>
      </c>
      <c r="I10" s="64">
        <v>1.51</v>
      </c>
      <c r="J10" s="64">
        <v>0.23</v>
      </c>
      <c r="K10" s="64">
        <v>339.64</v>
      </c>
      <c r="L10" s="64">
        <v>20.63</v>
      </c>
      <c r="M10" s="64">
        <v>74.430000000000007</v>
      </c>
      <c r="N10" s="64">
        <v>22.7</v>
      </c>
      <c r="O10" s="64">
        <v>0</v>
      </c>
      <c r="P10" s="64">
        <v>1.29</v>
      </c>
      <c r="Q10" s="64">
        <v>6.43</v>
      </c>
      <c r="R10" s="198"/>
      <c r="S10" s="198"/>
      <c r="T10" s="198"/>
      <c r="U10" s="198"/>
    </row>
    <row r="11" spans="1:21" s="12" customFormat="1" x14ac:dyDescent="0.25">
      <c r="A11" s="215" t="s">
        <v>346</v>
      </c>
      <c r="B11" s="64">
        <v>13.94</v>
      </c>
      <c r="C11" s="64">
        <v>30.62</v>
      </c>
      <c r="D11" s="64">
        <v>29.37</v>
      </c>
      <c r="E11" s="64">
        <v>1.65</v>
      </c>
      <c r="F11" s="64">
        <v>6.13</v>
      </c>
      <c r="G11" s="64">
        <v>126.84</v>
      </c>
      <c r="H11" s="64">
        <v>52.96</v>
      </c>
      <c r="I11" s="64">
        <v>1.5</v>
      </c>
      <c r="J11" s="64">
        <v>0.17</v>
      </c>
      <c r="K11" s="64">
        <v>356.68</v>
      </c>
      <c r="L11" s="64">
        <v>20.72</v>
      </c>
      <c r="M11" s="64">
        <v>72.38</v>
      </c>
      <c r="N11" s="64">
        <v>22.9</v>
      </c>
      <c r="O11" s="64">
        <v>0</v>
      </c>
      <c r="P11" s="64">
        <v>1.34</v>
      </c>
      <c r="Q11" s="64">
        <v>6.49</v>
      </c>
      <c r="R11" s="198"/>
      <c r="S11" s="198"/>
      <c r="T11" s="198"/>
      <c r="U11" s="198"/>
    </row>
    <row r="12" spans="1:21" s="12" customFormat="1" x14ac:dyDescent="0.25">
      <c r="A12" s="215" t="s">
        <v>347</v>
      </c>
      <c r="B12" s="64">
        <v>13.38</v>
      </c>
      <c r="C12" s="64">
        <v>30.48</v>
      </c>
      <c r="D12" s="64">
        <v>28.85</v>
      </c>
      <c r="E12" s="64">
        <v>1.86</v>
      </c>
      <c r="F12" s="64">
        <v>5.18</v>
      </c>
      <c r="G12" s="64">
        <v>129.27000000000001</v>
      </c>
      <c r="H12" s="64">
        <v>52.41</v>
      </c>
      <c r="I12" s="64">
        <v>1.5</v>
      </c>
      <c r="J12" s="64">
        <v>7.0000000000000007E-2</v>
      </c>
      <c r="K12" s="64">
        <v>66.69</v>
      </c>
      <c r="L12" s="64">
        <v>20.64</v>
      </c>
      <c r="M12" s="64">
        <v>72.7</v>
      </c>
      <c r="N12" s="64">
        <v>23</v>
      </c>
      <c r="O12" s="64">
        <v>0</v>
      </c>
      <c r="P12" s="64">
        <v>1.31</v>
      </c>
      <c r="Q12" s="64">
        <v>6.51</v>
      </c>
      <c r="R12" s="198"/>
      <c r="S12" s="198"/>
      <c r="T12" s="198"/>
      <c r="U12" s="198"/>
    </row>
    <row r="13" spans="1:21" s="12" customFormat="1" x14ac:dyDescent="0.25">
      <c r="A13" s="215" t="s">
        <v>348</v>
      </c>
      <c r="B13" s="64">
        <v>12.03</v>
      </c>
      <c r="C13" s="64">
        <v>30.78</v>
      </c>
      <c r="D13" s="64">
        <v>27.93</v>
      </c>
      <c r="E13" s="64">
        <v>1.66</v>
      </c>
      <c r="F13" s="64">
        <v>6.38</v>
      </c>
      <c r="G13" s="64">
        <v>129.27000000000001</v>
      </c>
      <c r="H13" s="64">
        <v>52.41</v>
      </c>
      <c r="I13" s="64">
        <v>1.51</v>
      </c>
      <c r="J13" s="64">
        <v>0.1</v>
      </c>
      <c r="K13" s="64">
        <v>89.7</v>
      </c>
      <c r="L13" s="64">
        <v>20.57</v>
      </c>
      <c r="M13" s="64">
        <v>73.44</v>
      </c>
      <c r="N13" s="64">
        <v>23</v>
      </c>
      <c r="O13" s="64">
        <v>0</v>
      </c>
      <c r="P13" s="64">
        <v>1.07</v>
      </c>
      <c r="Q13" s="64">
        <v>6.43</v>
      </c>
      <c r="R13" s="198"/>
      <c r="S13" s="198"/>
      <c r="T13" s="198"/>
      <c r="U13" s="198"/>
    </row>
    <row r="14" spans="1:21" s="12" customFormat="1" x14ac:dyDescent="0.25">
      <c r="A14" s="215" t="s">
        <v>349</v>
      </c>
      <c r="B14" s="64">
        <v>15.57</v>
      </c>
      <c r="C14" s="64">
        <v>28.03</v>
      </c>
      <c r="D14" s="64">
        <v>29.25</v>
      </c>
      <c r="E14" s="64">
        <v>1.8</v>
      </c>
      <c r="F14" s="64">
        <v>0.99</v>
      </c>
      <c r="G14" s="64">
        <v>129.27000000000001</v>
      </c>
      <c r="H14" s="64">
        <v>52.41</v>
      </c>
      <c r="I14" s="64">
        <v>1.52</v>
      </c>
      <c r="J14" s="64">
        <v>0.1</v>
      </c>
      <c r="K14" s="64">
        <v>94.76</v>
      </c>
      <c r="L14" s="64">
        <v>20.51</v>
      </c>
      <c r="M14" s="64">
        <v>74.86</v>
      </c>
      <c r="N14" s="64">
        <v>22.9</v>
      </c>
      <c r="O14" s="64">
        <v>0</v>
      </c>
      <c r="P14" s="64">
        <v>1.31</v>
      </c>
      <c r="Q14" s="64">
        <v>6.32</v>
      </c>
      <c r="R14" s="198"/>
      <c r="S14" s="198"/>
      <c r="T14" s="198"/>
      <c r="U14" s="198"/>
    </row>
    <row r="15" spans="1:21" s="12" customFormat="1" x14ac:dyDescent="0.25">
      <c r="A15" s="215" t="s">
        <v>350</v>
      </c>
      <c r="B15" s="64">
        <v>14.74</v>
      </c>
      <c r="C15" s="64">
        <v>25.03</v>
      </c>
      <c r="D15" s="64">
        <v>26.93</v>
      </c>
      <c r="E15" s="64">
        <v>1.56</v>
      </c>
      <c r="F15" s="64">
        <v>2.86</v>
      </c>
      <c r="G15" s="64">
        <v>123.79</v>
      </c>
      <c r="H15" s="64">
        <v>52.51</v>
      </c>
      <c r="I15" s="64">
        <v>1.49</v>
      </c>
      <c r="J15" s="64">
        <v>0.06</v>
      </c>
      <c r="K15" s="64">
        <v>93.43</v>
      </c>
      <c r="L15" s="64">
        <v>20.54</v>
      </c>
      <c r="M15" s="64">
        <v>75.739999999999995</v>
      </c>
      <c r="N15" s="64">
        <v>23</v>
      </c>
      <c r="O15" s="64">
        <v>0</v>
      </c>
      <c r="P15" s="64">
        <v>1.22</v>
      </c>
      <c r="Q15" s="64">
        <v>6.29</v>
      </c>
      <c r="R15" s="198"/>
      <c r="S15" s="198"/>
      <c r="T15" s="198"/>
      <c r="U15" s="198"/>
    </row>
    <row r="16" spans="1:21" s="12" customFormat="1" x14ac:dyDescent="0.25">
      <c r="A16" s="215" t="s">
        <v>351</v>
      </c>
      <c r="B16" s="64">
        <v>14.67</v>
      </c>
      <c r="C16" s="64">
        <v>27.05</v>
      </c>
      <c r="D16" s="64">
        <v>27.98</v>
      </c>
      <c r="E16" s="64">
        <v>1.34</v>
      </c>
      <c r="F16" s="64">
        <v>1.69</v>
      </c>
      <c r="G16" s="64">
        <v>118.56</v>
      </c>
      <c r="H16" s="64">
        <v>52.55</v>
      </c>
      <c r="I16" s="64">
        <v>1.52</v>
      </c>
      <c r="J16" s="64">
        <v>0.12</v>
      </c>
      <c r="K16" s="64">
        <v>94.38</v>
      </c>
      <c r="L16" s="64">
        <v>20.59</v>
      </c>
      <c r="M16" s="64">
        <v>75.95</v>
      </c>
      <c r="N16" s="64">
        <v>22.9</v>
      </c>
      <c r="O16" s="64">
        <v>0</v>
      </c>
      <c r="P16" s="64">
        <v>1.21</v>
      </c>
      <c r="Q16" s="64">
        <v>6.16</v>
      </c>
      <c r="R16" s="198"/>
      <c r="S16" s="198"/>
      <c r="T16" s="198"/>
      <c r="U16" s="198"/>
    </row>
    <row r="17" spans="1:21" s="12" customFormat="1" x14ac:dyDescent="0.25">
      <c r="A17" s="215" t="s">
        <v>352</v>
      </c>
      <c r="B17" s="64">
        <v>13.07</v>
      </c>
      <c r="C17" s="64">
        <v>25.88</v>
      </c>
      <c r="D17" s="64">
        <v>26.06</v>
      </c>
      <c r="E17" s="64">
        <v>1.74</v>
      </c>
      <c r="F17" s="64">
        <v>3.09</v>
      </c>
      <c r="G17" s="64">
        <v>118.56</v>
      </c>
      <c r="H17" s="64">
        <v>52.55</v>
      </c>
      <c r="I17" s="64">
        <v>1.51</v>
      </c>
      <c r="J17" s="64">
        <v>0.01</v>
      </c>
      <c r="K17" s="64">
        <v>20.8</v>
      </c>
      <c r="L17" s="64">
        <v>20.56</v>
      </c>
      <c r="M17" s="64">
        <v>76.650000000000006</v>
      </c>
      <c r="N17" s="64">
        <v>23</v>
      </c>
      <c r="O17" s="64">
        <v>0</v>
      </c>
      <c r="P17" s="64">
        <v>1.1599999999999999</v>
      </c>
      <c r="Q17" s="64">
        <v>6.09</v>
      </c>
      <c r="R17" s="198"/>
      <c r="S17" s="198"/>
      <c r="T17" s="198"/>
      <c r="U17" s="198"/>
    </row>
    <row r="18" spans="1:21" s="12" customFormat="1" x14ac:dyDescent="0.25">
      <c r="A18" s="215" t="s">
        <v>353</v>
      </c>
      <c r="B18" s="64">
        <v>12.9</v>
      </c>
      <c r="C18" s="64">
        <v>26.96</v>
      </c>
      <c r="D18" s="64">
        <v>26.52</v>
      </c>
      <c r="E18" s="64">
        <v>1.48</v>
      </c>
      <c r="F18" s="64">
        <v>1.37</v>
      </c>
      <c r="G18" s="64">
        <v>118.56</v>
      </c>
      <c r="H18" s="64">
        <v>52.55</v>
      </c>
      <c r="I18" s="64">
        <v>1.44</v>
      </c>
      <c r="J18" s="64">
        <v>0.21</v>
      </c>
      <c r="K18" s="64">
        <v>105.03</v>
      </c>
      <c r="L18" s="64">
        <v>20.53</v>
      </c>
      <c r="M18" s="64">
        <v>77.19</v>
      </c>
      <c r="N18" s="64">
        <v>23.1</v>
      </c>
      <c r="O18" s="64">
        <v>0</v>
      </c>
      <c r="P18" s="64">
        <v>1.1599999999999999</v>
      </c>
      <c r="Q18" s="64">
        <v>6.02</v>
      </c>
      <c r="R18" s="198"/>
      <c r="S18" s="198"/>
      <c r="T18" s="198"/>
      <c r="U18" s="198"/>
    </row>
    <row r="19" spans="1:21" s="12" customFormat="1" x14ac:dyDescent="0.25">
      <c r="A19" s="215" t="s">
        <v>354</v>
      </c>
      <c r="B19" s="64">
        <v>12.26</v>
      </c>
      <c r="C19" s="64">
        <v>25.24</v>
      </c>
      <c r="D19" s="64">
        <v>25.06</v>
      </c>
      <c r="E19" s="64">
        <v>1.57</v>
      </c>
      <c r="F19" s="64">
        <v>1.43</v>
      </c>
      <c r="G19" s="64">
        <v>109.17</v>
      </c>
      <c r="H19" s="64">
        <v>49.76</v>
      </c>
      <c r="I19" s="64">
        <v>1.55</v>
      </c>
      <c r="J19" s="64">
        <v>7.0000000000000007E-2</v>
      </c>
      <c r="K19" s="64">
        <v>45.89</v>
      </c>
      <c r="L19" s="64">
        <v>20.63</v>
      </c>
      <c r="M19" s="64">
        <v>77.099999999999994</v>
      </c>
      <c r="N19" s="64">
        <v>23.3</v>
      </c>
      <c r="O19" s="64">
        <v>0</v>
      </c>
      <c r="P19" s="64">
        <v>1.1599999999999999</v>
      </c>
      <c r="Q19" s="64">
        <v>5.92</v>
      </c>
      <c r="R19" s="198"/>
      <c r="S19" s="198"/>
      <c r="T19" s="198"/>
      <c r="U19" s="198"/>
    </row>
    <row r="20" spans="1:21" s="12" customFormat="1" x14ac:dyDescent="0.25">
      <c r="A20" s="215" t="s">
        <v>355</v>
      </c>
      <c r="B20" s="64">
        <v>11.53</v>
      </c>
      <c r="C20" s="64">
        <v>28.34</v>
      </c>
      <c r="D20" s="64">
        <v>26.18</v>
      </c>
      <c r="E20" s="64">
        <v>1.42</v>
      </c>
      <c r="F20" s="64">
        <v>1.33</v>
      </c>
      <c r="G20" s="64">
        <v>100.19</v>
      </c>
      <c r="H20" s="64">
        <v>48.49</v>
      </c>
      <c r="I20" s="64">
        <v>1.54</v>
      </c>
      <c r="J20" s="64">
        <v>7.0000000000000007E-2</v>
      </c>
      <c r="K20" s="64">
        <v>1.36</v>
      </c>
      <c r="L20" s="64">
        <v>20.62</v>
      </c>
      <c r="M20" s="64">
        <v>77.17</v>
      </c>
      <c r="N20" s="64">
        <v>23.4</v>
      </c>
      <c r="O20" s="64">
        <v>0</v>
      </c>
      <c r="P20" s="64">
        <v>1.1100000000000001</v>
      </c>
      <c r="Q20" s="64">
        <v>5.73</v>
      </c>
      <c r="R20" s="198"/>
      <c r="S20" s="198"/>
      <c r="T20" s="198"/>
      <c r="U20" s="198"/>
    </row>
    <row r="21" spans="1:21" s="12" customFormat="1" x14ac:dyDescent="0.25">
      <c r="A21" s="215" t="s">
        <v>356</v>
      </c>
      <c r="B21" s="64">
        <v>9.74</v>
      </c>
      <c r="C21" s="64">
        <v>24.61</v>
      </c>
      <c r="D21" s="64">
        <v>22.68</v>
      </c>
      <c r="E21" s="64">
        <v>1.8</v>
      </c>
      <c r="F21" s="64">
        <v>6.14</v>
      </c>
      <c r="G21" s="64">
        <v>100.19</v>
      </c>
      <c r="H21" s="64">
        <v>48.49</v>
      </c>
      <c r="I21" s="64">
        <v>1.47</v>
      </c>
      <c r="J21" s="64">
        <v>0.23</v>
      </c>
      <c r="K21" s="64">
        <v>347.2</v>
      </c>
      <c r="L21" s="64">
        <v>20.62</v>
      </c>
      <c r="M21" s="64">
        <v>79.33</v>
      </c>
      <c r="N21" s="64">
        <v>23.4</v>
      </c>
      <c r="O21" s="64">
        <v>0</v>
      </c>
      <c r="P21" s="64">
        <v>0.99</v>
      </c>
      <c r="Q21" s="64">
        <v>5.73</v>
      </c>
      <c r="R21" s="198"/>
      <c r="S21" s="198"/>
      <c r="T21" s="198"/>
      <c r="U21" s="198"/>
    </row>
    <row r="22" spans="1:21" s="12" customFormat="1" x14ac:dyDescent="0.25">
      <c r="A22" s="215" t="s">
        <v>357</v>
      </c>
      <c r="B22" s="64">
        <v>9.1</v>
      </c>
      <c r="C22" s="64">
        <v>23.52</v>
      </c>
      <c r="D22" s="64">
        <v>21.58</v>
      </c>
      <c r="E22" s="64">
        <v>1.86</v>
      </c>
      <c r="F22" s="64">
        <v>2.86</v>
      </c>
      <c r="G22" s="64">
        <v>100.19</v>
      </c>
      <c r="H22" s="64">
        <v>48.49</v>
      </c>
      <c r="I22" s="64">
        <v>1.47</v>
      </c>
      <c r="J22" s="64">
        <v>0.54</v>
      </c>
      <c r="K22" s="64">
        <v>346.03</v>
      </c>
      <c r="L22" s="64">
        <v>20.54</v>
      </c>
      <c r="M22" s="64">
        <v>78.83</v>
      </c>
      <c r="N22" s="64">
        <v>23.1</v>
      </c>
      <c r="O22" s="64">
        <v>0</v>
      </c>
      <c r="P22" s="64">
        <v>1.05</v>
      </c>
      <c r="Q22" s="64">
        <v>5.74</v>
      </c>
      <c r="R22" s="198"/>
      <c r="S22" s="198"/>
      <c r="T22" s="198"/>
      <c r="U22" s="198"/>
    </row>
    <row r="23" spans="1:21" s="12" customFormat="1" x14ac:dyDescent="0.25">
      <c r="A23" s="215" t="s">
        <v>358</v>
      </c>
      <c r="B23" s="64">
        <v>8.66</v>
      </c>
      <c r="C23" s="64">
        <v>24.43</v>
      </c>
      <c r="D23" s="64">
        <v>21.72</v>
      </c>
      <c r="E23" s="64">
        <v>1.82</v>
      </c>
      <c r="F23" s="64">
        <v>6.46</v>
      </c>
      <c r="G23" s="64">
        <v>94.73</v>
      </c>
      <c r="H23" s="64">
        <v>47.92</v>
      </c>
      <c r="I23" s="64">
        <v>1.53</v>
      </c>
      <c r="J23" s="64">
        <v>0.35</v>
      </c>
      <c r="K23" s="64">
        <v>343.42</v>
      </c>
      <c r="L23" s="64">
        <v>20.65</v>
      </c>
      <c r="M23" s="64">
        <v>78.22</v>
      </c>
      <c r="N23" s="64">
        <v>23.3</v>
      </c>
      <c r="O23" s="64">
        <v>0</v>
      </c>
      <c r="P23" s="64">
        <v>0.97</v>
      </c>
      <c r="Q23" s="64">
        <v>5.7</v>
      </c>
      <c r="R23" s="198"/>
      <c r="S23" s="198"/>
      <c r="T23" s="198"/>
      <c r="U23" s="198"/>
    </row>
    <row r="24" spans="1:21" s="12" customFormat="1" x14ac:dyDescent="0.25">
      <c r="A24" s="215" t="s">
        <v>359</v>
      </c>
      <c r="B24" s="64">
        <v>8.2899999999999991</v>
      </c>
      <c r="C24" s="64">
        <v>24.24</v>
      </c>
      <c r="D24" s="64">
        <v>21.32</v>
      </c>
      <c r="E24" s="64">
        <v>0.82</v>
      </c>
      <c r="F24" s="64">
        <v>7.07</v>
      </c>
      <c r="G24" s="64">
        <v>89.51</v>
      </c>
      <c r="H24" s="64">
        <v>47.66</v>
      </c>
      <c r="I24" s="64">
        <v>1.53</v>
      </c>
      <c r="J24" s="64">
        <v>0.1</v>
      </c>
      <c r="K24" s="64">
        <v>330.1</v>
      </c>
      <c r="L24" s="64">
        <v>20.75</v>
      </c>
      <c r="M24" s="64">
        <v>77.459999999999994</v>
      </c>
      <c r="N24" s="64">
        <v>23.6</v>
      </c>
      <c r="O24" s="64">
        <v>0</v>
      </c>
      <c r="P24" s="64">
        <v>0.94</v>
      </c>
      <c r="Q24" s="64">
        <v>5.67</v>
      </c>
      <c r="R24" s="198"/>
      <c r="S24" s="198"/>
      <c r="T24" s="198"/>
      <c r="U24" s="198"/>
    </row>
    <row r="25" spans="1:21" s="12" customFormat="1" x14ac:dyDescent="0.25">
      <c r="A25" s="215" t="s">
        <v>360</v>
      </c>
      <c r="B25" s="64">
        <v>8.19</v>
      </c>
      <c r="C25" s="64">
        <v>25.71</v>
      </c>
      <c r="D25" s="64">
        <v>22.05</v>
      </c>
      <c r="E25" s="64">
        <v>1.29</v>
      </c>
      <c r="F25" s="64">
        <v>4.2699999999999996</v>
      </c>
      <c r="G25" s="64">
        <v>89.51</v>
      </c>
      <c r="H25" s="64">
        <v>47.66</v>
      </c>
      <c r="I25" s="64">
        <v>1.48</v>
      </c>
      <c r="J25" s="64">
        <v>0.18</v>
      </c>
      <c r="K25" s="64">
        <v>64.150000000000006</v>
      </c>
      <c r="L25" s="64">
        <v>20.53</v>
      </c>
      <c r="M25" s="64">
        <v>78.010000000000005</v>
      </c>
      <c r="N25" s="64">
        <v>23.5</v>
      </c>
      <c r="O25" s="64">
        <v>0</v>
      </c>
      <c r="P25" s="64">
        <v>0.97</v>
      </c>
      <c r="Q25" s="64">
        <v>5.56</v>
      </c>
      <c r="R25" s="198"/>
      <c r="S25" s="198"/>
      <c r="T25" s="198"/>
      <c r="U25" s="198"/>
    </row>
    <row r="26" spans="1:21" s="12" customFormat="1" x14ac:dyDescent="0.25">
      <c r="A26" s="215" t="s">
        <v>361</v>
      </c>
      <c r="B26" s="64">
        <v>9.14</v>
      </c>
      <c r="C26" s="64">
        <v>25.95</v>
      </c>
      <c r="D26" s="64">
        <v>22.95</v>
      </c>
      <c r="E26" s="64">
        <v>0.94</v>
      </c>
      <c r="F26" s="64">
        <v>0.36</v>
      </c>
      <c r="G26" s="64">
        <v>89.51</v>
      </c>
      <c r="H26" s="64">
        <v>47.66</v>
      </c>
      <c r="I26" s="64">
        <v>1.49</v>
      </c>
      <c r="J26" s="64">
        <v>0.15</v>
      </c>
      <c r="K26" s="64">
        <v>337.94</v>
      </c>
      <c r="L26" s="64">
        <v>20.399999999999999</v>
      </c>
      <c r="M26" s="64">
        <v>79.42</v>
      </c>
      <c r="N26" s="64">
        <v>23.2</v>
      </c>
      <c r="O26" s="64">
        <v>0</v>
      </c>
      <c r="P26" s="64">
        <v>1.04</v>
      </c>
      <c r="Q26" s="64">
        <v>5.49</v>
      </c>
      <c r="R26" s="198"/>
      <c r="S26" s="198"/>
      <c r="T26" s="198"/>
      <c r="U26" s="198"/>
    </row>
    <row r="27" spans="1:21" s="12" customFormat="1" x14ac:dyDescent="0.25">
      <c r="A27" s="215" t="s">
        <v>362</v>
      </c>
      <c r="B27" s="64">
        <v>9.35</v>
      </c>
      <c r="C27" s="64">
        <v>21.53</v>
      </c>
      <c r="D27" s="64">
        <v>20.67</v>
      </c>
      <c r="E27" s="64">
        <v>1.3</v>
      </c>
      <c r="F27" s="64">
        <v>0.69</v>
      </c>
      <c r="G27" s="64">
        <v>100.48</v>
      </c>
      <c r="H27" s="64">
        <v>53.79</v>
      </c>
      <c r="I27" s="64">
        <v>1.58</v>
      </c>
      <c r="J27" s="64">
        <v>0.36</v>
      </c>
      <c r="K27" s="64">
        <v>345.57</v>
      </c>
      <c r="L27" s="64">
        <v>20.420000000000002</v>
      </c>
      <c r="M27" s="64">
        <v>79.989999999999995</v>
      </c>
      <c r="N27" s="64">
        <v>23.3</v>
      </c>
      <c r="O27" s="64">
        <v>0</v>
      </c>
      <c r="P27" s="64">
        <v>1.07</v>
      </c>
      <c r="Q27" s="64">
        <v>5.51</v>
      </c>
      <c r="R27" s="198"/>
      <c r="S27" s="198"/>
      <c r="T27" s="198"/>
      <c r="U27" s="198"/>
    </row>
    <row r="28" spans="1:21" s="12" customFormat="1" x14ac:dyDescent="0.25">
      <c r="A28" s="215" t="s">
        <v>363</v>
      </c>
      <c r="B28" s="64">
        <v>9.9700000000000006</v>
      </c>
      <c r="C28" s="64">
        <v>28.19</v>
      </c>
      <c r="D28" s="64">
        <v>24.84</v>
      </c>
      <c r="E28" s="64">
        <v>1.1399999999999999</v>
      </c>
      <c r="F28" s="64">
        <v>0.24</v>
      </c>
      <c r="G28" s="64">
        <v>110.98</v>
      </c>
      <c r="H28" s="64">
        <v>56.59</v>
      </c>
      <c r="I28" s="64">
        <v>1.56</v>
      </c>
      <c r="J28" s="64">
        <v>0.44</v>
      </c>
      <c r="K28" s="64">
        <v>337.49</v>
      </c>
      <c r="L28" s="64">
        <v>20.5</v>
      </c>
      <c r="M28" s="64">
        <v>80.09</v>
      </c>
      <c r="N28" s="64">
        <v>23.4</v>
      </c>
      <c r="O28" s="64">
        <v>0</v>
      </c>
      <c r="P28" s="64">
        <v>1.1000000000000001</v>
      </c>
      <c r="Q28" s="64">
        <v>5.49</v>
      </c>
      <c r="R28" s="198"/>
      <c r="S28" s="198"/>
      <c r="T28" s="198"/>
      <c r="U28" s="198"/>
    </row>
    <row r="29" spans="1:21" s="12" customFormat="1" x14ac:dyDescent="0.25">
      <c r="A29" s="215" t="s">
        <v>364</v>
      </c>
      <c r="B29" s="64">
        <v>11.01</v>
      </c>
      <c r="C29" s="64">
        <v>24.1</v>
      </c>
      <c r="D29" s="64">
        <v>23.42</v>
      </c>
      <c r="E29" s="64">
        <v>1.36</v>
      </c>
      <c r="F29" s="64">
        <v>0.55000000000000004</v>
      </c>
      <c r="G29" s="64">
        <v>110.98</v>
      </c>
      <c r="H29" s="64">
        <v>56.59</v>
      </c>
      <c r="I29" s="64">
        <v>1.51</v>
      </c>
      <c r="J29" s="64">
        <v>0.14000000000000001</v>
      </c>
      <c r="K29" s="64">
        <v>343.55</v>
      </c>
      <c r="L29" s="64">
        <v>20.38</v>
      </c>
      <c r="M29" s="64">
        <v>80.94</v>
      </c>
      <c r="N29" s="64">
        <v>23.5</v>
      </c>
      <c r="O29" s="64">
        <v>0</v>
      </c>
      <c r="P29" s="64">
        <v>1.1399999999999999</v>
      </c>
      <c r="Q29" s="64">
        <v>5.5</v>
      </c>
      <c r="R29" s="198"/>
      <c r="S29" s="198"/>
      <c r="T29" s="198"/>
      <c r="U29" s="198"/>
    </row>
    <row r="30" spans="1:21" s="12" customFormat="1" x14ac:dyDescent="0.25">
      <c r="A30" s="215" t="s">
        <v>365</v>
      </c>
      <c r="B30" s="64">
        <v>11.57</v>
      </c>
      <c r="C30" s="64">
        <v>26.96</v>
      </c>
      <c r="D30" s="64">
        <v>25.45</v>
      </c>
      <c r="E30" s="64">
        <v>1.08</v>
      </c>
      <c r="F30" s="64">
        <v>0.21</v>
      </c>
      <c r="G30" s="64">
        <v>110.98</v>
      </c>
      <c r="H30" s="64">
        <v>56.59</v>
      </c>
      <c r="I30" s="64">
        <v>1.47</v>
      </c>
      <c r="J30" s="64">
        <v>0.48</v>
      </c>
      <c r="K30" s="64">
        <v>332.88</v>
      </c>
      <c r="L30" s="64">
        <v>20.29</v>
      </c>
      <c r="M30" s="64">
        <v>80.11</v>
      </c>
      <c r="N30" s="64">
        <v>23.5</v>
      </c>
      <c r="O30" s="64">
        <v>0</v>
      </c>
      <c r="P30" s="64">
        <v>1.19</v>
      </c>
      <c r="Q30" s="64">
        <v>5.55</v>
      </c>
      <c r="R30" s="198"/>
      <c r="S30" s="198"/>
      <c r="T30" s="198"/>
      <c r="U30" s="198"/>
    </row>
    <row r="31" spans="1:21" s="12" customFormat="1" x14ac:dyDescent="0.25">
      <c r="A31" s="215" t="s">
        <v>366</v>
      </c>
      <c r="B31" s="64">
        <v>11.78</v>
      </c>
      <c r="C31" s="64">
        <v>25.22</v>
      </c>
      <c r="D31" s="64">
        <v>24.66</v>
      </c>
      <c r="E31" s="64">
        <v>1.25</v>
      </c>
      <c r="F31" s="64">
        <v>0.61</v>
      </c>
      <c r="G31" s="64">
        <v>174.77</v>
      </c>
      <c r="H31" s="64">
        <v>68.45</v>
      </c>
      <c r="I31" s="64">
        <v>1.51</v>
      </c>
      <c r="J31" s="64">
        <v>0.18</v>
      </c>
      <c r="K31" s="64">
        <v>326.76</v>
      </c>
      <c r="L31" s="64">
        <v>20.190000000000001</v>
      </c>
      <c r="M31" s="64">
        <v>79.989999999999995</v>
      </c>
      <c r="N31" s="64">
        <v>23.7</v>
      </c>
      <c r="O31" s="64">
        <v>0</v>
      </c>
      <c r="P31" s="64">
        <v>1.2</v>
      </c>
      <c r="Q31" s="64">
        <v>5.68</v>
      </c>
      <c r="R31" s="198"/>
      <c r="S31" s="198"/>
      <c r="T31" s="198"/>
      <c r="U31" s="198"/>
    </row>
    <row r="32" spans="1:21" s="12" customFormat="1" x14ac:dyDescent="0.25">
      <c r="A32" s="215" t="s">
        <v>367</v>
      </c>
      <c r="B32" s="64">
        <v>11.93</v>
      </c>
      <c r="C32" s="64">
        <v>28.3</v>
      </c>
      <c r="D32" s="64">
        <v>26.48</v>
      </c>
      <c r="E32" s="64">
        <v>1.23</v>
      </c>
      <c r="F32" s="64">
        <v>0.2</v>
      </c>
      <c r="G32" s="64">
        <v>235.78</v>
      </c>
      <c r="H32" s="64">
        <v>78.819999999999993</v>
      </c>
      <c r="I32" s="64">
        <v>1.51</v>
      </c>
      <c r="J32" s="64">
        <v>0.33</v>
      </c>
      <c r="K32" s="64">
        <v>336.64</v>
      </c>
      <c r="L32" s="64">
        <v>20.100000000000001</v>
      </c>
      <c r="M32" s="64">
        <v>80.61</v>
      </c>
      <c r="N32" s="64">
        <v>24.9</v>
      </c>
      <c r="O32" s="64">
        <v>0</v>
      </c>
      <c r="P32" s="64">
        <v>1.23</v>
      </c>
      <c r="Q32" s="64">
        <v>5.61</v>
      </c>
      <c r="R32" s="198"/>
      <c r="S32" s="198"/>
      <c r="T32" s="198"/>
      <c r="U32" s="198"/>
    </row>
    <row r="33" spans="1:21" s="12" customFormat="1" x14ac:dyDescent="0.25">
      <c r="A33" s="215" t="s">
        <v>368</v>
      </c>
      <c r="B33" s="64">
        <v>11.96</v>
      </c>
      <c r="C33" s="64">
        <v>26.97</v>
      </c>
      <c r="D33" s="64">
        <v>25.77</v>
      </c>
      <c r="E33" s="64">
        <v>1.19</v>
      </c>
      <c r="F33" s="64">
        <v>1.1499999999999999</v>
      </c>
      <c r="G33" s="64">
        <v>235.78</v>
      </c>
      <c r="H33" s="64">
        <v>78.819999999999993</v>
      </c>
      <c r="I33" s="64">
        <v>1.59</v>
      </c>
      <c r="J33" s="64">
        <v>0.34</v>
      </c>
      <c r="K33" s="64">
        <v>341.24</v>
      </c>
      <c r="L33" s="64">
        <v>20</v>
      </c>
      <c r="M33" s="64">
        <v>80.7</v>
      </c>
      <c r="N33" s="64">
        <v>30.6</v>
      </c>
      <c r="O33" s="64">
        <v>0</v>
      </c>
      <c r="P33" s="64">
        <v>1.22</v>
      </c>
      <c r="Q33" s="64">
        <v>5.61</v>
      </c>
      <c r="R33" s="198"/>
      <c r="S33" s="198"/>
      <c r="T33" s="198"/>
      <c r="U33" s="198"/>
    </row>
    <row r="34" spans="1:21" s="12" customFormat="1" x14ac:dyDescent="0.25">
      <c r="A34" s="215" t="s">
        <v>369</v>
      </c>
      <c r="B34" s="64">
        <v>12.45</v>
      </c>
      <c r="C34" s="64">
        <v>27.8</v>
      </c>
      <c r="D34" s="64">
        <v>26.62</v>
      </c>
      <c r="E34" s="64">
        <v>1.46</v>
      </c>
      <c r="F34" s="64">
        <v>1.66</v>
      </c>
      <c r="G34" s="64">
        <v>235.78</v>
      </c>
      <c r="H34" s="64">
        <v>78.819999999999993</v>
      </c>
      <c r="I34" s="64">
        <v>1.54</v>
      </c>
      <c r="J34" s="64">
        <v>0.3</v>
      </c>
      <c r="K34" s="64">
        <v>352.59</v>
      </c>
      <c r="L34" s="64">
        <v>19.93</v>
      </c>
      <c r="M34" s="64">
        <v>81.900000000000006</v>
      </c>
      <c r="N34" s="64">
        <v>34.799999999999997</v>
      </c>
      <c r="O34" s="64">
        <v>0</v>
      </c>
      <c r="P34" s="64">
        <v>1.2</v>
      </c>
      <c r="Q34" s="64">
        <v>5.63</v>
      </c>
      <c r="R34" s="198"/>
      <c r="S34" s="198"/>
      <c r="T34" s="198"/>
      <c r="U34" s="198"/>
    </row>
    <row r="35" spans="1:21" s="12" customFormat="1" x14ac:dyDescent="0.25">
      <c r="A35" s="215" t="s">
        <v>370</v>
      </c>
      <c r="B35" s="64">
        <v>13.77</v>
      </c>
      <c r="C35" s="64">
        <v>23.59</v>
      </c>
      <c r="D35" s="64">
        <v>25.35</v>
      </c>
      <c r="E35" s="64">
        <v>1.35</v>
      </c>
      <c r="F35" s="64">
        <v>0.87</v>
      </c>
      <c r="G35" s="64">
        <v>188.79</v>
      </c>
      <c r="H35" s="64">
        <v>76.209999999999994</v>
      </c>
      <c r="I35" s="64">
        <v>1.55</v>
      </c>
      <c r="J35" s="64">
        <v>0.28999999999999998</v>
      </c>
      <c r="K35" s="64">
        <v>100.78</v>
      </c>
      <c r="L35" s="64">
        <v>19.829999999999998</v>
      </c>
      <c r="M35" s="64">
        <v>82.88</v>
      </c>
      <c r="N35" s="64">
        <v>38.4</v>
      </c>
      <c r="O35" s="64">
        <v>0</v>
      </c>
      <c r="P35" s="64">
        <v>1.21</v>
      </c>
      <c r="Q35" s="64">
        <v>5.23</v>
      </c>
      <c r="R35" s="198"/>
      <c r="S35" s="198"/>
      <c r="T35" s="198"/>
      <c r="U35" s="198"/>
    </row>
    <row r="36" spans="1:21" s="12" customFormat="1" x14ac:dyDescent="0.25">
      <c r="A36" s="215" t="s">
        <v>371</v>
      </c>
      <c r="B36" s="64">
        <v>12.25</v>
      </c>
      <c r="C36" s="64">
        <v>25.39</v>
      </c>
      <c r="D36" s="64">
        <v>25.13</v>
      </c>
      <c r="E36" s="64">
        <v>1.58</v>
      </c>
      <c r="F36" s="64">
        <v>1.08</v>
      </c>
      <c r="G36" s="64">
        <v>145.80000000000001</v>
      </c>
      <c r="H36" s="64">
        <v>75.010000000000005</v>
      </c>
      <c r="I36" s="64">
        <v>1.51</v>
      </c>
      <c r="J36" s="64">
        <v>0.37</v>
      </c>
      <c r="K36" s="64">
        <v>104.61</v>
      </c>
      <c r="L36" s="64">
        <v>19.93</v>
      </c>
      <c r="M36" s="64">
        <v>82.87</v>
      </c>
      <c r="N36" s="64">
        <v>55.3</v>
      </c>
      <c r="O36" s="64">
        <v>0</v>
      </c>
      <c r="P36" s="64">
        <v>1.2</v>
      </c>
      <c r="Q36" s="64">
        <v>5.65</v>
      </c>
      <c r="R36" s="198"/>
      <c r="S36" s="198"/>
      <c r="T36" s="198"/>
      <c r="U36" s="198"/>
    </row>
    <row r="37" spans="1:21" s="12" customFormat="1" x14ac:dyDescent="0.25">
      <c r="A37" s="215" t="s">
        <v>372</v>
      </c>
      <c r="B37" s="64">
        <v>12.43</v>
      </c>
      <c r="C37" s="64">
        <v>26.4</v>
      </c>
      <c r="D37" s="64">
        <v>25.83</v>
      </c>
      <c r="E37" s="64">
        <v>1.45</v>
      </c>
      <c r="F37" s="64">
        <v>0.96</v>
      </c>
      <c r="G37" s="64">
        <v>145.80000000000001</v>
      </c>
      <c r="H37" s="64">
        <v>75.010000000000005</v>
      </c>
      <c r="I37" s="64">
        <v>1.54</v>
      </c>
      <c r="J37" s="64">
        <v>0.56000000000000005</v>
      </c>
      <c r="K37" s="64">
        <v>108.31</v>
      </c>
      <c r="L37" s="64">
        <v>20.260000000000002</v>
      </c>
      <c r="M37" s="64">
        <v>82.3</v>
      </c>
      <c r="N37" s="64">
        <v>56.1</v>
      </c>
      <c r="O37" s="64">
        <v>0</v>
      </c>
      <c r="P37" s="64">
        <v>1.1599999999999999</v>
      </c>
      <c r="Q37" s="64">
        <v>5.63</v>
      </c>
      <c r="R37" s="198"/>
      <c r="S37" s="198"/>
      <c r="T37" s="198"/>
      <c r="U37" s="198"/>
    </row>
    <row r="38" spans="1:21" s="12" customFormat="1" x14ac:dyDescent="0.25">
      <c r="A38" s="215" t="s">
        <v>373</v>
      </c>
      <c r="B38" s="64">
        <v>11.73</v>
      </c>
      <c r="C38" s="64">
        <v>23.93</v>
      </c>
      <c r="D38" s="64">
        <v>23.91</v>
      </c>
      <c r="E38" s="64">
        <v>1.5</v>
      </c>
      <c r="F38" s="64">
        <v>1.53</v>
      </c>
      <c r="G38" s="64">
        <v>145.80000000000001</v>
      </c>
      <c r="H38" s="64">
        <v>75.010000000000005</v>
      </c>
      <c r="I38" s="64">
        <v>1.51</v>
      </c>
      <c r="J38" s="64">
        <v>1.23</v>
      </c>
      <c r="K38" s="64">
        <v>114.94</v>
      </c>
      <c r="L38" s="64">
        <v>20.45</v>
      </c>
      <c r="M38" s="64">
        <v>81.12</v>
      </c>
      <c r="N38" s="64">
        <v>96.4</v>
      </c>
      <c r="O38" s="64">
        <v>0</v>
      </c>
      <c r="P38" s="64">
        <v>1.17</v>
      </c>
      <c r="Q38" s="64">
        <v>5.7</v>
      </c>
      <c r="R38" s="198"/>
      <c r="S38" s="198"/>
      <c r="T38" s="198"/>
      <c r="U38" s="198"/>
    </row>
    <row r="39" spans="1:21" s="12" customFormat="1" x14ac:dyDescent="0.25">
      <c r="A39" s="215" t="s">
        <v>374</v>
      </c>
      <c r="B39" s="64">
        <v>11.11</v>
      </c>
      <c r="C39" s="64">
        <v>25.25</v>
      </c>
      <c r="D39" s="64">
        <v>24.14</v>
      </c>
      <c r="E39" s="64">
        <v>1.5</v>
      </c>
      <c r="F39" s="64">
        <v>0.91</v>
      </c>
      <c r="G39" s="64">
        <v>121.98</v>
      </c>
      <c r="H39" s="64">
        <v>70.13</v>
      </c>
      <c r="I39" s="64">
        <v>1.48</v>
      </c>
      <c r="J39" s="64">
        <v>0.57999999999999996</v>
      </c>
      <c r="K39" s="64">
        <v>105.84</v>
      </c>
      <c r="L39" s="64">
        <v>20.77</v>
      </c>
      <c r="M39" s="64">
        <v>79.989999999999995</v>
      </c>
      <c r="N39" s="64">
        <v>101.9</v>
      </c>
      <c r="O39" s="64">
        <v>0</v>
      </c>
      <c r="P39" s="64">
        <v>1.1499999999999999</v>
      </c>
      <c r="Q39" s="64">
        <v>5.64</v>
      </c>
      <c r="R39" s="198"/>
      <c r="S39" s="198"/>
      <c r="T39" s="198"/>
      <c r="U39" s="198"/>
    </row>
    <row r="40" spans="1:21" s="12" customFormat="1" x14ac:dyDescent="0.25">
      <c r="A40" s="215" t="s">
        <v>375</v>
      </c>
      <c r="B40" s="64">
        <v>10.72</v>
      </c>
      <c r="C40" s="64">
        <v>25.03</v>
      </c>
      <c r="D40" s="64">
        <v>23.7</v>
      </c>
      <c r="E40" s="64">
        <v>0.6</v>
      </c>
      <c r="F40" s="64">
        <v>0.91</v>
      </c>
      <c r="G40" s="64">
        <v>100.18</v>
      </c>
      <c r="H40" s="64">
        <v>67.900000000000006</v>
      </c>
      <c r="I40" s="64">
        <v>1.48</v>
      </c>
      <c r="J40" s="64">
        <v>0.27</v>
      </c>
      <c r="K40" s="64">
        <v>103.13</v>
      </c>
      <c r="L40" s="64">
        <v>21.18</v>
      </c>
      <c r="M40" s="64">
        <v>78.760000000000005</v>
      </c>
      <c r="N40" s="64">
        <v>94</v>
      </c>
      <c r="O40" s="64">
        <v>0</v>
      </c>
      <c r="P40" s="64">
        <v>1.1499999999999999</v>
      </c>
      <c r="Q40" s="64">
        <v>5.65</v>
      </c>
      <c r="R40" s="198"/>
      <c r="S40" s="198"/>
      <c r="T40" s="198"/>
      <c r="U40" s="198"/>
    </row>
    <row r="41" spans="1:21" s="12" customFormat="1" x14ac:dyDescent="0.25">
      <c r="A41" s="215" t="s">
        <v>376</v>
      </c>
      <c r="B41" s="64">
        <v>10.82</v>
      </c>
      <c r="C41" s="64">
        <v>26.96</v>
      </c>
      <c r="D41" s="64">
        <v>24.85</v>
      </c>
      <c r="E41" s="64">
        <v>1.03</v>
      </c>
      <c r="F41" s="64">
        <v>0.79</v>
      </c>
      <c r="G41" s="64">
        <v>100.18</v>
      </c>
      <c r="H41" s="64">
        <v>67.900000000000006</v>
      </c>
      <c r="I41" s="64">
        <v>1.47</v>
      </c>
      <c r="J41" s="64">
        <v>0.3</v>
      </c>
      <c r="K41" s="64">
        <v>43.26</v>
      </c>
      <c r="L41" s="64">
        <v>21.46</v>
      </c>
      <c r="M41" s="64">
        <v>78.06</v>
      </c>
      <c r="N41" s="64">
        <v>128.6</v>
      </c>
      <c r="O41" s="64">
        <v>0</v>
      </c>
      <c r="P41" s="64">
        <v>1.1399999999999999</v>
      </c>
      <c r="Q41" s="64">
        <v>5.57</v>
      </c>
      <c r="R41" s="198"/>
      <c r="S41" s="198"/>
      <c r="T41" s="198"/>
      <c r="U41" s="198"/>
    </row>
    <row r="42" spans="1:21" s="12" customFormat="1" x14ac:dyDescent="0.25">
      <c r="A42" s="215" t="s">
        <v>377</v>
      </c>
      <c r="B42" s="64">
        <v>10.84</v>
      </c>
      <c r="C42" s="64">
        <v>26.36</v>
      </c>
      <c r="D42" s="64">
        <v>24.53</v>
      </c>
      <c r="E42" s="64">
        <v>1.23</v>
      </c>
      <c r="F42" s="64">
        <v>1.03</v>
      </c>
      <c r="G42" s="64">
        <v>100.18</v>
      </c>
      <c r="H42" s="64">
        <v>67.900000000000006</v>
      </c>
      <c r="I42" s="64">
        <v>1.49</v>
      </c>
      <c r="J42" s="64">
        <v>0.26</v>
      </c>
      <c r="K42" s="64">
        <v>54.49</v>
      </c>
      <c r="L42" s="64">
        <v>22.36</v>
      </c>
      <c r="M42" s="64">
        <v>73.25</v>
      </c>
      <c r="N42" s="64">
        <v>184.6</v>
      </c>
      <c r="O42" s="64">
        <v>0</v>
      </c>
      <c r="P42" s="64">
        <v>1.1399999999999999</v>
      </c>
      <c r="Q42" s="64">
        <v>5.56</v>
      </c>
      <c r="R42" s="198"/>
      <c r="S42" s="198"/>
      <c r="T42" s="198"/>
      <c r="U42" s="198"/>
    </row>
    <row r="43" spans="1:21" s="12" customFormat="1" x14ac:dyDescent="0.25">
      <c r="A43" s="215" t="s">
        <v>378</v>
      </c>
      <c r="B43" s="64">
        <v>10.37</v>
      </c>
      <c r="C43" s="64">
        <v>24.29</v>
      </c>
      <c r="D43" s="64">
        <v>23.01</v>
      </c>
      <c r="E43" s="64">
        <v>1.25</v>
      </c>
      <c r="F43" s="64">
        <v>1.06</v>
      </c>
      <c r="G43" s="64">
        <v>117.62</v>
      </c>
      <c r="H43" s="64">
        <v>66.91</v>
      </c>
      <c r="I43" s="64">
        <v>1.51</v>
      </c>
      <c r="J43" s="64">
        <v>0.5</v>
      </c>
      <c r="K43" s="64">
        <v>104.8</v>
      </c>
      <c r="L43" s="64">
        <v>22.34</v>
      </c>
      <c r="M43" s="64">
        <v>74.02</v>
      </c>
      <c r="N43" s="64">
        <v>208.5</v>
      </c>
      <c r="O43" s="64">
        <v>0</v>
      </c>
      <c r="P43" s="64">
        <v>1.1299999999999999</v>
      </c>
      <c r="Q43" s="64">
        <v>5.63</v>
      </c>
      <c r="R43" s="198"/>
      <c r="S43" s="198"/>
      <c r="T43" s="198"/>
      <c r="U43" s="198"/>
    </row>
    <row r="44" spans="1:21" s="12" customFormat="1" x14ac:dyDescent="0.25">
      <c r="A44" s="215" t="s">
        <v>379</v>
      </c>
      <c r="B44" s="64">
        <v>9.58</v>
      </c>
      <c r="C44" s="64">
        <v>28.71</v>
      </c>
      <c r="D44" s="64">
        <v>24.82</v>
      </c>
      <c r="E44" s="64">
        <v>1.31</v>
      </c>
      <c r="F44" s="64">
        <v>2.4900000000000002</v>
      </c>
      <c r="G44" s="64">
        <v>134.29</v>
      </c>
      <c r="H44" s="64">
        <v>66.459999999999994</v>
      </c>
      <c r="I44" s="64">
        <v>1.53</v>
      </c>
      <c r="J44" s="64">
        <v>0.78</v>
      </c>
      <c r="K44" s="64">
        <v>111.97</v>
      </c>
      <c r="L44" s="64">
        <v>22.45</v>
      </c>
      <c r="M44" s="64">
        <v>73.72</v>
      </c>
      <c r="N44" s="64">
        <v>189.3</v>
      </c>
      <c r="O44" s="64">
        <v>0</v>
      </c>
      <c r="P44" s="64">
        <v>1.0900000000000001</v>
      </c>
      <c r="Q44" s="64">
        <v>5.51</v>
      </c>
      <c r="R44" s="198"/>
      <c r="S44" s="198"/>
      <c r="T44" s="198"/>
      <c r="U44" s="198"/>
    </row>
    <row r="45" spans="1:21" s="12" customFormat="1" x14ac:dyDescent="0.25">
      <c r="A45" s="215" t="s">
        <v>380</v>
      </c>
      <c r="B45" s="64">
        <v>8.36</v>
      </c>
      <c r="C45" s="64">
        <v>28.01</v>
      </c>
      <c r="D45" s="64">
        <v>23.45</v>
      </c>
      <c r="E45" s="64">
        <v>1.28</v>
      </c>
      <c r="F45" s="64">
        <v>4.8600000000000003</v>
      </c>
      <c r="G45" s="64">
        <v>134.29</v>
      </c>
      <c r="H45" s="64">
        <v>66.459999999999994</v>
      </c>
      <c r="I45" s="64">
        <v>1.46</v>
      </c>
      <c r="J45" s="64">
        <v>0.34</v>
      </c>
      <c r="K45" s="64">
        <v>100.89</v>
      </c>
      <c r="L45" s="64">
        <v>22.82</v>
      </c>
      <c r="M45" s="64">
        <v>72.900000000000006</v>
      </c>
      <c r="N45" s="64">
        <v>211.7</v>
      </c>
      <c r="O45" s="64">
        <v>0</v>
      </c>
      <c r="P45" s="64">
        <v>1.05</v>
      </c>
      <c r="Q45" s="64">
        <v>5.5</v>
      </c>
      <c r="R45" s="198"/>
      <c r="S45" s="198"/>
      <c r="T45" s="198"/>
      <c r="U45" s="198"/>
    </row>
    <row r="46" spans="1:21" s="12" customFormat="1" x14ac:dyDescent="0.25">
      <c r="A46" s="215" t="s">
        <v>381</v>
      </c>
      <c r="B46" s="64">
        <v>8.27</v>
      </c>
      <c r="C46" s="64">
        <v>30.89</v>
      </c>
      <c r="D46" s="64">
        <v>24.97</v>
      </c>
      <c r="E46" s="64">
        <v>1.17</v>
      </c>
      <c r="F46" s="64">
        <v>2.84</v>
      </c>
      <c r="G46" s="64">
        <v>134.29</v>
      </c>
      <c r="H46" s="64">
        <v>66.459999999999994</v>
      </c>
      <c r="I46" s="64">
        <v>1.4</v>
      </c>
      <c r="J46" s="64">
        <v>0.3</v>
      </c>
      <c r="K46" s="64">
        <v>319.75</v>
      </c>
      <c r="L46" s="64">
        <v>24.63</v>
      </c>
      <c r="M46" s="64">
        <v>65.78</v>
      </c>
      <c r="N46" s="64">
        <v>376.4</v>
      </c>
      <c r="O46" s="64">
        <v>0</v>
      </c>
      <c r="P46" s="64">
        <v>1.1000000000000001</v>
      </c>
      <c r="Q46" s="64">
        <v>5.37</v>
      </c>
      <c r="R46" s="198"/>
      <c r="S46" s="198"/>
      <c r="T46" s="198"/>
      <c r="U46" s="198"/>
    </row>
    <row r="47" spans="1:21" s="12" customFormat="1" x14ac:dyDescent="0.25">
      <c r="A47" s="215" t="s">
        <v>382</v>
      </c>
      <c r="B47" s="64">
        <v>8.08</v>
      </c>
      <c r="C47" s="64">
        <v>29.95</v>
      </c>
      <c r="D47" s="64">
        <v>24.3</v>
      </c>
      <c r="E47" s="64">
        <v>1.45</v>
      </c>
      <c r="F47" s="64">
        <v>6.12</v>
      </c>
      <c r="G47" s="64">
        <v>123.11</v>
      </c>
      <c r="H47" s="64">
        <v>65.709999999999994</v>
      </c>
      <c r="I47" s="64">
        <v>1.51</v>
      </c>
      <c r="J47" s="64">
        <v>0.64</v>
      </c>
      <c r="K47" s="64">
        <v>112.59</v>
      </c>
      <c r="L47" s="64">
        <v>24.91</v>
      </c>
      <c r="M47" s="64">
        <v>64.760000000000005</v>
      </c>
      <c r="N47" s="64">
        <v>349.6</v>
      </c>
      <c r="O47" s="64">
        <v>0</v>
      </c>
      <c r="P47" s="64">
        <v>1.06</v>
      </c>
      <c r="Q47" s="64">
        <v>5.32</v>
      </c>
      <c r="R47" s="198"/>
      <c r="S47" s="198"/>
      <c r="T47" s="198"/>
      <c r="U47" s="198"/>
    </row>
    <row r="48" spans="1:21" s="12" customFormat="1" x14ac:dyDescent="0.25">
      <c r="A48" s="215" t="s">
        <v>383</v>
      </c>
      <c r="B48" s="64">
        <v>7.2</v>
      </c>
      <c r="C48" s="64">
        <v>26.66</v>
      </c>
      <c r="D48" s="64">
        <v>21.78</v>
      </c>
      <c r="E48" s="64">
        <v>1.64</v>
      </c>
      <c r="F48" s="64">
        <v>3.03</v>
      </c>
      <c r="G48" s="64">
        <v>112.41</v>
      </c>
      <c r="H48" s="64">
        <v>65.37</v>
      </c>
      <c r="I48" s="64">
        <v>1.46</v>
      </c>
      <c r="J48" s="64">
        <v>1.1299999999999999</v>
      </c>
      <c r="K48" s="64">
        <v>113.23</v>
      </c>
      <c r="L48" s="64">
        <v>24.37</v>
      </c>
      <c r="M48" s="64">
        <v>67.349999999999994</v>
      </c>
      <c r="N48" s="64">
        <v>417.8</v>
      </c>
      <c r="O48" s="64">
        <v>0</v>
      </c>
      <c r="P48" s="64">
        <v>1.05</v>
      </c>
      <c r="Q48" s="64">
        <v>5.42</v>
      </c>
      <c r="R48" s="198"/>
      <c r="S48" s="198"/>
      <c r="T48" s="198"/>
      <c r="U48" s="198"/>
    </row>
    <row r="49" spans="1:21" s="12" customFormat="1" x14ac:dyDescent="0.25">
      <c r="A49" s="215" t="s">
        <v>384</v>
      </c>
      <c r="B49" s="64">
        <v>6.67</v>
      </c>
      <c r="C49" s="64">
        <v>27.6</v>
      </c>
      <c r="D49" s="64">
        <v>21.87</v>
      </c>
      <c r="E49" s="64">
        <v>1.53</v>
      </c>
      <c r="F49" s="64">
        <v>1.54</v>
      </c>
      <c r="G49" s="64">
        <v>112.41</v>
      </c>
      <c r="H49" s="64">
        <v>65.37</v>
      </c>
      <c r="I49" s="64">
        <v>1.51</v>
      </c>
      <c r="J49" s="64">
        <v>0.61</v>
      </c>
      <c r="K49" s="64">
        <v>94.88</v>
      </c>
      <c r="L49" s="64">
        <v>25.33</v>
      </c>
      <c r="M49" s="64">
        <v>64.14</v>
      </c>
      <c r="N49" s="64">
        <v>573.1</v>
      </c>
      <c r="O49" s="64">
        <v>0</v>
      </c>
      <c r="P49" s="64">
        <v>1.05</v>
      </c>
      <c r="Q49" s="64">
        <v>5.31</v>
      </c>
      <c r="R49" s="198"/>
      <c r="S49" s="198"/>
      <c r="T49" s="198"/>
      <c r="U49" s="198"/>
    </row>
    <row r="50" spans="1:21" s="12" customFormat="1" x14ac:dyDescent="0.25">
      <c r="A50" s="215" t="s">
        <v>385</v>
      </c>
      <c r="B50" s="64">
        <v>5.79</v>
      </c>
      <c r="C50" s="64">
        <v>22.49</v>
      </c>
      <c r="D50" s="64">
        <v>18.350000000000001</v>
      </c>
      <c r="E50" s="64">
        <v>1.5</v>
      </c>
      <c r="F50" s="64">
        <v>2.14</v>
      </c>
      <c r="G50" s="64">
        <v>112.41</v>
      </c>
      <c r="H50" s="64">
        <v>65.37</v>
      </c>
      <c r="I50" s="64">
        <v>1.49</v>
      </c>
      <c r="J50" s="64">
        <v>0.62</v>
      </c>
      <c r="K50" s="64">
        <v>115.65</v>
      </c>
      <c r="L50" s="64">
        <v>25.92</v>
      </c>
      <c r="M50" s="64">
        <v>62.35</v>
      </c>
      <c r="N50" s="64">
        <v>527.5</v>
      </c>
      <c r="O50" s="64">
        <v>0</v>
      </c>
      <c r="P50" s="64">
        <v>1.01</v>
      </c>
      <c r="Q50" s="64">
        <v>5.35</v>
      </c>
      <c r="R50" s="198"/>
      <c r="S50" s="198"/>
      <c r="T50" s="198"/>
      <c r="U50" s="198"/>
    </row>
    <row r="51" spans="1:21" s="12" customFormat="1" x14ac:dyDescent="0.25">
      <c r="A51" s="215" t="s">
        <v>386</v>
      </c>
      <c r="B51" s="64">
        <v>4.82</v>
      </c>
      <c r="C51" s="64">
        <v>19.7</v>
      </c>
      <c r="D51" s="64">
        <v>16.03</v>
      </c>
      <c r="E51" s="64">
        <v>1.31</v>
      </c>
      <c r="F51" s="64">
        <v>2.12</v>
      </c>
      <c r="G51" s="64">
        <v>103.49</v>
      </c>
      <c r="H51" s="64">
        <v>61.91</v>
      </c>
      <c r="I51" s="64">
        <v>1.52</v>
      </c>
      <c r="J51" s="64">
        <v>0.63</v>
      </c>
      <c r="K51" s="64">
        <v>107.92</v>
      </c>
      <c r="L51" s="64">
        <v>26.43</v>
      </c>
      <c r="M51" s="64">
        <v>61.24</v>
      </c>
      <c r="N51" s="64">
        <v>620.29999999999995</v>
      </c>
      <c r="O51" s="64">
        <v>0</v>
      </c>
      <c r="P51" s="64">
        <v>1</v>
      </c>
      <c r="Q51" s="64">
        <v>5.28</v>
      </c>
      <c r="R51" s="198"/>
      <c r="S51" s="198"/>
      <c r="T51" s="198"/>
      <c r="U51" s="198"/>
    </row>
    <row r="52" spans="1:21" s="12" customFormat="1" x14ac:dyDescent="0.25">
      <c r="A52" s="215" t="s">
        <v>387</v>
      </c>
      <c r="B52" s="64">
        <v>4.12</v>
      </c>
      <c r="C52" s="64">
        <v>26.36</v>
      </c>
      <c r="D52" s="64">
        <v>19.149999999999999</v>
      </c>
      <c r="E52" s="64">
        <v>0.94</v>
      </c>
      <c r="F52" s="64">
        <v>2.04</v>
      </c>
      <c r="G52" s="64">
        <v>95.33</v>
      </c>
      <c r="H52" s="64">
        <v>60.33</v>
      </c>
      <c r="I52" s="64">
        <v>1.51</v>
      </c>
      <c r="J52" s="64">
        <v>0.55000000000000004</v>
      </c>
      <c r="K52" s="64">
        <v>142.66</v>
      </c>
      <c r="L52" s="64">
        <v>27.61</v>
      </c>
      <c r="M52" s="64">
        <v>56.13</v>
      </c>
      <c r="N52" s="64">
        <v>652.79999999999995</v>
      </c>
      <c r="O52" s="64">
        <v>0</v>
      </c>
      <c r="P52" s="64">
        <v>0.98</v>
      </c>
      <c r="Q52" s="64">
        <v>5.07</v>
      </c>
      <c r="R52" s="198"/>
      <c r="S52" s="198"/>
      <c r="T52" s="198"/>
      <c r="U52" s="198"/>
    </row>
    <row r="53" spans="1:21" s="12" customFormat="1" x14ac:dyDescent="0.25">
      <c r="A53" s="215" t="s">
        <v>388</v>
      </c>
      <c r="B53" s="64">
        <v>3.34</v>
      </c>
      <c r="C53" s="64">
        <v>23.31</v>
      </c>
      <c r="D53" s="64">
        <v>16.829999999999998</v>
      </c>
      <c r="E53" s="64">
        <v>1.2</v>
      </c>
      <c r="F53" s="64">
        <v>2.98</v>
      </c>
      <c r="G53" s="64">
        <v>95.33</v>
      </c>
      <c r="H53" s="64">
        <v>60.33</v>
      </c>
      <c r="I53" s="64">
        <v>1.44</v>
      </c>
      <c r="J53" s="64">
        <v>0.6</v>
      </c>
      <c r="K53" s="64">
        <v>103.17</v>
      </c>
      <c r="L53" s="64">
        <v>27.64</v>
      </c>
      <c r="M53" s="64">
        <v>56.76</v>
      </c>
      <c r="N53" s="64">
        <v>648.79999999999995</v>
      </c>
      <c r="O53" s="64">
        <v>0</v>
      </c>
      <c r="P53" s="64">
        <v>0.94</v>
      </c>
      <c r="Q53" s="64">
        <v>5.08</v>
      </c>
      <c r="R53" s="198"/>
      <c r="S53" s="198"/>
      <c r="T53" s="198"/>
      <c r="U53" s="198"/>
    </row>
    <row r="54" spans="1:21" s="12" customFormat="1" x14ac:dyDescent="0.25">
      <c r="A54" s="215" t="s">
        <v>389</v>
      </c>
      <c r="B54" s="64">
        <v>2.69</v>
      </c>
      <c r="C54" s="64">
        <v>20.04</v>
      </c>
      <c r="D54" s="64">
        <v>14.51</v>
      </c>
      <c r="E54" s="64">
        <v>1.21</v>
      </c>
      <c r="F54" s="64">
        <v>2.8</v>
      </c>
      <c r="G54" s="64">
        <v>95.33</v>
      </c>
      <c r="H54" s="64">
        <v>60.33</v>
      </c>
      <c r="I54" s="64">
        <v>1.44</v>
      </c>
      <c r="J54" s="64">
        <v>0.56999999999999995</v>
      </c>
      <c r="K54" s="64">
        <v>117.06</v>
      </c>
      <c r="L54" s="64">
        <v>27.18</v>
      </c>
      <c r="M54" s="64">
        <v>57.88</v>
      </c>
      <c r="N54" s="64">
        <v>549.29999999999995</v>
      </c>
      <c r="O54" s="64">
        <v>0</v>
      </c>
      <c r="P54" s="64">
        <v>0.93</v>
      </c>
      <c r="Q54" s="64">
        <v>5.13</v>
      </c>
      <c r="R54" s="198"/>
      <c r="S54" s="198"/>
      <c r="T54" s="198"/>
      <c r="U54" s="198"/>
    </row>
    <row r="55" spans="1:21" s="12" customFormat="1" x14ac:dyDescent="0.25">
      <c r="A55" s="215" t="s">
        <v>390</v>
      </c>
      <c r="B55" s="64">
        <v>2.29</v>
      </c>
      <c r="C55" s="64">
        <v>25.34</v>
      </c>
      <c r="D55" s="64">
        <v>17.11</v>
      </c>
      <c r="E55" s="64">
        <v>0.93</v>
      </c>
      <c r="F55" s="64">
        <v>6.42</v>
      </c>
      <c r="G55" s="64">
        <v>84.35</v>
      </c>
      <c r="H55" s="64">
        <v>57.57</v>
      </c>
      <c r="I55" s="64">
        <v>1.48</v>
      </c>
      <c r="J55" s="64">
        <v>0.53</v>
      </c>
      <c r="K55" s="64">
        <v>112.3</v>
      </c>
      <c r="L55" s="64">
        <v>27.42</v>
      </c>
      <c r="M55" s="64">
        <v>56.37</v>
      </c>
      <c r="N55" s="64">
        <v>594.1</v>
      </c>
      <c r="O55" s="64">
        <v>0</v>
      </c>
      <c r="P55" s="64">
        <v>0.87</v>
      </c>
      <c r="Q55" s="64">
        <v>4.92</v>
      </c>
      <c r="R55" s="198"/>
      <c r="S55" s="198"/>
      <c r="T55" s="198"/>
      <c r="U55" s="198"/>
    </row>
    <row r="56" spans="1:21" s="12" customFormat="1" x14ac:dyDescent="0.25">
      <c r="A56" s="215" t="s">
        <v>391</v>
      </c>
      <c r="B56" s="64">
        <v>2.04</v>
      </c>
      <c r="C56" s="64">
        <v>22.8</v>
      </c>
      <c r="D56" s="64">
        <v>15.51</v>
      </c>
      <c r="E56" s="64">
        <v>0.86</v>
      </c>
      <c r="F56" s="64">
        <v>3.96</v>
      </c>
      <c r="G56" s="64">
        <v>73.84</v>
      </c>
      <c r="H56" s="64">
        <v>55.05</v>
      </c>
      <c r="I56" s="64">
        <v>1.54</v>
      </c>
      <c r="J56" s="64">
        <v>0.33</v>
      </c>
      <c r="K56" s="64">
        <v>109.89</v>
      </c>
      <c r="L56" s="64">
        <v>28.03</v>
      </c>
      <c r="M56" s="64">
        <v>54.23</v>
      </c>
      <c r="N56" s="64">
        <v>632.20000000000005</v>
      </c>
      <c r="O56" s="64">
        <v>0</v>
      </c>
      <c r="P56" s="64">
        <v>0.86</v>
      </c>
      <c r="Q56" s="64">
        <v>4.99</v>
      </c>
      <c r="R56" s="198"/>
      <c r="S56" s="198"/>
      <c r="T56" s="198"/>
      <c r="U56" s="198"/>
    </row>
    <row r="57" spans="1:21" s="12" customFormat="1" x14ac:dyDescent="0.25">
      <c r="A57" s="215" t="s">
        <v>392</v>
      </c>
      <c r="B57" s="64">
        <v>2</v>
      </c>
      <c r="C57" s="64">
        <v>21.29</v>
      </c>
      <c r="D57" s="64">
        <v>14.65</v>
      </c>
      <c r="E57" s="64">
        <v>1.68</v>
      </c>
      <c r="F57" s="64">
        <v>10.98</v>
      </c>
      <c r="G57" s="64">
        <v>73.84</v>
      </c>
      <c r="H57" s="64">
        <v>55.05</v>
      </c>
      <c r="I57" s="64">
        <v>1.47</v>
      </c>
      <c r="J57" s="64">
        <v>0.1</v>
      </c>
      <c r="K57" s="64">
        <v>125.32</v>
      </c>
      <c r="L57" s="64">
        <v>28.77</v>
      </c>
      <c r="M57" s="64">
        <v>51.57</v>
      </c>
      <c r="N57" s="64">
        <v>637.1</v>
      </c>
      <c r="O57" s="64">
        <v>0</v>
      </c>
      <c r="P57" s="64">
        <v>0.79</v>
      </c>
      <c r="Q57" s="64">
        <v>5.16</v>
      </c>
      <c r="R57" s="198"/>
      <c r="S57" s="198"/>
      <c r="T57" s="198"/>
      <c r="U57" s="198"/>
    </row>
    <row r="58" spans="1:21" s="12" customFormat="1" x14ac:dyDescent="0.25">
      <c r="A58" s="215" t="s">
        <v>393</v>
      </c>
      <c r="B58" s="64">
        <v>2.3199999999999998</v>
      </c>
      <c r="C58" s="64">
        <v>22.23</v>
      </c>
      <c r="D58" s="64">
        <v>15.42</v>
      </c>
      <c r="E58" s="64">
        <v>1.75</v>
      </c>
      <c r="F58" s="64">
        <v>5.69</v>
      </c>
      <c r="G58" s="64">
        <v>73.84</v>
      </c>
      <c r="H58" s="64">
        <v>55.05</v>
      </c>
      <c r="I58" s="64">
        <v>1.45</v>
      </c>
      <c r="J58" s="64">
        <v>0.51</v>
      </c>
      <c r="K58" s="64">
        <v>331.48</v>
      </c>
      <c r="L58" s="64">
        <v>30.98</v>
      </c>
      <c r="M58" s="64">
        <v>46.15</v>
      </c>
      <c r="N58" s="64">
        <v>577.6</v>
      </c>
      <c r="O58" s="64">
        <v>0</v>
      </c>
      <c r="P58" s="64">
        <v>0.84</v>
      </c>
      <c r="Q58" s="64">
        <v>5.12</v>
      </c>
      <c r="R58" s="198"/>
      <c r="S58" s="198"/>
      <c r="T58" s="198"/>
      <c r="U58" s="198"/>
    </row>
    <row r="59" spans="1:21" s="12" customFormat="1" x14ac:dyDescent="0.25">
      <c r="A59" s="215" t="s">
        <v>394</v>
      </c>
      <c r="B59" s="64">
        <v>3.01</v>
      </c>
      <c r="C59" s="64">
        <v>23.89</v>
      </c>
      <c r="D59" s="64">
        <v>16.89</v>
      </c>
      <c r="E59" s="64">
        <v>1.73</v>
      </c>
      <c r="F59" s="64">
        <v>7.67</v>
      </c>
      <c r="G59" s="64">
        <v>78.27</v>
      </c>
      <c r="H59" s="64">
        <v>48.44</v>
      </c>
      <c r="I59" s="64">
        <v>1.46</v>
      </c>
      <c r="J59" s="64">
        <v>0.46</v>
      </c>
      <c r="K59" s="64">
        <v>349.32</v>
      </c>
      <c r="L59" s="64">
        <v>30.92</v>
      </c>
      <c r="M59" s="64">
        <v>46.43</v>
      </c>
      <c r="N59" s="64">
        <v>540.6</v>
      </c>
      <c r="O59" s="64">
        <v>0</v>
      </c>
      <c r="P59" s="64">
        <v>0.82</v>
      </c>
      <c r="Q59" s="64">
        <v>4.93</v>
      </c>
      <c r="R59" s="198"/>
      <c r="S59" s="198"/>
      <c r="T59" s="198"/>
      <c r="U59" s="198"/>
    </row>
    <row r="60" spans="1:21" s="12" customFormat="1" x14ac:dyDescent="0.25">
      <c r="A60" s="215" t="s">
        <v>395</v>
      </c>
      <c r="B60" s="64">
        <v>3.15</v>
      </c>
      <c r="C60" s="64">
        <v>21.88</v>
      </c>
      <c r="D60" s="64">
        <v>15.9</v>
      </c>
      <c r="E60" s="64">
        <v>1.84</v>
      </c>
      <c r="F60" s="64">
        <v>9.94</v>
      </c>
      <c r="G60" s="64">
        <v>82.32</v>
      </c>
      <c r="H60" s="64">
        <v>45.42</v>
      </c>
      <c r="I60" s="64">
        <v>1.56</v>
      </c>
      <c r="J60" s="64">
        <v>0.44</v>
      </c>
      <c r="K60" s="64">
        <v>336.3</v>
      </c>
      <c r="L60" s="64">
        <v>31.31</v>
      </c>
      <c r="M60" s="64">
        <v>44.91</v>
      </c>
      <c r="N60" s="64">
        <v>459.6</v>
      </c>
      <c r="O60" s="64">
        <v>0</v>
      </c>
      <c r="P60" s="64">
        <v>0.77</v>
      </c>
      <c r="Q60" s="64">
        <v>4.91</v>
      </c>
      <c r="R60" s="198"/>
      <c r="S60" s="198"/>
      <c r="T60" s="198"/>
      <c r="U60" s="198"/>
    </row>
    <row r="61" spans="1:21" s="12" customFormat="1" x14ac:dyDescent="0.25">
      <c r="A61" s="215" t="s">
        <v>396</v>
      </c>
      <c r="B61" s="64">
        <v>3.91</v>
      </c>
      <c r="C61" s="64">
        <v>25.22</v>
      </c>
      <c r="D61" s="64">
        <v>18.34</v>
      </c>
      <c r="E61" s="64">
        <v>1.61</v>
      </c>
      <c r="F61" s="64">
        <v>4.55</v>
      </c>
      <c r="G61" s="64">
        <v>82.32</v>
      </c>
      <c r="H61" s="64">
        <v>45.42</v>
      </c>
      <c r="I61" s="64">
        <v>1.47</v>
      </c>
      <c r="J61" s="64">
        <v>0.18</v>
      </c>
      <c r="K61" s="64">
        <v>62.26</v>
      </c>
      <c r="L61" s="64">
        <v>30.34</v>
      </c>
      <c r="M61" s="64">
        <v>47.15</v>
      </c>
      <c r="N61" s="64">
        <v>302.3</v>
      </c>
      <c r="O61" s="64">
        <v>0</v>
      </c>
      <c r="P61" s="64">
        <v>0.85</v>
      </c>
      <c r="Q61" s="64">
        <v>4.75</v>
      </c>
      <c r="R61" s="198"/>
      <c r="S61" s="198"/>
      <c r="T61" s="198"/>
      <c r="U61" s="198"/>
    </row>
    <row r="62" spans="1:21" s="12" customFormat="1" x14ac:dyDescent="0.25">
      <c r="A62" s="215" t="s">
        <v>397</v>
      </c>
      <c r="B62" s="64">
        <v>2.37</v>
      </c>
      <c r="C62" s="64">
        <v>20.04</v>
      </c>
      <c r="D62" s="64">
        <v>14.25</v>
      </c>
      <c r="E62" s="64">
        <v>1.98</v>
      </c>
      <c r="F62" s="64">
        <v>5.41</v>
      </c>
      <c r="G62" s="64">
        <v>82.32</v>
      </c>
      <c r="H62" s="64">
        <v>45.42</v>
      </c>
      <c r="I62" s="64">
        <v>1.43</v>
      </c>
      <c r="J62" s="64">
        <v>0.63</v>
      </c>
      <c r="K62" s="64">
        <v>119.76</v>
      </c>
      <c r="L62" s="64">
        <v>27.75</v>
      </c>
      <c r="M62" s="64">
        <v>54.17</v>
      </c>
      <c r="N62" s="64">
        <v>354.4</v>
      </c>
      <c r="O62" s="64">
        <v>0</v>
      </c>
      <c r="P62" s="64">
        <v>0.85</v>
      </c>
      <c r="Q62" s="64">
        <v>4.99</v>
      </c>
      <c r="R62" s="198"/>
      <c r="S62" s="198"/>
      <c r="T62" s="198"/>
      <c r="U62" s="198"/>
    </row>
    <row r="63" spans="1:21" s="12" customFormat="1" x14ac:dyDescent="0.25">
      <c r="A63" s="215" t="s">
        <v>398</v>
      </c>
      <c r="B63" s="64">
        <v>2.0299999999999998</v>
      </c>
      <c r="C63" s="64">
        <v>16.899999999999999</v>
      </c>
      <c r="D63" s="64">
        <v>12.24</v>
      </c>
      <c r="E63" s="64">
        <v>1.63</v>
      </c>
      <c r="F63" s="64">
        <v>18.64</v>
      </c>
      <c r="G63" s="64">
        <v>73.03</v>
      </c>
      <c r="H63" s="64">
        <v>42.28</v>
      </c>
      <c r="I63" s="64">
        <v>1.48</v>
      </c>
      <c r="J63" s="64">
        <v>0.53</v>
      </c>
      <c r="K63" s="64">
        <v>128.78</v>
      </c>
      <c r="L63" s="64">
        <v>27.58</v>
      </c>
      <c r="M63" s="64">
        <v>54.49</v>
      </c>
      <c r="N63" s="64">
        <v>278.2</v>
      </c>
      <c r="O63" s="64">
        <v>0</v>
      </c>
      <c r="P63" s="64">
        <v>0.74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399</v>
      </c>
      <c r="B64" s="64">
        <v>2</v>
      </c>
      <c r="C64" s="64">
        <v>16.09</v>
      </c>
      <c r="D64" s="64">
        <v>11.78</v>
      </c>
      <c r="E64" s="64">
        <v>1.47</v>
      </c>
      <c r="F64" s="64">
        <v>7.7</v>
      </c>
      <c r="G64" s="64">
        <v>64.52</v>
      </c>
      <c r="H64" s="64">
        <v>40.85</v>
      </c>
      <c r="I64" s="64">
        <v>1.53</v>
      </c>
      <c r="J64" s="64">
        <v>0.45</v>
      </c>
      <c r="K64" s="64">
        <v>118.13</v>
      </c>
      <c r="L64" s="64">
        <v>27.33</v>
      </c>
      <c r="M64" s="64">
        <v>55.47</v>
      </c>
      <c r="N64" s="64">
        <v>185.6</v>
      </c>
      <c r="O64" s="64">
        <v>0</v>
      </c>
      <c r="P64" s="64">
        <v>0.81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400</v>
      </c>
      <c r="B65" s="64">
        <v>2</v>
      </c>
      <c r="C65" s="64">
        <v>21.58</v>
      </c>
      <c r="D65" s="64">
        <v>14.81</v>
      </c>
      <c r="E65" s="64">
        <v>1.27</v>
      </c>
      <c r="F65" s="64">
        <v>13.27</v>
      </c>
      <c r="G65" s="64">
        <v>64.52</v>
      </c>
      <c r="H65" s="64">
        <v>40.85</v>
      </c>
      <c r="I65" s="64">
        <v>1.55</v>
      </c>
      <c r="J65" s="64">
        <v>0.39</v>
      </c>
      <c r="K65" s="64">
        <v>108.97</v>
      </c>
      <c r="L65" s="64">
        <v>27.15</v>
      </c>
      <c r="M65" s="64">
        <v>57.61</v>
      </c>
      <c r="N65" s="64">
        <v>191.3</v>
      </c>
      <c r="O65" s="64">
        <v>0</v>
      </c>
      <c r="P65" s="64">
        <v>0.77</v>
      </c>
      <c r="Q65" s="64">
        <v>5.09</v>
      </c>
      <c r="R65" s="198"/>
      <c r="S65" s="198"/>
      <c r="T65" s="198"/>
      <c r="U65" s="198"/>
    </row>
    <row r="66" spans="1:21" s="12" customFormat="1" x14ac:dyDescent="0.25">
      <c r="A66" s="215" t="s">
        <v>401</v>
      </c>
      <c r="B66" s="64">
        <v>8.5500000000000007</v>
      </c>
      <c r="C66" s="64">
        <v>31.52</v>
      </c>
      <c r="D66" s="64">
        <v>25.54</v>
      </c>
      <c r="E66" s="64">
        <v>1.89</v>
      </c>
      <c r="F66" s="64">
        <v>16.68</v>
      </c>
      <c r="G66" s="64">
        <v>64.52</v>
      </c>
      <c r="H66" s="64">
        <v>40.85</v>
      </c>
      <c r="I66" s="64">
        <v>1.54</v>
      </c>
      <c r="J66" s="64">
        <v>0.39</v>
      </c>
      <c r="K66" s="64">
        <v>345.19</v>
      </c>
      <c r="L66" s="64">
        <v>28.03</v>
      </c>
      <c r="M66" s="64">
        <v>55.82</v>
      </c>
      <c r="N66" s="64">
        <v>195.1</v>
      </c>
      <c r="O66" s="64">
        <v>0</v>
      </c>
      <c r="P66" s="64">
        <v>0.88</v>
      </c>
      <c r="Q66" s="64">
        <v>4.51</v>
      </c>
      <c r="R66" s="198"/>
      <c r="S66" s="198"/>
      <c r="T66" s="198"/>
      <c r="U66" s="198"/>
    </row>
    <row r="67" spans="1:21" s="12" customFormat="1" x14ac:dyDescent="0.25">
      <c r="A67" s="215" t="s">
        <v>402</v>
      </c>
      <c r="B67" s="64">
        <v>4.07</v>
      </c>
      <c r="C67" s="64">
        <v>25.44</v>
      </c>
      <c r="D67" s="64">
        <v>18.600000000000001</v>
      </c>
      <c r="E67" s="64">
        <v>2.02</v>
      </c>
      <c r="F67" s="64">
        <v>20.16</v>
      </c>
      <c r="G67" s="64">
        <v>65.47</v>
      </c>
      <c r="H67" s="64">
        <v>40.369999999999997</v>
      </c>
      <c r="I67" s="64">
        <v>1.5</v>
      </c>
      <c r="J67" s="64">
        <v>0.06</v>
      </c>
      <c r="K67" s="64">
        <v>37.26</v>
      </c>
      <c r="L67" s="64">
        <v>28.46</v>
      </c>
      <c r="M67" s="64">
        <v>53.72</v>
      </c>
      <c r="N67" s="64">
        <v>170.2</v>
      </c>
      <c r="O67" s="64">
        <v>0</v>
      </c>
      <c r="P67" s="64">
        <v>0.81</v>
      </c>
      <c r="Q67" s="64">
        <v>4.5999999999999996</v>
      </c>
      <c r="R67" s="198"/>
      <c r="S67" s="198"/>
      <c r="T67" s="198"/>
      <c r="U67" s="198"/>
    </row>
    <row r="68" spans="1:21" s="12" customFormat="1" x14ac:dyDescent="0.25">
      <c r="A68" s="215" t="s">
        <v>403</v>
      </c>
      <c r="B68" s="64">
        <v>2.5099999999999998</v>
      </c>
      <c r="C68" s="64">
        <v>23.18</v>
      </c>
      <c r="D68" s="64">
        <v>16.09</v>
      </c>
      <c r="E68" s="64">
        <v>2.12</v>
      </c>
      <c r="F68" s="64">
        <v>28.11</v>
      </c>
      <c r="G68" s="64">
        <v>66.34</v>
      </c>
      <c r="H68" s="64">
        <v>40.15</v>
      </c>
      <c r="I68" s="64">
        <v>1.49</v>
      </c>
      <c r="J68" s="64">
        <v>0.2</v>
      </c>
      <c r="K68" s="64">
        <v>82.04</v>
      </c>
      <c r="L68" s="64">
        <v>27.47</v>
      </c>
      <c r="M68" s="64">
        <v>56.22</v>
      </c>
      <c r="N68" s="64">
        <v>180</v>
      </c>
      <c r="O68" s="64">
        <v>0</v>
      </c>
      <c r="P68" s="64">
        <v>0.66</v>
      </c>
      <c r="Q68" s="64">
        <v>4.92</v>
      </c>
      <c r="R68" s="198"/>
      <c r="S68" s="198"/>
      <c r="T68" s="198"/>
      <c r="U68" s="198"/>
    </row>
    <row r="69" spans="1:21" s="12" customFormat="1" x14ac:dyDescent="0.25">
      <c r="A69" s="215" t="s">
        <v>404</v>
      </c>
      <c r="B69" s="64">
        <v>4.21</v>
      </c>
      <c r="C69" s="64">
        <v>26.1</v>
      </c>
      <c r="D69" s="64">
        <v>19.07</v>
      </c>
      <c r="E69" s="64">
        <v>2.09</v>
      </c>
      <c r="F69" s="64">
        <v>3.54</v>
      </c>
      <c r="G69" s="64">
        <v>66.34</v>
      </c>
      <c r="H69" s="64">
        <v>40.15</v>
      </c>
      <c r="I69" s="64">
        <v>1.54</v>
      </c>
      <c r="J69" s="64">
        <v>1.57</v>
      </c>
      <c r="K69" s="64">
        <v>341.02</v>
      </c>
      <c r="L69" s="64">
        <v>27.43</v>
      </c>
      <c r="M69" s="64">
        <v>58.85</v>
      </c>
      <c r="N69" s="64">
        <v>132.19999999999999</v>
      </c>
      <c r="O69" s="64">
        <v>0</v>
      </c>
      <c r="P69" s="64">
        <v>0.82</v>
      </c>
      <c r="Q69" s="64">
        <v>4.75</v>
      </c>
      <c r="R69" s="198"/>
      <c r="S69" s="198"/>
      <c r="T69" s="198"/>
      <c r="U69" s="198"/>
    </row>
    <row r="70" spans="1:21" s="12" customFormat="1" x14ac:dyDescent="0.25">
      <c r="A70" s="215" t="s">
        <v>405</v>
      </c>
      <c r="B70" s="64">
        <v>4.34</v>
      </c>
      <c r="C70" s="64">
        <v>25.07</v>
      </c>
      <c r="D70" s="64">
        <v>18.61</v>
      </c>
      <c r="E70" s="64">
        <v>2.4300000000000002</v>
      </c>
      <c r="F70" s="64">
        <v>5.52</v>
      </c>
      <c r="G70" s="64">
        <v>66.34</v>
      </c>
      <c r="H70" s="64">
        <v>40.15</v>
      </c>
      <c r="I70" s="64">
        <v>1.46</v>
      </c>
      <c r="J70" s="64">
        <v>1.51</v>
      </c>
      <c r="K70" s="64">
        <v>339.87</v>
      </c>
      <c r="L70" s="64">
        <v>27.11</v>
      </c>
      <c r="M70" s="64">
        <v>59.14</v>
      </c>
      <c r="N70" s="64">
        <v>128.5</v>
      </c>
      <c r="O70" s="64">
        <v>0</v>
      </c>
      <c r="P70" s="64">
        <v>0.82</v>
      </c>
      <c r="Q70" s="64">
        <v>4.74</v>
      </c>
      <c r="R70" s="198"/>
      <c r="S70" s="198"/>
      <c r="T70" s="198"/>
      <c r="U70" s="198"/>
    </row>
    <row r="71" spans="1:21" s="12" customFormat="1" x14ac:dyDescent="0.25">
      <c r="A71" s="215" t="s">
        <v>406</v>
      </c>
      <c r="B71" s="64">
        <v>6.04</v>
      </c>
      <c r="C71" s="64">
        <v>27.65</v>
      </c>
      <c r="D71" s="64">
        <v>21.4</v>
      </c>
      <c r="E71" s="64">
        <v>2.29</v>
      </c>
      <c r="F71" s="64">
        <v>4.8499999999999996</v>
      </c>
      <c r="G71" s="64">
        <v>72.489999999999995</v>
      </c>
      <c r="H71" s="64">
        <v>39.24</v>
      </c>
      <c r="I71" s="64">
        <v>1.49</v>
      </c>
      <c r="J71" s="64">
        <v>1.35</v>
      </c>
      <c r="K71" s="64">
        <v>345.04</v>
      </c>
      <c r="L71" s="64">
        <v>27.08</v>
      </c>
      <c r="M71" s="64">
        <v>59.4</v>
      </c>
      <c r="N71" s="64">
        <v>164.9</v>
      </c>
      <c r="O71" s="64">
        <v>0</v>
      </c>
      <c r="P71" s="64">
        <v>0.9</v>
      </c>
      <c r="Q71" s="64">
        <v>4.5199999999999996</v>
      </c>
      <c r="R71" s="198"/>
      <c r="S71" s="198"/>
      <c r="T71" s="198"/>
      <c r="U71" s="198"/>
    </row>
    <row r="72" spans="1:21" s="12" customFormat="1" x14ac:dyDescent="0.25">
      <c r="A72" s="215" t="s">
        <v>407</v>
      </c>
      <c r="B72" s="64">
        <v>6.75</v>
      </c>
      <c r="C72" s="64">
        <v>33.21</v>
      </c>
      <c r="D72" s="64">
        <v>25.03</v>
      </c>
      <c r="E72" s="64">
        <v>1.34</v>
      </c>
      <c r="F72" s="64">
        <v>3.97</v>
      </c>
      <c r="G72" s="64">
        <v>78.38</v>
      </c>
      <c r="H72" s="64">
        <v>38.83</v>
      </c>
      <c r="I72" s="64">
        <v>1.45</v>
      </c>
      <c r="J72" s="64">
        <v>0.78</v>
      </c>
      <c r="K72" s="64">
        <v>338.43</v>
      </c>
      <c r="L72" s="64">
        <v>27.05</v>
      </c>
      <c r="M72" s="64">
        <v>59.96</v>
      </c>
      <c r="N72" s="64">
        <v>111.4</v>
      </c>
      <c r="O72" s="64">
        <v>0</v>
      </c>
      <c r="P72" s="64">
        <v>0.94</v>
      </c>
      <c r="Q72" s="64">
        <v>4.1500000000000004</v>
      </c>
      <c r="R72" s="198"/>
      <c r="S72" s="198"/>
      <c r="T72" s="198"/>
      <c r="U72" s="198"/>
    </row>
    <row r="73" spans="1:21" s="12" customFormat="1" x14ac:dyDescent="0.25">
      <c r="A73" s="215" t="s">
        <v>408</v>
      </c>
      <c r="B73" s="64">
        <v>8.06</v>
      </c>
      <c r="C73" s="64">
        <v>32.090000000000003</v>
      </c>
      <c r="D73" s="64">
        <v>25.47</v>
      </c>
      <c r="E73" s="64">
        <v>3.19</v>
      </c>
      <c r="F73" s="64">
        <v>4.92</v>
      </c>
      <c r="G73" s="64">
        <v>78.38</v>
      </c>
      <c r="H73" s="64">
        <v>38.83</v>
      </c>
      <c r="I73" s="64">
        <v>1.48</v>
      </c>
      <c r="J73" s="64">
        <v>0.93</v>
      </c>
      <c r="K73" s="64">
        <v>337.91</v>
      </c>
      <c r="L73" s="64">
        <v>26.58</v>
      </c>
      <c r="M73" s="64">
        <v>61.4</v>
      </c>
      <c r="N73" s="64">
        <v>86</v>
      </c>
      <c r="O73" s="64">
        <v>0</v>
      </c>
      <c r="P73" s="64">
        <v>0.94</v>
      </c>
      <c r="Q73" s="64">
        <v>4.17</v>
      </c>
      <c r="R73" s="198"/>
      <c r="S73" s="198"/>
      <c r="T73" s="198"/>
      <c r="U73" s="198"/>
    </row>
    <row r="74" spans="1:21" s="12" customFormat="1" x14ac:dyDescent="0.25">
      <c r="A74" s="215" t="s">
        <v>409</v>
      </c>
      <c r="B74" s="64">
        <v>10.64</v>
      </c>
      <c r="C74" s="64">
        <v>29.82</v>
      </c>
      <c r="D74" s="64">
        <v>26.28</v>
      </c>
      <c r="E74" s="64">
        <v>4.05</v>
      </c>
      <c r="F74" s="64">
        <v>5.48</v>
      </c>
      <c r="G74" s="64">
        <v>78.38</v>
      </c>
      <c r="H74" s="64">
        <v>38.83</v>
      </c>
      <c r="I74" s="64">
        <v>1.57</v>
      </c>
      <c r="J74" s="64">
        <v>0.69</v>
      </c>
      <c r="K74" s="64">
        <v>332.99</v>
      </c>
      <c r="L74" s="64">
        <v>26.04</v>
      </c>
      <c r="M74" s="64">
        <v>66.39</v>
      </c>
      <c r="N74" s="64">
        <v>76.400000000000006</v>
      </c>
      <c r="O74" s="64">
        <v>0</v>
      </c>
      <c r="P74" s="64">
        <v>0.95</v>
      </c>
      <c r="Q74" s="64">
        <v>3.86</v>
      </c>
      <c r="R74" s="198"/>
      <c r="S74" s="198"/>
      <c r="T74" s="198"/>
      <c r="U74" s="198"/>
    </row>
    <row r="75" spans="1:21" s="12" customFormat="1" x14ac:dyDescent="0.25">
      <c r="A75" s="215" t="s">
        <v>410</v>
      </c>
      <c r="B75" s="64">
        <v>7.81</v>
      </c>
      <c r="C75" s="64">
        <v>26.36</v>
      </c>
      <c r="D75" s="64">
        <v>22.1</v>
      </c>
      <c r="E75" s="64">
        <v>2.63</v>
      </c>
      <c r="F75" s="64">
        <v>2.74</v>
      </c>
      <c r="G75" s="64">
        <v>90.56</v>
      </c>
      <c r="H75" s="64">
        <v>40.799999999999997</v>
      </c>
      <c r="I75" s="64">
        <v>1.53</v>
      </c>
      <c r="J75" s="64">
        <v>0.57999999999999996</v>
      </c>
      <c r="K75" s="64">
        <v>326.27999999999997</v>
      </c>
      <c r="L75" s="64">
        <v>25.15</v>
      </c>
      <c r="M75" s="64">
        <v>73.099999999999994</v>
      </c>
      <c r="N75" s="64">
        <v>61.1</v>
      </c>
      <c r="O75" s="64">
        <v>0</v>
      </c>
      <c r="P75" s="64">
        <v>0.95</v>
      </c>
      <c r="Q75" s="64">
        <v>4.74</v>
      </c>
      <c r="R75" s="198"/>
      <c r="S75" s="198"/>
      <c r="T75" s="198"/>
      <c r="U75" s="198"/>
    </row>
    <row r="76" spans="1:21" s="12" customFormat="1" x14ac:dyDescent="0.25">
      <c r="A76" s="215" t="s">
        <v>411</v>
      </c>
      <c r="B76" s="64">
        <v>11.13</v>
      </c>
      <c r="C76" s="64">
        <v>33.950000000000003</v>
      </c>
      <c r="D76" s="64">
        <v>28.96</v>
      </c>
      <c r="E76" s="64">
        <v>2.38</v>
      </c>
      <c r="F76" s="64">
        <v>2.95</v>
      </c>
      <c r="G76" s="64">
        <v>102.22</v>
      </c>
      <c r="H76" s="64">
        <v>41.71</v>
      </c>
      <c r="I76" s="64">
        <v>1.46</v>
      </c>
      <c r="J76" s="64">
        <v>0.61</v>
      </c>
      <c r="K76" s="64">
        <v>327.10000000000002</v>
      </c>
      <c r="L76" s="64">
        <v>24.73</v>
      </c>
      <c r="M76" s="64">
        <v>76.03</v>
      </c>
      <c r="N76" s="64">
        <v>49.5</v>
      </c>
      <c r="O76" s="64">
        <v>0</v>
      </c>
      <c r="P76" s="64">
        <v>1.04</v>
      </c>
      <c r="Q76" s="64">
        <v>4.7</v>
      </c>
      <c r="R76" s="198"/>
      <c r="S76" s="198"/>
      <c r="T76" s="198"/>
      <c r="U76" s="198"/>
    </row>
    <row r="77" spans="1:21" s="12" customFormat="1" x14ac:dyDescent="0.25">
      <c r="A77" s="215" t="s">
        <v>412</v>
      </c>
      <c r="B77" s="64">
        <v>19.82</v>
      </c>
      <c r="C77" s="64">
        <v>44.74</v>
      </c>
      <c r="D77" s="64">
        <v>41.87</v>
      </c>
      <c r="E77" s="64">
        <v>3.15</v>
      </c>
      <c r="F77" s="64">
        <v>4.3499999999999996</v>
      </c>
      <c r="G77" s="64">
        <v>102.22</v>
      </c>
      <c r="H77" s="64">
        <v>41.71</v>
      </c>
      <c r="I77" s="64">
        <v>1.52</v>
      </c>
      <c r="J77" s="64">
        <v>0.31</v>
      </c>
      <c r="K77" s="64">
        <v>326.77999999999997</v>
      </c>
      <c r="L77" s="64">
        <v>24.45</v>
      </c>
      <c r="M77" s="64">
        <v>77.63</v>
      </c>
      <c r="N77" s="64">
        <v>41.6</v>
      </c>
      <c r="O77" s="64">
        <v>0</v>
      </c>
      <c r="P77" s="64">
        <v>1.32</v>
      </c>
      <c r="Q77" s="64">
        <v>2.61</v>
      </c>
      <c r="R77" s="198"/>
      <c r="S77" s="198"/>
      <c r="T77" s="198"/>
      <c r="U77" s="198"/>
    </row>
    <row r="78" spans="1:21" s="12" customFormat="1" x14ac:dyDescent="0.25">
      <c r="A78" s="215" t="s">
        <v>413</v>
      </c>
      <c r="B78" s="64">
        <v>11.09</v>
      </c>
      <c r="C78" s="64">
        <v>28.3</v>
      </c>
      <c r="D78" s="64">
        <v>25.81</v>
      </c>
      <c r="E78" s="64">
        <v>3.13</v>
      </c>
      <c r="F78" s="64">
        <v>2.39</v>
      </c>
      <c r="G78" s="64">
        <v>102.22</v>
      </c>
      <c r="H78" s="64">
        <v>41.71</v>
      </c>
      <c r="I78" s="64">
        <v>1.56</v>
      </c>
      <c r="J78" s="64">
        <v>0.33</v>
      </c>
      <c r="K78" s="64">
        <v>317.39</v>
      </c>
      <c r="L78" s="64">
        <v>24.11</v>
      </c>
      <c r="M78" s="64">
        <v>79.81</v>
      </c>
      <c r="N78" s="64">
        <v>36.5</v>
      </c>
      <c r="O78" s="64">
        <v>0</v>
      </c>
      <c r="P78" s="64">
        <v>1.08</v>
      </c>
      <c r="Q78" s="64">
        <v>3.48</v>
      </c>
      <c r="R78" s="198"/>
      <c r="S78" s="198"/>
      <c r="T78" s="198"/>
      <c r="U78" s="198"/>
    </row>
    <row r="79" spans="1:21" s="12" customFormat="1" x14ac:dyDescent="0.25">
      <c r="A79" s="215" t="s">
        <v>414</v>
      </c>
      <c r="B79" s="64">
        <v>17.940000000000001</v>
      </c>
      <c r="C79" s="64">
        <v>50.19</v>
      </c>
      <c r="D79" s="64">
        <v>43.38</v>
      </c>
      <c r="E79" s="64">
        <v>2.12</v>
      </c>
      <c r="F79" s="64">
        <v>3.81</v>
      </c>
      <c r="G79" s="64">
        <v>106.3</v>
      </c>
      <c r="H79" s="64">
        <v>44.28</v>
      </c>
      <c r="I79" s="64">
        <v>1.45</v>
      </c>
      <c r="J79" s="64">
        <v>0.2</v>
      </c>
      <c r="K79" s="64">
        <v>310.55</v>
      </c>
      <c r="L79" s="64">
        <v>23.99</v>
      </c>
      <c r="M79" s="64">
        <v>79.05</v>
      </c>
      <c r="N79" s="64">
        <v>35.200000000000003</v>
      </c>
      <c r="O79" s="64">
        <v>0</v>
      </c>
      <c r="P79" s="64">
        <v>1.52</v>
      </c>
      <c r="Q79" s="64">
        <v>4.55</v>
      </c>
      <c r="R79" s="198"/>
      <c r="S79" s="198"/>
      <c r="T79" s="198"/>
      <c r="U79" s="198"/>
    </row>
    <row r="80" spans="1:21" s="12" customFormat="1" x14ac:dyDescent="0.25">
      <c r="A80" s="215" t="s">
        <v>415</v>
      </c>
      <c r="B80" s="64">
        <v>23.5</v>
      </c>
      <c r="C80" s="64">
        <v>45.84</v>
      </c>
      <c r="D80" s="64">
        <v>45.44</v>
      </c>
      <c r="E80" s="64">
        <v>2.56</v>
      </c>
      <c r="F80" s="64">
        <v>2.65</v>
      </c>
      <c r="G80" s="64">
        <v>110.2</v>
      </c>
      <c r="H80" s="64">
        <v>45.87</v>
      </c>
      <c r="I80" s="64">
        <v>1.46</v>
      </c>
      <c r="J80" s="64">
        <v>0.48</v>
      </c>
      <c r="K80" s="64">
        <v>333.71</v>
      </c>
      <c r="L80" s="64">
        <v>23.94</v>
      </c>
      <c r="M80" s="64">
        <v>79.67</v>
      </c>
      <c r="N80" s="64">
        <v>34.700000000000003</v>
      </c>
      <c r="O80" s="64">
        <v>0</v>
      </c>
      <c r="P80" s="64">
        <v>1.43</v>
      </c>
      <c r="Q80" s="64">
        <v>2.77</v>
      </c>
      <c r="R80" s="198"/>
      <c r="S80" s="198"/>
      <c r="T80" s="198"/>
      <c r="U80" s="198"/>
    </row>
    <row r="81" spans="1:26" s="12" customFormat="1" x14ac:dyDescent="0.25">
      <c r="A81" s="215" t="s">
        <v>416</v>
      </c>
      <c r="B81" s="64">
        <v>21.6</v>
      </c>
      <c r="C81" s="64">
        <v>59.25</v>
      </c>
      <c r="D81" s="64">
        <v>51.31</v>
      </c>
      <c r="E81" s="64">
        <v>3.18</v>
      </c>
      <c r="F81" s="64">
        <v>4.8099999999999996</v>
      </c>
      <c r="G81" s="64">
        <v>110.2</v>
      </c>
      <c r="H81" s="64">
        <v>45.87</v>
      </c>
      <c r="I81" s="64">
        <v>1.52</v>
      </c>
      <c r="J81" s="64">
        <v>0.13</v>
      </c>
      <c r="K81" s="64">
        <v>357.62</v>
      </c>
      <c r="L81" s="64">
        <v>24.15</v>
      </c>
      <c r="M81" s="64">
        <v>75.2</v>
      </c>
      <c r="N81" s="64">
        <v>35.1</v>
      </c>
      <c r="O81" s="64">
        <v>0</v>
      </c>
      <c r="P81" s="64">
        <v>1.96</v>
      </c>
      <c r="Q81" s="64">
        <v>1.99</v>
      </c>
      <c r="R81" s="198"/>
      <c r="S81" s="198"/>
      <c r="T81" s="198"/>
      <c r="U81" s="198"/>
    </row>
    <row r="82" spans="1:26" s="12" customFormat="1" x14ac:dyDescent="0.25">
      <c r="A82" s="215" t="s">
        <v>417</v>
      </c>
      <c r="B82" s="64">
        <v>18.38</v>
      </c>
      <c r="C82" s="64">
        <v>64.42</v>
      </c>
      <c r="D82" s="64">
        <v>51.58</v>
      </c>
      <c r="E82" s="64">
        <v>3.14</v>
      </c>
      <c r="F82" s="64">
        <v>3.91</v>
      </c>
      <c r="G82" s="64">
        <v>110.2</v>
      </c>
      <c r="H82" s="64">
        <v>45.87</v>
      </c>
      <c r="I82" s="64">
        <v>1.61</v>
      </c>
      <c r="J82" s="64">
        <v>0.21</v>
      </c>
      <c r="K82" s="64">
        <v>96.28</v>
      </c>
      <c r="L82" s="64">
        <v>24.06</v>
      </c>
      <c r="M82" s="64">
        <v>76.150000000000006</v>
      </c>
      <c r="N82" s="64">
        <v>35</v>
      </c>
      <c r="O82" s="64">
        <v>0</v>
      </c>
      <c r="P82" s="64">
        <v>1.84</v>
      </c>
      <c r="Q82" s="64">
        <v>3.14</v>
      </c>
      <c r="R82" s="198"/>
      <c r="S82" s="198"/>
      <c r="T82" s="198"/>
      <c r="U82" s="198"/>
    </row>
    <row r="83" spans="1:26" s="12" customFormat="1" x14ac:dyDescent="0.25">
      <c r="A83" s="215" t="s">
        <v>418</v>
      </c>
      <c r="B83" s="64">
        <v>15.53</v>
      </c>
      <c r="C83" s="64">
        <v>54.48</v>
      </c>
      <c r="D83" s="64">
        <v>43.81</v>
      </c>
      <c r="E83" s="64">
        <v>3.68</v>
      </c>
      <c r="F83" s="64">
        <v>5.83</v>
      </c>
      <c r="G83" s="64">
        <v>112.7</v>
      </c>
      <c r="H83" s="64">
        <v>46.72</v>
      </c>
      <c r="I83" s="64">
        <v>1.52</v>
      </c>
      <c r="J83" s="64">
        <v>0.18</v>
      </c>
      <c r="K83" s="64">
        <v>94.87</v>
      </c>
      <c r="L83" s="64">
        <v>24</v>
      </c>
      <c r="M83" s="64">
        <v>76.540000000000006</v>
      </c>
      <c r="N83" s="64">
        <v>34.9</v>
      </c>
      <c r="O83" s="64">
        <v>0</v>
      </c>
      <c r="P83" s="64">
        <v>1.48</v>
      </c>
      <c r="Q83" s="64">
        <v>3.28</v>
      </c>
      <c r="R83" s="198"/>
      <c r="S83" s="198"/>
      <c r="T83" s="198"/>
      <c r="U83" s="198"/>
    </row>
    <row r="84" spans="1:26" s="12" customFormat="1" x14ac:dyDescent="0.25">
      <c r="A84" s="215" t="s">
        <v>419</v>
      </c>
      <c r="B84" s="64">
        <v>10.73</v>
      </c>
      <c r="C84" s="64">
        <v>46.88</v>
      </c>
      <c r="D84" s="64">
        <v>35.770000000000003</v>
      </c>
      <c r="E84" s="64">
        <v>3.15</v>
      </c>
      <c r="F84" s="64">
        <v>4.2699999999999996</v>
      </c>
      <c r="G84" s="64">
        <v>115</v>
      </c>
      <c r="H84" s="64">
        <v>47.1</v>
      </c>
      <c r="I84" s="64">
        <v>1.49</v>
      </c>
      <c r="J84" s="64">
        <v>0.13</v>
      </c>
      <c r="K84" s="64">
        <v>113.97</v>
      </c>
      <c r="L84" s="64">
        <v>23.87</v>
      </c>
      <c r="M84" s="64">
        <v>77.19</v>
      </c>
      <c r="N84" s="64">
        <v>35</v>
      </c>
      <c r="O84" s="64">
        <v>0</v>
      </c>
      <c r="P84" s="64">
        <v>1.47</v>
      </c>
      <c r="Q84" s="64">
        <v>4.17</v>
      </c>
      <c r="R84" s="198"/>
      <c r="S84" s="198"/>
      <c r="T84" s="198"/>
      <c r="U84" s="198"/>
    </row>
    <row r="85" spans="1:26" s="12" customFormat="1" x14ac:dyDescent="0.25">
      <c r="A85" s="215" t="s">
        <v>420</v>
      </c>
      <c r="B85" s="64">
        <v>10.01</v>
      </c>
      <c r="C85" s="64">
        <v>54.1</v>
      </c>
      <c r="D85" s="64">
        <v>39.17</v>
      </c>
      <c r="E85" s="64">
        <v>3.65</v>
      </c>
      <c r="F85" s="64">
        <v>6.83</v>
      </c>
      <c r="G85" s="64">
        <v>115</v>
      </c>
      <c r="H85" s="64">
        <v>47.1</v>
      </c>
      <c r="I85" s="64">
        <v>1.41</v>
      </c>
      <c r="J85" s="64">
        <v>0.21</v>
      </c>
      <c r="K85" s="64">
        <v>121.65</v>
      </c>
      <c r="L85" s="64">
        <v>23.9</v>
      </c>
      <c r="M85" s="64">
        <v>76.569999999999993</v>
      </c>
      <c r="N85" s="64">
        <v>34.700000000000003</v>
      </c>
      <c r="O85" s="64">
        <v>0</v>
      </c>
      <c r="P85" s="64">
        <v>1.37</v>
      </c>
      <c r="Q85" s="64">
        <v>4.4400000000000004</v>
      </c>
      <c r="R85" s="198"/>
      <c r="S85" s="198"/>
      <c r="T85" s="198"/>
      <c r="U85" s="198"/>
    </row>
    <row r="86" spans="1:26" s="12" customFormat="1" x14ac:dyDescent="0.25">
      <c r="A86" s="215" t="s">
        <v>421</v>
      </c>
      <c r="B86" s="64">
        <v>24.49</v>
      </c>
      <c r="C86" s="64">
        <v>42.51</v>
      </c>
      <c r="D86" s="64">
        <v>44.4</v>
      </c>
      <c r="E86" s="64">
        <v>3.33</v>
      </c>
      <c r="F86" s="64">
        <v>2.93</v>
      </c>
      <c r="G86" s="64">
        <v>115</v>
      </c>
      <c r="H86" s="64">
        <v>47.1</v>
      </c>
      <c r="I86" s="64">
        <v>1.45</v>
      </c>
      <c r="J86" s="64">
        <v>0.1</v>
      </c>
      <c r="K86" s="64">
        <v>16.329999999999998</v>
      </c>
      <c r="L86" s="64">
        <v>24.05</v>
      </c>
      <c r="M86" s="64">
        <v>79.78</v>
      </c>
      <c r="N86" s="64">
        <v>35.299999999999997</v>
      </c>
      <c r="O86" s="64">
        <v>0</v>
      </c>
      <c r="P86" s="64">
        <v>1.9</v>
      </c>
      <c r="Q86" s="64">
        <v>3.05</v>
      </c>
      <c r="R86" s="198"/>
      <c r="S86" s="198"/>
      <c r="T86" s="198"/>
      <c r="U86" s="198"/>
    </row>
    <row r="87" spans="1:26" s="12" customFormat="1" x14ac:dyDescent="0.25">
      <c r="A87" s="215" t="s">
        <v>422</v>
      </c>
      <c r="B87" s="64">
        <v>13.5</v>
      </c>
      <c r="C87" s="64">
        <v>51.74</v>
      </c>
      <c r="D87" s="64">
        <v>40.67</v>
      </c>
      <c r="E87" s="64">
        <v>2.4700000000000002</v>
      </c>
      <c r="F87" s="64">
        <v>1.63</v>
      </c>
      <c r="G87" s="64">
        <v>118.72</v>
      </c>
      <c r="H87" s="64">
        <v>49.5</v>
      </c>
      <c r="I87" s="64">
        <v>1.47</v>
      </c>
      <c r="J87" s="64">
        <v>0.12</v>
      </c>
      <c r="K87" s="64">
        <v>92.34</v>
      </c>
      <c r="L87" s="64">
        <v>23.8</v>
      </c>
      <c r="M87" s="64">
        <v>79.099999999999994</v>
      </c>
      <c r="N87" s="64">
        <v>35.1</v>
      </c>
      <c r="O87" s="64">
        <v>0</v>
      </c>
      <c r="P87" s="64">
        <v>1.72</v>
      </c>
      <c r="Q87" s="64">
        <v>4.51</v>
      </c>
      <c r="R87" s="198"/>
      <c r="S87" s="198"/>
      <c r="T87" s="198"/>
      <c r="U87" s="198"/>
    </row>
    <row r="88" spans="1:26" s="12" customFormat="1" x14ac:dyDescent="0.25">
      <c r="A88" s="215" t="s">
        <v>423</v>
      </c>
      <c r="B88" s="64">
        <v>32.17</v>
      </c>
      <c r="C88" s="64">
        <v>61.61</v>
      </c>
      <c r="D88" s="64">
        <v>61.09</v>
      </c>
      <c r="E88" s="64">
        <v>1.53</v>
      </c>
      <c r="F88" s="64">
        <v>1.49</v>
      </c>
      <c r="G88" s="64">
        <v>122.12</v>
      </c>
      <c r="H88" s="64">
        <v>50.54</v>
      </c>
      <c r="I88" s="64">
        <v>1.46</v>
      </c>
      <c r="J88" s="64">
        <v>0.06</v>
      </c>
      <c r="K88" s="64">
        <v>25.79</v>
      </c>
      <c r="L88" s="64">
        <v>23.76</v>
      </c>
      <c r="M88" s="64">
        <v>80.459999999999994</v>
      </c>
      <c r="N88" s="64">
        <v>35.1</v>
      </c>
      <c r="O88" s="64">
        <v>0</v>
      </c>
      <c r="P88" s="64">
        <v>2.8</v>
      </c>
      <c r="Q88" s="64">
        <v>3.38</v>
      </c>
      <c r="R88" s="198"/>
      <c r="S88" s="198"/>
      <c r="T88" s="198"/>
      <c r="U88" s="198"/>
    </row>
    <row r="89" spans="1:26" s="12" customFormat="1" x14ac:dyDescent="0.25">
      <c r="A89" s="215" t="s">
        <v>424</v>
      </c>
      <c r="B89" s="64">
        <v>19.78</v>
      </c>
      <c r="C89" s="64">
        <v>45.23</v>
      </c>
      <c r="D89" s="64">
        <v>42.12</v>
      </c>
      <c r="E89" s="64">
        <v>2.83</v>
      </c>
      <c r="F89" s="64">
        <v>1.08</v>
      </c>
      <c r="G89" s="64">
        <v>122.12</v>
      </c>
      <c r="H89" s="64">
        <v>50.54</v>
      </c>
      <c r="I89" s="64">
        <v>1.55</v>
      </c>
      <c r="J89" s="64">
        <v>0.23</v>
      </c>
      <c r="K89" s="64">
        <v>109.97</v>
      </c>
      <c r="L89" s="64">
        <v>23.74</v>
      </c>
      <c r="M89" s="64">
        <v>77.97</v>
      </c>
      <c r="N89" s="64">
        <v>34.700000000000003</v>
      </c>
      <c r="O89" s="64">
        <v>0</v>
      </c>
      <c r="P89" s="64">
        <v>1.97</v>
      </c>
      <c r="Q89" s="64">
        <v>3.36</v>
      </c>
      <c r="R89" s="198"/>
      <c r="S89" s="198"/>
      <c r="T89" s="198"/>
      <c r="U89" s="198"/>
    </row>
    <row r="90" spans="1:26" s="12" customFormat="1" x14ac:dyDescent="0.25">
      <c r="A90" s="215" t="s">
        <v>425</v>
      </c>
      <c r="B90" s="64">
        <v>14.98</v>
      </c>
      <c r="C90" s="64">
        <v>34.92</v>
      </c>
      <c r="D90" s="64">
        <v>32.57</v>
      </c>
      <c r="E90" s="64">
        <v>2.2799999999999998</v>
      </c>
      <c r="F90" s="64">
        <v>1.25</v>
      </c>
      <c r="G90" s="64">
        <v>122.12</v>
      </c>
      <c r="H90" s="64">
        <v>50.54</v>
      </c>
      <c r="I90" s="64">
        <v>1.5</v>
      </c>
      <c r="J90" s="64">
        <v>0.3</v>
      </c>
      <c r="K90" s="64">
        <v>120.13</v>
      </c>
      <c r="L90" s="64">
        <v>23.98</v>
      </c>
      <c r="M90" s="64">
        <v>76.349999999999994</v>
      </c>
      <c r="N90" s="64">
        <v>34.9</v>
      </c>
      <c r="O90" s="64">
        <v>0</v>
      </c>
      <c r="P90" s="64">
        <v>1.62</v>
      </c>
      <c r="Q90" s="64">
        <v>5.26</v>
      </c>
      <c r="R90" s="198"/>
      <c r="S90" s="198"/>
      <c r="T90" s="198"/>
      <c r="U90" s="198"/>
    </row>
    <row r="91" spans="1:26" s="12" customFormat="1" x14ac:dyDescent="0.25">
      <c r="A91" s="215" t="s">
        <v>426</v>
      </c>
      <c r="B91" s="64">
        <v>15.11</v>
      </c>
      <c r="C91" s="64">
        <v>51.22</v>
      </c>
      <c r="D91" s="64">
        <v>41.67</v>
      </c>
      <c r="E91" s="64">
        <v>2.13</v>
      </c>
      <c r="F91" s="64">
        <v>1.45</v>
      </c>
      <c r="G91" s="64">
        <v>111.37</v>
      </c>
      <c r="H91" s="64">
        <v>49.98</v>
      </c>
      <c r="I91" s="64">
        <v>1.46</v>
      </c>
      <c r="J91" s="64">
        <v>0.38</v>
      </c>
      <c r="K91" s="64">
        <v>148.13999999999999</v>
      </c>
      <c r="L91" s="64">
        <v>23.99</v>
      </c>
      <c r="M91" s="64">
        <v>76.13</v>
      </c>
      <c r="N91" s="64">
        <v>35.200000000000003</v>
      </c>
      <c r="O91" s="64">
        <v>0</v>
      </c>
      <c r="P91" s="64">
        <v>1.53</v>
      </c>
      <c r="Q91" s="64">
        <v>5.08</v>
      </c>
      <c r="R91" s="198"/>
      <c r="S91" s="198"/>
      <c r="T91" s="198"/>
      <c r="U91" s="198"/>
    </row>
    <row r="92" spans="1:26" s="12" customFormat="1" x14ac:dyDescent="0.25">
      <c r="A92" s="215" t="s">
        <v>427</v>
      </c>
      <c r="B92" s="64">
        <v>18.37</v>
      </c>
      <c r="C92" s="64">
        <v>37.729999999999997</v>
      </c>
      <c r="D92" s="64">
        <v>36.85</v>
      </c>
      <c r="E92" s="64">
        <v>2.77</v>
      </c>
      <c r="F92" s="64">
        <v>1.26</v>
      </c>
      <c r="G92" s="64">
        <v>101.54</v>
      </c>
      <c r="H92" s="64">
        <v>49.72</v>
      </c>
      <c r="I92" s="64">
        <v>1.48</v>
      </c>
      <c r="J92" s="64">
        <v>0.53</v>
      </c>
      <c r="K92" s="64">
        <v>163.21</v>
      </c>
      <c r="L92" s="64">
        <v>23.66</v>
      </c>
      <c r="M92" s="64">
        <v>78.819999999999993</v>
      </c>
      <c r="N92" s="64">
        <v>35.200000000000003</v>
      </c>
      <c r="O92" s="64">
        <v>0</v>
      </c>
      <c r="P92" s="64">
        <v>1.53</v>
      </c>
      <c r="Q92" s="64">
        <v>5.04</v>
      </c>
      <c r="R92" s="198"/>
      <c r="S92" s="198"/>
      <c r="T92" s="198"/>
      <c r="U92" s="198"/>
    </row>
    <row r="93" spans="1:26" s="12" customFormat="1" x14ac:dyDescent="0.25">
      <c r="A93" s="215" t="s">
        <v>428</v>
      </c>
      <c r="B93" s="64">
        <v>21.63</v>
      </c>
      <c r="C93" s="64">
        <v>47.33</v>
      </c>
      <c r="D93" s="64">
        <v>44.76</v>
      </c>
      <c r="E93" s="64">
        <v>2.99</v>
      </c>
      <c r="F93" s="64">
        <v>1.73</v>
      </c>
      <c r="G93" s="64">
        <v>101.54</v>
      </c>
      <c r="H93" s="64">
        <v>49.72</v>
      </c>
      <c r="I93" s="64">
        <v>1.53</v>
      </c>
      <c r="J93" s="64">
        <v>0.06</v>
      </c>
      <c r="K93" s="64">
        <v>277.98</v>
      </c>
      <c r="L93" s="64">
        <v>23.47</v>
      </c>
      <c r="M93" s="64">
        <v>80.3</v>
      </c>
      <c r="N93" s="64">
        <v>35.4</v>
      </c>
      <c r="O93" s="64">
        <v>0</v>
      </c>
      <c r="P93" s="64">
        <v>1.56</v>
      </c>
      <c r="Q93" s="64">
        <v>4.67</v>
      </c>
      <c r="R93" s="198"/>
      <c r="S93" s="198"/>
      <c r="T93" s="198"/>
      <c r="U93" s="198"/>
    </row>
    <row r="94" spans="1:26" s="12" customFormat="1" x14ac:dyDescent="0.25">
      <c r="A94" s="215" t="s">
        <v>429</v>
      </c>
      <c r="B94" s="64">
        <v>23.71</v>
      </c>
      <c r="C94" s="64">
        <v>42.86</v>
      </c>
      <c r="D94" s="64">
        <v>43.96</v>
      </c>
      <c r="E94" s="64">
        <v>2.79</v>
      </c>
      <c r="F94" s="64">
        <v>1.41</v>
      </c>
      <c r="G94" s="64">
        <v>101.54</v>
      </c>
      <c r="H94" s="64">
        <v>49.72</v>
      </c>
      <c r="I94" s="64">
        <v>1.56</v>
      </c>
      <c r="J94" s="64">
        <v>0.14000000000000001</v>
      </c>
      <c r="K94" s="64">
        <v>351.46</v>
      </c>
      <c r="L94" s="64">
        <v>23.26</v>
      </c>
      <c r="M94" s="64">
        <v>84.48</v>
      </c>
      <c r="N94" s="64">
        <v>35.4</v>
      </c>
      <c r="O94" s="64">
        <v>0</v>
      </c>
      <c r="P94" s="64">
        <v>1.85</v>
      </c>
      <c r="Q94" s="64">
        <v>4.1500000000000004</v>
      </c>
      <c r="R94" s="198"/>
      <c r="S94" s="198"/>
      <c r="T94" s="198"/>
      <c r="U94" s="198"/>
    </row>
    <row r="95" spans="1:26" s="12" customFormat="1" x14ac:dyDescent="0.25">
      <c r="A95" s="215" t="s">
        <v>430</v>
      </c>
      <c r="B95" s="64">
        <v>18.62</v>
      </c>
      <c r="C95" s="64">
        <v>38.86</v>
      </c>
      <c r="D95" s="64">
        <v>37.67</v>
      </c>
      <c r="E95" s="64">
        <v>2.63</v>
      </c>
      <c r="F95" s="64">
        <v>1.3</v>
      </c>
      <c r="G95" s="64">
        <v>104.84</v>
      </c>
      <c r="H95" s="64">
        <v>51.48</v>
      </c>
      <c r="I95" s="64">
        <v>1.49</v>
      </c>
      <c r="J95" s="64">
        <v>0.21</v>
      </c>
      <c r="K95" s="64">
        <v>124.9</v>
      </c>
      <c r="L95" s="64">
        <v>23.1</v>
      </c>
      <c r="M95" s="64">
        <v>82.92</v>
      </c>
      <c r="N95" s="64">
        <v>34.799999999999997</v>
      </c>
      <c r="O95" s="64">
        <v>0</v>
      </c>
      <c r="P95" s="64">
        <v>1.57</v>
      </c>
      <c r="Q95" s="64">
        <v>4.95</v>
      </c>
      <c r="R95" s="198"/>
      <c r="S95" s="198"/>
      <c r="T95" s="198"/>
      <c r="U95" s="198"/>
    </row>
    <row r="96" spans="1:26" s="12" customFormat="1" x14ac:dyDescent="0.25">
      <c r="A96" s="215" t="s">
        <v>431</v>
      </c>
      <c r="B96" s="64">
        <v>18.27</v>
      </c>
      <c r="C96" s="64">
        <v>42.63</v>
      </c>
      <c r="D96" s="64">
        <v>39.47</v>
      </c>
      <c r="E96" s="64">
        <v>2.6</v>
      </c>
      <c r="F96" s="64">
        <v>0.98</v>
      </c>
      <c r="G96" s="64">
        <v>107.86</v>
      </c>
      <c r="H96" s="64">
        <v>52.29</v>
      </c>
      <c r="I96" s="64">
        <v>1.49</v>
      </c>
      <c r="J96" s="64">
        <v>0.27</v>
      </c>
      <c r="K96" s="64">
        <v>96.92</v>
      </c>
      <c r="L96" s="64">
        <v>23.41</v>
      </c>
      <c r="M96" s="64">
        <v>80.56</v>
      </c>
      <c r="N96" s="64">
        <v>34.799999999999997</v>
      </c>
      <c r="O96" s="64">
        <v>0</v>
      </c>
      <c r="P96" s="64">
        <v>1.5</v>
      </c>
      <c r="Q96" s="64">
        <v>5.25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432</v>
      </c>
      <c r="B97" s="64">
        <v>23.22</v>
      </c>
      <c r="C97" s="64">
        <v>46.77</v>
      </c>
      <c r="D97" s="64">
        <v>45.73</v>
      </c>
      <c r="E97" s="64">
        <v>2.62</v>
      </c>
      <c r="F97" s="64">
        <v>0.95</v>
      </c>
      <c r="G97" s="64">
        <v>107.86</v>
      </c>
      <c r="H97" s="64">
        <v>52.29</v>
      </c>
      <c r="I97" s="64">
        <v>1.48</v>
      </c>
      <c r="J97" s="64">
        <v>0.08</v>
      </c>
      <c r="K97" s="64">
        <v>109.56</v>
      </c>
      <c r="L97" s="64">
        <v>23.35</v>
      </c>
      <c r="M97" s="64">
        <v>82.49</v>
      </c>
      <c r="N97" s="64">
        <v>34.9</v>
      </c>
      <c r="O97" s="64">
        <v>0</v>
      </c>
      <c r="P97" s="64">
        <v>1.43</v>
      </c>
      <c r="Q97" s="64">
        <v>4.9400000000000004</v>
      </c>
      <c r="R97" s="198"/>
      <c r="S97" s="198"/>
      <c r="T97" s="198"/>
      <c r="U97" s="198"/>
    </row>
    <row r="98" spans="1:33" s="12" customFormat="1" x14ac:dyDescent="0.25">
      <c r="A98" s="215" t="s">
        <v>433</v>
      </c>
      <c r="B98" s="64">
        <v>23.85</v>
      </c>
      <c r="C98" s="64">
        <v>29.98</v>
      </c>
      <c r="D98" s="64">
        <v>36.96</v>
      </c>
      <c r="E98" s="64">
        <v>2.2799999999999998</v>
      </c>
      <c r="F98" s="64">
        <v>0.83</v>
      </c>
      <c r="G98" s="64">
        <v>107.86</v>
      </c>
      <c r="H98" s="64">
        <v>52.29</v>
      </c>
      <c r="I98" s="64">
        <v>1.53</v>
      </c>
      <c r="J98" s="64">
        <v>7.0000000000000007E-2</v>
      </c>
      <c r="K98" s="64">
        <v>312.77</v>
      </c>
      <c r="L98" s="64">
        <v>23.17</v>
      </c>
      <c r="M98" s="64">
        <v>84.49</v>
      </c>
      <c r="N98" s="64">
        <v>35.1</v>
      </c>
      <c r="O98" s="64">
        <v>0</v>
      </c>
      <c r="P98" s="64">
        <v>1.61</v>
      </c>
      <c r="Q98" s="64">
        <v>5.0999999999999996</v>
      </c>
      <c r="R98" s="198"/>
      <c r="S98" s="198"/>
      <c r="T98" s="198"/>
      <c r="U98" s="198"/>
    </row>
    <row r="99" spans="1:33" s="12" customFormat="1" x14ac:dyDescent="0.25">
      <c r="A99" s="215" t="s">
        <v>434</v>
      </c>
      <c r="B99" s="64">
        <v>21.3</v>
      </c>
      <c r="C99" s="64">
        <v>39.36</v>
      </c>
      <c r="D99" s="64">
        <v>40.090000000000003</v>
      </c>
      <c r="E99" s="64">
        <v>1.44</v>
      </c>
      <c r="F99" s="64">
        <v>0.3</v>
      </c>
      <c r="G99" s="64">
        <v>104.87</v>
      </c>
      <c r="H99" s="64">
        <v>50.12</v>
      </c>
      <c r="I99" s="64">
        <v>1.46</v>
      </c>
      <c r="J99" s="64">
        <v>0.02</v>
      </c>
      <c r="K99" s="64">
        <v>223.76</v>
      </c>
      <c r="L99" s="64">
        <v>23.14</v>
      </c>
      <c r="M99" s="64">
        <v>82.54</v>
      </c>
      <c r="N99" s="64">
        <v>35</v>
      </c>
      <c r="O99" s="64">
        <v>0</v>
      </c>
      <c r="P99" s="64">
        <v>1.34</v>
      </c>
      <c r="Q99" s="64">
        <v>5.52</v>
      </c>
      <c r="R99" s="198"/>
      <c r="S99" s="198"/>
      <c r="T99" s="198"/>
      <c r="U99" s="198"/>
    </row>
    <row r="100" spans="1:33" s="12" customFormat="1" x14ac:dyDescent="0.25">
      <c r="A100" s="215" t="s">
        <v>435</v>
      </c>
      <c r="B100" s="64">
        <v>25.87</v>
      </c>
      <c r="C100" s="64">
        <v>35.85</v>
      </c>
      <c r="D100" s="64">
        <v>41.82</v>
      </c>
      <c r="E100" s="64">
        <v>1.66</v>
      </c>
      <c r="F100" s="64">
        <v>0.25</v>
      </c>
      <c r="G100" s="64">
        <v>102.12</v>
      </c>
      <c r="H100" s="64">
        <v>49.13</v>
      </c>
      <c r="I100" s="64">
        <v>1.48</v>
      </c>
      <c r="J100" s="64">
        <v>0.08</v>
      </c>
      <c r="K100" s="64">
        <v>344.63</v>
      </c>
      <c r="L100" s="64">
        <v>23.13</v>
      </c>
      <c r="M100" s="64">
        <v>84.97</v>
      </c>
      <c r="N100" s="64">
        <v>35.1</v>
      </c>
      <c r="O100" s="64">
        <v>0</v>
      </c>
      <c r="P100" s="64">
        <v>1.58</v>
      </c>
      <c r="Q100" s="64">
        <v>5.18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436</v>
      </c>
      <c r="B101" s="64">
        <v>22.5</v>
      </c>
      <c r="C101" s="64">
        <v>26.74</v>
      </c>
      <c r="D101" s="64">
        <v>34.1</v>
      </c>
      <c r="E101" s="64">
        <v>1.39</v>
      </c>
      <c r="F101" s="64">
        <v>0.72</v>
      </c>
      <c r="G101" s="64">
        <v>102.12</v>
      </c>
      <c r="H101" s="64">
        <v>49.13</v>
      </c>
      <c r="I101" s="64">
        <v>1.6</v>
      </c>
      <c r="J101" s="64">
        <v>0.06</v>
      </c>
      <c r="K101" s="64">
        <v>299.64</v>
      </c>
      <c r="L101" s="64">
        <v>22.87</v>
      </c>
      <c r="M101" s="64">
        <v>85.78</v>
      </c>
      <c r="N101" s="64">
        <v>35</v>
      </c>
      <c r="O101" s="64">
        <v>0</v>
      </c>
      <c r="P101" s="64">
        <v>1.49</v>
      </c>
      <c r="Q101" s="64">
        <v>6</v>
      </c>
      <c r="R101" s="198"/>
      <c r="S101" s="198"/>
      <c r="T101" s="198"/>
      <c r="U101" s="198"/>
    </row>
    <row r="102" spans="1:33" s="12" customFormat="1" x14ac:dyDescent="0.25">
      <c r="A102" s="215" t="s">
        <v>437</v>
      </c>
      <c r="B102" s="64">
        <v>28.43</v>
      </c>
      <c r="C102" s="64">
        <v>35.96</v>
      </c>
      <c r="D102" s="64">
        <v>43.94</v>
      </c>
      <c r="E102" s="64">
        <v>1.82</v>
      </c>
      <c r="F102" s="64">
        <v>0.41</v>
      </c>
      <c r="G102" s="64">
        <v>102.12</v>
      </c>
      <c r="H102" s="64">
        <v>49.13</v>
      </c>
      <c r="I102" s="64">
        <v>1.45</v>
      </c>
      <c r="J102" s="64">
        <v>0.17</v>
      </c>
      <c r="K102" s="64">
        <v>334.66</v>
      </c>
      <c r="L102" s="64">
        <v>22.72</v>
      </c>
      <c r="M102" s="64">
        <v>88.64</v>
      </c>
      <c r="N102" s="64">
        <v>35</v>
      </c>
      <c r="O102" s="64">
        <v>0</v>
      </c>
      <c r="P102" s="64">
        <v>1.43</v>
      </c>
      <c r="Q102" s="64">
        <v>5.4</v>
      </c>
      <c r="R102" s="198"/>
      <c r="S102" s="198"/>
      <c r="T102" s="198"/>
      <c r="U102" s="198"/>
    </row>
    <row r="103" spans="1:33" s="12" customFormat="1" x14ac:dyDescent="0.25">
      <c r="A103" s="215" t="s">
        <v>438</v>
      </c>
      <c r="B103" s="64">
        <v>19.13</v>
      </c>
      <c r="C103" s="64">
        <v>38.01</v>
      </c>
      <c r="D103" s="64">
        <v>37.61</v>
      </c>
      <c r="E103" s="64">
        <v>2.08</v>
      </c>
      <c r="F103" s="64">
        <v>1.1100000000000001</v>
      </c>
      <c r="G103" s="64">
        <v>102.93</v>
      </c>
      <c r="H103" s="64">
        <v>46.9</v>
      </c>
      <c r="I103" s="64">
        <v>1.46</v>
      </c>
      <c r="J103" s="64">
        <v>0.18</v>
      </c>
      <c r="K103" s="64">
        <v>128.16999999999999</v>
      </c>
      <c r="L103" s="64">
        <v>22.63</v>
      </c>
      <c r="M103" s="64">
        <v>90.43</v>
      </c>
      <c r="N103" s="64">
        <v>35.1</v>
      </c>
      <c r="O103" s="64">
        <v>0</v>
      </c>
      <c r="P103" s="64">
        <v>1.38</v>
      </c>
      <c r="Q103" s="64">
        <v>5.07</v>
      </c>
      <c r="R103" s="198"/>
      <c r="S103" s="198"/>
      <c r="T103" s="198"/>
      <c r="U103" s="198"/>
    </row>
    <row r="104" spans="1:33" s="12" customFormat="1" x14ac:dyDescent="0.25">
      <c r="A104" s="215" t="s">
        <v>439</v>
      </c>
      <c r="B104" s="64">
        <v>18.690000000000001</v>
      </c>
      <c r="C104" s="64">
        <v>42.17</v>
      </c>
      <c r="D104" s="64">
        <v>39.549999999999997</v>
      </c>
      <c r="E104" s="64">
        <v>1.63</v>
      </c>
      <c r="F104" s="64">
        <v>1.44</v>
      </c>
      <c r="G104" s="64">
        <v>103.67</v>
      </c>
      <c r="H104" s="64">
        <v>44.87</v>
      </c>
      <c r="I104" s="64">
        <v>1.47</v>
      </c>
      <c r="J104" s="64">
        <v>0.12</v>
      </c>
      <c r="K104" s="64">
        <v>128.56</v>
      </c>
      <c r="L104" s="64">
        <v>22.96</v>
      </c>
      <c r="M104" s="64">
        <v>85.36</v>
      </c>
      <c r="N104" s="64">
        <v>34.700000000000003</v>
      </c>
      <c r="O104" s="64">
        <v>0</v>
      </c>
      <c r="P104" s="64">
        <v>1.19</v>
      </c>
      <c r="Q104" s="64">
        <v>5.71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16.09</v>
      </c>
      <c r="D106" s="67">
        <f t="shared" ref="D106:Q106" si="0">MIN(D9:D104)</f>
        <v>11.78</v>
      </c>
      <c r="E106" s="67">
        <f t="shared" si="0"/>
        <v>0.6</v>
      </c>
      <c r="F106" s="67">
        <f t="shared" si="0"/>
        <v>0.2</v>
      </c>
      <c r="G106" s="67">
        <f t="shared" si="0"/>
        <v>64.52</v>
      </c>
      <c r="H106" s="67">
        <f t="shared" si="0"/>
        <v>38.83</v>
      </c>
      <c r="I106" s="67">
        <f t="shared" si="0"/>
        <v>1.4</v>
      </c>
      <c r="J106" s="67">
        <f t="shared" si="0"/>
        <v>0.01</v>
      </c>
      <c r="K106" s="67">
        <f t="shared" si="0"/>
        <v>1.36</v>
      </c>
      <c r="L106" s="67">
        <f t="shared" si="0"/>
        <v>19.829999999999998</v>
      </c>
      <c r="M106" s="67">
        <f t="shared" si="0"/>
        <v>44.91</v>
      </c>
      <c r="N106" s="67">
        <f t="shared" si="0"/>
        <v>22.7</v>
      </c>
      <c r="O106" s="67">
        <f t="shared" si="0"/>
        <v>0</v>
      </c>
      <c r="P106" s="67">
        <f t="shared" si="0"/>
        <v>0.66</v>
      </c>
      <c r="Q106" s="67">
        <f t="shared" si="0"/>
        <v>1.99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32.17</v>
      </c>
      <c r="C107" s="66">
        <f t="shared" ref="C107:Q107" si="1">MAX(C9:C104)</f>
        <v>64.42</v>
      </c>
      <c r="D107" s="66">
        <f t="shared" si="1"/>
        <v>61.09</v>
      </c>
      <c r="E107" s="66">
        <f t="shared" si="1"/>
        <v>4.05</v>
      </c>
      <c r="F107" s="66">
        <f t="shared" si="1"/>
        <v>28.11</v>
      </c>
      <c r="G107" s="66">
        <f t="shared" si="1"/>
        <v>235.78</v>
      </c>
      <c r="H107" s="66">
        <f t="shared" si="1"/>
        <v>78.819999999999993</v>
      </c>
      <c r="I107" s="66">
        <f t="shared" si="1"/>
        <v>1.61</v>
      </c>
      <c r="J107" s="66">
        <f t="shared" si="1"/>
        <v>1.57</v>
      </c>
      <c r="K107" s="66">
        <f t="shared" si="1"/>
        <v>357.62</v>
      </c>
      <c r="L107" s="66">
        <f t="shared" si="1"/>
        <v>31.31</v>
      </c>
      <c r="M107" s="66">
        <f t="shared" si="1"/>
        <v>90.43</v>
      </c>
      <c r="N107" s="66">
        <f t="shared" si="1"/>
        <v>652.79999999999995</v>
      </c>
      <c r="O107" s="66">
        <f t="shared" si="1"/>
        <v>0</v>
      </c>
      <c r="P107" s="66">
        <f t="shared" si="1"/>
        <v>2.8</v>
      </c>
      <c r="Q107" s="66">
        <f t="shared" si="1"/>
        <v>6.51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11.811354166666668</v>
      </c>
      <c r="C108" s="67">
        <f t="shared" ref="C108:Q108" si="2">AVERAGE(C9:C104)</f>
        <v>31.313437500000003</v>
      </c>
      <c r="D108" s="67">
        <f t="shared" si="2"/>
        <v>28.045729166666671</v>
      </c>
      <c r="E108" s="67">
        <f t="shared" si="2"/>
        <v>1.8557291666666673</v>
      </c>
      <c r="F108" s="67">
        <f t="shared" si="2"/>
        <v>3.8628125000000018</v>
      </c>
      <c r="G108" s="67">
        <f t="shared" si="2"/>
        <v>108.94770833333348</v>
      </c>
      <c r="H108" s="67">
        <f t="shared" si="2"/>
        <v>53.248750000000001</v>
      </c>
      <c r="I108" s="67">
        <f t="shared" si="2"/>
        <v>1.4993749999999995</v>
      </c>
      <c r="J108" s="67">
        <f t="shared" si="2"/>
        <v>0.36604166666666677</v>
      </c>
      <c r="K108" s="67">
        <f t="shared" si="2"/>
        <v>197.20749999999998</v>
      </c>
      <c r="L108" s="67">
        <f t="shared" si="2"/>
        <v>23.685208333333332</v>
      </c>
      <c r="M108" s="67">
        <f t="shared" si="2"/>
        <v>72.30510416666668</v>
      </c>
      <c r="N108" s="67">
        <f t="shared" si="2"/>
        <v>143.76041666666671</v>
      </c>
      <c r="O108" s="67">
        <f t="shared" si="2"/>
        <v>0</v>
      </c>
      <c r="P108" s="67">
        <f t="shared" si="2"/>
        <v>1.1975000000000002</v>
      </c>
      <c r="Q108" s="67">
        <f t="shared" si="2"/>
        <v>5.0922916666666662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6.7670366086433535</v>
      </c>
      <c r="C109" s="67">
        <f t="shared" ref="C109:Q109" si="3">STDEV(C9:C104)</f>
        <v>10.26764810133726</v>
      </c>
      <c r="D109" s="67">
        <f t="shared" si="3"/>
        <v>10.210711274239276</v>
      </c>
      <c r="E109" s="67">
        <f t="shared" si="3"/>
        <v>0.72017065929456647</v>
      </c>
      <c r="F109" s="67">
        <f t="shared" si="3"/>
        <v>4.4786846525632118</v>
      </c>
      <c r="G109" s="67">
        <f t="shared" si="3"/>
        <v>32.138656195637182</v>
      </c>
      <c r="H109" s="67">
        <f t="shared" si="3"/>
        <v>10.450898853309376</v>
      </c>
      <c r="I109" s="67">
        <f t="shared" si="3"/>
        <v>4.1162387020958362E-2</v>
      </c>
      <c r="J109" s="67">
        <f t="shared" si="3"/>
        <v>0.31285267818194218</v>
      </c>
      <c r="K109" s="67">
        <f t="shared" si="3"/>
        <v>120.36063347509563</v>
      </c>
      <c r="L109" s="67">
        <f t="shared" si="3"/>
        <v>3.0053327967628234</v>
      </c>
      <c r="M109" s="67">
        <f t="shared" si="3"/>
        <v>11.043677590634312</v>
      </c>
      <c r="N109" s="67">
        <f t="shared" si="3"/>
        <v>189.43733888554033</v>
      </c>
      <c r="O109" s="67">
        <f t="shared" si="3"/>
        <v>0</v>
      </c>
      <c r="P109" s="67">
        <f t="shared" si="3"/>
        <v>0.33535213229019217</v>
      </c>
      <c r="Q109" s="67">
        <f t="shared" si="3"/>
        <v>0.88065105003618105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8" sqref="G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440</v>
      </c>
      <c r="B9" s="64">
        <v>27.75</v>
      </c>
      <c r="C9" s="64">
        <v>31.59</v>
      </c>
      <c r="D9" s="64">
        <v>40.98</v>
      </c>
      <c r="E9" s="64">
        <v>2.4500000000000002</v>
      </c>
      <c r="F9" s="64">
        <v>0.55000000000000004</v>
      </c>
      <c r="G9" s="64">
        <v>103.67</v>
      </c>
      <c r="H9" s="64">
        <v>44.87</v>
      </c>
      <c r="I9" s="64">
        <v>1.47</v>
      </c>
      <c r="J9" s="64">
        <v>0.16</v>
      </c>
      <c r="K9" s="64">
        <v>310.51</v>
      </c>
      <c r="L9" s="64">
        <v>22.74</v>
      </c>
      <c r="M9" s="64">
        <v>89.85</v>
      </c>
      <c r="N9" s="64">
        <v>35.200000000000003</v>
      </c>
      <c r="O9" s="64">
        <v>0</v>
      </c>
      <c r="P9" s="64">
        <v>1.42</v>
      </c>
      <c r="Q9" s="64">
        <v>5.48</v>
      </c>
      <c r="R9" s="198"/>
      <c r="S9" s="198"/>
      <c r="T9" s="198"/>
      <c r="U9" s="198"/>
    </row>
    <row r="10" spans="1:21" s="12" customFormat="1" x14ac:dyDescent="0.25">
      <c r="A10" s="215" t="s">
        <v>441</v>
      </c>
      <c r="B10" s="64">
        <v>27.24</v>
      </c>
      <c r="C10" s="64">
        <v>35.479999999999997</v>
      </c>
      <c r="D10" s="64">
        <v>42.71</v>
      </c>
      <c r="E10" s="64">
        <v>2.63</v>
      </c>
      <c r="F10" s="64">
        <v>1.28</v>
      </c>
      <c r="G10" s="64">
        <v>103.67</v>
      </c>
      <c r="H10" s="64">
        <v>44.87</v>
      </c>
      <c r="I10" s="64">
        <v>1.49</v>
      </c>
      <c r="J10" s="64">
        <v>0.06</v>
      </c>
      <c r="K10" s="64">
        <v>269.94</v>
      </c>
      <c r="L10" s="64">
        <v>22.19</v>
      </c>
      <c r="M10" s="64">
        <v>92.56</v>
      </c>
      <c r="N10" s="64">
        <v>34.700000000000003</v>
      </c>
      <c r="O10" s="64">
        <v>0</v>
      </c>
      <c r="P10" s="64">
        <v>1.37</v>
      </c>
      <c r="Q10" s="64">
        <v>5.49</v>
      </c>
      <c r="R10" s="198"/>
      <c r="S10" s="198"/>
      <c r="T10" s="198"/>
      <c r="U10" s="198"/>
    </row>
    <row r="11" spans="1:21" s="12" customFormat="1" x14ac:dyDescent="0.25">
      <c r="A11" s="215" t="s">
        <v>442</v>
      </c>
      <c r="B11" s="64">
        <v>26.11</v>
      </c>
      <c r="C11" s="64">
        <v>27.89</v>
      </c>
      <c r="D11" s="64">
        <v>37.619999999999997</v>
      </c>
      <c r="E11" s="64">
        <v>2.37</v>
      </c>
      <c r="F11" s="64">
        <v>1.08</v>
      </c>
      <c r="G11" s="64">
        <v>103.78</v>
      </c>
      <c r="H11" s="64">
        <v>41.48</v>
      </c>
      <c r="I11" s="64">
        <v>1.48</v>
      </c>
      <c r="J11" s="64">
        <v>0.04</v>
      </c>
      <c r="K11" s="64">
        <v>349.04</v>
      </c>
      <c r="L11" s="64">
        <v>22.12</v>
      </c>
      <c r="M11" s="64">
        <v>92.38</v>
      </c>
      <c r="N11" s="64">
        <v>34.799999999999997</v>
      </c>
      <c r="O11" s="64">
        <v>0</v>
      </c>
      <c r="P11" s="64">
        <v>1.49</v>
      </c>
      <c r="Q11" s="64">
        <v>5.75</v>
      </c>
      <c r="R11" s="198"/>
      <c r="S11" s="198"/>
      <c r="T11" s="198"/>
      <c r="U11" s="198"/>
    </row>
    <row r="12" spans="1:21" s="12" customFormat="1" x14ac:dyDescent="0.25">
      <c r="A12" s="215" t="s">
        <v>443</v>
      </c>
      <c r="B12" s="64">
        <v>24.53</v>
      </c>
      <c r="C12" s="64">
        <v>23.73</v>
      </c>
      <c r="D12" s="64">
        <v>34.06</v>
      </c>
      <c r="E12" s="64">
        <v>2.34</v>
      </c>
      <c r="F12" s="64">
        <v>0.47</v>
      </c>
      <c r="G12" s="64">
        <v>103.88</v>
      </c>
      <c r="H12" s="64">
        <v>40.01</v>
      </c>
      <c r="I12" s="64">
        <v>1.47</v>
      </c>
      <c r="J12" s="64">
        <v>0.39</v>
      </c>
      <c r="K12" s="64">
        <v>333.52</v>
      </c>
      <c r="L12" s="64">
        <v>22.13</v>
      </c>
      <c r="M12" s="64">
        <v>91.43</v>
      </c>
      <c r="N12" s="64">
        <v>34.299999999999997</v>
      </c>
      <c r="O12" s="64">
        <v>0</v>
      </c>
      <c r="P12" s="64">
        <v>1.49</v>
      </c>
      <c r="Q12" s="64">
        <v>6.43</v>
      </c>
      <c r="R12" s="198"/>
      <c r="S12" s="198"/>
      <c r="T12" s="198"/>
      <c r="U12" s="198"/>
    </row>
    <row r="13" spans="1:21" s="12" customFormat="1" x14ac:dyDescent="0.25">
      <c r="A13" s="215" t="s">
        <v>444</v>
      </c>
      <c r="B13" s="64">
        <v>23.76</v>
      </c>
      <c r="C13" s="64">
        <v>23.4</v>
      </c>
      <c r="D13" s="64">
        <v>33.26</v>
      </c>
      <c r="E13" s="64">
        <v>2.72</v>
      </c>
      <c r="F13" s="64">
        <v>0.83</v>
      </c>
      <c r="G13" s="64">
        <v>103.88</v>
      </c>
      <c r="H13" s="64">
        <v>40.01</v>
      </c>
      <c r="I13" s="64">
        <v>1.52</v>
      </c>
      <c r="J13" s="64">
        <v>0.6</v>
      </c>
      <c r="K13" s="64">
        <v>339.22</v>
      </c>
      <c r="L13" s="64">
        <v>22.08</v>
      </c>
      <c r="M13" s="64">
        <v>90.73</v>
      </c>
      <c r="N13" s="64">
        <v>34.4</v>
      </c>
      <c r="O13" s="64">
        <v>0</v>
      </c>
      <c r="P13" s="64">
        <v>1.39</v>
      </c>
      <c r="Q13" s="64">
        <v>6.39</v>
      </c>
      <c r="R13" s="198"/>
      <c r="S13" s="198"/>
      <c r="T13" s="198"/>
      <c r="U13" s="198"/>
    </row>
    <row r="14" spans="1:21" s="12" customFormat="1" x14ac:dyDescent="0.25">
      <c r="A14" s="215" t="s">
        <v>445</v>
      </c>
      <c r="B14" s="64">
        <v>23.48</v>
      </c>
      <c r="C14" s="64">
        <v>21.2</v>
      </c>
      <c r="D14" s="64">
        <v>31.82</v>
      </c>
      <c r="E14" s="64">
        <v>2.1800000000000002</v>
      </c>
      <c r="F14" s="64">
        <v>0.75</v>
      </c>
      <c r="G14" s="64">
        <v>103.88</v>
      </c>
      <c r="H14" s="64">
        <v>40.01</v>
      </c>
      <c r="I14" s="64">
        <v>1.48</v>
      </c>
      <c r="J14" s="64">
        <v>0.4</v>
      </c>
      <c r="K14" s="64">
        <v>339.03</v>
      </c>
      <c r="L14" s="64">
        <v>22.05</v>
      </c>
      <c r="M14" s="64">
        <v>91.11</v>
      </c>
      <c r="N14" s="64">
        <v>34.6</v>
      </c>
      <c r="O14" s="64">
        <v>0</v>
      </c>
      <c r="P14" s="64">
        <v>1.46</v>
      </c>
      <c r="Q14" s="64">
        <v>6.67</v>
      </c>
      <c r="R14" s="198"/>
      <c r="S14" s="198"/>
      <c r="T14" s="198"/>
      <c r="U14" s="198"/>
    </row>
    <row r="15" spans="1:21" s="12" customFormat="1" x14ac:dyDescent="0.25">
      <c r="A15" s="215" t="s">
        <v>446</v>
      </c>
      <c r="B15" s="64">
        <v>20.39</v>
      </c>
      <c r="C15" s="64">
        <v>35.57</v>
      </c>
      <c r="D15" s="64">
        <v>37.270000000000003</v>
      </c>
      <c r="E15" s="64">
        <v>1.96</v>
      </c>
      <c r="F15" s="64">
        <v>0.2</v>
      </c>
      <c r="G15" s="64">
        <v>122.65</v>
      </c>
      <c r="H15" s="64">
        <v>51.25</v>
      </c>
      <c r="I15" s="64">
        <v>1.47</v>
      </c>
      <c r="J15" s="64">
        <v>0.21</v>
      </c>
      <c r="K15" s="64">
        <v>339.85</v>
      </c>
      <c r="L15" s="64">
        <v>22.05</v>
      </c>
      <c r="M15" s="64">
        <v>91.55</v>
      </c>
      <c r="N15" s="64">
        <v>34.700000000000003</v>
      </c>
      <c r="O15" s="64">
        <v>0</v>
      </c>
      <c r="P15" s="64">
        <v>1.39</v>
      </c>
      <c r="Q15" s="64">
        <v>6.23</v>
      </c>
      <c r="R15" s="198"/>
      <c r="S15" s="198"/>
      <c r="T15" s="198"/>
      <c r="U15" s="198"/>
    </row>
    <row r="16" spans="1:21" s="12" customFormat="1" x14ac:dyDescent="0.25">
      <c r="A16" s="215" t="s">
        <v>447</v>
      </c>
      <c r="B16" s="64">
        <v>21.06</v>
      </c>
      <c r="C16" s="64">
        <v>25.23</v>
      </c>
      <c r="D16" s="64">
        <v>32.1</v>
      </c>
      <c r="E16" s="64">
        <v>2.06</v>
      </c>
      <c r="F16" s="64">
        <v>0.63</v>
      </c>
      <c r="G16" s="64">
        <v>140.61000000000001</v>
      </c>
      <c r="H16" s="64">
        <v>56.39</v>
      </c>
      <c r="I16" s="64">
        <v>1.5</v>
      </c>
      <c r="J16" s="64">
        <v>0.09</v>
      </c>
      <c r="K16" s="64">
        <v>163.66999999999999</v>
      </c>
      <c r="L16" s="64">
        <v>22.03</v>
      </c>
      <c r="M16" s="64">
        <v>91.65</v>
      </c>
      <c r="N16" s="64">
        <v>34.799999999999997</v>
      </c>
      <c r="O16" s="64">
        <v>0</v>
      </c>
      <c r="P16" s="64">
        <v>1.45</v>
      </c>
      <c r="Q16" s="64">
        <v>6.45</v>
      </c>
      <c r="R16" s="198"/>
      <c r="S16" s="198"/>
      <c r="T16" s="198"/>
      <c r="U16" s="198"/>
    </row>
    <row r="17" spans="1:21" s="12" customFormat="1" x14ac:dyDescent="0.25">
      <c r="A17" s="215" t="s">
        <v>448</v>
      </c>
      <c r="B17" s="64">
        <v>15.25</v>
      </c>
      <c r="C17" s="64">
        <v>32.36</v>
      </c>
      <c r="D17" s="64">
        <v>31.38</v>
      </c>
      <c r="E17" s="64">
        <v>1.8</v>
      </c>
      <c r="F17" s="64">
        <v>0.61</v>
      </c>
      <c r="G17" s="64">
        <v>140.61000000000001</v>
      </c>
      <c r="H17" s="64">
        <v>56.39</v>
      </c>
      <c r="I17" s="64">
        <v>1.57</v>
      </c>
      <c r="J17" s="64">
        <v>7.0000000000000007E-2</v>
      </c>
      <c r="K17" s="64">
        <v>191.44</v>
      </c>
      <c r="L17" s="64">
        <v>22.03</v>
      </c>
      <c r="M17" s="64">
        <v>90.46</v>
      </c>
      <c r="N17" s="64">
        <v>34.799999999999997</v>
      </c>
      <c r="O17" s="64">
        <v>0</v>
      </c>
      <c r="P17" s="64">
        <v>1.4</v>
      </c>
      <c r="Q17" s="64">
        <v>6.59</v>
      </c>
      <c r="R17" s="198"/>
      <c r="S17" s="198"/>
      <c r="T17" s="198"/>
      <c r="U17" s="198"/>
    </row>
    <row r="18" spans="1:21" s="12" customFormat="1" x14ac:dyDescent="0.25">
      <c r="A18" s="215" t="s">
        <v>449</v>
      </c>
      <c r="B18" s="64">
        <v>14.26</v>
      </c>
      <c r="C18" s="64">
        <v>34.24</v>
      </c>
      <c r="D18" s="64">
        <v>31.62</v>
      </c>
      <c r="E18" s="64">
        <v>2.3199999999999998</v>
      </c>
      <c r="F18" s="64">
        <v>1.06</v>
      </c>
      <c r="G18" s="64">
        <v>140.61000000000001</v>
      </c>
      <c r="H18" s="64">
        <v>56.39</v>
      </c>
      <c r="I18" s="64">
        <v>1.48</v>
      </c>
      <c r="J18" s="64">
        <v>0.05</v>
      </c>
      <c r="K18" s="64">
        <v>285.63</v>
      </c>
      <c r="L18" s="64">
        <v>21.91</v>
      </c>
      <c r="M18" s="64">
        <v>91.04</v>
      </c>
      <c r="N18" s="64">
        <v>34.799999999999997</v>
      </c>
      <c r="O18" s="64">
        <v>0</v>
      </c>
      <c r="P18" s="64">
        <v>1.35</v>
      </c>
      <c r="Q18" s="64">
        <v>6.43</v>
      </c>
      <c r="R18" s="198"/>
      <c r="S18" s="198"/>
      <c r="T18" s="198"/>
      <c r="U18" s="198"/>
    </row>
    <row r="19" spans="1:21" s="12" customFormat="1" x14ac:dyDescent="0.25">
      <c r="A19" s="215" t="s">
        <v>450</v>
      </c>
      <c r="B19" s="64">
        <v>15.16</v>
      </c>
      <c r="C19" s="64">
        <v>36.29</v>
      </c>
      <c r="D19" s="64">
        <v>33.47</v>
      </c>
      <c r="E19" s="64">
        <v>2.9</v>
      </c>
      <c r="F19" s="64">
        <v>1.07</v>
      </c>
      <c r="G19" s="64">
        <v>166.52</v>
      </c>
      <c r="H19" s="64">
        <v>74.16</v>
      </c>
      <c r="I19" s="64">
        <v>1.43</v>
      </c>
      <c r="J19" s="64">
        <v>0.13</v>
      </c>
      <c r="K19" s="64">
        <v>340.04</v>
      </c>
      <c r="L19" s="64">
        <v>21.58</v>
      </c>
      <c r="M19" s="64">
        <v>95.26</v>
      </c>
      <c r="N19" s="64">
        <v>34.700000000000003</v>
      </c>
      <c r="O19" s="64">
        <v>0</v>
      </c>
      <c r="P19" s="64">
        <v>1.4</v>
      </c>
      <c r="Q19" s="64">
        <v>6.09</v>
      </c>
      <c r="R19" s="198"/>
      <c r="S19" s="198"/>
      <c r="T19" s="198"/>
      <c r="U19" s="198"/>
    </row>
    <row r="20" spans="1:21" s="12" customFormat="1" x14ac:dyDescent="0.25">
      <c r="A20" s="215" t="s">
        <v>451</v>
      </c>
      <c r="B20" s="64">
        <v>14.31</v>
      </c>
      <c r="C20" s="64">
        <v>35.200000000000003</v>
      </c>
      <c r="D20" s="64">
        <v>32.19</v>
      </c>
      <c r="E20" s="64">
        <v>3.25</v>
      </c>
      <c r="F20" s="64">
        <v>1.1100000000000001</v>
      </c>
      <c r="G20" s="64">
        <v>191.29</v>
      </c>
      <c r="H20" s="64">
        <v>82.27</v>
      </c>
      <c r="I20" s="64">
        <v>1.55</v>
      </c>
      <c r="J20" s="64">
        <v>0.1</v>
      </c>
      <c r="K20" s="64">
        <v>282.33</v>
      </c>
      <c r="L20" s="64">
        <v>21.15</v>
      </c>
      <c r="M20" s="64">
        <v>97.26</v>
      </c>
      <c r="N20" s="64">
        <v>34.6</v>
      </c>
      <c r="O20" s="64">
        <v>0</v>
      </c>
      <c r="P20" s="64">
        <v>1.41</v>
      </c>
      <c r="Q20" s="64">
        <v>6.09</v>
      </c>
      <c r="R20" s="198"/>
      <c r="S20" s="198"/>
      <c r="T20" s="198"/>
      <c r="U20" s="198"/>
    </row>
    <row r="21" spans="1:21" s="12" customFormat="1" x14ac:dyDescent="0.25">
      <c r="A21" s="215" t="s">
        <v>452</v>
      </c>
      <c r="B21" s="64">
        <v>21.47</v>
      </c>
      <c r="C21" s="64">
        <v>33.94</v>
      </c>
      <c r="D21" s="64">
        <v>37.24</v>
      </c>
      <c r="E21" s="64">
        <v>3.5</v>
      </c>
      <c r="F21" s="64">
        <v>0.6</v>
      </c>
      <c r="G21" s="64">
        <v>191.29</v>
      </c>
      <c r="H21" s="64">
        <v>82.27</v>
      </c>
      <c r="I21" s="64">
        <v>1.53</v>
      </c>
      <c r="J21" s="64">
        <v>0.02</v>
      </c>
      <c r="K21" s="64">
        <v>55.28</v>
      </c>
      <c r="L21" s="64">
        <v>21.02</v>
      </c>
      <c r="M21" s="64">
        <v>98.37</v>
      </c>
      <c r="N21" s="64">
        <v>34.5</v>
      </c>
      <c r="O21" s="64">
        <v>0</v>
      </c>
      <c r="P21" s="64">
        <v>1.56</v>
      </c>
      <c r="Q21" s="64">
        <v>5.83</v>
      </c>
      <c r="R21" s="198"/>
      <c r="S21" s="198"/>
      <c r="T21" s="198"/>
      <c r="U21" s="198"/>
    </row>
    <row r="22" spans="1:21" s="12" customFormat="1" x14ac:dyDescent="0.25">
      <c r="A22" s="215" t="s">
        <v>453</v>
      </c>
      <c r="B22" s="64">
        <v>17.989999999999998</v>
      </c>
      <c r="C22" s="64">
        <v>34.200000000000003</v>
      </c>
      <c r="D22" s="64">
        <v>34.6</v>
      </c>
      <c r="E22" s="64">
        <v>3.17</v>
      </c>
      <c r="F22" s="64">
        <v>0.56999999999999995</v>
      </c>
      <c r="G22" s="64">
        <v>191.29</v>
      </c>
      <c r="H22" s="64">
        <v>82.27</v>
      </c>
      <c r="I22" s="64">
        <v>1.53</v>
      </c>
      <c r="J22" s="64">
        <v>0.06</v>
      </c>
      <c r="K22" s="64">
        <v>335.52</v>
      </c>
      <c r="L22" s="64">
        <v>21.22</v>
      </c>
      <c r="M22" s="64">
        <v>97.62</v>
      </c>
      <c r="N22" s="64">
        <v>34.5</v>
      </c>
      <c r="O22" s="64">
        <v>0</v>
      </c>
      <c r="P22" s="64">
        <v>1.44</v>
      </c>
      <c r="Q22" s="64">
        <v>5.89</v>
      </c>
      <c r="R22" s="198"/>
      <c r="S22" s="198"/>
      <c r="T22" s="198"/>
      <c r="U22" s="198"/>
    </row>
    <row r="23" spans="1:21" s="12" customFormat="1" x14ac:dyDescent="0.25">
      <c r="A23" s="215" t="s">
        <v>454</v>
      </c>
      <c r="B23" s="64">
        <v>19.170000000000002</v>
      </c>
      <c r="C23" s="64">
        <v>28.01</v>
      </c>
      <c r="D23" s="64">
        <v>32.130000000000003</v>
      </c>
      <c r="E23" s="64">
        <v>3.12</v>
      </c>
      <c r="F23" s="64">
        <v>0.27</v>
      </c>
      <c r="G23" s="64">
        <v>199.12</v>
      </c>
      <c r="H23" s="64">
        <v>96.37</v>
      </c>
      <c r="I23" s="64">
        <v>1.49</v>
      </c>
      <c r="J23" s="64">
        <v>0.05</v>
      </c>
      <c r="K23" s="64">
        <v>101.34</v>
      </c>
      <c r="L23" s="64">
        <v>21.05</v>
      </c>
      <c r="M23" s="64">
        <v>98.37</v>
      </c>
      <c r="N23" s="64">
        <v>46.2</v>
      </c>
      <c r="O23" s="64">
        <v>0</v>
      </c>
      <c r="P23" s="64">
        <v>1.44</v>
      </c>
      <c r="Q23" s="64">
        <v>6.21</v>
      </c>
      <c r="R23" s="198"/>
      <c r="S23" s="198"/>
      <c r="T23" s="198"/>
      <c r="U23" s="198"/>
    </row>
    <row r="24" spans="1:21" s="12" customFormat="1" x14ac:dyDescent="0.25">
      <c r="A24" s="215" t="s">
        <v>455</v>
      </c>
      <c r="B24" s="64">
        <v>17.93</v>
      </c>
      <c r="C24" s="64">
        <v>32.020000000000003</v>
      </c>
      <c r="D24" s="64">
        <v>33.340000000000003</v>
      </c>
      <c r="E24" s="64">
        <v>1.42</v>
      </c>
      <c r="F24" s="64">
        <v>0.62</v>
      </c>
      <c r="G24" s="64">
        <v>206.62</v>
      </c>
      <c r="H24" s="64">
        <v>102.8</v>
      </c>
      <c r="I24" s="64">
        <v>1.49</v>
      </c>
      <c r="J24" s="64">
        <v>0.05</v>
      </c>
      <c r="K24" s="64">
        <v>49.74</v>
      </c>
      <c r="L24" s="64">
        <v>20.98</v>
      </c>
      <c r="M24" s="64">
        <v>97.32</v>
      </c>
      <c r="N24" s="64">
        <v>52.4</v>
      </c>
      <c r="O24" s="64">
        <v>0</v>
      </c>
      <c r="P24" s="64">
        <v>1.31</v>
      </c>
      <c r="Q24" s="64">
        <v>6.16</v>
      </c>
      <c r="R24" s="198"/>
      <c r="S24" s="198"/>
      <c r="T24" s="198"/>
      <c r="U24" s="198"/>
    </row>
    <row r="25" spans="1:21" s="12" customFormat="1" x14ac:dyDescent="0.25">
      <c r="A25" s="215" t="s">
        <v>456</v>
      </c>
      <c r="B25" s="64">
        <v>20.84</v>
      </c>
      <c r="C25" s="64">
        <v>27.69</v>
      </c>
      <c r="D25" s="64">
        <v>33.29</v>
      </c>
      <c r="E25" s="64">
        <v>2.4</v>
      </c>
      <c r="F25" s="64">
        <v>0.36</v>
      </c>
      <c r="G25" s="64">
        <v>206.62</v>
      </c>
      <c r="H25" s="64">
        <v>102.8</v>
      </c>
      <c r="I25" s="64">
        <v>1.54</v>
      </c>
      <c r="J25" s="64">
        <v>0.17</v>
      </c>
      <c r="K25" s="64">
        <v>327.5</v>
      </c>
      <c r="L25" s="64">
        <v>20.92</v>
      </c>
      <c r="M25" s="64">
        <v>97.92</v>
      </c>
      <c r="N25" s="64">
        <v>56</v>
      </c>
      <c r="O25" s="64">
        <v>0</v>
      </c>
      <c r="P25" s="64">
        <v>1.41</v>
      </c>
      <c r="Q25" s="64">
        <v>5.98</v>
      </c>
      <c r="R25" s="198"/>
      <c r="S25" s="198"/>
      <c r="T25" s="198"/>
      <c r="U25" s="198"/>
    </row>
    <row r="26" spans="1:21" s="12" customFormat="1" x14ac:dyDescent="0.25">
      <c r="A26" s="215" t="s">
        <v>457</v>
      </c>
      <c r="B26" s="64">
        <v>22.6</v>
      </c>
      <c r="C26" s="64">
        <v>22.69</v>
      </c>
      <c r="D26" s="64">
        <v>31.94</v>
      </c>
      <c r="E26" s="64">
        <v>2.12</v>
      </c>
      <c r="F26" s="64">
        <v>0.44</v>
      </c>
      <c r="G26" s="64">
        <v>206.62</v>
      </c>
      <c r="H26" s="64">
        <v>102.8</v>
      </c>
      <c r="I26" s="64">
        <v>1.53</v>
      </c>
      <c r="J26" s="64">
        <v>7.0000000000000007E-2</v>
      </c>
      <c r="K26" s="64">
        <v>309.44</v>
      </c>
      <c r="L26" s="64">
        <v>20.76</v>
      </c>
      <c r="M26" s="64">
        <v>98.14</v>
      </c>
      <c r="N26" s="64">
        <v>51.8</v>
      </c>
      <c r="O26" s="64">
        <v>0</v>
      </c>
      <c r="P26" s="64">
        <v>1.43</v>
      </c>
      <c r="Q26" s="64">
        <v>6.35</v>
      </c>
      <c r="R26" s="198"/>
      <c r="S26" s="198"/>
      <c r="T26" s="198"/>
      <c r="U26" s="198"/>
    </row>
    <row r="27" spans="1:21" s="12" customFormat="1" x14ac:dyDescent="0.25">
      <c r="A27" s="215" t="s">
        <v>458</v>
      </c>
      <c r="B27" s="64">
        <v>21.08</v>
      </c>
      <c r="C27" s="64">
        <v>26.11</v>
      </c>
      <c r="D27" s="64">
        <v>32.61</v>
      </c>
      <c r="E27" s="64">
        <v>1.91</v>
      </c>
      <c r="F27" s="64">
        <v>0.27</v>
      </c>
      <c r="G27" s="64">
        <v>197.3</v>
      </c>
      <c r="H27" s="64">
        <v>102.78</v>
      </c>
      <c r="I27" s="64">
        <v>1.53</v>
      </c>
      <c r="J27" s="64">
        <v>0.05</v>
      </c>
      <c r="K27" s="64">
        <v>357.69</v>
      </c>
      <c r="L27" s="64">
        <v>20.51</v>
      </c>
      <c r="M27" s="64">
        <v>98.43</v>
      </c>
      <c r="N27" s="64">
        <v>51.5</v>
      </c>
      <c r="O27" s="64">
        <v>0</v>
      </c>
      <c r="P27" s="64">
        <v>1.41</v>
      </c>
      <c r="Q27" s="64">
        <v>6.11</v>
      </c>
      <c r="R27" s="198"/>
      <c r="S27" s="198"/>
      <c r="T27" s="198"/>
      <c r="U27" s="198"/>
    </row>
    <row r="28" spans="1:21" s="12" customFormat="1" x14ac:dyDescent="0.25">
      <c r="A28" s="215" t="s">
        <v>459</v>
      </c>
      <c r="B28" s="64">
        <v>21.61</v>
      </c>
      <c r="C28" s="64">
        <v>20.12</v>
      </c>
      <c r="D28" s="64">
        <v>29.73</v>
      </c>
      <c r="E28" s="64">
        <v>1.79</v>
      </c>
      <c r="F28" s="64">
        <v>0.69</v>
      </c>
      <c r="G28" s="64">
        <v>188.39</v>
      </c>
      <c r="H28" s="64">
        <v>102.78</v>
      </c>
      <c r="I28" s="64">
        <v>1.56</v>
      </c>
      <c r="J28" s="64">
        <v>0.17</v>
      </c>
      <c r="K28" s="64">
        <v>21.35</v>
      </c>
      <c r="L28" s="64">
        <v>20.53</v>
      </c>
      <c r="M28" s="64">
        <v>98.43</v>
      </c>
      <c r="N28" s="64">
        <v>51.8</v>
      </c>
      <c r="O28" s="64">
        <v>0</v>
      </c>
      <c r="P28" s="64">
        <v>1.42</v>
      </c>
      <c r="Q28" s="64">
        <v>6.43</v>
      </c>
      <c r="R28" s="198"/>
      <c r="S28" s="198"/>
      <c r="T28" s="198"/>
      <c r="U28" s="198"/>
    </row>
    <row r="29" spans="1:21" s="12" customFormat="1" x14ac:dyDescent="0.25">
      <c r="A29" s="215" t="s">
        <v>460</v>
      </c>
      <c r="B29" s="64">
        <v>21.04</v>
      </c>
      <c r="C29" s="64">
        <v>24.18</v>
      </c>
      <c r="D29" s="64">
        <v>31.51</v>
      </c>
      <c r="E29" s="64">
        <v>1.61</v>
      </c>
      <c r="F29" s="64">
        <v>0.01</v>
      </c>
      <c r="G29" s="64">
        <v>188.39</v>
      </c>
      <c r="H29" s="64">
        <v>102.78</v>
      </c>
      <c r="I29" s="64">
        <v>1.51</v>
      </c>
      <c r="J29" s="64">
        <v>0.16</v>
      </c>
      <c r="K29" s="64">
        <v>350.97</v>
      </c>
      <c r="L29" s="64">
        <v>20.72</v>
      </c>
      <c r="M29" s="64">
        <v>98.43</v>
      </c>
      <c r="N29" s="64">
        <v>53.1</v>
      </c>
      <c r="O29" s="64">
        <v>0</v>
      </c>
      <c r="P29" s="64">
        <v>1.43</v>
      </c>
      <c r="Q29" s="64">
        <v>6.32</v>
      </c>
      <c r="R29" s="198"/>
      <c r="S29" s="198"/>
      <c r="T29" s="198"/>
      <c r="U29" s="198"/>
    </row>
    <row r="30" spans="1:21" s="12" customFormat="1" x14ac:dyDescent="0.25">
      <c r="A30" s="215" t="s">
        <v>461</v>
      </c>
      <c r="B30" s="64">
        <v>20.62</v>
      </c>
      <c r="C30" s="64">
        <v>29.48</v>
      </c>
      <c r="D30" s="64">
        <v>34.1</v>
      </c>
      <c r="E30" s="64">
        <v>2.31</v>
      </c>
      <c r="F30" s="64">
        <v>0.5</v>
      </c>
      <c r="G30" s="64">
        <v>188.39</v>
      </c>
      <c r="H30" s="64">
        <v>102.78</v>
      </c>
      <c r="I30" s="64">
        <v>1.52</v>
      </c>
      <c r="J30" s="64">
        <v>0.15</v>
      </c>
      <c r="K30" s="64">
        <v>337.98</v>
      </c>
      <c r="L30" s="64">
        <v>20.75</v>
      </c>
      <c r="M30" s="64">
        <v>98.42</v>
      </c>
      <c r="N30" s="64">
        <v>56.6</v>
      </c>
      <c r="O30" s="64">
        <v>0</v>
      </c>
      <c r="P30" s="64">
        <v>1.45</v>
      </c>
      <c r="Q30" s="64">
        <v>5.98</v>
      </c>
      <c r="R30" s="198"/>
      <c r="S30" s="198"/>
      <c r="T30" s="198"/>
      <c r="U30" s="198"/>
    </row>
    <row r="31" spans="1:21" s="12" customFormat="1" x14ac:dyDescent="0.25">
      <c r="A31" s="215" t="s">
        <v>462</v>
      </c>
      <c r="B31" s="64">
        <v>26.01</v>
      </c>
      <c r="C31" s="64">
        <v>34.18</v>
      </c>
      <c r="D31" s="64">
        <v>41.01</v>
      </c>
      <c r="E31" s="64">
        <v>2.57</v>
      </c>
      <c r="F31" s="64">
        <v>0.66</v>
      </c>
      <c r="G31" s="64">
        <v>187.59</v>
      </c>
      <c r="H31" s="64">
        <v>100.61</v>
      </c>
      <c r="I31" s="64">
        <v>1.53</v>
      </c>
      <c r="J31" s="64">
        <v>0.21</v>
      </c>
      <c r="K31" s="64">
        <v>346.37</v>
      </c>
      <c r="L31" s="64">
        <v>20.91</v>
      </c>
      <c r="M31" s="64">
        <v>98.08</v>
      </c>
      <c r="N31" s="64">
        <v>63.3</v>
      </c>
      <c r="O31" s="64">
        <v>0</v>
      </c>
      <c r="P31" s="64">
        <v>1.41</v>
      </c>
      <c r="Q31" s="64">
        <v>4.97</v>
      </c>
      <c r="R31" s="198"/>
      <c r="S31" s="198"/>
      <c r="T31" s="198"/>
      <c r="U31" s="198"/>
    </row>
    <row r="32" spans="1:21" s="12" customFormat="1" x14ac:dyDescent="0.25">
      <c r="A32" s="215" t="s">
        <v>463</v>
      </c>
      <c r="B32" s="64">
        <v>23.77</v>
      </c>
      <c r="C32" s="64">
        <v>29.3</v>
      </c>
      <c r="D32" s="64">
        <v>36.53</v>
      </c>
      <c r="E32" s="64">
        <v>2.76</v>
      </c>
      <c r="F32" s="64">
        <v>0.56999999999999995</v>
      </c>
      <c r="G32" s="64">
        <v>186.83</v>
      </c>
      <c r="H32" s="64">
        <v>98.64</v>
      </c>
      <c r="I32" s="64">
        <v>1.5</v>
      </c>
      <c r="J32" s="64">
        <v>0.36</v>
      </c>
      <c r="K32" s="64">
        <v>341.29</v>
      </c>
      <c r="L32" s="64">
        <v>21.14</v>
      </c>
      <c r="M32" s="64">
        <v>97.27</v>
      </c>
      <c r="N32" s="64">
        <v>65.2</v>
      </c>
      <c r="O32" s="64">
        <v>0</v>
      </c>
      <c r="P32" s="64">
        <v>1.51</v>
      </c>
      <c r="Q32" s="64">
        <v>3.96</v>
      </c>
      <c r="R32" s="198"/>
      <c r="S32" s="198"/>
      <c r="T32" s="198"/>
      <c r="U32" s="198"/>
    </row>
    <row r="33" spans="1:21" s="12" customFormat="1" x14ac:dyDescent="0.25">
      <c r="A33" s="215" t="s">
        <v>464</v>
      </c>
      <c r="B33" s="64">
        <v>25.49</v>
      </c>
      <c r="C33" s="64">
        <v>29.59</v>
      </c>
      <c r="D33" s="64">
        <v>38.07</v>
      </c>
      <c r="E33" s="64">
        <v>2.9</v>
      </c>
      <c r="F33" s="64">
        <v>0.53</v>
      </c>
      <c r="G33" s="64">
        <v>186.83</v>
      </c>
      <c r="H33" s="64">
        <v>98.64</v>
      </c>
      <c r="I33" s="64">
        <v>1.45</v>
      </c>
      <c r="J33" s="64">
        <v>0.45</v>
      </c>
      <c r="K33" s="64">
        <v>333.01</v>
      </c>
      <c r="L33" s="64">
        <v>21.28</v>
      </c>
      <c r="M33" s="64">
        <v>96.53</v>
      </c>
      <c r="N33" s="64">
        <v>68.599999999999994</v>
      </c>
      <c r="O33" s="64">
        <v>0</v>
      </c>
      <c r="P33" s="64">
        <v>1.57</v>
      </c>
      <c r="Q33" s="64">
        <v>5.45</v>
      </c>
      <c r="R33" s="198"/>
      <c r="S33" s="198"/>
      <c r="T33" s="198"/>
      <c r="U33" s="198"/>
    </row>
    <row r="34" spans="1:21" s="12" customFormat="1" x14ac:dyDescent="0.25">
      <c r="A34" s="215" t="s">
        <v>465</v>
      </c>
      <c r="B34" s="64">
        <v>25.39</v>
      </c>
      <c r="C34" s="64">
        <v>25.28</v>
      </c>
      <c r="D34" s="64">
        <v>35.6</v>
      </c>
      <c r="E34" s="64">
        <v>3.29</v>
      </c>
      <c r="F34" s="64">
        <v>0.26</v>
      </c>
      <c r="G34" s="64">
        <v>186.83</v>
      </c>
      <c r="H34" s="64">
        <v>98.64</v>
      </c>
      <c r="I34" s="64">
        <v>1.39</v>
      </c>
      <c r="J34" s="64">
        <v>0.41</v>
      </c>
      <c r="K34" s="64">
        <v>337.58</v>
      </c>
      <c r="L34" s="64">
        <v>21.53</v>
      </c>
      <c r="M34" s="64">
        <v>94.36</v>
      </c>
      <c r="N34" s="64">
        <v>78.400000000000006</v>
      </c>
      <c r="O34" s="64">
        <v>0</v>
      </c>
      <c r="P34" s="64">
        <v>1.56</v>
      </c>
      <c r="Q34" s="64">
        <v>5.8</v>
      </c>
      <c r="R34" s="198"/>
      <c r="S34" s="198"/>
      <c r="T34" s="198"/>
      <c r="U34" s="198"/>
    </row>
    <row r="35" spans="1:21" s="12" customFormat="1" x14ac:dyDescent="0.25">
      <c r="A35" s="215" t="s">
        <v>466</v>
      </c>
      <c r="B35" s="64">
        <v>26.3</v>
      </c>
      <c r="C35" s="64">
        <v>20.2</v>
      </c>
      <c r="D35" s="64">
        <v>33.53</v>
      </c>
      <c r="E35" s="64">
        <v>2.97</v>
      </c>
      <c r="F35" s="64">
        <v>0.3</v>
      </c>
      <c r="G35" s="64">
        <v>200.65</v>
      </c>
      <c r="H35" s="64">
        <v>107.5</v>
      </c>
      <c r="I35" s="64">
        <v>1.57</v>
      </c>
      <c r="J35" s="64">
        <v>0.72</v>
      </c>
      <c r="K35" s="64">
        <v>328.31</v>
      </c>
      <c r="L35" s="64">
        <v>21.73</v>
      </c>
      <c r="M35" s="64">
        <v>93.95</v>
      </c>
      <c r="N35" s="64">
        <v>84</v>
      </c>
      <c r="O35" s="64">
        <v>0</v>
      </c>
      <c r="P35" s="64">
        <v>1.5</v>
      </c>
      <c r="Q35" s="64">
        <v>6.39</v>
      </c>
      <c r="R35" s="198"/>
      <c r="S35" s="198"/>
      <c r="T35" s="198"/>
      <c r="U35" s="198"/>
    </row>
    <row r="36" spans="1:21" s="12" customFormat="1" x14ac:dyDescent="0.25">
      <c r="A36" s="215" t="s">
        <v>467</v>
      </c>
      <c r="B36" s="64">
        <v>27.19</v>
      </c>
      <c r="C36" s="64">
        <v>19.170000000000002</v>
      </c>
      <c r="D36" s="64">
        <v>33.67</v>
      </c>
      <c r="E36" s="64">
        <v>3.05</v>
      </c>
      <c r="F36" s="64">
        <v>0.67</v>
      </c>
      <c r="G36" s="64">
        <v>213.87</v>
      </c>
      <c r="H36" s="64">
        <v>111.54</v>
      </c>
      <c r="I36" s="64">
        <v>1.54</v>
      </c>
      <c r="J36" s="64">
        <v>0.74</v>
      </c>
      <c r="K36" s="64">
        <v>338.8</v>
      </c>
      <c r="L36" s="64">
        <v>21.83</v>
      </c>
      <c r="M36" s="64">
        <v>93.37</v>
      </c>
      <c r="N36" s="64">
        <v>101.8</v>
      </c>
      <c r="O36" s="64">
        <v>0</v>
      </c>
      <c r="P36" s="64">
        <v>1.51</v>
      </c>
      <c r="Q36" s="64">
        <v>6.63</v>
      </c>
      <c r="R36" s="198"/>
      <c r="S36" s="198"/>
      <c r="T36" s="198"/>
      <c r="U36" s="198"/>
    </row>
    <row r="37" spans="1:21" s="12" customFormat="1" x14ac:dyDescent="0.25">
      <c r="A37" s="215" t="s">
        <v>468</v>
      </c>
      <c r="B37" s="64">
        <v>27.83</v>
      </c>
      <c r="C37" s="64">
        <v>21.08</v>
      </c>
      <c r="D37" s="64">
        <v>35.24</v>
      </c>
      <c r="E37" s="64">
        <v>2.2000000000000002</v>
      </c>
      <c r="F37" s="64">
        <v>0.3</v>
      </c>
      <c r="G37" s="64">
        <v>213.87</v>
      </c>
      <c r="H37" s="64">
        <v>111.54</v>
      </c>
      <c r="I37" s="64">
        <v>1.55</v>
      </c>
      <c r="J37" s="64">
        <v>0.92</v>
      </c>
      <c r="K37" s="64">
        <v>340.16</v>
      </c>
      <c r="L37" s="64">
        <v>22.18</v>
      </c>
      <c r="M37" s="64">
        <v>91.24</v>
      </c>
      <c r="N37" s="64">
        <v>119</v>
      </c>
      <c r="O37" s="64">
        <v>0</v>
      </c>
      <c r="P37" s="64">
        <v>1.52</v>
      </c>
      <c r="Q37" s="64">
        <v>6.85</v>
      </c>
      <c r="R37" s="198"/>
      <c r="S37" s="198"/>
      <c r="T37" s="198"/>
      <c r="U37" s="198"/>
    </row>
    <row r="38" spans="1:21" s="12" customFormat="1" x14ac:dyDescent="0.25">
      <c r="A38" s="215" t="s">
        <v>469</v>
      </c>
      <c r="B38" s="64">
        <v>30.08</v>
      </c>
      <c r="C38" s="64">
        <v>25.06</v>
      </c>
      <c r="D38" s="64">
        <v>39.25</v>
      </c>
      <c r="E38" s="64">
        <v>2.88</v>
      </c>
      <c r="F38" s="64">
        <v>0.66</v>
      </c>
      <c r="G38" s="64">
        <v>213.87</v>
      </c>
      <c r="H38" s="64">
        <v>111.54</v>
      </c>
      <c r="I38" s="64">
        <v>1.47</v>
      </c>
      <c r="J38" s="64">
        <v>0.56000000000000005</v>
      </c>
      <c r="K38" s="64">
        <v>339.93</v>
      </c>
      <c r="L38" s="64">
        <v>23.09</v>
      </c>
      <c r="M38" s="64">
        <v>85.29</v>
      </c>
      <c r="N38" s="64">
        <v>178.8</v>
      </c>
      <c r="O38" s="64">
        <v>0</v>
      </c>
      <c r="P38" s="64">
        <v>1.61</v>
      </c>
      <c r="Q38" s="64">
        <v>6.7</v>
      </c>
      <c r="R38" s="198"/>
      <c r="S38" s="198"/>
      <c r="T38" s="198"/>
      <c r="U38" s="198"/>
    </row>
    <row r="39" spans="1:21" s="12" customFormat="1" x14ac:dyDescent="0.25">
      <c r="A39" s="215" t="s">
        <v>470</v>
      </c>
      <c r="B39" s="64">
        <v>30.44</v>
      </c>
      <c r="C39" s="64">
        <v>21.88</v>
      </c>
      <c r="D39" s="64">
        <v>37.78</v>
      </c>
      <c r="E39" s="64">
        <v>2.1800000000000002</v>
      </c>
      <c r="F39" s="64">
        <v>0.61</v>
      </c>
      <c r="G39" s="64">
        <v>213.87</v>
      </c>
      <c r="H39" s="64">
        <v>115.74</v>
      </c>
      <c r="I39" s="64">
        <v>1.47</v>
      </c>
      <c r="J39" s="64">
        <v>0.78</v>
      </c>
      <c r="K39" s="64">
        <v>342.52</v>
      </c>
      <c r="L39" s="64">
        <v>24.39</v>
      </c>
      <c r="M39" s="64">
        <v>78.58</v>
      </c>
      <c r="N39" s="64">
        <v>241.5</v>
      </c>
      <c r="O39" s="64">
        <v>0</v>
      </c>
      <c r="P39" s="64">
        <v>1.61</v>
      </c>
      <c r="Q39" s="64">
        <v>7.04</v>
      </c>
      <c r="R39" s="198"/>
      <c r="S39" s="198"/>
      <c r="T39" s="198"/>
      <c r="U39" s="198"/>
    </row>
    <row r="40" spans="1:21" s="12" customFormat="1" x14ac:dyDescent="0.25">
      <c r="A40" s="215" t="s">
        <v>471</v>
      </c>
      <c r="B40" s="64">
        <v>31.32</v>
      </c>
      <c r="C40" s="64">
        <v>28.04</v>
      </c>
      <c r="D40" s="64">
        <v>41.88</v>
      </c>
      <c r="E40" s="64">
        <v>1.31</v>
      </c>
      <c r="F40" s="64">
        <v>0.56000000000000005</v>
      </c>
      <c r="G40" s="64">
        <v>256.33999999999997</v>
      </c>
      <c r="H40" s="64">
        <v>117.66</v>
      </c>
      <c r="I40" s="64">
        <v>1.5</v>
      </c>
      <c r="J40" s="64">
        <v>0.59</v>
      </c>
      <c r="K40" s="64">
        <v>338.03</v>
      </c>
      <c r="L40" s="64">
        <v>24.79</v>
      </c>
      <c r="M40" s="64">
        <v>76.17</v>
      </c>
      <c r="N40" s="64">
        <v>189.1</v>
      </c>
      <c r="O40" s="64">
        <v>0</v>
      </c>
      <c r="P40" s="64">
        <v>1.65</v>
      </c>
      <c r="Q40" s="64">
        <v>6.92</v>
      </c>
      <c r="R40" s="198"/>
      <c r="S40" s="198"/>
      <c r="T40" s="198"/>
      <c r="U40" s="198"/>
    </row>
    <row r="41" spans="1:21" s="12" customFormat="1" x14ac:dyDescent="0.25">
      <c r="A41" s="215" t="s">
        <v>472</v>
      </c>
      <c r="B41" s="64">
        <v>34.33</v>
      </c>
      <c r="C41" s="64">
        <v>25.2</v>
      </c>
      <c r="D41" s="64">
        <v>42.73</v>
      </c>
      <c r="E41" s="64">
        <v>3.09</v>
      </c>
      <c r="F41" s="64">
        <v>1.04</v>
      </c>
      <c r="G41" s="64">
        <v>256.33999999999997</v>
      </c>
      <c r="H41" s="64">
        <v>117.66</v>
      </c>
      <c r="I41" s="64">
        <v>1.49</v>
      </c>
      <c r="J41" s="64">
        <v>0.83</v>
      </c>
      <c r="K41" s="64">
        <v>341.38</v>
      </c>
      <c r="L41" s="64">
        <v>24.6</v>
      </c>
      <c r="M41" s="64">
        <v>76.430000000000007</v>
      </c>
      <c r="N41" s="64">
        <v>186.8</v>
      </c>
      <c r="O41" s="64">
        <v>0</v>
      </c>
      <c r="P41" s="64">
        <v>1.65</v>
      </c>
      <c r="Q41" s="64">
        <v>6.86</v>
      </c>
      <c r="R41" s="198"/>
      <c r="S41" s="198"/>
      <c r="T41" s="198"/>
      <c r="U41" s="198"/>
    </row>
    <row r="42" spans="1:21" s="12" customFormat="1" x14ac:dyDescent="0.25">
      <c r="A42" s="215" t="s">
        <v>473</v>
      </c>
      <c r="B42" s="64">
        <v>34.630000000000003</v>
      </c>
      <c r="C42" s="64">
        <v>35.729999999999997</v>
      </c>
      <c r="D42" s="64">
        <v>48.78</v>
      </c>
      <c r="E42" s="64">
        <v>2.87</v>
      </c>
      <c r="F42" s="64">
        <v>0.79</v>
      </c>
      <c r="G42" s="64">
        <v>256.33999999999997</v>
      </c>
      <c r="H42" s="64">
        <v>117.66</v>
      </c>
      <c r="I42" s="64">
        <v>1.5</v>
      </c>
      <c r="J42" s="64">
        <v>0.44</v>
      </c>
      <c r="K42" s="64">
        <v>317.63</v>
      </c>
      <c r="L42" s="64">
        <v>25.02</v>
      </c>
      <c r="M42" s="64">
        <v>76.52</v>
      </c>
      <c r="N42" s="64">
        <v>323.5</v>
      </c>
      <c r="O42" s="64">
        <v>0</v>
      </c>
      <c r="P42" s="64">
        <v>1.75</v>
      </c>
      <c r="Q42" s="64">
        <v>6.77</v>
      </c>
      <c r="R42" s="198"/>
      <c r="S42" s="198"/>
      <c r="T42" s="198"/>
      <c r="U42" s="198"/>
    </row>
    <row r="43" spans="1:21" s="12" customFormat="1" x14ac:dyDescent="0.25">
      <c r="A43" s="215" t="s">
        <v>474</v>
      </c>
      <c r="B43" s="64">
        <v>34.049999999999997</v>
      </c>
      <c r="C43" s="64">
        <v>32.979999999999997</v>
      </c>
      <c r="D43" s="64">
        <v>46.8</v>
      </c>
      <c r="E43" s="64">
        <v>3.29</v>
      </c>
      <c r="F43" s="64">
        <v>0.85</v>
      </c>
      <c r="G43" s="64">
        <v>241.65</v>
      </c>
      <c r="H43" s="64">
        <v>116.03</v>
      </c>
      <c r="I43" s="64">
        <v>1.47</v>
      </c>
      <c r="J43" s="64">
        <v>0.2</v>
      </c>
      <c r="K43" s="64">
        <v>350.37</v>
      </c>
      <c r="L43" s="64">
        <v>25.36</v>
      </c>
      <c r="M43" s="64">
        <v>77.81</v>
      </c>
      <c r="N43" s="64">
        <v>352.8</v>
      </c>
      <c r="O43" s="64">
        <v>0</v>
      </c>
      <c r="P43" s="64">
        <v>1.73</v>
      </c>
      <c r="Q43" s="64">
        <v>6.89</v>
      </c>
      <c r="R43" s="198"/>
      <c r="S43" s="198"/>
      <c r="T43" s="198"/>
      <c r="U43" s="198"/>
    </row>
    <row r="44" spans="1:21" s="12" customFormat="1" x14ac:dyDescent="0.25">
      <c r="A44" s="215" t="s">
        <v>475</v>
      </c>
      <c r="B44" s="64">
        <v>34.11</v>
      </c>
      <c r="C44" s="64">
        <v>31.9</v>
      </c>
      <c r="D44" s="64">
        <v>46.25</v>
      </c>
      <c r="E44" s="64">
        <v>4.25</v>
      </c>
      <c r="F44" s="64">
        <v>0.86</v>
      </c>
      <c r="G44" s="64">
        <v>241.65</v>
      </c>
      <c r="H44" s="64">
        <v>115.28</v>
      </c>
      <c r="I44" s="64">
        <v>1.52</v>
      </c>
      <c r="J44" s="64">
        <v>0.16</v>
      </c>
      <c r="K44" s="64">
        <v>340.02</v>
      </c>
      <c r="L44" s="64">
        <v>24.95</v>
      </c>
      <c r="M44" s="64">
        <v>79.98</v>
      </c>
      <c r="N44" s="64">
        <v>310.3</v>
      </c>
      <c r="O44" s="64">
        <v>0</v>
      </c>
      <c r="P44" s="64">
        <v>1.74</v>
      </c>
      <c r="Q44" s="64">
        <v>7.12</v>
      </c>
      <c r="R44" s="198"/>
      <c r="S44" s="198"/>
      <c r="T44" s="198"/>
      <c r="U44" s="198"/>
    </row>
    <row r="45" spans="1:21" s="12" customFormat="1" x14ac:dyDescent="0.25">
      <c r="A45" s="215" t="s">
        <v>476</v>
      </c>
      <c r="B45" s="64">
        <v>32.64</v>
      </c>
      <c r="C45" s="64">
        <v>33.950000000000003</v>
      </c>
      <c r="D45" s="64">
        <v>46.2</v>
      </c>
      <c r="E45" s="64">
        <v>5.17</v>
      </c>
      <c r="F45" s="64">
        <v>1.27</v>
      </c>
      <c r="G45" s="64">
        <v>241.65</v>
      </c>
      <c r="H45" s="64">
        <v>115.28</v>
      </c>
      <c r="I45" s="64">
        <v>1.41</v>
      </c>
      <c r="J45" s="64">
        <v>0.11</v>
      </c>
      <c r="K45" s="64">
        <v>132.41</v>
      </c>
      <c r="L45" s="64">
        <v>25.49</v>
      </c>
      <c r="M45" s="64">
        <v>76.47</v>
      </c>
      <c r="N45" s="64">
        <v>468.8</v>
      </c>
      <c r="O45" s="64">
        <v>0</v>
      </c>
      <c r="P45" s="64">
        <v>1.67</v>
      </c>
      <c r="Q45" s="64">
        <v>7.12</v>
      </c>
      <c r="R45" s="198"/>
      <c r="S45" s="198"/>
      <c r="T45" s="198"/>
      <c r="U45" s="198"/>
    </row>
    <row r="46" spans="1:21" s="12" customFormat="1" x14ac:dyDescent="0.25">
      <c r="A46" s="215" t="s">
        <v>477</v>
      </c>
      <c r="B46" s="64">
        <v>31.79</v>
      </c>
      <c r="C46" s="64">
        <v>29.98</v>
      </c>
      <c r="D46" s="64">
        <v>43.33</v>
      </c>
      <c r="E46" s="64">
        <v>5.86</v>
      </c>
      <c r="F46" s="64">
        <v>1.1200000000000001</v>
      </c>
      <c r="G46" s="64">
        <v>241.65</v>
      </c>
      <c r="H46" s="64">
        <v>115.28</v>
      </c>
      <c r="I46" s="64">
        <v>1.52</v>
      </c>
      <c r="J46" s="64">
        <v>0.06</v>
      </c>
      <c r="K46" s="64">
        <v>80.069999999999993</v>
      </c>
      <c r="L46" s="64">
        <v>26.48</v>
      </c>
      <c r="M46" s="64">
        <v>71.52</v>
      </c>
      <c r="N46" s="64">
        <v>483.3</v>
      </c>
      <c r="O46" s="64">
        <v>0</v>
      </c>
      <c r="P46" s="64">
        <v>1.62</v>
      </c>
      <c r="Q46" s="64">
        <v>7.29</v>
      </c>
      <c r="R46" s="198"/>
      <c r="S46" s="198"/>
      <c r="T46" s="198"/>
      <c r="U46" s="198"/>
    </row>
    <row r="47" spans="1:21" s="12" customFormat="1" x14ac:dyDescent="0.25">
      <c r="A47" s="215" t="s">
        <v>478</v>
      </c>
      <c r="B47" s="64">
        <v>28.79</v>
      </c>
      <c r="C47" s="64">
        <v>26.28</v>
      </c>
      <c r="D47" s="64">
        <v>38.880000000000003</v>
      </c>
      <c r="E47" s="64">
        <v>6.17</v>
      </c>
      <c r="F47" s="64">
        <v>3.28</v>
      </c>
      <c r="G47" s="64">
        <v>221.72</v>
      </c>
      <c r="H47" s="64">
        <v>103.75</v>
      </c>
      <c r="I47" s="64">
        <v>1.55</v>
      </c>
      <c r="J47" s="64">
        <v>0.08</v>
      </c>
      <c r="K47" s="64">
        <v>142.54</v>
      </c>
      <c r="L47" s="64">
        <v>25.89</v>
      </c>
      <c r="M47" s="64">
        <v>70.16</v>
      </c>
      <c r="N47" s="64">
        <v>425</v>
      </c>
      <c r="O47" s="64">
        <v>0</v>
      </c>
      <c r="P47" s="64">
        <v>1.55</v>
      </c>
      <c r="Q47" s="64">
        <v>7.41</v>
      </c>
      <c r="R47" s="198"/>
      <c r="S47" s="198"/>
      <c r="T47" s="198"/>
      <c r="U47" s="198"/>
    </row>
    <row r="48" spans="1:21" s="12" customFormat="1" x14ac:dyDescent="0.25">
      <c r="A48" s="215" t="s">
        <v>479</v>
      </c>
      <c r="B48" s="64">
        <v>24.75</v>
      </c>
      <c r="C48" s="64">
        <v>23.34</v>
      </c>
      <c r="D48" s="64">
        <v>34.020000000000003</v>
      </c>
      <c r="E48" s="64">
        <v>8.36</v>
      </c>
      <c r="F48" s="64">
        <v>4.28</v>
      </c>
      <c r="G48" s="64">
        <v>203.48</v>
      </c>
      <c r="H48" s="64">
        <v>98.49</v>
      </c>
      <c r="I48" s="64">
        <v>1.5</v>
      </c>
      <c r="J48" s="64">
        <v>0.31</v>
      </c>
      <c r="K48" s="64">
        <v>347.65</v>
      </c>
      <c r="L48" s="64">
        <v>26.98</v>
      </c>
      <c r="M48" s="64">
        <v>67.930000000000007</v>
      </c>
      <c r="N48" s="64">
        <v>428.7</v>
      </c>
      <c r="O48" s="64">
        <v>0</v>
      </c>
      <c r="P48" s="64">
        <v>1.46</v>
      </c>
      <c r="Q48" s="64">
        <v>7.55</v>
      </c>
      <c r="R48" s="198"/>
      <c r="S48" s="198"/>
      <c r="T48" s="198"/>
      <c r="U48" s="198"/>
    </row>
    <row r="49" spans="1:21" s="12" customFormat="1" x14ac:dyDescent="0.25">
      <c r="A49" s="215" t="s">
        <v>480</v>
      </c>
      <c r="B49" s="64">
        <v>26.07</v>
      </c>
      <c r="C49" s="64">
        <v>23.56</v>
      </c>
      <c r="D49" s="64">
        <v>35.21</v>
      </c>
      <c r="E49" s="64">
        <v>6.21</v>
      </c>
      <c r="F49" s="64">
        <v>1.57</v>
      </c>
      <c r="G49" s="64">
        <v>203.48</v>
      </c>
      <c r="H49" s="64">
        <v>98.49</v>
      </c>
      <c r="I49" s="64">
        <v>1.43</v>
      </c>
      <c r="J49" s="64">
        <v>0.33</v>
      </c>
      <c r="K49" s="64">
        <v>128.63</v>
      </c>
      <c r="L49" s="64">
        <v>26.97</v>
      </c>
      <c r="M49" s="64">
        <v>63.04</v>
      </c>
      <c r="N49" s="64">
        <v>553.79999999999995</v>
      </c>
      <c r="O49" s="64">
        <v>0</v>
      </c>
      <c r="P49" s="64">
        <v>1.56</v>
      </c>
      <c r="Q49" s="64">
        <v>7.33</v>
      </c>
      <c r="R49" s="198"/>
      <c r="S49" s="198"/>
      <c r="T49" s="198"/>
      <c r="U49" s="198"/>
    </row>
    <row r="50" spans="1:21" s="12" customFormat="1" x14ac:dyDescent="0.25">
      <c r="A50" s="215" t="s">
        <v>481</v>
      </c>
      <c r="B50" s="64">
        <v>23.94</v>
      </c>
      <c r="C50" s="64">
        <v>25.46</v>
      </c>
      <c r="D50" s="64">
        <v>34.54</v>
      </c>
      <c r="E50" s="64">
        <v>3.95</v>
      </c>
      <c r="F50" s="64">
        <v>2.08</v>
      </c>
      <c r="G50" s="64">
        <v>203.48</v>
      </c>
      <c r="H50" s="64">
        <v>98.49</v>
      </c>
      <c r="I50" s="64">
        <v>1.45</v>
      </c>
      <c r="J50" s="64">
        <v>0.46</v>
      </c>
      <c r="K50" s="64">
        <v>139.93</v>
      </c>
      <c r="L50" s="64">
        <v>28.11</v>
      </c>
      <c r="M50" s="64">
        <v>56.93</v>
      </c>
      <c r="N50" s="64">
        <v>648.4</v>
      </c>
      <c r="O50" s="64">
        <v>0</v>
      </c>
      <c r="P50" s="64">
        <v>1.46</v>
      </c>
      <c r="Q50" s="64">
        <v>7.09</v>
      </c>
      <c r="R50" s="198"/>
      <c r="S50" s="198"/>
      <c r="T50" s="198"/>
      <c r="U50" s="198"/>
    </row>
    <row r="51" spans="1:21" s="12" customFormat="1" x14ac:dyDescent="0.25">
      <c r="A51" s="215" t="s">
        <v>482</v>
      </c>
      <c r="B51" s="64">
        <v>21.8</v>
      </c>
      <c r="C51" s="64">
        <v>24.17</v>
      </c>
      <c r="D51" s="64">
        <v>32.11</v>
      </c>
      <c r="E51" s="64">
        <v>6.35</v>
      </c>
      <c r="F51" s="64">
        <v>3.94</v>
      </c>
      <c r="G51" s="64">
        <v>114.68</v>
      </c>
      <c r="H51" s="64">
        <v>77.11</v>
      </c>
      <c r="I51" s="64">
        <v>1.55</v>
      </c>
      <c r="J51" s="64">
        <v>0.34</v>
      </c>
      <c r="K51" s="64">
        <v>11.19</v>
      </c>
      <c r="L51" s="64">
        <v>29.96</v>
      </c>
      <c r="M51" s="64">
        <v>52.15</v>
      </c>
      <c r="N51" s="64">
        <v>682.7</v>
      </c>
      <c r="O51" s="64">
        <v>0</v>
      </c>
      <c r="P51" s="64">
        <v>1.36</v>
      </c>
      <c r="Q51" s="64">
        <v>6.9</v>
      </c>
      <c r="R51" s="198"/>
      <c r="S51" s="198"/>
      <c r="T51" s="198"/>
      <c r="U51" s="198"/>
    </row>
    <row r="52" spans="1:21" s="12" customFormat="1" x14ac:dyDescent="0.25">
      <c r="A52" s="215" t="s">
        <v>483</v>
      </c>
      <c r="B52" s="64">
        <v>18.84</v>
      </c>
      <c r="C52" s="64">
        <v>20.100000000000001</v>
      </c>
      <c r="D52" s="64">
        <v>27.49</v>
      </c>
      <c r="E52" s="64">
        <v>6.94</v>
      </c>
      <c r="F52" s="64">
        <v>3.16</v>
      </c>
      <c r="G52" s="64">
        <v>29.74</v>
      </c>
      <c r="H52" s="64">
        <v>67.349999999999994</v>
      </c>
      <c r="I52" s="64">
        <v>1.49</v>
      </c>
      <c r="J52" s="64">
        <v>0.49</v>
      </c>
      <c r="K52" s="64">
        <v>134.93</v>
      </c>
      <c r="L52" s="64">
        <v>28.59</v>
      </c>
      <c r="M52" s="64">
        <v>54.81</v>
      </c>
      <c r="N52" s="64">
        <v>455.8</v>
      </c>
      <c r="O52" s="64">
        <v>0</v>
      </c>
      <c r="P52" s="64">
        <v>1.37</v>
      </c>
      <c r="Q52" s="64">
        <v>6.73</v>
      </c>
      <c r="R52" s="198"/>
      <c r="S52" s="198"/>
      <c r="T52" s="198"/>
      <c r="U52" s="198"/>
    </row>
    <row r="53" spans="1:21" s="12" customFormat="1" x14ac:dyDescent="0.25">
      <c r="A53" s="215" t="s">
        <v>484</v>
      </c>
      <c r="B53" s="64">
        <v>17.739999999999998</v>
      </c>
      <c r="C53" s="64">
        <v>21.82</v>
      </c>
      <c r="D53" s="64">
        <v>27.56</v>
      </c>
      <c r="E53" s="64">
        <v>4.3</v>
      </c>
      <c r="F53" s="64">
        <v>4.63</v>
      </c>
      <c r="G53" s="64">
        <v>29.74</v>
      </c>
      <c r="H53" s="64">
        <v>67.349999999999994</v>
      </c>
      <c r="I53" s="64">
        <v>1.45</v>
      </c>
      <c r="J53" s="64">
        <v>0.73</v>
      </c>
      <c r="K53" s="64">
        <v>104.54</v>
      </c>
      <c r="L53" s="64">
        <v>27.42</v>
      </c>
      <c r="M53" s="64">
        <v>59.15</v>
      </c>
      <c r="N53" s="64">
        <v>381.2</v>
      </c>
      <c r="O53" s="64">
        <v>0</v>
      </c>
      <c r="P53" s="64">
        <v>1.28</v>
      </c>
      <c r="Q53" s="64">
        <v>6.54</v>
      </c>
      <c r="R53" s="198"/>
      <c r="S53" s="198"/>
      <c r="T53" s="198"/>
      <c r="U53" s="198"/>
    </row>
    <row r="54" spans="1:21" s="12" customFormat="1" x14ac:dyDescent="0.25">
      <c r="A54" s="215" t="s">
        <v>485</v>
      </c>
      <c r="B54" s="64">
        <v>13.53</v>
      </c>
      <c r="C54" s="64">
        <v>21.24</v>
      </c>
      <c r="D54" s="64">
        <v>23.86</v>
      </c>
      <c r="E54" s="64">
        <v>4.1100000000000003</v>
      </c>
      <c r="F54" s="64">
        <v>7.73</v>
      </c>
      <c r="G54" s="64">
        <v>29.74</v>
      </c>
      <c r="H54" s="64">
        <v>67.349999999999994</v>
      </c>
      <c r="I54" s="64">
        <v>1.42</v>
      </c>
      <c r="J54" s="64">
        <v>0.71</v>
      </c>
      <c r="K54" s="64">
        <v>120.66</v>
      </c>
      <c r="L54" s="64">
        <v>27.07</v>
      </c>
      <c r="M54" s="64">
        <v>60.31</v>
      </c>
      <c r="N54" s="64">
        <v>383.4</v>
      </c>
      <c r="O54" s="64">
        <v>0</v>
      </c>
      <c r="P54" s="64">
        <v>1.1499999999999999</v>
      </c>
      <c r="Q54" s="64">
        <v>6.58</v>
      </c>
      <c r="R54" s="198"/>
      <c r="S54" s="198"/>
      <c r="T54" s="198"/>
      <c r="U54" s="198"/>
    </row>
    <row r="55" spans="1:21" s="12" customFormat="1" x14ac:dyDescent="0.25">
      <c r="A55" s="215" t="s">
        <v>486</v>
      </c>
      <c r="B55" s="64">
        <v>13.69</v>
      </c>
      <c r="C55" s="64">
        <v>22.81</v>
      </c>
      <c r="D55" s="64">
        <v>24.86</v>
      </c>
      <c r="E55" s="64">
        <v>4.46</v>
      </c>
      <c r="F55" s="64">
        <v>4.87</v>
      </c>
      <c r="G55" s="64">
        <v>45.61</v>
      </c>
      <c r="H55" s="64">
        <v>56.3</v>
      </c>
      <c r="I55" s="64">
        <v>1.53</v>
      </c>
      <c r="J55" s="64">
        <v>0.72</v>
      </c>
      <c r="K55" s="64">
        <v>139.99</v>
      </c>
      <c r="L55" s="64">
        <v>28.2</v>
      </c>
      <c r="M55" s="64">
        <v>56.52</v>
      </c>
      <c r="N55" s="64">
        <v>688.7</v>
      </c>
      <c r="O55" s="64">
        <v>0</v>
      </c>
      <c r="P55" s="64">
        <v>1.19</v>
      </c>
      <c r="Q55" s="64">
        <v>6.2</v>
      </c>
      <c r="R55" s="198"/>
      <c r="S55" s="198"/>
      <c r="T55" s="198"/>
      <c r="U55" s="198"/>
    </row>
    <row r="56" spans="1:21" s="12" customFormat="1" x14ac:dyDescent="0.25">
      <c r="A56" s="215" t="s">
        <v>487</v>
      </c>
      <c r="B56" s="64">
        <v>12.88</v>
      </c>
      <c r="C56" s="64">
        <v>23.41</v>
      </c>
      <c r="D56" s="64">
        <v>24.55</v>
      </c>
      <c r="E56" s="64">
        <v>3.75</v>
      </c>
      <c r="F56" s="64">
        <v>3.89</v>
      </c>
      <c r="G56" s="64">
        <v>60.8</v>
      </c>
      <c r="H56" s="64">
        <v>46.22</v>
      </c>
      <c r="I56" s="64">
        <v>1.47</v>
      </c>
      <c r="J56" s="64">
        <v>0.6</v>
      </c>
      <c r="K56" s="64">
        <v>134.58000000000001</v>
      </c>
      <c r="L56" s="64">
        <v>28.63</v>
      </c>
      <c r="M56" s="64">
        <v>55.69</v>
      </c>
      <c r="N56" s="64">
        <v>720.4</v>
      </c>
      <c r="O56" s="64">
        <v>0</v>
      </c>
      <c r="P56" s="64">
        <v>1.1200000000000001</v>
      </c>
      <c r="Q56" s="64">
        <v>5.91</v>
      </c>
      <c r="R56" s="198"/>
      <c r="S56" s="198"/>
      <c r="T56" s="198"/>
      <c r="U56" s="198"/>
    </row>
    <row r="57" spans="1:21" s="12" customFormat="1" x14ac:dyDescent="0.25">
      <c r="A57" s="215" t="s">
        <v>488</v>
      </c>
      <c r="B57" s="64">
        <v>10.92</v>
      </c>
      <c r="C57" s="64">
        <v>22.23</v>
      </c>
      <c r="D57" s="64">
        <v>22.32</v>
      </c>
      <c r="E57" s="64">
        <v>4.8899999999999997</v>
      </c>
      <c r="F57" s="64">
        <v>2.4700000000000002</v>
      </c>
      <c r="G57" s="64">
        <v>60.8</v>
      </c>
      <c r="H57" s="64">
        <v>46.22</v>
      </c>
      <c r="I57" s="64">
        <v>1.47</v>
      </c>
      <c r="J57" s="64">
        <v>1.1499999999999999</v>
      </c>
      <c r="K57" s="64">
        <v>151.63</v>
      </c>
      <c r="L57" s="64">
        <v>28.31</v>
      </c>
      <c r="M57" s="64">
        <v>56.47</v>
      </c>
      <c r="N57" s="64">
        <v>682.1</v>
      </c>
      <c r="O57" s="64">
        <v>0</v>
      </c>
      <c r="P57" s="64">
        <v>1.1200000000000001</v>
      </c>
      <c r="Q57" s="64">
        <v>5.79</v>
      </c>
      <c r="R57" s="198"/>
      <c r="S57" s="198"/>
      <c r="T57" s="198"/>
      <c r="U57" s="198"/>
    </row>
    <row r="58" spans="1:21" s="12" customFormat="1" x14ac:dyDescent="0.25">
      <c r="A58" s="215" t="s">
        <v>489</v>
      </c>
      <c r="B58" s="64">
        <v>9.6199999999999992</v>
      </c>
      <c r="C58" s="64">
        <v>24.79</v>
      </c>
      <c r="D58" s="64">
        <v>22.69</v>
      </c>
      <c r="E58" s="64">
        <v>4.68</v>
      </c>
      <c r="F58" s="64">
        <v>2.4300000000000002</v>
      </c>
      <c r="G58" s="64">
        <v>60.8</v>
      </c>
      <c r="H58" s="64">
        <v>46.22</v>
      </c>
      <c r="I58" s="64">
        <v>1.52</v>
      </c>
      <c r="J58" s="64">
        <v>1.0900000000000001</v>
      </c>
      <c r="K58" s="64">
        <v>140.93</v>
      </c>
      <c r="L58" s="64">
        <v>28.25</v>
      </c>
      <c r="M58" s="64">
        <v>54.76</v>
      </c>
      <c r="N58" s="64">
        <v>693.4</v>
      </c>
      <c r="O58" s="64">
        <v>0</v>
      </c>
      <c r="P58" s="64">
        <v>1.05</v>
      </c>
      <c r="Q58" s="64">
        <v>5.49</v>
      </c>
      <c r="R58" s="198"/>
      <c r="S58" s="198"/>
      <c r="T58" s="198"/>
      <c r="U58" s="198"/>
    </row>
    <row r="59" spans="1:21" s="12" customFormat="1" x14ac:dyDescent="0.25">
      <c r="A59" s="215" t="s">
        <v>490</v>
      </c>
      <c r="B59" s="64">
        <v>8.51</v>
      </c>
      <c r="C59" s="64">
        <v>21.68</v>
      </c>
      <c r="D59" s="64">
        <v>20.079999999999998</v>
      </c>
      <c r="E59" s="64">
        <v>5.59</v>
      </c>
      <c r="F59" s="64">
        <v>3.43</v>
      </c>
      <c r="G59" s="64">
        <v>47.49</v>
      </c>
      <c r="H59" s="64">
        <v>38.82</v>
      </c>
      <c r="I59" s="64">
        <v>1.44</v>
      </c>
      <c r="J59" s="64">
        <v>0.57999999999999996</v>
      </c>
      <c r="K59" s="64">
        <v>130.58000000000001</v>
      </c>
      <c r="L59" s="64">
        <v>29.37</v>
      </c>
      <c r="M59" s="64">
        <v>51.68</v>
      </c>
      <c r="N59" s="64">
        <v>708.2</v>
      </c>
      <c r="O59" s="64">
        <v>0</v>
      </c>
      <c r="P59" s="64">
        <v>0.99</v>
      </c>
      <c r="Q59" s="64">
        <v>5.44</v>
      </c>
      <c r="R59" s="198"/>
      <c r="S59" s="198"/>
      <c r="T59" s="198"/>
      <c r="U59" s="198"/>
    </row>
    <row r="60" spans="1:21" s="12" customFormat="1" x14ac:dyDescent="0.25">
      <c r="A60" s="215" t="s">
        <v>491</v>
      </c>
      <c r="B60" s="64">
        <v>7.66</v>
      </c>
      <c r="C60" s="64">
        <v>19.670000000000002</v>
      </c>
      <c r="D60" s="64">
        <v>18.29</v>
      </c>
      <c r="E60" s="64">
        <v>5.14</v>
      </c>
      <c r="F60" s="64">
        <v>4.95</v>
      </c>
      <c r="G60" s="64">
        <v>35.32</v>
      </c>
      <c r="H60" s="64">
        <v>35.44</v>
      </c>
      <c r="I60" s="64">
        <v>1.58</v>
      </c>
      <c r="J60" s="64">
        <v>0.67</v>
      </c>
      <c r="K60" s="64">
        <v>337.53</v>
      </c>
      <c r="L60" s="64">
        <v>30.76</v>
      </c>
      <c r="M60" s="64">
        <v>50.13</v>
      </c>
      <c r="N60" s="64">
        <v>492.6</v>
      </c>
      <c r="O60" s="64">
        <v>0</v>
      </c>
      <c r="P60" s="64">
        <v>0.92</v>
      </c>
      <c r="Q60" s="64">
        <v>5.29</v>
      </c>
      <c r="R60" s="198"/>
      <c r="S60" s="198"/>
      <c r="T60" s="198"/>
      <c r="U60" s="198"/>
    </row>
    <row r="61" spans="1:21" s="12" customFormat="1" x14ac:dyDescent="0.25">
      <c r="A61" s="215" t="s">
        <v>492</v>
      </c>
      <c r="B61" s="64">
        <v>7.06</v>
      </c>
      <c r="C61" s="64">
        <v>18.95</v>
      </c>
      <c r="D61" s="64">
        <v>17.41</v>
      </c>
      <c r="E61" s="64">
        <v>4.45</v>
      </c>
      <c r="F61" s="64">
        <v>2.79</v>
      </c>
      <c r="G61" s="64">
        <v>35.32</v>
      </c>
      <c r="H61" s="64">
        <v>35.44</v>
      </c>
      <c r="I61" s="64">
        <v>1.61</v>
      </c>
      <c r="J61" s="64">
        <v>2.0699999999999998</v>
      </c>
      <c r="K61" s="64">
        <v>337.74</v>
      </c>
      <c r="L61" s="64">
        <v>29.37</v>
      </c>
      <c r="M61" s="64">
        <v>55.73</v>
      </c>
      <c r="N61" s="64">
        <v>105.1</v>
      </c>
      <c r="O61" s="64">
        <v>0</v>
      </c>
      <c r="P61" s="64">
        <v>0.92</v>
      </c>
      <c r="Q61" s="64">
        <v>5.04</v>
      </c>
      <c r="R61" s="198"/>
      <c r="S61" s="198"/>
      <c r="T61" s="198"/>
      <c r="U61" s="198"/>
    </row>
    <row r="62" spans="1:21" s="12" customFormat="1" x14ac:dyDescent="0.25">
      <c r="A62" s="215" t="s">
        <v>493</v>
      </c>
      <c r="B62" s="64">
        <v>6.4</v>
      </c>
      <c r="C62" s="64">
        <v>20.260000000000002</v>
      </c>
      <c r="D62" s="64">
        <v>17.600000000000001</v>
      </c>
      <c r="E62" s="64">
        <v>4.34</v>
      </c>
      <c r="F62" s="64">
        <v>2.4</v>
      </c>
      <c r="G62" s="64">
        <v>35.32</v>
      </c>
      <c r="H62" s="64">
        <v>35.44</v>
      </c>
      <c r="I62" s="64">
        <v>1.54</v>
      </c>
      <c r="J62" s="64">
        <v>1.7</v>
      </c>
      <c r="K62" s="64">
        <v>339.98</v>
      </c>
      <c r="L62" s="64">
        <v>27.3</v>
      </c>
      <c r="M62" s="64">
        <v>57.07</v>
      </c>
      <c r="N62" s="64">
        <v>121.9</v>
      </c>
      <c r="O62" s="64">
        <v>0</v>
      </c>
      <c r="P62" s="64">
        <v>0.93</v>
      </c>
      <c r="Q62" s="64">
        <v>5.07</v>
      </c>
      <c r="R62" s="198"/>
      <c r="S62" s="198"/>
      <c r="T62" s="198"/>
      <c r="U62" s="198"/>
    </row>
    <row r="63" spans="1:21" s="12" customFormat="1" x14ac:dyDescent="0.25">
      <c r="A63" s="215" t="s">
        <v>494</v>
      </c>
      <c r="B63" s="64">
        <v>7</v>
      </c>
      <c r="C63" s="64">
        <v>24.6</v>
      </c>
      <c r="D63" s="64">
        <v>20.49</v>
      </c>
      <c r="E63" s="64">
        <v>2.8</v>
      </c>
      <c r="F63" s="64">
        <v>3.03</v>
      </c>
      <c r="G63" s="64">
        <v>52.35</v>
      </c>
      <c r="H63" s="64">
        <v>32.21</v>
      </c>
      <c r="I63" s="64">
        <v>1.42</v>
      </c>
      <c r="J63" s="64">
        <v>0.8</v>
      </c>
      <c r="K63" s="64">
        <v>336.64</v>
      </c>
      <c r="L63" s="64">
        <v>27.72</v>
      </c>
      <c r="M63" s="64">
        <v>57.77</v>
      </c>
      <c r="N63" s="64">
        <v>260.2</v>
      </c>
      <c r="O63" s="64">
        <v>0</v>
      </c>
      <c r="P63" s="64">
        <v>0.96</v>
      </c>
      <c r="Q63" s="64">
        <v>5.09</v>
      </c>
      <c r="R63" s="198"/>
      <c r="S63" s="198"/>
      <c r="T63" s="198"/>
      <c r="U63" s="198"/>
    </row>
    <row r="64" spans="1:21" s="12" customFormat="1" x14ac:dyDescent="0.25">
      <c r="A64" s="215" t="s">
        <v>495</v>
      </c>
      <c r="B64" s="64">
        <v>9.73</v>
      </c>
      <c r="C64" s="64">
        <v>31.99</v>
      </c>
      <c r="D64" s="64">
        <v>26.75</v>
      </c>
      <c r="E64" s="64">
        <v>3.73</v>
      </c>
      <c r="F64" s="64">
        <v>4.49</v>
      </c>
      <c r="G64" s="64">
        <v>67.930000000000007</v>
      </c>
      <c r="H64" s="64">
        <v>30.73</v>
      </c>
      <c r="I64" s="64">
        <v>1.51</v>
      </c>
      <c r="J64" s="64">
        <v>0.6</v>
      </c>
      <c r="K64" s="64">
        <v>334.76</v>
      </c>
      <c r="L64" s="64">
        <v>28.56</v>
      </c>
      <c r="M64" s="64">
        <v>52.58</v>
      </c>
      <c r="N64" s="64">
        <v>362</v>
      </c>
      <c r="O64" s="64">
        <v>0</v>
      </c>
      <c r="P64" s="64">
        <v>0.96</v>
      </c>
      <c r="Q64" s="64">
        <v>4.5199999999999996</v>
      </c>
      <c r="R64" s="198"/>
      <c r="S64" s="198"/>
      <c r="T64" s="198"/>
      <c r="U64" s="198"/>
    </row>
    <row r="65" spans="1:21" s="12" customFormat="1" x14ac:dyDescent="0.25">
      <c r="A65" s="215" t="s">
        <v>496</v>
      </c>
      <c r="B65" s="64">
        <v>7.23</v>
      </c>
      <c r="C65" s="64">
        <v>28.03</v>
      </c>
      <c r="D65" s="64">
        <v>22.56</v>
      </c>
      <c r="E65" s="64">
        <v>4.04</v>
      </c>
      <c r="F65" s="64">
        <v>5.92</v>
      </c>
      <c r="G65" s="64">
        <v>67.930000000000007</v>
      </c>
      <c r="H65" s="64">
        <v>30.73</v>
      </c>
      <c r="I65" s="64">
        <v>1.49</v>
      </c>
      <c r="J65" s="64">
        <v>0.96</v>
      </c>
      <c r="K65" s="64">
        <v>110.37</v>
      </c>
      <c r="L65" s="64">
        <v>26.94</v>
      </c>
      <c r="M65" s="64">
        <v>58.7</v>
      </c>
      <c r="N65" s="64">
        <v>217.3</v>
      </c>
      <c r="O65" s="64">
        <v>0</v>
      </c>
      <c r="P65" s="64">
        <v>0.88</v>
      </c>
      <c r="Q65" s="64">
        <v>4.47</v>
      </c>
      <c r="R65" s="198"/>
      <c r="S65" s="198"/>
      <c r="T65" s="198"/>
      <c r="U65" s="198"/>
    </row>
    <row r="66" spans="1:21" s="12" customFormat="1" x14ac:dyDescent="0.25">
      <c r="A66" s="215" t="s">
        <v>497</v>
      </c>
      <c r="B66" s="64">
        <v>8.26</v>
      </c>
      <c r="C66" s="64">
        <v>28.34</v>
      </c>
      <c r="D66" s="64">
        <v>23.56</v>
      </c>
      <c r="E66" s="64">
        <v>4.4800000000000004</v>
      </c>
      <c r="F66" s="64">
        <v>6.52</v>
      </c>
      <c r="G66" s="64">
        <v>67.930000000000007</v>
      </c>
      <c r="H66" s="64">
        <v>30.73</v>
      </c>
      <c r="I66" s="64">
        <v>1.48</v>
      </c>
      <c r="J66" s="64">
        <v>0.62</v>
      </c>
      <c r="K66" s="64">
        <v>339.82</v>
      </c>
      <c r="L66" s="64">
        <v>27.89</v>
      </c>
      <c r="M66" s="64">
        <v>52.93</v>
      </c>
      <c r="N66" s="64">
        <v>168.9</v>
      </c>
      <c r="O66" s="64">
        <v>0</v>
      </c>
      <c r="P66" s="64">
        <v>0.92</v>
      </c>
      <c r="Q66" s="64">
        <v>4.68</v>
      </c>
      <c r="R66" s="198"/>
      <c r="S66" s="198"/>
      <c r="T66" s="198"/>
      <c r="U66" s="198"/>
    </row>
    <row r="67" spans="1:21" s="12" customFormat="1" x14ac:dyDescent="0.25">
      <c r="A67" s="215" t="s">
        <v>498</v>
      </c>
      <c r="B67" s="64">
        <v>7.33</v>
      </c>
      <c r="C67" s="64">
        <v>27.08</v>
      </c>
      <c r="D67" s="64">
        <v>22.12</v>
      </c>
      <c r="E67" s="64">
        <v>4.24</v>
      </c>
      <c r="F67" s="64">
        <v>6.06</v>
      </c>
      <c r="G67" s="64">
        <v>54.99</v>
      </c>
      <c r="H67" s="64">
        <v>29.47</v>
      </c>
      <c r="I67" s="64">
        <v>1.52</v>
      </c>
      <c r="J67" s="64">
        <v>0.28000000000000003</v>
      </c>
      <c r="K67" s="64">
        <v>90.63</v>
      </c>
      <c r="L67" s="64">
        <v>27.11</v>
      </c>
      <c r="M67" s="64">
        <v>58.33</v>
      </c>
      <c r="N67" s="64">
        <v>146.4</v>
      </c>
      <c r="O67" s="64">
        <v>0</v>
      </c>
      <c r="P67" s="64">
        <v>0.88</v>
      </c>
      <c r="Q67" s="64">
        <v>4.67</v>
      </c>
      <c r="R67" s="198"/>
      <c r="S67" s="198"/>
      <c r="T67" s="198"/>
      <c r="U67" s="198"/>
    </row>
    <row r="68" spans="1:21" s="12" customFormat="1" x14ac:dyDescent="0.25">
      <c r="A68" s="215" t="s">
        <v>499</v>
      </c>
      <c r="B68" s="64">
        <v>6.77</v>
      </c>
      <c r="C68" s="64">
        <v>23.65</v>
      </c>
      <c r="D68" s="64">
        <v>19.77</v>
      </c>
      <c r="E68" s="64">
        <v>3.81</v>
      </c>
      <c r="F68" s="64">
        <v>7.56</v>
      </c>
      <c r="G68" s="64">
        <v>43.14</v>
      </c>
      <c r="H68" s="64">
        <v>28.89</v>
      </c>
      <c r="I68" s="64">
        <v>1.49</v>
      </c>
      <c r="J68" s="64">
        <v>0.92</v>
      </c>
      <c r="K68" s="64">
        <v>105.51</v>
      </c>
      <c r="L68" s="64">
        <v>26.6</v>
      </c>
      <c r="M68" s="64">
        <v>55.28</v>
      </c>
      <c r="N68" s="64">
        <v>136</v>
      </c>
      <c r="O68" s="64">
        <v>0</v>
      </c>
      <c r="P68" s="64">
        <v>0.82</v>
      </c>
      <c r="Q68" s="64">
        <v>4.97</v>
      </c>
      <c r="R68" s="198"/>
      <c r="S68" s="198"/>
      <c r="T68" s="198"/>
      <c r="U68" s="198"/>
    </row>
    <row r="69" spans="1:21" s="12" customFormat="1" x14ac:dyDescent="0.25">
      <c r="A69" s="215" t="s">
        <v>500</v>
      </c>
      <c r="B69" s="64">
        <v>6.63</v>
      </c>
      <c r="C69" s="64">
        <v>22.44</v>
      </c>
      <c r="D69" s="64">
        <v>18.989999999999998</v>
      </c>
      <c r="E69" s="64">
        <v>3.65</v>
      </c>
      <c r="F69" s="64">
        <v>10.52</v>
      </c>
      <c r="G69" s="64">
        <v>43.14</v>
      </c>
      <c r="H69" s="64">
        <v>28.89</v>
      </c>
      <c r="I69" s="64">
        <v>1.51</v>
      </c>
      <c r="J69" s="64">
        <v>0.68</v>
      </c>
      <c r="K69" s="64">
        <v>107.63</v>
      </c>
      <c r="L69" s="64">
        <v>26.59</v>
      </c>
      <c r="M69" s="64">
        <v>55.86</v>
      </c>
      <c r="N69" s="64">
        <v>116.7</v>
      </c>
      <c r="O69" s="64">
        <v>0</v>
      </c>
      <c r="P69" s="64">
        <v>0.74</v>
      </c>
      <c r="Q69" s="64">
        <v>5.04</v>
      </c>
      <c r="R69" s="198"/>
      <c r="S69" s="198"/>
      <c r="T69" s="198"/>
      <c r="U69" s="198"/>
    </row>
    <row r="70" spans="1:21" s="12" customFormat="1" x14ac:dyDescent="0.25">
      <c r="A70" s="215" t="s">
        <v>501</v>
      </c>
      <c r="B70" s="64">
        <v>5.53</v>
      </c>
      <c r="C70" s="64">
        <v>19.760000000000002</v>
      </c>
      <c r="D70" s="64">
        <v>16.64</v>
      </c>
      <c r="E70" s="64">
        <v>2.85</v>
      </c>
      <c r="F70" s="64">
        <v>4.59</v>
      </c>
      <c r="G70" s="64">
        <v>43.14</v>
      </c>
      <c r="H70" s="64">
        <v>28.89</v>
      </c>
      <c r="I70" s="64">
        <v>1.41</v>
      </c>
      <c r="J70" s="64">
        <v>1.0900000000000001</v>
      </c>
      <c r="K70" s="64">
        <v>110.12</v>
      </c>
      <c r="L70" s="64">
        <v>26.47</v>
      </c>
      <c r="M70" s="64">
        <v>57.57</v>
      </c>
      <c r="N70" s="64">
        <v>101.9</v>
      </c>
      <c r="O70" s="64">
        <v>0</v>
      </c>
      <c r="P70" s="64">
        <v>0.8</v>
      </c>
      <c r="Q70" s="64">
        <v>5.13</v>
      </c>
      <c r="R70" s="198"/>
      <c r="S70" s="198"/>
      <c r="T70" s="198"/>
      <c r="U70" s="198"/>
    </row>
    <row r="71" spans="1:21" s="12" customFormat="1" x14ac:dyDescent="0.25">
      <c r="A71" s="215" t="s">
        <v>502</v>
      </c>
      <c r="B71" s="64">
        <v>4.78</v>
      </c>
      <c r="C71" s="64">
        <v>20.88</v>
      </c>
      <c r="D71" s="64">
        <v>16.649999999999999</v>
      </c>
      <c r="E71" s="64">
        <v>3.07</v>
      </c>
      <c r="F71" s="64">
        <v>14.96</v>
      </c>
      <c r="G71" s="64">
        <v>43.94</v>
      </c>
      <c r="H71" s="64">
        <v>24.92</v>
      </c>
      <c r="I71" s="64">
        <v>1.56</v>
      </c>
      <c r="J71" s="64">
        <v>0.77</v>
      </c>
      <c r="K71" s="64">
        <v>113.84</v>
      </c>
      <c r="L71" s="64">
        <v>26.49</v>
      </c>
      <c r="M71" s="64">
        <v>58.16</v>
      </c>
      <c r="N71" s="64">
        <v>88.9</v>
      </c>
      <c r="O71" s="64">
        <v>0</v>
      </c>
      <c r="P71" s="64">
        <v>0.67</v>
      </c>
      <c r="Q71" s="64">
        <v>5.15</v>
      </c>
      <c r="R71" s="198"/>
      <c r="S71" s="198"/>
      <c r="T71" s="198"/>
      <c r="U71" s="198"/>
    </row>
    <row r="72" spans="1:21" s="12" customFormat="1" x14ac:dyDescent="0.25">
      <c r="A72" s="215" t="s">
        <v>503</v>
      </c>
      <c r="B72" s="64">
        <v>5.82</v>
      </c>
      <c r="C72" s="64">
        <v>24.34</v>
      </c>
      <c r="D72" s="64">
        <v>19.39</v>
      </c>
      <c r="E72" s="64">
        <v>2.46</v>
      </c>
      <c r="F72" s="64">
        <v>14.46</v>
      </c>
      <c r="G72" s="64">
        <v>44.71</v>
      </c>
      <c r="H72" s="64">
        <v>23.1</v>
      </c>
      <c r="I72" s="64">
        <v>1.47</v>
      </c>
      <c r="J72" s="64">
        <v>0.74</v>
      </c>
      <c r="K72" s="64">
        <v>111.3</v>
      </c>
      <c r="L72" s="64">
        <v>26.5</v>
      </c>
      <c r="M72" s="64">
        <v>58.37</v>
      </c>
      <c r="N72" s="64">
        <v>76.900000000000006</v>
      </c>
      <c r="O72" s="64">
        <v>0</v>
      </c>
      <c r="P72" s="64">
        <v>0.69</v>
      </c>
      <c r="Q72" s="64">
        <v>4.96</v>
      </c>
      <c r="R72" s="198"/>
      <c r="S72" s="198"/>
      <c r="T72" s="198"/>
      <c r="U72" s="198"/>
    </row>
    <row r="73" spans="1:21" s="12" customFormat="1" x14ac:dyDescent="0.25">
      <c r="A73" s="215" t="s">
        <v>504</v>
      </c>
      <c r="B73" s="64">
        <v>9.2799999999999994</v>
      </c>
      <c r="C73" s="64">
        <v>30.15</v>
      </c>
      <c r="D73" s="64">
        <v>25.37</v>
      </c>
      <c r="E73" s="64">
        <v>3.42</v>
      </c>
      <c r="F73" s="64">
        <v>12.9</v>
      </c>
      <c r="G73" s="64">
        <v>44.71</v>
      </c>
      <c r="H73" s="64">
        <v>23.1</v>
      </c>
      <c r="I73" s="64">
        <v>1.49</v>
      </c>
      <c r="J73" s="64">
        <v>0.25</v>
      </c>
      <c r="K73" s="64">
        <v>83.32</v>
      </c>
      <c r="L73" s="64">
        <v>26.47</v>
      </c>
      <c r="M73" s="64">
        <v>59.26</v>
      </c>
      <c r="N73" s="64">
        <v>66</v>
      </c>
      <c r="O73" s="64">
        <v>0</v>
      </c>
      <c r="P73" s="64">
        <v>0.75</v>
      </c>
      <c r="Q73" s="64">
        <v>4.42</v>
      </c>
      <c r="R73" s="198"/>
      <c r="S73" s="198"/>
      <c r="T73" s="198"/>
      <c r="U73" s="198"/>
    </row>
    <row r="74" spans="1:21" s="12" customFormat="1" x14ac:dyDescent="0.25">
      <c r="A74" s="215" t="s">
        <v>505</v>
      </c>
      <c r="B74" s="64">
        <v>6.82</v>
      </c>
      <c r="C74" s="64">
        <v>25.58</v>
      </c>
      <c r="D74" s="64">
        <v>20.88</v>
      </c>
      <c r="E74" s="64">
        <v>2.98</v>
      </c>
      <c r="F74" s="64">
        <v>6.18</v>
      </c>
      <c r="G74" s="64">
        <v>44.71</v>
      </c>
      <c r="H74" s="64">
        <v>23.1</v>
      </c>
      <c r="I74" s="64">
        <v>1.49</v>
      </c>
      <c r="J74" s="64">
        <v>0.62</v>
      </c>
      <c r="K74" s="64">
        <v>105.05</v>
      </c>
      <c r="L74" s="64">
        <v>26.29</v>
      </c>
      <c r="M74" s="64">
        <v>61.52</v>
      </c>
      <c r="N74" s="64">
        <v>57</v>
      </c>
      <c r="O74" s="64">
        <v>0</v>
      </c>
      <c r="P74" s="64">
        <v>0.79</v>
      </c>
      <c r="Q74" s="64">
        <v>4.22</v>
      </c>
      <c r="R74" s="198"/>
      <c r="S74" s="198"/>
      <c r="T74" s="198"/>
      <c r="U74" s="198"/>
    </row>
    <row r="75" spans="1:21" s="12" customFormat="1" x14ac:dyDescent="0.25">
      <c r="A75" s="215" t="s">
        <v>506</v>
      </c>
      <c r="B75" s="64">
        <v>3.52</v>
      </c>
      <c r="C75" s="64">
        <v>22.38</v>
      </c>
      <c r="D75" s="64">
        <v>16.47</v>
      </c>
      <c r="E75" s="64">
        <v>2.79</v>
      </c>
      <c r="F75" s="64">
        <v>22.91</v>
      </c>
      <c r="G75" s="64">
        <v>44.05</v>
      </c>
      <c r="H75" s="64">
        <v>20.190000000000001</v>
      </c>
      <c r="I75" s="64">
        <v>1.44</v>
      </c>
      <c r="J75" s="64">
        <v>0.43</v>
      </c>
      <c r="K75" s="64">
        <v>108.46</v>
      </c>
      <c r="L75" s="64">
        <v>25.88</v>
      </c>
      <c r="M75" s="64">
        <v>63.99</v>
      </c>
      <c r="N75" s="64">
        <v>45.7</v>
      </c>
      <c r="O75" s="64">
        <v>0</v>
      </c>
      <c r="P75" s="64">
        <v>0.57999999999999996</v>
      </c>
      <c r="Q75" s="64">
        <v>4.92</v>
      </c>
      <c r="R75" s="198"/>
      <c r="S75" s="198"/>
      <c r="T75" s="198"/>
      <c r="U75" s="198"/>
    </row>
    <row r="76" spans="1:21" s="12" customFormat="1" x14ac:dyDescent="0.25">
      <c r="A76" s="215" t="s">
        <v>507</v>
      </c>
      <c r="B76" s="64">
        <v>4.8899999999999997</v>
      </c>
      <c r="C76" s="64">
        <v>31.75</v>
      </c>
      <c r="D76" s="64">
        <v>22.74</v>
      </c>
      <c r="E76" s="64">
        <v>3.19</v>
      </c>
      <c r="F76" s="64">
        <v>21.56</v>
      </c>
      <c r="G76" s="64">
        <v>43.45</v>
      </c>
      <c r="H76" s="64">
        <v>18.86</v>
      </c>
      <c r="I76" s="64">
        <v>1.55</v>
      </c>
      <c r="J76" s="64">
        <v>0.28000000000000003</v>
      </c>
      <c r="K76" s="64">
        <v>94.05</v>
      </c>
      <c r="L76" s="64">
        <v>25.69</v>
      </c>
      <c r="M76" s="64">
        <v>64.48</v>
      </c>
      <c r="N76" s="64">
        <v>34.700000000000003</v>
      </c>
      <c r="O76" s="64">
        <v>0</v>
      </c>
      <c r="P76" s="64">
        <v>0.72</v>
      </c>
      <c r="Q76" s="64">
        <v>4.72</v>
      </c>
      <c r="R76" s="198"/>
      <c r="S76" s="198"/>
      <c r="T76" s="198"/>
      <c r="U76" s="198"/>
    </row>
    <row r="77" spans="1:21" s="12" customFormat="1" x14ac:dyDescent="0.25">
      <c r="A77" s="215" t="s">
        <v>508</v>
      </c>
      <c r="B77" s="64">
        <v>3.98</v>
      </c>
      <c r="C77" s="64">
        <v>39.32</v>
      </c>
      <c r="D77" s="64">
        <v>26.18</v>
      </c>
      <c r="E77" s="64">
        <v>3.99</v>
      </c>
      <c r="F77" s="64">
        <v>20.97</v>
      </c>
      <c r="G77" s="64">
        <v>43.45</v>
      </c>
      <c r="H77" s="64">
        <v>18.86</v>
      </c>
      <c r="I77" s="64">
        <v>1.5</v>
      </c>
      <c r="J77" s="64">
        <v>0.17</v>
      </c>
      <c r="K77" s="64">
        <v>88.9</v>
      </c>
      <c r="L77" s="64">
        <v>25.46</v>
      </c>
      <c r="M77" s="64">
        <v>65.41</v>
      </c>
      <c r="N77" s="64">
        <v>26.8</v>
      </c>
      <c r="O77" s="64">
        <v>0</v>
      </c>
      <c r="P77" s="64">
        <v>0.71</v>
      </c>
      <c r="Q77" s="64">
        <v>4.09</v>
      </c>
      <c r="R77" s="198"/>
      <c r="S77" s="198"/>
      <c r="T77" s="198"/>
      <c r="U77" s="198"/>
    </row>
    <row r="78" spans="1:21" s="12" customFormat="1" x14ac:dyDescent="0.25">
      <c r="A78" s="215" t="s">
        <v>509</v>
      </c>
      <c r="B78" s="64">
        <v>3.54</v>
      </c>
      <c r="C78" s="64">
        <v>37.799999999999997</v>
      </c>
      <c r="D78" s="64">
        <v>25</v>
      </c>
      <c r="E78" s="64">
        <v>4.3099999999999996</v>
      </c>
      <c r="F78" s="64">
        <v>17.489999999999998</v>
      </c>
      <c r="G78" s="64">
        <v>43.45</v>
      </c>
      <c r="H78" s="64">
        <v>18.86</v>
      </c>
      <c r="I78" s="64">
        <v>1.47</v>
      </c>
      <c r="J78" s="64">
        <v>0.43</v>
      </c>
      <c r="K78" s="64">
        <v>111.3</v>
      </c>
      <c r="L78" s="64">
        <v>25.3</v>
      </c>
      <c r="M78" s="64">
        <v>66.819999999999993</v>
      </c>
      <c r="N78" s="64">
        <v>22.5</v>
      </c>
      <c r="O78" s="64">
        <v>0</v>
      </c>
      <c r="P78" s="64">
        <v>0.68</v>
      </c>
      <c r="Q78" s="64">
        <v>4.1900000000000004</v>
      </c>
      <c r="R78" s="198"/>
      <c r="S78" s="198"/>
      <c r="T78" s="198"/>
      <c r="U78" s="198"/>
    </row>
    <row r="79" spans="1:21" s="12" customFormat="1" x14ac:dyDescent="0.25">
      <c r="A79" s="215" t="s">
        <v>510</v>
      </c>
      <c r="B79" s="64">
        <v>21.21</v>
      </c>
      <c r="C79" s="64">
        <v>65.78</v>
      </c>
      <c r="D79" s="64">
        <v>54.6</v>
      </c>
      <c r="E79" s="64">
        <v>4.3600000000000003</v>
      </c>
      <c r="F79" s="64">
        <v>8.9600000000000009</v>
      </c>
      <c r="G79" s="64">
        <v>43.47</v>
      </c>
      <c r="H79" s="64">
        <v>20.64</v>
      </c>
      <c r="I79" s="64">
        <v>1.47</v>
      </c>
      <c r="J79" s="64">
        <v>0.26</v>
      </c>
      <c r="K79" s="64">
        <v>84.3</v>
      </c>
      <c r="L79" s="64">
        <v>25.18</v>
      </c>
      <c r="M79" s="64">
        <v>67.650000000000006</v>
      </c>
      <c r="N79" s="64">
        <v>21.5</v>
      </c>
      <c r="O79" s="64">
        <v>0</v>
      </c>
      <c r="P79" s="64">
        <v>1.35</v>
      </c>
      <c r="Q79" s="64">
        <v>0.53</v>
      </c>
      <c r="R79" s="198"/>
      <c r="S79" s="198"/>
      <c r="T79" s="198"/>
      <c r="U79" s="198"/>
    </row>
    <row r="80" spans="1:21" s="12" customFormat="1" x14ac:dyDescent="0.25">
      <c r="A80" s="215" t="s">
        <v>511</v>
      </c>
      <c r="B80" s="64">
        <v>2.4300000000000002</v>
      </c>
      <c r="C80" s="64">
        <v>44.93</v>
      </c>
      <c r="D80" s="64">
        <v>28.04</v>
      </c>
      <c r="E80" s="64">
        <v>4.0599999999999996</v>
      </c>
      <c r="F80" s="64">
        <v>13.54</v>
      </c>
      <c r="G80" s="64">
        <v>43.48</v>
      </c>
      <c r="H80" s="64">
        <v>22.25</v>
      </c>
      <c r="I80" s="64">
        <v>1.47</v>
      </c>
      <c r="J80" s="64">
        <v>0.28999999999999998</v>
      </c>
      <c r="K80" s="64">
        <v>105.22</v>
      </c>
      <c r="L80" s="64">
        <v>25.02</v>
      </c>
      <c r="M80" s="64">
        <v>69.11</v>
      </c>
      <c r="N80" s="64">
        <v>21.4</v>
      </c>
      <c r="O80" s="64">
        <v>0</v>
      </c>
      <c r="P80" s="64">
        <v>0.99</v>
      </c>
      <c r="Q80" s="64">
        <v>2.75</v>
      </c>
      <c r="R80" s="198"/>
      <c r="S80" s="198"/>
      <c r="T80" s="198"/>
      <c r="U80" s="198"/>
    </row>
    <row r="81" spans="1:26" s="12" customFormat="1" x14ac:dyDescent="0.25">
      <c r="A81" s="215" t="s">
        <v>512</v>
      </c>
      <c r="B81" s="64">
        <v>11.27</v>
      </c>
      <c r="C81" s="64">
        <v>44.86</v>
      </c>
      <c r="D81" s="64">
        <v>35.090000000000003</v>
      </c>
      <c r="E81" s="64">
        <v>3.91</v>
      </c>
      <c r="F81" s="64">
        <v>7.62</v>
      </c>
      <c r="G81" s="64">
        <v>43.48</v>
      </c>
      <c r="H81" s="64">
        <v>22.25</v>
      </c>
      <c r="I81" s="64">
        <v>1.59</v>
      </c>
      <c r="J81" s="64">
        <v>0.14000000000000001</v>
      </c>
      <c r="K81" s="64">
        <v>61.95</v>
      </c>
      <c r="L81" s="64">
        <v>25.02</v>
      </c>
      <c r="M81" s="64">
        <v>69.19</v>
      </c>
      <c r="N81" s="64">
        <v>21.4</v>
      </c>
      <c r="O81" s="64">
        <v>0</v>
      </c>
      <c r="P81" s="64">
        <v>1.2</v>
      </c>
      <c r="Q81" s="64">
        <v>3.26</v>
      </c>
      <c r="R81" s="198"/>
      <c r="S81" s="198"/>
      <c r="T81" s="198"/>
      <c r="U81" s="198"/>
    </row>
    <row r="82" spans="1:26" s="12" customFormat="1" x14ac:dyDescent="0.25">
      <c r="A82" s="215" t="s">
        <v>513</v>
      </c>
      <c r="B82" s="64">
        <v>14.01</v>
      </c>
      <c r="C82" s="64">
        <v>57.78</v>
      </c>
      <c r="D82" s="64">
        <v>44.41</v>
      </c>
      <c r="E82" s="64">
        <v>3.64</v>
      </c>
      <c r="F82" s="64">
        <v>6.14</v>
      </c>
      <c r="G82" s="64">
        <v>43.48</v>
      </c>
      <c r="H82" s="64">
        <v>22.25</v>
      </c>
      <c r="I82" s="64">
        <v>1.47</v>
      </c>
      <c r="J82" s="64">
        <v>0.16</v>
      </c>
      <c r="K82" s="64">
        <v>84.43</v>
      </c>
      <c r="L82" s="64">
        <v>24.77</v>
      </c>
      <c r="M82" s="64">
        <v>71.73</v>
      </c>
      <c r="N82" s="64">
        <v>21.6</v>
      </c>
      <c r="O82" s="64">
        <v>0</v>
      </c>
      <c r="P82" s="64">
        <v>1.37</v>
      </c>
      <c r="Q82" s="64">
        <v>1.63</v>
      </c>
      <c r="R82" s="198"/>
      <c r="S82" s="198"/>
      <c r="T82" s="198"/>
      <c r="U82" s="198"/>
    </row>
    <row r="83" spans="1:26" s="12" customFormat="1" x14ac:dyDescent="0.25">
      <c r="A83" s="215" t="s">
        <v>514</v>
      </c>
      <c r="B83" s="64">
        <v>4.0999999999999996</v>
      </c>
      <c r="C83" s="64">
        <v>51.93</v>
      </c>
      <c r="D83" s="64">
        <v>33.24</v>
      </c>
      <c r="E83" s="64">
        <v>3.34</v>
      </c>
      <c r="F83" s="64">
        <v>8.5299999999999994</v>
      </c>
      <c r="G83" s="64">
        <v>48.88</v>
      </c>
      <c r="H83" s="64">
        <v>22.35</v>
      </c>
      <c r="I83" s="64">
        <v>1.48</v>
      </c>
      <c r="J83" s="64">
        <v>0.42</v>
      </c>
      <c r="K83" s="64">
        <v>100.92</v>
      </c>
      <c r="L83" s="64">
        <v>24.82</v>
      </c>
      <c r="M83" s="64">
        <v>70.3</v>
      </c>
      <c r="N83" s="64">
        <v>21.2</v>
      </c>
      <c r="O83" s="64">
        <v>0</v>
      </c>
      <c r="P83" s="64">
        <v>1.23</v>
      </c>
      <c r="Q83" s="64">
        <v>3.15</v>
      </c>
      <c r="R83" s="198"/>
      <c r="S83" s="198"/>
      <c r="T83" s="198"/>
      <c r="U83" s="198"/>
    </row>
    <row r="84" spans="1:26" s="12" customFormat="1" x14ac:dyDescent="0.25">
      <c r="A84" s="215" t="s">
        <v>515</v>
      </c>
      <c r="B84" s="64">
        <v>5.9</v>
      </c>
      <c r="C84" s="64">
        <v>34.450000000000003</v>
      </c>
      <c r="D84" s="64">
        <v>25.03</v>
      </c>
      <c r="E84" s="64">
        <v>3.02</v>
      </c>
      <c r="F84" s="64">
        <v>4.08</v>
      </c>
      <c r="G84" s="64">
        <v>53.83</v>
      </c>
      <c r="H84" s="64">
        <v>22.39</v>
      </c>
      <c r="I84" s="64">
        <v>1.41</v>
      </c>
      <c r="J84" s="64">
        <v>0.32</v>
      </c>
      <c r="K84" s="64">
        <v>104.55</v>
      </c>
      <c r="L84" s="64">
        <v>24.88</v>
      </c>
      <c r="M84" s="64">
        <v>70.569999999999993</v>
      </c>
      <c r="N84" s="64">
        <v>21.5</v>
      </c>
      <c r="O84" s="64">
        <v>0</v>
      </c>
      <c r="P84" s="64">
        <v>1.1499999999999999</v>
      </c>
      <c r="Q84" s="64">
        <v>3.72</v>
      </c>
      <c r="R84" s="198"/>
      <c r="S84" s="198"/>
      <c r="T84" s="198"/>
      <c r="U84" s="198"/>
    </row>
    <row r="85" spans="1:26" s="12" customFormat="1" x14ac:dyDescent="0.25">
      <c r="A85" s="215" t="s">
        <v>516</v>
      </c>
      <c r="B85" s="64">
        <v>17.010000000000002</v>
      </c>
      <c r="C85" s="64">
        <v>54.78</v>
      </c>
      <c r="D85" s="64">
        <v>45.16</v>
      </c>
      <c r="E85" s="64">
        <v>2.72</v>
      </c>
      <c r="F85" s="64">
        <v>2.4300000000000002</v>
      </c>
      <c r="G85" s="64">
        <v>53.83</v>
      </c>
      <c r="H85" s="64">
        <v>22.39</v>
      </c>
      <c r="I85" s="64">
        <v>1.46</v>
      </c>
      <c r="J85" s="64">
        <v>0.22</v>
      </c>
      <c r="K85" s="64">
        <v>113.96</v>
      </c>
      <c r="L85" s="64">
        <v>24.82</v>
      </c>
      <c r="M85" s="64">
        <v>71.42</v>
      </c>
      <c r="N85" s="64">
        <v>21.8</v>
      </c>
      <c r="O85" s="64">
        <v>0</v>
      </c>
      <c r="P85" s="64">
        <v>1.41</v>
      </c>
      <c r="Q85" s="64">
        <v>1.39</v>
      </c>
      <c r="R85" s="198"/>
      <c r="S85" s="198"/>
      <c r="T85" s="198"/>
      <c r="U85" s="198"/>
    </row>
    <row r="86" spans="1:26" s="12" customFormat="1" x14ac:dyDescent="0.25">
      <c r="A86" s="215" t="s">
        <v>517</v>
      </c>
      <c r="B86" s="64">
        <v>37.24</v>
      </c>
      <c r="C86" s="64">
        <v>66.98</v>
      </c>
      <c r="D86" s="64">
        <v>68.11</v>
      </c>
      <c r="E86" s="64">
        <v>2.91</v>
      </c>
      <c r="F86" s="64">
        <v>1.44</v>
      </c>
      <c r="G86" s="64">
        <v>53.83</v>
      </c>
      <c r="H86" s="64">
        <v>22.39</v>
      </c>
      <c r="I86" s="64">
        <v>1.46</v>
      </c>
      <c r="J86" s="64">
        <v>0.14000000000000001</v>
      </c>
      <c r="K86" s="64">
        <v>326.45999999999998</v>
      </c>
      <c r="L86" s="64">
        <v>24.8</v>
      </c>
      <c r="M86" s="64">
        <v>73.05</v>
      </c>
      <c r="N86" s="64">
        <v>21.7</v>
      </c>
      <c r="O86" s="64">
        <v>0</v>
      </c>
      <c r="P86" s="64">
        <v>1.96</v>
      </c>
      <c r="Q86" s="64">
        <v>1.29</v>
      </c>
      <c r="R86" s="198"/>
      <c r="S86" s="198"/>
      <c r="T86" s="198"/>
      <c r="U86" s="198"/>
    </row>
    <row r="87" spans="1:26" s="12" customFormat="1" x14ac:dyDescent="0.25">
      <c r="A87" s="215" t="s">
        <v>518</v>
      </c>
      <c r="B87" s="64">
        <v>15.26</v>
      </c>
      <c r="C87" s="64">
        <v>43.79</v>
      </c>
      <c r="D87" s="64">
        <v>37.700000000000003</v>
      </c>
      <c r="E87" s="64">
        <v>2.83</v>
      </c>
      <c r="F87" s="64">
        <v>2.57</v>
      </c>
      <c r="G87" s="64">
        <v>83.95</v>
      </c>
      <c r="H87" s="64">
        <v>27.76</v>
      </c>
      <c r="I87" s="64">
        <v>1.49</v>
      </c>
      <c r="J87" s="64">
        <v>0.16</v>
      </c>
      <c r="K87" s="64">
        <v>93.47</v>
      </c>
      <c r="L87" s="64">
        <v>24.7</v>
      </c>
      <c r="M87" s="64">
        <v>73.38</v>
      </c>
      <c r="N87" s="64">
        <v>22.1</v>
      </c>
      <c r="O87" s="64">
        <v>0</v>
      </c>
      <c r="P87" s="64">
        <v>1.47</v>
      </c>
      <c r="Q87" s="64">
        <v>1.33</v>
      </c>
      <c r="R87" s="198"/>
      <c r="S87" s="198"/>
      <c r="T87" s="198"/>
      <c r="U87" s="198"/>
    </row>
    <row r="88" spans="1:26" s="12" customFormat="1" x14ac:dyDescent="0.25">
      <c r="A88" s="215" t="s">
        <v>519</v>
      </c>
      <c r="B88" s="64">
        <v>11.01</v>
      </c>
      <c r="C88" s="64">
        <v>27.64</v>
      </c>
      <c r="D88" s="64">
        <v>25.38</v>
      </c>
      <c r="E88" s="64">
        <v>1.34</v>
      </c>
      <c r="F88" s="64">
        <v>2.0499999999999998</v>
      </c>
      <c r="G88" s="64">
        <v>111.5</v>
      </c>
      <c r="H88" s="64">
        <v>30.21</v>
      </c>
      <c r="I88" s="64">
        <v>1.62</v>
      </c>
      <c r="J88" s="64">
        <v>0.11</v>
      </c>
      <c r="K88" s="64">
        <v>342.49</v>
      </c>
      <c r="L88" s="64">
        <v>24.27</v>
      </c>
      <c r="M88" s="64">
        <v>76.27</v>
      </c>
      <c r="N88" s="64">
        <v>22.4</v>
      </c>
      <c r="O88" s="64">
        <v>0</v>
      </c>
      <c r="P88" s="64">
        <v>1.1299999999999999</v>
      </c>
      <c r="Q88" s="64">
        <v>4.5599999999999996</v>
      </c>
      <c r="R88" s="198"/>
      <c r="S88" s="198"/>
      <c r="T88" s="198"/>
      <c r="U88" s="198"/>
    </row>
    <row r="89" spans="1:26" s="12" customFormat="1" x14ac:dyDescent="0.25">
      <c r="A89" s="215" t="s">
        <v>520</v>
      </c>
      <c r="B89" s="64">
        <v>9.3000000000000007</v>
      </c>
      <c r="C89" s="64">
        <v>25.05</v>
      </c>
      <c r="D89" s="64">
        <v>22.57</v>
      </c>
      <c r="E89" s="64">
        <v>1.81</v>
      </c>
      <c r="F89" s="64">
        <v>6.33</v>
      </c>
      <c r="G89" s="64">
        <v>111.5</v>
      </c>
      <c r="H89" s="64">
        <v>30.21</v>
      </c>
      <c r="I89" s="64">
        <v>1.45</v>
      </c>
      <c r="J89" s="64">
        <v>0.87</v>
      </c>
      <c r="K89" s="64">
        <v>152.09</v>
      </c>
      <c r="L89" s="64">
        <v>23.19</v>
      </c>
      <c r="M89" s="64">
        <v>82.95</v>
      </c>
      <c r="N89" s="64">
        <v>25.3</v>
      </c>
      <c r="O89" s="64">
        <v>1.6</v>
      </c>
      <c r="P89" s="64">
        <v>1.04</v>
      </c>
      <c r="Q89" s="64">
        <v>5.4</v>
      </c>
      <c r="R89" s="198"/>
      <c r="S89" s="198"/>
      <c r="T89" s="198"/>
      <c r="U89" s="198"/>
    </row>
    <row r="90" spans="1:26" s="12" customFormat="1" x14ac:dyDescent="0.25">
      <c r="A90" s="215" t="s">
        <v>521</v>
      </c>
      <c r="B90" s="64">
        <v>10.41</v>
      </c>
      <c r="C90" s="64">
        <v>25.1</v>
      </c>
      <c r="D90" s="64">
        <v>23.5</v>
      </c>
      <c r="E90" s="64">
        <v>1.77</v>
      </c>
      <c r="F90" s="64">
        <v>2.82</v>
      </c>
      <c r="G90" s="64">
        <v>111.5</v>
      </c>
      <c r="H90" s="64">
        <v>30.21</v>
      </c>
      <c r="I90" s="64">
        <v>1.48</v>
      </c>
      <c r="J90" s="64">
        <v>0.28000000000000003</v>
      </c>
      <c r="K90" s="64">
        <v>315.27</v>
      </c>
      <c r="L90" s="64">
        <v>20.62</v>
      </c>
      <c r="M90" s="64">
        <v>97.81</v>
      </c>
      <c r="N90" s="64">
        <v>25.3</v>
      </c>
      <c r="O90" s="64">
        <v>5.6</v>
      </c>
      <c r="P90" s="64">
        <v>1.07</v>
      </c>
      <c r="Q90" s="64">
        <v>5.32</v>
      </c>
      <c r="R90" s="198"/>
      <c r="S90" s="198"/>
      <c r="T90" s="198"/>
      <c r="U90" s="198"/>
    </row>
    <row r="91" spans="1:26" s="12" customFormat="1" x14ac:dyDescent="0.25">
      <c r="A91" s="215" t="s">
        <v>522</v>
      </c>
      <c r="B91" s="64">
        <v>10.01</v>
      </c>
      <c r="C91" s="64">
        <v>28.64</v>
      </c>
      <c r="D91" s="64">
        <v>25.12</v>
      </c>
      <c r="E91" s="64">
        <v>2.14</v>
      </c>
      <c r="F91" s="64">
        <v>2.73</v>
      </c>
      <c r="G91" s="64">
        <v>87.83</v>
      </c>
      <c r="H91" s="64">
        <v>28.39</v>
      </c>
      <c r="I91" s="64">
        <v>1.55</v>
      </c>
      <c r="J91" s="64">
        <v>0.5</v>
      </c>
      <c r="K91" s="64">
        <v>147.44999999999999</v>
      </c>
      <c r="L91" s="64">
        <v>19.88</v>
      </c>
      <c r="M91" s="64">
        <v>98.51</v>
      </c>
      <c r="N91" s="64">
        <v>22</v>
      </c>
      <c r="O91" s="64">
        <v>0</v>
      </c>
      <c r="P91" s="64">
        <v>1.02</v>
      </c>
      <c r="Q91" s="64">
        <v>5.22</v>
      </c>
      <c r="R91" s="198"/>
      <c r="S91" s="198"/>
      <c r="T91" s="198"/>
      <c r="U91" s="198"/>
    </row>
    <row r="92" spans="1:26" s="12" customFormat="1" x14ac:dyDescent="0.25">
      <c r="A92" s="215" t="s">
        <v>523</v>
      </c>
      <c r="B92" s="64">
        <v>12.04</v>
      </c>
      <c r="C92" s="64">
        <v>24.25</v>
      </c>
      <c r="D92" s="64">
        <v>24.33</v>
      </c>
      <c r="E92" s="64">
        <v>2.09</v>
      </c>
      <c r="F92" s="64">
        <v>1.49</v>
      </c>
      <c r="G92" s="64">
        <v>66.17</v>
      </c>
      <c r="H92" s="64">
        <v>27.55</v>
      </c>
      <c r="I92" s="64">
        <v>1.52</v>
      </c>
      <c r="J92" s="64">
        <v>0.15</v>
      </c>
      <c r="K92" s="64">
        <v>354.53</v>
      </c>
      <c r="L92" s="64">
        <v>20.16</v>
      </c>
      <c r="M92" s="64">
        <v>98.54</v>
      </c>
      <c r="N92" s="64">
        <v>21.4</v>
      </c>
      <c r="O92" s="64">
        <v>0</v>
      </c>
      <c r="P92" s="64">
        <v>1.08</v>
      </c>
      <c r="Q92" s="64">
        <v>4.6900000000000004</v>
      </c>
      <c r="R92" s="198"/>
      <c r="S92" s="198"/>
      <c r="T92" s="198"/>
      <c r="U92" s="198"/>
    </row>
    <row r="93" spans="1:26" s="12" customFormat="1" x14ac:dyDescent="0.25">
      <c r="A93" s="215" t="s">
        <v>524</v>
      </c>
      <c r="B93" s="64">
        <v>12.5</v>
      </c>
      <c r="C93" s="64">
        <v>28.39</v>
      </c>
      <c r="D93" s="64">
        <v>26.98</v>
      </c>
      <c r="E93" s="64">
        <v>1.78</v>
      </c>
      <c r="F93" s="64">
        <v>0.37</v>
      </c>
      <c r="G93" s="64">
        <v>66.17</v>
      </c>
      <c r="H93" s="64">
        <v>27.55</v>
      </c>
      <c r="I93" s="64">
        <v>1.48</v>
      </c>
      <c r="J93" s="64">
        <v>0.74</v>
      </c>
      <c r="K93" s="64">
        <v>94.98</v>
      </c>
      <c r="L93" s="64">
        <v>20.32</v>
      </c>
      <c r="M93" s="64">
        <v>98.54</v>
      </c>
      <c r="N93" s="64">
        <v>23.2</v>
      </c>
      <c r="O93" s="64">
        <v>0</v>
      </c>
      <c r="P93" s="64">
        <v>1.08</v>
      </c>
      <c r="Q93" s="64">
        <v>4.93</v>
      </c>
      <c r="R93" s="198"/>
      <c r="S93" s="198"/>
      <c r="T93" s="198"/>
      <c r="U93" s="198"/>
    </row>
    <row r="94" spans="1:26" s="12" customFormat="1" x14ac:dyDescent="0.25">
      <c r="A94" s="215" t="s">
        <v>525</v>
      </c>
      <c r="B94" s="64">
        <v>11.83</v>
      </c>
      <c r="C94" s="64">
        <v>24.47</v>
      </c>
      <c r="D94" s="64">
        <v>24.29</v>
      </c>
      <c r="E94" s="64">
        <v>2.13</v>
      </c>
      <c r="F94" s="64">
        <v>1.67</v>
      </c>
      <c r="G94" s="64">
        <v>66.17</v>
      </c>
      <c r="H94" s="64">
        <v>27.55</v>
      </c>
      <c r="I94" s="64">
        <v>1.52</v>
      </c>
      <c r="J94" s="64">
        <v>0.21</v>
      </c>
      <c r="K94" s="64">
        <v>188.12</v>
      </c>
      <c r="L94" s="64">
        <v>20.72</v>
      </c>
      <c r="M94" s="64">
        <v>98.49</v>
      </c>
      <c r="N94" s="64">
        <v>23.6</v>
      </c>
      <c r="O94" s="64">
        <v>0</v>
      </c>
      <c r="P94" s="64">
        <v>1.03</v>
      </c>
      <c r="Q94" s="64">
        <v>5.14</v>
      </c>
      <c r="R94" s="198"/>
      <c r="S94" s="198"/>
      <c r="T94" s="198"/>
      <c r="U94" s="198"/>
    </row>
    <row r="95" spans="1:26" s="12" customFormat="1" x14ac:dyDescent="0.25">
      <c r="A95" s="215" t="s">
        <v>526</v>
      </c>
      <c r="B95" s="64">
        <v>11.34</v>
      </c>
      <c r="C95" s="64">
        <v>21.66</v>
      </c>
      <c r="D95" s="64">
        <v>22.34</v>
      </c>
      <c r="E95" s="64">
        <v>1.9</v>
      </c>
      <c r="F95" s="64">
        <v>4.3899999999999997</v>
      </c>
      <c r="G95" s="64">
        <v>53.23</v>
      </c>
      <c r="H95" s="64">
        <v>27.11</v>
      </c>
      <c r="I95" s="64">
        <v>1.47</v>
      </c>
      <c r="J95" s="64">
        <v>0.09</v>
      </c>
      <c r="K95" s="64">
        <v>227.1</v>
      </c>
      <c r="L95" s="64">
        <v>20.71</v>
      </c>
      <c r="M95" s="64">
        <v>98.49</v>
      </c>
      <c r="N95" s="64">
        <v>23.2</v>
      </c>
      <c r="O95" s="64">
        <v>0</v>
      </c>
      <c r="P95" s="64">
        <v>0.99</v>
      </c>
      <c r="Q95" s="64">
        <v>5.21</v>
      </c>
      <c r="R95" s="198"/>
      <c r="S95" s="198"/>
      <c r="T95" s="198"/>
      <c r="U95" s="198"/>
    </row>
    <row r="96" spans="1:26" s="12" customFormat="1" x14ac:dyDescent="0.25">
      <c r="A96" s="215" t="s">
        <v>527</v>
      </c>
      <c r="B96" s="64">
        <v>11.41</v>
      </c>
      <c r="C96" s="64">
        <v>19.32</v>
      </c>
      <c r="D96" s="64">
        <v>21.1</v>
      </c>
      <c r="E96" s="64">
        <v>1.49</v>
      </c>
      <c r="F96" s="64">
        <v>1.52</v>
      </c>
      <c r="G96" s="64">
        <v>41.39</v>
      </c>
      <c r="H96" s="64">
        <v>26.9</v>
      </c>
      <c r="I96" s="64">
        <v>1.59</v>
      </c>
      <c r="J96" s="64">
        <v>0.26</v>
      </c>
      <c r="K96" s="64">
        <v>214.85</v>
      </c>
      <c r="L96" s="64">
        <v>20.83</v>
      </c>
      <c r="M96" s="64">
        <v>98.49</v>
      </c>
      <c r="N96" s="64">
        <v>22.7</v>
      </c>
      <c r="O96" s="64">
        <v>0</v>
      </c>
      <c r="P96" s="64">
        <v>1.04</v>
      </c>
      <c r="Q96" s="64">
        <v>5.46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528</v>
      </c>
      <c r="B97" s="64">
        <v>21.65</v>
      </c>
      <c r="C97" s="64">
        <v>34.01</v>
      </c>
      <c r="D97" s="64">
        <v>37.42</v>
      </c>
      <c r="E97" s="64">
        <v>1.27</v>
      </c>
      <c r="F97" s="64">
        <v>0.97</v>
      </c>
      <c r="G97" s="64">
        <v>41.39</v>
      </c>
      <c r="H97" s="64">
        <v>26.9</v>
      </c>
      <c r="I97" s="64">
        <v>1.47</v>
      </c>
      <c r="J97" s="64">
        <v>0.14000000000000001</v>
      </c>
      <c r="K97" s="64">
        <v>308.23</v>
      </c>
      <c r="L97" s="64">
        <v>20.92</v>
      </c>
      <c r="M97" s="64">
        <v>98.5</v>
      </c>
      <c r="N97" s="64">
        <v>22.9</v>
      </c>
      <c r="O97" s="64">
        <v>0</v>
      </c>
      <c r="P97" s="64">
        <v>1.05</v>
      </c>
      <c r="Q97" s="64">
        <v>4.5999999999999996</v>
      </c>
      <c r="R97" s="198"/>
      <c r="S97" s="198"/>
      <c r="T97" s="198"/>
      <c r="U97" s="198"/>
    </row>
    <row r="98" spans="1:33" s="12" customFormat="1" x14ac:dyDescent="0.25">
      <c r="A98" s="215" t="s">
        <v>529</v>
      </c>
      <c r="B98" s="64">
        <v>17.05</v>
      </c>
      <c r="C98" s="64">
        <v>23.13</v>
      </c>
      <c r="D98" s="64">
        <v>27.73</v>
      </c>
      <c r="E98" s="64">
        <v>1.29</v>
      </c>
      <c r="F98" s="64">
        <v>0.8</v>
      </c>
      <c r="G98" s="64">
        <v>41.39</v>
      </c>
      <c r="H98" s="64">
        <v>26.9</v>
      </c>
      <c r="I98" s="64">
        <v>1.47</v>
      </c>
      <c r="J98" s="64">
        <v>0.05</v>
      </c>
      <c r="K98" s="64">
        <v>265.24</v>
      </c>
      <c r="L98" s="64">
        <v>20.87</v>
      </c>
      <c r="M98" s="64">
        <v>98.5</v>
      </c>
      <c r="N98" s="64">
        <v>21.6</v>
      </c>
      <c r="O98" s="64">
        <v>0</v>
      </c>
      <c r="P98" s="64">
        <v>1.07</v>
      </c>
      <c r="Q98" s="64">
        <v>3.93</v>
      </c>
      <c r="R98" s="198"/>
      <c r="S98" s="198"/>
      <c r="T98" s="198"/>
      <c r="U98" s="198"/>
    </row>
    <row r="99" spans="1:33" s="12" customFormat="1" x14ac:dyDescent="0.25">
      <c r="A99" s="215" t="s">
        <v>530</v>
      </c>
      <c r="B99" s="64">
        <v>13.74</v>
      </c>
      <c r="C99" s="64">
        <v>20.010000000000002</v>
      </c>
      <c r="D99" s="64">
        <v>23.36</v>
      </c>
      <c r="E99" s="64">
        <v>1.39</v>
      </c>
      <c r="F99" s="64">
        <v>0.73</v>
      </c>
      <c r="G99" s="64">
        <v>41.03</v>
      </c>
      <c r="H99" s="64">
        <v>23.72</v>
      </c>
      <c r="I99" s="64">
        <v>1.57</v>
      </c>
      <c r="J99" s="64">
        <v>0.08</v>
      </c>
      <c r="K99" s="64">
        <v>319.77999999999997</v>
      </c>
      <c r="L99" s="64">
        <v>21.08</v>
      </c>
      <c r="M99" s="64">
        <v>98.5</v>
      </c>
      <c r="N99" s="64">
        <v>22.7</v>
      </c>
      <c r="O99" s="64">
        <v>0</v>
      </c>
      <c r="P99" s="64">
        <v>1.05</v>
      </c>
      <c r="Q99" s="64">
        <v>5.38</v>
      </c>
      <c r="R99" s="198"/>
      <c r="S99" s="198"/>
      <c r="T99" s="198"/>
      <c r="U99" s="198"/>
    </row>
    <row r="100" spans="1:33" s="12" customFormat="1" x14ac:dyDescent="0.25">
      <c r="A100" s="215" t="s">
        <v>531</v>
      </c>
      <c r="B100" s="64">
        <v>11.38</v>
      </c>
      <c r="C100" s="64">
        <v>25.74</v>
      </c>
      <c r="D100" s="64">
        <v>24.62</v>
      </c>
      <c r="E100" s="64">
        <v>1.3</v>
      </c>
      <c r="F100" s="64">
        <v>1.88</v>
      </c>
      <c r="G100" s="64">
        <v>40.69</v>
      </c>
      <c r="H100" s="64">
        <v>22.26</v>
      </c>
      <c r="I100" s="64">
        <v>1.48</v>
      </c>
      <c r="J100" s="64">
        <v>0.08</v>
      </c>
      <c r="K100" s="64">
        <v>274.88</v>
      </c>
      <c r="L100" s="64">
        <v>21.02</v>
      </c>
      <c r="M100" s="64">
        <v>98.5</v>
      </c>
      <c r="N100" s="64">
        <v>22.3</v>
      </c>
      <c r="O100" s="64">
        <v>0</v>
      </c>
      <c r="P100" s="64">
        <v>0.97</v>
      </c>
      <c r="Q100" s="64">
        <v>5.42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532</v>
      </c>
      <c r="B101" s="64">
        <v>10.99</v>
      </c>
      <c r="C101" s="64">
        <v>25.59</v>
      </c>
      <c r="D101" s="64">
        <v>24.23</v>
      </c>
      <c r="E101" s="64">
        <v>1.37</v>
      </c>
      <c r="F101" s="64">
        <v>2.68</v>
      </c>
      <c r="G101" s="64">
        <v>40.69</v>
      </c>
      <c r="H101" s="64">
        <v>22.26</v>
      </c>
      <c r="I101" s="64">
        <v>1.47</v>
      </c>
      <c r="J101" s="64">
        <v>0.03</v>
      </c>
      <c r="K101" s="64">
        <v>248.2</v>
      </c>
      <c r="L101" s="64">
        <v>21</v>
      </c>
      <c r="M101" s="64">
        <v>98.51</v>
      </c>
      <c r="N101" s="64">
        <v>22.4</v>
      </c>
      <c r="O101" s="64">
        <v>0</v>
      </c>
      <c r="P101" s="64">
        <v>0.93</v>
      </c>
      <c r="Q101" s="64">
        <v>5.44</v>
      </c>
      <c r="R101" s="198"/>
      <c r="S101" s="198"/>
      <c r="T101" s="198"/>
      <c r="U101" s="198"/>
    </row>
    <row r="102" spans="1:33" s="12" customFormat="1" x14ac:dyDescent="0.25">
      <c r="A102" s="215" t="s">
        <v>533</v>
      </c>
      <c r="B102" s="64">
        <v>11.02</v>
      </c>
      <c r="C102" s="64">
        <v>32.200000000000003</v>
      </c>
      <c r="D102" s="64">
        <v>27.9</v>
      </c>
      <c r="E102" s="64">
        <v>1.25</v>
      </c>
      <c r="F102" s="64">
        <v>1.28</v>
      </c>
      <c r="G102" s="64">
        <v>40.69</v>
      </c>
      <c r="H102" s="64">
        <v>22.26</v>
      </c>
      <c r="I102" s="64">
        <v>1.54</v>
      </c>
      <c r="J102" s="64">
        <v>0.15</v>
      </c>
      <c r="K102" s="64">
        <v>177.93</v>
      </c>
      <c r="L102" s="64">
        <v>20.91</v>
      </c>
      <c r="M102" s="64">
        <v>98.52</v>
      </c>
      <c r="N102" s="64">
        <v>22.3</v>
      </c>
      <c r="O102" s="64">
        <v>0</v>
      </c>
      <c r="P102" s="64">
        <v>0.91</v>
      </c>
      <c r="Q102" s="64">
        <v>5.25</v>
      </c>
      <c r="R102" s="198"/>
      <c r="S102" s="198"/>
      <c r="T102" s="198"/>
      <c r="U102" s="198"/>
    </row>
    <row r="103" spans="1:33" s="12" customFormat="1" x14ac:dyDescent="0.25">
      <c r="A103" s="215" t="s">
        <v>534</v>
      </c>
      <c r="B103" s="64">
        <v>16.649999999999999</v>
      </c>
      <c r="C103" s="64">
        <v>34.86</v>
      </c>
      <c r="D103" s="64">
        <v>33.880000000000003</v>
      </c>
      <c r="E103" s="64">
        <v>1.43</v>
      </c>
      <c r="F103" s="64">
        <v>0.87</v>
      </c>
      <c r="G103" s="64">
        <v>33.54</v>
      </c>
      <c r="H103" s="64">
        <v>23.68</v>
      </c>
      <c r="I103" s="64">
        <v>1.53</v>
      </c>
      <c r="J103" s="64">
        <v>0.04</v>
      </c>
      <c r="K103" s="64">
        <v>11.5</v>
      </c>
      <c r="L103" s="64">
        <v>20.87</v>
      </c>
      <c r="M103" s="64">
        <v>98.53</v>
      </c>
      <c r="N103" s="64">
        <v>21.9</v>
      </c>
      <c r="O103" s="64">
        <v>0</v>
      </c>
      <c r="P103" s="64">
        <v>0.94</v>
      </c>
      <c r="Q103" s="64">
        <v>4.93</v>
      </c>
      <c r="R103" s="198"/>
      <c r="S103" s="198"/>
      <c r="T103" s="198"/>
      <c r="U103" s="198"/>
    </row>
    <row r="104" spans="1:33" s="12" customFormat="1" x14ac:dyDescent="0.25">
      <c r="A104" s="215" t="s">
        <v>535</v>
      </c>
      <c r="B104" s="64">
        <v>13.72</v>
      </c>
      <c r="C104" s="64">
        <v>22.84</v>
      </c>
      <c r="D104" s="64">
        <v>24.9</v>
      </c>
      <c r="E104" s="64">
        <v>1.34</v>
      </c>
      <c r="F104" s="64">
        <v>1</v>
      </c>
      <c r="G104" s="64">
        <v>26.99</v>
      </c>
      <c r="H104" s="64">
        <v>24.97</v>
      </c>
      <c r="I104" s="64">
        <v>1.52</v>
      </c>
      <c r="J104" s="64">
        <v>0.11</v>
      </c>
      <c r="K104" s="64">
        <v>149.88999999999999</v>
      </c>
      <c r="L104" s="64">
        <v>20.79</v>
      </c>
      <c r="M104" s="64">
        <v>98.53</v>
      </c>
      <c r="N104" s="64">
        <v>22.2</v>
      </c>
      <c r="O104" s="64">
        <v>0</v>
      </c>
      <c r="P104" s="64">
        <v>0.95</v>
      </c>
      <c r="Q104" s="64">
        <v>4.93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2.4300000000000002</v>
      </c>
      <c r="C106" s="67">
        <f>MIN(C9:C104)</f>
        <v>18.95</v>
      </c>
      <c r="D106" s="67">
        <f t="shared" ref="D106:Q106" si="0">MIN(D9:D104)</f>
        <v>16.47</v>
      </c>
      <c r="E106" s="67">
        <f t="shared" si="0"/>
        <v>1.25</v>
      </c>
      <c r="F106" s="67">
        <f t="shared" si="0"/>
        <v>0.01</v>
      </c>
      <c r="G106" s="67">
        <f t="shared" si="0"/>
        <v>26.99</v>
      </c>
      <c r="H106" s="67">
        <f t="shared" si="0"/>
        <v>18.86</v>
      </c>
      <c r="I106" s="67">
        <f t="shared" si="0"/>
        <v>1.39</v>
      </c>
      <c r="J106" s="67">
        <f t="shared" si="0"/>
        <v>0.02</v>
      </c>
      <c r="K106" s="67">
        <f t="shared" si="0"/>
        <v>11.19</v>
      </c>
      <c r="L106" s="67">
        <f t="shared" si="0"/>
        <v>19.88</v>
      </c>
      <c r="M106" s="67">
        <f t="shared" si="0"/>
        <v>50.13</v>
      </c>
      <c r="N106" s="67">
        <f t="shared" si="0"/>
        <v>21.2</v>
      </c>
      <c r="O106" s="67">
        <f t="shared" si="0"/>
        <v>0</v>
      </c>
      <c r="P106" s="67">
        <f t="shared" si="0"/>
        <v>0.57999999999999996</v>
      </c>
      <c r="Q106" s="67">
        <f t="shared" si="0"/>
        <v>0.53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37.24</v>
      </c>
      <c r="C107" s="66">
        <f t="shared" ref="C107:Q107" si="1">MAX(C9:C104)</f>
        <v>66.98</v>
      </c>
      <c r="D107" s="66">
        <f t="shared" si="1"/>
        <v>68.11</v>
      </c>
      <c r="E107" s="66">
        <f t="shared" si="1"/>
        <v>8.36</v>
      </c>
      <c r="F107" s="66">
        <f t="shared" si="1"/>
        <v>22.91</v>
      </c>
      <c r="G107" s="66">
        <f t="shared" si="1"/>
        <v>256.33999999999997</v>
      </c>
      <c r="H107" s="66">
        <f t="shared" si="1"/>
        <v>117.66</v>
      </c>
      <c r="I107" s="66">
        <f t="shared" si="1"/>
        <v>1.62</v>
      </c>
      <c r="J107" s="66">
        <f t="shared" si="1"/>
        <v>2.0699999999999998</v>
      </c>
      <c r="K107" s="66">
        <f t="shared" si="1"/>
        <v>357.69</v>
      </c>
      <c r="L107" s="66">
        <f t="shared" si="1"/>
        <v>30.76</v>
      </c>
      <c r="M107" s="66">
        <f t="shared" si="1"/>
        <v>98.54</v>
      </c>
      <c r="N107" s="66">
        <f t="shared" si="1"/>
        <v>720.4</v>
      </c>
      <c r="O107" s="66">
        <f t="shared" si="1"/>
        <v>5.6</v>
      </c>
      <c r="P107" s="66">
        <f t="shared" si="1"/>
        <v>1.96</v>
      </c>
      <c r="Q107" s="66">
        <f t="shared" si="1"/>
        <v>7.55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16.987604166666671</v>
      </c>
      <c r="C108" s="67">
        <f t="shared" ref="C108:Q108" si="2">AVERAGE(C9:C104)</f>
        <v>29.064374999999998</v>
      </c>
      <c r="D108" s="67">
        <f t="shared" si="2"/>
        <v>30.954999999999995</v>
      </c>
      <c r="E108" s="67">
        <f t="shared" si="2"/>
        <v>3.1286458333333318</v>
      </c>
      <c r="F108" s="67">
        <f t="shared" si="2"/>
        <v>3.6659375000000001</v>
      </c>
      <c r="G108" s="67">
        <f t="shared" si="2"/>
        <v>111.76614583333325</v>
      </c>
      <c r="H108" s="67">
        <f t="shared" si="2"/>
        <v>56.886250000000011</v>
      </c>
      <c r="I108" s="67">
        <f t="shared" si="2"/>
        <v>1.4984374999999996</v>
      </c>
      <c r="J108" s="67">
        <f t="shared" si="2"/>
        <v>0.40062499999999984</v>
      </c>
      <c r="K108" s="67">
        <f t="shared" si="2"/>
        <v>216.68156249999996</v>
      </c>
      <c r="L108" s="67">
        <f t="shared" si="2"/>
        <v>24.027083333333326</v>
      </c>
      <c r="M108" s="67">
        <f t="shared" si="2"/>
        <v>79.087916666666629</v>
      </c>
      <c r="N108" s="67">
        <f t="shared" si="2"/>
        <v>155.21770833333335</v>
      </c>
      <c r="O108" s="67">
        <f t="shared" si="2"/>
        <v>7.4999999999999997E-2</v>
      </c>
      <c r="P108" s="67">
        <f t="shared" si="2"/>
        <v>1.2332291666666662</v>
      </c>
      <c r="Q108" s="67">
        <f t="shared" si="2"/>
        <v>5.401770833333333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8.949373720492126</v>
      </c>
      <c r="C109" s="67">
        <f t="shared" ref="C109:Q109" si="3">STDEV(C9:C104)</f>
        <v>9.3670872642347938</v>
      </c>
      <c r="D109" s="67">
        <f t="shared" si="3"/>
        <v>9.1925753793626033</v>
      </c>
      <c r="E109" s="67">
        <f t="shared" si="3"/>
        <v>1.3987645825714039</v>
      </c>
      <c r="F109" s="67">
        <f t="shared" si="3"/>
        <v>4.8606678289532441</v>
      </c>
      <c r="G109" s="67">
        <f t="shared" si="3"/>
        <v>74.948579149761102</v>
      </c>
      <c r="H109" s="67">
        <f t="shared" si="3"/>
        <v>35.453962179289945</v>
      </c>
      <c r="I109" s="67">
        <f t="shared" si="3"/>
        <v>4.6028094967267466E-2</v>
      </c>
      <c r="J109" s="67">
        <f t="shared" si="3"/>
        <v>0.36611132186808976</v>
      </c>
      <c r="K109" s="67">
        <f t="shared" si="3"/>
        <v>113.0553126508682</v>
      </c>
      <c r="L109" s="67">
        <f t="shared" si="3"/>
        <v>2.914432297040912</v>
      </c>
      <c r="M109" s="67">
        <f t="shared" si="3"/>
        <v>17.279038649955911</v>
      </c>
      <c r="N109" s="67">
        <f t="shared" si="3"/>
        <v>201.59691987767738</v>
      </c>
      <c r="O109" s="67">
        <f t="shared" si="3"/>
        <v>0.59276337694954773</v>
      </c>
      <c r="P109" s="67">
        <f t="shared" si="3"/>
        <v>0.30560895134199395</v>
      </c>
      <c r="Q109" s="67">
        <f t="shared" si="3"/>
        <v>1.4097472672277673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536</v>
      </c>
      <c r="B9" s="64">
        <v>12.77</v>
      </c>
      <c r="C9" s="64">
        <v>22.83</v>
      </c>
      <c r="D9" s="64">
        <v>24.13</v>
      </c>
      <c r="E9" s="64">
        <v>1.86</v>
      </c>
      <c r="F9" s="64">
        <v>1.66</v>
      </c>
      <c r="G9" s="64">
        <v>26.99</v>
      </c>
      <c r="H9" s="64">
        <v>24.97</v>
      </c>
      <c r="I9" s="64">
        <v>1.54</v>
      </c>
      <c r="J9" s="64">
        <v>0.03</v>
      </c>
      <c r="K9" s="64">
        <v>85.35</v>
      </c>
      <c r="L9" s="64">
        <v>20.73</v>
      </c>
      <c r="M9" s="64">
        <v>98.48</v>
      </c>
      <c r="N9" s="64">
        <v>22.8</v>
      </c>
      <c r="O9" s="64">
        <v>0</v>
      </c>
      <c r="P9" s="64">
        <v>0.9</v>
      </c>
      <c r="Q9" s="64">
        <v>5.48</v>
      </c>
      <c r="R9" s="198"/>
      <c r="S9" s="198"/>
      <c r="T9" s="198"/>
      <c r="U9" s="198"/>
    </row>
    <row r="10" spans="1:21" s="12" customFormat="1" x14ac:dyDescent="0.25">
      <c r="A10" s="215" t="s">
        <v>537</v>
      </c>
      <c r="B10" s="64">
        <v>12.16</v>
      </c>
      <c r="C10" s="64">
        <v>19.809999999999999</v>
      </c>
      <c r="D10" s="64">
        <v>21.97</v>
      </c>
      <c r="E10" s="64">
        <v>1.63</v>
      </c>
      <c r="F10" s="64">
        <v>2.19</v>
      </c>
      <c r="G10" s="64">
        <v>26.99</v>
      </c>
      <c r="H10" s="64">
        <v>24.97</v>
      </c>
      <c r="I10" s="64">
        <v>1.45</v>
      </c>
      <c r="J10" s="64">
        <v>0.02</v>
      </c>
      <c r="K10" s="64">
        <v>209</v>
      </c>
      <c r="L10" s="64">
        <v>20.75</v>
      </c>
      <c r="M10" s="64">
        <v>98.48</v>
      </c>
      <c r="N10" s="64">
        <v>22.1</v>
      </c>
      <c r="O10" s="64">
        <v>0</v>
      </c>
      <c r="P10" s="64">
        <v>0.85</v>
      </c>
      <c r="Q10" s="64">
        <v>5.61</v>
      </c>
      <c r="R10" s="198"/>
      <c r="S10" s="198"/>
      <c r="T10" s="198"/>
      <c r="U10" s="198"/>
    </row>
    <row r="11" spans="1:21" s="12" customFormat="1" x14ac:dyDescent="0.25">
      <c r="A11" s="215" t="s">
        <v>538</v>
      </c>
      <c r="B11" s="64">
        <v>13.03</v>
      </c>
      <c r="C11" s="64">
        <v>16.809999999999999</v>
      </c>
      <c r="D11" s="64">
        <v>21.01</v>
      </c>
      <c r="E11" s="64">
        <v>1.61</v>
      </c>
      <c r="F11" s="64">
        <v>1.44</v>
      </c>
      <c r="G11" s="64">
        <v>26.29</v>
      </c>
      <c r="H11" s="64">
        <v>24.02</v>
      </c>
      <c r="I11" s="64">
        <v>1.57</v>
      </c>
      <c r="J11" s="64">
        <v>0.09</v>
      </c>
      <c r="K11" s="64">
        <v>73.14</v>
      </c>
      <c r="L11" s="64">
        <v>20.67</v>
      </c>
      <c r="M11" s="64">
        <v>98.5</v>
      </c>
      <c r="N11" s="64">
        <v>21.9</v>
      </c>
      <c r="O11" s="64">
        <v>0</v>
      </c>
      <c r="P11" s="64">
        <v>0.94</v>
      </c>
      <c r="Q11" s="64">
        <v>5.7</v>
      </c>
      <c r="R11" s="198"/>
      <c r="S11" s="198"/>
      <c r="T11" s="198"/>
      <c r="U11" s="198"/>
    </row>
    <row r="12" spans="1:21" s="12" customFormat="1" x14ac:dyDescent="0.25">
      <c r="A12" s="215" t="s">
        <v>539</v>
      </c>
      <c r="B12" s="64">
        <v>12.68</v>
      </c>
      <c r="C12" s="64">
        <v>19.87</v>
      </c>
      <c r="D12" s="64">
        <v>22.43</v>
      </c>
      <c r="E12" s="64">
        <v>1.38</v>
      </c>
      <c r="F12" s="64">
        <v>1.19</v>
      </c>
      <c r="G12" s="64">
        <v>25.66</v>
      </c>
      <c r="H12" s="64">
        <v>23.59</v>
      </c>
      <c r="I12" s="64">
        <v>1.54</v>
      </c>
      <c r="J12" s="64">
        <v>0.2</v>
      </c>
      <c r="K12" s="64">
        <v>161.96</v>
      </c>
      <c r="L12" s="64">
        <v>20.38</v>
      </c>
      <c r="M12" s="64">
        <v>98.52</v>
      </c>
      <c r="N12" s="64">
        <v>22</v>
      </c>
      <c r="O12" s="64">
        <v>0</v>
      </c>
      <c r="P12" s="64">
        <v>0.83</v>
      </c>
      <c r="Q12" s="64">
        <v>5.66</v>
      </c>
      <c r="R12" s="198"/>
      <c r="S12" s="198"/>
      <c r="T12" s="198"/>
      <c r="U12" s="198"/>
    </row>
    <row r="13" spans="1:21" s="12" customFormat="1" x14ac:dyDescent="0.25">
      <c r="A13" s="215" t="s">
        <v>540</v>
      </c>
      <c r="B13" s="64">
        <v>11.04</v>
      </c>
      <c r="C13" s="64">
        <v>19.899999999999999</v>
      </c>
      <c r="D13" s="64">
        <v>21.13</v>
      </c>
      <c r="E13" s="64">
        <v>1.31</v>
      </c>
      <c r="F13" s="64">
        <v>2.15</v>
      </c>
      <c r="G13" s="64">
        <v>25.66</v>
      </c>
      <c r="H13" s="64">
        <v>23.59</v>
      </c>
      <c r="I13" s="64">
        <v>1.48</v>
      </c>
      <c r="J13" s="64">
        <v>0.08</v>
      </c>
      <c r="K13" s="64">
        <v>288.24</v>
      </c>
      <c r="L13" s="64">
        <v>20.34</v>
      </c>
      <c r="M13" s="64">
        <v>98.52</v>
      </c>
      <c r="N13" s="64">
        <v>22.2</v>
      </c>
      <c r="O13" s="64">
        <v>0</v>
      </c>
      <c r="P13" s="64">
        <v>0.8</v>
      </c>
      <c r="Q13" s="64">
        <v>5.64</v>
      </c>
      <c r="R13" s="198"/>
      <c r="S13" s="198"/>
      <c r="T13" s="198"/>
      <c r="U13" s="198"/>
    </row>
    <row r="14" spans="1:21" s="12" customFormat="1" x14ac:dyDescent="0.25">
      <c r="A14" s="215" t="s">
        <v>541</v>
      </c>
      <c r="B14" s="64">
        <v>12.66</v>
      </c>
      <c r="C14" s="64">
        <v>17.05</v>
      </c>
      <c r="D14" s="64">
        <v>20.86</v>
      </c>
      <c r="E14" s="64">
        <v>1.42</v>
      </c>
      <c r="F14" s="64">
        <v>1.06</v>
      </c>
      <c r="G14" s="64">
        <v>25.66</v>
      </c>
      <c r="H14" s="64">
        <v>23.59</v>
      </c>
      <c r="I14" s="64">
        <v>1.45</v>
      </c>
      <c r="J14" s="64">
        <v>0.1</v>
      </c>
      <c r="K14" s="64">
        <v>342.5</v>
      </c>
      <c r="L14" s="64">
        <v>20.29</v>
      </c>
      <c r="M14" s="64">
        <v>98.53</v>
      </c>
      <c r="N14" s="64">
        <v>21.9</v>
      </c>
      <c r="O14" s="64">
        <v>0</v>
      </c>
      <c r="P14" s="64">
        <v>0.86</v>
      </c>
      <c r="Q14" s="64">
        <v>5.74</v>
      </c>
      <c r="R14" s="198"/>
      <c r="S14" s="198"/>
      <c r="T14" s="198"/>
      <c r="U14" s="198"/>
    </row>
    <row r="15" spans="1:21" s="12" customFormat="1" x14ac:dyDescent="0.25">
      <c r="A15" s="215" t="s">
        <v>542</v>
      </c>
      <c r="B15" s="64">
        <v>13.72</v>
      </c>
      <c r="C15" s="64">
        <v>21.83</v>
      </c>
      <c r="D15" s="64">
        <v>24.35</v>
      </c>
      <c r="E15" s="64">
        <v>1.46</v>
      </c>
      <c r="F15" s="64">
        <v>0.56999999999999995</v>
      </c>
      <c r="G15" s="64">
        <v>27.9</v>
      </c>
      <c r="H15" s="64">
        <v>21.79</v>
      </c>
      <c r="I15" s="64">
        <v>1.46</v>
      </c>
      <c r="J15" s="64">
        <v>0.1</v>
      </c>
      <c r="K15" s="64">
        <v>355.3</v>
      </c>
      <c r="L15" s="64">
        <v>20.149999999999999</v>
      </c>
      <c r="M15" s="64">
        <v>98.53</v>
      </c>
      <c r="N15" s="64">
        <v>21.7</v>
      </c>
      <c r="O15" s="64">
        <v>0</v>
      </c>
      <c r="P15" s="64">
        <v>0.78</v>
      </c>
      <c r="Q15" s="64">
        <v>5.44</v>
      </c>
      <c r="R15" s="198"/>
      <c r="S15" s="198"/>
      <c r="T15" s="198"/>
      <c r="U15" s="198"/>
    </row>
    <row r="16" spans="1:21" s="12" customFormat="1" x14ac:dyDescent="0.25">
      <c r="A16" s="215" t="s">
        <v>543</v>
      </c>
      <c r="B16" s="64">
        <v>17.899999999999999</v>
      </c>
      <c r="C16" s="64">
        <v>22.61</v>
      </c>
      <c r="D16" s="64">
        <v>28.12</v>
      </c>
      <c r="E16" s="64">
        <v>1.54</v>
      </c>
      <c r="F16" s="64">
        <v>0.99</v>
      </c>
      <c r="G16" s="64">
        <v>30.04</v>
      </c>
      <c r="H16" s="64">
        <v>20.96</v>
      </c>
      <c r="I16" s="64">
        <v>1.52</v>
      </c>
      <c r="J16" s="64">
        <v>0.09</v>
      </c>
      <c r="K16" s="64">
        <v>246.08</v>
      </c>
      <c r="L16" s="64">
        <v>20.170000000000002</v>
      </c>
      <c r="M16" s="64">
        <v>98.53</v>
      </c>
      <c r="N16" s="64">
        <v>21.5</v>
      </c>
      <c r="O16" s="64">
        <v>0</v>
      </c>
      <c r="P16" s="64">
        <v>0.79</v>
      </c>
      <c r="Q16" s="64">
        <v>5.31</v>
      </c>
      <c r="R16" s="198"/>
      <c r="S16" s="198"/>
      <c r="T16" s="198"/>
      <c r="U16" s="198"/>
    </row>
    <row r="17" spans="1:21" s="12" customFormat="1" x14ac:dyDescent="0.25">
      <c r="A17" s="215" t="s">
        <v>544</v>
      </c>
      <c r="B17" s="64">
        <v>15.89</v>
      </c>
      <c r="C17" s="64">
        <v>22.07</v>
      </c>
      <c r="D17" s="64">
        <v>26.22</v>
      </c>
      <c r="E17" s="64">
        <v>1.63</v>
      </c>
      <c r="F17" s="64">
        <v>0.97</v>
      </c>
      <c r="G17" s="64">
        <v>30.04</v>
      </c>
      <c r="H17" s="64">
        <v>20.96</v>
      </c>
      <c r="I17" s="64">
        <v>1.52</v>
      </c>
      <c r="J17" s="64">
        <v>0.15</v>
      </c>
      <c r="K17" s="64">
        <v>336.67</v>
      </c>
      <c r="L17" s="64">
        <v>20.11</v>
      </c>
      <c r="M17" s="64">
        <v>98.55</v>
      </c>
      <c r="N17" s="64">
        <v>21.7</v>
      </c>
      <c r="O17" s="64">
        <v>0</v>
      </c>
      <c r="P17" s="64">
        <v>0.74</v>
      </c>
      <c r="Q17" s="64">
        <v>5.08</v>
      </c>
      <c r="R17" s="198"/>
      <c r="S17" s="198"/>
      <c r="T17" s="198"/>
      <c r="U17" s="198"/>
    </row>
    <row r="18" spans="1:21" s="12" customFormat="1" x14ac:dyDescent="0.25">
      <c r="A18" s="215" t="s">
        <v>545</v>
      </c>
      <c r="B18" s="64">
        <v>10.95</v>
      </c>
      <c r="C18" s="64">
        <v>22.1</v>
      </c>
      <c r="D18" s="64">
        <v>22.27</v>
      </c>
      <c r="E18" s="64">
        <v>1.74</v>
      </c>
      <c r="F18" s="64">
        <v>1.39</v>
      </c>
      <c r="G18" s="64">
        <v>30.04</v>
      </c>
      <c r="H18" s="64">
        <v>20.96</v>
      </c>
      <c r="I18" s="64">
        <v>1.5</v>
      </c>
      <c r="J18" s="64">
        <v>0.03</v>
      </c>
      <c r="K18" s="64">
        <v>13.86</v>
      </c>
      <c r="L18" s="64">
        <v>20.03</v>
      </c>
      <c r="M18" s="64">
        <v>98.56</v>
      </c>
      <c r="N18" s="64">
        <v>22</v>
      </c>
      <c r="O18" s="64">
        <v>0</v>
      </c>
      <c r="P18" s="64">
        <v>0.68</v>
      </c>
      <c r="Q18" s="64">
        <v>5.58</v>
      </c>
      <c r="R18" s="198"/>
      <c r="S18" s="198"/>
      <c r="T18" s="198"/>
      <c r="U18" s="198"/>
    </row>
    <row r="19" spans="1:21" s="12" customFormat="1" x14ac:dyDescent="0.25">
      <c r="A19" s="215" t="s">
        <v>546</v>
      </c>
      <c r="B19" s="64">
        <v>10.75</v>
      </c>
      <c r="C19" s="64">
        <v>20.21</v>
      </c>
      <c r="D19" s="64">
        <v>21.06</v>
      </c>
      <c r="E19" s="64">
        <v>1.69</v>
      </c>
      <c r="F19" s="64">
        <v>1.61</v>
      </c>
      <c r="G19" s="64">
        <v>31.36</v>
      </c>
      <c r="H19" s="64">
        <v>21.22</v>
      </c>
      <c r="I19" s="64">
        <v>1.52</v>
      </c>
      <c r="J19" s="64">
        <v>0.02</v>
      </c>
      <c r="K19" s="64">
        <v>282.58</v>
      </c>
      <c r="L19" s="64">
        <v>19.940000000000001</v>
      </c>
      <c r="M19" s="64">
        <v>98.56</v>
      </c>
      <c r="N19" s="64">
        <v>21.7</v>
      </c>
      <c r="O19" s="64">
        <v>0</v>
      </c>
      <c r="P19" s="64">
        <v>0.7</v>
      </c>
      <c r="Q19" s="64">
        <v>5.73</v>
      </c>
      <c r="R19" s="198"/>
      <c r="S19" s="198"/>
      <c r="T19" s="198"/>
      <c r="U19" s="198"/>
    </row>
    <row r="20" spans="1:21" s="12" customFormat="1" x14ac:dyDescent="0.25">
      <c r="A20" s="215" t="s">
        <v>547</v>
      </c>
      <c r="B20" s="64">
        <v>12.04</v>
      </c>
      <c r="C20" s="64">
        <v>18.87</v>
      </c>
      <c r="D20" s="64">
        <v>21.36</v>
      </c>
      <c r="E20" s="64">
        <v>1.5</v>
      </c>
      <c r="F20" s="64">
        <v>0.95</v>
      </c>
      <c r="G20" s="64">
        <v>32.61</v>
      </c>
      <c r="H20" s="64">
        <v>21.34</v>
      </c>
      <c r="I20" s="64">
        <v>1.61</v>
      </c>
      <c r="J20" s="64">
        <v>0.04</v>
      </c>
      <c r="K20" s="64">
        <v>105.86</v>
      </c>
      <c r="L20" s="64">
        <v>20</v>
      </c>
      <c r="M20" s="64">
        <v>98.55</v>
      </c>
      <c r="N20" s="64">
        <v>21.6</v>
      </c>
      <c r="O20" s="64">
        <v>0</v>
      </c>
      <c r="P20" s="64">
        <v>0.75</v>
      </c>
      <c r="Q20" s="64">
        <v>5.76</v>
      </c>
      <c r="R20" s="198"/>
      <c r="S20" s="198"/>
      <c r="T20" s="198"/>
      <c r="U20" s="198"/>
    </row>
    <row r="21" spans="1:21" s="12" customFormat="1" x14ac:dyDescent="0.25">
      <c r="A21" s="215" t="s">
        <v>548</v>
      </c>
      <c r="B21" s="64">
        <v>13.58</v>
      </c>
      <c r="C21" s="64">
        <v>16.03</v>
      </c>
      <c r="D21" s="64">
        <v>21.03</v>
      </c>
      <c r="E21" s="64">
        <v>1.56</v>
      </c>
      <c r="F21" s="64">
        <v>0.24</v>
      </c>
      <c r="G21" s="64">
        <v>32.61</v>
      </c>
      <c r="H21" s="64">
        <v>21.34</v>
      </c>
      <c r="I21" s="64">
        <v>1.55</v>
      </c>
      <c r="J21" s="64">
        <v>0.1</v>
      </c>
      <c r="K21" s="64">
        <v>6.16</v>
      </c>
      <c r="L21" s="64">
        <v>19.989999999999998</v>
      </c>
      <c r="M21" s="64">
        <v>98.58</v>
      </c>
      <c r="N21" s="64">
        <v>21.4</v>
      </c>
      <c r="O21" s="64">
        <v>0</v>
      </c>
      <c r="P21" s="64">
        <v>0.75</v>
      </c>
      <c r="Q21" s="64">
        <v>5.77</v>
      </c>
      <c r="R21" s="198"/>
      <c r="S21" s="198"/>
      <c r="T21" s="198"/>
      <c r="U21" s="198"/>
    </row>
    <row r="22" spans="1:21" s="12" customFormat="1" x14ac:dyDescent="0.25">
      <c r="A22" s="215" t="s">
        <v>549</v>
      </c>
      <c r="B22" s="64">
        <v>12.66</v>
      </c>
      <c r="C22" s="64">
        <v>14.67</v>
      </c>
      <c r="D22" s="64">
        <v>19.54</v>
      </c>
      <c r="E22" s="64">
        <v>1.37</v>
      </c>
      <c r="F22" s="64">
        <v>0.59</v>
      </c>
      <c r="G22" s="64">
        <v>32.61</v>
      </c>
      <c r="H22" s="64">
        <v>21.34</v>
      </c>
      <c r="I22" s="64">
        <v>1.5</v>
      </c>
      <c r="J22" s="64">
        <v>0.13</v>
      </c>
      <c r="K22" s="64">
        <v>335.38</v>
      </c>
      <c r="L22" s="64">
        <v>19.89</v>
      </c>
      <c r="M22" s="64">
        <v>98.57</v>
      </c>
      <c r="N22" s="64">
        <v>21.6</v>
      </c>
      <c r="O22" s="64">
        <v>0</v>
      </c>
      <c r="P22" s="64">
        <v>0.68</v>
      </c>
      <c r="Q22" s="64">
        <v>5.76</v>
      </c>
      <c r="R22" s="198"/>
      <c r="S22" s="198"/>
      <c r="T22" s="198"/>
      <c r="U22" s="198"/>
    </row>
    <row r="23" spans="1:21" s="12" customFormat="1" x14ac:dyDescent="0.25">
      <c r="A23" s="215" t="s">
        <v>550</v>
      </c>
      <c r="B23" s="64">
        <v>13.95</v>
      </c>
      <c r="C23" s="64">
        <v>13.64</v>
      </c>
      <c r="D23" s="64">
        <v>20.010000000000002</v>
      </c>
      <c r="E23" s="64">
        <v>1.63</v>
      </c>
      <c r="F23" s="64">
        <v>0.78</v>
      </c>
      <c r="G23" s="64">
        <v>36.65</v>
      </c>
      <c r="H23" s="64">
        <v>19.829999999999998</v>
      </c>
      <c r="I23" s="64">
        <v>1.55</v>
      </c>
      <c r="J23" s="64">
        <v>0.09</v>
      </c>
      <c r="K23" s="64">
        <v>28.52</v>
      </c>
      <c r="L23" s="64">
        <v>19.98</v>
      </c>
      <c r="M23" s="64">
        <v>98.57</v>
      </c>
      <c r="N23" s="64">
        <v>21.4</v>
      </c>
      <c r="O23" s="64">
        <v>0</v>
      </c>
      <c r="P23" s="64">
        <v>0.75</v>
      </c>
      <c r="Q23" s="64">
        <v>5.82</v>
      </c>
      <c r="R23" s="198"/>
      <c r="S23" s="198"/>
      <c r="T23" s="198"/>
      <c r="U23" s="198"/>
    </row>
    <row r="24" spans="1:21" s="12" customFormat="1" x14ac:dyDescent="0.25">
      <c r="A24" s="215" t="s">
        <v>551</v>
      </c>
      <c r="B24" s="64">
        <v>15.01</v>
      </c>
      <c r="C24" s="64">
        <v>17.920000000000002</v>
      </c>
      <c r="D24" s="64">
        <v>23.22</v>
      </c>
      <c r="E24" s="64">
        <v>0.3</v>
      </c>
      <c r="F24" s="64">
        <v>0.05</v>
      </c>
      <c r="G24" s="64">
        <v>40.51</v>
      </c>
      <c r="H24" s="64">
        <v>19.14</v>
      </c>
      <c r="I24" s="64">
        <v>1.6</v>
      </c>
      <c r="J24" s="64">
        <v>0.15</v>
      </c>
      <c r="K24" s="64">
        <v>346.67</v>
      </c>
      <c r="L24" s="64">
        <v>20.010000000000002</v>
      </c>
      <c r="M24" s="64">
        <v>98.58</v>
      </c>
      <c r="N24" s="64">
        <v>21.6</v>
      </c>
      <c r="O24" s="64">
        <v>0</v>
      </c>
      <c r="P24" s="64">
        <v>0.76</v>
      </c>
      <c r="Q24" s="64">
        <v>5.63</v>
      </c>
      <c r="R24" s="198"/>
      <c r="S24" s="198"/>
      <c r="T24" s="198"/>
      <c r="U24" s="198"/>
    </row>
    <row r="25" spans="1:21" s="12" customFormat="1" x14ac:dyDescent="0.25">
      <c r="A25" s="215" t="s">
        <v>552</v>
      </c>
      <c r="B25" s="64">
        <v>16.38</v>
      </c>
      <c r="C25" s="64">
        <v>17.72</v>
      </c>
      <c r="D25" s="64">
        <v>24.21</v>
      </c>
      <c r="E25" s="64">
        <v>1.04</v>
      </c>
      <c r="F25" s="64">
        <v>0.24</v>
      </c>
      <c r="G25" s="64">
        <v>40.51</v>
      </c>
      <c r="H25" s="64">
        <v>19.14</v>
      </c>
      <c r="I25" s="64">
        <v>1.59</v>
      </c>
      <c r="J25" s="64">
        <v>0.05</v>
      </c>
      <c r="K25" s="64">
        <v>127.46</v>
      </c>
      <c r="L25" s="64">
        <v>19.95</v>
      </c>
      <c r="M25" s="64">
        <v>98.58</v>
      </c>
      <c r="N25" s="64">
        <v>21.5</v>
      </c>
      <c r="O25" s="64">
        <v>0</v>
      </c>
      <c r="P25" s="64">
        <v>0.77</v>
      </c>
      <c r="Q25" s="64">
        <v>5.49</v>
      </c>
      <c r="R25" s="198"/>
      <c r="S25" s="198"/>
      <c r="T25" s="198"/>
      <c r="U25" s="198"/>
    </row>
    <row r="26" spans="1:21" s="12" customFormat="1" x14ac:dyDescent="0.25">
      <c r="A26" s="215" t="s">
        <v>553</v>
      </c>
      <c r="B26" s="64">
        <v>16.899999999999999</v>
      </c>
      <c r="C26" s="64">
        <v>16.13</v>
      </c>
      <c r="D26" s="64">
        <v>23.75</v>
      </c>
      <c r="E26" s="64">
        <v>1.46</v>
      </c>
      <c r="F26" s="64">
        <v>0.28999999999999998</v>
      </c>
      <c r="G26" s="64">
        <v>40.51</v>
      </c>
      <c r="H26" s="64">
        <v>19.14</v>
      </c>
      <c r="I26" s="64">
        <v>1.48</v>
      </c>
      <c r="J26" s="64">
        <v>0.06</v>
      </c>
      <c r="K26" s="64">
        <v>119.06</v>
      </c>
      <c r="L26" s="64">
        <v>19.940000000000001</v>
      </c>
      <c r="M26" s="64">
        <v>98.58</v>
      </c>
      <c r="N26" s="64">
        <v>21.5</v>
      </c>
      <c r="O26" s="64">
        <v>0</v>
      </c>
      <c r="P26" s="64">
        <v>0.78</v>
      </c>
      <c r="Q26" s="64">
        <v>5.84</v>
      </c>
      <c r="R26" s="198"/>
      <c r="S26" s="198"/>
      <c r="T26" s="198"/>
      <c r="U26" s="198"/>
    </row>
    <row r="27" spans="1:21" s="12" customFormat="1" x14ac:dyDescent="0.25">
      <c r="A27" s="215" t="s">
        <v>554</v>
      </c>
      <c r="B27" s="64">
        <v>24.77</v>
      </c>
      <c r="C27" s="64">
        <v>22.72</v>
      </c>
      <c r="D27" s="64">
        <v>33.700000000000003</v>
      </c>
      <c r="E27" s="64">
        <v>1.4</v>
      </c>
      <c r="F27" s="64">
        <v>0.03</v>
      </c>
      <c r="G27" s="64">
        <v>63.64</v>
      </c>
      <c r="H27" s="64">
        <v>31.48</v>
      </c>
      <c r="I27" s="64">
        <v>1.43</v>
      </c>
      <c r="J27" s="64">
        <v>0.08</v>
      </c>
      <c r="K27" s="64">
        <v>78.45</v>
      </c>
      <c r="L27" s="64">
        <v>20.010000000000002</v>
      </c>
      <c r="M27" s="64">
        <v>98.58</v>
      </c>
      <c r="N27" s="64">
        <v>21.5</v>
      </c>
      <c r="O27" s="64">
        <v>0</v>
      </c>
      <c r="P27" s="64">
        <v>0.85</v>
      </c>
      <c r="Q27" s="64">
        <v>5.16</v>
      </c>
      <c r="R27" s="198"/>
      <c r="S27" s="198"/>
      <c r="T27" s="198"/>
      <c r="U27" s="198"/>
    </row>
    <row r="28" spans="1:21" s="12" customFormat="1" x14ac:dyDescent="0.25">
      <c r="A28" s="215" t="s">
        <v>555</v>
      </c>
      <c r="B28" s="64">
        <v>24.19</v>
      </c>
      <c r="C28" s="64">
        <v>23.32</v>
      </c>
      <c r="D28" s="64">
        <v>33.56</v>
      </c>
      <c r="E28" s="64">
        <v>1.51</v>
      </c>
      <c r="F28" s="64">
        <v>0.28999999999999998</v>
      </c>
      <c r="G28" s="64">
        <v>85.77</v>
      </c>
      <c r="H28" s="64">
        <v>37.11</v>
      </c>
      <c r="I28" s="64">
        <v>1.61</v>
      </c>
      <c r="J28" s="64">
        <v>0.04</v>
      </c>
      <c r="K28" s="64">
        <v>160.78</v>
      </c>
      <c r="L28" s="64">
        <v>20.11</v>
      </c>
      <c r="M28" s="64">
        <v>98.58</v>
      </c>
      <c r="N28" s="64">
        <v>21.8</v>
      </c>
      <c r="O28" s="64">
        <v>0</v>
      </c>
      <c r="P28" s="64">
        <v>0.83</v>
      </c>
      <c r="Q28" s="64">
        <v>5.05</v>
      </c>
      <c r="R28" s="198"/>
      <c r="S28" s="198"/>
      <c r="T28" s="198"/>
      <c r="U28" s="198"/>
    </row>
    <row r="29" spans="1:21" s="12" customFormat="1" x14ac:dyDescent="0.25">
      <c r="A29" s="215" t="s">
        <v>556</v>
      </c>
      <c r="B29" s="64">
        <v>21.47</v>
      </c>
      <c r="C29" s="64">
        <v>24.93</v>
      </c>
      <c r="D29" s="64">
        <v>32.270000000000003</v>
      </c>
      <c r="E29" s="64">
        <v>1.36</v>
      </c>
      <c r="F29" s="64">
        <v>0.45</v>
      </c>
      <c r="G29" s="64">
        <v>85.77</v>
      </c>
      <c r="H29" s="64">
        <v>37.11</v>
      </c>
      <c r="I29" s="64">
        <v>1.53</v>
      </c>
      <c r="J29" s="64">
        <v>0.25</v>
      </c>
      <c r="K29" s="64">
        <v>112.08</v>
      </c>
      <c r="L29" s="64">
        <v>20.28</v>
      </c>
      <c r="M29" s="64">
        <v>98.56</v>
      </c>
      <c r="N29" s="64">
        <v>21.6</v>
      </c>
      <c r="O29" s="64">
        <v>0</v>
      </c>
      <c r="P29" s="64">
        <v>1.1100000000000001</v>
      </c>
      <c r="Q29" s="64">
        <v>5.49</v>
      </c>
      <c r="R29" s="198"/>
      <c r="S29" s="198"/>
      <c r="T29" s="198"/>
      <c r="U29" s="198"/>
    </row>
    <row r="30" spans="1:21" s="12" customFormat="1" x14ac:dyDescent="0.25">
      <c r="A30" s="215" t="s">
        <v>557</v>
      </c>
      <c r="B30" s="64">
        <v>25.87</v>
      </c>
      <c r="C30" s="64">
        <v>30.37</v>
      </c>
      <c r="D30" s="64">
        <v>38.799999999999997</v>
      </c>
      <c r="E30" s="64">
        <v>1.61</v>
      </c>
      <c r="F30" s="64">
        <v>0.25</v>
      </c>
      <c r="G30" s="64">
        <v>85.77</v>
      </c>
      <c r="H30" s="64">
        <v>37.11</v>
      </c>
      <c r="I30" s="64">
        <v>1.47</v>
      </c>
      <c r="J30" s="64">
        <v>0.09</v>
      </c>
      <c r="K30" s="64">
        <v>59.97</v>
      </c>
      <c r="L30" s="64">
        <v>20.37</v>
      </c>
      <c r="M30" s="64">
        <v>98.55</v>
      </c>
      <c r="N30" s="64">
        <v>21.5</v>
      </c>
      <c r="O30" s="64">
        <v>0</v>
      </c>
      <c r="P30" s="64">
        <v>1.2</v>
      </c>
      <c r="Q30" s="64">
        <v>5.18</v>
      </c>
      <c r="R30" s="198"/>
      <c r="S30" s="198"/>
      <c r="T30" s="198"/>
      <c r="U30" s="198"/>
    </row>
    <row r="31" spans="1:21" s="12" customFormat="1" x14ac:dyDescent="0.25">
      <c r="A31" s="215" t="s">
        <v>558</v>
      </c>
      <c r="B31" s="64">
        <v>20.77</v>
      </c>
      <c r="C31" s="64">
        <v>23.91</v>
      </c>
      <c r="D31" s="64">
        <v>31.14</v>
      </c>
      <c r="E31" s="64">
        <v>1.5</v>
      </c>
      <c r="F31" s="64">
        <v>0.09</v>
      </c>
      <c r="G31" s="64">
        <v>92.21</v>
      </c>
      <c r="H31" s="64">
        <v>39.56</v>
      </c>
      <c r="I31" s="64">
        <v>1.43</v>
      </c>
      <c r="J31" s="64">
        <v>0.17</v>
      </c>
      <c r="K31" s="64">
        <v>82.44</v>
      </c>
      <c r="L31" s="64">
        <v>20.25</v>
      </c>
      <c r="M31" s="64">
        <v>98.55</v>
      </c>
      <c r="N31" s="64">
        <v>21.9</v>
      </c>
      <c r="O31" s="64">
        <v>0</v>
      </c>
      <c r="P31" s="64">
        <v>0.86</v>
      </c>
      <c r="Q31" s="64">
        <v>5.57</v>
      </c>
      <c r="R31" s="198"/>
      <c r="S31" s="198"/>
      <c r="T31" s="198"/>
      <c r="U31" s="198"/>
    </row>
    <row r="32" spans="1:21" s="12" customFormat="1" x14ac:dyDescent="0.25">
      <c r="A32" s="215" t="s">
        <v>559</v>
      </c>
      <c r="B32" s="64">
        <v>20.61</v>
      </c>
      <c r="C32" s="64">
        <v>19.25</v>
      </c>
      <c r="D32" s="64">
        <v>28.45</v>
      </c>
      <c r="E32" s="64">
        <v>1.3</v>
      </c>
      <c r="F32" s="64">
        <v>0.33</v>
      </c>
      <c r="G32" s="64">
        <v>98.38</v>
      </c>
      <c r="H32" s="64">
        <v>41.79</v>
      </c>
      <c r="I32" s="64">
        <v>1.54</v>
      </c>
      <c r="J32" s="64">
        <v>0.34</v>
      </c>
      <c r="K32" s="64">
        <v>104.51</v>
      </c>
      <c r="L32" s="64">
        <v>20.04</v>
      </c>
      <c r="M32" s="64">
        <v>98.55</v>
      </c>
      <c r="N32" s="64">
        <v>23.2</v>
      </c>
      <c r="O32" s="64">
        <v>0</v>
      </c>
      <c r="P32" s="64">
        <v>0.87</v>
      </c>
      <c r="Q32" s="64">
        <v>6.22</v>
      </c>
      <c r="R32" s="198"/>
      <c r="S32" s="198"/>
      <c r="T32" s="198"/>
      <c r="U32" s="198"/>
    </row>
    <row r="33" spans="1:21" s="12" customFormat="1" x14ac:dyDescent="0.25">
      <c r="A33" s="215" t="s">
        <v>560</v>
      </c>
      <c r="B33" s="64">
        <v>22.1</v>
      </c>
      <c r="C33" s="64">
        <v>16.600000000000001</v>
      </c>
      <c r="D33" s="64">
        <v>28.18</v>
      </c>
      <c r="E33" s="64">
        <v>1.1499999999999999</v>
      </c>
      <c r="F33" s="64">
        <v>0.03</v>
      </c>
      <c r="G33" s="64">
        <v>98.38</v>
      </c>
      <c r="H33" s="64">
        <v>41.79</v>
      </c>
      <c r="I33" s="64">
        <v>1.53</v>
      </c>
      <c r="J33" s="64">
        <v>7.0000000000000007E-2</v>
      </c>
      <c r="K33" s="64">
        <v>326.60000000000002</v>
      </c>
      <c r="L33" s="64">
        <v>20.100000000000001</v>
      </c>
      <c r="M33" s="64">
        <v>98.55</v>
      </c>
      <c r="N33" s="64">
        <v>30.8</v>
      </c>
      <c r="O33" s="64">
        <v>0</v>
      </c>
      <c r="P33" s="64">
        <v>0.83</v>
      </c>
      <c r="Q33" s="64">
        <v>6.3</v>
      </c>
      <c r="R33" s="198"/>
      <c r="S33" s="198"/>
      <c r="T33" s="198"/>
      <c r="U33" s="198"/>
    </row>
    <row r="34" spans="1:21" s="12" customFormat="1" x14ac:dyDescent="0.25">
      <c r="A34" s="215" t="s">
        <v>561</v>
      </c>
      <c r="B34" s="64">
        <v>25.07</v>
      </c>
      <c r="C34" s="64">
        <v>12.74</v>
      </c>
      <c r="D34" s="64">
        <v>28.43</v>
      </c>
      <c r="E34" s="64">
        <v>1.46</v>
      </c>
      <c r="F34" s="64">
        <v>0.48</v>
      </c>
      <c r="G34" s="64">
        <v>98.38</v>
      </c>
      <c r="H34" s="64">
        <v>41.79</v>
      </c>
      <c r="I34" s="64">
        <v>1.57</v>
      </c>
      <c r="J34" s="64">
        <v>0.05</v>
      </c>
      <c r="K34" s="64">
        <v>315.10000000000002</v>
      </c>
      <c r="L34" s="64">
        <v>20.079999999999998</v>
      </c>
      <c r="M34" s="64">
        <v>98.55</v>
      </c>
      <c r="N34" s="64">
        <v>42.4</v>
      </c>
      <c r="O34" s="64">
        <v>0</v>
      </c>
      <c r="P34" s="64">
        <v>0.85</v>
      </c>
      <c r="Q34" s="64">
        <v>6.2</v>
      </c>
      <c r="R34" s="198"/>
      <c r="S34" s="198"/>
      <c r="T34" s="198"/>
      <c r="U34" s="198"/>
    </row>
    <row r="35" spans="1:21" s="12" customFormat="1" x14ac:dyDescent="0.25">
      <c r="A35" s="215" t="s">
        <v>562</v>
      </c>
      <c r="B35" s="64">
        <v>23.15</v>
      </c>
      <c r="C35" s="64">
        <v>15.32</v>
      </c>
      <c r="D35" s="64">
        <v>28.31</v>
      </c>
      <c r="E35" s="64">
        <v>1.24</v>
      </c>
      <c r="F35" s="64">
        <v>0.24</v>
      </c>
      <c r="G35" s="64">
        <v>83.83</v>
      </c>
      <c r="H35" s="64">
        <v>38.64</v>
      </c>
      <c r="I35" s="64">
        <v>1.52</v>
      </c>
      <c r="J35" s="64">
        <v>0.13</v>
      </c>
      <c r="K35" s="64">
        <v>141.31</v>
      </c>
      <c r="L35" s="64">
        <v>20.18</v>
      </c>
      <c r="M35" s="64">
        <v>98.55</v>
      </c>
      <c r="N35" s="64">
        <v>62</v>
      </c>
      <c r="O35" s="64">
        <v>0</v>
      </c>
      <c r="P35" s="64">
        <v>0.85</v>
      </c>
      <c r="Q35" s="64">
        <v>6.41</v>
      </c>
      <c r="R35" s="198"/>
      <c r="S35" s="198"/>
      <c r="T35" s="198"/>
      <c r="U35" s="198"/>
    </row>
    <row r="36" spans="1:21" s="12" customFormat="1" x14ac:dyDescent="0.25">
      <c r="A36" s="215" t="s">
        <v>563</v>
      </c>
      <c r="B36" s="64">
        <v>23.27</v>
      </c>
      <c r="C36" s="64">
        <v>15.79</v>
      </c>
      <c r="D36" s="64">
        <v>28.67</v>
      </c>
      <c r="E36" s="64">
        <v>1.29</v>
      </c>
      <c r="F36" s="64">
        <v>0.46</v>
      </c>
      <c r="G36" s="64">
        <v>69.92</v>
      </c>
      <c r="H36" s="64">
        <v>37.19</v>
      </c>
      <c r="I36" s="64">
        <v>1.49</v>
      </c>
      <c r="J36" s="64">
        <v>0.47</v>
      </c>
      <c r="K36" s="64">
        <v>113.89</v>
      </c>
      <c r="L36" s="64">
        <v>20.52</v>
      </c>
      <c r="M36" s="64">
        <v>98.52</v>
      </c>
      <c r="N36" s="64">
        <v>94.5</v>
      </c>
      <c r="O36" s="64">
        <v>0</v>
      </c>
      <c r="P36" s="64">
        <v>0.83</v>
      </c>
      <c r="Q36" s="64">
        <v>6.35</v>
      </c>
      <c r="R36" s="198"/>
      <c r="S36" s="198"/>
      <c r="T36" s="198"/>
      <c r="U36" s="198"/>
    </row>
    <row r="37" spans="1:21" s="12" customFormat="1" x14ac:dyDescent="0.25">
      <c r="A37" s="215" t="s">
        <v>564</v>
      </c>
      <c r="B37" s="64">
        <v>23.09</v>
      </c>
      <c r="C37" s="64">
        <v>15.3</v>
      </c>
      <c r="D37" s="64">
        <v>28.25</v>
      </c>
      <c r="E37" s="64">
        <v>1.55</v>
      </c>
      <c r="F37" s="64">
        <v>0.37</v>
      </c>
      <c r="G37" s="64">
        <v>69.92</v>
      </c>
      <c r="H37" s="64">
        <v>37.19</v>
      </c>
      <c r="I37" s="64">
        <v>1.52</v>
      </c>
      <c r="J37" s="64">
        <v>0.54</v>
      </c>
      <c r="K37" s="64">
        <v>105.47</v>
      </c>
      <c r="L37" s="64">
        <v>20.91</v>
      </c>
      <c r="M37" s="64">
        <v>97.58</v>
      </c>
      <c r="N37" s="64">
        <v>163.19999999999999</v>
      </c>
      <c r="O37" s="64">
        <v>0</v>
      </c>
      <c r="P37" s="64">
        <v>0.82</v>
      </c>
      <c r="Q37" s="64">
        <v>6.51</v>
      </c>
      <c r="R37" s="198"/>
      <c r="S37" s="198"/>
      <c r="T37" s="198"/>
      <c r="U37" s="198"/>
    </row>
    <row r="38" spans="1:21" s="12" customFormat="1" x14ac:dyDescent="0.25">
      <c r="A38" s="215" t="s">
        <v>565</v>
      </c>
      <c r="B38" s="64">
        <v>23.07</v>
      </c>
      <c r="C38" s="64">
        <v>15.6</v>
      </c>
      <c r="D38" s="64">
        <v>28.4</v>
      </c>
      <c r="E38" s="64">
        <v>1.36</v>
      </c>
      <c r="F38" s="64">
        <v>0.22</v>
      </c>
      <c r="G38" s="64">
        <v>69.92</v>
      </c>
      <c r="H38" s="64">
        <v>37.19</v>
      </c>
      <c r="I38" s="64">
        <v>1.47</v>
      </c>
      <c r="J38" s="64">
        <v>0.95</v>
      </c>
      <c r="K38" s="64">
        <v>109.06</v>
      </c>
      <c r="L38" s="64">
        <v>21.51</v>
      </c>
      <c r="M38" s="64">
        <v>92.59</v>
      </c>
      <c r="N38" s="64">
        <v>218.6</v>
      </c>
      <c r="O38" s="64">
        <v>0</v>
      </c>
      <c r="P38" s="64">
        <v>0.8</v>
      </c>
      <c r="Q38" s="64">
        <v>6.42</v>
      </c>
      <c r="R38" s="198"/>
      <c r="S38" s="198"/>
      <c r="T38" s="198"/>
      <c r="U38" s="198"/>
    </row>
    <row r="39" spans="1:21" s="12" customFormat="1" x14ac:dyDescent="0.25">
      <c r="A39" s="215" t="s">
        <v>566</v>
      </c>
      <c r="B39" s="64">
        <v>22.54</v>
      </c>
      <c r="C39" s="64">
        <v>15</v>
      </c>
      <c r="D39" s="64">
        <v>27.65</v>
      </c>
      <c r="E39" s="64">
        <v>1.31</v>
      </c>
      <c r="F39" s="64">
        <v>0.56999999999999995</v>
      </c>
      <c r="G39" s="64">
        <v>60.67</v>
      </c>
      <c r="H39" s="64">
        <v>32.450000000000003</v>
      </c>
      <c r="I39" s="64">
        <v>1.46</v>
      </c>
      <c r="J39" s="64">
        <v>0.65</v>
      </c>
      <c r="K39" s="64">
        <v>107.94</v>
      </c>
      <c r="L39" s="64">
        <v>22.2</v>
      </c>
      <c r="M39" s="64">
        <v>88.71</v>
      </c>
      <c r="N39" s="64">
        <v>266.39999999999998</v>
      </c>
      <c r="O39" s="64">
        <v>0</v>
      </c>
      <c r="P39" s="64">
        <v>0.8</v>
      </c>
      <c r="Q39" s="64">
        <v>6.38</v>
      </c>
      <c r="R39" s="198"/>
      <c r="S39" s="198"/>
      <c r="T39" s="198"/>
      <c r="U39" s="198"/>
    </row>
    <row r="40" spans="1:21" s="12" customFormat="1" x14ac:dyDescent="0.25">
      <c r="A40" s="215" t="s">
        <v>567</v>
      </c>
      <c r="B40" s="64">
        <v>19.13</v>
      </c>
      <c r="C40" s="64">
        <v>17.68</v>
      </c>
      <c r="D40" s="64">
        <v>26.39</v>
      </c>
      <c r="E40" s="64">
        <v>0.79</v>
      </c>
      <c r="F40" s="64">
        <v>2.87</v>
      </c>
      <c r="G40" s="64">
        <v>51.82</v>
      </c>
      <c r="H40" s="64">
        <v>30.28</v>
      </c>
      <c r="I40" s="64">
        <v>1.51</v>
      </c>
      <c r="J40" s="64">
        <v>0.32</v>
      </c>
      <c r="K40" s="64">
        <v>103.1</v>
      </c>
      <c r="L40" s="64">
        <v>23.39</v>
      </c>
      <c r="M40" s="64">
        <v>81.81</v>
      </c>
      <c r="N40" s="64">
        <v>308.10000000000002</v>
      </c>
      <c r="O40" s="64">
        <v>0</v>
      </c>
      <c r="P40" s="64">
        <v>0.75</v>
      </c>
      <c r="Q40" s="64">
        <v>6.33</v>
      </c>
      <c r="R40" s="198"/>
      <c r="S40" s="198"/>
      <c r="T40" s="198"/>
      <c r="U40" s="198"/>
    </row>
    <row r="41" spans="1:21" s="12" customFormat="1" x14ac:dyDescent="0.25">
      <c r="A41" s="215" t="s">
        <v>568</v>
      </c>
      <c r="B41" s="64">
        <v>18.260000000000002</v>
      </c>
      <c r="C41" s="64">
        <v>18.52</v>
      </c>
      <c r="D41" s="64">
        <v>26.15</v>
      </c>
      <c r="E41" s="64">
        <v>1.33</v>
      </c>
      <c r="F41" s="64">
        <v>3.8</v>
      </c>
      <c r="G41" s="64">
        <v>51.82</v>
      </c>
      <c r="H41" s="64">
        <v>30.28</v>
      </c>
      <c r="I41" s="64">
        <v>1.46</v>
      </c>
      <c r="J41" s="64">
        <v>0.5</v>
      </c>
      <c r="K41" s="64">
        <v>122.43</v>
      </c>
      <c r="L41" s="64">
        <v>24.25</v>
      </c>
      <c r="M41" s="64">
        <v>77.86</v>
      </c>
      <c r="N41" s="64">
        <v>361.2</v>
      </c>
      <c r="O41" s="64">
        <v>0</v>
      </c>
      <c r="P41" s="64">
        <v>0.72</v>
      </c>
      <c r="Q41" s="64">
        <v>6.4</v>
      </c>
      <c r="R41" s="198"/>
      <c r="S41" s="198"/>
      <c r="T41" s="198"/>
      <c r="U41" s="198"/>
    </row>
    <row r="42" spans="1:21" s="12" customFormat="1" x14ac:dyDescent="0.25">
      <c r="A42" s="215" t="s">
        <v>569</v>
      </c>
      <c r="B42" s="64">
        <v>17.47</v>
      </c>
      <c r="C42" s="64">
        <v>20.5</v>
      </c>
      <c r="D42" s="64">
        <v>26.61</v>
      </c>
      <c r="E42" s="64">
        <v>1.58</v>
      </c>
      <c r="F42" s="64">
        <v>3.42</v>
      </c>
      <c r="G42" s="64">
        <v>51.82</v>
      </c>
      <c r="H42" s="64">
        <v>30.28</v>
      </c>
      <c r="I42" s="64">
        <v>1.43</v>
      </c>
      <c r="J42" s="64">
        <v>0.37</v>
      </c>
      <c r="K42" s="64">
        <v>96.13</v>
      </c>
      <c r="L42" s="64">
        <v>24.81</v>
      </c>
      <c r="M42" s="64">
        <v>75.430000000000007</v>
      </c>
      <c r="N42" s="64">
        <v>415.2</v>
      </c>
      <c r="O42" s="64">
        <v>0</v>
      </c>
      <c r="P42" s="64">
        <v>0.73</v>
      </c>
      <c r="Q42" s="64">
        <v>6.32</v>
      </c>
      <c r="R42" s="198"/>
      <c r="S42" s="198"/>
      <c r="T42" s="198"/>
      <c r="U42" s="198"/>
    </row>
    <row r="43" spans="1:21" s="12" customFormat="1" x14ac:dyDescent="0.25">
      <c r="A43" s="215" t="s">
        <v>570</v>
      </c>
      <c r="B43" s="64">
        <v>16.36</v>
      </c>
      <c r="C43" s="64">
        <v>19.25</v>
      </c>
      <c r="D43" s="64">
        <v>25.03</v>
      </c>
      <c r="E43" s="64">
        <v>1.53</v>
      </c>
      <c r="F43" s="64">
        <v>1.94</v>
      </c>
      <c r="G43" s="64">
        <v>50.36</v>
      </c>
      <c r="H43" s="64">
        <v>26.53</v>
      </c>
      <c r="I43" s="64">
        <v>1.5</v>
      </c>
      <c r="J43" s="64">
        <v>0.56999999999999995</v>
      </c>
      <c r="K43" s="64">
        <v>99.77</v>
      </c>
      <c r="L43" s="64">
        <v>24.41</v>
      </c>
      <c r="M43" s="64">
        <v>76.94</v>
      </c>
      <c r="N43" s="64">
        <v>454.8</v>
      </c>
      <c r="O43" s="64">
        <v>0</v>
      </c>
      <c r="P43" s="64">
        <v>0.73</v>
      </c>
      <c r="Q43" s="64">
        <v>6.29</v>
      </c>
      <c r="R43" s="198"/>
      <c r="S43" s="198"/>
      <c r="T43" s="198"/>
      <c r="U43" s="198"/>
    </row>
    <row r="44" spans="1:21" s="12" customFormat="1" x14ac:dyDescent="0.25">
      <c r="A44" s="215" t="s">
        <v>571</v>
      </c>
      <c r="B44" s="64">
        <v>18.95</v>
      </c>
      <c r="C44" s="64">
        <v>17.52</v>
      </c>
      <c r="D44" s="64">
        <v>26.16</v>
      </c>
      <c r="E44" s="64">
        <v>1.6</v>
      </c>
      <c r="F44" s="64">
        <v>0.88</v>
      </c>
      <c r="G44" s="64">
        <v>49.02</v>
      </c>
      <c r="H44" s="64">
        <v>24.82</v>
      </c>
      <c r="I44" s="64">
        <v>1.47</v>
      </c>
      <c r="J44" s="64">
        <v>0.43</v>
      </c>
      <c r="K44" s="64">
        <v>98.41</v>
      </c>
      <c r="L44" s="64">
        <v>25.12</v>
      </c>
      <c r="M44" s="64">
        <v>73.13</v>
      </c>
      <c r="N44" s="64">
        <v>472</v>
      </c>
      <c r="O44" s="64">
        <v>0</v>
      </c>
      <c r="P44" s="64">
        <v>0.73</v>
      </c>
      <c r="Q44" s="64">
        <v>6.22</v>
      </c>
      <c r="R44" s="198"/>
      <c r="S44" s="198"/>
      <c r="T44" s="198"/>
      <c r="U44" s="198"/>
    </row>
    <row r="45" spans="1:21" s="12" customFormat="1" x14ac:dyDescent="0.25">
      <c r="A45" s="215" t="s">
        <v>572</v>
      </c>
      <c r="B45" s="64">
        <v>18.079999999999998</v>
      </c>
      <c r="C45" s="64">
        <v>15.23</v>
      </c>
      <c r="D45" s="64">
        <v>24.19</v>
      </c>
      <c r="E45" s="64">
        <v>1.39</v>
      </c>
      <c r="F45" s="64">
        <v>3.45</v>
      </c>
      <c r="G45" s="64">
        <v>49.02</v>
      </c>
      <c r="H45" s="64">
        <v>24.82</v>
      </c>
      <c r="I45" s="64">
        <v>1.54</v>
      </c>
      <c r="J45" s="64">
        <v>0.48</v>
      </c>
      <c r="K45" s="64">
        <v>113.88</v>
      </c>
      <c r="L45" s="64">
        <v>25.04</v>
      </c>
      <c r="M45" s="64">
        <v>71.83</v>
      </c>
      <c r="N45" s="64">
        <v>435.8</v>
      </c>
      <c r="O45" s="64">
        <v>0</v>
      </c>
      <c r="P45" s="64">
        <v>0.69</v>
      </c>
      <c r="Q45" s="64">
        <v>6.22</v>
      </c>
      <c r="R45" s="198"/>
      <c r="S45" s="198"/>
      <c r="T45" s="198"/>
      <c r="U45" s="198"/>
    </row>
    <row r="46" spans="1:21" s="12" customFormat="1" x14ac:dyDescent="0.25">
      <c r="A46" s="215" t="s">
        <v>573</v>
      </c>
      <c r="B46" s="64">
        <v>18.13</v>
      </c>
      <c r="C46" s="64">
        <v>17.34</v>
      </c>
      <c r="D46" s="64">
        <v>25.4</v>
      </c>
      <c r="E46" s="64">
        <v>1.1200000000000001</v>
      </c>
      <c r="F46" s="64">
        <v>2.42</v>
      </c>
      <c r="G46" s="64">
        <v>49.02</v>
      </c>
      <c r="H46" s="64">
        <v>24.82</v>
      </c>
      <c r="I46" s="64">
        <v>1.55</v>
      </c>
      <c r="J46" s="64">
        <v>0.72</v>
      </c>
      <c r="K46" s="64">
        <v>336.3</v>
      </c>
      <c r="L46" s="64">
        <v>28.23</v>
      </c>
      <c r="M46" s="64">
        <v>63.69</v>
      </c>
      <c r="N46" s="64">
        <v>600.1</v>
      </c>
      <c r="O46" s="64">
        <v>0</v>
      </c>
      <c r="P46" s="64">
        <v>0.73</v>
      </c>
      <c r="Q46" s="64">
        <v>6.1</v>
      </c>
      <c r="R46" s="198"/>
      <c r="S46" s="198"/>
      <c r="T46" s="198"/>
      <c r="U46" s="198"/>
    </row>
    <row r="47" spans="1:21" s="12" customFormat="1" x14ac:dyDescent="0.25">
      <c r="A47" s="215" t="s">
        <v>574</v>
      </c>
      <c r="B47" s="64">
        <v>17.54</v>
      </c>
      <c r="C47" s="64">
        <v>18.77</v>
      </c>
      <c r="D47" s="64">
        <v>25.72</v>
      </c>
      <c r="E47" s="64">
        <v>1.37</v>
      </c>
      <c r="F47" s="64">
        <v>0.97</v>
      </c>
      <c r="G47" s="64">
        <v>46.84</v>
      </c>
      <c r="H47" s="64">
        <v>24.01</v>
      </c>
      <c r="I47" s="64">
        <v>1.43</v>
      </c>
      <c r="J47" s="64">
        <v>0.54</v>
      </c>
      <c r="K47" s="64">
        <v>343.37</v>
      </c>
      <c r="L47" s="64">
        <v>30.16</v>
      </c>
      <c r="M47" s="64">
        <v>55.64</v>
      </c>
      <c r="N47" s="64">
        <v>650.20000000000005</v>
      </c>
      <c r="O47" s="64">
        <v>0</v>
      </c>
      <c r="P47" s="64">
        <v>0.76</v>
      </c>
      <c r="Q47" s="64">
        <v>6.05</v>
      </c>
      <c r="R47" s="198"/>
      <c r="S47" s="198"/>
      <c r="T47" s="198"/>
      <c r="U47" s="198"/>
    </row>
    <row r="48" spans="1:21" s="12" customFormat="1" x14ac:dyDescent="0.25">
      <c r="A48" s="215" t="s">
        <v>575</v>
      </c>
      <c r="B48" s="64">
        <v>16.920000000000002</v>
      </c>
      <c r="C48" s="64">
        <v>19.73</v>
      </c>
      <c r="D48" s="64">
        <v>25.75</v>
      </c>
      <c r="E48" s="64">
        <v>1.73</v>
      </c>
      <c r="F48" s="64">
        <v>2.57</v>
      </c>
      <c r="G48" s="64">
        <v>44.84</v>
      </c>
      <c r="H48" s="64">
        <v>23.63</v>
      </c>
      <c r="I48" s="64">
        <v>1.45</v>
      </c>
      <c r="J48" s="64">
        <v>0.49</v>
      </c>
      <c r="K48" s="64">
        <v>89.32</v>
      </c>
      <c r="L48" s="64">
        <v>27.97</v>
      </c>
      <c r="M48" s="64">
        <v>63.28</v>
      </c>
      <c r="N48" s="64">
        <v>682.5</v>
      </c>
      <c r="O48" s="64">
        <v>0</v>
      </c>
      <c r="P48" s="64">
        <v>0.79</v>
      </c>
      <c r="Q48" s="64">
        <v>5.92</v>
      </c>
      <c r="R48" s="198"/>
      <c r="S48" s="198"/>
      <c r="T48" s="198"/>
      <c r="U48" s="198"/>
    </row>
    <row r="49" spans="1:21" s="12" customFormat="1" x14ac:dyDescent="0.25">
      <c r="A49" s="215" t="s">
        <v>576</v>
      </c>
      <c r="B49" s="64">
        <v>15.94</v>
      </c>
      <c r="C49" s="64">
        <v>19.61</v>
      </c>
      <c r="D49" s="64">
        <v>24.9</v>
      </c>
      <c r="E49" s="64">
        <v>1.33</v>
      </c>
      <c r="F49" s="64">
        <v>1.1299999999999999</v>
      </c>
      <c r="G49" s="64">
        <v>44.84</v>
      </c>
      <c r="H49" s="64">
        <v>23.63</v>
      </c>
      <c r="I49" s="64">
        <v>1.46</v>
      </c>
      <c r="J49" s="64">
        <v>0.79</v>
      </c>
      <c r="K49" s="64">
        <v>111.74</v>
      </c>
      <c r="L49" s="64">
        <v>26.89</v>
      </c>
      <c r="M49" s="64">
        <v>67.02</v>
      </c>
      <c r="N49" s="64">
        <v>694.2</v>
      </c>
      <c r="O49" s="64">
        <v>0</v>
      </c>
      <c r="P49" s="64">
        <v>0.77</v>
      </c>
      <c r="Q49" s="64">
        <v>5.91</v>
      </c>
      <c r="R49" s="198"/>
      <c r="S49" s="198"/>
      <c r="T49" s="198"/>
      <c r="U49" s="198"/>
    </row>
    <row r="50" spans="1:21" s="12" customFormat="1" x14ac:dyDescent="0.25">
      <c r="A50" s="215" t="s">
        <v>577</v>
      </c>
      <c r="B50" s="64">
        <v>14.94</v>
      </c>
      <c r="C50" s="64">
        <v>22.28</v>
      </c>
      <c r="D50" s="64">
        <v>25.57</v>
      </c>
      <c r="E50" s="64">
        <v>1.27</v>
      </c>
      <c r="F50" s="64">
        <v>1.39</v>
      </c>
      <c r="G50" s="64">
        <v>44.84</v>
      </c>
      <c r="H50" s="64">
        <v>23.63</v>
      </c>
      <c r="I50" s="64">
        <v>1.52</v>
      </c>
      <c r="J50" s="64">
        <v>0.5</v>
      </c>
      <c r="K50" s="64">
        <v>71.45</v>
      </c>
      <c r="L50" s="64">
        <v>27.11</v>
      </c>
      <c r="M50" s="64">
        <v>66.87</v>
      </c>
      <c r="N50" s="64">
        <v>715.9</v>
      </c>
      <c r="O50" s="64">
        <v>0</v>
      </c>
      <c r="P50" s="64">
        <v>0.76</v>
      </c>
      <c r="Q50" s="64">
        <v>5.86</v>
      </c>
      <c r="R50" s="198"/>
      <c r="S50" s="198"/>
      <c r="T50" s="198"/>
      <c r="U50" s="198"/>
    </row>
    <row r="51" spans="1:21" s="12" customFormat="1" x14ac:dyDescent="0.25">
      <c r="A51" s="215" t="s">
        <v>578</v>
      </c>
      <c r="B51" s="64">
        <v>11.44</v>
      </c>
      <c r="C51" s="64">
        <v>24.2</v>
      </c>
      <c r="D51" s="64">
        <v>23.83</v>
      </c>
      <c r="E51" s="64">
        <v>1.93</v>
      </c>
      <c r="F51" s="64">
        <v>8.4</v>
      </c>
      <c r="G51" s="64">
        <v>44.84</v>
      </c>
      <c r="H51" s="64">
        <v>23.63</v>
      </c>
      <c r="I51" s="64">
        <v>1.51</v>
      </c>
      <c r="J51" s="64">
        <v>0.35</v>
      </c>
      <c r="K51" s="64">
        <v>93.7</v>
      </c>
      <c r="L51" s="64">
        <v>28.02</v>
      </c>
      <c r="M51" s="64">
        <v>63.21</v>
      </c>
      <c r="N51" s="64">
        <v>690.9</v>
      </c>
      <c r="O51" s="64">
        <v>0</v>
      </c>
      <c r="P51" s="64">
        <v>0.73</v>
      </c>
      <c r="Q51" s="64">
        <v>5.63</v>
      </c>
      <c r="R51" s="198"/>
      <c r="S51" s="198"/>
      <c r="T51" s="198"/>
      <c r="U51" s="198"/>
    </row>
    <row r="52" spans="1:21" s="12" customFormat="1" x14ac:dyDescent="0.25">
      <c r="A52" s="215" t="s">
        <v>579</v>
      </c>
      <c r="B52" s="64">
        <v>8.34</v>
      </c>
      <c r="C52" s="64">
        <v>24.24</v>
      </c>
      <c r="D52" s="64">
        <v>21.36</v>
      </c>
      <c r="E52" s="64">
        <v>26.92</v>
      </c>
      <c r="F52" s="64">
        <v>6.47</v>
      </c>
      <c r="G52" s="64">
        <v>44.84</v>
      </c>
      <c r="H52" s="64">
        <v>23.63</v>
      </c>
      <c r="I52" s="64">
        <v>1.53</v>
      </c>
      <c r="J52" s="64">
        <v>0.86</v>
      </c>
      <c r="K52" s="64">
        <v>111.45</v>
      </c>
      <c r="L52" s="64">
        <v>26.2</v>
      </c>
      <c r="M52" s="64">
        <v>68.02</v>
      </c>
      <c r="N52" s="64">
        <v>473.5</v>
      </c>
      <c r="O52" s="64">
        <v>0</v>
      </c>
      <c r="P52" s="64">
        <v>0.7</v>
      </c>
      <c r="Q52" s="64">
        <v>5.51</v>
      </c>
      <c r="R52" s="198"/>
      <c r="S52" s="198"/>
      <c r="T52" s="198"/>
      <c r="U52" s="198"/>
    </row>
    <row r="53" spans="1:21" s="12" customFormat="1" x14ac:dyDescent="0.25">
      <c r="A53" s="215" t="s">
        <v>580</v>
      </c>
      <c r="B53" s="64">
        <v>6.43</v>
      </c>
      <c r="C53" s="64">
        <v>23.59</v>
      </c>
      <c r="D53" s="64">
        <v>19.47</v>
      </c>
      <c r="E53" s="212" t="s">
        <v>40</v>
      </c>
      <c r="F53" s="64">
        <v>9.77</v>
      </c>
      <c r="G53" s="64">
        <v>44.84</v>
      </c>
      <c r="H53" s="64">
        <v>23.63</v>
      </c>
      <c r="I53" s="64">
        <v>1.48</v>
      </c>
      <c r="J53" s="64">
        <v>0.85</v>
      </c>
      <c r="K53" s="64">
        <v>113.39</v>
      </c>
      <c r="L53" s="64">
        <v>25.92</v>
      </c>
      <c r="M53" s="64">
        <v>68.69</v>
      </c>
      <c r="N53" s="64">
        <v>362.3</v>
      </c>
      <c r="O53" s="64">
        <v>0</v>
      </c>
      <c r="P53" s="64">
        <v>0.64</v>
      </c>
      <c r="Q53" s="64">
        <v>5.31</v>
      </c>
      <c r="R53" s="198"/>
      <c r="S53" s="198"/>
      <c r="T53" s="198"/>
      <c r="U53" s="198"/>
    </row>
    <row r="54" spans="1:21" s="12" customFormat="1" x14ac:dyDescent="0.25">
      <c r="A54" s="215" t="s">
        <v>581</v>
      </c>
      <c r="B54" s="64">
        <v>6.41</v>
      </c>
      <c r="C54" s="64">
        <v>27.6</v>
      </c>
      <c r="D54" s="64">
        <v>21.66</v>
      </c>
      <c r="E54" s="212" t="s">
        <v>40</v>
      </c>
      <c r="F54" s="64">
        <v>10.14</v>
      </c>
      <c r="G54" s="64">
        <v>44.84</v>
      </c>
      <c r="H54" s="64">
        <v>23.63</v>
      </c>
      <c r="I54" s="64">
        <v>1.5</v>
      </c>
      <c r="J54" s="64">
        <v>0.56999999999999995</v>
      </c>
      <c r="K54" s="64">
        <v>108.92</v>
      </c>
      <c r="L54" s="64">
        <v>26.78</v>
      </c>
      <c r="M54" s="64">
        <v>66.19</v>
      </c>
      <c r="N54" s="64">
        <v>813.7</v>
      </c>
      <c r="O54" s="64">
        <v>0</v>
      </c>
      <c r="P54" s="64">
        <v>0.54</v>
      </c>
      <c r="Q54" s="64">
        <v>5.12</v>
      </c>
      <c r="R54" s="198"/>
      <c r="S54" s="198"/>
      <c r="T54" s="198"/>
      <c r="U54" s="198"/>
    </row>
    <row r="55" spans="1:21" s="12" customFormat="1" x14ac:dyDescent="0.25">
      <c r="A55" s="215" t="s">
        <v>582</v>
      </c>
      <c r="B55" s="64">
        <v>6.85</v>
      </c>
      <c r="C55" s="64">
        <v>25.34</v>
      </c>
      <c r="D55" s="64">
        <v>20.77</v>
      </c>
      <c r="E55" s="212" t="s">
        <v>40</v>
      </c>
      <c r="F55" s="64">
        <v>3.64</v>
      </c>
      <c r="G55" s="64">
        <v>44.84</v>
      </c>
      <c r="H55" s="64">
        <v>23.63</v>
      </c>
      <c r="I55" s="64">
        <v>1.52</v>
      </c>
      <c r="J55" s="64">
        <v>0.64</v>
      </c>
      <c r="K55" s="64">
        <v>79.63</v>
      </c>
      <c r="L55" s="64">
        <v>28.29</v>
      </c>
      <c r="M55" s="64">
        <v>60.45</v>
      </c>
      <c r="N55" s="64">
        <v>824.6</v>
      </c>
      <c r="O55" s="64">
        <v>0</v>
      </c>
      <c r="P55" s="64">
        <v>0.59</v>
      </c>
      <c r="Q55" s="64">
        <v>5.0199999999999996</v>
      </c>
      <c r="R55" s="198"/>
      <c r="S55" s="198"/>
      <c r="T55" s="198"/>
      <c r="U55" s="198"/>
    </row>
    <row r="56" spans="1:21" s="12" customFormat="1" x14ac:dyDescent="0.25">
      <c r="A56" s="215" t="s">
        <v>583</v>
      </c>
      <c r="B56" s="64">
        <v>5.91</v>
      </c>
      <c r="C56" s="64">
        <v>21.68</v>
      </c>
      <c r="D56" s="64">
        <v>18</v>
      </c>
      <c r="E56" s="212" t="s">
        <v>40</v>
      </c>
      <c r="F56" s="64">
        <v>5.68</v>
      </c>
      <c r="G56" s="64">
        <v>44.84</v>
      </c>
      <c r="H56" s="64">
        <v>23.63</v>
      </c>
      <c r="I56" s="64">
        <v>1.47</v>
      </c>
      <c r="J56" s="64">
        <v>1.24</v>
      </c>
      <c r="K56" s="64">
        <v>106.15</v>
      </c>
      <c r="L56" s="64">
        <v>27.2</v>
      </c>
      <c r="M56" s="64">
        <v>61.99</v>
      </c>
      <c r="N56" s="64">
        <v>746.5</v>
      </c>
      <c r="O56" s="64">
        <v>0</v>
      </c>
      <c r="P56" s="64">
        <v>0.53</v>
      </c>
      <c r="Q56" s="64">
        <v>5.01</v>
      </c>
      <c r="R56" s="198"/>
      <c r="S56" s="198"/>
      <c r="T56" s="198"/>
      <c r="U56" s="198"/>
    </row>
    <row r="57" spans="1:21" s="12" customFormat="1" x14ac:dyDescent="0.25">
      <c r="A57" s="215" t="s">
        <v>584</v>
      </c>
      <c r="B57" s="64">
        <v>3.52</v>
      </c>
      <c r="C57" s="64">
        <v>20.170000000000002</v>
      </c>
      <c r="D57" s="64">
        <v>15.25</v>
      </c>
      <c r="E57" s="212" t="s">
        <v>40</v>
      </c>
      <c r="F57" s="64">
        <v>8.7200000000000006</v>
      </c>
      <c r="G57" s="212" t="s">
        <v>40</v>
      </c>
      <c r="H57" s="212" t="s">
        <v>40</v>
      </c>
      <c r="I57" s="64">
        <v>1.48</v>
      </c>
      <c r="J57" s="64">
        <v>0.52</v>
      </c>
      <c r="K57" s="64">
        <v>112.27</v>
      </c>
      <c r="L57" s="64">
        <v>27.24</v>
      </c>
      <c r="M57" s="64">
        <v>60.24</v>
      </c>
      <c r="N57" s="64">
        <v>659.7</v>
      </c>
      <c r="O57" s="64">
        <v>0</v>
      </c>
      <c r="P57" s="64">
        <v>0.48</v>
      </c>
      <c r="Q57" s="64">
        <v>5.0599999999999996</v>
      </c>
      <c r="R57" s="198"/>
      <c r="S57" s="198"/>
      <c r="T57" s="198"/>
      <c r="U57" s="198"/>
    </row>
    <row r="58" spans="1:21" s="12" customFormat="1" x14ac:dyDescent="0.25">
      <c r="A58" s="215" t="s">
        <v>585</v>
      </c>
      <c r="B58" s="64">
        <v>2.0299999999999998</v>
      </c>
      <c r="C58" s="64">
        <v>20.32</v>
      </c>
      <c r="D58" s="64">
        <v>14.14</v>
      </c>
      <c r="E58" s="212" t="s">
        <v>40</v>
      </c>
      <c r="F58" s="64">
        <v>6.08</v>
      </c>
      <c r="G58" s="212" t="s">
        <v>40</v>
      </c>
      <c r="H58" s="212" t="s">
        <v>40</v>
      </c>
      <c r="I58" s="64">
        <v>1.43</v>
      </c>
      <c r="J58" s="64">
        <v>0.54</v>
      </c>
      <c r="K58" s="64">
        <v>96.69</v>
      </c>
      <c r="L58" s="64">
        <v>27.72</v>
      </c>
      <c r="M58" s="64">
        <v>59.88</v>
      </c>
      <c r="N58" s="64">
        <v>595.20000000000005</v>
      </c>
      <c r="O58" s="64">
        <v>0</v>
      </c>
      <c r="P58" s="64">
        <v>0.47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586</v>
      </c>
      <c r="B59" s="64">
        <v>5.0599999999999996</v>
      </c>
      <c r="C59" s="64">
        <v>28.79</v>
      </c>
      <c r="D59" s="64">
        <v>21.2</v>
      </c>
      <c r="E59" s="212" t="s">
        <v>40</v>
      </c>
      <c r="F59" s="64">
        <v>8.49</v>
      </c>
      <c r="G59" s="212" t="s">
        <v>40</v>
      </c>
      <c r="H59" s="212" t="s">
        <v>40</v>
      </c>
      <c r="I59" s="64">
        <v>1.41</v>
      </c>
      <c r="J59" s="64">
        <v>0.2</v>
      </c>
      <c r="K59" s="64">
        <v>38.880000000000003</v>
      </c>
      <c r="L59" s="64">
        <v>27.18</v>
      </c>
      <c r="M59" s="64">
        <v>62.91</v>
      </c>
      <c r="N59" s="64">
        <v>228.6</v>
      </c>
      <c r="O59" s="64">
        <v>0</v>
      </c>
      <c r="P59" s="64">
        <v>0.57999999999999996</v>
      </c>
      <c r="Q59" s="64">
        <v>5.09</v>
      </c>
      <c r="R59" s="198"/>
      <c r="S59" s="198"/>
      <c r="T59" s="198"/>
      <c r="U59" s="198"/>
    </row>
    <row r="60" spans="1:21" s="12" customFormat="1" x14ac:dyDescent="0.25">
      <c r="A60" s="215" t="s">
        <v>587</v>
      </c>
      <c r="B60" s="64">
        <v>10</v>
      </c>
      <c r="C60" s="64">
        <v>39.020000000000003</v>
      </c>
      <c r="D60" s="64">
        <v>30.85</v>
      </c>
      <c r="E60" s="212" t="s">
        <v>40</v>
      </c>
      <c r="F60" s="64">
        <v>9.08</v>
      </c>
      <c r="G60" s="212" t="s">
        <v>40</v>
      </c>
      <c r="H60" s="212" t="s">
        <v>40</v>
      </c>
      <c r="I60" s="64">
        <v>1.51</v>
      </c>
      <c r="J60" s="64">
        <v>0.52</v>
      </c>
      <c r="K60" s="64">
        <v>328.64</v>
      </c>
      <c r="L60" s="64">
        <v>27.45</v>
      </c>
      <c r="M60" s="64">
        <v>61.79</v>
      </c>
      <c r="N60" s="64">
        <v>202</v>
      </c>
      <c r="O60" s="64">
        <v>0</v>
      </c>
      <c r="P60" s="64">
        <v>0.67</v>
      </c>
      <c r="Q60" s="64">
        <v>4.5199999999999996</v>
      </c>
      <c r="R60" s="198"/>
      <c r="S60" s="198"/>
      <c r="T60" s="198"/>
      <c r="U60" s="198"/>
    </row>
    <row r="61" spans="1:21" s="12" customFormat="1" x14ac:dyDescent="0.25">
      <c r="A61" s="215" t="s">
        <v>588</v>
      </c>
      <c r="B61" s="64">
        <v>9.26</v>
      </c>
      <c r="C61" s="64">
        <v>44.33</v>
      </c>
      <c r="D61" s="64">
        <v>33.18</v>
      </c>
      <c r="E61" s="212" t="s">
        <v>40</v>
      </c>
      <c r="F61" s="64">
        <v>11.06</v>
      </c>
      <c r="G61" s="64">
        <v>105</v>
      </c>
      <c r="H61" s="64">
        <v>27.59</v>
      </c>
      <c r="I61" s="64">
        <v>1.54</v>
      </c>
      <c r="J61" s="64">
        <v>0.42</v>
      </c>
      <c r="K61" s="64">
        <v>100.13</v>
      </c>
      <c r="L61" s="64">
        <v>27.29</v>
      </c>
      <c r="M61" s="64">
        <v>61.53</v>
      </c>
      <c r="N61" s="64">
        <v>285.7</v>
      </c>
      <c r="O61" s="64">
        <v>0</v>
      </c>
      <c r="P61" s="64">
        <v>0.67</v>
      </c>
      <c r="Q61" s="64">
        <v>3.14</v>
      </c>
      <c r="R61" s="198"/>
      <c r="S61" s="198"/>
      <c r="T61" s="198"/>
      <c r="U61" s="198"/>
    </row>
    <row r="62" spans="1:21" s="12" customFormat="1" x14ac:dyDescent="0.25">
      <c r="A62" s="215" t="s">
        <v>589</v>
      </c>
      <c r="B62" s="64">
        <v>8.2100000000000009</v>
      </c>
      <c r="C62" s="64">
        <v>37.25</v>
      </c>
      <c r="D62" s="64">
        <v>28.43</v>
      </c>
      <c r="E62" s="212" t="s">
        <v>40</v>
      </c>
      <c r="F62" s="64">
        <v>19.41</v>
      </c>
      <c r="G62" s="64">
        <v>105</v>
      </c>
      <c r="H62" s="64">
        <v>27.59</v>
      </c>
      <c r="I62" s="64">
        <v>1.52</v>
      </c>
      <c r="J62" s="64">
        <v>0.3</v>
      </c>
      <c r="K62" s="64">
        <v>105.57</v>
      </c>
      <c r="L62" s="64">
        <v>26.62</v>
      </c>
      <c r="M62" s="64">
        <v>63.52</v>
      </c>
      <c r="N62" s="64">
        <v>397.5</v>
      </c>
      <c r="O62" s="64">
        <v>0</v>
      </c>
      <c r="P62" s="64">
        <v>0.61</v>
      </c>
      <c r="Q62" s="64">
        <v>5.05</v>
      </c>
      <c r="R62" s="198"/>
      <c r="S62" s="198"/>
      <c r="T62" s="198"/>
      <c r="U62" s="198"/>
    </row>
    <row r="63" spans="1:21" s="12" customFormat="1" x14ac:dyDescent="0.25">
      <c r="A63" s="215" t="s">
        <v>590</v>
      </c>
      <c r="B63" s="64">
        <v>6.17</v>
      </c>
      <c r="C63" s="64">
        <v>32.049999999999997</v>
      </c>
      <c r="D63" s="64">
        <v>23.93</v>
      </c>
      <c r="E63" s="212" t="s">
        <v>40</v>
      </c>
      <c r="F63" s="64">
        <v>25.82</v>
      </c>
      <c r="G63" s="64">
        <v>105</v>
      </c>
      <c r="H63" s="64">
        <v>27.59</v>
      </c>
      <c r="I63" s="64">
        <v>1.47</v>
      </c>
      <c r="J63" s="64">
        <v>0.63</v>
      </c>
      <c r="K63" s="64">
        <v>350.28</v>
      </c>
      <c r="L63" s="64">
        <v>28.26</v>
      </c>
      <c r="M63" s="64">
        <v>57.39</v>
      </c>
      <c r="N63" s="64">
        <v>487.3</v>
      </c>
      <c r="O63" s="64">
        <v>0</v>
      </c>
      <c r="P63" s="64">
        <v>0.64</v>
      </c>
      <c r="Q63" s="64">
        <v>4.8600000000000003</v>
      </c>
      <c r="R63" s="198"/>
      <c r="S63" s="198"/>
      <c r="T63" s="198"/>
      <c r="U63" s="198"/>
    </row>
    <row r="64" spans="1:21" s="12" customFormat="1" x14ac:dyDescent="0.25">
      <c r="A64" s="215" t="s">
        <v>591</v>
      </c>
      <c r="B64" s="64">
        <v>6.04</v>
      </c>
      <c r="C64" s="64">
        <v>30.19</v>
      </c>
      <c r="D64" s="64">
        <v>22.8</v>
      </c>
      <c r="E64" s="212" t="s">
        <v>40</v>
      </c>
      <c r="F64" s="64">
        <v>24.22</v>
      </c>
      <c r="G64" s="64">
        <v>105</v>
      </c>
      <c r="H64" s="64">
        <v>27.59</v>
      </c>
      <c r="I64" s="64">
        <v>1.44</v>
      </c>
      <c r="J64" s="64">
        <v>0.38</v>
      </c>
      <c r="K64" s="64">
        <v>335.8</v>
      </c>
      <c r="L64" s="64">
        <v>28.93</v>
      </c>
      <c r="M64" s="64">
        <v>54.89</v>
      </c>
      <c r="N64" s="64">
        <v>405.9</v>
      </c>
      <c r="O64" s="64">
        <v>0</v>
      </c>
      <c r="P64" s="64">
        <v>0.6</v>
      </c>
      <c r="Q64" s="64">
        <v>5.19</v>
      </c>
      <c r="R64" s="198"/>
      <c r="S64" s="198"/>
      <c r="T64" s="198"/>
      <c r="U64" s="198"/>
    </row>
    <row r="65" spans="1:21" s="12" customFormat="1" x14ac:dyDescent="0.25">
      <c r="A65" s="215" t="s">
        <v>592</v>
      </c>
      <c r="B65" s="64">
        <v>7.24</v>
      </c>
      <c r="C65" s="64">
        <v>35.74</v>
      </c>
      <c r="D65" s="64">
        <v>26.82</v>
      </c>
      <c r="E65" s="212" t="s">
        <v>40</v>
      </c>
      <c r="F65" s="64">
        <v>18.16</v>
      </c>
      <c r="G65" s="64">
        <v>90.76</v>
      </c>
      <c r="H65" s="64">
        <v>29.87</v>
      </c>
      <c r="I65" s="64">
        <v>1.53</v>
      </c>
      <c r="J65" s="64">
        <v>0.57999999999999996</v>
      </c>
      <c r="K65" s="64">
        <v>344.28</v>
      </c>
      <c r="L65" s="64">
        <v>29.66</v>
      </c>
      <c r="M65" s="64">
        <v>53.93</v>
      </c>
      <c r="N65" s="64">
        <v>295.10000000000002</v>
      </c>
      <c r="O65" s="64">
        <v>0</v>
      </c>
      <c r="P65" s="64">
        <v>0.69</v>
      </c>
      <c r="Q65" s="64">
        <v>4.25</v>
      </c>
      <c r="R65" s="198"/>
      <c r="S65" s="198"/>
      <c r="T65" s="198"/>
      <c r="U65" s="198"/>
    </row>
    <row r="66" spans="1:21" s="12" customFormat="1" x14ac:dyDescent="0.25">
      <c r="A66" s="215" t="s">
        <v>593</v>
      </c>
      <c r="B66" s="64">
        <v>8.23</v>
      </c>
      <c r="C66" s="64">
        <v>31.92</v>
      </c>
      <c r="D66" s="64">
        <v>25.5</v>
      </c>
      <c r="E66" s="212" t="s">
        <v>40</v>
      </c>
      <c r="F66" s="64">
        <v>20.09</v>
      </c>
      <c r="G66" s="64">
        <v>90.76</v>
      </c>
      <c r="H66" s="64">
        <v>29.87</v>
      </c>
      <c r="I66" s="64">
        <v>1.5</v>
      </c>
      <c r="J66" s="64">
        <v>0.7</v>
      </c>
      <c r="K66" s="64">
        <v>339.22</v>
      </c>
      <c r="L66" s="64">
        <v>29.18</v>
      </c>
      <c r="M66" s="64">
        <v>53.95</v>
      </c>
      <c r="N66" s="64">
        <v>236.1</v>
      </c>
      <c r="O66" s="64">
        <v>0</v>
      </c>
      <c r="P66" s="64">
        <v>0.67</v>
      </c>
      <c r="Q66" s="64">
        <v>3.76</v>
      </c>
      <c r="R66" s="198"/>
      <c r="S66" s="198"/>
      <c r="T66" s="198"/>
      <c r="U66" s="198"/>
    </row>
    <row r="67" spans="1:21" s="12" customFormat="1" x14ac:dyDescent="0.25">
      <c r="A67" s="215" t="s">
        <v>594</v>
      </c>
      <c r="B67" s="64">
        <v>8.15</v>
      </c>
      <c r="C67" s="64">
        <v>35.5</v>
      </c>
      <c r="D67" s="64">
        <v>27.42</v>
      </c>
      <c r="E67" s="64">
        <v>26.87</v>
      </c>
      <c r="F67" s="64">
        <v>6.78</v>
      </c>
      <c r="G67" s="64">
        <v>90.76</v>
      </c>
      <c r="H67" s="64">
        <v>29.87</v>
      </c>
      <c r="I67" s="64">
        <v>1.53</v>
      </c>
      <c r="J67" s="64">
        <v>0.54</v>
      </c>
      <c r="K67" s="64">
        <v>330.84</v>
      </c>
      <c r="L67" s="64">
        <v>28.51</v>
      </c>
      <c r="M67" s="64">
        <v>55.65</v>
      </c>
      <c r="N67" s="64">
        <v>199.9</v>
      </c>
      <c r="O67" s="64">
        <v>0</v>
      </c>
      <c r="P67" s="64">
        <v>0.68</v>
      </c>
      <c r="Q67" s="64">
        <v>4.1399999999999997</v>
      </c>
      <c r="R67" s="198"/>
      <c r="S67" s="198"/>
      <c r="T67" s="198"/>
      <c r="U67" s="198"/>
    </row>
    <row r="68" spans="1:21" s="12" customFormat="1" x14ac:dyDescent="0.25">
      <c r="A68" s="215" t="s">
        <v>595</v>
      </c>
      <c r="B68" s="64">
        <v>8.31</v>
      </c>
      <c r="C68" s="64">
        <v>32.840000000000003</v>
      </c>
      <c r="D68" s="64">
        <v>26.08</v>
      </c>
      <c r="E68" s="64">
        <v>5.21</v>
      </c>
      <c r="F68" s="64">
        <v>6.33</v>
      </c>
      <c r="G68" s="64">
        <v>90.76</v>
      </c>
      <c r="H68" s="64">
        <v>29.87</v>
      </c>
      <c r="I68" s="64">
        <v>1.51</v>
      </c>
      <c r="J68" s="64">
        <v>0.95</v>
      </c>
      <c r="K68" s="64">
        <v>339.87</v>
      </c>
      <c r="L68" s="64">
        <v>28.29</v>
      </c>
      <c r="M68" s="64">
        <v>55.21</v>
      </c>
      <c r="N68" s="64">
        <v>184.5</v>
      </c>
      <c r="O68" s="64">
        <v>0</v>
      </c>
      <c r="P68" s="64">
        <v>0.7</v>
      </c>
      <c r="Q68" s="64">
        <v>4.6399999999999997</v>
      </c>
      <c r="R68" s="198"/>
      <c r="S68" s="198"/>
      <c r="T68" s="198"/>
      <c r="U68" s="198"/>
    </row>
    <row r="69" spans="1:21" s="12" customFormat="1" x14ac:dyDescent="0.25">
      <c r="A69" s="215" t="s">
        <v>596</v>
      </c>
      <c r="B69" s="64">
        <v>8.6999999999999993</v>
      </c>
      <c r="C69" s="64">
        <v>32.97</v>
      </c>
      <c r="D69" s="64">
        <v>26.47</v>
      </c>
      <c r="E69" s="64">
        <v>2.9</v>
      </c>
      <c r="F69" s="64">
        <v>11.93</v>
      </c>
      <c r="G69" s="64">
        <v>94.95</v>
      </c>
      <c r="H69" s="64">
        <v>34.479999999999997</v>
      </c>
      <c r="I69" s="64">
        <v>1.5</v>
      </c>
      <c r="J69" s="64">
        <v>0.6</v>
      </c>
      <c r="K69" s="64">
        <v>10.36</v>
      </c>
      <c r="L69" s="64">
        <v>28</v>
      </c>
      <c r="M69" s="64">
        <v>54.39</v>
      </c>
      <c r="N69" s="64">
        <v>159.30000000000001</v>
      </c>
      <c r="O69" s="64">
        <v>0</v>
      </c>
      <c r="P69" s="64">
        <v>0.65</v>
      </c>
      <c r="Q69" s="64">
        <v>4.6100000000000003</v>
      </c>
      <c r="R69" s="198"/>
      <c r="S69" s="198"/>
      <c r="T69" s="198"/>
      <c r="U69" s="198"/>
    </row>
    <row r="70" spans="1:21" s="12" customFormat="1" x14ac:dyDescent="0.25">
      <c r="A70" s="215" t="s">
        <v>597</v>
      </c>
      <c r="B70" s="64">
        <v>6.75</v>
      </c>
      <c r="C70" s="64">
        <v>28.59</v>
      </c>
      <c r="D70" s="64">
        <v>22.48</v>
      </c>
      <c r="E70" s="64">
        <v>3.63</v>
      </c>
      <c r="F70" s="64">
        <v>17.84</v>
      </c>
      <c r="G70" s="64">
        <v>94.95</v>
      </c>
      <c r="H70" s="64">
        <v>34.479999999999997</v>
      </c>
      <c r="I70" s="64">
        <v>1.47</v>
      </c>
      <c r="J70" s="64">
        <v>0.55000000000000004</v>
      </c>
      <c r="K70" s="64">
        <v>99.41</v>
      </c>
      <c r="L70" s="64">
        <v>26.79</v>
      </c>
      <c r="M70" s="64">
        <v>57.03</v>
      </c>
      <c r="N70" s="64">
        <v>157.4</v>
      </c>
      <c r="O70" s="64">
        <v>0</v>
      </c>
      <c r="P70" s="64">
        <v>0.61</v>
      </c>
      <c r="Q70" s="64">
        <v>4.6900000000000004</v>
      </c>
      <c r="R70" s="198"/>
      <c r="S70" s="198"/>
      <c r="T70" s="198"/>
      <c r="U70" s="198"/>
    </row>
    <row r="71" spans="1:21" s="12" customFormat="1" x14ac:dyDescent="0.25">
      <c r="A71" s="215" t="s">
        <v>598</v>
      </c>
      <c r="B71" s="64">
        <v>7.65</v>
      </c>
      <c r="C71" s="64">
        <v>32.340000000000003</v>
      </c>
      <c r="D71" s="64">
        <v>25.27</v>
      </c>
      <c r="E71" s="64">
        <v>3.63</v>
      </c>
      <c r="F71" s="64">
        <v>8.7100000000000009</v>
      </c>
      <c r="G71" s="64">
        <v>94.95</v>
      </c>
      <c r="H71" s="64">
        <v>34.479999999999997</v>
      </c>
      <c r="I71" s="64">
        <v>1.44</v>
      </c>
      <c r="J71" s="64">
        <v>0.28999999999999998</v>
      </c>
      <c r="K71" s="64">
        <v>94.86</v>
      </c>
      <c r="L71" s="64">
        <v>26.78</v>
      </c>
      <c r="M71" s="64">
        <v>57.71</v>
      </c>
      <c r="N71" s="64">
        <v>138.80000000000001</v>
      </c>
      <c r="O71" s="64">
        <v>0</v>
      </c>
      <c r="P71" s="64">
        <v>0.68</v>
      </c>
      <c r="Q71" s="64">
        <v>4.8899999999999997</v>
      </c>
      <c r="R71" s="198"/>
      <c r="S71" s="198"/>
      <c r="T71" s="198"/>
      <c r="U71" s="198"/>
    </row>
    <row r="72" spans="1:21" s="12" customFormat="1" x14ac:dyDescent="0.25">
      <c r="A72" s="215" t="s">
        <v>599</v>
      </c>
      <c r="B72" s="64">
        <v>8.49</v>
      </c>
      <c r="C72" s="64">
        <v>43.55</v>
      </c>
      <c r="D72" s="64">
        <v>32.130000000000003</v>
      </c>
      <c r="E72" s="64">
        <v>1.83</v>
      </c>
      <c r="F72" s="64">
        <v>15.63</v>
      </c>
      <c r="G72" s="64">
        <v>94.95</v>
      </c>
      <c r="H72" s="64">
        <v>34.479999999999997</v>
      </c>
      <c r="I72" s="64">
        <v>1.51</v>
      </c>
      <c r="J72" s="64">
        <v>0.26</v>
      </c>
      <c r="K72" s="64">
        <v>90.64</v>
      </c>
      <c r="L72" s="64">
        <v>26.62</v>
      </c>
      <c r="M72" s="64">
        <v>62.14</v>
      </c>
      <c r="N72" s="64">
        <v>114.6</v>
      </c>
      <c r="O72" s="64">
        <v>0</v>
      </c>
      <c r="P72" s="64">
        <v>0.73</v>
      </c>
      <c r="Q72" s="64">
        <v>4.5199999999999996</v>
      </c>
      <c r="R72" s="198"/>
      <c r="S72" s="198"/>
      <c r="T72" s="198"/>
      <c r="U72" s="198"/>
    </row>
    <row r="73" spans="1:21" s="12" customFormat="1" x14ac:dyDescent="0.25">
      <c r="A73" s="215" t="s">
        <v>600</v>
      </c>
      <c r="B73" s="64">
        <v>8.4600000000000009</v>
      </c>
      <c r="C73" s="64">
        <v>27.4</v>
      </c>
      <c r="D73" s="64">
        <v>23.2</v>
      </c>
      <c r="E73" s="64">
        <v>2.57</v>
      </c>
      <c r="F73" s="64">
        <v>5.01</v>
      </c>
      <c r="G73" s="64">
        <v>83.99</v>
      </c>
      <c r="H73" s="64">
        <v>36.229999999999997</v>
      </c>
      <c r="I73" s="64">
        <v>1.48</v>
      </c>
      <c r="J73" s="64">
        <v>1.0900000000000001</v>
      </c>
      <c r="K73" s="64">
        <v>342.88</v>
      </c>
      <c r="L73" s="64">
        <v>26.58</v>
      </c>
      <c r="M73" s="64">
        <v>63.44</v>
      </c>
      <c r="N73" s="64">
        <v>83.4</v>
      </c>
      <c r="O73" s="64">
        <v>0</v>
      </c>
      <c r="P73" s="64">
        <v>0.73</v>
      </c>
      <c r="Q73" s="64">
        <v>3.57</v>
      </c>
      <c r="R73" s="198"/>
      <c r="S73" s="198"/>
      <c r="T73" s="198"/>
      <c r="U73" s="198"/>
    </row>
    <row r="74" spans="1:21" s="12" customFormat="1" x14ac:dyDescent="0.25">
      <c r="A74" s="215" t="s">
        <v>601</v>
      </c>
      <c r="B74" s="64">
        <v>10.44</v>
      </c>
      <c r="C74" s="64">
        <v>41.19</v>
      </c>
      <c r="D74" s="64">
        <v>32.39</v>
      </c>
      <c r="E74" s="64">
        <v>3.12</v>
      </c>
      <c r="F74" s="64">
        <v>14.15</v>
      </c>
      <c r="G74" s="64">
        <v>83.99</v>
      </c>
      <c r="H74" s="64">
        <v>36.229999999999997</v>
      </c>
      <c r="I74" s="64">
        <v>1.43</v>
      </c>
      <c r="J74" s="64">
        <v>0.66</v>
      </c>
      <c r="K74" s="64">
        <v>341.17</v>
      </c>
      <c r="L74" s="64">
        <v>26.32</v>
      </c>
      <c r="M74" s="64">
        <v>64.06</v>
      </c>
      <c r="N74" s="64">
        <v>60.5</v>
      </c>
      <c r="O74" s="64">
        <v>0</v>
      </c>
      <c r="P74" s="64">
        <v>0.82</v>
      </c>
      <c r="Q74" s="64">
        <v>3.87</v>
      </c>
      <c r="R74" s="198"/>
      <c r="S74" s="198"/>
      <c r="T74" s="198"/>
      <c r="U74" s="198"/>
    </row>
    <row r="75" spans="1:21" s="12" customFormat="1" x14ac:dyDescent="0.25">
      <c r="A75" s="215" t="s">
        <v>602</v>
      </c>
      <c r="B75" s="64">
        <v>13.26</v>
      </c>
      <c r="C75" s="64">
        <v>54.09</v>
      </c>
      <c r="D75" s="64">
        <v>41.78</v>
      </c>
      <c r="E75" s="64">
        <v>4.51</v>
      </c>
      <c r="F75" s="64">
        <v>20.79</v>
      </c>
      <c r="G75" s="64">
        <v>83.99</v>
      </c>
      <c r="H75" s="64">
        <v>36.229999999999997</v>
      </c>
      <c r="I75" s="64">
        <v>1.48</v>
      </c>
      <c r="J75" s="64">
        <v>0.45</v>
      </c>
      <c r="K75" s="64">
        <v>339.84</v>
      </c>
      <c r="L75" s="64">
        <v>26.03</v>
      </c>
      <c r="M75" s="64">
        <v>65.25</v>
      </c>
      <c r="N75" s="64">
        <v>55.7</v>
      </c>
      <c r="O75" s="64">
        <v>0</v>
      </c>
      <c r="P75" s="64">
        <v>0.92</v>
      </c>
      <c r="Q75" s="64">
        <v>2.97</v>
      </c>
      <c r="R75" s="198"/>
      <c r="S75" s="198"/>
      <c r="T75" s="198"/>
      <c r="U75" s="198"/>
    </row>
    <row r="76" spans="1:21" s="12" customFormat="1" x14ac:dyDescent="0.25">
      <c r="A76" s="215" t="s">
        <v>603</v>
      </c>
      <c r="B76" s="64">
        <v>15.47</v>
      </c>
      <c r="C76" s="64">
        <v>72.66</v>
      </c>
      <c r="D76" s="64">
        <v>53.8</v>
      </c>
      <c r="E76" s="64">
        <v>5.99</v>
      </c>
      <c r="F76" s="64">
        <v>15.15</v>
      </c>
      <c r="G76" s="64">
        <v>83.99</v>
      </c>
      <c r="H76" s="64">
        <v>36.229999999999997</v>
      </c>
      <c r="I76" s="64">
        <v>1.47</v>
      </c>
      <c r="J76" s="64">
        <v>0.12</v>
      </c>
      <c r="K76" s="64">
        <v>5.95</v>
      </c>
      <c r="L76" s="64">
        <v>25.63</v>
      </c>
      <c r="M76" s="64">
        <v>68.14</v>
      </c>
      <c r="N76" s="64">
        <v>46.1</v>
      </c>
      <c r="O76" s="64">
        <v>0</v>
      </c>
      <c r="P76" s="64">
        <v>1.28</v>
      </c>
      <c r="Q76" s="64">
        <v>1.36</v>
      </c>
      <c r="R76" s="198"/>
      <c r="S76" s="198"/>
      <c r="T76" s="198"/>
      <c r="U76" s="198"/>
    </row>
    <row r="77" spans="1:21" s="12" customFormat="1" x14ac:dyDescent="0.25">
      <c r="A77" s="215" t="s">
        <v>604</v>
      </c>
      <c r="B77" s="64">
        <v>18.600000000000001</v>
      </c>
      <c r="C77" s="64">
        <v>69.66</v>
      </c>
      <c r="D77" s="64">
        <v>54.65</v>
      </c>
      <c r="E77" s="64">
        <v>6.55</v>
      </c>
      <c r="F77" s="64">
        <v>13.66</v>
      </c>
      <c r="G77" s="64">
        <v>86.32</v>
      </c>
      <c r="H77" s="64">
        <v>39.81</v>
      </c>
      <c r="I77" s="64">
        <v>1.47</v>
      </c>
      <c r="J77" s="64">
        <v>0.39</v>
      </c>
      <c r="K77" s="64">
        <v>336.97</v>
      </c>
      <c r="L77" s="64">
        <v>25.35</v>
      </c>
      <c r="M77" s="64">
        <v>70.27</v>
      </c>
      <c r="N77" s="64">
        <v>41.1</v>
      </c>
      <c r="O77" s="64">
        <v>0</v>
      </c>
      <c r="P77" s="64">
        <v>1.34</v>
      </c>
      <c r="Q77" s="64">
        <v>0</v>
      </c>
      <c r="R77" s="198"/>
      <c r="S77" s="198"/>
      <c r="T77" s="198"/>
      <c r="U77" s="198"/>
    </row>
    <row r="78" spans="1:21" s="12" customFormat="1" x14ac:dyDescent="0.25">
      <c r="A78" s="215" t="s">
        <v>605</v>
      </c>
      <c r="B78" s="64">
        <v>6.65</v>
      </c>
      <c r="C78" s="64">
        <v>52.33</v>
      </c>
      <c r="D78" s="64">
        <v>35.5</v>
      </c>
      <c r="E78" s="64">
        <v>6.87</v>
      </c>
      <c r="F78" s="64">
        <v>13.54</v>
      </c>
      <c r="G78" s="64">
        <v>86.32</v>
      </c>
      <c r="H78" s="64">
        <v>39.81</v>
      </c>
      <c r="I78" s="64">
        <v>1.48</v>
      </c>
      <c r="J78" s="64">
        <v>0.12</v>
      </c>
      <c r="K78" s="64">
        <v>348.91</v>
      </c>
      <c r="L78" s="64">
        <v>24.71</v>
      </c>
      <c r="M78" s="64">
        <v>75.97</v>
      </c>
      <c r="N78" s="64">
        <v>36.5</v>
      </c>
      <c r="O78" s="64">
        <v>0</v>
      </c>
      <c r="P78" s="64">
        <v>0.99</v>
      </c>
      <c r="Q78" s="64">
        <v>2.83</v>
      </c>
      <c r="R78" s="198"/>
      <c r="S78" s="198"/>
      <c r="T78" s="198"/>
      <c r="U78" s="198"/>
    </row>
    <row r="79" spans="1:21" s="12" customFormat="1" x14ac:dyDescent="0.25">
      <c r="A79" s="215" t="s">
        <v>606</v>
      </c>
      <c r="B79" s="64">
        <v>7.73</v>
      </c>
      <c r="C79" s="64">
        <v>60.96</v>
      </c>
      <c r="D79" s="64">
        <v>41.13</v>
      </c>
      <c r="E79" s="64">
        <v>6.7</v>
      </c>
      <c r="F79" s="64">
        <v>11.77</v>
      </c>
      <c r="G79" s="64">
        <v>86.32</v>
      </c>
      <c r="H79" s="64">
        <v>39.81</v>
      </c>
      <c r="I79" s="64">
        <v>1.61</v>
      </c>
      <c r="J79" s="64">
        <v>0.16</v>
      </c>
      <c r="K79" s="64">
        <v>69.86</v>
      </c>
      <c r="L79" s="64">
        <v>24.33</v>
      </c>
      <c r="M79" s="64">
        <v>77.760000000000005</v>
      </c>
      <c r="N79" s="64">
        <v>34.6</v>
      </c>
      <c r="O79" s="64">
        <v>0</v>
      </c>
      <c r="P79" s="64">
        <v>1.19</v>
      </c>
      <c r="Q79" s="64">
        <v>3.72</v>
      </c>
      <c r="R79" s="198"/>
      <c r="S79" s="198"/>
      <c r="T79" s="198"/>
      <c r="U79" s="198"/>
    </row>
    <row r="80" spans="1:21" s="12" customFormat="1" x14ac:dyDescent="0.25">
      <c r="A80" s="215" t="s">
        <v>607</v>
      </c>
      <c r="B80" s="64">
        <v>23.44</v>
      </c>
      <c r="C80" s="64">
        <v>90.2</v>
      </c>
      <c r="D80" s="64">
        <v>69.87</v>
      </c>
      <c r="E80" s="64">
        <v>6.32</v>
      </c>
      <c r="F80" s="64">
        <v>6.43</v>
      </c>
      <c r="G80" s="64">
        <v>86.32</v>
      </c>
      <c r="H80" s="64">
        <v>39.81</v>
      </c>
      <c r="I80" s="64">
        <v>1.48</v>
      </c>
      <c r="J80" s="64">
        <v>0.12</v>
      </c>
      <c r="K80" s="64">
        <v>69.22</v>
      </c>
      <c r="L80" s="64">
        <v>24.1</v>
      </c>
      <c r="M80" s="64">
        <v>79.67</v>
      </c>
      <c r="N80" s="64">
        <v>34.6</v>
      </c>
      <c r="O80" s="64">
        <v>0</v>
      </c>
      <c r="P80" s="64">
        <v>1.71</v>
      </c>
      <c r="Q80" s="64">
        <v>0.71</v>
      </c>
      <c r="R80" s="198"/>
      <c r="S80" s="198"/>
      <c r="T80" s="198"/>
      <c r="U80" s="198"/>
    </row>
    <row r="81" spans="1:26" s="12" customFormat="1" x14ac:dyDescent="0.25">
      <c r="A81" s="215" t="s">
        <v>608</v>
      </c>
      <c r="B81" s="64">
        <v>10.45</v>
      </c>
      <c r="C81" s="64">
        <v>60.97</v>
      </c>
      <c r="D81" s="64">
        <v>43.32</v>
      </c>
      <c r="E81" s="64">
        <v>5.28</v>
      </c>
      <c r="F81" s="64">
        <v>6.48</v>
      </c>
      <c r="G81" s="64">
        <v>111.92</v>
      </c>
      <c r="H81" s="64">
        <v>51.17</v>
      </c>
      <c r="I81" s="64">
        <v>1.43</v>
      </c>
      <c r="J81" s="64">
        <v>0.06</v>
      </c>
      <c r="K81" s="64">
        <v>22.58</v>
      </c>
      <c r="L81" s="64">
        <v>23.9</v>
      </c>
      <c r="M81" s="64">
        <v>80.400000000000006</v>
      </c>
      <c r="N81" s="64">
        <v>34.4</v>
      </c>
      <c r="O81" s="64">
        <v>0</v>
      </c>
      <c r="P81" s="64">
        <v>1.24</v>
      </c>
      <c r="Q81" s="64">
        <v>1.04</v>
      </c>
      <c r="R81" s="198"/>
      <c r="S81" s="198"/>
      <c r="T81" s="198"/>
      <c r="U81" s="198"/>
    </row>
    <row r="82" spans="1:26" s="12" customFormat="1" x14ac:dyDescent="0.25">
      <c r="A82" s="215" t="s">
        <v>609</v>
      </c>
      <c r="B82" s="64">
        <v>14.18</v>
      </c>
      <c r="C82" s="64">
        <v>59.77</v>
      </c>
      <c r="D82" s="64">
        <v>45.65</v>
      </c>
      <c r="E82" s="64">
        <v>3.88</v>
      </c>
      <c r="F82" s="64">
        <v>5.57</v>
      </c>
      <c r="G82" s="64">
        <v>111.92</v>
      </c>
      <c r="H82" s="64">
        <v>51.17</v>
      </c>
      <c r="I82" s="64">
        <v>1.53</v>
      </c>
      <c r="J82" s="64">
        <v>0.11</v>
      </c>
      <c r="K82" s="64">
        <v>73.22</v>
      </c>
      <c r="L82" s="64">
        <v>23.84</v>
      </c>
      <c r="M82" s="64">
        <v>76.83</v>
      </c>
      <c r="N82" s="64">
        <v>34.4</v>
      </c>
      <c r="O82" s="64">
        <v>0</v>
      </c>
      <c r="P82" s="64">
        <v>1.41</v>
      </c>
      <c r="Q82" s="64">
        <v>3.05</v>
      </c>
      <c r="R82" s="198"/>
      <c r="S82" s="198"/>
      <c r="T82" s="198"/>
      <c r="U82" s="198"/>
    </row>
    <row r="83" spans="1:26" s="12" customFormat="1" x14ac:dyDescent="0.25">
      <c r="A83" s="215" t="s">
        <v>610</v>
      </c>
      <c r="B83" s="64">
        <v>6.23</v>
      </c>
      <c r="C83" s="64">
        <v>62.47</v>
      </c>
      <c r="D83" s="64">
        <v>40.770000000000003</v>
      </c>
      <c r="E83" s="64">
        <v>4.5199999999999996</v>
      </c>
      <c r="F83" s="64">
        <v>13.54</v>
      </c>
      <c r="G83" s="64">
        <v>111.92</v>
      </c>
      <c r="H83" s="64">
        <v>51.17</v>
      </c>
      <c r="I83" s="64">
        <v>1.52</v>
      </c>
      <c r="J83" s="64">
        <v>0.17</v>
      </c>
      <c r="K83" s="64">
        <v>85.56</v>
      </c>
      <c r="L83" s="64">
        <v>23.81</v>
      </c>
      <c r="M83" s="64">
        <v>75.78</v>
      </c>
      <c r="N83" s="64">
        <v>34.1</v>
      </c>
      <c r="O83" s="64">
        <v>0</v>
      </c>
      <c r="P83" s="64">
        <v>1.26</v>
      </c>
      <c r="Q83" s="64">
        <v>2.11</v>
      </c>
      <c r="R83" s="198"/>
      <c r="S83" s="198"/>
      <c r="T83" s="198"/>
      <c r="U83" s="198"/>
    </row>
    <row r="84" spans="1:26" s="12" customFormat="1" x14ac:dyDescent="0.25">
      <c r="A84" s="215" t="s">
        <v>611</v>
      </c>
      <c r="B84" s="64">
        <v>3.99</v>
      </c>
      <c r="C84" s="64">
        <v>49.96</v>
      </c>
      <c r="D84" s="64">
        <v>32.06</v>
      </c>
      <c r="E84" s="64">
        <v>5.36</v>
      </c>
      <c r="F84" s="64">
        <v>12.59</v>
      </c>
      <c r="G84" s="64">
        <v>111.92</v>
      </c>
      <c r="H84" s="64">
        <v>51.17</v>
      </c>
      <c r="I84" s="64">
        <v>1.51</v>
      </c>
      <c r="J84" s="64">
        <v>0.22</v>
      </c>
      <c r="K84" s="64">
        <v>86.22</v>
      </c>
      <c r="L84" s="64">
        <v>23.77</v>
      </c>
      <c r="M84" s="64">
        <v>75.8</v>
      </c>
      <c r="N84" s="64">
        <v>33.5</v>
      </c>
      <c r="O84" s="64">
        <v>0</v>
      </c>
      <c r="P84" s="64">
        <v>1.1000000000000001</v>
      </c>
      <c r="Q84" s="64">
        <v>3.51</v>
      </c>
      <c r="R84" s="198"/>
      <c r="S84" s="198"/>
      <c r="T84" s="198"/>
      <c r="U84" s="198"/>
    </row>
    <row r="85" spans="1:26" s="12" customFormat="1" x14ac:dyDescent="0.25">
      <c r="A85" s="215" t="s">
        <v>612</v>
      </c>
      <c r="B85" s="64">
        <v>5.85</v>
      </c>
      <c r="C85" s="64">
        <v>36</v>
      </c>
      <c r="D85" s="64">
        <v>25.85</v>
      </c>
      <c r="E85" s="64">
        <v>3.96</v>
      </c>
      <c r="F85" s="64">
        <v>4.2</v>
      </c>
      <c r="G85" s="64">
        <v>112.08</v>
      </c>
      <c r="H85" s="64">
        <v>54.3</v>
      </c>
      <c r="I85" s="64">
        <v>1.49</v>
      </c>
      <c r="J85" s="64">
        <v>0.11</v>
      </c>
      <c r="K85" s="64">
        <v>88.59</v>
      </c>
      <c r="L85" s="64">
        <v>23.53</v>
      </c>
      <c r="M85" s="64">
        <v>77.28</v>
      </c>
      <c r="N85" s="64">
        <v>33.700000000000003</v>
      </c>
      <c r="O85" s="64">
        <v>0</v>
      </c>
      <c r="P85" s="64">
        <v>1.08</v>
      </c>
      <c r="Q85" s="64">
        <v>4.38</v>
      </c>
      <c r="R85" s="198"/>
      <c r="S85" s="198"/>
      <c r="T85" s="198"/>
      <c r="U85" s="198"/>
    </row>
    <row r="86" spans="1:26" s="12" customFormat="1" x14ac:dyDescent="0.25">
      <c r="A86" s="215" t="s">
        <v>613</v>
      </c>
      <c r="B86" s="64">
        <v>13.74</v>
      </c>
      <c r="C86" s="64">
        <v>42.17</v>
      </c>
      <c r="D86" s="64">
        <v>35.590000000000003</v>
      </c>
      <c r="E86" s="64">
        <v>3.17</v>
      </c>
      <c r="F86" s="64">
        <v>3.57</v>
      </c>
      <c r="G86" s="64">
        <v>112.08</v>
      </c>
      <c r="H86" s="64">
        <v>54.3</v>
      </c>
      <c r="I86" s="64">
        <v>1.53</v>
      </c>
      <c r="J86" s="64">
        <v>0.08</v>
      </c>
      <c r="K86" s="64">
        <v>348.42</v>
      </c>
      <c r="L86" s="64">
        <v>23.35</v>
      </c>
      <c r="M86" s="64">
        <v>78.98</v>
      </c>
      <c r="N86" s="64">
        <v>34.1</v>
      </c>
      <c r="O86" s="64">
        <v>0</v>
      </c>
      <c r="P86" s="64">
        <v>1.37</v>
      </c>
      <c r="Q86" s="64">
        <v>3.91</v>
      </c>
      <c r="R86" s="198"/>
      <c r="S86" s="198"/>
      <c r="T86" s="198"/>
      <c r="U86" s="198"/>
    </row>
    <row r="87" spans="1:26" s="12" customFormat="1" x14ac:dyDescent="0.25">
      <c r="A87" s="215" t="s">
        <v>614</v>
      </c>
      <c r="B87" s="64">
        <v>10.15</v>
      </c>
      <c r="C87" s="64">
        <v>53.55</v>
      </c>
      <c r="D87" s="64">
        <v>38.979999999999997</v>
      </c>
      <c r="E87" s="64">
        <v>3.34</v>
      </c>
      <c r="F87" s="64">
        <v>4.8899999999999997</v>
      </c>
      <c r="G87" s="64">
        <v>112.08</v>
      </c>
      <c r="H87" s="64">
        <v>54.3</v>
      </c>
      <c r="I87" s="64">
        <v>1.49</v>
      </c>
      <c r="J87" s="64">
        <v>0.19</v>
      </c>
      <c r="K87" s="64">
        <v>86.14</v>
      </c>
      <c r="L87" s="64">
        <v>23.19</v>
      </c>
      <c r="M87" s="64">
        <v>79.92</v>
      </c>
      <c r="N87" s="64">
        <v>34.1</v>
      </c>
      <c r="O87" s="64">
        <v>0</v>
      </c>
      <c r="P87" s="64">
        <v>1.4</v>
      </c>
      <c r="Q87" s="64">
        <v>2.9</v>
      </c>
      <c r="R87" s="198"/>
      <c r="S87" s="198"/>
      <c r="T87" s="198"/>
      <c r="U87" s="198"/>
    </row>
    <row r="88" spans="1:26" s="12" customFormat="1" x14ac:dyDescent="0.25">
      <c r="A88" s="215" t="s">
        <v>615</v>
      </c>
      <c r="B88" s="64">
        <v>7.37</v>
      </c>
      <c r="C88" s="64">
        <v>36.83</v>
      </c>
      <c r="D88" s="64">
        <v>27.53</v>
      </c>
      <c r="E88" s="64">
        <v>2.17</v>
      </c>
      <c r="F88" s="64">
        <v>6.16</v>
      </c>
      <c r="G88" s="64">
        <v>112.08</v>
      </c>
      <c r="H88" s="64">
        <v>54.3</v>
      </c>
      <c r="I88" s="64">
        <v>1.49</v>
      </c>
      <c r="J88" s="64">
        <v>0.22</v>
      </c>
      <c r="K88" s="64">
        <v>99.3</v>
      </c>
      <c r="L88" s="64">
        <v>23.11</v>
      </c>
      <c r="M88" s="64">
        <v>80.180000000000007</v>
      </c>
      <c r="N88" s="64">
        <v>34.299999999999997</v>
      </c>
      <c r="O88" s="64">
        <v>0</v>
      </c>
      <c r="P88" s="64">
        <v>1.22</v>
      </c>
      <c r="Q88" s="64">
        <v>3.76</v>
      </c>
      <c r="R88" s="198"/>
      <c r="S88" s="198"/>
      <c r="T88" s="198"/>
      <c r="U88" s="198"/>
    </row>
    <row r="89" spans="1:26" s="12" customFormat="1" x14ac:dyDescent="0.25">
      <c r="A89" s="215" t="s">
        <v>616</v>
      </c>
      <c r="B89" s="64">
        <v>6.39</v>
      </c>
      <c r="C89" s="64">
        <v>42.16</v>
      </c>
      <c r="D89" s="64">
        <v>29.69</v>
      </c>
      <c r="E89" s="64">
        <v>4.0999999999999996</v>
      </c>
      <c r="F89" s="64">
        <v>8.31</v>
      </c>
      <c r="G89" s="64">
        <v>118.44</v>
      </c>
      <c r="H89" s="64">
        <v>61.18</v>
      </c>
      <c r="I89" s="64">
        <v>1.5</v>
      </c>
      <c r="J89" s="64">
        <v>0.09</v>
      </c>
      <c r="K89" s="64">
        <v>79.25</v>
      </c>
      <c r="L89" s="64">
        <v>22.95</v>
      </c>
      <c r="M89" s="64">
        <v>80.930000000000007</v>
      </c>
      <c r="N89" s="64">
        <v>34.5</v>
      </c>
      <c r="O89" s="64">
        <v>0</v>
      </c>
      <c r="P89" s="64">
        <v>1.22</v>
      </c>
      <c r="Q89" s="64">
        <v>3.73</v>
      </c>
      <c r="R89" s="198"/>
      <c r="S89" s="198"/>
      <c r="T89" s="198"/>
      <c r="U89" s="198"/>
    </row>
    <row r="90" spans="1:26" s="12" customFormat="1" x14ac:dyDescent="0.25">
      <c r="A90" s="215" t="s">
        <v>617</v>
      </c>
      <c r="B90" s="64">
        <v>10.06</v>
      </c>
      <c r="C90" s="64">
        <v>37.83</v>
      </c>
      <c r="D90" s="64">
        <v>30.24</v>
      </c>
      <c r="E90" s="64">
        <v>3.09</v>
      </c>
      <c r="F90" s="64">
        <v>2.71</v>
      </c>
      <c r="G90" s="64">
        <v>118.44</v>
      </c>
      <c r="H90" s="64">
        <v>61.18</v>
      </c>
      <c r="I90" s="64">
        <v>1.5</v>
      </c>
      <c r="J90" s="64">
        <v>0.17</v>
      </c>
      <c r="K90" s="64">
        <v>82.53</v>
      </c>
      <c r="L90" s="64">
        <v>22.91</v>
      </c>
      <c r="M90" s="64">
        <v>79.97</v>
      </c>
      <c r="N90" s="64">
        <v>34.5</v>
      </c>
      <c r="O90" s="64">
        <v>0</v>
      </c>
      <c r="P90" s="64">
        <v>1.24</v>
      </c>
      <c r="Q90" s="64">
        <v>4.03</v>
      </c>
      <c r="R90" s="198"/>
      <c r="S90" s="198"/>
      <c r="T90" s="198"/>
      <c r="U90" s="198"/>
    </row>
    <row r="91" spans="1:26" s="12" customFormat="1" x14ac:dyDescent="0.25">
      <c r="A91" s="215" t="s">
        <v>618</v>
      </c>
      <c r="B91" s="64">
        <v>24.93</v>
      </c>
      <c r="C91" s="64">
        <v>52.69</v>
      </c>
      <c r="D91" s="64">
        <v>50.37</v>
      </c>
      <c r="E91" s="64">
        <v>4.12</v>
      </c>
      <c r="F91" s="64">
        <v>2.68</v>
      </c>
      <c r="G91" s="64">
        <v>118.44</v>
      </c>
      <c r="H91" s="64">
        <v>61.18</v>
      </c>
      <c r="I91" s="64">
        <v>1.51</v>
      </c>
      <c r="J91" s="64">
        <v>0.06</v>
      </c>
      <c r="K91" s="64">
        <v>331.77</v>
      </c>
      <c r="L91" s="64">
        <v>22.8</v>
      </c>
      <c r="M91" s="64">
        <v>80.52</v>
      </c>
      <c r="N91" s="64">
        <v>34.6</v>
      </c>
      <c r="O91" s="64">
        <v>0</v>
      </c>
      <c r="P91" s="64">
        <v>1.55</v>
      </c>
      <c r="Q91" s="64">
        <v>1.94</v>
      </c>
      <c r="R91" s="198"/>
      <c r="S91" s="198"/>
      <c r="T91" s="198"/>
      <c r="U91" s="198"/>
    </row>
    <row r="92" spans="1:26" s="12" customFormat="1" x14ac:dyDescent="0.25">
      <c r="A92" s="215" t="s">
        <v>619</v>
      </c>
      <c r="B92" s="64">
        <v>18.440000000000001</v>
      </c>
      <c r="C92" s="64">
        <v>60.99</v>
      </c>
      <c r="D92" s="64">
        <v>49.74</v>
      </c>
      <c r="E92" s="64">
        <v>5.43</v>
      </c>
      <c r="F92" s="64">
        <v>4.0199999999999996</v>
      </c>
      <c r="G92" s="64">
        <v>118.44</v>
      </c>
      <c r="H92" s="64">
        <v>61.18</v>
      </c>
      <c r="I92" s="64">
        <v>1.57</v>
      </c>
      <c r="J92" s="64">
        <v>0.15</v>
      </c>
      <c r="K92" s="64">
        <v>80.23</v>
      </c>
      <c r="L92" s="64">
        <v>22.66</v>
      </c>
      <c r="M92" s="64">
        <v>81.14</v>
      </c>
      <c r="N92" s="64">
        <v>34.5</v>
      </c>
      <c r="O92" s="64">
        <v>0</v>
      </c>
      <c r="P92" s="64">
        <v>1.61</v>
      </c>
      <c r="Q92" s="64">
        <v>0.81</v>
      </c>
      <c r="R92" s="198"/>
      <c r="S92" s="198"/>
      <c r="T92" s="198"/>
      <c r="U92" s="198"/>
    </row>
    <row r="93" spans="1:26" s="12" customFormat="1" x14ac:dyDescent="0.25">
      <c r="A93" s="215" t="s">
        <v>620</v>
      </c>
      <c r="B93" s="64">
        <v>14.87</v>
      </c>
      <c r="C93" s="64">
        <v>39.520000000000003</v>
      </c>
      <c r="D93" s="64">
        <v>35.020000000000003</v>
      </c>
      <c r="E93" s="64">
        <v>4.07</v>
      </c>
      <c r="F93" s="64">
        <v>2.96</v>
      </c>
      <c r="G93" s="64">
        <v>123.24</v>
      </c>
      <c r="H93" s="64">
        <v>64.680000000000007</v>
      </c>
      <c r="I93" s="64">
        <v>1.48</v>
      </c>
      <c r="J93" s="64">
        <v>0.11</v>
      </c>
      <c r="K93" s="64">
        <v>57.66</v>
      </c>
      <c r="L93" s="64">
        <v>22.61</v>
      </c>
      <c r="M93" s="64">
        <v>81.86</v>
      </c>
      <c r="N93" s="64">
        <v>34.4</v>
      </c>
      <c r="O93" s="64">
        <v>0</v>
      </c>
      <c r="P93" s="64">
        <v>1.44</v>
      </c>
      <c r="Q93" s="64">
        <v>3.5</v>
      </c>
      <c r="R93" s="198"/>
      <c r="S93" s="198"/>
      <c r="T93" s="198"/>
      <c r="U93" s="198"/>
    </row>
    <row r="94" spans="1:26" s="12" customFormat="1" x14ac:dyDescent="0.25">
      <c r="A94" s="215" t="s">
        <v>621</v>
      </c>
      <c r="B94" s="64">
        <v>21.52</v>
      </c>
      <c r="C94" s="64">
        <v>59.65</v>
      </c>
      <c r="D94" s="64">
        <v>51.47</v>
      </c>
      <c r="E94" s="64">
        <v>3.69</v>
      </c>
      <c r="F94" s="64">
        <v>2.16</v>
      </c>
      <c r="G94" s="64">
        <v>123.24</v>
      </c>
      <c r="H94" s="64">
        <v>64.680000000000007</v>
      </c>
      <c r="I94" s="64">
        <v>1.56</v>
      </c>
      <c r="J94" s="64">
        <v>0.08</v>
      </c>
      <c r="K94" s="64">
        <v>79.59</v>
      </c>
      <c r="L94" s="64">
        <v>22.46</v>
      </c>
      <c r="M94" s="64">
        <v>83.5</v>
      </c>
      <c r="N94" s="64">
        <v>34.299999999999997</v>
      </c>
      <c r="O94" s="64">
        <v>0</v>
      </c>
      <c r="P94" s="64">
        <v>1.65</v>
      </c>
      <c r="Q94" s="64">
        <v>2.87</v>
      </c>
      <c r="R94" s="198"/>
      <c r="S94" s="198"/>
      <c r="T94" s="198"/>
      <c r="U94" s="198"/>
    </row>
    <row r="95" spans="1:26" s="12" customFormat="1" x14ac:dyDescent="0.25">
      <c r="A95" s="215" t="s">
        <v>622</v>
      </c>
      <c r="B95" s="64">
        <v>17.559999999999999</v>
      </c>
      <c r="C95" s="64">
        <v>32.82</v>
      </c>
      <c r="D95" s="64">
        <v>33.49</v>
      </c>
      <c r="E95" s="64">
        <v>4.18</v>
      </c>
      <c r="F95" s="64">
        <v>1.83</v>
      </c>
      <c r="G95" s="64">
        <v>123.24</v>
      </c>
      <c r="H95" s="64">
        <v>64.680000000000007</v>
      </c>
      <c r="I95" s="64">
        <v>1.5</v>
      </c>
      <c r="J95" s="64">
        <v>0.05</v>
      </c>
      <c r="K95" s="64">
        <v>34.24</v>
      </c>
      <c r="L95" s="64">
        <v>22.34</v>
      </c>
      <c r="M95" s="64">
        <v>84.33</v>
      </c>
      <c r="N95" s="64">
        <v>34.200000000000003</v>
      </c>
      <c r="O95" s="64">
        <v>0</v>
      </c>
      <c r="P95" s="64">
        <v>1.39</v>
      </c>
      <c r="Q95" s="64">
        <v>3.59</v>
      </c>
      <c r="R95" s="198"/>
      <c r="S95" s="198"/>
      <c r="T95" s="198"/>
      <c r="U95" s="198"/>
    </row>
    <row r="96" spans="1:26" s="12" customFormat="1" x14ac:dyDescent="0.25">
      <c r="A96" s="215" t="s">
        <v>623</v>
      </c>
      <c r="B96" s="64">
        <v>17.89</v>
      </c>
      <c r="C96" s="64">
        <v>45.6</v>
      </c>
      <c r="D96" s="64">
        <v>40.799999999999997</v>
      </c>
      <c r="E96" s="64">
        <v>3.01</v>
      </c>
      <c r="F96" s="64">
        <v>1.85</v>
      </c>
      <c r="G96" s="64">
        <v>123.24</v>
      </c>
      <c r="H96" s="64">
        <v>64.680000000000007</v>
      </c>
      <c r="I96" s="64">
        <v>1.51</v>
      </c>
      <c r="J96" s="64">
        <v>0.12</v>
      </c>
      <c r="K96" s="64">
        <v>83.72</v>
      </c>
      <c r="L96" s="64">
        <v>22.28</v>
      </c>
      <c r="M96" s="64">
        <v>85.24</v>
      </c>
      <c r="N96" s="64">
        <v>34.200000000000003</v>
      </c>
      <c r="O96" s="64">
        <v>0</v>
      </c>
      <c r="P96" s="64">
        <v>1.43</v>
      </c>
      <c r="Q96" s="64">
        <v>4.49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624</v>
      </c>
      <c r="B97" s="64">
        <v>17.649999999999999</v>
      </c>
      <c r="C97" s="64">
        <v>31.7</v>
      </c>
      <c r="D97" s="64">
        <v>32.94</v>
      </c>
      <c r="E97" s="64">
        <v>3.44</v>
      </c>
      <c r="F97" s="64">
        <v>1.61</v>
      </c>
      <c r="G97" s="64">
        <v>129.4</v>
      </c>
      <c r="H97" s="64">
        <v>68.61</v>
      </c>
      <c r="I97" s="64">
        <v>1.52</v>
      </c>
      <c r="J97" s="64">
        <v>0.09</v>
      </c>
      <c r="K97" s="64">
        <v>65.319999999999993</v>
      </c>
      <c r="L97" s="64">
        <v>22.19</v>
      </c>
      <c r="M97" s="64">
        <v>85.83</v>
      </c>
      <c r="N97" s="64">
        <v>34.4</v>
      </c>
      <c r="O97" s="64">
        <v>0</v>
      </c>
      <c r="P97" s="64">
        <v>1.41</v>
      </c>
      <c r="Q97" s="64">
        <v>3.98</v>
      </c>
      <c r="R97" s="198"/>
      <c r="S97" s="198"/>
      <c r="T97" s="198"/>
      <c r="U97" s="198"/>
    </row>
    <row r="98" spans="1:33" s="12" customFormat="1" x14ac:dyDescent="0.25">
      <c r="A98" s="215" t="s">
        <v>625</v>
      </c>
      <c r="B98" s="64">
        <v>32.46</v>
      </c>
      <c r="C98" s="64">
        <v>43.1</v>
      </c>
      <c r="D98" s="64">
        <v>51.11</v>
      </c>
      <c r="E98" s="64">
        <v>3.83</v>
      </c>
      <c r="F98" s="64">
        <v>1.02</v>
      </c>
      <c r="G98" s="64">
        <v>129.4</v>
      </c>
      <c r="H98" s="64">
        <v>68.61</v>
      </c>
      <c r="I98" s="64">
        <v>1.49</v>
      </c>
      <c r="J98" s="64">
        <v>0.11</v>
      </c>
      <c r="K98" s="64">
        <v>76.05</v>
      </c>
      <c r="L98" s="64">
        <v>21.97</v>
      </c>
      <c r="M98" s="64">
        <v>87.36</v>
      </c>
      <c r="N98" s="64">
        <v>34.4</v>
      </c>
      <c r="O98" s="64">
        <v>0</v>
      </c>
      <c r="P98" s="64">
        <v>1.52</v>
      </c>
      <c r="Q98" s="64">
        <v>2.54</v>
      </c>
      <c r="R98" s="198"/>
      <c r="S98" s="198"/>
      <c r="T98" s="198"/>
      <c r="U98" s="198"/>
    </row>
    <row r="99" spans="1:33" s="12" customFormat="1" x14ac:dyDescent="0.25">
      <c r="A99" s="215" t="s">
        <v>626</v>
      </c>
      <c r="B99" s="64">
        <v>13.5</v>
      </c>
      <c r="C99" s="64">
        <v>37.81</v>
      </c>
      <c r="D99" s="64">
        <v>32.979999999999997</v>
      </c>
      <c r="E99" s="64">
        <v>4.34</v>
      </c>
      <c r="F99" s="64">
        <v>4.3499999999999996</v>
      </c>
      <c r="G99" s="64">
        <v>129.4</v>
      </c>
      <c r="H99" s="64">
        <v>68.61</v>
      </c>
      <c r="I99" s="64">
        <v>1.57</v>
      </c>
      <c r="J99" s="64">
        <v>0.09</v>
      </c>
      <c r="K99" s="64">
        <v>86.08</v>
      </c>
      <c r="L99" s="64">
        <v>21.86</v>
      </c>
      <c r="M99" s="64">
        <v>87.38</v>
      </c>
      <c r="N99" s="64">
        <v>34.5</v>
      </c>
      <c r="O99" s="64">
        <v>0</v>
      </c>
      <c r="P99" s="64">
        <v>1.33</v>
      </c>
      <c r="Q99" s="64">
        <v>4.47</v>
      </c>
      <c r="R99" s="198"/>
      <c r="S99" s="198"/>
      <c r="T99" s="198"/>
      <c r="U99" s="198"/>
    </row>
    <row r="100" spans="1:33" s="12" customFormat="1" x14ac:dyDescent="0.25">
      <c r="A100" s="215" t="s">
        <v>627</v>
      </c>
      <c r="B100" s="64">
        <v>16.23</v>
      </c>
      <c r="C100" s="64">
        <v>41.23</v>
      </c>
      <c r="D100" s="64">
        <v>37.06</v>
      </c>
      <c r="E100" s="64">
        <v>4.54</v>
      </c>
      <c r="F100" s="64">
        <v>4.1399999999999997</v>
      </c>
      <c r="G100" s="64">
        <v>129.4</v>
      </c>
      <c r="H100" s="64">
        <v>68.61</v>
      </c>
      <c r="I100" s="64">
        <v>1.53</v>
      </c>
      <c r="J100" s="64">
        <v>0.06</v>
      </c>
      <c r="K100" s="64">
        <v>345.1</v>
      </c>
      <c r="L100" s="64">
        <v>21.71</v>
      </c>
      <c r="M100" s="64">
        <v>89.76</v>
      </c>
      <c r="N100" s="64">
        <v>34.700000000000003</v>
      </c>
      <c r="O100" s="64">
        <v>0</v>
      </c>
      <c r="P100" s="64">
        <v>1.39</v>
      </c>
      <c r="Q100" s="64">
        <v>4.78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628</v>
      </c>
      <c r="B101" s="64">
        <v>14.87</v>
      </c>
      <c r="C101" s="64">
        <v>33.6</v>
      </c>
      <c r="D101" s="64">
        <v>31.76</v>
      </c>
      <c r="E101" s="64">
        <v>4.03</v>
      </c>
      <c r="F101" s="64">
        <v>3.84</v>
      </c>
      <c r="G101" s="64">
        <v>126.96</v>
      </c>
      <c r="H101" s="64">
        <v>71.77</v>
      </c>
      <c r="I101" s="64">
        <v>1.5</v>
      </c>
      <c r="J101" s="64">
        <v>0.22</v>
      </c>
      <c r="K101" s="64">
        <v>106.57</v>
      </c>
      <c r="L101" s="64">
        <v>21.72</v>
      </c>
      <c r="M101" s="64">
        <v>88.35</v>
      </c>
      <c r="N101" s="64">
        <v>34.4</v>
      </c>
      <c r="O101" s="64">
        <v>0</v>
      </c>
      <c r="P101" s="64">
        <v>1.31</v>
      </c>
      <c r="Q101" s="64">
        <v>4.9800000000000004</v>
      </c>
      <c r="R101" s="198"/>
      <c r="S101" s="198"/>
      <c r="T101" s="198"/>
      <c r="U101" s="198"/>
    </row>
    <row r="102" spans="1:33" s="12" customFormat="1" x14ac:dyDescent="0.25">
      <c r="A102" s="215" t="s">
        <v>629</v>
      </c>
      <c r="B102" s="64">
        <v>14.46</v>
      </c>
      <c r="C102" s="64">
        <v>26.96</v>
      </c>
      <c r="D102" s="64">
        <v>27.77</v>
      </c>
      <c r="E102" s="64">
        <v>3.94</v>
      </c>
      <c r="F102" s="64">
        <v>2.83</v>
      </c>
      <c r="G102" s="64">
        <v>126.96</v>
      </c>
      <c r="H102" s="64">
        <v>71.77</v>
      </c>
      <c r="I102" s="64">
        <v>1.49</v>
      </c>
      <c r="J102" s="64">
        <v>0.26</v>
      </c>
      <c r="K102" s="64">
        <v>102.7</v>
      </c>
      <c r="L102" s="64">
        <v>21.87</v>
      </c>
      <c r="M102" s="64">
        <v>87.36</v>
      </c>
      <c r="N102" s="64">
        <v>34.299999999999997</v>
      </c>
      <c r="O102" s="64">
        <v>0</v>
      </c>
      <c r="P102" s="64">
        <v>1.27</v>
      </c>
      <c r="Q102" s="64">
        <v>5.41</v>
      </c>
      <c r="R102" s="198"/>
      <c r="S102" s="198"/>
      <c r="T102" s="198"/>
      <c r="U102" s="198"/>
    </row>
    <row r="103" spans="1:33" s="12" customFormat="1" x14ac:dyDescent="0.25">
      <c r="A103" s="215" t="s">
        <v>630</v>
      </c>
      <c r="B103" s="64">
        <v>11.71</v>
      </c>
      <c r="C103" s="64">
        <v>30.73</v>
      </c>
      <c r="D103" s="64">
        <v>27.64</v>
      </c>
      <c r="E103" s="64">
        <v>4.45</v>
      </c>
      <c r="F103" s="64">
        <v>8.5500000000000007</v>
      </c>
      <c r="G103" s="64">
        <v>126.96</v>
      </c>
      <c r="H103" s="64">
        <v>71.77</v>
      </c>
      <c r="I103" s="64">
        <v>1.54</v>
      </c>
      <c r="J103" s="64">
        <v>0.16</v>
      </c>
      <c r="K103" s="64">
        <v>75.59</v>
      </c>
      <c r="L103" s="64">
        <v>21.82</v>
      </c>
      <c r="M103" s="64">
        <v>87.35</v>
      </c>
      <c r="N103" s="64">
        <v>34.700000000000003</v>
      </c>
      <c r="O103" s="64">
        <v>0</v>
      </c>
      <c r="P103" s="64">
        <v>1.08</v>
      </c>
      <c r="Q103" s="64">
        <v>5.32</v>
      </c>
      <c r="R103" s="198"/>
      <c r="S103" s="198"/>
      <c r="T103" s="198"/>
      <c r="U103" s="198"/>
    </row>
    <row r="104" spans="1:33" s="12" customFormat="1" x14ac:dyDescent="0.25">
      <c r="A104" s="215" t="s">
        <v>631</v>
      </c>
      <c r="B104" s="64">
        <v>13.12</v>
      </c>
      <c r="C104" s="64">
        <v>23.43</v>
      </c>
      <c r="D104" s="64">
        <v>24.75</v>
      </c>
      <c r="E104" s="64">
        <v>1.93</v>
      </c>
      <c r="F104" s="64">
        <v>4.18</v>
      </c>
      <c r="G104" s="64">
        <v>126.96</v>
      </c>
      <c r="H104" s="64">
        <v>71.77</v>
      </c>
      <c r="I104" s="64">
        <v>1.46</v>
      </c>
      <c r="J104" s="64">
        <v>0.1</v>
      </c>
      <c r="K104" s="64">
        <v>56.65</v>
      </c>
      <c r="L104" s="64">
        <v>21.68</v>
      </c>
      <c r="M104" s="64">
        <v>88.58</v>
      </c>
      <c r="N104" s="64">
        <v>34.799999999999997</v>
      </c>
      <c r="O104" s="64">
        <v>0</v>
      </c>
      <c r="P104" s="64">
        <v>1.25</v>
      </c>
      <c r="Q104" s="64">
        <v>5.49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2.0299999999999998</v>
      </c>
      <c r="C106" s="67">
        <f>MIN(C9:C104)</f>
        <v>12.74</v>
      </c>
      <c r="D106" s="67">
        <f t="shared" ref="D106:Q106" si="0">MIN(D9:D104)</f>
        <v>14.14</v>
      </c>
      <c r="E106" s="67">
        <f t="shared" si="0"/>
        <v>0.3</v>
      </c>
      <c r="F106" s="67">
        <f t="shared" si="0"/>
        <v>0.03</v>
      </c>
      <c r="G106" s="67">
        <f t="shared" si="0"/>
        <v>25.66</v>
      </c>
      <c r="H106" s="67">
        <f t="shared" si="0"/>
        <v>19.14</v>
      </c>
      <c r="I106" s="67">
        <f t="shared" si="0"/>
        <v>1.41</v>
      </c>
      <c r="J106" s="67">
        <f t="shared" si="0"/>
        <v>0.02</v>
      </c>
      <c r="K106" s="67">
        <f t="shared" si="0"/>
        <v>5.95</v>
      </c>
      <c r="L106" s="67">
        <f t="shared" si="0"/>
        <v>19.89</v>
      </c>
      <c r="M106" s="67">
        <f t="shared" si="0"/>
        <v>53.93</v>
      </c>
      <c r="N106" s="67">
        <f t="shared" si="0"/>
        <v>21.4</v>
      </c>
      <c r="O106" s="67">
        <f t="shared" si="0"/>
        <v>0</v>
      </c>
      <c r="P106" s="67">
        <f t="shared" si="0"/>
        <v>0.47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32.46</v>
      </c>
      <c r="C107" s="66">
        <f t="shared" ref="C107:Q107" si="1">MAX(C9:C104)</f>
        <v>90.2</v>
      </c>
      <c r="D107" s="66">
        <f t="shared" si="1"/>
        <v>69.87</v>
      </c>
      <c r="E107" s="66">
        <f t="shared" si="1"/>
        <v>26.92</v>
      </c>
      <c r="F107" s="66">
        <f t="shared" si="1"/>
        <v>25.82</v>
      </c>
      <c r="G107" s="66">
        <f t="shared" si="1"/>
        <v>129.4</v>
      </c>
      <c r="H107" s="66">
        <f t="shared" si="1"/>
        <v>71.77</v>
      </c>
      <c r="I107" s="66">
        <f t="shared" si="1"/>
        <v>1.61</v>
      </c>
      <c r="J107" s="66">
        <f t="shared" si="1"/>
        <v>1.24</v>
      </c>
      <c r="K107" s="66">
        <f t="shared" si="1"/>
        <v>355.3</v>
      </c>
      <c r="L107" s="66">
        <f t="shared" si="1"/>
        <v>30.16</v>
      </c>
      <c r="M107" s="66">
        <f t="shared" si="1"/>
        <v>98.58</v>
      </c>
      <c r="N107" s="66">
        <f t="shared" si="1"/>
        <v>824.6</v>
      </c>
      <c r="O107" s="66">
        <f t="shared" si="1"/>
        <v>0</v>
      </c>
      <c r="P107" s="66">
        <f t="shared" si="1"/>
        <v>1.71</v>
      </c>
      <c r="Q107" s="66">
        <f t="shared" si="1"/>
        <v>6.51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13.923125000000001</v>
      </c>
      <c r="C108" s="67">
        <f t="shared" ref="C108:Q108" si="2">AVERAGE(C9:C104)</f>
        <v>31.037499999999994</v>
      </c>
      <c r="D108" s="67">
        <f t="shared" si="2"/>
        <v>29.586354166666663</v>
      </c>
      <c r="E108" s="67">
        <f t="shared" si="2"/>
        <v>3.2759756097560975</v>
      </c>
      <c r="F108" s="67">
        <f t="shared" si="2"/>
        <v>5.4583333333333313</v>
      </c>
      <c r="G108" s="67">
        <f t="shared" si="2"/>
        <v>77.833913043478219</v>
      </c>
      <c r="H108" s="67">
        <f t="shared" si="2"/>
        <v>37.712608695652172</v>
      </c>
      <c r="I108" s="67">
        <f t="shared" si="2"/>
        <v>1.5025000000000006</v>
      </c>
      <c r="J108" s="67">
        <f t="shared" si="2"/>
        <v>0.30989583333333331</v>
      </c>
      <c r="K108" s="67">
        <f t="shared" si="2"/>
        <v>157.14739583333332</v>
      </c>
      <c r="L108" s="67">
        <f t="shared" si="2"/>
        <v>23.662187499999991</v>
      </c>
      <c r="M108" s="67">
        <f t="shared" si="2"/>
        <v>80.016562500000035</v>
      </c>
      <c r="N108" s="67">
        <f t="shared" si="2"/>
        <v>177.78229166666668</v>
      </c>
      <c r="O108" s="67">
        <f t="shared" si="2"/>
        <v>0</v>
      </c>
      <c r="P108" s="67">
        <f t="shared" si="2"/>
        <v>0.92479166666666668</v>
      </c>
      <c r="Q108" s="67">
        <f t="shared" si="2"/>
        <v>4.7577083333333325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6.1846719374340502</v>
      </c>
      <c r="C109" s="67">
        <f t="shared" ref="C109:Q109" si="3">STDEV(C9:C104)</f>
        <v>15.597275200630749</v>
      </c>
      <c r="D109" s="67">
        <f t="shared" si="3"/>
        <v>9.450439379347376</v>
      </c>
      <c r="E109" s="67">
        <f t="shared" si="3"/>
        <v>4.0884893705048455</v>
      </c>
      <c r="F109" s="67">
        <f t="shared" si="3"/>
        <v>6.0066310141668353</v>
      </c>
      <c r="G109" s="67">
        <f t="shared" si="3"/>
        <v>34.390833207348486</v>
      </c>
      <c r="H109" s="67">
        <f t="shared" si="3"/>
        <v>16.117920738857755</v>
      </c>
      <c r="I109" s="67">
        <f t="shared" si="3"/>
        <v>4.3841820937979968E-2</v>
      </c>
      <c r="J109" s="67">
        <f t="shared" si="3"/>
        <v>0.27316274228366105</v>
      </c>
      <c r="K109" s="67">
        <f t="shared" si="3"/>
        <v>114.4694967711559</v>
      </c>
      <c r="L109" s="67">
        <f t="shared" si="3"/>
        <v>3.0597740553408497</v>
      </c>
      <c r="M109" s="67">
        <f t="shared" si="3"/>
        <v>15.426018678509843</v>
      </c>
      <c r="N109" s="67">
        <f t="shared" si="3"/>
        <v>229.50746622176607</v>
      </c>
      <c r="O109" s="67">
        <f t="shared" si="3"/>
        <v>0</v>
      </c>
      <c r="P109" s="67">
        <f t="shared" si="3"/>
        <v>0.30398399946349963</v>
      </c>
      <c r="Q109" s="67">
        <f t="shared" si="3"/>
        <v>1.4303672543987223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COUNT(E9:E104)+14</f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6" sqref="G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632</v>
      </c>
      <c r="B9" s="64">
        <v>13.61</v>
      </c>
      <c r="C9" s="64">
        <v>27.73</v>
      </c>
      <c r="D9" s="64">
        <v>27.52</v>
      </c>
      <c r="E9" s="64">
        <v>3.18</v>
      </c>
      <c r="F9" s="64">
        <v>5.8</v>
      </c>
      <c r="G9" s="64">
        <v>124.13</v>
      </c>
      <c r="H9" s="64">
        <v>67.19</v>
      </c>
      <c r="I9" s="64">
        <v>1.54</v>
      </c>
      <c r="J9" s="64">
        <v>7.0000000000000007E-2</v>
      </c>
      <c r="K9" s="64">
        <v>57</v>
      </c>
      <c r="L9" s="64">
        <v>21.57</v>
      </c>
      <c r="M9" s="64">
        <v>89.87</v>
      </c>
      <c r="N9" s="64">
        <v>35</v>
      </c>
      <c r="O9" s="64">
        <v>0</v>
      </c>
      <c r="P9" s="64">
        <v>1.1399999999999999</v>
      </c>
      <c r="Q9" s="64">
        <v>5.33</v>
      </c>
      <c r="R9" s="198"/>
      <c r="S9" s="198"/>
      <c r="T9" s="198"/>
      <c r="U9" s="198"/>
    </row>
    <row r="10" spans="1:21" s="12" customFormat="1" x14ac:dyDescent="0.25">
      <c r="A10" s="215" t="s">
        <v>633</v>
      </c>
      <c r="B10" s="64">
        <v>14.77</v>
      </c>
      <c r="C10" s="64">
        <v>22.27</v>
      </c>
      <c r="D10" s="64">
        <v>25.42</v>
      </c>
      <c r="E10" s="64">
        <v>2.75</v>
      </c>
      <c r="F10" s="64">
        <v>0.82</v>
      </c>
      <c r="G10" s="64">
        <v>124.13</v>
      </c>
      <c r="H10" s="64">
        <v>67.19</v>
      </c>
      <c r="I10" s="64">
        <v>1.47</v>
      </c>
      <c r="J10" s="64">
        <v>0.13</v>
      </c>
      <c r="K10" s="64">
        <v>85.18</v>
      </c>
      <c r="L10" s="64">
        <v>21.37</v>
      </c>
      <c r="M10" s="64">
        <v>90.95</v>
      </c>
      <c r="N10" s="64">
        <v>35.200000000000003</v>
      </c>
      <c r="O10" s="64">
        <v>0</v>
      </c>
      <c r="P10" s="64">
        <v>1.26</v>
      </c>
      <c r="Q10" s="64">
        <v>5.39</v>
      </c>
      <c r="R10" s="198"/>
      <c r="S10" s="198"/>
      <c r="T10" s="198"/>
      <c r="U10" s="198"/>
    </row>
    <row r="11" spans="1:21" s="12" customFormat="1" x14ac:dyDescent="0.25">
      <c r="A11" s="215" t="s">
        <v>634</v>
      </c>
      <c r="B11" s="64">
        <v>12.92</v>
      </c>
      <c r="C11" s="64">
        <v>30.29</v>
      </c>
      <c r="D11" s="64">
        <v>28.37</v>
      </c>
      <c r="E11" s="64">
        <v>3.07</v>
      </c>
      <c r="F11" s="64">
        <v>5.54</v>
      </c>
      <c r="G11" s="64">
        <v>124.13</v>
      </c>
      <c r="H11" s="64">
        <v>67.19</v>
      </c>
      <c r="I11" s="64">
        <v>1.48</v>
      </c>
      <c r="J11" s="64">
        <v>0.13</v>
      </c>
      <c r="K11" s="64">
        <v>60.9</v>
      </c>
      <c r="L11" s="64">
        <v>21.19</v>
      </c>
      <c r="M11" s="64">
        <v>92.38</v>
      </c>
      <c r="N11" s="64">
        <v>35.1</v>
      </c>
      <c r="O11" s="64">
        <v>0</v>
      </c>
      <c r="P11" s="64">
        <v>1.1000000000000001</v>
      </c>
      <c r="Q11" s="64">
        <v>5.09</v>
      </c>
      <c r="R11" s="198"/>
      <c r="S11" s="198"/>
      <c r="T11" s="198"/>
      <c r="U11" s="198"/>
    </row>
    <row r="12" spans="1:21" s="12" customFormat="1" x14ac:dyDescent="0.25">
      <c r="A12" s="215" t="s">
        <v>635</v>
      </c>
      <c r="B12" s="64">
        <v>12.65</v>
      </c>
      <c r="C12" s="64">
        <v>22.19</v>
      </c>
      <c r="D12" s="64">
        <v>23.68</v>
      </c>
      <c r="E12" s="64">
        <v>3.16</v>
      </c>
      <c r="F12" s="64">
        <v>2.2000000000000002</v>
      </c>
      <c r="G12" s="64">
        <v>124.13</v>
      </c>
      <c r="H12" s="64">
        <v>67.19</v>
      </c>
      <c r="I12" s="64">
        <v>1.61</v>
      </c>
      <c r="J12" s="64">
        <v>0.09</v>
      </c>
      <c r="K12" s="64">
        <v>357.5</v>
      </c>
      <c r="L12" s="64">
        <v>20.96</v>
      </c>
      <c r="M12" s="64">
        <v>94.47</v>
      </c>
      <c r="N12" s="64">
        <v>35.4</v>
      </c>
      <c r="O12" s="64">
        <v>0</v>
      </c>
      <c r="P12" s="64">
        <v>1.24</v>
      </c>
      <c r="Q12" s="64">
        <v>5.33</v>
      </c>
      <c r="R12" s="198"/>
      <c r="S12" s="198"/>
      <c r="T12" s="198"/>
      <c r="U12" s="198"/>
    </row>
    <row r="13" spans="1:21" s="12" customFormat="1" x14ac:dyDescent="0.25">
      <c r="A13" s="215" t="s">
        <v>636</v>
      </c>
      <c r="B13" s="64">
        <v>13.09</v>
      </c>
      <c r="C13" s="64">
        <v>20.350000000000001</v>
      </c>
      <c r="D13" s="64">
        <v>23.02</v>
      </c>
      <c r="E13" s="64">
        <v>2.3199999999999998</v>
      </c>
      <c r="F13" s="64">
        <v>2.97</v>
      </c>
      <c r="G13" s="64">
        <v>128.44</v>
      </c>
      <c r="H13" s="64">
        <v>63.02</v>
      </c>
      <c r="I13" s="64">
        <v>1.44</v>
      </c>
      <c r="J13" s="64">
        <v>0.63</v>
      </c>
      <c r="K13" s="64">
        <v>342.5</v>
      </c>
      <c r="L13" s="64">
        <v>20.69</v>
      </c>
      <c r="M13" s="64">
        <v>96.82</v>
      </c>
      <c r="N13" s="64">
        <v>34.9</v>
      </c>
      <c r="O13" s="64">
        <v>0</v>
      </c>
      <c r="P13" s="64">
        <v>1.05</v>
      </c>
      <c r="Q13" s="64">
        <v>5.42</v>
      </c>
      <c r="R13" s="198"/>
      <c r="S13" s="198"/>
      <c r="T13" s="198"/>
      <c r="U13" s="198"/>
    </row>
    <row r="14" spans="1:21" s="12" customFormat="1" x14ac:dyDescent="0.25">
      <c r="A14" s="215" t="s">
        <v>637</v>
      </c>
      <c r="B14" s="64">
        <v>13.12</v>
      </c>
      <c r="C14" s="64">
        <v>20.39</v>
      </c>
      <c r="D14" s="64">
        <v>23.07</v>
      </c>
      <c r="E14" s="64">
        <v>2.09</v>
      </c>
      <c r="F14" s="64">
        <v>1.84</v>
      </c>
      <c r="G14" s="64">
        <v>128.44</v>
      </c>
      <c r="H14" s="64">
        <v>63.02</v>
      </c>
      <c r="I14" s="64">
        <v>1.46</v>
      </c>
      <c r="J14" s="64">
        <v>0.27</v>
      </c>
      <c r="K14" s="64">
        <v>345.57</v>
      </c>
      <c r="L14" s="64">
        <v>20.86</v>
      </c>
      <c r="M14" s="64">
        <v>92.86</v>
      </c>
      <c r="N14" s="64">
        <v>35.4</v>
      </c>
      <c r="O14" s="64">
        <v>0</v>
      </c>
      <c r="P14" s="64">
        <v>1.1200000000000001</v>
      </c>
      <c r="Q14" s="64">
        <v>5.31</v>
      </c>
      <c r="R14" s="198"/>
      <c r="S14" s="198"/>
      <c r="T14" s="198"/>
      <c r="U14" s="198"/>
    </row>
    <row r="15" spans="1:21" s="12" customFormat="1" x14ac:dyDescent="0.25">
      <c r="A15" s="215" t="s">
        <v>638</v>
      </c>
      <c r="B15" s="64">
        <v>12.69</v>
      </c>
      <c r="C15" s="64">
        <v>21.67</v>
      </c>
      <c r="D15" s="64">
        <v>23.43</v>
      </c>
      <c r="E15" s="64">
        <v>2.56</v>
      </c>
      <c r="F15" s="64">
        <v>2.93</v>
      </c>
      <c r="G15" s="64">
        <v>128.44</v>
      </c>
      <c r="H15" s="64">
        <v>63.02</v>
      </c>
      <c r="I15" s="64">
        <v>1.44</v>
      </c>
      <c r="J15" s="64">
        <v>0.06</v>
      </c>
      <c r="K15" s="64">
        <v>55.67</v>
      </c>
      <c r="L15" s="64">
        <v>20.66</v>
      </c>
      <c r="M15" s="64">
        <v>92.81</v>
      </c>
      <c r="N15" s="64">
        <v>35.700000000000003</v>
      </c>
      <c r="O15" s="64">
        <v>0</v>
      </c>
      <c r="P15" s="64">
        <v>1.06</v>
      </c>
      <c r="Q15" s="64">
        <v>5.22</v>
      </c>
      <c r="R15" s="198"/>
      <c r="S15" s="198"/>
      <c r="T15" s="198"/>
      <c r="U15" s="198"/>
    </row>
    <row r="16" spans="1:21" s="12" customFormat="1" x14ac:dyDescent="0.25">
      <c r="A16" s="215" t="s">
        <v>639</v>
      </c>
      <c r="B16" s="64">
        <v>13.13</v>
      </c>
      <c r="C16" s="64">
        <v>22.12</v>
      </c>
      <c r="D16" s="64">
        <v>24.03</v>
      </c>
      <c r="E16" s="64">
        <v>2.4300000000000002</v>
      </c>
      <c r="F16" s="64">
        <v>1.62</v>
      </c>
      <c r="G16" s="64">
        <v>128.44</v>
      </c>
      <c r="H16" s="64">
        <v>63.02</v>
      </c>
      <c r="I16" s="64">
        <v>1.47</v>
      </c>
      <c r="J16" s="64">
        <v>0.57999999999999996</v>
      </c>
      <c r="K16" s="64">
        <v>341.9</v>
      </c>
      <c r="L16" s="64">
        <v>20.56</v>
      </c>
      <c r="M16" s="64">
        <v>92.69</v>
      </c>
      <c r="N16" s="64">
        <v>35.299999999999997</v>
      </c>
      <c r="O16" s="64">
        <v>0</v>
      </c>
      <c r="P16" s="64">
        <v>1.0900000000000001</v>
      </c>
      <c r="Q16" s="64">
        <v>5.13</v>
      </c>
      <c r="R16" s="198"/>
      <c r="S16" s="198"/>
      <c r="T16" s="198"/>
      <c r="U16" s="198"/>
    </row>
    <row r="17" spans="1:21" s="12" customFormat="1" x14ac:dyDescent="0.25">
      <c r="A17" s="215" t="s">
        <v>640</v>
      </c>
      <c r="B17" s="64">
        <v>13.24</v>
      </c>
      <c r="C17" s="64">
        <v>20.45</v>
      </c>
      <c r="D17" s="64">
        <v>23.19</v>
      </c>
      <c r="E17" s="64">
        <v>2.2999999999999998</v>
      </c>
      <c r="F17" s="64">
        <v>0.78</v>
      </c>
      <c r="G17" s="64">
        <v>132.30000000000001</v>
      </c>
      <c r="H17" s="64">
        <v>66.59</v>
      </c>
      <c r="I17" s="64">
        <v>1.48</v>
      </c>
      <c r="J17" s="64">
        <v>0.34</v>
      </c>
      <c r="K17" s="64">
        <v>357.36</v>
      </c>
      <c r="L17" s="64">
        <v>20.53</v>
      </c>
      <c r="M17" s="64">
        <v>90.01</v>
      </c>
      <c r="N17" s="64">
        <v>35.6</v>
      </c>
      <c r="O17" s="64">
        <v>0</v>
      </c>
      <c r="P17" s="64">
        <v>1.1000000000000001</v>
      </c>
      <c r="Q17" s="64">
        <v>5.15</v>
      </c>
      <c r="R17" s="198"/>
      <c r="S17" s="198"/>
      <c r="T17" s="198"/>
      <c r="U17" s="198"/>
    </row>
    <row r="18" spans="1:21" s="12" customFormat="1" x14ac:dyDescent="0.25">
      <c r="A18" s="215" t="s">
        <v>641</v>
      </c>
      <c r="B18" s="64">
        <v>13.25</v>
      </c>
      <c r="C18" s="64">
        <v>22.73</v>
      </c>
      <c r="D18" s="64">
        <v>24.47</v>
      </c>
      <c r="E18" s="64">
        <v>2.35</v>
      </c>
      <c r="F18" s="64">
        <v>0.18</v>
      </c>
      <c r="G18" s="64">
        <v>132.30000000000001</v>
      </c>
      <c r="H18" s="64">
        <v>66.59</v>
      </c>
      <c r="I18" s="64">
        <v>1.45</v>
      </c>
      <c r="J18" s="64">
        <v>0.26</v>
      </c>
      <c r="K18" s="64">
        <v>334.1</v>
      </c>
      <c r="L18" s="64">
        <v>20.39</v>
      </c>
      <c r="M18" s="64">
        <v>88.07</v>
      </c>
      <c r="N18" s="64">
        <v>35.6</v>
      </c>
      <c r="O18" s="64">
        <v>0</v>
      </c>
      <c r="P18" s="64">
        <v>1.07</v>
      </c>
      <c r="Q18" s="64">
        <v>4.9400000000000004</v>
      </c>
      <c r="R18" s="198"/>
      <c r="S18" s="198"/>
      <c r="T18" s="198"/>
      <c r="U18" s="198"/>
    </row>
    <row r="19" spans="1:21" s="12" customFormat="1" x14ac:dyDescent="0.25">
      <c r="A19" s="215" t="s">
        <v>642</v>
      </c>
      <c r="B19" s="64">
        <v>12.33</v>
      </c>
      <c r="C19" s="64">
        <v>21.04</v>
      </c>
      <c r="D19" s="64">
        <v>22.79</v>
      </c>
      <c r="E19" s="64">
        <v>3.39</v>
      </c>
      <c r="F19" s="64">
        <v>1.87</v>
      </c>
      <c r="G19" s="64">
        <v>132.30000000000001</v>
      </c>
      <c r="H19" s="64">
        <v>66.59</v>
      </c>
      <c r="I19" s="64">
        <v>1.49</v>
      </c>
      <c r="J19" s="64">
        <v>0.21</v>
      </c>
      <c r="K19" s="64">
        <v>103.58</v>
      </c>
      <c r="L19" s="64">
        <v>20.23</v>
      </c>
      <c r="M19" s="64">
        <v>85.95</v>
      </c>
      <c r="N19" s="64">
        <v>35.700000000000003</v>
      </c>
      <c r="O19" s="64">
        <v>0</v>
      </c>
      <c r="P19" s="64">
        <v>1.02</v>
      </c>
      <c r="Q19" s="64">
        <v>4.96</v>
      </c>
      <c r="R19" s="198"/>
      <c r="S19" s="198"/>
      <c r="T19" s="198"/>
      <c r="U19" s="198"/>
    </row>
    <row r="20" spans="1:21" s="12" customFormat="1" x14ac:dyDescent="0.25">
      <c r="A20" s="215" t="s">
        <v>643</v>
      </c>
      <c r="B20" s="64">
        <v>12.3</v>
      </c>
      <c r="C20" s="64">
        <v>17.03</v>
      </c>
      <c r="D20" s="64">
        <v>20.55</v>
      </c>
      <c r="E20" s="64">
        <v>2.4500000000000002</v>
      </c>
      <c r="F20" s="64">
        <v>1.45</v>
      </c>
      <c r="G20" s="64">
        <v>132.30000000000001</v>
      </c>
      <c r="H20" s="64">
        <v>66.59</v>
      </c>
      <c r="I20" s="64">
        <v>1.48</v>
      </c>
      <c r="J20" s="64">
        <v>0.06</v>
      </c>
      <c r="K20" s="64">
        <v>30.68</v>
      </c>
      <c r="L20" s="64">
        <v>20.16</v>
      </c>
      <c r="M20" s="64">
        <v>84.96</v>
      </c>
      <c r="N20" s="64">
        <v>35.9</v>
      </c>
      <c r="O20" s="64">
        <v>0</v>
      </c>
      <c r="P20" s="64">
        <v>1.05</v>
      </c>
      <c r="Q20" s="64">
        <v>5.18</v>
      </c>
      <c r="R20" s="198"/>
      <c r="S20" s="198"/>
      <c r="T20" s="198"/>
      <c r="U20" s="198"/>
    </row>
    <row r="21" spans="1:21" s="12" customFormat="1" x14ac:dyDescent="0.25">
      <c r="A21" s="215" t="s">
        <v>644</v>
      </c>
      <c r="B21" s="64">
        <v>12.14</v>
      </c>
      <c r="C21" s="64">
        <v>18.05</v>
      </c>
      <c r="D21" s="64">
        <v>20.99</v>
      </c>
      <c r="E21" s="64">
        <v>1.95</v>
      </c>
      <c r="F21" s="64">
        <v>0.24</v>
      </c>
      <c r="G21" s="64">
        <v>133.58000000000001</v>
      </c>
      <c r="H21" s="64">
        <v>74.13</v>
      </c>
      <c r="I21" s="64">
        <v>1.55</v>
      </c>
      <c r="J21" s="64">
        <v>0.09</v>
      </c>
      <c r="K21" s="64">
        <v>355.8</v>
      </c>
      <c r="L21" s="64">
        <v>19.989999999999998</v>
      </c>
      <c r="M21" s="64">
        <v>85.83</v>
      </c>
      <c r="N21" s="64">
        <v>35.700000000000003</v>
      </c>
      <c r="O21" s="64">
        <v>0</v>
      </c>
      <c r="P21" s="64">
        <v>1.03</v>
      </c>
      <c r="Q21" s="64">
        <v>5.2</v>
      </c>
      <c r="R21" s="198"/>
      <c r="S21" s="198"/>
      <c r="T21" s="198"/>
      <c r="U21" s="198"/>
    </row>
    <row r="22" spans="1:21" s="12" customFormat="1" x14ac:dyDescent="0.25">
      <c r="A22" s="215" t="s">
        <v>645</v>
      </c>
      <c r="B22" s="64">
        <v>11.65</v>
      </c>
      <c r="C22" s="64">
        <v>18.36</v>
      </c>
      <c r="D22" s="64">
        <v>20.77</v>
      </c>
      <c r="E22" s="64">
        <v>2.56</v>
      </c>
      <c r="F22" s="64">
        <v>0.99</v>
      </c>
      <c r="G22" s="64">
        <v>133.58000000000001</v>
      </c>
      <c r="H22" s="64">
        <v>74.13</v>
      </c>
      <c r="I22" s="64">
        <v>1.52</v>
      </c>
      <c r="J22" s="64">
        <v>0.27</v>
      </c>
      <c r="K22" s="64">
        <v>355.6</v>
      </c>
      <c r="L22" s="64">
        <v>19.809999999999999</v>
      </c>
      <c r="M22" s="64">
        <v>85.3</v>
      </c>
      <c r="N22" s="64">
        <v>35.6</v>
      </c>
      <c r="O22" s="64">
        <v>0</v>
      </c>
      <c r="P22" s="64">
        <v>0.98</v>
      </c>
      <c r="Q22" s="64">
        <v>5.05</v>
      </c>
      <c r="R22" s="198"/>
      <c r="S22" s="198"/>
      <c r="T22" s="198"/>
      <c r="U22" s="198"/>
    </row>
    <row r="23" spans="1:21" s="12" customFormat="1" x14ac:dyDescent="0.25">
      <c r="A23" s="215" t="s">
        <v>646</v>
      </c>
      <c r="B23" s="64">
        <v>11.49</v>
      </c>
      <c r="C23" s="64">
        <v>16.09</v>
      </c>
      <c r="D23" s="64">
        <v>19.38</v>
      </c>
      <c r="E23" s="64">
        <v>2.37</v>
      </c>
      <c r="F23" s="64">
        <v>0.68</v>
      </c>
      <c r="G23" s="64">
        <v>133.58000000000001</v>
      </c>
      <c r="H23" s="64">
        <v>74.13</v>
      </c>
      <c r="I23" s="64">
        <v>1.56</v>
      </c>
      <c r="J23" s="64">
        <v>0.65</v>
      </c>
      <c r="K23" s="64">
        <v>345.01</v>
      </c>
      <c r="L23" s="64">
        <v>19.89</v>
      </c>
      <c r="M23" s="64">
        <v>77.39</v>
      </c>
      <c r="N23" s="64">
        <v>35.4</v>
      </c>
      <c r="O23" s="64">
        <v>0</v>
      </c>
      <c r="P23" s="64">
        <v>0.98</v>
      </c>
      <c r="Q23" s="64">
        <v>5.17</v>
      </c>
      <c r="R23" s="198"/>
      <c r="S23" s="198"/>
      <c r="T23" s="198"/>
      <c r="U23" s="198"/>
    </row>
    <row r="24" spans="1:21" s="12" customFormat="1" x14ac:dyDescent="0.25">
      <c r="A24" s="215" t="s">
        <v>647</v>
      </c>
      <c r="B24" s="64">
        <v>11.09</v>
      </c>
      <c r="C24" s="64">
        <v>18.41</v>
      </c>
      <c r="D24" s="64">
        <v>20.34</v>
      </c>
      <c r="E24" s="64">
        <v>1.04</v>
      </c>
      <c r="F24" s="64">
        <v>0.34</v>
      </c>
      <c r="G24" s="64">
        <v>133.58000000000001</v>
      </c>
      <c r="H24" s="64">
        <v>74.13</v>
      </c>
      <c r="I24" s="64">
        <v>1.5</v>
      </c>
      <c r="J24" s="64">
        <v>0.24</v>
      </c>
      <c r="K24" s="64">
        <v>351.34</v>
      </c>
      <c r="L24" s="64">
        <v>19.84</v>
      </c>
      <c r="M24" s="64">
        <v>77.69</v>
      </c>
      <c r="N24" s="64">
        <v>35.9</v>
      </c>
      <c r="O24" s="64">
        <v>0</v>
      </c>
      <c r="P24" s="64">
        <v>0.94</v>
      </c>
      <c r="Q24" s="64">
        <v>5.01</v>
      </c>
      <c r="R24" s="198"/>
      <c r="S24" s="198"/>
      <c r="T24" s="198"/>
      <c r="U24" s="198"/>
    </row>
    <row r="25" spans="1:21" s="12" customFormat="1" x14ac:dyDescent="0.25">
      <c r="A25" s="215" t="s">
        <v>648</v>
      </c>
      <c r="B25" s="64">
        <v>10.89</v>
      </c>
      <c r="C25" s="64">
        <v>17.29</v>
      </c>
      <c r="D25" s="64">
        <v>19.57</v>
      </c>
      <c r="E25" s="64">
        <v>2.56</v>
      </c>
      <c r="F25" s="64">
        <v>0.47</v>
      </c>
      <c r="G25" s="64">
        <v>130.88</v>
      </c>
      <c r="H25" s="64">
        <v>69.05</v>
      </c>
      <c r="I25" s="64">
        <v>1.48</v>
      </c>
      <c r="J25" s="64">
        <v>0.41</v>
      </c>
      <c r="K25" s="64">
        <v>336.87</v>
      </c>
      <c r="L25" s="64">
        <v>19.62</v>
      </c>
      <c r="M25" s="64">
        <v>82.02</v>
      </c>
      <c r="N25" s="64">
        <v>35.9</v>
      </c>
      <c r="O25" s="64">
        <v>0</v>
      </c>
      <c r="P25" s="64">
        <v>0.94</v>
      </c>
      <c r="Q25" s="64">
        <v>4.9800000000000004</v>
      </c>
      <c r="R25" s="198"/>
      <c r="S25" s="198"/>
      <c r="T25" s="198"/>
      <c r="U25" s="198"/>
    </row>
    <row r="26" spans="1:21" s="12" customFormat="1" x14ac:dyDescent="0.25">
      <c r="A26" s="215" t="s">
        <v>649</v>
      </c>
      <c r="B26" s="64">
        <v>10.91</v>
      </c>
      <c r="C26" s="64">
        <v>18.649999999999999</v>
      </c>
      <c r="D26" s="64">
        <v>20.329999999999998</v>
      </c>
      <c r="E26" s="64">
        <v>2.84</v>
      </c>
      <c r="F26" s="64">
        <v>0.18</v>
      </c>
      <c r="G26" s="64">
        <v>130.88</v>
      </c>
      <c r="H26" s="64">
        <v>69.05</v>
      </c>
      <c r="I26" s="64">
        <v>1.54</v>
      </c>
      <c r="J26" s="64">
        <v>0.52</v>
      </c>
      <c r="K26" s="64">
        <v>344.22</v>
      </c>
      <c r="L26" s="64">
        <v>19.46</v>
      </c>
      <c r="M26" s="64">
        <v>83.03</v>
      </c>
      <c r="N26" s="64">
        <v>36.1</v>
      </c>
      <c r="O26" s="64">
        <v>0</v>
      </c>
      <c r="P26" s="64">
        <v>0.93</v>
      </c>
      <c r="Q26" s="64">
        <v>4.99</v>
      </c>
      <c r="R26" s="198"/>
      <c r="S26" s="198"/>
      <c r="T26" s="198"/>
      <c r="U26" s="198"/>
    </row>
    <row r="27" spans="1:21" s="12" customFormat="1" x14ac:dyDescent="0.25">
      <c r="A27" s="215" t="s">
        <v>650</v>
      </c>
      <c r="B27" s="64">
        <v>10.89</v>
      </c>
      <c r="C27" s="64">
        <v>18.940000000000001</v>
      </c>
      <c r="D27" s="64">
        <v>20.48</v>
      </c>
      <c r="E27" s="64">
        <v>2.83</v>
      </c>
      <c r="F27" s="64">
        <v>0.51</v>
      </c>
      <c r="G27" s="64">
        <v>130.88</v>
      </c>
      <c r="H27" s="64">
        <v>69.05</v>
      </c>
      <c r="I27" s="64">
        <v>1.56</v>
      </c>
      <c r="J27" s="64">
        <v>0.52</v>
      </c>
      <c r="K27" s="64">
        <v>341.55</v>
      </c>
      <c r="L27" s="64">
        <v>19.309999999999999</v>
      </c>
      <c r="M27" s="64">
        <v>82.87</v>
      </c>
      <c r="N27" s="64">
        <v>36.1</v>
      </c>
      <c r="O27" s="64">
        <v>0</v>
      </c>
      <c r="P27" s="64">
        <v>0.93</v>
      </c>
      <c r="Q27" s="64">
        <v>4.99</v>
      </c>
      <c r="R27" s="198"/>
      <c r="S27" s="198"/>
      <c r="T27" s="198"/>
      <c r="U27" s="198"/>
    </row>
    <row r="28" spans="1:21" s="12" customFormat="1" x14ac:dyDescent="0.25">
      <c r="A28" s="215" t="s">
        <v>651</v>
      </c>
      <c r="B28" s="64">
        <v>11.19</v>
      </c>
      <c r="C28" s="64">
        <v>19.48</v>
      </c>
      <c r="D28" s="64">
        <v>21.02</v>
      </c>
      <c r="E28" s="64">
        <v>2.2599999999999998</v>
      </c>
      <c r="F28" s="64">
        <v>0.53</v>
      </c>
      <c r="G28" s="64">
        <v>130.88</v>
      </c>
      <c r="H28" s="64">
        <v>69.05</v>
      </c>
      <c r="I28" s="64">
        <v>1.51</v>
      </c>
      <c r="J28" s="64">
        <v>0.9</v>
      </c>
      <c r="K28" s="64">
        <v>345.38</v>
      </c>
      <c r="L28" s="64">
        <v>19.2</v>
      </c>
      <c r="M28" s="64">
        <v>83.37</v>
      </c>
      <c r="N28" s="64">
        <v>36.1</v>
      </c>
      <c r="O28" s="64">
        <v>0</v>
      </c>
      <c r="P28" s="64">
        <v>0.93</v>
      </c>
      <c r="Q28" s="64">
        <v>5.08</v>
      </c>
      <c r="R28" s="198"/>
      <c r="S28" s="198"/>
      <c r="T28" s="198"/>
      <c r="U28" s="198"/>
    </row>
    <row r="29" spans="1:21" s="12" customFormat="1" x14ac:dyDescent="0.25">
      <c r="A29" s="215" t="s">
        <v>652</v>
      </c>
      <c r="B29" s="64">
        <v>10.92</v>
      </c>
      <c r="C29" s="64">
        <v>19.23</v>
      </c>
      <c r="D29" s="64">
        <v>20.67</v>
      </c>
      <c r="E29" s="64">
        <v>2.4700000000000002</v>
      </c>
      <c r="F29" s="64">
        <v>0.65</v>
      </c>
      <c r="G29" s="64">
        <v>128.53</v>
      </c>
      <c r="H29" s="64">
        <v>69.27</v>
      </c>
      <c r="I29" s="64">
        <v>1.49</v>
      </c>
      <c r="J29" s="64">
        <v>0.43</v>
      </c>
      <c r="K29" s="64">
        <v>343.67</v>
      </c>
      <c r="L29" s="64">
        <v>19.100000000000001</v>
      </c>
      <c r="M29" s="64">
        <v>84.97</v>
      </c>
      <c r="N29" s="64">
        <v>36.6</v>
      </c>
      <c r="O29" s="64">
        <v>0</v>
      </c>
      <c r="P29" s="64">
        <v>0.93</v>
      </c>
      <c r="Q29" s="64">
        <v>5.0999999999999996</v>
      </c>
      <c r="R29" s="198"/>
      <c r="S29" s="198"/>
      <c r="T29" s="198"/>
      <c r="U29" s="198"/>
    </row>
    <row r="30" spans="1:21" s="12" customFormat="1" x14ac:dyDescent="0.25">
      <c r="A30" s="215" t="s">
        <v>653</v>
      </c>
      <c r="B30" s="64">
        <v>11.5</v>
      </c>
      <c r="C30" s="64">
        <v>17.63</v>
      </c>
      <c r="D30" s="64">
        <v>20.25</v>
      </c>
      <c r="E30" s="64">
        <v>2.17</v>
      </c>
      <c r="F30" s="64">
        <v>0.23</v>
      </c>
      <c r="G30" s="64">
        <v>128.53</v>
      </c>
      <c r="H30" s="64">
        <v>69.27</v>
      </c>
      <c r="I30" s="64">
        <v>1.56</v>
      </c>
      <c r="J30" s="64">
        <v>0.47</v>
      </c>
      <c r="K30" s="64">
        <v>342.96</v>
      </c>
      <c r="L30" s="64">
        <v>18.96</v>
      </c>
      <c r="M30" s="64">
        <v>86.35</v>
      </c>
      <c r="N30" s="64">
        <v>36.4</v>
      </c>
      <c r="O30" s="64">
        <v>0</v>
      </c>
      <c r="P30" s="64">
        <v>0.93</v>
      </c>
      <c r="Q30" s="64">
        <v>5.14</v>
      </c>
      <c r="R30" s="198"/>
      <c r="S30" s="198"/>
      <c r="T30" s="198"/>
      <c r="U30" s="198"/>
    </row>
    <row r="31" spans="1:21" s="12" customFormat="1" x14ac:dyDescent="0.25">
      <c r="A31" s="215" t="s">
        <v>654</v>
      </c>
      <c r="B31" s="64">
        <v>12.19</v>
      </c>
      <c r="C31" s="64">
        <v>15.75</v>
      </c>
      <c r="D31" s="64">
        <v>19.760000000000002</v>
      </c>
      <c r="E31" s="64">
        <v>2.12</v>
      </c>
      <c r="F31" s="64">
        <v>0.42</v>
      </c>
      <c r="G31" s="64">
        <v>128.53</v>
      </c>
      <c r="H31" s="64">
        <v>69.27</v>
      </c>
      <c r="I31" s="64">
        <v>1.49</v>
      </c>
      <c r="J31" s="64">
        <v>0.18</v>
      </c>
      <c r="K31" s="64">
        <v>347.93</v>
      </c>
      <c r="L31" s="64">
        <v>18.850000000000001</v>
      </c>
      <c r="M31" s="64">
        <v>85.58</v>
      </c>
      <c r="N31" s="64">
        <v>36.6</v>
      </c>
      <c r="O31" s="64">
        <v>0</v>
      </c>
      <c r="P31" s="64">
        <v>0.94</v>
      </c>
      <c r="Q31" s="64">
        <v>5.25</v>
      </c>
      <c r="R31" s="198"/>
      <c r="S31" s="198"/>
      <c r="T31" s="198"/>
      <c r="U31" s="198"/>
    </row>
    <row r="32" spans="1:21" s="12" customFormat="1" x14ac:dyDescent="0.25">
      <c r="A32" s="215" t="s">
        <v>655</v>
      </c>
      <c r="B32" s="64">
        <v>13.07</v>
      </c>
      <c r="C32" s="64">
        <v>17.3</v>
      </c>
      <c r="D32" s="64">
        <v>21.32</v>
      </c>
      <c r="E32" s="64">
        <v>1.89</v>
      </c>
      <c r="F32" s="64">
        <v>0.03</v>
      </c>
      <c r="G32" s="64">
        <v>128.53</v>
      </c>
      <c r="H32" s="64">
        <v>69.27</v>
      </c>
      <c r="I32" s="64">
        <v>1.48</v>
      </c>
      <c r="J32" s="64">
        <v>0.08</v>
      </c>
      <c r="K32" s="64">
        <v>41.21</v>
      </c>
      <c r="L32" s="64">
        <v>18.649999999999999</v>
      </c>
      <c r="M32" s="64">
        <v>86.27</v>
      </c>
      <c r="N32" s="64">
        <v>37.9</v>
      </c>
      <c r="O32" s="64">
        <v>0</v>
      </c>
      <c r="P32" s="64">
        <v>0.94</v>
      </c>
      <c r="Q32" s="64">
        <v>5.24</v>
      </c>
      <c r="R32" s="198"/>
      <c r="S32" s="198"/>
      <c r="T32" s="198"/>
      <c r="U32" s="198"/>
    </row>
    <row r="33" spans="1:21" s="12" customFormat="1" x14ac:dyDescent="0.25">
      <c r="A33" s="215" t="s">
        <v>656</v>
      </c>
      <c r="B33" s="64">
        <v>13.57</v>
      </c>
      <c r="C33" s="64">
        <v>15.57</v>
      </c>
      <c r="D33" s="64">
        <v>20.77</v>
      </c>
      <c r="E33" s="64">
        <v>1.88</v>
      </c>
      <c r="F33" s="64">
        <v>0.52</v>
      </c>
      <c r="G33" s="64">
        <v>133.99</v>
      </c>
      <c r="H33" s="64">
        <v>70.2</v>
      </c>
      <c r="I33" s="64">
        <v>1.49</v>
      </c>
      <c r="J33" s="64">
        <v>0.13</v>
      </c>
      <c r="K33" s="64">
        <v>10.07</v>
      </c>
      <c r="L33" s="64">
        <v>18.559999999999999</v>
      </c>
      <c r="M33" s="64">
        <v>86.46</v>
      </c>
      <c r="N33" s="64">
        <v>48.7</v>
      </c>
      <c r="O33" s="64">
        <v>0</v>
      </c>
      <c r="P33" s="64">
        <v>0.95</v>
      </c>
      <c r="Q33" s="64">
        <v>5.33</v>
      </c>
      <c r="R33" s="198"/>
      <c r="S33" s="198"/>
      <c r="T33" s="198"/>
      <c r="U33" s="198"/>
    </row>
    <row r="34" spans="1:21" s="12" customFormat="1" x14ac:dyDescent="0.25">
      <c r="A34" s="215" t="s">
        <v>657</v>
      </c>
      <c r="B34" s="64">
        <v>14.07</v>
      </c>
      <c r="C34" s="64">
        <v>17.73</v>
      </c>
      <c r="D34" s="64">
        <v>22.36</v>
      </c>
      <c r="E34" s="64">
        <v>1.54</v>
      </c>
      <c r="F34" s="64">
        <v>0.12</v>
      </c>
      <c r="G34" s="64">
        <v>133.99</v>
      </c>
      <c r="H34" s="64">
        <v>70.2</v>
      </c>
      <c r="I34" s="64">
        <v>1.44</v>
      </c>
      <c r="J34" s="64">
        <v>0.55000000000000004</v>
      </c>
      <c r="K34" s="64">
        <v>337.35</v>
      </c>
      <c r="L34" s="64">
        <v>18.82</v>
      </c>
      <c r="M34" s="64">
        <v>82.68</v>
      </c>
      <c r="N34" s="64">
        <v>74.7</v>
      </c>
      <c r="O34" s="64">
        <v>0</v>
      </c>
      <c r="P34" s="64">
        <v>0.96</v>
      </c>
      <c r="Q34" s="64">
        <v>5.34</v>
      </c>
      <c r="R34" s="198"/>
      <c r="S34" s="198"/>
      <c r="T34" s="198"/>
      <c r="U34" s="198"/>
    </row>
    <row r="35" spans="1:21" s="12" customFormat="1" x14ac:dyDescent="0.25">
      <c r="A35" s="215" t="s">
        <v>658</v>
      </c>
      <c r="B35" s="64">
        <v>15.1</v>
      </c>
      <c r="C35" s="64">
        <v>19.77</v>
      </c>
      <c r="D35" s="64">
        <v>24.31</v>
      </c>
      <c r="E35" s="64">
        <v>1.9</v>
      </c>
      <c r="F35" s="64">
        <v>0.22</v>
      </c>
      <c r="G35" s="64">
        <v>133.99</v>
      </c>
      <c r="H35" s="64">
        <v>70.2</v>
      </c>
      <c r="I35" s="64">
        <v>1.53</v>
      </c>
      <c r="J35" s="64">
        <v>0.57999999999999996</v>
      </c>
      <c r="K35" s="64">
        <v>339.08</v>
      </c>
      <c r="L35" s="64">
        <v>19.28</v>
      </c>
      <c r="M35" s="64">
        <v>79.09</v>
      </c>
      <c r="N35" s="64">
        <v>107.5</v>
      </c>
      <c r="O35" s="64">
        <v>0</v>
      </c>
      <c r="P35" s="64">
        <v>0.98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5" t="s">
        <v>659</v>
      </c>
      <c r="B36" s="64">
        <v>15.61</v>
      </c>
      <c r="C36" s="64">
        <v>18.690000000000001</v>
      </c>
      <c r="D36" s="64">
        <v>24.12</v>
      </c>
      <c r="E36" s="64">
        <v>1.69</v>
      </c>
      <c r="F36" s="64">
        <v>7.0000000000000007E-2</v>
      </c>
      <c r="G36" s="64">
        <v>133.99</v>
      </c>
      <c r="H36" s="64">
        <v>70.2</v>
      </c>
      <c r="I36" s="64">
        <v>1.46</v>
      </c>
      <c r="J36" s="64">
        <v>0.13</v>
      </c>
      <c r="K36" s="64">
        <v>341.53</v>
      </c>
      <c r="L36" s="64">
        <v>19.579999999999998</v>
      </c>
      <c r="M36" s="64">
        <v>76.099999999999994</v>
      </c>
      <c r="N36" s="64">
        <v>119.7</v>
      </c>
      <c r="O36" s="64">
        <v>0</v>
      </c>
      <c r="P36" s="64">
        <v>1</v>
      </c>
      <c r="Q36" s="64">
        <v>5.39</v>
      </c>
      <c r="R36" s="198"/>
      <c r="S36" s="198"/>
      <c r="T36" s="198"/>
      <c r="U36" s="198"/>
    </row>
    <row r="37" spans="1:21" s="12" customFormat="1" x14ac:dyDescent="0.25">
      <c r="A37" s="215" t="s">
        <v>660</v>
      </c>
      <c r="B37" s="64">
        <v>15.95</v>
      </c>
      <c r="C37" s="64">
        <v>19.34</v>
      </c>
      <c r="D37" s="64">
        <v>24.76</v>
      </c>
      <c r="E37" s="64">
        <v>1.68</v>
      </c>
      <c r="F37" s="64">
        <v>0.31</v>
      </c>
      <c r="G37" s="64">
        <v>149.72</v>
      </c>
      <c r="H37" s="64">
        <v>76.62</v>
      </c>
      <c r="I37" s="64">
        <v>1.45</v>
      </c>
      <c r="J37" s="64">
        <v>0.79</v>
      </c>
      <c r="K37" s="64">
        <v>343.46</v>
      </c>
      <c r="L37" s="64">
        <v>19.89</v>
      </c>
      <c r="M37" s="64">
        <v>73.72</v>
      </c>
      <c r="N37" s="64">
        <v>148.19999999999999</v>
      </c>
      <c r="O37" s="64">
        <v>0</v>
      </c>
      <c r="P37" s="64">
        <v>0.96</v>
      </c>
      <c r="Q37" s="64">
        <v>5.36</v>
      </c>
      <c r="R37" s="198"/>
      <c r="S37" s="198"/>
      <c r="T37" s="198"/>
      <c r="U37" s="198"/>
    </row>
    <row r="38" spans="1:21" s="12" customFormat="1" x14ac:dyDescent="0.25">
      <c r="A38" s="215" t="s">
        <v>661</v>
      </c>
      <c r="B38" s="64">
        <v>17.02</v>
      </c>
      <c r="C38" s="64">
        <v>20.27</v>
      </c>
      <c r="D38" s="64">
        <v>26.13</v>
      </c>
      <c r="E38" s="64">
        <v>1.98</v>
      </c>
      <c r="F38" s="64">
        <v>0.44</v>
      </c>
      <c r="G38" s="64">
        <v>149.72</v>
      </c>
      <c r="H38" s="64">
        <v>76.62</v>
      </c>
      <c r="I38" s="64">
        <v>1.5</v>
      </c>
      <c r="J38" s="64">
        <v>0.82</v>
      </c>
      <c r="K38" s="64">
        <v>340.15</v>
      </c>
      <c r="L38" s="64">
        <v>20.55</v>
      </c>
      <c r="M38" s="64">
        <v>69.569999999999993</v>
      </c>
      <c r="N38" s="64">
        <v>205.7</v>
      </c>
      <c r="O38" s="64">
        <v>0</v>
      </c>
      <c r="P38" s="64">
        <v>1.01</v>
      </c>
      <c r="Q38" s="64">
        <v>5.33</v>
      </c>
      <c r="R38" s="198"/>
      <c r="S38" s="198"/>
      <c r="T38" s="198"/>
      <c r="U38" s="198"/>
    </row>
    <row r="39" spans="1:21" s="12" customFormat="1" x14ac:dyDescent="0.25">
      <c r="A39" s="215" t="s">
        <v>662</v>
      </c>
      <c r="B39" s="64">
        <v>17.059999999999999</v>
      </c>
      <c r="C39" s="64">
        <v>20.58</v>
      </c>
      <c r="D39" s="64">
        <v>26.33</v>
      </c>
      <c r="E39" s="64">
        <v>1.96</v>
      </c>
      <c r="F39" s="64">
        <v>0.36</v>
      </c>
      <c r="G39" s="64">
        <v>149.72</v>
      </c>
      <c r="H39" s="64">
        <v>76.62</v>
      </c>
      <c r="I39" s="64">
        <v>1.48</v>
      </c>
      <c r="J39" s="64">
        <v>0.88</v>
      </c>
      <c r="K39" s="64">
        <v>341.74</v>
      </c>
      <c r="L39" s="64">
        <v>21.65</v>
      </c>
      <c r="M39" s="64">
        <v>66.13</v>
      </c>
      <c r="N39" s="64">
        <v>253.7</v>
      </c>
      <c r="O39" s="64">
        <v>0</v>
      </c>
      <c r="P39" s="64">
        <v>1.01</v>
      </c>
      <c r="Q39" s="64">
        <v>5.47</v>
      </c>
      <c r="R39" s="198"/>
      <c r="S39" s="198"/>
      <c r="T39" s="198"/>
      <c r="U39" s="198"/>
    </row>
    <row r="40" spans="1:21" s="12" customFormat="1" x14ac:dyDescent="0.25">
      <c r="A40" s="215" t="s">
        <v>663</v>
      </c>
      <c r="B40" s="64">
        <v>17.39</v>
      </c>
      <c r="C40" s="64">
        <v>21.46</v>
      </c>
      <c r="D40" s="64">
        <v>27.08</v>
      </c>
      <c r="E40" s="64">
        <v>0.96</v>
      </c>
      <c r="F40" s="64">
        <v>0.32</v>
      </c>
      <c r="G40" s="64">
        <v>149.72</v>
      </c>
      <c r="H40" s="64">
        <v>76.62</v>
      </c>
      <c r="I40" s="64">
        <v>1.53</v>
      </c>
      <c r="J40" s="64">
        <v>0.85</v>
      </c>
      <c r="K40" s="64">
        <v>338.71</v>
      </c>
      <c r="L40" s="64">
        <v>22.95</v>
      </c>
      <c r="M40" s="64">
        <v>62.69</v>
      </c>
      <c r="N40" s="64">
        <v>295.5</v>
      </c>
      <c r="O40" s="64">
        <v>0</v>
      </c>
      <c r="P40" s="64">
        <v>1</v>
      </c>
      <c r="Q40" s="64">
        <v>5.59</v>
      </c>
      <c r="R40" s="198"/>
      <c r="S40" s="198"/>
      <c r="T40" s="198"/>
      <c r="U40" s="198"/>
    </row>
    <row r="41" spans="1:21" s="12" customFormat="1" x14ac:dyDescent="0.25">
      <c r="A41" s="215" t="s">
        <v>664</v>
      </c>
      <c r="B41" s="64">
        <v>17.57</v>
      </c>
      <c r="C41" s="64">
        <v>21.85</v>
      </c>
      <c r="D41" s="64">
        <v>27.44</v>
      </c>
      <c r="E41" s="64">
        <v>1.41</v>
      </c>
      <c r="F41" s="64">
        <v>0.23</v>
      </c>
      <c r="G41" s="64">
        <v>141.96</v>
      </c>
      <c r="H41" s="64">
        <v>70.709999999999994</v>
      </c>
      <c r="I41" s="64">
        <v>1.6</v>
      </c>
      <c r="J41" s="64">
        <v>0.21</v>
      </c>
      <c r="K41" s="64">
        <v>3.48</v>
      </c>
      <c r="L41" s="64">
        <v>23.4</v>
      </c>
      <c r="M41" s="64">
        <v>62.95</v>
      </c>
      <c r="N41" s="64">
        <v>367.3</v>
      </c>
      <c r="O41" s="64">
        <v>0</v>
      </c>
      <c r="P41" s="64">
        <v>0.99</v>
      </c>
      <c r="Q41" s="64">
        <v>5.6</v>
      </c>
      <c r="R41" s="198"/>
      <c r="S41" s="198"/>
      <c r="T41" s="198"/>
      <c r="U41" s="198"/>
    </row>
    <row r="42" spans="1:21" s="12" customFormat="1" x14ac:dyDescent="0.25">
      <c r="A42" s="215" t="s">
        <v>665</v>
      </c>
      <c r="B42" s="64">
        <v>17.78</v>
      </c>
      <c r="C42" s="64">
        <v>19.53</v>
      </c>
      <c r="D42" s="64">
        <v>26.33</v>
      </c>
      <c r="E42" s="64">
        <v>1.51</v>
      </c>
      <c r="F42" s="64">
        <v>0.38</v>
      </c>
      <c r="G42" s="64">
        <v>141.96</v>
      </c>
      <c r="H42" s="64">
        <v>70.709999999999994</v>
      </c>
      <c r="I42" s="64">
        <v>1.48</v>
      </c>
      <c r="J42" s="64">
        <v>0.15</v>
      </c>
      <c r="K42" s="64">
        <v>359.62</v>
      </c>
      <c r="L42" s="64">
        <v>23.13</v>
      </c>
      <c r="M42" s="64">
        <v>65.55</v>
      </c>
      <c r="N42" s="64">
        <v>366.4</v>
      </c>
      <c r="O42" s="64">
        <v>0</v>
      </c>
      <c r="P42" s="64">
        <v>0.97</v>
      </c>
      <c r="Q42" s="64">
        <v>5.63</v>
      </c>
      <c r="R42" s="198"/>
      <c r="S42" s="198"/>
      <c r="T42" s="198"/>
      <c r="U42" s="198"/>
    </row>
    <row r="43" spans="1:21" s="12" customFormat="1" x14ac:dyDescent="0.25">
      <c r="A43" s="215" t="s">
        <v>666</v>
      </c>
      <c r="B43" s="64">
        <v>17.670000000000002</v>
      </c>
      <c r="C43" s="64">
        <v>18.239999999999998</v>
      </c>
      <c r="D43" s="64">
        <v>25.53</v>
      </c>
      <c r="E43" s="64">
        <v>1.49</v>
      </c>
      <c r="F43" s="64">
        <v>0.41</v>
      </c>
      <c r="G43" s="64">
        <v>141.96</v>
      </c>
      <c r="H43" s="64">
        <v>70.709999999999994</v>
      </c>
      <c r="I43" s="64">
        <v>1.5</v>
      </c>
      <c r="J43" s="64">
        <v>0.38</v>
      </c>
      <c r="K43" s="64">
        <v>93.75</v>
      </c>
      <c r="L43" s="64">
        <v>22.81</v>
      </c>
      <c r="M43" s="64">
        <v>68.77</v>
      </c>
      <c r="N43" s="64">
        <v>429.1</v>
      </c>
      <c r="O43" s="64">
        <v>0</v>
      </c>
      <c r="P43" s="64">
        <v>0.97</v>
      </c>
      <c r="Q43" s="64">
        <v>5.68</v>
      </c>
      <c r="R43" s="198"/>
      <c r="S43" s="198"/>
      <c r="T43" s="198"/>
      <c r="U43" s="198"/>
    </row>
    <row r="44" spans="1:21" s="12" customFormat="1" x14ac:dyDescent="0.25">
      <c r="A44" s="215" t="s">
        <v>667</v>
      </c>
      <c r="B44" s="64">
        <v>17.350000000000001</v>
      </c>
      <c r="C44" s="64">
        <v>19.940000000000001</v>
      </c>
      <c r="D44" s="64">
        <v>26.21</v>
      </c>
      <c r="E44" s="64">
        <v>1.0900000000000001</v>
      </c>
      <c r="F44" s="64">
        <v>0.15</v>
      </c>
      <c r="G44" s="64">
        <v>141.96</v>
      </c>
      <c r="H44" s="64">
        <v>70.709999999999994</v>
      </c>
      <c r="I44" s="64">
        <v>1.44</v>
      </c>
      <c r="J44" s="64">
        <v>0.3</v>
      </c>
      <c r="K44" s="64">
        <v>84.75</v>
      </c>
      <c r="L44" s="64">
        <v>23.13</v>
      </c>
      <c r="M44" s="64">
        <v>69.67</v>
      </c>
      <c r="N44" s="64">
        <v>423.6</v>
      </c>
      <c r="O44" s="64">
        <v>0</v>
      </c>
      <c r="P44" s="64">
        <v>0.94</v>
      </c>
      <c r="Q44" s="64">
        <v>5.59</v>
      </c>
      <c r="R44" s="198"/>
      <c r="S44" s="198"/>
      <c r="T44" s="198"/>
      <c r="U44" s="198"/>
    </row>
    <row r="45" spans="1:21" s="12" customFormat="1" x14ac:dyDescent="0.25">
      <c r="A45" s="215" t="s">
        <v>668</v>
      </c>
      <c r="B45" s="64">
        <v>16.73</v>
      </c>
      <c r="C45" s="64">
        <v>18.37</v>
      </c>
      <c r="D45" s="64">
        <v>24.84</v>
      </c>
      <c r="E45" s="64">
        <v>1.35</v>
      </c>
      <c r="F45" s="64">
        <v>0.41</v>
      </c>
      <c r="G45" s="64">
        <v>130.81</v>
      </c>
      <c r="H45" s="64">
        <v>63.91</v>
      </c>
      <c r="I45" s="64">
        <v>1.43</v>
      </c>
      <c r="J45" s="64">
        <v>0.73</v>
      </c>
      <c r="K45" s="64">
        <v>100.04</v>
      </c>
      <c r="L45" s="64">
        <v>23.17</v>
      </c>
      <c r="M45" s="64">
        <v>72.25</v>
      </c>
      <c r="N45" s="64">
        <v>539.5</v>
      </c>
      <c r="O45" s="64">
        <v>0</v>
      </c>
      <c r="P45" s="64">
        <v>0.93</v>
      </c>
      <c r="Q45" s="64">
        <v>5.6</v>
      </c>
      <c r="R45" s="198"/>
      <c r="S45" s="198"/>
      <c r="T45" s="198"/>
      <c r="U45" s="198"/>
    </row>
    <row r="46" spans="1:21" s="12" customFormat="1" x14ac:dyDescent="0.25">
      <c r="A46" s="215" t="s">
        <v>669</v>
      </c>
      <c r="B46" s="64">
        <v>16.149999999999999</v>
      </c>
      <c r="C46" s="64">
        <v>21.62</v>
      </c>
      <c r="D46" s="64">
        <v>26.17</v>
      </c>
      <c r="E46" s="64">
        <v>1.24</v>
      </c>
      <c r="F46" s="64">
        <v>0.46</v>
      </c>
      <c r="G46" s="64">
        <v>130.81</v>
      </c>
      <c r="H46" s="64">
        <v>63.91</v>
      </c>
      <c r="I46" s="64">
        <v>1.46</v>
      </c>
      <c r="J46" s="64">
        <v>0.15</v>
      </c>
      <c r="K46" s="64">
        <v>48.33</v>
      </c>
      <c r="L46" s="64">
        <v>24.6</v>
      </c>
      <c r="M46" s="64">
        <v>67.69</v>
      </c>
      <c r="N46" s="64">
        <v>525.9</v>
      </c>
      <c r="O46" s="64">
        <v>0</v>
      </c>
      <c r="P46" s="64">
        <v>0.91</v>
      </c>
      <c r="Q46" s="64">
        <v>5.46</v>
      </c>
      <c r="R46" s="198"/>
      <c r="S46" s="198"/>
      <c r="T46" s="198"/>
      <c r="U46" s="198"/>
    </row>
    <row r="47" spans="1:21" s="12" customFormat="1" x14ac:dyDescent="0.25">
      <c r="A47" s="215" t="s">
        <v>670</v>
      </c>
      <c r="B47" s="64">
        <v>15.49</v>
      </c>
      <c r="C47" s="64">
        <v>20.100000000000001</v>
      </c>
      <c r="D47" s="64">
        <v>24.81</v>
      </c>
      <c r="E47" s="64">
        <v>1.39</v>
      </c>
      <c r="F47" s="64">
        <v>1.37</v>
      </c>
      <c r="G47" s="64">
        <v>130.81</v>
      </c>
      <c r="H47" s="64">
        <v>63.91</v>
      </c>
      <c r="I47" s="64">
        <v>1.54</v>
      </c>
      <c r="J47" s="64">
        <v>0.21</v>
      </c>
      <c r="K47" s="64">
        <v>23.57</v>
      </c>
      <c r="L47" s="64">
        <v>25.58</v>
      </c>
      <c r="M47" s="64">
        <v>65.09</v>
      </c>
      <c r="N47" s="64">
        <v>618.5</v>
      </c>
      <c r="O47" s="64">
        <v>0</v>
      </c>
      <c r="P47" s="64">
        <v>0.9</v>
      </c>
      <c r="Q47" s="64">
        <v>5.38</v>
      </c>
      <c r="R47" s="198"/>
      <c r="S47" s="198"/>
      <c r="T47" s="198"/>
      <c r="U47" s="198"/>
    </row>
    <row r="48" spans="1:21" s="12" customFormat="1" x14ac:dyDescent="0.25">
      <c r="A48" s="215" t="s">
        <v>671</v>
      </c>
      <c r="B48" s="64">
        <v>14.39</v>
      </c>
      <c r="C48" s="64">
        <v>19.78</v>
      </c>
      <c r="D48" s="64">
        <v>23.75</v>
      </c>
      <c r="E48" s="64">
        <v>1.26</v>
      </c>
      <c r="F48" s="64">
        <v>1.51</v>
      </c>
      <c r="G48" s="64">
        <v>130.81</v>
      </c>
      <c r="H48" s="64">
        <v>63.91</v>
      </c>
      <c r="I48" s="64">
        <v>1.53</v>
      </c>
      <c r="J48" s="64">
        <v>0.9</v>
      </c>
      <c r="K48" s="64">
        <v>111.86</v>
      </c>
      <c r="L48" s="64">
        <v>25.17</v>
      </c>
      <c r="M48" s="64">
        <v>67.05</v>
      </c>
      <c r="N48" s="64">
        <v>619.4</v>
      </c>
      <c r="O48" s="64">
        <v>0</v>
      </c>
      <c r="P48" s="64">
        <v>0.89</v>
      </c>
      <c r="Q48" s="64">
        <v>5.44</v>
      </c>
      <c r="R48" s="198"/>
      <c r="S48" s="198"/>
      <c r="T48" s="198"/>
      <c r="U48" s="198"/>
    </row>
    <row r="49" spans="1:21" s="12" customFormat="1" x14ac:dyDescent="0.25">
      <c r="A49" s="215" t="s">
        <v>672</v>
      </c>
      <c r="B49" s="64">
        <v>13.21</v>
      </c>
      <c r="C49" s="64">
        <v>21.01</v>
      </c>
      <c r="D49" s="64">
        <v>23.48</v>
      </c>
      <c r="E49" s="64">
        <v>1.53</v>
      </c>
      <c r="F49" s="64">
        <v>1.94</v>
      </c>
      <c r="G49" s="64">
        <v>116.93</v>
      </c>
      <c r="H49" s="64">
        <v>61.99</v>
      </c>
      <c r="I49" s="64">
        <v>1.51</v>
      </c>
      <c r="J49" s="64">
        <v>0.66</v>
      </c>
      <c r="K49" s="64">
        <v>106.91</v>
      </c>
      <c r="L49" s="64">
        <v>25.89</v>
      </c>
      <c r="M49" s="64">
        <v>64.86</v>
      </c>
      <c r="N49" s="64">
        <v>621.6</v>
      </c>
      <c r="O49" s="64">
        <v>0</v>
      </c>
      <c r="P49" s="64">
        <v>0.88</v>
      </c>
      <c r="Q49" s="64">
        <v>5.32</v>
      </c>
      <c r="R49" s="198"/>
      <c r="S49" s="198"/>
      <c r="T49" s="198"/>
      <c r="U49" s="198"/>
    </row>
    <row r="50" spans="1:21" s="12" customFormat="1" x14ac:dyDescent="0.25">
      <c r="A50" s="215" t="s">
        <v>673</v>
      </c>
      <c r="B50" s="64">
        <v>12.02</v>
      </c>
      <c r="C50" s="64">
        <v>20.56</v>
      </c>
      <c r="D50" s="64">
        <v>22.28</v>
      </c>
      <c r="E50" s="64">
        <v>1.33</v>
      </c>
      <c r="F50" s="64">
        <v>1.99</v>
      </c>
      <c r="G50" s="64">
        <v>116.93</v>
      </c>
      <c r="H50" s="64">
        <v>61.99</v>
      </c>
      <c r="I50" s="64">
        <v>1.57</v>
      </c>
      <c r="J50" s="64">
        <v>0.85</v>
      </c>
      <c r="K50" s="64">
        <v>101.83</v>
      </c>
      <c r="L50" s="64">
        <v>25.25</v>
      </c>
      <c r="M50" s="64">
        <v>69.33</v>
      </c>
      <c r="N50" s="64">
        <v>661</v>
      </c>
      <c r="O50" s="64">
        <v>0</v>
      </c>
      <c r="P50" s="64">
        <v>0.85</v>
      </c>
      <c r="Q50" s="64">
        <v>5.23</v>
      </c>
      <c r="R50" s="198"/>
      <c r="S50" s="198"/>
      <c r="T50" s="198"/>
      <c r="U50" s="198"/>
    </row>
    <row r="51" spans="1:21" s="12" customFormat="1" x14ac:dyDescent="0.25">
      <c r="A51" s="215" t="s">
        <v>674</v>
      </c>
      <c r="B51" s="64">
        <v>10.86</v>
      </c>
      <c r="C51" s="64">
        <v>20.75</v>
      </c>
      <c r="D51" s="64">
        <v>21.46</v>
      </c>
      <c r="E51" s="64">
        <v>1.55</v>
      </c>
      <c r="F51" s="64">
        <v>1.69</v>
      </c>
      <c r="G51" s="64">
        <v>116.93</v>
      </c>
      <c r="H51" s="64">
        <v>61.99</v>
      </c>
      <c r="I51" s="64">
        <v>1.49</v>
      </c>
      <c r="J51" s="64">
        <v>0.35</v>
      </c>
      <c r="K51" s="64">
        <v>92.23</v>
      </c>
      <c r="L51" s="64">
        <v>25.91</v>
      </c>
      <c r="M51" s="64">
        <v>69.39</v>
      </c>
      <c r="N51" s="64">
        <v>664</v>
      </c>
      <c r="O51" s="64">
        <v>0</v>
      </c>
      <c r="P51" s="64">
        <v>0.83</v>
      </c>
      <c r="Q51" s="64">
        <v>5.14</v>
      </c>
      <c r="R51" s="198"/>
      <c r="S51" s="198"/>
      <c r="T51" s="198"/>
      <c r="U51" s="198"/>
    </row>
    <row r="52" spans="1:21" s="12" customFormat="1" x14ac:dyDescent="0.25">
      <c r="A52" s="215" t="s">
        <v>675</v>
      </c>
      <c r="B52" s="64">
        <v>10.01</v>
      </c>
      <c r="C52" s="64">
        <v>22.98</v>
      </c>
      <c r="D52" s="64">
        <v>22</v>
      </c>
      <c r="E52" s="64">
        <v>1.45</v>
      </c>
      <c r="F52" s="64">
        <v>2.92</v>
      </c>
      <c r="G52" s="64">
        <v>116.93</v>
      </c>
      <c r="H52" s="64">
        <v>61.99</v>
      </c>
      <c r="I52" s="64">
        <v>1.55</v>
      </c>
      <c r="J52" s="64">
        <v>0.86</v>
      </c>
      <c r="K52" s="64">
        <v>339.51</v>
      </c>
      <c r="L52" s="64">
        <v>28.26</v>
      </c>
      <c r="M52" s="64">
        <v>60.24</v>
      </c>
      <c r="N52" s="64">
        <v>706.8</v>
      </c>
      <c r="O52" s="64">
        <v>0</v>
      </c>
      <c r="P52" s="64">
        <v>0.82</v>
      </c>
      <c r="Q52" s="64">
        <v>4.99</v>
      </c>
      <c r="R52" s="198"/>
      <c r="S52" s="198"/>
      <c r="T52" s="198"/>
      <c r="U52" s="198"/>
    </row>
    <row r="53" spans="1:21" s="12" customFormat="1" x14ac:dyDescent="0.25">
      <c r="A53" s="215" t="s">
        <v>676</v>
      </c>
      <c r="B53" s="64">
        <v>9.26</v>
      </c>
      <c r="C53" s="64">
        <v>26.45</v>
      </c>
      <c r="D53" s="64">
        <v>23.32</v>
      </c>
      <c r="E53" s="64">
        <v>1.57</v>
      </c>
      <c r="F53" s="64">
        <v>1.32</v>
      </c>
      <c r="G53" s="64">
        <v>109.54</v>
      </c>
      <c r="H53" s="64">
        <v>57.48</v>
      </c>
      <c r="I53" s="64">
        <v>1.42</v>
      </c>
      <c r="J53" s="64">
        <v>0.56000000000000005</v>
      </c>
      <c r="K53" s="64">
        <v>89.24</v>
      </c>
      <c r="L53" s="64">
        <v>27.38</v>
      </c>
      <c r="M53" s="64">
        <v>60.85</v>
      </c>
      <c r="N53" s="64">
        <v>670.1</v>
      </c>
      <c r="O53" s="64">
        <v>0</v>
      </c>
      <c r="P53" s="64">
        <v>0.8</v>
      </c>
      <c r="Q53" s="64">
        <v>4.79</v>
      </c>
      <c r="R53" s="198"/>
      <c r="S53" s="198"/>
      <c r="T53" s="198"/>
      <c r="U53" s="198"/>
    </row>
    <row r="54" spans="1:21" s="12" customFormat="1" x14ac:dyDescent="0.25">
      <c r="A54" s="215" t="s">
        <v>677</v>
      </c>
      <c r="B54" s="64">
        <v>8.27</v>
      </c>
      <c r="C54" s="64">
        <v>22.58</v>
      </c>
      <c r="D54" s="64">
        <v>20.38</v>
      </c>
      <c r="E54" s="64">
        <v>1.75</v>
      </c>
      <c r="F54" s="64">
        <v>3.04</v>
      </c>
      <c r="G54" s="64">
        <v>109.54</v>
      </c>
      <c r="H54" s="64">
        <v>57.48</v>
      </c>
      <c r="I54" s="64">
        <v>1.48</v>
      </c>
      <c r="J54" s="64">
        <v>0.63</v>
      </c>
      <c r="K54" s="64">
        <v>99.86</v>
      </c>
      <c r="L54" s="64">
        <v>27.23</v>
      </c>
      <c r="M54" s="64">
        <v>60.74</v>
      </c>
      <c r="N54" s="64">
        <v>748.1</v>
      </c>
      <c r="O54" s="64">
        <v>0</v>
      </c>
      <c r="P54" s="64">
        <v>0.77</v>
      </c>
      <c r="Q54" s="64">
        <v>4.87</v>
      </c>
      <c r="R54" s="198"/>
      <c r="S54" s="198"/>
      <c r="T54" s="198"/>
      <c r="U54" s="198"/>
    </row>
    <row r="55" spans="1:21" s="12" customFormat="1" x14ac:dyDescent="0.25">
      <c r="A55" s="215" t="s">
        <v>678</v>
      </c>
      <c r="B55" s="64">
        <v>7.4</v>
      </c>
      <c r="C55" s="64">
        <v>19.68</v>
      </c>
      <c r="D55" s="64">
        <v>18.079999999999998</v>
      </c>
      <c r="E55" s="64">
        <v>1.69</v>
      </c>
      <c r="F55" s="64">
        <v>2.58</v>
      </c>
      <c r="G55" s="64">
        <v>109.54</v>
      </c>
      <c r="H55" s="64">
        <v>57.48</v>
      </c>
      <c r="I55" s="64">
        <v>1.49</v>
      </c>
      <c r="J55" s="64">
        <v>0.56000000000000005</v>
      </c>
      <c r="K55" s="64">
        <v>109.34</v>
      </c>
      <c r="L55" s="64">
        <v>27.1</v>
      </c>
      <c r="M55" s="64">
        <v>57.9</v>
      </c>
      <c r="N55" s="64">
        <v>706</v>
      </c>
      <c r="O55" s="64">
        <v>0</v>
      </c>
      <c r="P55" s="64">
        <v>0.76</v>
      </c>
      <c r="Q55" s="64">
        <v>5.2</v>
      </c>
      <c r="R55" s="198"/>
      <c r="S55" s="198"/>
      <c r="T55" s="198"/>
      <c r="U55" s="198"/>
    </row>
    <row r="56" spans="1:21" s="12" customFormat="1" x14ac:dyDescent="0.25">
      <c r="A56" s="215" t="s">
        <v>679</v>
      </c>
      <c r="B56" s="64">
        <v>6.48</v>
      </c>
      <c r="C56" s="64">
        <v>20.62</v>
      </c>
      <c r="D56" s="64">
        <v>17.87</v>
      </c>
      <c r="E56" s="64">
        <v>0.81</v>
      </c>
      <c r="F56" s="64">
        <v>2.97</v>
      </c>
      <c r="G56" s="64">
        <v>109.54</v>
      </c>
      <c r="H56" s="64">
        <v>57.48</v>
      </c>
      <c r="I56" s="64">
        <v>1.5</v>
      </c>
      <c r="J56" s="64">
        <v>0.18</v>
      </c>
      <c r="K56" s="64">
        <v>34.049999999999997</v>
      </c>
      <c r="L56" s="64">
        <v>27.78</v>
      </c>
      <c r="M56" s="64">
        <v>52.78</v>
      </c>
      <c r="N56" s="64">
        <v>610.29999999999995</v>
      </c>
      <c r="O56" s="64">
        <v>0</v>
      </c>
      <c r="P56" s="64">
        <v>0.74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680</v>
      </c>
      <c r="B57" s="64">
        <v>6.35</v>
      </c>
      <c r="C57" s="64">
        <v>19.510000000000002</v>
      </c>
      <c r="D57" s="64">
        <v>17.16</v>
      </c>
      <c r="E57" s="64">
        <v>1.56</v>
      </c>
      <c r="F57" s="64">
        <v>2.5</v>
      </c>
      <c r="G57" s="64">
        <v>94.85</v>
      </c>
      <c r="H57" s="64">
        <v>52.31</v>
      </c>
      <c r="I57" s="64">
        <v>1.47</v>
      </c>
      <c r="J57" s="64">
        <v>0.28000000000000003</v>
      </c>
      <c r="K57" s="64">
        <v>43.4</v>
      </c>
      <c r="L57" s="64">
        <v>28.08</v>
      </c>
      <c r="M57" s="64">
        <v>50.54</v>
      </c>
      <c r="N57" s="64">
        <v>712</v>
      </c>
      <c r="O57" s="64">
        <v>0</v>
      </c>
      <c r="P57" s="64">
        <v>0.73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681</v>
      </c>
      <c r="B58" s="64">
        <v>5.0999999999999996</v>
      </c>
      <c r="C58" s="64">
        <v>21.02</v>
      </c>
      <c r="D58" s="64">
        <v>16.98</v>
      </c>
      <c r="E58" s="64">
        <v>1.35</v>
      </c>
      <c r="F58" s="64">
        <v>3.31</v>
      </c>
      <c r="G58" s="64">
        <v>94.85</v>
      </c>
      <c r="H58" s="64">
        <v>52.31</v>
      </c>
      <c r="I58" s="64">
        <v>1.51</v>
      </c>
      <c r="J58" s="64">
        <v>0.69</v>
      </c>
      <c r="K58" s="64">
        <v>99.83</v>
      </c>
      <c r="L58" s="64">
        <v>27.85</v>
      </c>
      <c r="M58" s="64">
        <v>48.02</v>
      </c>
      <c r="N58" s="64">
        <v>709.8</v>
      </c>
      <c r="O58" s="64">
        <v>0</v>
      </c>
      <c r="P58" s="64">
        <v>0.7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682</v>
      </c>
      <c r="B59" s="64">
        <v>4.82</v>
      </c>
      <c r="C59" s="64">
        <v>19.53</v>
      </c>
      <c r="D59" s="64">
        <v>15.94</v>
      </c>
      <c r="E59" s="64">
        <v>1.78</v>
      </c>
      <c r="F59" s="64">
        <v>5.49</v>
      </c>
      <c r="G59" s="64">
        <v>94.85</v>
      </c>
      <c r="H59" s="64">
        <v>52.31</v>
      </c>
      <c r="I59" s="64">
        <v>1.5</v>
      </c>
      <c r="J59" s="64">
        <v>0.28999999999999998</v>
      </c>
      <c r="K59" s="64">
        <v>65.400000000000006</v>
      </c>
      <c r="L59" s="64">
        <v>27.63</v>
      </c>
      <c r="M59" s="64">
        <v>49.61</v>
      </c>
      <c r="N59" s="64">
        <v>522.6</v>
      </c>
      <c r="O59" s="64">
        <v>0</v>
      </c>
      <c r="P59" s="64">
        <v>0.68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683</v>
      </c>
      <c r="B60" s="64">
        <v>6.27</v>
      </c>
      <c r="C60" s="64">
        <v>19.579999999999998</v>
      </c>
      <c r="D60" s="64">
        <v>17.13</v>
      </c>
      <c r="E60" s="64">
        <v>1.99</v>
      </c>
      <c r="F60" s="64">
        <v>5.41</v>
      </c>
      <c r="G60" s="64">
        <v>94.85</v>
      </c>
      <c r="H60" s="64">
        <v>52.31</v>
      </c>
      <c r="I60" s="64">
        <v>1.42</v>
      </c>
      <c r="J60" s="64">
        <v>0.53</v>
      </c>
      <c r="K60" s="64">
        <v>71.94</v>
      </c>
      <c r="L60" s="64">
        <v>27.92</v>
      </c>
      <c r="M60" s="64">
        <v>48.54</v>
      </c>
      <c r="N60" s="64">
        <v>496.9</v>
      </c>
      <c r="O60" s="64">
        <v>0</v>
      </c>
      <c r="P60" s="64">
        <v>0.67</v>
      </c>
      <c r="Q60" s="64">
        <v>5.19</v>
      </c>
      <c r="R60" s="198"/>
      <c r="S60" s="198"/>
      <c r="T60" s="198"/>
      <c r="U60" s="198"/>
    </row>
    <row r="61" spans="1:21" s="12" customFormat="1" x14ac:dyDescent="0.25">
      <c r="A61" s="215" t="s">
        <v>684</v>
      </c>
      <c r="B61" s="64">
        <v>4.16</v>
      </c>
      <c r="C61" s="64">
        <v>21.35</v>
      </c>
      <c r="D61" s="64">
        <v>16.41</v>
      </c>
      <c r="E61" s="64">
        <v>2.73</v>
      </c>
      <c r="F61" s="64">
        <v>8.15</v>
      </c>
      <c r="G61" s="64">
        <v>87.04</v>
      </c>
      <c r="H61" s="64">
        <v>48.9</v>
      </c>
      <c r="I61" s="64">
        <v>1.47</v>
      </c>
      <c r="J61" s="64">
        <v>0.87</v>
      </c>
      <c r="K61" s="64">
        <v>337.24</v>
      </c>
      <c r="L61" s="64">
        <v>27.83</v>
      </c>
      <c r="M61" s="64">
        <v>48.1</v>
      </c>
      <c r="N61" s="64">
        <v>429.1</v>
      </c>
      <c r="O61" s="64">
        <v>0</v>
      </c>
      <c r="P61" s="64">
        <v>0.63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685</v>
      </c>
      <c r="B62" s="64">
        <v>6.47</v>
      </c>
      <c r="C62" s="64">
        <v>24.35</v>
      </c>
      <c r="D62" s="64">
        <v>19.920000000000002</v>
      </c>
      <c r="E62" s="64">
        <v>2.7</v>
      </c>
      <c r="F62" s="64">
        <v>10.89</v>
      </c>
      <c r="G62" s="64">
        <v>87.04</v>
      </c>
      <c r="H62" s="64">
        <v>48.9</v>
      </c>
      <c r="I62" s="64">
        <v>1.55</v>
      </c>
      <c r="J62" s="64">
        <v>0.73</v>
      </c>
      <c r="K62" s="64">
        <v>344.86</v>
      </c>
      <c r="L62" s="64">
        <v>28.52</v>
      </c>
      <c r="M62" s="64">
        <v>43.77</v>
      </c>
      <c r="N62" s="64">
        <v>423.6</v>
      </c>
      <c r="O62" s="64">
        <v>0</v>
      </c>
      <c r="P62" s="64">
        <v>0.65</v>
      </c>
      <c r="Q62" s="64">
        <v>4.8499999999999996</v>
      </c>
      <c r="R62" s="198"/>
      <c r="S62" s="198"/>
      <c r="T62" s="198"/>
      <c r="U62" s="198"/>
    </row>
    <row r="63" spans="1:21" s="12" customFormat="1" x14ac:dyDescent="0.25">
      <c r="A63" s="215" t="s">
        <v>686</v>
      </c>
      <c r="B63" s="64">
        <v>3.8</v>
      </c>
      <c r="C63" s="64">
        <v>21.17</v>
      </c>
      <c r="D63" s="64">
        <v>16.02</v>
      </c>
      <c r="E63" s="64">
        <v>1.72</v>
      </c>
      <c r="F63" s="64">
        <v>7.25</v>
      </c>
      <c r="G63" s="64">
        <v>87.04</v>
      </c>
      <c r="H63" s="64">
        <v>48.9</v>
      </c>
      <c r="I63" s="64">
        <v>1.49</v>
      </c>
      <c r="J63" s="64">
        <v>1.1299999999999999</v>
      </c>
      <c r="K63" s="64">
        <v>109.38</v>
      </c>
      <c r="L63" s="64">
        <v>27.23</v>
      </c>
      <c r="M63" s="64">
        <v>48.07</v>
      </c>
      <c r="N63" s="64">
        <v>441.8</v>
      </c>
      <c r="O63" s="64">
        <v>0</v>
      </c>
      <c r="P63" s="64">
        <v>0.63</v>
      </c>
      <c r="Q63" s="64">
        <v>4.8</v>
      </c>
      <c r="R63" s="198"/>
      <c r="S63" s="198"/>
      <c r="T63" s="198"/>
      <c r="U63" s="198"/>
    </row>
    <row r="64" spans="1:21" s="12" customFormat="1" x14ac:dyDescent="0.25">
      <c r="A64" s="215" t="s">
        <v>687</v>
      </c>
      <c r="B64" s="64">
        <v>3.63</v>
      </c>
      <c r="C64" s="64">
        <v>22.3</v>
      </c>
      <c r="D64" s="64">
        <v>16.510000000000002</v>
      </c>
      <c r="E64" s="64">
        <v>2.52</v>
      </c>
      <c r="F64" s="64">
        <v>5.4</v>
      </c>
      <c r="G64" s="64">
        <v>87.04</v>
      </c>
      <c r="H64" s="64">
        <v>48.9</v>
      </c>
      <c r="I64" s="64">
        <v>1.49</v>
      </c>
      <c r="J64" s="64">
        <v>0.78</v>
      </c>
      <c r="K64" s="64">
        <v>99.42</v>
      </c>
      <c r="L64" s="64">
        <v>26.83</v>
      </c>
      <c r="M64" s="64">
        <v>46.6</v>
      </c>
      <c r="N64" s="64">
        <v>446.8</v>
      </c>
      <c r="O64" s="64">
        <v>0</v>
      </c>
      <c r="P64" s="64">
        <v>0.62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688</v>
      </c>
      <c r="B65" s="64">
        <v>3.55</v>
      </c>
      <c r="C65" s="64">
        <v>21.17</v>
      </c>
      <c r="D65" s="64">
        <v>15.82</v>
      </c>
      <c r="E65" s="64">
        <v>2.3199999999999998</v>
      </c>
      <c r="F65" s="64">
        <v>4.91</v>
      </c>
      <c r="G65" s="64">
        <v>82.77</v>
      </c>
      <c r="H65" s="64">
        <v>47.76</v>
      </c>
      <c r="I65" s="64">
        <v>1.58</v>
      </c>
      <c r="J65" s="64">
        <v>0.41</v>
      </c>
      <c r="K65" s="64">
        <v>69.16</v>
      </c>
      <c r="L65" s="64">
        <v>27.52</v>
      </c>
      <c r="M65" s="64">
        <v>45.07</v>
      </c>
      <c r="N65" s="64">
        <v>244.9</v>
      </c>
      <c r="O65" s="64">
        <v>0</v>
      </c>
      <c r="P65" s="64">
        <v>0.62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689</v>
      </c>
      <c r="B66" s="64">
        <v>3.64</v>
      </c>
      <c r="C66" s="64">
        <v>19.57</v>
      </c>
      <c r="D66" s="64">
        <v>15.01</v>
      </c>
      <c r="E66" s="64">
        <v>2.48</v>
      </c>
      <c r="F66" s="64">
        <v>10.74</v>
      </c>
      <c r="G66" s="64">
        <v>82.77</v>
      </c>
      <c r="H66" s="64">
        <v>47.76</v>
      </c>
      <c r="I66" s="64">
        <v>1.51</v>
      </c>
      <c r="J66" s="64">
        <v>0.24</v>
      </c>
      <c r="K66" s="64">
        <v>30.51</v>
      </c>
      <c r="L66" s="64">
        <v>27.33</v>
      </c>
      <c r="M66" s="64">
        <v>45.22</v>
      </c>
      <c r="N66" s="64">
        <v>221.3</v>
      </c>
      <c r="O66" s="64">
        <v>0</v>
      </c>
      <c r="P66" s="64">
        <v>0.61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690</v>
      </c>
      <c r="B67" s="64">
        <v>2.6</v>
      </c>
      <c r="C67" s="64">
        <v>17.399999999999999</v>
      </c>
      <c r="D67" s="64">
        <v>12.98</v>
      </c>
      <c r="E67" s="64">
        <v>2.31</v>
      </c>
      <c r="F67" s="64">
        <v>6.84</v>
      </c>
      <c r="G67" s="64">
        <v>82.77</v>
      </c>
      <c r="H67" s="64">
        <v>47.76</v>
      </c>
      <c r="I67" s="64">
        <v>1.53</v>
      </c>
      <c r="J67" s="64">
        <v>0.19</v>
      </c>
      <c r="K67" s="64">
        <v>64.459999999999994</v>
      </c>
      <c r="L67" s="64">
        <v>27.15</v>
      </c>
      <c r="M67" s="64">
        <v>45.73</v>
      </c>
      <c r="N67" s="64">
        <v>209</v>
      </c>
      <c r="O67" s="64">
        <v>0</v>
      </c>
      <c r="P67" s="64">
        <v>0.59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691</v>
      </c>
      <c r="B68" s="64">
        <v>3.29</v>
      </c>
      <c r="C68" s="64">
        <v>22.97</v>
      </c>
      <c r="D68" s="64">
        <v>16.61</v>
      </c>
      <c r="E68" s="64">
        <v>1.83</v>
      </c>
      <c r="F68" s="64">
        <v>10.96</v>
      </c>
      <c r="G68" s="64">
        <v>82.77</v>
      </c>
      <c r="H68" s="64">
        <v>47.76</v>
      </c>
      <c r="I68" s="64">
        <v>1.5</v>
      </c>
      <c r="J68" s="64">
        <v>0.44</v>
      </c>
      <c r="K68" s="64">
        <v>95.22</v>
      </c>
      <c r="L68" s="64">
        <v>26.93</v>
      </c>
      <c r="M68" s="64">
        <v>43.73</v>
      </c>
      <c r="N68" s="64">
        <v>184.8</v>
      </c>
      <c r="O68" s="64">
        <v>0</v>
      </c>
      <c r="P68" s="64">
        <v>0.59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692</v>
      </c>
      <c r="B69" s="64">
        <v>3</v>
      </c>
      <c r="C69" s="64">
        <v>23.96</v>
      </c>
      <c r="D69" s="64">
        <v>16.920000000000002</v>
      </c>
      <c r="E69" s="64">
        <v>2.59</v>
      </c>
      <c r="F69" s="64">
        <v>6.24</v>
      </c>
      <c r="G69" s="64">
        <v>76.78</v>
      </c>
      <c r="H69" s="64">
        <v>44.13</v>
      </c>
      <c r="I69" s="64">
        <v>1.5</v>
      </c>
      <c r="J69" s="64">
        <v>0.73</v>
      </c>
      <c r="K69" s="64">
        <v>102.61</v>
      </c>
      <c r="L69" s="64">
        <v>26.98</v>
      </c>
      <c r="M69" s="64">
        <v>42.73</v>
      </c>
      <c r="N69" s="64">
        <v>163.80000000000001</v>
      </c>
      <c r="O69" s="64">
        <v>0</v>
      </c>
      <c r="P69" s="64">
        <v>0.57999999999999996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693</v>
      </c>
      <c r="B70" s="64">
        <v>2.65</v>
      </c>
      <c r="C70" s="64">
        <v>23.46</v>
      </c>
      <c r="D70" s="64">
        <v>16.36</v>
      </c>
      <c r="E70" s="64">
        <v>1.81</v>
      </c>
      <c r="F70" s="64">
        <v>7.24</v>
      </c>
      <c r="G70" s="64">
        <v>76.78</v>
      </c>
      <c r="H70" s="64">
        <v>44.13</v>
      </c>
      <c r="I70" s="64">
        <v>1.59</v>
      </c>
      <c r="J70" s="64">
        <v>0.38</v>
      </c>
      <c r="K70" s="64">
        <v>74.45</v>
      </c>
      <c r="L70" s="64">
        <v>26.58</v>
      </c>
      <c r="M70" s="64">
        <v>42.65</v>
      </c>
      <c r="N70" s="64">
        <v>131.9</v>
      </c>
      <c r="O70" s="64">
        <v>0</v>
      </c>
      <c r="P70" s="64">
        <v>0.56000000000000005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694</v>
      </c>
      <c r="B71" s="64">
        <v>3.58</v>
      </c>
      <c r="C71" s="64">
        <v>24.19</v>
      </c>
      <c r="D71" s="64">
        <v>17.510000000000002</v>
      </c>
      <c r="E71" s="64">
        <v>2.82</v>
      </c>
      <c r="F71" s="64">
        <v>13.29</v>
      </c>
      <c r="G71" s="64">
        <v>76.78</v>
      </c>
      <c r="H71" s="64">
        <v>44.13</v>
      </c>
      <c r="I71" s="64">
        <v>1.51</v>
      </c>
      <c r="J71" s="64">
        <v>0.18</v>
      </c>
      <c r="K71" s="64">
        <v>78.56</v>
      </c>
      <c r="L71" s="64">
        <v>26.6</v>
      </c>
      <c r="M71" s="64">
        <v>42.58</v>
      </c>
      <c r="N71" s="64">
        <v>129.5</v>
      </c>
      <c r="O71" s="64">
        <v>0</v>
      </c>
      <c r="P71" s="64">
        <v>0.56000000000000005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695</v>
      </c>
      <c r="B72" s="64">
        <v>3.49</v>
      </c>
      <c r="C72" s="64">
        <v>25.5</v>
      </c>
      <c r="D72" s="64">
        <v>18.16</v>
      </c>
      <c r="E72" s="64">
        <v>1.96</v>
      </c>
      <c r="F72" s="64">
        <v>14.85</v>
      </c>
      <c r="G72" s="64">
        <v>76.78</v>
      </c>
      <c r="H72" s="64">
        <v>44.13</v>
      </c>
      <c r="I72" s="64">
        <v>1.43</v>
      </c>
      <c r="J72" s="64">
        <v>0.28000000000000003</v>
      </c>
      <c r="K72" s="64">
        <v>81.5</v>
      </c>
      <c r="L72" s="64">
        <v>26.45</v>
      </c>
      <c r="M72" s="64">
        <v>41.37</v>
      </c>
      <c r="N72" s="64">
        <v>117.6</v>
      </c>
      <c r="O72" s="64">
        <v>0</v>
      </c>
      <c r="P72" s="64">
        <v>0.55000000000000004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696</v>
      </c>
      <c r="B73" s="64">
        <v>2.81</v>
      </c>
      <c r="C73" s="64">
        <v>24.42</v>
      </c>
      <c r="D73" s="64">
        <v>17.02</v>
      </c>
      <c r="E73" s="64">
        <v>3.68</v>
      </c>
      <c r="F73" s="64">
        <v>14.82</v>
      </c>
      <c r="G73" s="64">
        <v>75.7</v>
      </c>
      <c r="H73" s="64">
        <v>39.5</v>
      </c>
      <c r="I73" s="64">
        <v>1.52</v>
      </c>
      <c r="J73" s="64">
        <v>0.38</v>
      </c>
      <c r="K73" s="64">
        <v>86.04</v>
      </c>
      <c r="L73" s="64">
        <v>26.06</v>
      </c>
      <c r="M73" s="64">
        <v>41.77</v>
      </c>
      <c r="N73" s="64">
        <v>87.9</v>
      </c>
      <c r="O73" s="64">
        <v>0</v>
      </c>
      <c r="P73" s="64">
        <v>0.51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697</v>
      </c>
      <c r="B74" s="64">
        <v>4.5199999999999996</v>
      </c>
      <c r="C74" s="64">
        <v>27.24</v>
      </c>
      <c r="D74" s="64">
        <v>19.95</v>
      </c>
      <c r="E74" s="64">
        <v>3.72</v>
      </c>
      <c r="F74" s="64">
        <v>10.029999999999999</v>
      </c>
      <c r="G74" s="64">
        <v>75.7</v>
      </c>
      <c r="H74" s="64">
        <v>39.5</v>
      </c>
      <c r="I74" s="64">
        <v>1.54</v>
      </c>
      <c r="J74" s="64">
        <v>0.18</v>
      </c>
      <c r="K74" s="64">
        <v>64.86</v>
      </c>
      <c r="L74" s="64">
        <v>25.74</v>
      </c>
      <c r="M74" s="64">
        <v>39.93</v>
      </c>
      <c r="N74" s="64">
        <v>83.2</v>
      </c>
      <c r="O74" s="64">
        <v>0</v>
      </c>
      <c r="P74" s="64">
        <v>0.59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698</v>
      </c>
      <c r="B75" s="64">
        <v>3.9</v>
      </c>
      <c r="C75" s="64">
        <v>23.71</v>
      </c>
      <c r="D75" s="64">
        <v>17.510000000000002</v>
      </c>
      <c r="E75" s="64">
        <v>4.0999999999999996</v>
      </c>
      <c r="F75" s="64">
        <v>9.48</v>
      </c>
      <c r="G75" s="64">
        <v>75.7</v>
      </c>
      <c r="H75" s="64">
        <v>39.5</v>
      </c>
      <c r="I75" s="64">
        <v>1.58</v>
      </c>
      <c r="J75" s="64">
        <v>0.08</v>
      </c>
      <c r="K75" s="64">
        <v>53.98</v>
      </c>
      <c r="L75" s="64">
        <v>25.52</v>
      </c>
      <c r="M75" s="64">
        <v>35.049999999999997</v>
      </c>
      <c r="N75" s="64">
        <v>87</v>
      </c>
      <c r="O75" s="64">
        <v>0</v>
      </c>
      <c r="P75" s="64">
        <v>0.56000000000000005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699</v>
      </c>
      <c r="B76" s="64">
        <v>5.74</v>
      </c>
      <c r="C76" s="64">
        <v>27.11</v>
      </c>
      <c r="D76" s="64">
        <v>20.86</v>
      </c>
      <c r="E76" s="64">
        <v>4.08</v>
      </c>
      <c r="F76" s="64">
        <v>8.7200000000000006</v>
      </c>
      <c r="G76" s="64">
        <v>75.7</v>
      </c>
      <c r="H76" s="64">
        <v>39.5</v>
      </c>
      <c r="I76" s="64">
        <v>1.49</v>
      </c>
      <c r="J76" s="64">
        <v>0.22</v>
      </c>
      <c r="K76" s="64">
        <v>80.17</v>
      </c>
      <c r="L76" s="64">
        <v>25.06</v>
      </c>
      <c r="M76" s="64">
        <v>35.659999999999997</v>
      </c>
      <c r="N76" s="64">
        <v>76.8</v>
      </c>
      <c r="O76" s="64">
        <v>0</v>
      </c>
      <c r="P76" s="64">
        <v>0.57999999999999996</v>
      </c>
      <c r="Q76" s="64">
        <v>4.92</v>
      </c>
      <c r="R76" s="198"/>
      <c r="S76" s="198"/>
      <c r="T76" s="198"/>
      <c r="U76" s="198"/>
    </row>
    <row r="77" spans="1:21" s="12" customFormat="1" x14ac:dyDescent="0.25">
      <c r="A77" s="215" t="s">
        <v>700</v>
      </c>
      <c r="B77" s="64">
        <v>3.93</v>
      </c>
      <c r="C77" s="64">
        <v>27.65</v>
      </c>
      <c r="D77" s="64">
        <v>19.7</v>
      </c>
      <c r="E77" s="64">
        <v>3.45</v>
      </c>
      <c r="F77" s="64">
        <v>12.74</v>
      </c>
      <c r="G77" s="64">
        <v>63.68</v>
      </c>
      <c r="H77" s="64">
        <v>42.4</v>
      </c>
      <c r="I77" s="64">
        <v>1.51</v>
      </c>
      <c r="J77" s="64">
        <v>0.15</v>
      </c>
      <c r="K77" s="64">
        <v>70.8</v>
      </c>
      <c r="L77" s="64">
        <v>24.13</v>
      </c>
      <c r="M77" s="64">
        <v>45.07</v>
      </c>
      <c r="N77" s="64">
        <v>59.8</v>
      </c>
      <c r="O77" s="64">
        <v>0</v>
      </c>
      <c r="P77" s="64">
        <v>0.54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5" t="s">
        <v>701</v>
      </c>
      <c r="B78" s="64">
        <v>3.8</v>
      </c>
      <c r="C78" s="64">
        <v>20.39</v>
      </c>
      <c r="D78" s="64">
        <v>15.59</v>
      </c>
      <c r="E78" s="64">
        <v>3.27</v>
      </c>
      <c r="F78" s="64">
        <v>5.56</v>
      </c>
      <c r="G78" s="64">
        <v>63.68</v>
      </c>
      <c r="H78" s="64">
        <v>42.4</v>
      </c>
      <c r="I78" s="64">
        <v>1.51</v>
      </c>
      <c r="J78" s="64">
        <v>0.12</v>
      </c>
      <c r="K78" s="64">
        <v>63.78</v>
      </c>
      <c r="L78" s="64">
        <v>23.41</v>
      </c>
      <c r="M78" s="64">
        <v>50.02</v>
      </c>
      <c r="N78" s="64">
        <v>53</v>
      </c>
      <c r="O78" s="64">
        <v>0</v>
      </c>
      <c r="P78" s="64">
        <v>0.56000000000000005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5" t="s">
        <v>702</v>
      </c>
      <c r="B79" s="64">
        <v>6.31</v>
      </c>
      <c r="C79" s="64">
        <v>31.15</v>
      </c>
      <c r="D79" s="64">
        <v>23.54</v>
      </c>
      <c r="E79" s="64">
        <v>2.46</v>
      </c>
      <c r="F79" s="64">
        <v>3.47</v>
      </c>
      <c r="G79" s="64">
        <v>63.68</v>
      </c>
      <c r="H79" s="64">
        <v>42.4</v>
      </c>
      <c r="I79" s="64">
        <v>1.53</v>
      </c>
      <c r="J79" s="64">
        <v>0.13</v>
      </c>
      <c r="K79" s="64">
        <v>79.17</v>
      </c>
      <c r="L79" s="64">
        <v>22.99</v>
      </c>
      <c r="M79" s="64">
        <v>50.05</v>
      </c>
      <c r="N79" s="64">
        <v>51.6</v>
      </c>
      <c r="O79" s="64">
        <v>0</v>
      </c>
      <c r="P79" s="64">
        <v>0.69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5" t="s">
        <v>703</v>
      </c>
      <c r="B80" s="64">
        <v>5.51</v>
      </c>
      <c r="C80" s="64">
        <v>25.16</v>
      </c>
      <c r="D80" s="64">
        <v>19.600000000000001</v>
      </c>
      <c r="E80" s="64">
        <v>2.5</v>
      </c>
      <c r="F80" s="64">
        <v>3.64</v>
      </c>
      <c r="G80" s="64">
        <v>63.68</v>
      </c>
      <c r="H80" s="64">
        <v>42.4</v>
      </c>
      <c r="I80" s="64">
        <v>1.48</v>
      </c>
      <c r="J80" s="64">
        <v>0.22</v>
      </c>
      <c r="K80" s="64">
        <v>89.96</v>
      </c>
      <c r="L80" s="64">
        <v>22.84</v>
      </c>
      <c r="M80" s="64">
        <v>48.95</v>
      </c>
      <c r="N80" s="64">
        <v>51.4</v>
      </c>
      <c r="O80" s="64">
        <v>0</v>
      </c>
      <c r="P80" s="64">
        <v>0.64</v>
      </c>
      <c r="Q80" s="64">
        <v>5.2</v>
      </c>
      <c r="R80" s="198"/>
      <c r="S80" s="198"/>
      <c r="T80" s="198"/>
      <c r="U80" s="198"/>
    </row>
    <row r="81" spans="1:26" s="12" customFormat="1" x14ac:dyDescent="0.25">
      <c r="A81" s="215" t="s">
        <v>704</v>
      </c>
      <c r="B81" s="64">
        <v>6.14</v>
      </c>
      <c r="C81" s="64">
        <v>34.07</v>
      </c>
      <c r="D81" s="64">
        <v>25.02</v>
      </c>
      <c r="E81" s="64">
        <v>1.99</v>
      </c>
      <c r="F81" s="64">
        <v>2.78</v>
      </c>
      <c r="G81" s="64">
        <v>79.27</v>
      </c>
      <c r="H81" s="64">
        <v>36.51</v>
      </c>
      <c r="I81" s="64">
        <v>1.47</v>
      </c>
      <c r="J81" s="64">
        <v>0.15</v>
      </c>
      <c r="K81" s="64">
        <v>69.260000000000005</v>
      </c>
      <c r="L81" s="64">
        <v>22.52</v>
      </c>
      <c r="M81" s="64">
        <v>50.82</v>
      </c>
      <c r="N81" s="64">
        <v>51.2</v>
      </c>
      <c r="O81" s="64">
        <v>0</v>
      </c>
      <c r="P81" s="64">
        <v>0.75</v>
      </c>
      <c r="Q81" s="64">
        <v>4.93</v>
      </c>
      <c r="R81" s="198"/>
      <c r="S81" s="198"/>
      <c r="T81" s="198"/>
      <c r="U81" s="198"/>
    </row>
    <row r="82" spans="1:26" s="12" customFormat="1" x14ac:dyDescent="0.25">
      <c r="A82" s="215" t="s">
        <v>705</v>
      </c>
      <c r="B82" s="64">
        <v>5.51</v>
      </c>
      <c r="C82" s="64">
        <v>27.05</v>
      </c>
      <c r="D82" s="64">
        <v>20.64</v>
      </c>
      <c r="E82" s="64">
        <v>2.48</v>
      </c>
      <c r="F82" s="64">
        <v>5.49</v>
      </c>
      <c r="G82" s="64">
        <v>79.27</v>
      </c>
      <c r="H82" s="64">
        <v>36.51</v>
      </c>
      <c r="I82" s="64">
        <v>1.54</v>
      </c>
      <c r="J82" s="64">
        <v>0.16</v>
      </c>
      <c r="K82" s="64">
        <v>86.16</v>
      </c>
      <c r="L82" s="64">
        <v>22.41</v>
      </c>
      <c r="M82" s="64">
        <v>50.67</v>
      </c>
      <c r="N82" s="64">
        <v>50.9</v>
      </c>
      <c r="O82" s="64">
        <v>0</v>
      </c>
      <c r="P82" s="64">
        <v>0.71</v>
      </c>
      <c r="Q82" s="64">
        <v>4.84</v>
      </c>
      <c r="R82" s="198"/>
      <c r="S82" s="198"/>
      <c r="T82" s="198"/>
      <c r="U82" s="198"/>
    </row>
    <row r="83" spans="1:26" s="12" customFormat="1" x14ac:dyDescent="0.25">
      <c r="A83" s="215" t="s">
        <v>706</v>
      </c>
      <c r="B83" s="64">
        <v>5.53</v>
      </c>
      <c r="C83" s="64">
        <v>28.47</v>
      </c>
      <c r="D83" s="64">
        <v>21.44</v>
      </c>
      <c r="E83" s="64">
        <v>2.0699999999999998</v>
      </c>
      <c r="F83" s="64">
        <v>2.74</v>
      </c>
      <c r="G83" s="64">
        <v>79.27</v>
      </c>
      <c r="H83" s="64">
        <v>36.51</v>
      </c>
      <c r="I83" s="64">
        <v>1.54</v>
      </c>
      <c r="J83" s="64">
        <v>0.19</v>
      </c>
      <c r="K83" s="64">
        <v>85.86</v>
      </c>
      <c r="L83" s="64">
        <v>22.24</v>
      </c>
      <c r="M83" s="64">
        <v>51.09</v>
      </c>
      <c r="N83" s="64">
        <v>51.1</v>
      </c>
      <c r="O83" s="64">
        <v>0</v>
      </c>
      <c r="P83" s="64">
        <v>0.73</v>
      </c>
      <c r="Q83" s="64">
        <v>5.14</v>
      </c>
      <c r="R83" s="198"/>
      <c r="S83" s="198"/>
      <c r="T83" s="198"/>
      <c r="U83" s="198"/>
    </row>
    <row r="84" spans="1:26" s="12" customFormat="1" x14ac:dyDescent="0.25">
      <c r="A84" s="215" t="s">
        <v>707</v>
      </c>
      <c r="B84" s="64">
        <v>5.18</v>
      </c>
      <c r="C84" s="64">
        <v>29.64</v>
      </c>
      <c r="D84" s="64">
        <v>21.8</v>
      </c>
      <c r="E84" s="64">
        <v>1.84</v>
      </c>
      <c r="F84" s="64">
        <v>4.3099999999999996</v>
      </c>
      <c r="G84" s="64">
        <v>79.27</v>
      </c>
      <c r="H84" s="64">
        <v>36.51</v>
      </c>
      <c r="I84" s="64">
        <v>1.5</v>
      </c>
      <c r="J84" s="64">
        <v>0.11</v>
      </c>
      <c r="K84" s="64">
        <v>56.05</v>
      </c>
      <c r="L84" s="64">
        <v>22.05</v>
      </c>
      <c r="M84" s="64">
        <v>51.13</v>
      </c>
      <c r="N84" s="64">
        <v>51.1</v>
      </c>
      <c r="O84" s="64">
        <v>0</v>
      </c>
      <c r="P84" s="64">
        <v>0.72</v>
      </c>
      <c r="Q84" s="64">
        <v>4.9400000000000004</v>
      </c>
      <c r="R84" s="198"/>
      <c r="S84" s="198"/>
      <c r="T84" s="198"/>
      <c r="U84" s="198"/>
    </row>
    <row r="85" spans="1:26" s="12" customFormat="1" x14ac:dyDescent="0.25">
      <c r="A85" s="215" t="s">
        <v>708</v>
      </c>
      <c r="B85" s="64">
        <v>5.07</v>
      </c>
      <c r="C85" s="64">
        <v>29.75</v>
      </c>
      <c r="D85" s="64">
        <v>21.78</v>
      </c>
      <c r="E85" s="64">
        <v>2.06</v>
      </c>
      <c r="F85" s="64">
        <v>4.8099999999999996</v>
      </c>
      <c r="G85" s="64">
        <v>87.49</v>
      </c>
      <c r="H85" s="64">
        <v>41.12</v>
      </c>
      <c r="I85" s="64">
        <v>1.54</v>
      </c>
      <c r="J85" s="64">
        <v>0.25</v>
      </c>
      <c r="K85" s="64">
        <v>91.82</v>
      </c>
      <c r="L85" s="64">
        <v>21.98</v>
      </c>
      <c r="M85" s="64">
        <v>51.22</v>
      </c>
      <c r="N85" s="64">
        <v>50.9</v>
      </c>
      <c r="O85" s="64">
        <v>0</v>
      </c>
      <c r="P85" s="64">
        <v>0.71</v>
      </c>
      <c r="Q85" s="64">
        <v>5.07</v>
      </c>
      <c r="R85" s="198"/>
      <c r="S85" s="198"/>
      <c r="T85" s="198"/>
      <c r="U85" s="198"/>
    </row>
    <row r="86" spans="1:26" s="12" customFormat="1" x14ac:dyDescent="0.25">
      <c r="A86" s="215" t="s">
        <v>709</v>
      </c>
      <c r="B86" s="64">
        <v>5.21</v>
      </c>
      <c r="C86" s="64">
        <v>24.66</v>
      </c>
      <c r="D86" s="64">
        <v>19.079999999999998</v>
      </c>
      <c r="E86" s="64">
        <v>1.91</v>
      </c>
      <c r="F86" s="64">
        <v>4.1100000000000003</v>
      </c>
      <c r="G86" s="64">
        <v>87.49</v>
      </c>
      <c r="H86" s="64">
        <v>41.12</v>
      </c>
      <c r="I86" s="64">
        <v>1.47</v>
      </c>
      <c r="J86" s="64">
        <v>0.2</v>
      </c>
      <c r="K86" s="64">
        <v>95.84</v>
      </c>
      <c r="L86" s="64">
        <v>21.92</v>
      </c>
      <c r="M86" s="64">
        <v>53.12</v>
      </c>
      <c r="N86" s="64">
        <v>51.5</v>
      </c>
      <c r="O86" s="64">
        <v>0</v>
      </c>
      <c r="P86" s="64">
        <v>0.71</v>
      </c>
      <c r="Q86" s="64">
        <v>5.2</v>
      </c>
      <c r="R86" s="198"/>
      <c r="S86" s="198"/>
      <c r="T86" s="198"/>
      <c r="U86" s="198"/>
    </row>
    <row r="87" spans="1:26" s="12" customFormat="1" x14ac:dyDescent="0.25">
      <c r="A87" s="215" t="s">
        <v>710</v>
      </c>
      <c r="B87" s="64">
        <v>4.82</v>
      </c>
      <c r="C87" s="64">
        <v>25.17</v>
      </c>
      <c r="D87" s="64">
        <v>19.05</v>
      </c>
      <c r="E87" s="64">
        <v>2.1</v>
      </c>
      <c r="F87" s="64">
        <v>6.84</v>
      </c>
      <c r="G87" s="64">
        <v>87.49</v>
      </c>
      <c r="H87" s="64">
        <v>41.12</v>
      </c>
      <c r="I87" s="64">
        <v>1.52</v>
      </c>
      <c r="J87" s="64">
        <v>0.21</v>
      </c>
      <c r="K87" s="64">
        <v>120.39</v>
      </c>
      <c r="L87" s="64">
        <v>21.72</v>
      </c>
      <c r="M87" s="64">
        <v>55.22</v>
      </c>
      <c r="N87" s="64">
        <v>51.4</v>
      </c>
      <c r="O87" s="64">
        <v>0</v>
      </c>
      <c r="P87" s="64">
        <v>0.74</v>
      </c>
      <c r="Q87" s="64">
        <v>5.18</v>
      </c>
      <c r="R87" s="198"/>
      <c r="S87" s="198"/>
      <c r="T87" s="198"/>
      <c r="U87" s="198"/>
    </row>
    <row r="88" spans="1:26" s="12" customFormat="1" x14ac:dyDescent="0.25">
      <c r="A88" s="215" t="s">
        <v>711</v>
      </c>
      <c r="B88" s="64">
        <v>4.76</v>
      </c>
      <c r="C88" s="64">
        <v>27.64</v>
      </c>
      <c r="D88" s="64">
        <v>20.36</v>
      </c>
      <c r="E88" s="64">
        <v>1.07</v>
      </c>
      <c r="F88" s="64">
        <v>3.59</v>
      </c>
      <c r="G88" s="64">
        <v>87.49</v>
      </c>
      <c r="H88" s="64">
        <v>41.12</v>
      </c>
      <c r="I88" s="64">
        <v>1.61</v>
      </c>
      <c r="J88" s="64">
        <v>0.42</v>
      </c>
      <c r="K88" s="64">
        <v>118.54</v>
      </c>
      <c r="L88" s="64">
        <v>21.74</v>
      </c>
      <c r="M88" s="64">
        <v>54.75</v>
      </c>
      <c r="N88" s="64">
        <v>50.8</v>
      </c>
      <c r="O88" s="64">
        <v>0</v>
      </c>
      <c r="P88" s="64">
        <v>0.72</v>
      </c>
      <c r="Q88" s="64">
        <v>5.2</v>
      </c>
      <c r="R88" s="198"/>
      <c r="S88" s="198"/>
      <c r="T88" s="198"/>
      <c r="U88" s="198"/>
    </row>
    <row r="89" spans="1:26" s="12" customFormat="1" x14ac:dyDescent="0.25">
      <c r="A89" s="215" t="s">
        <v>712</v>
      </c>
      <c r="B89" s="64">
        <v>4.84</v>
      </c>
      <c r="C89" s="64">
        <v>25.39</v>
      </c>
      <c r="D89" s="64">
        <v>19.190000000000001</v>
      </c>
      <c r="E89" s="64">
        <v>1.52</v>
      </c>
      <c r="F89" s="64">
        <v>2.36</v>
      </c>
      <c r="G89" s="64">
        <v>91.68</v>
      </c>
      <c r="H89" s="64">
        <v>39.14</v>
      </c>
      <c r="I89" s="64">
        <v>1.53</v>
      </c>
      <c r="J89" s="64">
        <v>0.44</v>
      </c>
      <c r="K89" s="64">
        <v>112.75</v>
      </c>
      <c r="L89" s="64">
        <v>21.72</v>
      </c>
      <c r="M89" s="64">
        <v>54.74</v>
      </c>
      <c r="N89" s="64">
        <v>50.9</v>
      </c>
      <c r="O89" s="64">
        <v>0</v>
      </c>
      <c r="P89" s="64">
        <v>0.71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5" t="s">
        <v>713</v>
      </c>
      <c r="B90" s="64">
        <v>4.6500000000000004</v>
      </c>
      <c r="C90" s="64">
        <v>25.24</v>
      </c>
      <c r="D90" s="64">
        <v>18.95</v>
      </c>
      <c r="E90" s="64">
        <v>1.7</v>
      </c>
      <c r="F90" s="64">
        <v>4.17</v>
      </c>
      <c r="G90" s="64">
        <v>91.68</v>
      </c>
      <c r="H90" s="64">
        <v>39.14</v>
      </c>
      <c r="I90" s="64">
        <v>1.47</v>
      </c>
      <c r="J90" s="64">
        <v>0.34</v>
      </c>
      <c r="K90" s="64">
        <v>106.01</v>
      </c>
      <c r="L90" s="64">
        <v>21.66</v>
      </c>
      <c r="M90" s="64">
        <v>54.48</v>
      </c>
      <c r="N90" s="64">
        <v>51.1</v>
      </c>
      <c r="O90" s="64">
        <v>0</v>
      </c>
      <c r="P90" s="64">
        <v>0.71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5" t="s">
        <v>714</v>
      </c>
      <c r="B91" s="64">
        <v>4.66</v>
      </c>
      <c r="C91" s="64">
        <v>24.25</v>
      </c>
      <c r="D91" s="64">
        <v>18.41</v>
      </c>
      <c r="E91" s="64">
        <v>1.39</v>
      </c>
      <c r="F91" s="64">
        <v>2.2000000000000002</v>
      </c>
      <c r="G91" s="64">
        <v>91.68</v>
      </c>
      <c r="H91" s="64">
        <v>39.14</v>
      </c>
      <c r="I91" s="64">
        <v>1.44</v>
      </c>
      <c r="J91" s="64">
        <v>0.19</v>
      </c>
      <c r="K91" s="64">
        <v>70.290000000000006</v>
      </c>
      <c r="L91" s="64">
        <v>21.43</v>
      </c>
      <c r="M91" s="64">
        <v>54.3</v>
      </c>
      <c r="N91" s="64">
        <v>51.7</v>
      </c>
      <c r="O91" s="64">
        <v>0</v>
      </c>
      <c r="P91" s="64">
        <v>0.72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5" t="s">
        <v>715</v>
      </c>
      <c r="B92" s="64">
        <v>5.86</v>
      </c>
      <c r="C92" s="64">
        <v>25.38</v>
      </c>
      <c r="D92" s="64">
        <v>20</v>
      </c>
      <c r="E92" s="64">
        <v>1.65</v>
      </c>
      <c r="F92" s="64">
        <v>1.63</v>
      </c>
      <c r="G92" s="64">
        <v>91.68</v>
      </c>
      <c r="H92" s="64">
        <v>39.14</v>
      </c>
      <c r="I92" s="64">
        <v>1.48</v>
      </c>
      <c r="J92" s="64">
        <v>0.28999999999999998</v>
      </c>
      <c r="K92" s="64">
        <v>102.69</v>
      </c>
      <c r="L92" s="64">
        <v>20.98</v>
      </c>
      <c r="M92" s="64">
        <v>56.54</v>
      </c>
      <c r="N92" s="64">
        <v>51.5</v>
      </c>
      <c r="O92" s="64">
        <v>0</v>
      </c>
      <c r="P92" s="64">
        <v>0.79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5" t="s">
        <v>716</v>
      </c>
      <c r="B93" s="64">
        <v>5.64</v>
      </c>
      <c r="C93" s="64">
        <v>23.35</v>
      </c>
      <c r="D93" s="64">
        <v>18.7</v>
      </c>
      <c r="E93" s="64">
        <v>1.28</v>
      </c>
      <c r="F93" s="64">
        <v>0.42</v>
      </c>
      <c r="G93" s="64">
        <v>97.82</v>
      </c>
      <c r="H93" s="64">
        <v>42.41</v>
      </c>
      <c r="I93" s="64">
        <v>1.55</v>
      </c>
      <c r="J93" s="64">
        <v>0.18</v>
      </c>
      <c r="K93" s="64">
        <v>117</v>
      </c>
      <c r="L93" s="64">
        <v>20.94</v>
      </c>
      <c r="M93" s="64">
        <v>58.26</v>
      </c>
      <c r="N93" s="64">
        <v>51.2</v>
      </c>
      <c r="O93" s="64">
        <v>0</v>
      </c>
      <c r="P93" s="64">
        <v>0.76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5" t="s">
        <v>717</v>
      </c>
      <c r="B94" s="64">
        <v>5.66</v>
      </c>
      <c r="C94" s="64">
        <v>24.13</v>
      </c>
      <c r="D94" s="64">
        <v>19.149999999999999</v>
      </c>
      <c r="E94" s="64">
        <v>1.51</v>
      </c>
      <c r="F94" s="64">
        <v>0.67</v>
      </c>
      <c r="G94" s="64">
        <v>97.82</v>
      </c>
      <c r="H94" s="64">
        <v>42.41</v>
      </c>
      <c r="I94" s="64">
        <v>1.45</v>
      </c>
      <c r="J94" s="64">
        <v>0.47</v>
      </c>
      <c r="K94" s="64">
        <v>107.05</v>
      </c>
      <c r="L94" s="64">
        <v>21.03</v>
      </c>
      <c r="M94" s="64">
        <v>57.17</v>
      </c>
      <c r="N94" s="64">
        <v>50.4</v>
      </c>
      <c r="O94" s="64">
        <v>0</v>
      </c>
      <c r="P94" s="64">
        <v>0.76</v>
      </c>
      <c r="Q94" s="64">
        <v>5.21</v>
      </c>
      <c r="R94" s="198"/>
      <c r="S94" s="198"/>
      <c r="T94" s="198"/>
      <c r="U94" s="198"/>
    </row>
    <row r="95" spans="1:26" s="12" customFormat="1" x14ac:dyDescent="0.25">
      <c r="A95" s="215" t="s">
        <v>718</v>
      </c>
      <c r="B95" s="64">
        <v>5.74</v>
      </c>
      <c r="C95" s="64">
        <v>23.94</v>
      </c>
      <c r="D95" s="64">
        <v>19.11</v>
      </c>
      <c r="E95" s="64">
        <v>1.22</v>
      </c>
      <c r="F95" s="64">
        <v>0.33</v>
      </c>
      <c r="G95" s="64">
        <v>97.82</v>
      </c>
      <c r="H95" s="64">
        <v>42.41</v>
      </c>
      <c r="I95" s="64">
        <v>1.51</v>
      </c>
      <c r="J95" s="64">
        <v>0.32</v>
      </c>
      <c r="K95" s="64">
        <v>114.86</v>
      </c>
      <c r="L95" s="64">
        <v>21.14</v>
      </c>
      <c r="M95" s="64">
        <v>56.63</v>
      </c>
      <c r="N95" s="64">
        <v>51.1</v>
      </c>
      <c r="O95" s="64">
        <v>0</v>
      </c>
      <c r="P95" s="64">
        <v>0.75</v>
      </c>
      <c r="Q95" s="64">
        <v>5.17</v>
      </c>
      <c r="R95" s="198"/>
      <c r="S95" s="198"/>
      <c r="T95" s="198"/>
      <c r="U95" s="198"/>
    </row>
    <row r="96" spans="1:26" s="12" customFormat="1" x14ac:dyDescent="0.25">
      <c r="A96" s="215" t="s">
        <v>719</v>
      </c>
      <c r="B96" s="64">
        <v>5.57</v>
      </c>
      <c r="C96" s="64">
        <v>25.85</v>
      </c>
      <c r="D96" s="64">
        <v>20.03</v>
      </c>
      <c r="E96" s="64">
        <v>1.44</v>
      </c>
      <c r="F96" s="64">
        <v>2.5</v>
      </c>
      <c r="G96" s="64">
        <v>97.82</v>
      </c>
      <c r="H96" s="64">
        <v>42.41</v>
      </c>
      <c r="I96" s="64">
        <v>1.48</v>
      </c>
      <c r="J96" s="64">
        <v>0.42</v>
      </c>
      <c r="K96" s="64">
        <v>112.79</v>
      </c>
      <c r="L96" s="64">
        <v>21.04</v>
      </c>
      <c r="M96" s="64">
        <v>56.27</v>
      </c>
      <c r="N96" s="64">
        <v>51.4</v>
      </c>
      <c r="O96" s="64">
        <v>0</v>
      </c>
      <c r="P96" s="64">
        <v>0.74</v>
      </c>
      <c r="Q96" s="64">
        <v>4.99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720</v>
      </c>
      <c r="B97" s="64">
        <v>5.73</v>
      </c>
      <c r="C97" s="64">
        <v>23.97</v>
      </c>
      <c r="D97" s="64">
        <v>19.12</v>
      </c>
      <c r="E97" s="64">
        <v>1.38</v>
      </c>
      <c r="F97" s="64">
        <v>0.92</v>
      </c>
      <c r="G97" s="64">
        <v>99.16</v>
      </c>
      <c r="H97" s="64">
        <v>47.51</v>
      </c>
      <c r="I97" s="64">
        <v>1.55</v>
      </c>
      <c r="J97" s="64">
        <v>0.26</v>
      </c>
      <c r="K97" s="64">
        <v>114.05</v>
      </c>
      <c r="L97" s="64">
        <v>21.04</v>
      </c>
      <c r="M97" s="64">
        <v>56.72</v>
      </c>
      <c r="N97" s="64">
        <v>51.8</v>
      </c>
      <c r="O97" s="64">
        <v>0</v>
      </c>
      <c r="P97" s="64">
        <v>0.74</v>
      </c>
      <c r="Q97" s="64">
        <v>5.0199999999999996</v>
      </c>
      <c r="R97" s="198"/>
      <c r="S97" s="198"/>
      <c r="T97" s="198"/>
      <c r="U97" s="198"/>
    </row>
    <row r="98" spans="1:33" s="12" customFormat="1" x14ac:dyDescent="0.25">
      <c r="A98" s="215" t="s">
        <v>721</v>
      </c>
      <c r="B98" s="64">
        <v>5.54</v>
      </c>
      <c r="C98" s="64">
        <v>23.5</v>
      </c>
      <c r="D98" s="64">
        <v>18.7</v>
      </c>
      <c r="E98" s="64">
        <v>1.51</v>
      </c>
      <c r="F98" s="64">
        <v>2.25</v>
      </c>
      <c r="G98" s="64">
        <v>99.16</v>
      </c>
      <c r="H98" s="64">
        <v>47.51</v>
      </c>
      <c r="I98" s="64">
        <v>1.49</v>
      </c>
      <c r="J98" s="64">
        <v>0.16</v>
      </c>
      <c r="K98" s="64">
        <v>93.75</v>
      </c>
      <c r="L98" s="64">
        <v>20.8</v>
      </c>
      <c r="M98" s="64">
        <v>56.67</v>
      </c>
      <c r="N98" s="64">
        <v>52.2</v>
      </c>
      <c r="O98" s="64">
        <v>0</v>
      </c>
      <c r="P98" s="64">
        <v>0.73</v>
      </c>
      <c r="Q98" s="64">
        <v>5.08</v>
      </c>
      <c r="R98" s="198"/>
      <c r="S98" s="198"/>
      <c r="T98" s="198"/>
      <c r="U98" s="198"/>
    </row>
    <row r="99" spans="1:33" s="12" customFormat="1" x14ac:dyDescent="0.25">
      <c r="A99" s="215" t="s">
        <v>722</v>
      </c>
      <c r="B99" s="64">
        <v>5.74</v>
      </c>
      <c r="C99" s="64">
        <v>22.18</v>
      </c>
      <c r="D99" s="64">
        <v>18.13</v>
      </c>
      <c r="E99" s="64">
        <v>1.37</v>
      </c>
      <c r="F99" s="64">
        <v>1.34</v>
      </c>
      <c r="G99" s="64">
        <v>99.16</v>
      </c>
      <c r="H99" s="64">
        <v>47.51</v>
      </c>
      <c r="I99" s="64">
        <v>1.52</v>
      </c>
      <c r="J99" s="64">
        <v>0.28000000000000003</v>
      </c>
      <c r="K99" s="64">
        <v>107.49</v>
      </c>
      <c r="L99" s="64">
        <v>20.95</v>
      </c>
      <c r="M99" s="64">
        <v>53.96</v>
      </c>
      <c r="N99" s="64">
        <v>51.6</v>
      </c>
      <c r="O99" s="64">
        <v>0</v>
      </c>
      <c r="P99" s="64">
        <v>0.73</v>
      </c>
      <c r="Q99" s="64">
        <v>5.18</v>
      </c>
      <c r="R99" s="198"/>
      <c r="S99" s="198"/>
      <c r="T99" s="198"/>
      <c r="U99" s="198"/>
    </row>
    <row r="100" spans="1:33" s="12" customFormat="1" x14ac:dyDescent="0.25">
      <c r="A100" s="215" t="s">
        <v>723</v>
      </c>
      <c r="B100" s="64">
        <v>5.68</v>
      </c>
      <c r="C100" s="64">
        <v>23.43</v>
      </c>
      <c r="D100" s="64">
        <v>18.78</v>
      </c>
      <c r="E100" s="64">
        <v>1.5</v>
      </c>
      <c r="F100" s="64">
        <v>1.05</v>
      </c>
      <c r="G100" s="64">
        <v>99.16</v>
      </c>
      <c r="H100" s="64">
        <v>47.51</v>
      </c>
      <c r="I100" s="64">
        <v>1.52</v>
      </c>
      <c r="J100" s="64">
        <v>0.04</v>
      </c>
      <c r="K100" s="64">
        <v>292.26</v>
      </c>
      <c r="L100" s="64">
        <v>20.71</v>
      </c>
      <c r="M100" s="64">
        <v>57.1</v>
      </c>
      <c r="N100" s="64">
        <v>52.6</v>
      </c>
      <c r="O100" s="64">
        <v>0</v>
      </c>
      <c r="P100" s="64">
        <v>0.71</v>
      </c>
      <c r="Q100" s="64">
        <v>5.16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724</v>
      </c>
      <c r="B101" s="64">
        <v>5.59</v>
      </c>
      <c r="C101" s="64">
        <v>21.2</v>
      </c>
      <c r="D101" s="64">
        <v>17.48</v>
      </c>
      <c r="E101" s="64">
        <v>1.5</v>
      </c>
      <c r="F101" s="64">
        <v>1.93</v>
      </c>
      <c r="G101" s="64">
        <v>83.65</v>
      </c>
      <c r="H101" s="64">
        <v>42.33</v>
      </c>
      <c r="I101" s="64">
        <v>1.46</v>
      </c>
      <c r="J101" s="64">
        <v>0.09</v>
      </c>
      <c r="K101" s="64">
        <v>322.87</v>
      </c>
      <c r="L101" s="64">
        <v>20.12</v>
      </c>
      <c r="M101" s="64">
        <v>60.41</v>
      </c>
      <c r="N101" s="64">
        <v>52.2</v>
      </c>
      <c r="O101" s="64">
        <v>0</v>
      </c>
      <c r="P101" s="64">
        <v>0.71</v>
      </c>
      <c r="Q101" s="64">
        <v>5.21</v>
      </c>
      <c r="R101" s="198"/>
      <c r="S101" s="198"/>
      <c r="T101" s="198"/>
      <c r="U101" s="198"/>
    </row>
    <row r="102" spans="1:33" s="12" customFormat="1" x14ac:dyDescent="0.25">
      <c r="A102" s="215" t="s">
        <v>725</v>
      </c>
      <c r="B102" s="64">
        <v>6.09</v>
      </c>
      <c r="C102" s="64">
        <v>22.36</v>
      </c>
      <c r="D102" s="64">
        <v>18.510000000000002</v>
      </c>
      <c r="E102" s="64">
        <v>1.25</v>
      </c>
      <c r="F102" s="64">
        <v>0.53</v>
      </c>
      <c r="G102" s="64">
        <v>83.65</v>
      </c>
      <c r="H102" s="64">
        <v>42.33</v>
      </c>
      <c r="I102" s="64">
        <v>1.53</v>
      </c>
      <c r="J102" s="64">
        <v>0.12</v>
      </c>
      <c r="K102" s="64">
        <v>281.44</v>
      </c>
      <c r="L102" s="64">
        <v>19.86</v>
      </c>
      <c r="M102" s="64">
        <v>61.9</v>
      </c>
      <c r="N102" s="64">
        <v>52</v>
      </c>
      <c r="O102" s="64">
        <v>0</v>
      </c>
      <c r="P102" s="64">
        <v>0.71</v>
      </c>
      <c r="Q102" s="64">
        <v>5.21</v>
      </c>
      <c r="R102" s="198"/>
      <c r="S102" s="198"/>
      <c r="T102" s="198"/>
      <c r="U102" s="198"/>
    </row>
    <row r="103" spans="1:33" s="12" customFormat="1" x14ac:dyDescent="0.25">
      <c r="A103" s="215" t="s">
        <v>726</v>
      </c>
      <c r="B103" s="64">
        <v>6.24</v>
      </c>
      <c r="C103" s="64">
        <v>20.32</v>
      </c>
      <c r="D103" s="64">
        <v>17.510000000000002</v>
      </c>
      <c r="E103" s="64">
        <v>1.26</v>
      </c>
      <c r="F103" s="64">
        <v>0.59</v>
      </c>
      <c r="G103" s="64">
        <v>83.65</v>
      </c>
      <c r="H103" s="64">
        <v>42.33</v>
      </c>
      <c r="I103" s="64">
        <v>1.55</v>
      </c>
      <c r="J103" s="64">
        <v>0.05</v>
      </c>
      <c r="K103" s="64">
        <v>107.25</v>
      </c>
      <c r="L103" s="64">
        <v>20.2</v>
      </c>
      <c r="M103" s="64">
        <v>57.41</v>
      </c>
      <c r="N103" s="64">
        <v>51.1</v>
      </c>
      <c r="O103" s="64">
        <v>0</v>
      </c>
      <c r="P103" s="64">
        <v>0.71</v>
      </c>
      <c r="Q103" s="64">
        <v>5.21</v>
      </c>
      <c r="R103" s="198"/>
      <c r="S103" s="198"/>
      <c r="T103" s="198"/>
      <c r="U103" s="198"/>
    </row>
    <row r="104" spans="1:33" s="12" customFormat="1" x14ac:dyDescent="0.25">
      <c r="A104" s="215" t="s">
        <v>727</v>
      </c>
      <c r="B104" s="64">
        <v>6.46</v>
      </c>
      <c r="C104" s="64">
        <v>21.89</v>
      </c>
      <c r="D104" s="64">
        <v>18.55</v>
      </c>
      <c r="E104" s="64">
        <v>0.99</v>
      </c>
      <c r="F104" s="64">
        <v>0.12</v>
      </c>
      <c r="G104" s="64">
        <v>83.65</v>
      </c>
      <c r="H104" s="64">
        <v>42.33</v>
      </c>
      <c r="I104" s="64">
        <v>1.37</v>
      </c>
      <c r="J104" s="64">
        <v>0.16</v>
      </c>
      <c r="K104" s="64">
        <v>324.32</v>
      </c>
      <c r="L104" s="64">
        <v>19.78</v>
      </c>
      <c r="M104" s="64">
        <v>66.61</v>
      </c>
      <c r="N104" s="64">
        <v>52.8</v>
      </c>
      <c r="O104" s="64">
        <v>0</v>
      </c>
      <c r="P104" s="64">
        <v>0.7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</v>
      </c>
      <c r="C106" s="67">
        <f>MIN(C9:C104)</f>
        <v>15.57</v>
      </c>
      <c r="D106" s="67">
        <f t="shared" ref="D106:Q106" si="0">MIN(D9:D104)</f>
        <v>12.98</v>
      </c>
      <c r="E106" s="67">
        <f t="shared" si="0"/>
        <v>0.81</v>
      </c>
      <c r="F106" s="67">
        <f t="shared" si="0"/>
        <v>0.03</v>
      </c>
      <c r="G106" s="67">
        <f t="shared" si="0"/>
        <v>63.68</v>
      </c>
      <c r="H106" s="67">
        <f t="shared" si="0"/>
        <v>36.51</v>
      </c>
      <c r="I106" s="67">
        <f t="shared" si="0"/>
        <v>1.37</v>
      </c>
      <c r="J106" s="67">
        <f t="shared" si="0"/>
        <v>0.04</v>
      </c>
      <c r="K106" s="67">
        <f t="shared" si="0"/>
        <v>3.48</v>
      </c>
      <c r="L106" s="67">
        <f t="shared" si="0"/>
        <v>18.559999999999999</v>
      </c>
      <c r="M106" s="67">
        <f t="shared" si="0"/>
        <v>35.049999999999997</v>
      </c>
      <c r="N106" s="67">
        <f t="shared" si="0"/>
        <v>34.9</v>
      </c>
      <c r="O106" s="67">
        <f t="shared" si="0"/>
        <v>0</v>
      </c>
      <c r="P106" s="67">
        <f t="shared" si="0"/>
        <v>0.51</v>
      </c>
      <c r="Q106" s="67">
        <f t="shared" si="0"/>
        <v>4.79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17.78</v>
      </c>
      <c r="C107" s="66">
        <f t="shared" ref="C107:Q107" si="1">MAX(C9:C104)</f>
        <v>34.07</v>
      </c>
      <c r="D107" s="66">
        <f t="shared" si="1"/>
        <v>28.37</v>
      </c>
      <c r="E107" s="66">
        <f t="shared" si="1"/>
        <v>4.0999999999999996</v>
      </c>
      <c r="F107" s="66">
        <f t="shared" si="1"/>
        <v>14.85</v>
      </c>
      <c r="G107" s="66">
        <f t="shared" si="1"/>
        <v>149.72</v>
      </c>
      <c r="H107" s="66">
        <f t="shared" si="1"/>
        <v>76.62</v>
      </c>
      <c r="I107" s="66">
        <f t="shared" si="1"/>
        <v>1.61</v>
      </c>
      <c r="J107" s="66">
        <f t="shared" si="1"/>
        <v>1.1299999999999999</v>
      </c>
      <c r="K107" s="66">
        <f t="shared" si="1"/>
        <v>359.62</v>
      </c>
      <c r="L107" s="66">
        <f t="shared" si="1"/>
        <v>28.52</v>
      </c>
      <c r="M107" s="66">
        <f t="shared" si="1"/>
        <v>96.82</v>
      </c>
      <c r="N107" s="66">
        <f t="shared" si="1"/>
        <v>748.1</v>
      </c>
      <c r="O107" s="66">
        <f t="shared" si="1"/>
        <v>0</v>
      </c>
      <c r="P107" s="66">
        <f t="shared" si="1"/>
        <v>1.26</v>
      </c>
      <c r="Q107" s="66">
        <f t="shared" si="1"/>
        <v>5.68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9.0236458333333314</v>
      </c>
      <c r="C108" s="67">
        <f t="shared" ref="C108:Q108" si="2">AVERAGE(C9:C104)</f>
        <v>22.162500000000012</v>
      </c>
      <c r="D108" s="67">
        <f t="shared" si="2"/>
        <v>20.759687500000002</v>
      </c>
      <c r="E108" s="67">
        <f t="shared" si="2"/>
        <v>2.0295833333333326</v>
      </c>
      <c r="F108" s="67">
        <f t="shared" si="2"/>
        <v>3.2146874999999988</v>
      </c>
      <c r="G108" s="67">
        <f t="shared" si="2"/>
        <v>107.52916666666671</v>
      </c>
      <c r="H108" s="67">
        <f t="shared" si="2"/>
        <v>55.590833333333336</v>
      </c>
      <c r="I108" s="67">
        <f t="shared" si="2"/>
        <v>1.5022916666666672</v>
      </c>
      <c r="J108" s="67">
        <f t="shared" si="2"/>
        <v>0.36593749999999997</v>
      </c>
      <c r="K108" s="67">
        <f t="shared" si="2"/>
        <v>167.51489583333336</v>
      </c>
      <c r="L108" s="67">
        <f t="shared" si="2"/>
        <v>22.834166666666672</v>
      </c>
      <c r="M108" s="67">
        <f t="shared" si="2"/>
        <v>63.959166666666668</v>
      </c>
      <c r="N108" s="67">
        <f t="shared" si="2"/>
        <v>195.42708333333329</v>
      </c>
      <c r="O108" s="67">
        <f t="shared" si="2"/>
        <v>0</v>
      </c>
      <c r="P108" s="67">
        <f t="shared" si="2"/>
        <v>0.81906249999999969</v>
      </c>
      <c r="Q108" s="67">
        <f t="shared" si="2"/>
        <v>5.197395833333327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4.6426662302902226</v>
      </c>
      <c r="C109" s="67">
        <f t="shared" ref="C109:Q109" si="3">STDEV(C9:C104)</f>
        <v>3.6097315835478088</v>
      </c>
      <c r="D109" s="67">
        <f t="shared" si="3"/>
        <v>3.3042646934641722</v>
      </c>
      <c r="E109" s="67">
        <f t="shared" si="3"/>
        <v>0.71328729971157345</v>
      </c>
      <c r="F109" s="67">
        <f t="shared" si="3"/>
        <v>3.5820734816069302</v>
      </c>
      <c r="G109" s="67">
        <f t="shared" si="3"/>
        <v>24.753384188266367</v>
      </c>
      <c r="H109" s="67">
        <f t="shared" si="3"/>
        <v>12.9139138073847</v>
      </c>
      <c r="I109" s="67">
        <f t="shared" si="3"/>
        <v>4.4567610770878938E-2</v>
      </c>
      <c r="J109" s="67">
        <f t="shared" si="3"/>
        <v>0.25724278159787223</v>
      </c>
      <c r="K109" s="67">
        <f t="shared" si="3"/>
        <v>124.90604549858388</v>
      </c>
      <c r="L109" s="67">
        <f t="shared" si="3"/>
        <v>3.0118907041980743</v>
      </c>
      <c r="M109" s="67">
        <f t="shared" si="3"/>
        <v>16.653605436513935</v>
      </c>
      <c r="N109" s="67">
        <f t="shared" si="3"/>
        <v>226.60296067149656</v>
      </c>
      <c r="O109" s="67">
        <f t="shared" si="3"/>
        <v>0</v>
      </c>
      <c r="P109" s="67">
        <f t="shared" si="3"/>
        <v>0.17689769939892416</v>
      </c>
      <c r="Q109" s="67">
        <f t="shared" si="3"/>
        <v>0.17703549921542883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729</v>
      </c>
      <c r="B9" s="64">
        <v>7</v>
      </c>
      <c r="C9" s="64">
        <v>19.36</v>
      </c>
      <c r="D9" s="64">
        <v>17.59</v>
      </c>
      <c r="E9" s="64">
        <v>1.73</v>
      </c>
      <c r="F9" s="64">
        <v>0.45</v>
      </c>
      <c r="G9" s="64">
        <v>96.1</v>
      </c>
      <c r="H9" s="64">
        <v>44.43</v>
      </c>
      <c r="I9" s="64">
        <v>1.41</v>
      </c>
      <c r="J9" s="64">
        <v>0.18</v>
      </c>
      <c r="K9" s="64">
        <v>340.17</v>
      </c>
      <c r="L9" s="64">
        <v>18.829999999999998</v>
      </c>
      <c r="M9" s="64">
        <v>72.53</v>
      </c>
      <c r="N9" s="64">
        <v>52.3</v>
      </c>
      <c r="O9" s="64">
        <v>0</v>
      </c>
      <c r="P9" s="64">
        <v>0.7</v>
      </c>
      <c r="Q9" s="64">
        <v>5.21</v>
      </c>
      <c r="R9" s="198"/>
      <c r="S9" s="198"/>
      <c r="T9" s="198"/>
      <c r="U9" s="198"/>
    </row>
    <row r="10" spans="1:21" s="12" customFormat="1" x14ac:dyDescent="0.25">
      <c r="A10" s="215" t="s">
        <v>730</v>
      </c>
      <c r="B10" s="64">
        <v>7.46</v>
      </c>
      <c r="C10" s="64">
        <v>22.41</v>
      </c>
      <c r="D10" s="64">
        <v>19.649999999999999</v>
      </c>
      <c r="E10" s="64">
        <v>1.66</v>
      </c>
      <c r="F10" s="6" t="s">
        <v>42</v>
      </c>
      <c r="G10" s="64">
        <v>96.1</v>
      </c>
      <c r="H10" s="64">
        <v>44.43</v>
      </c>
      <c r="I10" s="64">
        <v>1.51</v>
      </c>
      <c r="J10" s="64">
        <v>0.17</v>
      </c>
      <c r="K10" s="64">
        <v>315.24</v>
      </c>
      <c r="L10" s="64">
        <v>18.510000000000002</v>
      </c>
      <c r="M10" s="64">
        <v>73.680000000000007</v>
      </c>
      <c r="N10" s="64">
        <v>52.4</v>
      </c>
      <c r="O10" s="64">
        <v>0</v>
      </c>
      <c r="P10" s="64">
        <v>0.71</v>
      </c>
      <c r="Q10" s="64">
        <v>5.03</v>
      </c>
      <c r="R10" s="198"/>
      <c r="S10" s="198"/>
      <c r="T10" s="198"/>
      <c r="U10" s="198"/>
    </row>
    <row r="11" spans="1:21" s="12" customFormat="1" x14ac:dyDescent="0.25">
      <c r="A11" s="215" t="s">
        <v>731</v>
      </c>
      <c r="B11" s="64">
        <v>7.68</v>
      </c>
      <c r="C11" s="64">
        <v>21.79</v>
      </c>
      <c r="D11" s="64">
        <v>19.48</v>
      </c>
      <c r="E11" s="64">
        <v>2.12</v>
      </c>
      <c r="F11" s="64">
        <v>0.01</v>
      </c>
      <c r="G11" s="64">
        <v>96.1</v>
      </c>
      <c r="H11" s="64">
        <v>44.43</v>
      </c>
      <c r="I11" s="64">
        <v>1.57</v>
      </c>
      <c r="J11" s="64">
        <v>0.17</v>
      </c>
      <c r="K11" s="64">
        <v>322.36</v>
      </c>
      <c r="L11" s="64">
        <v>18.29</v>
      </c>
      <c r="M11" s="64">
        <v>76.06</v>
      </c>
      <c r="N11" s="64">
        <v>53.1</v>
      </c>
      <c r="O11" s="64">
        <v>0</v>
      </c>
      <c r="P11" s="64">
        <v>0.71</v>
      </c>
      <c r="Q11" s="64">
        <v>5.08</v>
      </c>
      <c r="R11" s="198"/>
      <c r="S11" s="198"/>
      <c r="T11" s="198"/>
      <c r="U11" s="198"/>
    </row>
    <row r="12" spans="1:21" s="12" customFormat="1" x14ac:dyDescent="0.25">
      <c r="A12" s="215" t="s">
        <v>732</v>
      </c>
      <c r="B12" s="64">
        <v>7.85</v>
      </c>
      <c r="C12" s="64">
        <v>21.22</v>
      </c>
      <c r="D12" s="64">
        <v>19.29</v>
      </c>
      <c r="E12" s="64">
        <v>1.8</v>
      </c>
      <c r="F12" s="64">
        <v>0.12</v>
      </c>
      <c r="G12" s="64">
        <v>96.1</v>
      </c>
      <c r="H12" s="64">
        <v>44.43</v>
      </c>
      <c r="I12" s="64">
        <v>1.5</v>
      </c>
      <c r="J12" s="64">
        <v>0.28999999999999998</v>
      </c>
      <c r="K12" s="64">
        <v>331.04</v>
      </c>
      <c r="L12" s="64">
        <v>18.260000000000002</v>
      </c>
      <c r="M12" s="64">
        <v>76.62</v>
      </c>
      <c r="N12" s="64">
        <v>53.4</v>
      </c>
      <c r="O12" s="64">
        <v>0</v>
      </c>
      <c r="P12" s="64">
        <v>0.72</v>
      </c>
      <c r="Q12" s="64">
        <v>5.12</v>
      </c>
      <c r="R12" s="198"/>
      <c r="S12" s="198"/>
      <c r="T12" s="198"/>
      <c r="U12" s="198"/>
    </row>
    <row r="13" spans="1:21" s="12" customFormat="1" x14ac:dyDescent="0.25">
      <c r="A13" s="215" t="s">
        <v>733</v>
      </c>
      <c r="B13" s="64">
        <v>8.09</v>
      </c>
      <c r="C13" s="64">
        <v>21.48</v>
      </c>
      <c r="D13" s="64">
        <v>19.63</v>
      </c>
      <c r="E13" s="64">
        <v>2.09</v>
      </c>
      <c r="F13" s="64">
        <v>0.1</v>
      </c>
      <c r="G13" s="64">
        <v>100.63</v>
      </c>
      <c r="H13" s="64">
        <v>43.1</v>
      </c>
      <c r="I13" s="64">
        <v>1.46</v>
      </c>
      <c r="J13" s="64">
        <v>0.59</v>
      </c>
      <c r="K13" s="64">
        <v>343.06</v>
      </c>
      <c r="L13" s="64">
        <v>18.510000000000002</v>
      </c>
      <c r="M13" s="64">
        <v>75.16</v>
      </c>
      <c r="N13" s="64">
        <v>53.7</v>
      </c>
      <c r="O13" s="64">
        <v>0</v>
      </c>
      <c r="P13" s="64">
        <v>0.72</v>
      </c>
      <c r="Q13" s="64">
        <v>5.03</v>
      </c>
      <c r="R13" s="198"/>
      <c r="S13" s="198"/>
      <c r="T13" s="198"/>
      <c r="U13" s="198"/>
    </row>
    <row r="14" spans="1:21" s="12" customFormat="1" x14ac:dyDescent="0.25">
      <c r="A14" s="215" t="s">
        <v>734</v>
      </c>
      <c r="B14" s="64">
        <v>8.24</v>
      </c>
      <c r="C14" s="64">
        <v>21.91</v>
      </c>
      <c r="D14" s="64">
        <v>19.989999999999998</v>
      </c>
      <c r="E14" s="64">
        <v>2.04</v>
      </c>
      <c r="F14" s="64">
        <v>0.14000000000000001</v>
      </c>
      <c r="G14" s="64">
        <v>100.63</v>
      </c>
      <c r="H14" s="64">
        <v>43.1</v>
      </c>
      <c r="I14" s="64">
        <v>1.54</v>
      </c>
      <c r="J14" s="64">
        <v>0.12</v>
      </c>
      <c r="K14" s="64">
        <v>350.76</v>
      </c>
      <c r="L14" s="64">
        <v>18.68</v>
      </c>
      <c r="M14" s="64">
        <v>73.87</v>
      </c>
      <c r="N14" s="64">
        <v>55.5</v>
      </c>
      <c r="O14" s="64">
        <v>0</v>
      </c>
      <c r="P14" s="64">
        <v>0.76</v>
      </c>
      <c r="Q14" s="64">
        <v>4.9400000000000004</v>
      </c>
      <c r="R14" s="198"/>
      <c r="S14" s="198"/>
      <c r="T14" s="198"/>
      <c r="U14" s="198"/>
    </row>
    <row r="15" spans="1:21" s="12" customFormat="1" x14ac:dyDescent="0.25">
      <c r="A15" s="215" t="s">
        <v>735</v>
      </c>
      <c r="B15" s="64">
        <v>8.27</v>
      </c>
      <c r="C15" s="64">
        <v>22.54</v>
      </c>
      <c r="D15" s="64">
        <v>20.37</v>
      </c>
      <c r="E15" s="64">
        <v>2.02</v>
      </c>
      <c r="F15" s="64">
        <v>0.17</v>
      </c>
      <c r="G15" s="64">
        <v>100.63</v>
      </c>
      <c r="H15" s="64">
        <v>43.1</v>
      </c>
      <c r="I15" s="64">
        <v>1.44</v>
      </c>
      <c r="J15" s="64">
        <v>0.1</v>
      </c>
      <c r="K15" s="64">
        <v>83.09</v>
      </c>
      <c r="L15" s="64">
        <v>18.64</v>
      </c>
      <c r="M15" s="64">
        <v>73.260000000000005</v>
      </c>
      <c r="N15" s="64">
        <v>64.5</v>
      </c>
      <c r="O15" s="64">
        <v>0</v>
      </c>
      <c r="P15" s="64">
        <v>0.78</v>
      </c>
      <c r="Q15" s="64">
        <v>4.84</v>
      </c>
      <c r="R15" s="198"/>
      <c r="S15" s="198"/>
      <c r="T15" s="198"/>
      <c r="U15" s="198"/>
    </row>
    <row r="16" spans="1:21" s="12" customFormat="1" x14ac:dyDescent="0.25">
      <c r="A16" s="215" t="s">
        <v>736</v>
      </c>
      <c r="B16" s="64">
        <v>8.58</v>
      </c>
      <c r="C16" s="64">
        <v>22.74</v>
      </c>
      <c r="D16" s="64">
        <v>20.72</v>
      </c>
      <c r="E16" s="64">
        <v>2.0099999999999998</v>
      </c>
      <c r="F16" s="64">
        <v>0.05</v>
      </c>
      <c r="G16" s="64">
        <v>100.63</v>
      </c>
      <c r="H16" s="64">
        <v>43.1</v>
      </c>
      <c r="I16" s="64">
        <v>1.5</v>
      </c>
      <c r="J16" s="64">
        <v>0.1</v>
      </c>
      <c r="K16" s="64">
        <v>194.74</v>
      </c>
      <c r="L16" s="64">
        <v>18.46</v>
      </c>
      <c r="M16" s="64">
        <v>74.67</v>
      </c>
      <c r="N16" s="64">
        <v>67.400000000000006</v>
      </c>
      <c r="O16" s="64">
        <v>0</v>
      </c>
      <c r="P16" s="64">
        <v>0.78</v>
      </c>
      <c r="Q16" s="64">
        <v>4.83</v>
      </c>
      <c r="R16" s="198"/>
      <c r="S16" s="198"/>
      <c r="T16" s="198"/>
      <c r="U16" s="198"/>
    </row>
    <row r="17" spans="1:21" s="12" customFormat="1" x14ac:dyDescent="0.25">
      <c r="A17" s="215" t="s">
        <v>737</v>
      </c>
      <c r="B17" s="64">
        <v>8.82</v>
      </c>
      <c r="C17" s="64">
        <v>20.39</v>
      </c>
      <c r="D17" s="64">
        <v>19.62</v>
      </c>
      <c r="E17" s="64">
        <v>1.71</v>
      </c>
      <c r="F17" s="64">
        <v>0.34</v>
      </c>
      <c r="G17" s="64">
        <v>214.79</v>
      </c>
      <c r="H17" s="64">
        <v>66.66</v>
      </c>
      <c r="I17" s="64">
        <v>1.46</v>
      </c>
      <c r="J17" s="64">
        <v>0.12</v>
      </c>
      <c r="K17" s="64">
        <v>231</v>
      </c>
      <c r="L17" s="64">
        <v>18.21</v>
      </c>
      <c r="M17" s="64">
        <v>76.430000000000007</v>
      </c>
      <c r="N17" s="64">
        <v>68.8</v>
      </c>
      <c r="O17" s="64">
        <v>0</v>
      </c>
      <c r="P17" s="64">
        <v>0.8</v>
      </c>
      <c r="Q17" s="64">
        <v>4.97</v>
      </c>
      <c r="R17" s="198"/>
      <c r="S17" s="198"/>
      <c r="T17" s="198"/>
      <c r="U17" s="198"/>
    </row>
    <row r="18" spans="1:21" s="12" customFormat="1" x14ac:dyDescent="0.25">
      <c r="A18" s="215" t="s">
        <v>738</v>
      </c>
      <c r="B18" s="64">
        <v>9.02</v>
      </c>
      <c r="C18" s="64">
        <v>20.73</v>
      </c>
      <c r="D18" s="64">
        <v>19.97</v>
      </c>
      <c r="E18" s="64">
        <v>1.86</v>
      </c>
      <c r="F18" s="64">
        <v>0.08</v>
      </c>
      <c r="G18" s="64">
        <v>214.79</v>
      </c>
      <c r="H18" s="64">
        <v>66.66</v>
      </c>
      <c r="I18" s="64">
        <v>1.51</v>
      </c>
      <c r="J18" s="64">
        <v>0.21</v>
      </c>
      <c r="K18" s="64">
        <v>145.13</v>
      </c>
      <c r="L18" s="64">
        <v>18.41</v>
      </c>
      <c r="M18" s="64">
        <v>73.28</v>
      </c>
      <c r="N18" s="64">
        <v>75</v>
      </c>
      <c r="O18" s="64">
        <v>0</v>
      </c>
      <c r="P18" s="64">
        <v>0.8</v>
      </c>
      <c r="Q18" s="64">
        <v>4.8499999999999996</v>
      </c>
      <c r="R18" s="198"/>
      <c r="S18" s="198"/>
      <c r="T18" s="198"/>
      <c r="U18" s="198"/>
    </row>
    <row r="19" spans="1:21" s="12" customFormat="1" x14ac:dyDescent="0.25">
      <c r="A19" s="215" t="s">
        <v>739</v>
      </c>
      <c r="B19" s="64">
        <v>9.08</v>
      </c>
      <c r="C19" s="64">
        <v>19.850000000000001</v>
      </c>
      <c r="D19" s="64">
        <v>19.53</v>
      </c>
      <c r="E19" s="64">
        <v>1.57</v>
      </c>
      <c r="F19" s="64">
        <v>7.0000000000000007E-2</v>
      </c>
      <c r="G19" s="64">
        <v>214.79</v>
      </c>
      <c r="H19" s="64">
        <v>66.66</v>
      </c>
      <c r="I19" s="64">
        <v>1.46</v>
      </c>
      <c r="J19" s="64">
        <v>0.18</v>
      </c>
      <c r="K19" s="64">
        <v>331.7</v>
      </c>
      <c r="L19" s="64">
        <v>17.940000000000001</v>
      </c>
      <c r="M19" s="64">
        <v>80.98</v>
      </c>
      <c r="N19" s="64">
        <v>68.5</v>
      </c>
      <c r="O19" s="64">
        <v>0</v>
      </c>
      <c r="P19" s="64">
        <v>0.8</v>
      </c>
      <c r="Q19" s="64">
        <v>4.95</v>
      </c>
      <c r="R19" s="198"/>
      <c r="S19" s="198"/>
      <c r="T19" s="198"/>
      <c r="U19" s="198"/>
    </row>
    <row r="20" spans="1:21" s="12" customFormat="1" x14ac:dyDescent="0.25">
      <c r="A20" s="215" t="s">
        <v>740</v>
      </c>
      <c r="B20" s="64">
        <v>9.2200000000000006</v>
      </c>
      <c r="C20" s="64">
        <v>18.93</v>
      </c>
      <c r="D20" s="64">
        <v>19.13</v>
      </c>
      <c r="E20" s="64">
        <v>1.91</v>
      </c>
      <c r="F20" s="64">
        <v>0.14000000000000001</v>
      </c>
      <c r="G20" s="64">
        <v>214.79</v>
      </c>
      <c r="H20" s="64">
        <v>66.66</v>
      </c>
      <c r="I20" s="64">
        <v>1.49</v>
      </c>
      <c r="J20" s="64">
        <v>0.18</v>
      </c>
      <c r="K20" s="64">
        <v>326.45</v>
      </c>
      <c r="L20" s="64">
        <v>17.95</v>
      </c>
      <c r="M20" s="64">
        <v>74.06</v>
      </c>
      <c r="N20" s="64">
        <v>73</v>
      </c>
      <c r="O20" s="64">
        <v>0</v>
      </c>
      <c r="P20" s="64">
        <v>0.8</v>
      </c>
      <c r="Q20" s="64">
        <v>4.9400000000000004</v>
      </c>
      <c r="R20" s="198"/>
      <c r="S20" s="198"/>
      <c r="T20" s="198"/>
      <c r="U20" s="198"/>
    </row>
    <row r="21" spans="1:21" s="12" customFormat="1" x14ac:dyDescent="0.25">
      <c r="A21" s="215" t="s">
        <v>741</v>
      </c>
      <c r="B21" s="64">
        <v>9.1199999999999992</v>
      </c>
      <c r="C21" s="64">
        <v>19.79</v>
      </c>
      <c r="D21" s="64">
        <v>19.53</v>
      </c>
      <c r="E21" s="64">
        <v>1.68</v>
      </c>
      <c r="F21" s="64">
        <v>0.06</v>
      </c>
      <c r="G21" s="64">
        <v>179.25</v>
      </c>
      <c r="H21" s="64">
        <v>81.790000000000006</v>
      </c>
      <c r="I21" s="64">
        <v>1.45</v>
      </c>
      <c r="J21" s="64">
        <v>0.01</v>
      </c>
      <c r="K21" s="64">
        <v>69.150000000000006</v>
      </c>
      <c r="L21" s="64">
        <v>18.350000000000001</v>
      </c>
      <c r="M21" s="64">
        <v>68.27</v>
      </c>
      <c r="N21" s="64">
        <v>69.400000000000006</v>
      </c>
      <c r="O21" s="64">
        <v>0</v>
      </c>
      <c r="P21" s="64">
        <v>0.78</v>
      </c>
      <c r="Q21" s="64">
        <v>4.88</v>
      </c>
      <c r="R21" s="198"/>
      <c r="S21" s="198"/>
      <c r="T21" s="198"/>
      <c r="U21" s="198"/>
    </row>
    <row r="22" spans="1:21" s="12" customFormat="1" x14ac:dyDescent="0.25">
      <c r="A22" s="215" t="s">
        <v>742</v>
      </c>
      <c r="B22" s="64">
        <v>8.85</v>
      </c>
      <c r="C22" s="64">
        <v>19.57</v>
      </c>
      <c r="D22" s="64">
        <v>19.190000000000001</v>
      </c>
      <c r="E22" s="64">
        <v>1.77</v>
      </c>
      <c r="F22" s="64">
        <v>0.11</v>
      </c>
      <c r="G22" s="64">
        <v>179.25</v>
      </c>
      <c r="H22" s="64">
        <v>81.790000000000006</v>
      </c>
      <c r="I22" s="64">
        <v>1.45</v>
      </c>
      <c r="J22" s="64">
        <v>0.06</v>
      </c>
      <c r="K22" s="64">
        <v>91.73</v>
      </c>
      <c r="L22" s="64">
        <v>18.38</v>
      </c>
      <c r="M22" s="64">
        <v>68.86</v>
      </c>
      <c r="N22" s="64">
        <v>70</v>
      </c>
      <c r="O22" s="64">
        <v>0</v>
      </c>
      <c r="P22" s="64">
        <v>0.77</v>
      </c>
      <c r="Q22" s="64">
        <v>4.95</v>
      </c>
      <c r="R22" s="198"/>
      <c r="S22" s="198"/>
      <c r="T22" s="198"/>
      <c r="U22" s="198"/>
    </row>
    <row r="23" spans="1:21" s="12" customFormat="1" x14ac:dyDescent="0.25">
      <c r="A23" s="215" t="s">
        <v>743</v>
      </c>
      <c r="B23" s="64">
        <v>8.6999999999999993</v>
      </c>
      <c r="C23" s="64">
        <v>20.28</v>
      </c>
      <c r="D23" s="64">
        <v>19.46</v>
      </c>
      <c r="E23" s="64">
        <v>1.72</v>
      </c>
      <c r="F23" s="64">
        <v>0.46</v>
      </c>
      <c r="G23" s="64">
        <v>179.25</v>
      </c>
      <c r="H23" s="64">
        <v>81.790000000000006</v>
      </c>
      <c r="I23" s="64">
        <v>1.51</v>
      </c>
      <c r="J23" s="64">
        <v>0.06</v>
      </c>
      <c r="K23" s="64">
        <v>58.1</v>
      </c>
      <c r="L23" s="64">
        <v>18.54</v>
      </c>
      <c r="M23" s="64">
        <v>68.53</v>
      </c>
      <c r="N23" s="64">
        <v>71.8</v>
      </c>
      <c r="O23" s="64">
        <v>0</v>
      </c>
      <c r="P23" s="64">
        <v>0.75</v>
      </c>
      <c r="Q23" s="64">
        <v>4.92</v>
      </c>
      <c r="R23" s="198"/>
      <c r="S23" s="198"/>
      <c r="T23" s="198"/>
      <c r="U23" s="198"/>
    </row>
    <row r="24" spans="1:21" s="12" customFormat="1" x14ac:dyDescent="0.25">
      <c r="A24" s="215" t="s">
        <v>744</v>
      </c>
      <c r="B24" s="64">
        <v>8.69</v>
      </c>
      <c r="C24" s="64">
        <v>20.71</v>
      </c>
      <c r="D24" s="64">
        <v>19.690000000000001</v>
      </c>
      <c r="E24" s="64">
        <v>1.07</v>
      </c>
      <c r="F24" s="64">
        <v>0.08</v>
      </c>
      <c r="G24" s="64">
        <v>179.25</v>
      </c>
      <c r="H24" s="64">
        <v>81.790000000000006</v>
      </c>
      <c r="I24" s="64">
        <v>1.56</v>
      </c>
      <c r="J24" s="64">
        <v>0.12</v>
      </c>
      <c r="K24" s="64">
        <v>332.11</v>
      </c>
      <c r="L24" s="64">
        <v>18.510000000000002</v>
      </c>
      <c r="M24" s="64">
        <v>69.989999999999995</v>
      </c>
      <c r="N24" s="64">
        <v>64.099999999999994</v>
      </c>
      <c r="O24" s="64">
        <v>0</v>
      </c>
      <c r="P24" s="64">
        <v>0.74</v>
      </c>
      <c r="Q24" s="64">
        <v>4.87</v>
      </c>
      <c r="R24" s="198"/>
      <c r="S24" s="198"/>
      <c r="T24" s="198"/>
      <c r="U24" s="198"/>
    </row>
    <row r="25" spans="1:21" s="12" customFormat="1" x14ac:dyDescent="0.25">
      <c r="A25" s="215" t="s">
        <v>745</v>
      </c>
      <c r="B25" s="64">
        <v>8.7100000000000009</v>
      </c>
      <c r="C25" s="64">
        <v>20.97</v>
      </c>
      <c r="D25" s="64">
        <v>19.850000000000001</v>
      </c>
      <c r="E25" s="64">
        <v>1.42</v>
      </c>
      <c r="F25" s="64">
        <v>0.04</v>
      </c>
      <c r="G25" s="64">
        <v>85.9</v>
      </c>
      <c r="H25" s="64">
        <v>68.510000000000005</v>
      </c>
      <c r="I25" s="64">
        <v>1.53</v>
      </c>
      <c r="J25" s="64">
        <v>0.35</v>
      </c>
      <c r="K25" s="64">
        <v>333.71</v>
      </c>
      <c r="L25" s="64">
        <v>18.28</v>
      </c>
      <c r="M25" s="64">
        <v>72.3</v>
      </c>
      <c r="N25" s="64">
        <v>64.599999999999994</v>
      </c>
      <c r="O25" s="64">
        <v>0</v>
      </c>
      <c r="P25" s="64">
        <v>0.73</v>
      </c>
      <c r="Q25" s="64">
        <v>4.8899999999999997</v>
      </c>
      <c r="R25" s="198"/>
      <c r="S25" s="198"/>
      <c r="T25" s="198"/>
      <c r="U25" s="198"/>
    </row>
    <row r="26" spans="1:21" s="12" customFormat="1" x14ac:dyDescent="0.25">
      <c r="A26" s="215" t="s">
        <v>746</v>
      </c>
      <c r="B26" s="64">
        <v>8.81</v>
      </c>
      <c r="C26" s="64">
        <v>21.25</v>
      </c>
      <c r="D26" s="64">
        <v>20.09</v>
      </c>
      <c r="E26" s="64">
        <v>1.46</v>
      </c>
      <c r="F26" s="64">
        <v>0.08</v>
      </c>
      <c r="G26" s="64">
        <v>85.9</v>
      </c>
      <c r="H26" s="64">
        <v>68.510000000000005</v>
      </c>
      <c r="I26" s="64">
        <v>1.57</v>
      </c>
      <c r="J26" s="64">
        <v>0.52</v>
      </c>
      <c r="K26" s="64">
        <v>342.83</v>
      </c>
      <c r="L26" s="64">
        <v>18.25</v>
      </c>
      <c r="M26" s="64">
        <v>72.11</v>
      </c>
      <c r="N26" s="64">
        <v>65.3</v>
      </c>
      <c r="O26" s="64">
        <v>0</v>
      </c>
      <c r="P26" s="64">
        <v>0.71</v>
      </c>
      <c r="Q26" s="64">
        <v>4.8899999999999997</v>
      </c>
      <c r="R26" s="198"/>
      <c r="S26" s="198"/>
      <c r="T26" s="198"/>
      <c r="U26" s="198"/>
    </row>
    <row r="27" spans="1:21" s="12" customFormat="1" x14ac:dyDescent="0.25">
      <c r="A27" s="215" t="s">
        <v>747</v>
      </c>
      <c r="B27" s="64">
        <v>9.07</v>
      </c>
      <c r="C27" s="64">
        <v>20.63</v>
      </c>
      <c r="D27" s="64">
        <v>19.95</v>
      </c>
      <c r="E27" s="64">
        <v>1.3</v>
      </c>
      <c r="F27" s="64">
        <v>0.2</v>
      </c>
      <c r="G27" s="64">
        <v>85.9</v>
      </c>
      <c r="H27" s="64">
        <v>68.510000000000005</v>
      </c>
      <c r="I27" s="64">
        <v>1.43</v>
      </c>
      <c r="J27" s="64">
        <v>0.04</v>
      </c>
      <c r="K27" s="64">
        <v>319.97000000000003</v>
      </c>
      <c r="L27" s="64">
        <v>18.100000000000001</v>
      </c>
      <c r="M27" s="64">
        <v>73.209999999999994</v>
      </c>
      <c r="N27" s="64">
        <v>66.599999999999994</v>
      </c>
      <c r="O27" s="64">
        <v>0</v>
      </c>
      <c r="P27" s="64">
        <v>0.69</v>
      </c>
      <c r="Q27" s="64">
        <v>4.9000000000000004</v>
      </c>
      <c r="R27" s="198"/>
      <c r="S27" s="198"/>
      <c r="T27" s="198"/>
      <c r="U27" s="198"/>
    </row>
    <row r="28" spans="1:21" s="12" customFormat="1" x14ac:dyDescent="0.25">
      <c r="A28" s="215" t="s">
        <v>748</v>
      </c>
      <c r="B28" s="64">
        <v>9.3000000000000007</v>
      </c>
      <c r="C28" s="64">
        <v>19.989999999999998</v>
      </c>
      <c r="D28" s="64">
        <v>19.78</v>
      </c>
      <c r="E28" s="64">
        <v>1.55</v>
      </c>
      <c r="F28" s="64">
        <v>0.25</v>
      </c>
      <c r="G28" s="64">
        <v>85.9</v>
      </c>
      <c r="H28" s="64">
        <v>68.510000000000005</v>
      </c>
      <c r="I28" s="64">
        <v>1.45</v>
      </c>
      <c r="J28" s="64">
        <v>0.1</v>
      </c>
      <c r="K28" s="64">
        <v>219.12</v>
      </c>
      <c r="L28" s="64">
        <v>17.62</v>
      </c>
      <c r="M28" s="64">
        <v>76.819999999999993</v>
      </c>
      <c r="N28" s="64">
        <v>67.599999999999994</v>
      </c>
      <c r="O28" s="64">
        <v>0</v>
      </c>
      <c r="P28" s="64">
        <v>0.7</v>
      </c>
      <c r="Q28" s="64">
        <v>4.93</v>
      </c>
      <c r="R28" s="198"/>
      <c r="S28" s="198"/>
      <c r="T28" s="198"/>
      <c r="U28" s="198"/>
    </row>
    <row r="29" spans="1:21" s="12" customFormat="1" x14ac:dyDescent="0.25">
      <c r="A29" s="215" t="s">
        <v>749</v>
      </c>
      <c r="B29" s="64">
        <v>9.57</v>
      </c>
      <c r="C29" s="64">
        <v>19.309999999999999</v>
      </c>
      <c r="D29" s="64">
        <v>19.62</v>
      </c>
      <c r="E29" s="64">
        <v>1.39</v>
      </c>
      <c r="F29" s="64">
        <v>0.53</v>
      </c>
      <c r="G29" s="64">
        <v>91.64</v>
      </c>
      <c r="H29" s="64">
        <v>58</v>
      </c>
      <c r="I29" s="64">
        <v>1.44</v>
      </c>
      <c r="J29" s="64">
        <v>0.26</v>
      </c>
      <c r="K29" s="64">
        <v>323.44</v>
      </c>
      <c r="L29" s="64">
        <v>17.440000000000001</v>
      </c>
      <c r="M29" s="64">
        <v>80.459999999999994</v>
      </c>
      <c r="N29" s="64">
        <v>68.2</v>
      </c>
      <c r="O29" s="64">
        <v>0</v>
      </c>
      <c r="P29" s="64">
        <v>0.69</v>
      </c>
      <c r="Q29" s="64">
        <v>4.96</v>
      </c>
      <c r="R29" s="198"/>
      <c r="S29" s="198"/>
      <c r="T29" s="198"/>
      <c r="U29" s="198"/>
    </row>
    <row r="30" spans="1:21" s="12" customFormat="1" x14ac:dyDescent="0.25">
      <c r="A30" s="215" t="s">
        <v>750</v>
      </c>
      <c r="B30" s="64">
        <v>10.130000000000001</v>
      </c>
      <c r="C30" s="64">
        <v>20.41</v>
      </c>
      <c r="D30" s="64">
        <v>20.68</v>
      </c>
      <c r="E30" s="64">
        <v>1.31</v>
      </c>
      <c r="F30" s="64">
        <v>0.2</v>
      </c>
      <c r="G30" s="64">
        <v>91.64</v>
      </c>
      <c r="H30" s="64">
        <v>58</v>
      </c>
      <c r="I30" s="64">
        <v>1.51</v>
      </c>
      <c r="J30" s="64">
        <v>0.05</v>
      </c>
      <c r="K30" s="64">
        <v>15.48</v>
      </c>
      <c r="L30" s="64">
        <v>17.489999999999998</v>
      </c>
      <c r="M30" s="64">
        <v>80.72</v>
      </c>
      <c r="N30" s="64">
        <v>68.3</v>
      </c>
      <c r="O30" s="64">
        <v>0</v>
      </c>
      <c r="P30" s="64">
        <v>0.7</v>
      </c>
      <c r="Q30" s="64">
        <v>4.9400000000000004</v>
      </c>
      <c r="R30" s="198"/>
      <c r="S30" s="198"/>
      <c r="T30" s="198"/>
      <c r="U30" s="198"/>
    </row>
    <row r="31" spans="1:21" s="12" customFormat="1" x14ac:dyDescent="0.25">
      <c r="A31" s="215" t="s">
        <v>751</v>
      </c>
      <c r="B31" s="64">
        <v>10.66</v>
      </c>
      <c r="C31" s="64">
        <v>20.5</v>
      </c>
      <c r="D31" s="64">
        <v>21.15</v>
      </c>
      <c r="E31" s="64">
        <v>1.44</v>
      </c>
      <c r="F31" s="64">
        <v>0.14000000000000001</v>
      </c>
      <c r="G31" s="64">
        <v>91.64</v>
      </c>
      <c r="H31" s="64">
        <v>58</v>
      </c>
      <c r="I31" s="64">
        <v>1.49</v>
      </c>
      <c r="J31" s="64">
        <v>0.03</v>
      </c>
      <c r="K31" s="64">
        <v>126.66</v>
      </c>
      <c r="L31" s="64">
        <v>17.489999999999998</v>
      </c>
      <c r="M31" s="64">
        <v>79.55</v>
      </c>
      <c r="N31" s="64">
        <v>67.599999999999994</v>
      </c>
      <c r="O31" s="64">
        <v>0</v>
      </c>
      <c r="P31" s="64">
        <v>0.71</v>
      </c>
      <c r="Q31" s="64">
        <v>5.01</v>
      </c>
      <c r="R31" s="198"/>
      <c r="S31" s="198"/>
      <c r="T31" s="198"/>
      <c r="U31" s="198"/>
    </row>
    <row r="32" spans="1:21" s="12" customFormat="1" x14ac:dyDescent="0.25">
      <c r="A32" s="215" t="s">
        <v>752</v>
      </c>
      <c r="B32" s="64">
        <v>11.21</v>
      </c>
      <c r="C32" s="64">
        <v>20.059999999999999</v>
      </c>
      <c r="D32" s="64">
        <v>21.35</v>
      </c>
      <c r="E32" s="64">
        <v>1.2</v>
      </c>
      <c r="F32" s="64">
        <v>0.13</v>
      </c>
      <c r="G32" s="64">
        <v>91.64</v>
      </c>
      <c r="H32" s="64">
        <v>58</v>
      </c>
      <c r="I32" s="64">
        <v>1.39</v>
      </c>
      <c r="J32" s="64">
        <v>0.28999999999999998</v>
      </c>
      <c r="K32" s="64">
        <v>337.27</v>
      </c>
      <c r="L32" s="64">
        <v>17.37</v>
      </c>
      <c r="M32" s="64">
        <v>80.67</v>
      </c>
      <c r="N32" s="64">
        <v>69.3</v>
      </c>
      <c r="O32" s="64">
        <v>0</v>
      </c>
      <c r="P32" s="64">
        <v>0.7</v>
      </c>
      <c r="Q32" s="64">
        <v>5.03</v>
      </c>
      <c r="R32" s="198"/>
      <c r="S32" s="198"/>
      <c r="T32" s="198"/>
      <c r="U32" s="198"/>
    </row>
    <row r="33" spans="1:21" s="12" customFormat="1" x14ac:dyDescent="0.25">
      <c r="A33" s="215" t="s">
        <v>753</v>
      </c>
      <c r="B33" s="64">
        <v>11.83</v>
      </c>
      <c r="C33" s="64">
        <v>20.59</v>
      </c>
      <c r="D33" s="64">
        <v>22.14</v>
      </c>
      <c r="E33" s="64">
        <v>1.1299999999999999</v>
      </c>
      <c r="F33" s="64">
        <v>0.02</v>
      </c>
      <c r="G33" s="64">
        <v>156.51</v>
      </c>
      <c r="H33" s="64">
        <v>67.72</v>
      </c>
      <c r="I33" s="64">
        <v>1.48</v>
      </c>
      <c r="J33" s="64">
        <v>7.0000000000000007E-2</v>
      </c>
      <c r="K33" s="64">
        <v>62.45</v>
      </c>
      <c r="L33" s="64">
        <v>17.489999999999998</v>
      </c>
      <c r="M33" s="64">
        <v>78.2</v>
      </c>
      <c r="N33" s="64">
        <v>77.8</v>
      </c>
      <c r="O33" s="64">
        <v>0</v>
      </c>
      <c r="P33" s="64">
        <v>0.7</v>
      </c>
      <c r="Q33" s="64">
        <v>5.0999999999999996</v>
      </c>
      <c r="R33" s="198"/>
      <c r="S33" s="198"/>
      <c r="T33" s="198"/>
      <c r="U33" s="198"/>
    </row>
    <row r="34" spans="1:21" s="12" customFormat="1" x14ac:dyDescent="0.25">
      <c r="A34" s="215" t="s">
        <v>754</v>
      </c>
      <c r="B34" s="64">
        <v>12.4</v>
      </c>
      <c r="C34" s="64">
        <v>21.48</v>
      </c>
      <c r="D34" s="64">
        <v>23.09</v>
      </c>
      <c r="E34" s="64">
        <v>1.41</v>
      </c>
      <c r="F34" s="64">
        <v>0</v>
      </c>
      <c r="G34" s="64">
        <v>156.51</v>
      </c>
      <c r="H34" s="64">
        <v>67.72</v>
      </c>
      <c r="I34" s="64">
        <v>1.45</v>
      </c>
      <c r="J34" s="64">
        <v>0.04</v>
      </c>
      <c r="K34" s="64">
        <v>124.33</v>
      </c>
      <c r="L34" s="64">
        <v>17.600000000000001</v>
      </c>
      <c r="M34" s="64">
        <v>76.239999999999995</v>
      </c>
      <c r="N34" s="64">
        <v>92.4</v>
      </c>
      <c r="O34" s="64">
        <v>0</v>
      </c>
      <c r="P34" s="64">
        <v>0.71</v>
      </c>
      <c r="Q34" s="64">
        <v>5.0999999999999996</v>
      </c>
      <c r="R34" s="198"/>
      <c r="S34" s="198"/>
      <c r="T34" s="198"/>
      <c r="U34" s="198"/>
    </row>
    <row r="35" spans="1:21" s="12" customFormat="1" x14ac:dyDescent="0.25">
      <c r="A35" s="215" t="s">
        <v>755</v>
      </c>
      <c r="B35" s="64">
        <v>13.04</v>
      </c>
      <c r="C35" s="64">
        <v>20.78</v>
      </c>
      <c r="D35" s="64">
        <v>23.22</v>
      </c>
      <c r="E35" s="64">
        <v>1.55</v>
      </c>
      <c r="F35" s="64">
        <v>0.03</v>
      </c>
      <c r="G35" s="64">
        <v>156.51</v>
      </c>
      <c r="H35" s="64">
        <v>67.72</v>
      </c>
      <c r="I35" s="64">
        <v>1.49</v>
      </c>
      <c r="J35" s="64">
        <v>0.15</v>
      </c>
      <c r="K35" s="64">
        <v>95.94</v>
      </c>
      <c r="L35" s="64">
        <v>17.809999999999999</v>
      </c>
      <c r="M35" s="64">
        <v>76.180000000000007</v>
      </c>
      <c r="N35" s="64">
        <v>111.7</v>
      </c>
      <c r="O35" s="64">
        <v>0</v>
      </c>
      <c r="P35" s="64">
        <v>0.71</v>
      </c>
      <c r="Q35" s="64">
        <v>5.19</v>
      </c>
      <c r="R35" s="198"/>
      <c r="S35" s="198"/>
      <c r="T35" s="198"/>
      <c r="U35" s="198"/>
    </row>
    <row r="36" spans="1:21" s="12" customFormat="1" x14ac:dyDescent="0.25">
      <c r="A36" s="215" t="s">
        <v>756</v>
      </c>
      <c r="B36" s="64">
        <v>13.38</v>
      </c>
      <c r="C36" s="64">
        <v>21.44</v>
      </c>
      <c r="D36" s="64">
        <v>23.85</v>
      </c>
      <c r="E36" s="64">
        <v>1.51</v>
      </c>
      <c r="F36" s="64">
        <v>0.16</v>
      </c>
      <c r="G36" s="64">
        <v>156.51</v>
      </c>
      <c r="H36" s="64">
        <v>67.72</v>
      </c>
      <c r="I36" s="64">
        <v>1.55</v>
      </c>
      <c r="J36" s="64">
        <v>0.06</v>
      </c>
      <c r="K36" s="64">
        <v>48.22</v>
      </c>
      <c r="L36" s="64">
        <v>18.21</v>
      </c>
      <c r="M36" s="64">
        <v>74.62</v>
      </c>
      <c r="N36" s="64">
        <v>151.4</v>
      </c>
      <c r="O36" s="64">
        <v>0</v>
      </c>
      <c r="P36" s="64">
        <v>0.71</v>
      </c>
      <c r="Q36" s="64">
        <v>5.26</v>
      </c>
      <c r="R36" s="198"/>
      <c r="S36" s="198"/>
      <c r="T36" s="198"/>
      <c r="U36" s="198"/>
    </row>
    <row r="37" spans="1:21" s="12" customFormat="1" x14ac:dyDescent="0.25">
      <c r="A37" s="215" t="s">
        <v>757</v>
      </c>
      <c r="B37" s="64">
        <v>14.06</v>
      </c>
      <c r="C37" s="64">
        <v>22.59</v>
      </c>
      <c r="D37" s="64">
        <v>25.04</v>
      </c>
      <c r="E37" s="64">
        <v>1.57</v>
      </c>
      <c r="F37" s="64">
        <v>0</v>
      </c>
      <c r="G37" s="64">
        <v>142.27000000000001</v>
      </c>
      <c r="H37" s="64">
        <v>59.38</v>
      </c>
      <c r="I37" s="64">
        <v>1.53</v>
      </c>
      <c r="J37" s="64">
        <v>0.15</v>
      </c>
      <c r="K37" s="64">
        <v>336.02</v>
      </c>
      <c r="L37" s="64">
        <v>19.13</v>
      </c>
      <c r="M37" s="64">
        <v>72.12</v>
      </c>
      <c r="N37" s="64">
        <v>161.69999999999999</v>
      </c>
      <c r="O37" s="64">
        <v>0</v>
      </c>
      <c r="P37" s="64">
        <v>0.65</v>
      </c>
      <c r="Q37" s="64">
        <v>5.29</v>
      </c>
      <c r="R37" s="198"/>
      <c r="S37" s="198"/>
      <c r="T37" s="198"/>
      <c r="U37" s="198"/>
    </row>
    <row r="38" spans="1:21" s="12" customFormat="1" x14ac:dyDescent="0.25">
      <c r="A38" s="215" t="s">
        <v>758</v>
      </c>
      <c r="B38" s="64">
        <v>15.28</v>
      </c>
      <c r="C38" s="64">
        <v>23.37</v>
      </c>
      <c r="D38" s="64">
        <v>26.44</v>
      </c>
      <c r="E38" s="64">
        <v>1.4</v>
      </c>
      <c r="F38" s="64">
        <v>0.14000000000000001</v>
      </c>
      <c r="G38" s="64">
        <v>142.27000000000001</v>
      </c>
      <c r="H38" s="64">
        <v>59.38</v>
      </c>
      <c r="I38" s="64">
        <v>1.51</v>
      </c>
      <c r="J38" s="64">
        <v>0.17</v>
      </c>
      <c r="K38" s="64">
        <v>312.93</v>
      </c>
      <c r="L38" s="64">
        <v>19.72</v>
      </c>
      <c r="M38" s="64">
        <v>69.17</v>
      </c>
      <c r="N38" s="64">
        <v>202.6</v>
      </c>
      <c r="O38" s="64">
        <v>0</v>
      </c>
      <c r="P38" s="64">
        <v>0.71</v>
      </c>
      <c r="Q38" s="64">
        <v>5.37</v>
      </c>
      <c r="R38" s="198"/>
      <c r="S38" s="198"/>
      <c r="T38" s="198"/>
      <c r="U38" s="198"/>
    </row>
    <row r="39" spans="1:21" s="12" customFormat="1" x14ac:dyDescent="0.25">
      <c r="A39" s="215" t="s">
        <v>759</v>
      </c>
      <c r="B39" s="64">
        <v>16.59</v>
      </c>
      <c r="C39" s="64">
        <v>25.3</v>
      </c>
      <c r="D39" s="64">
        <v>28.56</v>
      </c>
      <c r="E39" s="64">
        <v>1.1499999999999999</v>
      </c>
      <c r="F39" s="64">
        <v>0.25</v>
      </c>
      <c r="G39" s="64">
        <v>142.27000000000001</v>
      </c>
      <c r="H39" s="64">
        <v>59.38</v>
      </c>
      <c r="I39" s="64">
        <v>1.53</v>
      </c>
      <c r="J39" s="64">
        <v>0.12</v>
      </c>
      <c r="K39" s="64">
        <v>314.07</v>
      </c>
      <c r="L39" s="64">
        <v>20.99</v>
      </c>
      <c r="M39" s="64">
        <v>64.13</v>
      </c>
      <c r="N39" s="64">
        <v>299.2</v>
      </c>
      <c r="O39" s="64">
        <v>0</v>
      </c>
      <c r="P39" s="64">
        <v>0.72</v>
      </c>
      <c r="Q39" s="64">
        <v>5.37</v>
      </c>
      <c r="R39" s="198"/>
      <c r="S39" s="198"/>
      <c r="T39" s="198"/>
      <c r="U39" s="198"/>
    </row>
    <row r="40" spans="1:21" s="12" customFormat="1" x14ac:dyDescent="0.25">
      <c r="A40" s="215" t="s">
        <v>760</v>
      </c>
      <c r="B40" s="64">
        <v>17.36</v>
      </c>
      <c r="C40" s="64">
        <v>30.11</v>
      </c>
      <c r="D40" s="64">
        <v>31.83</v>
      </c>
      <c r="E40" s="64">
        <v>0.39</v>
      </c>
      <c r="F40" s="64">
        <v>0.48</v>
      </c>
      <c r="G40" s="64">
        <v>142.27000000000001</v>
      </c>
      <c r="H40" s="64">
        <v>59.38</v>
      </c>
      <c r="I40" s="64">
        <v>1.4</v>
      </c>
      <c r="J40" s="64">
        <v>0.31</v>
      </c>
      <c r="K40" s="64">
        <v>338.78</v>
      </c>
      <c r="L40" s="64">
        <v>22.05</v>
      </c>
      <c r="M40" s="64">
        <v>59.58</v>
      </c>
      <c r="N40" s="64">
        <v>221.5</v>
      </c>
      <c r="O40" s="64">
        <v>0</v>
      </c>
      <c r="P40" s="64">
        <v>0.74</v>
      </c>
      <c r="Q40" s="64">
        <v>5.12</v>
      </c>
      <c r="R40" s="198"/>
      <c r="S40" s="198"/>
      <c r="T40" s="198"/>
      <c r="U40" s="198"/>
    </row>
    <row r="41" spans="1:21" s="12" customFormat="1" x14ac:dyDescent="0.25">
      <c r="A41" s="215" t="s">
        <v>761</v>
      </c>
      <c r="B41" s="64">
        <v>17.79</v>
      </c>
      <c r="C41" s="64">
        <v>28.23</v>
      </c>
      <c r="D41" s="64">
        <v>31.13</v>
      </c>
      <c r="E41" s="64">
        <v>0.83</v>
      </c>
      <c r="F41" s="64">
        <v>0.27</v>
      </c>
      <c r="G41" s="64">
        <v>160.84</v>
      </c>
      <c r="H41" s="64">
        <v>65.17</v>
      </c>
      <c r="I41" s="64">
        <v>1.52</v>
      </c>
      <c r="J41" s="64">
        <v>0.31</v>
      </c>
      <c r="K41" s="64">
        <v>99.84</v>
      </c>
      <c r="L41" s="64">
        <v>21.68</v>
      </c>
      <c r="M41" s="64">
        <v>60.66</v>
      </c>
      <c r="N41" s="64">
        <v>370</v>
      </c>
      <c r="O41" s="64">
        <v>0</v>
      </c>
      <c r="P41" s="64">
        <v>0.75</v>
      </c>
      <c r="Q41" s="64">
        <v>5.3</v>
      </c>
      <c r="R41" s="198"/>
      <c r="S41" s="198"/>
      <c r="T41" s="198"/>
      <c r="U41" s="198"/>
    </row>
    <row r="42" spans="1:21" s="12" customFormat="1" x14ac:dyDescent="0.25">
      <c r="A42" s="215" t="s">
        <v>762</v>
      </c>
      <c r="B42" s="64">
        <v>17.82</v>
      </c>
      <c r="C42" s="64">
        <v>25.72</v>
      </c>
      <c r="D42" s="64">
        <v>29.77</v>
      </c>
      <c r="E42" s="64">
        <v>0.9</v>
      </c>
      <c r="F42" s="64">
        <v>0.17</v>
      </c>
      <c r="G42" s="64">
        <v>160.84</v>
      </c>
      <c r="H42" s="64">
        <v>65.17</v>
      </c>
      <c r="I42" s="64">
        <v>1.54</v>
      </c>
      <c r="J42" s="64">
        <v>0.2</v>
      </c>
      <c r="K42" s="64">
        <v>342.75</v>
      </c>
      <c r="L42" s="64">
        <v>23.26</v>
      </c>
      <c r="M42" s="64">
        <v>58.57</v>
      </c>
      <c r="N42" s="64">
        <v>426.8</v>
      </c>
      <c r="O42" s="64">
        <v>0</v>
      </c>
      <c r="P42" s="64">
        <v>0.76</v>
      </c>
      <c r="Q42" s="64">
        <v>5.44</v>
      </c>
      <c r="R42" s="198"/>
      <c r="S42" s="198"/>
      <c r="T42" s="198"/>
      <c r="U42" s="198"/>
    </row>
    <row r="43" spans="1:21" s="12" customFormat="1" x14ac:dyDescent="0.25">
      <c r="A43" s="215" t="s">
        <v>763</v>
      </c>
      <c r="B43" s="64">
        <v>17.829999999999998</v>
      </c>
      <c r="C43" s="64">
        <v>24.24</v>
      </c>
      <c r="D43" s="64">
        <v>28.97</v>
      </c>
      <c r="E43" s="64">
        <v>0.86</v>
      </c>
      <c r="F43" s="64">
        <v>0.32</v>
      </c>
      <c r="G43" s="64">
        <v>160.84</v>
      </c>
      <c r="H43" s="64">
        <v>65.17</v>
      </c>
      <c r="I43" s="64">
        <v>1.5</v>
      </c>
      <c r="J43" s="64">
        <v>0.18</v>
      </c>
      <c r="K43" s="64">
        <v>311.69</v>
      </c>
      <c r="L43" s="64">
        <v>23.37</v>
      </c>
      <c r="M43" s="64">
        <v>60.68</v>
      </c>
      <c r="N43" s="64">
        <v>431.2</v>
      </c>
      <c r="O43" s="64">
        <v>0</v>
      </c>
      <c r="P43" s="64">
        <v>0.77</v>
      </c>
      <c r="Q43" s="64">
        <v>5.57</v>
      </c>
      <c r="R43" s="198"/>
      <c r="S43" s="198"/>
      <c r="T43" s="198"/>
      <c r="U43" s="198"/>
    </row>
    <row r="44" spans="1:21" s="12" customFormat="1" x14ac:dyDescent="0.25">
      <c r="A44" s="215" t="s">
        <v>764</v>
      </c>
      <c r="B44" s="64">
        <v>17.989999999999998</v>
      </c>
      <c r="C44" s="64">
        <v>23.45</v>
      </c>
      <c r="D44" s="64">
        <v>28.66</v>
      </c>
      <c r="E44" s="64">
        <v>0.93</v>
      </c>
      <c r="F44" s="64">
        <v>0.16</v>
      </c>
      <c r="G44" s="64">
        <v>160.84</v>
      </c>
      <c r="H44" s="64">
        <v>65.17</v>
      </c>
      <c r="I44" s="64">
        <v>1.59</v>
      </c>
      <c r="J44" s="64">
        <v>0.28999999999999998</v>
      </c>
      <c r="K44" s="64">
        <v>305.14999999999998</v>
      </c>
      <c r="L44" s="64">
        <v>24.73</v>
      </c>
      <c r="M44" s="64">
        <v>57.48</v>
      </c>
      <c r="N44" s="64">
        <v>611.6</v>
      </c>
      <c r="O44" s="64">
        <v>0</v>
      </c>
      <c r="P44" s="64">
        <v>0.79</v>
      </c>
      <c r="Q44" s="64">
        <v>5.59</v>
      </c>
      <c r="R44" s="198"/>
      <c r="S44" s="198"/>
      <c r="T44" s="198"/>
      <c r="U44" s="198"/>
    </row>
    <row r="45" spans="1:21" s="12" customFormat="1" x14ac:dyDescent="0.25">
      <c r="A45" s="215" t="s">
        <v>765</v>
      </c>
      <c r="B45" s="64">
        <v>17.53</v>
      </c>
      <c r="C45" s="64">
        <v>25.25</v>
      </c>
      <c r="D45" s="64">
        <v>29.29</v>
      </c>
      <c r="E45" s="64">
        <v>1.02</v>
      </c>
      <c r="F45" s="64">
        <v>0.09</v>
      </c>
      <c r="G45" s="64">
        <v>122.39</v>
      </c>
      <c r="H45" s="64">
        <v>66.34</v>
      </c>
      <c r="I45" s="64">
        <v>1.52</v>
      </c>
      <c r="J45" s="64">
        <v>0.34</v>
      </c>
      <c r="K45" s="64">
        <v>102.12</v>
      </c>
      <c r="L45" s="64">
        <v>24.96</v>
      </c>
      <c r="M45" s="64">
        <v>53.98</v>
      </c>
      <c r="N45" s="64">
        <v>656.4</v>
      </c>
      <c r="O45" s="64">
        <v>0</v>
      </c>
      <c r="P45" s="64">
        <v>0.8</v>
      </c>
      <c r="Q45" s="64">
        <v>5.57</v>
      </c>
      <c r="R45" s="198"/>
      <c r="S45" s="198"/>
      <c r="T45" s="198"/>
      <c r="U45" s="198"/>
    </row>
    <row r="46" spans="1:21" s="12" customFormat="1" x14ac:dyDescent="0.25">
      <c r="A46" s="215" t="s">
        <v>766</v>
      </c>
      <c r="B46" s="64">
        <v>16.510000000000002</v>
      </c>
      <c r="C46" s="64">
        <v>23.97</v>
      </c>
      <c r="D46" s="64">
        <v>27.76</v>
      </c>
      <c r="E46" s="64">
        <v>0.91</v>
      </c>
      <c r="F46" s="64">
        <v>1.78</v>
      </c>
      <c r="G46" s="64">
        <v>122.39</v>
      </c>
      <c r="H46" s="64">
        <v>66.34</v>
      </c>
      <c r="I46" s="64">
        <v>1.53</v>
      </c>
      <c r="J46" s="64">
        <v>0.08</v>
      </c>
      <c r="K46" s="64">
        <v>133.56</v>
      </c>
      <c r="L46" s="64">
        <v>25.04</v>
      </c>
      <c r="M46" s="64">
        <v>55.15</v>
      </c>
      <c r="N46" s="64">
        <v>489.4</v>
      </c>
      <c r="O46" s="64">
        <v>0</v>
      </c>
      <c r="P46" s="64">
        <v>0.78</v>
      </c>
      <c r="Q46" s="64">
        <v>5.57</v>
      </c>
      <c r="R46" s="198"/>
      <c r="S46" s="198"/>
      <c r="T46" s="198"/>
      <c r="U46" s="198"/>
    </row>
    <row r="47" spans="1:21" s="12" customFormat="1" x14ac:dyDescent="0.25">
      <c r="A47" s="215" t="s">
        <v>767</v>
      </c>
      <c r="B47" s="64">
        <v>15.62</v>
      </c>
      <c r="C47" s="64">
        <v>24.06</v>
      </c>
      <c r="D47" s="64">
        <v>27.1</v>
      </c>
      <c r="E47" s="64">
        <v>1.21</v>
      </c>
      <c r="F47" s="64">
        <v>1.28</v>
      </c>
      <c r="G47" s="64">
        <v>122.39</v>
      </c>
      <c r="H47" s="64">
        <v>66.34</v>
      </c>
      <c r="I47" s="64">
        <v>1.44</v>
      </c>
      <c r="J47" s="64">
        <v>0.52</v>
      </c>
      <c r="K47" s="64">
        <v>121.88</v>
      </c>
      <c r="L47" s="64">
        <v>24.93</v>
      </c>
      <c r="M47" s="64">
        <v>54.96</v>
      </c>
      <c r="N47" s="64">
        <v>635.20000000000005</v>
      </c>
      <c r="O47" s="64">
        <v>0</v>
      </c>
      <c r="P47" s="64">
        <v>0.79</v>
      </c>
      <c r="Q47" s="64">
        <v>5.47</v>
      </c>
      <c r="R47" s="198"/>
      <c r="S47" s="198"/>
      <c r="T47" s="198"/>
      <c r="U47" s="198"/>
    </row>
    <row r="48" spans="1:21" s="12" customFormat="1" x14ac:dyDescent="0.25">
      <c r="A48" s="215" t="s">
        <v>768</v>
      </c>
      <c r="B48" s="64">
        <v>14.42</v>
      </c>
      <c r="C48" s="64">
        <v>24.27</v>
      </c>
      <c r="D48" s="64">
        <v>26.25</v>
      </c>
      <c r="E48" s="64">
        <v>1.1000000000000001</v>
      </c>
      <c r="F48" s="64">
        <v>1.88</v>
      </c>
      <c r="G48" s="64">
        <v>122.39</v>
      </c>
      <c r="H48" s="64">
        <v>66.34</v>
      </c>
      <c r="I48" s="64">
        <v>1.47</v>
      </c>
      <c r="J48" s="64">
        <v>1.1499999999999999</v>
      </c>
      <c r="K48" s="64">
        <v>121.22</v>
      </c>
      <c r="L48" s="64">
        <v>24.96</v>
      </c>
      <c r="M48" s="64">
        <v>53.13</v>
      </c>
      <c r="N48" s="64">
        <v>667.1</v>
      </c>
      <c r="O48" s="64">
        <v>0</v>
      </c>
      <c r="P48" s="64">
        <v>0.77</v>
      </c>
      <c r="Q48" s="64">
        <v>5.45</v>
      </c>
      <c r="R48" s="198"/>
      <c r="S48" s="198"/>
      <c r="T48" s="198"/>
      <c r="U48" s="198"/>
    </row>
    <row r="49" spans="1:21" s="12" customFormat="1" x14ac:dyDescent="0.25">
      <c r="A49" s="215" t="s">
        <v>769</v>
      </c>
      <c r="B49" s="64">
        <v>12.76</v>
      </c>
      <c r="C49" s="64">
        <v>24.62</v>
      </c>
      <c r="D49" s="64">
        <v>25.11</v>
      </c>
      <c r="E49" s="64">
        <v>1.29</v>
      </c>
      <c r="F49" s="64">
        <v>2.97</v>
      </c>
      <c r="G49" s="64">
        <v>113.07</v>
      </c>
      <c r="H49" s="64">
        <v>63.35</v>
      </c>
      <c r="I49" s="64">
        <v>1.48</v>
      </c>
      <c r="J49" s="64">
        <v>0.37</v>
      </c>
      <c r="K49" s="64">
        <v>113.41</v>
      </c>
      <c r="L49" s="64">
        <v>24.87</v>
      </c>
      <c r="M49" s="64">
        <v>57.64</v>
      </c>
      <c r="N49" s="64">
        <v>567.79999999999995</v>
      </c>
      <c r="O49" s="64">
        <v>0</v>
      </c>
      <c r="P49" s="64">
        <v>0.74</v>
      </c>
      <c r="Q49" s="64">
        <v>5.4</v>
      </c>
      <c r="R49" s="198"/>
      <c r="S49" s="198"/>
      <c r="T49" s="198"/>
      <c r="U49" s="198"/>
    </row>
    <row r="50" spans="1:21" s="12" customFormat="1" x14ac:dyDescent="0.25">
      <c r="A50" s="215" t="s">
        <v>770</v>
      </c>
      <c r="B50" s="64">
        <v>11.81</v>
      </c>
      <c r="C50" s="64">
        <v>24.46</v>
      </c>
      <c r="D50" s="64">
        <v>24.27</v>
      </c>
      <c r="E50" s="64">
        <v>1.32</v>
      </c>
      <c r="F50" s="64">
        <v>1.8</v>
      </c>
      <c r="G50" s="64">
        <v>113.07</v>
      </c>
      <c r="H50" s="64">
        <v>63.35</v>
      </c>
      <c r="I50" s="64">
        <v>1.52</v>
      </c>
      <c r="J50" s="64">
        <v>0.32</v>
      </c>
      <c r="K50" s="64">
        <v>119</v>
      </c>
      <c r="L50" s="64">
        <v>26.74</v>
      </c>
      <c r="M50" s="64">
        <v>53.1</v>
      </c>
      <c r="N50" s="64">
        <v>774</v>
      </c>
      <c r="O50" s="64">
        <v>0</v>
      </c>
      <c r="P50" s="64">
        <v>0.74</v>
      </c>
      <c r="Q50" s="64">
        <v>5.3</v>
      </c>
      <c r="R50" s="198"/>
      <c r="S50" s="198"/>
      <c r="T50" s="198"/>
      <c r="U50" s="198"/>
    </row>
    <row r="51" spans="1:21" s="12" customFormat="1" x14ac:dyDescent="0.25">
      <c r="A51" s="215" t="s">
        <v>771</v>
      </c>
      <c r="B51" s="64">
        <v>11.46</v>
      </c>
      <c r="C51" s="64">
        <v>24.17</v>
      </c>
      <c r="D51" s="64">
        <v>23.82</v>
      </c>
      <c r="E51" s="64">
        <v>1.1100000000000001</v>
      </c>
      <c r="F51" s="64">
        <v>1.03</v>
      </c>
      <c r="G51" s="64">
        <v>113.07</v>
      </c>
      <c r="H51" s="64">
        <v>63.35</v>
      </c>
      <c r="I51" s="64">
        <v>1.54</v>
      </c>
      <c r="J51" s="64">
        <v>0.48</v>
      </c>
      <c r="K51" s="64">
        <v>106.62</v>
      </c>
      <c r="L51" s="64">
        <v>26.94</v>
      </c>
      <c r="M51" s="64">
        <v>52.29</v>
      </c>
      <c r="N51" s="64">
        <v>774.3</v>
      </c>
      <c r="O51" s="64">
        <v>0</v>
      </c>
      <c r="P51" s="64">
        <v>0.73</v>
      </c>
      <c r="Q51" s="64">
        <v>5.17</v>
      </c>
      <c r="R51" s="198"/>
      <c r="S51" s="198"/>
      <c r="T51" s="198"/>
      <c r="U51" s="198"/>
    </row>
    <row r="52" spans="1:21" s="12" customFormat="1" x14ac:dyDescent="0.25">
      <c r="A52" s="215" t="s">
        <v>772</v>
      </c>
      <c r="B52" s="64">
        <v>11.09</v>
      </c>
      <c r="C52" s="64">
        <v>22.78</v>
      </c>
      <c r="D52" s="64">
        <v>22.76</v>
      </c>
      <c r="E52" s="64">
        <v>1.02</v>
      </c>
      <c r="F52" s="64">
        <v>3.82</v>
      </c>
      <c r="G52" s="64">
        <v>113.07</v>
      </c>
      <c r="H52" s="64">
        <v>63.35</v>
      </c>
      <c r="I52" s="64">
        <v>1.49</v>
      </c>
      <c r="J52" s="64">
        <v>0.24</v>
      </c>
      <c r="K52" s="64">
        <v>63.1</v>
      </c>
      <c r="L52" s="64">
        <v>27.84</v>
      </c>
      <c r="M52" s="64">
        <v>47.75</v>
      </c>
      <c r="N52" s="64">
        <v>783.9</v>
      </c>
      <c r="O52" s="64">
        <v>0</v>
      </c>
      <c r="P52" s="64">
        <v>0.7</v>
      </c>
      <c r="Q52" s="64">
        <v>5.08</v>
      </c>
      <c r="R52" s="198"/>
      <c r="S52" s="198"/>
      <c r="T52" s="198"/>
      <c r="U52" s="198"/>
    </row>
    <row r="53" spans="1:21" s="12" customFormat="1" x14ac:dyDescent="0.25">
      <c r="A53" s="215" t="s">
        <v>773</v>
      </c>
      <c r="B53" s="64">
        <v>2</v>
      </c>
      <c r="C53" s="64">
        <v>2.15</v>
      </c>
      <c r="D53" s="64">
        <v>4.09</v>
      </c>
      <c r="E53" s="64">
        <v>0.77</v>
      </c>
      <c r="F53" s="64">
        <v>3.01</v>
      </c>
      <c r="G53" s="64">
        <v>44.92</v>
      </c>
      <c r="H53" s="64">
        <v>49.89</v>
      </c>
      <c r="I53" s="64">
        <v>1.52</v>
      </c>
      <c r="J53" s="64">
        <v>0.84</v>
      </c>
      <c r="K53" s="64">
        <v>106.24</v>
      </c>
      <c r="L53" s="64">
        <v>27.79</v>
      </c>
      <c r="M53" s="64">
        <v>45.52</v>
      </c>
      <c r="N53" s="64">
        <v>815.7</v>
      </c>
      <c r="O53" s="64">
        <v>0</v>
      </c>
      <c r="P53" s="64">
        <v>0.68</v>
      </c>
      <c r="Q53" s="64">
        <v>4.99</v>
      </c>
      <c r="R53" s="198"/>
      <c r="S53" s="198"/>
      <c r="T53" s="198"/>
      <c r="U53" s="198"/>
    </row>
    <row r="54" spans="1:21" s="12" customFormat="1" x14ac:dyDescent="0.25">
      <c r="A54" s="215" t="s">
        <v>774</v>
      </c>
      <c r="B54" s="64">
        <v>57.41</v>
      </c>
      <c r="C54" s="64">
        <v>5.52</v>
      </c>
      <c r="D54" s="64">
        <v>60.38</v>
      </c>
      <c r="E54" s="64">
        <v>1.1200000000000001</v>
      </c>
      <c r="F54" s="64">
        <v>6.42</v>
      </c>
      <c r="G54" s="64">
        <v>44.92</v>
      </c>
      <c r="H54" s="64">
        <v>49.89</v>
      </c>
      <c r="I54" s="64">
        <v>1.49</v>
      </c>
      <c r="J54" s="64">
        <v>0.44</v>
      </c>
      <c r="K54" s="64">
        <v>109.36</v>
      </c>
      <c r="L54" s="64">
        <v>27.5</v>
      </c>
      <c r="M54" s="64">
        <v>44.67</v>
      </c>
      <c r="N54" s="64">
        <v>754.5</v>
      </c>
      <c r="O54" s="64">
        <v>0</v>
      </c>
      <c r="P54" s="64">
        <v>0.63</v>
      </c>
      <c r="Q54" s="64">
        <v>4.91</v>
      </c>
      <c r="R54" s="198"/>
      <c r="S54" s="198"/>
      <c r="T54" s="198"/>
      <c r="U54" s="198"/>
    </row>
    <row r="55" spans="1:21" s="12" customFormat="1" x14ac:dyDescent="0.25">
      <c r="A55" s="215" t="s">
        <v>775</v>
      </c>
      <c r="B55" s="64">
        <v>169.62</v>
      </c>
      <c r="C55" s="64">
        <v>13.64</v>
      </c>
      <c r="D55" s="64">
        <v>183.25</v>
      </c>
      <c r="E55" s="64">
        <v>1.36</v>
      </c>
      <c r="F55" s="64">
        <v>7.37</v>
      </c>
      <c r="G55" s="64">
        <v>44.92</v>
      </c>
      <c r="H55" s="64">
        <v>49.89</v>
      </c>
      <c r="I55" s="64">
        <v>1.48</v>
      </c>
      <c r="J55" s="64">
        <v>0.16</v>
      </c>
      <c r="K55" s="64">
        <v>95.25</v>
      </c>
      <c r="L55" s="64">
        <v>27.55</v>
      </c>
      <c r="M55" s="64">
        <v>43.43</v>
      </c>
      <c r="N55" s="64">
        <v>816.4</v>
      </c>
      <c r="O55" s="64">
        <v>0</v>
      </c>
      <c r="P55" s="64">
        <v>0.59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776</v>
      </c>
      <c r="B56" s="64">
        <v>186.52</v>
      </c>
      <c r="C56" s="64">
        <v>16.059999999999999</v>
      </c>
      <c r="D56" s="64">
        <v>202.58</v>
      </c>
      <c r="E56" s="64">
        <v>1.07</v>
      </c>
      <c r="F56" s="64">
        <v>7.47</v>
      </c>
      <c r="G56" s="64">
        <v>44.92</v>
      </c>
      <c r="H56" s="64">
        <v>49.89</v>
      </c>
      <c r="I56" s="64">
        <v>1.56</v>
      </c>
      <c r="J56" s="64">
        <v>0.03</v>
      </c>
      <c r="K56" s="64">
        <v>4.1100000000000003</v>
      </c>
      <c r="L56" s="64">
        <v>27.9</v>
      </c>
      <c r="M56" s="64">
        <v>41.16</v>
      </c>
      <c r="N56" s="64">
        <v>830.3</v>
      </c>
      <c r="O56" s="64">
        <v>0</v>
      </c>
      <c r="P56" s="64">
        <v>0.57999999999999996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777</v>
      </c>
      <c r="B57" s="64">
        <v>196.29</v>
      </c>
      <c r="C57" s="64">
        <v>16.97</v>
      </c>
      <c r="D57" s="64">
        <v>213.27</v>
      </c>
      <c r="E57" s="64">
        <v>1.75</v>
      </c>
      <c r="F57" s="64">
        <v>5.18</v>
      </c>
      <c r="G57" s="64">
        <v>44.35</v>
      </c>
      <c r="H57" s="64">
        <v>45.9</v>
      </c>
      <c r="I57" s="64">
        <v>1.47</v>
      </c>
      <c r="J57" s="64">
        <v>0.23</v>
      </c>
      <c r="K57" s="64">
        <v>341.58</v>
      </c>
      <c r="L57" s="64">
        <v>28.02</v>
      </c>
      <c r="M57" s="64">
        <v>40.18</v>
      </c>
      <c r="N57" s="64">
        <v>782</v>
      </c>
      <c r="O57" s="64">
        <v>0</v>
      </c>
      <c r="P57" s="64">
        <v>0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778</v>
      </c>
      <c r="B58" s="64">
        <v>76.38</v>
      </c>
      <c r="C58" s="64">
        <v>24.22</v>
      </c>
      <c r="D58" s="64">
        <v>100.52</v>
      </c>
      <c r="E58" s="64">
        <v>2.5099999999999998</v>
      </c>
      <c r="F58" s="64">
        <v>9.01</v>
      </c>
      <c r="G58" s="64">
        <v>44.35</v>
      </c>
      <c r="H58" s="64">
        <v>45.9</v>
      </c>
      <c r="I58" s="64">
        <v>1.59</v>
      </c>
      <c r="J58" s="64">
        <v>0.11</v>
      </c>
      <c r="K58" s="64">
        <v>54.24</v>
      </c>
      <c r="L58" s="64">
        <v>27.8</v>
      </c>
      <c r="M58" s="64">
        <v>35.68</v>
      </c>
      <c r="N58" s="64">
        <v>741.9</v>
      </c>
      <c r="O58" s="64">
        <v>0</v>
      </c>
      <c r="P58" s="64">
        <v>1.06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779</v>
      </c>
      <c r="B59" s="64">
        <v>2.13</v>
      </c>
      <c r="C59" s="64">
        <v>26.57</v>
      </c>
      <c r="D59" s="64">
        <v>28.7</v>
      </c>
      <c r="E59" s="64">
        <v>2.21</v>
      </c>
      <c r="F59" s="64">
        <v>8.0299999999999994</v>
      </c>
      <c r="G59" s="64">
        <v>44.35</v>
      </c>
      <c r="H59" s="64">
        <v>45.9</v>
      </c>
      <c r="I59" s="64">
        <v>1.47</v>
      </c>
      <c r="J59" s="64">
        <v>1.1000000000000001</v>
      </c>
      <c r="K59" s="64">
        <v>107.58</v>
      </c>
      <c r="L59" s="64">
        <v>27.8</v>
      </c>
      <c r="M59" s="64">
        <v>31.47</v>
      </c>
      <c r="N59" s="64">
        <v>753.3</v>
      </c>
      <c r="O59" s="64">
        <v>0</v>
      </c>
      <c r="P59" s="64">
        <v>3.9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780</v>
      </c>
      <c r="B60" s="64">
        <v>2.0299999999999998</v>
      </c>
      <c r="C60" s="64">
        <v>24.47</v>
      </c>
      <c r="D60" s="64">
        <v>26.49</v>
      </c>
      <c r="E60" s="64">
        <v>2.19</v>
      </c>
      <c r="F60" s="64">
        <v>8.67</v>
      </c>
      <c r="G60" s="64">
        <v>44.35</v>
      </c>
      <c r="H60" s="64">
        <v>45.9</v>
      </c>
      <c r="I60" s="64">
        <v>1.5</v>
      </c>
      <c r="J60" s="64">
        <v>0.82</v>
      </c>
      <c r="K60" s="64">
        <v>106.07</v>
      </c>
      <c r="L60" s="64">
        <v>27.82</v>
      </c>
      <c r="M60" s="64">
        <v>31.55</v>
      </c>
      <c r="N60" s="64">
        <v>744</v>
      </c>
      <c r="O60" s="64">
        <v>0</v>
      </c>
      <c r="P60" s="64">
        <v>4.1100000000000003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781</v>
      </c>
      <c r="B61" s="64">
        <v>4.26</v>
      </c>
      <c r="C61" s="64">
        <v>30.32</v>
      </c>
      <c r="D61" s="64">
        <v>34.58</v>
      </c>
      <c r="E61" s="64">
        <v>2.88</v>
      </c>
      <c r="F61" s="64">
        <v>14.58</v>
      </c>
      <c r="G61" s="64">
        <v>38.04</v>
      </c>
      <c r="H61" s="64">
        <v>46.51</v>
      </c>
      <c r="I61" s="64">
        <v>1.51</v>
      </c>
      <c r="J61" s="64">
        <v>0.56999999999999995</v>
      </c>
      <c r="K61" s="64">
        <v>98.86</v>
      </c>
      <c r="L61" s="64">
        <v>28.48</v>
      </c>
      <c r="M61" s="64">
        <v>30.96</v>
      </c>
      <c r="N61" s="64">
        <v>707.4</v>
      </c>
      <c r="O61" s="64">
        <v>0</v>
      </c>
      <c r="P61" s="64">
        <v>3.98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782</v>
      </c>
      <c r="B62" s="64">
        <v>3.91</v>
      </c>
      <c r="C62" s="64">
        <v>31.66</v>
      </c>
      <c r="D62" s="64">
        <v>35.57</v>
      </c>
      <c r="E62" s="64">
        <v>2.82</v>
      </c>
      <c r="F62" s="64">
        <v>6.14</v>
      </c>
      <c r="G62" s="64">
        <v>38.04</v>
      </c>
      <c r="H62" s="64">
        <v>46.51</v>
      </c>
      <c r="I62" s="64">
        <v>1.46</v>
      </c>
      <c r="J62" s="64">
        <v>0.94</v>
      </c>
      <c r="K62" s="64">
        <v>99.3</v>
      </c>
      <c r="L62" s="64">
        <v>28.24</v>
      </c>
      <c r="M62" s="64">
        <v>29.85</v>
      </c>
      <c r="N62" s="64">
        <v>614.5</v>
      </c>
      <c r="O62" s="64">
        <v>0</v>
      </c>
      <c r="P62" s="64">
        <v>4.17</v>
      </c>
      <c r="Q62" s="64">
        <v>4.96</v>
      </c>
      <c r="R62" s="198"/>
      <c r="S62" s="198"/>
      <c r="T62" s="198"/>
      <c r="U62" s="198"/>
    </row>
    <row r="63" spans="1:21" s="12" customFormat="1" x14ac:dyDescent="0.25">
      <c r="A63" s="215" t="s">
        <v>783</v>
      </c>
      <c r="B63" s="64">
        <v>3.21</v>
      </c>
      <c r="C63" s="64">
        <v>28.23</v>
      </c>
      <c r="D63" s="64">
        <v>31.44</v>
      </c>
      <c r="E63" s="64">
        <v>3.76</v>
      </c>
      <c r="F63" s="64">
        <v>5.09</v>
      </c>
      <c r="G63" s="64">
        <v>38.04</v>
      </c>
      <c r="H63" s="64">
        <v>46.51</v>
      </c>
      <c r="I63" s="64">
        <v>1.52</v>
      </c>
      <c r="J63" s="64">
        <v>0.48</v>
      </c>
      <c r="K63" s="64">
        <v>72.97</v>
      </c>
      <c r="L63" s="64">
        <v>28.07</v>
      </c>
      <c r="M63" s="64">
        <v>30</v>
      </c>
      <c r="N63" s="64">
        <v>554.6</v>
      </c>
      <c r="O63" s="64">
        <v>0</v>
      </c>
      <c r="P63" s="64">
        <v>4.2</v>
      </c>
      <c r="Q63" s="64">
        <v>5.08</v>
      </c>
      <c r="R63" s="198"/>
      <c r="S63" s="198"/>
      <c r="T63" s="198"/>
      <c r="U63" s="198"/>
    </row>
    <row r="64" spans="1:21" s="12" customFormat="1" x14ac:dyDescent="0.25">
      <c r="A64" s="215" t="s">
        <v>784</v>
      </c>
      <c r="B64" s="64">
        <v>2.93</v>
      </c>
      <c r="C64" s="64">
        <v>25.19</v>
      </c>
      <c r="D64" s="64">
        <v>28.12</v>
      </c>
      <c r="E64" s="64">
        <v>2.58</v>
      </c>
      <c r="F64" s="64">
        <v>6.81</v>
      </c>
      <c r="G64" s="64">
        <v>38.04</v>
      </c>
      <c r="H64" s="64">
        <v>46.51</v>
      </c>
      <c r="I64" s="64">
        <v>1.57</v>
      </c>
      <c r="J64" s="64">
        <v>1.5</v>
      </c>
      <c r="K64" s="64">
        <v>116.66</v>
      </c>
      <c r="L64" s="64">
        <v>27.45</v>
      </c>
      <c r="M64" s="64">
        <v>30.56</v>
      </c>
      <c r="N64" s="64">
        <v>503.6</v>
      </c>
      <c r="O64" s="64">
        <v>0</v>
      </c>
      <c r="P64" s="64">
        <v>4.21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785</v>
      </c>
      <c r="B65" s="64">
        <v>2.95</v>
      </c>
      <c r="C65" s="64">
        <v>25.11</v>
      </c>
      <c r="D65" s="64">
        <v>28.06</v>
      </c>
      <c r="E65" s="64">
        <v>2.39</v>
      </c>
      <c r="F65" s="64">
        <v>10.06</v>
      </c>
      <c r="G65" s="64">
        <v>103.53</v>
      </c>
      <c r="H65" s="64">
        <v>42.82</v>
      </c>
      <c r="I65" s="64">
        <v>1.52</v>
      </c>
      <c r="J65" s="64">
        <v>0.28000000000000003</v>
      </c>
      <c r="K65" s="64">
        <v>23.58</v>
      </c>
      <c r="L65" s="64">
        <v>28.1</v>
      </c>
      <c r="M65" s="64">
        <v>30</v>
      </c>
      <c r="N65" s="64">
        <v>253.3</v>
      </c>
      <c r="O65" s="64">
        <v>0</v>
      </c>
      <c r="P65" s="64">
        <v>0.46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786</v>
      </c>
      <c r="B66" s="64">
        <v>3.23</v>
      </c>
      <c r="C66" s="64">
        <v>23.7</v>
      </c>
      <c r="D66" s="64">
        <v>26.94</v>
      </c>
      <c r="E66" s="64">
        <v>2.16</v>
      </c>
      <c r="F66" s="64">
        <v>9.89</v>
      </c>
      <c r="G66" s="64">
        <v>103.53</v>
      </c>
      <c r="H66" s="64">
        <v>42.82</v>
      </c>
      <c r="I66" s="64">
        <v>1.46</v>
      </c>
      <c r="J66" s="64">
        <v>1.0900000000000001</v>
      </c>
      <c r="K66" s="64">
        <v>109.95</v>
      </c>
      <c r="L66" s="64">
        <v>27.93</v>
      </c>
      <c r="M66" s="64">
        <v>31.02</v>
      </c>
      <c r="N66" s="64">
        <v>209</v>
      </c>
      <c r="O66" s="64">
        <v>0</v>
      </c>
      <c r="P66" s="64">
        <v>0.44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787</v>
      </c>
      <c r="B67" s="64">
        <v>3.44</v>
      </c>
      <c r="C67" s="64">
        <v>24.31</v>
      </c>
      <c r="D67" s="64">
        <v>27.75</v>
      </c>
      <c r="E67" s="64">
        <v>1.97</v>
      </c>
      <c r="F67" s="64">
        <v>4.82</v>
      </c>
      <c r="G67" s="64">
        <v>103.53</v>
      </c>
      <c r="H67" s="64">
        <v>42.82</v>
      </c>
      <c r="I67" s="64">
        <v>1.5</v>
      </c>
      <c r="J67" s="64">
        <v>1.48</v>
      </c>
      <c r="K67" s="64">
        <v>111.64</v>
      </c>
      <c r="L67" s="64">
        <v>27.16</v>
      </c>
      <c r="M67" s="64">
        <v>30.56</v>
      </c>
      <c r="N67" s="64">
        <v>194.6</v>
      </c>
      <c r="O67" s="64">
        <v>0</v>
      </c>
      <c r="P67" s="64">
        <v>0.43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788</v>
      </c>
      <c r="B68" s="64">
        <v>4.05</v>
      </c>
      <c r="C68" s="64">
        <v>25.33</v>
      </c>
      <c r="D68" s="64">
        <v>29.38</v>
      </c>
      <c r="E68" s="64">
        <v>1.73</v>
      </c>
      <c r="F68" s="64">
        <v>8.92</v>
      </c>
      <c r="G68" s="64">
        <v>103.53</v>
      </c>
      <c r="H68" s="64">
        <v>42.82</v>
      </c>
      <c r="I68" s="64">
        <v>1.44</v>
      </c>
      <c r="J68" s="64">
        <v>0.94</v>
      </c>
      <c r="K68" s="64">
        <v>105.53</v>
      </c>
      <c r="L68" s="64">
        <v>27.31</v>
      </c>
      <c r="M68" s="64">
        <v>30.11</v>
      </c>
      <c r="N68" s="64">
        <v>181.1</v>
      </c>
      <c r="O68" s="64">
        <v>0</v>
      </c>
      <c r="P68" s="64">
        <v>0.41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789</v>
      </c>
      <c r="B69" s="64">
        <v>2.77</v>
      </c>
      <c r="C69" s="64">
        <v>21.04</v>
      </c>
      <c r="D69" s="64">
        <v>23.81</v>
      </c>
      <c r="E69" s="64">
        <v>2.31</v>
      </c>
      <c r="F69" s="64">
        <v>7.77</v>
      </c>
      <c r="G69" s="64">
        <v>71.31</v>
      </c>
      <c r="H69" s="64">
        <v>33.380000000000003</v>
      </c>
      <c r="I69" s="64">
        <v>1.47</v>
      </c>
      <c r="J69" s="64">
        <v>1.7</v>
      </c>
      <c r="K69" s="64">
        <v>109.84</v>
      </c>
      <c r="L69" s="64">
        <v>26.99</v>
      </c>
      <c r="M69" s="64">
        <v>29.46</v>
      </c>
      <c r="N69" s="64">
        <v>164.5</v>
      </c>
      <c r="O69" s="64">
        <v>0</v>
      </c>
      <c r="P69" s="64">
        <v>0.38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790</v>
      </c>
      <c r="B70" s="64">
        <v>2.72</v>
      </c>
      <c r="C70" s="64">
        <v>23.21</v>
      </c>
      <c r="D70" s="64">
        <v>25.93</v>
      </c>
      <c r="E70" s="64">
        <v>3.26</v>
      </c>
      <c r="F70" s="64">
        <v>24.12</v>
      </c>
      <c r="G70" s="64">
        <v>71.31</v>
      </c>
      <c r="H70" s="64">
        <v>33.380000000000003</v>
      </c>
      <c r="I70" s="64">
        <v>1.55</v>
      </c>
      <c r="J70" s="64">
        <v>0.84</v>
      </c>
      <c r="K70" s="64">
        <v>105.99</v>
      </c>
      <c r="L70" s="64">
        <v>26.89</v>
      </c>
      <c r="M70" s="64">
        <v>30.45</v>
      </c>
      <c r="N70" s="64">
        <v>136.19999999999999</v>
      </c>
      <c r="O70" s="64">
        <v>0</v>
      </c>
      <c r="P70" s="64">
        <v>0.33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791</v>
      </c>
      <c r="B71" s="64">
        <v>2.69</v>
      </c>
      <c r="C71" s="64">
        <v>23.49</v>
      </c>
      <c r="D71" s="64">
        <v>26.18</v>
      </c>
      <c r="E71" s="64">
        <v>2.87</v>
      </c>
      <c r="F71" s="64">
        <v>15.19</v>
      </c>
      <c r="G71" s="64">
        <v>71.31</v>
      </c>
      <c r="H71" s="64">
        <v>33.380000000000003</v>
      </c>
      <c r="I71" s="64">
        <v>1.6</v>
      </c>
      <c r="J71" s="64">
        <v>1.2</v>
      </c>
      <c r="K71" s="64">
        <v>110.15</v>
      </c>
      <c r="L71" s="64">
        <v>26.74</v>
      </c>
      <c r="M71" s="64">
        <v>30.86</v>
      </c>
      <c r="N71" s="64">
        <v>122.7</v>
      </c>
      <c r="O71" s="64">
        <v>0</v>
      </c>
      <c r="P71" s="64">
        <v>0.36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792</v>
      </c>
      <c r="B72" s="64">
        <v>2.97</v>
      </c>
      <c r="C72" s="64">
        <v>26.56</v>
      </c>
      <c r="D72" s="64">
        <v>29.53</v>
      </c>
      <c r="E72" s="64">
        <v>2.66</v>
      </c>
      <c r="F72" s="64">
        <v>29.07</v>
      </c>
      <c r="G72" s="64">
        <v>71.31</v>
      </c>
      <c r="H72" s="64">
        <v>33.380000000000003</v>
      </c>
      <c r="I72" s="64">
        <v>1.5</v>
      </c>
      <c r="J72" s="64">
        <v>0.99</v>
      </c>
      <c r="K72" s="64">
        <v>103.59</v>
      </c>
      <c r="L72" s="64">
        <v>26.59</v>
      </c>
      <c r="M72" s="64">
        <v>31.12</v>
      </c>
      <c r="N72" s="64">
        <v>101.3</v>
      </c>
      <c r="O72" s="64">
        <v>0</v>
      </c>
      <c r="P72" s="64">
        <v>0.33</v>
      </c>
      <c r="Q72" s="64">
        <v>5.07</v>
      </c>
      <c r="R72" s="198"/>
      <c r="S72" s="198"/>
      <c r="T72" s="198"/>
      <c r="U72" s="198"/>
    </row>
    <row r="73" spans="1:21" s="12" customFormat="1" x14ac:dyDescent="0.25">
      <c r="A73" s="215" t="s">
        <v>793</v>
      </c>
      <c r="B73" s="64">
        <v>2</v>
      </c>
      <c r="C73" s="64">
        <v>22.22</v>
      </c>
      <c r="D73" s="64">
        <v>24.22</v>
      </c>
      <c r="E73" s="64">
        <v>5.22</v>
      </c>
      <c r="F73" s="64">
        <v>24.22</v>
      </c>
      <c r="G73" s="64">
        <v>24.52</v>
      </c>
      <c r="H73" s="64">
        <v>32.81</v>
      </c>
      <c r="I73" s="64">
        <v>1.53</v>
      </c>
      <c r="J73" s="64">
        <v>0.72</v>
      </c>
      <c r="K73" s="64">
        <v>104.13</v>
      </c>
      <c r="L73" s="64">
        <v>26.36</v>
      </c>
      <c r="M73" s="64">
        <v>31.86</v>
      </c>
      <c r="N73" s="64">
        <v>92.7</v>
      </c>
      <c r="O73" s="64">
        <v>0</v>
      </c>
      <c r="P73" s="64">
        <v>0.32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794</v>
      </c>
      <c r="B74" s="64">
        <v>2</v>
      </c>
      <c r="C74" s="64">
        <v>24.65</v>
      </c>
      <c r="D74" s="64">
        <v>26.65</v>
      </c>
      <c r="E74" s="64">
        <v>4.2300000000000004</v>
      </c>
      <c r="F74" s="64">
        <v>25.92</v>
      </c>
      <c r="G74" s="64">
        <v>24.52</v>
      </c>
      <c r="H74" s="64">
        <v>32.81</v>
      </c>
      <c r="I74" s="64">
        <v>1.57</v>
      </c>
      <c r="J74" s="64">
        <v>0.56000000000000005</v>
      </c>
      <c r="K74" s="64">
        <v>99.79</v>
      </c>
      <c r="L74" s="64">
        <v>26.2</v>
      </c>
      <c r="M74" s="64">
        <v>31.76</v>
      </c>
      <c r="N74" s="64">
        <v>88.1</v>
      </c>
      <c r="O74" s="64">
        <v>0</v>
      </c>
      <c r="P74" s="64">
        <v>0.33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795</v>
      </c>
      <c r="B75" s="64">
        <v>2</v>
      </c>
      <c r="C75" s="64">
        <v>28.38</v>
      </c>
      <c r="D75" s="64">
        <v>30.38</v>
      </c>
      <c r="E75" s="64">
        <v>5.94</v>
      </c>
      <c r="F75" s="64">
        <v>34.770000000000003</v>
      </c>
      <c r="G75" s="64">
        <v>24.52</v>
      </c>
      <c r="H75" s="64">
        <v>32.81</v>
      </c>
      <c r="I75" s="64">
        <v>1.47</v>
      </c>
      <c r="J75" s="64">
        <v>0.28000000000000003</v>
      </c>
      <c r="K75" s="64">
        <v>91.11</v>
      </c>
      <c r="L75" s="64">
        <v>25.87</v>
      </c>
      <c r="M75" s="64">
        <v>32.65</v>
      </c>
      <c r="N75" s="64">
        <v>64</v>
      </c>
      <c r="O75" s="64">
        <v>0</v>
      </c>
      <c r="P75" s="64">
        <v>0.38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796</v>
      </c>
      <c r="B76" s="64">
        <v>11.91</v>
      </c>
      <c r="C76" s="64">
        <v>72.59</v>
      </c>
      <c r="D76" s="64">
        <v>84.5</v>
      </c>
      <c r="E76" s="64">
        <v>7.53</v>
      </c>
      <c r="F76" s="64">
        <v>22.73</v>
      </c>
      <c r="G76" s="64">
        <v>24.52</v>
      </c>
      <c r="H76" s="64">
        <v>32.81</v>
      </c>
      <c r="I76" s="64">
        <v>1.56</v>
      </c>
      <c r="J76" s="64">
        <v>0.17</v>
      </c>
      <c r="K76" s="64">
        <v>59.96</v>
      </c>
      <c r="L76" s="64">
        <v>25.39</v>
      </c>
      <c r="M76" s="64">
        <v>33.83</v>
      </c>
      <c r="N76" s="64">
        <v>52.3</v>
      </c>
      <c r="O76" s="64">
        <v>0</v>
      </c>
      <c r="P76" s="64">
        <v>0.72</v>
      </c>
      <c r="Q76" s="64">
        <v>3.6</v>
      </c>
      <c r="R76" s="198"/>
      <c r="S76" s="198"/>
      <c r="T76" s="198"/>
      <c r="U76" s="198"/>
    </row>
    <row r="77" spans="1:21" s="12" customFormat="1" x14ac:dyDescent="0.25">
      <c r="A77" s="215" t="s">
        <v>797</v>
      </c>
      <c r="B77" s="64">
        <v>7.39</v>
      </c>
      <c r="C77" s="64">
        <v>64.39</v>
      </c>
      <c r="D77" s="64">
        <v>71.78</v>
      </c>
      <c r="E77" s="64">
        <v>7.52</v>
      </c>
      <c r="F77" s="64">
        <v>9.4600000000000009</v>
      </c>
      <c r="G77" s="64">
        <v>62.24</v>
      </c>
      <c r="H77" s="64">
        <v>35.590000000000003</v>
      </c>
      <c r="I77" s="64">
        <v>1.52</v>
      </c>
      <c r="J77" s="64">
        <v>0.13</v>
      </c>
      <c r="K77" s="64">
        <v>59.91</v>
      </c>
      <c r="L77" s="64">
        <v>24.89</v>
      </c>
      <c r="M77" s="64">
        <v>36.450000000000003</v>
      </c>
      <c r="N77" s="64">
        <v>41.8</v>
      </c>
      <c r="O77" s="64">
        <v>0</v>
      </c>
      <c r="P77" s="64">
        <v>0.69</v>
      </c>
      <c r="Q77" s="64">
        <v>1.43</v>
      </c>
      <c r="R77" s="198"/>
      <c r="S77" s="198"/>
      <c r="T77" s="198"/>
      <c r="U77" s="198"/>
    </row>
    <row r="78" spans="1:21" s="12" customFormat="1" x14ac:dyDescent="0.25">
      <c r="A78" s="215" t="s">
        <v>798</v>
      </c>
      <c r="B78" s="64">
        <v>11.03</v>
      </c>
      <c r="C78" s="64">
        <v>77.16</v>
      </c>
      <c r="D78" s="64">
        <v>88.2</v>
      </c>
      <c r="E78" s="64">
        <v>4.3</v>
      </c>
      <c r="F78" s="64">
        <v>6.37</v>
      </c>
      <c r="G78" s="64">
        <v>62.24</v>
      </c>
      <c r="H78" s="64">
        <v>35.590000000000003</v>
      </c>
      <c r="I78" s="64">
        <v>1.5</v>
      </c>
      <c r="J78" s="64">
        <v>0.08</v>
      </c>
      <c r="K78" s="64">
        <v>64.52</v>
      </c>
      <c r="L78" s="64">
        <v>24.31</v>
      </c>
      <c r="M78" s="64">
        <v>38.79</v>
      </c>
      <c r="N78" s="64">
        <v>37</v>
      </c>
      <c r="O78" s="64">
        <v>0</v>
      </c>
      <c r="P78" s="64">
        <v>0.97</v>
      </c>
      <c r="Q78" s="64">
        <v>2.02</v>
      </c>
      <c r="R78" s="198"/>
      <c r="S78" s="198"/>
      <c r="T78" s="198"/>
      <c r="U78" s="198"/>
    </row>
    <row r="79" spans="1:21" s="12" customFormat="1" x14ac:dyDescent="0.25">
      <c r="A79" s="215" t="s">
        <v>799</v>
      </c>
      <c r="B79" s="64">
        <v>35.799999999999997</v>
      </c>
      <c r="C79" s="64">
        <v>93.51</v>
      </c>
      <c r="D79" s="64">
        <v>129.31</v>
      </c>
      <c r="E79" s="64">
        <v>6.58</v>
      </c>
      <c r="F79" s="64">
        <v>5.03</v>
      </c>
      <c r="G79" s="64">
        <v>62.24</v>
      </c>
      <c r="H79" s="64">
        <v>35.590000000000003</v>
      </c>
      <c r="I79" s="64">
        <v>1.43</v>
      </c>
      <c r="J79" s="64">
        <v>0.05</v>
      </c>
      <c r="K79" s="64">
        <v>36.130000000000003</v>
      </c>
      <c r="L79" s="64">
        <v>23.69</v>
      </c>
      <c r="M79" s="64">
        <v>43.68</v>
      </c>
      <c r="N79" s="64">
        <v>61.3</v>
      </c>
      <c r="O79" s="64">
        <v>0</v>
      </c>
      <c r="P79" s="64">
        <v>1.56</v>
      </c>
      <c r="Q79" s="64">
        <v>0</v>
      </c>
      <c r="R79" s="198"/>
      <c r="S79" s="198"/>
      <c r="T79" s="198"/>
      <c r="U79" s="198"/>
    </row>
    <row r="80" spans="1:21" s="12" customFormat="1" x14ac:dyDescent="0.25">
      <c r="A80" s="215" t="s">
        <v>800</v>
      </c>
      <c r="B80" s="64">
        <v>56.35</v>
      </c>
      <c r="C80" s="64">
        <v>98.58</v>
      </c>
      <c r="D80" s="64">
        <v>154.91999999999999</v>
      </c>
      <c r="E80" s="64">
        <v>7.08</v>
      </c>
      <c r="F80" s="64">
        <v>2.81</v>
      </c>
      <c r="G80" s="64">
        <v>62.24</v>
      </c>
      <c r="H80" s="64">
        <v>35.590000000000003</v>
      </c>
      <c r="I80" s="64">
        <v>1.52</v>
      </c>
      <c r="J80" s="64">
        <v>0.06</v>
      </c>
      <c r="K80" s="64">
        <v>31.03</v>
      </c>
      <c r="L80" s="64">
        <v>22.98</v>
      </c>
      <c r="M80" s="64">
        <v>46.56</v>
      </c>
      <c r="N80" s="64">
        <v>70.900000000000006</v>
      </c>
      <c r="O80" s="64">
        <v>0</v>
      </c>
      <c r="P80" s="64">
        <v>1.77</v>
      </c>
      <c r="Q80" s="64">
        <v>1.03</v>
      </c>
      <c r="R80" s="198"/>
      <c r="S80" s="198"/>
      <c r="T80" s="198"/>
      <c r="U80" s="198"/>
    </row>
    <row r="81" spans="1:26" s="12" customFormat="1" x14ac:dyDescent="0.25">
      <c r="A81" s="215" t="s">
        <v>801</v>
      </c>
      <c r="B81" s="64">
        <v>52.92</v>
      </c>
      <c r="C81" s="64">
        <v>87.23</v>
      </c>
      <c r="D81" s="64">
        <v>140.15</v>
      </c>
      <c r="E81" s="64">
        <v>6.33</v>
      </c>
      <c r="F81" s="64">
        <v>0.93</v>
      </c>
      <c r="G81" s="64">
        <v>99.37</v>
      </c>
      <c r="H81" s="64">
        <v>34.700000000000003</v>
      </c>
      <c r="I81" s="64">
        <v>1.46</v>
      </c>
      <c r="J81" s="64">
        <v>0.12</v>
      </c>
      <c r="K81" s="64">
        <v>280.7</v>
      </c>
      <c r="L81" s="64">
        <v>22.37</v>
      </c>
      <c r="M81" s="64">
        <v>50.9</v>
      </c>
      <c r="N81" s="64">
        <v>89.7</v>
      </c>
      <c r="O81" s="64">
        <v>0</v>
      </c>
      <c r="P81" s="64">
        <v>1.47</v>
      </c>
      <c r="Q81" s="64">
        <v>0.16</v>
      </c>
      <c r="R81" s="198"/>
      <c r="S81" s="198"/>
      <c r="T81" s="198"/>
      <c r="U81" s="198"/>
    </row>
    <row r="82" spans="1:26" s="12" customFormat="1" x14ac:dyDescent="0.25">
      <c r="A82" s="215" t="s">
        <v>802</v>
      </c>
      <c r="B82" s="64">
        <v>46.55</v>
      </c>
      <c r="C82" s="64">
        <v>69.38</v>
      </c>
      <c r="D82" s="64">
        <v>115.93</v>
      </c>
      <c r="E82" s="64">
        <v>5.72</v>
      </c>
      <c r="F82" s="64">
        <v>0.6</v>
      </c>
      <c r="G82" s="64">
        <v>99.37</v>
      </c>
      <c r="H82" s="64">
        <v>34.700000000000003</v>
      </c>
      <c r="I82" s="64">
        <v>1.48</v>
      </c>
      <c r="J82" s="64">
        <v>0.06</v>
      </c>
      <c r="K82" s="64">
        <v>307.26</v>
      </c>
      <c r="L82" s="64">
        <v>21.64</v>
      </c>
      <c r="M82" s="64">
        <v>59.22</v>
      </c>
      <c r="N82" s="64">
        <v>71.400000000000006</v>
      </c>
      <c r="O82" s="64">
        <v>0</v>
      </c>
      <c r="P82" s="64">
        <v>1.55</v>
      </c>
      <c r="Q82" s="64">
        <v>1.9</v>
      </c>
      <c r="R82" s="198"/>
      <c r="S82" s="198"/>
      <c r="T82" s="198"/>
      <c r="U82" s="198"/>
    </row>
    <row r="83" spans="1:26" s="12" customFormat="1" x14ac:dyDescent="0.25">
      <c r="A83" s="215" t="s">
        <v>803</v>
      </c>
      <c r="B83" s="64">
        <v>62.3</v>
      </c>
      <c r="C83" s="64">
        <v>64.81</v>
      </c>
      <c r="D83" s="64">
        <v>127.11</v>
      </c>
      <c r="E83" s="64">
        <v>4.8099999999999996</v>
      </c>
      <c r="F83" s="64">
        <v>0.59</v>
      </c>
      <c r="G83" s="64">
        <v>99.37</v>
      </c>
      <c r="H83" s="64">
        <v>34.700000000000003</v>
      </c>
      <c r="I83" s="64">
        <v>1.44</v>
      </c>
      <c r="J83" s="64">
        <v>0.14000000000000001</v>
      </c>
      <c r="K83" s="64">
        <v>331.64</v>
      </c>
      <c r="L83" s="64">
        <v>21.19</v>
      </c>
      <c r="M83" s="64">
        <v>64</v>
      </c>
      <c r="N83" s="64">
        <v>73</v>
      </c>
      <c r="O83" s="64">
        <v>0</v>
      </c>
      <c r="P83" s="64">
        <v>1.91</v>
      </c>
      <c r="Q83" s="64">
        <v>2.91</v>
      </c>
      <c r="R83" s="198"/>
      <c r="S83" s="198"/>
      <c r="T83" s="198"/>
      <c r="U83" s="198"/>
    </row>
    <row r="84" spans="1:26" s="12" customFormat="1" x14ac:dyDescent="0.25">
      <c r="A84" s="215" t="s">
        <v>804</v>
      </c>
      <c r="B84" s="64">
        <v>40</v>
      </c>
      <c r="C84" s="64">
        <v>74.92</v>
      </c>
      <c r="D84" s="64">
        <v>114.92</v>
      </c>
      <c r="E84" s="64">
        <v>4.79</v>
      </c>
      <c r="F84" s="64">
        <v>0.84</v>
      </c>
      <c r="G84" s="64">
        <v>99.37</v>
      </c>
      <c r="H84" s="64">
        <v>34.700000000000003</v>
      </c>
      <c r="I84" s="64">
        <v>1.52</v>
      </c>
      <c r="J84" s="64">
        <v>0.1</v>
      </c>
      <c r="K84" s="64">
        <v>318.5</v>
      </c>
      <c r="L84" s="64">
        <v>21.28</v>
      </c>
      <c r="M84" s="64">
        <v>57.38</v>
      </c>
      <c r="N84" s="64">
        <v>77.599999999999994</v>
      </c>
      <c r="O84" s="64">
        <v>0</v>
      </c>
      <c r="P84" s="64">
        <v>1.86</v>
      </c>
      <c r="Q84" s="64">
        <v>1.67</v>
      </c>
      <c r="R84" s="198"/>
      <c r="S84" s="198"/>
      <c r="T84" s="198"/>
      <c r="U84" s="198"/>
    </row>
    <row r="85" spans="1:26" s="12" customFormat="1" x14ac:dyDescent="0.25">
      <c r="A85" s="215" t="s">
        <v>805</v>
      </c>
      <c r="B85" s="64">
        <v>38.58</v>
      </c>
      <c r="C85" s="64">
        <v>44.43</v>
      </c>
      <c r="D85" s="64">
        <v>83.01</v>
      </c>
      <c r="E85" s="64">
        <v>4.21</v>
      </c>
      <c r="F85" s="64">
        <v>0.57999999999999996</v>
      </c>
      <c r="G85" s="64">
        <v>216.47</v>
      </c>
      <c r="H85" s="64">
        <v>40.270000000000003</v>
      </c>
      <c r="I85" s="64">
        <v>1.55</v>
      </c>
      <c r="J85" s="64">
        <v>0.12</v>
      </c>
      <c r="K85" s="64">
        <v>316.11</v>
      </c>
      <c r="L85" s="64">
        <v>21.45</v>
      </c>
      <c r="M85" s="64">
        <v>57.69</v>
      </c>
      <c r="N85" s="64">
        <v>79.3</v>
      </c>
      <c r="O85" s="64">
        <v>0</v>
      </c>
      <c r="P85" s="64">
        <v>1.4</v>
      </c>
      <c r="Q85" s="64">
        <v>3.86</v>
      </c>
      <c r="R85" s="198"/>
      <c r="S85" s="198"/>
      <c r="T85" s="198"/>
      <c r="U85" s="198"/>
    </row>
    <row r="86" spans="1:26" s="12" customFormat="1" x14ac:dyDescent="0.25">
      <c r="A86" s="215" t="s">
        <v>806</v>
      </c>
      <c r="B86" s="64">
        <v>81.05</v>
      </c>
      <c r="C86" s="64">
        <v>59.81</v>
      </c>
      <c r="D86" s="64">
        <v>140.86000000000001</v>
      </c>
      <c r="E86" s="64">
        <v>4.01</v>
      </c>
      <c r="F86" s="64">
        <v>0.19</v>
      </c>
      <c r="G86" s="64">
        <v>216.47</v>
      </c>
      <c r="H86" s="64">
        <v>40.270000000000003</v>
      </c>
      <c r="I86" s="64">
        <v>1.5</v>
      </c>
      <c r="J86" s="64">
        <v>0.1</v>
      </c>
      <c r="K86" s="64">
        <v>300.39</v>
      </c>
      <c r="L86" s="64">
        <v>21.11</v>
      </c>
      <c r="M86" s="64">
        <v>62.25</v>
      </c>
      <c r="N86" s="64">
        <v>76.099999999999994</v>
      </c>
      <c r="O86" s="64">
        <v>0</v>
      </c>
      <c r="P86" s="64">
        <v>2.4500000000000002</v>
      </c>
      <c r="Q86" s="64">
        <v>2.27</v>
      </c>
      <c r="R86" s="198"/>
      <c r="S86" s="198"/>
      <c r="T86" s="198"/>
      <c r="U86" s="198"/>
    </row>
    <row r="87" spans="1:26" s="12" customFormat="1" x14ac:dyDescent="0.25">
      <c r="A87" s="215" t="s">
        <v>807</v>
      </c>
      <c r="B87" s="64">
        <v>96.03</v>
      </c>
      <c r="C87" s="64">
        <v>72.16</v>
      </c>
      <c r="D87" s="64">
        <v>168.19</v>
      </c>
      <c r="E87" s="64">
        <v>4.04</v>
      </c>
      <c r="F87" s="64">
        <v>0.39</v>
      </c>
      <c r="G87" s="64">
        <v>216.47</v>
      </c>
      <c r="H87" s="64">
        <v>40.270000000000003</v>
      </c>
      <c r="I87" s="64">
        <v>1.43</v>
      </c>
      <c r="J87" s="64">
        <v>0.13</v>
      </c>
      <c r="K87" s="64">
        <v>327.36</v>
      </c>
      <c r="L87" s="64">
        <v>20.96</v>
      </c>
      <c r="M87" s="64">
        <v>62.51</v>
      </c>
      <c r="N87" s="64">
        <v>71.7</v>
      </c>
      <c r="O87" s="64">
        <v>0</v>
      </c>
      <c r="P87" s="64">
        <v>2.73</v>
      </c>
      <c r="Q87" s="64">
        <v>0.87</v>
      </c>
      <c r="R87" s="198"/>
      <c r="S87" s="198"/>
      <c r="T87" s="198"/>
      <c r="U87" s="198"/>
    </row>
    <row r="88" spans="1:26" s="12" customFormat="1" x14ac:dyDescent="0.25">
      <c r="A88" s="215" t="s">
        <v>808</v>
      </c>
      <c r="B88" s="64">
        <v>49.45</v>
      </c>
      <c r="C88" s="64">
        <v>28.53</v>
      </c>
      <c r="D88" s="64">
        <v>77.98</v>
      </c>
      <c r="E88" s="64">
        <v>1.43</v>
      </c>
      <c r="F88" s="64">
        <v>0.48</v>
      </c>
      <c r="G88" s="64">
        <v>216.47</v>
      </c>
      <c r="H88" s="64">
        <v>40.270000000000003</v>
      </c>
      <c r="I88" s="64">
        <v>1.5</v>
      </c>
      <c r="J88" s="64">
        <v>0.11</v>
      </c>
      <c r="K88" s="64">
        <v>279.33</v>
      </c>
      <c r="L88" s="64">
        <v>20.69</v>
      </c>
      <c r="M88" s="64">
        <v>58.67</v>
      </c>
      <c r="N88" s="64">
        <v>70.900000000000006</v>
      </c>
      <c r="O88" s="64">
        <v>0</v>
      </c>
      <c r="P88" s="64">
        <v>1.67</v>
      </c>
      <c r="Q88" s="64">
        <v>6.85</v>
      </c>
      <c r="R88" s="198"/>
      <c r="S88" s="198"/>
      <c r="T88" s="198"/>
      <c r="U88" s="198"/>
    </row>
    <row r="89" spans="1:26" s="12" customFormat="1" x14ac:dyDescent="0.25">
      <c r="A89" s="215" t="s">
        <v>809</v>
      </c>
      <c r="B89" s="64">
        <v>57.14</v>
      </c>
      <c r="C89" s="64">
        <v>39.200000000000003</v>
      </c>
      <c r="D89" s="64">
        <v>96.34</v>
      </c>
      <c r="E89" s="64">
        <v>1.53</v>
      </c>
      <c r="F89" s="64">
        <v>0.17</v>
      </c>
      <c r="G89" s="64">
        <v>228.56</v>
      </c>
      <c r="H89" s="64">
        <v>55.74</v>
      </c>
      <c r="I89" s="64">
        <v>1.48</v>
      </c>
      <c r="J89" s="64">
        <v>0.14000000000000001</v>
      </c>
      <c r="K89" s="64">
        <v>291.05</v>
      </c>
      <c r="L89" s="64">
        <v>20.87</v>
      </c>
      <c r="M89" s="64">
        <v>56.18</v>
      </c>
      <c r="N89" s="64">
        <v>69.5</v>
      </c>
      <c r="O89" s="64">
        <v>0</v>
      </c>
      <c r="P89" s="64">
        <v>1.78</v>
      </c>
      <c r="Q89" s="64">
        <v>7.36</v>
      </c>
      <c r="R89" s="198"/>
      <c r="S89" s="198"/>
      <c r="T89" s="198"/>
      <c r="U89" s="198"/>
    </row>
    <row r="90" spans="1:26" s="12" customFormat="1" x14ac:dyDescent="0.25">
      <c r="A90" s="215" t="s">
        <v>810</v>
      </c>
      <c r="B90" s="64">
        <v>98.16</v>
      </c>
      <c r="C90" s="64">
        <v>67.88</v>
      </c>
      <c r="D90" s="64">
        <v>166.04</v>
      </c>
      <c r="E90" s="64">
        <v>2.46</v>
      </c>
      <c r="F90" s="64">
        <v>0.43</v>
      </c>
      <c r="G90" s="64">
        <v>228.56</v>
      </c>
      <c r="H90" s="64">
        <v>55.74</v>
      </c>
      <c r="I90" s="64">
        <v>1.45</v>
      </c>
      <c r="J90" s="64">
        <v>0.1</v>
      </c>
      <c r="K90" s="64">
        <v>296.83999999999997</v>
      </c>
      <c r="L90" s="64">
        <v>20.66</v>
      </c>
      <c r="M90" s="64">
        <v>63.87</v>
      </c>
      <c r="N90" s="64">
        <v>70.7</v>
      </c>
      <c r="O90" s="64">
        <v>0</v>
      </c>
      <c r="P90" s="64">
        <v>2.4500000000000002</v>
      </c>
      <c r="Q90" s="64">
        <v>2.99</v>
      </c>
      <c r="R90" s="198"/>
      <c r="S90" s="198"/>
      <c r="T90" s="198"/>
      <c r="U90" s="198"/>
    </row>
    <row r="91" spans="1:26" s="12" customFormat="1" x14ac:dyDescent="0.25">
      <c r="A91" s="215" t="s">
        <v>811</v>
      </c>
      <c r="B91" s="64">
        <v>70.459999999999994</v>
      </c>
      <c r="C91" s="64">
        <v>36.47</v>
      </c>
      <c r="D91" s="64">
        <v>106.93</v>
      </c>
      <c r="E91" s="64">
        <v>2.39</v>
      </c>
      <c r="F91" s="64">
        <v>0.7</v>
      </c>
      <c r="G91" s="64">
        <v>228.56</v>
      </c>
      <c r="H91" s="64">
        <v>55.74</v>
      </c>
      <c r="I91" s="64">
        <v>1.5</v>
      </c>
      <c r="J91" s="64">
        <v>0.18</v>
      </c>
      <c r="K91" s="64">
        <v>332.09</v>
      </c>
      <c r="L91" s="64">
        <v>20.399999999999999</v>
      </c>
      <c r="M91" s="64">
        <v>65.040000000000006</v>
      </c>
      <c r="N91" s="64">
        <v>62.8</v>
      </c>
      <c r="O91" s="64">
        <v>0</v>
      </c>
      <c r="P91" s="64">
        <v>2.06</v>
      </c>
      <c r="Q91" s="64">
        <v>4.68</v>
      </c>
      <c r="R91" s="198"/>
      <c r="S91" s="198"/>
      <c r="T91" s="198"/>
      <c r="U91" s="198"/>
    </row>
    <row r="92" spans="1:26" s="12" customFormat="1" x14ac:dyDescent="0.25">
      <c r="A92" s="215" t="s">
        <v>812</v>
      </c>
      <c r="B92" s="64">
        <v>61.98</v>
      </c>
      <c r="C92" s="64">
        <v>31.24</v>
      </c>
      <c r="D92" s="64">
        <v>93.22</v>
      </c>
      <c r="E92" s="64">
        <v>1.79</v>
      </c>
      <c r="F92" s="64">
        <v>0.48</v>
      </c>
      <c r="G92" s="64">
        <v>228.56</v>
      </c>
      <c r="H92" s="64">
        <v>55.74</v>
      </c>
      <c r="I92" s="64">
        <v>1.44</v>
      </c>
      <c r="J92" s="64">
        <v>0.17</v>
      </c>
      <c r="K92" s="64">
        <v>316.49</v>
      </c>
      <c r="L92" s="64">
        <v>20.16</v>
      </c>
      <c r="M92" s="64">
        <v>64.06</v>
      </c>
      <c r="N92" s="64">
        <v>62.1</v>
      </c>
      <c r="O92" s="64">
        <v>0</v>
      </c>
      <c r="P92" s="64">
        <v>1.93</v>
      </c>
      <c r="Q92" s="64">
        <v>8.24</v>
      </c>
      <c r="R92" s="198"/>
      <c r="S92" s="198"/>
      <c r="T92" s="198"/>
      <c r="U92" s="198"/>
    </row>
    <row r="93" spans="1:26" s="12" customFormat="1" x14ac:dyDescent="0.25">
      <c r="A93" s="215" t="s">
        <v>813</v>
      </c>
      <c r="B93" s="64">
        <v>76.650000000000006</v>
      </c>
      <c r="C93" s="64">
        <v>42.96</v>
      </c>
      <c r="D93" s="64">
        <v>119.61</v>
      </c>
      <c r="E93" s="64">
        <v>2.08</v>
      </c>
      <c r="F93" s="64">
        <v>0.19</v>
      </c>
      <c r="G93" s="64">
        <v>204.55</v>
      </c>
      <c r="H93" s="64">
        <v>64.569999999999993</v>
      </c>
      <c r="I93" s="64">
        <v>1.51</v>
      </c>
      <c r="J93" s="64">
        <v>0.21</v>
      </c>
      <c r="K93" s="64">
        <v>327.69</v>
      </c>
      <c r="L93" s="64">
        <v>20.059999999999999</v>
      </c>
      <c r="M93" s="64">
        <v>68.38</v>
      </c>
      <c r="N93" s="64">
        <v>62.6</v>
      </c>
      <c r="O93" s="64">
        <v>0</v>
      </c>
      <c r="P93" s="64">
        <v>2.15</v>
      </c>
      <c r="Q93" s="64">
        <v>5.41</v>
      </c>
      <c r="R93" s="198"/>
      <c r="S93" s="198"/>
      <c r="T93" s="198"/>
      <c r="U93" s="198"/>
    </row>
    <row r="94" spans="1:26" s="12" customFormat="1" x14ac:dyDescent="0.25">
      <c r="A94" s="215" t="s">
        <v>814</v>
      </c>
      <c r="B94" s="64">
        <v>80.16</v>
      </c>
      <c r="C94" s="64">
        <v>40.6</v>
      </c>
      <c r="D94" s="64">
        <v>120.76</v>
      </c>
      <c r="E94" s="64">
        <v>1.96</v>
      </c>
      <c r="F94" s="64">
        <v>0.25</v>
      </c>
      <c r="G94" s="64">
        <v>204.55</v>
      </c>
      <c r="H94" s="64">
        <v>64.569999999999993</v>
      </c>
      <c r="I94" s="64">
        <v>1.51</v>
      </c>
      <c r="J94" s="64">
        <v>0.16</v>
      </c>
      <c r="K94" s="64">
        <v>325.77999999999997</v>
      </c>
      <c r="L94" s="64">
        <v>19.88</v>
      </c>
      <c r="M94" s="64">
        <v>67.55</v>
      </c>
      <c r="N94" s="64">
        <v>62.7</v>
      </c>
      <c r="O94" s="64">
        <v>0</v>
      </c>
      <c r="P94" s="64">
        <v>2.13</v>
      </c>
      <c r="Q94" s="64">
        <v>7.07</v>
      </c>
      <c r="R94" s="198"/>
      <c r="S94" s="198"/>
      <c r="T94" s="198"/>
      <c r="U94" s="198"/>
    </row>
    <row r="95" spans="1:26" s="12" customFormat="1" x14ac:dyDescent="0.25">
      <c r="A95" s="215" t="s">
        <v>815</v>
      </c>
      <c r="B95" s="64">
        <v>70.03</v>
      </c>
      <c r="C95" s="64">
        <v>50.54</v>
      </c>
      <c r="D95" s="64">
        <v>120.57</v>
      </c>
      <c r="E95" s="64">
        <v>1.98</v>
      </c>
      <c r="F95" s="64">
        <v>0.2</v>
      </c>
      <c r="G95" s="64">
        <v>204.55</v>
      </c>
      <c r="H95" s="64">
        <v>64.569999999999993</v>
      </c>
      <c r="I95" s="64">
        <v>1.54</v>
      </c>
      <c r="J95" s="64">
        <v>0.1</v>
      </c>
      <c r="K95" s="64">
        <v>264.55</v>
      </c>
      <c r="L95" s="64">
        <v>20.04</v>
      </c>
      <c r="M95" s="64">
        <v>59.11</v>
      </c>
      <c r="N95" s="64">
        <v>63.1</v>
      </c>
      <c r="O95" s="64">
        <v>0</v>
      </c>
      <c r="P95" s="64">
        <v>2.08</v>
      </c>
      <c r="Q95" s="64">
        <v>8.15</v>
      </c>
      <c r="R95" s="198"/>
      <c r="S95" s="198"/>
      <c r="T95" s="198"/>
      <c r="U95" s="198"/>
    </row>
    <row r="96" spans="1:26" s="12" customFormat="1" x14ac:dyDescent="0.25">
      <c r="A96" s="215" t="s">
        <v>816</v>
      </c>
      <c r="B96" s="64">
        <v>95.58</v>
      </c>
      <c r="C96" s="64">
        <v>48.8</v>
      </c>
      <c r="D96" s="64">
        <v>144.38</v>
      </c>
      <c r="E96" s="64">
        <v>2.41</v>
      </c>
      <c r="F96" s="64">
        <v>0.34</v>
      </c>
      <c r="G96" s="64">
        <v>204.55</v>
      </c>
      <c r="H96" s="64">
        <v>64.569999999999993</v>
      </c>
      <c r="I96" s="64">
        <v>1.49</v>
      </c>
      <c r="J96" s="64">
        <v>0.15</v>
      </c>
      <c r="K96" s="64">
        <v>315.33999999999997</v>
      </c>
      <c r="L96" s="64">
        <v>20.05</v>
      </c>
      <c r="M96" s="64">
        <v>65.59</v>
      </c>
      <c r="N96" s="64">
        <v>64.900000000000006</v>
      </c>
      <c r="O96" s="64">
        <v>0</v>
      </c>
      <c r="P96" s="64">
        <v>2.3199999999999998</v>
      </c>
      <c r="Q96" s="64">
        <v>6.34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817</v>
      </c>
      <c r="B97" s="64">
        <v>81.510000000000005</v>
      </c>
      <c r="C97" s="64">
        <v>34.69</v>
      </c>
      <c r="D97" s="64">
        <v>116.2</v>
      </c>
      <c r="E97" s="64">
        <v>2.4300000000000002</v>
      </c>
      <c r="F97" s="64">
        <v>0.28999999999999998</v>
      </c>
      <c r="G97" s="64">
        <v>188.98</v>
      </c>
      <c r="H97" s="64">
        <v>64.900000000000006</v>
      </c>
      <c r="I97" s="64">
        <v>1.46</v>
      </c>
      <c r="J97" s="64">
        <v>0.11</v>
      </c>
      <c r="K97" s="64">
        <v>281.31</v>
      </c>
      <c r="L97" s="64">
        <v>19.670000000000002</v>
      </c>
      <c r="M97" s="64">
        <v>64.430000000000007</v>
      </c>
      <c r="N97" s="64">
        <v>69.5</v>
      </c>
      <c r="O97" s="64">
        <v>0</v>
      </c>
      <c r="P97" s="64">
        <v>2.15</v>
      </c>
      <c r="Q97" s="64">
        <v>8.5399999999999991</v>
      </c>
      <c r="R97" s="198"/>
      <c r="S97" s="198"/>
      <c r="T97" s="198"/>
      <c r="U97" s="198"/>
    </row>
    <row r="98" spans="1:33" s="12" customFormat="1" x14ac:dyDescent="0.25">
      <c r="A98" s="215" t="s">
        <v>818</v>
      </c>
      <c r="B98" s="64">
        <v>79.64</v>
      </c>
      <c r="C98" s="64">
        <v>38.82</v>
      </c>
      <c r="D98" s="64">
        <v>118.46</v>
      </c>
      <c r="E98" s="64">
        <v>2.17</v>
      </c>
      <c r="F98" s="64">
        <v>0.27</v>
      </c>
      <c r="G98" s="64">
        <v>188.98</v>
      </c>
      <c r="H98" s="64">
        <v>64.900000000000006</v>
      </c>
      <c r="I98" s="64">
        <v>1.39</v>
      </c>
      <c r="J98" s="64">
        <v>0.12</v>
      </c>
      <c r="K98" s="64">
        <v>216.87</v>
      </c>
      <c r="L98" s="64">
        <v>19.940000000000001</v>
      </c>
      <c r="M98" s="64">
        <v>62.19</v>
      </c>
      <c r="N98" s="64">
        <v>61.6</v>
      </c>
      <c r="O98" s="64">
        <v>0</v>
      </c>
      <c r="P98" s="64">
        <v>2.12</v>
      </c>
      <c r="Q98" s="64">
        <v>9.84</v>
      </c>
      <c r="R98" s="198"/>
      <c r="S98" s="198"/>
      <c r="T98" s="198"/>
      <c r="U98" s="198"/>
    </row>
    <row r="99" spans="1:33" s="12" customFormat="1" x14ac:dyDescent="0.25">
      <c r="A99" s="215" t="s">
        <v>819</v>
      </c>
      <c r="B99" s="64">
        <v>80.099999999999994</v>
      </c>
      <c r="C99" s="64">
        <v>34.4</v>
      </c>
      <c r="D99" s="64">
        <v>114.5</v>
      </c>
      <c r="E99" s="64">
        <v>2.0299999999999998</v>
      </c>
      <c r="F99" s="64">
        <v>0.7</v>
      </c>
      <c r="G99" s="64">
        <v>188.98</v>
      </c>
      <c r="H99" s="64">
        <v>64.900000000000006</v>
      </c>
      <c r="I99" s="64">
        <v>1.43</v>
      </c>
      <c r="J99" s="64">
        <v>0.14000000000000001</v>
      </c>
      <c r="K99" s="64">
        <v>259.16000000000003</v>
      </c>
      <c r="L99" s="64">
        <v>20.170000000000002</v>
      </c>
      <c r="M99" s="64">
        <v>60.52</v>
      </c>
      <c r="N99" s="64">
        <v>61.8</v>
      </c>
      <c r="O99" s="64">
        <v>0</v>
      </c>
      <c r="P99" s="64">
        <v>2.15</v>
      </c>
      <c r="Q99" s="64">
        <v>10.32</v>
      </c>
      <c r="R99" s="198"/>
      <c r="S99" s="198"/>
      <c r="T99" s="198"/>
      <c r="U99" s="198"/>
    </row>
    <row r="100" spans="1:33" s="12" customFormat="1" x14ac:dyDescent="0.25">
      <c r="A100" s="215" t="s">
        <v>820</v>
      </c>
      <c r="B100" s="64">
        <v>81.040000000000006</v>
      </c>
      <c r="C100" s="64">
        <v>37.130000000000003</v>
      </c>
      <c r="D100" s="64">
        <v>118.17</v>
      </c>
      <c r="E100" s="64">
        <v>1.89</v>
      </c>
      <c r="F100" s="64">
        <v>0.13</v>
      </c>
      <c r="G100" s="64">
        <v>188.98</v>
      </c>
      <c r="H100" s="64">
        <v>64.900000000000006</v>
      </c>
      <c r="I100" s="64">
        <v>1.48</v>
      </c>
      <c r="J100" s="64">
        <v>7.0000000000000007E-2</v>
      </c>
      <c r="K100" s="64">
        <v>294.41000000000003</v>
      </c>
      <c r="L100" s="64">
        <v>19.43</v>
      </c>
      <c r="M100" s="64">
        <v>68.47</v>
      </c>
      <c r="N100" s="64">
        <v>64.099999999999994</v>
      </c>
      <c r="O100" s="64">
        <v>0</v>
      </c>
      <c r="P100" s="64">
        <v>2.16</v>
      </c>
      <c r="Q100" s="64">
        <v>10.23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821</v>
      </c>
      <c r="B101" s="64">
        <v>82.98</v>
      </c>
      <c r="C101" s="64">
        <v>35.01</v>
      </c>
      <c r="D101" s="64">
        <v>118</v>
      </c>
      <c r="E101" s="64">
        <v>1.96</v>
      </c>
      <c r="F101" s="64">
        <v>0.41</v>
      </c>
      <c r="G101" s="64">
        <v>159.66999999999999</v>
      </c>
      <c r="H101" s="64">
        <v>66.989999999999995</v>
      </c>
      <c r="I101" s="64">
        <v>1.57</v>
      </c>
      <c r="J101" s="64">
        <v>0.13</v>
      </c>
      <c r="K101" s="64">
        <v>300.29000000000002</v>
      </c>
      <c r="L101" s="64">
        <v>18.899999999999999</v>
      </c>
      <c r="M101" s="64">
        <v>74.97</v>
      </c>
      <c r="N101" s="64">
        <v>68.5</v>
      </c>
      <c r="O101" s="64">
        <v>0</v>
      </c>
      <c r="P101" s="64">
        <v>2.15</v>
      </c>
      <c r="Q101" s="64">
        <v>10.220000000000001</v>
      </c>
      <c r="R101" s="198"/>
      <c r="S101" s="198"/>
      <c r="T101" s="198"/>
      <c r="U101" s="198"/>
    </row>
    <row r="102" spans="1:33" s="12" customFormat="1" x14ac:dyDescent="0.25">
      <c r="A102" s="215" t="s">
        <v>822</v>
      </c>
      <c r="B102" s="64">
        <v>83.34</v>
      </c>
      <c r="C102" s="64">
        <v>34.64</v>
      </c>
      <c r="D102" s="64">
        <v>117.99</v>
      </c>
      <c r="E102" s="64">
        <v>2.02</v>
      </c>
      <c r="F102" s="64">
        <v>0.25</v>
      </c>
      <c r="G102" s="64">
        <v>159.66999999999999</v>
      </c>
      <c r="H102" s="64">
        <v>66.989999999999995</v>
      </c>
      <c r="I102" s="64">
        <v>1.44</v>
      </c>
      <c r="J102" s="64">
        <v>0.08</v>
      </c>
      <c r="K102" s="64">
        <v>340.29</v>
      </c>
      <c r="L102" s="64">
        <v>18.43</v>
      </c>
      <c r="M102" s="64">
        <v>76.650000000000006</v>
      </c>
      <c r="N102" s="64">
        <v>69.7</v>
      </c>
      <c r="O102" s="64">
        <v>0</v>
      </c>
      <c r="P102" s="64">
        <v>2.16</v>
      </c>
      <c r="Q102" s="64">
        <v>10.41</v>
      </c>
      <c r="R102" s="198"/>
      <c r="S102" s="198"/>
      <c r="T102" s="198"/>
      <c r="U102" s="198"/>
    </row>
    <row r="103" spans="1:33" s="12" customFormat="1" x14ac:dyDescent="0.25">
      <c r="A103" s="215" t="s">
        <v>823</v>
      </c>
      <c r="B103" s="64">
        <v>84.81</v>
      </c>
      <c r="C103" s="64">
        <v>32.659999999999997</v>
      </c>
      <c r="D103" s="64">
        <v>117.47</v>
      </c>
      <c r="E103" s="64">
        <v>2.39</v>
      </c>
      <c r="F103" s="64">
        <v>0.67</v>
      </c>
      <c r="G103" s="64">
        <v>159.66999999999999</v>
      </c>
      <c r="H103" s="64">
        <v>66.989999999999995</v>
      </c>
      <c r="I103" s="64">
        <v>1.48</v>
      </c>
      <c r="J103" s="64">
        <v>0.13</v>
      </c>
      <c r="K103" s="64">
        <v>329.75</v>
      </c>
      <c r="L103" s="64">
        <v>18.47</v>
      </c>
      <c r="M103" s="64">
        <v>77.52</v>
      </c>
      <c r="N103" s="64">
        <v>67.8</v>
      </c>
      <c r="O103" s="64">
        <v>0</v>
      </c>
      <c r="P103" s="64">
        <v>2.16</v>
      </c>
      <c r="Q103" s="64">
        <v>10.44</v>
      </c>
      <c r="R103" s="198"/>
      <c r="S103" s="198"/>
      <c r="T103" s="198"/>
      <c r="U103" s="198"/>
    </row>
    <row r="104" spans="1:33" s="12" customFormat="1" x14ac:dyDescent="0.25">
      <c r="A104" s="215" t="s">
        <v>824</v>
      </c>
      <c r="B104" s="64">
        <v>88.51</v>
      </c>
      <c r="C104" s="64">
        <v>37.44</v>
      </c>
      <c r="D104" s="64">
        <v>125.95</v>
      </c>
      <c r="E104" s="64">
        <v>1.28</v>
      </c>
      <c r="F104" s="64">
        <v>0.28000000000000003</v>
      </c>
      <c r="G104" s="64">
        <v>159.66999999999999</v>
      </c>
      <c r="H104" s="64">
        <v>66.989999999999995</v>
      </c>
      <c r="I104" s="64">
        <v>1.49</v>
      </c>
      <c r="J104" s="64">
        <v>0.08</v>
      </c>
      <c r="K104" s="64">
        <v>273.26</v>
      </c>
      <c r="L104" s="64">
        <v>18.37</v>
      </c>
      <c r="M104" s="64">
        <v>79.47</v>
      </c>
      <c r="N104" s="64">
        <v>66.2</v>
      </c>
      <c r="O104" s="64">
        <v>0</v>
      </c>
      <c r="P104" s="64">
        <v>2.17</v>
      </c>
      <c r="Q104" s="64">
        <v>10.58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2.15</v>
      </c>
      <c r="D106" s="67">
        <f t="shared" ref="D106:Q106" si="0">MIN(D9:D104)</f>
        <v>4.09</v>
      </c>
      <c r="E106" s="67">
        <f t="shared" si="0"/>
        <v>0.39</v>
      </c>
      <c r="F106" s="67">
        <f t="shared" si="0"/>
        <v>0</v>
      </c>
      <c r="G106" s="67">
        <f t="shared" si="0"/>
        <v>24.52</v>
      </c>
      <c r="H106" s="67">
        <f t="shared" si="0"/>
        <v>32.81</v>
      </c>
      <c r="I106" s="67">
        <f t="shared" si="0"/>
        <v>1.39</v>
      </c>
      <c r="J106" s="67">
        <f t="shared" si="0"/>
        <v>0.01</v>
      </c>
      <c r="K106" s="67">
        <f t="shared" si="0"/>
        <v>4.1100000000000003</v>
      </c>
      <c r="L106" s="67">
        <f t="shared" si="0"/>
        <v>17.37</v>
      </c>
      <c r="M106" s="67">
        <f t="shared" si="0"/>
        <v>29.46</v>
      </c>
      <c r="N106" s="67">
        <f t="shared" si="0"/>
        <v>37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196.29</v>
      </c>
      <c r="C107" s="66">
        <f t="shared" ref="C107:Q107" si="1">MAX(C9:C104)</f>
        <v>98.58</v>
      </c>
      <c r="D107" s="66">
        <f t="shared" si="1"/>
        <v>213.27</v>
      </c>
      <c r="E107" s="66">
        <f t="shared" si="1"/>
        <v>7.53</v>
      </c>
      <c r="F107" s="66">
        <f t="shared" si="1"/>
        <v>34.770000000000003</v>
      </c>
      <c r="G107" s="66">
        <f t="shared" si="1"/>
        <v>228.56</v>
      </c>
      <c r="H107" s="66">
        <f t="shared" si="1"/>
        <v>81.790000000000006</v>
      </c>
      <c r="I107" s="66">
        <f t="shared" si="1"/>
        <v>1.6</v>
      </c>
      <c r="J107" s="66">
        <f t="shared" si="1"/>
        <v>1.7</v>
      </c>
      <c r="K107" s="66">
        <f t="shared" si="1"/>
        <v>350.76</v>
      </c>
      <c r="L107" s="66">
        <f t="shared" si="1"/>
        <v>28.48</v>
      </c>
      <c r="M107" s="66">
        <f t="shared" si="1"/>
        <v>80.98</v>
      </c>
      <c r="N107" s="66">
        <f t="shared" si="1"/>
        <v>830.3</v>
      </c>
      <c r="O107" s="66">
        <f t="shared" si="1"/>
        <v>0</v>
      </c>
      <c r="P107" s="66">
        <f t="shared" si="1"/>
        <v>4.21</v>
      </c>
      <c r="Q107" s="66">
        <f t="shared" si="1"/>
        <v>10.58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32.371458333333344</v>
      </c>
      <c r="C108" s="67">
        <f t="shared" ref="C108:Q108" si="2">AVERAGE(C9:C104)</f>
        <v>31.673749999999998</v>
      </c>
      <c r="D108" s="67">
        <f t="shared" si="2"/>
        <v>58.996250000000003</v>
      </c>
      <c r="E108" s="67">
        <f t="shared" si="2"/>
        <v>2.3262499999999999</v>
      </c>
      <c r="F108" s="67">
        <f t="shared" si="2"/>
        <v>3.7883157894736827</v>
      </c>
      <c r="G108" s="67">
        <f t="shared" si="2"/>
        <v>122.91249999999997</v>
      </c>
      <c r="H108" s="67">
        <f t="shared" si="2"/>
        <v>54.10499999999999</v>
      </c>
      <c r="I108" s="67">
        <f t="shared" si="2"/>
        <v>1.495104166666666</v>
      </c>
      <c r="J108" s="67">
        <f t="shared" si="2"/>
        <v>0.31864583333333335</v>
      </c>
      <c r="K108" s="67">
        <f t="shared" si="2"/>
        <v>201.28041666666664</v>
      </c>
      <c r="L108" s="67">
        <f t="shared" si="2"/>
        <v>22.154583333333335</v>
      </c>
      <c r="M108" s="67">
        <f t="shared" si="2"/>
        <v>57.797187500000007</v>
      </c>
      <c r="N108" s="67">
        <f t="shared" si="2"/>
        <v>231.27812499999985</v>
      </c>
      <c r="O108" s="67">
        <f t="shared" si="2"/>
        <v>0</v>
      </c>
      <c r="P108" s="67">
        <f t="shared" si="2"/>
        <v>1.2465625</v>
      </c>
      <c r="Q108" s="67">
        <f t="shared" si="2"/>
        <v>5.2484374999999979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40.394082734432033</v>
      </c>
      <c r="C109" s="67">
        <f t="shared" ref="C109:Q109" si="3">STDEV(C9:C104)</f>
        <v>18.618421565185045</v>
      </c>
      <c r="D109" s="67">
        <f t="shared" si="3"/>
        <v>51.804742035535902</v>
      </c>
      <c r="E109" s="67">
        <f t="shared" si="3"/>
        <v>1.5581009020768302</v>
      </c>
      <c r="F109" s="67">
        <f t="shared" si="3"/>
        <v>6.9784861878264293</v>
      </c>
      <c r="G109" s="67">
        <f t="shared" si="3"/>
        <v>60.498345745108935</v>
      </c>
      <c r="H109" s="67">
        <f t="shared" si="3"/>
        <v>13.597071820993774</v>
      </c>
      <c r="I109" s="67">
        <f t="shared" si="3"/>
        <v>4.5974702235186238E-2</v>
      </c>
      <c r="J109" s="67">
        <f t="shared" si="3"/>
        <v>0.36247575539008675</v>
      </c>
      <c r="K109" s="67">
        <f t="shared" si="3"/>
        <v>115.33604810033816</v>
      </c>
      <c r="L109" s="67">
        <f t="shared" si="3"/>
        <v>3.817673283329202</v>
      </c>
      <c r="M109" s="67">
        <f t="shared" si="3"/>
        <v>16.879768126564343</v>
      </c>
      <c r="N109" s="67">
        <f t="shared" si="3"/>
        <v>260.9341631838335</v>
      </c>
      <c r="O109" s="67">
        <f t="shared" si="3"/>
        <v>0</v>
      </c>
      <c r="P109" s="67">
        <f t="shared" si="3"/>
        <v>0.97518994438600515</v>
      </c>
      <c r="Q109" s="67">
        <f t="shared" si="3"/>
        <v>2.013771182383941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>COUNT(F9:F104)+1</f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825</v>
      </c>
      <c r="B9" s="64">
        <v>93.25</v>
      </c>
      <c r="C9" s="64">
        <v>38.06</v>
      </c>
      <c r="D9" s="64">
        <v>131.31</v>
      </c>
      <c r="E9" s="64">
        <v>1.92</v>
      </c>
      <c r="F9" s="64">
        <v>0.11</v>
      </c>
      <c r="G9" s="64">
        <v>200.12</v>
      </c>
      <c r="H9" s="64">
        <v>65.52</v>
      </c>
      <c r="I9" s="64">
        <v>1.5</v>
      </c>
      <c r="J9" s="64">
        <v>0.12</v>
      </c>
      <c r="K9" s="64">
        <v>275.05</v>
      </c>
      <c r="L9" s="64">
        <v>18.170000000000002</v>
      </c>
      <c r="M9" s="64">
        <v>81.31</v>
      </c>
      <c r="N9" s="64">
        <v>68.400000000000006</v>
      </c>
      <c r="O9" s="64">
        <v>0</v>
      </c>
      <c r="P9" s="64">
        <v>2.17</v>
      </c>
      <c r="Q9" s="64">
        <v>10.38</v>
      </c>
      <c r="R9" s="198"/>
      <c r="S9" s="198"/>
      <c r="T9" s="198"/>
      <c r="U9" s="198"/>
    </row>
    <row r="10" spans="1:21" s="12" customFormat="1" x14ac:dyDescent="0.25">
      <c r="A10" s="215" t="s">
        <v>826</v>
      </c>
      <c r="B10" s="64">
        <v>91.55</v>
      </c>
      <c r="C10" s="64">
        <v>35.159999999999997</v>
      </c>
      <c r="D10" s="64">
        <v>126.71</v>
      </c>
      <c r="E10" s="64">
        <v>2.17</v>
      </c>
      <c r="F10" s="64">
        <v>0.12</v>
      </c>
      <c r="G10" s="64">
        <v>200.12</v>
      </c>
      <c r="H10" s="64">
        <v>65.52</v>
      </c>
      <c r="I10" s="64">
        <v>1.49</v>
      </c>
      <c r="J10" s="64">
        <v>0.08</v>
      </c>
      <c r="K10" s="64">
        <v>249.55</v>
      </c>
      <c r="L10" s="64">
        <v>18.27</v>
      </c>
      <c r="M10" s="64">
        <v>81.34</v>
      </c>
      <c r="N10" s="64">
        <v>70.599999999999994</v>
      </c>
      <c r="O10" s="64">
        <v>0</v>
      </c>
      <c r="P10" s="64">
        <v>2.16</v>
      </c>
      <c r="Q10" s="64">
        <v>10.97</v>
      </c>
      <c r="R10" s="198"/>
      <c r="S10" s="198"/>
      <c r="T10" s="198"/>
      <c r="U10" s="198"/>
    </row>
    <row r="11" spans="1:21" s="12" customFormat="1" x14ac:dyDescent="0.25">
      <c r="A11" s="215" t="s">
        <v>827</v>
      </c>
      <c r="B11" s="64">
        <v>92.31</v>
      </c>
      <c r="C11" s="64">
        <v>33.83</v>
      </c>
      <c r="D11" s="64">
        <v>126.14</v>
      </c>
      <c r="E11" s="64">
        <v>2.4</v>
      </c>
      <c r="F11" s="64">
        <v>0.13</v>
      </c>
      <c r="G11" s="64">
        <v>200.12</v>
      </c>
      <c r="H11" s="64">
        <v>65.52</v>
      </c>
      <c r="I11" s="64">
        <v>1.51</v>
      </c>
      <c r="J11" s="64">
        <v>0.14000000000000001</v>
      </c>
      <c r="K11" s="64">
        <v>309.08999999999997</v>
      </c>
      <c r="L11" s="64">
        <v>17.850000000000001</v>
      </c>
      <c r="M11" s="64">
        <v>85.68</v>
      </c>
      <c r="N11" s="64">
        <v>71.7</v>
      </c>
      <c r="O11" s="64">
        <v>0</v>
      </c>
      <c r="P11" s="64">
        <v>2.14</v>
      </c>
      <c r="Q11" s="64">
        <v>11.1</v>
      </c>
      <c r="R11" s="198"/>
      <c r="S11" s="198"/>
      <c r="T11" s="198"/>
      <c r="U11" s="198"/>
    </row>
    <row r="12" spans="1:21" s="12" customFormat="1" x14ac:dyDescent="0.25">
      <c r="A12" s="215" t="s">
        <v>828</v>
      </c>
      <c r="B12" s="64">
        <v>93.04</v>
      </c>
      <c r="C12" s="64">
        <v>33.68</v>
      </c>
      <c r="D12" s="64">
        <v>126.72</v>
      </c>
      <c r="E12" s="64">
        <v>2.29</v>
      </c>
      <c r="F12" s="64">
        <v>0.21</v>
      </c>
      <c r="G12" s="64">
        <v>200.12</v>
      </c>
      <c r="H12" s="64">
        <v>65.52</v>
      </c>
      <c r="I12" s="64">
        <v>1.47</v>
      </c>
      <c r="J12" s="64">
        <v>0.05</v>
      </c>
      <c r="K12" s="64">
        <v>87.04</v>
      </c>
      <c r="L12" s="64">
        <v>17.63</v>
      </c>
      <c r="M12" s="64">
        <v>88.31</v>
      </c>
      <c r="N12" s="64">
        <v>61.5</v>
      </c>
      <c r="O12" s="64">
        <v>0</v>
      </c>
      <c r="P12" s="64">
        <v>2.13</v>
      </c>
      <c r="Q12" s="64">
        <v>11.13</v>
      </c>
      <c r="R12" s="198"/>
      <c r="S12" s="198"/>
      <c r="T12" s="198"/>
      <c r="U12" s="198"/>
    </row>
    <row r="13" spans="1:21" s="12" customFormat="1" x14ac:dyDescent="0.25">
      <c r="A13" s="215" t="s">
        <v>829</v>
      </c>
      <c r="B13" s="64">
        <v>93.74</v>
      </c>
      <c r="C13" s="64">
        <v>33.15</v>
      </c>
      <c r="D13" s="64">
        <v>126.88</v>
      </c>
      <c r="E13" s="64">
        <v>2.39</v>
      </c>
      <c r="F13" s="64">
        <v>0.2</v>
      </c>
      <c r="G13" s="64">
        <v>160.5</v>
      </c>
      <c r="H13" s="64">
        <v>65.67</v>
      </c>
      <c r="I13" s="64">
        <v>1.58</v>
      </c>
      <c r="J13" s="64">
        <v>0.01</v>
      </c>
      <c r="K13" s="64">
        <v>274.99</v>
      </c>
      <c r="L13" s="64">
        <v>18.149999999999999</v>
      </c>
      <c r="M13" s="64">
        <v>86.12</v>
      </c>
      <c r="N13" s="64">
        <v>59.6</v>
      </c>
      <c r="O13" s="64">
        <v>0</v>
      </c>
      <c r="P13" s="64">
        <v>1.9</v>
      </c>
      <c r="Q13" s="64">
        <v>11.09</v>
      </c>
      <c r="R13" s="198"/>
      <c r="S13" s="198"/>
      <c r="T13" s="198"/>
      <c r="U13" s="198"/>
    </row>
    <row r="14" spans="1:21" s="12" customFormat="1" x14ac:dyDescent="0.25">
      <c r="A14" s="215" t="s">
        <v>830</v>
      </c>
      <c r="B14" s="64">
        <v>92.77</v>
      </c>
      <c r="C14" s="64">
        <v>29.36</v>
      </c>
      <c r="D14" s="64">
        <v>122.13</v>
      </c>
      <c r="E14" s="64">
        <v>2.12</v>
      </c>
      <c r="F14" s="64">
        <v>0.51</v>
      </c>
      <c r="G14" s="64">
        <v>160.5</v>
      </c>
      <c r="H14" s="64">
        <v>65.67</v>
      </c>
      <c r="I14" s="64">
        <v>1.5</v>
      </c>
      <c r="J14" s="64">
        <v>0.03</v>
      </c>
      <c r="K14" s="64">
        <v>198.85</v>
      </c>
      <c r="L14" s="64">
        <v>18.21</v>
      </c>
      <c r="M14" s="64">
        <v>85.81</v>
      </c>
      <c r="N14" s="64">
        <v>59.1</v>
      </c>
      <c r="O14" s="64">
        <v>0</v>
      </c>
      <c r="P14" s="64">
        <v>1.97</v>
      </c>
      <c r="Q14" s="64">
        <v>11.2</v>
      </c>
      <c r="R14" s="198"/>
      <c r="S14" s="198"/>
      <c r="T14" s="198"/>
      <c r="U14" s="198"/>
    </row>
    <row r="15" spans="1:21" s="12" customFormat="1" x14ac:dyDescent="0.25">
      <c r="A15" s="215" t="s">
        <v>831</v>
      </c>
      <c r="B15" s="64">
        <v>90.3</v>
      </c>
      <c r="C15" s="64">
        <v>31.49</v>
      </c>
      <c r="D15" s="64">
        <v>121.79</v>
      </c>
      <c r="E15" s="64">
        <v>1.91</v>
      </c>
      <c r="F15" s="64">
        <v>0.05</v>
      </c>
      <c r="G15" s="64">
        <v>160.5</v>
      </c>
      <c r="H15" s="64">
        <v>65.67</v>
      </c>
      <c r="I15" s="64">
        <v>1.49</v>
      </c>
      <c r="J15" s="64">
        <v>0.06</v>
      </c>
      <c r="K15" s="64">
        <v>88.91</v>
      </c>
      <c r="L15" s="64">
        <v>18.170000000000002</v>
      </c>
      <c r="M15" s="64">
        <v>86.72</v>
      </c>
      <c r="N15" s="64">
        <v>58.6</v>
      </c>
      <c r="O15" s="64">
        <v>0</v>
      </c>
      <c r="P15" s="64">
        <v>1.94</v>
      </c>
      <c r="Q15" s="64">
        <v>11.04</v>
      </c>
      <c r="R15" s="198"/>
      <c r="S15" s="198"/>
      <c r="T15" s="198"/>
      <c r="U15" s="198"/>
    </row>
    <row r="16" spans="1:21" s="12" customFormat="1" x14ac:dyDescent="0.25">
      <c r="A16" s="215" t="s">
        <v>832</v>
      </c>
      <c r="B16" s="64">
        <v>88.24</v>
      </c>
      <c r="C16" s="64">
        <v>29</v>
      </c>
      <c r="D16" s="64">
        <v>117.24</v>
      </c>
      <c r="E16" s="64">
        <v>2.13</v>
      </c>
      <c r="F16" s="64">
        <v>0.45</v>
      </c>
      <c r="G16" s="64">
        <v>160.5</v>
      </c>
      <c r="H16" s="64">
        <v>65.67</v>
      </c>
      <c r="I16" s="64">
        <v>1.5</v>
      </c>
      <c r="J16" s="64">
        <v>0.08</v>
      </c>
      <c r="K16" s="64">
        <v>278.54000000000002</v>
      </c>
      <c r="L16" s="64">
        <v>18.04</v>
      </c>
      <c r="M16" s="64">
        <v>85.27</v>
      </c>
      <c r="N16" s="64">
        <v>58.9</v>
      </c>
      <c r="O16" s="64">
        <v>0</v>
      </c>
      <c r="P16" s="64">
        <v>1.91</v>
      </c>
      <c r="Q16" s="64">
        <v>10.99</v>
      </c>
      <c r="R16" s="198"/>
      <c r="S16" s="198"/>
      <c r="T16" s="198"/>
      <c r="U16" s="198"/>
    </row>
    <row r="17" spans="1:21" s="12" customFormat="1" x14ac:dyDescent="0.25">
      <c r="A17" s="215" t="s">
        <v>833</v>
      </c>
      <c r="B17" s="64">
        <v>85.98</v>
      </c>
      <c r="C17" s="64">
        <v>30.44</v>
      </c>
      <c r="D17" s="64">
        <v>116.42</v>
      </c>
      <c r="E17" s="64">
        <v>2.0099999999999998</v>
      </c>
      <c r="F17" s="64">
        <v>0.28999999999999998</v>
      </c>
      <c r="G17" s="64">
        <v>137.44999999999999</v>
      </c>
      <c r="H17" s="64">
        <v>59.35</v>
      </c>
      <c r="I17" s="64">
        <v>1.53</v>
      </c>
      <c r="J17" s="64">
        <v>0.12</v>
      </c>
      <c r="K17" s="64">
        <v>318.38</v>
      </c>
      <c r="L17" s="64">
        <v>17.829999999999998</v>
      </c>
      <c r="M17" s="64">
        <v>85.83</v>
      </c>
      <c r="N17" s="64">
        <v>58.9</v>
      </c>
      <c r="O17" s="64">
        <v>0</v>
      </c>
      <c r="P17" s="64">
        <v>1.88</v>
      </c>
      <c r="Q17" s="64">
        <v>10.8</v>
      </c>
      <c r="R17" s="198"/>
      <c r="S17" s="198"/>
      <c r="T17" s="198"/>
      <c r="U17" s="198"/>
    </row>
    <row r="18" spans="1:21" s="12" customFormat="1" x14ac:dyDescent="0.25">
      <c r="A18" s="215" t="s">
        <v>834</v>
      </c>
      <c r="B18" s="64">
        <v>83.8</v>
      </c>
      <c r="C18" s="64">
        <v>30.25</v>
      </c>
      <c r="D18" s="64">
        <v>114.05</v>
      </c>
      <c r="E18" s="64">
        <v>2.21</v>
      </c>
      <c r="F18" s="64">
        <v>0.21</v>
      </c>
      <c r="G18" s="64">
        <v>137.44999999999999</v>
      </c>
      <c r="H18" s="64">
        <v>59.35</v>
      </c>
      <c r="I18" s="64">
        <v>1.51</v>
      </c>
      <c r="J18" s="64">
        <v>0.09</v>
      </c>
      <c r="K18" s="64">
        <v>304.73</v>
      </c>
      <c r="L18" s="64">
        <v>17.579999999999998</v>
      </c>
      <c r="M18" s="64">
        <v>88.19</v>
      </c>
      <c r="N18" s="64">
        <v>58.9</v>
      </c>
      <c r="O18" s="64">
        <v>0</v>
      </c>
      <c r="P18" s="64">
        <v>1.85</v>
      </c>
      <c r="Q18" s="64">
        <v>10.65</v>
      </c>
      <c r="R18" s="198"/>
      <c r="S18" s="198"/>
      <c r="T18" s="198"/>
      <c r="U18" s="198"/>
    </row>
    <row r="19" spans="1:21" s="12" customFormat="1" x14ac:dyDescent="0.25">
      <c r="A19" s="215" t="s">
        <v>835</v>
      </c>
      <c r="B19" s="64">
        <v>81.680000000000007</v>
      </c>
      <c r="C19" s="64">
        <v>27.82</v>
      </c>
      <c r="D19" s="64">
        <v>109.5</v>
      </c>
      <c r="E19" s="64">
        <v>2.08</v>
      </c>
      <c r="F19" s="64">
        <v>0.48</v>
      </c>
      <c r="G19" s="64">
        <v>137.44999999999999</v>
      </c>
      <c r="H19" s="64">
        <v>59.35</v>
      </c>
      <c r="I19" s="64">
        <v>1.5</v>
      </c>
      <c r="J19" s="64">
        <v>0.1</v>
      </c>
      <c r="K19" s="64">
        <v>27.53</v>
      </c>
      <c r="L19" s="64">
        <v>17.420000000000002</v>
      </c>
      <c r="M19" s="64">
        <v>88.28</v>
      </c>
      <c r="N19" s="64">
        <v>59</v>
      </c>
      <c r="O19" s="64">
        <v>0</v>
      </c>
      <c r="P19" s="64">
        <v>1.82</v>
      </c>
      <c r="Q19" s="64">
        <v>10.6</v>
      </c>
      <c r="R19" s="198"/>
      <c r="S19" s="198"/>
      <c r="T19" s="198"/>
      <c r="U19" s="198"/>
    </row>
    <row r="20" spans="1:21" s="12" customFormat="1" x14ac:dyDescent="0.25">
      <c r="A20" s="215" t="s">
        <v>836</v>
      </c>
      <c r="B20" s="64">
        <v>76.89</v>
      </c>
      <c r="C20" s="64">
        <v>31.3</v>
      </c>
      <c r="D20" s="64">
        <v>108.19</v>
      </c>
      <c r="E20" s="64">
        <v>1.75</v>
      </c>
      <c r="F20" s="64">
        <v>0.12</v>
      </c>
      <c r="G20" s="64">
        <v>137.44999999999999</v>
      </c>
      <c r="H20" s="64">
        <v>59.35</v>
      </c>
      <c r="I20" s="64">
        <v>1.52</v>
      </c>
      <c r="J20" s="64">
        <v>0.04</v>
      </c>
      <c r="K20" s="64">
        <v>309.08</v>
      </c>
      <c r="L20" s="64">
        <v>17.62</v>
      </c>
      <c r="M20" s="64">
        <v>84.76</v>
      </c>
      <c r="N20" s="64">
        <v>59</v>
      </c>
      <c r="O20" s="64">
        <v>0</v>
      </c>
      <c r="P20" s="64">
        <v>1.78</v>
      </c>
      <c r="Q20" s="64">
        <v>10.48</v>
      </c>
      <c r="R20" s="198"/>
      <c r="S20" s="198"/>
      <c r="T20" s="198"/>
      <c r="U20" s="198"/>
    </row>
    <row r="21" spans="1:21" s="12" customFormat="1" x14ac:dyDescent="0.25">
      <c r="A21" s="215" t="s">
        <v>837</v>
      </c>
      <c r="B21" s="64">
        <v>74.44</v>
      </c>
      <c r="C21" s="64">
        <v>34.380000000000003</v>
      </c>
      <c r="D21" s="64">
        <v>108.82</v>
      </c>
      <c r="E21" s="64">
        <v>1.87</v>
      </c>
      <c r="F21" s="6" t="s">
        <v>42</v>
      </c>
      <c r="G21" s="64">
        <v>142.05000000000001</v>
      </c>
      <c r="H21" s="64">
        <v>63.79</v>
      </c>
      <c r="I21" s="64">
        <v>1.6</v>
      </c>
      <c r="J21" s="64">
        <v>0.1</v>
      </c>
      <c r="K21" s="64">
        <v>210.31</v>
      </c>
      <c r="L21" s="64">
        <v>17.72</v>
      </c>
      <c r="M21" s="64">
        <v>82.03</v>
      </c>
      <c r="N21" s="64">
        <v>58.9</v>
      </c>
      <c r="O21" s="64">
        <v>0</v>
      </c>
      <c r="P21" s="64">
        <v>1.74</v>
      </c>
      <c r="Q21" s="64">
        <v>10.119999999999999</v>
      </c>
      <c r="R21" s="198"/>
      <c r="S21" s="198"/>
      <c r="T21" s="198"/>
      <c r="U21" s="198"/>
    </row>
    <row r="22" spans="1:21" s="12" customFormat="1" x14ac:dyDescent="0.25">
      <c r="A22" s="215" t="s">
        <v>838</v>
      </c>
      <c r="B22" s="64">
        <v>73.63</v>
      </c>
      <c r="C22" s="64">
        <v>31.61</v>
      </c>
      <c r="D22" s="64">
        <v>105.24</v>
      </c>
      <c r="E22" s="64">
        <v>1.93</v>
      </c>
      <c r="F22" s="64">
        <v>0.06</v>
      </c>
      <c r="G22" s="64">
        <v>142.05000000000001</v>
      </c>
      <c r="H22" s="64">
        <v>63.79</v>
      </c>
      <c r="I22" s="64">
        <v>1.53</v>
      </c>
      <c r="J22" s="64">
        <v>0.1</v>
      </c>
      <c r="K22" s="64">
        <v>313.77999999999997</v>
      </c>
      <c r="L22" s="64">
        <v>17.829999999999998</v>
      </c>
      <c r="M22" s="64">
        <v>82.33</v>
      </c>
      <c r="N22" s="64">
        <v>59.1</v>
      </c>
      <c r="O22" s="64">
        <v>0</v>
      </c>
      <c r="P22" s="64">
        <v>1.7</v>
      </c>
      <c r="Q22" s="64">
        <v>9.8800000000000008</v>
      </c>
      <c r="R22" s="198"/>
      <c r="S22" s="198"/>
      <c r="T22" s="198"/>
      <c r="U22" s="198"/>
    </row>
    <row r="23" spans="1:21" s="12" customFormat="1" x14ac:dyDescent="0.25">
      <c r="A23" s="215" t="s">
        <v>839</v>
      </c>
      <c r="B23" s="64">
        <v>71.88</v>
      </c>
      <c r="C23" s="64">
        <v>30.68</v>
      </c>
      <c r="D23" s="64">
        <v>102.56</v>
      </c>
      <c r="E23" s="64">
        <v>2.08</v>
      </c>
      <c r="F23" s="64">
        <v>0.08</v>
      </c>
      <c r="G23" s="64">
        <v>142.05000000000001</v>
      </c>
      <c r="H23" s="64">
        <v>63.79</v>
      </c>
      <c r="I23" s="64">
        <v>1.42</v>
      </c>
      <c r="J23" s="64">
        <v>0.14000000000000001</v>
      </c>
      <c r="K23" s="64">
        <v>323.11</v>
      </c>
      <c r="L23" s="64">
        <v>17.3</v>
      </c>
      <c r="M23" s="64">
        <v>88.85</v>
      </c>
      <c r="N23" s="64">
        <v>59.3</v>
      </c>
      <c r="O23" s="64">
        <v>0</v>
      </c>
      <c r="P23" s="64">
        <v>1.66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5" t="s">
        <v>840</v>
      </c>
      <c r="B24" s="64">
        <v>70.06</v>
      </c>
      <c r="C24" s="64">
        <v>30.45</v>
      </c>
      <c r="D24" s="64">
        <v>100.51</v>
      </c>
      <c r="E24" s="64">
        <v>0.9</v>
      </c>
      <c r="F24" s="64">
        <v>0.03</v>
      </c>
      <c r="G24" s="64">
        <v>142.05000000000001</v>
      </c>
      <c r="H24" s="64">
        <v>63.79</v>
      </c>
      <c r="I24" s="64">
        <v>1.47</v>
      </c>
      <c r="J24" s="64">
        <v>7.0000000000000007E-2</v>
      </c>
      <c r="K24" s="64">
        <v>286.43</v>
      </c>
      <c r="L24" s="64">
        <v>17.43</v>
      </c>
      <c r="M24" s="64">
        <v>83.04</v>
      </c>
      <c r="N24" s="64">
        <v>59.3</v>
      </c>
      <c r="O24" s="64">
        <v>0</v>
      </c>
      <c r="P24" s="64">
        <v>1.62</v>
      </c>
      <c r="Q24" s="64">
        <v>9.5399999999999991</v>
      </c>
      <c r="R24" s="198"/>
      <c r="S24" s="198"/>
      <c r="T24" s="198"/>
      <c r="U24" s="198"/>
    </row>
    <row r="25" spans="1:21" s="12" customFormat="1" x14ac:dyDescent="0.25">
      <c r="A25" s="215" t="s">
        <v>841</v>
      </c>
      <c r="B25" s="64">
        <v>69.34</v>
      </c>
      <c r="C25" s="64">
        <v>29.79</v>
      </c>
      <c r="D25" s="64">
        <v>99.13</v>
      </c>
      <c r="E25" s="64">
        <v>1.87</v>
      </c>
      <c r="F25" s="64">
        <v>0.14000000000000001</v>
      </c>
      <c r="G25" s="64">
        <v>149.59</v>
      </c>
      <c r="H25" s="64">
        <v>68.38</v>
      </c>
      <c r="I25" s="64">
        <v>1.53</v>
      </c>
      <c r="J25" s="64">
        <v>0.06</v>
      </c>
      <c r="K25" s="64">
        <v>313.72000000000003</v>
      </c>
      <c r="L25" s="64">
        <v>17.399999999999999</v>
      </c>
      <c r="M25" s="64">
        <v>84.88</v>
      </c>
      <c r="N25" s="64">
        <v>59.4</v>
      </c>
      <c r="O25" s="64">
        <v>0</v>
      </c>
      <c r="P25" s="64">
        <v>1.6</v>
      </c>
      <c r="Q25" s="64">
        <v>9.24</v>
      </c>
      <c r="R25" s="198"/>
      <c r="S25" s="198"/>
      <c r="T25" s="198"/>
      <c r="U25" s="198"/>
    </row>
    <row r="26" spans="1:21" s="12" customFormat="1" x14ac:dyDescent="0.25">
      <c r="A26" s="215" t="s">
        <v>842</v>
      </c>
      <c r="B26" s="64">
        <v>67.739999999999995</v>
      </c>
      <c r="C26" s="64">
        <v>26.75</v>
      </c>
      <c r="D26" s="64">
        <v>94.48</v>
      </c>
      <c r="E26" s="64">
        <v>1.4</v>
      </c>
      <c r="F26" s="64">
        <v>0.53</v>
      </c>
      <c r="G26" s="64">
        <v>149.59</v>
      </c>
      <c r="H26" s="64">
        <v>68.38</v>
      </c>
      <c r="I26" s="64">
        <v>1.48</v>
      </c>
      <c r="J26" s="64">
        <v>0.1</v>
      </c>
      <c r="K26" s="64">
        <v>264.08</v>
      </c>
      <c r="L26" s="64">
        <v>17.420000000000002</v>
      </c>
      <c r="M26" s="64">
        <v>85.85</v>
      </c>
      <c r="N26" s="64">
        <v>59.2</v>
      </c>
      <c r="O26" s="64">
        <v>0</v>
      </c>
      <c r="P26" s="64">
        <v>1.58</v>
      </c>
      <c r="Q26" s="64">
        <v>9.2899999999999991</v>
      </c>
      <c r="R26" s="198"/>
      <c r="S26" s="198"/>
      <c r="T26" s="198"/>
      <c r="U26" s="198"/>
    </row>
    <row r="27" spans="1:21" s="12" customFormat="1" x14ac:dyDescent="0.25">
      <c r="A27" s="215" t="s">
        <v>843</v>
      </c>
      <c r="B27" s="64">
        <v>67.099999999999994</v>
      </c>
      <c r="C27" s="64">
        <v>30.01</v>
      </c>
      <c r="D27" s="64">
        <v>97.11</v>
      </c>
      <c r="E27" s="64">
        <v>1.55</v>
      </c>
      <c r="F27" s="64">
        <v>0.32</v>
      </c>
      <c r="G27" s="64">
        <v>149.59</v>
      </c>
      <c r="H27" s="64">
        <v>68.38</v>
      </c>
      <c r="I27" s="64">
        <v>1.52</v>
      </c>
      <c r="J27" s="64">
        <v>0.12</v>
      </c>
      <c r="K27" s="64">
        <v>287.27</v>
      </c>
      <c r="L27" s="64">
        <v>17.21</v>
      </c>
      <c r="M27" s="64">
        <v>88.65</v>
      </c>
      <c r="N27" s="64">
        <v>59.8</v>
      </c>
      <c r="O27" s="64">
        <v>0</v>
      </c>
      <c r="P27" s="64">
        <v>1.55</v>
      </c>
      <c r="Q27" s="64">
        <v>9.07</v>
      </c>
      <c r="R27" s="198"/>
      <c r="S27" s="198"/>
      <c r="T27" s="198"/>
      <c r="U27" s="198"/>
    </row>
    <row r="28" spans="1:21" s="12" customFormat="1" x14ac:dyDescent="0.25">
      <c r="A28" s="215" t="s">
        <v>844</v>
      </c>
      <c r="B28" s="64">
        <v>67.77</v>
      </c>
      <c r="C28" s="64">
        <v>28.91</v>
      </c>
      <c r="D28" s="64">
        <v>96.68</v>
      </c>
      <c r="E28" s="64">
        <v>1.43</v>
      </c>
      <c r="F28" s="64">
        <v>0.34</v>
      </c>
      <c r="G28" s="64">
        <v>149.59</v>
      </c>
      <c r="H28" s="64">
        <v>68.38</v>
      </c>
      <c r="I28" s="64">
        <v>1.52</v>
      </c>
      <c r="J28" s="64">
        <v>0.1</v>
      </c>
      <c r="K28" s="64">
        <v>302.56</v>
      </c>
      <c r="L28" s="64">
        <v>16.829999999999998</v>
      </c>
      <c r="M28" s="64">
        <v>90.82</v>
      </c>
      <c r="N28" s="64">
        <v>60.1</v>
      </c>
      <c r="O28" s="64">
        <v>0</v>
      </c>
      <c r="P28" s="64">
        <v>1.54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5" t="s">
        <v>845</v>
      </c>
      <c r="B29" s="64">
        <v>69.790000000000006</v>
      </c>
      <c r="C29" s="64">
        <v>28.87</v>
      </c>
      <c r="D29" s="64">
        <v>98.66</v>
      </c>
      <c r="E29" s="64">
        <v>1.69</v>
      </c>
      <c r="F29" s="64">
        <v>0.46</v>
      </c>
      <c r="G29" s="64">
        <v>206.01</v>
      </c>
      <c r="H29" s="64">
        <v>82.51</v>
      </c>
      <c r="I29" s="64">
        <v>1.53</v>
      </c>
      <c r="J29" s="64">
        <v>0.1</v>
      </c>
      <c r="K29" s="64">
        <v>302.48</v>
      </c>
      <c r="L29" s="64">
        <v>16.73</v>
      </c>
      <c r="M29" s="64">
        <v>91.23</v>
      </c>
      <c r="N29" s="64">
        <v>60</v>
      </c>
      <c r="O29" s="64">
        <v>0</v>
      </c>
      <c r="P29" s="64">
        <v>1.55</v>
      </c>
      <c r="Q29" s="64">
        <v>9.17</v>
      </c>
      <c r="R29" s="198"/>
      <c r="S29" s="198"/>
      <c r="T29" s="198"/>
      <c r="U29" s="198"/>
    </row>
    <row r="30" spans="1:21" s="12" customFormat="1" x14ac:dyDescent="0.25">
      <c r="A30" s="215" t="s">
        <v>846</v>
      </c>
      <c r="B30" s="64">
        <v>71.84</v>
      </c>
      <c r="C30" s="64">
        <v>29.96</v>
      </c>
      <c r="D30" s="64">
        <v>101.8</v>
      </c>
      <c r="E30" s="64">
        <v>1.73</v>
      </c>
      <c r="F30" s="64">
        <v>0.21</v>
      </c>
      <c r="G30" s="64">
        <v>206.01</v>
      </c>
      <c r="H30" s="64">
        <v>82.51</v>
      </c>
      <c r="I30" s="64">
        <v>1.52</v>
      </c>
      <c r="J30" s="64">
        <v>0.12</v>
      </c>
      <c r="K30" s="64">
        <v>262.51</v>
      </c>
      <c r="L30" s="64">
        <v>16.73</v>
      </c>
      <c r="M30" s="64">
        <v>88.87</v>
      </c>
      <c r="N30" s="64">
        <v>59.9</v>
      </c>
      <c r="O30" s="64">
        <v>0</v>
      </c>
      <c r="P30" s="64">
        <v>1.56</v>
      </c>
      <c r="Q30" s="64">
        <v>9.35</v>
      </c>
      <c r="R30" s="198"/>
      <c r="S30" s="198"/>
      <c r="T30" s="198"/>
      <c r="U30" s="198"/>
    </row>
    <row r="31" spans="1:21" s="12" customFormat="1" x14ac:dyDescent="0.25">
      <c r="A31" s="215" t="s">
        <v>847</v>
      </c>
      <c r="B31" s="64">
        <v>73.239999999999995</v>
      </c>
      <c r="C31" s="64">
        <v>27.34</v>
      </c>
      <c r="D31" s="64">
        <v>100.58</v>
      </c>
      <c r="E31" s="64">
        <v>1.69</v>
      </c>
      <c r="F31" s="64">
        <v>0.31</v>
      </c>
      <c r="G31" s="64">
        <v>206.01</v>
      </c>
      <c r="H31" s="64">
        <v>82.51</v>
      </c>
      <c r="I31" s="64">
        <v>1.5</v>
      </c>
      <c r="J31" s="64">
        <v>0.1</v>
      </c>
      <c r="K31" s="64">
        <v>277.82</v>
      </c>
      <c r="L31" s="64">
        <v>16.84</v>
      </c>
      <c r="M31" s="64">
        <v>87.35</v>
      </c>
      <c r="N31" s="64">
        <v>60</v>
      </c>
      <c r="O31" s="64">
        <v>0</v>
      </c>
      <c r="P31" s="64">
        <v>1.55</v>
      </c>
      <c r="Q31" s="64">
        <v>9.68</v>
      </c>
      <c r="R31" s="198"/>
      <c r="S31" s="198"/>
      <c r="T31" s="198"/>
      <c r="U31" s="198"/>
    </row>
    <row r="32" spans="1:21" s="12" customFormat="1" x14ac:dyDescent="0.25">
      <c r="A32" s="215" t="s">
        <v>848</v>
      </c>
      <c r="B32" s="64">
        <v>73.489999999999995</v>
      </c>
      <c r="C32" s="64">
        <v>29.59</v>
      </c>
      <c r="D32" s="64">
        <v>103.08</v>
      </c>
      <c r="E32" s="64">
        <v>1.78</v>
      </c>
      <c r="F32" s="64">
        <v>0.05</v>
      </c>
      <c r="G32" s="64">
        <v>206.01</v>
      </c>
      <c r="H32" s="64">
        <v>82.51</v>
      </c>
      <c r="I32" s="64">
        <v>1.54</v>
      </c>
      <c r="J32" s="64">
        <v>7.0000000000000007E-2</v>
      </c>
      <c r="K32" s="64">
        <v>257.04000000000002</v>
      </c>
      <c r="L32" s="64">
        <v>16.920000000000002</v>
      </c>
      <c r="M32" s="64">
        <v>86.08</v>
      </c>
      <c r="N32" s="64">
        <v>61.4</v>
      </c>
      <c r="O32" s="64">
        <v>0</v>
      </c>
      <c r="P32" s="64">
        <v>1.52</v>
      </c>
      <c r="Q32" s="64">
        <v>9.7200000000000006</v>
      </c>
      <c r="R32" s="198"/>
      <c r="S32" s="198"/>
      <c r="T32" s="198"/>
      <c r="U32" s="198"/>
    </row>
    <row r="33" spans="1:21" s="12" customFormat="1" x14ac:dyDescent="0.25">
      <c r="A33" s="215" t="s">
        <v>849</v>
      </c>
      <c r="B33" s="64">
        <v>73.94</v>
      </c>
      <c r="C33" s="64">
        <v>28.61</v>
      </c>
      <c r="D33" s="64">
        <v>102.55</v>
      </c>
      <c r="E33" s="64">
        <v>1.84</v>
      </c>
      <c r="F33" s="64">
        <v>0.1</v>
      </c>
      <c r="G33" s="64">
        <v>227.71</v>
      </c>
      <c r="H33" s="64">
        <v>88.83</v>
      </c>
      <c r="I33" s="64">
        <v>1.54</v>
      </c>
      <c r="J33" s="64">
        <v>0.12</v>
      </c>
      <c r="K33" s="64">
        <v>304.12</v>
      </c>
      <c r="L33" s="64">
        <v>16.489999999999998</v>
      </c>
      <c r="M33" s="64">
        <v>95.98</v>
      </c>
      <c r="N33" s="64">
        <v>65.900000000000006</v>
      </c>
      <c r="O33" s="64">
        <v>0</v>
      </c>
      <c r="P33" s="64">
        <v>1.49</v>
      </c>
      <c r="Q33" s="64">
        <v>9.7799999999999994</v>
      </c>
      <c r="R33" s="198"/>
      <c r="S33" s="198"/>
      <c r="T33" s="198"/>
      <c r="U33" s="198"/>
    </row>
    <row r="34" spans="1:21" s="12" customFormat="1" x14ac:dyDescent="0.25">
      <c r="A34" s="215" t="s">
        <v>850</v>
      </c>
      <c r="B34" s="64">
        <v>77.040000000000006</v>
      </c>
      <c r="C34" s="64">
        <v>29.1</v>
      </c>
      <c r="D34" s="64">
        <v>106.14</v>
      </c>
      <c r="E34" s="64">
        <v>1.97</v>
      </c>
      <c r="F34" s="64">
        <v>0.04</v>
      </c>
      <c r="G34" s="64">
        <v>227.71</v>
      </c>
      <c r="H34" s="64">
        <v>88.83</v>
      </c>
      <c r="I34" s="64">
        <v>1.45</v>
      </c>
      <c r="J34" s="64">
        <v>0.13</v>
      </c>
      <c r="K34" s="64">
        <v>331.71</v>
      </c>
      <c r="L34" s="64">
        <v>16.22</v>
      </c>
      <c r="M34" s="64">
        <v>96.87</v>
      </c>
      <c r="N34" s="64">
        <v>70.7</v>
      </c>
      <c r="O34" s="64">
        <v>0</v>
      </c>
      <c r="P34" s="64">
        <v>1.49</v>
      </c>
      <c r="Q34" s="64">
        <v>9.84</v>
      </c>
      <c r="R34" s="198"/>
      <c r="S34" s="198"/>
      <c r="T34" s="198"/>
      <c r="U34" s="198"/>
    </row>
    <row r="35" spans="1:21" s="12" customFormat="1" x14ac:dyDescent="0.25">
      <c r="A35" s="215" t="s">
        <v>851</v>
      </c>
      <c r="B35" s="64">
        <v>82.88</v>
      </c>
      <c r="C35" s="64">
        <v>29.94</v>
      </c>
      <c r="D35" s="64">
        <v>112.82</v>
      </c>
      <c r="E35" s="64">
        <v>1.82</v>
      </c>
      <c r="F35" s="64">
        <v>0.03</v>
      </c>
      <c r="G35" s="64">
        <v>227.71</v>
      </c>
      <c r="H35" s="64">
        <v>88.83</v>
      </c>
      <c r="I35" s="64">
        <v>1.54</v>
      </c>
      <c r="J35" s="64">
        <v>0.1</v>
      </c>
      <c r="K35" s="64">
        <v>337.26</v>
      </c>
      <c r="L35" s="64">
        <v>16.170000000000002</v>
      </c>
      <c r="M35" s="64">
        <v>97.95</v>
      </c>
      <c r="N35" s="64">
        <v>82.3</v>
      </c>
      <c r="O35" s="64">
        <v>0</v>
      </c>
      <c r="P35" s="64">
        <v>1.51</v>
      </c>
      <c r="Q35" s="64">
        <v>10.16</v>
      </c>
      <c r="R35" s="198"/>
      <c r="S35" s="198"/>
      <c r="T35" s="198"/>
      <c r="U35" s="198"/>
    </row>
    <row r="36" spans="1:21" s="12" customFormat="1" x14ac:dyDescent="0.25">
      <c r="A36" s="215" t="s">
        <v>852</v>
      </c>
      <c r="B36" s="64">
        <v>89.52</v>
      </c>
      <c r="C36" s="64">
        <v>32.18</v>
      </c>
      <c r="D36" s="64">
        <v>121.7</v>
      </c>
      <c r="E36" s="64">
        <v>2.1</v>
      </c>
      <c r="F36" s="64">
        <v>0.06</v>
      </c>
      <c r="G36" s="64">
        <v>227.71</v>
      </c>
      <c r="H36" s="64">
        <v>88.83</v>
      </c>
      <c r="I36" s="64">
        <v>1.43</v>
      </c>
      <c r="J36" s="64">
        <v>0.04</v>
      </c>
      <c r="K36" s="64">
        <v>111.27</v>
      </c>
      <c r="L36" s="64">
        <v>16.850000000000001</v>
      </c>
      <c r="M36" s="64">
        <v>89.96</v>
      </c>
      <c r="N36" s="64">
        <v>131.1</v>
      </c>
      <c r="O36" s="64">
        <v>0</v>
      </c>
      <c r="P36" s="64">
        <v>1.54</v>
      </c>
      <c r="Q36" s="64">
        <v>10.56</v>
      </c>
      <c r="R36" s="198"/>
      <c r="S36" s="198"/>
      <c r="T36" s="198"/>
      <c r="U36" s="198"/>
    </row>
    <row r="37" spans="1:21" s="12" customFormat="1" x14ac:dyDescent="0.25">
      <c r="A37" s="215" t="s">
        <v>853</v>
      </c>
      <c r="B37" s="64">
        <v>92.42</v>
      </c>
      <c r="C37" s="64">
        <v>32.35</v>
      </c>
      <c r="D37" s="64">
        <v>124.77</v>
      </c>
      <c r="E37" s="64">
        <v>2.0099999999999998</v>
      </c>
      <c r="F37" s="64">
        <v>0.47</v>
      </c>
      <c r="G37" s="64">
        <v>262.01</v>
      </c>
      <c r="H37" s="64">
        <v>95.72</v>
      </c>
      <c r="I37" s="64">
        <v>1.49</v>
      </c>
      <c r="J37" s="64">
        <v>0.08</v>
      </c>
      <c r="K37" s="64">
        <v>144.36000000000001</v>
      </c>
      <c r="L37" s="64">
        <v>18.41</v>
      </c>
      <c r="M37" s="64">
        <v>78.59</v>
      </c>
      <c r="N37" s="64">
        <v>186.7</v>
      </c>
      <c r="O37" s="64">
        <v>0</v>
      </c>
      <c r="P37" s="64">
        <v>1.53</v>
      </c>
      <c r="Q37" s="64">
        <v>10.79</v>
      </c>
      <c r="R37" s="198"/>
      <c r="S37" s="198"/>
      <c r="T37" s="198"/>
      <c r="U37" s="198"/>
    </row>
    <row r="38" spans="1:21" s="12" customFormat="1" x14ac:dyDescent="0.25">
      <c r="A38" s="215" t="s">
        <v>854</v>
      </c>
      <c r="B38" s="64">
        <v>91.48</v>
      </c>
      <c r="C38" s="64">
        <v>33.729999999999997</v>
      </c>
      <c r="D38" s="64">
        <v>125.21</v>
      </c>
      <c r="E38" s="64">
        <v>1.82</v>
      </c>
      <c r="F38" s="64">
        <v>0.37</v>
      </c>
      <c r="G38" s="64">
        <v>262.01</v>
      </c>
      <c r="H38" s="64">
        <v>95.72</v>
      </c>
      <c r="I38" s="64">
        <v>1.47</v>
      </c>
      <c r="J38" s="64">
        <v>0.08</v>
      </c>
      <c r="K38" s="64">
        <v>117.57</v>
      </c>
      <c r="L38" s="64">
        <v>20.82</v>
      </c>
      <c r="M38" s="64">
        <v>68.319999999999993</v>
      </c>
      <c r="N38" s="64">
        <v>241.7</v>
      </c>
      <c r="O38" s="64">
        <v>0</v>
      </c>
      <c r="P38" s="64">
        <v>1.61</v>
      </c>
      <c r="Q38" s="64">
        <v>10.99</v>
      </c>
      <c r="R38" s="198"/>
      <c r="S38" s="198"/>
      <c r="T38" s="198"/>
      <c r="U38" s="198"/>
    </row>
    <row r="39" spans="1:21" s="12" customFormat="1" x14ac:dyDescent="0.25">
      <c r="A39" s="215" t="s">
        <v>855</v>
      </c>
      <c r="B39" s="64">
        <v>91.87</v>
      </c>
      <c r="C39" s="64">
        <v>36.94</v>
      </c>
      <c r="D39" s="64">
        <v>128.80000000000001</v>
      </c>
      <c r="E39" s="64">
        <v>1.74</v>
      </c>
      <c r="F39" s="64">
        <v>0.5</v>
      </c>
      <c r="G39" s="64">
        <v>262.01</v>
      </c>
      <c r="H39" s="64">
        <v>95.72</v>
      </c>
      <c r="I39" s="64">
        <v>1.51</v>
      </c>
      <c r="J39" s="64">
        <v>0.05</v>
      </c>
      <c r="K39" s="64">
        <v>119.68</v>
      </c>
      <c r="L39" s="64">
        <v>22.74</v>
      </c>
      <c r="M39" s="64">
        <v>58.8</v>
      </c>
      <c r="N39" s="64">
        <v>294.3</v>
      </c>
      <c r="O39" s="64">
        <v>0</v>
      </c>
      <c r="P39" s="64">
        <v>1.62</v>
      </c>
      <c r="Q39" s="64">
        <v>10.83</v>
      </c>
      <c r="R39" s="198"/>
      <c r="S39" s="198"/>
      <c r="T39" s="198"/>
      <c r="U39" s="198"/>
    </row>
    <row r="40" spans="1:21" s="12" customFormat="1" x14ac:dyDescent="0.25">
      <c r="A40" s="215" t="s">
        <v>856</v>
      </c>
      <c r="B40" s="64">
        <v>90.68</v>
      </c>
      <c r="C40" s="64">
        <v>39.9</v>
      </c>
      <c r="D40" s="64">
        <v>130.58000000000001</v>
      </c>
      <c r="E40" s="64">
        <v>0.63</v>
      </c>
      <c r="F40" s="64">
        <v>0.21</v>
      </c>
      <c r="G40" s="64">
        <v>262.01</v>
      </c>
      <c r="H40" s="64">
        <v>95.72</v>
      </c>
      <c r="I40" s="64">
        <v>1.45</v>
      </c>
      <c r="J40" s="64">
        <v>0.26</v>
      </c>
      <c r="K40" s="64">
        <v>347.79</v>
      </c>
      <c r="L40" s="64">
        <v>24.47</v>
      </c>
      <c r="M40" s="64">
        <v>53.89</v>
      </c>
      <c r="N40" s="64">
        <v>342.9</v>
      </c>
      <c r="O40" s="64">
        <v>0</v>
      </c>
      <c r="P40" s="64">
        <v>1.64</v>
      </c>
      <c r="Q40" s="64">
        <v>10.82</v>
      </c>
      <c r="R40" s="198"/>
      <c r="S40" s="198"/>
      <c r="T40" s="198"/>
      <c r="U40" s="198"/>
    </row>
    <row r="41" spans="1:21" s="12" customFormat="1" x14ac:dyDescent="0.25">
      <c r="A41" s="215" t="s">
        <v>857</v>
      </c>
      <c r="B41" s="64">
        <v>89.91</v>
      </c>
      <c r="C41" s="64">
        <v>40.31</v>
      </c>
      <c r="D41" s="64">
        <v>130.21</v>
      </c>
      <c r="E41" s="64">
        <v>1.49</v>
      </c>
      <c r="F41" s="64">
        <v>0.45</v>
      </c>
      <c r="G41" s="64">
        <v>314.12</v>
      </c>
      <c r="H41" s="64">
        <v>110.79</v>
      </c>
      <c r="I41" s="64">
        <v>1.4</v>
      </c>
      <c r="J41" s="64">
        <v>0.47</v>
      </c>
      <c r="K41" s="64">
        <v>344.12</v>
      </c>
      <c r="L41" s="64">
        <v>25.99</v>
      </c>
      <c r="M41" s="64">
        <v>48.45</v>
      </c>
      <c r="N41" s="64">
        <v>383</v>
      </c>
      <c r="O41" s="64">
        <v>0</v>
      </c>
      <c r="P41" s="64">
        <v>1.65</v>
      </c>
      <c r="Q41" s="64">
        <v>10.77</v>
      </c>
      <c r="R41" s="198"/>
      <c r="S41" s="198"/>
      <c r="T41" s="198"/>
      <c r="U41" s="198"/>
    </row>
    <row r="42" spans="1:21" s="12" customFormat="1" x14ac:dyDescent="0.25">
      <c r="A42" s="215" t="s">
        <v>858</v>
      </c>
      <c r="B42" s="64">
        <v>87.86</v>
      </c>
      <c r="C42" s="64">
        <v>44.73</v>
      </c>
      <c r="D42" s="64">
        <v>132.59</v>
      </c>
      <c r="E42" s="64">
        <v>1.74</v>
      </c>
      <c r="F42" s="64">
        <v>0.32</v>
      </c>
      <c r="G42" s="64">
        <v>314.12</v>
      </c>
      <c r="H42" s="64">
        <v>110.79</v>
      </c>
      <c r="I42" s="64">
        <v>1.58</v>
      </c>
      <c r="J42" s="64">
        <v>0.49</v>
      </c>
      <c r="K42" s="64">
        <v>342.79</v>
      </c>
      <c r="L42" s="64">
        <v>26.7</v>
      </c>
      <c r="M42" s="64">
        <v>50.35</v>
      </c>
      <c r="N42" s="64">
        <v>440.1</v>
      </c>
      <c r="O42" s="64">
        <v>0</v>
      </c>
      <c r="P42" s="64">
        <v>1.65</v>
      </c>
      <c r="Q42" s="64">
        <v>10.8</v>
      </c>
      <c r="R42" s="198"/>
      <c r="S42" s="198"/>
      <c r="T42" s="198"/>
      <c r="U42" s="198"/>
    </row>
    <row r="43" spans="1:21" s="12" customFormat="1" x14ac:dyDescent="0.25">
      <c r="A43" s="215" t="s">
        <v>859</v>
      </c>
      <c r="B43" s="64">
        <v>87.62</v>
      </c>
      <c r="C43" s="64">
        <v>38.119999999999997</v>
      </c>
      <c r="D43" s="64">
        <v>125.75</v>
      </c>
      <c r="E43" s="64">
        <v>1.56</v>
      </c>
      <c r="F43" s="64">
        <v>0.41</v>
      </c>
      <c r="G43" s="64">
        <v>314.12</v>
      </c>
      <c r="H43" s="64">
        <v>110.79</v>
      </c>
      <c r="I43" s="64">
        <v>1.53</v>
      </c>
      <c r="J43" s="64">
        <v>0.41</v>
      </c>
      <c r="K43" s="64">
        <v>341.19</v>
      </c>
      <c r="L43" s="64">
        <v>25.46</v>
      </c>
      <c r="M43" s="64">
        <v>55.62</v>
      </c>
      <c r="N43" s="64">
        <v>473</v>
      </c>
      <c r="O43" s="64">
        <v>0</v>
      </c>
      <c r="P43" s="64">
        <v>1.65</v>
      </c>
      <c r="Q43" s="64">
        <v>10.92</v>
      </c>
      <c r="R43" s="198"/>
      <c r="S43" s="198"/>
      <c r="T43" s="198"/>
      <c r="U43" s="198"/>
    </row>
    <row r="44" spans="1:21" s="12" customFormat="1" x14ac:dyDescent="0.25">
      <c r="A44" s="215" t="s">
        <v>860</v>
      </c>
      <c r="B44" s="64">
        <v>83.22</v>
      </c>
      <c r="C44" s="64">
        <v>41.62</v>
      </c>
      <c r="D44" s="64">
        <v>124.83</v>
      </c>
      <c r="E44" s="64">
        <v>1.47</v>
      </c>
      <c r="F44" s="64">
        <v>0.39</v>
      </c>
      <c r="G44" s="64">
        <v>314.12</v>
      </c>
      <c r="H44" s="64">
        <v>110.79</v>
      </c>
      <c r="I44" s="64">
        <v>1.49</v>
      </c>
      <c r="J44" s="64">
        <v>0.51</v>
      </c>
      <c r="K44" s="64">
        <v>336.41</v>
      </c>
      <c r="L44" s="64">
        <v>25.92</v>
      </c>
      <c r="M44" s="64">
        <v>52.29</v>
      </c>
      <c r="N44" s="64">
        <v>515</v>
      </c>
      <c r="O44" s="64">
        <v>0</v>
      </c>
      <c r="P44" s="64">
        <v>1.64</v>
      </c>
      <c r="Q44" s="64">
        <v>10.89</v>
      </c>
      <c r="R44" s="198"/>
      <c r="S44" s="198"/>
      <c r="T44" s="198"/>
      <c r="U44" s="198"/>
    </row>
    <row r="45" spans="1:21" s="12" customFormat="1" x14ac:dyDescent="0.25">
      <c r="A45" s="215" t="s">
        <v>861</v>
      </c>
      <c r="B45" s="64">
        <v>80.8</v>
      </c>
      <c r="C45" s="64">
        <v>40.18</v>
      </c>
      <c r="D45" s="64">
        <v>120.98</v>
      </c>
      <c r="E45" s="64">
        <v>1.65</v>
      </c>
      <c r="F45" s="64">
        <v>0.7</v>
      </c>
      <c r="G45" s="64">
        <v>446.44</v>
      </c>
      <c r="H45" s="64">
        <v>133.01</v>
      </c>
      <c r="I45" s="64">
        <v>1.5</v>
      </c>
      <c r="J45" s="64">
        <v>0.55000000000000004</v>
      </c>
      <c r="K45" s="64">
        <v>331.56</v>
      </c>
      <c r="L45" s="64">
        <v>26.38</v>
      </c>
      <c r="M45" s="64">
        <v>50.42</v>
      </c>
      <c r="N45" s="64">
        <v>561.79999999999995</v>
      </c>
      <c r="O45" s="64">
        <v>0</v>
      </c>
      <c r="P45" s="64">
        <v>1.62</v>
      </c>
      <c r="Q45" s="64">
        <v>10.8</v>
      </c>
      <c r="R45" s="198"/>
      <c r="S45" s="198"/>
      <c r="T45" s="198"/>
      <c r="U45" s="198"/>
    </row>
    <row r="46" spans="1:21" s="12" customFormat="1" x14ac:dyDescent="0.25">
      <c r="A46" s="215" t="s">
        <v>862</v>
      </c>
      <c r="B46" s="64">
        <v>78.81</v>
      </c>
      <c r="C46" s="64">
        <v>39.909999999999997</v>
      </c>
      <c r="D46" s="64">
        <v>118.71</v>
      </c>
      <c r="E46" s="64">
        <v>1.67</v>
      </c>
      <c r="F46" s="64">
        <v>0.51</v>
      </c>
      <c r="G46" s="64">
        <v>446.44</v>
      </c>
      <c r="H46" s="64">
        <v>133.01</v>
      </c>
      <c r="I46" s="64">
        <v>1.49</v>
      </c>
      <c r="J46" s="64">
        <v>0.52</v>
      </c>
      <c r="K46" s="64">
        <v>334.78</v>
      </c>
      <c r="L46" s="64">
        <v>26.73</v>
      </c>
      <c r="M46" s="64">
        <v>49.06</v>
      </c>
      <c r="N46" s="64">
        <v>593</v>
      </c>
      <c r="O46" s="64">
        <v>0</v>
      </c>
      <c r="P46" s="64">
        <v>1.62</v>
      </c>
      <c r="Q46" s="64">
        <v>10.67</v>
      </c>
      <c r="R46" s="198"/>
      <c r="S46" s="198"/>
      <c r="T46" s="198"/>
      <c r="U46" s="198"/>
    </row>
    <row r="47" spans="1:21" s="12" customFormat="1" x14ac:dyDescent="0.25">
      <c r="A47" s="215" t="s">
        <v>863</v>
      </c>
      <c r="B47" s="64">
        <v>74.44</v>
      </c>
      <c r="C47" s="64">
        <v>39.36</v>
      </c>
      <c r="D47" s="64">
        <v>113.8</v>
      </c>
      <c r="E47" s="64">
        <v>1.62</v>
      </c>
      <c r="F47" s="64">
        <v>0.93</v>
      </c>
      <c r="G47" s="64">
        <v>446.44</v>
      </c>
      <c r="H47" s="64">
        <v>133.01</v>
      </c>
      <c r="I47" s="64">
        <v>1.51</v>
      </c>
      <c r="J47" s="64">
        <v>0.42</v>
      </c>
      <c r="K47" s="64">
        <v>339.22</v>
      </c>
      <c r="L47" s="64">
        <v>27.79</v>
      </c>
      <c r="M47" s="64">
        <v>45.66</v>
      </c>
      <c r="N47" s="64">
        <v>618.20000000000005</v>
      </c>
      <c r="O47" s="64">
        <v>0</v>
      </c>
      <c r="P47" s="64">
        <v>1.61</v>
      </c>
      <c r="Q47" s="64">
        <v>10.39</v>
      </c>
      <c r="R47" s="198"/>
      <c r="S47" s="198"/>
      <c r="T47" s="198"/>
      <c r="U47" s="198"/>
    </row>
    <row r="48" spans="1:21" s="12" customFormat="1" x14ac:dyDescent="0.25">
      <c r="A48" s="215" t="s">
        <v>864</v>
      </c>
      <c r="B48" s="64">
        <v>71.89</v>
      </c>
      <c r="C48" s="64">
        <v>41.58</v>
      </c>
      <c r="D48" s="64">
        <v>113.47</v>
      </c>
      <c r="E48" s="64">
        <v>1.76</v>
      </c>
      <c r="F48" s="64">
        <v>0.92</v>
      </c>
      <c r="G48" s="64">
        <v>446.44</v>
      </c>
      <c r="H48" s="64">
        <v>133.01</v>
      </c>
      <c r="I48" s="64">
        <v>1.46</v>
      </c>
      <c r="J48" s="64">
        <v>0.31</v>
      </c>
      <c r="K48" s="64">
        <v>342.19</v>
      </c>
      <c r="L48" s="64">
        <v>28.09</v>
      </c>
      <c r="M48" s="64">
        <v>42.31</v>
      </c>
      <c r="N48" s="64">
        <v>634.5</v>
      </c>
      <c r="O48" s="64">
        <v>0</v>
      </c>
      <c r="P48" s="64">
        <v>1.62</v>
      </c>
      <c r="Q48" s="64">
        <v>9.99</v>
      </c>
      <c r="R48" s="198"/>
      <c r="S48" s="198"/>
      <c r="T48" s="198"/>
      <c r="U48" s="198"/>
    </row>
    <row r="49" spans="1:21" s="12" customFormat="1" x14ac:dyDescent="0.25">
      <c r="A49" s="215" t="s">
        <v>865</v>
      </c>
      <c r="B49" s="64">
        <v>65.459999999999994</v>
      </c>
      <c r="C49" s="64">
        <v>41.26</v>
      </c>
      <c r="D49" s="64">
        <v>106.72</v>
      </c>
      <c r="E49" s="64">
        <v>2.5</v>
      </c>
      <c r="F49" s="64">
        <v>2.66</v>
      </c>
      <c r="G49" s="64">
        <v>228.81</v>
      </c>
      <c r="H49" s="64">
        <v>120.11</v>
      </c>
      <c r="I49" s="64">
        <v>1.65</v>
      </c>
      <c r="J49" s="64">
        <v>0.1</v>
      </c>
      <c r="K49" s="64">
        <v>22.16</v>
      </c>
      <c r="L49" s="64">
        <v>29.43</v>
      </c>
      <c r="M49" s="64">
        <v>36.5</v>
      </c>
      <c r="N49" s="64">
        <v>684.3</v>
      </c>
      <c r="O49" s="64">
        <v>0</v>
      </c>
      <c r="P49" s="64">
        <v>1.61</v>
      </c>
      <c r="Q49" s="64">
        <v>9.8000000000000007</v>
      </c>
      <c r="R49" s="198"/>
      <c r="S49" s="198"/>
      <c r="T49" s="198"/>
      <c r="U49" s="198"/>
    </row>
    <row r="50" spans="1:21" s="12" customFormat="1" x14ac:dyDescent="0.25">
      <c r="A50" s="215" t="s">
        <v>866</v>
      </c>
      <c r="B50" s="64">
        <v>60.87</v>
      </c>
      <c r="C50" s="64">
        <v>43.14</v>
      </c>
      <c r="D50" s="64">
        <v>104.01</v>
      </c>
      <c r="E50" s="64">
        <v>1.91</v>
      </c>
      <c r="F50" s="64">
        <v>1.67</v>
      </c>
      <c r="G50" s="64">
        <v>228.81</v>
      </c>
      <c r="H50" s="64">
        <v>120.11</v>
      </c>
      <c r="I50" s="64">
        <v>1.5</v>
      </c>
      <c r="J50" s="64">
        <v>0.38</v>
      </c>
      <c r="K50" s="64">
        <v>135.88</v>
      </c>
      <c r="L50" s="64">
        <v>29.39</v>
      </c>
      <c r="M50" s="64">
        <v>35.72</v>
      </c>
      <c r="N50" s="64">
        <v>724.7</v>
      </c>
      <c r="O50" s="64">
        <v>0</v>
      </c>
      <c r="P50" s="64">
        <v>1.61</v>
      </c>
      <c r="Q50" s="64">
        <v>9.5</v>
      </c>
      <c r="R50" s="198"/>
      <c r="S50" s="198"/>
      <c r="T50" s="198"/>
      <c r="U50" s="198"/>
    </row>
    <row r="51" spans="1:21" s="12" customFormat="1" x14ac:dyDescent="0.25">
      <c r="A51" s="215" t="s">
        <v>867</v>
      </c>
      <c r="B51" s="64">
        <v>55.45</v>
      </c>
      <c r="C51" s="64">
        <v>45.85</v>
      </c>
      <c r="D51" s="64">
        <v>101.29</v>
      </c>
      <c r="E51" s="64">
        <v>1.71</v>
      </c>
      <c r="F51" s="64">
        <v>0.96</v>
      </c>
      <c r="G51" s="64">
        <v>228.81</v>
      </c>
      <c r="H51" s="64">
        <v>120.11</v>
      </c>
      <c r="I51" s="64">
        <v>1.47</v>
      </c>
      <c r="J51" s="64">
        <v>0.08</v>
      </c>
      <c r="K51" s="64">
        <v>185.49</v>
      </c>
      <c r="L51" s="64">
        <v>28.36</v>
      </c>
      <c r="M51" s="64">
        <v>35.96</v>
      </c>
      <c r="N51" s="64">
        <v>738.2</v>
      </c>
      <c r="O51" s="64">
        <v>0</v>
      </c>
      <c r="P51" s="64">
        <v>1.56</v>
      </c>
      <c r="Q51" s="64">
        <v>8.9700000000000006</v>
      </c>
      <c r="R51" s="198"/>
      <c r="S51" s="198"/>
      <c r="T51" s="198"/>
      <c r="U51" s="198"/>
    </row>
    <row r="52" spans="1:21" s="12" customFormat="1" x14ac:dyDescent="0.25">
      <c r="A52" s="215" t="s">
        <v>868</v>
      </c>
      <c r="B52" s="64">
        <v>49.22</v>
      </c>
      <c r="C52" s="64">
        <v>42.9</v>
      </c>
      <c r="D52" s="64">
        <v>92.12</v>
      </c>
      <c r="E52" s="64">
        <v>1.95</v>
      </c>
      <c r="F52" s="64">
        <v>1.19</v>
      </c>
      <c r="G52" s="64">
        <v>228.81</v>
      </c>
      <c r="H52" s="64">
        <v>120.11</v>
      </c>
      <c r="I52" s="64">
        <v>1.42</v>
      </c>
      <c r="J52" s="64">
        <v>0.06</v>
      </c>
      <c r="K52" s="64">
        <v>221.68</v>
      </c>
      <c r="L52" s="64">
        <v>28.77</v>
      </c>
      <c r="M52" s="64">
        <v>34.61</v>
      </c>
      <c r="N52" s="64">
        <v>756.9</v>
      </c>
      <c r="O52" s="64">
        <v>0</v>
      </c>
      <c r="P52" s="64">
        <v>1.52</v>
      </c>
      <c r="Q52" s="64">
        <v>8.57</v>
      </c>
      <c r="R52" s="198"/>
      <c r="S52" s="198"/>
      <c r="T52" s="198"/>
      <c r="U52" s="198"/>
    </row>
    <row r="53" spans="1:21" s="12" customFormat="1" x14ac:dyDescent="0.25">
      <c r="A53" s="215" t="s">
        <v>869</v>
      </c>
      <c r="B53" s="64">
        <v>42.5</v>
      </c>
      <c r="C53" s="64">
        <v>46.9</v>
      </c>
      <c r="D53" s="64">
        <v>89.4</v>
      </c>
      <c r="E53" s="64">
        <v>0.81</v>
      </c>
      <c r="F53" s="64">
        <v>1.86</v>
      </c>
      <c r="G53" s="64">
        <v>199.77</v>
      </c>
      <c r="H53" s="64">
        <v>114.41</v>
      </c>
      <c r="I53" s="64">
        <v>1.52</v>
      </c>
      <c r="J53" s="64">
        <v>0.6</v>
      </c>
      <c r="K53" s="64">
        <v>335.73</v>
      </c>
      <c r="L53" s="64">
        <v>31.51</v>
      </c>
      <c r="M53" s="64">
        <v>30.77</v>
      </c>
      <c r="N53" s="64">
        <v>748.7</v>
      </c>
      <c r="O53" s="64">
        <v>0</v>
      </c>
      <c r="P53" s="64">
        <v>1.49</v>
      </c>
      <c r="Q53" s="64">
        <v>8.01</v>
      </c>
      <c r="R53" s="198"/>
      <c r="S53" s="198"/>
      <c r="T53" s="198"/>
      <c r="U53" s="198"/>
    </row>
    <row r="54" spans="1:21" s="12" customFormat="1" x14ac:dyDescent="0.25">
      <c r="A54" s="215" t="s">
        <v>870</v>
      </c>
      <c r="B54" s="64">
        <v>32.92</v>
      </c>
      <c r="C54" s="64">
        <v>52.64</v>
      </c>
      <c r="D54" s="64">
        <v>85.56</v>
      </c>
      <c r="E54" s="64">
        <v>0.43</v>
      </c>
      <c r="F54" s="64">
        <v>6.47</v>
      </c>
      <c r="G54" s="64">
        <v>199.77</v>
      </c>
      <c r="H54" s="64">
        <v>114.41</v>
      </c>
      <c r="I54" s="64">
        <v>1.46</v>
      </c>
      <c r="J54" s="64">
        <v>0.36</v>
      </c>
      <c r="K54" s="64">
        <v>348.57</v>
      </c>
      <c r="L54" s="64">
        <v>32.21</v>
      </c>
      <c r="M54" s="64">
        <v>27.83</v>
      </c>
      <c r="N54" s="64">
        <v>750.2</v>
      </c>
      <c r="O54" s="64">
        <v>0</v>
      </c>
      <c r="P54" s="64">
        <v>1.43</v>
      </c>
      <c r="Q54" s="64">
        <v>7.41</v>
      </c>
      <c r="R54" s="198"/>
      <c r="S54" s="198"/>
      <c r="T54" s="198"/>
      <c r="U54" s="198"/>
    </row>
    <row r="55" spans="1:21" s="12" customFormat="1" x14ac:dyDescent="0.25">
      <c r="A55" s="215" t="s">
        <v>871</v>
      </c>
      <c r="B55" s="64">
        <v>28.31</v>
      </c>
      <c r="C55" s="64">
        <v>45.84</v>
      </c>
      <c r="D55" s="64">
        <v>74.150000000000006</v>
      </c>
      <c r="E55" s="64">
        <v>0.66</v>
      </c>
      <c r="F55" s="64">
        <v>5.41</v>
      </c>
      <c r="G55" s="64">
        <v>199.77</v>
      </c>
      <c r="H55" s="64">
        <v>114.41</v>
      </c>
      <c r="I55" s="64">
        <v>1.47</v>
      </c>
      <c r="J55" s="64">
        <v>0.2</v>
      </c>
      <c r="K55" s="64">
        <v>154.75</v>
      </c>
      <c r="L55" s="64">
        <v>30.51</v>
      </c>
      <c r="M55" s="64">
        <v>27.88</v>
      </c>
      <c r="N55" s="64">
        <v>762.9</v>
      </c>
      <c r="O55" s="64">
        <v>0</v>
      </c>
      <c r="P55" s="64">
        <v>1.42</v>
      </c>
      <c r="Q55" s="64">
        <v>7.2</v>
      </c>
      <c r="R55" s="198"/>
      <c r="S55" s="198"/>
      <c r="T55" s="198"/>
      <c r="U55" s="198"/>
    </row>
    <row r="56" spans="1:21" s="12" customFormat="1" x14ac:dyDescent="0.25">
      <c r="A56" s="215" t="s">
        <v>872</v>
      </c>
      <c r="B56" s="64">
        <v>25.38</v>
      </c>
      <c r="C56" s="64">
        <v>45.78</v>
      </c>
      <c r="D56" s="64">
        <v>71.17</v>
      </c>
      <c r="E56" s="64">
        <v>0.56000000000000005</v>
      </c>
      <c r="F56" s="64">
        <v>4.13</v>
      </c>
      <c r="G56" s="64">
        <v>199.77</v>
      </c>
      <c r="H56" s="64">
        <v>114.41</v>
      </c>
      <c r="I56" s="64">
        <v>1.52</v>
      </c>
      <c r="J56" s="64">
        <v>0.54</v>
      </c>
      <c r="K56" s="64">
        <v>0.05</v>
      </c>
      <c r="L56" s="64">
        <v>30.58</v>
      </c>
      <c r="M56" s="64">
        <v>24.66</v>
      </c>
      <c r="N56" s="64">
        <v>794.3</v>
      </c>
      <c r="O56" s="64">
        <v>0</v>
      </c>
      <c r="P56" s="64">
        <v>1.38</v>
      </c>
      <c r="Q56" s="64">
        <v>6.78</v>
      </c>
      <c r="R56" s="198"/>
      <c r="S56" s="198"/>
      <c r="T56" s="198"/>
      <c r="U56" s="198"/>
    </row>
    <row r="57" spans="1:21" s="12" customFormat="1" x14ac:dyDescent="0.25">
      <c r="A57" s="215" t="s">
        <v>873</v>
      </c>
      <c r="B57" s="64">
        <v>22.54</v>
      </c>
      <c r="C57" s="64">
        <v>42.95</v>
      </c>
      <c r="D57" s="64">
        <v>65.489999999999995</v>
      </c>
      <c r="E57" s="64">
        <v>0.9</v>
      </c>
      <c r="F57" s="64">
        <v>5.66</v>
      </c>
      <c r="G57" s="64">
        <v>117.44</v>
      </c>
      <c r="H57" s="64">
        <v>94.5</v>
      </c>
      <c r="I57" s="64">
        <v>1.46</v>
      </c>
      <c r="J57" s="64">
        <v>0.82</v>
      </c>
      <c r="K57" s="64">
        <v>118.81</v>
      </c>
      <c r="L57" s="64">
        <v>30.06</v>
      </c>
      <c r="M57" s="64">
        <v>23.43</v>
      </c>
      <c r="N57" s="64">
        <v>789.9</v>
      </c>
      <c r="O57" s="64">
        <v>0</v>
      </c>
      <c r="P57" s="64">
        <v>1.3</v>
      </c>
      <c r="Q57" s="64">
        <v>6.47</v>
      </c>
      <c r="R57" s="198"/>
      <c r="S57" s="198"/>
      <c r="T57" s="198"/>
      <c r="U57" s="198"/>
    </row>
    <row r="58" spans="1:21" s="12" customFormat="1" x14ac:dyDescent="0.25">
      <c r="A58" s="215" t="s">
        <v>874</v>
      </c>
      <c r="B58" s="64">
        <v>19.54</v>
      </c>
      <c r="C58" s="64">
        <v>39.380000000000003</v>
      </c>
      <c r="D58" s="64">
        <v>58.92</v>
      </c>
      <c r="E58" s="64">
        <v>1.18</v>
      </c>
      <c r="F58" s="64">
        <v>4.42</v>
      </c>
      <c r="G58" s="64">
        <v>117.44</v>
      </c>
      <c r="H58" s="64">
        <v>94.5</v>
      </c>
      <c r="I58" s="64">
        <v>1.53</v>
      </c>
      <c r="J58" s="64">
        <v>1.1100000000000001</v>
      </c>
      <c r="K58" s="64">
        <v>109.97</v>
      </c>
      <c r="L58" s="64">
        <v>29.25</v>
      </c>
      <c r="M58" s="64">
        <v>24.28</v>
      </c>
      <c r="N58" s="64">
        <v>738.2</v>
      </c>
      <c r="O58" s="64">
        <v>0</v>
      </c>
      <c r="P58" s="64">
        <v>1.27</v>
      </c>
      <c r="Q58" s="64">
        <v>6.27</v>
      </c>
      <c r="R58" s="198"/>
      <c r="S58" s="198"/>
      <c r="T58" s="198"/>
      <c r="U58" s="198"/>
    </row>
    <row r="59" spans="1:21" s="12" customFormat="1" x14ac:dyDescent="0.25">
      <c r="A59" s="215" t="s">
        <v>875</v>
      </c>
      <c r="B59" s="64">
        <v>19.57</v>
      </c>
      <c r="C59" s="64">
        <v>37.979999999999997</v>
      </c>
      <c r="D59" s="64">
        <v>57.56</v>
      </c>
      <c r="E59" s="64">
        <v>1.02</v>
      </c>
      <c r="F59" s="64">
        <v>3.04</v>
      </c>
      <c r="G59" s="64">
        <v>117.44</v>
      </c>
      <c r="H59" s="64">
        <v>94.5</v>
      </c>
      <c r="I59" s="64">
        <v>1.47</v>
      </c>
      <c r="J59" s="64">
        <v>1.21</v>
      </c>
      <c r="K59" s="64">
        <v>105.36</v>
      </c>
      <c r="L59" s="64">
        <v>28.52</v>
      </c>
      <c r="M59" s="64">
        <v>25.59</v>
      </c>
      <c r="N59" s="64">
        <v>673.1</v>
      </c>
      <c r="O59" s="64">
        <v>0</v>
      </c>
      <c r="P59" s="64">
        <v>1.25</v>
      </c>
      <c r="Q59" s="64">
        <v>5.92</v>
      </c>
      <c r="R59" s="198"/>
      <c r="S59" s="198"/>
      <c r="T59" s="198"/>
      <c r="U59" s="198"/>
    </row>
    <row r="60" spans="1:21" s="12" customFormat="1" x14ac:dyDescent="0.25">
      <c r="A60" s="215" t="s">
        <v>876</v>
      </c>
      <c r="B60" s="64">
        <v>16.77</v>
      </c>
      <c r="C60" s="64">
        <v>37.39</v>
      </c>
      <c r="D60" s="64">
        <v>54.16</v>
      </c>
      <c r="E60" s="64">
        <v>0.97</v>
      </c>
      <c r="F60" s="64">
        <v>5.71</v>
      </c>
      <c r="G60" s="64">
        <v>117.44</v>
      </c>
      <c r="H60" s="64">
        <v>94.5</v>
      </c>
      <c r="I60" s="64">
        <v>1.45</v>
      </c>
      <c r="J60" s="64">
        <v>0.87</v>
      </c>
      <c r="K60" s="64">
        <v>109.75</v>
      </c>
      <c r="L60" s="64">
        <v>28.67</v>
      </c>
      <c r="M60" s="64">
        <v>26.52</v>
      </c>
      <c r="N60" s="64">
        <v>647.29999999999995</v>
      </c>
      <c r="O60" s="64">
        <v>0</v>
      </c>
      <c r="P60" s="64">
        <v>1.1499999999999999</v>
      </c>
      <c r="Q60" s="64">
        <v>5.58</v>
      </c>
      <c r="R60" s="198"/>
      <c r="S60" s="198"/>
      <c r="T60" s="198"/>
      <c r="U60" s="198"/>
    </row>
    <row r="61" spans="1:21" s="12" customFormat="1" x14ac:dyDescent="0.25">
      <c r="A61" s="215" t="s">
        <v>877</v>
      </c>
      <c r="B61" s="64">
        <v>13.18</v>
      </c>
      <c r="C61" s="64">
        <v>33.08</v>
      </c>
      <c r="D61" s="64">
        <v>46.26</v>
      </c>
      <c r="E61" s="64">
        <v>1.1100000000000001</v>
      </c>
      <c r="F61" s="64">
        <v>4.58</v>
      </c>
      <c r="G61" s="64">
        <v>69.3</v>
      </c>
      <c r="H61" s="64">
        <v>73.47</v>
      </c>
      <c r="I61" s="64">
        <v>1.52</v>
      </c>
      <c r="J61" s="64">
        <v>0.57999999999999996</v>
      </c>
      <c r="K61" s="64">
        <v>351.17</v>
      </c>
      <c r="L61" s="64">
        <v>30.18</v>
      </c>
      <c r="M61" s="64">
        <v>24.42</v>
      </c>
      <c r="N61" s="64">
        <v>649</v>
      </c>
      <c r="O61" s="64">
        <v>0</v>
      </c>
      <c r="P61" s="64">
        <v>1.07</v>
      </c>
      <c r="Q61" s="64">
        <v>5.4</v>
      </c>
      <c r="R61" s="198"/>
      <c r="S61" s="198"/>
      <c r="T61" s="198"/>
      <c r="U61" s="198"/>
    </row>
    <row r="62" spans="1:21" s="12" customFormat="1" x14ac:dyDescent="0.25">
      <c r="A62" s="215" t="s">
        <v>878</v>
      </c>
      <c r="B62" s="64">
        <v>11.42</v>
      </c>
      <c r="C62" s="64">
        <v>30.01</v>
      </c>
      <c r="D62" s="64">
        <v>41.43</v>
      </c>
      <c r="E62" s="64">
        <v>1.1399999999999999</v>
      </c>
      <c r="F62" s="64">
        <v>4.8499999999999996</v>
      </c>
      <c r="G62" s="64">
        <v>69.3</v>
      </c>
      <c r="H62" s="64">
        <v>73.47</v>
      </c>
      <c r="I62" s="64">
        <v>1.52</v>
      </c>
      <c r="J62" s="64">
        <v>0.9</v>
      </c>
      <c r="K62" s="64">
        <v>102.85</v>
      </c>
      <c r="L62" s="64">
        <v>28.99</v>
      </c>
      <c r="M62" s="64">
        <v>22.69</v>
      </c>
      <c r="N62" s="64">
        <v>645.70000000000005</v>
      </c>
      <c r="O62" s="64">
        <v>0</v>
      </c>
      <c r="P62" s="64">
        <v>1.05</v>
      </c>
      <c r="Q62" s="64">
        <v>5.17</v>
      </c>
      <c r="R62" s="198"/>
      <c r="S62" s="198"/>
      <c r="T62" s="198"/>
      <c r="U62" s="198"/>
    </row>
    <row r="63" spans="1:21" s="12" customFormat="1" x14ac:dyDescent="0.25">
      <c r="A63" s="215" t="s">
        <v>879</v>
      </c>
      <c r="B63" s="64">
        <v>10.48</v>
      </c>
      <c r="C63" s="64">
        <v>36.85</v>
      </c>
      <c r="D63" s="64">
        <v>47.33</v>
      </c>
      <c r="E63" s="64">
        <v>0.77</v>
      </c>
      <c r="F63" s="64">
        <v>3.26</v>
      </c>
      <c r="G63" s="64">
        <v>69.3</v>
      </c>
      <c r="H63" s="64">
        <v>73.47</v>
      </c>
      <c r="I63" s="64">
        <v>1.48</v>
      </c>
      <c r="J63" s="64">
        <v>0.44</v>
      </c>
      <c r="K63" s="64">
        <v>358.21</v>
      </c>
      <c r="L63" s="64">
        <v>29.01</v>
      </c>
      <c r="M63" s="64">
        <v>24.07</v>
      </c>
      <c r="N63" s="64">
        <v>584.5</v>
      </c>
      <c r="O63" s="64">
        <v>0</v>
      </c>
      <c r="P63" s="64">
        <v>1.02</v>
      </c>
      <c r="Q63" s="64">
        <v>4.8</v>
      </c>
      <c r="R63" s="198"/>
      <c r="S63" s="198"/>
      <c r="T63" s="198"/>
      <c r="U63" s="198"/>
    </row>
    <row r="64" spans="1:21" s="12" customFormat="1" x14ac:dyDescent="0.25">
      <c r="A64" s="215" t="s">
        <v>880</v>
      </c>
      <c r="B64" s="64">
        <v>8.9499999999999993</v>
      </c>
      <c r="C64" s="64">
        <v>35.69</v>
      </c>
      <c r="D64" s="64">
        <v>44.64</v>
      </c>
      <c r="E64" s="64">
        <v>0.88</v>
      </c>
      <c r="F64" s="64">
        <v>7.01</v>
      </c>
      <c r="G64" s="64">
        <v>69.3</v>
      </c>
      <c r="H64" s="64">
        <v>73.47</v>
      </c>
      <c r="I64" s="64">
        <v>1.5</v>
      </c>
      <c r="J64" s="64">
        <v>0.26</v>
      </c>
      <c r="K64" s="64">
        <v>323.83</v>
      </c>
      <c r="L64" s="64">
        <v>29.29</v>
      </c>
      <c r="M64" s="64">
        <v>23.79</v>
      </c>
      <c r="N64" s="64">
        <v>476</v>
      </c>
      <c r="O64" s="64">
        <v>0</v>
      </c>
      <c r="P64" s="64">
        <v>0.95</v>
      </c>
      <c r="Q64" s="64">
        <v>4.6500000000000004</v>
      </c>
      <c r="R64" s="198"/>
      <c r="S64" s="198"/>
      <c r="T64" s="198"/>
      <c r="U64" s="198"/>
    </row>
    <row r="65" spans="1:21" s="12" customFormat="1" x14ac:dyDescent="0.25">
      <c r="A65" s="215" t="s">
        <v>881</v>
      </c>
      <c r="B65" s="64">
        <v>9.58</v>
      </c>
      <c r="C65" s="64">
        <v>38.619999999999997</v>
      </c>
      <c r="D65" s="64">
        <v>48.2</v>
      </c>
      <c r="E65" s="64">
        <v>0.66</v>
      </c>
      <c r="F65" s="64">
        <v>4</v>
      </c>
      <c r="G65" s="64">
        <v>80.94</v>
      </c>
      <c r="H65" s="64">
        <v>59.13</v>
      </c>
      <c r="I65" s="64">
        <v>1.52</v>
      </c>
      <c r="J65" s="64">
        <v>0.63</v>
      </c>
      <c r="K65" s="64">
        <v>338.68</v>
      </c>
      <c r="L65" s="64">
        <v>29.63</v>
      </c>
      <c r="M65" s="64">
        <v>23.04</v>
      </c>
      <c r="N65" s="64">
        <v>192.8</v>
      </c>
      <c r="O65" s="64">
        <v>0</v>
      </c>
      <c r="P65" s="64">
        <v>0.95</v>
      </c>
      <c r="Q65" s="64">
        <v>4.68</v>
      </c>
      <c r="R65" s="198"/>
      <c r="S65" s="198"/>
      <c r="T65" s="198"/>
      <c r="U65" s="198"/>
    </row>
    <row r="66" spans="1:21" s="12" customFormat="1" x14ac:dyDescent="0.25">
      <c r="A66" s="215" t="s">
        <v>882</v>
      </c>
      <c r="B66" s="64">
        <v>8.86</v>
      </c>
      <c r="C66" s="64">
        <v>33.15</v>
      </c>
      <c r="D66" s="64">
        <v>42.01</v>
      </c>
      <c r="E66" s="64">
        <v>0.84</v>
      </c>
      <c r="F66" s="64">
        <v>7</v>
      </c>
      <c r="G66" s="64">
        <v>80.94</v>
      </c>
      <c r="H66" s="64">
        <v>59.13</v>
      </c>
      <c r="I66" s="64">
        <v>1.48</v>
      </c>
      <c r="J66" s="64">
        <v>0.24</v>
      </c>
      <c r="K66" s="64">
        <v>342.49</v>
      </c>
      <c r="L66" s="64">
        <v>28.94</v>
      </c>
      <c r="M66" s="64">
        <v>24.13</v>
      </c>
      <c r="N66" s="64">
        <v>171.5</v>
      </c>
      <c r="O66" s="64">
        <v>0</v>
      </c>
      <c r="P66" s="64">
        <v>0.9</v>
      </c>
      <c r="Q66" s="64">
        <v>5.03</v>
      </c>
      <c r="R66" s="198"/>
      <c r="S66" s="198"/>
      <c r="T66" s="198"/>
      <c r="U66" s="198"/>
    </row>
    <row r="67" spans="1:21" s="12" customFormat="1" x14ac:dyDescent="0.25">
      <c r="A67" s="215" t="s">
        <v>883</v>
      </c>
      <c r="B67" s="64">
        <v>7.14</v>
      </c>
      <c r="C67" s="64">
        <v>32.4</v>
      </c>
      <c r="D67" s="64">
        <v>39.54</v>
      </c>
      <c r="E67" s="64">
        <v>0.99</v>
      </c>
      <c r="F67" s="64">
        <v>9.6300000000000008</v>
      </c>
      <c r="G67" s="64">
        <v>80.94</v>
      </c>
      <c r="H67" s="64">
        <v>59.13</v>
      </c>
      <c r="I67" s="64">
        <v>1.43</v>
      </c>
      <c r="J67" s="64">
        <v>0.68</v>
      </c>
      <c r="K67" s="64">
        <v>351.04</v>
      </c>
      <c r="L67" s="64">
        <v>28.51</v>
      </c>
      <c r="M67" s="64">
        <v>24.79</v>
      </c>
      <c r="N67" s="64">
        <v>157.6</v>
      </c>
      <c r="O67" s="64">
        <v>0</v>
      </c>
      <c r="P67" s="64">
        <v>0.87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884</v>
      </c>
      <c r="B68" s="64">
        <v>6.79</v>
      </c>
      <c r="C68" s="64">
        <v>34.380000000000003</v>
      </c>
      <c r="D68" s="64">
        <v>41.17</v>
      </c>
      <c r="E68" s="64">
        <v>1.36</v>
      </c>
      <c r="F68" s="64">
        <v>16.89</v>
      </c>
      <c r="G68" s="64">
        <v>80.94</v>
      </c>
      <c r="H68" s="64">
        <v>59.13</v>
      </c>
      <c r="I68" s="64">
        <v>1.55</v>
      </c>
      <c r="J68" s="64">
        <v>0.54</v>
      </c>
      <c r="K68" s="64">
        <v>328.89</v>
      </c>
      <c r="L68" s="64">
        <v>28.44</v>
      </c>
      <c r="M68" s="64">
        <v>25.48</v>
      </c>
      <c r="N68" s="64">
        <v>142.30000000000001</v>
      </c>
      <c r="O68" s="64">
        <v>0</v>
      </c>
      <c r="P68" s="64">
        <v>0.83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885</v>
      </c>
      <c r="B69" s="64">
        <v>10.61</v>
      </c>
      <c r="C69" s="64">
        <v>39.75</v>
      </c>
      <c r="D69" s="64">
        <v>50.37</v>
      </c>
      <c r="E69" s="64">
        <v>1.45</v>
      </c>
      <c r="F69" s="64">
        <v>13.47</v>
      </c>
      <c r="G69" s="64">
        <v>85.97</v>
      </c>
      <c r="H69" s="64">
        <v>51.85</v>
      </c>
      <c r="I69" s="64">
        <v>1.49</v>
      </c>
      <c r="J69" s="64">
        <v>0.7</v>
      </c>
      <c r="K69" s="64">
        <v>340.22</v>
      </c>
      <c r="L69" s="64">
        <v>28.31</v>
      </c>
      <c r="M69" s="64">
        <v>25.72</v>
      </c>
      <c r="N69" s="64">
        <v>129.4</v>
      </c>
      <c r="O69" s="64">
        <v>0</v>
      </c>
      <c r="P69" s="64">
        <v>0.87</v>
      </c>
      <c r="Q69" s="64">
        <v>4.3899999999999997</v>
      </c>
      <c r="R69" s="198"/>
      <c r="S69" s="198"/>
      <c r="T69" s="198"/>
      <c r="U69" s="198"/>
    </row>
    <row r="70" spans="1:21" s="12" customFormat="1" x14ac:dyDescent="0.25">
      <c r="A70" s="215" t="s">
        <v>886</v>
      </c>
      <c r="B70" s="64">
        <v>8.93</v>
      </c>
      <c r="C70" s="64">
        <v>38.340000000000003</v>
      </c>
      <c r="D70" s="64">
        <v>47.27</v>
      </c>
      <c r="E70" s="64">
        <v>1.33</v>
      </c>
      <c r="F70" s="64">
        <v>12.35</v>
      </c>
      <c r="G70" s="64">
        <v>85.97</v>
      </c>
      <c r="H70" s="64">
        <v>51.85</v>
      </c>
      <c r="I70" s="64">
        <v>1.48</v>
      </c>
      <c r="J70" s="64">
        <v>1.04</v>
      </c>
      <c r="K70" s="64">
        <v>344.3</v>
      </c>
      <c r="L70" s="64">
        <v>27.97</v>
      </c>
      <c r="M70" s="64">
        <v>26.42</v>
      </c>
      <c r="N70" s="64">
        <v>121.1</v>
      </c>
      <c r="O70" s="64">
        <v>0</v>
      </c>
      <c r="P70" s="64">
        <v>0.82</v>
      </c>
      <c r="Q70" s="64">
        <v>5.04</v>
      </c>
      <c r="R70" s="198"/>
      <c r="S70" s="198"/>
      <c r="T70" s="198"/>
      <c r="U70" s="198"/>
    </row>
    <row r="71" spans="1:21" s="12" customFormat="1" x14ac:dyDescent="0.25">
      <c r="A71" s="215" t="s">
        <v>887</v>
      </c>
      <c r="B71" s="64">
        <v>8.91</v>
      </c>
      <c r="C71" s="64">
        <v>39.409999999999997</v>
      </c>
      <c r="D71" s="64">
        <v>48.32</v>
      </c>
      <c r="E71" s="64">
        <v>1.2</v>
      </c>
      <c r="F71" s="64">
        <v>10.48</v>
      </c>
      <c r="G71" s="64">
        <v>85.97</v>
      </c>
      <c r="H71" s="64">
        <v>51.85</v>
      </c>
      <c r="I71" s="64">
        <v>1.49</v>
      </c>
      <c r="J71" s="64">
        <v>0.81</v>
      </c>
      <c r="K71" s="64">
        <v>341.37</v>
      </c>
      <c r="L71" s="64">
        <v>27.8</v>
      </c>
      <c r="M71" s="64">
        <v>26.21</v>
      </c>
      <c r="N71" s="64">
        <v>105.7</v>
      </c>
      <c r="O71" s="64">
        <v>0</v>
      </c>
      <c r="P71" s="64">
        <v>0.86</v>
      </c>
      <c r="Q71" s="64">
        <v>3.86</v>
      </c>
      <c r="R71" s="198"/>
      <c r="S71" s="198"/>
      <c r="T71" s="198"/>
      <c r="U71" s="198"/>
    </row>
    <row r="72" spans="1:21" s="12" customFormat="1" x14ac:dyDescent="0.25">
      <c r="A72" s="215" t="s">
        <v>888</v>
      </c>
      <c r="B72" s="64">
        <v>7.61</v>
      </c>
      <c r="C72" s="64">
        <v>40.75</v>
      </c>
      <c r="D72" s="64">
        <v>48.36</v>
      </c>
      <c r="E72" s="64">
        <v>0.76</v>
      </c>
      <c r="F72" s="64">
        <v>19.97</v>
      </c>
      <c r="G72" s="64">
        <v>85.97</v>
      </c>
      <c r="H72" s="64">
        <v>51.85</v>
      </c>
      <c r="I72" s="64">
        <v>1.5</v>
      </c>
      <c r="J72" s="64">
        <v>0.2</v>
      </c>
      <c r="K72" s="64">
        <v>41.71</v>
      </c>
      <c r="L72" s="64">
        <v>27.22</v>
      </c>
      <c r="M72" s="64">
        <v>27.52</v>
      </c>
      <c r="N72" s="64">
        <v>93.1</v>
      </c>
      <c r="O72" s="64">
        <v>0</v>
      </c>
      <c r="P72" s="64">
        <v>0.79</v>
      </c>
      <c r="Q72" s="64">
        <v>4.68</v>
      </c>
      <c r="R72" s="198"/>
      <c r="S72" s="198"/>
      <c r="T72" s="198"/>
      <c r="U72" s="198"/>
    </row>
    <row r="73" spans="1:21" s="12" customFormat="1" x14ac:dyDescent="0.25">
      <c r="A73" s="215" t="s">
        <v>889</v>
      </c>
      <c r="B73" s="64">
        <v>7.65</v>
      </c>
      <c r="C73" s="64">
        <v>47.25</v>
      </c>
      <c r="D73" s="64">
        <v>54.9</v>
      </c>
      <c r="E73" s="64">
        <v>1.03</v>
      </c>
      <c r="F73" s="64">
        <v>12.58</v>
      </c>
      <c r="G73" s="64">
        <v>80.34</v>
      </c>
      <c r="H73" s="64">
        <v>44.43</v>
      </c>
      <c r="I73" s="64">
        <v>1.5</v>
      </c>
      <c r="J73" s="64">
        <v>0.25</v>
      </c>
      <c r="K73" s="64">
        <v>347.67</v>
      </c>
      <c r="L73" s="64">
        <v>26.7</v>
      </c>
      <c r="M73" s="64">
        <v>29.72</v>
      </c>
      <c r="N73" s="64">
        <v>80.7</v>
      </c>
      <c r="O73" s="64">
        <v>0</v>
      </c>
      <c r="P73" s="64">
        <v>0.89</v>
      </c>
      <c r="Q73" s="64">
        <v>4.18</v>
      </c>
      <c r="R73" s="198"/>
      <c r="S73" s="198"/>
      <c r="T73" s="198"/>
      <c r="U73" s="198"/>
    </row>
    <row r="74" spans="1:21" s="12" customFormat="1" x14ac:dyDescent="0.25">
      <c r="A74" s="215" t="s">
        <v>890</v>
      </c>
      <c r="B74" s="64">
        <v>17.5</v>
      </c>
      <c r="C74" s="64">
        <v>56.6</v>
      </c>
      <c r="D74" s="64">
        <v>73.959999999999994</v>
      </c>
      <c r="E74" s="64">
        <v>1.2</v>
      </c>
      <c r="F74" s="64">
        <v>9.57</v>
      </c>
      <c r="G74" s="64">
        <v>80.34</v>
      </c>
      <c r="H74" s="64">
        <v>44.43</v>
      </c>
      <c r="I74" s="64">
        <v>1.52</v>
      </c>
      <c r="J74" s="64">
        <v>0.28000000000000003</v>
      </c>
      <c r="K74" s="64">
        <v>337.55</v>
      </c>
      <c r="L74" s="64">
        <v>26.45</v>
      </c>
      <c r="M74" s="64">
        <v>30.42</v>
      </c>
      <c r="N74" s="64">
        <v>68.5</v>
      </c>
      <c r="O74" s="64">
        <v>0</v>
      </c>
      <c r="P74" s="64">
        <v>0.92</v>
      </c>
      <c r="Q74" s="64">
        <v>3.91</v>
      </c>
      <c r="R74" s="198"/>
      <c r="S74" s="198"/>
      <c r="T74" s="198"/>
      <c r="U74" s="198"/>
    </row>
    <row r="75" spans="1:21" s="12" customFormat="1" x14ac:dyDescent="0.25">
      <c r="A75" s="215" t="s">
        <v>891</v>
      </c>
      <c r="B75" s="64">
        <v>6.18</v>
      </c>
      <c r="C75" s="64">
        <v>53.74</v>
      </c>
      <c r="D75" s="64">
        <v>59.92</v>
      </c>
      <c r="E75" s="64">
        <v>1.24</v>
      </c>
      <c r="F75" s="64">
        <v>19.62</v>
      </c>
      <c r="G75" s="64">
        <v>80.34</v>
      </c>
      <c r="H75" s="64">
        <v>44.43</v>
      </c>
      <c r="I75" s="64">
        <v>1.54</v>
      </c>
      <c r="J75" s="64">
        <v>0.2</v>
      </c>
      <c r="K75" s="64">
        <v>71.75</v>
      </c>
      <c r="L75" s="64">
        <v>26.03</v>
      </c>
      <c r="M75" s="64">
        <v>30.86</v>
      </c>
      <c r="N75" s="64">
        <v>56.2</v>
      </c>
      <c r="O75" s="64">
        <v>0</v>
      </c>
      <c r="P75" s="64">
        <v>0.82</v>
      </c>
      <c r="Q75" s="64">
        <v>4.66</v>
      </c>
      <c r="R75" s="198"/>
      <c r="S75" s="198"/>
      <c r="T75" s="198"/>
      <c r="U75" s="198"/>
    </row>
    <row r="76" spans="1:21" s="12" customFormat="1" x14ac:dyDescent="0.25">
      <c r="A76" s="215" t="s">
        <v>892</v>
      </c>
      <c r="B76" s="64">
        <v>6.21</v>
      </c>
      <c r="C76" s="64">
        <v>46.52</v>
      </c>
      <c r="D76" s="64">
        <v>52.73</v>
      </c>
      <c r="E76" s="64">
        <v>1.27</v>
      </c>
      <c r="F76" s="64">
        <v>14.09</v>
      </c>
      <c r="G76" s="64">
        <v>80.34</v>
      </c>
      <c r="H76" s="64">
        <v>44.43</v>
      </c>
      <c r="I76" s="64">
        <v>1.5</v>
      </c>
      <c r="J76" s="64">
        <v>0.23</v>
      </c>
      <c r="K76" s="64">
        <v>90.02</v>
      </c>
      <c r="L76" s="64">
        <v>25.39</v>
      </c>
      <c r="M76" s="64">
        <v>32.56</v>
      </c>
      <c r="N76" s="64">
        <v>43.9</v>
      </c>
      <c r="O76" s="64">
        <v>0</v>
      </c>
      <c r="P76" s="64">
        <v>0.84</v>
      </c>
      <c r="Q76" s="64">
        <v>4.74</v>
      </c>
      <c r="R76" s="198"/>
      <c r="S76" s="198"/>
      <c r="T76" s="198"/>
      <c r="U76" s="198"/>
    </row>
    <row r="77" spans="1:21" s="12" customFormat="1" x14ac:dyDescent="0.25">
      <c r="A77" s="215" t="s">
        <v>893</v>
      </c>
      <c r="B77" s="64">
        <v>4.7</v>
      </c>
      <c r="C77" s="64">
        <v>53.53</v>
      </c>
      <c r="D77" s="64">
        <v>58.23</v>
      </c>
      <c r="E77" s="64">
        <v>1.65</v>
      </c>
      <c r="F77" s="64">
        <v>18.98</v>
      </c>
      <c r="G77" s="64">
        <v>115.97</v>
      </c>
      <c r="H77" s="64">
        <v>46.31</v>
      </c>
      <c r="I77" s="64">
        <v>1.56</v>
      </c>
      <c r="J77" s="64">
        <v>0.18</v>
      </c>
      <c r="K77" s="64">
        <v>65.19</v>
      </c>
      <c r="L77" s="64">
        <v>24.93</v>
      </c>
      <c r="M77" s="64">
        <v>34.33</v>
      </c>
      <c r="N77" s="64">
        <v>33.700000000000003</v>
      </c>
      <c r="O77" s="64">
        <v>0</v>
      </c>
      <c r="P77" s="64">
        <v>0.87</v>
      </c>
      <c r="Q77" s="64">
        <v>4.45</v>
      </c>
      <c r="R77" s="198"/>
      <c r="S77" s="198"/>
      <c r="T77" s="198"/>
      <c r="U77" s="198"/>
    </row>
    <row r="78" spans="1:21" s="12" customFormat="1" x14ac:dyDescent="0.25">
      <c r="A78" s="215" t="s">
        <v>894</v>
      </c>
      <c r="B78" s="64">
        <v>4.78</v>
      </c>
      <c r="C78" s="64">
        <v>57.85</v>
      </c>
      <c r="D78" s="64">
        <v>62.62</v>
      </c>
      <c r="E78" s="64">
        <v>1.24</v>
      </c>
      <c r="F78" s="64">
        <v>13.89</v>
      </c>
      <c r="G78" s="64">
        <v>115.97</v>
      </c>
      <c r="H78" s="64">
        <v>46.31</v>
      </c>
      <c r="I78" s="64">
        <v>1.46</v>
      </c>
      <c r="J78" s="64">
        <v>0.2</v>
      </c>
      <c r="K78" s="64">
        <v>66.17</v>
      </c>
      <c r="L78" s="64">
        <v>24.49</v>
      </c>
      <c r="M78" s="64">
        <v>36.58</v>
      </c>
      <c r="N78" s="64">
        <v>28.7</v>
      </c>
      <c r="O78" s="64">
        <v>0</v>
      </c>
      <c r="P78" s="64">
        <v>0.95</v>
      </c>
      <c r="Q78" s="64">
        <v>4.67</v>
      </c>
      <c r="R78" s="198"/>
      <c r="S78" s="198"/>
      <c r="T78" s="198"/>
      <c r="U78" s="198"/>
    </row>
    <row r="79" spans="1:21" s="12" customFormat="1" x14ac:dyDescent="0.25">
      <c r="A79" s="215" t="s">
        <v>895</v>
      </c>
      <c r="B79" s="64">
        <v>5.56</v>
      </c>
      <c r="C79" s="64">
        <v>50.53</v>
      </c>
      <c r="D79" s="64">
        <v>56.09</v>
      </c>
      <c r="E79" s="64">
        <v>1.47</v>
      </c>
      <c r="F79" s="64">
        <v>10.89</v>
      </c>
      <c r="G79" s="64">
        <v>115.97</v>
      </c>
      <c r="H79" s="64">
        <v>46.31</v>
      </c>
      <c r="I79" s="64">
        <v>1.47</v>
      </c>
      <c r="J79" s="64">
        <v>0.27</v>
      </c>
      <c r="K79" s="64">
        <v>110.15</v>
      </c>
      <c r="L79" s="64">
        <v>23.88</v>
      </c>
      <c r="M79" s="64">
        <v>39.56</v>
      </c>
      <c r="N79" s="64">
        <v>27.6</v>
      </c>
      <c r="O79" s="64">
        <v>0</v>
      </c>
      <c r="P79" s="64">
        <v>0.86</v>
      </c>
      <c r="Q79" s="64">
        <v>4.25</v>
      </c>
      <c r="R79" s="198"/>
      <c r="S79" s="198"/>
      <c r="T79" s="198"/>
      <c r="U79" s="198"/>
    </row>
    <row r="80" spans="1:21" s="12" customFormat="1" x14ac:dyDescent="0.25">
      <c r="A80" s="215" t="s">
        <v>896</v>
      </c>
      <c r="B80" s="64">
        <v>4.43</v>
      </c>
      <c r="C80" s="64">
        <v>43.53</v>
      </c>
      <c r="D80" s="64">
        <v>47.96</v>
      </c>
      <c r="E80" s="64">
        <v>1.1499999999999999</v>
      </c>
      <c r="F80" s="64">
        <v>10.039999999999999</v>
      </c>
      <c r="G80" s="64">
        <v>115.97</v>
      </c>
      <c r="H80" s="64">
        <v>46.31</v>
      </c>
      <c r="I80" s="64">
        <v>1.42</v>
      </c>
      <c r="J80" s="64">
        <v>0.44</v>
      </c>
      <c r="K80" s="64">
        <v>111.71</v>
      </c>
      <c r="L80" s="64">
        <v>24.07</v>
      </c>
      <c r="M80" s="64">
        <v>39.869999999999997</v>
      </c>
      <c r="N80" s="64">
        <v>26.7</v>
      </c>
      <c r="O80" s="64">
        <v>0</v>
      </c>
      <c r="P80" s="64">
        <v>0.89</v>
      </c>
      <c r="Q80" s="64">
        <v>5.1100000000000003</v>
      </c>
      <c r="R80" s="198"/>
      <c r="S80" s="198"/>
      <c r="T80" s="198"/>
      <c r="U80" s="198"/>
    </row>
    <row r="81" spans="1:26" s="12" customFormat="1" x14ac:dyDescent="0.25">
      <c r="A81" s="215" t="s">
        <v>897</v>
      </c>
      <c r="B81" s="64">
        <v>3.54</v>
      </c>
      <c r="C81" s="64">
        <v>58.2</v>
      </c>
      <c r="D81" s="64">
        <v>61.74</v>
      </c>
      <c r="E81" s="64">
        <v>1.34</v>
      </c>
      <c r="F81" s="64">
        <v>14</v>
      </c>
      <c r="G81" s="64">
        <v>95.82</v>
      </c>
      <c r="H81" s="64">
        <v>46.85</v>
      </c>
      <c r="I81" s="64">
        <v>1.47</v>
      </c>
      <c r="J81" s="64">
        <v>0.1</v>
      </c>
      <c r="K81" s="64">
        <v>126.12</v>
      </c>
      <c r="L81" s="64">
        <v>23.81</v>
      </c>
      <c r="M81" s="64">
        <v>39.96</v>
      </c>
      <c r="N81" s="64">
        <v>28</v>
      </c>
      <c r="O81" s="64">
        <v>0</v>
      </c>
      <c r="P81" s="64">
        <v>0.95</v>
      </c>
      <c r="Q81" s="64">
        <v>4.68</v>
      </c>
      <c r="R81" s="198"/>
      <c r="S81" s="198"/>
      <c r="T81" s="198"/>
      <c r="U81" s="198"/>
    </row>
    <row r="82" spans="1:26" s="12" customFormat="1" x14ac:dyDescent="0.25">
      <c r="A82" s="215" t="s">
        <v>898</v>
      </c>
      <c r="B82" s="64">
        <v>5.66</v>
      </c>
      <c r="C82" s="64">
        <v>53.99</v>
      </c>
      <c r="D82" s="64">
        <v>59.65</v>
      </c>
      <c r="E82" s="64">
        <v>1.25</v>
      </c>
      <c r="F82" s="64">
        <v>6.57</v>
      </c>
      <c r="G82" s="64">
        <v>95.82</v>
      </c>
      <c r="H82" s="64">
        <v>46.85</v>
      </c>
      <c r="I82" s="64">
        <v>1.48</v>
      </c>
      <c r="J82" s="64">
        <v>0.08</v>
      </c>
      <c r="K82" s="64">
        <v>80.42</v>
      </c>
      <c r="L82" s="64">
        <v>23.55</v>
      </c>
      <c r="M82" s="64">
        <v>38.409999999999997</v>
      </c>
      <c r="N82" s="64">
        <v>28.2</v>
      </c>
      <c r="O82" s="64">
        <v>0</v>
      </c>
      <c r="P82" s="64">
        <v>0.99</v>
      </c>
      <c r="Q82" s="64">
        <v>4.5999999999999996</v>
      </c>
      <c r="R82" s="198"/>
      <c r="S82" s="198"/>
      <c r="T82" s="198"/>
      <c r="U82" s="198"/>
    </row>
    <row r="83" spans="1:26" s="12" customFormat="1" x14ac:dyDescent="0.25">
      <c r="A83" s="215" t="s">
        <v>899</v>
      </c>
      <c r="B83" s="64">
        <v>3.45</v>
      </c>
      <c r="C83" s="64">
        <v>65.98</v>
      </c>
      <c r="D83" s="64">
        <v>69.430000000000007</v>
      </c>
      <c r="E83" s="64">
        <v>1.17</v>
      </c>
      <c r="F83" s="64">
        <v>8.0500000000000007</v>
      </c>
      <c r="G83" s="64">
        <v>95.82</v>
      </c>
      <c r="H83" s="64">
        <v>46.85</v>
      </c>
      <c r="I83" s="64">
        <v>1.52</v>
      </c>
      <c r="J83" s="64">
        <v>0.02</v>
      </c>
      <c r="K83" s="64">
        <v>247.18</v>
      </c>
      <c r="L83" s="64">
        <v>22.99</v>
      </c>
      <c r="M83" s="64">
        <v>41.85</v>
      </c>
      <c r="N83" s="64">
        <v>28.6</v>
      </c>
      <c r="O83" s="64">
        <v>0</v>
      </c>
      <c r="P83" s="64">
        <v>1.03</v>
      </c>
      <c r="Q83" s="64">
        <v>4.4800000000000004</v>
      </c>
      <c r="R83" s="198"/>
      <c r="S83" s="198"/>
      <c r="T83" s="198"/>
      <c r="U83" s="198"/>
    </row>
    <row r="84" spans="1:26" s="12" customFormat="1" x14ac:dyDescent="0.25">
      <c r="A84" s="215" t="s">
        <v>900</v>
      </c>
      <c r="B84" s="64">
        <v>32.43</v>
      </c>
      <c r="C84" s="64">
        <v>58.2</v>
      </c>
      <c r="D84" s="64">
        <v>90.64</v>
      </c>
      <c r="E84" s="64">
        <v>0.91</v>
      </c>
      <c r="F84" s="64">
        <v>1.96</v>
      </c>
      <c r="G84" s="64">
        <v>95.82</v>
      </c>
      <c r="H84" s="64">
        <v>46.85</v>
      </c>
      <c r="I84" s="64">
        <v>1.62</v>
      </c>
      <c r="J84" s="64">
        <v>0.08</v>
      </c>
      <c r="K84" s="64">
        <v>286.55</v>
      </c>
      <c r="L84" s="64">
        <v>22.28</v>
      </c>
      <c r="M84" s="64">
        <v>49.79</v>
      </c>
      <c r="N84" s="64">
        <v>28.6</v>
      </c>
      <c r="O84" s="64">
        <v>0</v>
      </c>
      <c r="P84" s="64">
        <v>1.48</v>
      </c>
      <c r="Q84" s="64">
        <v>3.1</v>
      </c>
      <c r="R84" s="198"/>
      <c r="S84" s="198"/>
      <c r="T84" s="198"/>
      <c r="U84" s="198"/>
    </row>
    <row r="85" spans="1:26" s="12" customFormat="1" x14ac:dyDescent="0.25">
      <c r="A85" s="215" t="s">
        <v>901</v>
      </c>
      <c r="B85" s="64">
        <v>20.45</v>
      </c>
      <c r="C85" s="64">
        <v>47.13</v>
      </c>
      <c r="D85" s="64">
        <v>67.58</v>
      </c>
      <c r="E85" s="64">
        <v>0.81</v>
      </c>
      <c r="F85" s="64">
        <v>0.69</v>
      </c>
      <c r="G85" s="210" t="s">
        <v>36</v>
      </c>
      <c r="H85" s="210" t="s">
        <v>36</v>
      </c>
      <c r="I85" s="64">
        <v>1.51</v>
      </c>
      <c r="J85" s="64">
        <v>0.12</v>
      </c>
      <c r="K85" s="64">
        <v>282.89</v>
      </c>
      <c r="L85" s="64">
        <v>21.6</v>
      </c>
      <c r="M85" s="64">
        <v>52.92</v>
      </c>
      <c r="N85" s="64">
        <v>28.4</v>
      </c>
      <c r="O85" s="64">
        <v>0</v>
      </c>
      <c r="P85" s="64">
        <v>1.1499999999999999</v>
      </c>
      <c r="Q85" s="64">
        <v>2.36</v>
      </c>
      <c r="R85" s="198"/>
      <c r="S85" s="198"/>
      <c r="T85" s="198"/>
      <c r="U85" s="198"/>
    </row>
    <row r="86" spans="1:26" s="12" customFormat="1" x14ac:dyDescent="0.25">
      <c r="A86" s="215" t="s">
        <v>902</v>
      </c>
      <c r="B86" s="64">
        <v>26.15</v>
      </c>
      <c r="C86" s="64">
        <v>40.479999999999997</v>
      </c>
      <c r="D86" s="64">
        <v>66.5</v>
      </c>
      <c r="E86" s="64">
        <v>0.73</v>
      </c>
      <c r="F86" s="64">
        <v>0.51</v>
      </c>
      <c r="G86" s="210" t="s">
        <v>36</v>
      </c>
      <c r="H86" s="210" t="s">
        <v>36</v>
      </c>
      <c r="I86" s="64">
        <v>1.47</v>
      </c>
      <c r="J86" s="64">
        <v>0.16</v>
      </c>
      <c r="K86" s="64">
        <v>317.42</v>
      </c>
      <c r="L86" s="64">
        <v>21.23</v>
      </c>
      <c r="M86" s="64">
        <v>56.76</v>
      </c>
      <c r="N86" s="64">
        <v>28.4</v>
      </c>
      <c r="O86" s="64">
        <v>0</v>
      </c>
      <c r="P86" s="64">
        <v>1.35</v>
      </c>
      <c r="Q86" s="64">
        <v>2.0499999999999998</v>
      </c>
      <c r="R86" s="198"/>
      <c r="S86" s="198"/>
      <c r="T86" s="198"/>
      <c r="U86" s="198"/>
    </row>
    <row r="87" spans="1:26" s="12" customFormat="1" x14ac:dyDescent="0.25">
      <c r="A87" s="215" t="s">
        <v>903</v>
      </c>
      <c r="B87" s="64">
        <v>24.16</v>
      </c>
      <c r="C87" s="64">
        <v>44.31</v>
      </c>
      <c r="D87" s="64">
        <v>68.47</v>
      </c>
      <c r="E87" s="64">
        <v>0.61</v>
      </c>
      <c r="F87" s="64">
        <v>0.27</v>
      </c>
      <c r="G87" s="210" t="s">
        <v>36</v>
      </c>
      <c r="H87" s="210" t="s">
        <v>36</v>
      </c>
      <c r="I87" s="64">
        <v>1.5</v>
      </c>
      <c r="J87" s="64">
        <v>0.15</v>
      </c>
      <c r="K87" s="64">
        <v>282.08</v>
      </c>
      <c r="L87" s="64">
        <v>21.16</v>
      </c>
      <c r="M87" s="64">
        <v>57.27</v>
      </c>
      <c r="N87" s="64">
        <v>27.9</v>
      </c>
      <c r="O87" s="64">
        <v>0</v>
      </c>
      <c r="P87" s="64">
        <v>1.38</v>
      </c>
      <c r="Q87" s="64">
        <v>3.25</v>
      </c>
      <c r="R87" s="198"/>
      <c r="S87" s="198"/>
      <c r="T87" s="198"/>
      <c r="U87" s="198"/>
    </row>
    <row r="88" spans="1:26" s="12" customFormat="1" x14ac:dyDescent="0.25">
      <c r="A88" s="215" t="s">
        <v>904</v>
      </c>
      <c r="B88" s="64">
        <v>38.86</v>
      </c>
      <c r="C88" s="64">
        <v>43.65</v>
      </c>
      <c r="D88" s="64">
        <v>82.51</v>
      </c>
      <c r="E88" s="64">
        <v>0.39</v>
      </c>
      <c r="F88" s="64">
        <v>0.3</v>
      </c>
      <c r="G88" s="210" t="s">
        <v>36</v>
      </c>
      <c r="H88" s="210" t="s">
        <v>36</v>
      </c>
      <c r="I88" s="64">
        <v>1.54</v>
      </c>
      <c r="J88" s="64">
        <v>0.13</v>
      </c>
      <c r="K88" s="64">
        <v>311.12</v>
      </c>
      <c r="L88" s="64">
        <v>20.92</v>
      </c>
      <c r="M88" s="64">
        <v>58.41</v>
      </c>
      <c r="N88" s="64">
        <v>28.2</v>
      </c>
      <c r="O88" s="64">
        <v>0</v>
      </c>
      <c r="P88" s="64">
        <v>1.5</v>
      </c>
      <c r="Q88" s="64">
        <v>2.82</v>
      </c>
      <c r="R88" s="198"/>
      <c r="S88" s="198"/>
      <c r="T88" s="198"/>
      <c r="U88" s="198"/>
    </row>
    <row r="89" spans="1:26" s="12" customFormat="1" x14ac:dyDescent="0.25">
      <c r="A89" s="215" t="s">
        <v>905</v>
      </c>
      <c r="B89" s="64">
        <v>56.34</v>
      </c>
      <c r="C89" s="64">
        <v>52.44</v>
      </c>
      <c r="D89" s="64">
        <v>108.78</v>
      </c>
      <c r="E89" s="64">
        <v>0.66</v>
      </c>
      <c r="F89" s="64">
        <v>0.31</v>
      </c>
      <c r="G89" s="210" t="s">
        <v>36</v>
      </c>
      <c r="H89" s="210" t="s">
        <v>36</v>
      </c>
      <c r="I89" s="64">
        <v>1.43</v>
      </c>
      <c r="J89" s="64">
        <v>0.15</v>
      </c>
      <c r="K89" s="64">
        <v>331.53</v>
      </c>
      <c r="L89" s="64">
        <v>20.47</v>
      </c>
      <c r="M89" s="64">
        <v>63.1</v>
      </c>
      <c r="N89" s="64">
        <v>28.4</v>
      </c>
      <c r="O89" s="64">
        <v>0</v>
      </c>
      <c r="P89" s="64">
        <v>2.06</v>
      </c>
      <c r="Q89" s="64">
        <v>1.82</v>
      </c>
      <c r="R89" s="198"/>
      <c r="S89" s="198"/>
      <c r="T89" s="198"/>
      <c r="U89" s="198"/>
    </row>
    <row r="90" spans="1:26" s="12" customFormat="1" x14ac:dyDescent="0.25">
      <c r="A90" s="215" t="s">
        <v>906</v>
      </c>
      <c r="B90" s="64">
        <v>46.16</v>
      </c>
      <c r="C90" s="64">
        <v>38.53</v>
      </c>
      <c r="D90" s="64">
        <v>84.69</v>
      </c>
      <c r="E90" s="64">
        <v>0.71</v>
      </c>
      <c r="F90" s="64">
        <v>0.17</v>
      </c>
      <c r="G90" s="210" t="s">
        <v>36</v>
      </c>
      <c r="H90" s="210" t="s">
        <v>36</v>
      </c>
      <c r="I90" s="64">
        <v>1.54</v>
      </c>
      <c r="J90" s="64">
        <v>0.1</v>
      </c>
      <c r="K90" s="64">
        <v>311.77999999999997</v>
      </c>
      <c r="L90" s="64">
        <v>20.059999999999999</v>
      </c>
      <c r="M90" s="64">
        <v>62.64</v>
      </c>
      <c r="N90" s="64">
        <v>28.3</v>
      </c>
      <c r="O90" s="64">
        <v>0</v>
      </c>
      <c r="P90" s="64">
        <v>1.72</v>
      </c>
      <c r="Q90" s="64">
        <v>4.58</v>
      </c>
      <c r="R90" s="198"/>
      <c r="S90" s="198"/>
      <c r="T90" s="198"/>
      <c r="U90" s="198"/>
    </row>
    <row r="91" spans="1:26" s="12" customFormat="1" x14ac:dyDescent="0.25">
      <c r="A91" s="215" t="s">
        <v>907</v>
      </c>
      <c r="B91" s="64">
        <v>72.95</v>
      </c>
      <c r="C91" s="64">
        <v>52.55</v>
      </c>
      <c r="D91" s="64">
        <v>125.51</v>
      </c>
      <c r="E91" s="64">
        <v>0.81</v>
      </c>
      <c r="F91" s="64">
        <v>0.3</v>
      </c>
      <c r="G91" s="210" t="s">
        <v>36</v>
      </c>
      <c r="H91" s="210" t="s">
        <v>36</v>
      </c>
      <c r="I91" s="64">
        <v>1.54</v>
      </c>
      <c r="J91" s="64">
        <v>0.09</v>
      </c>
      <c r="K91" s="64">
        <v>296.82</v>
      </c>
      <c r="L91" s="64">
        <v>19.98</v>
      </c>
      <c r="M91" s="64">
        <v>63.59</v>
      </c>
      <c r="N91" s="64">
        <v>28.3</v>
      </c>
      <c r="O91" s="64">
        <v>0</v>
      </c>
      <c r="P91" s="64">
        <v>2.09</v>
      </c>
      <c r="Q91" s="64">
        <v>3.5</v>
      </c>
      <c r="R91" s="198"/>
      <c r="S91" s="198"/>
      <c r="T91" s="198"/>
      <c r="U91" s="198"/>
    </row>
    <row r="92" spans="1:26" s="12" customFormat="1" x14ac:dyDescent="0.25">
      <c r="A92" s="215" t="s">
        <v>908</v>
      </c>
      <c r="B92" s="64">
        <v>76.72</v>
      </c>
      <c r="C92" s="64">
        <v>47.09</v>
      </c>
      <c r="D92" s="64">
        <v>123.8</v>
      </c>
      <c r="E92" s="64">
        <v>0.78</v>
      </c>
      <c r="F92" s="64">
        <v>0.14000000000000001</v>
      </c>
      <c r="G92" s="210" t="s">
        <v>36</v>
      </c>
      <c r="H92" s="210" t="s">
        <v>36</v>
      </c>
      <c r="I92" s="64">
        <v>1.53</v>
      </c>
      <c r="J92" s="64">
        <v>0.1</v>
      </c>
      <c r="K92" s="64">
        <v>288.88</v>
      </c>
      <c r="L92" s="64">
        <v>19.79</v>
      </c>
      <c r="M92" s="64">
        <v>66.31</v>
      </c>
      <c r="N92" s="64">
        <v>28.2</v>
      </c>
      <c r="O92" s="64">
        <v>0</v>
      </c>
      <c r="P92" s="64">
        <v>2.0499999999999998</v>
      </c>
      <c r="Q92" s="64">
        <v>5.17</v>
      </c>
      <c r="R92" s="198"/>
      <c r="S92" s="198"/>
      <c r="T92" s="198"/>
      <c r="U92" s="198"/>
    </row>
    <row r="93" spans="1:26" s="12" customFormat="1" x14ac:dyDescent="0.25">
      <c r="A93" s="215" t="s">
        <v>909</v>
      </c>
      <c r="B93" s="64">
        <v>106.34</v>
      </c>
      <c r="C93" s="64">
        <v>56.38</v>
      </c>
      <c r="D93" s="64">
        <v>162.72</v>
      </c>
      <c r="E93" s="64">
        <v>0.76</v>
      </c>
      <c r="F93" s="64">
        <v>0.28999999999999998</v>
      </c>
      <c r="G93" s="210" t="s">
        <v>36</v>
      </c>
      <c r="H93" s="210" t="s">
        <v>36</v>
      </c>
      <c r="I93" s="64">
        <v>1.5</v>
      </c>
      <c r="J93" s="64">
        <v>0.15</v>
      </c>
      <c r="K93" s="64">
        <v>331.32</v>
      </c>
      <c r="L93" s="64">
        <v>19.690000000000001</v>
      </c>
      <c r="M93" s="64">
        <v>68.989999999999995</v>
      </c>
      <c r="N93" s="64">
        <v>28.3</v>
      </c>
      <c r="O93" s="64">
        <v>0</v>
      </c>
      <c r="P93" s="64">
        <v>2.34</v>
      </c>
      <c r="Q93" s="64">
        <v>5</v>
      </c>
      <c r="R93" s="198"/>
      <c r="S93" s="198"/>
      <c r="T93" s="198"/>
      <c r="U93" s="198"/>
    </row>
    <row r="94" spans="1:26" s="12" customFormat="1" x14ac:dyDescent="0.25">
      <c r="A94" s="215" t="s">
        <v>910</v>
      </c>
      <c r="B94" s="64">
        <v>77.89</v>
      </c>
      <c r="C94" s="64">
        <v>39.58</v>
      </c>
      <c r="D94" s="64">
        <v>117.47</v>
      </c>
      <c r="E94" s="64">
        <v>0.81</v>
      </c>
      <c r="F94" s="64">
        <v>0.14000000000000001</v>
      </c>
      <c r="G94" s="210" t="s">
        <v>36</v>
      </c>
      <c r="H94" s="210" t="s">
        <v>36</v>
      </c>
      <c r="I94" s="64">
        <v>1.53</v>
      </c>
      <c r="J94" s="64">
        <v>0.12</v>
      </c>
      <c r="K94" s="64">
        <v>277.14999999999998</v>
      </c>
      <c r="L94" s="64">
        <v>19.7</v>
      </c>
      <c r="M94" s="64">
        <v>69.63</v>
      </c>
      <c r="N94" s="64">
        <v>28.2</v>
      </c>
      <c r="O94" s="64">
        <v>0</v>
      </c>
      <c r="P94" s="64">
        <v>2.1</v>
      </c>
      <c r="Q94" s="64">
        <v>7</v>
      </c>
      <c r="R94" s="198"/>
      <c r="S94" s="198"/>
      <c r="T94" s="198"/>
      <c r="U94" s="198"/>
    </row>
    <row r="95" spans="1:26" s="12" customFormat="1" x14ac:dyDescent="0.25">
      <c r="A95" s="215" t="s">
        <v>911</v>
      </c>
      <c r="B95" s="64">
        <v>87.42</v>
      </c>
      <c r="C95" s="64">
        <v>40.25</v>
      </c>
      <c r="D95" s="64">
        <v>127.67</v>
      </c>
      <c r="E95" s="64">
        <v>0.72</v>
      </c>
      <c r="F95" s="64">
        <v>0.22</v>
      </c>
      <c r="G95" s="210" t="s">
        <v>36</v>
      </c>
      <c r="H95" s="210" t="s">
        <v>36</v>
      </c>
      <c r="I95" s="64">
        <v>1.53</v>
      </c>
      <c r="J95" s="64">
        <v>0.08</v>
      </c>
      <c r="K95" s="64">
        <v>322.31</v>
      </c>
      <c r="L95" s="64">
        <v>19.34</v>
      </c>
      <c r="M95" s="64">
        <v>73.040000000000006</v>
      </c>
      <c r="N95" s="64">
        <v>28.4</v>
      </c>
      <c r="O95" s="64">
        <v>0</v>
      </c>
      <c r="P95" s="64">
        <v>2.17</v>
      </c>
      <c r="Q95" s="64">
        <v>8.84</v>
      </c>
      <c r="R95" s="198"/>
      <c r="S95" s="198"/>
      <c r="T95" s="198"/>
      <c r="U95" s="198"/>
    </row>
    <row r="96" spans="1:26" s="12" customFormat="1" x14ac:dyDescent="0.25">
      <c r="A96" s="215" t="s">
        <v>912</v>
      </c>
      <c r="B96" s="64">
        <v>98.03</v>
      </c>
      <c r="C96" s="64">
        <v>33.72</v>
      </c>
      <c r="D96" s="64">
        <v>131.72</v>
      </c>
      <c r="E96" s="64">
        <v>0.63</v>
      </c>
      <c r="F96" s="64">
        <v>0.51</v>
      </c>
      <c r="G96" s="210" t="s">
        <v>36</v>
      </c>
      <c r="H96" s="210" t="s">
        <v>36</v>
      </c>
      <c r="I96" s="64">
        <v>1.48</v>
      </c>
      <c r="J96" s="64">
        <v>0.08</v>
      </c>
      <c r="K96" s="64">
        <v>279.61</v>
      </c>
      <c r="L96" s="64">
        <v>19.04</v>
      </c>
      <c r="M96" s="64">
        <v>73.2</v>
      </c>
      <c r="N96" s="64">
        <v>28.3</v>
      </c>
      <c r="O96" s="64">
        <v>0</v>
      </c>
      <c r="P96" s="64">
        <v>2.2999999999999998</v>
      </c>
      <c r="Q96" s="64">
        <v>8.49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913</v>
      </c>
      <c r="B97" s="64">
        <v>100.48</v>
      </c>
      <c r="C97" s="64">
        <v>42.4</v>
      </c>
      <c r="D97" s="64">
        <v>142.88</v>
      </c>
      <c r="E97" s="64">
        <v>0.62</v>
      </c>
      <c r="F97" s="64">
        <v>0.08</v>
      </c>
      <c r="G97" s="210" t="s">
        <v>36</v>
      </c>
      <c r="H97" s="210" t="s">
        <v>36</v>
      </c>
      <c r="I97" s="64">
        <v>1.5</v>
      </c>
      <c r="J97" s="64">
        <v>0.05</v>
      </c>
      <c r="K97" s="64">
        <v>267.79000000000002</v>
      </c>
      <c r="L97" s="64">
        <v>18.940000000000001</v>
      </c>
      <c r="M97" s="64">
        <v>75.099999999999994</v>
      </c>
      <c r="N97" s="64">
        <v>28.3</v>
      </c>
      <c r="O97" s="64">
        <v>0</v>
      </c>
      <c r="P97" s="64">
        <v>2.31</v>
      </c>
      <c r="Q97" s="64">
        <v>10.63</v>
      </c>
      <c r="R97" s="198"/>
      <c r="S97" s="198"/>
      <c r="T97" s="198"/>
      <c r="U97" s="198"/>
    </row>
    <row r="98" spans="1:33" s="12" customFormat="1" x14ac:dyDescent="0.25">
      <c r="A98" s="215" t="s">
        <v>914</v>
      </c>
      <c r="B98" s="64">
        <v>107.32</v>
      </c>
      <c r="C98" s="64">
        <v>40.04</v>
      </c>
      <c r="D98" s="64">
        <v>147.36000000000001</v>
      </c>
      <c r="E98" s="64">
        <v>0.6</v>
      </c>
      <c r="F98" s="64">
        <v>0.17</v>
      </c>
      <c r="G98" s="210" t="s">
        <v>36</v>
      </c>
      <c r="H98" s="210" t="s">
        <v>36</v>
      </c>
      <c r="I98" s="64">
        <v>1.51</v>
      </c>
      <c r="J98" s="64">
        <v>0.1</v>
      </c>
      <c r="K98" s="64">
        <v>297.18</v>
      </c>
      <c r="L98" s="64">
        <v>18.75</v>
      </c>
      <c r="M98" s="64">
        <v>77.92</v>
      </c>
      <c r="N98" s="64">
        <v>28.1</v>
      </c>
      <c r="O98" s="64">
        <v>0</v>
      </c>
      <c r="P98" s="64">
        <v>2.37</v>
      </c>
      <c r="Q98" s="64">
        <v>11.83</v>
      </c>
      <c r="R98" s="198"/>
      <c r="S98" s="198"/>
      <c r="T98" s="198"/>
      <c r="U98" s="198"/>
    </row>
    <row r="99" spans="1:33" s="12" customFormat="1" x14ac:dyDescent="0.25">
      <c r="A99" s="215" t="s">
        <v>915</v>
      </c>
      <c r="B99" s="64">
        <v>118.89</v>
      </c>
      <c r="C99" s="64">
        <v>36.85</v>
      </c>
      <c r="D99" s="64">
        <v>155.74</v>
      </c>
      <c r="E99" s="64">
        <v>0.65</v>
      </c>
      <c r="F99" s="64">
        <v>0.3</v>
      </c>
      <c r="G99" s="210" t="s">
        <v>36</v>
      </c>
      <c r="H99" s="210" t="s">
        <v>36</v>
      </c>
      <c r="I99" s="64">
        <v>1.48</v>
      </c>
      <c r="J99" s="64">
        <v>0.12</v>
      </c>
      <c r="K99" s="64">
        <v>272.43</v>
      </c>
      <c r="L99" s="64">
        <v>18.64</v>
      </c>
      <c r="M99" s="64">
        <v>78.8</v>
      </c>
      <c r="N99" s="64">
        <v>28.1</v>
      </c>
      <c r="O99" s="64">
        <v>0</v>
      </c>
      <c r="P99" s="64">
        <v>2.4500000000000002</v>
      </c>
      <c r="Q99" s="64">
        <v>12.52</v>
      </c>
      <c r="R99" s="198"/>
      <c r="S99" s="198"/>
      <c r="T99" s="198"/>
      <c r="U99" s="198"/>
    </row>
    <row r="100" spans="1:33" s="12" customFormat="1" x14ac:dyDescent="0.25">
      <c r="A100" s="215" t="s">
        <v>916</v>
      </c>
      <c r="B100" s="64">
        <v>120.77</v>
      </c>
      <c r="C100" s="64">
        <v>40.31</v>
      </c>
      <c r="D100" s="64">
        <v>161.09</v>
      </c>
      <c r="E100" s="64">
        <v>0.65</v>
      </c>
      <c r="F100" s="64">
        <v>0.06</v>
      </c>
      <c r="G100" s="210" t="s">
        <v>36</v>
      </c>
      <c r="H100" s="210" t="s">
        <v>36</v>
      </c>
      <c r="I100" s="64">
        <v>1.51</v>
      </c>
      <c r="J100" s="64">
        <v>0.11</v>
      </c>
      <c r="K100" s="64">
        <v>250.3</v>
      </c>
      <c r="L100" s="64">
        <v>18.68</v>
      </c>
      <c r="M100" s="64">
        <v>77.989999999999995</v>
      </c>
      <c r="N100" s="64">
        <v>28.2</v>
      </c>
      <c r="O100" s="64">
        <v>0</v>
      </c>
      <c r="P100" s="64">
        <v>2.4700000000000002</v>
      </c>
      <c r="Q100" s="64">
        <v>13.19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917</v>
      </c>
      <c r="B101" s="64">
        <v>121.14</v>
      </c>
      <c r="C101" s="64">
        <v>39.64</v>
      </c>
      <c r="D101" s="64">
        <v>160.77000000000001</v>
      </c>
      <c r="E101" s="64">
        <v>0.63</v>
      </c>
      <c r="F101" s="64">
        <v>0.22</v>
      </c>
      <c r="G101" s="210" t="s">
        <v>36</v>
      </c>
      <c r="H101" s="210" t="s">
        <v>36</v>
      </c>
      <c r="I101" s="64">
        <v>1.47</v>
      </c>
      <c r="J101" s="64">
        <v>0.13</v>
      </c>
      <c r="K101" s="64">
        <v>275.67</v>
      </c>
      <c r="L101" s="64">
        <v>18.54</v>
      </c>
      <c r="M101" s="64">
        <v>79.14</v>
      </c>
      <c r="N101" s="64">
        <v>28.2</v>
      </c>
      <c r="O101" s="64">
        <v>0</v>
      </c>
      <c r="P101" s="64">
        <v>2.4500000000000002</v>
      </c>
      <c r="Q101" s="64">
        <v>13.62</v>
      </c>
      <c r="R101" s="198"/>
      <c r="S101" s="198"/>
      <c r="T101" s="198"/>
      <c r="U101" s="198"/>
    </row>
    <row r="102" spans="1:33" s="12" customFormat="1" x14ac:dyDescent="0.25">
      <c r="A102" s="215" t="s">
        <v>918</v>
      </c>
      <c r="B102" s="64">
        <v>128.19999999999999</v>
      </c>
      <c r="C102" s="64">
        <v>42.28</v>
      </c>
      <c r="D102" s="64">
        <v>170.48</v>
      </c>
      <c r="E102" s="64">
        <v>0.68</v>
      </c>
      <c r="F102" s="64">
        <v>0.2</v>
      </c>
      <c r="G102" s="210" t="s">
        <v>36</v>
      </c>
      <c r="H102" s="210" t="s">
        <v>36</v>
      </c>
      <c r="I102" s="64">
        <v>1.56</v>
      </c>
      <c r="J102" s="64">
        <v>0.12</v>
      </c>
      <c r="K102" s="64">
        <v>286.39999999999998</v>
      </c>
      <c r="L102" s="64">
        <v>18.23</v>
      </c>
      <c r="M102" s="64">
        <v>80.98</v>
      </c>
      <c r="N102" s="64">
        <v>28.5</v>
      </c>
      <c r="O102" s="64">
        <v>0</v>
      </c>
      <c r="P102" s="64">
        <v>2.4900000000000002</v>
      </c>
      <c r="Q102" s="64">
        <v>11.01</v>
      </c>
      <c r="R102" s="198"/>
      <c r="S102" s="198"/>
      <c r="T102" s="198"/>
      <c r="U102" s="198"/>
    </row>
    <row r="103" spans="1:33" s="12" customFormat="1" x14ac:dyDescent="0.25">
      <c r="A103" s="215" t="s">
        <v>919</v>
      </c>
      <c r="B103" s="64">
        <v>115.36</v>
      </c>
      <c r="C103" s="64">
        <v>37.5</v>
      </c>
      <c r="D103" s="64">
        <v>152.86000000000001</v>
      </c>
      <c r="E103" s="64">
        <v>0.64</v>
      </c>
      <c r="F103" s="64">
        <v>0.21</v>
      </c>
      <c r="G103" s="210" t="s">
        <v>36</v>
      </c>
      <c r="H103" s="210" t="s">
        <v>36</v>
      </c>
      <c r="I103" s="64">
        <v>1.56</v>
      </c>
      <c r="J103" s="64">
        <v>0.11</v>
      </c>
      <c r="K103" s="64">
        <v>296.29000000000002</v>
      </c>
      <c r="L103" s="64">
        <v>18.12</v>
      </c>
      <c r="M103" s="64">
        <v>80.23</v>
      </c>
      <c r="N103" s="64">
        <v>28.3</v>
      </c>
      <c r="O103" s="64">
        <v>0</v>
      </c>
      <c r="P103" s="64">
        <v>2.3199999999999998</v>
      </c>
      <c r="Q103" s="64">
        <v>13.64</v>
      </c>
      <c r="R103" s="198"/>
      <c r="S103" s="198"/>
      <c r="T103" s="198"/>
      <c r="U103" s="198"/>
    </row>
    <row r="104" spans="1:33" s="12" customFormat="1" x14ac:dyDescent="0.25">
      <c r="A104" s="215" t="s">
        <v>920</v>
      </c>
      <c r="B104" s="64">
        <v>118.27</v>
      </c>
      <c r="C104" s="64">
        <v>39.81</v>
      </c>
      <c r="D104" s="64">
        <v>158.08000000000001</v>
      </c>
      <c r="E104" s="64">
        <v>0.39</v>
      </c>
      <c r="F104" s="64">
        <v>0.3</v>
      </c>
      <c r="G104" s="210" t="s">
        <v>36</v>
      </c>
      <c r="H104" s="210" t="s">
        <v>36</v>
      </c>
      <c r="I104" s="64">
        <v>1.52</v>
      </c>
      <c r="J104" s="64">
        <v>0.16</v>
      </c>
      <c r="K104" s="64">
        <v>324.52</v>
      </c>
      <c r="L104" s="64">
        <v>17.89</v>
      </c>
      <c r="M104" s="64">
        <v>84.92</v>
      </c>
      <c r="N104" s="64">
        <v>28.5</v>
      </c>
      <c r="O104" s="64">
        <v>0</v>
      </c>
      <c r="P104" s="64">
        <v>2.31</v>
      </c>
      <c r="Q104" s="64">
        <v>14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3.45</v>
      </c>
      <c r="C106" s="67">
        <f>MIN(C9:C104)</f>
        <v>26.75</v>
      </c>
      <c r="D106" s="67">
        <f t="shared" ref="D106:Q106" si="0">MIN(D9:D104)</f>
        <v>39.54</v>
      </c>
      <c r="E106" s="67">
        <f t="shared" si="0"/>
        <v>0.39</v>
      </c>
      <c r="F106" s="67">
        <f t="shared" si="0"/>
        <v>0.03</v>
      </c>
      <c r="G106" s="67">
        <f t="shared" si="0"/>
        <v>69.3</v>
      </c>
      <c r="H106" s="67">
        <f t="shared" si="0"/>
        <v>44.43</v>
      </c>
      <c r="I106" s="67">
        <f t="shared" si="0"/>
        <v>1.4</v>
      </c>
      <c r="J106" s="67">
        <f t="shared" si="0"/>
        <v>0.01</v>
      </c>
      <c r="K106" s="67">
        <f t="shared" si="0"/>
        <v>0.05</v>
      </c>
      <c r="L106" s="67">
        <f t="shared" si="0"/>
        <v>16.170000000000002</v>
      </c>
      <c r="M106" s="67">
        <f t="shared" si="0"/>
        <v>22.69</v>
      </c>
      <c r="N106" s="67">
        <f t="shared" si="0"/>
        <v>26.7</v>
      </c>
      <c r="O106" s="67">
        <f t="shared" si="0"/>
        <v>0</v>
      </c>
      <c r="P106" s="67">
        <f t="shared" si="0"/>
        <v>0.79</v>
      </c>
      <c r="Q106" s="67">
        <f t="shared" si="0"/>
        <v>1.82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128.19999999999999</v>
      </c>
      <c r="C107" s="66">
        <f t="shared" ref="C107:Q107" si="1">MAX(C9:C104)</f>
        <v>65.98</v>
      </c>
      <c r="D107" s="66">
        <f t="shared" si="1"/>
        <v>170.48</v>
      </c>
      <c r="E107" s="66">
        <f t="shared" si="1"/>
        <v>2.5</v>
      </c>
      <c r="F107" s="66">
        <f t="shared" si="1"/>
        <v>19.97</v>
      </c>
      <c r="G107" s="66">
        <f t="shared" si="1"/>
        <v>446.44</v>
      </c>
      <c r="H107" s="66">
        <f t="shared" si="1"/>
        <v>133.01</v>
      </c>
      <c r="I107" s="66">
        <f t="shared" si="1"/>
        <v>1.65</v>
      </c>
      <c r="J107" s="66">
        <f t="shared" si="1"/>
        <v>1.21</v>
      </c>
      <c r="K107" s="66">
        <f t="shared" si="1"/>
        <v>358.21</v>
      </c>
      <c r="L107" s="66">
        <f t="shared" si="1"/>
        <v>32.21</v>
      </c>
      <c r="M107" s="66">
        <f t="shared" si="1"/>
        <v>97.95</v>
      </c>
      <c r="N107" s="66">
        <f t="shared" si="1"/>
        <v>794.3</v>
      </c>
      <c r="O107" s="66">
        <f t="shared" si="1"/>
        <v>0</v>
      </c>
      <c r="P107" s="66">
        <f t="shared" si="1"/>
        <v>2.4900000000000002</v>
      </c>
      <c r="Q107" s="66">
        <f t="shared" si="1"/>
        <v>14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58.05447916666666</v>
      </c>
      <c r="C108" s="67">
        <f t="shared" ref="C108:Q108" si="2">AVERAGE(C9:C104)</f>
        <v>39.434791666666676</v>
      </c>
      <c r="D108" s="67">
        <f t="shared" si="2"/>
        <v>97.485833333333346</v>
      </c>
      <c r="E108" s="67">
        <f t="shared" si="2"/>
        <v>1.3279166666666671</v>
      </c>
      <c r="F108" s="67">
        <f t="shared" si="2"/>
        <v>3.3065263157894735</v>
      </c>
      <c r="G108" s="67">
        <f t="shared" si="2"/>
        <v>174.75578947368416</v>
      </c>
      <c r="H108" s="67">
        <f t="shared" si="2"/>
        <v>78.138421052631671</v>
      </c>
      <c r="I108" s="67">
        <f t="shared" si="2"/>
        <v>1.5026041666666663</v>
      </c>
      <c r="J108" s="67">
        <f t="shared" si="2"/>
        <v>0.25677083333333323</v>
      </c>
      <c r="K108" s="67">
        <f t="shared" si="2"/>
        <v>249.01874999999993</v>
      </c>
      <c r="L108" s="67">
        <f t="shared" si="2"/>
        <v>22.639791666666667</v>
      </c>
      <c r="M108" s="67">
        <f t="shared" si="2"/>
        <v>58.322916666666679</v>
      </c>
      <c r="N108" s="67">
        <f t="shared" si="2"/>
        <v>212.67812500000002</v>
      </c>
      <c r="O108" s="67">
        <f t="shared" si="2"/>
        <v>0</v>
      </c>
      <c r="P108" s="67">
        <f t="shared" si="2"/>
        <v>1.5536458333333334</v>
      </c>
      <c r="Q108" s="67">
        <f t="shared" si="2"/>
        <v>8.0221874999999994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37.029808017746227</v>
      </c>
      <c r="C109" s="67">
        <f t="shared" ref="C109:Q109" si="3">STDEV(C9:C104)</f>
        <v>8.4802518556400539</v>
      </c>
      <c r="D109" s="67">
        <f t="shared" si="3"/>
        <v>34.521325054359735</v>
      </c>
      <c r="E109" s="67">
        <f t="shared" si="3"/>
        <v>0.56179208865664221</v>
      </c>
      <c r="F109" s="67">
        <f t="shared" si="3"/>
        <v>5.1257378853176814</v>
      </c>
      <c r="G109" s="67">
        <f t="shared" si="3"/>
        <v>92.896823817439866</v>
      </c>
      <c r="H109" s="67">
        <f t="shared" si="3"/>
        <v>26.367405993138632</v>
      </c>
      <c r="I109" s="67">
        <f t="shared" si="3"/>
        <v>4.1983575527044958E-2</v>
      </c>
      <c r="J109" s="67">
        <f t="shared" si="3"/>
        <v>0.2639636928449649</v>
      </c>
      <c r="K109" s="67">
        <f t="shared" si="3"/>
        <v>100.78314257798675</v>
      </c>
      <c r="L109" s="67">
        <f t="shared" si="3"/>
        <v>4.9128182455729856</v>
      </c>
      <c r="M109" s="67">
        <f t="shared" si="3"/>
        <v>25.034969013537232</v>
      </c>
      <c r="N109" s="67">
        <f t="shared" si="3"/>
        <v>260.68294039154972</v>
      </c>
      <c r="O109" s="67">
        <f t="shared" si="3"/>
        <v>0</v>
      </c>
      <c r="P109" s="67">
        <f t="shared" si="3"/>
        <v>0.4719770730195898</v>
      </c>
      <c r="Q109" s="67">
        <f t="shared" si="3"/>
        <v>3.1166132776410458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COUNT(G9:G104)+20</f>
        <v>96</v>
      </c>
      <c r="H110" s="66">
        <f>COUNT(H9:H104)+20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1" sqref="F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921</v>
      </c>
      <c r="B9" s="64">
        <v>117.29</v>
      </c>
      <c r="C9" s="64">
        <v>41.47</v>
      </c>
      <c r="D9" s="64">
        <v>158.76</v>
      </c>
      <c r="E9" s="64">
        <v>0.63</v>
      </c>
      <c r="F9" s="64">
        <v>0.18</v>
      </c>
      <c r="G9" s="210" t="s">
        <v>36</v>
      </c>
      <c r="H9" s="210" t="s">
        <v>36</v>
      </c>
      <c r="I9" s="64">
        <v>1.5</v>
      </c>
      <c r="J9" s="64">
        <v>0.13</v>
      </c>
      <c r="K9" s="64">
        <v>297.86</v>
      </c>
      <c r="L9" s="64">
        <v>17.5</v>
      </c>
      <c r="M9" s="64">
        <v>88.04</v>
      </c>
      <c r="N9" s="64">
        <v>28.5</v>
      </c>
      <c r="O9" s="64">
        <v>0</v>
      </c>
      <c r="P9" s="64">
        <v>2.31</v>
      </c>
      <c r="Q9" s="64">
        <v>13.69</v>
      </c>
      <c r="R9" s="198"/>
      <c r="S9" s="198"/>
      <c r="T9" s="198"/>
      <c r="U9" s="198"/>
    </row>
    <row r="10" spans="1:21" s="12" customFormat="1" x14ac:dyDescent="0.25">
      <c r="A10" s="215" t="s">
        <v>922</v>
      </c>
      <c r="B10" s="64">
        <v>117.04</v>
      </c>
      <c r="C10" s="64">
        <v>36.15</v>
      </c>
      <c r="D10" s="64">
        <v>153.19</v>
      </c>
      <c r="E10" s="64">
        <v>0.65</v>
      </c>
      <c r="F10" s="64">
        <v>0.19</v>
      </c>
      <c r="G10" s="210" t="s">
        <v>36</v>
      </c>
      <c r="H10" s="210" t="s">
        <v>36</v>
      </c>
      <c r="I10" s="64">
        <v>1.46</v>
      </c>
      <c r="J10" s="64">
        <v>0.08</v>
      </c>
      <c r="K10" s="64">
        <v>258.43</v>
      </c>
      <c r="L10" s="64">
        <v>17.329999999999998</v>
      </c>
      <c r="M10" s="64">
        <v>85.29</v>
      </c>
      <c r="N10" s="64">
        <v>28.3</v>
      </c>
      <c r="O10" s="64">
        <v>0</v>
      </c>
      <c r="P10" s="64">
        <v>2.2799999999999998</v>
      </c>
      <c r="Q10" s="64">
        <v>13.64</v>
      </c>
      <c r="R10" s="198"/>
      <c r="S10" s="198"/>
      <c r="T10" s="198"/>
      <c r="U10" s="198"/>
    </row>
    <row r="11" spans="1:21" s="12" customFormat="1" x14ac:dyDescent="0.25">
      <c r="A11" s="215" t="s">
        <v>923</v>
      </c>
      <c r="B11" s="64">
        <v>116.16</v>
      </c>
      <c r="C11" s="64">
        <v>32.159999999999997</v>
      </c>
      <c r="D11" s="64">
        <v>148.32</v>
      </c>
      <c r="E11" s="64">
        <v>0.67</v>
      </c>
      <c r="F11" s="64">
        <v>0.22</v>
      </c>
      <c r="G11" s="210" t="s">
        <v>36</v>
      </c>
      <c r="H11" s="210" t="s">
        <v>36</v>
      </c>
      <c r="I11" s="64">
        <v>1.51</v>
      </c>
      <c r="J11" s="64">
        <v>0.09</v>
      </c>
      <c r="K11" s="64">
        <v>246.03</v>
      </c>
      <c r="L11" s="64">
        <v>17.45</v>
      </c>
      <c r="M11" s="64">
        <v>85.58</v>
      </c>
      <c r="N11" s="64">
        <v>28.2</v>
      </c>
      <c r="O11" s="64">
        <v>0</v>
      </c>
      <c r="P11" s="64">
        <v>2.23</v>
      </c>
      <c r="Q11" s="64">
        <v>13.41</v>
      </c>
      <c r="R11" s="198"/>
      <c r="S11" s="198"/>
      <c r="T11" s="198"/>
      <c r="U11" s="198"/>
    </row>
    <row r="12" spans="1:21" s="12" customFormat="1" x14ac:dyDescent="0.25">
      <c r="A12" s="215" t="s">
        <v>924</v>
      </c>
      <c r="B12" s="64">
        <v>112.26</v>
      </c>
      <c r="C12" s="64">
        <v>33.53</v>
      </c>
      <c r="D12" s="64">
        <v>145.79</v>
      </c>
      <c r="E12" s="64">
        <v>0.53</v>
      </c>
      <c r="F12" s="64">
        <v>0.12</v>
      </c>
      <c r="G12" s="210" t="s">
        <v>36</v>
      </c>
      <c r="H12" s="210" t="s">
        <v>36</v>
      </c>
      <c r="I12" s="64">
        <v>1.44</v>
      </c>
      <c r="J12" s="64">
        <v>7.0000000000000007E-2</v>
      </c>
      <c r="K12" s="64">
        <v>266.33999999999997</v>
      </c>
      <c r="L12" s="64">
        <v>17.760000000000002</v>
      </c>
      <c r="M12" s="64">
        <v>82.65</v>
      </c>
      <c r="N12" s="64">
        <v>28.2</v>
      </c>
      <c r="O12" s="64">
        <v>0</v>
      </c>
      <c r="P12" s="64">
        <v>2.17</v>
      </c>
      <c r="Q12" s="64">
        <v>13.24</v>
      </c>
      <c r="R12" s="198"/>
      <c r="S12" s="198"/>
      <c r="T12" s="198"/>
      <c r="U12" s="198"/>
    </row>
    <row r="13" spans="1:21" s="12" customFormat="1" x14ac:dyDescent="0.25">
      <c r="A13" s="215" t="s">
        <v>925</v>
      </c>
      <c r="B13" s="64">
        <v>108.93</v>
      </c>
      <c r="C13" s="64">
        <v>33.04</v>
      </c>
      <c r="D13" s="64">
        <v>141.97</v>
      </c>
      <c r="E13" s="64">
        <v>0.5</v>
      </c>
      <c r="F13" s="64">
        <v>0.28000000000000003</v>
      </c>
      <c r="G13" s="210" t="s">
        <v>36</v>
      </c>
      <c r="H13" s="210" t="s">
        <v>36</v>
      </c>
      <c r="I13" s="64">
        <v>1.53</v>
      </c>
      <c r="J13" s="64">
        <v>0.09</v>
      </c>
      <c r="K13" s="64">
        <v>39.869999999999997</v>
      </c>
      <c r="L13" s="64">
        <v>17.38</v>
      </c>
      <c r="M13" s="64">
        <v>86.88</v>
      </c>
      <c r="N13" s="64">
        <v>28.3</v>
      </c>
      <c r="O13" s="64">
        <v>0</v>
      </c>
      <c r="P13" s="64">
        <v>1.96</v>
      </c>
      <c r="Q13" s="64">
        <v>12.88</v>
      </c>
      <c r="R13" s="198"/>
      <c r="S13" s="198"/>
      <c r="T13" s="198"/>
      <c r="U13" s="198"/>
    </row>
    <row r="14" spans="1:21" s="12" customFormat="1" x14ac:dyDescent="0.25">
      <c r="A14" s="215" t="s">
        <v>926</v>
      </c>
      <c r="B14" s="64">
        <v>105.26</v>
      </c>
      <c r="C14" s="64">
        <v>33.36</v>
      </c>
      <c r="D14" s="64">
        <v>138.62</v>
      </c>
      <c r="E14" s="64">
        <v>0.54</v>
      </c>
      <c r="F14" s="64">
        <v>0.02</v>
      </c>
      <c r="G14" s="210" t="s">
        <v>36</v>
      </c>
      <c r="H14" s="210" t="s">
        <v>36</v>
      </c>
      <c r="I14" s="64">
        <v>1.49</v>
      </c>
      <c r="J14" s="64">
        <v>0.04</v>
      </c>
      <c r="K14" s="64">
        <v>284.47000000000003</v>
      </c>
      <c r="L14" s="64">
        <v>17.440000000000001</v>
      </c>
      <c r="M14" s="64">
        <v>81.819999999999993</v>
      </c>
      <c r="N14" s="64">
        <v>28.3</v>
      </c>
      <c r="O14" s="64">
        <v>0</v>
      </c>
      <c r="P14" s="64">
        <v>2.0099999999999998</v>
      </c>
      <c r="Q14" s="64">
        <v>12.65</v>
      </c>
      <c r="R14" s="198"/>
      <c r="S14" s="198"/>
      <c r="T14" s="198"/>
      <c r="U14" s="198"/>
    </row>
    <row r="15" spans="1:21" s="12" customFormat="1" x14ac:dyDescent="0.25">
      <c r="A15" s="215" t="s">
        <v>927</v>
      </c>
      <c r="B15" s="64">
        <v>101.63</v>
      </c>
      <c r="C15" s="64">
        <v>32.44</v>
      </c>
      <c r="D15" s="64">
        <v>134.06</v>
      </c>
      <c r="E15" s="64">
        <v>0.56999999999999995</v>
      </c>
      <c r="F15" s="64">
        <v>0.37</v>
      </c>
      <c r="G15" s="210" t="s">
        <v>36</v>
      </c>
      <c r="H15" s="210" t="s">
        <v>36</v>
      </c>
      <c r="I15" s="64">
        <v>1.48</v>
      </c>
      <c r="J15" s="64">
        <v>0.1</v>
      </c>
      <c r="K15" s="64">
        <v>207.37</v>
      </c>
      <c r="L15" s="64">
        <v>17.41</v>
      </c>
      <c r="M15" s="64">
        <v>78.81</v>
      </c>
      <c r="N15" s="64">
        <v>28.1</v>
      </c>
      <c r="O15" s="64">
        <v>0</v>
      </c>
      <c r="P15" s="64">
        <v>1.96</v>
      </c>
      <c r="Q15" s="64">
        <v>12.42</v>
      </c>
      <c r="R15" s="198"/>
      <c r="S15" s="198"/>
      <c r="T15" s="198"/>
      <c r="U15" s="198"/>
    </row>
    <row r="16" spans="1:21" s="12" customFormat="1" x14ac:dyDescent="0.25">
      <c r="A16" s="215" t="s">
        <v>928</v>
      </c>
      <c r="B16" s="64">
        <v>97.71</v>
      </c>
      <c r="C16" s="64">
        <v>32.15</v>
      </c>
      <c r="D16" s="64">
        <v>129.86000000000001</v>
      </c>
      <c r="E16" s="64">
        <v>0.46</v>
      </c>
      <c r="F16" s="64">
        <v>0.26</v>
      </c>
      <c r="G16" s="210" t="s">
        <v>36</v>
      </c>
      <c r="H16" s="210" t="s">
        <v>36</v>
      </c>
      <c r="I16" s="64">
        <v>1.48</v>
      </c>
      <c r="J16" s="64">
        <v>0.15</v>
      </c>
      <c r="K16" s="64">
        <v>211.5</v>
      </c>
      <c r="L16" s="64">
        <v>17.97</v>
      </c>
      <c r="M16" s="64">
        <v>74.78</v>
      </c>
      <c r="N16" s="64">
        <v>27.5</v>
      </c>
      <c r="O16" s="64">
        <v>0</v>
      </c>
      <c r="P16" s="64">
        <v>1.92</v>
      </c>
      <c r="Q16" s="64">
        <v>12.1</v>
      </c>
      <c r="R16" s="198"/>
      <c r="S16" s="198"/>
      <c r="T16" s="198"/>
      <c r="U16" s="198"/>
    </row>
    <row r="17" spans="1:21" s="12" customFormat="1" x14ac:dyDescent="0.25">
      <c r="A17" s="215" t="s">
        <v>929</v>
      </c>
      <c r="B17" s="64">
        <v>94.01</v>
      </c>
      <c r="C17" s="64">
        <v>30.47</v>
      </c>
      <c r="D17" s="64">
        <v>124.48</v>
      </c>
      <c r="E17" s="64">
        <v>0.54</v>
      </c>
      <c r="F17" s="64">
        <v>0.45</v>
      </c>
      <c r="G17" s="210" t="s">
        <v>36</v>
      </c>
      <c r="H17" s="210" t="s">
        <v>36</v>
      </c>
      <c r="I17" s="64">
        <v>1.55</v>
      </c>
      <c r="J17" s="64">
        <v>0.14000000000000001</v>
      </c>
      <c r="K17" s="64">
        <v>266.77</v>
      </c>
      <c r="L17" s="64">
        <v>17.559999999999999</v>
      </c>
      <c r="M17" s="64">
        <v>78.209999999999994</v>
      </c>
      <c r="N17" s="64">
        <v>28.6</v>
      </c>
      <c r="O17" s="64">
        <v>0</v>
      </c>
      <c r="P17" s="64">
        <v>1.87</v>
      </c>
      <c r="Q17" s="64">
        <v>11.76</v>
      </c>
      <c r="R17" s="198"/>
      <c r="S17" s="198"/>
      <c r="T17" s="198"/>
      <c r="U17" s="198"/>
    </row>
    <row r="18" spans="1:21" s="12" customFormat="1" x14ac:dyDescent="0.25">
      <c r="A18" s="215" t="s">
        <v>930</v>
      </c>
      <c r="B18" s="64">
        <v>88.4</v>
      </c>
      <c r="C18" s="64">
        <v>31.96</v>
      </c>
      <c r="D18" s="64">
        <v>120.36</v>
      </c>
      <c r="E18" s="64">
        <v>0.54</v>
      </c>
      <c r="F18" s="64">
        <v>0.06</v>
      </c>
      <c r="G18" s="210" t="s">
        <v>36</v>
      </c>
      <c r="H18" s="210" t="s">
        <v>36</v>
      </c>
      <c r="I18" s="64">
        <v>1.5</v>
      </c>
      <c r="J18" s="64">
        <v>0.12</v>
      </c>
      <c r="K18" s="64">
        <v>310.27999999999997</v>
      </c>
      <c r="L18" s="64">
        <v>17.18</v>
      </c>
      <c r="M18" s="64">
        <v>82.23</v>
      </c>
      <c r="N18" s="64">
        <v>28.7</v>
      </c>
      <c r="O18" s="64">
        <v>0</v>
      </c>
      <c r="P18" s="64">
        <v>1.8</v>
      </c>
      <c r="Q18" s="64">
        <v>11.56</v>
      </c>
      <c r="R18" s="198"/>
      <c r="S18" s="198"/>
      <c r="T18" s="198"/>
      <c r="U18" s="198"/>
    </row>
    <row r="19" spans="1:21" s="12" customFormat="1" x14ac:dyDescent="0.25">
      <c r="A19" s="215" t="s">
        <v>931</v>
      </c>
      <c r="B19" s="64">
        <v>85.67</v>
      </c>
      <c r="C19" s="64">
        <v>31.68</v>
      </c>
      <c r="D19" s="64">
        <v>117.35</v>
      </c>
      <c r="E19" s="64">
        <v>0.54</v>
      </c>
      <c r="F19" s="64">
        <v>0.06</v>
      </c>
      <c r="G19" s="210" t="s">
        <v>36</v>
      </c>
      <c r="H19" s="210" t="s">
        <v>36</v>
      </c>
      <c r="I19" s="64">
        <v>1.52</v>
      </c>
      <c r="J19" s="64">
        <v>0.13</v>
      </c>
      <c r="K19" s="64">
        <v>297.17</v>
      </c>
      <c r="L19" s="64">
        <v>17.11</v>
      </c>
      <c r="M19" s="64">
        <v>81.33</v>
      </c>
      <c r="N19" s="64">
        <v>28.3</v>
      </c>
      <c r="O19" s="64">
        <v>0</v>
      </c>
      <c r="P19" s="64">
        <v>1.76</v>
      </c>
      <c r="Q19" s="64">
        <v>11.27</v>
      </c>
      <c r="R19" s="198"/>
      <c r="S19" s="198"/>
      <c r="T19" s="198"/>
      <c r="U19" s="198"/>
    </row>
    <row r="20" spans="1:21" s="12" customFormat="1" x14ac:dyDescent="0.25">
      <c r="A20" s="215" t="s">
        <v>932</v>
      </c>
      <c r="B20" s="64">
        <v>83.38</v>
      </c>
      <c r="C20" s="64">
        <v>31.4</v>
      </c>
      <c r="D20" s="64">
        <v>114.77</v>
      </c>
      <c r="E20" s="64">
        <v>0.49</v>
      </c>
      <c r="F20" s="64">
        <v>0.05</v>
      </c>
      <c r="G20" s="210" t="s">
        <v>36</v>
      </c>
      <c r="H20" s="210" t="s">
        <v>36</v>
      </c>
      <c r="I20" s="64">
        <v>1.43</v>
      </c>
      <c r="J20" s="64">
        <v>0.13</v>
      </c>
      <c r="K20" s="64">
        <v>325.93</v>
      </c>
      <c r="L20" s="64">
        <v>16.78</v>
      </c>
      <c r="M20" s="64">
        <v>87.31</v>
      </c>
      <c r="N20" s="64">
        <v>28.6</v>
      </c>
      <c r="O20" s="64">
        <v>0</v>
      </c>
      <c r="P20" s="64">
        <v>1.73</v>
      </c>
      <c r="Q20" s="64">
        <v>10.95</v>
      </c>
      <c r="R20" s="198"/>
      <c r="S20" s="198"/>
      <c r="T20" s="198"/>
      <c r="U20" s="198"/>
    </row>
    <row r="21" spans="1:21" s="12" customFormat="1" x14ac:dyDescent="0.25">
      <c r="A21" s="215" t="s">
        <v>933</v>
      </c>
      <c r="B21" s="64">
        <v>81.41</v>
      </c>
      <c r="C21" s="64">
        <v>31.28</v>
      </c>
      <c r="D21" s="64">
        <v>112.7</v>
      </c>
      <c r="E21" s="64">
        <v>0.47</v>
      </c>
      <c r="F21" s="64">
        <v>0.13</v>
      </c>
      <c r="G21" s="210" t="s">
        <v>36</v>
      </c>
      <c r="H21" s="210" t="s">
        <v>36</v>
      </c>
      <c r="I21" s="64">
        <v>1.51</v>
      </c>
      <c r="J21" s="64">
        <v>0.03</v>
      </c>
      <c r="K21" s="64">
        <v>315.95</v>
      </c>
      <c r="L21" s="64">
        <v>16.59</v>
      </c>
      <c r="M21" s="64">
        <v>86.37</v>
      </c>
      <c r="N21" s="64">
        <v>28.7</v>
      </c>
      <c r="O21" s="64">
        <v>0</v>
      </c>
      <c r="P21" s="64">
        <v>1.68</v>
      </c>
      <c r="Q21" s="64">
        <v>10.74</v>
      </c>
      <c r="R21" s="198"/>
      <c r="S21" s="198"/>
      <c r="T21" s="198"/>
      <c r="U21" s="198"/>
    </row>
    <row r="22" spans="1:21" s="12" customFormat="1" x14ac:dyDescent="0.25">
      <c r="A22" s="215" t="s">
        <v>934</v>
      </c>
      <c r="B22" s="64">
        <v>80.42</v>
      </c>
      <c r="C22" s="64">
        <v>30.03</v>
      </c>
      <c r="D22" s="64">
        <v>110.44</v>
      </c>
      <c r="E22" s="64">
        <v>0.53</v>
      </c>
      <c r="F22" s="64">
        <v>0.02</v>
      </c>
      <c r="G22" s="210" t="s">
        <v>36</v>
      </c>
      <c r="H22" s="210" t="s">
        <v>36</v>
      </c>
      <c r="I22" s="64">
        <v>1.46</v>
      </c>
      <c r="J22" s="64">
        <v>0.09</v>
      </c>
      <c r="K22" s="64">
        <v>300.25</v>
      </c>
      <c r="L22" s="64">
        <v>16.420000000000002</v>
      </c>
      <c r="M22" s="64">
        <v>89.48</v>
      </c>
      <c r="N22" s="64">
        <v>28.5</v>
      </c>
      <c r="O22" s="64">
        <v>0</v>
      </c>
      <c r="P22" s="64">
        <v>1.64</v>
      </c>
      <c r="Q22" s="64">
        <v>10.57</v>
      </c>
      <c r="R22" s="198"/>
      <c r="S22" s="198"/>
      <c r="T22" s="198"/>
      <c r="U22" s="198"/>
    </row>
    <row r="23" spans="1:21" s="12" customFormat="1" x14ac:dyDescent="0.25">
      <c r="A23" s="215" t="s">
        <v>935</v>
      </c>
      <c r="B23" s="64">
        <v>79.87</v>
      </c>
      <c r="C23" s="64">
        <v>27.26</v>
      </c>
      <c r="D23" s="64">
        <v>107.13</v>
      </c>
      <c r="E23" s="64">
        <v>0.5</v>
      </c>
      <c r="F23" s="64">
        <v>0.34</v>
      </c>
      <c r="G23" s="210" t="s">
        <v>36</v>
      </c>
      <c r="H23" s="210" t="s">
        <v>36</v>
      </c>
      <c r="I23" s="64">
        <v>1.44</v>
      </c>
      <c r="J23" s="64">
        <v>0.09</v>
      </c>
      <c r="K23" s="64">
        <v>227.76</v>
      </c>
      <c r="L23" s="64">
        <v>16.78</v>
      </c>
      <c r="M23" s="64">
        <v>87.96</v>
      </c>
      <c r="N23" s="64">
        <v>27.8</v>
      </c>
      <c r="O23" s="64">
        <v>0</v>
      </c>
      <c r="P23" s="64">
        <v>1.62</v>
      </c>
      <c r="Q23" s="64">
        <v>10.41</v>
      </c>
      <c r="R23" s="198"/>
      <c r="S23" s="198"/>
      <c r="T23" s="198"/>
      <c r="U23" s="198"/>
    </row>
    <row r="24" spans="1:21" s="12" customFormat="1" x14ac:dyDescent="0.25">
      <c r="A24" s="215" t="s">
        <v>936</v>
      </c>
      <c r="B24" s="64">
        <v>78.58</v>
      </c>
      <c r="C24" s="64">
        <v>29.9</v>
      </c>
      <c r="D24" s="64">
        <v>108.48</v>
      </c>
      <c r="E24" s="64">
        <v>0.23</v>
      </c>
      <c r="F24" s="64">
        <v>0.13</v>
      </c>
      <c r="G24" s="210" t="s">
        <v>36</v>
      </c>
      <c r="H24" s="210" t="s">
        <v>36</v>
      </c>
      <c r="I24" s="64">
        <v>1.47</v>
      </c>
      <c r="J24" s="64">
        <v>0.11</v>
      </c>
      <c r="K24" s="64">
        <v>287.11</v>
      </c>
      <c r="L24" s="64">
        <v>16.52</v>
      </c>
      <c r="M24" s="64">
        <v>89.92</v>
      </c>
      <c r="N24" s="64">
        <v>28.7</v>
      </c>
      <c r="O24" s="64">
        <v>0</v>
      </c>
      <c r="P24" s="64">
        <v>1.59</v>
      </c>
      <c r="Q24" s="64">
        <v>10.31</v>
      </c>
      <c r="R24" s="198"/>
      <c r="S24" s="198"/>
      <c r="T24" s="198"/>
      <c r="U24" s="198"/>
    </row>
    <row r="25" spans="1:21" s="12" customFormat="1" x14ac:dyDescent="0.25">
      <c r="A25" s="215" t="s">
        <v>937</v>
      </c>
      <c r="B25" s="64">
        <v>77.25</v>
      </c>
      <c r="C25" s="64">
        <v>29.75</v>
      </c>
      <c r="D25" s="64">
        <v>107</v>
      </c>
      <c r="E25" s="64">
        <v>0.4</v>
      </c>
      <c r="F25" s="64">
        <v>0.23</v>
      </c>
      <c r="G25" s="210" t="s">
        <v>36</v>
      </c>
      <c r="H25" s="210" t="s">
        <v>36</v>
      </c>
      <c r="I25" s="64">
        <v>1.45</v>
      </c>
      <c r="J25" s="64">
        <v>0.1</v>
      </c>
      <c r="K25" s="64">
        <v>280.88</v>
      </c>
      <c r="L25" s="64">
        <v>16.36</v>
      </c>
      <c r="M25" s="64">
        <v>90.13</v>
      </c>
      <c r="N25" s="64">
        <v>28.4</v>
      </c>
      <c r="O25" s="64">
        <v>0</v>
      </c>
      <c r="P25" s="64">
        <v>1.56</v>
      </c>
      <c r="Q25" s="64">
        <v>10.25</v>
      </c>
      <c r="R25" s="198"/>
      <c r="S25" s="198"/>
      <c r="T25" s="198"/>
      <c r="U25" s="198"/>
    </row>
    <row r="26" spans="1:21" s="12" customFormat="1" x14ac:dyDescent="0.25">
      <c r="A26" s="215" t="s">
        <v>938</v>
      </c>
      <c r="B26" s="64">
        <v>75.84</v>
      </c>
      <c r="C26" s="64">
        <v>29.02</v>
      </c>
      <c r="D26" s="64">
        <v>104.86</v>
      </c>
      <c r="E26" s="64">
        <v>0.42</v>
      </c>
      <c r="F26" s="64">
        <v>0.19</v>
      </c>
      <c r="G26" s="210" t="s">
        <v>36</v>
      </c>
      <c r="H26" s="210" t="s">
        <v>36</v>
      </c>
      <c r="I26" s="64">
        <v>1.47</v>
      </c>
      <c r="J26" s="64">
        <v>0.14000000000000001</v>
      </c>
      <c r="K26" s="64">
        <v>311.12</v>
      </c>
      <c r="L26" s="64">
        <v>16.170000000000002</v>
      </c>
      <c r="M26" s="64">
        <v>91.05</v>
      </c>
      <c r="N26" s="64">
        <v>28.4</v>
      </c>
      <c r="O26" s="64">
        <v>0</v>
      </c>
      <c r="P26" s="64">
        <v>1.52</v>
      </c>
      <c r="Q26" s="64">
        <v>10.18</v>
      </c>
      <c r="R26" s="198"/>
      <c r="S26" s="198"/>
      <c r="T26" s="198"/>
      <c r="U26" s="198"/>
    </row>
    <row r="27" spans="1:21" s="12" customFormat="1" x14ac:dyDescent="0.25">
      <c r="A27" s="215" t="s">
        <v>939</v>
      </c>
      <c r="B27" s="64">
        <v>76.03</v>
      </c>
      <c r="C27" s="64">
        <v>28.36</v>
      </c>
      <c r="D27" s="64">
        <v>104.39</v>
      </c>
      <c r="E27" s="64">
        <v>0.42</v>
      </c>
      <c r="F27" s="64">
        <v>0.33</v>
      </c>
      <c r="G27" s="210" t="s">
        <v>36</v>
      </c>
      <c r="H27" s="210" t="s">
        <v>36</v>
      </c>
      <c r="I27" s="64">
        <v>1.52</v>
      </c>
      <c r="J27" s="64">
        <v>0.12</v>
      </c>
      <c r="K27" s="64">
        <v>299.64</v>
      </c>
      <c r="L27" s="64">
        <v>16.11</v>
      </c>
      <c r="M27" s="64">
        <v>93.88</v>
      </c>
      <c r="N27" s="64">
        <v>28.4</v>
      </c>
      <c r="O27" s="64">
        <v>0</v>
      </c>
      <c r="P27" s="64">
        <v>1.49</v>
      </c>
      <c r="Q27" s="64">
        <v>10.11</v>
      </c>
      <c r="R27" s="198"/>
      <c r="S27" s="198"/>
      <c r="T27" s="198"/>
      <c r="U27" s="198"/>
    </row>
    <row r="28" spans="1:21" s="12" customFormat="1" x14ac:dyDescent="0.25">
      <c r="A28" s="215" t="s">
        <v>940</v>
      </c>
      <c r="B28" s="64">
        <v>76.61</v>
      </c>
      <c r="C28" s="64">
        <v>27.51</v>
      </c>
      <c r="D28" s="64">
        <v>104.12</v>
      </c>
      <c r="E28" s="64">
        <v>0.39</v>
      </c>
      <c r="F28" s="64">
        <v>0.3</v>
      </c>
      <c r="G28" s="210" t="s">
        <v>36</v>
      </c>
      <c r="H28" s="210" t="s">
        <v>36</v>
      </c>
      <c r="I28" s="64">
        <v>1.47</v>
      </c>
      <c r="J28" s="64">
        <v>0.13</v>
      </c>
      <c r="K28" s="64">
        <v>298.14</v>
      </c>
      <c r="L28" s="64">
        <v>16.190000000000001</v>
      </c>
      <c r="M28" s="64">
        <v>94.22</v>
      </c>
      <c r="N28" s="64">
        <v>28.2</v>
      </c>
      <c r="O28" s="64">
        <v>0</v>
      </c>
      <c r="P28" s="64">
        <v>1.46</v>
      </c>
      <c r="Q28" s="64">
        <v>10.1</v>
      </c>
      <c r="R28" s="198"/>
      <c r="S28" s="198"/>
      <c r="T28" s="198"/>
      <c r="U28" s="198"/>
    </row>
    <row r="29" spans="1:21" s="12" customFormat="1" x14ac:dyDescent="0.25">
      <c r="A29" s="215" t="s">
        <v>941</v>
      </c>
      <c r="B29" s="64">
        <v>75.97</v>
      </c>
      <c r="C29" s="64">
        <v>28.99</v>
      </c>
      <c r="D29" s="64">
        <v>104.96</v>
      </c>
      <c r="E29" s="64">
        <v>0.43</v>
      </c>
      <c r="F29" s="64">
        <v>0.08</v>
      </c>
      <c r="G29" s="210" t="s">
        <v>36</v>
      </c>
      <c r="H29" s="210" t="s">
        <v>36</v>
      </c>
      <c r="I29" s="64">
        <v>1.53</v>
      </c>
      <c r="J29" s="64">
        <v>0.11</v>
      </c>
      <c r="K29" s="64">
        <v>288.36</v>
      </c>
      <c r="L29" s="64">
        <v>15.93</v>
      </c>
      <c r="M29" s="64">
        <v>96.2</v>
      </c>
      <c r="N29" s="64">
        <v>28.5</v>
      </c>
      <c r="O29" s="64">
        <v>0</v>
      </c>
      <c r="P29" s="64">
        <v>1.45</v>
      </c>
      <c r="Q29" s="64">
        <v>10.15</v>
      </c>
      <c r="R29" s="198"/>
      <c r="S29" s="198"/>
      <c r="T29" s="198"/>
      <c r="U29" s="198"/>
    </row>
    <row r="30" spans="1:21" s="12" customFormat="1" x14ac:dyDescent="0.25">
      <c r="A30" s="215" t="s">
        <v>942</v>
      </c>
      <c r="B30" s="64">
        <v>75.47</v>
      </c>
      <c r="C30" s="64">
        <v>29.55</v>
      </c>
      <c r="D30" s="64">
        <v>105.02</v>
      </c>
      <c r="E30" s="64">
        <v>0.44</v>
      </c>
      <c r="F30" s="64">
        <v>7.0000000000000007E-2</v>
      </c>
      <c r="G30" s="210" t="s">
        <v>36</v>
      </c>
      <c r="H30" s="210" t="s">
        <v>36</v>
      </c>
      <c r="I30" s="64">
        <v>1.51</v>
      </c>
      <c r="J30" s="64">
        <v>0.12</v>
      </c>
      <c r="K30" s="64">
        <v>274.16000000000003</v>
      </c>
      <c r="L30" s="64">
        <v>15.82</v>
      </c>
      <c r="M30" s="64">
        <v>97.16</v>
      </c>
      <c r="N30" s="64">
        <v>28.3</v>
      </c>
      <c r="O30" s="64">
        <v>0</v>
      </c>
      <c r="P30" s="64">
        <v>1.43</v>
      </c>
      <c r="Q30" s="64">
        <v>10.17</v>
      </c>
      <c r="R30" s="198"/>
      <c r="S30" s="198"/>
      <c r="T30" s="198"/>
      <c r="U30" s="198"/>
    </row>
    <row r="31" spans="1:21" s="12" customFormat="1" x14ac:dyDescent="0.25">
      <c r="A31" s="215" t="s">
        <v>943</v>
      </c>
      <c r="B31" s="64">
        <v>77.25</v>
      </c>
      <c r="C31" s="64">
        <v>29.36</v>
      </c>
      <c r="D31" s="64">
        <v>106.61</v>
      </c>
      <c r="E31" s="64">
        <v>0.41</v>
      </c>
      <c r="F31" s="64">
        <v>0.24</v>
      </c>
      <c r="G31" s="210" t="s">
        <v>36</v>
      </c>
      <c r="H31" s="210" t="s">
        <v>36</v>
      </c>
      <c r="I31" s="64">
        <v>1.48</v>
      </c>
      <c r="J31" s="64">
        <v>0.15</v>
      </c>
      <c r="K31" s="64">
        <v>335.51</v>
      </c>
      <c r="L31" s="64">
        <v>15.95</v>
      </c>
      <c r="M31" s="64">
        <v>97.29</v>
      </c>
      <c r="N31" s="64">
        <v>28.4</v>
      </c>
      <c r="O31" s="64">
        <v>0</v>
      </c>
      <c r="P31" s="64">
        <v>1.42</v>
      </c>
      <c r="Q31" s="64">
        <v>10.19</v>
      </c>
      <c r="R31" s="198"/>
      <c r="S31" s="198"/>
      <c r="T31" s="198"/>
      <c r="U31" s="198"/>
    </row>
    <row r="32" spans="1:21" s="12" customFormat="1" x14ac:dyDescent="0.25">
      <c r="A32" s="215" t="s">
        <v>944</v>
      </c>
      <c r="B32" s="64">
        <v>81.31</v>
      </c>
      <c r="C32" s="64">
        <v>29.39</v>
      </c>
      <c r="D32" s="64">
        <v>110.7</v>
      </c>
      <c r="E32" s="64">
        <v>0.48</v>
      </c>
      <c r="F32" s="64">
        <v>0.11</v>
      </c>
      <c r="G32" s="210" t="s">
        <v>36</v>
      </c>
      <c r="H32" s="210" t="s">
        <v>36</v>
      </c>
      <c r="I32" s="64">
        <v>1.44</v>
      </c>
      <c r="J32" s="64">
        <v>0.12</v>
      </c>
      <c r="K32" s="64">
        <v>293.38</v>
      </c>
      <c r="L32" s="64">
        <v>15.92</v>
      </c>
      <c r="M32" s="64">
        <v>98.26</v>
      </c>
      <c r="N32" s="64">
        <v>29.9</v>
      </c>
      <c r="O32" s="64">
        <v>0</v>
      </c>
      <c r="P32" s="64">
        <v>1.42</v>
      </c>
      <c r="Q32" s="64">
        <v>10.31</v>
      </c>
      <c r="R32" s="198"/>
      <c r="S32" s="198"/>
      <c r="T32" s="198"/>
      <c r="U32" s="198"/>
    </row>
    <row r="33" spans="1:21" s="12" customFormat="1" x14ac:dyDescent="0.25">
      <c r="A33" s="215" t="s">
        <v>945</v>
      </c>
      <c r="B33" s="64">
        <v>85.86</v>
      </c>
      <c r="C33" s="64">
        <v>29.97</v>
      </c>
      <c r="D33" s="64">
        <v>115.83</v>
      </c>
      <c r="E33" s="64">
        <v>0.46</v>
      </c>
      <c r="F33" s="64">
        <v>0.06</v>
      </c>
      <c r="G33" s="210" t="s">
        <v>36</v>
      </c>
      <c r="H33" s="210" t="s">
        <v>36</v>
      </c>
      <c r="I33" s="64">
        <v>1.52</v>
      </c>
      <c r="J33" s="64">
        <v>0.05</v>
      </c>
      <c r="K33" s="64">
        <v>319.91000000000003</v>
      </c>
      <c r="L33" s="64">
        <v>15.8</v>
      </c>
      <c r="M33" s="64">
        <v>98.68</v>
      </c>
      <c r="N33" s="64">
        <v>36.6</v>
      </c>
      <c r="O33" s="64">
        <v>0</v>
      </c>
      <c r="P33" s="64">
        <v>1.41</v>
      </c>
      <c r="Q33" s="64">
        <v>10.58</v>
      </c>
      <c r="R33" s="198"/>
      <c r="S33" s="198"/>
      <c r="T33" s="198"/>
      <c r="U33" s="198"/>
    </row>
    <row r="34" spans="1:21" s="12" customFormat="1" x14ac:dyDescent="0.25">
      <c r="A34" s="215" t="s">
        <v>946</v>
      </c>
      <c r="B34" s="64">
        <v>88.94</v>
      </c>
      <c r="C34" s="64">
        <v>28.56</v>
      </c>
      <c r="D34" s="64">
        <v>117.5</v>
      </c>
      <c r="E34" s="64">
        <v>0.5</v>
      </c>
      <c r="F34" s="64">
        <v>0.14000000000000001</v>
      </c>
      <c r="G34" s="210" t="s">
        <v>36</v>
      </c>
      <c r="H34" s="210" t="s">
        <v>36</v>
      </c>
      <c r="I34" s="64">
        <v>1.47</v>
      </c>
      <c r="J34" s="64">
        <v>0.11</v>
      </c>
      <c r="K34" s="64">
        <v>239.71</v>
      </c>
      <c r="L34" s="64">
        <v>16.48</v>
      </c>
      <c r="M34" s="64">
        <v>95.96</v>
      </c>
      <c r="N34" s="64">
        <v>50.9</v>
      </c>
      <c r="O34" s="64">
        <v>0</v>
      </c>
      <c r="P34" s="64">
        <v>1.41</v>
      </c>
      <c r="Q34" s="64">
        <v>10.83</v>
      </c>
      <c r="R34" s="198"/>
      <c r="S34" s="198"/>
      <c r="T34" s="198"/>
      <c r="U34" s="198"/>
    </row>
    <row r="35" spans="1:21" s="12" customFormat="1" x14ac:dyDescent="0.25">
      <c r="A35" s="215" t="s">
        <v>947</v>
      </c>
      <c r="B35" s="64">
        <v>90.22</v>
      </c>
      <c r="C35" s="64">
        <v>26.98</v>
      </c>
      <c r="D35" s="64">
        <v>117.2</v>
      </c>
      <c r="E35" s="64">
        <v>0.44</v>
      </c>
      <c r="F35" s="64">
        <v>0.32</v>
      </c>
      <c r="G35" s="210" t="s">
        <v>36</v>
      </c>
      <c r="H35" s="210" t="s">
        <v>36</v>
      </c>
      <c r="I35" s="64">
        <v>1.52</v>
      </c>
      <c r="J35" s="64">
        <v>0.11</v>
      </c>
      <c r="K35" s="64">
        <v>224.82</v>
      </c>
      <c r="L35" s="64">
        <v>17.079999999999998</v>
      </c>
      <c r="M35" s="64">
        <v>93.12</v>
      </c>
      <c r="N35" s="64">
        <v>69.5</v>
      </c>
      <c r="O35" s="64">
        <v>0</v>
      </c>
      <c r="P35" s="64">
        <v>1.4</v>
      </c>
      <c r="Q35" s="64">
        <v>11.03</v>
      </c>
      <c r="R35" s="198"/>
      <c r="S35" s="198"/>
      <c r="T35" s="198"/>
      <c r="U35" s="198"/>
    </row>
    <row r="36" spans="1:21" s="12" customFormat="1" x14ac:dyDescent="0.25">
      <c r="A36" s="215" t="s">
        <v>948</v>
      </c>
      <c r="B36" s="64">
        <v>93.1</v>
      </c>
      <c r="C36" s="64">
        <v>30.48</v>
      </c>
      <c r="D36" s="64">
        <v>123.58</v>
      </c>
      <c r="E36" s="64">
        <v>0.44</v>
      </c>
      <c r="F36" s="64">
        <v>0.17</v>
      </c>
      <c r="G36" s="210" t="s">
        <v>36</v>
      </c>
      <c r="H36" s="210" t="s">
        <v>36</v>
      </c>
      <c r="I36" s="64">
        <v>1.53</v>
      </c>
      <c r="J36" s="64">
        <v>0.05</v>
      </c>
      <c r="K36" s="64">
        <v>266.35000000000002</v>
      </c>
      <c r="L36" s="64">
        <v>17.5</v>
      </c>
      <c r="M36" s="64">
        <v>91.47</v>
      </c>
      <c r="N36" s="64">
        <v>91.2</v>
      </c>
      <c r="O36" s="64">
        <v>0</v>
      </c>
      <c r="P36" s="64">
        <v>1.41</v>
      </c>
      <c r="Q36" s="64">
        <v>11.16</v>
      </c>
      <c r="R36" s="198"/>
      <c r="S36" s="198"/>
      <c r="T36" s="198"/>
      <c r="U36" s="198"/>
    </row>
    <row r="37" spans="1:21" s="12" customFormat="1" x14ac:dyDescent="0.25">
      <c r="A37" s="215" t="s">
        <v>949</v>
      </c>
      <c r="B37" s="64">
        <v>96.24</v>
      </c>
      <c r="C37" s="64">
        <v>31.27</v>
      </c>
      <c r="D37" s="64">
        <v>127.5</v>
      </c>
      <c r="E37" s="64">
        <v>0.51</v>
      </c>
      <c r="F37" s="64">
        <v>0.11</v>
      </c>
      <c r="G37" s="210" t="s">
        <v>36</v>
      </c>
      <c r="H37" s="210" t="s">
        <v>36</v>
      </c>
      <c r="I37" s="64">
        <v>1.5</v>
      </c>
      <c r="J37" s="64">
        <v>0.31</v>
      </c>
      <c r="K37" s="64">
        <v>196.82</v>
      </c>
      <c r="L37" s="64">
        <v>18.23</v>
      </c>
      <c r="M37" s="64">
        <v>85.45</v>
      </c>
      <c r="N37" s="64">
        <v>138.80000000000001</v>
      </c>
      <c r="O37" s="64">
        <v>0</v>
      </c>
      <c r="P37" s="64">
        <v>1.38</v>
      </c>
      <c r="Q37" s="64">
        <v>11.45</v>
      </c>
      <c r="R37" s="198"/>
      <c r="S37" s="198"/>
      <c r="T37" s="198"/>
      <c r="U37" s="198"/>
    </row>
    <row r="38" spans="1:21" s="12" customFormat="1" x14ac:dyDescent="0.25">
      <c r="A38" s="215" t="s">
        <v>950</v>
      </c>
      <c r="B38" s="64">
        <v>95.71</v>
      </c>
      <c r="C38" s="64">
        <v>31.83</v>
      </c>
      <c r="D38" s="64">
        <v>127.54</v>
      </c>
      <c r="E38" s="64">
        <v>0.43</v>
      </c>
      <c r="F38" s="64">
        <v>0.25</v>
      </c>
      <c r="G38" s="210" t="s">
        <v>36</v>
      </c>
      <c r="H38" s="210" t="s">
        <v>36</v>
      </c>
      <c r="I38" s="64">
        <v>1.55</v>
      </c>
      <c r="J38" s="64">
        <v>0.42</v>
      </c>
      <c r="K38" s="64">
        <v>198.24</v>
      </c>
      <c r="L38" s="64">
        <v>18.43</v>
      </c>
      <c r="M38" s="64">
        <v>83.77</v>
      </c>
      <c r="N38" s="64">
        <v>190.4</v>
      </c>
      <c r="O38" s="64">
        <v>0</v>
      </c>
      <c r="P38" s="64">
        <v>1.41</v>
      </c>
      <c r="Q38" s="64">
        <v>11.61</v>
      </c>
      <c r="R38" s="198"/>
      <c r="S38" s="198"/>
      <c r="T38" s="198"/>
      <c r="U38" s="198"/>
    </row>
    <row r="39" spans="1:21" s="12" customFormat="1" x14ac:dyDescent="0.25">
      <c r="A39" s="215" t="s">
        <v>951</v>
      </c>
      <c r="B39" s="64">
        <v>92.7</v>
      </c>
      <c r="C39" s="64">
        <v>32.409999999999997</v>
      </c>
      <c r="D39" s="64">
        <v>125.11</v>
      </c>
      <c r="E39" s="64">
        <v>0.44</v>
      </c>
      <c r="F39" s="64">
        <v>0.3</v>
      </c>
      <c r="G39" s="210" t="s">
        <v>36</v>
      </c>
      <c r="H39" s="210" t="s">
        <v>36</v>
      </c>
      <c r="I39" s="64">
        <v>1.47</v>
      </c>
      <c r="J39" s="64">
        <v>0.17</v>
      </c>
      <c r="K39" s="64">
        <v>224.13</v>
      </c>
      <c r="L39" s="64">
        <v>18.75</v>
      </c>
      <c r="M39" s="64">
        <v>81.23</v>
      </c>
      <c r="N39" s="64">
        <v>234.2</v>
      </c>
      <c r="O39" s="64">
        <v>0</v>
      </c>
      <c r="P39" s="64">
        <v>1.38</v>
      </c>
      <c r="Q39" s="64">
        <v>11.42</v>
      </c>
      <c r="R39" s="198"/>
      <c r="S39" s="198"/>
      <c r="T39" s="198"/>
      <c r="U39" s="198"/>
    </row>
    <row r="40" spans="1:21" s="12" customFormat="1" x14ac:dyDescent="0.25">
      <c r="A40" s="215" t="s">
        <v>952</v>
      </c>
      <c r="B40" s="64">
        <v>88.2</v>
      </c>
      <c r="C40" s="64">
        <v>36.520000000000003</v>
      </c>
      <c r="D40" s="64">
        <v>124.72</v>
      </c>
      <c r="E40" s="64">
        <v>0.22</v>
      </c>
      <c r="F40" s="64">
        <v>0.22</v>
      </c>
      <c r="G40" s="210" t="s">
        <v>36</v>
      </c>
      <c r="H40" s="210" t="s">
        <v>36</v>
      </c>
      <c r="I40" s="64">
        <v>1.4</v>
      </c>
      <c r="J40" s="64">
        <v>0.02</v>
      </c>
      <c r="K40" s="64">
        <v>279.33</v>
      </c>
      <c r="L40" s="64">
        <v>18.71</v>
      </c>
      <c r="M40" s="64">
        <v>80.67</v>
      </c>
      <c r="N40" s="64">
        <v>286.2</v>
      </c>
      <c r="O40" s="64">
        <v>0</v>
      </c>
      <c r="P40" s="64">
        <v>1.33</v>
      </c>
      <c r="Q40" s="64">
        <v>11</v>
      </c>
      <c r="R40" s="198"/>
      <c r="S40" s="198"/>
      <c r="T40" s="198"/>
      <c r="U40" s="198"/>
    </row>
    <row r="41" spans="1:21" s="12" customFormat="1" x14ac:dyDescent="0.25">
      <c r="A41" s="215" t="s">
        <v>953</v>
      </c>
      <c r="B41" s="64">
        <v>81.77</v>
      </c>
      <c r="C41" s="64">
        <v>37.35</v>
      </c>
      <c r="D41" s="64">
        <v>119.12</v>
      </c>
      <c r="E41" s="64">
        <v>0.39</v>
      </c>
      <c r="F41" s="213" t="s">
        <v>42</v>
      </c>
      <c r="G41" s="210" t="s">
        <v>36</v>
      </c>
      <c r="H41" s="210" t="s">
        <v>36</v>
      </c>
      <c r="I41" s="64">
        <v>1.52</v>
      </c>
      <c r="J41" s="64">
        <v>0.14000000000000001</v>
      </c>
      <c r="K41" s="64">
        <v>188.84</v>
      </c>
      <c r="L41" s="64">
        <v>19.05</v>
      </c>
      <c r="M41" s="64">
        <v>81.61</v>
      </c>
      <c r="N41" s="64">
        <v>333.5</v>
      </c>
      <c r="O41" s="64">
        <v>0</v>
      </c>
      <c r="P41" s="64">
        <v>1.28</v>
      </c>
      <c r="Q41" s="64">
        <v>10.65</v>
      </c>
      <c r="R41" s="198"/>
      <c r="S41" s="198"/>
      <c r="T41" s="198"/>
      <c r="U41" s="198"/>
    </row>
    <row r="42" spans="1:21" s="12" customFormat="1" x14ac:dyDescent="0.25">
      <c r="A42" s="215" t="s">
        <v>954</v>
      </c>
      <c r="B42" s="64">
        <v>75.53</v>
      </c>
      <c r="C42" s="64">
        <v>34.21</v>
      </c>
      <c r="D42" s="64">
        <v>109.74</v>
      </c>
      <c r="E42" s="64">
        <v>0.42</v>
      </c>
      <c r="F42" s="213" t="s">
        <v>42</v>
      </c>
      <c r="G42" s="210" t="s">
        <v>36</v>
      </c>
      <c r="H42" s="210" t="s">
        <v>36</v>
      </c>
      <c r="I42" s="64">
        <v>1.5</v>
      </c>
      <c r="J42" s="64">
        <v>0.25</v>
      </c>
      <c r="K42" s="64">
        <v>186</v>
      </c>
      <c r="L42" s="64">
        <v>20</v>
      </c>
      <c r="M42" s="64">
        <v>75.11</v>
      </c>
      <c r="N42" s="64">
        <v>389.7</v>
      </c>
      <c r="O42" s="64">
        <v>0</v>
      </c>
      <c r="P42" s="64">
        <v>1.23</v>
      </c>
      <c r="Q42" s="64">
        <v>10.31</v>
      </c>
      <c r="R42" s="198"/>
      <c r="S42" s="198"/>
      <c r="T42" s="198"/>
      <c r="U42" s="198"/>
    </row>
    <row r="43" spans="1:21" s="12" customFormat="1" x14ac:dyDescent="0.25">
      <c r="A43" s="215" t="s">
        <v>955</v>
      </c>
      <c r="B43" s="64">
        <v>69.55</v>
      </c>
      <c r="C43" s="64">
        <v>33.07</v>
      </c>
      <c r="D43" s="64">
        <v>102.62</v>
      </c>
      <c r="E43" s="64">
        <v>0.44</v>
      </c>
      <c r="F43" s="64">
        <v>0.02</v>
      </c>
      <c r="G43" s="210" t="s">
        <v>36</v>
      </c>
      <c r="H43" s="210" t="s">
        <v>36</v>
      </c>
      <c r="I43" s="64">
        <v>1.54</v>
      </c>
      <c r="J43" s="64">
        <v>0.2</v>
      </c>
      <c r="K43" s="64">
        <v>151.16999999999999</v>
      </c>
      <c r="L43" s="64">
        <v>20.71</v>
      </c>
      <c r="M43" s="64">
        <v>71.760000000000005</v>
      </c>
      <c r="N43" s="64">
        <v>441.2</v>
      </c>
      <c r="O43" s="64">
        <v>0</v>
      </c>
      <c r="P43" s="64">
        <v>1.19</v>
      </c>
      <c r="Q43" s="64">
        <v>9.9</v>
      </c>
      <c r="R43" s="198"/>
      <c r="S43" s="198"/>
      <c r="T43" s="198"/>
      <c r="U43" s="198"/>
    </row>
    <row r="44" spans="1:21" s="12" customFormat="1" x14ac:dyDescent="0.25">
      <c r="A44" s="215" t="s">
        <v>956</v>
      </c>
      <c r="B44" s="64">
        <v>64.099999999999994</v>
      </c>
      <c r="C44" s="64">
        <v>33.450000000000003</v>
      </c>
      <c r="D44" s="64">
        <v>97.55</v>
      </c>
      <c r="E44" s="64">
        <v>0.43</v>
      </c>
      <c r="F44" s="64">
        <v>0.19</v>
      </c>
      <c r="G44" s="210" t="s">
        <v>36</v>
      </c>
      <c r="H44" s="210" t="s">
        <v>36</v>
      </c>
      <c r="I44" s="64">
        <v>1.44</v>
      </c>
      <c r="J44" s="64">
        <v>0.44</v>
      </c>
      <c r="K44" s="64">
        <v>138.21</v>
      </c>
      <c r="L44" s="64">
        <v>22.73</v>
      </c>
      <c r="M44" s="64">
        <v>64.510000000000005</v>
      </c>
      <c r="N44" s="64">
        <v>483.3</v>
      </c>
      <c r="O44" s="64">
        <v>0</v>
      </c>
      <c r="P44" s="64">
        <v>1.1599999999999999</v>
      </c>
      <c r="Q44" s="64">
        <v>9.51</v>
      </c>
      <c r="R44" s="198"/>
      <c r="S44" s="198"/>
      <c r="T44" s="198"/>
      <c r="U44" s="198"/>
    </row>
    <row r="45" spans="1:21" s="12" customFormat="1" x14ac:dyDescent="0.25">
      <c r="A45" s="215" t="s">
        <v>957</v>
      </c>
      <c r="B45" s="64">
        <v>60.77</v>
      </c>
      <c r="C45" s="64">
        <v>32.909999999999997</v>
      </c>
      <c r="D45" s="64">
        <v>93.68</v>
      </c>
      <c r="E45" s="64">
        <v>0.45</v>
      </c>
      <c r="F45" s="64">
        <v>0.41</v>
      </c>
      <c r="G45" s="210" t="s">
        <v>36</v>
      </c>
      <c r="H45" s="210" t="s">
        <v>36</v>
      </c>
      <c r="I45" s="64">
        <v>1.5</v>
      </c>
      <c r="J45" s="64">
        <v>0.4</v>
      </c>
      <c r="K45" s="64">
        <v>140.81</v>
      </c>
      <c r="L45" s="64">
        <v>24.12</v>
      </c>
      <c r="M45" s="64">
        <v>57.06</v>
      </c>
      <c r="N45" s="64">
        <v>525.1</v>
      </c>
      <c r="O45" s="64">
        <v>0</v>
      </c>
      <c r="P45" s="64">
        <v>1.1499999999999999</v>
      </c>
      <c r="Q45" s="64">
        <v>9.2200000000000006</v>
      </c>
      <c r="R45" s="198"/>
      <c r="S45" s="198"/>
      <c r="T45" s="198"/>
      <c r="U45" s="198"/>
    </row>
    <row r="46" spans="1:21" s="12" customFormat="1" x14ac:dyDescent="0.25">
      <c r="A46" s="215" t="s">
        <v>958</v>
      </c>
      <c r="B46" s="64">
        <v>58.79</v>
      </c>
      <c r="C46" s="64">
        <v>30.4</v>
      </c>
      <c r="D46" s="64">
        <v>89.19</v>
      </c>
      <c r="E46" s="64">
        <v>0.41</v>
      </c>
      <c r="F46" s="64">
        <v>0.37</v>
      </c>
      <c r="G46" s="210" t="s">
        <v>36</v>
      </c>
      <c r="H46" s="210" t="s">
        <v>36</v>
      </c>
      <c r="I46" s="64">
        <v>1.52</v>
      </c>
      <c r="J46" s="64">
        <v>0.1</v>
      </c>
      <c r="K46" s="64">
        <v>65.88</v>
      </c>
      <c r="L46" s="64">
        <v>26.06</v>
      </c>
      <c r="M46" s="64">
        <v>48.34</v>
      </c>
      <c r="N46" s="64">
        <v>571.79999999999995</v>
      </c>
      <c r="O46" s="64">
        <v>0</v>
      </c>
      <c r="P46" s="64">
        <v>1.1399999999999999</v>
      </c>
      <c r="Q46" s="64">
        <v>8.9700000000000006</v>
      </c>
      <c r="R46" s="198"/>
      <c r="S46" s="198"/>
      <c r="T46" s="198"/>
      <c r="U46" s="198"/>
    </row>
    <row r="47" spans="1:21" s="12" customFormat="1" x14ac:dyDescent="0.25">
      <c r="A47" s="215" t="s">
        <v>959</v>
      </c>
      <c r="B47" s="64">
        <v>55.44</v>
      </c>
      <c r="C47" s="64">
        <v>30.3</v>
      </c>
      <c r="D47" s="64">
        <v>85.74</v>
      </c>
      <c r="E47" s="64">
        <v>0.36</v>
      </c>
      <c r="F47" s="64">
        <v>0.56000000000000005</v>
      </c>
      <c r="G47" s="210" t="s">
        <v>36</v>
      </c>
      <c r="H47" s="210" t="s">
        <v>36</v>
      </c>
      <c r="I47" s="64">
        <v>1.48</v>
      </c>
      <c r="J47" s="64">
        <v>0.25</v>
      </c>
      <c r="K47" s="64">
        <v>335.04</v>
      </c>
      <c r="L47" s="64">
        <v>26.83</v>
      </c>
      <c r="M47" s="64">
        <v>41.94</v>
      </c>
      <c r="N47" s="64">
        <v>604.20000000000005</v>
      </c>
      <c r="O47" s="64">
        <v>0</v>
      </c>
      <c r="P47" s="64">
        <v>1.1499999999999999</v>
      </c>
      <c r="Q47" s="64">
        <v>8.66</v>
      </c>
      <c r="R47" s="198"/>
      <c r="S47" s="198"/>
      <c r="T47" s="198"/>
      <c r="U47" s="198"/>
    </row>
    <row r="48" spans="1:21" s="12" customFormat="1" x14ac:dyDescent="0.25">
      <c r="A48" s="215" t="s">
        <v>960</v>
      </c>
      <c r="B48" s="64">
        <v>50.19</v>
      </c>
      <c r="C48" s="64">
        <v>35.78</v>
      </c>
      <c r="D48" s="64">
        <v>85.97</v>
      </c>
      <c r="E48" s="64">
        <v>0.33</v>
      </c>
      <c r="F48" s="64">
        <v>0.6</v>
      </c>
      <c r="G48" s="210" t="s">
        <v>36</v>
      </c>
      <c r="H48" s="210" t="s">
        <v>36</v>
      </c>
      <c r="I48" s="64">
        <v>1.51</v>
      </c>
      <c r="J48" s="64">
        <v>0.22</v>
      </c>
      <c r="K48" s="64">
        <v>345.27</v>
      </c>
      <c r="L48" s="64">
        <v>28.5</v>
      </c>
      <c r="M48" s="64">
        <v>37.86</v>
      </c>
      <c r="N48" s="64">
        <v>636.79999999999995</v>
      </c>
      <c r="O48" s="64">
        <v>0</v>
      </c>
      <c r="P48" s="64">
        <v>1.1499999999999999</v>
      </c>
      <c r="Q48" s="64">
        <v>8.3000000000000007</v>
      </c>
      <c r="R48" s="198"/>
      <c r="S48" s="198"/>
      <c r="T48" s="198"/>
      <c r="U48" s="198"/>
    </row>
    <row r="49" spans="1:21" s="12" customFormat="1" x14ac:dyDescent="0.25">
      <c r="A49" s="215" t="s">
        <v>961</v>
      </c>
      <c r="B49" s="64">
        <v>46.31</v>
      </c>
      <c r="C49" s="64">
        <v>37.76</v>
      </c>
      <c r="D49" s="64">
        <v>84.07</v>
      </c>
      <c r="E49" s="64">
        <v>0.33</v>
      </c>
      <c r="F49" s="64">
        <v>0.42</v>
      </c>
      <c r="G49" s="210" t="s">
        <v>36</v>
      </c>
      <c r="H49" s="210" t="s">
        <v>36</v>
      </c>
      <c r="I49" s="64">
        <v>1.47</v>
      </c>
      <c r="J49" s="64">
        <v>0.14000000000000001</v>
      </c>
      <c r="K49" s="64">
        <v>356.93</v>
      </c>
      <c r="L49" s="64">
        <v>28.08</v>
      </c>
      <c r="M49" s="64">
        <v>39.020000000000003</v>
      </c>
      <c r="N49" s="64">
        <v>675.8</v>
      </c>
      <c r="O49" s="64">
        <v>0</v>
      </c>
      <c r="P49" s="64">
        <v>1.1599999999999999</v>
      </c>
      <c r="Q49" s="64">
        <v>8.0399999999999991</v>
      </c>
      <c r="R49" s="198"/>
      <c r="S49" s="198"/>
      <c r="T49" s="198"/>
      <c r="U49" s="198"/>
    </row>
    <row r="50" spans="1:21" s="12" customFormat="1" x14ac:dyDescent="0.25">
      <c r="A50" s="215" t="s">
        <v>962</v>
      </c>
      <c r="B50" s="64">
        <v>42.6</v>
      </c>
      <c r="C50" s="64">
        <v>39.520000000000003</v>
      </c>
      <c r="D50" s="64">
        <v>82.12</v>
      </c>
      <c r="E50" s="64">
        <v>0.35</v>
      </c>
      <c r="F50" s="64">
        <v>0.57999999999999996</v>
      </c>
      <c r="G50" s="210" t="s">
        <v>36</v>
      </c>
      <c r="H50" s="210" t="s">
        <v>36</v>
      </c>
      <c r="I50" s="64">
        <v>1.61</v>
      </c>
      <c r="J50" s="64">
        <v>0.31</v>
      </c>
      <c r="K50" s="64">
        <v>348.37</v>
      </c>
      <c r="L50" s="64">
        <v>29.44</v>
      </c>
      <c r="M50" s="64">
        <v>35.65</v>
      </c>
      <c r="N50" s="64">
        <v>701.5</v>
      </c>
      <c r="O50" s="64">
        <v>0</v>
      </c>
      <c r="P50" s="64">
        <v>1.1499999999999999</v>
      </c>
      <c r="Q50" s="64">
        <v>7.69</v>
      </c>
      <c r="R50" s="198"/>
      <c r="S50" s="198"/>
      <c r="T50" s="198"/>
      <c r="U50" s="198"/>
    </row>
    <row r="51" spans="1:21" s="12" customFormat="1" x14ac:dyDescent="0.25">
      <c r="A51" s="215" t="s">
        <v>963</v>
      </c>
      <c r="B51" s="64">
        <v>36.85</v>
      </c>
      <c r="C51" s="64">
        <v>38.11</v>
      </c>
      <c r="D51" s="64">
        <v>74.959999999999994</v>
      </c>
      <c r="E51" s="64">
        <v>0.36</v>
      </c>
      <c r="F51" s="64">
        <v>2.27</v>
      </c>
      <c r="G51" s="210" t="s">
        <v>36</v>
      </c>
      <c r="H51" s="210" t="s">
        <v>36</v>
      </c>
      <c r="I51" s="64">
        <v>1.47</v>
      </c>
      <c r="J51" s="64">
        <v>0.55000000000000004</v>
      </c>
      <c r="K51" s="64">
        <v>143.27000000000001</v>
      </c>
      <c r="L51" s="64">
        <v>27.73</v>
      </c>
      <c r="M51" s="64">
        <v>37.31</v>
      </c>
      <c r="N51" s="64">
        <v>720.5</v>
      </c>
      <c r="O51" s="64">
        <v>0</v>
      </c>
      <c r="P51" s="64">
        <v>1.1200000000000001</v>
      </c>
      <c r="Q51" s="64">
        <v>7.46</v>
      </c>
      <c r="R51" s="198"/>
      <c r="S51" s="198"/>
      <c r="T51" s="198"/>
      <c r="U51" s="198"/>
    </row>
    <row r="52" spans="1:21" s="12" customFormat="1" x14ac:dyDescent="0.25">
      <c r="A52" s="215" t="s">
        <v>964</v>
      </c>
      <c r="B52" s="64">
        <v>33.380000000000003</v>
      </c>
      <c r="C52" s="64">
        <v>41.12</v>
      </c>
      <c r="D52" s="64">
        <v>74.5</v>
      </c>
      <c r="E52" s="64">
        <v>0.32</v>
      </c>
      <c r="F52" s="64">
        <v>1.18</v>
      </c>
      <c r="G52" s="210" t="s">
        <v>36</v>
      </c>
      <c r="H52" s="210" t="s">
        <v>36</v>
      </c>
      <c r="I52" s="64">
        <v>1.49</v>
      </c>
      <c r="J52" s="64">
        <v>7.0000000000000007E-2</v>
      </c>
      <c r="K52" s="64">
        <v>325.5</v>
      </c>
      <c r="L52" s="64">
        <v>27.77</v>
      </c>
      <c r="M52" s="64">
        <v>36.450000000000003</v>
      </c>
      <c r="N52" s="64">
        <v>742.2</v>
      </c>
      <c r="O52" s="64">
        <v>0</v>
      </c>
      <c r="P52" s="64">
        <v>1.1100000000000001</v>
      </c>
      <c r="Q52" s="64">
        <v>7.03</v>
      </c>
      <c r="R52" s="198"/>
      <c r="S52" s="198"/>
      <c r="T52" s="198"/>
      <c r="U52" s="198"/>
    </row>
    <row r="53" spans="1:21" s="12" customFormat="1" x14ac:dyDescent="0.25">
      <c r="A53" s="215" t="s">
        <v>965</v>
      </c>
      <c r="B53" s="64">
        <v>28.72</v>
      </c>
      <c r="C53" s="64">
        <v>40.76</v>
      </c>
      <c r="D53" s="64">
        <v>69.48</v>
      </c>
      <c r="E53" s="64">
        <v>0.33</v>
      </c>
      <c r="F53" s="64">
        <v>1.95</v>
      </c>
      <c r="G53" s="210" t="s">
        <v>36</v>
      </c>
      <c r="H53" s="210" t="s">
        <v>36</v>
      </c>
      <c r="I53" s="64">
        <v>1.44</v>
      </c>
      <c r="J53" s="64">
        <v>0.38</v>
      </c>
      <c r="K53" s="64">
        <v>353.48</v>
      </c>
      <c r="L53" s="64">
        <v>29.89</v>
      </c>
      <c r="M53" s="64">
        <v>32.18</v>
      </c>
      <c r="N53" s="64">
        <v>751.1</v>
      </c>
      <c r="O53" s="64">
        <v>0</v>
      </c>
      <c r="P53" s="64">
        <v>1.08</v>
      </c>
      <c r="Q53" s="64">
        <v>6.73</v>
      </c>
      <c r="R53" s="198"/>
      <c r="S53" s="198"/>
      <c r="T53" s="198"/>
      <c r="U53" s="198"/>
    </row>
    <row r="54" spans="1:21" s="12" customFormat="1" x14ac:dyDescent="0.25">
      <c r="A54" s="215" t="s">
        <v>966</v>
      </c>
      <c r="B54" s="64">
        <v>24.32</v>
      </c>
      <c r="C54" s="64">
        <v>39.68</v>
      </c>
      <c r="D54" s="64">
        <v>64</v>
      </c>
      <c r="E54" s="64">
        <v>0.36</v>
      </c>
      <c r="F54" s="64">
        <v>6.21</v>
      </c>
      <c r="G54" s="210" t="s">
        <v>36</v>
      </c>
      <c r="H54" s="210" t="s">
        <v>36</v>
      </c>
      <c r="I54" s="64">
        <v>1.48</v>
      </c>
      <c r="J54" s="64">
        <v>0.34</v>
      </c>
      <c r="K54" s="64">
        <v>332.7</v>
      </c>
      <c r="L54" s="64">
        <v>29.78</v>
      </c>
      <c r="M54" s="64">
        <v>32.79</v>
      </c>
      <c r="N54" s="64">
        <v>740.5</v>
      </c>
      <c r="O54" s="64">
        <v>0</v>
      </c>
      <c r="P54" s="64">
        <v>1.05</v>
      </c>
      <c r="Q54" s="64">
        <v>6.45</v>
      </c>
      <c r="R54" s="198"/>
      <c r="S54" s="198"/>
      <c r="T54" s="198"/>
      <c r="U54" s="198"/>
    </row>
    <row r="55" spans="1:21" s="12" customFormat="1" x14ac:dyDescent="0.25">
      <c r="A55" s="215" t="s">
        <v>967</v>
      </c>
      <c r="B55" s="64">
        <v>18.21</v>
      </c>
      <c r="C55" s="64">
        <v>40.9</v>
      </c>
      <c r="D55" s="64">
        <v>59.11</v>
      </c>
      <c r="E55" s="64">
        <v>0.5</v>
      </c>
      <c r="F55" s="64">
        <v>4.8099999999999996</v>
      </c>
      <c r="G55" s="210" t="s">
        <v>36</v>
      </c>
      <c r="H55" s="210" t="s">
        <v>36</v>
      </c>
      <c r="I55" s="64">
        <v>1.48</v>
      </c>
      <c r="J55" s="64">
        <v>0.46</v>
      </c>
      <c r="K55" s="64">
        <v>342.55</v>
      </c>
      <c r="L55" s="64">
        <v>31.29</v>
      </c>
      <c r="M55" s="64">
        <v>30.12</v>
      </c>
      <c r="N55" s="64">
        <v>740.4</v>
      </c>
      <c r="O55" s="64">
        <v>0</v>
      </c>
      <c r="P55" s="64">
        <v>1.03</v>
      </c>
      <c r="Q55" s="64">
        <v>6.3</v>
      </c>
      <c r="R55" s="198"/>
      <c r="S55" s="198"/>
      <c r="T55" s="198"/>
      <c r="U55" s="198"/>
    </row>
    <row r="56" spans="1:21" s="12" customFormat="1" x14ac:dyDescent="0.25">
      <c r="A56" s="215" t="s">
        <v>968</v>
      </c>
      <c r="B56" s="64">
        <v>19.46</v>
      </c>
      <c r="C56" s="64">
        <v>40.590000000000003</v>
      </c>
      <c r="D56" s="64">
        <v>60.04</v>
      </c>
      <c r="E56" s="64">
        <v>0.17</v>
      </c>
      <c r="F56" s="64">
        <v>4.03</v>
      </c>
      <c r="G56" s="210" t="s">
        <v>36</v>
      </c>
      <c r="H56" s="210" t="s">
        <v>36</v>
      </c>
      <c r="I56" s="64">
        <v>1.49</v>
      </c>
      <c r="J56" s="64">
        <v>0.11</v>
      </c>
      <c r="K56" s="64">
        <v>135.36000000000001</v>
      </c>
      <c r="L56" s="64">
        <v>30.2</v>
      </c>
      <c r="M56" s="64">
        <v>30.03</v>
      </c>
      <c r="N56" s="64">
        <v>763</v>
      </c>
      <c r="O56" s="64">
        <v>0</v>
      </c>
      <c r="P56" s="64">
        <v>1.03</v>
      </c>
      <c r="Q56" s="64">
        <v>6.01</v>
      </c>
      <c r="R56" s="198"/>
      <c r="S56" s="198"/>
      <c r="T56" s="198"/>
      <c r="U56" s="198"/>
    </row>
    <row r="57" spans="1:21" s="12" customFormat="1" x14ac:dyDescent="0.25">
      <c r="A57" s="215" t="s">
        <v>969</v>
      </c>
      <c r="B57" s="64">
        <v>17.489999999999998</v>
      </c>
      <c r="C57" s="64">
        <v>38.25</v>
      </c>
      <c r="D57" s="64">
        <v>55.74</v>
      </c>
      <c r="E57" s="64">
        <v>0.32</v>
      </c>
      <c r="F57" s="64">
        <v>3.56</v>
      </c>
      <c r="G57" s="210" t="s">
        <v>36</v>
      </c>
      <c r="H57" s="210" t="s">
        <v>36</v>
      </c>
      <c r="I57" s="64">
        <v>1.52</v>
      </c>
      <c r="J57" s="64">
        <v>0.96</v>
      </c>
      <c r="K57" s="64">
        <v>142.51</v>
      </c>
      <c r="L57" s="64">
        <v>28.48</v>
      </c>
      <c r="M57" s="64">
        <v>31.54</v>
      </c>
      <c r="N57" s="64">
        <v>758.3</v>
      </c>
      <c r="O57" s="64">
        <v>0</v>
      </c>
      <c r="P57" s="64">
        <v>1.01</v>
      </c>
      <c r="Q57" s="64">
        <v>5.76</v>
      </c>
      <c r="R57" s="198"/>
      <c r="S57" s="198"/>
      <c r="T57" s="198"/>
      <c r="U57" s="198"/>
    </row>
    <row r="58" spans="1:21" s="12" customFormat="1" x14ac:dyDescent="0.25">
      <c r="A58" s="215" t="s">
        <v>970</v>
      </c>
      <c r="B58" s="64">
        <v>10.82</v>
      </c>
      <c r="C58" s="64">
        <v>35.11</v>
      </c>
      <c r="D58" s="64">
        <v>45.94</v>
      </c>
      <c r="E58" s="64">
        <v>0.36</v>
      </c>
      <c r="F58" s="64">
        <v>15.35</v>
      </c>
      <c r="G58" s="210" t="s">
        <v>36</v>
      </c>
      <c r="H58" s="210" t="s">
        <v>36</v>
      </c>
      <c r="I58" s="64">
        <v>1.5</v>
      </c>
      <c r="J58" s="64">
        <v>0.11</v>
      </c>
      <c r="K58" s="64">
        <v>137.6</v>
      </c>
      <c r="L58" s="64">
        <v>28.72</v>
      </c>
      <c r="M58" s="64">
        <v>31.8</v>
      </c>
      <c r="N58" s="64">
        <v>727.8</v>
      </c>
      <c r="O58" s="64">
        <v>0</v>
      </c>
      <c r="P58" s="64">
        <v>0.89</v>
      </c>
      <c r="Q58" s="64">
        <v>5.68</v>
      </c>
      <c r="R58" s="198"/>
      <c r="S58" s="198"/>
      <c r="T58" s="198"/>
      <c r="U58" s="198"/>
    </row>
    <row r="59" spans="1:21" s="12" customFormat="1" x14ac:dyDescent="0.25">
      <c r="A59" s="215" t="s">
        <v>971</v>
      </c>
      <c r="B59" s="64">
        <v>9.26</v>
      </c>
      <c r="C59" s="64">
        <v>34.22</v>
      </c>
      <c r="D59" s="64">
        <v>43.48</v>
      </c>
      <c r="E59" s="64">
        <v>0.34</v>
      </c>
      <c r="F59" s="64">
        <v>5.83</v>
      </c>
      <c r="G59" s="210" t="s">
        <v>36</v>
      </c>
      <c r="H59" s="210" t="s">
        <v>36</v>
      </c>
      <c r="I59" s="64">
        <v>1.51</v>
      </c>
      <c r="J59" s="64">
        <v>0.42</v>
      </c>
      <c r="K59" s="64">
        <v>338.36</v>
      </c>
      <c r="L59" s="64">
        <v>30.21</v>
      </c>
      <c r="M59" s="64">
        <v>29.6</v>
      </c>
      <c r="N59" s="64">
        <v>677.2</v>
      </c>
      <c r="O59" s="64">
        <v>0</v>
      </c>
      <c r="P59" s="64">
        <v>0.91</v>
      </c>
      <c r="Q59" s="64">
        <v>5.35</v>
      </c>
      <c r="R59" s="198"/>
      <c r="S59" s="198"/>
      <c r="T59" s="198"/>
      <c r="U59" s="198"/>
    </row>
    <row r="60" spans="1:21" s="12" customFormat="1" x14ac:dyDescent="0.25">
      <c r="A60" s="215" t="s">
        <v>972</v>
      </c>
      <c r="B60" s="64">
        <v>6.71</v>
      </c>
      <c r="C60" s="64">
        <v>35.85</v>
      </c>
      <c r="D60" s="64">
        <v>42.56</v>
      </c>
      <c r="E60" s="64">
        <v>0.3</v>
      </c>
      <c r="F60" s="64">
        <v>10.62</v>
      </c>
      <c r="G60" s="210" t="s">
        <v>36</v>
      </c>
      <c r="H60" s="210" t="s">
        <v>36</v>
      </c>
      <c r="I60" s="64">
        <v>1.5</v>
      </c>
      <c r="J60" s="64">
        <v>0.32</v>
      </c>
      <c r="K60" s="64">
        <v>341.04</v>
      </c>
      <c r="L60" s="64">
        <v>30.45</v>
      </c>
      <c r="M60" s="64">
        <v>28.94</v>
      </c>
      <c r="N60" s="64">
        <v>579.5</v>
      </c>
      <c r="O60" s="64">
        <v>0</v>
      </c>
      <c r="P60" s="64">
        <v>0.85</v>
      </c>
      <c r="Q60" s="64">
        <v>4.93</v>
      </c>
      <c r="R60" s="198"/>
      <c r="S60" s="198"/>
      <c r="T60" s="198"/>
      <c r="U60" s="198"/>
    </row>
    <row r="61" spans="1:21" s="12" customFormat="1" x14ac:dyDescent="0.25">
      <c r="A61" s="215" t="s">
        <v>973</v>
      </c>
      <c r="B61" s="64">
        <v>5.54</v>
      </c>
      <c r="C61" s="64">
        <v>36.01</v>
      </c>
      <c r="D61" s="64">
        <v>41.55</v>
      </c>
      <c r="E61" s="64">
        <v>0.25</v>
      </c>
      <c r="F61" s="64">
        <v>2.31</v>
      </c>
      <c r="G61" s="210" t="s">
        <v>36</v>
      </c>
      <c r="H61" s="210" t="s">
        <v>36</v>
      </c>
      <c r="I61" s="64">
        <v>1.48</v>
      </c>
      <c r="J61" s="64">
        <v>0.09</v>
      </c>
      <c r="K61" s="64">
        <v>29.33</v>
      </c>
      <c r="L61" s="64">
        <v>28.85</v>
      </c>
      <c r="M61" s="64">
        <v>31.25</v>
      </c>
      <c r="N61" s="64">
        <v>575</v>
      </c>
      <c r="O61" s="64">
        <v>0</v>
      </c>
      <c r="P61" s="64">
        <v>0.9</v>
      </c>
      <c r="Q61" s="64">
        <v>4.97</v>
      </c>
      <c r="R61" s="198"/>
      <c r="S61" s="198"/>
      <c r="T61" s="198"/>
      <c r="U61" s="198"/>
    </row>
    <row r="62" spans="1:21" s="12" customFormat="1" x14ac:dyDescent="0.25">
      <c r="A62" s="215" t="s">
        <v>974</v>
      </c>
      <c r="B62" s="64">
        <v>4.22</v>
      </c>
      <c r="C62" s="64">
        <v>38.1</v>
      </c>
      <c r="D62" s="64">
        <v>42.32</v>
      </c>
      <c r="E62" s="64">
        <v>0.25</v>
      </c>
      <c r="F62" s="64">
        <v>12.64</v>
      </c>
      <c r="G62" s="210" t="s">
        <v>36</v>
      </c>
      <c r="H62" s="210" t="s">
        <v>36</v>
      </c>
      <c r="I62" s="64">
        <v>1.57</v>
      </c>
      <c r="J62" s="64">
        <v>0.44</v>
      </c>
      <c r="K62" s="64">
        <v>125.42</v>
      </c>
      <c r="L62" s="64">
        <v>29.15</v>
      </c>
      <c r="M62" s="64">
        <v>31.32</v>
      </c>
      <c r="N62" s="64">
        <v>541.20000000000005</v>
      </c>
      <c r="O62" s="64">
        <v>0</v>
      </c>
      <c r="P62" s="64">
        <v>0.9</v>
      </c>
      <c r="Q62" s="64">
        <v>5.07</v>
      </c>
      <c r="R62" s="198"/>
      <c r="S62" s="198"/>
      <c r="T62" s="198"/>
      <c r="U62" s="198"/>
    </row>
    <row r="63" spans="1:21" s="12" customFormat="1" x14ac:dyDescent="0.25">
      <c r="A63" s="215" t="s">
        <v>975</v>
      </c>
      <c r="B63" s="64">
        <v>3.56</v>
      </c>
      <c r="C63" s="64">
        <v>34.090000000000003</v>
      </c>
      <c r="D63" s="64">
        <v>37.65</v>
      </c>
      <c r="E63" s="64">
        <v>1.97</v>
      </c>
      <c r="F63" s="64">
        <v>10.210000000000001</v>
      </c>
      <c r="G63" s="210" t="s">
        <v>36</v>
      </c>
      <c r="H63" s="210" t="s">
        <v>36</v>
      </c>
      <c r="I63" s="64">
        <v>1.53</v>
      </c>
      <c r="J63" s="64">
        <v>0.52</v>
      </c>
      <c r="K63" s="64">
        <v>330.4</v>
      </c>
      <c r="L63" s="64">
        <v>29.61</v>
      </c>
      <c r="M63" s="64">
        <v>31.2</v>
      </c>
      <c r="N63" s="64">
        <v>505</v>
      </c>
      <c r="O63" s="64">
        <v>0</v>
      </c>
      <c r="P63" s="64">
        <v>0.9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976</v>
      </c>
      <c r="B64" s="64">
        <v>3.9</v>
      </c>
      <c r="C64" s="64">
        <v>36.340000000000003</v>
      </c>
      <c r="D64" s="64">
        <v>40.229999999999997</v>
      </c>
      <c r="E64" s="64">
        <v>0.57999999999999996</v>
      </c>
      <c r="F64" s="64">
        <v>7.59</v>
      </c>
      <c r="G64" s="210" t="s">
        <v>36</v>
      </c>
      <c r="H64" s="210" t="s">
        <v>36</v>
      </c>
      <c r="I64" s="64">
        <v>1.53</v>
      </c>
      <c r="J64" s="64">
        <v>0.67</v>
      </c>
      <c r="K64" s="64">
        <v>324.23</v>
      </c>
      <c r="L64" s="64">
        <v>30.24</v>
      </c>
      <c r="M64" s="64">
        <v>28.47</v>
      </c>
      <c r="N64" s="64">
        <v>416.1</v>
      </c>
      <c r="O64" s="64">
        <v>0</v>
      </c>
      <c r="P64" s="64">
        <v>0.9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977</v>
      </c>
      <c r="B65" s="64">
        <v>4.72</v>
      </c>
      <c r="C65" s="64">
        <v>46.28</v>
      </c>
      <c r="D65" s="64">
        <v>51</v>
      </c>
      <c r="E65" s="64">
        <v>0.9</v>
      </c>
      <c r="F65" s="64">
        <v>18.440000000000001</v>
      </c>
      <c r="G65" s="64">
        <v>103.65</v>
      </c>
      <c r="H65" s="64">
        <v>44.2</v>
      </c>
      <c r="I65" s="64">
        <v>1.5</v>
      </c>
      <c r="J65" s="64">
        <v>1.28</v>
      </c>
      <c r="K65" s="64">
        <v>333.27</v>
      </c>
      <c r="L65" s="64">
        <v>30.3</v>
      </c>
      <c r="M65" s="64">
        <v>26.69</v>
      </c>
      <c r="N65" s="64">
        <v>221.1</v>
      </c>
      <c r="O65" s="64">
        <v>0</v>
      </c>
      <c r="P65" s="64">
        <v>0.85</v>
      </c>
      <c r="Q65" s="64">
        <v>5.14</v>
      </c>
      <c r="R65" s="198"/>
      <c r="S65" s="198"/>
      <c r="T65" s="198"/>
      <c r="U65" s="198"/>
    </row>
    <row r="66" spans="1:21" s="12" customFormat="1" x14ac:dyDescent="0.25">
      <c r="A66" s="215" t="s">
        <v>978</v>
      </c>
      <c r="B66" s="64">
        <v>4.28</v>
      </c>
      <c r="C66" s="64">
        <v>60.47</v>
      </c>
      <c r="D66" s="64">
        <v>64.75</v>
      </c>
      <c r="E66" s="64">
        <v>1.38</v>
      </c>
      <c r="F66" s="64">
        <v>14.21</v>
      </c>
      <c r="G66" s="64">
        <v>103.65</v>
      </c>
      <c r="H66" s="64">
        <v>44.2</v>
      </c>
      <c r="I66" s="64">
        <v>1.47</v>
      </c>
      <c r="J66" s="64">
        <v>1.23</v>
      </c>
      <c r="K66" s="64">
        <v>340.25</v>
      </c>
      <c r="L66" s="64">
        <v>29.89</v>
      </c>
      <c r="M66" s="64">
        <v>24.76</v>
      </c>
      <c r="N66" s="64">
        <v>191.5</v>
      </c>
      <c r="O66" s="64">
        <v>0</v>
      </c>
      <c r="P66" s="64">
        <v>0.82</v>
      </c>
      <c r="Q66" s="64">
        <v>3.5</v>
      </c>
      <c r="R66" s="198"/>
      <c r="S66" s="198"/>
      <c r="T66" s="198"/>
      <c r="U66" s="198"/>
    </row>
    <row r="67" spans="1:21" s="12" customFormat="1" x14ac:dyDescent="0.25">
      <c r="A67" s="215" t="s">
        <v>979</v>
      </c>
      <c r="B67" s="64">
        <v>2.0499999999999998</v>
      </c>
      <c r="C67" s="64">
        <v>55.42</v>
      </c>
      <c r="D67" s="64">
        <v>57.48</v>
      </c>
      <c r="E67" s="64">
        <v>0.92</v>
      </c>
      <c r="F67" s="64">
        <v>6.88</v>
      </c>
      <c r="G67" s="64">
        <v>103.65</v>
      </c>
      <c r="H67" s="64">
        <v>44.2</v>
      </c>
      <c r="I67" s="64">
        <v>1.49</v>
      </c>
      <c r="J67" s="64">
        <v>1.62</v>
      </c>
      <c r="K67" s="64">
        <v>341.86</v>
      </c>
      <c r="L67" s="64">
        <v>29.19</v>
      </c>
      <c r="M67" s="64">
        <v>24.23</v>
      </c>
      <c r="N67" s="64">
        <v>176.1</v>
      </c>
      <c r="O67" s="64">
        <v>0</v>
      </c>
      <c r="P67" s="64">
        <v>0.8</v>
      </c>
      <c r="Q67" s="64">
        <v>4.12</v>
      </c>
      <c r="R67" s="198"/>
      <c r="S67" s="198"/>
      <c r="T67" s="198"/>
      <c r="U67" s="198"/>
    </row>
    <row r="68" spans="1:21" s="12" customFormat="1" x14ac:dyDescent="0.25">
      <c r="A68" s="215" t="s">
        <v>980</v>
      </c>
      <c r="B68" s="64">
        <v>2.85</v>
      </c>
      <c r="C68" s="64">
        <v>50.76</v>
      </c>
      <c r="D68" s="64">
        <v>53.61</v>
      </c>
      <c r="E68" s="64">
        <v>0.68</v>
      </c>
      <c r="F68" s="64">
        <v>4.72</v>
      </c>
      <c r="G68" s="64">
        <v>103.65</v>
      </c>
      <c r="H68" s="64">
        <v>44.2</v>
      </c>
      <c r="I68" s="64">
        <v>1.49</v>
      </c>
      <c r="J68" s="64">
        <v>1.43</v>
      </c>
      <c r="K68" s="64">
        <v>338.93</v>
      </c>
      <c r="L68" s="64">
        <v>28.86</v>
      </c>
      <c r="M68" s="64">
        <v>25.24</v>
      </c>
      <c r="N68" s="64">
        <v>155.19999999999999</v>
      </c>
      <c r="O68" s="64">
        <v>0</v>
      </c>
      <c r="P68" s="64">
        <v>0.8</v>
      </c>
      <c r="Q68" s="64">
        <v>4.45</v>
      </c>
      <c r="R68" s="198"/>
      <c r="S68" s="198"/>
      <c r="T68" s="198"/>
      <c r="U68" s="198"/>
    </row>
    <row r="69" spans="1:21" s="12" customFormat="1" x14ac:dyDescent="0.25">
      <c r="A69" s="215" t="s">
        <v>981</v>
      </c>
      <c r="B69" s="64">
        <v>3.71</v>
      </c>
      <c r="C69" s="64">
        <v>50</v>
      </c>
      <c r="D69" s="64">
        <v>53.71</v>
      </c>
      <c r="E69" s="64">
        <v>0.53</v>
      </c>
      <c r="F69" s="64">
        <v>6.89</v>
      </c>
      <c r="G69" s="64">
        <v>100.63</v>
      </c>
      <c r="H69" s="64">
        <v>45.72</v>
      </c>
      <c r="I69" s="64">
        <v>1.5</v>
      </c>
      <c r="J69" s="64">
        <v>1.44</v>
      </c>
      <c r="K69" s="64">
        <v>338.9</v>
      </c>
      <c r="L69" s="64">
        <v>28.41</v>
      </c>
      <c r="M69" s="64">
        <v>25.16</v>
      </c>
      <c r="N69" s="64">
        <v>142.19999999999999</v>
      </c>
      <c r="O69" s="64">
        <v>0</v>
      </c>
      <c r="P69" s="64">
        <v>0.78</v>
      </c>
      <c r="Q69" s="64">
        <v>4.6500000000000004</v>
      </c>
      <c r="R69" s="198"/>
      <c r="S69" s="198"/>
      <c r="T69" s="198"/>
      <c r="U69" s="198"/>
    </row>
    <row r="70" spans="1:21" s="12" customFormat="1" x14ac:dyDescent="0.25">
      <c r="A70" s="215" t="s">
        <v>982</v>
      </c>
      <c r="B70" s="64">
        <v>5.05</v>
      </c>
      <c r="C70" s="64">
        <v>39.64</v>
      </c>
      <c r="D70" s="64">
        <v>44.69</v>
      </c>
      <c r="E70" s="64">
        <v>0.46</v>
      </c>
      <c r="F70" s="64">
        <v>8.1199999999999992</v>
      </c>
      <c r="G70" s="64">
        <v>94.28</v>
      </c>
      <c r="H70" s="64">
        <v>47.85</v>
      </c>
      <c r="I70" s="64">
        <v>1.44</v>
      </c>
      <c r="J70" s="64">
        <v>1.33</v>
      </c>
      <c r="K70" s="64">
        <v>340.09</v>
      </c>
      <c r="L70" s="64">
        <v>28.07</v>
      </c>
      <c r="M70" s="64">
        <v>26.2</v>
      </c>
      <c r="N70" s="64">
        <v>119.6</v>
      </c>
      <c r="O70" s="64">
        <v>0</v>
      </c>
      <c r="P70" s="64">
        <v>0.79</v>
      </c>
      <c r="Q70" s="64">
        <v>5.17</v>
      </c>
      <c r="R70" s="198"/>
      <c r="S70" s="198"/>
      <c r="T70" s="198"/>
      <c r="U70" s="198"/>
    </row>
    <row r="71" spans="1:21" s="12" customFormat="1" x14ac:dyDescent="0.25">
      <c r="A71" s="215" t="s">
        <v>983</v>
      </c>
      <c r="B71" s="64">
        <v>4.91</v>
      </c>
      <c r="C71" s="64">
        <v>46.77</v>
      </c>
      <c r="D71" s="64">
        <v>51.68</v>
      </c>
      <c r="E71" s="64">
        <v>0.44</v>
      </c>
      <c r="F71" s="64">
        <v>9.5500000000000007</v>
      </c>
      <c r="G71" s="64">
        <v>94.28</v>
      </c>
      <c r="H71" s="64">
        <v>47.85</v>
      </c>
      <c r="I71" s="64">
        <v>1.57</v>
      </c>
      <c r="J71" s="64">
        <v>0.49</v>
      </c>
      <c r="K71" s="64">
        <v>333.39</v>
      </c>
      <c r="L71" s="64">
        <v>27.51</v>
      </c>
      <c r="M71" s="64">
        <v>26.57</v>
      </c>
      <c r="N71" s="64">
        <v>113.3</v>
      </c>
      <c r="O71" s="64">
        <v>0</v>
      </c>
      <c r="P71" s="64">
        <v>0.83</v>
      </c>
      <c r="Q71" s="64">
        <v>4.8499999999999996</v>
      </c>
      <c r="R71" s="198"/>
      <c r="S71" s="198"/>
      <c r="T71" s="198"/>
      <c r="U71" s="198"/>
    </row>
    <row r="72" spans="1:21" s="12" customFormat="1" x14ac:dyDescent="0.25">
      <c r="A72" s="215" t="s">
        <v>984</v>
      </c>
      <c r="B72" s="64">
        <v>7.45</v>
      </c>
      <c r="C72" s="64">
        <v>47.2</v>
      </c>
      <c r="D72" s="64">
        <v>54.65</v>
      </c>
      <c r="E72" s="64">
        <v>0.35</v>
      </c>
      <c r="F72" s="64">
        <v>11.64</v>
      </c>
      <c r="G72" s="64">
        <v>94.28</v>
      </c>
      <c r="H72" s="64">
        <v>47.85</v>
      </c>
      <c r="I72" s="64">
        <v>1.53</v>
      </c>
      <c r="J72" s="64">
        <v>0.44</v>
      </c>
      <c r="K72" s="64">
        <v>357.82</v>
      </c>
      <c r="L72" s="64">
        <v>27.11</v>
      </c>
      <c r="M72" s="64">
        <v>27.69</v>
      </c>
      <c r="N72" s="64">
        <v>93.6</v>
      </c>
      <c r="O72" s="64">
        <v>0</v>
      </c>
      <c r="P72" s="64">
        <v>0.88</v>
      </c>
      <c r="Q72" s="64">
        <v>4.75</v>
      </c>
      <c r="R72" s="198"/>
      <c r="S72" s="198"/>
      <c r="T72" s="198"/>
      <c r="U72" s="198"/>
    </row>
    <row r="73" spans="1:21" s="12" customFormat="1" x14ac:dyDescent="0.25">
      <c r="A73" s="215" t="s">
        <v>985</v>
      </c>
      <c r="B73" s="64">
        <v>4.26</v>
      </c>
      <c r="C73" s="64">
        <v>47.12</v>
      </c>
      <c r="D73" s="64">
        <v>51.37</v>
      </c>
      <c r="E73" s="64">
        <v>0.64</v>
      </c>
      <c r="F73" s="64">
        <v>17.079999999999998</v>
      </c>
      <c r="G73" s="64">
        <v>94.76</v>
      </c>
      <c r="H73" s="64">
        <v>46.38</v>
      </c>
      <c r="I73" s="64">
        <v>1.51</v>
      </c>
      <c r="J73" s="64">
        <v>0.23</v>
      </c>
      <c r="K73" s="64">
        <v>93.5</v>
      </c>
      <c r="L73" s="64">
        <v>26.45</v>
      </c>
      <c r="M73" s="64">
        <v>30.35</v>
      </c>
      <c r="N73" s="64">
        <v>96.3</v>
      </c>
      <c r="O73" s="64">
        <v>0</v>
      </c>
      <c r="P73" s="64">
        <v>0.8</v>
      </c>
      <c r="Q73" s="64">
        <v>4.75</v>
      </c>
      <c r="R73" s="198"/>
      <c r="S73" s="198"/>
      <c r="T73" s="198"/>
      <c r="U73" s="198"/>
    </row>
    <row r="74" spans="1:21" s="12" customFormat="1" x14ac:dyDescent="0.25">
      <c r="A74" s="215" t="s">
        <v>986</v>
      </c>
      <c r="B74" s="64">
        <v>3.53</v>
      </c>
      <c r="C74" s="64">
        <v>41.36</v>
      </c>
      <c r="D74" s="64">
        <v>44.9</v>
      </c>
      <c r="E74" s="64">
        <v>0.76</v>
      </c>
      <c r="F74" s="64">
        <v>19.899999999999999</v>
      </c>
      <c r="G74" s="64">
        <v>95.78</v>
      </c>
      <c r="H74" s="64">
        <v>44.38</v>
      </c>
      <c r="I74" s="64">
        <v>1.59</v>
      </c>
      <c r="J74" s="64">
        <v>0.35</v>
      </c>
      <c r="K74" s="64">
        <v>107.08</v>
      </c>
      <c r="L74" s="64">
        <v>26</v>
      </c>
      <c r="M74" s="64">
        <v>32.43</v>
      </c>
      <c r="N74" s="64">
        <v>76.599999999999994</v>
      </c>
      <c r="O74" s="64">
        <v>0</v>
      </c>
      <c r="P74" s="64">
        <v>0.75</v>
      </c>
      <c r="Q74" s="64">
        <v>5.1100000000000003</v>
      </c>
      <c r="R74" s="198"/>
      <c r="S74" s="198"/>
      <c r="T74" s="198"/>
      <c r="U74" s="198"/>
    </row>
    <row r="75" spans="1:21" s="12" customFormat="1" x14ac:dyDescent="0.25">
      <c r="A75" s="215" t="s">
        <v>987</v>
      </c>
      <c r="B75" s="64">
        <v>2.4500000000000002</v>
      </c>
      <c r="C75" s="64">
        <v>43.71</v>
      </c>
      <c r="D75" s="64">
        <v>46.16</v>
      </c>
      <c r="E75" s="64">
        <v>0.98</v>
      </c>
      <c r="F75" s="64">
        <v>28.83</v>
      </c>
      <c r="G75" s="64">
        <v>95.78</v>
      </c>
      <c r="H75" s="64">
        <v>44.38</v>
      </c>
      <c r="I75" s="64">
        <v>1.48</v>
      </c>
      <c r="J75" s="64">
        <v>0.28000000000000003</v>
      </c>
      <c r="K75" s="64">
        <v>94.03</v>
      </c>
      <c r="L75" s="64">
        <v>25.59</v>
      </c>
      <c r="M75" s="64">
        <v>32.979999999999997</v>
      </c>
      <c r="N75" s="64">
        <v>63.4</v>
      </c>
      <c r="O75" s="64">
        <v>0</v>
      </c>
      <c r="P75" s="64">
        <v>0.69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988</v>
      </c>
      <c r="B76" s="64">
        <v>2.46</v>
      </c>
      <c r="C76" s="64">
        <v>48.92</v>
      </c>
      <c r="D76" s="64">
        <v>51.39</v>
      </c>
      <c r="E76" s="64">
        <v>1.69</v>
      </c>
      <c r="F76" s="64">
        <v>29.28</v>
      </c>
      <c r="G76" s="64">
        <v>95.78</v>
      </c>
      <c r="H76" s="64">
        <v>44.38</v>
      </c>
      <c r="I76" s="64">
        <v>1.5</v>
      </c>
      <c r="J76" s="64">
        <v>0.05</v>
      </c>
      <c r="K76" s="64">
        <v>87.35</v>
      </c>
      <c r="L76" s="64">
        <v>25.13</v>
      </c>
      <c r="M76" s="64">
        <v>34.14</v>
      </c>
      <c r="N76" s="64">
        <v>52</v>
      </c>
      <c r="O76" s="64">
        <v>0</v>
      </c>
      <c r="P76" s="64">
        <v>0.71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5" t="s">
        <v>989</v>
      </c>
      <c r="B77" s="64">
        <v>9.57</v>
      </c>
      <c r="C77" s="64">
        <v>77.430000000000007</v>
      </c>
      <c r="D77" s="64">
        <v>87</v>
      </c>
      <c r="E77" s="64">
        <v>2.0499999999999998</v>
      </c>
      <c r="F77" s="64">
        <v>19.850000000000001</v>
      </c>
      <c r="G77" s="64">
        <v>94.73</v>
      </c>
      <c r="H77" s="64">
        <v>44.71</v>
      </c>
      <c r="I77" s="64">
        <v>1.52</v>
      </c>
      <c r="J77" s="64">
        <v>0.05</v>
      </c>
      <c r="K77" s="64">
        <v>51.16</v>
      </c>
      <c r="L77" s="64">
        <v>24.46</v>
      </c>
      <c r="M77" s="64">
        <v>37.97</v>
      </c>
      <c r="N77" s="64">
        <v>41.9</v>
      </c>
      <c r="O77" s="64">
        <v>0</v>
      </c>
      <c r="P77" s="64">
        <v>1.08</v>
      </c>
      <c r="Q77" s="64">
        <v>3.12</v>
      </c>
      <c r="R77" s="198"/>
      <c r="S77" s="198"/>
      <c r="T77" s="198"/>
      <c r="U77" s="198"/>
    </row>
    <row r="78" spans="1:21" s="12" customFormat="1" x14ac:dyDescent="0.25">
      <c r="A78" s="215" t="s">
        <v>990</v>
      </c>
      <c r="B78" s="64">
        <v>5.93</v>
      </c>
      <c r="C78" s="64">
        <v>66.39</v>
      </c>
      <c r="D78" s="64">
        <v>72.319999999999993</v>
      </c>
      <c r="E78" s="64">
        <v>1.61</v>
      </c>
      <c r="F78" s="64">
        <v>5.63</v>
      </c>
      <c r="G78" s="64">
        <v>92.5</v>
      </c>
      <c r="H78" s="64">
        <v>45.15</v>
      </c>
      <c r="I78" s="64">
        <v>1.46</v>
      </c>
      <c r="J78" s="64">
        <v>7.0000000000000007E-2</v>
      </c>
      <c r="K78" s="64">
        <v>237.55</v>
      </c>
      <c r="L78" s="64">
        <v>23.57</v>
      </c>
      <c r="M78" s="64">
        <v>43.26</v>
      </c>
      <c r="N78" s="64">
        <v>36.6</v>
      </c>
      <c r="O78" s="64">
        <v>0</v>
      </c>
      <c r="P78" s="64">
        <v>0.98</v>
      </c>
      <c r="Q78" s="64">
        <v>2.95</v>
      </c>
      <c r="R78" s="198"/>
      <c r="S78" s="198"/>
      <c r="T78" s="198"/>
      <c r="U78" s="198"/>
    </row>
    <row r="79" spans="1:21" s="12" customFormat="1" x14ac:dyDescent="0.25">
      <c r="A79" s="215" t="s">
        <v>991</v>
      </c>
      <c r="B79" s="64">
        <v>71.569999999999993</v>
      </c>
      <c r="C79" s="64">
        <v>72.81</v>
      </c>
      <c r="D79" s="64">
        <v>144.38</v>
      </c>
      <c r="E79" s="64">
        <v>1.28</v>
      </c>
      <c r="F79" s="64">
        <v>1.57</v>
      </c>
      <c r="G79" s="64">
        <v>92.5</v>
      </c>
      <c r="H79" s="64">
        <v>45.15</v>
      </c>
      <c r="I79" s="64">
        <v>1.56</v>
      </c>
      <c r="J79" s="64">
        <v>0.1</v>
      </c>
      <c r="K79" s="64">
        <v>308.44</v>
      </c>
      <c r="L79" s="64">
        <v>22.87</v>
      </c>
      <c r="M79" s="64">
        <v>51</v>
      </c>
      <c r="N79" s="64">
        <v>35.9</v>
      </c>
      <c r="O79" s="64">
        <v>0</v>
      </c>
      <c r="P79" s="64">
        <v>1.52</v>
      </c>
      <c r="Q79" s="64">
        <v>1.62</v>
      </c>
      <c r="R79" s="198"/>
      <c r="S79" s="198"/>
      <c r="T79" s="198"/>
      <c r="U79" s="198"/>
    </row>
    <row r="80" spans="1:21" s="12" customFormat="1" x14ac:dyDescent="0.25">
      <c r="A80" s="215" t="s">
        <v>992</v>
      </c>
      <c r="B80" s="64">
        <v>64.739999999999995</v>
      </c>
      <c r="C80" s="64">
        <v>80.959999999999994</v>
      </c>
      <c r="D80" s="64">
        <v>145.69999999999999</v>
      </c>
      <c r="E80" s="64">
        <v>1.1100000000000001</v>
      </c>
      <c r="F80" s="64">
        <v>0.52</v>
      </c>
      <c r="G80" s="64">
        <v>92.5</v>
      </c>
      <c r="H80" s="64">
        <v>45.15</v>
      </c>
      <c r="I80" s="64">
        <v>1.52</v>
      </c>
      <c r="J80" s="64">
        <v>0.06</v>
      </c>
      <c r="K80" s="64">
        <v>294.5</v>
      </c>
      <c r="L80" s="64">
        <v>22.15</v>
      </c>
      <c r="M80" s="64">
        <v>52.74</v>
      </c>
      <c r="N80" s="64">
        <v>35.9</v>
      </c>
      <c r="O80" s="64">
        <v>0</v>
      </c>
      <c r="P80" s="64">
        <v>1.54</v>
      </c>
      <c r="Q80" s="64">
        <v>1.02</v>
      </c>
      <c r="R80" s="198"/>
      <c r="S80" s="198"/>
      <c r="T80" s="198"/>
      <c r="U80" s="198"/>
    </row>
    <row r="81" spans="1:26" s="12" customFormat="1" x14ac:dyDescent="0.25">
      <c r="A81" s="215" t="s">
        <v>993</v>
      </c>
      <c r="B81" s="64">
        <v>108.1</v>
      </c>
      <c r="C81" s="64">
        <v>85.08</v>
      </c>
      <c r="D81" s="64">
        <v>193.17</v>
      </c>
      <c r="E81" s="64">
        <v>1.1399999999999999</v>
      </c>
      <c r="F81" s="64">
        <v>0.68</v>
      </c>
      <c r="G81" s="64">
        <v>103.03</v>
      </c>
      <c r="H81" s="64">
        <v>47.5</v>
      </c>
      <c r="I81" s="64">
        <v>1.46</v>
      </c>
      <c r="J81" s="64">
        <v>0.1</v>
      </c>
      <c r="K81" s="64">
        <v>319.72000000000003</v>
      </c>
      <c r="L81" s="64">
        <v>21.73</v>
      </c>
      <c r="M81" s="64">
        <v>58.7</v>
      </c>
      <c r="N81" s="64">
        <v>35.799999999999997</v>
      </c>
      <c r="O81" s="64">
        <v>0</v>
      </c>
      <c r="P81" s="64">
        <v>2.34</v>
      </c>
      <c r="Q81" s="64">
        <v>0.75</v>
      </c>
      <c r="R81" s="198"/>
      <c r="S81" s="198"/>
      <c r="T81" s="198"/>
      <c r="U81" s="198"/>
    </row>
    <row r="82" spans="1:26" s="12" customFormat="1" x14ac:dyDescent="0.25">
      <c r="A82" s="215" t="s">
        <v>994</v>
      </c>
      <c r="B82" s="64">
        <v>62.42</v>
      </c>
      <c r="C82" s="64">
        <v>69.86</v>
      </c>
      <c r="D82" s="64">
        <v>132.29</v>
      </c>
      <c r="E82" s="64">
        <v>0.76</v>
      </c>
      <c r="F82" s="64">
        <v>0.61</v>
      </c>
      <c r="G82" s="64">
        <v>125.17</v>
      </c>
      <c r="H82" s="64">
        <v>50.79</v>
      </c>
      <c r="I82" s="64">
        <v>1.54</v>
      </c>
      <c r="J82" s="64">
        <v>0.06</v>
      </c>
      <c r="K82" s="64">
        <v>94.69</v>
      </c>
      <c r="L82" s="64">
        <v>21.47</v>
      </c>
      <c r="M82" s="64">
        <v>56.33</v>
      </c>
      <c r="N82" s="64">
        <v>35.700000000000003</v>
      </c>
      <c r="O82" s="64">
        <v>0</v>
      </c>
      <c r="P82" s="64">
        <v>1.56</v>
      </c>
      <c r="Q82" s="64">
        <v>2.23</v>
      </c>
      <c r="R82" s="198"/>
      <c r="S82" s="198"/>
      <c r="T82" s="198"/>
      <c r="U82" s="198"/>
    </row>
    <row r="83" spans="1:26" s="12" customFormat="1" x14ac:dyDescent="0.25">
      <c r="A83" s="215" t="s">
        <v>995</v>
      </c>
      <c r="B83" s="64">
        <v>81.5</v>
      </c>
      <c r="C83" s="64">
        <v>73.61</v>
      </c>
      <c r="D83" s="64">
        <v>155.11000000000001</v>
      </c>
      <c r="E83" s="64">
        <v>0.74</v>
      </c>
      <c r="F83" s="64">
        <v>0.61</v>
      </c>
      <c r="G83" s="64">
        <v>125.17</v>
      </c>
      <c r="H83" s="64">
        <v>50.79</v>
      </c>
      <c r="I83" s="64">
        <v>1.56</v>
      </c>
      <c r="J83" s="64">
        <v>7.0000000000000007E-2</v>
      </c>
      <c r="K83" s="64">
        <v>118.06</v>
      </c>
      <c r="L83" s="64">
        <v>21.23</v>
      </c>
      <c r="M83" s="64">
        <v>57.57</v>
      </c>
      <c r="N83" s="64">
        <v>35.799999999999997</v>
      </c>
      <c r="O83" s="64">
        <v>0</v>
      </c>
      <c r="P83" s="64">
        <v>1.58</v>
      </c>
      <c r="Q83" s="64">
        <v>2.44</v>
      </c>
      <c r="R83" s="198"/>
      <c r="S83" s="198"/>
      <c r="T83" s="198"/>
      <c r="U83" s="198"/>
    </row>
    <row r="84" spans="1:26" s="12" customFormat="1" x14ac:dyDescent="0.25">
      <c r="A84" s="215" t="s">
        <v>996</v>
      </c>
      <c r="B84" s="64">
        <v>69.540000000000006</v>
      </c>
      <c r="C84" s="64">
        <v>73.42</v>
      </c>
      <c r="D84" s="64">
        <v>142.96</v>
      </c>
      <c r="E84" s="64">
        <v>0.81</v>
      </c>
      <c r="F84" s="64">
        <v>0.67</v>
      </c>
      <c r="G84" s="64">
        <v>125.17</v>
      </c>
      <c r="H84" s="64">
        <v>50.79</v>
      </c>
      <c r="I84" s="64">
        <v>1.48</v>
      </c>
      <c r="J84" s="64">
        <v>7.0000000000000007E-2</v>
      </c>
      <c r="K84" s="64">
        <v>147.15</v>
      </c>
      <c r="L84" s="64">
        <v>21.27</v>
      </c>
      <c r="M84" s="64">
        <v>61.98</v>
      </c>
      <c r="N84" s="64">
        <v>35.299999999999997</v>
      </c>
      <c r="O84" s="64">
        <v>0</v>
      </c>
      <c r="P84" s="64">
        <v>1.65</v>
      </c>
      <c r="Q84" s="64">
        <v>2.11</v>
      </c>
      <c r="R84" s="198"/>
      <c r="S84" s="198"/>
      <c r="T84" s="198"/>
      <c r="U84" s="198"/>
    </row>
    <row r="85" spans="1:26" s="12" customFormat="1" x14ac:dyDescent="0.25">
      <c r="A85" s="215" t="s">
        <v>997</v>
      </c>
      <c r="B85" s="64">
        <v>35.51</v>
      </c>
      <c r="C85" s="64">
        <v>73.14</v>
      </c>
      <c r="D85" s="64">
        <v>108.65</v>
      </c>
      <c r="E85" s="64">
        <v>0.6</v>
      </c>
      <c r="F85" s="64">
        <v>0.73</v>
      </c>
      <c r="G85" s="64">
        <v>133.88999999999999</v>
      </c>
      <c r="H85" s="64">
        <v>51.99</v>
      </c>
      <c r="I85" s="64">
        <v>1.45</v>
      </c>
      <c r="J85" s="64">
        <v>0.08</v>
      </c>
      <c r="K85" s="64">
        <v>255.76</v>
      </c>
      <c r="L85" s="64">
        <v>21.69</v>
      </c>
      <c r="M85" s="64">
        <v>56.34</v>
      </c>
      <c r="N85" s="64">
        <v>35</v>
      </c>
      <c r="O85" s="64">
        <v>0</v>
      </c>
      <c r="P85" s="64">
        <v>1.54</v>
      </c>
      <c r="Q85" s="64">
        <v>6.15</v>
      </c>
      <c r="R85" s="198"/>
      <c r="S85" s="198"/>
      <c r="T85" s="198"/>
      <c r="U85" s="198"/>
    </row>
    <row r="86" spans="1:26" s="12" customFormat="1" x14ac:dyDescent="0.25">
      <c r="A86" s="215" t="s">
        <v>998</v>
      </c>
      <c r="B86" s="64">
        <v>76.3</v>
      </c>
      <c r="C86" s="64">
        <v>71.72</v>
      </c>
      <c r="D86" s="64">
        <v>148.02000000000001</v>
      </c>
      <c r="E86" s="64">
        <v>0.62</v>
      </c>
      <c r="F86" s="64">
        <v>0.65</v>
      </c>
      <c r="G86" s="64">
        <v>152.22999999999999</v>
      </c>
      <c r="H86" s="64">
        <v>56.56</v>
      </c>
      <c r="I86" s="64">
        <v>1.45</v>
      </c>
      <c r="J86" s="64">
        <v>0.16</v>
      </c>
      <c r="K86" s="64">
        <v>279.61</v>
      </c>
      <c r="L86" s="64">
        <v>21.67</v>
      </c>
      <c r="M86" s="64">
        <v>55.32</v>
      </c>
      <c r="N86" s="64">
        <v>35.799999999999997</v>
      </c>
      <c r="O86" s="64">
        <v>0</v>
      </c>
      <c r="P86" s="64">
        <v>1.96</v>
      </c>
      <c r="Q86" s="64">
        <v>4.3600000000000003</v>
      </c>
      <c r="R86" s="198"/>
      <c r="S86" s="198"/>
      <c r="T86" s="198"/>
      <c r="U86" s="198"/>
    </row>
    <row r="87" spans="1:26" s="12" customFormat="1" x14ac:dyDescent="0.25">
      <c r="A87" s="215" t="s">
        <v>999</v>
      </c>
      <c r="B87" s="64">
        <v>54.93</v>
      </c>
      <c r="C87" s="64">
        <v>48.6</v>
      </c>
      <c r="D87" s="64">
        <v>103.53</v>
      </c>
      <c r="E87" s="64">
        <v>0.66</v>
      </c>
      <c r="F87" s="64">
        <v>0.38</v>
      </c>
      <c r="G87" s="64">
        <v>152.22999999999999</v>
      </c>
      <c r="H87" s="64">
        <v>56.56</v>
      </c>
      <c r="I87" s="64">
        <v>1.49</v>
      </c>
      <c r="J87" s="64">
        <v>0.16</v>
      </c>
      <c r="K87" s="64">
        <v>286.56</v>
      </c>
      <c r="L87" s="64">
        <v>21.21</v>
      </c>
      <c r="M87" s="64">
        <v>57.62</v>
      </c>
      <c r="N87" s="64">
        <v>35.9</v>
      </c>
      <c r="O87" s="64">
        <v>0</v>
      </c>
      <c r="P87" s="64">
        <v>1.66</v>
      </c>
      <c r="Q87" s="64">
        <v>5.49</v>
      </c>
      <c r="R87" s="198"/>
      <c r="S87" s="198"/>
      <c r="T87" s="198"/>
      <c r="U87" s="198"/>
    </row>
    <row r="88" spans="1:26" s="12" customFormat="1" x14ac:dyDescent="0.25">
      <c r="A88" s="215" t="s">
        <v>1000</v>
      </c>
      <c r="B88" s="64">
        <v>80.41</v>
      </c>
      <c r="C88" s="64">
        <v>65.33</v>
      </c>
      <c r="D88" s="64">
        <v>145.74</v>
      </c>
      <c r="E88" s="64">
        <v>0.44</v>
      </c>
      <c r="F88" s="64">
        <v>0.62</v>
      </c>
      <c r="G88" s="64">
        <v>152.22999999999999</v>
      </c>
      <c r="H88" s="64">
        <v>56.56</v>
      </c>
      <c r="I88" s="64">
        <v>1.5</v>
      </c>
      <c r="J88" s="64">
        <v>0.14000000000000001</v>
      </c>
      <c r="K88" s="64">
        <v>298.42</v>
      </c>
      <c r="L88" s="64">
        <v>20.74</v>
      </c>
      <c r="M88" s="64">
        <v>65.290000000000006</v>
      </c>
      <c r="N88" s="64">
        <v>36.200000000000003</v>
      </c>
      <c r="O88" s="64">
        <v>0</v>
      </c>
      <c r="P88" s="64">
        <v>2.38</v>
      </c>
      <c r="Q88" s="64">
        <v>3.84</v>
      </c>
      <c r="R88" s="198"/>
      <c r="S88" s="198"/>
      <c r="T88" s="198"/>
      <c r="U88" s="198"/>
    </row>
    <row r="89" spans="1:26" s="12" customFormat="1" x14ac:dyDescent="0.25">
      <c r="A89" s="215" t="s">
        <v>1001</v>
      </c>
      <c r="B89" s="64">
        <v>62.86</v>
      </c>
      <c r="C89" s="64">
        <v>60.56</v>
      </c>
      <c r="D89" s="64">
        <v>123.41</v>
      </c>
      <c r="E89" s="64">
        <v>0.79</v>
      </c>
      <c r="F89" s="64">
        <v>0.64</v>
      </c>
      <c r="G89" s="64">
        <v>166.3</v>
      </c>
      <c r="H89" s="64">
        <v>60.18</v>
      </c>
      <c r="I89" s="64">
        <v>1.49</v>
      </c>
      <c r="J89" s="64">
        <v>0.2</v>
      </c>
      <c r="K89" s="64">
        <v>316.41000000000003</v>
      </c>
      <c r="L89" s="64">
        <v>20.45</v>
      </c>
      <c r="M89" s="64">
        <v>62.67</v>
      </c>
      <c r="N89" s="64">
        <v>35.700000000000003</v>
      </c>
      <c r="O89" s="64">
        <v>0</v>
      </c>
      <c r="P89" s="64">
        <v>1.95</v>
      </c>
      <c r="Q89" s="64">
        <v>4.96</v>
      </c>
      <c r="R89" s="198"/>
      <c r="S89" s="198"/>
      <c r="T89" s="198"/>
      <c r="U89" s="198"/>
    </row>
    <row r="90" spans="1:26" s="12" customFormat="1" x14ac:dyDescent="0.25">
      <c r="A90" s="215" t="s">
        <v>1002</v>
      </c>
      <c r="B90" s="64">
        <v>86.11</v>
      </c>
      <c r="C90" s="64">
        <v>60.53</v>
      </c>
      <c r="D90" s="64">
        <v>146.63999999999999</v>
      </c>
      <c r="E90" s="64">
        <v>0.78</v>
      </c>
      <c r="F90" s="64">
        <v>0.8</v>
      </c>
      <c r="G90" s="64">
        <v>195.88</v>
      </c>
      <c r="H90" s="64">
        <v>65.08</v>
      </c>
      <c r="I90" s="64">
        <v>1.55</v>
      </c>
      <c r="J90" s="64">
        <v>0.17</v>
      </c>
      <c r="K90" s="64">
        <v>307.69</v>
      </c>
      <c r="L90" s="64">
        <v>20.7</v>
      </c>
      <c r="M90" s="64">
        <v>58.16</v>
      </c>
      <c r="N90" s="64">
        <v>36</v>
      </c>
      <c r="O90" s="64">
        <v>0</v>
      </c>
      <c r="P90" s="64">
        <v>2.0699999999999998</v>
      </c>
      <c r="Q90" s="64">
        <v>4.43</v>
      </c>
      <c r="R90" s="198"/>
      <c r="S90" s="198"/>
      <c r="T90" s="198"/>
      <c r="U90" s="198"/>
    </row>
    <row r="91" spans="1:26" s="12" customFormat="1" x14ac:dyDescent="0.25">
      <c r="A91" s="215" t="s">
        <v>1003</v>
      </c>
      <c r="B91" s="64">
        <v>97.85</v>
      </c>
      <c r="C91" s="64">
        <v>60.65</v>
      </c>
      <c r="D91" s="64">
        <v>158.5</v>
      </c>
      <c r="E91" s="64">
        <v>0.76</v>
      </c>
      <c r="F91" s="64">
        <v>0.49</v>
      </c>
      <c r="G91" s="64">
        <v>195.88</v>
      </c>
      <c r="H91" s="64">
        <v>65.08</v>
      </c>
      <c r="I91" s="64">
        <v>1.54</v>
      </c>
      <c r="J91" s="64">
        <v>0.22</v>
      </c>
      <c r="K91" s="64">
        <v>322.04000000000002</v>
      </c>
      <c r="L91" s="64">
        <v>20.64</v>
      </c>
      <c r="M91" s="64">
        <v>62.04</v>
      </c>
      <c r="N91" s="64">
        <v>36.1</v>
      </c>
      <c r="O91" s="64">
        <v>0</v>
      </c>
      <c r="P91" s="64">
        <v>2.19</v>
      </c>
      <c r="Q91" s="64">
        <v>6.07</v>
      </c>
      <c r="R91" s="198"/>
      <c r="S91" s="198"/>
      <c r="T91" s="198"/>
      <c r="U91" s="198"/>
    </row>
    <row r="92" spans="1:26" s="12" customFormat="1" x14ac:dyDescent="0.25">
      <c r="A92" s="215" t="s">
        <v>1004</v>
      </c>
      <c r="B92" s="64">
        <v>77.3</v>
      </c>
      <c r="C92" s="64">
        <v>43.58</v>
      </c>
      <c r="D92" s="64">
        <v>120.88</v>
      </c>
      <c r="E92" s="64">
        <v>0.76</v>
      </c>
      <c r="F92" s="64">
        <v>0.11</v>
      </c>
      <c r="G92" s="64">
        <v>195.88</v>
      </c>
      <c r="H92" s="64">
        <v>65.08</v>
      </c>
      <c r="I92" s="64">
        <v>1.52</v>
      </c>
      <c r="J92" s="64">
        <v>0.12</v>
      </c>
      <c r="K92" s="64">
        <v>324.31</v>
      </c>
      <c r="L92" s="64">
        <v>20.190000000000001</v>
      </c>
      <c r="M92" s="64">
        <v>69</v>
      </c>
      <c r="N92" s="64">
        <v>36.6</v>
      </c>
      <c r="O92" s="64">
        <v>0</v>
      </c>
      <c r="P92" s="64">
        <v>2.0299999999999998</v>
      </c>
      <c r="Q92" s="64">
        <v>7.62</v>
      </c>
      <c r="R92" s="198"/>
      <c r="S92" s="198"/>
      <c r="T92" s="198"/>
      <c r="U92" s="198"/>
    </row>
    <row r="93" spans="1:26" s="12" customFormat="1" x14ac:dyDescent="0.25">
      <c r="A93" s="215" t="s">
        <v>1005</v>
      </c>
      <c r="B93" s="64">
        <v>96</v>
      </c>
      <c r="C93" s="64">
        <v>45.54</v>
      </c>
      <c r="D93" s="64">
        <v>141.54</v>
      </c>
      <c r="E93" s="64">
        <v>0.74</v>
      </c>
      <c r="F93" s="64">
        <v>0.45</v>
      </c>
      <c r="G93" s="64">
        <v>197.58</v>
      </c>
      <c r="H93" s="64">
        <v>67.349999999999994</v>
      </c>
      <c r="I93" s="64">
        <v>1.47</v>
      </c>
      <c r="J93" s="64">
        <v>0.12</v>
      </c>
      <c r="K93" s="64">
        <v>315.01</v>
      </c>
      <c r="L93" s="64">
        <v>19.940000000000001</v>
      </c>
      <c r="M93" s="64">
        <v>71.39</v>
      </c>
      <c r="N93" s="64">
        <v>36.4</v>
      </c>
      <c r="O93" s="64">
        <v>0</v>
      </c>
      <c r="P93" s="64">
        <v>2.2799999999999998</v>
      </c>
      <c r="Q93" s="64">
        <v>7.81</v>
      </c>
      <c r="R93" s="198"/>
      <c r="S93" s="198"/>
      <c r="T93" s="198"/>
      <c r="U93" s="198"/>
    </row>
    <row r="94" spans="1:26" s="12" customFormat="1" x14ac:dyDescent="0.25">
      <c r="A94" s="215" t="s">
        <v>1006</v>
      </c>
      <c r="B94" s="64">
        <v>89.32</v>
      </c>
      <c r="C94" s="64">
        <v>44.77</v>
      </c>
      <c r="D94" s="64">
        <v>134.09</v>
      </c>
      <c r="E94" s="64">
        <v>0.6</v>
      </c>
      <c r="F94" s="64">
        <v>0.39</v>
      </c>
      <c r="G94" s="64">
        <v>201.13</v>
      </c>
      <c r="H94" s="64">
        <v>70.430000000000007</v>
      </c>
      <c r="I94" s="64">
        <v>1.43</v>
      </c>
      <c r="J94" s="64">
        <v>0.14000000000000001</v>
      </c>
      <c r="K94" s="64">
        <v>286.58999999999997</v>
      </c>
      <c r="L94" s="64">
        <v>19.66</v>
      </c>
      <c r="M94" s="64">
        <v>69</v>
      </c>
      <c r="N94" s="64">
        <v>36</v>
      </c>
      <c r="O94" s="64">
        <v>0</v>
      </c>
      <c r="P94" s="64">
        <v>2.2000000000000002</v>
      </c>
      <c r="Q94" s="64">
        <v>8.7799999999999994</v>
      </c>
      <c r="R94" s="198"/>
      <c r="S94" s="198"/>
      <c r="T94" s="198"/>
      <c r="U94" s="198"/>
    </row>
    <row r="95" spans="1:26" s="12" customFormat="1" x14ac:dyDescent="0.25">
      <c r="A95" s="215" t="s">
        <v>1007</v>
      </c>
      <c r="B95" s="64">
        <v>87</v>
      </c>
      <c r="C95" s="64">
        <v>52.56</v>
      </c>
      <c r="D95" s="64">
        <v>139.56</v>
      </c>
      <c r="E95" s="64">
        <v>0.64</v>
      </c>
      <c r="F95" s="64">
        <v>0.47</v>
      </c>
      <c r="G95" s="64">
        <v>201.13</v>
      </c>
      <c r="H95" s="64">
        <v>70.430000000000007</v>
      </c>
      <c r="I95" s="64">
        <v>1.46</v>
      </c>
      <c r="J95" s="64">
        <v>0.18</v>
      </c>
      <c r="K95" s="64">
        <v>294.61</v>
      </c>
      <c r="L95" s="64">
        <v>19.68</v>
      </c>
      <c r="M95" s="64">
        <v>68.53</v>
      </c>
      <c r="N95" s="64">
        <v>36.1</v>
      </c>
      <c r="O95" s="64">
        <v>0</v>
      </c>
      <c r="P95" s="64">
        <v>2.2000000000000002</v>
      </c>
      <c r="Q95" s="64">
        <v>10.02</v>
      </c>
      <c r="R95" s="198"/>
      <c r="S95" s="198"/>
      <c r="T95" s="198"/>
      <c r="U95" s="198"/>
    </row>
    <row r="96" spans="1:26" s="12" customFormat="1" x14ac:dyDescent="0.25">
      <c r="A96" s="215" t="s">
        <v>1008</v>
      </c>
      <c r="B96" s="64">
        <v>96.21</v>
      </c>
      <c r="C96" s="64">
        <v>46.32</v>
      </c>
      <c r="D96" s="64">
        <v>142.54</v>
      </c>
      <c r="E96" s="64">
        <v>0.65</v>
      </c>
      <c r="F96" s="64">
        <v>0.38</v>
      </c>
      <c r="G96" s="64">
        <v>201.13</v>
      </c>
      <c r="H96" s="64">
        <v>70.430000000000007</v>
      </c>
      <c r="I96" s="64">
        <v>1.51</v>
      </c>
      <c r="J96" s="64">
        <v>0.12</v>
      </c>
      <c r="K96" s="64">
        <v>290.31</v>
      </c>
      <c r="L96" s="64">
        <v>19.48</v>
      </c>
      <c r="M96" s="64">
        <v>69.8</v>
      </c>
      <c r="N96" s="64">
        <v>36.200000000000003</v>
      </c>
      <c r="O96" s="64">
        <v>0</v>
      </c>
      <c r="P96" s="64">
        <v>2.2999999999999998</v>
      </c>
      <c r="Q96" s="64">
        <v>10.72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1009</v>
      </c>
      <c r="B97" s="64">
        <v>93.62</v>
      </c>
      <c r="C97" s="64">
        <v>48.5</v>
      </c>
      <c r="D97" s="64">
        <v>142.12</v>
      </c>
      <c r="E97" s="64">
        <v>0.6</v>
      </c>
      <c r="F97" s="64">
        <v>0.28000000000000003</v>
      </c>
      <c r="G97" s="64">
        <v>201.84</v>
      </c>
      <c r="H97" s="64">
        <v>69.88</v>
      </c>
      <c r="I97" s="64">
        <v>1.53</v>
      </c>
      <c r="J97" s="64">
        <v>0.1</v>
      </c>
      <c r="K97" s="64">
        <v>284.14999999999998</v>
      </c>
      <c r="L97" s="64">
        <v>19.34</v>
      </c>
      <c r="M97" s="64">
        <v>72.44</v>
      </c>
      <c r="N97" s="64">
        <v>36.200000000000003</v>
      </c>
      <c r="O97" s="64">
        <v>0</v>
      </c>
      <c r="P97" s="64">
        <v>2.2999999999999998</v>
      </c>
      <c r="Q97" s="64">
        <v>10.74</v>
      </c>
      <c r="R97" s="198"/>
      <c r="S97" s="198"/>
      <c r="T97" s="198"/>
      <c r="U97" s="198"/>
    </row>
    <row r="98" spans="1:33" s="12" customFormat="1" x14ac:dyDescent="0.25">
      <c r="A98" s="215" t="s">
        <v>1010</v>
      </c>
      <c r="B98" s="64">
        <v>93.43</v>
      </c>
      <c r="C98" s="64">
        <v>41.67</v>
      </c>
      <c r="D98" s="64">
        <v>135.1</v>
      </c>
      <c r="E98" s="64">
        <v>0.61</v>
      </c>
      <c r="F98" s="64">
        <v>0.19</v>
      </c>
      <c r="G98" s="64">
        <v>203.32</v>
      </c>
      <c r="H98" s="64">
        <v>69.13</v>
      </c>
      <c r="I98" s="64">
        <v>1.5</v>
      </c>
      <c r="J98" s="64">
        <v>0.08</v>
      </c>
      <c r="K98" s="64">
        <v>301.62</v>
      </c>
      <c r="L98" s="64">
        <v>19.149999999999999</v>
      </c>
      <c r="M98" s="64">
        <v>71.47</v>
      </c>
      <c r="N98" s="64">
        <v>36.4</v>
      </c>
      <c r="O98" s="64">
        <v>0</v>
      </c>
      <c r="P98" s="64">
        <v>2.31</v>
      </c>
      <c r="Q98" s="64">
        <v>11.26</v>
      </c>
      <c r="R98" s="198"/>
      <c r="S98" s="198"/>
      <c r="T98" s="198"/>
      <c r="U98" s="198"/>
    </row>
    <row r="99" spans="1:33" s="12" customFormat="1" x14ac:dyDescent="0.25">
      <c r="A99" s="215" t="s">
        <v>1011</v>
      </c>
      <c r="B99" s="64">
        <v>92.44</v>
      </c>
      <c r="C99" s="64">
        <v>38.75</v>
      </c>
      <c r="D99" s="64">
        <v>131.19</v>
      </c>
      <c r="E99" s="64">
        <v>0.68</v>
      </c>
      <c r="F99" s="64">
        <v>0.24</v>
      </c>
      <c r="G99" s="64">
        <v>203.32</v>
      </c>
      <c r="H99" s="64">
        <v>69.13</v>
      </c>
      <c r="I99" s="64">
        <v>1.46</v>
      </c>
      <c r="J99" s="64">
        <v>0.09</v>
      </c>
      <c r="K99" s="64">
        <v>243.17</v>
      </c>
      <c r="L99" s="64">
        <v>19.190000000000001</v>
      </c>
      <c r="M99" s="64">
        <v>70.400000000000006</v>
      </c>
      <c r="N99" s="64">
        <v>36.200000000000003</v>
      </c>
      <c r="O99" s="64">
        <v>0</v>
      </c>
      <c r="P99" s="64">
        <v>2.2999999999999998</v>
      </c>
      <c r="Q99" s="64">
        <v>11.52</v>
      </c>
      <c r="R99" s="198"/>
      <c r="S99" s="198"/>
      <c r="T99" s="198"/>
      <c r="U99" s="198"/>
    </row>
    <row r="100" spans="1:33" s="12" customFormat="1" x14ac:dyDescent="0.25">
      <c r="A100" s="215" t="s">
        <v>1012</v>
      </c>
      <c r="B100" s="64">
        <v>76.22</v>
      </c>
      <c r="C100" s="64">
        <v>45.18</v>
      </c>
      <c r="D100" s="64">
        <v>121.4</v>
      </c>
      <c r="E100" s="64">
        <v>0.64</v>
      </c>
      <c r="F100" s="64">
        <v>0.51</v>
      </c>
      <c r="G100" s="64">
        <v>203.32</v>
      </c>
      <c r="H100" s="64">
        <v>69.13</v>
      </c>
      <c r="I100" s="64">
        <v>1.49</v>
      </c>
      <c r="J100" s="64">
        <v>0.06</v>
      </c>
      <c r="K100" s="64">
        <v>253.24</v>
      </c>
      <c r="L100" s="64">
        <v>19.14</v>
      </c>
      <c r="M100" s="64">
        <v>67.58</v>
      </c>
      <c r="N100" s="64">
        <v>36.200000000000003</v>
      </c>
      <c r="O100" s="64">
        <v>0</v>
      </c>
      <c r="P100" s="64">
        <v>2.0499999999999998</v>
      </c>
      <c r="Q100" s="64">
        <v>11.93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1013</v>
      </c>
      <c r="B101" s="64">
        <v>75.16</v>
      </c>
      <c r="C101" s="64">
        <v>41.89</v>
      </c>
      <c r="D101" s="64">
        <v>117.05</v>
      </c>
      <c r="E101" s="64">
        <v>0.66</v>
      </c>
      <c r="F101" s="64">
        <v>1.54</v>
      </c>
      <c r="G101" s="64">
        <v>192.52</v>
      </c>
      <c r="H101" s="64">
        <v>69.31</v>
      </c>
      <c r="I101" s="64">
        <v>1.46</v>
      </c>
      <c r="J101" s="64">
        <v>0.1</v>
      </c>
      <c r="K101" s="64">
        <v>306.76</v>
      </c>
      <c r="L101" s="64">
        <v>18.75</v>
      </c>
      <c r="M101" s="64">
        <v>68.91</v>
      </c>
      <c r="N101" s="64">
        <v>36.9</v>
      </c>
      <c r="O101" s="64">
        <v>0</v>
      </c>
      <c r="P101" s="64">
        <v>2.0499999999999998</v>
      </c>
      <c r="Q101" s="64">
        <v>11.85</v>
      </c>
      <c r="R101" s="198"/>
      <c r="S101" s="198"/>
      <c r="T101" s="198"/>
      <c r="U101" s="198"/>
    </row>
    <row r="102" spans="1:33" s="12" customFormat="1" x14ac:dyDescent="0.25">
      <c r="A102" s="215" t="s">
        <v>1014</v>
      </c>
      <c r="B102" s="64">
        <v>82.72</v>
      </c>
      <c r="C102" s="64">
        <v>44.94</v>
      </c>
      <c r="D102" s="64">
        <v>127.66</v>
      </c>
      <c r="E102" s="64">
        <v>0.59</v>
      </c>
      <c r="F102" s="64">
        <v>0.87</v>
      </c>
      <c r="G102" s="64">
        <v>169.82</v>
      </c>
      <c r="H102" s="64">
        <v>69.569999999999993</v>
      </c>
      <c r="I102" s="64">
        <v>1.55</v>
      </c>
      <c r="J102" s="64">
        <v>0.1</v>
      </c>
      <c r="K102" s="64">
        <v>291.49</v>
      </c>
      <c r="L102" s="64">
        <v>18.43</v>
      </c>
      <c r="M102" s="64">
        <v>69.72</v>
      </c>
      <c r="N102" s="64">
        <v>37.299999999999997</v>
      </c>
      <c r="O102" s="64">
        <v>0</v>
      </c>
      <c r="P102" s="64">
        <v>2.12</v>
      </c>
      <c r="Q102" s="64">
        <v>11.31</v>
      </c>
      <c r="R102" s="198"/>
      <c r="S102" s="198"/>
      <c r="T102" s="198"/>
      <c r="U102" s="198"/>
    </row>
    <row r="103" spans="1:33" s="12" customFormat="1" x14ac:dyDescent="0.25">
      <c r="A103" s="215" t="s">
        <v>1015</v>
      </c>
      <c r="B103" s="64">
        <v>73.97</v>
      </c>
      <c r="C103" s="64">
        <v>40.909999999999997</v>
      </c>
      <c r="D103" s="64">
        <v>114.87</v>
      </c>
      <c r="E103" s="64">
        <v>0.56999999999999995</v>
      </c>
      <c r="F103" s="64">
        <v>0.99</v>
      </c>
      <c r="G103" s="64">
        <v>169.82</v>
      </c>
      <c r="H103" s="64">
        <v>69.569999999999993</v>
      </c>
      <c r="I103" s="64">
        <v>1.47</v>
      </c>
      <c r="J103" s="64">
        <v>0.09</v>
      </c>
      <c r="K103" s="64">
        <v>251.47</v>
      </c>
      <c r="L103" s="64">
        <v>18.23</v>
      </c>
      <c r="M103" s="64">
        <v>70.36</v>
      </c>
      <c r="N103" s="64">
        <v>37.4</v>
      </c>
      <c r="O103" s="64">
        <v>0</v>
      </c>
      <c r="P103" s="64">
        <v>2.04</v>
      </c>
      <c r="Q103" s="64">
        <v>11.1</v>
      </c>
      <c r="R103" s="198"/>
      <c r="S103" s="198"/>
      <c r="T103" s="198"/>
      <c r="U103" s="198"/>
    </row>
    <row r="104" spans="1:33" s="12" customFormat="1" x14ac:dyDescent="0.25">
      <c r="A104" s="215" t="s">
        <v>1016</v>
      </c>
      <c r="B104" s="64">
        <v>77.58</v>
      </c>
      <c r="C104" s="64">
        <v>37.78</v>
      </c>
      <c r="D104" s="64">
        <v>115.36</v>
      </c>
      <c r="E104" s="64">
        <v>0.24</v>
      </c>
      <c r="F104" s="64">
        <v>0.23</v>
      </c>
      <c r="G104" s="64">
        <v>169.82</v>
      </c>
      <c r="H104" s="64">
        <v>69.569999999999993</v>
      </c>
      <c r="I104" s="64">
        <v>1.46</v>
      </c>
      <c r="J104" s="64">
        <v>0.05</v>
      </c>
      <c r="K104" s="64">
        <v>280.89</v>
      </c>
      <c r="L104" s="64">
        <v>17.88</v>
      </c>
      <c r="M104" s="64">
        <v>73.86</v>
      </c>
      <c r="N104" s="64">
        <v>37.4</v>
      </c>
      <c r="O104" s="64">
        <v>0</v>
      </c>
      <c r="P104" s="64">
        <v>2.0299999999999998</v>
      </c>
      <c r="Q104" s="64">
        <v>10.62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2.0499999999999998</v>
      </c>
      <c r="C106" s="67">
        <f>MIN(C9:C104)</f>
        <v>26.98</v>
      </c>
      <c r="D106" s="67">
        <f t="shared" ref="D106:Q106" si="0">MIN(D9:D104)</f>
        <v>37.65</v>
      </c>
      <c r="E106" s="67">
        <f t="shared" si="0"/>
        <v>0.17</v>
      </c>
      <c r="F106" s="67">
        <f t="shared" si="0"/>
        <v>0.02</v>
      </c>
      <c r="G106" s="67">
        <f t="shared" si="0"/>
        <v>92.5</v>
      </c>
      <c r="H106" s="67">
        <f t="shared" si="0"/>
        <v>44.2</v>
      </c>
      <c r="I106" s="67">
        <f t="shared" si="0"/>
        <v>1.4</v>
      </c>
      <c r="J106" s="67">
        <f t="shared" si="0"/>
        <v>0.02</v>
      </c>
      <c r="K106" s="67">
        <f t="shared" si="0"/>
        <v>29.33</v>
      </c>
      <c r="L106" s="67">
        <f t="shared" si="0"/>
        <v>15.8</v>
      </c>
      <c r="M106" s="67">
        <f t="shared" si="0"/>
        <v>24.23</v>
      </c>
      <c r="N106" s="67">
        <f t="shared" si="0"/>
        <v>27.5</v>
      </c>
      <c r="O106" s="67">
        <f t="shared" si="0"/>
        <v>0</v>
      </c>
      <c r="P106" s="67">
        <f t="shared" si="0"/>
        <v>0.69</v>
      </c>
      <c r="Q106" s="67">
        <f t="shared" si="0"/>
        <v>0.75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117.29</v>
      </c>
      <c r="C107" s="66">
        <f t="shared" ref="C107:Q107" si="1">MAX(C9:C104)</f>
        <v>85.08</v>
      </c>
      <c r="D107" s="66">
        <f t="shared" si="1"/>
        <v>193.17</v>
      </c>
      <c r="E107" s="66">
        <f t="shared" si="1"/>
        <v>2.0499999999999998</v>
      </c>
      <c r="F107" s="66">
        <f t="shared" si="1"/>
        <v>29.28</v>
      </c>
      <c r="G107" s="66">
        <f t="shared" si="1"/>
        <v>203.32</v>
      </c>
      <c r="H107" s="66">
        <f t="shared" si="1"/>
        <v>70.430000000000007</v>
      </c>
      <c r="I107" s="66">
        <f t="shared" si="1"/>
        <v>1.61</v>
      </c>
      <c r="J107" s="66">
        <f t="shared" si="1"/>
        <v>1.62</v>
      </c>
      <c r="K107" s="66">
        <f t="shared" si="1"/>
        <v>357.82</v>
      </c>
      <c r="L107" s="66">
        <f t="shared" si="1"/>
        <v>31.29</v>
      </c>
      <c r="M107" s="66">
        <f t="shared" si="1"/>
        <v>98.68</v>
      </c>
      <c r="N107" s="66">
        <f t="shared" si="1"/>
        <v>763</v>
      </c>
      <c r="O107" s="66">
        <f t="shared" si="1"/>
        <v>0</v>
      </c>
      <c r="P107" s="66">
        <f t="shared" si="1"/>
        <v>2.38</v>
      </c>
      <c r="Q107" s="66">
        <f t="shared" si="1"/>
        <v>13.69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60.919166666666676</v>
      </c>
      <c r="C108" s="67">
        <f t="shared" ref="C108:Q108" si="2">AVERAGE(C9:C104)</f>
        <v>42.314999999999991</v>
      </c>
      <c r="D108" s="67">
        <f t="shared" si="2"/>
        <v>103.23385416666663</v>
      </c>
      <c r="E108" s="67">
        <f t="shared" si="2"/>
        <v>0.59791666666666654</v>
      </c>
      <c r="F108" s="67">
        <f t="shared" si="2"/>
        <v>3.3441489361702135</v>
      </c>
      <c r="G108" s="67">
        <f t="shared" si="2"/>
        <v>142.25524999999999</v>
      </c>
      <c r="H108" s="67">
        <f t="shared" si="2"/>
        <v>55.916000000000011</v>
      </c>
      <c r="I108" s="67">
        <f t="shared" si="2"/>
        <v>1.4961458333333335</v>
      </c>
      <c r="J108" s="67">
        <f t="shared" si="2"/>
        <v>0.25979166666666675</v>
      </c>
      <c r="K108" s="67">
        <f t="shared" si="2"/>
        <v>256.24697916666668</v>
      </c>
      <c r="L108" s="67">
        <f t="shared" si="2"/>
        <v>21.978333333333342</v>
      </c>
      <c r="M108" s="67">
        <f t="shared" si="2"/>
        <v>61.426562499999982</v>
      </c>
      <c r="N108" s="67">
        <f t="shared" si="2"/>
        <v>196.87604166666674</v>
      </c>
      <c r="O108" s="67">
        <f t="shared" si="2"/>
        <v>0</v>
      </c>
      <c r="P108" s="67">
        <f t="shared" si="2"/>
        <v>1.4850000000000003</v>
      </c>
      <c r="Q108" s="67">
        <f t="shared" si="2"/>
        <v>8.1175000000000033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36.173323950309502</v>
      </c>
      <c r="C109" s="67">
        <f t="shared" ref="C109:Q109" si="3">STDEV(C9:C104)</f>
        <v>13.934340238946993</v>
      </c>
      <c r="D109" s="67">
        <f t="shared" si="3"/>
        <v>36.435328528627821</v>
      </c>
      <c r="E109" s="67">
        <f t="shared" si="3"/>
        <v>0.3392527909101869</v>
      </c>
      <c r="F109" s="67">
        <f t="shared" si="3"/>
        <v>6.1593765236730915</v>
      </c>
      <c r="G109" s="67">
        <f t="shared" si="3"/>
        <v>44.724346836325054</v>
      </c>
      <c r="H109" s="67">
        <f t="shared" si="3"/>
        <v>10.703846373126181</v>
      </c>
      <c r="I109" s="67">
        <f t="shared" si="3"/>
        <v>3.7929846369502189E-2</v>
      </c>
      <c r="J109" s="67">
        <f t="shared" si="3"/>
        <v>0.33299906485301478</v>
      </c>
      <c r="K109" s="67">
        <f t="shared" si="3"/>
        <v>85.458193978967827</v>
      </c>
      <c r="L109" s="67">
        <f t="shared" si="3"/>
        <v>4.978853316866946</v>
      </c>
      <c r="M109" s="67">
        <f t="shared" si="3"/>
        <v>24.087245099435169</v>
      </c>
      <c r="N109" s="67">
        <f t="shared" si="3"/>
        <v>252.16022631601848</v>
      </c>
      <c r="O109" s="67">
        <f t="shared" si="3"/>
        <v>0</v>
      </c>
      <c r="P109" s="67">
        <f t="shared" si="3"/>
        <v>0.50162682711773854</v>
      </c>
      <c r="Q109" s="67">
        <f t="shared" si="3"/>
        <v>3.3576081712401926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COUNT(G9:G104)+56</f>
        <v>96</v>
      </c>
      <c r="H110" s="66">
        <f>COUNT(H9:H104)+56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1017</v>
      </c>
      <c r="B9" s="64">
        <v>75.34</v>
      </c>
      <c r="C9" s="64">
        <v>35.11</v>
      </c>
      <c r="D9" s="64">
        <v>110.45</v>
      </c>
      <c r="E9" s="64">
        <v>0.47</v>
      </c>
      <c r="F9" s="64">
        <v>0.17</v>
      </c>
      <c r="G9" s="64">
        <v>164.96</v>
      </c>
      <c r="H9" s="64">
        <v>68.900000000000006</v>
      </c>
      <c r="I9" s="64">
        <v>1.51</v>
      </c>
      <c r="J9" s="64">
        <v>0.04</v>
      </c>
      <c r="K9" s="64">
        <v>284.5</v>
      </c>
      <c r="L9" s="64">
        <v>17.579999999999998</v>
      </c>
      <c r="M9" s="64">
        <v>77.33</v>
      </c>
      <c r="N9" s="64">
        <v>37.299999999999997</v>
      </c>
      <c r="O9" s="64">
        <v>0</v>
      </c>
      <c r="P9" s="64">
        <v>2</v>
      </c>
      <c r="Q9" s="64">
        <v>10.4</v>
      </c>
      <c r="R9" s="198"/>
      <c r="S9" s="198"/>
      <c r="T9" s="198"/>
      <c r="U9" s="198"/>
    </row>
    <row r="10" spans="1:21" s="12" customFormat="1" x14ac:dyDescent="0.25">
      <c r="A10" s="215" t="s">
        <v>1018</v>
      </c>
      <c r="B10" s="64">
        <v>72.650000000000006</v>
      </c>
      <c r="C10" s="64">
        <v>35.35</v>
      </c>
      <c r="D10" s="64">
        <v>108</v>
      </c>
      <c r="E10" s="64">
        <v>0.38</v>
      </c>
      <c r="F10" s="64">
        <v>0.22</v>
      </c>
      <c r="G10" s="64">
        <v>154.74</v>
      </c>
      <c r="H10" s="64">
        <v>67.989999999999995</v>
      </c>
      <c r="I10" s="64">
        <v>1.44</v>
      </c>
      <c r="J10" s="64">
        <v>0.12</v>
      </c>
      <c r="K10" s="64">
        <v>268.70999999999998</v>
      </c>
      <c r="L10" s="64">
        <v>17.52</v>
      </c>
      <c r="M10" s="64">
        <v>78.290000000000006</v>
      </c>
      <c r="N10" s="64">
        <v>37.200000000000003</v>
      </c>
      <c r="O10" s="64">
        <v>0</v>
      </c>
      <c r="P10" s="64">
        <v>1.95</v>
      </c>
      <c r="Q10" s="64">
        <v>10.07</v>
      </c>
      <c r="R10" s="198"/>
      <c r="S10" s="198"/>
      <c r="T10" s="198"/>
      <c r="U10" s="198"/>
    </row>
    <row r="11" spans="1:21" s="12" customFormat="1" x14ac:dyDescent="0.25">
      <c r="A11" s="215" t="s">
        <v>1019</v>
      </c>
      <c r="B11" s="64">
        <v>69.7</v>
      </c>
      <c r="C11" s="64">
        <v>35.4</v>
      </c>
      <c r="D11" s="64">
        <v>105.1</v>
      </c>
      <c r="E11" s="64">
        <v>0.36</v>
      </c>
      <c r="F11" s="64">
        <v>0.16</v>
      </c>
      <c r="G11" s="64">
        <v>154.74</v>
      </c>
      <c r="H11" s="64">
        <v>67.989999999999995</v>
      </c>
      <c r="I11" s="64">
        <v>1.6</v>
      </c>
      <c r="J11" s="64">
        <v>0.05</v>
      </c>
      <c r="K11" s="64">
        <v>267.14999999999998</v>
      </c>
      <c r="L11" s="64">
        <v>17.47</v>
      </c>
      <c r="M11" s="64">
        <v>76.34</v>
      </c>
      <c r="N11" s="64">
        <v>37.200000000000003</v>
      </c>
      <c r="O11" s="64">
        <v>0</v>
      </c>
      <c r="P11" s="64">
        <v>1.89</v>
      </c>
      <c r="Q11" s="64">
        <v>9.84</v>
      </c>
      <c r="R11" s="198"/>
      <c r="S11" s="198"/>
      <c r="T11" s="198"/>
      <c r="U11" s="198"/>
    </row>
    <row r="12" spans="1:21" s="12" customFormat="1" x14ac:dyDescent="0.25">
      <c r="A12" s="215" t="s">
        <v>1020</v>
      </c>
      <c r="B12" s="64">
        <v>66.8</v>
      </c>
      <c r="C12" s="64">
        <v>35.11</v>
      </c>
      <c r="D12" s="64">
        <v>101.92</v>
      </c>
      <c r="E12" s="64">
        <v>0.41</v>
      </c>
      <c r="F12" s="64">
        <v>0.09</v>
      </c>
      <c r="G12" s="64">
        <v>154.74</v>
      </c>
      <c r="H12" s="64">
        <v>67.989999999999995</v>
      </c>
      <c r="I12" s="64">
        <v>1.44</v>
      </c>
      <c r="J12" s="64">
        <v>0.09</v>
      </c>
      <c r="K12" s="64">
        <v>292.29000000000002</v>
      </c>
      <c r="L12" s="64">
        <v>17.37</v>
      </c>
      <c r="M12" s="64">
        <v>76.569999999999993</v>
      </c>
      <c r="N12" s="64">
        <v>37.200000000000003</v>
      </c>
      <c r="O12" s="64">
        <v>0</v>
      </c>
      <c r="P12" s="64">
        <v>1.84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5" t="s">
        <v>1021</v>
      </c>
      <c r="B13" s="64">
        <v>63.98</v>
      </c>
      <c r="C13" s="64">
        <v>34.229999999999997</v>
      </c>
      <c r="D13" s="64">
        <v>98.21</v>
      </c>
      <c r="E13" s="64">
        <v>0.35</v>
      </c>
      <c r="F13" s="64">
        <v>0.24</v>
      </c>
      <c r="G13" s="64">
        <v>147.94</v>
      </c>
      <c r="H13" s="64">
        <v>66.14</v>
      </c>
      <c r="I13" s="64">
        <v>1.49</v>
      </c>
      <c r="J13" s="64">
        <v>0.14000000000000001</v>
      </c>
      <c r="K13" s="64">
        <v>312.41000000000003</v>
      </c>
      <c r="L13" s="64">
        <v>17.45</v>
      </c>
      <c r="M13" s="64">
        <v>79.08</v>
      </c>
      <c r="N13" s="64">
        <v>37.200000000000003</v>
      </c>
      <c r="O13" s="64">
        <v>0</v>
      </c>
      <c r="P13" s="64">
        <v>1.66</v>
      </c>
      <c r="Q13" s="64">
        <v>9.41</v>
      </c>
      <c r="R13" s="198"/>
      <c r="S13" s="198"/>
      <c r="T13" s="198"/>
      <c r="U13" s="198"/>
    </row>
    <row r="14" spans="1:21" s="12" customFormat="1" x14ac:dyDescent="0.25">
      <c r="A14" s="215" t="s">
        <v>1022</v>
      </c>
      <c r="B14" s="64">
        <v>61.69</v>
      </c>
      <c r="C14" s="64">
        <v>33.81</v>
      </c>
      <c r="D14" s="64">
        <v>95.5</v>
      </c>
      <c r="E14" s="64">
        <v>0.37</v>
      </c>
      <c r="F14" s="64">
        <v>0.14000000000000001</v>
      </c>
      <c r="G14" s="64">
        <v>133.63</v>
      </c>
      <c r="H14" s="64">
        <v>58.93</v>
      </c>
      <c r="I14" s="64">
        <v>1.46</v>
      </c>
      <c r="J14" s="64">
        <v>0.06</v>
      </c>
      <c r="K14" s="64">
        <v>262.63</v>
      </c>
      <c r="L14" s="64">
        <v>17.41</v>
      </c>
      <c r="M14" s="64">
        <v>77</v>
      </c>
      <c r="N14" s="64">
        <v>37.1</v>
      </c>
      <c r="O14" s="64">
        <v>0</v>
      </c>
      <c r="P14" s="64">
        <v>1.71</v>
      </c>
      <c r="Q14" s="64">
        <v>9.2200000000000006</v>
      </c>
      <c r="R14" s="198"/>
      <c r="S14" s="198"/>
      <c r="T14" s="198"/>
      <c r="U14" s="198"/>
    </row>
    <row r="15" spans="1:21" s="12" customFormat="1" x14ac:dyDescent="0.25">
      <c r="A15" s="215" t="s">
        <v>1023</v>
      </c>
      <c r="B15" s="64">
        <v>57.22</v>
      </c>
      <c r="C15" s="64">
        <v>33.53</v>
      </c>
      <c r="D15" s="64">
        <v>90.74</v>
      </c>
      <c r="E15" s="64">
        <v>0.37</v>
      </c>
      <c r="F15" s="64">
        <v>0.39</v>
      </c>
      <c r="G15" s="64">
        <v>133.63</v>
      </c>
      <c r="H15" s="64">
        <v>58.93</v>
      </c>
      <c r="I15" s="64">
        <v>1.56</v>
      </c>
      <c r="J15" s="64">
        <v>0.05</v>
      </c>
      <c r="K15" s="64">
        <v>191.48</v>
      </c>
      <c r="L15" s="64">
        <v>17.38</v>
      </c>
      <c r="M15" s="64">
        <v>74.75</v>
      </c>
      <c r="N15" s="64">
        <v>37.200000000000003</v>
      </c>
      <c r="O15" s="64">
        <v>0</v>
      </c>
      <c r="P15" s="64">
        <v>1.63</v>
      </c>
      <c r="Q15" s="64">
        <v>9.1199999999999992</v>
      </c>
      <c r="R15" s="198"/>
      <c r="S15" s="198"/>
      <c r="T15" s="198"/>
      <c r="U15" s="198"/>
    </row>
    <row r="16" spans="1:21" s="12" customFormat="1" x14ac:dyDescent="0.25">
      <c r="A16" s="215" t="s">
        <v>1024</v>
      </c>
      <c r="B16" s="64">
        <v>52.91</v>
      </c>
      <c r="C16" s="64">
        <v>33.340000000000003</v>
      </c>
      <c r="D16" s="64">
        <v>86.25</v>
      </c>
      <c r="E16" s="64">
        <v>0.38</v>
      </c>
      <c r="F16" s="64">
        <v>0.41</v>
      </c>
      <c r="G16" s="64">
        <v>133.63</v>
      </c>
      <c r="H16" s="64">
        <v>58.93</v>
      </c>
      <c r="I16" s="64">
        <v>1.47</v>
      </c>
      <c r="J16" s="64">
        <v>7.0000000000000007E-2</v>
      </c>
      <c r="K16" s="64">
        <v>250.59</v>
      </c>
      <c r="L16" s="64">
        <v>17.88</v>
      </c>
      <c r="M16" s="64">
        <v>70.53</v>
      </c>
      <c r="N16" s="64">
        <v>37</v>
      </c>
      <c r="O16" s="64">
        <v>0</v>
      </c>
      <c r="P16" s="64">
        <v>1.55</v>
      </c>
      <c r="Q16" s="64">
        <v>8.92</v>
      </c>
      <c r="R16" s="198"/>
      <c r="S16" s="198"/>
      <c r="T16" s="198"/>
      <c r="U16" s="198"/>
    </row>
    <row r="17" spans="1:21" s="12" customFormat="1" x14ac:dyDescent="0.25">
      <c r="A17" s="215" t="s">
        <v>1025</v>
      </c>
      <c r="B17" s="64">
        <v>48.39</v>
      </c>
      <c r="C17" s="64">
        <v>32.79</v>
      </c>
      <c r="D17" s="64">
        <v>81.180000000000007</v>
      </c>
      <c r="E17" s="64">
        <v>0.39</v>
      </c>
      <c r="F17" s="64">
        <v>1.41</v>
      </c>
      <c r="G17" s="64">
        <v>124.4</v>
      </c>
      <c r="H17" s="64">
        <v>53.86</v>
      </c>
      <c r="I17" s="64">
        <v>1.5</v>
      </c>
      <c r="J17" s="64">
        <v>0.15</v>
      </c>
      <c r="K17" s="64">
        <v>307.5</v>
      </c>
      <c r="L17" s="64">
        <v>17.78</v>
      </c>
      <c r="M17" s="64">
        <v>75.73</v>
      </c>
      <c r="N17" s="64">
        <v>37.299999999999997</v>
      </c>
      <c r="O17" s="64">
        <v>0</v>
      </c>
      <c r="P17" s="64">
        <v>1.5</v>
      </c>
      <c r="Q17" s="64">
        <v>8.74</v>
      </c>
      <c r="R17" s="198"/>
      <c r="S17" s="198"/>
      <c r="T17" s="198"/>
      <c r="U17" s="198"/>
    </row>
    <row r="18" spans="1:21" s="12" customFormat="1" x14ac:dyDescent="0.25">
      <c r="A18" s="215" t="s">
        <v>1026</v>
      </c>
      <c r="B18" s="64">
        <v>47.28</v>
      </c>
      <c r="C18" s="64">
        <v>32.659999999999997</v>
      </c>
      <c r="D18" s="64">
        <v>79.94</v>
      </c>
      <c r="E18" s="64">
        <v>0.36</v>
      </c>
      <c r="F18" s="64">
        <v>0.69</v>
      </c>
      <c r="G18" s="64">
        <v>104.99</v>
      </c>
      <c r="H18" s="64">
        <v>46.81</v>
      </c>
      <c r="I18" s="64">
        <v>1.58</v>
      </c>
      <c r="J18" s="64">
        <v>0.05</v>
      </c>
      <c r="K18" s="64">
        <v>263.35000000000002</v>
      </c>
      <c r="L18" s="64">
        <v>17.45</v>
      </c>
      <c r="M18" s="64">
        <v>73.67</v>
      </c>
      <c r="N18" s="64">
        <v>37.299999999999997</v>
      </c>
      <c r="O18" s="64">
        <v>0</v>
      </c>
      <c r="P18" s="64">
        <v>1.47</v>
      </c>
      <c r="Q18" s="64">
        <v>8.4600000000000009</v>
      </c>
      <c r="R18" s="198"/>
      <c r="S18" s="198"/>
      <c r="T18" s="198"/>
      <c r="U18" s="198"/>
    </row>
    <row r="19" spans="1:21" s="12" customFormat="1" x14ac:dyDescent="0.25">
      <c r="A19" s="215" t="s">
        <v>1027</v>
      </c>
      <c r="B19" s="64">
        <v>47.17</v>
      </c>
      <c r="C19" s="64">
        <v>33.03</v>
      </c>
      <c r="D19" s="64">
        <v>80.2</v>
      </c>
      <c r="E19" s="64">
        <v>0.4</v>
      </c>
      <c r="F19" s="64">
        <v>0.21</v>
      </c>
      <c r="G19" s="64">
        <v>104.99</v>
      </c>
      <c r="H19" s="64">
        <v>46.81</v>
      </c>
      <c r="I19" s="64">
        <v>1.53</v>
      </c>
      <c r="J19" s="64">
        <v>0.02</v>
      </c>
      <c r="K19" s="64">
        <v>70.36</v>
      </c>
      <c r="L19" s="64">
        <v>17.23</v>
      </c>
      <c r="M19" s="64">
        <v>78.55</v>
      </c>
      <c r="N19" s="64">
        <v>37.4</v>
      </c>
      <c r="O19" s="64">
        <v>0</v>
      </c>
      <c r="P19" s="64">
        <v>1.42</v>
      </c>
      <c r="Q19" s="64">
        <v>8.14</v>
      </c>
      <c r="R19" s="198"/>
      <c r="S19" s="198"/>
      <c r="T19" s="198"/>
      <c r="U19" s="198"/>
    </row>
    <row r="20" spans="1:21" s="12" customFormat="1" x14ac:dyDescent="0.25">
      <c r="A20" s="215" t="s">
        <v>1028</v>
      </c>
      <c r="B20" s="64">
        <v>46.27</v>
      </c>
      <c r="C20" s="64">
        <v>29.69</v>
      </c>
      <c r="D20" s="64">
        <v>75.959999999999994</v>
      </c>
      <c r="E20" s="64">
        <v>0.33</v>
      </c>
      <c r="F20" s="64">
        <v>0.42</v>
      </c>
      <c r="G20" s="64">
        <v>104.99</v>
      </c>
      <c r="H20" s="64">
        <v>46.81</v>
      </c>
      <c r="I20" s="64">
        <v>1.51</v>
      </c>
      <c r="J20" s="64">
        <v>0.1</v>
      </c>
      <c r="K20" s="64">
        <v>129.99</v>
      </c>
      <c r="L20" s="64">
        <v>16.98</v>
      </c>
      <c r="M20" s="64">
        <v>77.66</v>
      </c>
      <c r="N20" s="64">
        <v>37.200000000000003</v>
      </c>
      <c r="O20" s="64">
        <v>0</v>
      </c>
      <c r="P20" s="64">
        <v>1.38</v>
      </c>
      <c r="Q20" s="64">
        <v>7.82</v>
      </c>
      <c r="R20" s="198"/>
      <c r="S20" s="198"/>
      <c r="T20" s="198"/>
      <c r="U20" s="198"/>
    </row>
    <row r="21" spans="1:21" s="12" customFormat="1" x14ac:dyDescent="0.25">
      <c r="A21" s="215" t="s">
        <v>1029</v>
      </c>
      <c r="B21" s="64">
        <v>44.13</v>
      </c>
      <c r="C21" s="64">
        <v>28.93</v>
      </c>
      <c r="D21" s="64">
        <v>73.05</v>
      </c>
      <c r="E21" s="64">
        <v>0.34</v>
      </c>
      <c r="F21" s="64">
        <v>0.36</v>
      </c>
      <c r="G21" s="64">
        <v>104.86</v>
      </c>
      <c r="H21" s="64">
        <v>48.42</v>
      </c>
      <c r="I21" s="64">
        <v>1.49</v>
      </c>
      <c r="J21" s="64">
        <v>0.04</v>
      </c>
      <c r="K21" s="64">
        <v>190.22</v>
      </c>
      <c r="L21" s="64">
        <v>16.72</v>
      </c>
      <c r="M21" s="64">
        <v>80.3</v>
      </c>
      <c r="N21" s="64">
        <v>37.200000000000003</v>
      </c>
      <c r="O21" s="64">
        <v>0</v>
      </c>
      <c r="P21" s="64">
        <v>1.34</v>
      </c>
      <c r="Q21" s="64">
        <v>7.64</v>
      </c>
      <c r="R21" s="198"/>
      <c r="S21" s="198"/>
      <c r="T21" s="198"/>
      <c r="U21" s="198"/>
    </row>
    <row r="22" spans="1:21" s="12" customFormat="1" x14ac:dyDescent="0.25">
      <c r="A22" s="215" t="s">
        <v>1030</v>
      </c>
      <c r="B22" s="64">
        <v>42.24</v>
      </c>
      <c r="C22" s="64">
        <v>30.02</v>
      </c>
      <c r="D22" s="64">
        <v>72.260000000000005</v>
      </c>
      <c r="E22" s="64">
        <v>0.3</v>
      </c>
      <c r="F22" s="64">
        <v>0.28000000000000003</v>
      </c>
      <c r="G22" s="64">
        <v>104.58</v>
      </c>
      <c r="H22" s="64">
        <v>50.66</v>
      </c>
      <c r="I22" s="64">
        <v>1.46</v>
      </c>
      <c r="J22" s="64">
        <v>0.1</v>
      </c>
      <c r="K22" s="64">
        <v>281.82</v>
      </c>
      <c r="L22" s="64">
        <v>16.670000000000002</v>
      </c>
      <c r="M22" s="64">
        <v>84.11</v>
      </c>
      <c r="N22" s="64">
        <v>36.9</v>
      </c>
      <c r="O22" s="64">
        <v>0</v>
      </c>
      <c r="P22" s="64">
        <v>1.3</v>
      </c>
      <c r="Q22" s="64">
        <v>7.47</v>
      </c>
      <c r="R22" s="198"/>
      <c r="S22" s="198"/>
      <c r="T22" s="198"/>
      <c r="U22" s="198"/>
    </row>
    <row r="23" spans="1:21" s="12" customFormat="1" x14ac:dyDescent="0.25">
      <c r="A23" s="215" t="s">
        <v>1031</v>
      </c>
      <c r="B23" s="64">
        <v>40.32</v>
      </c>
      <c r="C23" s="64">
        <v>29.88</v>
      </c>
      <c r="D23" s="64">
        <v>70.2</v>
      </c>
      <c r="E23" s="64">
        <v>0.28999999999999998</v>
      </c>
      <c r="F23" s="64">
        <v>0.19</v>
      </c>
      <c r="G23" s="64">
        <v>104.58</v>
      </c>
      <c r="H23" s="64">
        <v>50.66</v>
      </c>
      <c r="I23" s="64">
        <v>1.51</v>
      </c>
      <c r="J23" s="64">
        <v>0.08</v>
      </c>
      <c r="K23" s="64">
        <v>266</v>
      </c>
      <c r="L23" s="64">
        <v>16.420000000000002</v>
      </c>
      <c r="M23" s="64">
        <v>86.4</v>
      </c>
      <c r="N23" s="64">
        <v>37.200000000000003</v>
      </c>
      <c r="O23" s="64">
        <v>0</v>
      </c>
      <c r="P23" s="64">
        <v>1.27</v>
      </c>
      <c r="Q23" s="64">
        <v>7.35</v>
      </c>
      <c r="R23" s="198"/>
      <c r="S23" s="198"/>
      <c r="T23" s="198"/>
      <c r="U23" s="198"/>
    </row>
    <row r="24" spans="1:21" s="12" customFormat="1" x14ac:dyDescent="0.25">
      <c r="A24" s="215" t="s">
        <v>1032</v>
      </c>
      <c r="B24" s="64">
        <v>38.82</v>
      </c>
      <c r="C24" s="64">
        <v>29</v>
      </c>
      <c r="D24" s="64">
        <v>67.819999999999993</v>
      </c>
      <c r="E24" s="64">
        <v>0.21</v>
      </c>
      <c r="F24" s="64">
        <v>0.17</v>
      </c>
      <c r="G24" s="64">
        <v>104.58</v>
      </c>
      <c r="H24" s="64">
        <v>50.66</v>
      </c>
      <c r="I24" s="64">
        <v>1.42</v>
      </c>
      <c r="J24" s="64">
        <v>0.12</v>
      </c>
      <c r="K24" s="64">
        <v>304.67</v>
      </c>
      <c r="L24" s="64">
        <v>16.34</v>
      </c>
      <c r="M24" s="64">
        <v>86.64</v>
      </c>
      <c r="N24" s="64">
        <v>36.9</v>
      </c>
      <c r="O24" s="64">
        <v>0</v>
      </c>
      <c r="P24" s="64">
        <v>1.24</v>
      </c>
      <c r="Q24" s="64">
        <v>7.23</v>
      </c>
      <c r="R24" s="198"/>
      <c r="S24" s="198"/>
      <c r="T24" s="198"/>
      <c r="U24" s="198"/>
    </row>
    <row r="25" spans="1:21" s="12" customFormat="1" x14ac:dyDescent="0.25">
      <c r="A25" s="215" t="s">
        <v>1033</v>
      </c>
      <c r="B25" s="64">
        <v>38.43</v>
      </c>
      <c r="C25" s="64">
        <v>29.34</v>
      </c>
      <c r="D25" s="64">
        <v>67.77</v>
      </c>
      <c r="E25" s="64">
        <v>0.34</v>
      </c>
      <c r="F25" s="64">
        <v>0.18</v>
      </c>
      <c r="G25" s="64">
        <v>108.12</v>
      </c>
      <c r="H25" s="64">
        <v>50.36</v>
      </c>
      <c r="I25" s="64">
        <v>1.51</v>
      </c>
      <c r="J25" s="64">
        <v>0.05</v>
      </c>
      <c r="K25" s="64">
        <v>316.76</v>
      </c>
      <c r="L25" s="64">
        <v>16.12</v>
      </c>
      <c r="M25" s="64">
        <v>88.6</v>
      </c>
      <c r="N25" s="64">
        <v>37.200000000000003</v>
      </c>
      <c r="O25" s="64">
        <v>0</v>
      </c>
      <c r="P25" s="64">
        <v>1.21</v>
      </c>
      <c r="Q25" s="64">
        <v>7.14</v>
      </c>
      <c r="R25" s="198"/>
      <c r="S25" s="198"/>
      <c r="T25" s="198"/>
      <c r="U25" s="198"/>
    </row>
    <row r="26" spans="1:21" s="12" customFormat="1" x14ac:dyDescent="0.25">
      <c r="A26" s="215" t="s">
        <v>1034</v>
      </c>
      <c r="B26" s="64">
        <v>38.61</v>
      </c>
      <c r="C26" s="64">
        <v>29.73</v>
      </c>
      <c r="D26" s="64">
        <v>68.34</v>
      </c>
      <c r="E26" s="64">
        <v>0.36</v>
      </c>
      <c r="F26" s="64">
        <v>0.15</v>
      </c>
      <c r="G26" s="64">
        <v>115.56</v>
      </c>
      <c r="H26" s="64">
        <v>49.95</v>
      </c>
      <c r="I26" s="64">
        <v>1.5</v>
      </c>
      <c r="J26" s="64">
        <v>7.0000000000000007E-2</v>
      </c>
      <c r="K26" s="64">
        <v>257.81</v>
      </c>
      <c r="L26" s="64">
        <v>16.07</v>
      </c>
      <c r="M26" s="64">
        <v>89.08</v>
      </c>
      <c r="N26" s="64">
        <v>37</v>
      </c>
      <c r="O26" s="64">
        <v>0</v>
      </c>
      <c r="P26" s="64">
        <v>1.19</v>
      </c>
      <c r="Q26" s="64">
        <v>7.16</v>
      </c>
      <c r="R26" s="198"/>
      <c r="S26" s="198"/>
      <c r="T26" s="198"/>
      <c r="U26" s="198"/>
    </row>
    <row r="27" spans="1:21" s="12" customFormat="1" x14ac:dyDescent="0.25">
      <c r="A27" s="215" t="s">
        <v>1035</v>
      </c>
      <c r="B27" s="64">
        <v>40.1</v>
      </c>
      <c r="C27" s="64">
        <v>33.380000000000003</v>
      </c>
      <c r="D27" s="64">
        <v>73.489999999999995</v>
      </c>
      <c r="E27" s="64">
        <v>0.41</v>
      </c>
      <c r="F27" s="64">
        <v>0.09</v>
      </c>
      <c r="G27" s="64">
        <v>115.56</v>
      </c>
      <c r="H27" s="64">
        <v>49.95</v>
      </c>
      <c r="I27" s="64">
        <v>1.5</v>
      </c>
      <c r="J27" s="64">
        <v>0.12</v>
      </c>
      <c r="K27" s="64">
        <v>293.74</v>
      </c>
      <c r="L27" s="64">
        <v>16.239999999999998</v>
      </c>
      <c r="M27" s="64">
        <v>89.84</v>
      </c>
      <c r="N27" s="64">
        <v>37</v>
      </c>
      <c r="O27" s="64">
        <v>0</v>
      </c>
      <c r="P27" s="64">
        <v>1.17</v>
      </c>
      <c r="Q27" s="64">
        <v>7.23</v>
      </c>
      <c r="R27" s="198"/>
      <c r="S27" s="198"/>
      <c r="T27" s="198"/>
      <c r="U27" s="198"/>
    </row>
    <row r="28" spans="1:21" s="12" customFormat="1" x14ac:dyDescent="0.25">
      <c r="A28" s="215" t="s">
        <v>1036</v>
      </c>
      <c r="B28" s="64">
        <v>41.01</v>
      </c>
      <c r="C28" s="64">
        <v>31.92</v>
      </c>
      <c r="D28" s="64">
        <v>72.930000000000007</v>
      </c>
      <c r="E28" s="64">
        <v>0.43</v>
      </c>
      <c r="F28" s="64">
        <v>0.22</v>
      </c>
      <c r="G28" s="64">
        <v>115.56</v>
      </c>
      <c r="H28" s="64">
        <v>49.95</v>
      </c>
      <c r="I28" s="64">
        <v>1.5</v>
      </c>
      <c r="J28" s="64">
        <v>0.1</v>
      </c>
      <c r="K28" s="64">
        <v>266.66000000000003</v>
      </c>
      <c r="L28" s="64">
        <v>16.52</v>
      </c>
      <c r="M28" s="64">
        <v>87.25</v>
      </c>
      <c r="N28" s="64">
        <v>37.1</v>
      </c>
      <c r="O28" s="64">
        <v>0</v>
      </c>
      <c r="P28" s="64">
        <v>1.1599999999999999</v>
      </c>
      <c r="Q28" s="64">
        <v>7.34</v>
      </c>
      <c r="R28" s="198"/>
      <c r="S28" s="198"/>
      <c r="T28" s="198"/>
      <c r="U28" s="198"/>
    </row>
    <row r="29" spans="1:21" s="12" customFormat="1" x14ac:dyDescent="0.25">
      <c r="A29" s="215" t="s">
        <v>1037</v>
      </c>
      <c r="B29" s="64">
        <v>39.74</v>
      </c>
      <c r="C29" s="64">
        <v>32.57</v>
      </c>
      <c r="D29" s="64">
        <v>72.3</v>
      </c>
      <c r="E29" s="64">
        <v>0.37</v>
      </c>
      <c r="F29" s="64">
        <v>0.13</v>
      </c>
      <c r="G29" s="64">
        <v>119.96</v>
      </c>
      <c r="H29" s="64">
        <v>51.98</v>
      </c>
      <c r="I29" s="64">
        <v>1.47</v>
      </c>
      <c r="J29" s="64">
        <v>0.16</v>
      </c>
      <c r="K29" s="64">
        <v>234.28</v>
      </c>
      <c r="L29" s="64">
        <v>16.84</v>
      </c>
      <c r="M29" s="64">
        <v>83.82</v>
      </c>
      <c r="N29" s="64">
        <v>36.9</v>
      </c>
      <c r="O29" s="64">
        <v>0</v>
      </c>
      <c r="P29" s="64">
        <v>1.1200000000000001</v>
      </c>
      <c r="Q29" s="64">
        <v>7.43</v>
      </c>
      <c r="R29" s="198"/>
      <c r="S29" s="198"/>
      <c r="T29" s="198"/>
      <c r="U29" s="198"/>
    </row>
    <row r="30" spans="1:21" s="12" customFormat="1" x14ac:dyDescent="0.25">
      <c r="A30" s="215" t="s">
        <v>1038</v>
      </c>
      <c r="B30" s="64">
        <v>40.520000000000003</v>
      </c>
      <c r="C30" s="64">
        <v>33.44</v>
      </c>
      <c r="D30" s="64">
        <v>73.959999999999994</v>
      </c>
      <c r="E30" s="64">
        <v>0.37</v>
      </c>
      <c r="F30" s="64">
        <v>0.09</v>
      </c>
      <c r="G30" s="64">
        <v>129.22</v>
      </c>
      <c r="H30" s="64">
        <v>54.82</v>
      </c>
      <c r="I30" s="64">
        <v>1.47</v>
      </c>
      <c r="J30" s="64">
        <v>0.09</v>
      </c>
      <c r="K30" s="64">
        <v>263.61</v>
      </c>
      <c r="L30" s="64">
        <v>17.32</v>
      </c>
      <c r="M30" s="64">
        <v>81.760000000000005</v>
      </c>
      <c r="N30" s="64">
        <v>37</v>
      </c>
      <c r="O30" s="64">
        <v>0</v>
      </c>
      <c r="P30" s="64">
        <v>1.1000000000000001</v>
      </c>
      <c r="Q30" s="64">
        <v>7.39</v>
      </c>
      <c r="R30" s="198"/>
      <c r="S30" s="198"/>
      <c r="T30" s="198"/>
      <c r="U30" s="198"/>
    </row>
    <row r="31" spans="1:21" s="12" customFormat="1" x14ac:dyDescent="0.25">
      <c r="A31" s="215" t="s">
        <v>1039</v>
      </c>
      <c r="B31" s="64">
        <v>41.5</v>
      </c>
      <c r="C31" s="64">
        <v>31.85</v>
      </c>
      <c r="D31" s="64">
        <v>73.349999999999994</v>
      </c>
      <c r="E31" s="64">
        <v>0.46</v>
      </c>
      <c r="F31" s="64">
        <v>0.1</v>
      </c>
      <c r="G31" s="64">
        <v>129.22</v>
      </c>
      <c r="H31" s="64">
        <v>54.82</v>
      </c>
      <c r="I31" s="64">
        <v>1.56</v>
      </c>
      <c r="J31" s="64">
        <v>0.09</v>
      </c>
      <c r="K31" s="64">
        <v>269.26</v>
      </c>
      <c r="L31" s="64">
        <v>16.940000000000001</v>
      </c>
      <c r="M31" s="64">
        <v>87.09</v>
      </c>
      <c r="N31" s="64">
        <v>37.4</v>
      </c>
      <c r="O31" s="64">
        <v>0</v>
      </c>
      <c r="P31" s="64">
        <v>1.08</v>
      </c>
      <c r="Q31" s="64">
        <v>7.38</v>
      </c>
      <c r="R31" s="198"/>
      <c r="S31" s="198"/>
      <c r="T31" s="198"/>
      <c r="U31" s="198"/>
    </row>
    <row r="32" spans="1:21" s="12" customFormat="1" x14ac:dyDescent="0.25">
      <c r="A32" s="215" t="s">
        <v>1040</v>
      </c>
      <c r="B32" s="64">
        <v>42.59</v>
      </c>
      <c r="C32" s="64">
        <v>29.92</v>
      </c>
      <c r="D32" s="64">
        <v>72.510000000000005</v>
      </c>
      <c r="E32" s="64">
        <v>0.35</v>
      </c>
      <c r="F32" s="64">
        <v>0.41</v>
      </c>
      <c r="G32" s="64">
        <v>129.22</v>
      </c>
      <c r="H32" s="64">
        <v>54.82</v>
      </c>
      <c r="I32" s="64">
        <v>1.55</v>
      </c>
      <c r="J32" s="64">
        <v>0.1</v>
      </c>
      <c r="K32" s="64">
        <v>236.33</v>
      </c>
      <c r="L32" s="64">
        <v>16.920000000000002</v>
      </c>
      <c r="M32" s="64">
        <v>85.91</v>
      </c>
      <c r="N32" s="64">
        <v>40.200000000000003</v>
      </c>
      <c r="O32" s="64">
        <v>0</v>
      </c>
      <c r="P32" s="64">
        <v>1.07</v>
      </c>
      <c r="Q32" s="64">
        <v>7.32</v>
      </c>
      <c r="R32" s="198"/>
      <c r="S32" s="198"/>
      <c r="T32" s="198"/>
      <c r="U32" s="198"/>
    </row>
    <row r="33" spans="1:21" s="12" customFormat="1" x14ac:dyDescent="0.25">
      <c r="A33" s="215" t="s">
        <v>1041</v>
      </c>
      <c r="B33" s="64">
        <v>42.22</v>
      </c>
      <c r="C33" s="64">
        <v>31.22</v>
      </c>
      <c r="D33" s="64">
        <v>73.45</v>
      </c>
      <c r="E33" s="64">
        <v>0.34</v>
      </c>
      <c r="F33" s="64">
        <v>0.31</v>
      </c>
      <c r="G33" s="64">
        <v>127.66</v>
      </c>
      <c r="H33" s="64">
        <v>54.47</v>
      </c>
      <c r="I33" s="64">
        <v>1.49</v>
      </c>
      <c r="J33" s="64">
        <v>0.17</v>
      </c>
      <c r="K33" s="64">
        <v>209.91</v>
      </c>
      <c r="L33" s="64">
        <v>17.18</v>
      </c>
      <c r="M33" s="64">
        <v>81.93</v>
      </c>
      <c r="N33" s="64">
        <v>47</v>
      </c>
      <c r="O33" s="64">
        <v>0</v>
      </c>
      <c r="P33" s="64">
        <v>1.06</v>
      </c>
      <c r="Q33" s="64">
        <v>7.34</v>
      </c>
      <c r="R33" s="198"/>
      <c r="S33" s="198"/>
      <c r="T33" s="198"/>
      <c r="U33" s="198"/>
    </row>
    <row r="34" spans="1:21" s="12" customFormat="1" x14ac:dyDescent="0.25">
      <c r="A34" s="215" t="s">
        <v>1042</v>
      </c>
      <c r="B34" s="64">
        <v>41.53</v>
      </c>
      <c r="C34" s="64">
        <v>31.02</v>
      </c>
      <c r="D34" s="64">
        <v>72.55</v>
      </c>
      <c r="E34" s="64">
        <v>0.35</v>
      </c>
      <c r="F34" s="64">
        <v>0.17</v>
      </c>
      <c r="G34" s="64">
        <v>124.4</v>
      </c>
      <c r="H34" s="64">
        <v>53.99</v>
      </c>
      <c r="I34" s="64">
        <v>1.47</v>
      </c>
      <c r="J34" s="64">
        <v>0.08</v>
      </c>
      <c r="K34" s="64">
        <v>223.86</v>
      </c>
      <c r="L34" s="64">
        <v>17.22</v>
      </c>
      <c r="M34" s="64">
        <v>80.84</v>
      </c>
      <c r="N34" s="64">
        <v>66.5</v>
      </c>
      <c r="O34" s="64">
        <v>0</v>
      </c>
      <c r="P34" s="64">
        <v>1.05</v>
      </c>
      <c r="Q34" s="64">
        <v>7.36</v>
      </c>
      <c r="R34" s="198"/>
      <c r="S34" s="198"/>
      <c r="T34" s="198"/>
      <c r="U34" s="198"/>
    </row>
    <row r="35" spans="1:21" s="12" customFormat="1" x14ac:dyDescent="0.25">
      <c r="A35" s="215" t="s">
        <v>1043</v>
      </c>
      <c r="B35" s="64">
        <v>40.26</v>
      </c>
      <c r="C35" s="64">
        <v>29.86</v>
      </c>
      <c r="D35" s="64">
        <v>70.12</v>
      </c>
      <c r="E35" s="64">
        <v>0.33</v>
      </c>
      <c r="F35" s="64">
        <v>0.34</v>
      </c>
      <c r="G35" s="64">
        <v>124.4</v>
      </c>
      <c r="H35" s="64">
        <v>53.99</v>
      </c>
      <c r="I35" s="64">
        <v>1.58</v>
      </c>
      <c r="J35" s="64">
        <v>0.05</v>
      </c>
      <c r="K35" s="64">
        <v>58.92</v>
      </c>
      <c r="L35" s="64">
        <v>17.37</v>
      </c>
      <c r="M35" s="64">
        <v>84.15</v>
      </c>
      <c r="N35" s="64">
        <v>93.5</v>
      </c>
      <c r="O35" s="64">
        <v>0</v>
      </c>
      <c r="P35" s="64">
        <v>1.03</v>
      </c>
      <c r="Q35" s="64">
        <v>7.25</v>
      </c>
      <c r="R35" s="198"/>
      <c r="S35" s="198"/>
      <c r="T35" s="198"/>
      <c r="U35" s="198"/>
    </row>
    <row r="36" spans="1:21" s="12" customFormat="1" x14ac:dyDescent="0.25">
      <c r="A36" s="215" t="s">
        <v>1044</v>
      </c>
      <c r="B36" s="64">
        <v>40.159999999999997</v>
      </c>
      <c r="C36" s="64">
        <v>29.21</v>
      </c>
      <c r="D36" s="64">
        <v>69.37</v>
      </c>
      <c r="E36" s="64">
        <v>0.35</v>
      </c>
      <c r="F36" s="64">
        <v>0.38</v>
      </c>
      <c r="G36" s="64">
        <v>124.4</v>
      </c>
      <c r="H36" s="64">
        <v>53.99</v>
      </c>
      <c r="I36" s="64">
        <v>1.54</v>
      </c>
      <c r="J36" s="64">
        <v>0.06</v>
      </c>
      <c r="K36" s="64">
        <v>118.86</v>
      </c>
      <c r="L36" s="64">
        <v>17.989999999999998</v>
      </c>
      <c r="M36" s="64">
        <v>82.86</v>
      </c>
      <c r="N36" s="64">
        <v>95.5</v>
      </c>
      <c r="O36" s="64">
        <v>0</v>
      </c>
      <c r="P36" s="64">
        <v>1.03</v>
      </c>
      <c r="Q36" s="64">
        <v>7.18</v>
      </c>
      <c r="R36" s="198"/>
      <c r="S36" s="198"/>
      <c r="T36" s="198"/>
      <c r="U36" s="198"/>
    </row>
    <row r="37" spans="1:21" s="12" customFormat="1" x14ac:dyDescent="0.25">
      <c r="A37" s="215" t="s">
        <v>1045</v>
      </c>
      <c r="B37" s="64">
        <v>40.020000000000003</v>
      </c>
      <c r="C37" s="64">
        <v>29.87</v>
      </c>
      <c r="D37" s="64">
        <v>69.88</v>
      </c>
      <c r="E37" s="64">
        <v>0.37</v>
      </c>
      <c r="F37" s="64">
        <v>0.24</v>
      </c>
      <c r="G37" s="64">
        <v>124.05</v>
      </c>
      <c r="H37" s="64">
        <v>54.21</v>
      </c>
      <c r="I37" s="64">
        <v>1.51</v>
      </c>
      <c r="J37" s="64">
        <v>7.0000000000000007E-2</v>
      </c>
      <c r="K37" s="64">
        <v>358.66</v>
      </c>
      <c r="L37" s="64">
        <v>18.829999999999998</v>
      </c>
      <c r="M37" s="64">
        <v>81.45</v>
      </c>
      <c r="N37" s="64">
        <v>163.9</v>
      </c>
      <c r="O37" s="64">
        <v>0</v>
      </c>
      <c r="P37" s="64">
        <v>1.02</v>
      </c>
      <c r="Q37" s="64">
        <v>7.18</v>
      </c>
      <c r="R37" s="198"/>
      <c r="S37" s="198"/>
      <c r="T37" s="198"/>
      <c r="U37" s="198"/>
    </row>
    <row r="38" spans="1:21" s="12" customFormat="1" x14ac:dyDescent="0.25">
      <c r="A38" s="215" t="s">
        <v>1046</v>
      </c>
      <c r="B38" s="64">
        <v>40.82</v>
      </c>
      <c r="C38" s="64">
        <v>30.23</v>
      </c>
      <c r="D38" s="64">
        <v>71.06</v>
      </c>
      <c r="E38" s="64">
        <v>0.37</v>
      </c>
      <c r="F38" s="64">
        <v>0.19</v>
      </c>
      <c r="G38" s="64">
        <v>123.34</v>
      </c>
      <c r="H38" s="64">
        <v>55.08</v>
      </c>
      <c r="I38" s="64">
        <v>1.52</v>
      </c>
      <c r="J38" s="64">
        <v>7.0000000000000007E-2</v>
      </c>
      <c r="K38" s="64">
        <v>8.1</v>
      </c>
      <c r="L38" s="64">
        <v>20.88</v>
      </c>
      <c r="M38" s="64">
        <v>69.05</v>
      </c>
      <c r="N38" s="64">
        <v>202.5</v>
      </c>
      <c r="O38" s="64">
        <v>0</v>
      </c>
      <c r="P38" s="64">
        <v>1.1000000000000001</v>
      </c>
      <c r="Q38" s="64">
        <v>7.29</v>
      </c>
      <c r="R38" s="198"/>
      <c r="S38" s="198"/>
      <c r="T38" s="198"/>
      <c r="U38" s="198"/>
    </row>
    <row r="39" spans="1:21" s="12" customFormat="1" x14ac:dyDescent="0.25">
      <c r="A39" s="215" t="s">
        <v>1047</v>
      </c>
      <c r="B39" s="64">
        <v>40.07</v>
      </c>
      <c r="C39" s="64">
        <v>38.340000000000003</v>
      </c>
      <c r="D39" s="64">
        <v>78.41</v>
      </c>
      <c r="E39" s="64">
        <v>0.37</v>
      </c>
      <c r="F39" s="64">
        <v>0.38</v>
      </c>
      <c r="G39" s="64">
        <v>123.34</v>
      </c>
      <c r="H39" s="64">
        <v>55.08</v>
      </c>
      <c r="I39" s="64">
        <v>1.5</v>
      </c>
      <c r="J39" s="64">
        <v>7.0000000000000007E-2</v>
      </c>
      <c r="K39" s="64">
        <v>89.17</v>
      </c>
      <c r="L39" s="64">
        <v>22.55</v>
      </c>
      <c r="M39" s="64">
        <v>61.99</v>
      </c>
      <c r="N39" s="64">
        <v>253.1</v>
      </c>
      <c r="O39" s="64">
        <v>0</v>
      </c>
      <c r="P39" s="64">
        <v>1.18</v>
      </c>
      <c r="Q39" s="64">
        <v>7.34</v>
      </c>
      <c r="R39" s="198"/>
      <c r="S39" s="198"/>
      <c r="T39" s="198"/>
      <c r="U39" s="198"/>
    </row>
    <row r="40" spans="1:21" s="12" customFormat="1" x14ac:dyDescent="0.25">
      <c r="A40" s="215" t="s">
        <v>1048</v>
      </c>
      <c r="B40" s="64">
        <v>42.86</v>
      </c>
      <c r="C40" s="64">
        <v>35.729999999999997</v>
      </c>
      <c r="D40" s="64">
        <v>78.58</v>
      </c>
      <c r="E40" s="64">
        <v>0.13</v>
      </c>
      <c r="F40" s="64">
        <v>0.37</v>
      </c>
      <c r="G40" s="64">
        <v>123.34</v>
      </c>
      <c r="H40" s="64">
        <v>55.08</v>
      </c>
      <c r="I40" s="64">
        <v>1.52</v>
      </c>
      <c r="J40" s="64">
        <v>0.46</v>
      </c>
      <c r="K40" s="64">
        <v>156.69999999999999</v>
      </c>
      <c r="L40" s="64">
        <v>22.38</v>
      </c>
      <c r="M40" s="64">
        <v>65.48</v>
      </c>
      <c r="N40" s="64">
        <v>312.89999999999998</v>
      </c>
      <c r="O40" s="64">
        <v>0</v>
      </c>
      <c r="P40" s="64">
        <v>1.2</v>
      </c>
      <c r="Q40" s="64">
        <v>7.45</v>
      </c>
      <c r="R40" s="198"/>
      <c r="S40" s="198"/>
      <c r="T40" s="198"/>
      <c r="U40" s="198"/>
    </row>
    <row r="41" spans="1:21" s="12" customFormat="1" x14ac:dyDescent="0.25">
      <c r="A41" s="215" t="s">
        <v>1049</v>
      </c>
      <c r="B41" s="64">
        <v>40.78</v>
      </c>
      <c r="C41" s="64">
        <v>34.770000000000003</v>
      </c>
      <c r="D41" s="64">
        <v>75.55</v>
      </c>
      <c r="E41" s="64">
        <v>0.2</v>
      </c>
      <c r="F41" s="64">
        <v>0.52</v>
      </c>
      <c r="G41" s="64">
        <v>123.34</v>
      </c>
      <c r="H41" s="64">
        <v>67.099999999999994</v>
      </c>
      <c r="I41" s="64">
        <v>1.54</v>
      </c>
      <c r="J41" s="64">
        <v>0.39</v>
      </c>
      <c r="K41" s="64">
        <v>190.74</v>
      </c>
      <c r="L41" s="64">
        <v>21.72</v>
      </c>
      <c r="M41" s="64">
        <v>70.72</v>
      </c>
      <c r="N41" s="64">
        <v>384.7</v>
      </c>
      <c r="O41" s="64">
        <v>0</v>
      </c>
      <c r="P41" s="64">
        <v>1.2</v>
      </c>
      <c r="Q41" s="64">
        <v>7.51</v>
      </c>
      <c r="R41" s="198"/>
      <c r="S41" s="198"/>
      <c r="T41" s="198"/>
      <c r="U41" s="198"/>
    </row>
    <row r="42" spans="1:21" s="12" customFormat="1" x14ac:dyDescent="0.25">
      <c r="A42" s="215" t="s">
        <v>1050</v>
      </c>
      <c r="B42" s="64">
        <v>38.840000000000003</v>
      </c>
      <c r="C42" s="64">
        <v>34.35</v>
      </c>
      <c r="D42" s="64">
        <v>73.19</v>
      </c>
      <c r="E42" s="64">
        <v>0.16</v>
      </c>
      <c r="F42" s="64">
        <v>0.49</v>
      </c>
      <c r="G42" s="64">
        <v>282.60000000000002</v>
      </c>
      <c r="H42" s="64">
        <v>83.85</v>
      </c>
      <c r="I42" s="64">
        <v>1.54</v>
      </c>
      <c r="J42" s="64">
        <v>0.3</v>
      </c>
      <c r="K42" s="64">
        <v>165.89</v>
      </c>
      <c r="L42" s="64">
        <v>22.07</v>
      </c>
      <c r="M42" s="64">
        <v>68.98</v>
      </c>
      <c r="N42" s="64">
        <v>423.6</v>
      </c>
      <c r="O42" s="64">
        <v>0</v>
      </c>
      <c r="P42" s="64">
        <v>1.2</v>
      </c>
      <c r="Q42" s="64">
        <v>7.41</v>
      </c>
      <c r="R42" s="198"/>
      <c r="S42" s="198"/>
      <c r="T42" s="198"/>
      <c r="U42" s="198"/>
    </row>
    <row r="43" spans="1:21" s="12" customFormat="1" x14ac:dyDescent="0.25">
      <c r="A43" s="215" t="s">
        <v>1051</v>
      </c>
      <c r="B43" s="64">
        <v>36.21</v>
      </c>
      <c r="C43" s="64">
        <v>32.93</v>
      </c>
      <c r="D43" s="64">
        <v>69.150000000000006</v>
      </c>
      <c r="E43" s="64">
        <v>0.21</v>
      </c>
      <c r="F43" s="64">
        <v>1.04</v>
      </c>
      <c r="G43" s="64">
        <v>282.60000000000002</v>
      </c>
      <c r="H43" s="64">
        <v>83.85</v>
      </c>
      <c r="I43" s="64">
        <v>1.5</v>
      </c>
      <c r="J43" s="64">
        <v>0.22</v>
      </c>
      <c r="K43" s="64">
        <v>134.19999999999999</v>
      </c>
      <c r="L43" s="64">
        <v>24.06</v>
      </c>
      <c r="M43" s="64">
        <v>59.33</v>
      </c>
      <c r="N43" s="64">
        <v>473.4</v>
      </c>
      <c r="O43" s="64">
        <v>0</v>
      </c>
      <c r="P43" s="64">
        <v>1.2</v>
      </c>
      <c r="Q43" s="64">
        <v>7.24</v>
      </c>
      <c r="R43" s="198"/>
      <c r="S43" s="198"/>
      <c r="T43" s="198"/>
      <c r="U43" s="198"/>
    </row>
    <row r="44" spans="1:21" s="12" customFormat="1" x14ac:dyDescent="0.25">
      <c r="A44" s="215" t="s">
        <v>1052</v>
      </c>
      <c r="B44" s="64">
        <v>30.25</v>
      </c>
      <c r="C44" s="64">
        <v>32.89</v>
      </c>
      <c r="D44" s="64">
        <v>63.14</v>
      </c>
      <c r="E44" s="64">
        <v>0.19</v>
      </c>
      <c r="F44" s="64">
        <v>1.82</v>
      </c>
      <c r="G44" s="64">
        <v>282.60000000000002</v>
      </c>
      <c r="H44" s="64">
        <v>83.85</v>
      </c>
      <c r="I44" s="64">
        <v>1.41</v>
      </c>
      <c r="J44" s="64">
        <v>0.35</v>
      </c>
      <c r="K44" s="64">
        <v>133.69</v>
      </c>
      <c r="L44" s="64">
        <v>25.6</v>
      </c>
      <c r="M44" s="64">
        <v>48.69</v>
      </c>
      <c r="N44" s="64">
        <v>516.20000000000005</v>
      </c>
      <c r="O44" s="64">
        <v>0</v>
      </c>
      <c r="P44" s="64">
        <v>1.21</v>
      </c>
      <c r="Q44" s="64">
        <v>7.11</v>
      </c>
      <c r="R44" s="198"/>
      <c r="S44" s="198"/>
      <c r="T44" s="198"/>
      <c r="U44" s="198"/>
    </row>
    <row r="45" spans="1:21" s="12" customFormat="1" x14ac:dyDescent="0.25">
      <c r="A45" s="215" t="s">
        <v>1053</v>
      </c>
      <c r="B45" s="64">
        <v>30.77</v>
      </c>
      <c r="C45" s="64">
        <v>35.020000000000003</v>
      </c>
      <c r="D45" s="64">
        <v>65.8</v>
      </c>
      <c r="E45" s="64">
        <v>0.12</v>
      </c>
      <c r="F45" s="64">
        <v>0.93</v>
      </c>
      <c r="G45" s="64">
        <v>163.25</v>
      </c>
      <c r="H45" s="64">
        <v>82.18</v>
      </c>
      <c r="I45" s="64">
        <v>1.55</v>
      </c>
      <c r="J45" s="64">
        <v>0.6</v>
      </c>
      <c r="K45" s="64">
        <v>136.59</v>
      </c>
      <c r="L45" s="64">
        <v>26.38</v>
      </c>
      <c r="M45" s="64">
        <v>40.53</v>
      </c>
      <c r="N45" s="64">
        <v>569.29999999999995</v>
      </c>
      <c r="O45" s="64">
        <v>0</v>
      </c>
      <c r="P45" s="64">
        <v>1.2</v>
      </c>
      <c r="Q45" s="64">
        <v>6.77</v>
      </c>
      <c r="R45" s="198"/>
      <c r="S45" s="198"/>
      <c r="T45" s="198"/>
      <c r="U45" s="198"/>
    </row>
    <row r="46" spans="1:21" s="12" customFormat="1" x14ac:dyDescent="0.25">
      <c r="A46" s="215" t="s">
        <v>1054</v>
      </c>
      <c r="B46" s="64">
        <v>28.14</v>
      </c>
      <c r="C46" s="64">
        <v>35.76</v>
      </c>
      <c r="D46" s="64">
        <v>63.9</v>
      </c>
      <c r="E46" s="64">
        <v>0.16</v>
      </c>
      <c r="F46" s="64">
        <v>1.05</v>
      </c>
      <c r="G46" s="64">
        <v>163.25</v>
      </c>
      <c r="H46" s="64">
        <v>79.849999999999994</v>
      </c>
      <c r="I46" s="64">
        <v>1.47</v>
      </c>
      <c r="J46" s="64">
        <v>0.63</v>
      </c>
      <c r="K46" s="64">
        <v>144.18</v>
      </c>
      <c r="L46" s="64">
        <v>26.42</v>
      </c>
      <c r="M46" s="64">
        <v>39.85</v>
      </c>
      <c r="N46" s="64">
        <v>605.4</v>
      </c>
      <c r="O46" s="64">
        <v>0</v>
      </c>
      <c r="P46" s="64">
        <v>1.18</v>
      </c>
      <c r="Q46" s="64">
        <v>6.55</v>
      </c>
      <c r="R46" s="198"/>
      <c r="S46" s="198"/>
      <c r="T46" s="198"/>
      <c r="U46" s="198"/>
    </row>
    <row r="47" spans="1:21" s="12" customFormat="1" x14ac:dyDescent="0.25">
      <c r="A47" s="215" t="s">
        <v>1055</v>
      </c>
      <c r="B47" s="64">
        <v>24.39</v>
      </c>
      <c r="C47" s="64">
        <v>33.67</v>
      </c>
      <c r="D47" s="64">
        <v>58.06</v>
      </c>
      <c r="E47" s="64">
        <v>0.2</v>
      </c>
      <c r="F47" s="64">
        <v>2.58</v>
      </c>
      <c r="G47" s="64">
        <v>163.25</v>
      </c>
      <c r="H47" s="64">
        <v>79.849999999999994</v>
      </c>
      <c r="I47" s="64">
        <v>1.39</v>
      </c>
      <c r="J47" s="64">
        <v>0.56000000000000005</v>
      </c>
      <c r="K47" s="64">
        <v>141.91999999999999</v>
      </c>
      <c r="L47" s="64">
        <v>26.48</v>
      </c>
      <c r="M47" s="64">
        <v>44.57</v>
      </c>
      <c r="N47" s="64">
        <v>623.9</v>
      </c>
      <c r="O47" s="64">
        <v>0</v>
      </c>
      <c r="P47" s="64">
        <v>1.1499999999999999</v>
      </c>
      <c r="Q47" s="64">
        <v>6.36</v>
      </c>
      <c r="R47" s="198"/>
      <c r="S47" s="198"/>
      <c r="T47" s="198"/>
      <c r="U47" s="198"/>
    </row>
    <row r="48" spans="1:21" s="12" customFormat="1" x14ac:dyDescent="0.25">
      <c r="A48" s="215" t="s">
        <v>1056</v>
      </c>
      <c r="B48" s="64">
        <v>19.23</v>
      </c>
      <c r="C48" s="64">
        <v>36.659999999999997</v>
      </c>
      <c r="D48" s="64">
        <v>55.89</v>
      </c>
      <c r="E48" s="64">
        <v>0.22</v>
      </c>
      <c r="F48" s="64">
        <v>5.12</v>
      </c>
      <c r="G48" s="64">
        <v>163.25</v>
      </c>
      <c r="H48" s="64">
        <v>79.849999999999994</v>
      </c>
      <c r="I48" s="64">
        <v>1.4</v>
      </c>
      <c r="J48" s="64">
        <v>0.75</v>
      </c>
      <c r="K48" s="64">
        <v>138.65</v>
      </c>
      <c r="L48" s="64">
        <v>26.36</v>
      </c>
      <c r="M48" s="64">
        <v>44.93</v>
      </c>
      <c r="N48" s="64">
        <v>665.2</v>
      </c>
      <c r="O48" s="64">
        <v>0</v>
      </c>
      <c r="P48" s="64">
        <v>1.1000000000000001</v>
      </c>
      <c r="Q48" s="64">
        <v>6.06</v>
      </c>
      <c r="R48" s="198"/>
      <c r="S48" s="198"/>
      <c r="T48" s="198"/>
      <c r="U48" s="198"/>
    </row>
    <row r="49" spans="1:21" s="12" customFormat="1" x14ac:dyDescent="0.25">
      <c r="A49" s="215" t="s">
        <v>1057</v>
      </c>
      <c r="B49" s="64">
        <v>15.21</v>
      </c>
      <c r="C49" s="64">
        <v>35.61</v>
      </c>
      <c r="D49" s="64">
        <v>50.83</v>
      </c>
      <c r="E49" s="64">
        <v>0.21</v>
      </c>
      <c r="F49" s="64">
        <v>1.41</v>
      </c>
      <c r="G49" s="64">
        <v>151.38999999999999</v>
      </c>
      <c r="H49" s="64">
        <v>77.53</v>
      </c>
      <c r="I49" s="64">
        <v>1.57</v>
      </c>
      <c r="J49" s="64">
        <v>1.1399999999999999</v>
      </c>
      <c r="K49" s="64">
        <v>144.38</v>
      </c>
      <c r="L49" s="64">
        <v>26.51</v>
      </c>
      <c r="M49" s="64">
        <v>42.81</v>
      </c>
      <c r="N49" s="64">
        <v>703.3</v>
      </c>
      <c r="O49" s="64">
        <v>0</v>
      </c>
      <c r="P49" s="64">
        <v>1.1000000000000001</v>
      </c>
      <c r="Q49" s="64">
        <v>5.82</v>
      </c>
      <c r="R49" s="198"/>
      <c r="S49" s="198"/>
      <c r="T49" s="198"/>
      <c r="U49" s="198"/>
    </row>
    <row r="50" spans="1:21" s="12" customFormat="1" x14ac:dyDescent="0.25">
      <c r="A50" s="215" t="s">
        <v>1058</v>
      </c>
      <c r="B50" s="64">
        <v>13.52</v>
      </c>
      <c r="C50" s="64">
        <v>35.51</v>
      </c>
      <c r="D50" s="64">
        <v>49.03</v>
      </c>
      <c r="E50" s="64">
        <v>0.17</v>
      </c>
      <c r="F50" s="64">
        <v>9.98</v>
      </c>
      <c r="G50" s="64">
        <v>126.45</v>
      </c>
      <c r="H50" s="64">
        <v>74.3</v>
      </c>
      <c r="I50" s="64">
        <v>1.49</v>
      </c>
      <c r="J50" s="64">
        <v>0.73</v>
      </c>
      <c r="K50" s="64">
        <v>136.65</v>
      </c>
      <c r="L50" s="64">
        <v>27.08</v>
      </c>
      <c r="M50" s="64">
        <v>39.69</v>
      </c>
      <c r="N50" s="64">
        <v>726.3</v>
      </c>
      <c r="O50" s="64">
        <v>0</v>
      </c>
      <c r="P50" s="64">
        <v>1.05</v>
      </c>
      <c r="Q50" s="64">
        <v>5.57</v>
      </c>
      <c r="R50" s="198"/>
      <c r="S50" s="198"/>
      <c r="T50" s="198"/>
      <c r="U50" s="198"/>
    </row>
    <row r="51" spans="1:21" s="12" customFormat="1" x14ac:dyDescent="0.25">
      <c r="A51" s="215" t="s">
        <v>1059</v>
      </c>
      <c r="B51" s="64">
        <v>10.39</v>
      </c>
      <c r="C51" s="64">
        <v>33.729999999999997</v>
      </c>
      <c r="D51" s="64">
        <v>44.12</v>
      </c>
      <c r="E51" s="64">
        <v>0.22</v>
      </c>
      <c r="F51" s="64">
        <v>2.63</v>
      </c>
      <c r="G51" s="64">
        <v>126.45</v>
      </c>
      <c r="H51" s="64">
        <v>74.3</v>
      </c>
      <c r="I51" s="64">
        <v>1.56</v>
      </c>
      <c r="J51" s="64">
        <v>1.01</v>
      </c>
      <c r="K51" s="64">
        <v>143.80000000000001</v>
      </c>
      <c r="L51" s="64">
        <v>27.44</v>
      </c>
      <c r="M51" s="64">
        <v>39.159999999999997</v>
      </c>
      <c r="N51" s="64">
        <v>756.7</v>
      </c>
      <c r="O51" s="64">
        <v>0</v>
      </c>
      <c r="P51" s="64">
        <v>1.03</v>
      </c>
      <c r="Q51" s="64">
        <v>5.49</v>
      </c>
      <c r="R51" s="198"/>
      <c r="S51" s="198"/>
      <c r="T51" s="198"/>
      <c r="U51" s="198"/>
    </row>
    <row r="52" spans="1:21" s="12" customFormat="1" x14ac:dyDescent="0.25">
      <c r="A52" s="215" t="s">
        <v>1060</v>
      </c>
      <c r="B52" s="64">
        <v>9.3800000000000008</v>
      </c>
      <c r="C52" s="64">
        <v>34.46</v>
      </c>
      <c r="D52" s="64">
        <v>43.84</v>
      </c>
      <c r="E52" s="64">
        <v>0.27</v>
      </c>
      <c r="F52" s="64">
        <v>7.72</v>
      </c>
      <c r="G52" s="64">
        <v>126.45</v>
      </c>
      <c r="H52" s="64">
        <v>74.3</v>
      </c>
      <c r="I52" s="64">
        <v>1.57</v>
      </c>
      <c r="J52" s="64">
        <v>1.06</v>
      </c>
      <c r="K52" s="64">
        <v>138.15</v>
      </c>
      <c r="L52" s="64">
        <v>27.5</v>
      </c>
      <c r="M52" s="64">
        <v>38.56</v>
      </c>
      <c r="N52" s="64">
        <v>767</v>
      </c>
      <c r="O52" s="64">
        <v>0</v>
      </c>
      <c r="P52" s="64">
        <v>0.99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5" t="s">
        <v>1061</v>
      </c>
      <c r="B53" s="64">
        <v>8.0299999999999994</v>
      </c>
      <c r="C53" s="64">
        <v>34.36</v>
      </c>
      <c r="D53" s="64">
        <v>42.38</v>
      </c>
      <c r="E53" s="64">
        <v>0.26</v>
      </c>
      <c r="F53" s="64">
        <v>5.37</v>
      </c>
      <c r="G53" s="64">
        <v>112.39</v>
      </c>
      <c r="H53" s="64">
        <v>70.19</v>
      </c>
      <c r="I53" s="64">
        <v>1.46</v>
      </c>
      <c r="J53" s="64">
        <v>0.42</v>
      </c>
      <c r="K53" s="64">
        <v>125.96</v>
      </c>
      <c r="L53" s="64">
        <v>28.31</v>
      </c>
      <c r="M53" s="64">
        <v>37.29</v>
      </c>
      <c r="N53" s="64">
        <v>765.3</v>
      </c>
      <c r="O53" s="64">
        <v>0</v>
      </c>
      <c r="P53" s="64">
        <v>1</v>
      </c>
      <c r="Q53" s="64">
        <v>5.03</v>
      </c>
      <c r="R53" s="198"/>
      <c r="S53" s="198"/>
      <c r="T53" s="198"/>
      <c r="U53" s="198"/>
    </row>
    <row r="54" spans="1:21" s="12" customFormat="1" x14ac:dyDescent="0.25">
      <c r="A54" s="215" t="s">
        <v>1062</v>
      </c>
      <c r="B54" s="64">
        <v>7.12</v>
      </c>
      <c r="C54" s="64">
        <v>34.08</v>
      </c>
      <c r="D54" s="64">
        <v>41.2</v>
      </c>
      <c r="E54" s="64">
        <v>0.22</v>
      </c>
      <c r="F54" s="64">
        <v>3.79</v>
      </c>
      <c r="G54" s="64">
        <v>82.82</v>
      </c>
      <c r="H54" s="64">
        <v>64.459999999999994</v>
      </c>
      <c r="I54" s="64">
        <v>1.48</v>
      </c>
      <c r="J54" s="64">
        <v>0.53</v>
      </c>
      <c r="K54" s="64">
        <v>128.9</v>
      </c>
      <c r="L54" s="64">
        <v>28.7</v>
      </c>
      <c r="M54" s="64">
        <v>32.299999999999997</v>
      </c>
      <c r="N54" s="64">
        <v>791.2</v>
      </c>
      <c r="O54" s="64">
        <v>0</v>
      </c>
      <c r="P54" s="64">
        <v>0.98</v>
      </c>
      <c r="Q54" s="64">
        <v>4.8899999999999997</v>
      </c>
      <c r="R54" s="198"/>
      <c r="S54" s="198"/>
      <c r="T54" s="198"/>
      <c r="U54" s="198"/>
    </row>
    <row r="55" spans="1:21" s="12" customFormat="1" x14ac:dyDescent="0.25">
      <c r="A55" s="215" t="s">
        <v>1063</v>
      </c>
      <c r="B55" s="64">
        <v>5.7</v>
      </c>
      <c r="C55" s="64">
        <v>29.48</v>
      </c>
      <c r="D55" s="64">
        <v>35.18</v>
      </c>
      <c r="E55" s="64">
        <v>0.27</v>
      </c>
      <c r="F55" s="64">
        <v>4.16</v>
      </c>
      <c r="G55" s="64">
        <v>82.82</v>
      </c>
      <c r="H55" s="64">
        <v>64.459999999999994</v>
      </c>
      <c r="I55" s="64">
        <v>1.47</v>
      </c>
      <c r="J55" s="64">
        <v>0.12</v>
      </c>
      <c r="K55" s="64">
        <v>135.26</v>
      </c>
      <c r="L55" s="64">
        <v>30</v>
      </c>
      <c r="M55" s="64">
        <v>32.49</v>
      </c>
      <c r="N55" s="64">
        <v>768.1</v>
      </c>
      <c r="O55" s="64">
        <v>0</v>
      </c>
      <c r="P55" s="64">
        <v>0.94</v>
      </c>
      <c r="Q55" s="64">
        <v>5.2</v>
      </c>
      <c r="R55" s="198"/>
      <c r="S55" s="198"/>
      <c r="T55" s="198"/>
      <c r="U55" s="198"/>
    </row>
    <row r="56" spans="1:21" s="12" customFormat="1" x14ac:dyDescent="0.25">
      <c r="A56" s="215" t="s">
        <v>1064</v>
      </c>
      <c r="B56" s="64">
        <v>5.01</v>
      </c>
      <c r="C56" s="64">
        <v>28.79</v>
      </c>
      <c r="D56" s="64">
        <v>33.79</v>
      </c>
      <c r="E56" s="64">
        <v>0.26</v>
      </c>
      <c r="F56" s="64">
        <v>6.47</v>
      </c>
      <c r="G56" s="64">
        <v>82.82</v>
      </c>
      <c r="H56" s="64">
        <v>64.459999999999994</v>
      </c>
      <c r="I56" s="64">
        <v>1.51</v>
      </c>
      <c r="J56" s="64">
        <v>0.45</v>
      </c>
      <c r="K56" s="64">
        <v>335.55</v>
      </c>
      <c r="L56" s="64">
        <v>31.67</v>
      </c>
      <c r="M56" s="64">
        <v>30.94</v>
      </c>
      <c r="N56" s="64">
        <v>702.2</v>
      </c>
      <c r="O56" s="64">
        <v>0</v>
      </c>
      <c r="P56" s="64">
        <v>0.93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1065</v>
      </c>
      <c r="B57" s="64">
        <v>3.83</v>
      </c>
      <c r="C57" s="64">
        <v>29.22</v>
      </c>
      <c r="D57" s="64">
        <v>33.049999999999997</v>
      </c>
      <c r="E57" s="64">
        <v>0.31</v>
      </c>
      <c r="F57" s="64">
        <v>11.55</v>
      </c>
      <c r="G57" s="64">
        <v>79.260000000000005</v>
      </c>
      <c r="H57" s="64">
        <v>59.33</v>
      </c>
      <c r="I57" s="64">
        <v>1.47</v>
      </c>
      <c r="J57" s="64">
        <v>0.1</v>
      </c>
      <c r="K57" s="64">
        <v>100.2</v>
      </c>
      <c r="L57" s="64">
        <v>31.45</v>
      </c>
      <c r="M57" s="64">
        <v>29.33</v>
      </c>
      <c r="N57" s="64">
        <v>735.2</v>
      </c>
      <c r="O57" s="64">
        <v>0</v>
      </c>
      <c r="P57" s="64">
        <v>0.9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1066</v>
      </c>
      <c r="B58" s="64">
        <v>3.09</v>
      </c>
      <c r="C58" s="64">
        <v>35.61</v>
      </c>
      <c r="D58" s="64">
        <v>38.700000000000003</v>
      </c>
      <c r="E58" s="64">
        <v>0.27</v>
      </c>
      <c r="F58" s="64">
        <v>5.22</v>
      </c>
      <c r="G58" s="64">
        <v>71.77</v>
      </c>
      <c r="H58" s="64">
        <v>52.18</v>
      </c>
      <c r="I58" s="64">
        <v>1.56</v>
      </c>
      <c r="J58" s="64">
        <v>0.88</v>
      </c>
      <c r="K58" s="64">
        <v>121.36</v>
      </c>
      <c r="L58" s="64">
        <v>29.1</v>
      </c>
      <c r="M58" s="64">
        <v>30.48</v>
      </c>
      <c r="N58" s="64">
        <v>719.9</v>
      </c>
      <c r="O58" s="64">
        <v>0</v>
      </c>
      <c r="P58" s="64">
        <v>0.9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1067</v>
      </c>
      <c r="B59" s="64">
        <v>2.25</v>
      </c>
      <c r="C59" s="64">
        <v>29.35</v>
      </c>
      <c r="D59" s="64">
        <v>31.6</v>
      </c>
      <c r="E59" s="64">
        <v>0.39</v>
      </c>
      <c r="F59" s="64">
        <v>11.32</v>
      </c>
      <c r="G59" s="64">
        <v>71.77</v>
      </c>
      <c r="H59" s="64">
        <v>52.18</v>
      </c>
      <c r="I59" s="64">
        <v>1.51</v>
      </c>
      <c r="J59" s="64">
        <v>0.55000000000000004</v>
      </c>
      <c r="K59" s="64">
        <v>132.96</v>
      </c>
      <c r="L59" s="64">
        <v>29.42</v>
      </c>
      <c r="M59" s="64">
        <v>29.62</v>
      </c>
      <c r="N59" s="64">
        <v>686.8</v>
      </c>
      <c r="O59" s="64">
        <v>0</v>
      </c>
      <c r="P59" s="64">
        <v>0.83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1068</v>
      </c>
      <c r="B60" s="64">
        <v>2</v>
      </c>
      <c r="C60" s="64">
        <v>23.99</v>
      </c>
      <c r="D60" s="64">
        <v>25.99</v>
      </c>
      <c r="E60" s="64">
        <v>0.33</v>
      </c>
      <c r="F60" s="64">
        <v>8.1999999999999993</v>
      </c>
      <c r="G60" s="64">
        <v>71.77</v>
      </c>
      <c r="H60" s="64">
        <v>52.18</v>
      </c>
      <c r="I60" s="64">
        <v>1.54</v>
      </c>
      <c r="J60" s="64">
        <v>0.4</v>
      </c>
      <c r="K60" s="64">
        <v>130.66</v>
      </c>
      <c r="L60" s="64">
        <v>29.66</v>
      </c>
      <c r="M60" s="64">
        <v>28.68</v>
      </c>
      <c r="N60" s="64">
        <v>663.2</v>
      </c>
      <c r="O60" s="64">
        <v>0</v>
      </c>
      <c r="P60" s="64">
        <v>0.79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1069</v>
      </c>
      <c r="B61" s="64">
        <v>3.15</v>
      </c>
      <c r="C61" s="64">
        <v>30.42</v>
      </c>
      <c r="D61" s="64">
        <v>33.58</v>
      </c>
      <c r="E61" s="64">
        <v>0.41</v>
      </c>
      <c r="F61" s="64">
        <v>17.91</v>
      </c>
      <c r="G61" s="64">
        <v>69.19</v>
      </c>
      <c r="H61" s="64">
        <v>51.35</v>
      </c>
      <c r="I61" s="64">
        <v>1.52</v>
      </c>
      <c r="J61" s="64">
        <v>0.45</v>
      </c>
      <c r="K61" s="64">
        <v>123.54</v>
      </c>
      <c r="L61" s="64">
        <v>29.83</v>
      </c>
      <c r="M61" s="64">
        <v>27.79</v>
      </c>
      <c r="N61" s="64">
        <v>614.5</v>
      </c>
      <c r="O61" s="64">
        <v>0</v>
      </c>
      <c r="P61" s="64">
        <v>0.68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1070</v>
      </c>
      <c r="B62" s="64">
        <v>2.17</v>
      </c>
      <c r="C62" s="64">
        <v>27.85</v>
      </c>
      <c r="D62" s="64">
        <v>30.03</v>
      </c>
      <c r="E62" s="64">
        <v>0.59</v>
      </c>
      <c r="F62" s="64">
        <v>7.6</v>
      </c>
      <c r="G62" s="64">
        <v>63.75</v>
      </c>
      <c r="H62" s="64">
        <v>48.15</v>
      </c>
      <c r="I62" s="64">
        <v>1.54</v>
      </c>
      <c r="J62" s="64">
        <v>0.52</v>
      </c>
      <c r="K62" s="64">
        <v>120.34</v>
      </c>
      <c r="L62" s="64">
        <v>29.07</v>
      </c>
      <c r="M62" s="64">
        <v>28.89</v>
      </c>
      <c r="N62" s="64">
        <v>522.4</v>
      </c>
      <c r="O62" s="64">
        <v>0</v>
      </c>
      <c r="P62" s="64">
        <v>0.76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5" t="s">
        <v>1071</v>
      </c>
      <c r="B63" s="64">
        <v>2</v>
      </c>
      <c r="C63" s="64">
        <v>26.29</v>
      </c>
      <c r="D63" s="64">
        <v>28.29</v>
      </c>
      <c r="E63" s="64">
        <v>0.45</v>
      </c>
      <c r="F63" s="64">
        <v>16.53</v>
      </c>
      <c r="G63" s="64">
        <v>63.75</v>
      </c>
      <c r="H63" s="64">
        <v>48.15</v>
      </c>
      <c r="I63" s="64">
        <v>1.56</v>
      </c>
      <c r="J63" s="64">
        <v>0.94</v>
      </c>
      <c r="K63" s="64">
        <v>113.43</v>
      </c>
      <c r="L63" s="64">
        <v>28.6</v>
      </c>
      <c r="M63" s="64">
        <v>28.21</v>
      </c>
      <c r="N63" s="64">
        <v>539.5</v>
      </c>
      <c r="O63" s="64">
        <v>0</v>
      </c>
      <c r="P63" s="64">
        <v>0.68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1072</v>
      </c>
      <c r="B64" s="64">
        <v>2.2599999999999998</v>
      </c>
      <c r="C64" s="64">
        <v>28.88</v>
      </c>
      <c r="D64" s="64">
        <v>31.14</v>
      </c>
      <c r="E64" s="64">
        <v>0.6</v>
      </c>
      <c r="F64" s="64">
        <v>24.03</v>
      </c>
      <c r="G64" s="64">
        <v>63.75</v>
      </c>
      <c r="H64" s="64">
        <v>48.15</v>
      </c>
      <c r="I64" s="64">
        <v>1.54</v>
      </c>
      <c r="J64" s="64">
        <v>0.48</v>
      </c>
      <c r="K64" s="64">
        <v>117.77</v>
      </c>
      <c r="L64" s="64">
        <v>28.62</v>
      </c>
      <c r="M64" s="64">
        <v>28.56</v>
      </c>
      <c r="N64" s="64">
        <v>372.1</v>
      </c>
      <c r="O64" s="64">
        <v>0</v>
      </c>
      <c r="P64" s="64">
        <v>0.68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1073</v>
      </c>
      <c r="B65" s="64">
        <v>2</v>
      </c>
      <c r="C65" s="64">
        <v>24.55</v>
      </c>
      <c r="D65" s="64">
        <v>26.55</v>
      </c>
      <c r="E65" s="64">
        <v>0.6</v>
      </c>
      <c r="F65" s="64">
        <v>15.33</v>
      </c>
      <c r="G65" s="64">
        <v>59.49</v>
      </c>
      <c r="H65" s="64">
        <v>46.72</v>
      </c>
      <c r="I65" s="64">
        <v>1.46</v>
      </c>
      <c r="J65" s="64">
        <v>1.05</v>
      </c>
      <c r="K65" s="64">
        <v>116.27</v>
      </c>
      <c r="L65" s="64">
        <v>28.62</v>
      </c>
      <c r="M65" s="64">
        <v>26.9</v>
      </c>
      <c r="N65" s="64">
        <v>210.9</v>
      </c>
      <c r="O65" s="64">
        <v>0</v>
      </c>
      <c r="P65" s="64">
        <v>0.67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1074</v>
      </c>
      <c r="B66" s="64">
        <v>2</v>
      </c>
      <c r="C66" s="64">
        <v>24.58</v>
      </c>
      <c r="D66" s="64">
        <v>26.58</v>
      </c>
      <c r="E66" s="64">
        <v>0.67</v>
      </c>
      <c r="F66" s="64">
        <v>18.32</v>
      </c>
      <c r="G66" s="64">
        <v>50.53</v>
      </c>
      <c r="H66" s="64">
        <v>44.73</v>
      </c>
      <c r="I66" s="64">
        <v>1.5</v>
      </c>
      <c r="J66" s="64">
        <v>0.56000000000000005</v>
      </c>
      <c r="K66" s="64">
        <v>106.27</v>
      </c>
      <c r="L66" s="64">
        <v>28.3</v>
      </c>
      <c r="M66" s="64">
        <v>29.29</v>
      </c>
      <c r="N66" s="64">
        <v>189</v>
      </c>
      <c r="O66" s="64">
        <v>0</v>
      </c>
      <c r="P66" s="64">
        <v>0.68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1075</v>
      </c>
      <c r="B67" s="64">
        <v>2.2200000000000002</v>
      </c>
      <c r="C67" s="64">
        <v>24.83</v>
      </c>
      <c r="D67" s="64">
        <v>27.05</v>
      </c>
      <c r="E67" s="64">
        <v>0.69</v>
      </c>
      <c r="F67" s="64">
        <v>22.15</v>
      </c>
      <c r="G67" s="64">
        <v>50.53</v>
      </c>
      <c r="H67" s="64">
        <v>44.73</v>
      </c>
      <c r="I67" s="64">
        <v>1.48</v>
      </c>
      <c r="J67" s="64">
        <v>0.76</v>
      </c>
      <c r="K67" s="64">
        <v>111.51</v>
      </c>
      <c r="L67" s="64">
        <v>28.17</v>
      </c>
      <c r="M67" s="64">
        <v>29.79</v>
      </c>
      <c r="N67" s="64">
        <v>162.30000000000001</v>
      </c>
      <c r="O67" s="64">
        <v>0</v>
      </c>
      <c r="P67" s="64">
        <v>0.67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1076</v>
      </c>
      <c r="B68" s="64">
        <v>3.79</v>
      </c>
      <c r="C68" s="64">
        <v>41.54</v>
      </c>
      <c r="D68" s="64">
        <v>45.33</v>
      </c>
      <c r="E68" s="64">
        <v>0.98</v>
      </c>
      <c r="F68" s="64">
        <v>28.35</v>
      </c>
      <c r="G68" s="64">
        <v>50.53</v>
      </c>
      <c r="H68" s="64">
        <v>44.73</v>
      </c>
      <c r="I68" s="64">
        <v>1.52</v>
      </c>
      <c r="J68" s="64">
        <v>0.16</v>
      </c>
      <c r="K68" s="64">
        <v>319.42</v>
      </c>
      <c r="L68" s="64">
        <v>28.59</v>
      </c>
      <c r="M68" s="64">
        <v>28.98</v>
      </c>
      <c r="N68" s="64">
        <v>150.1</v>
      </c>
      <c r="O68" s="64">
        <v>0</v>
      </c>
      <c r="P68" s="64">
        <v>0.74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1077</v>
      </c>
      <c r="B69" s="64">
        <v>2.23</v>
      </c>
      <c r="C69" s="64">
        <v>27.84</v>
      </c>
      <c r="D69" s="64">
        <v>30.06</v>
      </c>
      <c r="E69" s="64">
        <v>1.1200000000000001</v>
      </c>
      <c r="F69" s="64">
        <v>43.15</v>
      </c>
      <c r="G69" s="64">
        <v>67.39</v>
      </c>
      <c r="H69" s="64">
        <v>43.68</v>
      </c>
      <c r="I69" s="64">
        <v>1.47</v>
      </c>
      <c r="J69" s="64">
        <v>0.69</v>
      </c>
      <c r="K69" s="64">
        <v>125.11</v>
      </c>
      <c r="L69" s="64">
        <v>28.12</v>
      </c>
      <c r="M69" s="64">
        <v>29.87</v>
      </c>
      <c r="N69" s="64">
        <v>133</v>
      </c>
      <c r="O69" s="64">
        <v>0</v>
      </c>
      <c r="P69" s="64">
        <v>0.62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1078</v>
      </c>
      <c r="B70" s="64">
        <v>2.68</v>
      </c>
      <c r="C70" s="64">
        <v>34.11</v>
      </c>
      <c r="D70" s="64">
        <v>36.79</v>
      </c>
      <c r="E70" s="64">
        <v>1.32</v>
      </c>
      <c r="F70" s="64">
        <v>41.84</v>
      </c>
      <c r="G70" s="64">
        <v>102.87</v>
      </c>
      <c r="H70" s="64">
        <v>42.23</v>
      </c>
      <c r="I70" s="64">
        <v>1.45</v>
      </c>
      <c r="J70" s="64">
        <v>0.34</v>
      </c>
      <c r="K70" s="64">
        <v>110.5</v>
      </c>
      <c r="L70" s="64">
        <v>27.78</v>
      </c>
      <c r="M70" s="64">
        <v>30.22</v>
      </c>
      <c r="N70" s="64">
        <v>118.4</v>
      </c>
      <c r="O70" s="64">
        <v>0</v>
      </c>
      <c r="P70" s="64">
        <v>0.59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1079</v>
      </c>
      <c r="B71" s="64">
        <v>2</v>
      </c>
      <c r="C71" s="64">
        <v>33.619999999999997</v>
      </c>
      <c r="D71" s="64">
        <v>35.619999999999997</v>
      </c>
      <c r="E71" s="64">
        <v>2.3199999999999998</v>
      </c>
      <c r="F71" s="64">
        <v>58.3</v>
      </c>
      <c r="G71" s="64">
        <v>102.87</v>
      </c>
      <c r="H71" s="64">
        <v>42.23</v>
      </c>
      <c r="I71" s="64">
        <v>1.5</v>
      </c>
      <c r="J71" s="64">
        <v>0.34</v>
      </c>
      <c r="K71" s="64">
        <v>108.88</v>
      </c>
      <c r="L71" s="64">
        <v>27.62</v>
      </c>
      <c r="M71" s="64">
        <v>31.52</v>
      </c>
      <c r="N71" s="64">
        <v>102.5</v>
      </c>
      <c r="O71" s="64">
        <v>0</v>
      </c>
      <c r="P71" s="64">
        <v>0.53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1080</v>
      </c>
      <c r="B72" s="64">
        <v>2</v>
      </c>
      <c r="C72" s="64">
        <v>32.42</v>
      </c>
      <c r="D72" s="64">
        <v>34.42</v>
      </c>
      <c r="E72" s="64">
        <v>1.54</v>
      </c>
      <c r="F72" s="64">
        <v>41.48</v>
      </c>
      <c r="G72" s="64">
        <v>102.87</v>
      </c>
      <c r="H72" s="64">
        <v>42.23</v>
      </c>
      <c r="I72" s="64">
        <v>1.49</v>
      </c>
      <c r="J72" s="64">
        <v>0.45</v>
      </c>
      <c r="K72" s="64">
        <v>105.01</v>
      </c>
      <c r="L72" s="64">
        <v>27.35</v>
      </c>
      <c r="M72" s="64">
        <v>32.07</v>
      </c>
      <c r="N72" s="64">
        <v>87.9</v>
      </c>
      <c r="O72" s="64">
        <v>0</v>
      </c>
      <c r="P72" s="64">
        <v>0.62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1081</v>
      </c>
      <c r="B73" s="64">
        <v>3.9</v>
      </c>
      <c r="C73" s="64">
        <v>54.3</v>
      </c>
      <c r="D73" s="64">
        <v>58.2</v>
      </c>
      <c r="E73" s="64">
        <v>2.69</v>
      </c>
      <c r="F73" s="64">
        <v>55.4</v>
      </c>
      <c r="G73" s="64">
        <v>97.9</v>
      </c>
      <c r="H73" s="64">
        <v>44.11</v>
      </c>
      <c r="I73" s="64">
        <v>1.52</v>
      </c>
      <c r="J73" s="64">
        <v>0.14000000000000001</v>
      </c>
      <c r="K73" s="64">
        <v>79.5</v>
      </c>
      <c r="L73" s="64">
        <v>27.13</v>
      </c>
      <c r="M73" s="64">
        <v>33.43</v>
      </c>
      <c r="N73" s="64">
        <v>73.099999999999994</v>
      </c>
      <c r="O73" s="64">
        <v>0</v>
      </c>
      <c r="P73" s="64">
        <v>0.74</v>
      </c>
      <c r="Q73" s="64">
        <v>5.12</v>
      </c>
      <c r="R73" s="198"/>
      <c r="S73" s="198"/>
      <c r="T73" s="198"/>
      <c r="U73" s="198"/>
    </row>
    <row r="74" spans="1:21" s="12" customFormat="1" x14ac:dyDescent="0.25">
      <c r="A74" s="215" t="s">
        <v>1082</v>
      </c>
      <c r="B74" s="64">
        <v>3.21</v>
      </c>
      <c r="C74" s="64">
        <v>30.79</v>
      </c>
      <c r="D74" s="64">
        <v>34</v>
      </c>
      <c r="E74" s="64">
        <v>3.21</v>
      </c>
      <c r="F74" s="64">
        <v>31.6</v>
      </c>
      <c r="G74" s="64">
        <v>87.44</v>
      </c>
      <c r="H74" s="64">
        <v>46.73</v>
      </c>
      <c r="I74" s="64">
        <v>1.49</v>
      </c>
      <c r="J74" s="64">
        <v>0.5</v>
      </c>
      <c r="K74" s="64">
        <v>104.79</v>
      </c>
      <c r="L74" s="64">
        <v>26.76</v>
      </c>
      <c r="M74" s="64">
        <v>31.85</v>
      </c>
      <c r="N74" s="64">
        <v>60.4</v>
      </c>
      <c r="O74" s="64">
        <v>0</v>
      </c>
      <c r="P74" s="64">
        <v>0.56999999999999995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1083</v>
      </c>
      <c r="B75" s="64">
        <v>2</v>
      </c>
      <c r="C75" s="64">
        <v>33.58</v>
      </c>
      <c r="D75" s="64">
        <v>35.58</v>
      </c>
      <c r="E75" s="64">
        <v>3.26</v>
      </c>
      <c r="F75" s="64">
        <v>44.31</v>
      </c>
      <c r="G75" s="64">
        <v>87.44</v>
      </c>
      <c r="H75" s="64">
        <v>46.73</v>
      </c>
      <c r="I75" s="64">
        <v>1.48</v>
      </c>
      <c r="J75" s="64">
        <v>0.3</v>
      </c>
      <c r="K75" s="64">
        <v>120.38</v>
      </c>
      <c r="L75" s="64">
        <v>26.41</v>
      </c>
      <c r="M75" s="64">
        <v>32.74</v>
      </c>
      <c r="N75" s="64">
        <v>49.6</v>
      </c>
      <c r="O75" s="64">
        <v>0</v>
      </c>
      <c r="P75" s="64">
        <v>0.59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1084</v>
      </c>
      <c r="B76" s="64">
        <v>2</v>
      </c>
      <c r="C76" s="64">
        <v>40.72</v>
      </c>
      <c r="D76" s="64">
        <v>42.72</v>
      </c>
      <c r="E76" s="64">
        <v>3.4</v>
      </c>
      <c r="F76" s="64">
        <v>34.450000000000003</v>
      </c>
      <c r="G76" s="64">
        <v>87.44</v>
      </c>
      <c r="H76" s="64">
        <v>46.73</v>
      </c>
      <c r="I76" s="64">
        <v>1.51</v>
      </c>
      <c r="J76" s="64">
        <v>0.26</v>
      </c>
      <c r="K76" s="64">
        <v>129.5</v>
      </c>
      <c r="L76" s="64">
        <v>25.96</v>
      </c>
      <c r="M76" s="64">
        <v>34.049999999999997</v>
      </c>
      <c r="N76" s="64">
        <v>39.799999999999997</v>
      </c>
      <c r="O76" s="64">
        <v>0</v>
      </c>
      <c r="P76" s="64">
        <v>0.57999999999999996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5" t="s">
        <v>1085</v>
      </c>
      <c r="B77" s="64">
        <v>2</v>
      </c>
      <c r="C77" s="64">
        <v>38.630000000000003</v>
      </c>
      <c r="D77" s="64">
        <v>40.630000000000003</v>
      </c>
      <c r="E77" s="64">
        <v>2.65</v>
      </c>
      <c r="F77" s="64">
        <v>30.58</v>
      </c>
      <c r="G77" s="64">
        <v>85.76</v>
      </c>
      <c r="H77" s="64">
        <v>45.38</v>
      </c>
      <c r="I77" s="64">
        <v>1.58</v>
      </c>
      <c r="J77" s="64">
        <v>0.43</v>
      </c>
      <c r="K77" s="64">
        <v>105.78</v>
      </c>
      <c r="L77" s="64">
        <v>25.78</v>
      </c>
      <c r="M77" s="64">
        <v>34.4</v>
      </c>
      <c r="N77" s="64">
        <v>30.7</v>
      </c>
      <c r="O77" s="64">
        <v>0</v>
      </c>
      <c r="P77" s="64">
        <v>0.56999999999999995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5" t="s">
        <v>1086</v>
      </c>
      <c r="B78" s="64">
        <v>4.32</v>
      </c>
      <c r="C78" s="64">
        <v>53.07</v>
      </c>
      <c r="D78" s="64">
        <v>57.38</v>
      </c>
      <c r="E78" s="64">
        <v>1.98</v>
      </c>
      <c r="F78" s="64">
        <v>25.4</v>
      </c>
      <c r="G78" s="64">
        <v>82.22</v>
      </c>
      <c r="H78" s="64">
        <v>43.55</v>
      </c>
      <c r="I78" s="64">
        <v>1.53</v>
      </c>
      <c r="J78" s="64">
        <v>0.23</v>
      </c>
      <c r="K78" s="64">
        <v>93.81</v>
      </c>
      <c r="L78" s="64">
        <v>25.42</v>
      </c>
      <c r="M78" s="64">
        <v>36.299999999999997</v>
      </c>
      <c r="N78" s="64">
        <v>26.9</v>
      </c>
      <c r="O78" s="64">
        <v>0</v>
      </c>
      <c r="P78" s="64">
        <v>0.73</v>
      </c>
      <c r="Q78" s="64">
        <v>4.91</v>
      </c>
      <c r="R78" s="198"/>
      <c r="S78" s="198"/>
      <c r="T78" s="198"/>
      <c r="U78" s="198"/>
    </row>
    <row r="79" spans="1:21" s="12" customFormat="1" x14ac:dyDescent="0.25">
      <c r="A79" s="215" t="s">
        <v>1087</v>
      </c>
      <c r="B79" s="64">
        <v>36.24</v>
      </c>
      <c r="C79" s="64">
        <v>88.59</v>
      </c>
      <c r="D79" s="64">
        <v>124.83</v>
      </c>
      <c r="E79" s="64">
        <v>1.83</v>
      </c>
      <c r="F79" s="64">
        <v>7.11</v>
      </c>
      <c r="G79" s="64">
        <v>82.22</v>
      </c>
      <c r="H79" s="64">
        <v>43.55</v>
      </c>
      <c r="I79" s="64">
        <v>1.55</v>
      </c>
      <c r="J79" s="64">
        <v>0.11</v>
      </c>
      <c r="K79" s="64">
        <v>293.92</v>
      </c>
      <c r="L79" s="64">
        <v>24.37</v>
      </c>
      <c r="M79" s="64">
        <v>43.09</v>
      </c>
      <c r="N79" s="64">
        <v>27</v>
      </c>
      <c r="O79" s="64">
        <v>0</v>
      </c>
      <c r="P79" s="64">
        <v>1.39</v>
      </c>
      <c r="Q79" s="64">
        <v>2.54</v>
      </c>
      <c r="R79" s="198"/>
      <c r="S79" s="198"/>
      <c r="T79" s="198"/>
      <c r="U79" s="198"/>
    </row>
    <row r="80" spans="1:21" s="12" customFormat="1" x14ac:dyDescent="0.25">
      <c r="A80" s="215" t="s">
        <v>1088</v>
      </c>
      <c r="B80" s="64">
        <v>37.909999999999997</v>
      </c>
      <c r="C80" s="64">
        <v>62.59</v>
      </c>
      <c r="D80" s="64">
        <v>100.5</v>
      </c>
      <c r="E80" s="64">
        <v>1.25</v>
      </c>
      <c r="F80" s="64">
        <v>1.43</v>
      </c>
      <c r="G80" s="64">
        <v>82.22</v>
      </c>
      <c r="H80" s="64">
        <v>43.55</v>
      </c>
      <c r="I80" s="64">
        <v>1.5</v>
      </c>
      <c r="J80" s="64">
        <v>0.11</v>
      </c>
      <c r="K80" s="64">
        <v>344.08</v>
      </c>
      <c r="L80" s="64">
        <v>23.28</v>
      </c>
      <c r="M80" s="64">
        <v>52.05</v>
      </c>
      <c r="N80" s="64">
        <v>26.9</v>
      </c>
      <c r="O80" s="64">
        <v>0</v>
      </c>
      <c r="P80" s="64">
        <v>1.3</v>
      </c>
      <c r="Q80" s="64">
        <v>3.38</v>
      </c>
      <c r="R80" s="198"/>
      <c r="S80" s="198"/>
      <c r="T80" s="198"/>
      <c r="U80" s="198"/>
    </row>
    <row r="81" spans="1:26" s="12" customFormat="1" x14ac:dyDescent="0.25">
      <c r="A81" s="215" t="s">
        <v>1089</v>
      </c>
      <c r="B81" s="64">
        <v>77.66</v>
      </c>
      <c r="C81" s="64">
        <v>94.18</v>
      </c>
      <c r="D81" s="64">
        <v>171.84</v>
      </c>
      <c r="E81" s="64">
        <v>1.33</v>
      </c>
      <c r="F81" s="64">
        <v>2.25</v>
      </c>
      <c r="G81" s="64">
        <v>105.12</v>
      </c>
      <c r="H81" s="64">
        <v>44</v>
      </c>
      <c r="I81" s="64">
        <v>1.52</v>
      </c>
      <c r="J81" s="64">
        <v>0.1</v>
      </c>
      <c r="K81" s="64">
        <v>324.26</v>
      </c>
      <c r="L81" s="64">
        <v>22.85</v>
      </c>
      <c r="M81" s="64">
        <v>51.53</v>
      </c>
      <c r="N81" s="64">
        <v>26.4</v>
      </c>
      <c r="O81" s="64">
        <v>0</v>
      </c>
      <c r="P81" s="64">
        <v>2.21</v>
      </c>
      <c r="Q81" s="64">
        <v>0.19</v>
      </c>
      <c r="R81" s="198"/>
      <c r="S81" s="198"/>
      <c r="T81" s="198"/>
      <c r="U81" s="198"/>
    </row>
    <row r="82" spans="1:26" s="12" customFormat="1" x14ac:dyDescent="0.25">
      <c r="A82" s="215" t="s">
        <v>1090</v>
      </c>
      <c r="B82" s="64">
        <v>49.61</v>
      </c>
      <c r="C82" s="64">
        <v>80.59</v>
      </c>
      <c r="D82" s="64">
        <v>130.19999999999999</v>
      </c>
      <c r="E82" s="64">
        <v>1.06</v>
      </c>
      <c r="F82" s="64">
        <v>1.75</v>
      </c>
      <c r="G82" s="64">
        <v>153.30000000000001</v>
      </c>
      <c r="H82" s="64">
        <v>44.6</v>
      </c>
      <c r="I82" s="64">
        <v>1.5</v>
      </c>
      <c r="J82" s="64">
        <v>0.09</v>
      </c>
      <c r="K82" s="64">
        <v>303.33999999999997</v>
      </c>
      <c r="L82" s="64">
        <v>22.68</v>
      </c>
      <c r="M82" s="64">
        <v>50.48</v>
      </c>
      <c r="N82" s="64">
        <v>26.5</v>
      </c>
      <c r="O82" s="64">
        <v>0</v>
      </c>
      <c r="P82" s="64">
        <v>1.61</v>
      </c>
      <c r="Q82" s="64">
        <v>1.24</v>
      </c>
      <c r="R82" s="198"/>
      <c r="S82" s="198"/>
      <c r="T82" s="198"/>
      <c r="U82" s="198"/>
    </row>
    <row r="83" spans="1:26" s="12" customFormat="1" x14ac:dyDescent="0.25">
      <c r="A83" s="215" t="s">
        <v>1091</v>
      </c>
      <c r="B83" s="64">
        <v>32.5</v>
      </c>
      <c r="C83" s="64">
        <v>65.41</v>
      </c>
      <c r="D83" s="64">
        <v>97.91</v>
      </c>
      <c r="E83" s="64">
        <v>1.02</v>
      </c>
      <c r="F83" s="64">
        <v>0.88</v>
      </c>
      <c r="G83" s="64">
        <v>153.30000000000001</v>
      </c>
      <c r="H83" s="64">
        <v>44.6</v>
      </c>
      <c r="I83" s="64">
        <v>1.52</v>
      </c>
      <c r="J83" s="64">
        <v>7.0000000000000007E-2</v>
      </c>
      <c r="K83" s="64">
        <v>348.34</v>
      </c>
      <c r="L83" s="64">
        <v>22.21</v>
      </c>
      <c r="M83" s="64">
        <v>54.27</v>
      </c>
      <c r="N83" s="64">
        <v>26.6</v>
      </c>
      <c r="O83" s="64">
        <v>0</v>
      </c>
      <c r="P83" s="64">
        <v>1.33</v>
      </c>
      <c r="Q83" s="64">
        <v>2.1800000000000002</v>
      </c>
      <c r="R83" s="198"/>
      <c r="S83" s="198"/>
      <c r="T83" s="198"/>
      <c r="U83" s="198"/>
    </row>
    <row r="84" spans="1:26" s="12" customFormat="1" x14ac:dyDescent="0.25">
      <c r="A84" s="215" t="s">
        <v>1092</v>
      </c>
      <c r="B84" s="64">
        <v>52.84</v>
      </c>
      <c r="C84" s="64">
        <v>71.56</v>
      </c>
      <c r="D84" s="64">
        <v>124.4</v>
      </c>
      <c r="E84" s="64">
        <v>0.96</v>
      </c>
      <c r="F84" s="64">
        <v>0.81</v>
      </c>
      <c r="G84" s="64">
        <v>153.30000000000001</v>
      </c>
      <c r="H84" s="64">
        <v>44.6</v>
      </c>
      <c r="I84" s="64">
        <v>1.52</v>
      </c>
      <c r="J84" s="64">
        <v>0.02</v>
      </c>
      <c r="K84" s="64">
        <v>51.45</v>
      </c>
      <c r="L84" s="64">
        <v>21.95</v>
      </c>
      <c r="M84" s="64">
        <v>57.16</v>
      </c>
      <c r="N84" s="64">
        <v>26.6</v>
      </c>
      <c r="O84" s="64">
        <v>0</v>
      </c>
      <c r="P84" s="64">
        <v>1.81</v>
      </c>
      <c r="Q84" s="64">
        <v>1.31</v>
      </c>
      <c r="R84" s="198"/>
      <c r="S84" s="198"/>
      <c r="T84" s="198"/>
      <c r="U84" s="198"/>
    </row>
    <row r="85" spans="1:26" s="12" customFormat="1" x14ac:dyDescent="0.25">
      <c r="A85" s="215" t="s">
        <v>1093</v>
      </c>
      <c r="B85" s="64">
        <v>98.67</v>
      </c>
      <c r="C85" s="64">
        <v>92.71</v>
      </c>
      <c r="D85" s="64">
        <v>191.38</v>
      </c>
      <c r="E85" s="64">
        <v>1.04</v>
      </c>
      <c r="F85" s="64">
        <v>0.56999999999999995</v>
      </c>
      <c r="G85" s="64">
        <v>158.69999999999999</v>
      </c>
      <c r="H85" s="64">
        <v>47.14</v>
      </c>
      <c r="I85" s="64">
        <v>1.51</v>
      </c>
      <c r="J85" s="64">
        <v>0.04</v>
      </c>
      <c r="K85" s="64">
        <v>20.34</v>
      </c>
      <c r="L85" s="64">
        <v>21.7</v>
      </c>
      <c r="M85" s="64">
        <v>58.16</v>
      </c>
      <c r="N85" s="64">
        <v>26.5</v>
      </c>
      <c r="O85" s="64">
        <v>0</v>
      </c>
      <c r="P85" s="64">
        <v>2.41</v>
      </c>
      <c r="Q85" s="64">
        <v>1.21</v>
      </c>
      <c r="R85" s="198"/>
      <c r="S85" s="198"/>
      <c r="T85" s="198"/>
      <c r="U85" s="198"/>
    </row>
    <row r="86" spans="1:26" s="12" customFormat="1" x14ac:dyDescent="0.25">
      <c r="A86" s="215" t="s">
        <v>1094</v>
      </c>
      <c r="B86" s="64">
        <v>76.48</v>
      </c>
      <c r="C86" s="64">
        <v>70.069999999999993</v>
      </c>
      <c r="D86" s="64">
        <v>146.55000000000001</v>
      </c>
      <c r="E86" s="64">
        <v>1.1100000000000001</v>
      </c>
      <c r="F86" s="64">
        <v>0.64</v>
      </c>
      <c r="G86" s="64">
        <v>170.05</v>
      </c>
      <c r="H86" s="64">
        <v>57.04</v>
      </c>
      <c r="I86" s="64">
        <v>1.53</v>
      </c>
      <c r="J86" s="64">
        <v>0.06</v>
      </c>
      <c r="K86" s="64">
        <v>282.94</v>
      </c>
      <c r="L86" s="64">
        <v>21.54</v>
      </c>
      <c r="M86" s="64">
        <v>59.53</v>
      </c>
      <c r="N86" s="64">
        <v>26.7</v>
      </c>
      <c r="O86" s="64">
        <v>0</v>
      </c>
      <c r="P86" s="64">
        <v>2.06</v>
      </c>
      <c r="Q86" s="64">
        <v>1.51</v>
      </c>
      <c r="R86" s="198"/>
      <c r="S86" s="198"/>
      <c r="T86" s="198"/>
      <c r="U86" s="198"/>
    </row>
    <row r="87" spans="1:26" s="12" customFormat="1" x14ac:dyDescent="0.25">
      <c r="A87" s="215" t="s">
        <v>1095</v>
      </c>
      <c r="B87" s="64">
        <v>103.15</v>
      </c>
      <c r="C87" s="64">
        <v>85.1</v>
      </c>
      <c r="D87" s="64">
        <v>188.25</v>
      </c>
      <c r="E87" s="64">
        <v>1</v>
      </c>
      <c r="F87" s="64">
        <v>0.68</v>
      </c>
      <c r="G87" s="64">
        <v>170.05</v>
      </c>
      <c r="H87" s="64">
        <v>57.04</v>
      </c>
      <c r="I87" s="64">
        <v>1.44</v>
      </c>
      <c r="J87" s="64">
        <v>0.06</v>
      </c>
      <c r="K87" s="64">
        <v>262.88</v>
      </c>
      <c r="L87" s="64">
        <v>21.35</v>
      </c>
      <c r="M87" s="64">
        <v>60.29</v>
      </c>
      <c r="N87" s="64">
        <v>26.7</v>
      </c>
      <c r="O87" s="64">
        <v>0</v>
      </c>
      <c r="P87" s="64">
        <v>2.2799999999999998</v>
      </c>
      <c r="Q87" s="64">
        <v>3.39</v>
      </c>
      <c r="R87" s="198"/>
      <c r="S87" s="198"/>
      <c r="T87" s="198"/>
      <c r="U87" s="198"/>
    </row>
    <row r="88" spans="1:26" s="12" customFormat="1" x14ac:dyDescent="0.25">
      <c r="A88" s="215" t="s">
        <v>1096</v>
      </c>
      <c r="B88" s="64">
        <v>79.23</v>
      </c>
      <c r="C88" s="64">
        <v>68.47</v>
      </c>
      <c r="D88" s="64">
        <v>147.71</v>
      </c>
      <c r="E88" s="64">
        <v>0.56000000000000005</v>
      </c>
      <c r="F88" s="64">
        <v>0.53</v>
      </c>
      <c r="G88" s="64">
        <v>170.05</v>
      </c>
      <c r="H88" s="64">
        <v>57.04</v>
      </c>
      <c r="I88" s="64">
        <v>1.51</v>
      </c>
      <c r="J88" s="64">
        <v>0.1</v>
      </c>
      <c r="K88" s="64">
        <v>281.20999999999998</v>
      </c>
      <c r="L88" s="64">
        <v>21.22</v>
      </c>
      <c r="M88" s="64">
        <v>57.95</v>
      </c>
      <c r="N88" s="64">
        <v>26.6</v>
      </c>
      <c r="O88" s="64">
        <v>0</v>
      </c>
      <c r="P88" s="64">
        <v>2.1</v>
      </c>
      <c r="Q88" s="64">
        <v>3.6</v>
      </c>
      <c r="R88" s="198"/>
      <c r="S88" s="198"/>
      <c r="T88" s="198"/>
      <c r="U88" s="198"/>
    </row>
    <row r="89" spans="1:26" s="12" customFormat="1" x14ac:dyDescent="0.25">
      <c r="A89" s="215" t="s">
        <v>1097</v>
      </c>
      <c r="B89" s="64">
        <v>94.51</v>
      </c>
      <c r="C89" s="64">
        <v>55.88</v>
      </c>
      <c r="D89" s="64">
        <v>150.38999999999999</v>
      </c>
      <c r="E89" s="64">
        <v>0.88</v>
      </c>
      <c r="F89" s="64">
        <v>0.3</v>
      </c>
      <c r="G89" s="64">
        <v>187.02</v>
      </c>
      <c r="H89" s="64">
        <v>58.31</v>
      </c>
      <c r="I89" s="64">
        <v>1.53</v>
      </c>
      <c r="J89" s="64">
        <v>0.13</v>
      </c>
      <c r="K89" s="64">
        <v>298.39999999999998</v>
      </c>
      <c r="L89" s="64">
        <v>20.97</v>
      </c>
      <c r="M89" s="64">
        <v>64.09</v>
      </c>
      <c r="N89" s="64">
        <v>26.7</v>
      </c>
      <c r="O89" s="64">
        <v>0</v>
      </c>
      <c r="P89" s="64">
        <v>2.29</v>
      </c>
      <c r="Q89" s="64">
        <v>4.3600000000000003</v>
      </c>
      <c r="R89" s="198"/>
      <c r="S89" s="198"/>
      <c r="T89" s="198"/>
      <c r="U89" s="198"/>
    </row>
    <row r="90" spans="1:26" s="12" customFormat="1" x14ac:dyDescent="0.25">
      <c r="A90" s="215" t="s">
        <v>1098</v>
      </c>
      <c r="B90" s="64">
        <v>114.06</v>
      </c>
      <c r="C90" s="64">
        <v>76.11</v>
      </c>
      <c r="D90" s="64">
        <v>190.17</v>
      </c>
      <c r="E90" s="64">
        <v>0.88</v>
      </c>
      <c r="F90" s="64">
        <v>0.56999999999999995</v>
      </c>
      <c r="G90" s="64">
        <v>222.71</v>
      </c>
      <c r="H90" s="64">
        <v>60.08</v>
      </c>
      <c r="I90" s="64">
        <v>1.5</v>
      </c>
      <c r="J90" s="64">
        <v>0.09</v>
      </c>
      <c r="K90" s="64">
        <v>293.67</v>
      </c>
      <c r="L90" s="64">
        <v>20.69</v>
      </c>
      <c r="M90" s="64">
        <v>65.28</v>
      </c>
      <c r="N90" s="64">
        <v>26.9</v>
      </c>
      <c r="O90" s="64">
        <v>0</v>
      </c>
      <c r="P90" s="64">
        <v>3.02</v>
      </c>
      <c r="Q90" s="64">
        <v>1.59</v>
      </c>
      <c r="R90" s="198"/>
      <c r="S90" s="198"/>
      <c r="T90" s="198"/>
      <c r="U90" s="198"/>
    </row>
    <row r="91" spans="1:26" s="12" customFormat="1" x14ac:dyDescent="0.25">
      <c r="A91" s="215" t="s">
        <v>1099</v>
      </c>
      <c r="B91" s="64">
        <v>99.56</v>
      </c>
      <c r="C91" s="64">
        <v>54.36</v>
      </c>
      <c r="D91" s="64">
        <v>153.91999999999999</v>
      </c>
      <c r="E91" s="64">
        <v>0.81</v>
      </c>
      <c r="F91" s="64">
        <v>0.66</v>
      </c>
      <c r="G91" s="64">
        <v>222.71</v>
      </c>
      <c r="H91" s="64">
        <v>60.08</v>
      </c>
      <c r="I91" s="64">
        <v>1.54</v>
      </c>
      <c r="J91" s="64">
        <v>0.09</v>
      </c>
      <c r="K91" s="64">
        <v>322.27</v>
      </c>
      <c r="L91" s="64">
        <v>20.440000000000001</v>
      </c>
      <c r="M91" s="64">
        <v>66.36</v>
      </c>
      <c r="N91" s="64">
        <v>26.8</v>
      </c>
      <c r="O91" s="64">
        <v>0</v>
      </c>
      <c r="P91" s="64">
        <v>2.4700000000000002</v>
      </c>
      <c r="Q91" s="64">
        <v>4.88</v>
      </c>
      <c r="R91" s="198"/>
      <c r="S91" s="198"/>
      <c r="T91" s="198"/>
      <c r="U91" s="198"/>
    </row>
    <row r="92" spans="1:26" s="12" customFormat="1" x14ac:dyDescent="0.25">
      <c r="A92" s="215" t="s">
        <v>1100</v>
      </c>
      <c r="B92" s="64">
        <v>108.84</v>
      </c>
      <c r="C92" s="64">
        <v>55.01</v>
      </c>
      <c r="D92" s="64">
        <v>163.86</v>
      </c>
      <c r="E92" s="64">
        <v>0.64</v>
      </c>
      <c r="F92" s="64">
        <v>0.53</v>
      </c>
      <c r="G92" s="64">
        <v>222.71</v>
      </c>
      <c r="H92" s="64">
        <v>60.08</v>
      </c>
      <c r="I92" s="64">
        <v>1.56</v>
      </c>
      <c r="J92" s="64">
        <v>7.0000000000000007E-2</v>
      </c>
      <c r="K92" s="64">
        <v>282.16000000000003</v>
      </c>
      <c r="L92" s="64">
        <v>20.309999999999999</v>
      </c>
      <c r="M92" s="64">
        <v>65.17</v>
      </c>
      <c r="N92" s="64">
        <v>26.9</v>
      </c>
      <c r="O92" s="64">
        <v>0</v>
      </c>
      <c r="P92" s="64">
        <v>2.5299999999999998</v>
      </c>
      <c r="Q92" s="64">
        <v>4.58</v>
      </c>
      <c r="R92" s="198"/>
      <c r="S92" s="198"/>
      <c r="T92" s="198"/>
      <c r="U92" s="198"/>
    </row>
    <row r="93" spans="1:26" s="12" customFormat="1" x14ac:dyDescent="0.25">
      <c r="A93" s="215" t="s">
        <v>1101</v>
      </c>
      <c r="B93" s="64">
        <v>115.5</v>
      </c>
      <c r="C93" s="64">
        <v>57.72</v>
      </c>
      <c r="D93" s="64">
        <v>173.22</v>
      </c>
      <c r="E93" s="64">
        <v>0.67</v>
      </c>
      <c r="F93" s="64">
        <v>0.41</v>
      </c>
      <c r="G93" s="64">
        <v>224.5</v>
      </c>
      <c r="H93" s="64">
        <v>63.82</v>
      </c>
      <c r="I93" s="64">
        <v>1.51</v>
      </c>
      <c r="J93" s="64">
        <v>0.08</v>
      </c>
      <c r="K93" s="64">
        <v>317.86</v>
      </c>
      <c r="L93" s="64">
        <v>20.14</v>
      </c>
      <c r="M93" s="64">
        <v>65.63</v>
      </c>
      <c r="N93" s="64">
        <v>26.8</v>
      </c>
      <c r="O93" s="64">
        <v>0</v>
      </c>
      <c r="P93" s="64">
        <v>2.6</v>
      </c>
      <c r="Q93" s="64">
        <v>6.14</v>
      </c>
      <c r="R93" s="198"/>
      <c r="S93" s="198"/>
      <c r="T93" s="198"/>
      <c r="U93" s="198"/>
    </row>
    <row r="94" spans="1:26" s="12" customFormat="1" x14ac:dyDescent="0.25">
      <c r="A94" s="215" t="s">
        <v>1102</v>
      </c>
      <c r="B94" s="64">
        <v>105.35</v>
      </c>
      <c r="C94" s="64">
        <v>43.21</v>
      </c>
      <c r="D94" s="64">
        <v>148.57</v>
      </c>
      <c r="E94" s="64">
        <v>0.62</v>
      </c>
      <c r="F94" s="64">
        <v>0.38</v>
      </c>
      <c r="G94" s="64">
        <v>228.27</v>
      </c>
      <c r="H94" s="64">
        <v>68.89</v>
      </c>
      <c r="I94" s="64">
        <v>1.43</v>
      </c>
      <c r="J94" s="64">
        <v>0.11</v>
      </c>
      <c r="K94" s="64">
        <v>310.14</v>
      </c>
      <c r="L94" s="64">
        <v>19.96</v>
      </c>
      <c r="M94" s="64">
        <v>70.040000000000006</v>
      </c>
      <c r="N94" s="64">
        <v>26.9</v>
      </c>
      <c r="O94" s="64">
        <v>0</v>
      </c>
      <c r="P94" s="64">
        <v>2.5</v>
      </c>
      <c r="Q94" s="64">
        <v>9.23</v>
      </c>
      <c r="R94" s="198"/>
      <c r="S94" s="198"/>
      <c r="T94" s="198"/>
      <c r="U94" s="198"/>
    </row>
    <row r="95" spans="1:26" s="12" customFormat="1" x14ac:dyDescent="0.25">
      <c r="A95" s="215" t="s">
        <v>1103</v>
      </c>
      <c r="B95" s="64">
        <v>151.49</v>
      </c>
      <c r="C95" s="64">
        <v>61.59</v>
      </c>
      <c r="D95" s="64">
        <v>213.08</v>
      </c>
      <c r="E95" s="64">
        <v>0.75</v>
      </c>
      <c r="F95" s="64">
        <v>0.42</v>
      </c>
      <c r="G95" s="64">
        <v>228.27</v>
      </c>
      <c r="H95" s="64">
        <v>68.89</v>
      </c>
      <c r="I95" s="64">
        <v>1.55</v>
      </c>
      <c r="J95" s="64">
        <v>0.08</v>
      </c>
      <c r="K95" s="64">
        <v>289.89</v>
      </c>
      <c r="L95" s="64">
        <v>19.86</v>
      </c>
      <c r="M95" s="64">
        <v>69.900000000000006</v>
      </c>
      <c r="N95" s="64">
        <v>26.8</v>
      </c>
      <c r="O95" s="64">
        <v>0</v>
      </c>
      <c r="P95" s="64">
        <v>3.25</v>
      </c>
      <c r="Q95" s="64">
        <v>7.74</v>
      </c>
      <c r="R95" s="198"/>
      <c r="S95" s="198"/>
      <c r="T95" s="198"/>
      <c r="U95" s="198"/>
    </row>
    <row r="96" spans="1:26" s="12" customFormat="1" x14ac:dyDescent="0.25">
      <c r="A96" s="215" t="s">
        <v>1104</v>
      </c>
      <c r="B96" s="64">
        <v>119.18</v>
      </c>
      <c r="C96" s="64">
        <v>43.35</v>
      </c>
      <c r="D96" s="64">
        <v>162.53</v>
      </c>
      <c r="E96" s="64">
        <v>0.7</v>
      </c>
      <c r="F96" s="64">
        <v>0.57999999999999996</v>
      </c>
      <c r="G96" s="64">
        <v>228.27</v>
      </c>
      <c r="H96" s="64">
        <v>68.89</v>
      </c>
      <c r="I96" s="64">
        <v>1.54</v>
      </c>
      <c r="J96" s="64">
        <v>0.12</v>
      </c>
      <c r="K96" s="64">
        <v>312.76</v>
      </c>
      <c r="L96" s="64">
        <v>19.760000000000002</v>
      </c>
      <c r="M96" s="64">
        <v>70.849999999999994</v>
      </c>
      <c r="N96" s="64">
        <v>27</v>
      </c>
      <c r="O96" s="64">
        <v>0</v>
      </c>
      <c r="P96" s="64">
        <v>2.75</v>
      </c>
      <c r="Q96" s="64">
        <v>9.02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1105</v>
      </c>
      <c r="B97" s="64">
        <v>138.06</v>
      </c>
      <c r="C97" s="64">
        <v>57.63</v>
      </c>
      <c r="D97" s="64">
        <v>195.69</v>
      </c>
      <c r="E97" s="64">
        <v>0.75</v>
      </c>
      <c r="F97" s="64">
        <v>0.34</v>
      </c>
      <c r="G97" s="64">
        <v>233.93</v>
      </c>
      <c r="H97" s="64">
        <v>70.400000000000006</v>
      </c>
      <c r="I97" s="64">
        <v>1.48</v>
      </c>
      <c r="J97" s="64">
        <v>0.08</v>
      </c>
      <c r="K97" s="64">
        <v>260.64999999999998</v>
      </c>
      <c r="L97" s="64">
        <v>19.489999999999998</v>
      </c>
      <c r="M97" s="64">
        <v>68.34</v>
      </c>
      <c r="N97" s="64">
        <v>27</v>
      </c>
      <c r="O97" s="64">
        <v>0</v>
      </c>
      <c r="P97" s="64">
        <v>2.98</v>
      </c>
      <c r="Q97" s="64">
        <v>10.02</v>
      </c>
      <c r="R97" s="198"/>
      <c r="S97" s="198"/>
      <c r="T97" s="198"/>
      <c r="U97" s="198"/>
    </row>
    <row r="98" spans="1:33" s="12" customFormat="1" x14ac:dyDescent="0.25">
      <c r="A98" s="215" t="s">
        <v>1106</v>
      </c>
      <c r="B98" s="64">
        <v>139.33000000000001</v>
      </c>
      <c r="C98" s="64">
        <v>53.25</v>
      </c>
      <c r="D98" s="64">
        <v>192.58</v>
      </c>
      <c r="E98" s="64">
        <v>0.81</v>
      </c>
      <c r="F98" s="64">
        <v>0.26</v>
      </c>
      <c r="G98" s="64">
        <v>245.84</v>
      </c>
      <c r="H98" s="64">
        <v>72.510000000000005</v>
      </c>
      <c r="I98" s="64">
        <v>1.46</v>
      </c>
      <c r="J98" s="64">
        <v>0.13</v>
      </c>
      <c r="K98" s="64">
        <v>280.89</v>
      </c>
      <c r="L98" s="64">
        <v>19.48</v>
      </c>
      <c r="M98" s="64">
        <v>71</v>
      </c>
      <c r="N98" s="64">
        <v>26.9</v>
      </c>
      <c r="O98" s="64">
        <v>0</v>
      </c>
      <c r="P98" s="64">
        <v>2.9</v>
      </c>
      <c r="Q98" s="64">
        <v>10.95</v>
      </c>
      <c r="R98" s="198"/>
      <c r="S98" s="198"/>
      <c r="T98" s="198"/>
      <c r="U98" s="198"/>
    </row>
    <row r="99" spans="1:33" s="12" customFormat="1" x14ac:dyDescent="0.25">
      <c r="A99" s="215" t="s">
        <v>1107</v>
      </c>
      <c r="B99" s="64">
        <v>128.08000000000001</v>
      </c>
      <c r="C99" s="64">
        <v>56.31</v>
      </c>
      <c r="D99" s="64">
        <v>184.39</v>
      </c>
      <c r="E99" s="64">
        <v>0.71</v>
      </c>
      <c r="F99" s="64">
        <v>0.19</v>
      </c>
      <c r="G99" s="64">
        <v>245.84</v>
      </c>
      <c r="H99" s="64">
        <v>72.510000000000005</v>
      </c>
      <c r="I99" s="64">
        <v>1.48</v>
      </c>
      <c r="J99" s="64">
        <v>0.13</v>
      </c>
      <c r="K99" s="64">
        <v>257.14999999999998</v>
      </c>
      <c r="L99" s="64">
        <v>19.420000000000002</v>
      </c>
      <c r="M99" s="64">
        <v>73.209999999999994</v>
      </c>
      <c r="N99" s="64">
        <v>26.8</v>
      </c>
      <c r="O99" s="64">
        <v>0</v>
      </c>
      <c r="P99" s="64">
        <v>2.82</v>
      </c>
      <c r="Q99" s="64">
        <v>12.39</v>
      </c>
      <c r="R99" s="198"/>
      <c r="S99" s="198"/>
      <c r="T99" s="198"/>
      <c r="U99" s="198"/>
    </row>
    <row r="100" spans="1:33" s="12" customFormat="1" x14ac:dyDescent="0.25">
      <c r="A100" s="215" t="s">
        <v>1108</v>
      </c>
      <c r="B100" s="64">
        <v>108.62</v>
      </c>
      <c r="C100" s="64">
        <v>45.89</v>
      </c>
      <c r="D100" s="64">
        <v>154.51</v>
      </c>
      <c r="E100" s="64">
        <v>0.65</v>
      </c>
      <c r="F100" s="64">
        <v>0.16</v>
      </c>
      <c r="G100" s="64">
        <v>245.84</v>
      </c>
      <c r="H100" s="64">
        <v>72.510000000000005</v>
      </c>
      <c r="I100" s="64">
        <v>1.51</v>
      </c>
      <c r="J100" s="64">
        <v>0.01</v>
      </c>
      <c r="K100" s="64">
        <v>51.74</v>
      </c>
      <c r="L100" s="64">
        <v>19.46</v>
      </c>
      <c r="M100" s="64">
        <v>74.36</v>
      </c>
      <c r="N100" s="64">
        <v>27.3</v>
      </c>
      <c r="O100" s="64">
        <v>0</v>
      </c>
      <c r="P100" s="64">
        <v>2.54</v>
      </c>
      <c r="Q100" s="64">
        <v>14.93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1109</v>
      </c>
      <c r="B101" s="64">
        <v>120.45</v>
      </c>
      <c r="C101" s="64">
        <v>38.22</v>
      </c>
      <c r="D101" s="64">
        <v>158.66999999999999</v>
      </c>
      <c r="E101" s="64">
        <v>0.65</v>
      </c>
      <c r="F101" s="64">
        <v>0.25</v>
      </c>
      <c r="G101" s="64">
        <v>230.04</v>
      </c>
      <c r="H101" s="64">
        <v>72.45</v>
      </c>
      <c r="I101" s="64">
        <v>1.53</v>
      </c>
      <c r="J101" s="64">
        <v>0.09</v>
      </c>
      <c r="K101" s="64">
        <v>248.84</v>
      </c>
      <c r="L101" s="64">
        <v>19.32</v>
      </c>
      <c r="M101" s="64">
        <v>74.42</v>
      </c>
      <c r="N101" s="64">
        <v>27.1</v>
      </c>
      <c r="O101" s="64">
        <v>0</v>
      </c>
      <c r="P101" s="64">
        <v>2.7</v>
      </c>
      <c r="Q101" s="64">
        <v>15.46</v>
      </c>
      <c r="R101" s="198"/>
      <c r="S101" s="198"/>
      <c r="T101" s="198"/>
      <c r="U101" s="198"/>
    </row>
    <row r="102" spans="1:33" s="12" customFormat="1" x14ac:dyDescent="0.25">
      <c r="A102" s="215" t="s">
        <v>1110</v>
      </c>
      <c r="B102" s="64">
        <v>118.78</v>
      </c>
      <c r="C102" s="64">
        <v>31.46</v>
      </c>
      <c r="D102" s="64">
        <v>150.24</v>
      </c>
      <c r="E102" s="64">
        <v>0.61</v>
      </c>
      <c r="F102" s="64">
        <v>0.66</v>
      </c>
      <c r="G102" s="64">
        <v>196.82</v>
      </c>
      <c r="H102" s="64">
        <v>72.38</v>
      </c>
      <c r="I102" s="64">
        <v>1.44</v>
      </c>
      <c r="J102" s="64">
        <v>0.05</v>
      </c>
      <c r="K102" s="64">
        <v>267.57</v>
      </c>
      <c r="L102" s="64">
        <v>19.14</v>
      </c>
      <c r="M102" s="64">
        <v>72.31</v>
      </c>
      <c r="N102" s="64">
        <v>27.3</v>
      </c>
      <c r="O102" s="64">
        <v>0</v>
      </c>
      <c r="P102" s="64">
        <v>2.66</v>
      </c>
      <c r="Q102" s="64">
        <v>14.55</v>
      </c>
      <c r="R102" s="198"/>
      <c r="S102" s="198"/>
      <c r="T102" s="198"/>
      <c r="U102" s="198"/>
    </row>
    <row r="103" spans="1:33" s="12" customFormat="1" x14ac:dyDescent="0.25">
      <c r="A103" s="215" t="s">
        <v>1111</v>
      </c>
      <c r="B103" s="64">
        <v>112.86</v>
      </c>
      <c r="C103" s="64">
        <v>38.42</v>
      </c>
      <c r="D103" s="64">
        <v>151.28</v>
      </c>
      <c r="E103" s="64">
        <v>0.6</v>
      </c>
      <c r="F103" s="64">
        <v>0.48</v>
      </c>
      <c r="G103" s="64">
        <v>196.82</v>
      </c>
      <c r="H103" s="64">
        <v>72.38</v>
      </c>
      <c r="I103" s="64">
        <v>1.44</v>
      </c>
      <c r="J103" s="64">
        <v>0.13</v>
      </c>
      <c r="K103" s="64">
        <v>320.35000000000002</v>
      </c>
      <c r="L103" s="64">
        <v>18.82</v>
      </c>
      <c r="M103" s="64">
        <v>73.58</v>
      </c>
      <c r="N103" s="64">
        <v>27.3</v>
      </c>
      <c r="O103" s="64">
        <v>0</v>
      </c>
      <c r="P103" s="64">
        <v>2.57</v>
      </c>
      <c r="Q103" s="64">
        <v>13.84</v>
      </c>
      <c r="R103" s="198"/>
      <c r="S103" s="198"/>
      <c r="T103" s="198"/>
      <c r="U103" s="198"/>
    </row>
    <row r="104" spans="1:33" s="12" customFormat="1" x14ac:dyDescent="0.25">
      <c r="A104" s="215" t="s">
        <v>1112</v>
      </c>
      <c r="B104" s="64">
        <v>111.42</v>
      </c>
      <c r="C104" s="64">
        <v>35.9</v>
      </c>
      <c r="D104" s="64">
        <v>147.32</v>
      </c>
      <c r="E104" s="64">
        <v>0.36</v>
      </c>
      <c r="F104" s="64">
        <v>0.23</v>
      </c>
      <c r="G104" s="64">
        <v>196.82</v>
      </c>
      <c r="H104" s="64">
        <v>72.38</v>
      </c>
      <c r="I104" s="64">
        <v>1.5</v>
      </c>
      <c r="J104" s="64">
        <v>7.0000000000000007E-2</v>
      </c>
      <c r="K104" s="64">
        <v>290.23</v>
      </c>
      <c r="L104" s="64">
        <v>18.649999999999999</v>
      </c>
      <c r="M104" s="64">
        <v>75.55</v>
      </c>
      <c r="N104" s="64">
        <v>27.5</v>
      </c>
      <c r="O104" s="64">
        <v>0</v>
      </c>
      <c r="P104" s="64">
        <v>2.5099999999999998</v>
      </c>
      <c r="Q104" s="64">
        <v>13.31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23.99</v>
      </c>
      <c r="D106" s="67">
        <f t="shared" ref="D106:Q106" si="0">MIN(D9:D104)</f>
        <v>25.99</v>
      </c>
      <c r="E106" s="67">
        <f t="shared" si="0"/>
        <v>0.12</v>
      </c>
      <c r="F106" s="67">
        <f t="shared" si="0"/>
        <v>0.09</v>
      </c>
      <c r="G106" s="67">
        <f t="shared" si="0"/>
        <v>50.53</v>
      </c>
      <c r="H106" s="67">
        <f t="shared" si="0"/>
        <v>42.23</v>
      </c>
      <c r="I106" s="67">
        <f t="shared" si="0"/>
        <v>1.39</v>
      </c>
      <c r="J106" s="67">
        <f t="shared" si="0"/>
        <v>0.01</v>
      </c>
      <c r="K106" s="67">
        <f t="shared" si="0"/>
        <v>8.1</v>
      </c>
      <c r="L106" s="67">
        <f t="shared" si="0"/>
        <v>16.07</v>
      </c>
      <c r="M106" s="67">
        <f t="shared" si="0"/>
        <v>26.9</v>
      </c>
      <c r="N106" s="67">
        <f t="shared" si="0"/>
        <v>26.4</v>
      </c>
      <c r="O106" s="67">
        <f t="shared" si="0"/>
        <v>0</v>
      </c>
      <c r="P106" s="67">
        <f t="shared" si="0"/>
        <v>0.53</v>
      </c>
      <c r="Q106" s="67">
        <f t="shared" si="0"/>
        <v>0.19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151.49</v>
      </c>
      <c r="C107" s="66">
        <f t="shared" ref="C107:Q107" si="1">MAX(C9:C104)</f>
        <v>94.18</v>
      </c>
      <c r="D107" s="66">
        <f t="shared" si="1"/>
        <v>213.08</v>
      </c>
      <c r="E107" s="66">
        <f t="shared" si="1"/>
        <v>3.4</v>
      </c>
      <c r="F107" s="66">
        <f t="shared" si="1"/>
        <v>58.3</v>
      </c>
      <c r="G107" s="66">
        <f t="shared" si="1"/>
        <v>282.60000000000002</v>
      </c>
      <c r="H107" s="66">
        <f t="shared" si="1"/>
        <v>83.85</v>
      </c>
      <c r="I107" s="66">
        <f t="shared" si="1"/>
        <v>1.6</v>
      </c>
      <c r="J107" s="66">
        <f t="shared" si="1"/>
        <v>1.1399999999999999</v>
      </c>
      <c r="K107" s="66">
        <f t="shared" si="1"/>
        <v>358.66</v>
      </c>
      <c r="L107" s="66">
        <f t="shared" si="1"/>
        <v>31.67</v>
      </c>
      <c r="M107" s="66">
        <f t="shared" si="1"/>
        <v>89.84</v>
      </c>
      <c r="N107" s="66">
        <f t="shared" si="1"/>
        <v>791.2</v>
      </c>
      <c r="O107" s="66">
        <f t="shared" si="1"/>
        <v>0</v>
      </c>
      <c r="P107" s="66">
        <f t="shared" si="1"/>
        <v>3.25</v>
      </c>
      <c r="Q107" s="66">
        <f t="shared" si="1"/>
        <v>15.46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46.20624999999999</v>
      </c>
      <c r="C108" s="67">
        <f t="shared" ref="C108:Q108" si="2">AVERAGE(C9:C104)</f>
        <v>40.430729166666666</v>
      </c>
      <c r="D108" s="67">
        <f t="shared" si="2"/>
        <v>86.637291666666655</v>
      </c>
      <c r="E108" s="67">
        <f t="shared" si="2"/>
        <v>0.69562500000000016</v>
      </c>
      <c r="F108" s="67">
        <f t="shared" si="2"/>
        <v>7.0882291666666655</v>
      </c>
      <c r="G108" s="67">
        <f t="shared" si="2"/>
        <v>136.81322916666662</v>
      </c>
      <c r="H108" s="67">
        <f t="shared" si="2"/>
        <v>58.055312500000035</v>
      </c>
      <c r="I108" s="67">
        <f t="shared" si="2"/>
        <v>1.5040624999999999</v>
      </c>
      <c r="J108" s="67">
        <f t="shared" si="2"/>
        <v>0.26145833333333329</v>
      </c>
      <c r="K108" s="67">
        <f t="shared" si="2"/>
        <v>202.03260416666663</v>
      </c>
      <c r="L108" s="67">
        <f t="shared" si="2"/>
        <v>22.355625</v>
      </c>
      <c r="M108" s="67">
        <f t="shared" si="2"/>
        <v>58.358958333333327</v>
      </c>
      <c r="N108" s="67">
        <f t="shared" si="2"/>
        <v>201.64583333333337</v>
      </c>
      <c r="O108" s="67">
        <f t="shared" si="2"/>
        <v>0</v>
      </c>
      <c r="P108" s="67">
        <f t="shared" si="2"/>
        <v>1.4280208333333333</v>
      </c>
      <c r="Q108" s="67">
        <f t="shared" si="2"/>
        <v>6.6815624999999947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40.253645934904227</v>
      </c>
      <c r="C109" s="67">
        <f t="shared" ref="C109:Q109" si="3">STDEV(C9:C104)</f>
        <v>16.104412029973048</v>
      </c>
      <c r="D109" s="67">
        <f t="shared" si="3"/>
        <v>50.136919005106051</v>
      </c>
      <c r="E109" s="67">
        <f t="shared" si="3"/>
        <v>0.68794860961679649</v>
      </c>
      <c r="F109" s="67">
        <f t="shared" si="3"/>
        <v>13.194274515449312</v>
      </c>
      <c r="G109" s="67">
        <f t="shared" si="3"/>
        <v>57.210383056423623</v>
      </c>
      <c r="H109" s="67">
        <f t="shared" si="3"/>
        <v>11.870920591545715</v>
      </c>
      <c r="I109" s="67">
        <f t="shared" si="3"/>
        <v>4.2366275689390928E-2</v>
      </c>
      <c r="J109" s="67">
        <f t="shared" si="3"/>
        <v>0.2763368621872746</v>
      </c>
      <c r="K109" s="67">
        <f t="shared" si="3"/>
        <v>91.57286054221403</v>
      </c>
      <c r="L109" s="67">
        <f t="shared" si="3"/>
        <v>4.6823466479510918</v>
      </c>
      <c r="M109" s="67">
        <f t="shared" si="3"/>
        <v>20.855128637398952</v>
      </c>
      <c r="N109" s="67">
        <f t="shared" si="3"/>
        <v>260.87232566572789</v>
      </c>
      <c r="O109" s="67">
        <f t="shared" si="3"/>
        <v>0</v>
      </c>
      <c r="P109" s="67">
        <f t="shared" si="3"/>
        <v>0.70412412152174664</v>
      </c>
      <c r="Q109" s="67">
        <f t="shared" si="3"/>
        <v>2.8973956829230487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1113</v>
      </c>
      <c r="B9" s="64">
        <v>107.31</v>
      </c>
      <c r="C9" s="64">
        <v>34.57</v>
      </c>
      <c r="D9" s="64">
        <v>141.88</v>
      </c>
      <c r="E9" s="64">
        <v>0.53</v>
      </c>
      <c r="F9" s="64">
        <v>0.23</v>
      </c>
      <c r="G9" s="64">
        <v>162.94999999999999</v>
      </c>
      <c r="H9" s="64">
        <v>69.7</v>
      </c>
      <c r="I9" s="64">
        <v>1.53</v>
      </c>
      <c r="J9" s="64">
        <v>0.08</v>
      </c>
      <c r="K9" s="64">
        <v>294.85000000000002</v>
      </c>
      <c r="L9" s="64">
        <v>18.559999999999999</v>
      </c>
      <c r="M9" s="64">
        <v>74.77</v>
      </c>
      <c r="N9" s="64">
        <v>27.4</v>
      </c>
      <c r="O9" s="64">
        <v>0</v>
      </c>
      <c r="P9" s="64">
        <v>2.44</v>
      </c>
      <c r="Q9" s="64">
        <v>12.94</v>
      </c>
      <c r="R9" s="198"/>
      <c r="S9" s="198"/>
      <c r="T9" s="198"/>
      <c r="U9" s="198"/>
    </row>
    <row r="10" spans="1:21" s="12" customFormat="1" x14ac:dyDescent="0.25">
      <c r="A10" s="215" t="s">
        <v>1114</v>
      </c>
      <c r="B10" s="64">
        <v>103.2</v>
      </c>
      <c r="C10" s="64">
        <v>33.619999999999997</v>
      </c>
      <c r="D10" s="64">
        <v>136.82</v>
      </c>
      <c r="E10" s="64">
        <v>0.54</v>
      </c>
      <c r="F10" s="64">
        <v>0.11</v>
      </c>
      <c r="G10" s="64">
        <v>91.69</v>
      </c>
      <c r="H10" s="64">
        <v>66.069999999999993</v>
      </c>
      <c r="I10" s="64">
        <v>1.48</v>
      </c>
      <c r="J10" s="64">
        <v>0.14000000000000001</v>
      </c>
      <c r="K10" s="64">
        <v>166.21</v>
      </c>
      <c r="L10" s="64">
        <v>18.45</v>
      </c>
      <c r="M10" s="64">
        <v>73.89</v>
      </c>
      <c r="N10" s="64">
        <v>27</v>
      </c>
      <c r="O10" s="64">
        <v>0</v>
      </c>
      <c r="P10" s="64">
        <v>2.37</v>
      </c>
      <c r="Q10" s="64">
        <v>12.56</v>
      </c>
      <c r="R10" s="198"/>
      <c r="S10" s="198"/>
      <c r="T10" s="198"/>
      <c r="U10" s="198"/>
    </row>
    <row r="11" spans="1:21" s="12" customFormat="1" x14ac:dyDescent="0.25">
      <c r="A11" s="215" t="s">
        <v>1115</v>
      </c>
      <c r="B11" s="64">
        <v>98.52</v>
      </c>
      <c r="C11" s="64">
        <v>33.28</v>
      </c>
      <c r="D11" s="64">
        <v>131.79</v>
      </c>
      <c r="E11" s="64">
        <v>0.49</v>
      </c>
      <c r="F11" s="64">
        <v>0.05</v>
      </c>
      <c r="G11" s="64">
        <v>91.69</v>
      </c>
      <c r="H11" s="64">
        <v>66.069999999999993</v>
      </c>
      <c r="I11" s="64">
        <v>1.55</v>
      </c>
      <c r="J11" s="64">
        <v>0.04</v>
      </c>
      <c r="K11" s="64">
        <v>228.56</v>
      </c>
      <c r="L11" s="64">
        <v>18.510000000000002</v>
      </c>
      <c r="M11" s="64">
        <v>73.73</v>
      </c>
      <c r="N11" s="64">
        <v>27.4</v>
      </c>
      <c r="O11" s="64">
        <v>0</v>
      </c>
      <c r="P11" s="64">
        <v>2.29</v>
      </c>
      <c r="Q11" s="64">
        <v>12.22</v>
      </c>
      <c r="R11" s="198"/>
      <c r="S11" s="198"/>
      <c r="T11" s="198"/>
      <c r="U11" s="198"/>
    </row>
    <row r="12" spans="1:21" s="12" customFormat="1" x14ac:dyDescent="0.25">
      <c r="A12" s="215" t="s">
        <v>1116</v>
      </c>
      <c r="B12" s="64">
        <v>94.08</v>
      </c>
      <c r="C12" s="64">
        <v>30.12</v>
      </c>
      <c r="D12" s="64">
        <v>124.19</v>
      </c>
      <c r="E12" s="64">
        <v>0.49</v>
      </c>
      <c r="F12" s="64">
        <v>0.27</v>
      </c>
      <c r="G12" s="64">
        <v>91.69</v>
      </c>
      <c r="H12" s="64">
        <v>66.069999999999993</v>
      </c>
      <c r="I12" s="64">
        <v>1.51</v>
      </c>
      <c r="J12" s="64">
        <v>0.09</v>
      </c>
      <c r="K12" s="64">
        <v>293.05</v>
      </c>
      <c r="L12" s="64">
        <v>18.28</v>
      </c>
      <c r="M12" s="64">
        <v>76.53</v>
      </c>
      <c r="N12" s="64">
        <v>27.4</v>
      </c>
      <c r="O12" s="64">
        <v>0</v>
      </c>
      <c r="P12" s="64">
        <v>2.2200000000000002</v>
      </c>
      <c r="Q12" s="64">
        <v>11.9</v>
      </c>
      <c r="R12" s="198"/>
      <c r="S12" s="198"/>
      <c r="T12" s="198"/>
      <c r="U12" s="198"/>
    </row>
    <row r="13" spans="1:21" s="12" customFormat="1" x14ac:dyDescent="0.25">
      <c r="A13" s="215" t="s">
        <v>1117</v>
      </c>
      <c r="B13" s="64">
        <v>80.16</v>
      </c>
      <c r="C13" s="64">
        <v>31.56</v>
      </c>
      <c r="D13" s="64">
        <v>111.71</v>
      </c>
      <c r="E13" s="64">
        <v>0.48</v>
      </c>
      <c r="F13" s="64">
        <v>0.81</v>
      </c>
      <c r="G13" s="64">
        <v>90.42</v>
      </c>
      <c r="H13" s="64">
        <v>64.3</v>
      </c>
      <c r="I13" s="64">
        <v>1.47</v>
      </c>
      <c r="J13" s="64">
        <v>0.1</v>
      </c>
      <c r="K13" s="64">
        <v>267.64</v>
      </c>
      <c r="L13" s="64">
        <v>18.16</v>
      </c>
      <c r="M13" s="64">
        <v>77.67</v>
      </c>
      <c r="N13" s="64">
        <v>27.5</v>
      </c>
      <c r="O13" s="64">
        <v>0</v>
      </c>
      <c r="P13" s="64">
        <v>1.77</v>
      </c>
      <c r="Q13" s="64">
        <v>12.7</v>
      </c>
      <c r="R13" s="198"/>
      <c r="S13" s="198"/>
      <c r="T13" s="198"/>
      <c r="U13" s="198"/>
    </row>
    <row r="14" spans="1:21" s="12" customFormat="1" x14ac:dyDescent="0.25">
      <c r="A14" s="215" t="s">
        <v>1118</v>
      </c>
      <c r="B14" s="64">
        <v>78.86</v>
      </c>
      <c r="C14" s="64">
        <v>33.229999999999997</v>
      </c>
      <c r="D14" s="64">
        <v>112.09</v>
      </c>
      <c r="E14" s="64">
        <v>0.51</v>
      </c>
      <c r="F14" s="64">
        <v>0.88</v>
      </c>
      <c r="G14" s="64">
        <v>87.76</v>
      </c>
      <c r="H14" s="64">
        <v>57.41</v>
      </c>
      <c r="I14" s="64">
        <v>1.56</v>
      </c>
      <c r="J14" s="64">
        <v>0.08</v>
      </c>
      <c r="K14" s="64">
        <v>272.39</v>
      </c>
      <c r="L14" s="64">
        <v>17.850000000000001</v>
      </c>
      <c r="M14" s="64">
        <v>78.5</v>
      </c>
      <c r="N14" s="64">
        <v>27.6</v>
      </c>
      <c r="O14" s="64">
        <v>0</v>
      </c>
      <c r="P14" s="64">
        <v>1.89</v>
      </c>
      <c r="Q14" s="64">
        <v>12.26</v>
      </c>
      <c r="R14" s="198"/>
      <c r="S14" s="198"/>
      <c r="T14" s="198"/>
      <c r="U14" s="198"/>
    </row>
    <row r="15" spans="1:21" s="12" customFormat="1" x14ac:dyDescent="0.25">
      <c r="A15" s="215" t="s">
        <v>1119</v>
      </c>
      <c r="B15" s="64">
        <v>78.92</v>
      </c>
      <c r="C15" s="64">
        <v>33.020000000000003</v>
      </c>
      <c r="D15" s="64">
        <v>111.93</v>
      </c>
      <c r="E15" s="64">
        <v>0.53</v>
      </c>
      <c r="F15" s="64">
        <v>0.5</v>
      </c>
      <c r="G15" s="64">
        <v>87.76</v>
      </c>
      <c r="H15" s="64">
        <v>57.41</v>
      </c>
      <c r="I15" s="64">
        <v>1.48</v>
      </c>
      <c r="J15" s="64">
        <v>7.0000000000000007E-2</v>
      </c>
      <c r="K15" s="64">
        <v>271.87</v>
      </c>
      <c r="L15" s="64">
        <v>17.73</v>
      </c>
      <c r="M15" s="64">
        <v>79.540000000000006</v>
      </c>
      <c r="N15" s="64">
        <v>27.7</v>
      </c>
      <c r="O15" s="64">
        <v>0</v>
      </c>
      <c r="P15" s="64">
        <v>1.87</v>
      </c>
      <c r="Q15" s="64">
        <v>11.27</v>
      </c>
      <c r="R15" s="198"/>
      <c r="S15" s="198"/>
      <c r="T15" s="198"/>
      <c r="U15" s="198"/>
    </row>
    <row r="16" spans="1:21" s="12" customFormat="1" x14ac:dyDescent="0.25">
      <c r="A16" s="215" t="s">
        <v>1120</v>
      </c>
      <c r="B16" s="64">
        <v>75.8</v>
      </c>
      <c r="C16" s="64">
        <v>32.479999999999997</v>
      </c>
      <c r="D16" s="64">
        <v>108.28</v>
      </c>
      <c r="E16" s="64">
        <v>0.52</v>
      </c>
      <c r="F16" s="64">
        <v>0.16</v>
      </c>
      <c r="G16" s="64">
        <v>87.76</v>
      </c>
      <c r="H16" s="64">
        <v>57.41</v>
      </c>
      <c r="I16" s="64">
        <v>1.52</v>
      </c>
      <c r="J16" s="64">
        <v>0.1</v>
      </c>
      <c r="K16" s="64">
        <v>311.3</v>
      </c>
      <c r="L16" s="64">
        <v>17.52</v>
      </c>
      <c r="M16" s="64">
        <v>83.19</v>
      </c>
      <c r="N16" s="64">
        <v>27.7</v>
      </c>
      <c r="O16" s="64">
        <v>0</v>
      </c>
      <c r="P16" s="64">
        <v>1.81</v>
      </c>
      <c r="Q16" s="64">
        <v>10.78</v>
      </c>
      <c r="R16" s="198"/>
      <c r="S16" s="198"/>
      <c r="T16" s="198"/>
      <c r="U16" s="198"/>
    </row>
    <row r="17" spans="1:21" s="12" customFormat="1" x14ac:dyDescent="0.25">
      <c r="A17" s="215" t="s">
        <v>1121</v>
      </c>
      <c r="B17" s="64">
        <v>75.69</v>
      </c>
      <c r="C17" s="64">
        <v>31.58</v>
      </c>
      <c r="D17" s="64">
        <v>107.27</v>
      </c>
      <c r="E17" s="64">
        <v>0.5</v>
      </c>
      <c r="F17" s="64">
        <v>0.04</v>
      </c>
      <c r="G17" s="64">
        <v>89.25</v>
      </c>
      <c r="H17" s="64">
        <v>53.35</v>
      </c>
      <c r="I17" s="64">
        <v>1.5</v>
      </c>
      <c r="J17" s="64">
        <v>0.02</v>
      </c>
      <c r="K17" s="64">
        <v>181.52</v>
      </c>
      <c r="L17" s="64">
        <v>17.309999999999999</v>
      </c>
      <c r="M17" s="64">
        <v>81.680000000000007</v>
      </c>
      <c r="N17" s="64">
        <v>27.8</v>
      </c>
      <c r="O17" s="64">
        <v>0</v>
      </c>
      <c r="P17" s="64">
        <v>1.75</v>
      </c>
      <c r="Q17" s="64">
        <v>10.37</v>
      </c>
      <c r="R17" s="198"/>
      <c r="S17" s="198"/>
      <c r="T17" s="198"/>
      <c r="U17" s="198"/>
    </row>
    <row r="18" spans="1:21" s="12" customFormat="1" x14ac:dyDescent="0.25">
      <c r="A18" s="215" t="s">
        <v>1122</v>
      </c>
      <c r="B18" s="64">
        <v>73.13</v>
      </c>
      <c r="C18" s="64">
        <v>29.89</v>
      </c>
      <c r="D18" s="64">
        <v>103.02</v>
      </c>
      <c r="E18" s="64">
        <v>0.46</v>
      </c>
      <c r="F18" s="64">
        <v>0.16</v>
      </c>
      <c r="G18" s="64">
        <v>92.4</v>
      </c>
      <c r="H18" s="64">
        <v>47.7</v>
      </c>
      <c r="I18" s="64">
        <v>1.54</v>
      </c>
      <c r="J18" s="64">
        <v>7.0000000000000007E-2</v>
      </c>
      <c r="K18" s="64">
        <v>153.15</v>
      </c>
      <c r="L18" s="64">
        <v>17.34</v>
      </c>
      <c r="M18" s="64">
        <v>81.61</v>
      </c>
      <c r="N18" s="64">
        <v>27.8</v>
      </c>
      <c r="O18" s="64">
        <v>0</v>
      </c>
      <c r="P18" s="64">
        <v>1.71</v>
      </c>
      <c r="Q18" s="64">
        <v>10.08</v>
      </c>
      <c r="R18" s="198"/>
      <c r="S18" s="198"/>
      <c r="T18" s="198"/>
      <c r="U18" s="198"/>
    </row>
    <row r="19" spans="1:21" s="12" customFormat="1" x14ac:dyDescent="0.25">
      <c r="A19" s="215" t="s">
        <v>1123</v>
      </c>
      <c r="B19" s="64">
        <v>70.150000000000006</v>
      </c>
      <c r="C19" s="64">
        <v>29.75</v>
      </c>
      <c r="D19" s="64">
        <v>99.9</v>
      </c>
      <c r="E19" s="64">
        <v>0.43</v>
      </c>
      <c r="F19" s="64">
        <v>0.14000000000000001</v>
      </c>
      <c r="G19" s="64">
        <v>92.4</v>
      </c>
      <c r="H19" s="64">
        <v>47.7</v>
      </c>
      <c r="I19" s="64">
        <v>1.5</v>
      </c>
      <c r="J19" s="64">
        <v>0.1</v>
      </c>
      <c r="K19" s="64">
        <v>289.61</v>
      </c>
      <c r="L19" s="64">
        <v>17.27</v>
      </c>
      <c r="M19" s="64">
        <v>83.08</v>
      </c>
      <c r="N19" s="64">
        <v>27.6</v>
      </c>
      <c r="O19" s="64">
        <v>0</v>
      </c>
      <c r="P19" s="64">
        <v>1.65</v>
      </c>
      <c r="Q19" s="64">
        <v>9.8000000000000007</v>
      </c>
      <c r="R19" s="198"/>
      <c r="S19" s="198"/>
      <c r="T19" s="198"/>
      <c r="U19" s="198"/>
    </row>
    <row r="20" spans="1:21" s="12" customFormat="1" x14ac:dyDescent="0.25">
      <c r="A20" s="215" t="s">
        <v>1124</v>
      </c>
      <c r="B20" s="64">
        <v>67.3</v>
      </c>
      <c r="C20" s="64">
        <v>29.9</v>
      </c>
      <c r="D20" s="64">
        <v>97.2</v>
      </c>
      <c r="E20" s="64">
        <v>0.45</v>
      </c>
      <c r="F20" s="64">
        <v>0.1</v>
      </c>
      <c r="G20" s="64">
        <v>92.4</v>
      </c>
      <c r="H20" s="64">
        <v>47.7</v>
      </c>
      <c r="I20" s="64">
        <v>1.48</v>
      </c>
      <c r="J20" s="64">
        <v>0.08</v>
      </c>
      <c r="K20" s="64">
        <v>134.1</v>
      </c>
      <c r="L20" s="64">
        <v>17.11</v>
      </c>
      <c r="M20" s="64">
        <v>85.05</v>
      </c>
      <c r="N20" s="64">
        <v>27.7</v>
      </c>
      <c r="O20" s="64">
        <v>0</v>
      </c>
      <c r="P20" s="64">
        <v>1.6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5" t="s">
        <v>1125</v>
      </c>
      <c r="B21" s="64">
        <v>64.540000000000006</v>
      </c>
      <c r="C21" s="64">
        <v>29.73</v>
      </c>
      <c r="D21" s="64">
        <v>94.27</v>
      </c>
      <c r="E21" s="64">
        <v>0.46</v>
      </c>
      <c r="F21" s="64">
        <v>7.0000000000000007E-2</v>
      </c>
      <c r="G21" s="64">
        <v>105.46</v>
      </c>
      <c r="H21" s="64">
        <v>47.2</v>
      </c>
      <c r="I21" s="64">
        <v>1.54</v>
      </c>
      <c r="J21" s="64">
        <v>0.03</v>
      </c>
      <c r="K21" s="64">
        <v>117.72</v>
      </c>
      <c r="L21" s="64">
        <v>16.989999999999998</v>
      </c>
      <c r="M21" s="64">
        <v>86.26</v>
      </c>
      <c r="N21" s="64">
        <v>27.9</v>
      </c>
      <c r="O21" s="64">
        <v>0</v>
      </c>
      <c r="P21" s="64">
        <v>1.55</v>
      </c>
      <c r="Q21" s="64">
        <v>9.36</v>
      </c>
      <c r="R21" s="198"/>
      <c r="S21" s="198"/>
      <c r="T21" s="198"/>
      <c r="U21" s="198"/>
    </row>
    <row r="22" spans="1:21" s="12" customFormat="1" x14ac:dyDescent="0.25">
      <c r="A22" s="215" t="s">
        <v>1126</v>
      </c>
      <c r="B22" s="64">
        <v>62.06</v>
      </c>
      <c r="C22" s="64">
        <v>29.87</v>
      </c>
      <c r="D22" s="64">
        <v>91.94</v>
      </c>
      <c r="E22" s="64">
        <v>0.46</v>
      </c>
      <c r="F22" s="64">
        <v>0.08</v>
      </c>
      <c r="G22" s="64">
        <v>132.91999999999999</v>
      </c>
      <c r="H22" s="64">
        <v>46.5</v>
      </c>
      <c r="I22" s="64">
        <v>1.52</v>
      </c>
      <c r="J22" s="64">
        <v>0.03</v>
      </c>
      <c r="K22" s="64">
        <v>220.94</v>
      </c>
      <c r="L22" s="64">
        <v>16.84</v>
      </c>
      <c r="M22" s="64">
        <v>87.95</v>
      </c>
      <c r="N22" s="64">
        <v>27.8</v>
      </c>
      <c r="O22" s="64">
        <v>0</v>
      </c>
      <c r="P22" s="64">
        <v>1.5</v>
      </c>
      <c r="Q22" s="64">
        <v>9.11</v>
      </c>
      <c r="R22" s="198"/>
      <c r="S22" s="198"/>
      <c r="T22" s="198"/>
      <c r="U22" s="198"/>
    </row>
    <row r="23" spans="1:21" s="12" customFormat="1" x14ac:dyDescent="0.25">
      <c r="A23" s="215" t="s">
        <v>1127</v>
      </c>
      <c r="B23" s="64">
        <v>59.74</v>
      </c>
      <c r="C23" s="64">
        <v>28.99</v>
      </c>
      <c r="D23" s="64">
        <v>88.74</v>
      </c>
      <c r="E23" s="64">
        <v>0.45</v>
      </c>
      <c r="F23" s="64">
        <v>0.27</v>
      </c>
      <c r="G23" s="64">
        <v>132.91999999999999</v>
      </c>
      <c r="H23" s="64">
        <v>46.5</v>
      </c>
      <c r="I23" s="64">
        <v>1.46</v>
      </c>
      <c r="J23" s="64">
        <v>0.12</v>
      </c>
      <c r="K23" s="64">
        <v>284.70999999999998</v>
      </c>
      <c r="L23" s="64">
        <v>16.86</v>
      </c>
      <c r="M23" s="64">
        <v>87.68</v>
      </c>
      <c r="N23" s="64">
        <v>27.8</v>
      </c>
      <c r="O23" s="64">
        <v>0</v>
      </c>
      <c r="P23" s="64">
        <v>1.45</v>
      </c>
      <c r="Q23" s="64">
        <v>8.91</v>
      </c>
      <c r="R23" s="198"/>
      <c r="S23" s="198"/>
      <c r="T23" s="198"/>
      <c r="U23" s="198"/>
    </row>
    <row r="24" spans="1:21" s="12" customFormat="1" x14ac:dyDescent="0.25">
      <c r="A24" s="215" t="s">
        <v>1128</v>
      </c>
      <c r="B24" s="64">
        <v>56.84</v>
      </c>
      <c r="C24" s="64">
        <v>30.65</v>
      </c>
      <c r="D24" s="64">
        <v>87.49</v>
      </c>
      <c r="E24" s="64">
        <v>0.27</v>
      </c>
      <c r="F24" s="64">
        <v>0.08</v>
      </c>
      <c r="G24" s="64">
        <v>132.91999999999999</v>
      </c>
      <c r="H24" s="64">
        <v>46.5</v>
      </c>
      <c r="I24" s="64">
        <v>1.54</v>
      </c>
      <c r="J24" s="64">
        <v>0.13</v>
      </c>
      <c r="K24" s="64">
        <v>283.45</v>
      </c>
      <c r="L24" s="64">
        <v>16.809999999999999</v>
      </c>
      <c r="M24" s="64">
        <v>87.76</v>
      </c>
      <c r="N24" s="64">
        <v>27.9</v>
      </c>
      <c r="O24" s="64">
        <v>0</v>
      </c>
      <c r="P24" s="64">
        <v>1.39</v>
      </c>
      <c r="Q24" s="64">
        <v>8.8699999999999992</v>
      </c>
      <c r="R24" s="198"/>
      <c r="S24" s="198"/>
      <c r="T24" s="198"/>
      <c r="U24" s="198"/>
    </row>
    <row r="25" spans="1:21" s="12" customFormat="1" x14ac:dyDescent="0.25">
      <c r="A25" s="215" t="s">
        <v>1129</v>
      </c>
      <c r="B25" s="64">
        <v>56.72</v>
      </c>
      <c r="C25" s="64">
        <v>30.65</v>
      </c>
      <c r="D25" s="64">
        <v>87.37</v>
      </c>
      <c r="E25" s="64">
        <v>0.4</v>
      </c>
      <c r="F25" s="64">
        <v>0.03</v>
      </c>
      <c r="G25" s="64">
        <v>134.44</v>
      </c>
      <c r="H25" s="64">
        <v>49.62</v>
      </c>
      <c r="I25" s="64">
        <v>1.5</v>
      </c>
      <c r="J25" s="64">
        <v>0.15</v>
      </c>
      <c r="K25" s="64">
        <v>288.11</v>
      </c>
      <c r="L25" s="64">
        <v>16.84</v>
      </c>
      <c r="M25" s="64">
        <v>88.48</v>
      </c>
      <c r="N25" s="64">
        <v>30</v>
      </c>
      <c r="O25" s="64">
        <v>0</v>
      </c>
      <c r="P25" s="64">
        <v>1.35</v>
      </c>
      <c r="Q25" s="64">
        <v>8.74</v>
      </c>
      <c r="R25" s="198"/>
      <c r="S25" s="198"/>
      <c r="T25" s="198"/>
      <c r="U25" s="198"/>
    </row>
    <row r="26" spans="1:21" s="12" customFormat="1" x14ac:dyDescent="0.25">
      <c r="A26" s="215" t="s">
        <v>1130</v>
      </c>
      <c r="B26" s="64">
        <v>57.35</v>
      </c>
      <c r="C26" s="64">
        <v>30.64</v>
      </c>
      <c r="D26" s="64">
        <v>88</v>
      </c>
      <c r="E26" s="64">
        <v>0.39</v>
      </c>
      <c r="F26" s="64">
        <v>0.11</v>
      </c>
      <c r="G26" s="64">
        <v>137.63999999999999</v>
      </c>
      <c r="H26" s="64">
        <v>53.96</v>
      </c>
      <c r="I26" s="64">
        <v>1.54</v>
      </c>
      <c r="J26" s="64">
        <v>0.14000000000000001</v>
      </c>
      <c r="K26" s="64">
        <v>292.44</v>
      </c>
      <c r="L26" s="64">
        <v>16.829999999999998</v>
      </c>
      <c r="M26" s="64">
        <v>90.83</v>
      </c>
      <c r="N26" s="64">
        <v>32.200000000000003</v>
      </c>
      <c r="O26" s="64">
        <v>0</v>
      </c>
      <c r="P26" s="64">
        <v>1.33</v>
      </c>
      <c r="Q26" s="64">
        <v>8.69</v>
      </c>
      <c r="R26" s="198"/>
      <c r="S26" s="198"/>
      <c r="T26" s="198"/>
      <c r="U26" s="198"/>
    </row>
    <row r="27" spans="1:21" s="12" customFormat="1" x14ac:dyDescent="0.25">
      <c r="A27" s="215" t="s">
        <v>1131</v>
      </c>
      <c r="B27" s="64">
        <v>58.69</v>
      </c>
      <c r="C27" s="64">
        <v>30.91</v>
      </c>
      <c r="D27" s="64">
        <v>89.6</v>
      </c>
      <c r="E27" s="64">
        <v>0.43</v>
      </c>
      <c r="F27" s="64">
        <v>0.16</v>
      </c>
      <c r="G27" s="64">
        <v>137.63999999999999</v>
      </c>
      <c r="H27" s="64">
        <v>53.96</v>
      </c>
      <c r="I27" s="64">
        <v>1.45</v>
      </c>
      <c r="J27" s="64">
        <v>0.11</v>
      </c>
      <c r="K27" s="64">
        <v>235.5</v>
      </c>
      <c r="L27" s="64">
        <v>16.899999999999999</v>
      </c>
      <c r="M27" s="64">
        <v>89.95</v>
      </c>
      <c r="N27" s="64">
        <v>32.200000000000003</v>
      </c>
      <c r="O27" s="64">
        <v>0</v>
      </c>
      <c r="P27" s="64">
        <v>1.3</v>
      </c>
      <c r="Q27" s="64">
        <v>8.73</v>
      </c>
      <c r="R27" s="198"/>
      <c r="S27" s="198"/>
      <c r="T27" s="198"/>
      <c r="U27" s="198"/>
    </row>
    <row r="28" spans="1:21" s="12" customFormat="1" x14ac:dyDescent="0.25">
      <c r="A28" s="215" t="s">
        <v>1132</v>
      </c>
      <c r="B28" s="64">
        <v>60.15</v>
      </c>
      <c r="C28" s="64">
        <v>30.72</v>
      </c>
      <c r="D28" s="64">
        <v>90.87</v>
      </c>
      <c r="E28" s="64">
        <v>0.41</v>
      </c>
      <c r="F28" s="64">
        <v>0.08</v>
      </c>
      <c r="G28" s="64">
        <v>137.63999999999999</v>
      </c>
      <c r="H28" s="64">
        <v>53.96</v>
      </c>
      <c r="I28" s="64">
        <v>1.45</v>
      </c>
      <c r="J28" s="64">
        <v>0.11</v>
      </c>
      <c r="K28" s="64">
        <v>229.54</v>
      </c>
      <c r="L28" s="64">
        <v>16.989999999999998</v>
      </c>
      <c r="M28" s="64">
        <v>88.58</v>
      </c>
      <c r="N28" s="64">
        <v>32.6</v>
      </c>
      <c r="O28" s="64">
        <v>0</v>
      </c>
      <c r="P28" s="64">
        <v>1.28</v>
      </c>
      <c r="Q28" s="64">
        <v>8.9</v>
      </c>
      <c r="R28" s="198"/>
      <c r="S28" s="198"/>
      <c r="T28" s="198"/>
      <c r="U28" s="198"/>
    </row>
    <row r="29" spans="1:21" s="12" customFormat="1" x14ac:dyDescent="0.25">
      <c r="A29" s="215" t="s">
        <v>1133</v>
      </c>
      <c r="B29" s="64">
        <v>60.51</v>
      </c>
      <c r="C29" s="64">
        <v>28.14</v>
      </c>
      <c r="D29" s="64">
        <v>88.66</v>
      </c>
      <c r="E29" s="64">
        <v>0.45</v>
      </c>
      <c r="F29" s="64">
        <v>0.31</v>
      </c>
      <c r="G29" s="64">
        <v>134.58000000000001</v>
      </c>
      <c r="H29" s="64">
        <v>53.48</v>
      </c>
      <c r="I29" s="64">
        <v>1.45</v>
      </c>
      <c r="J29" s="64">
        <v>0.14000000000000001</v>
      </c>
      <c r="K29" s="64">
        <v>224.61</v>
      </c>
      <c r="L29" s="64">
        <v>16.89</v>
      </c>
      <c r="M29" s="64">
        <v>88.93</v>
      </c>
      <c r="N29" s="64">
        <v>32.5</v>
      </c>
      <c r="O29" s="64">
        <v>0</v>
      </c>
      <c r="P29" s="64">
        <v>1.23</v>
      </c>
      <c r="Q29" s="64">
        <v>8.85</v>
      </c>
      <c r="R29" s="198"/>
      <c r="S29" s="198"/>
      <c r="T29" s="198"/>
      <c r="U29" s="198"/>
    </row>
    <row r="30" spans="1:21" s="12" customFormat="1" x14ac:dyDescent="0.25">
      <c r="A30" s="215" t="s">
        <v>1134</v>
      </c>
      <c r="B30" s="64">
        <v>59.69</v>
      </c>
      <c r="C30" s="64">
        <v>29.07</v>
      </c>
      <c r="D30" s="64">
        <v>88.75</v>
      </c>
      <c r="E30" s="64">
        <v>0.39</v>
      </c>
      <c r="F30" s="64">
        <v>0.42</v>
      </c>
      <c r="G30" s="64">
        <v>128.13</v>
      </c>
      <c r="H30" s="64">
        <v>52.81</v>
      </c>
      <c r="I30" s="64">
        <v>1.48</v>
      </c>
      <c r="J30" s="64">
        <v>0.1</v>
      </c>
      <c r="K30" s="64">
        <v>220.02</v>
      </c>
      <c r="L30" s="64">
        <v>16.98</v>
      </c>
      <c r="M30" s="64">
        <v>88.83</v>
      </c>
      <c r="N30" s="64">
        <v>32.6</v>
      </c>
      <c r="O30" s="64">
        <v>0</v>
      </c>
      <c r="P30" s="64">
        <v>1.2</v>
      </c>
      <c r="Q30" s="64">
        <v>8.75</v>
      </c>
      <c r="R30" s="198"/>
      <c r="S30" s="198"/>
      <c r="T30" s="198"/>
      <c r="U30" s="198"/>
    </row>
    <row r="31" spans="1:21" s="12" customFormat="1" x14ac:dyDescent="0.25">
      <c r="A31" s="215" t="s">
        <v>1135</v>
      </c>
      <c r="B31" s="64">
        <v>59.6</v>
      </c>
      <c r="C31" s="64">
        <v>29.03</v>
      </c>
      <c r="D31" s="64">
        <v>88.62</v>
      </c>
      <c r="E31" s="64">
        <v>0.43</v>
      </c>
      <c r="F31" s="64">
        <v>0.34</v>
      </c>
      <c r="G31" s="64">
        <v>128.13</v>
      </c>
      <c r="H31" s="64">
        <v>52.81</v>
      </c>
      <c r="I31" s="64">
        <v>1.49</v>
      </c>
      <c r="J31" s="64">
        <v>0.11</v>
      </c>
      <c r="K31" s="64">
        <v>255.51</v>
      </c>
      <c r="L31" s="64">
        <v>16.71</v>
      </c>
      <c r="M31" s="64">
        <v>91.44</v>
      </c>
      <c r="N31" s="64">
        <v>32.9</v>
      </c>
      <c r="O31" s="64">
        <v>0</v>
      </c>
      <c r="P31" s="64">
        <v>1.18</v>
      </c>
      <c r="Q31" s="64">
        <v>8.75</v>
      </c>
      <c r="R31" s="198"/>
      <c r="S31" s="198"/>
      <c r="T31" s="198"/>
      <c r="U31" s="198"/>
    </row>
    <row r="32" spans="1:21" s="12" customFormat="1" x14ac:dyDescent="0.25">
      <c r="A32" s="215" t="s">
        <v>1136</v>
      </c>
      <c r="B32" s="64">
        <v>59.54</v>
      </c>
      <c r="C32" s="64">
        <v>28.49</v>
      </c>
      <c r="D32" s="64">
        <v>88.03</v>
      </c>
      <c r="E32" s="64">
        <v>0.42</v>
      </c>
      <c r="F32" s="64">
        <v>0.16</v>
      </c>
      <c r="G32" s="64">
        <v>128.13</v>
      </c>
      <c r="H32" s="64">
        <v>52.81</v>
      </c>
      <c r="I32" s="64">
        <v>1.47</v>
      </c>
      <c r="J32" s="64">
        <v>0.11</v>
      </c>
      <c r="K32" s="64">
        <v>287.92</v>
      </c>
      <c r="L32" s="64">
        <v>16.649999999999999</v>
      </c>
      <c r="M32" s="64">
        <v>89.84</v>
      </c>
      <c r="N32" s="64">
        <v>34.1</v>
      </c>
      <c r="O32" s="64">
        <v>0</v>
      </c>
      <c r="P32" s="64">
        <v>1.1599999999999999</v>
      </c>
      <c r="Q32" s="64">
        <v>8.74</v>
      </c>
      <c r="R32" s="198"/>
      <c r="S32" s="198"/>
      <c r="T32" s="198"/>
      <c r="U32" s="198"/>
    </row>
    <row r="33" spans="1:21" s="12" customFormat="1" x14ac:dyDescent="0.25">
      <c r="A33" s="215" t="s">
        <v>1137</v>
      </c>
      <c r="B33" s="64">
        <v>59.99</v>
      </c>
      <c r="C33" s="64">
        <v>27.72</v>
      </c>
      <c r="D33" s="64">
        <v>87.71</v>
      </c>
      <c r="E33" s="64">
        <v>0.4</v>
      </c>
      <c r="F33" s="64">
        <v>0.31</v>
      </c>
      <c r="G33" s="64">
        <v>125.68</v>
      </c>
      <c r="H33" s="64">
        <v>51.24</v>
      </c>
      <c r="I33" s="64">
        <v>1.58</v>
      </c>
      <c r="J33" s="64">
        <v>0.1</v>
      </c>
      <c r="K33" s="64">
        <v>316.5</v>
      </c>
      <c r="L33" s="64">
        <v>16.52</v>
      </c>
      <c r="M33" s="64">
        <v>92.06</v>
      </c>
      <c r="N33" s="64">
        <v>39.799999999999997</v>
      </c>
      <c r="O33" s="64">
        <v>0</v>
      </c>
      <c r="P33" s="64">
        <v>1.1499999999999999</v>
      </c>
      <c r="Q33" s="64">
        <v>8.74</v>
      </c>
      <c r="R33" s="198"/>
      <c r="S33" s="198"/>
      <c r="T33" s="198"/>
      <c r="U33" s="198"/>
    </row>
    <row r="34" spans="1:21" s="12" customFormat="1" x14ac:dyDescent="0.25">
      <c r="A34" s="215" t="s">
        <v>1138</v>
      </c>
      <c r="B34" s="64">
        <v>61.14</v>
      </c>
      <c r="C34" s="64">
        <v>28.18</v>
      </c>
      <c r="D34" s="64">
        <v>89.32</v>
      </c>
      <c r="E34" s="64">
        <v>0.36</v>
      </c>
      <c r="F34" s="64">
        <v>0.2</v>
      </c>
      <c r="G34" s="64">
        <v>120.52</v>
      </c>
      <c r="H34" s="64">
        <v>49.05</v>
      </c>
      <c r="I34" s="64">
        <v>1.46</v>
      </c>
      <c r="J34" s="64">
        <v>0.13</v>
      </c>
      <c r="K34" s="64">
        <v>240.42</v>
      </c>
      <c r="L34" s="64">
        <v>16.579999999999998</v>
      </c>
      <c r="M34" s="64">
        <v>90.97</v>
      </c>
      <c r="N34" s="64">
        <v>48.4</v>
      </c>
      <c r="O34" s="64">
        <v>0</v>
      </c>
      <c r="P34" s="64">
        <v>1.1299999999999999</v>
      </c>
      <c r="Q34" s="64">
        <v>8.84</v>
      </c>
      <c r="R34" s="198"/>
      <c r="S34" s="198"/>
      <c r="T34" s="198"/>
      <c r="U34" s="198"/>
    </row>
    <row r="35" spans="1:21" s="12" customFormat="1" x14ac:dyDescent="0.25">
      <c r="A35" s="215" t="s">
        <v>1139</v>
      </c>
      <c r="B35" s="64">
        <v>61.21</v>
      </c>
      <c r="C35" s="64">
        <v>28.58</v>
      </c>
      <c r="D35" s="64">
        <v>89.79</v>
      </c>
      <c r="E35" s="64">
        <v>0.36</v>
      </c>
      <c r="F35" s="64">
        <v>0.15</v>
      </c>
      <c r="G35" s="64">
        <v>120.52</v>
      </c>
      <c r="H35" s="64">
        <v>49.05</v>
      </c>
      <c r="I35" s="64">
        <v>1.53</v>
      </c>
      <c r="J35" s="64">
        <v>0.08</v>
      </c>
      <c r="K35" s="64">
        <v>234.68</v>
      </c>
      <c r="L35" s="64">
        <v>17.23</v>
      </c>
      <c r="M35" s="64">
        <v>89.49</v>
      </c>
      <c r="N35" s="64">
        <v>76.8</v>
      </c>
      <c r="O35" s="64">
        <v>0</v>
      </c>
      <c r="P35" s="64">
        <v>1.1200000000000001</v>
      </c>
      <c r="Q35" s="64">
        <v>8.85</v>
      </c>
      <c r="R35" s="198"/>
      <c r="S35" s="198"/>
      <c r="T35" s="198"/>
      <c r="U35" s="198"/>
    </row>
    <row r="36" spans="1:21" s="12" customFormat="1" x14ac:dyDescent="0.25">
      <c r="A36" s="215" t="s">
        <v>1140</v>
      </c>
      <c r="B36" s="64">
        <v>61.11</v>
      </c>
      <c r="C36" s="64">
        <v>30.4</v>
      </c>
      <c r="D36" s="64">
        <v>91.51</v>
      </c>
      <c r="E36" s="64">
        <v>0.38</v>
      </c>
      <c r="F36" s="64">
        <v>0.26</v>
      </c>
      <c r="G36" s="64">
        <v>120.52</v>
      </c>
      <c r="H36" s="64">
        <v>49.05</v>
      </c>
      <c r="I36" s="64">
        <v>1.52</v>
      </c>
      <c r="J36" s="64">
        <v>0.16</v>
      </c>
      <c r="K36" s="64">
        <v>180.01</v>
      </c>
      <c r="L36" s="64">
        <v>17.82</v>
      </c>
      <c r="M36" s="64">
        <v>86.9</v>
      </c>
      <c r="N36" s="64">
        <v>93.5</v>
      </c>
      <c r="O36" s="64">
        <v>0</v>
      </c>
      <c r="P36" s="64">
        <v>1.1100000000000001</v>
      </c>
      <c r="Q36" s="64">
        <v>8.94</v>
      </c>
      <c r="R36" s="198"/>
      <c r="S36" s="198"/>
      <c r="T36" s="198"/>
      <c r="U36" s="198"/>
    </row>
    <row r="37" spans="1:21" s="12" customFormat="1" x14ac:dyDescent="0.25">
      <c r="A37" s="215" t="s">
        <v>1141</v>
      </c>
      <c r="B37" s="64">
        <v>65.739999999999995</v>
      </c>
      <c r="C37" s="64">
        <v>30.83</v>
      </c>
      <c r="D37" s="64">
        <v>96.57</v>
      </c>
      <c r="E37" s="64">
        <v>0.4</v>
      </c>
      <c r="F37" s="64">
        <v>0.27</v>
      </c>
      <c r="G37" s="64">
        <v>117.46</v>
      </c>
      <c r="H37" s="64">
        <v>49.47</v>
      </c>
      <c r="I37" s="64">
        <v>1.57</v>
      </c>
      <c r="J37" s="64">
        <v>0.22</v>
      </c>
      <c r="K37" s="64">
        <v>177.5</v>
      </c>
      <c r="L37" s="64">
        <v>18.39</v>
      </c>
      <c r="M37" s="64">
        <v>85</v>
      </c>
      <c r="N37" s="64">
        <v>156.4</v>
      </c>
      <c r="O37" s="64">
        <v>0</v>
      </c>
      <c r="P37" s="64">
        <v>1.1200000000000001</v>
      </c>
      <c r="Q37" s="64">
        <v>8.76</v>
      </c>
      <c r="R37" s="198"/>
      <c r="S37" s="198"/>
      <c r="T37" s="198"/>
      <c r="U37" s="198"/>
    </row>
    <row r="38" spans="1:21" s="12" customFormat="1" x14ac:dyDescent="0.25">
      <c r="A38" s="215" t="s">
        <v>1142</v>
      </c>
      <c r="B38" s="64">
        <v>67.27</v>
      </c>
      <c r="C38" s="64">
        <v>31.85</v>
      </c>
      <c r="D38" s="64">
        <v>99.12</v>
      </c>
      <c r="E38" s="64">
        <v>0.35</v>
      </c>
      <c r="F38" s="64">
        <v>0.28000000000000003</v>
      </c>
      <c r="G38" s="64">
        <v>111.01</v>
      </c>
      <c r="H38" s="64">
        <v>51.13</v>
      </c>
      <c r="I38" s="64">
        <v>1.49</v>
      </c>
      <c r="J38" s="64">
        <v>0.16</v>
      </c>
      <c r="K38" s="64">
        <v>174.74</v>
      </c>
      <c r="L38" s="64">
        <v>19.739999999999998</v>
      </c>
      <c r="M38" s="64">
        <v>78.17</v>
      </c>
      <c r="N38" s="64">
        <v>214.8</v>
      </c>
      <c r="O38" s="64">
        <v>0</v>
      </c>
      <c r="P38" s="64">
        <v>1.1599999999999999</v>
      </c>
      <c r="Q38" s="64">
        <v>9.06</v>
      </c>
      <c r="R38" s="198"/>
      <c r="S38" s="198"/>
      <c r="T38" s="198"/>
      <c r="U38" s="198"/>
    </row>
    <row r="39" spans="1:21" s="12" customFormat="1" x14ac:dyDescent="0.25">
      <c r="A39" s="215" t="s">
        <v>1143</v>
      </c>
      <c r="B39" s="64">
        <v>65.55</v>
      </c>
      <c r="C39" s="64">
        <v>31.16</v>
      </c>
      <c r="D39" s="64">
        <v>96.71</v>
      </c>
      <c r="E39" s="64">
        <v>0.41</v>
      </c>
      <c r="F39" s="64">
        <v>0.32</v>
      </c>
      <c r="G39" s="64">
        <v>111.01</v>
      </c>
      <c r="H39" s="64">
        <v>51.13</v>
      </c>
      <c r="I39" s="64">
        <v>1.51</v>
      </c>
      <c r="J39" s="64">
        <v>0.22</v>
      </c>
      <c r="K39" s="64">
        <v>201.16</v>
      </c>
      <c r="L39" s="64">
        <v>20.32</v>
      </c>
      <c r="M39" s="64">
        <v>74.3</v>
      </c>
      <c r="N39" s="64">
        <v>269.8</v>
      </c>
      <c r="O39" s="64">
        <v>0</v>
      </c>
      <c r="P39" s="64">
        <v>1.1399999999999999</v>
      </c>
      <c r="Q39" s="64">
        <v>9.2799999999999994</v>
      </c>
      <c r="R39" s="198"/>
      <c r="S39" s="198"/>
      <c r="T39" s="198"/>
      <c r="U39" s="198"/>
    </row>
    <row r="40" spans="1:21" s="12" customFormat="1" x14ac:dyDescent="0.25">
      <c r="A40" s="215" t="s">
        <v>1144</v>
      </c>
      <c r="B40" s="64">
        <v>62.94</v>
      </c>
      <c r="C40" s="64">
        <v>29.98</v>
      </c>
      <c r="D40" s="64">
        <v>92.92</v>
      </c>
      <c r="E40" s="64">
        <v>0.17</v>
      </c>
      <c r="F40" s="64">
        <v>0.27</v>
      </c>
      <c r="G40" s="64">
        <v>111.01</v>
      </c>
      <c r="H40" s="64">
        <v>51.13</v>
      </c>
      <c r="I40" s="64">
        <v>1.52</v>
      </c>
      <c r="J40" s="64">
        <v>0.16</v>
      </c>
      <c r="K40" s="64">
        <v>188.51</v>
      </c>
      <c r="L40" s="64">
        <v>20.94</v>
      </c>
      <c r="M40" s="64">
        <v>69.09</v>
      </c>
      <c r="N40" s="64">
        <v>314.7</v>
      </c>
      <c r="O40" s="64">
        <v>0</v>
      </c>
      <c r="P40" s="64">
        <v>1.1200000000000001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5" t="s">
        <v>1145</v>
      </c>
      <c r="B41" s="64">
        <v>59.98</v>
      </c>
      <c r="C41" s="64">
        <v>26.49</v>
      </c>
      <c r="D41" s="64">
        <v>86.48</v>
      </c>
      <c r="E41" s="64">
        <v>0.27</v>
      </c>
      <c r="F41" s="64">
        <v>0.51</v>
      </c>
      <c r="G41" s="64">
        <v>109.77</v>
      </c>
      <c r="H41" s="64">
        <v>49.84</v>
      </c>
      <c r="I41" s="64">
        <v>1.48</v>
      </c>
      <c r="J41" s="64">
        <v>0.28999999999999998</v>
      </c>
      <c r="K41" s="64">
        <v>145.79</v>
      </c>
      <c r="L41" s="64">
        <v>21.81</v>
      </c>
      <c r="M41" s="64">
        <v>63.26</v>
      </c>
      <c r="N41" s="64">
        <v>361.5</v>
      </c>
      <c r="O41" s="64">
        <v>0</v>
      </c>
      <c r="P41" s="64">
        <v>1.0900000000000001</v>
      </c>
      <c r="Q41" s="64">
        <v>8.9700000000000006</v>
      </c>
      <c r="R41" s="198"/>
      <c r="S41" s="198"/>
      <c r="T41" s="198"/>
      <c r="U41" s="198"/>
    </row>
    <row r="42" spans="1:21" s="12" customFormat="1" x14ac:dyDescent="0.25">
      <c r="A42" s="215" t="s">
        <v>1146</v>
      </c>
      <c r="B42" s="64">
        <v>56.73</v>
      </c>
      <c r="C42" s="64">
        <v>28.64</v>
      </c>
      <c r="D42" s="64">
        <v>85.37</v>
      </c>
      <c r="E42" s="64">
        <v>0.28000000000000003</v>
      </c>
      <c r="F42" s="64">
        <v>0.34</v>
      </c>
      <c r="G42" s="64">
        <v>107.16</v>
      </c>
      <c r="H42" s="64">
        <v>48.05</v>
      </c>
      <c r="I42" s="64">
        <v>1.58</v>
      </c>
      <c r="J42" s="64">
        <v>0.34</v>
      </c>
      <c r="K42" s="64">
        <v>153.24</v>
      </c>
      <c r="L42" s="64">
        <v>22.6</v>
      </c>
      <c r="M42" s="64">
        <v>60</v>
      </c>
      <c r="N42" s="64">
        <v>405.1</v>
      </c>
      <c r="O42" s="64">
        <v>0</v>
      </c>
      <c r="P42" s="64">
        <v>1.08</v>
      </c>
      <c r="Q42" s="64">
        <v>8.7200000000000006</v>
      </c>
      <c r="R42" s="198"/>
      <c r="S42" s="198"/>
      <c r="T42" s="198"/>
      <c r="U42" s="198"/>
    </row>
    <row r="43" spans="1:21" s="12" customFormat="1" x14ac:dyDescent="0.25">
      <c r="A43" s="215" t="s">
        <v>1147</v>
      </c>
      <c r="B43" s="64">
        <v>50.96</v>
      </c>
      <c r="C43" s="64">
        <v>30.04</v>
      </c>
      <c r="D43" s="64">
        <v>81</v>
      </c>
      <c r="E43" s="64">
        <v>0.31</v>
      </c>
      <c r="F43" s="64">
        <v>0.37</v>
      </c>
      <c r="G43" s="64">
        <v>107.16</v>
      </c>
      <c r="H43" s="64">
        <v>48.05</v>
      </c>
      <c r="I43" s="64">
        <v>1.52</v>
      </c>
      <c r="J43" s="64">
        <v>0.28999999999999998</v>
      </c>
      <c r="K43" s="64">
        <v>155.83000000000001</v>
      </c>
      <c r="L43" s="64">
        <v>23.45</v>
      </c>
      <c r="M43" s="64">
        <v>57.7</v>
      </c>
      <c r="N43" s="64">
        <v>452.2</v>
      </c>
      <c r="O43" s="64">
        <v>0</v>
      </c>
      <c r="P43" s="64">
        <v>1.05</v>
      </c>
      <c r="Q43" s="64">
        <v>8.48</v>
      </c>
      <c r="R43" s="198"/>
      <c r="S43" s="198"/>
      <c r="T43" s="198"/>
      <c r="U43" s="198"/>
    </row>
    <row r="44" spans="1:21" s="12" customFormat="1" x14ac:dyDescent="0.25">
      <c r="A44" s="215" t="s">
        <v>1148</v>
      </c>
      <c r="B44" s="64">
        <v>46.6</v>
      </c>
      <c r="C44" s="64">
        <v>27.96</v>
      </c>
      <c r="D44" s="64">
        <v>74.56</v>
      </c>
      <c r="E44" s="64">
        <v>0.25</v>
      </c>
      <c r="F44" s="64">
        <v>0.88</v>
      </c>
      <c r="G44" s="64">
        <v>107.16</v>
      </c>
      <c r="H44" s="64">
        <v>48.05</v>
      </c>
      <c r="I44" s="64">
        <v>1.47</v>
      </c>
      <c r="J44" s="64">
        <v>0.28000000000000003</v>
      </c>
      <c r="K44" s="64">
        <v>134.02000000000001</v>
      </c>
      <c r="L44" s="64">
        <v>24.31</v>
      </c>
      <c r="M44" s="64">
        <v>55.59</v>
      </c>
      <c r="N44" s="64">
        <v>494.2</v>
      </c>
      <c r="O44" s="64">
        <v>0</v>
      </c>
      <c r="P44" s="64">
        <v>1.04</v>
      </c>
      <c r="Q44" s="64">
        <v>8.2799999999999994</v>
      </c>
      <c r="R44" s="198"/>
      <c r="S44" s="198"/>
      <c r="T44" s="198"/>
      <c r="U44" s="198"/>
    </row>
    <row r="45" spans="1:21" s="12" customFormat="1" x14ac:dyDescent="0.25">
      <c r="A45" s="215" t="s">
        <v>1149</v>
      </c>
      <c r="B45" s="64">
        <v>45.02</v>
      </c>
      <c r="C45" s="64">
        <v>31.5</v>
      </c>
      <c r="D45" s="64">
        <v>76.510000000000005</v>
      </c>
      <c r="E45" s="64">
        <v>0.28999999999999998</v>
      </c>
      <c r="F45" s="64">
        <v>0.45</v>
      </c>
      <c r="G45" s="64">
        <v>106.14</v>
      </c>
      <c r="H45" s="64">
        <v>49.26</v>
      </c>
      <c r="I45" s="64">
        <v>1.55</v>
      </c>
      <c r="J45" s="64">
        <v>0.45</v>
      </c>
      <c r="K45" s="64">
        <v>149.32</v>
      </c>
      <c r="L45" s="64">
        <v>25.55</v>
      </c>
      <c r="M45" s="64">
        <v>49.07</v>
      </c>
      <c r="N45" s="64">
        <v>544.6</v>
      </c>
      <c r="O45" s="64">
        <v>0</v>
      </c>
      <c r="P45" s="64">
        <v>1.03</v>
      </c>
      <c r="Q45" s="64">
        <v>7.93</v>
      </c>
      <c r="R45" s="198"/>
      <c r="S45" s="198"/>
      <c r="T45" s="198"/>
      <c r="U45" s="198"/>
    </row>
    <row r="46" spans="1:21" s="12" customFormat="1" x14ac:dyDescent="0.25">
      <c r="A46" s="215" t="s">
        <v>1150</v>
      </c>
      <c r="B46" s="64">
        <v>42.02</v>
      </c>
      <c r="C46" s="64">
        <v>32.56</v>
      </c>
      <c r="D46" s="64">
        <v>74.58</v>
      </c>
      <c r="E46" s="64">
        <v>0.3</v>
      </c>
      <c r="F46" s="64">
        <v>0.3</v>
      </c>
      <c r="G46" s="64">
        <v>104</v>
      </c>
      <c r="H46" s="64">
        <v>50.96</v>
      </c>
      <c r="I46" s="64">
        <v>1.51</v>
      </c>
      <c r="J46" s="64">
        <v>0.28999999999999998</v>
      </c>
      <c r="K46" s="64">
        <v>122.33</v>
      </c>
      <c r="L46" s="64">
        <v>25.88</v>
      </c>
      <c r="M46" s="64">
        <v>46.08</v>
      </c>
      <c r="N46" s="64">
        <v>590.6</v>
      </c>
      <c r="O46" s="64">
        <v>0</v>
      </c>
      <c r="P46" s="64">
        <v>1.01</v>
      </c>
      <c r="Q46" s="64">
        <v>7.69</v>
      </c>
      <c r="R46" s="198"/>
      <c r="S46" s="198"/>
      <c r="T46" s="198"/>
      <c r="U46" s="198"/>
    </row>
    <row r="47" spans="1:21" s="12" customFormat="1" x14ac:dyDescent="0.25">
      <c r="A47" s="215" t="s">
        <v>1151</v>
      </c>
      <c r="B47" s="64">
        <v>37.630000000000003</v>
      </c>
      <c r="C47" s="64">
        <v>30.6</v>
      </c>
      <c r="D47" s="64">
        <v>68.239999999999995</v>
      </c>
      <c r="E47" s="64">
        <v>0.28999999999999998</v>
      </c>
      <c r="F47" s="64">
        <v>0.99</v>
      </c>
      <c r="G47" s="64">
        <v>104</v>
      </c>
      <c r="H47" s="64">
        <v>50.96</v>
      </c>
      <c r="I47" s="64">
        <v>1.51</v>
      </c>
      <c r="J47" s="64">
        <v>0.08</v>
      </c>
      <c r="K47" s="64">
        <v>61.58</v>
      </c>
      <c r="L47" s="64">
        <v>27.74</v>
      </c>
      <c r="M47" s="64">
        <v>40.29</v>
      </c>
      <c r="N47" s="64">
        <v>631.20000000000005</v>
      </c>
      <c r="O47" s="64">
        <v>0</v>
      </c>
      <c r="P47" s="64">
        <v>1</v>
      </c>
      <c r="Q47" s="64">
        <v>7.4</v>
      </c>
      <c r="R47" s="198"/>
      <c r="S47" s="198"/>
      <c r="T47" s="198"/>
      <c r="U47" s="198"/>
    </row>
    <row r="48" spans="1:21" s="12" customFormat="1" x14ac:dyDescent="0.25">
      <c r="A48" s="215" t="s">
        <v>1152</v>
      </c>
      <c r="B48" s="64">
        <v>30</v>
      </c>
      <c r="C48" s="64">
        <v>31.75</v>
      </c>
      <c r="D48" s="64">
        <v>61.75</v>
      </c>
      <c r="E48" s="64">
        <v>0.3</v>
      </c>
      <c r="F48" s="64">
        <v>3.34</v>
      </c>
      <c r="G48" s="64">
        <v>104</v>
      </c>
      <c r="H48" s="64">
        <v>50.96</v>
      </c>
      <c r="I48" s="64">
        <v>1.48</v>
      </c>
      <c r="J48" s="64">
        <v>0.56000000000000005</v>
      </c>
      <c r="K48" s="64">
        <v>145.52000000000001</v>
      </c>
      <c r="L48" s="64">
        <v>27.99</v>
      </c>
      <c r="M48" s="64">
        <v>39.020000000000003</v>
      </c>
      <c r="N48" s="64">
        <v>669.8</v>
      </c>
      <c r="O48" s="64">
        <v>0</v>
      </c>
      <c r="P48" s="64">
        <v>0.97</v>
      </c>
      <c r="Q48" s="64">
        <v>7.19</v>
      </c>
      <c r="R48" s="198"/>
      <c r="S48" s="198"/>
      <c r="T48" s="198"/>
      <c r="U48" s="198"/>
    </row>
    <row r="49" spans="1:21" s="12" customFormat="1" x14ac:dyDescent="0.25">
      <c r="A49" s="215" t="s">
        <v>1153</v>
      </c>
      <c r="B49" s="64">
        <v>28.95</v>
      </c>
      <c r="C49" s="64">
        <v>30.77</v>
      </c>
      <c r="D49" s="64">
        <v>59.72</v>
      </c>
      <c r="E49" s="64">
        <v>0.28000000000000003</v>
      </c>
      <c r="F49" s="64">
        <v>3.74</v>
      </c>
      <c r="G49" s="64">
        <v>97.83</v>
      </c>
      <c r="H49" s="64">
        <v>51.02</v>
      </c>
      <c r="I49" s="64">
        <v>1.46</v>
      </c>
      <c r="J49" s="64">
        <v>0.73</v>
      </c>
      <c r="K49" s="64">
        <v>138.63</v>
      </c>
      <c r="L49" s="64">
        <v>27.49</v>
      </c>
      <c r="M49" s="64">
        <v>41.13</v>
      </c>
      <c r="N49" s="64">
        <v>691.6</v>
      </c>
      <c r="O49" s="64">
        <v>0</v>
      </c>
      <c r="P49" s="64">
        <v>0.94</v>
      </c>
      <c r="Q49" s="64">
        <v>7.08</v>
      </c>
      <c r="R49" s="198"/>
      <c r="S49" s="198"/>
      <c r="T49" s="198"/>
      <c r="U49" s="198"/>
    </row>
    <row r="50" spans="1:21" s="12" customFormat="1" x14ac:dyDescent="0.25">
      <c r="A50" s="215" t="s">
        <v>1154</v>
      </c>
      <c r="B50" s="64">
        <v>28.28</v>
      </c>
      <c r="C50" s="64">
        <v>31.21</v>
      </c>
      <c r="D50" s="64">
        <v>59.49</v>
      </c>
      <c r="E50" s="64">
        <v>0.28000000000000003</v>
      </c>
      <c r="F50" s="64">
        <v>2.23</v>
      </c>
      <c r="G50" s="64">
        <v>84.86</v>
      </c>
      <c r="H50" s="64">
        <v>51.11</v>
      </c>
      <c r="I50" s="64">
        <v>1.49</v>
      </c>
      <c r="J50" s="64">
        <v>0.15</v>
      </c>
      <c r="K50" s="64">
        <v>123.72</v>
      </c>
      <c r="L50" s="64">
        <v>28.54</v>
      </c>
      <c r="M50" s="64">
        <v>39.520000000000003</v>
      </c>
      <c r="N50" s="64">
        <v>706.1</v>
      </c>
      <c r="O50" s="64">
        <v>0</v>
      </c>
      <c r="P50" s="64">
        <v>0.93</v>
      </c>
      <c r="Q50" s="64">
        <v>6.85</v>
      </c>
      <c r="R50" s="198"/>
      <c r="S50" s="198"/>
      <c r="T50" s="198"/>
      <c r="U50" s="198"/>
    </row>
    <row r="51" spans="1:21" s="12" customFormat="1" x14ac:dyDescent="0.25">
      <c r="A51" s="215" t="s">
        <v>1155</v>
      </c>
      <c r="B51" s="64">
        <v>24.35</v>
      </c>
      <c r="C51" s="64">
        <v>33.47</v>
      </c>
      <c r="D51" s="64">
        <v>57.82</v>
      </c>
      <c r="E51" s="64">
        <v>0.28999999999999998</v>
      </c>
      <c r="F51" s="64">
        <v>4.42</v>
      </c>
      <c r="G51" s="64">
        <v>84.86</v>
      </c>
      <c r="H51" s="64">
        <v>51.11</v>
      </c>
      <c r="I51" s="64">
        <v>1.55</v>
      </c>
      <c r="J51" s="64">
        <v>1.17</v>
      </c>
      <c r="K51" s="64">
        <v>145.28</v>
      </c>
      <c r="L51" s="64">
        <v>27.94</v>
      </c>
      <c r="M51" s="64">
        <v>38.49</v>
      </c>
      <c r="N51" s="64">
        <v>724.9</v>
      </c>
      <c r="O51" s="64">
        <v>0</v>
      </c>
      <c r="P51" s="64">
        <v>0.9</v>
      </c>
      <c r="Q51" s="64">
        <v>6.65</v>
      </c>
      <c r="R51" s="198"/>
      <c r="S51" s="198"/>
      <c r="T51" s="198"/>
      <c r="U51" s="198"/>
    </row>
    <row r="52" spans="1:21" s="12" customFormat="1" x14ac:dyDescent="0.25">
      <c r="A52" s="215" t="s">
        <v>1156</v>
      </c>
      <c r="B52" s="64">
        <v>22.84</v>
      </c>
      <c r="C52" s="64">
        <v>32.28</v>
      </c>
      <c r="D52" s="64">
        <v>55.12</v>
      </c>
      <c r="E52" s="64">
        <v>0.27</v>
      </c>
      <c r="F52" s="64">
        <v>3.55</v>
      </c>
      <c r="G52" s="64">
        <v>84.86</v>
      </c>
      <c r="H52" s="64">
        <v>51.11</v>
      </c>
      <c r="I52" s="64">
        <v>1.47</v>
      </c>
      <c r="J52" s="64">
        <v>0.54</v>
      </c>
      <c r="K52" s="64">
        <v>150.99</v>
      </c>
      <c r="L52" s="64">
        <v>27.98</v>
      </c>
      <c r="M52" s="64">
        <v>37.799999999999997</v>
      </c>
      <c r="N52" s="64">
        <v>732.9</v>
      </c>
      <c r="O52" s="64">
        <v>0</v>
      </c>
      <c r="P52" s="64">
        <v>0.88</v>
      </c>
      <c r="Q52" s="64">
        <v>6.39</v>
      </c>
      <c r="R52" s="198"/>
      <c r="S52" s="198"/>
      <c r="T52" s="198"/>
      <c r="U52" s="198"/>
    </row>
    <row r="53" spans="1:21" s="12" customFormat="1" x14ac:dyDescent="0.25">
      <c r="A53" s="215" t="s">
        <v>1157</v>
      </c>
      <c r="B53" s="64">
        <v>17.059999999999999</v>
      </c>
      <c r="C53" s="64">
        <v>26.1</v>
      </c>
      <c r="D53" s="64">
        <v>43.17</v>
      </c>
      <c r="E53" s="64">
        <v>0.28999999999999998</v>
      </c>
      <c r="F53" s="64">
        <v>6.08</v>
      </c>
      <c r="G53" s="64">
        <v>82.32</v>
      </c>
      <c r="H53" s="64">
        <v>49.47</v>
      </c>
      <c r="I53" s="64">
        <v>1.43</v>
      </c>
      <c r="J53" s="64">
        <v>0.23</v>
      </c>
      <c r="K53" s="64">
        <v>52.62</v>
      </c>
      <c r="L53" s="64">
        <v>28.79</v>
      </c>
      <c r="M53" s="64">
        <v>36.229999999999997</v>
      </c>
      <c r="N53" s="64">
        <v>733.4</v>
      </c>
      <c r="O53" s="64">
        <v>0</v>
      </c>
      <c r="P53" s="64">
        <v>0.82</v>
      </c>
      <c r="Q53" s="64">
        <v>6.33</v>
      </c>
      <c r="R53" s="198"/>
      <c r="S53" s="198"/>
      <c r="T53" s="198"/>
      <c r="U53" s="198"/>
    </row>
    <row r="54" spans="1:21" s="12" customFormat="1" x14ac:dyDescent="0.25">
      <c r="A54" s="215" t="s">
        <v>1158</v>
      </c>
      <c r="B54" s="64">
        <v>19.36</v>
      </c>
      <c r="C54" s="64">
        <v>29.68</v>
      </c>
      <c r="D54" s="64">
        <v>49.05</v>
      </c>
      <c r="E54" s="64">
        <v>0.27</v>
      </c>
      <c r="F54" s="64">
        <v>4.37</v>
      </c>
      <c r="G54" s="64">
        <v>76.989999999999995</v>
      </c>
      <c r="H54" s="64">
        <v>47.18</v>
      </c>
      <c r="I54" s="64">
        <v>1.52</v>
      </c>
      <c r="J54" s="64">
        <v>0.37</v>
      </c>
      <c r="K54" s="64">
        <v>338.62</v>
      </c>
      <c r="L54" s="64">
        <v>31.5</v>
      </c>
      <c r="M54" s="64">
        <v>30.68</v>
      </c>
      <c r="N54" s="64">
        <v>739</v>
      </c>
      <c r="O54" s="64">
        <v>0</v>
      </c>
      <c r="P54" s="64">
        <v>0.84</v>
      </c>
      <c r="Q54" s="64">
        <v>5.16</v>
      </c>
      <c r="R54" s="198"/>
      <c r="S54" s="198"/>
      <c r="T54" s="198"/>
      <c r="U54" s="198"/>
    </row>
    <row r="55" spans="1:21" s="12" customFormat="1" x14ac:dyDescent="0.25">
      <c r="A55" s="215" t="s">
        <v>1159</v>
      </c>
      <c r="B55" s="64">
        <v>13.94</v>
      </c>
      <c r="C55" s="64">
        <v>36.200000000000003</v>
      </c>
      <c r="D55" s="64">
        <v>50.14</v>
      </c>
      <c r="E55" s="64">
        <v>0.27</v>
      </c>
      <c r="F55" s="64">
        <v>3.25</v>
      </c>
      <c r="G55" s="64">
        <v>76.989999999999995</v>
      </c>
      <c r="H55" s="64">
        <v>47.18</v>
      </c>
      <c r="I55" s="64">
        <v>1.45</v>
      </c>
      <c r="J55" s="64">
        <v>0.52</v>
      </c>
      <c r="K55" s="64">
        <v>330.84</v>
      </c>
      <c r="L55" s="64">
        <v>32.47</v>
      </c>
      <c r="M55" s="64">
        <v>29.96</v>
      </c>
      <c r="N55" s="64">
        <v>743</v>
      </c>
      <c r="O55" s="64">
        <v>0</v>
      </c>
      <c r="P55" s="64">
        <v>0.84</v>
      </c>
      <c r="Q55" s="64">
        <v>5.38</v>
      </c>
      <c r="R55" s="198"/>
      <c r="S55" s="198"/>
      <c r="T55" s="198"/>
      <c r="U55" s="198"/>
    </row>
    <row r="56" spans="1:21" s="12" customFormat="1" x14ac:dyDescent="0.25">
      <c r="A56" s="215" t="s">
        <v>1160</v>
      </c>
      <c r="B56" s="64">
        <v>14.26</v>
      </c>
      <c r="C56" s="64">
        <v>33.86</v>
      </c>
      <c r="D56" s="64">
        <v>48.11</v>
      </c>
      <c r="E56" s="64">
        <v>0.06</v>
      </c>
      <c r="F56" s="64">
        <v>9.6199999999999992</v>
      </c>
      <c r="G56" s="64">
        <v>76.989999999999995</v>
      </c>
      <c r="H56" s="64">
        <v>47.18</v>
      </c>
      <c r="I56" s="64">
        <v>1.51</v>
      </c>
      <c r="J56" s="64">
        <v>0.44</v>
      </c>
      <c r="K56" s="64">
        <v>333.23</v>
      </c>
      <c r="L56" s="64">
        <v>33.31</v>
      </c>
      <c r="M56" s="64">
        <v>28.52</v>
      </c>
      <c r="N56" s="64">
        <v>736.4</v>
      </c>
      <c r="O56" s="64">
        <v>0</v>
      </c>
      <c r="P56" s="64">
        <v>0.83</v>
      </c>
      <c r="Q56" s="64">
        <v>5.34</v>
      </c>
      <c r="R56" s="198"/>
      <c r="S56" s="198"/>
      <c r="T56" s="198"/>
      <c r="U56" s="198"/>
    </row>
    <row r="57" spans="1:21" s="12" customFormat="1" x14ac:dyDescent="0.25">
      <c r="A57" s="215" t="s">
        <v>1161</v>
      </c>
      <c r="B57" s="64">
        <v>9.98</v>
      </c>
      <c r="C57" s="64">
        <v>35.65</v>
      </c>
      <c r="D57" s="64">
        <v>45.63</v>
      </c>
      <c r="E57" s="64">
        <v>0.22</v>
      </c>
      <c r="F57" s="64">
        <v>1.72</v>
      </c>
      <c r="G57" s="64">
        <v>78.73</v>
      </c>
      <c r="H57" s="64">
        <v>46.22</v>
      </c>
      <c r="I57" s="64">
        <v>1.47</v>
      </c>
      <c r="J57" s="64">
        <v>0.39</v>
      </c>
      <c r="K57" s="64">
        <v>102.24</v>
      </c>
      <c r="L57" s="64">
        <v>30.51</v>
      </c>
      <c r="M57" s="64">
        <v>31.4</v>
      </c>
      <c r="N57" s="64">
        <v>723.1</v>
      </c>
      <c r="O57" s="64">
        <v>0</v>
      </c>
      <c r="P57" s="64">
        <v>0.84</v>
      </c>
      <c r="Q57" s="64">
        <v>5.2</v>
      </c>
      <c r="R57" s="198"/>
      <c r="S57" s="198"/>
      <c r="T57" s="198"/>
      <c r="U57" s="198"/>
    </row>
    <row r="58" spans="1:21" s="12" customFormat="1" x14ac:dyDescent="0.25">
      <c r="A58" s="215" t="s">
        <v>1162</v>
      </c>
      <c r="B58" s="64">
        <v>9.51</v>
      </c>
      <c r="C58" s="64">
        <v>39.49</v>
      </c>
      <c r="D58" s="64">
        <v>49</v>
      </c>
      <c r="E58" s="64">
        <v>0.33</v>
      </c>
      <c r="F58" s="64">
        <v>3.54</v>
      </c>
      <c r="G58" s="64">
        <v>82.38</v>
      </c>
      <c r="H58" s="64">
        <v>44.89</v>
      </c>
      <c r="I58" s="64">
        <v>1.49</v>
      </c>
      <c r="J58" s="64">
        <v>0.45</v>
      </c>
      <c r="K58" s="64">
        <v>129.5</v>
      </c>
      <c r="L58" s="64">
        <v>29.81</v>
      </c>
      <c r="M58" s="64">
        <v>32.299999999999997</v>
      </c>
      <c r="N58" s="64">
        <v>621.1</v>
      </c>
      <c r="O58" s="64">
        <v>0</v>
      </c>
      <c r="P58" s="64">
        <v>0.82</v>
      </c>
      <c r="Q58" s="64">
        <v>4.9800000000000004</v>
      </c>
      <c r="R58" s="198"/>
      <c r="S58" s="198"/>
      <c r="T58" s="198"/>
      <c r="U58" s="198"/>
    </row>
    <row r="59" spans="1:21" s="12" customFormat="1" x14ac:dyDescent="0.25">
      <c r="A59" s="215" t="s">
        <v>1163</v>
      </c>
      <c r="B59" s="64">
        <v>7.23</v>
      </c>
      <c r="C59" s="64">
        <v>35.36</v>
      </c>
      <c r="D59" s="64">
        <v>42.59</v>
      </c>
      <c r="E59" s="64">
        <v>0.41</v>
      </c>
      <c r="F59" s="64">
        <v>13.15</v>
      </c>
      <c r="G59" s="64">
        <v>82.38</v>
      </c>
      <c r="H59" s="64">
        <v>44.89</v>
      </c>
      <c r="I59" s="64">
        <v>1.49</v>
      </c>
      <c r="J59" s="64">
        <v>0.42</v>
      </c>
      <c r="K59" s="64">
        <v>145.93</v>
      </c>
      <c r="L59" s="64">
        <v>29.17</v>
      </c>
      <c r="M59" s="64">
        <v>32.51</v>
      </c>
      <c r="N59" s="64">
        <v>580</v>
      </c>
      <c r="O59" s="64">
        <v>0</v>
      </c>
      <c r="P59" s="64">
        <v>0.79</v>
      </c>
      <c r="Q59" s="64">
        <v>5</v>
      </c>
      <c r="R59" s="198"/>
      <c r="S59" s="198"/>
      <c r="T59" s="198"/>
      <c r="U59" s="198"/>
    </row>
    <row r="60" spans="1:21" s="12" customFormat="1" x14ac:dyDescent="0.25">
      <c r="A60" s="215" t="s">
        <v>1164</v>
      </c>
      <c r="B60" s="64">
        <v>5.43</v>
      </c>
      <c r="C60" s="64">
        <v>33.020000000000003</v>
      </c>
      <c r="D60" s="64">
        <v>38.450000000000003</v>
      </c>
      <c r="E60" s="64">
        <v>0.54</v>
      </c>
      <c r="F60" s="64">
        <v>11.42</v>
      </c>
      <c r="G60" s="64">
        <v>82.38</v>
      </c>
      <c r="H60" s="64">
        <v>44.89</v>
      </c>
      <c r="I60" s="64">
        <v>1.53</v>
      </c>
      <c r="J60" s="64">
        <v>0.8</v>
      </c>
      <c r="K60" s="64">
        <v>141.09</v>
      </c>
      <c r="L60" s="64">
        <v>29.4</v>
      </c>
      <c r="M60" s="64">
        <v>32.22</v>
      </c>
      <c r="N60" s="64">
        <v>618.1</v>
      </c>
      <c r="O60" s="64">
        <v>0</v>
      </c>
      <c r="P60" s="64">
        <v>0.73</v>
      </c>
      <c r="Q60" s="64">
        <v>5.18</v>
      </c>
      <c r="R60" s="198"/>
      <c r="S60" s="198"/>
      <c r="T60" s="198"/>
      <c r="U60" s="198"/>
    </row>
    <row r="61" spans="1:21" s="12" customFormat="1" x14ac:dyDescent="0.25">
      <c r="A61" s="215" t="s">
        <v>1165</v>
      </c>
      <c r="B61" s="64">
        <v>4.1100000000000003</v>
      </c>
      <c r="C61" s="64">
        <v>30.64</v>
      </c>
      <c r="D61" s="64">
        <v>34.75</v>
      </c>
      <c r="E61" s="64">
        <v>0.6</v>
      </c>
      <c r="F61" s="64">
        <v>30.14</v>
      </c>
      <c r="G61" s="64">
        <v>80.39</v>
      </c>
      <c r="H61" s="64">
        <v>44.56</v>
      </c>
      <c r="I61" s="64">
        <v>1.51</v>
      </c>
      <c r="J61" s="64">
        <v>0.54</v>
      </c>
      <c r="K61" s="64">
        <v>136.66</v>
      </c>
      <c r="L61" s="64">
        <v>29.06</v>
      </c>
      <c r="M61" s="64">
        <v>32.21</v>
      </c>
      <c r="N61" s="64">
        <v>572.4</v>
      </c>
      <c r="O61" s="64">
        <v>0</v>
      </c>
      <c r="P61" s="64">
        <v>0.65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1166</v>
      </c>
      <c r="B62" s="64">
        <v>4.84</v>
      </c>
      <c r="C62" s="64">
        <v>36.909999999999997</v>
      </c>
      <c r="D62" s="64">
        <v>41.75</v>
      </c>
      <c r="E62" s="64">
        <v>0.96</v>
      </c>
      <c r="F62" s="64">
        <v>14.62</v>
      </c>
      <c r="G62" s="64">
        <v>76.209999999999994</v>
      </c>
      <c r="H62" s="64">
        <v>43.28</v>
      </c>
      <c r="I62" s="64">
        <v>1.44</v>
      </c>
      <c r="J62" s="64">
        <v>0.45</v>
      </c>
      <c r="K62" s="64">
        <v>349.64</v>
      </c>
      <c r="L62" s="64">
        <v>30.53</v>
      </c>
      <c r="M62" s="64">
        <v>29.41</v>
      </c>
      <c r="N62" s="64">
        <v>642.29999999999995</v>
      </c>
      <c r="O62" s="64">
        <v>0</v>
      </c>
      <c r="P62" s="64">
        <v>0.77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5" t="s">
        <v>1167</v>
      </c>
      <c r="B63" s="64">
        <v>4.29</v>
      </c>
      <c r="C63" s="64">
        <v>36.94</v>
      </c>
      <c r="D63" s="64">
        <v>41.23</v>
      </c>
      <c r="E63" s="64">
        <v>0.53</v>
      </c>
      <c r="F63" s="64">
        <v>7.95</v>
      </c>
      <c r="G63" s="64">
        <v>76.209999999999994</v>
      </c>
      <c r="H63" s="64">
        <v>43.28</v>
      </c>
      <c r="I63" s="64">
        <v>1.45</v>
      </c>
      <c r="J63" s="64">
        <v>0.46</v>
      </c>
      <c r="K63" s="64">
        <v>122.3</v>
      </c>
      <c r="L63" s="64">
        <v>29.67</v>
      </c>
      <c r="M63" s="64">
        <v>30.44</v>
      </c>
      <c r="N63" s="64">
        <v>566</v>
      </c>
      <c r="O63" s="64">
        <v>0</v>
      </c>
      <c r="P63" s="64">
        <v>0.74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1168</v>
      </c>
      <c r="B64" s="64">
        <v>3.05</v>
      </c>
      <c r="C64" s="64">
        <v>33.15</v>
      </c>
      <c r="D64" s="64">
        <v>36.200000000000003</v>
      </c>
      <c r="E64" s="64">
        <v>0.61</v>
      </c>
      <c r="F64" s="64">
        <v>7.7</v>
      </c>
      <c r="G64" s="64">
        <v>76.209999999999994</v>
      </c>
      <c r="H64" s="64">
        <v>43.28</v>
      </c>
      <c r="I64" s="64">
        <v>1.45</v>
      </c>
      <c r="J64" s="64">
        <v>0.67</v>
      </c>
      <c r="K64" s="64">
        <v>114.21</v>
      </c>
      <c r="L64" s="64">
        <v>29.36</v>
      </c>
      <c r="M64" s="64">
        <v>28.93</v>
      </c>
      <c r="N64" s="64">
        <v>392.7</v>
      </c>
      <c r="O64" s="64">
        <v>0</v>
      </c>
      <c r="P64" s="64">
        <v>0.75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1169</v>
      </c>
      <c r="B65" s="64">
        <v>2.3199999999999998</v>
      </c>
      <c r="C65" s="64">
        <v>28.22</v>
      </c>
      <c r="D65" s="64">
        <v>30.53</v>
      </c>
      <c r="E65" s="64">
        <v>0.64</v>
      </c>
      <c r="F65" s="64">
        <v>14.76</v>
      </c>
      <c r="G65" s="64">
        <v>73.88</v>
      </c>
      <c r="H65" s="64">
        <v>39.799999999999997</v>
      </c>
      <c r="I65" s="64">
        <v>1.52</v>
      </c>
      <c r="J65" s="64">
        <v>1.1599999999999999</v>
      </c>
      <c r="K65" s="64">
        <v>115.15</v>
      </c>
      <c r="L65" s="64">
        <v>28.71</v>
      </c>
      <c r="M65" s="64">
        <v>29.72</v>
      </c>
      <c r="N65" s="64">
        <v>204.6</v>
      </c>
      <c r="O65" s="64">
        <v>0</v>
      </c>
      <c r="P65" s="64">
        <v>0.72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1170</v>
      </c>
      <c r="B66" s="64">
        <v>2</v>
      </c>
      <c r="C66" s="64">
        <v>22.49</v>
      </c>
      <c r="D66" s="64">
        <v>24.49</v>
      </c>
      <c r="E66" s="64">
        <v>1.04</v>
      </c>
      <c r="F66" s="64">
        <v>37.17</v>
      </c>
      <c r="G66" s="64">
        <v>68.989999999999995</v>
      </c>
      <c r="H66" s="64">
        <v>34.96</v>
      </c>
      <c r="I66" s="64">
        <v>1.47</v>
      </c>
      <c r="J66" s="64">
        <v>0.5</v>
      </c>
      <c r="K66" s="64">
        <v>115.62</v>
      </c>
      <c r="L66" s="64">
        <v>28.5</v>
      </c>
      <c r="M66" s="64">
        <v>29.58</v>
      </c>
      <c r="N66" s="64">
        <v>178.7</v>
      </c>
      <c r="O66" s="64">
        <v>0</v>
      </c>
      <c r="P66" s="64">
        <v>0.63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1171</v>
      </c>
      <c r="B67" s="64">
        <v>2.0699999999999998</v>
      </c>
      <c r="C67" s="64">
        <v>36.5</v>
      </c>
      <c r="D67" s="64">
        <v>38.57</v>
      </c>
      <c r="E67" s="64">
        <v>0.79</v>
      </c>
      <c r="F67" s="64">
        <v>19.920000000000002</v>
      </c>
      <c r="G67" s="64">
        <v>68.989999999999995</v>
      </c>
      <c r="H67" s="64">
        <v>34.96</v>
      </c>
      <c r="I67" s="64">
        <v>1.51</v>
      </c>
      <c r="J67" s="64">
        <v>0.86</v>
      </c>
      <c r="K67" s="64">
        <v>110.76</v>
      </c>
      <c r="L67" s="64">
        <v>28.39</v>
      </c>
      <c r="M67" s="64">
        <v>31.23</v>
      </c>
      <c r="N67" s="64">
        <v>153.80000000000001</v>
      </c>
      <c r="O67" s="64">
        <v>0</v>
      </c>
      <c r="P67" s="64">
        <v>0.7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1172</v>
      </c>
      <c r="B68" s="64">
        <v>3.17</v>
      </c>
      <c r="C68" s="64">
        <v>44.36</v>
      </c>
      <c r="D68" s="64">
        <v>47.53</v>
      </c>
      <c r="E68" s="64">
        <v>1.1599999999999999</v>
      </c>
      <c r="F68" s="64">
        <v>31.55</v>
      </c>
      <c r="G68" s="64">
        <v>68.989999999999995</v>
      </c>
      <c r="H68" s="64">
        <v>34.96</v>
      </c>
      <c r="I68" s="64">
        <v>1.5</v>
      </c>
      <c r="J68" s="64">
        <v>0.18</v>
      </c>
      <c r="K68" s="64">
        <v>76.91</v>
      </c>
      <c r="L68" s="64">
        <v>28.27</v>
      </c>
      <c r="M68" s="64">
        <v>32.56</v>
      </c>
      <c r="N68" s="64">
        <v>146.1</v>
      </c>
      <c r="O68" s="64">
        <v>0</v>
      </c>
      <c r="P68" s="64">
        <v>0.74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1173</v>
      </c>
      <c r="B69" s="64">
        <v>2.16</v>
      </c>
      <c r="C69" s="64">
        <v>31.61</v>
      </c>
      <c r="D69" s="64">
        <v>33.770000000000003</v>
      </c>
      <c r="E69" s="64">
        <v>1.68</v>
      </c>
      <c r="F69" s="64">
        <v>30.68</v>
      </c>
      <c r="G69" s="64">
        <v>72.56</v>
      </c>
      <c r="H69" s="64">
        <v>36.81</v>
      </c>
      <c r="I69" s="64">
        <v>1.54</v>
      </c>
      <c r="J69" s="64">
        <v>0.52</v>
      </c>
      <c r="K69" s="64">
        <v>104.45</v>
      </c>
      <c r="L69" s="64">
        <v>27.88</v>
      </c>
      <c r="M69" s="64">
        <v>33.08</v>
      </c>
      <c r="N69" s="64">
        <v>133.69999999999999</v>
      </c>
      <c r="O69" s="64">
        <v>0</v>
      </c>
      <c r="P69" s="64">
        <v>0.65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1174</v>
      </c>
      <c r="B70" s="64">
        <v>2.4500000000000002</v>
      </c>
      <c r="C70" s="64">
        <v>41.6</v>
      </c>
      <c r="D70" s="64">
        <v>44.05</v>
      </c>
      <c r="E70" s="64">
        <v>1.27</v>
      </c>
      <c r="F70" s="64">
        <v>28.96</v>
      </c>
      <c r="G70" s="64">
        <v>80.069999999999993</v>
      </c>
      <c r="H70" s="64">
        <v>39.380000000000003</v>
      </c>
      <c r="I70" s="64">
        <v>1.46</v>
      </c>
      <c r="J70" s="64">
        <v>0.45</v>
      </c>
      <c r="K70" s="64">
        <v>100.16</v>
      </c>
      <c r="L70" s="64">
        <v>27.81</v>
      </c>
      <c r="M70" s="64">
        <v>32.700000000000003</v>
      </c>
      <c r="N70" s="64">
        <v>122.4</v>
      </c>
      <c r="O70" s="64">
        <v>0</v>
      </c>
      <c r="P70" s="64">
        <v>0.73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1175</v>
      </c>
      <c r="B71" s="64">
        <v>2.5</v>
      </c>
      <c r="C71" s="64">
        <v>43.2</v>
      </c>
      <c r="D71" s="64">
        <v>45.71</v>
      </c>
      <c r="E71" s="64">
        <v>2.99</v>
      </c>
      <c r="F71" s="64">
        <v>43.69</v>
      </c>
      <c r="G71" s="64">
        <v>80.069999999999993</v>
      </c>
      <c r="H71" s="64">
        <v>39.380000000000003</v>
      </c>
      <c r="I71" s="64">
        <v>1.42</v>
      </c>
      <c r="J71" s="64">
        <v>0.35</v>
      </c>
      <c r="K71" s="64">
        <v>94.9</v>
      </c>
      <c r="L71" s="64">
        <v>27.63</v>
      </c>
      <c r="M71" s="64">
        <v>32.42</v>
      </c>
      <c r="N71" s="64">
        <v>109.3</v>
      </c>
      <c r="O71" s="64">
        <v>0</v>
      </c>
      <c r="P71" s="64">
        <v>0.66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1176</v>
      </c>
      <c r="B72" s="64">
        <v>4.6500000000000004</v>
      </c>
      <c r="C72" s="64">
        <v>60.79</v>
      </c>
      <c r="D72" s="64">
        <v>65.44</v>
      </c>
      <c r="E72" s="64">
        <v>2.81</v>
      </c>
      <c r="F72" s="64">
        <v>34.229999999999997</v>
      </c>
      <c r="G72" s="64">
        <v>80.069999999999993</v>
      </c>
      <c r="H72" s="64">
        <v>39.380000000000003</v>
      </c>
      <c r="I72" s="64">
        <v>1.43</v>
      </c>
      <c r="J72" s="64">
        <v>0.2</v>
      </c>
      <c r="K72" s="64">
        <v>98.72</v>
      </c>
      <c r="L72" s="64">
        <v>27.54</v>
      </c>
      <c r="M72" s="64">
        <v>34.090000000000003</v>
      </c>
      <c r="N72" s="64">
        <v>101.4</v>
      </c>
      <c r="O72" s="64">
        <v>0</v>
      </c>
      <c r="P72" s="64">
        <v>1.01</v>
      </c>
      <c r="Q72" s="64">
        <v>4.1100000000000003</v>
      </c>
      <c r="R72" s="198"/>
      <c r="S72" s="198"/>
      <c r="T72" s="198"/>
      <c r="U72" s="198"/>
    </row>
    <row r="73" spans="1:21" s="12" customFormat="1" x14ac:dyDescent="0.25">
      <c r="A73" s="215" t="s">
        <v>1177</v>
      </c>
      <c r="B73" s="64">
        <v>2</v>
      </c>
      <c r="C73" s="64">
        <v>34.76</v>
      </c>
      <c r="D73" s="64">
        <v>36.76</v>
      </c>
      <c r="E73" s="64">
        <v>4.7300000000000004</v>
      </c>
      <c r="F73" s="64">
        <v>57.04</v>
      </c>
      <c r="G73" s="64">
        <v>83.63</v>
      </c>
      <c r="H73" s="64">
        <v>39.33</v>
      </c>
      <c r="I73" s="64">
        <v>1.46</v>
      </c>
      <c r="J73" s="64">
        <v>0.51</v>
      </c>
      <c r="K73" s="64">
        <v>102.76</v>
      </c>
      <c r="L73" s="64">
        <v>27.35</v>
      </c>
      <c r="M73" s="64">
        <v>35.159999999999997</v>
      </c>
      <c r="N73" s="64">
        <v>98</v>
      </c>
      <c r="O73" s="64">
        <v>0</v>
      </c>
      <c r="P73" s="64">
        <v>0.63</v>
      </c>
      <c r="Q73" s="64">
        <v>4.82</v>
      </c>
      <c r="R73" s="198"/>
      <c r="S73" s="198"/>
      <c r="T73" s="198"/>
      <c r="U73" s="198"/>
    </row>
    <row r="74" spans="1:21" s="12" customFormat="1" x14ac:dyDescent="0.25">
      <c r="A74" s="215" t="s">
        <v>1178</v>
      </c>
      <c r="B74" s="64">
        <v>2.46</v>
      </c>
      <c r="C74" s="64">
        <v>65.31</v>
      </c>
      <c r="D74" s="64">
        <v>67.77</v>
      </c>
      <c r="E74" s="64">
        <v>5.36</v>
      </c>
      <c r="F74" s="64">
        <v>49.18</v>
      </c>
      <c r="G74" s="64">
        <v>91.13</v>
      </c>
      <c r="H74" s="64">
        <v>39.26</v>
      </c>
      <c r="I74" s="64">
        <v>1.55</v>
      </c>
      <c r="J74" s="64">
        <v>0.19</v>
      </c>
      <c r="K74" s="64">
        <v>92.8</v>
      </c>
      <c r="L74" s="64">
        <v>27.01</v>
      </c>
      <c r="M74" s="64">
        <v>37.19</v>
      </c>
      <c r="N74" s="64">
        <v>60.9</v>
      </c>
      <c r="O74" s="64">
        <v>0</v>
      </c>
      <c r="P74" s="64">
        <v>0.8</v>
      </c>
      <c r="Q74" s="64">
        <v>5.15</v>
      </c>
      <c r="R74" s="198"/>
      <c r="S74" s="198"/>
      <c r="T74" s="198"/>
      <c r="U74" s="198"/>
    </row>
    <row r="75" spans="1:21" s="12" customFormat="1" x14ac:dyDescent="0.25">
      <c r="A75" s="215" t="s">
        <v>1179</v>
      </c>
      <c r="B75" s="64">
        <v>2</v>
      </c>
      <c r="C75" s="64">
        <v>45.03</v>
      </c>
      <c r="D75" s="64">
        <v>47.03</v>
      </c>
      <c r="E75" s="64">
        <v>4.63</v>
      </c>
      <c r="F75" s="64">
        <v>42.78</v>
      </c>
      <c r="G75" s="64">
        <v>91.13</v>
      </c>
      <c r="H75" s="64">
        <v>39.26</v>
      </c>
      <c r="I75" s="64">
        <v>1.55</v>
      </c>
      <c r="J75" s="64">
        <v>0.15</v>
      </c>
      <c r="K75" s="64">
        <v>84.53</v>
      </c>
      <c r="L75" s="64">
        <v>26.46</v>
      </c>
      <c r="M75" s="64">
        <v>38.200000000000003</v>
      </c>
      <c r="N75" s="64">
        <v>52.5</v>
      </c>
      <c r="O75" s="64">
        <v>0</v>
      </c>
      <c r="P75" s="64">
        <v>0.77</v>
      </c>
      <c r="Q75" s="64">
        <v>5.0999999999999996</v>
      </c>
      <c r="R75" s="198"/>
      <c r="S75" s="198"/>
      <c r="T75" s="198"/>
      <c r="U75" s="198"/>
    </row>
    <row r="76" spans="1:21" s="12" customFormat="1" x14ac:dyDescent="0.25">
      <c r="A76" s="215" t="s">
        <v>1180</v>
      </c>
      <c r="B76" s="64">
        <v>2</v>
      </c>
      <c r="C76" s="64">
        <v>71.540000000000006</v>
      </c>
      <c r="D76" s="64">
        <v>73.540000000000006</v>
      </c>
      <c r="E76" s="64">
        <v>4.5999999999999996</v>
      </c>
      <c r="F76" s="64">
        <v>43.06</v>
      </c>
      <c r="G76" s="64">
        <v>91.13</v>
      </c>
      <c r="H76" s="64">
        <v>39.26</v>
      </c>
      <c r="I76" s="64">
        <v>1.52</v>
      </c>
      <c r="J76" s="64">
        <v>0.12</v>
      </c>
      <c r="K76" s="64">
        <v>71.16</v>
      </c>
      <c r="L76" s="64">
        <v>26.07</v>
      </c>
      <c r="M76" s="64">
        <v>39.04</v>
      </c>
      <c r="N76" s="64">
        <v>46.6</v>
      </c>
      <c r="O76" s="64">
        <v>0</v>
      </c>
      <c r="P76" s="64">
        <v>0.9</v>
      </c>
      <c r="Q76" s="64">
        <v>5.04</v>
      </c>
      <c r="R76" s="198"/>
      <c r="S76" s="198"/>
      <c r="T76" s="198"/>
      <c r="U76" s="198"/>
    </row>
    <row r="77" spans="1:21" s="12" customFormat="1" x14ac:dyDescent="0.25">
      <c r="A77" s="215" t="s">
        <v>1181</v>
      </c>
      <c r="B77" s="64">
        <v>4.8600000000000003</v>
      </c>
      <c r="C77" s="64">
        <v>87.71</v>
      </c>
      <c r="D77" s="64">
        <v>92.57</v>
      </c>
      <c r="E77" s="64">
        <v>4.21</v>
      </c>
      <c r="F77" s="64">
        <v>23.47</v>
      </c>
      <c r="G77" s="64">
        <v>93.33</v>
      </c>
      <c r="H77" s="64">
        <v>39.86</v>
      </c>
      <c r="I77" s="64">
        <v>1.5</v>
      </c>
      <c r="J77" s="64">
        <v>0.08</v>
      </c>
      <c r="K77" s="64">
        <v>66.36</v>
      </c>
      <c r="L77" s="64">
        <v>25.77</v>
      </c>
      <c r="M77" s="64">
        <v>40.82</v>
      </c>
      <c r="N77" s="64">
        <v>37.6</v>
      </c>
      <c r="O77" s="64">
        <v>0</v>
      </c>
      <c r="P77" s="64">
        <v>1.33</v>
      </c>
      <c r="Q77" s="64">
        <v>3.75</v>
      </c>
      <c r="R77" s="198"/>
      <c r="S77" s="198"/>
      <c r="T77" s="198"/>
      <c r="U77" s="198"/>
    </row>
    <row r="78" spans="1:21" s="12" customFormat="1" x14ac:dyDescent="0.25">
      <c r="A78" s="215" t="s">
        <v>1182</v>
      </c>
      <c r="B78" s="64">
        <v>57.01</v>
      </c>
      <c r="C78" s="64">
        <v>102.78</v>
      </c>
      <c r="D78" s="64">
        <v>159.79</v>
      </c>
      <c r="E78" s="64">
        <v>2.3199999999999998</v>
      </c>
      <c r="F78" s="64">
        <v>2.99</v>
      </c>
      <c r="G78" s="64">
        <v>97.94</v>
      </c>
      <c r="H78" s="64">
        <v>40.69</v>
      </c>
      <c r="I78" s="64">
        <v>1.47</v>
      </c>
      <c r="J78" s="64">
        <v>0.14000000000000001</v>
      </c>
      <c r="K78" s="64">
        <v>1.39</v>
      </c>
      <c r="L78" s="64">
        <v>24.85</v>
      </c>
      <c r="M78" s="64">
        <v>58.75</v>
      </c>
      <c r="N78" s="64">
        <v>34.200000000000003</v>
      </c>
      <c r="O78" s="64">
        <v>0</v>
      </c>
      <c r="P78" s="64">
        <v>2.38</v>
      </c>
      <c r="Q78" s="64">
        <v>0.92</v>
      </c>
      <c r="R78" s="198"/>
      <c r="S78" s="198"/>
      <c r="T78" s="198"/>
      <c r="U78" s="198"/>
    </row>
    <row r="79" spans="1:21" s="12" customFormat="1" x14ac:dyDescent="0.25">
      <c r="A79" s="215" t="s">
        <v>1183</v>
      </c>
      <c r="B79" s="64">
        <v>52.64</v>
      </c>
      <c r="C79" s="64">
        <v>101.11</v>
      </c>
      <c r="D79" s="64">
        <v>153.75</v>
      </c>
      <c r="E79" s="64">
        <v>1.72</v>
      </c>
      <c r="F79" s="64">
        <v>1.1100000000000001</v>
      </c>
      <c r="G79" s="64">
        <v>97.94</v>
      </c>
      <c r="H79" s="64">
        <v>40.69</v>
      </c>
      <c r="I79" s="64">
        <v>1.53</v>
      </c>
      <c r="J79" s="64">
        <v>0.04</v>
      </c>
      <c r="K79" s="64">
        <v>333.49</v>
      </c>
      <c r="L79" s="64">
        <v>23.78</v>
      </c>
      <c r="M79" s="64">
        <v>62.37</v>
      </c>
      <c r="N79" s="64">
        <v>33.5</v>
      </c>
      <c r="O79" s="64">
        <v>0</v>
      </c>
      <c r="P79" s="64">
        <v>1.84</v>
      </c>
      <c r="Q79" s="64">
        <v>0.18</v>
      </c>
      <c r="R79" s="198"/>
      <c r="S79" s="198"/>
      <c r="T79" s="198"/>
      <c r="U79" s="198"/>
    </row>
    <row r="80" spans="1:21" s="12" customFormat="1" x14ac:dyDescent="0.25">
      <c r="A80" s="215" t="s">
        <v>1184</v>
      </c>
      <c r="B80" s="64">
        <v>86.58</v>
      </c>
      <c r="C80" s="64">
        <v>123.2</v>
      </c>
      <c r="D80" s="64">
        <v>209.78</v>
      </c>
      <c r="E80" s="64">
        <v>1.92</v>
      </c>
      <c r="F80" s="64">
        <v>1.1000000000000001</v>
      </c>
      <c r="G80" s="64">
        <v>97.94</v>
      </c>
      <c r="H80" s="64">
        <v>40.69</v>
      </c>
      <c r="I80" s="64">
        <v>1.42</v>
      </c>
      <c r="J80" s="64">
        <v>0.13</v>
      </c>
      <c r="K80" s="64">
        <v>279.07</v>
      </c>
      <c r="L80" s="64">
        <v>23.47</v>
      </c>
      <c r="M80" s="64">
        <v>60.67</v>
      </c>
      <c r="N80" s="64">
        <v>33.5</v>
      </c>
      <c r="O80" s="64">
        <v>0</v>
      </c>
      <c r="P80" s="64">
        <v>2.56</v>
      </c>
      <c r="Q80" s="6" t="s">
        <v>42</v>
      </c>
      <c r="R80" s="198"/>
      <c r="S80" s="198"/>
      <c r="T80" s="198"/>
      <c r="U80" s="198"/>
    </row>
    <row r="81" spans="1:26" s="12" customFormat="1" x14ac:dyDescent="0.25">
      <c r="A81" s="215" t="s">
        <v>1185</v>
      </c>
      <c r="B81" s="64">
        <v>33.81</v>
      </c>
      <c r="C81" s="64">
        <v>85.14</v>
      </c>
      <c r="D81" s="64">
        <v>118.95</v>
      </c>
      <c r="E81" s="64">
        <v>1.82</v>
      </c>
      <c r="F81" s="64">
        <v>6.49</v>
      </c>
      <c r="G81" s="64">
        <v>112.79</v>
      </c>
      <c r="H81" s="64">
        <v>44.97</v>
      </c>
      <c r="I81" s="64">
        <v>1.52</v>
      </c>
      <c r="J81" s="64">
        <v>0.06</v>
      </c>
      <c r="K81" s="64">
        <v>282.18</v>
      </c>
      <c r="L81" s="64">
        <v>23.61</v>
      </c>
      <c r="M81" s="64">
        <v>51.53</v>
      </c>
      <c r="N81" s="64">
        <v>33.200000000000003</v>
      </c>
      <c r="O81" s="64">
        <v>0</v>
      </c>
      <c r="P81" s="64">
        <v>1.39</v>
      </c>
      <c r="Q81" s="64">
        <v>0.08</v>
      </c>
      <c r="R81" s="198"/>
      <c r="S81" s="198"/>
      <c r="T81" s="198"/>
      <c r="U81" s="198"/>
    </row>
    <row r="82" spans="1:26" s="12" customFormat="1" x14ac:dyDescent="0.25">
      <c r="A82" s="215" t="s">
        <v>1186</v>
      </c>
      <c r="B82" s="64">
        <v>61.87</v>
      </c>
      <c r="C82" s="64">
        <v>101.7</v>
      </c>
      <c r="D82" s="64">
        <v>163.57</v>
      </c>
      <c r="E82" s="64">
        <v>1.5</v>
      </c>
      <c r="F82" s="64">
        <v>1.23</v>
      </c>
      <c r="G82" s="64">
        <v>144.02000000000001</v>
      </c>
      <c r="H82" s="64">
        <v>50.92</v>
      </c>
      <c r="I82" s="64">
        <v>1.49</v>
      </c>
      <c r="J82" s="64">
        <v>0.08</v>
      </c>
      <c r="K82" s="64">
        <v>286.8</v>
      </c>
      <c r="L82" s="64">
        <v>23.32</v>
      </c>
      <c r="M82" s="64">
        <v>54.66</v>
      </c>
      <c r="N82" s="64">
        <v>33.4</v>
      </c>
      <c r="O82" s="64">
        <v>0</v>
      </c>
      <c r="P82" s="64">
        <v>2.2799999999999998</v>
      </c>
      <c r="Q82" s="64">
        <v>0.73</v>
      </c>
      <c r="R82" s="198"/>
      <c r="S82" s="198"/>
      <c r="T82" s="198"/>
      <c r="U82" s="198"/>
    </row>
    <row r="83" spans="1:26" s="12" customFormat="1" x14ac:dyDescent="0.25">
      <c r="A83" s="215" t="s">
        <v>1187</v>
      </c>
      <c r="B83" s="64">
        <v>71.37</v>
      </c>
      <c r="C83" s="64">
        <v>103.47</v>
      </c>
      <c r="D83" s="64">
        <v>174.83</v>
      </c>
      <c r="E83" s="64">
        <v>1.88</v>
      </c>
      <c r="F83" s="64">
        <v>0.9</v>
      </c>
      <c r="G83" s="64">
        <v>144.02000000000001</v>
      </c>
      <c r="H83" s="64">
        <v>50.92</v>
      </c>
      <c r="I83" s="64">
        <v>1.56</v>
      </c>
      <c r="J83" s="64">
        <v>0.03</v>
      </c>
      <c r="K83" s="64">
        <v>209.53</v>
      </c>
      <c r="L83" s="64">
        <v>23.06</v>
      </c>
      <c r="M83" s="64">
        <v>55.7</v>
      </c>
      <c r="N83" s="64">
        <v>33.5</v>
      </c>
      <c r="O83" s="64">
        <v>0</v>
      </c>
      <c r="P83" s="64">
        <v>1.89</v>
      </c>
      <c r="Q83" s="64">
        <v>0.08</v>
      </c>
      <c r="R83" s="198"/>
      <c r="S83" s="198"/>
      <c r="T83" s="198"/>
      <c r="U83" s="198"/>
    </row>
    <row r="84" spans="1:26" s="12" customFormat="1" x14ac:dyDescent="0.25">
      <c r="A84" s="215" t="s">
        <v>1188</v>
      </c>
      <c r="B84" s="64">
        <v>91.58</v>
      </c>
      <c r="C84" s="64">
        <v>95.42</v>
      </c>
      <c r="D84" s="64">
        <v>187</v>
      </c>
      <c r="E84" s="64">
        <v>1.73</v>
      </c>
      <c r="F84" s="64">
        <v>0.85</v>
      </c>
      <c r="G84" s="64">
        <v>144.02000000000001</v>
      </c>
      <c r="H84" s="64">
        <v>50.92</v>
      </c>
      <c r="I84" s="64">
        <v>1.49</v>
      </c>
      <c r="J84" s="64">
        <v>0.09</v>
      </c>
      <c r="K84" s="64">
        <v>305.37</v>
      </c>
      <c r="L84" s="64">
        <v>22.67</v>
      </c>
      <c r="M84" s="64">
        <v>64.25</v>
      </c>
      <c r="N84" s="64">
        <v>44.9</v>
      </c>
      <c r="O84" s="64">
        <v>0</v>
      </c>
      <c r="P84" s="64">
        <v>2.76</v>
      </c>
      <c r="Q84" s="64">
        <v>0.12</v>
      </c>
      <c r="R84" s="198"/>
      <c r="S84" s="198"/>
      <c r="T84" s="198"/>
      <c r="U84" s="198"/>
    </row>
    <row r="85" spans="1:26" s="12" customFormat="1" x14ac:dyDescent="0.25">
      <c r="A85" s="215" t="s">
        <v>1189</v>
      </c>
      <c r="B85" s="64">
        <v>111.18</v>
      </c>
      <c r="C85" s="64">
        <v>112.8</v>
      </c>
      <c r="D85" s="64">
        <v>223.99</v>
      </c>
      <c r="E85" s="64">
        <v>1.58</v>
      </c>
      <c r="F85" s="64">
        <v>0.7</v>
      </c>
      <c r="G85" s="64">
        <v>172.33</v>
      </c>
      <c r="H85" s="64">
        <v>54.24</v>
      </c>
      <c r="I85" s="64">
        <v>1.49</v>
      </c>
      <c r="J85" s="64">
        <v>0.09</v>
      </c>
      <c r="K85" s="64">
        <v>318.13</v>
      </c>
      <c r="L85" s="64">
        <v>22.29</v>
      </c>
      <c r="M85" s="64">
        <v>63.85</v>
      </c>
      <c r="N85" s="64">
        <v>49.8</v>
      </c>
      <c r="O85" s="64">
        <v>0</v>
      </c>
      <c r="P85" s="64">
        <v>2.83</v>
      </c>
      <c r="Q85" s="64">
        <v>0.83</v>
      </c>
      <c r="R85" s="198"/>
      <c r="S85" s="198"/>
      <c r="T85" s="198"/>
      <c r="U85" s="198"/>
    </row>
    <row r="86" spans="1:26" s="12" customFormat="1" x14ac:dyDescent="0.25">
      <c r="A86" s="215" t="s">
        <v>1190</v>
      </c>
      <c r="B86" s="64">
        <v>64.760000000000005</v>
      </c>
      <c r="C86" s="64">
        <v>84.72</v>
      </c>
      <c r="D86" s="64">
        <v>149.47999999999999</v>
      </c>
      <c r="E86" s="64">
        <v>1.51</v>
      </c>
      <c r="F86" s="64">
        <v>0.52</v>
      </c>
      <c r="G86" s="64">
        <v>231.89</v>
      </c>
      <c r="H86" s="64">
        <v>67.180000000000007</v>
      </c>
      <c r="I86" s="64">
        <v>1.49</v>
      </c>
      <c r="J86" s="64">
        <v>0.08</v>
      </c>
      <c r="K86" s="64">
        <v>210.08</v>
      </c>
      <c r="L86" s="64">
        <v>22.18</v>
      </c>
      <c r="M86" s="64">
        <v>64.5</v>
      </c>
      <c r="N86" s="64">
        <v>49.1</v>
      </c>
      <c r="O86" s="64">
        <v>0</v>
      </c>
      <c r="P86" s="64">
        <v>2.08</v>
      </c>
      <c r="Q86" s="64">
        <v>1.1200000000000001</v>
      </c>
      <c r="R86" s="198"/>
      <c r="S86" s="198"/>
      <c r="T86" s="198"/>
      <c r="U86" s="198"/>
    </row>
    <row r="87" spans="1:26" s="12" customFormat="1" x14ac:dyDescent="0.25">
      <c r="A87" s="215" t="s">
        <v>1191</v>
      </c>
      <c r="B87" s="64">
        <v>132.13</v>
      </c>
      <c r="C87" s="64">
        <v>98.42</v>
      </c>
      <c r="D87" s="64">
        <v>230.55</v>
      </c>
      <c r="E87" s="64">
        <v>1.3</v>
      </c>
      <c r="F87" s="64">
        <v>0.71</v>
      </c>
      <c r="G87" s="64">
        <v>231.89</v>
      </c>
      <c r="H87" s="64">
        <v>67.180000000000007</v>
      </c>
      <c r="I87" s="64">
        <v>1.53</v>
      </c>
      <c r="J87" s="64">
        <v>0.09</v>
      </c>
      <c r="K87" s="64">
        <v>301.25</v>
      </c>
      <c r="L87" s="64">
        <v>22.11</v>
      </c>
      <c r="M87" s="64">
        <v>67.25</v>
      </c>
      <c r="N87" s="64">
        <v>49.5</v>
      </c>
      <c r="O87" s="64">
        <v>0</v>
      </c>
      <c r="P87" s="64">
        <v>3.19</v>
      </c>
      <c r="Q87" s="64">
        <v>0.62</v>
      </c>
      <c r="R87" s="198"/>
      <c r="S87" s="198"/>
      <c r="T87" s="198"/>
      <c r="U87" s="198"/>
    </row>
    <row r="88" spans="1:26" s="12" customFormat="1" x14ac:dyDescent="0.25">
      <c r="A88" s="215" t="s">
        <v>1192</v>
      </c>
      <c r="B88" s="64">
        <v>84.84</v>
      </c>
      <c r="C88" s="64">
        <v>62.96</v>
      </c>
      <c r="D88" s="64">
        <v>147.80000000000001</v>
      </c>
      <c r="E88" s="64">
        <v>0.63</v>
      </c>
      <c r="F88" s="64">
        <v>0.56000000000000005</v>
      </c>
      <c r="G88" s="64">
        <v>231.89</v>
      </c>
      <c r="H88" s="64">
        <v>67.180000000000007</v>
      </c>
      <c r="I88" s="64">
        <v>1.49</v>
      </c>
      <c r="J88" s="64">
        <v>0.1</v>
      </c>
      <c r="K88" s="64">
        <v>305.06</v>
      </c>
      <c r="L88" s="64">
        <v>21.74</v>
      </c>
      <c r="M88" s="64">
        <v>70.52</v>
      </c>
      <c r="N88" s="64">
        <v>49.6</v>
      </c>
      <c r="O88" s="64">
        <v>0</v>
      </c>
      <c r="P88" s="64">
        <v>2.5</v>
      </c>
      <c r="Q88" s="64">
        <v>3.61</v>
      </c>
      <c r="R88" s="198"/>
      <c r="S88" s="198"/>
      <c r="T88" s="198"/>
      <c r="U88" s="198"/>
    </row>
    <row r="89" spans="1:26" s="12" customFormat="1" x14ac:dyDescent="0.25">
      <c r="A89" s="215" t="s">
        <v>1193</v>
      </c>
      <c r="B89" s="64">
        <v>103.64</v>
      </c>
      <c r="C89" s="64">
        <v>88.86</v>
      </c>
      <c r="D89" s="64">
        <v>192.5</v>
      </c>
      <c r="E89" s="64">
        <v>1.1399999999999999</v>
      </c>
      <c r="F89" s="64">
        <v>0.63</v>
      </c>
      <c r="G89" s="64">
        <v>231.89</v>
      </c>
      <c r="H89" s="64">
        <v>78.599999999999994</v>
      </c>
      <c r="I89" s="64">
        <v>1.47</v>
      </c>
      <c r="J89" s="64">
        <v>0.03</v>
      </c>
      <c r="K89" s="64">
        <v>130.65</v>
      </c>
      <c r="L89" s="64">
        <v>21.38</v>
      </c>
      <c r="M89" s="64">
        <v>67.56</v>
      </c>
      <c r="N89" s="64">
        <v>49.4</v>
      </c>
      <c r="O89" s="64">
        <v>0</v>
      </c>
      <c r="P89" s="64">
        <v>3.02</v>
      </c>
      <c r="Q89" s="64">
        <v>1.1299999999999999</v>
      </c>
      <c r="R89" s="198"/>
      <c r="S89" s="198"/>
      <c r="T89" s="198"/>
      <c r="U89" s="198"/>
    </row>
    <row r="90" spans="1:26" s="12" customFormat="1" x14ac:dyDescent="0.25">
      <c r="A90" s="215" t="s">
        <v>1194</v>
      </c>
      <c r="B90" s="64">
        <v>105.82</v>
      </c>
      <c r="C90" s="64">
        <v>71.849999999999994</v>
      </c>
      <c r="D90" s="64">
        <v>177.67</v>
      </c>
      <c r="E90" s="64">
        <v>1</v>
      </c>
      <c r="F90" s="64">
        <v>0.44</v>
      </c>
      <c r="G90" s="64">
        <v>306.23</v>
      </c>
      <c r="H90" s="64">
        <v>93.95</v>
      </c>
      <c r="I90" s="64">
        <v>1.49</v>
      </c>
      <c r="J90" s="64">
        <v>0.02</v>
      </c>
      <c r="K90" s="64">
        <v>99.08</v>
      </c>
      <c r="L90" s="64">
        <v>21.22</v>
      </c>
      <c r="M90" s="64">
        <v>69.180000000000007</v>
      </c>
      <c r="N90" s="64">
        <v>49.5</v>
      </c>
      <c r="O90" s="64">
        <v>0</v>
      </c>
      <c r="P90" s="64">
        <v>2.59</v>
      </c>
      <c r="Q90" s="64">
        <v>5.0199999999999996</v>
      </c>
      <c r="R90" s="198"/>
      <c r="S90" s="198"/>
      <c r="T90" s="198"/>
      <c r="U90" s="198"/>
    </row>
    <row r="91" spans="1:26" s="12" customFormat="1" x14ac:dyDescent="0.25">
      <c r="A91" s="215" t="s">
        <v>1195</v>
      </c>
      <c r="B91" s="64">
        <v>105.27</v>
      </c>
      <c r="C91" s="64">
        <v>66.55</v>
      </c>
      <c r="D91" s="64">
        <v>171.83</v>
      </c>
      <c r="E91" s="64">
        <v>1.18</v>
      </c>
      <c r="F91" s="64">
        <v>0.47</v>
      </c>
      <c r="G91" s="64">
        <v>306.23</v>
      </c>
      <c r="H91" s="64">
        <v>93.95</v>
      </c>
      <c r="I91" s="64">
        <v>1.55</v>
      </c>
      <c r="J91" s="64">
        <v>0.04</v>
      </c>
      <c r="K91" s="64">
        <v>354.31</v>
      </c>
      <c r="L91" s="64">
        <v>21.08</v>
      </c>
      <c r="M91" s="64">
        <v>71.14</v>
      </c>
      <c r="N91" s="64">
        <v>49.7</v>
      </c>
      <c r="O91" s="64">
        <v>0</v>
      </c>
      <c r="P91" s="64">
        <v>2.4300000000000002</v>
      </c>
      <c r="Q91" s="64">
        <v>4.2699999999999996</v>
      </c>
      <c r="R91" s="198"/>
      <c r="S91" s="198"/>
      <c r="T91" s="198"/>
      <c r="U91" s="198"/>
    </row>
    <row r="92" spans="1:26" s="12" customFormat="1" x14ac:dyDescent="0.25">
      <c r="A92" s="215" t="s">
        <v>1196</v>
      </c>
      <c r="B92" s="64">
        <v>155.55000000000001</v>
      </c>
      <c r="C92" s="64">
        <v>96.66</v>
      </c>
      <c r="D92" s="64">
        <v>252.21</v>
      </c>
      <c r="E92" s="64">
        <v>1.02</v>
      </c>
      <c r="F92" s="64">
        <v>0.39</v>
      </c>
      <c r="G92" s="64">
        <v>306.23</v>
      </c>
      <c r="H92" s="64">
        <v>93.95</v>
      </c>
      <c r="I92" s="64">
        <v>1.49</v>
      </c>
      <c r="J92" s="64">
        <v>0.09</v>
      </c>
      <c r="K92" s="64">
        <v>291.55</v>
      </c>
      <c r="L92" s="64">
        <v>20.91</v>
      </c>
      <c r="M92" s="64">
        <v>71.91</v>
      </c>
      <c r="N92" s="64">
        <v>49.6</v>
      </c>
      <c r="O92" s="64">
        <v>0</v>
      </c>
      <c r="P92" s="64">
        <v>2.73</v>
      </c>
      <c r="Q92" s="64">
        <v>1.64</v>
      </c>
      <c r="R92" s="198"/>
      <c r="S92" s="198"/>
      <c r="T92" s="198"/>
      <c r="U92" s="198"/>
    </row>
    <row r="93" spans="1:26" s="12" customFormat="1" x14ac:dyDescent="0.25">
      <c r="A93" s="215" t="s">
        <v>1197</v>
      </c>
      <c r="B93" s="64">
        <v>90.57</v>
      </c>
      <c r="C93" s="64">
        <v>43.97</v>
      </c>
      <c r="D93" s="64">
        <v>134.54</v>
      </c>
      <c r="E93" s="64">
        <v>1.01</v>
      </c>
      <c r="F93" s="64">
        <v>0.35</v>
      </c>
      <c r="G93" s="64">
        <v>303.44</v>
      </c>
      <c r="H93" s="64">
        <v>104.99</v>
      </c>
      <c r="I93" s="64">
        <v>1.49</v>
      </c>
      <c r="J93" s="64">
        <v>7.0000000000000007E-2</v>
      </c>
      <c r="K93" s="64">
        <v>300.92</v>
      </c>
      <c r="L93" s="64">
        <v>20.75</v>
      </c>
      <c r="M93" s="64">
        <v>73.88</v>
      </c>
      <c r="N93" s="64">
        <v>49.7</v>
      </c>
      <c r="O93" s="64">
        <v>0</v>
      </c>
      <c r="P93" s="64">
        <v>2.2999999999999998</v>
      </c>
      <c r="Q93" s="64">
        <v>8.19</v>
      </c>
      <c r="R93" s="198"/>
      <c r="S93" s="198"/>
      <c r="T93" s="198"/>
      <c r="U93" s="198"/>
    </row>
    <row r="94" spans="1:26" s="12" customFormat="1" x14ac:dyDescent="0.25">
      <c r="A94" s="215" t="s">
        <v>1198</v>
      </c>
      <c r="B94" s="64">
        <v>113.49</v>
      </c>
      <c r="C94" s="64">
        <v>64.83</v>
      </c>
      <c r="D94" s="64">
        <v>178.32</v>
      </c>
      <c r="E94" s="64">
        <v>0.91</v>
      </c>
      <c r="F94" s="64">
        <v>0.08</v>
      </c>
      <c r="G94" s="64">
        <v>297.57</v>
      </c>
      <c r="H94" s="64">
        <v>119.97</v>
      </c>
      <c r="I94" s="64">
        <v>1.47</v>
      </c>
      <c r="J94" s="64">
        <v>0.08</v>
      </c>
      <c r="K94" s="64">
        <v>303.7</v>
      </c>
      <c r="L94" s="64">
        <v>20.6</v>
      </c>
      <c r="M94" s="64">
        <v>74.209999999999994</v>
      </c>
      <c r="N94" s="64">
        <v>49.5</v>
      </c>
      <c r="O94" s="64">
        <v>0</v>
      </c>
      <c r="P94" s="64">
        <v>2.52</v>
      </c>
      <c r="Q94" s="64">
        <v>7.77</v>
      </c>
      <c r="R94" s="198"/>
      <c r="S94" s="198"/>
      <c r="T94" s="198"/>
      <c r="U94" s="198"/>
    </row>
    <row r="95" spans="1:26" s="12" customFormat="1" x14ac:dyDescent="0.25">
      <c r="A95" s="215" t="s">
        <v>1199</v>
      </c>
      <c r="B95" s="64">
        <v>137.18</v>
      </c>
      <c r="C95" s="64">
        <v>67.8</v>
      </c>
      <c r="D95" s="64">
        <v>204.98</v>
      </c>
      <c r="E95" s="64">
        <v>1.01</v>
      </c>
      <c r="F95" s="64">
        <v>0.3</v>
      </c>
      <c r="G95" s="64">
        <v>297.57</v>
      </c>
      <c r="H95" s="64">
        <v>119.97</v>
      </c>
      <c r="I95" s="64">
        <v>1.51</v>
      </c>
      <c r="J95" s="64">
        <v>0.13</v>
      </c>
      <c r="K95" s="64">
        <v>287.25</v>
      </c>
      <c r="L95" s="64">
        <v>20.420000000000002</v>
      </c>
      <c r="M95" s="64">
        <v>76.319999999999993</v>
      </c>
      <c r="N95" s="64">
        <v>49.4</v>
      </c>
      <c r="O95" s="64">
        <v>0</v>
      </c>
      <c r="P95" s="64">
        <v>2.72</v>
      </c>
      <c r="Q95" s="64">
        <v>7.81</v>
      </c>
      <c r="R95" s="198"/>
      <c r="S95" s="198"/>
      <c r="T95" s="198"/>
      <c r="U95" s="198"/>
    </row>
    <row r="96" spans="1:26" s="12" customFormat="1" x14ac:dyDescent="0.25">
      <c r="A96" s="215" t="s">
        <v>1200</v>
      </c>
      <c r="B96" s="64">
        <v>145.13999999999999</v>
      </c>
      <c r="C96" s="64">
        <v>74.92</v>
      </c>
      <c r="D96" s="64">
        <v>220.06</v>
      </c>
      <c r="E96" s="64">
        <v>1.07</v>
      </c>
      <c r="F96" s="64">
        <v>0.33</v>
      </c>
      <c r="G96" s="64">
        <v>297.57</v>
      </c>
      <c r="H96" s="64">
        <v>119.97</v>
      </c>
      <c r="I96" s="64">
        <v>1.47</v>
      </c>
      <c r="J96" s="64">
        <v>0.1</v>
      </c>
      <c r="K96" s="64">
        <v>313.32</v>
      </c>
      <c r="L96" s="64">
        <v>20.2</v>
      </c>
      <c r="M96" s="64">
        <v>77.77</v>
      </c>
      <c r="N96" s="64">
        <v>49.5</v>
      </c>
      <c r="O96" s="64">
        <v>0</v>
      </c>
      <c r="P96" s="64">
        <v>2.96</v>
      </c>
      <c r="Q96" s="64">
        <v>6.66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1201</v>
      </c>
      <c r="B97" s="64">
        <v>130.41999999999999</v>
      </c>
      <c r="C97" s="64">
        <v>65.23</v>
      </c>
      <c r="D97" s="64">
        <v>195.64</v>
      </c>
      <c r="E97" s="64">
        <v>1.04</v>
      </c>
      <c r="F97" s="64">
        <v>0.11</v>
      </c>
      <c r="G97" s="64">
        <v>296.41000000000003</v>
      </c>
      <c r="H97" s="64">
        <v>126.12</v>
      </c>
      <c r="I97" s="64">
        <v>1.45</v>
      </c>
      <c r="J97" s="64">
        <v>7.0000000000000007E-2</v>
      </c>
      <c r="K97" s="64">
        <v>288.64999999999998</v>
      </c>
      <c r="L97" s="64">
        <v>20.04</v>
      </c>
      <c r="M97" s="64">
        <v>81.540000000000006</v>
      </c>
      <c r="N97" s="64">
        <v>49.2</v>
      </c>
      <c r="O97" s="64">
        <v>0</v>
      </c>
      <c r="P97" s="64">
        <v>2.95</v>
      </c>
      <c r="Q97" s="64">
        <v>8.99</v>
      </c>
      <c r="R97" s="198"/>
      <c r="S97" s="198"/>
      <c r="T97" s="198"/>
      <c r="U97" s="198"/>
    </row>
    <row r="98" spans="1:33" s="12" customFormat="1" x14ac:dyDescent="0.25">
      <c r="A98" s="215" t="s">
        <v>1202</v>
      </c>
      <c r="B98" s="64">
        <v>118.03</v>
      </c>
      <c r="C98" s="64">
        <v>45.47</v>
      </c>
      <c r="D98" s="64">
        <v>163.5</v>
      </c>
      <c r="E98" s="64">
        <v>1</v>
      </c>
      <c r="F98" s="64">
        <v>0.18</v>
      </c>
      <c r="G98" s="64">
        <v>293.95999999999998</v>
      </c>
      <c r="H98" s="64">
        <v>134.68</v>
      </c>
      <c r="I98" s="64">
        <v>1.48</v>
      </c>
      <c r="J98" s="64">
        <v>0.09</v>
      </c>
      <c r="K98" s="64">
        <v>291.27999999999997</v>
      </c>
      <c r="L98" s="64">
        <v>20.07</v>
      </c>
      <c r="M98" s="64">
        <v>77.66</v>
      </c>
      <c r="N98" s="64">
        <v>49.2</v>
      </c>
      <c r="O98" s="64">
        <v>0</v>
      </c>
      <c r="P98" s="64">
        <v>2.66</v>
      </c>
      <c r="Q98" s="64">
        <v>10.16</v>
      </c>
      <c r="R98" s="198"/>
      <c r="S98" s="198"/>
      <c r="T98" s="198"/>
      <c r="U98" s="198"/>
    </row>
    <row r="99" spans="1:33" s="12" customFormat="1" x14ac:dyDescent="0.25">
      <c r="A99" s="215" t="s">
        <v>1203</v>
      </c>
      <c r="B99" s="64">
        <v>125.6</v>
      </c>
      <c r="C99" s="64">
        <v>55.35</v>
      </c>
      <c r="D99" s="64">
        <v>180.95</v>
      </c>
      <c r="E99" s="64">
        <v>0.92</v>
      </c>
      <c r="F99" s="64">
        <v>0.28000000000000003</v>
      </c>
      <c r="G99" s="64">
        <v>293.95999999999998</v>
      </c>
      <c r="H99" s="64">
        <v>134.68</v>
      </c>
      <c r="I99" s="64">
        <v>1.5</v>
      </c>
      <c r="J99" s="64">
        <v>0.09</v>
      </c>
      <c r="K99" s="64">
        <v>275.82</v>
      </c>
      <c r="L99" s="64">
        <v>20</v>
      </c>
      <c r="M99" s="64">
        <v>77.83</v>
      </c>
      <c r="N99" s="64">
        <v>49.3</v>
      </c>
      <c r="O99" s="64">
        <v>0</v>
      </c>
      <c r="P99" s="64">
        <v>2.71</v>
      </c>
      <c r="Q99" s="64">
        <v>11.23</v>
      </c>
      <c r="R99" s="198"/>
      <c r="S99" s="198"/>
      <c r="T99" s="198"/>
      <c r="U99" s="198"/>
    </row>
    <row r="100" spans="1:33" s="12" customFormat="1" x14ac:dyDescent="0.25">
      <c r="A100" s="215" t="s">
        <v>1204</v>
      </c>
      <c r="B100" s="64">
        <v>106.69</v>
      </c>
      <c r="C100" s="64">
        <v>48.33</v>
      </c>
      <c r="D100" s="64">
        <v>155.02000000000001</v>
      </c>
      <c r="E100" s="64">
        <v>0.88</v>
      </c>
      <c r="F100" s="64">
        <v>0.79</v>
      </c>
      <c r="G100" s="64">
        <v>293.95999999999998</v>
      </c>
      <c r="H100" s="64">
        <v>134.68</v>
      </c>
      <c r="I100" s="64">
        <v>1.46</v>
      </c>
      <c r="J100" s="64">
        <v>0.08</v>
      </c>
      <c r="K100" s="64">
        <v>237.62</v>
      </c>
      <c r="L100" s="64">
        <v>20.02</v>
      </c>
      <c r="M100" s="64">
        <v>69.540000000000006</v>
      </c>
      <c r="N100" s="64">
        <v>49.2</v>
      </c>
      <c r="O100" s="64">
        <v>0</v>
      </c>
      <c r="P100" s="64">
        <v>2.46</v>
      </c>
      <c r="Q100" s="64">
        <v>13.58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1205</v>
      </c>
      <c r="B101" s="64">
        <v>95.58</v>
      </c>
      <c r="C101" s="64">
        <v>51.93</v>
      </c>
      <c r="D101" s="64">
        <v>147.51</v>
      </c>
      <c r="E101" s="64">
        <v>0.75</v>
      </c>
      <c r="F101" s="64">
        <v>0.86</v>
      </c>
      <c r="G101" s="64">
        <v>213.42</v>
      </c>
      <c r="H101" s="64">
        <v>129.79</v>
      </c>
      <c r="I101" s="64">
        <v>1.44</v>
      </c>
      <c r="J101" s="64">
        <v>0.12</v>
      </c>
      <c r="K101" s="64">
        <v>265.72000000000003</v>
      </c>
      <c r="L101" s="64">
        <v>20</v>
      </c>
      <c r="M101" s="64">
        <v>67.150000000000006</v>
      </c>
      <c r="N101" s="64">
        <v>49.2</v>
      </c>
      <c r="O101" s="64">
        <v>0</v>
      </c>
      <c r="P101" s="64">
        <v>2.3199999999999998</v>
      </c>
      <c r="Q101" s="64">
        <v>14.1</v>
      </c>
      <c r="R101" s="198"/>
      <c r="S101" s="198"/>
      <c r="T101" s="198"/>
      <c r="U101" s="198"/>
    </row>
    <row r="102" spans="1:33" s="12" customFormat="1" x14ac:dyDescent="0.25">
      <c r="A102" s="215" t="s">
        <v>1206</v>
      </c>
      <c r="B102" s="64">
        <v>107.51</v>
      </c>
      <c r="C102" s="64">
        <v>40.33</v>
      </c>
      <c r="D102" s="64">
        <v>147.84</v>
      </c>
      <c r="E102" s="64">
        <v>0.77</v>
      </c>
      <c r="F102" s="64">
        <v>1.32</v>
      </c>
      <c r="G102" s="64">
        <v>213.42</v>
      </c>
      <c r="H102" s="64">
        <v>122.97</v>
      </c>
      <c r="I102" s="64">
        <v>1.47</v>
      </c>
      <c r="J102" s="64">
        <v>0.08</v>
      </c>
      <c r="K102" s="64">
        <v>290.14999999999998</v>
      </c>
      <c r="L102" s="64">
        <v>19.899999999999999</v>
      </c>
      <c r="M102" s="64">
        <v>66.12</v>
      </c>
      <c r="N102" s="64">
        <v>49.3</v>
      </c>
      <c r="O102" s="64">
        <v>0</v>
      </c>
      <c r="P102" s="64">
        <v>2.48</v>
      </c>
      <c r="Q102" s="64">
        <v>14.03</v>
      </c>
      <c r="R102" s="198"/>
      <c r="S102" s="198"/>
      <c r="T102" s="198"/>
      <c r="U102" s="198"/>
    </row>
    <row r="103" spans="1:33" s="12" customFormat="1" x14ac:dyDescent="0.25">
      <c r="A103" s="215" t="s">
        <v>1207</v>
      </c>
      <c r="B103" s="64">
        <v>98.36</v>
      </c>
      <c r="C103" s="64">
        <v>37.979999999999997</v>
      </c>
      <c r="D103" s="64">
        <v>136.34</v>
      </c>
      <c r="E103" s="64">
        <v>0.73</v>
      </c>
      <c r="F103" s="64">
        <v>1.53</v>
      </c>
      <c r="G103" s="64">
        <v>213.42</v>
      </c>
      <c r="H103" s="64">
        <v>122.97</v>
      </c>
      <c r="I103" s="64">
        <v>1.48</v>
      </c>
      <c r="J103" s="64">
        <v>0.04</v>
      </c>
      <c r="K103" s="64">
        <v>223.48</v>
      </c>
      <c r="L103" s="64">
        <v>20.170000000000002</v>
      </c>
      <c r="M103" s="64">
        <v>67.87</v>
      </c>
      <c r="N103" s="64">
        <v>49</v>
      </c>
      <c r="O103" s="64">
        <v>0</v>
      </c>
      <c r="P103" s="64">
        <v>2.36</v>
      </c>
      <c r="Q103" s="64">
        <v>13.46</v>
      </c>
      <c r="R103" s="198"/>
      <c r="S103" s="198"/>
      <c r="T103" s="198"/>
      <c r="U103" s="198"/>
    </row>
    <row r="104" spans="1:33" s="12" customFormat="1" x14ac:dyDescent="0.25">
      <c r="A104" s="215" t="s">
        <v>1208</v>
      </c>
      <c r="B104" s="64">
        <v>98.16</v>
      </c>
      <c r="C104" s="64">
        <v>38.36</v>
      </c>
      <c r="D104" s="64">
        <v>136.52000000000001</v>
      </c>
      <c r="E104" s="64">
        <v>0.49</v>
      </c>
      <c r="F104" s="64">
        <v>0.83</v>
      </c>
      <c r="G104" s="64">
        <v>213.42</v>
      </c>
      <c r="H104" s="64">
        <v>122.97</v>
      </c>
      <c r="I104" s="64">
        <v>1.49</v>
      </c>
      <c r="J104" s="64">
        <v>0.04</v>
      </c>
      <c r="K104" s="64">
        <v>12.58</v>
      </c>
      <c r="L104" s="64">
        <v>19.97</v>
      </c>
      <c r="M104" s="64">
        <v>71.040000000000006</v>
      </c>
      <c r="N104" s="64">
        <v>49.6</v>
      </c>
      <c r="O104" s="64">
        <v>0</v>
      </c>
      <c r="P104" s="64">
        <v>2.35</v>
      </c>
      <c r="Q104" s="64">
        <v>12.76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22.49</v>
      </c>
      <c r="D106" s="67">
        <f t="shared" ref="D106:Q106" si="0">MIN(D9:D104)</f>
        <v>24.49</v>
      </c>
      <c r="E106" s="67">
        <f t="shared" si="0"/>
        <v>0.06</v>
      </c>
      <c r="F106" s="67">
        <f t="shared" si="0"/>
        <v>0.03</v>
      </c>
      <c r="G106" s="67">
        <f t="shared" si="0"/>
        <v>68.989999999999995</v>
      </c>
      <c r="H106" s="67">
        <f t="shared" si="0"/>
        <v>34.96</v>
      </c>
      <c r="I106" s="67">
        <f t="shared" si="0"/>
        <v>1.42</v>
      </c>
      <c r="J106" s="67">
        <f t="shared" si="0"/>
        <v>0.02</v>
      </c>
      <c r="K106" s="67">
        <f t="shared" si="0"/>
        <v>1.39</v>
      </c>
      <c r="L106" s="67">
        <f t="shared" si="0"/>
        <v>16.52</v>
      </c>
      <c r="M106" s="67">
        <f t="shared" si="0"/>
        <v>28.52</v>
      </c>
      <c r="N106" s="67">
        <f t="shared" si="0"/>
        <v>27</v>
      </c>
      <c r="O106" s="67">
        <f t="shared" si="0"/>
        <v>0</v>
      </c>
      <c r="P106" s="67">
        <f t="shared" si="0"/>
        <v>0.63</v>
      </c>
      <c r="Q106" s="67">
        <f t="shared" si="0"/>
        <v>0.08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155.55000000000001</v>
      </c>
      <c r="C107" s="66">
        <f t="shared" ref="C107:Q107" si="1">MAX(C9:C104)</f>
        <v>123.2</v>
      </c>
      <c r="D107" s="66">
        <f t="shared" si="1"/>
        <v>252.21</v>
      </c>
      <c r="E107" s="66">
        <f t="shared" si="1"/>
        <v>5.36</v>
      </c>
      <c r="F107" s="66">
        <f t="shared" si="1"/>
        <v>57.04</v>
      </c>
      <c r="G107" s="66">
        <f t="shared" si="1"/>
        <v>306.23</v>
      </c>
      <c r="H107" s="66">
        <f t="shared" si="1"/>
        <v>134.68</v>
      </c>
      <c r="I107" s="66">
        <f t="shared" si="1"/>
        <v>1.58</v>
      </c>
      <c r="J107" s="66">
        <f t="shared" si="1"/>
        <v>1.17</v>
      </c>
      <c r="K107" s="66">
        <f t="shared" si="1"/>
        <v>354.31</v>
      </c>
      <c r="L107" s="66">
        <f t="shared" si="1"/>
        <v>33.31</v>
      </c>
      <c r="M107" s="66">
        <f t="shared" si="1"/>
        <v>92.06</v>
      </c>
      <c r="N107" s="66">
        <f t="shared" si="1"/>
        <v>743</v>
      </c>
      <c r="O107" s="66">
        <f t="shared" si="1"/>
        <v>0</v>
      </c>
      <c r="P107" s="66">
        <f t="shared" si="1"/>
        <v>3.19</v>
      </c>
      <c r="Q107" s="66">
        <f t="shared" si="1"/>
        <v>14.1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57.597291666666678</v>
      </c>
      <c r="C108" s="67">
        <f t="shared" ref="C108:Q108" si="2">AVERAGE(C9:C104)</f>
        <v>45.792916666666663</v>
      </c>
      <c r="D108" s="67">
        <f t="shared" si="2"/>
        <v>103.39020833333332</v>
      </c>
      <c r="E108" s="67">
        <f t="shared" si="2"/>
        <v>0.9474999999999999</v>
      </c>
      <c r="F108" s="67">
        <f t="shared" si="2"/>
        <v>6.5087500000000018</v>
      </c>
      <c r="G108" s="67">
        <f t="shared" si="2"/>
        <v>134.85177083333326</v>
      </c>
      <c r="H108" s="67">
        <f t="shared" si="2"/>
        <v>60.264791666666689</v>
      </c>
      <c r="I108" s="67">
        <f t="shared" si="2"/>
        <v>1.4960416666666658</v>
      </c>
      <c r="J108" s="67">
        <f t="shared" si="2"/>
        <v>0.2266666666666666</v>
      </c>
      <c r="K108" s="67">
        <f t="shared" si="2"/>
        <v>202.85499999999999</v>
      </c>
      <c r="L108" s="67">
        <f t="shared" si="2"/>
        <v>22.666458333333335</v>
      </c>
      <c r="M108" s="67">
        <f t="shared" si="2"/>
        <v>61.51114583333333</v>
      </c>
      <c r="N108" s="67">
        <f t="shared" si="2"/>
        <v>200.70416666666668</v>
      </c>
      <c r="O108" s="67">
        <f t="shared" si="2"/>
        <v>0</v>
      </c>
      <c r="P108" s="67">
        <f t="shared" si="2"/>
        <v>1.5334374999999998</v>
      </c>
      <c r="Q108" s="67">
        <f t="shared" si="2"/>
        <v>7.1897894736842076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40.189325696708785</v>
      </c>
      <c r="C109" s="67">
        <f t="shared" ref="C109:Q109" si="3">STDEV(C9:C104)</f>
        <v>24.324436961803897</v>
      </c>
      <c r="D109" s="67">
        <f t="shared" si="3"/>
        <v>53.628542871147097</v>
      </c>
      <c r="E109" s="67">
        <f t="shared" si="3"/>
        <v>1.0520716405464532</v>
      </c>
      <c r="F109" s="67">
        <f t="shared" si="3"/>
        <v>12.793386223069778</v>
      </c>
      <c r="G109" s="67">
        <f t="shared" si="3"/>
        <v>71.488293307289553</v>
      </c>
      <c r="H109" s="67">
        <f t="shared" si="3"/>
        <v>26.930901092246199</v>
      </c>
      <c r="I109" s="67">
        <f t="shared" si="3"/>
        <v>3.6519040935889792E-2</v>
      </c>
      <c r="J109" s="67">
        <f t="shared" si="3"/>
        <v>0.23426330964454087</v>
      </c>
      <c r="K109" s="67">
        <f t="shared" si="3"/>
        <v>89.174448712385654</v>
      </c>
      <c r="L109" s="67">
        <f t="shared" si="3"/>
        <v>4.7797355089050395</v>
      </c>
      <c r="M109" s="67">
        <f t="shared" si="3"/>
        <v>21.519202287591838</v>
      </c>
      <c r="N109" s="67">
        <f t="shared" si="3"/>
        <v>250.50053804613577</v>
      </c>
      <c r="O109" s="67">
        <f t="shared" si="3"/>
        <v>0</v>
      </c>
      <c r="P109" s="67">
        <f t="shared" si="3"/>
        <v>0.73742200747283349</v>
      </c>
      <c r="Q109" s="67">
        <f t="shared" si="3"/>
        <v>3.4813072193081842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1209</v>
      </c>
      <c r="B9" s="64">
        <v>92.99</v>
      </c>
      <c r="C9" s="64">
        <v>34.96</v>
      </c>
      <c r="D9" s="64">
        <v>127.95</v>
      </c>
      <c r="E9" s="64">
        <v>0.67</v>
      </c>
      <c r="F9" s="64">
        <v>0.77</v>
      </c>
      <c r="G9" s="64">
        <v>180.42</v>
      </c>
      <c r="H9" s="64">
        <v>110.68</v>
      </c>
      <c r="I9" s="64">
        <v>1.57</v>
      </c>
      <c r="J9" s="64">
        <v>7.0000000000000007E-2</v>
      </c>
      <c r="K9" s="64">
        <v>329.15</v>
      </c>
      <c r="L9" s="64">
        <v>19.45</v>
      </c>
      <c r="M9" s="64">
        <v>73.3</v>
      </c>
      <c r="N9" s="64">
        <v>49.6</v>
      </c>
      <c r="O9" s="64">
        <v>0</v>
      </c>
      <c r="P9" s="64">
        <v>2.2599999999999998</v>
      </c>
      <c r="Q9" s="64">
        <v>12.26</v>
      </c>
      <c r="R9" s="198"/>
      <c r="S9" s="198"/>
      <c r="T9" s="198"/>
      <c r="U9" s="198"/>
    </row>
    <row r="10" spans="1:21" s="12" customFormat="1" x14ac:dyDescent="0.25">
      <c r="A10" s="215" t="s">
        <v>1210</v>
      </c>
      <c r="B10" s="64">
        <v>82.4</v>
      </c>
      <c r="C10" s="64">
        <v>37.56</v>
      </c>
      <c r="D10" s="64">
        <v>119.96</v>
      </c>
      <c r="E10" s="64">
        <v>0.67</v>
      </c>
      <c r="F10" s="64">
        <v>1.93</v>
      </c>
      <c r="G10" s="64">
        <v>111.01</v>
      </c>
      <c r="H10" s="64">
        <v>93.99</v>
      </c>
      <c r="I10" s="64">
        <v>1.54</v>
      </c>
      <c r="J10" s="64">
        <v>0.1</v>
      </c>
      <c r="K10" s="64">
        <v>329.7</v>
      </c>
      <c r="L10" s="64">
        <v>19.18</v>
      </c>
      <c r="M10" s="64">
        <v>74.91</v>
      </c>
      <c r="N10" s="64">
        <v>49.6</v>
      </c>
      <c r="O10" s="64">
        <v>0</v>
      </c>
      <c r="P10" s="64">
        <v>2.11</v>
      </c>
      <c r="Q10" s="64">
        <v>12.05</v>
      </c>
      <c r="R10" s="198"/>
      <c r="S10" s="198"/>
      <c r="T10" s="198"/>
      <c r="U10" s="198"/>
    </row>
    <row r="11" spans="1:21" s="12" customFormat="1" x14ac:dyDescent="0.25">
      <c r="A11" s="215" t="s">
        <v>1211</v>
      </c>
      <c r="B11" s="64">
        <v>75.39</v>
      </c>
      <c r="C11" s="64">
        <v>34.799999999999997</v>
      </c>
      <c r="D11" s="64">
        <v>110.19</v>
      </c>
      <c r="E11" s="64">
        <v>0.74</v>
      </c>
      <c r="F11" s="64">
        <v>3.79</v>
      </c>
      <c r="G11" s="64">
        <v>111.01</v>
      </c>
      <c r="H11" s="64">
        <v>93.99</v>
      </c>
      <c r="I11" s="64">
        <v>1.45</v>
      </c>
      <c r="J11" s="64">
        <v>0.14000000000000001</v>
      </c>
      <c r="K11" s="64">
        <v>339.76</v>
      </c>
      <c r="L11" s="64">
        <v>19.11</v>
      </c>
      <c r="M11" s="64">
        <v>78.010000000000005</v>
      </c>
      <c r="N11" s="64">
        <v>49.5</v>
      </c>
      <c r="O11" s="64">
        <v>0</v>
      </c>
      <c r="P11" s="64">
        <v>1.98</v>
      </c>
      <c r="Q11" s="64">
        <v>12.6</v>
      </c>
      <c r="R11" s="198"/>
      <c r="S11" s="198"/>
      <c r="T11" s="198"/>
      <c r="U11" s="198"/>
    </row>
    <row r="12" spans="1:21" s="12" customFormat="1" x14ac:dyDescent="0.25">
      <c r="A12" s="215" t="s">
        <v>1212</v>
      </c>
      <c r="B12" s="64">
        <v>76.59</v>
      </c>
      <c r="C12" s="64">
        <v>36.04</v>
      </c>
      <c r="D12" s="64">
        <v>112.62</v>
      </c>
      <c r="E12" s="64">
        <v>0.74</v>
      </c>
      <c r="F12" s="64">
        <v>1.91</v>
      </c>
      <c r="G12" s="64">
        <v>111.01</v>
      </c>
      <c r="H12" s="64">
        <v>93.99</v>
      </c>
      <c r="I12" s="64">
        <v>1.53</v>
      </c>
      <c r="J12" s="64">
        <v>0.05</v>
      </c>
      <c r="K12" s="64">
        <v>255.61</v>
      </c>
      <c r="L12" s="64">
        <v>18.95</v>
      </c>
      <c r="M12" s="64">
        <v>78.87</v>
      </c>
      <c r="N12" s="64">
        <v>49.5</v>
      </c>
      <c r="O12" s="64">
        <v>0</v>
      </c>
      <c r="P12" s="64">
        <v>2</v>
      </c>
      <c r="Q12" s="64">
        <v>11.98</v>
      </c>
      <c r="R12" s="198"/>
      <c r="S12" s="198"/>
      <c r="T12" s="198"/>
      <c r="U12" s="198"/>
    </row>
    <row r="13" spans="1:21" s="12" customFormat="1" x14ac:dyDescent="0.25">
      <c r="A13" s="215" t="s">
        <v>1213</v>
      </c>
      <c r="B13" s="64">
        <v>69.62</v>
      </c>
      <c r="C13" s="64">
        <v>36.43</v>
      </c>
      <c r="D13" s="64">
        <v>106.04</v>
      </c>
      <c r="E13" s="64">
        <v>0.79</v>
      </c>
      <c r="F13" s="64">
        <v>0.94</v>
      </c>
      <c r="G13" s="64">
        <v>101.39</v>
      </c>
      <c r="H13" s="64">
        <v>87.84</v>
      </c>
      <c r="I13" s="64">
        <v>1.52</v>
      </c>
      <c r="J13" s="64">
        <v>0.14000000000000001</v>
      </c>
      <c r="K13" s="64">
        <v>309.68</v>
      </c>
      <c r="L13" s="64">
        <v>18.78</v>
      </c>
      <c r="M13" s="64">
        <v>83.38</v>
      </c>
      <c r="N13" s="64">
        <v>49.6</v>
      </c>
      <c r="O13" s="64">
        <v>0</v>
      </c>
      <c r="P13" s="64">
        <v>1.73</v>
      </c>
      <c r="Q13" s="64">
        <v>11.21</v>
      </c>
      <c r="R13" s="198"/>
      <c r="S13" s="198"/>
      <c r="T13" s="198"/>
      <c r="U13" s="198"/>
    </row>
    <row r="14" spans="1:21" s="12" customFormat="1" x14ac:dyDescent="0.25">
      <c r="A14" s="215" t="s">
        <v>1214</v>
      </c>
      <c r="B14" s="64">
        <v>70.72</v>
      </c>
      <c r="C14" s="64">
        <v>34.93</v>
      </c>
      <c r="D14" s="64">
        <v>105.65</v>
      </c>
      <c r="E14" s="64">
        <v>0.72</v>
      </c>
      <c r="F14" s="64">
        <v>0.91</v>
      </c>
      <c r="G14" s="64">
        <v>81.150000000000006</v>
      </c>
      <c r="H14" s="64">
        <v>63.86</v>
      </c>
      <c r="I14" s="64">
        <v>1.61</v>
      </c>
      <c r="J14" s="64">
        <v>0.04</v>
      </c>
      <c r="K14" s="64">
        <v>190.5</v>
      </c>
      <c r="L14" s="64">
        <v>18.54</v>
      </c>
      <c r="M14" s="64">
        <v>83</v>
      </c>
      <c r="N14" s="64">
        <v>49.6</v>
      </c>
      <c r="O14" s="64">
        <v>0</v>
      </c>
      <c r="P14" s="64">
        <v>1.77</v>
      </c>
      <c r="Q14" s="64">
        <v>11.07</v>
      </c>
      <c r="R14" s="198"/>
      <c r="S14" s="198"/>
      <c r="T14" s="198"/>
      <c r="U14" s="198"/>
    </row>
    <row r="15" spans="1:21" s="12" customFormat="1" x14ac:dyDescent="0.25">
      <c r="A15" s="215" t="s">
        <v>1215</v>
      </c>
      <c r="B15" s="64">
        <v>72.64</v>
      </c>
      <c r="C15" s="64">
        <v>29.24</v>
      </c>
      <c r="D15" s="64">
        <v>101.89</v>
      </c>
      <c r="E15" s="64">
        <v>0.7</v>
      </c>
      <c r="F15" s="64">
        <v>0.74</v>
      </c>
      <c r="G15" s="64">
        <v>81.150000000000006</v>
      </c>
      <c r="H15" s="64">
        <v>63.86</v>
      </c>
      <c r="I15" s="64">
        <v>1.48</v>
      </c>
      <c r="J15" s="64">
        <v>0.05</v>
      </c>
      <c r="K15" s="64">
        <v>208.49</v>
      </c>
      <c r="L15" s="64">
        <v>18.579999999999998</v>
      </c>
      <c r="M15" s="64">
        <v>78.27</v>
      </c>
      <c r="N15" s="64">
        <v>49.4</v>
      </c>
      <c r="O15" s="64">
        <v>0</v>
      </c>
      <c r="P15" s="64">
        <v>1.78</v>
      </c>
      <c r="Q15" s="64">
        <v>10.34</v>
      </c>
      <c r="R15" s="198"/>
      <c r="S15" s="198"/>
      <c r="T15" s="198"/>
      <c r="U15" s="198"/>
    </row>
    <row r="16" spans="1:21" s="12" customFormat="1" x14ac:dyDescent="0.25">
      <c r="A16" s="215" t="s">
        <v>1216</v>
      </c>
      <c r="B16" s="64">
        <v>69.48</v>
      </c>
      <c r="C16" s="64">
        <v>31.91</v>
      </c>
      <c r="D16" s="64">
        <v>101.38</v>
      </c>
      <c r="E16" s="64">
        <v>0.59</v>
      </c>
      <c r="F16" s="64">
        <v>0.55000000000000004</v>
      </c>
      <c r="G16" s="64">
        <v>81.150000000000006</v>
      </c>
      <c r="H16" s="64">
        <v>63.86</v>
      </c>
      <c r="I16" s="64">
        <v>1.48</v>
      </c>
      <c r="J16" s="64">
        <v>0.14000000000000001</v>
      </c>
      <c r="K16" s="64">
        <v>314.62</v>
      </c>
      <c r="L16" s="64">
        <v>18.45</v>
      </c>
      <c r="M16" s="64">
        <v>83.35</v>
      </c>
      <c r="N16" s="64">
        <v>49.5</v>
      </c>
      <c r="O16" s="64">
        <v>0</v>
      </c>
      <c r="P16" s="64">
        <v>1.72</v>
      </c>
      <c r="Q16" s="64">
        <v>9.93</v>
      </c>
      <c r="R16" s="198"/>
      <c r="S16" s="198"/>
      <c r="T16" s="198"/>
      <c r="U16" s="198"/>
    </row>
    <row r="17" spans="1:21" s="12" customFormat="1" x14ac:dyDescent="0.25">
      <c r="A17" s="215" t="s">
        <v>1217</v>
      </c>
      <c r="B17" s="64">
        <v>66.39</v>
      </c>
      <c r="C17" s="64">
        <v>32.630000000000003</v>
      </c>
      <c r="D17" s="64">
        <v>99.03</v>
      </c>
      <c r="E17" s="64">
        <v>0.61</v>
      </c>
      <c r="F17" s="64">
        <v>0.3</v>
      </c>
      <c r="G17" s="64">
        <v>84.48</v>
      </c>
      <c r="H17" s="64">
        <v>54.82</v>
      </c>
      <c r="I17" s="64">
        <v>1.46</v>
      </c>
      <c r="J17" s="64">
        <v>0.11</v>
      </c>
      <c r="K17" s="64">
        <v>280.81</v>
      </c>
      <c r="L17" s="64">
        <v>18.13</v>
      </c>
      <c r="M17" s="64">
        <v>86.29</v>
      </c>
      <c r="N17" s="64">
        <v>49.6</v>
      </c>
      <c r="O17" s="64">
        <v>0</v>
      </c>
      <c r="P17" s="64">
        <v>1.68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5" t="s">
        <v>1218</v>
      </c>
      <c r="B18" s="64">
        <v>63.5</v>
      </c>
      <c r="C18" s="64">
        <v>32.4</v>
      </c>
      <c r="D18" s="64">
        <v>95.9</v>
      </c>
      <c r="E18" s="64">
        <v>0.65</v>
      </c>
      <c r="F18" s="64">
        <v>0.37</v>
      </c>
      <c r="G18" s="64">
        <v>91.49</v>
      </c>
      <c r="H18" s="64">
        <v>42.23</v>
      </c>
      <c r="I18" s="64">
        <v>1.49</v>
      </c>
      <c r="J18" s="64">
        <v>0.12</v>
      </c>
      <c r="K18" s="64">
        <v>293.33999999999997</v>
      </c>
      <c r="L18" s="64">
        <v>17.96</v>
      </c>
      <c r="M18" s="64">
        <v>87.74</v>
      </c>
      <c r="N18" s="64">
        <v>49.5</v>
      </c>
      <c r="O18" s="64">
        <v>0</v>
      </c>
      <c r="P18" s="64">
        <v>1.62</v>
      </c>
      <c r="Q18" s="64">
        <v>9.39</v>
      </c>
      <c r="R18" s="198"/>
      <c r="S18" s="198"/>
      <c r="T18" s="198"/>
      <c r="U18" s="198"/>
    </row>
    <row r="19" spans="1:21" s="12" customFormat="1" x14ac:dyDescent="0.25">
      <c r="A19" s="215" t="s">
        <v>1219</v>
      </c>
      <c r="B19" s="64">
        <v>60.92</v>
      </c>
      <c r="C19" s="64">
        <v>31.33</v>
      </c>
      <c r="D19" s="64">
        <v>92.25</v>
      </c>
      <c r="E19" s="64">
        <v>0.56000000000000005</v>
      </c>
      <c r="F19" s="64">
        <v>0.28999999999999998</v>
      </c>
      <c r="G19" s="64">
        <v>91.49</v>
      </c>
      <c r="H19" s="64">
        <v>42.23</v>
      </c>
      <c r="I19" s="64">
        <v>1.55</v>
      </c>
      <c r="J19" s="64">
        <v>0.08</v>
      </c>
      <c r="K19" s="64">
        <v>309.72000000000003</v>
      </c>
      <c r="L19" s="64">
        <v>17.77</v>
      </c>
      <c r="M19" s="64">
        <v>86.93</v>
      </c>
      <c r="N19" s="64">
        <v>49.5</v>
      </c>
      <c r="O19" s="64">
        <v>0</v>
      </c>
      <c r="P19" s="64">
        <v>1.57</v>
      </c>
      <c r="Q19" s="64">
        <v>9.11</v>
      </c>
      <c r="R19" s="198"/>
      <c r="S19" s="198"/>
      <c r="T19" s="198"/>
      <c r="U19" s="198"/>
    </row>
    <row r="20" spans="1:21" s="12" customFormat="1" x14ac:dyDescent="0.25">
      <c r="A20" s="215" t="s">
        <v>1220</v>
      </c>
      <c r="B20" s="64">
        <v>58.09</v>
      </c>
      <c r="C20" s="64">
        <v>31.73</v>
      </c>
      <c r="D20" s="64">
        <v>89.82</v>
      </c>
      <c r="E20" s="64">
        <v>0.54</v>
      </c>
      <c r="F20" s="64">
        <v>0.27</v>
      </c>
      <c r="G20" s="64">
        <v>91.49</v>
      </c>
      <c r="H20" s="64">
        <v>42.23</v>
      </c>
      <c r="I20" s="64">
        <v>1.55</v>
      </c>
      <c r="J20" s="64">
        <v>0.04</v>
      </c>
      <c r="K20" s="64">
        <v>296.68</v>
      </c>
      <c r="L20" s="64">
        <v>17.96</v>
      </c>
      <c r="M20" s="64">
        <v>83.99</v>
      </c>
      <c r="N20" s="64">
        <v>49.4</v>
      </c>
      <c r="O20" s="64">
        <v>0</v>
      </c>
      <c r="P20" s="64">
        <v>1.52</v>
      </c>
      <c r="Q20" s="64">
        <v>8.85</v>
      </c>
      <c r="R20" s="198"/>
      <c r="S20" s="198"/>
      <c r="T20" s="198"/>
      <c r="U20" s="198"/>
    </row>
    <row r="21" spans="1:21" s="12" customFormat="1" x14ac:dyDescent="0.25">
      <c r="A21" s="215" t="s">
        <v>1221</v>
      </c>
      <c r="B21" s="64">
        <v>55.11</v>
      </c>
      <c r="C21" s="64">
        <v>31.93</v>
      </c>
      <c r="D21" s="64">
        <v>87.04</v>
      </c>
      <c r="E21" s="64">
        <v>0.52</v>
      </c>
      <c r="F21" s="64">
        <v>0.32</v>
      </c>
      <c r="G21" s="64">
        <v>88.03</v>
      </c>
      <c r="H21" s="64">
        <v>48.2</v>
      </c>
      <c r="I21" s="64">
        <v>1.59</v>
      </c>
      <c r="J21" s="64">
        <v>0.05</v>
      </c>
      <c r="K21" s="64">
        <v>255.92</v>
      </c>
      <c r="L21" s="64">
        <v>18</v>
      </c>
      <c r="M21" s="64">
        <v>80.69</v>
      </c>
      <c r="N21" s="64">
        <v>49.5</v>
      </c>
      <c r="O21" s="64">
        <v>0</v>
      </c>
      <c r="P21" s="64">
        <v>1.48</v>
      </c>
      <c r="Q21" s="64">
        <v>8.68</v>
      </c>
      <c r="R21" s="198"/>
      <c r="S21" s="198"/>
      <c r="T21" s="198"/>
      <c r="U21" s="198"/>
    </row>
    <row r="22" spans="1:21" s="12" customFormat="1" x14ac:dyDescent="0.25">
      <c r="A22" s="215" t="s">
        <v>1222</v>
      </c>
      <c r="B22" s="64">
        <v>47.01</v>
      </c>
      <c r="C22" s="64">
        <v>31.94</v>
      </c>
      <c r="D22" s="64">
        <v>78.95</v>
      </c>
      <c r="E22" s="64">
        <v>0.53</v>
      </c>
      <c r="F22" s="64">
        <v>0.68</v>
      </c>
      <c r="G22" s="64">
        <v>80.75</v>
      </c>
      <c r="H22" s="64">
        <v>56.5</v>
      </c>
      <c r="I22" s="64">
        <v>1.58</v>
      </c>
      <c r="J22" s="64">
        <v>0.06</v>
      </c>
      <c r="K22" s="64">
        <v>226.8</v>
      </c>
      <c r="L22" s="64">
        <v>18</v>
      </c>
      <c r="M22" s="64">
        <v>81.3</v>
      </c>
      <c r="N22" s="64">
        <v>49.4</v>
      </c>
      <c r="O22" s="64">
        <v>0</v>
      </c>
      <c r="P22" s="64">
        <v>1.38</v>
      </c>
      <c r="Q22" s="64">
        <v>8.67</v>
      </c>
      <c r="R22" s="198"/>
      <c r="S22" s="198"/>
      <c r="T22" s="198"/>
      <c r="U22" s="198"/>
    </row>
    <row r="23" spans="1:21" s="12" customFormat="1" x14ac:dyDescent="0.25">
      <c r="A23" s="215" t="s">
        <v>1223</v>
      </c>
      <c r="B23" s="64">
        <v>46.93</v>
      </c>
      <c r="C23" s="64">
        <v>33.229999999999997</v>
      </c>
      <c r="D23" s="64">
        <v>80.17</v>
      </c>
      <c r="E23" s="64">
        <v>0.56999999999999995</v>
      </c>
      <c r="F23" s="64">
        <v>0.56999999999999995</v>
      </c>
      <c r="G23" s="64">
        <v>80.75</v>
      </c>
      <c r="H23" s="64">
        <v>56.5</v>
      </c>
      <c r="I23" s="64">
        <v>1.56</v>
      </c>
      <c r="J23" s="64">
        <v>0.15</v>
      </c>
      <c r="K23" s="64">
        <v>301.68</v>
      </c>
      <c r="L23" s="64">
        <v>17.89</v>
      </c>
      <c r="M23" s="64">
        <v>85.65</v>
      </c>
      <c r="N23" s="64">
        <v>49.4</v>
      </c>
      <c r="O23" s="64">
        <v>0</v>
      </c>
      <c r="P23" s="64">
        <v>1.37</v>
      </c>
      <c r="Q23" s="64">
        <v>8.48</v>
      </c>
      <c r="R23" s="198"/>
      <c r="S23" s="198"/>
      <c r="T23" s="198"/>
      <c r="U23" s="198"/>
    </row>
    <row r="24" spans="1:21" s="12" customFormat="1" x14ac:dyDescent="0.25">
      <c r="A24" s="215" t="s">
        <v>1224</v>
      </c>
      <c r="B24" s="64">
        <v>43.71</v>
      </c>
      <c r="C24" s="64">
        <v>34.21</v>
      </c>
      <c r="D24" s="64">
        <v>77.91</v>
      </c>
      <c r="E24" s="64">
        <v>0.28999999999999998</v>
      </c>
      <c r="F24" s="64">
        <v>0.33</v>
      </c>
      <c r="G24" s="64">
        <v>80.75</v>
      </c>
      <c r="H24" s="64">
        <v>56.5</v>
      </c>
      <c r="I24" s="64">
        <v>1.53</v>
      </c>
      <c r="J24" s="64">
        <v>0.05</v>
      </c>
      <c r="K24" s="64">
        <v>305.41000000000003</v>
      </c>
      <c r="L24" s="64">
        <v>17.64</v>
      </c>
      <c r="M24" s="64">
        <v>86.76</v>
      </c>
      <c r="N24" s="64">
        <v>49.6</v>
      </c>
      <c r="O24" s="64">
        <v>0</v>
      </c>
      <c r="P24" s="64">
        <v>1.32</v>
      </c>
      <c r="Q24" s="64">
        <v>8.25</v>
      </c>
      <c r="R24" s="198"/>
      <c r="S24" s="198"/>
      <c r="T24" s="198"/>
      <c r="U24" s="198"/>
    </row>
    <row r="25" spans="1:21" s="12" customFormat="1" x14ac:dyDescent="0.25">
      <c r="A25" s="215" t="s">
        <v>1225</v>
      </c>
      <c r="B25" s="64">
        <v>39.67</v>
      </c>
      <c r="C25" s="64">
        <v>35.74</v>
      </c>
      <c r="D25" s="64">
        <v>75.41</v>
      </c>
      <c r="E25" s="64">
        <v>0.5</v>
      </c>
      <c r="F25" s="64">
        <v>0.87</v>
      </c>
      <c r="G25" s="64">
        <v>87.18</v>
      </c>
      <c r="H25" s="64">
        <v>53.15</v>
      </c>
      <c r="I25" s="64">
        <v>1.43</v>
      </c>
      <c r="J25" s="64">
        <v>0.02</v>
      </c>
      <c r="K25" s="64">
        <v>22.46</v>
      </c>
      <c r="L25" s="64">
        <v>17.7</v>
      </c>
      <c r="M25" s="64">
        <v>82.73</v>
      </c>
      <c r="N25" s="64">
        <v>49.5</v>
      </c>
      <c r="O25" s="64">
        <v>0</v>
      </c>
      <c r="P25" s="64">
        <v>1.26</v>
      </c>
      <c r="Q25" s="64">
        <v>8.1300000000000008</v>
      </c>
      <c r="R25" s="198"/>
      <c r="S25" s="198"/>
      <c r="T25" s="198"/>
      <c r="U25" s="198"/>
    </row>
    <row r="26" spans="1:21" s="12" customFormat="1" x14ac:dyDescent="0.25">
      <c r="A26" s="215" t="s">
        <v>1226</v>
      </c>
      <c r="B26" s="64">
        <v>41.87</v>
      </c>
      <c r="C26" s="64">
        <v>33.21</v>
      </c>
      <c r="D26" s="64">
        <v>75.08</v>
      </c>
      <c r="E26" s="64">
        <v>0.54</v>
      </c>
      <c r="F26" s="64">
        <v>0.97</v>
      </c>
      <c r="G26" s="64">
        <v>100.71</v>
      </c>
      <c r="H26" s="64">
        <v>48.48</v>
      </c>
      <c r="I26" s="64">
        <v>1.49</v>
      </c>
      <c r="J26" s="64">
        <v>0.05</v>
      </c>
      <c r="K26" s="64">
        <v>285.95</v>
      </c>
      <c r="L26" s="64">
        <v>18.05</v>
      </c>
      <c r="M26" s="64">
        <v>81.739999999999995</v>
      </c>
      <c r="N26" s="64">
        <v>49.2</v>
      </c>
      <c r="O26" s="64">
        <v>0</v>
      </c>
      <c r="P26" s="64">
        <v>1.27</v>
      </c>
      <c r="Q26" s="64">
        <v>7.93</v>
      </c>
      <c r="R26" s="198"/>
      <c r="S26" s="198"/>
      <c r="T26" s="198"/>
      <c r="U26" s="198"/>
    </row>
    <row r="27" spans="1:21" s="12" customFormat="1" x14ac:dyDescent="0.25">
      <c r="A27" s="215" t="s">
        <v>1227</v>
      </c>
      <c r="B27" s="64">
        <v>43.9</v>
      </c>
      <c r="C27" s="64">
        <v>28.6</v>
      </c>
      <c r="D27" s="64">
        <v>72.5</v>
      </c>
      <c r="E27" s="64">
        <v>0.55000000000000004</v>
      </c>
      <c r="F27" s="64">
        <v>0.89</v>
      </c>
      <c r="G27" s="64">
        <v>100.71</v>
      </c>
      <c r="H27" s="64">
        <v>48.48</v>
      </c>
      <c r="I27" s="64">
        <v>1.47</v>
      </c>
      <c r="J27" s="64">
        <v>0.16</v>
      </c>
      <c r="K27" s="64">
        <v>321.91000000000003</v>
      </c>
      <c r="L27" s="64">
        <v>17.89</v>
      </c>
      <c r="M27" s="64">
        <v>87.23</v>
      </c>
      <c r="N27" s="64">
        <v>49.2</v>
      </c>
      <c r="O27" s="64">
        <v>0</v>
      </c>
      <c r="P27" s="64">
        <v>1.26</v>
      </c>
      <c r="Q27" s="64">
        <v>7.64</v>
      </c>
      <c r="R27" s="198"/>
      <c r="S27" s="198"/>
      <c r="T27" s="198"/>
      <c r="U27" s="198"/>
    </row>
    <row r="28" spans="1:21" s="12" customFormat="1" x14ac:dyDescent="0.25">
      <c r="A28" s="215" t="s">
        <v>1228</v>
      </c>
      <c r="B28" s="64">
        <v>42.59</v>
      </c>
      <c r="C28" s="64">
        <v>31.14</v>
      </c>
      <c r="D28" s="64">
        <v>73.73</v>
      </c>
      <c r="E28" s="64">
        <v>0.46</v>
      </c>
      <c r="F28" s="64">
        <v>0.49</v>
      </c>
      <c r="G28" s="64">
        <v>100.71</v>
      </c>
      <c r="H28" s="64">
        <v>48.48</v>
      </c>
      <c r="I28" s="64">
        <v>1.42</v>
      </c>
      <c r="J28" s="64">
        <v>0.38</v>
      </c>
      <c r="K28" s="64">
        <v>321.86</v>
      </c>
      <c r="L28" s="64">
        <v>18</v>
      </c>
      <c r="M28" s="64">
        <v>83.74</v>
      </c>
      <c r="N28" s="64">
        <v>48.4</v>
      </c>
      <c r="O28" s="64">
        <v>0</v>
      </c>
      <c r="P28" s="64">
        <v>1.24</v>
      </c>
      <c r="Q28" s="64">
        <v>7.5</v>
      </c>
      <c r="R28" s="198"/>
      <c r="S28" s="198"/>
      <c r="T28" s="198"/>
      <c r="U28" s="198"/>
    </row>
    <row r="29" spans="1:21" s="12" customFormat="1" x14ac:dyDescent="0.25">
      <c r="A29" s="215" t="s">
        <v>1229</v>
      </c>
      <c r="B29" s="64">
        <v>40.83</v>
      </c>
      <c r="C29" s="64">
        <v>30.48</v>
      </c>
      <c r="D29" s="64">
        <v>71.31</v>
      </c>
      <c r="E29" s="64">
        <v>0.46</v>
      </c>
      <c r="F29" s="64">
        <v>0.36</v>
      </c>
      <c r="G29" s="64">
        <v>117.05</v>
      </c>
      <c r="H29" s="64">
        <v>59.4</v>
      </c>
      <c r="I29" s="64">
        <v>1.44</v>
      </c>
      <c r="J29" s="64">
        <v>0.04</v>
      </c>
      <c r="K29" s="64">
        <v>250.51</v>
      </c>
      <c r="L29" s="64">
        <v>18.02</v>
      </c>
      <c r="M29" s="64">
        <v>82.66</v>
      </c>
      <c r="N29" s="64">
        <v>49.6</v>
      </c>
      <c r="O29" s="64">
        <v>0</v>
      </c>
      <c r="P29" s="64">
        <v>1.21</v>
      </c>
      <c r="Q29" s="64">
        <v>7.39</v>
      </c>
      <c r="R29" s="198"/>
      <c r="S29" s="198"/>
      <c r="T29" s="198"/>
      <c r="U29" s="198"/>
    </row>
    <row r="30" spans="1:21" s="12" customFormat="1" x14ac:dyDescent="0.25">
      <c r="A30" s="215" t="s">
        <v>1230</v>
      </c>
      <c r="B30" s="64">
        <v>39.299999999999997</v>
      </c>
      <c r="C30" s="64">
        <v>31.17</v>
      </c>
      <c r="D30" s="64">
        <v>70.47</v>
      </c>
      <c r="E30" s="64">
        <v>0.49</v>
      </c>
      <c r="F30" s="64">
        <v>0.31</v>
      </c>
      <c r="G30" s="64">
        <v>151.43</v>
      </c>
      <c r="H30" s="64">
        <v>74.61</v>
      </c>
      <c r="I30" s="64">
        <v>1.52</v>
      </c>
      <c r="J30" s="64">
        <v>0.11</v>
      </c>
      <c r="K30" s="64">
        <v>99.87</v>
      </c>
      <c r="L30" s="64">
        <v>18.22</v>
      </c>
      <c r="M30" s="64">
        <v>79.680000000000007</v>
      </c>
      <c r="N30" s="64">
        <v>49.3</v>
      </c>
      <c r="O30" s="64">
        <v>0</v>
      </c>
      <c r="P30" s="64">
        <v>1.21</v>
      </c>
      <c r="Q30" s="64">
        <v>7.32</v>
      </c>
      <c r="R30" s="198"/>
      <c r="S30" s="198"/>
      <c r="T30" s="198"/>
      <c r="U30" s="198"/>
    </row>
    <row r="31" spans="1:21" s="12" customFormat="1" x14ac:dyDescent="0.25">
      <c r="A31" s="215" t="s">
        <v>1231</v>
      </c>
      <c r="B31" s="64">
        <v>38.17</v>
      </c>
      <c r="C31" s="64">
        <v>31</v>
      </c>
      <c r="D31" s="64">
        <v>69.17</v>
      </c>
      <c r="E31" s="64">
        <v>0.45</v>
      </c>
      <c r="F31" s="64">
        <v>0.34</v>
      </c>
      <c r="G31" s="64">
        <v>151.43</v>
      </c>
      <c r="H31" s="64">
        <v>74.61</v>
      </c>
      <c r="I31" s="64">
        <v>1.5</v>
      </c>
      <c r="J31" s="64">
        <v>0.09</v>
      </c>
      <c r="K31" s="64">
        <v>258.67</v>
      </c>
      <c r="L31" s="64">
        <v>18.09</v>
      </c>
      <c r="M31" s="64">
        <v>82.66</v>
      </c>
      <c r="N31" s="64">
        <v>49.7</v>
      </c>
      <c r="O31" s="64">
        <v>0</v>
      </c>
      <c r="P31" s="64">
        <v>1.2</v>
      </c>
      <c r="Q31" s="64">
        <v>7.23</v>
      </c>
      <c r="R31" s="198"/>
      <c r="S31" s="198"/>
      <c r="T31" s="198"/>
      <c r="U31" s="198"/>
    </row>
    <row r="32" spans="1:21" s="12" customFormat="1" x14ac:dyDescent="0.25">
      <c r="A32" s="215" t="s">
        <v>1232</v>
      </c>
      <c r="B32" s="64">
        <v>37.82</v>
      </c>
      <c r="C32" s="64">
        <v>31.34</v>
      </c>
      <c r="D32" s="64">
        <v>69.16</v>
      </c>
      <c r="E32" s="64">
        <v>0.48</v>
      </c>
      <c r="F32" s="64">
        <v>0.12</v>
      </c>
      <c r="G32" s="64">
        <v>151.43</v>
      </c>
      <c r="H32" s="64">
        <v>74.61</v>
      </c>
      <c r="I32" s="64">
        <v>1.46</v>
      </c>
      <c r="J32" s="64">
        <v>0.05</v>
      </c>
      <c r="K32" s="64">
        <v>197.76</v>
      </c>
      <c r="L32" s="64">
        <v>17.7</v>
      </c>
      <c r="M32" s="64">
        <v>85.93</v>
      </c>
      <c r="N32" s="64">
        <v>50.6</v>
      </c>
      <c r="O32" s="64">
        <v>0</v>
      </c>
      <c r="P32" s="64">
        <v>1.22</v>
      </c>
      <c r="Q32" s="64">
        <v>7.17</v>
      </c>
      <c r="R32" s="198"/>
      <c r="S32" s="198"/>
      <c r="T32" s="198"/>
      <c r="U32" s="198"/>
    </row>
    <row r="33" spans="1:21" s="12" customFormat="1" x14ac:dyDescent="0.25">
      <c r="A33" s="215" t="s">
        <v>1233</v>
      </c>
      <c r="B33" s="64">
        <v>38.94</v>
      </c>
      <c r="C33" s="64">
        <v>30.86</v>
      </c>
      <c r="D33" s="64">
        <v>69.8</v>
      </c>
      <c r="E33" s="64">
        <v>0.51</v>
      </c>
      <c r="F33" s="64">
        <v>0.18</v>
      </c>
      <c r="G33" s="64">
        <v>181.99</v>
      </c>
      <c r="H33" s="64">
        <v>90.12</v>
      </c>
      <c r="I33" s="64">
        <v>1.5</v>
      </c>
      <c r="J33" s="64">
        <v>0.11</v>
      </c>
      <c r="K33" s="64">
        <v>267.17</v>
      </c>
      <c r="L33" s="64">
        <v>17.600000000000001</v>
      </c>
      <c r="M33" s="64">
        <v>88.79</v>
      </c>
      <c r="N33" s="64">
        <v>55.6</v>
      </c>
      <c r="O33" s="64">
        <v>0</v>
      </c>
      <c r="P33" s="64">
        <v>1.23</v>
      </c>
      <c r="Q33" s="64">
        <v>7.09</v>
      </c>
      <c r="R33" s="198"/>
      <c r="S33" s="198"/>
      <c r="T33" s="198"/>
      <c r="U33" s="198"/>
    </row>
    <row r="34" spans="1:21" s="12" customFormat="1" x14ac:dyDescent="0.25">
      <c r="A34" s="215" t="s">
        <v>1234</v>
      </c>
      <c r="B34" s="64">
        <v>53.31</v>
      </c>
      <c r="C34" s="64">
        <v>35.32</v>
      </c>
      <c r="D34" s="64">
        <v>88.63</v>
      </c>
      <c r="E34" s="64">
        <v>0.48</v>
      </c>
      <c r="F34" s="64">
        <v>0.13</v>
      </c>
      <c r="G34" s="64">
        <v>246.28</v>
      </c>
      <c r="H34" s="64">
        <v>111.74</v>
      </c>
      <c r="I34" s="64">
        <v>1.43</v>
      </c>
      <c r="J34" s="64">
        <v>0.12</v>
      </c>
      <c r="K34" s="64">
        <v>281.85000000000002</v>
      </c>
      <c r="L34" s="64">
        <v>17.63</v>
      </c>
      <c r="M34" s="64">
        <v>91.16</v>
      </c>
      <c r="N34" s="64">
        <v>69.099999999999994</v>
      </c>
      <c r="O34" s="64">
        <v>0</v>
      </c>
      <c r="P34" s="64">
        <v>1.29</v>
      </c>
      <c r="Q34" s="64">
        <v>4.7300000000000004</v>
      </c>
      <c r="R34" s="198"/>
      <c r="S34" s="198"/>
      <c r="T34" s="198"/>
      <c r="U34" s="198"/>
    </row>
    <row r="35" spans="1:21" s="12" customFormat="1" x14ac:dyDescent="0.25">
      <c r="A35" s="215" t="s">
        <v>1235</v>
      </c>
      <c r="B35" s="64">
        <v>53.47</v>
      </c>
      <c r="C35" s="64">
        <v>38.53</v>
      </c>
      <c r="D35" s="64">
        <v>92.01</v>
      </c>
      <c r="E35" s="64">
        <v>0.5</v>
      </c>
      <c r="F35" s="64">
        <v>0.14000000000000001</v>
      </c>
      <c r="G35" s="64">
        <v>246.28</v>
      </c>
      <c r="H35" s="64">
        <v>111.74</v>
      </c>
      <c r="I35" s="64">
        <v>1.53</v>
      </c>
      <c r="J35" s="64">
        <v>0.04</v>
      </c>
      <c r="K35" s="64">
        <v>247.17</v>
      </c>
      <c r="L35" s="64">
        <v>17.95</v>
      </c>
      <c r="M35" s="64">
        <v>90.91</v>
      </c>
      <c r="N35" s="64">
        <v>87.9</v>
      </c>
      <c r="O35" s="64">
        <v>0</v>
      </c>
      <c r="P35" s="64">
        <v>1.32</v>
      </c>
      <c r="Q35" s="64">
        <v>6.79</v>
      </c>
      <c r="R35" s="198"/>
      <c r="S35" s="198"/>
      <c r="T35" s="198"/>
      <c r="U35" s="198"/>
    </row>
    <row r="36" spans="1:21" s="12" customFormat="1" x14ac:dyDescent="0.25">
      <c r="A36" s="215" t="s">
        <v>1236</v>
      </c>
      <c r="B36" s="64">
        <v>53.56</v>
      </c>
      <c r="C36" s="64">
        <v>36.119999999999997</v>
      </c>
      <c r="D36" s="64">
        <v>89.67</v>
      </c>
      <c r="E36" s="64">
        <v>0.6</v>
      </c>
      <c r="F36" s="64">
        <v>0.37</v>
      </c>
      <c r="G36" s="64">
        <v>246.28</v>
      </c>
      <c r="H36" s="64">
        <v>111.74</v>
      </c>
      <c r="I36" s="64">
        <v>1.56</v>
      </c>
      <c r="J36" s="64">
        <v>0.1</v>
      </c>
      <c r="K36" s="64">
        <v>214.94</v>
      </c>
      <c r="L36" s="64">
        <v>18.59</v>
      </c>
      <c r="M36" s="64">
        <v>90.08</v>
      </c>
      <c r="N36" s="64">
        <v>109.6</v>
      </c>
      <c r="O36" s="64">
        <v>0</v>
      </c>
      <c r="P36" s="64">
        <v>1.3</v>
      </c>
      <c r="Q36" s="64">
        <v>7.87</v>
      </c>
      <c r="R36" s="198"/>
      <c r="S36" s="198"/>
      <c r="T36" s="198"/>
      <c r="U36" s="198"/>
    </row>
    <row r="37" spans="1:21" s="12" customFormat="1" x14ac:dyDescent="0.25">
      <c r="A37" s="215" t="s">
        <v>1237</v>
      </c>
      <c r="B37" s="64">
        <v>58.66</v>
      </c>
      <c r="C37" s="64">
        <v>37.229999999999997</v>
      </c>
      <c r="D37" s="64">
        <v>95.89</v>
      </c>
      <c r="E37" s="64">
        <v>0.48</v>
      </c>
      <c r="F37" s="64">
        <v>0.24</v>
      </c>
      <c r="G37" s="64">
        <v>241.71</v>
      </c>
      <c r="H37" s="64">
        <v>111.52</v>
      </c>
      <c r="I37" s="64">
        <v>1.5</v>
      </c>
      <c r="J37" s="64">
        <v>0.05</v>
      </c>
      <c r="K37" s="64">
        <v>272.01</v>
      </c>
      <c r="L37" s="64">
        <v>19.59</v>
      </c>
      <c r="M37" s="64">
        <v>86.91</v>
      </c>
      <c r="N37" s="64">
        <v>153.80000000000001</v>
      </c>
      <c r="O37" s="64">
        <v>0</v>
      </c>
      <c r="P37" s="64">
        <v>1.37</v>
      </c>
      <c r="Q37" s="64">
        <v>8.1</v>
      </c>
      <c r="R37" s="198"/>
      <c r="S37" s="198"/>
      <c r="T37" s="198"/>
      <c r="U37" s="198"/>
    </row>
    <row r="38" spans="1:21" s="12" customFormat="1" x14ac:dyDescent="0.25">
      <c r="A38" s="215" t="s">
        <v>1238</v>
      </c>
      <c r="B38" s="64">
        <v>57.99</v>
      </c>
      <c r="C38" s="64">
        <v>32.86</v>
      </c>
      <c r="D38" s="64">
        <v>90.85</v>
      </c>
      <c r="E38" s="64">
        <v>0.54</v>
      </c>
      <c r="F38" s="64">
        <v>0.31</v>
      </c>
      <c r="G38" s="64">
        <v>231.61</v>
      </c>
      <c r="H38" s="64">
        <v>110.67</v>
      </c>
      <c r="I38" s="64">
        <v>1.53</v>
      </c>
      <c r="J38" s="64">
        <v>0.03</v>
      </c>
      <c r="K38" s="64">
        <v>45.93</v>
      </c>
      <c r="L38" s="64">
        <v>21.06</v>
      </c>
      <c r="M38" s="64">
        <v>77.36</v>
      </c>
      <c r="N38" s="64">
        <v>202.6</v>
      </c>
      <c r="O38" s="64">
        <v>0</v>
      </c>
      <c r="P38" s="64">
        <v>1.42</v>
      </c>
      <c r="Q38" s="64">
        <v>8.36</v>
      </c>
      <c r="R38" s="198"/>
      <c r="S38" s="198"/>
      <c r="T38" s="198"/>
      <c r="U38" s="198"/>
    </row>
    <row r="39" spans="1:21" s="12" customFormat="1" x14ac:dyDescent="0.25">
      <c r="A39" s="215" t="s">
        <v>1239</v>
      </c>
      <c r="B39" s="64">
        <v>57.27</v>
      </c>
      <c r="C39" s="64">
        <v>32.49</v>
      </c>
      <c r="D39" s="64">
        <v>89.76</v>
      </c>
      <c r="E39" s="64">
        <v>0.45</v>
      </c>
      <c r="F39" s="64">
        <v>0.32</v>
      </c>
      <c r="G39" s="64">
        <v>231.61</v>
      </c>
      <c r="H39" s="64">
        <v>110.67</v>
      </c>
      <c r="I39" s="64">
        <v>1.51</v>
      </c>
      <c r="J39" s="64">
        <v>0.09</v>
      </c>
      <c r="K39" s="64">
        <v>9.15</v>
      </c>
      <c r="L39" s="64">
        <v>22.13</v>
      </c>
      <c r="M39" s="64">
        <v>72.319999999999993</v>
      </c>
      <c r="N39" s="64">
        <v>244.8</v>
      </c>
      <c r="O39" s="64">
        <v>0</v>
      </c>
      <c r="P39" s="64">
        <v>1.42</v>
      </c>
      <c r="Q39" s="64">
        <v>8.59</v>
      </c>
      <c r="R39" s="198"/>
      <c r="S39" s="198"/>
      <c r="T39" s="198"/>
      <c r="U39" s="198"/>
    </row>
    <row r="40" spans="1:21" s="12" customFormat="1" x14ac:dyDescent="0.25">
      <c r="A40" s="215" t="s">
        <v>1240</v>
      </c>
      <c r="B40" s="64">
        <v>55.31</v>
      </c>
      <c r="C40" s="64">
        <v>32.19</v>
      </c>
      <c r="D40" s="64">
        <v>87.49</v>
      </c>
      <c r="E40" s="64">
        <v>0.25</v>
      </c>
      <c r="F40" s="64">
        <v>0.54</v>
      </c>
      <c r="G40" s="64">
        <v>231.61</v>
      </c>
      <c r="H40" s="64">
        <v>110.67</v>
      </c>
      <c r="I40" s="64">
        <v>1.44</v>
      </c>
      <c r="J40" s="64">
        <v>0.25</v>
      </c>
      <c r="K40" s="64">
        <v>131</v>
      </c>
      <c r="L40" s="64">
        <v>22.86</v>
      </c>
      <c r="M40" s="64">
        <v>69.89</v>
      </c>
      <c r="N40" s="64">
        <v>289.89999999999998</v>
      </c>
      <c r="O40" s="64">
        <v>0</v>
      </c>
      <c r="P40" s="64">
        <v>1.43</v>
      </c>
      <c r="Q40" s="64">
        <v>8.68</v>
      </c>
      <c r="R40" s="198"/>
      <c r="S40" s="198"/>
      <c r="T40" s="198"/>
      <c r="U40" s="198"/>
    </row>
    <row r="41" spans="1:21" s="12" customFormat="1" x14ac:dyDescent="0.25">
      <c r="A41" s="215" t="s">
        <v>1241</v>
      </c>
      <c r="B41" s="64">
        <v>53.15</v>
      </c>
      <c r="C41" s="64">
        <v>34.979999999999997</v>
      </c>
      <c r="D41" s="64">
        <v>88.13</v>
      </c>
      <c r="E41" s="64">
        <v>0.41</v>
      </c>
      <c r="F41" s="64">
        <v>0.42</v>
      </c>
      <c r="G41" s="64">
        <v>215.5</v>
      </c>
      <c r="H41" s="64">
        <v>104.94</v>
      </c>
      <c r="I41" s="64">
        <v>1.58</v>
      </c>
      <c r="J41" s="64">
        <v>0.25</v>
      </c>
      <c r="K41" s="64">
        <v>133.91</v>
      </c>
      <c r="L41" s="64">
        <v>23.24</v>
      </c>
      <c r="M41" s="64">
        <v>68.92</v>
      </c>
      <c r="N41" s="64">
        <v>335.5</v>
      </c>
      <c r="O41" s="64">
        <v>0</v>
      </c>
      <c r="P41" s="64">
        <v>1.42</v>
      </c>
      <c r="Q41" s="64">
        <v>8.6300000000000008</v>
      </c>
      <c r="R41" s="198"/>
      <c r="S41" s="198"/>
      <c r="T41" s="198"/>
      <c r="U41" s="198"/>
    </row>
    <row r="42" spans="1:21" s="12" customFormat="1" x14ac:dyDescent="0.25">
      <c r="A42" s="215" t="s">
        <v>1242</v>
      </c>
      <c r="B42" s="64">
        <v>49.99</v>
      </c>
      <c r="C42" s="64">
        <v>34.700000000000003</v>
      </c>
      <c r="D42" s="64">
        <v>84.68</v>
      </c>
      <c r="E42" s="64">
        <v>0.39</v>
      </c>
      <c r="F42" s="64">
        <v>0.73</v>
      </c>
      <c r="G42" s="64">
        <v>181.59</v>
      </c>
      <c r="H42" s="64">
        <v>96.95</v>
      </c>
      <c r="I42" s="64">
        <v>1.52</v>
      </c>
      <c r="J42" s="64">
        <v>0.56000000000000005</v>
      </c>
      <c r="K42" s="64">
        <v>148.76</v>
      </c>
      <c r="L42" s="64">
        <v>23.52</v>
      </c>
      <c r="M42" s="64">
        <v>67.81</v>
      </c>
      <c r="N42" s="64">
        <v>368.8</v>
      </c>
      <c r="O42" s="64">
        <v>0</v>
      </c>
      <c r="P42" s="64">
        <v>1.41</v>
      </c>
      <c r="Q42" s="64">
        <v>8.5</v>
      </c>
      <c r="R42" s="198"/>
      <c r="S42" s="198"/>
      <c r="T42" s="198"/>
      <c r="U42" s="198"/>
    </row>
    <row r="43" spans="1:21" s="12" customFormat="1" x14ac:dyDescent="0.25">
      <c r="A43" s="215" t="s">
        <v>1243</v>
      </c>
      <c r="B43" s="64">
        <v>45.85</v>
      </c>
      <c r="C43" s="64">
        <v>32.58</v>
      </c>
      <c r="D43" s="64">
        <v>78.430000000000007</v>
      </c>
      <c r="E43" s="64">
        <v>0.39</v>
      </c>
      <c r="F43" s="64">
        <v>1.67</v>
      </c>
      <c r="G43" s="64">
        <v>181.59</v>
      </c>
      <c r="H43" s="64">
        <v>96.95</v>
      </c>
      <c r="I43" s="64">
        <v>1.52</v>
      </c>
      <c r="J43" s="64">
        <v>0.71</v>
      </c>
      <c r="K43" s="64">
        <v>139.58000000000001</v>
      </c>
      <c r="L43" s="64">
        <v>23.74</v>
      </c>
      <c r="M43" s="64">
        <v>66.94</v>
      </c>
      <c r="N43" s="64">
        <v>422.5</v>
      </c>
      <c r="O43" s="64">
        <v>0</v>
      </c>
      <c r="P43" s="64">
        <v>1.39</v>
      </c>
      <c r="Q43" s="64">
        <v>8.4600000000000009</v>
      </c>
      <c r="R43" s="198"/>
      <c r="S43" s="198"/>
      <c r="T43" s="198"/>
      <c r="U43" s="198"/>
    </row>
    <row r="44" spans="1:21" s="12" customFormat="1" x14ac:dyDescent="0.25">
      <c r="A44" s="215" t="s">
        <v>1244</v>
      </c>
      <c r="B44" s="64">
        <v>45.64</v>
      </c>
      <c r="C44" s="64">
        <v>34.659999999999997</v>
      </c>
      <c r="D44" s="64">
        <v>80.290000000000006</v>
      </c>
      <c r="E44" s="64">
        <v>0.4</v>
      </c>
      <c r="F44" s="64">
        <v>0.76</v>
      </c>
      <c r="G44" s="64">
        <v>181.59</v>
      </c>
      <c r="H44" s="64">
        <v>96.95</v>
      </c>
      <c r="I44" s="64">
        <v>1.5</v>
      </c>
      <c r="J44" s="64">
        <v>0.4</v>
      </c>
      <c r="K44" s="64">
        <v>139.36000000000001</v>
      </c>
      <c r="L44" s="64">
        <v>24.93</v>
      </c>
      <c r="M44" s="64">
        <v>61.56</v>
      </c>
      <c r="N44" s="64">
        <v>427.8</v>
      </c>
      <c r="O44" s="64">
        <v>0</v>
      </c>
      <c r="P44" s="64">
        <v>1.39</v>
      </c>
      <c r="Q44" s="64">
        <v>8.17</v>
      </c>
      <c r="R44" s="198"/>
      <c r="S44" s="198"/>
      <c r="T44" s="198"/>
      <c r="U44" s="198"/>
    </row>
    <row r="45" spans="1:21" s="12" customFormat="1" x14ac:dyDescent="0.25">
      <c r="A45" s="215" t="s">
        <v>1245</v>
      </c>
      <c r="B45" s="64">
        <v>43.72</v>
      </c>
      <c r="C45" s="64">
        <v>36.89</v>
      </c>
      <c r="D45" s="64">
        <v>80.599999999999994</v>
      </c>
      <c r="E45" s="64">
        <v>0.47</v>
      </c>
      <c r="F45" s="64">
        <v>1.82</v>
      </c>
      <c r="G45" s="64">
        <v>181.36</v>
      </c>
      <c r="H45" s="64">
        <v>92.2</v>
      </c>
      <c r="I45" s="64">
        <v>1.5</v>
      </c>
      <c r="J45" s="64">
        <v>0.14000000000000001</v>
      </c>
      <c r="K45" s="64">
        <v>29.74</v>
      </c>
      <c r="L45" s="64">
        <v>26.38</v>
      </c>
      <c r="M45" s="64">
        <v>56.32</v>
      </c>
      <c r="N45" s="64">
        <v>495.7</v>
      </c>
      <c r="O45" s="64">
        <v>0</v>
      </c>
      <c r="P45" s="64">
        <v>1.39</v>
      </c>
      <c r="Q45" s="64">
        <v>7.79</v>
      </c>
      <c r="R45" s="198"/>
      <c r="S45" s="198"/>
      <c r="T45" s="198"/>
      <c r="U45" s="198"/>
    </row>
    <row r="46" spans="1:21" s="12" customFormat="1" x14ac:dyDescent="0.25">
      <c r="A46" s="215" t="s">
        <v>1246</v>
      </c>
      <c r="B46" s="64">
        <v>35.869999999999997</v>
      </c>
      <c r="C46" s="64">
        <v>41.96</v>
      </c>
      <c r="D46" s="64">
        <v>77.83</v>
      </c>
      <c r="E46" s="64">
        <v>0.46</v>
      </c>
      <c r="F46" s="64">
        <v>4.7300000000000004</v>
      </c>
      <c r="G46" s="64">
        <v>180.88</v>
      </c>
      <c r="H46" s="64">
        <v>85.58</v>
      </c>
      <c r="I46" s="64">
        <v>1.61</v>
      </c>
      <c r="J46" s="64">
        <v>0.36</v>
      </c>
      <c r="K46" s="64">
        <v>345.86</v>
      </c>
      <c r="L46" s="64">
        <v>28.95</v>
      </c>
      <c r="M46" s="64">
        <v>46.26</v>
      </c>
      <c r="N46" s="64">
        <v>519.70000000000005</v>
      </c>
      <c r="O46" s="64">
        <v>0</v>
      </c>
      <c r="P46" s="64">
        <v>1.39</v>
      </c>
      <c r="Q46" s="64">
        <v>7.65</v>
      </c>
      <c r="R46" s="198"/>
      <c r="S46" s="198"/>
      <c r="T46" s="198"/>
      <c r="U46" s="198"/>
    </row>
    <row r="47" spans="1:21" s="12" customFormat="1" x14ac:dyDescent="0.25">
      <c r="A47" s="215" t="s">
        <v>1247</v>
      </c>
      <c r="B47" s="64">
        <v>34.22</v>
      </c>
      <c r="C47" s="64">
        <v>42.39</v>
      </c>
      <c r="D47" s="64">
        <v>76.61</v>
      </c>
      <c r="E47" s="64">
        <v>0.52</v>
      </c>
      <c r="F47" s="64">
        <v>4.07</v>
      </c>
      <c r="G47" s="64">
        <v>180.88</v>
      </c>
      <c r="H47" s="64">
        <v>85.58</v>
      </c>
      <c r="I47" s="64">
        <v>1.54</v>
      </c>
      <c r="J47" s="64">
        <v>0.41</v>
      </c>
      <c r="K47" s="64">
        <v>339.72</v>
      </c>
      <c r="L47" s="64">
        <v>30.07</v>
      </c>
      <c r="M47" s="64">
        <v>41.62</v>
      </c>
      <c r="N47" s="64">
        <v>550.70000000000005</v>
      </c>
      <c r="O47" s="64">
        <v>0</v>
      </c>
      <c r="P47" s="64">
        <v>1.4</v>
      </c>
      <c r="Q47" s="64">
        <v>7.7</v>
      </c>
      <c r="R47" s="198"/>
      <c r="S47" s="198"/>
      <c r="T47" s="198"/>
      <c r="U47" s="198"/>
    </row>
    <row r="48" spans="1:21" s="12" customFormat="1" x14ac:dyDescent="0.25">
      <c r="A48" s="215" t="s">
        <v>1248</v>
      </c>
      <c r="B48" s="64">
        <v>35</v>
      </c>
      <c r="C48" s="64">
        <v>45.57</v>
      </c>
      <c r="D48" s="64">
        <v>80.58</v>
      </c>
      <c r="E48" s="64">
        <v>0.46</v>
      </c>
      <c r="F48" s="64">
        <v>2.5</v>
      </c>
      <c r="G48" s="64">
        <v>180.88</v>
      </c>
      <c r="H48" s="64">
        <v>85.58</v>
      </c>
      <c r="I48" s="64">
        <v>1.47</v>
      </c>
      <c r="J48" s="64">
        <v>0.14000000000000001</v>
      </c>
      <c r="K48" s="64">
        <v>355.1</v>
      </c>
      <c r="L48" s="64">
        <v>30.55</v>
      </c>
      <c r="M48" s="64">
        <v>38.68</v>
      </c>
      <c r="N48" s="64">
        <v>593.20000000000005</v>
      </c>
      <c r="O48" s="64">
        <v>0</v>
      </c>
      <c r="P48" s="64">
        <v>1.41</v>
      </c>
      <c r="Q48" s="64">
        <v>7.44</v>
      </c>
      <c r="R48" s="198"/>
      <c r="S48" s="198"/>
      <c r="T48" s="198"/>
      <c r="U48" s="198"/>
    </row>
    <row r="49" spans="1:21" s="12" customFormat="1" x14ac:dyDescent="0.25">
      <c r="A49" s="215" t="s">
        <v>1249</v>
      </c>
      <c r="B49" s="64">
        <v>33.729999999999997</v>
      </c>
      <c r="C49" s="64">
        <v>42.58</v>
      </c>
      <c r="D49" s="64">
        <v>76.31</v>
      </c>
      <c r="E49" s="64">
        <v>0.44</v>
      </c>
      <c r="F49" s="64">
        <v>1.1399999999999999</v>
      </c>
      <c r="G49" s="64">
        <v>171.05</v>
      </c>
      <c r="H49" s="64">
        <v>84.24</v>
      </c>
      <c r="I49" s="64">
        <v>1.51</v>
      </c>
      <c r="J49" s="64">
        <v>0.31</v>
      </c>
      <c r="K49" s="64">
        <v>341.81</v>
      </c>
      <c r="L49" s="64">
        <v>30.18</v>
      </c>
      <c r="M49" s="64">
        <v>38.69</v>
      </c>
      <c r="N49" s="64">
        <v>626.5</v>
      </c>
      <c r="O49" s="64">
        <v>0</v>
      </c>
      <c r="P49" s="64">
        <v>1.4</v>
      </c>
      <c r="Q49" s="64">
        <v>7.17</v>
      </c>
      <c r="R49" s="198"/>
      <c r="S49" s="198"/>
      <c r="T49" s="198"/>
      <c r="U49" s="198"/>
    </row>
    <row r="50" spans="1:21" s="12" customFormat="1" x14ac:dyDescent="0.25">
      <c r="A50" s="215" t="s">
        <v>1250</v>
      </c>
      <c r="B50" s="64">
        <v>27.46</v>
      </c>
      <c r="C50" s="64">
        <v>35.54</v>
      </c>
      <c r="D50" s="64">
        <v>63</v>
      </c>
      <c r="E50" s="64">
        <v>0.4</v>
      </c>
      <c r="F50" s="64">
        <v>2.36</v>
      </c>
      <c r="G50" s="64">
        <v>150.37</v>
      </c>
      <c r="H50" s="64">
        <v>82.36</v>
      </c>
      <c r="I50" s="64">
        <v>1.4</v>
      </c>
      <c r="J50" s="64">
        <v>0.16</v>
      </c>
      <c r="K50" s="64">
        <v>8.99</v>
      </c>
      <c r="L50" s="64">
        <v>30.61</v>
      </c>
      <c r="M50" s="64">
        <v>35.24</v>
      </c>
      <c r="N50" s="64">
        <v>656.1</v>
      </c>
      <c r="O50" s="64">
        <v>0</v>
      </c>
      <c r="P50" s="64">
        <v>1.36</v>
      </c>
      <c r="Q50" s="64">
        <v>7.03</v>
      </c>
      <c r="R50" s="198"/>
      <c r="S50" s="198"/>
      <c r="T50" s="198"/>
      <c r="U50" s="198"/>
    </row>
    <row r="51" spans="1:21" s="12" customFormat="1" x14ac:dyDescent="0.25">
      <c r="A51" s="215" t="s">
        <v>1251</v>
      </c>
      <c r="B51" s="64">
        <v>24.39</v>
      </c>
      <c r="C51" s="64">
        <v>36.54</v>
      </c>
      <c r="D51" s="64">
        <v>60.93</v>
      </c>
      <c r="E51" s="64">
        <v>0.41</v>
      </c>
      <c r="F51" s="64">
        <v>3.62</v>
      </c>
      <c r="G51" s="64">
        <v>150.37</v>
      </c>
      <c r="H51" s="64">
        <v>82.36</v>
      </c>
      <c r="I51" s="64">
        <v>1.47</v>
      </c>
      <c r="J51" s="64">
        <v>0.33</v>
      </c>
      <c r="K51" s="64">
        <v>345.48</v>
      </c>
      <c r="L51" s="64">
        <v>31.79</v>
      </c>
      <c r="M51" s="64">
        <v>33.869999999999997</v>
      </c>
      <c r="N51" s="64">
        <v>655.6</v>
      </c>
      <c r="O51" s="64">
        <v>0</v>
      </c>
      <c r="P51" s="64">
        <v>1.33</v>
      </c>
      <c r="Q51" s="64">
        <v>6.7</v>
      </c>
      <c r="R51" s="198"/>
      <c r="S51" s="198"/>
      <c r="T51" s="198"/>
      <c r="U51" s="198"/>
    </row>
    <row r="52" spans="1:21" s="12" customFormat="1" x14ac:dyDescent="0.25">
      <c r="A52" s="215" t="s">
        <v>1252</v>
      </c>
      <c r="B52" s="64">
        <v>19.21</v>
      </c>
      <c r="C52" s="64">
        <v>44.79</v>
      </c>
      <c r="D52" s="64">
        <v>63.99</v>
      </c>
      <c r="E52" s="64">
        <v>0.42</v>
      </c>
      <c r="F52" s="64">
        <v>6.33</v>
      </c>
      <c r="G52" s="64">
        <v>150.37</v>
      </c>
      <c r="H52" s="64">
        <v>82.36</v>
      </c>
      <c r="I52" s="64">
        <v>1.47</v>
      </c>
      <c r="J52" s="64">
        <v>0.25</v>
      </c>
      <c r="K52" s="64">
        <v>356.65</v>
      </c>
      <c r="L52" s="64">
        <v>31.09</v>
      </c>
      <c r="M52" s="64">
        <v>35.83</v>
      </c>
      <c r="N52" s="64">
        <v>667.9</v>
      </c>
      <c r="O52" s="64">
        <v>0</v>
      </c>
      <c r="P52" s="64">
        <v>1.26</v>
      </c>
      <c r="Q52" s="64">
        <v>6.34</v>
      </c>
      <c r="R52" s="198"/>
      <c r="S52" s="198"/>
      <c r="T52" s="198"/>
      <c r="U52" s="198"/>
    </row>
    <row r="53" spans="1:21" s="12" customFormat="1" x14ac:dyDescent="0.25">
      <c r="A53" s="215" t="s">
        <v>1253</v>
      </c>
      <c r="B53" s="64">
        <v>16.079999999999998</v>
      </c>
      <c r="C53" s="64">
        <v>40.56</v>
      </c>
      <c r="D53" s="64">
        <v>56.64</v>
      </c>
      <c r="E53" s="64">
        <v>0.46</v>
      </c>
      <c r="F53" s="64">
        <v>3.76</v>
      </c>
      <c r="G53" s="64">
        <v>137.72999999999999</v>
      </c>
      <c r="H53" s="64">
        <v>78.73</v>
      </c>
      <c r="I53" s="64">
        <v>1.43</v>
      </c>
      <c r="J53" s="64">
        <v>0.39</v>
      </c>
      <c r="K53" s="64">
        <v>348.76</v>
      </c>
      <c r="L53" s="64">
        <v>31.59</v>
      </c>
      <c r="M53" s="64">
        <v>35.090000000000003</v>
      </c>
      <c r="N53" s="64">
        <v>667</v>
      </c>
      <c r="O53" s="64">
        <v>0</v>
      </c>
      <c r="P53" s="64">
        <v>1.29</v>
      </c>
      <c r="Q53" s="64">
        <v>6.15</v>
      </c>
      <c r="R53" s="198"/>
      <c r="S53" s="198"/>
      <c r="T53" s="198"/>
      <c r="U53" s="198"/>
    </row>
    <row r="54" spans="1:21" s="12" customFormat="1" x14ac:dyDescent="0.25">
      <c r="A54" s="215" t="s">
        <v>1254</v>
      </c>
      <c r="B54" s="64">
        <v>13.67</v>
      </c>
      <c r="C54" s="64">
        <v>42.13</v>
      </c>
      <c r="D54" s="64">
        <v>55.8</v>
      </c>
      <c r="E54" s="64">
        <v>0.42</v>
      </c>
      <c r="F54" s="64">
        <v>5.21</v>
      </c>
      <c r="G54" s="64">
        <v>111.14</v>
      </c>
      <c r="H54" s="64">
        <v>73.67</v>
      </c>
      <c r="I54" s="64">
        <v>1.54</v>
      </c>
      <c r="J54" s="64">
        <v>0.08</v>
      </c>
      <c r="K54" s="64">
        <v>29.39</v>
      </c>
      <c r="L54" s="64">
        <v>31.62</v>
      </c>
      <c r="M54" s="64">
        <v>34.299999999999997</v>
      </c>
      <c r="N54" s="64">
        <v>657.8</v>
      </c>
      <c r="O54" s="64">
        <v>0</v>
      </c>
      <c r="P54" s="64">
        <v>1.25</v>
      </c>
      <c r="Q54" s="64">
        <v>5.84</v>
      </c>
      <c r="R54" s="198"/>
      <c r="S54" s="198"/>
      <c r="T54" s="198"/>
      <c r="U54" s="198"/>
    </row>
    <row r="55" spans="1:21" s="12" customFormat="1" x14ac:dyDescent="0.25">
      <c r="A55" s="215" t="s">
        <v>1255</v>
      </c>
      <c r="B55" s="64">
        <v>12.69</v>
      </c>
      <c r="C55" s="64">
        <v>38.72</v>
      </c>
      <c r="D55" s="64">
        <v>51.42</v>
      </c>
      <c r="E55" s="64">
        <v>0.44</v>
      </c>
      <c r="F55" s="64">
        <v>3.79</v>
      </c>
      <c r="G55" s="64">
        <v>111.14</v>
      </c>
      <c r="H55" s="64">
        <v>73.67</v>
      </c>
      <c r="I55" s="64">
        <v>1.47</v>
      </c>
      <c r="J55" s="64">
        <v>0.24</v>
      </c>
      <c r="K55" s="64">
        <v>332.44</v>
      </c>
      <c r="L55" s="64">
        <v>31.92</v>
      </c>
      <c r="M55" s="64">
        <v>33.25</v>
      </c>
      <c r="N55" s="64">
        <v>656</v>
      </c>
      <c r="O55" s="64">
        <v>0</v>
      </c>
      <c r="P55" s="64">
        <v>1.24</v>
      </c>
      <c r="Q55" s="64">
        <v>5.64</v>
      </c>
      <c r="R55" s="198"/>
      <c r="S55" s="198"/>
      <c r="T55" s="198"/>
      <c r="U55" s="198"/>
    </row>
    <row r="56" spans="1:21" s="12" customFormat="1" x14ac:dyDescent="0.25">
      <c r="A56" s="215" t="s">
        <v>1256</v>
      </c>
      <c r="B56" s="64">
        <v>9.65</v>
      </c>
      <c r="C56" s="64">
        <v>37.450000000000003</v>
      </c>
      <c r="D56" s="64">
        <v>47.1</v>
      </c>
      <c r="E56" s="64">
        <v>0.34</v>
      </c>
      <c r="F56" s="64">
        <v>5.21</v>
      </c>
      <c r="G56" s="64">
        <v>111.14</v>
      </c>
      <c r="H56" s="64">
        <v>73.67</v>
      </c>
      <c r="I56" s="64">
        <v>1.53</v>
      </c>
      <c r="J56" s="64">
        <v>0.09</v>
      </c>
      <c r="K56" s="64">
        <v>348.82</v>
      </c>
      <c r="L56" s="64">
        <v>31.86</v>
      </c>
      <c r="M56" s="64">
        <v>31.76</v>
      </c>
      <c r="N56" s="64">
        <v>663.9</v>
      </c>
      <c r="O56" s="64">
        <v>0</v>
      </c>
      <c r="P56" s="64">
        <v>1.21</v>
      </c>
      <c r="Q56" s="64">
        <v>5.37</v>
      </c>
      <c r="R56" s="198"/>
      <c r="S56" s="198"/>
      <c r="T56" s="198"/>
      <c r="U56" s="198"/>
    </row>
    <row r="57" spans="1:21" s="12" customFormat="1" x14ac:dyDescent="0.25">
      <c r="A57" s="215" t="s">
        <v>1257</v>
      </c>
      <c r="B57" s="64">
        <v>7.76</v>
      </c>
      <c r="C57" s="64">
        <v>40.53</v>
      </c>
      <c r="D57" s="64">
        <v>48.29</v>
      </c>
      <c r="E57" s="64">
        <v>0.64</v>
      </c>
      <c r="F57" s="64">
        <v>9.75</v>
      </c>
      <c r="G57" s="64">
        <v>109.54</v>
      </c>
      <c r="H57" s="64">
        <v>68.14</v>
      </c>
      <c r="I57" s="64">
        <v>1.53</v>
      </c>
      <c r="J57" s="64">
        <v>0.05</v>
      </c>
      <c r="K57" s="64">
        <v>349.11</v>
      </c>
      <c r="L57" s="64">
        <v>32.57</v>
      </c>
      <c r="M57" s="64">
        <v>30.16</v>
      </c>
      <c r="N57" s="64">
        <v>657.7</v>
      </c>
      <c r="O57" s="64">
        <v>0</v>
      </c>
      <c r="P57" s="64">
        <v>1.18</v>
      </c>
      <c r="Q57" s="64">
        <v>4.95</v>
      </c>
      <c r="R57" s="198"/>
      <c r="S57" s="198"/>
      <c r="T57" s="198"/>
      <c r="U57" s="198"/>
    </row>
    <row r="58" spans="1:21" s="12" customFormat="1" x14ac:dyDescent="0.25">
      <c r="A58" s="215" t="s">
        <v>1258</v>
      </c>
      <c r="B58" s="64">
        <v>5.42</v>
      </c>
      <c r="C58" s="64">
        <v>36.770000000000003</v>
      </c>
      <c r="D58" s="64">
        <v>42.19</v>
      </c>
      <c r="E58" s="64">
        <v>1.07</v>
      </c>
      <c r="F58" s="64">
        <v>28.65</v>
      </c>
      <c r="G58" s="64">
        <v>106.19</v>
      </c>
      <c r="H58" s="64">
        <v>60.43</v>
      </c>
      <c r="I58" s="64">
        <v>1.48</v>
      </c>
      <c r="J58" s="64">
        <v>0.46</v>
      </c>
      <c r="K58" s="64">
        <v>339.49</v>
      </c>
      <c r="L58" s="64">
        <v>32.369999999999997</v>
      </c>
      <c r="M58" s="64">
        <v>29.42</v>
      </c>
      <c r="N58" s="64">
        <v>618.9</v>
      </c>
      <c r="O58" s="64">
        <v>0</v>
      </c>
      <c r="P58" s="64">
        <v>1.02</v>
      </c>
      <c r="Q58" s="64">
        <v>4.92</v>
      </c>
      <c r="R58" s="198"/>
      <c r="S58" s="198"/>
      <c r="T58" s="198"/>
      <c r="U58" s="198"/>
    </row>
    <row r="59" spans="1:21" s="12" customFormat="1" x14ac:dyDescent="0.25">
      <c r="A59" s="215" t="s">
        <v>1259</v>
      </c>
      <c r="B59" s="64">
        <v>5.0999999999999996</v>
      </c>
      <c r="C59" s="64">
        <v>38.450000000000003</v>
      </c>
      <c r="D59" s="64">
        <v>43.55</v>
      </c>
      <c r="E59" s="64">
        <v>1.47</v>
      </c>
      <c r="F59" s="64">
        <v>17.55</v>
      </c>
      <c r="G59" s="64">
        <v>106.19</v>
      </c>
      <c r="H59" s="64">
        <v>60.43</v>
      </c>
      <c r="I59" s="64">
        <v>1.51</v>
      </c>
      <c r="J59" s="64">
        <v>0.22</v>
      </c>
      <c r="K59" s="64">
        <v>92.41</v>
      </c>
      <c r="L59" s="64">
        <v>31.7</v>
      </c>
      <c r="M59" s="64">
        <v>30.99</v>
      </c>
      <c r="N59" s="64">
        <v>580.6</v>
      </c>
      <c r="O59" s="64">
        <v>0</v>
      </c>
      <c r="P59" s="64">
        <v>1.05</v>
      </c>
      <c r="Q59" s="64">
        <v>4.8499999999999996</v>
      </c>
      <c r="R59" s="198"/>
      <c r="S59" s="198"/>
      <c r="T59" s="198"/>
      <c r="U59" s="198"/>
    </row>
    <row r="60" spans="1:21" s="12" customFormat="1" x14ac:dyDescent="0.25">
      <c r="A60" s="215" t="s">
        <v>1260</v>
      </c>
      <c r="B60" s="64">
        <v>3.64</v>
      </c>
      <c r="C60" s="64">
        <v>36.82</v>
      </c>
      <c r="D60" s="64">
        <v>40.47</v>
      </c>
      <c r="E60" s="64">
        <v>1.39</v>
      </c>
      <c r="F60" s="64">
        <v>13.6</v>
      </c>
      <c r="G60" s="64">
        <v>106.19</v>
      </c>
      <c r="H60" s="64">
        <v>60.43</v>
      </c>
      <c r="I60" s="64">
        <v>1.55</v>
      </c>
      <c r="J60" s="64">
        <v>0.9</v>
      </c>
      <c r="K60" s="64">
        <v>127.81</v>
      </c>
      <c r="L60" s="64">
        <v>29.85</v>
      </c>
      <c r="M60" s="64">
        <v>32.97</v>
      </c>
      <c r="N60" s="64">
        <v>553.5</v>
      </c>
      <c r="O60" s="64">
        <v>0</v>
      </c>
      <c r="P60" s="64">
        <v>1.06</v>
      </c>
      <c r="Q60" s="64">
        <v>5.12</v>
      </c>
      <c r="R60" s="198"/>
      <c r="S60" s="198"/>
      <c r="T60" s="198"/>
      <c r="U60" s="198"/>
    </row>
    <row r="61" spans="1:21" s="12" customFormat="1" x14ac:dyDescent="0.25">
      <c r="A61" s="215" t="s">
        <v>1261</v>
      </c>
      <c r="B61" s="64">
        <v>3.82</v>
      </c>
      <c r="C61" s="64">
        <v>40.58</v>
      </c>
      <c r="D61" s="64">
        <v>44.4</v>
      </c>
      <c r="E61" s="64">
        <v>1.31</v>
      </c>
      <c r="F61" s="64">
        <v>20.74</v>
      </c>
      <c r="G61" s="64">
        <v>104.6</v>
      </c>
      <c r="H61" s="64">
        <v>60.43</v>
      </c>
      <c r="I61" s="64">
        <v>1.45</v>
      </c>
      <c r="J61" s="64">
        <v>0.45</v>
      </c>
      <c r="K61" s="64">
        <v>343</v>
      </c>
      <c r="L61" s="64">
        <v>30.57</v>
      </c>
      <c r="M61" s="64">
        <v>32.82</v>
      </c>
      <c r="N61" s="64">
        <v>500.8</v>
      </c>
      <c r="O61" s="64">
        <v>0</v>
      </c>
      <c r="P61" s="64">
        <v>1.01</v>
      </c>
      <c r="Q61" s="64">
        <v>5.16</v>
      </c>
      <c r="R61" s="198"/>
      <c r="S61" s="198"/>
      <c r="T61" s="198"/>
      <c r="U61" s="198"/>
    </row>
    <row r="62" spans="1:21" s="12" customFormat="1" x14ac:dyDescent="0.25">
      <c r="A62" s="215" t="s">
        <v>1262</v>
      </c>
      <c r="B62" s="64">
        <v>3.06</v>
      </c>
      <c r="C62" s="64">
        <v>41.06</v>
      </c>
      <c r="D62" s="64">
        <v>44.12</v>
      </c>
      <c r="E62" s="64">
        <v>1.51</v>
      </c>
      <c r="F62" s="64">
        <v>25.39</v>
      </c>
      <c r="G62" s="64">
        <v>101.26</v>
      </c>
      <c r="H62" s="64">
        <v>60.4</v>
      </c>
      <c r="I62" s="64">
        <v>1.5</v>
      </c>
      <c r="J62" s="64">
        <v>0.3</v>
      </c>
      <c r="K62" s="64">
        <v>355.68</v>
      </c>
      <c r="L62" s="64">
        <v>31.44</v>
      </c>
      <c r="M62" s="64">
        <v>31.93</v>
      </c>
      <c r="N62" s="64">
        <v>456</v>
      </c>
      <c r="O62" s="64">
        <v>0</v>
      </c>
      <c r="P62" s="64">
        <v>1.07</v>
      </c>
      <c r="Q62" s="64">
        <v>5.19</v>
      </c>
      <c r="R62" s="198"/>
      <c r="S62" s="198"/>
      <c r="T62" s="198"/>
      <c r="U62" s="198"/>
    </row>
    <row r="63" spans="1:21" s="12" customFormat="1" x14ac:dyDescent="0.25">
      <c r="A63" s="215" t="s">
        <v>1263</v>
      </c>
      <c r="B63" s="64">
        <v>2.62</v>
      </c>
      <c r="C63" s="64">
        <v>40.369999999999997</v>
      </c>
      <c r="D63" s="64">
        <v>42.99</v>
      </c>
      <c r="E63" s="64">
        <v>0.93</v>
      </c>
      <c r="F63" s="64">
        <v>26.39</v>
      </c>
      <c r="G63" s="64">
        <v>101.26</v>
      </c>
      <c r="H63" s="64">
        <v>60.4</v>
      </c>
      <c r="I63" s="64">
        <v>1.54</v>
      </c>
      <c r="J63" s="64">
        <v>0.05</v>
      </c>
      <c r="K63" s="64">
        <v>55.59</v>
      </c>
      <c r="L63" s="64">
        <v>30.69</v>
      </c>
      <c r="M63" s="64">
        <v>32.89</v>
      </c>
      <c r="N63" s="64">
        <v>420.9</v>
      </c>
      <c r="O63" s="64">
        <v>0</v>
      </c>
      <c r="P63" s="64">
        <v>1.03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1264</v>
      </c>
      <c r="B64" s="64">
        <v>2.06</v>
      </c>
      <c r="C64" s="64">
        <v>35.020000000000003</v>
      </c>
      <c r="D64" s="64">
        <v>37.08</v>
      </c>
      <c r="E64" s="64">
        <v>1.36</v>
      </c>
      <c r="F64" s="64">
        <v>13.14</v>
      </c>
      <c r="G64" s="64">
        <v>101.26</v>
      </c>
      <c r="H64" s="64">
        <v>60.4</v>
      </c>
      <c r="I64" s="64">
        <v>1.53</v>
      </c>
      <c r="J64" s="64">
        <v>0.18</v>
      </c>
      <c r="K64" s="64">
        <v>104.86</v>
      </c>
      <c r="L64" s="64">
        <v>30.56</v>
      </c>
      <c r="M64" s="64">
        <v>33.17</v>
      </c>
      <c r="N64" s="64">
        <v>298.5</v>
      </c>
      <c r="O64" s="64">
        <v>0</v>
      </c>
      <c r="P64" s="64">
        <v>1.04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1265</v>
      </c>
      <c r="B65" s="64">
        <v>3.7</v>
      </c>
      <c r="C65" s="64">
        <v>47.26</v>
      </c>
      <c r="D65" s="64">
        <v>50.96</v>
      </c>
      <c r="E65" s="64">
        <v>1.06</v>
      </c>
      <c r="F65" s="64">
        <v>26.76</v>
      </c>
      <c r="G65" s="64">
        <v>103.03</v>
      </c>
      <c r="H65" s="64">
        <v>57.19</v>
      </c>
      <c r="I65" s="64">
        <v>1.48</v>
      </c>
      <c r="J65" s="64">
        <v>0.28999999999999998</v>
      </c>
      <c r="K65" s="64">
        <v>343.25</v>
      </c>
      <c r="L65" s="64">
        <v>30.05</v>
      </c>
      <c r="M65" s="64">
        <v>33.83</v>
      </c>
      <c r="N65" s="64">
        <v>209.8</v>
      </c>
      <c r="O65" s="64">
        <v>0</v>
      </c>
      <c r="P65" s="64">
        <v>1.03</v>
      </c>
      <c r="Q65" s="64">
        <v>4.6100000000000003</v>
      </c>
      <c r="R65" s="198"/>
      <c r="S65" s="198"/>
      <c r="T65" s="198"/>
      <c r="U65" s="198"/>
    </row>
    <row r="66" spans="1:21" s="12" customFormat="1" x14ac:dyDescent="0.25">
      <c r="A66" s="215" t="s">
        <v>1266</v>
      </c>
      <c r="B66" s="64">
        <v>4.0999999999999996</v>
      </c>
      <c r="C66" s="64">
        <v>45.93</v>
      </c>
      <c r="D66" s="64">
        <v>50.03</v>
      </c>
      <c r="E66" s="64">
        <v>1.83</v>
      </c>
      <c r="F66" s="64">
        <v>34.11</v>
      </c>
      <c r="G66" s="64">
        <v>106.76</v>
      </c>
      <c r="H66" s="64">
        <v>52.73</v>
      </c>
      <c r="I66" s="64">
        <v>1.48</v>
      </c>
      <c r="J66" s="64">
        <v>0.39</v>
      </c>
      <c r="K66" s="64">
        <v>332.31</v>
      </c>
      <c r="L66" s="64">
        <v>30.95</v>
      </c>
      <c r="M66" s="64">
        <v>32.51</v>
      </c>
      <c r="N66" s="64">
        <v>197.2</v>
      </c>
      <c r="O66" s="64">
        <v>0</v>
      </c>
      <c r="P66" s="64">
        <v>1.06</v>
      </c>
      <c r="Q66" s="64">
        <v>4.7300000000000004</v>
      </c>
      <c r="R66" s="198"/>
      <c r="S66" s="198"/>
      <c r="T66" s="198"/>
      <c r="U66" s="198"/>
    </row>
    <row r="67" spans="1:21" s="12" customFormat="1" x14ac:dyDescent="0.25">
      <c r="A67" s="215" t="s">
        <v>1267</v>
      </c>
      <c r="B67" s="64">
        <v>2.06</v>
      </c>
      <c r="C67" s="64">
        <v>43.44</v>
      </c>
      <c r="D67" s="64">
        <v>45.5</v>
      </c>
      <c r="E67" s="64">
        <v>1.87</v>
      </c>
      <c r="F67" s="64">
        <v>27.51</v>
      </c>
      <c r="G67" s="64">
        <v>106.76</v>
      </c>
      <c r="H67" s="64">
        <v>52.73</v>
      </c>
      <c r="I67" s="64">
        <v>1.45</v>
      </c>
      <c r="J67" s="64">
        <v>0.06</v>
      </c>
      <c r="K67" s="64">
        <v>115.51</v>
      </c>
      <c r="L67" s="64">
        <v>30.08</v>
      </c>
      <c r="M67" s="64">
        <v>33.49</v>
      </c>
      <c r="N67" s="64">
        <v>181.3</v>
      </c>
      <c r="O67" s="64">
        <v>0</v>
      </c>
      <c r="P67" s="64">
        <v>0.97</v>
      </c>
      <c r="Q67" s="64">
        <v>5.2</v>
      </c>
      <c r="R67" s="198"/>
      <c r="S67" s="198"/>
      <c r="T67" s="198"/>
      <c r="U67" s="198"/>
    </row>
    <row r="68" spans="1:21" s="12" customFormat="1" x14ac:dyDescent="0.25">
      <c r="A68" s="215" t="s">
        <v>1268</v>
      </c>
      <c r="B68" s="64">
        <v>2</v>
      </c>
      <c r="C68" s="64">
        <v>41.02</v>
      </c>
      <c r="D68" s="64">
        <v>43.02</v>
      </c>
      <c r="E68" s="64">
        <v>2.31</v>
      </c>
      <c r="F68" s="64">
        <v>45.39</v>
      </c>
      <c r="G68" s="64">
        <v>106.76</v>
      </c>
      <c r="H68" s="64">
        <v>52.73</v>
      </c>
      <c r="I68" s="64">
        <v>1.45</v>
      </c>
      <c r="J68" s="64">
        <v>0.64</v>
      </c>
      <c r="K68" s="64">
        <v>140.93</v>
      </c>
      <c r="L68" s="64">
        <v>29.16</v>
      </c>
      <c r="M68" s="64">
        <v>34.119999999999997</v>
      </c>
      <c r="N68" s="64">
        <v>161.30000000000001</v>
      </c>
      <c r="O68" s="64">
        <v>0</v>
      </c>
      <c r="P68" s="64">
        <v>0.77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1269</v>
      </c>
      <c r="B69" s="64">
        <v>2</v>
      </c>
      <c r="C69" s="64">
        <v>35.61</v>
      </c>
      <c r="D69" s="64">
        <v>37.61</v>
      </c>
      <c r="E69" s="64">
        <v>2.69</v>
      </c>
      <c r="F69" s="64">
        <v>41.87</v>
      </c>
      <c r="G69" s="64">
        <v>108.15</v>
      </c>
      <c r="H69" s="64">
        <v>53.54</v>
      </c>
      <c r="I69" s="64">
        <v>1.51</v>
      </c>
      <c r="J69" s="64">
        <v>1.07</v>
      </c>
      <c r="K69" s="64">
        <v>147.32</v>
      </c>
      <c r="L69" s="64">
        <v>28.47</v>
      </c>
      <c r="M69" s="64">
        <v>34.64</v>
      </c>
      <c r="N69" s="64">
        <v>144</v>
      </c>
      <c r="O69" s="64">
        <v>0</v>
      </c>
      <c r="P69" s="64">
        <v>0.78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1270</v>
      </c>
      <c r="B70" s="64">
        <v>2</v>
      </c>
      <c r="C70" s="64">
        <v>39.770000000000003</v>
      </c>
      <c r="D70" s="64">
        <v>41.77</v>
      </c>
      <c r="E70" s="64">
        <v>3.52</v>
      </c>
      <c r="F70" s="64">
        <v>56.45</v>
      </c>
      <c r="G70" s="64">
        <v>111.06</v>
      </c>
      <c r="H70" s="64">
        <v>54.66</v>
      </c>
      <c r="I70" s="64">
        <v>1.48</v>
      </c>
      <c r="J70" s="64">
        <v>0.92</v>
      </c>
      <c r="K70" s="64">
        <v>138.74</v>
      </c>
      <c r="L70" s="64">
        <v>28.28</v>
      </c>
      <c r="M70" s="64">
        <v>35</v>
      </c>
      <c r="N70" s="64">
        <v>125.4</v>
      </c>
      <c r="O70" s="64">
        <v>0</v>
      </c>
      <c r="P70" s="64">
        <v>0.71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1271</v>
      </c>
      <c r="B71" s="64">
        <v>2</v>
      </c>
      <c r="C71" s="64">
        <v>32.03</v>
      </c>
      <c r="D71" s="64">
        <v>34.03</v>
      </c>
      <c r="E71" s="64">
        <v>3.73</v>
      </c>
      <c r="F71" s="64">
        <v>56.98</v>
      </c>
      <c r="G71" s="64">
        <v>111.06</v>
      </c>
      <c r="H71" s="64">
        <v>54.66</v>
      </c>
      <c r="I71" s="64">
        <v>1.57</v>
      </c>
      <c r="J71" s="64">
        <v>0.28999999999999998</v>
      </c>
      <c r="K71" s="64">
        <v>127.26</v>
      </c>
      <c r="L71" s="64">
        <v>28.12</v>
      </c>
      <c r="M71" s="64">
        <v>35.4</v>
      </c>
      <c r="N71" s="64">
        <v>110.7</v>
      </c>
      <c r="O71" s="64">
        <v>0</v>
      </c>
      <c r="P71" s="64">
        <v>0.67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1272</v>
      </c>
      <c r="B72" s="64">
        <v>2</v>
      </c>
      <c r="C72" s="64">
        <v>31.67</v>
      </c>
      <c r="D72" s="64">
        <v>33.67</v>
      </c>
      <c r="E72" s="64">
        <v>2.2799999999999998</v>
      </c>
      <c r="F72" s="64">
        <v>58.84</v>
      </c>
      <c r="G72" s="64">
        <v>111.06</v>
      </c>
      <c r="H72" s="64">
        <v>54.66</v>
      </c>
      <c r="I72" s="64">
        <v>1.44</v>
      </c>
      <c r="J72" s="64">
        <v>0.09</v>
      </c>
      <c r="K72" s="64">
        <v>151.38</v>
      </c>
      <c r="L72" s="64">
        <v>28.18</v>
      </c>
      <c r="M72" s="64">
        <v>35.5</v>
      </c>
      <c r="N72" s="64">
        <v>96.1</v>
      </c>
      <c r="O72" s="64">
        <v>0</v>
      </c>
      <c r="P72" s="64">
        <v>0.64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1273</v>
      </c>
      <c r="B73" s="64">
        <v>2</v>
      </c>
      <c r="C73" s="64">
        <v>33.880000000000003</v>
      </c>
      <c r="D73" s="64">
        <v>35.880000000000003</v>
      </c>
      <c r="E73" s="64">
        <v>3.79</v>
      </c>
      <c r="F73" s="64">
        <v>66.67</v>
      </c>
      <c r="G73" s="64">
        <v>103.77</v>
      </c>
      <c r="H73" s="64">
        <v>53.49</v>
      </c>
      <c r="I73" s="64">
        <v>1.51</v>
      </c>
      <c r="J73" s="64">
        <v>0.06</v>
      </c>
      <c r="K73" s="64">
        <v>163.16999999999999</v>
      </c>
      <c r="L73" s="64">
        <v>27.9</v>
      </c>
      <c r="M73" s="64">
        <v>36.770000000000003</v>
      </c>
      <c r="N73" s="64">
        <v>81.400000000000006</v>
      </c>
      <c r="O73" s="64">
        <v>0</v>
      </c>
      <c r="P73" s="64">
        <v>0.65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1274</v>
      </c>
      <c r="B74" s="64">
        <v>2</v>
      </c>
      <c r="C74" s="64">
        <v>28.14</v>
      </c>
      <c r="D74" s="64">
        <v>30.14</v>
      </c>
      <c r="E74" s="64">
        <v>4.66</v>
      </c>
      <c r="F74" s="64">
        <v>69.459999999999994</v>
      </c>
      <c r="G74" s="64">
        <v>88.43</v>
      </c>
      <c r="H74" s="64">
        <v>51.87</v>
      </c>
      <c r="I74" s="64">
        <v>1.55</v>
      </c>
      <c r="J74" s="64">
        <v>0.06</v>
      </c>
      <c r="K74" s="64">
        <v>228.88</v>
      </c>
      <c r="L74" s="64">
        <v>27.62</v>
      </c>
      <c r="M74" s="64">
        <v>36.9</v>
      </c>
      <c r="N74" s="64">
        <v>66.7</v>
      </c>
      <c r="O74" s="64">
        <v>0</v>
      </c>
      <c r="P74" s="64">
        <v>0.63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1275</v>
      </c>
      <c r="B75" s="64">
        <v>3.9</v>
      </c>
      <c r="C75" s="64">
        <v>57.93</v>
      </c>
      <c r="D75" s="64">
        <v>61.83</v>
      </c>
      <c r="E75" s="64">
        <v>5.37</v>
      </c>
      <c r="F75" s="64">
        <v>48.3</v>
      </c>
      <c r="G75" s="64">
        <v>88.43</v>
      </c>
      <c r="H75" s="64">
        <v>51.87</v>
      </c>
      <c r="I75" s="64">
        <v>1.48</v>
      </c>
      <c r="J75" s="64">
        <v>0.09</v>
      </c>
      <c r="K75" s="64">
        <v>283.64999999999998</v>
      </c>
      <c r="L75" s="64">
        <v>26.99</v>
      </c>
      <c r="M75" s="64">
        <v>43.75</v>
      </c>
      <c r="N75" s="64">
        <v>53.3</v>
      </c>
      <c r="O75" s="64">
        <v>0</v>
      </c>
      <c r="P75" s="64">
        <v>0.95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1276</v>
      </c>
      <c r="B76" s="64">
        <v>6.34</v>
      </c>
      <c r="C76" s="64">
        <v>84.33</v>
      </c>
      <c r="D76" s="64">
        <v>90.67</v>
      </c>
      <c r="E76" s="64">
        <v>2.33</v>
      </c>
      <c r="F76" s="64">
        <v>13.34</v>
      </c>
      <c r="G76" s="64">
        <v>88.43</v>
      </c>
      <c r="H76" s="64">
        <v>51.87</v>
      </c>
      <c r="I76" s="64">
        <v>1.51</v>
      </c>
      <c r="J76" s="64">
        <v>0.11</v>
      </c>
      <c r="K76" s="64">
        <v>12.51</v>
      </c>
      <c r="L76" s="64">
        <v>25.39</v>
      </c>
      <c r="M76" s="64">
        <v>56.65</v>
      </c>
      <c r="N76" s="64">
        <v>41.2</v>
      </c>
      <c r="O76" s="64">
        <v>0</v>
      </c>
      <c r="P76" s="64">
        <v>1.41</v>
      </c>
      <c r="Q76" s="64">
        <v>2.78</v>
      </c>
      <c r="R76" s="198"/>
      <c r="S76" s="198"/>
      <c r="T76" s="198"/>
      <c r="U76" s="198"/>
    </row>
    <row r="77" spans="1:21" s="12" customFormat="1" x14ac:dyDescent="0.25">
      <c r="A77" s="215" t="s">
        <v>1277</v>
      </c>
      <c r="B77" s="64">
        <v>4.09</v>
      </c>
      <c r="C77" s="64">
        <v>84.7</v>
      </c>
      <c r="D77" s="64">
        <v>88.79</v>
      </c>
      <c r="E77" s="64">
        <v>3.42</v>
      </c>
      <c r="F77" s="64">
        <v>25.17</v>
      </c>
      <c r="G77" s="64">
        <v>96.18</v>
      </c>
      <c r="H77" s="64">
        <v>52.57</v>
      </c>
      <c r="I77" s="64">
        <v>1.45</v>
      </c>
      <c r="J77" s="64">
        <v>0.08</v>
      </c>
      <c r="K77" s="64">
        <v>42.06</v>
      </c>
      <c r="L77" s="64">
        <v>25.04</v>
      </c>
      <c r="M77" s="64">
        <v>52.47</v>
      </c>
      <c r="N77" s="64">
        <v>32</v>
      </c>
      <c r="O77" s="64">
        <v>0</v>
      </c>
      <c r="P77" s="64">
        <v>1.5</v>
      </c>
      <c r="Q77" s="64">
        <v>1.67</v>
      </c>
      <c r="R77" s="198"/>
      <c r="S77" s="198"/>
      <c r="T77" s="198"/>
      <c r="U77" s="198"/>
    </row>
    <row r="78" spans="1:21" s="12" customFormat="1" x14ac:dyDescent="0.25">
      <c r="A78" s="215" t="s">
        <v>1278</v>
      </c>
      <c r="B78" s="64">
        <v>39.119999999999997</v>
      </c>
      <c r="C78" s="64">
        <v>101.15</v>
      </c>
      <c r="D78" s="64">
        <v>140.28</v>
      </c>
      <c r="E78" s="64">
        <v>2.4700000000000002</v>
      </c>
      <c r="F78" s="64">
        <v>3.1</v>
      </c>
      <c r="G78" s="64">
        <v>112.47</v>
      </c>
      <c r="H78" s="64">
        <v>53.53</v>
      </c>
      <c r="I78" s="64">
        <v>1.55</v>
      </c>
      <c r="J78" s="64">
        <v>0.09</v>
      </c>
      <c r="K78" s="64">
        <v>279.93</v>
      </c>
      <c r="L78" s="64">
        <v>24.77</v>
      </c>
      <c r="M78" s="64">
        <v>58.37</v>
      </c>
      <c r="N78" s="64">
        <v>29.1</v>
      </c>
      <c r="O78" s="64">
        <v>0</v>
      </c>
      <c r="P78" s="64">
        <v>2.1</v>
      </c>
      <c r="Q78" s="64">
        <v>1.18</v>
      </c>
      <c r="R78" s="198"/>
      <c r="S78" s="198"/>
      <c r="T78" s="198"/>
      <c r="U78" s="198"/>
    </row>
    <row r="79" spans="1:21" s="12" customFormat="1" x14ac:dyDescent="0.25">
      <c r="A79" s="215" t="s">
        <v>1279</v>
      </c>
      <c r="B79" s="64">
        <v>12.78</v>
      </c>
      <c r="C79" s="64">
        <v>111.19</v>
      </c>
      <c r="D79" s="64">
        <v>123.96</v>
      </c>
      <c r="E79" s="64">
        <v>3.02</v>
      </c>
      <c r="F79" s="64">
        <v>8.07</v>
      </c>
      <c r="G79" s="64">
        <v>112.47</v>
      </c>
      <c r="H79" s="64">
        <v>53.53</v>
      </c>
      <c r="I79" s="64">
        <v>1.5</v>
      </c>
      <c r="J79" s="64">
        <v>0.08</v>
      </c>
      <c r="K79" s="64">
        <v>277.43</v>
      </c>
      <c r="L79" s="64">
        <v>24.26</v>
      </c>
      <c r="M79" s="64">
        <v>53.46</v>
      </c>
      <c r="N79" s="64">
        <v>28.3</v>
      </c>
      <c r="O79" s="64">
        <v>0</v>
      </c>
      <c r="P79" s="64">
        <v>1.6</v>
      </c>
      <c r="Q79" s="6" t="s">
        <v>42</v>
      </c>
      <c r="R79" s="198"/>
      <c r="S79" s="198"/>
      <c r="T79" s="198"/>
      <c r="U79" s="198"/>
    </row>
    <row r="80" spans="1:21" s="12" customFormat="1" x14ac:dyDescent="0.25">
      <c r="A80" s="215" t="s">
        <v>1280</v>
      </c>
      <c r="B80" s="64">
        <v>8.2899999999999991</v>
      </c>
      <c r="C80" s="64">
        <v>97.67</v>
      </c>
      <c r="D80" s="64">
        <v>105.96</v>
      </c>
      <c r="E80" s="64">
        <v>4.1500000000000004</v>
      </c>
      <c r="F80" s="64">
        <v>11.52</v>
      </c>
      <c r="G80" s="64">
        <v>112.47</v>
      </c>
      <c r="H80" s="64">
        <v>53.53</v>
      </c>
      <c r="I80" s="64">
        <v>1.51</v>
      </c>
      <c r="J80" s="64">
        <v>0.02</v>
      </c>
      <c r="K80" s="64">
        <v>36.81</v>
      </c>
      <c r="L80" s="64">
        <v>24.17</v>
      </c>
      <c r="M80" s="64">
        <v>55.67</v>
      </c>
      <c r="N80" s="64">
        <v>28.1</v>
      </c>
      <c r="O80" s="64">
        <v>0</v>
      </c>
      <c r="P80" s="64">
        <v>1.67</v>
      </c>
      <c r="Q80" s="64">
        <v>0.2</v>
      </c>
      <c r="R80" s="198"/>
      <c r="S80" s="198"/>
      <c r="T80" s="198"/>
      <c r="U80" s="198"/>
    </row>
    <row r="81" spans="1:26" s="12" customFormat="1" x14ac:dyDescent="0.25">
      <c r="A81" s="215" t="s">
        <v>1281</v>
      </c>
      <c r="B81" s="64">
        <v>15.52</v>
      </c>
      <c r="C81" s="64">
        <v>115.13</v>
      </c>
      <c r="D81" s="64">
        <v>130.65</v>
      </c>
      <c r="E81" s="64">
        <v>4.1100000000000003</v>
      </c>
      <c r="F81" s="64">
        <v>5.64</v>
      </c>
      <c r="G81" s="64">
        <v>121.86</v>
      </c>
      <c r="H81" s="64">
        <v>57.68</v>
      </c>
      <c r="I81" s="64">
        <v>1.47</v>
      </c>
      <c r="J81" s="64">
        <v>0.06</v>
      </c>
      <c r="K81" s="64">
        <v>269.05</v>
      </c>
      <c r="L81" s="64">
        <v>23.92</v>
      </c>
      <c r="M81" s="64">
        <v>59.08</v>
      </c>
      <c r="N81" s="64">
        <v>28.2</v>
      </c>
      <c r="O81" s="64">
        <v>0</v>
      </c>
      <c r="P81" s="64">
        <v>1.71</v>
      </c>
      <c r="Q81" s="64">
        <v>0.39</v>
      </c>
      <c r="R81" s="198"/>
      <c r="S81" s="198"/>
      <c r="T81" s="198"/>
      <c r="U81" s="198"/>
    </row>
    <row r="82" spans="1:26" s="12" customFormat="1" x14ac:dyDescent="0.25">
      <c r="A82" s="215" t="s">
        <v>1282</v>
      </c>
      <c r="B82" s="64">
        <v>17.190000000000001</v>
      </c>
      <c r="C82" s="64">
        <v>113.3</v>
      </c>
      <c r="D82" s="64">
        <v>130.49</v>
      </c>
      <c r="E82" s="64">
        <v>3.91</v>
      </c>
      <c r="F82" s="64">
        <v>5.85</v>
      </c>
      <c r="G82" s="64">
        <v>141.61000000000001</v>
      </c>
      <c r="H82" s="64">
        <v>63.32</v>
      </c>
      <c r="I82" s="64">
        <v>1.51</v>
      </c>
      <c r="J82" s="64">
        <v>0.1</v>
      </c>
      <c r="K82" s="64">
        <v>143.22</v>
      </c>
      <c r="L82" s="64">
        <v>23.95</v>
      </c>
      <c r="M82" s="64">
        <v>57.91</v>
      </c>
      <c r="N82" s="64">
        <v>27.9</v>
      </c>
      <c r="O82" s="64">
        <v>0</v>
      </c>
      <c r="P82" s="64">
        <v>1.59</v>
      </c>
      <c r="Q82" s="6" t="s">
        <v>42</v>
      </c>
      <c r="R82" s="198"/>
      <c r="S82" s="198"/>
      <c r="T82" s="198"/>
      <c r="U82" s="198"/>
    </row>
    <row r="83" spans="1:26" s="12" customFormat="1" x14ac:dyDescent="0.25">
      <c r="A83" s="215" t="s">
        <v>1283</v>
      </c>
      <c r="B83" s="64">
        <v>5.55</v>
      </c>
      <c r="C83" s="64">
        <v>89.33</v>
      </c>
      <c r="D83" s="64">
        <v>94.88</v>
      </c>
      <c r="E83" s="64">
        <v>4.05</v>
      </c>
      <c r="F83" s="64">
        <v>14.13</v>
      </c>
      <c r="G83" s="64">
        <v>141.61000000000001</v>
      </c>
      <c r="H83" s="64">
        <v>63.32</v>
      </c>
      <c r="I83" s="64">
        <v>1.52</v>
      </c>
      <c r="J83" s="64">
        <v>0.25</v>
      </c>
      <c r="K83" s="64">
        <v>108.4</v>
      </c>
      <c r="L83" s="64">
        <v>24.31</v>
      </c>
      <c r="M83" s="64">
        <v>53.17</v>
      </c>
      <c r="N83" s="64">
        <v>27.5</v>
      </c>
      <c r="O83" s="64">
        <v>0</v>
      </c>
      <c r="P83" s="64">
        <v>1.53</v>
      </c>
      <c r="Q83" s="64">
        <v>0.62</v>
      </c>
      <c r="R83" s="198"/>
      <c r="S83" s="198"/>
      <c r="T83" s="198"/>
      <c r="U83" s="198"/>
    </row>
    <row r="84" spans="1:26" s="12" customFormat="1" x14ac:dyDescent="0.25">
      <c r="A84" s="215" t="s">
        <v>1284</v>
      </c>
      <c r="B84" s="64">
        <v>4.55</v>
      </c>
      <c r="C84" s="64">
        <v>81.16</v>
      </c>
      <c r="D84" s="64">
        <v>85.72</v>
      </c>
      <c r="E84" s="64">
        <v>3.69</v>
      </c>
      <c r="F84" s="64">
        <v>16.29</v>
      </c>
      <c r="G84" s="64">
        <v>141.61000000000001</v>
      </c>
      <c r="H84" s="64">
        <v>63.32</v>
      </c>
      <c r="I84" s="64">
        <v>1.54</v>
      </c>
      <c r="J84" s="64">
        <v>0.06</v>
      </c>
      <c r="K84" s="64">
        <v>249.34</v>
      </c>
      <c r="L84" s="64">
        <v>24.26</v>
      </c>
      <c r="M84" s="64">
        <v>51.1</v>
      </c>
      <c r="N84" s="64">
        <v>29</v>
      </c>
      <c r="O84" s="64">
        <v>0</v>
      </c>
      <c r="P84" s="64">
        <v>1.36</v>
      </c>
      <c r="Q84" s="64">
        <v>2.09</v>
      </c>
      <c r="R84" s="198"/>
      <c r="S84" s="198"/>
      <c r="T84" s="198"/>
      <c r="U84" s="198"/>
    </row>
    <row r="85" spans="1:26" s="12" customFormat="1" x14ac:dyDescent="0.25">
      <c r="A85" s="215" t="s">
        <v>1285</v>
      </c>
      <c r="B85" s="64">
        <v>6.13</v>
      </c>
      <c r="C85" s="64">
        <v>103.9</v>
      </c>
      <c r="D85" s="64">
        <v>110.03</v>
      </c>
      <c r="E85" s="64">
        <v>3.8</v>
      </c>
      <c r="F85" s="64">
        <v>17.93</v>
      </c>
      <c r="G85" s="64">
        <v>145.26</v>
      </c>
      <c r="H85" s="64">
        <v>64.14</v>
      </c>
      <c r="I85" s="64">
        <v>1.46</v>
      </c>
      <c r="J85" s="64">
        <v>7.0000000000000007E-2</v>
      </c>
      <c r="K85" s="64">
        <v>276.95999999999998</v>
      </c>
      <c r="L85" s="64">
        <v>23.95</v>
      </c>
      <c r="M85" s="64">
        <v>52.23</v>
      </c>
      <c r="N85" s="64">
        <v>29.7</v>
      </c>
      <c r="O85" s="64">
        <v>0</v>
      </c>
      <c r="P85" s="64">
        <v>1.35</v>
      </c>
      <c r="Q85" s="64">
        <v>2.0699999999999998</v>
      </c>
      <c r="R85" s="198"/>
      <c r="S85" s="198"/>
      <c r="T85" s="198"/>
      <c r="U85" s="198"/>
    </row>
    <row r="86" spans="1:26" s="12" customFormat="1" x14ac:dyDescent="0.25">
      <c r="A86" s="215" t="s">
        <v>1286</v>
      </c>
      <c r="B86" s="64">
        <v>17.12</v>
      </c>
      <c r="C86" s="64">
        <v>82.45</v>
      </c>
      <c r="D86" s="64">
        <v>99.57</v>
      </c>
      <c r="E86" s="64">
        <v>2.95</v>
      </c>
      <c r="F86" s="64">
        <v>4.09</v>
      </c>
      <c r="G86" s="64">
        <v>152.91999999999999</v>
      </c>
      <c r="H86" s="64">
        <v>67.37</v>
      </c>
      <c r="I86" s="64">
        <v>1.54</v>
      </c>
      <c r="J86" s="64">
        <v>0.17</v>
      </c>
      <c r="K86" s="64">
        <v>299.7</v>
      </c>
      <c r="L86" s="64">
        <v>23.66</v>
      </c>
      <c r="M86" s="64">
        <v>54.68</v>
      </c>
      <c r="N86" s="64">
        <v>29.5</v>
      </c>
      <c r="O86" s="64">
        <v>0</v>
      </c>
      <c r="P86" s="64">
        <v>1.49</v>
      </c>
      <c r="Q86" s="64">
        <v>1.1100000000000001</v>
      </c>
      <c r="R86" s="198"/>
      <c r="S86" s="198"/>
      <c r="T86" s="198"/>
      <c r="U86" s="198"/>
    </row>
    <row r="87" spans="1:26" s="12" customFormat="1" x14ac:dyDescent="0.25">
      <c r="A87" s="215" t="s">
        <v>1287</v>
      </c>
      <c r="B87" s="64">
        <v>46.43</v>
      </c>
      <c r="C87" s="64">
        <v>102.35</v>
      </c>
      <c r="D87" s="64">
        <v>148.79</v>
      </c>
      <c r="E87" s="64">
        <v>2.2999999999999998</v>
      </c>
      <c r="F87" s="64">
        <v>3.36</v>
      </c>
      <c r="G87" s="64">
        <v>152.91999999999999</v>
      </c>
      <c r="H87" s="64">
        <v>67.37</v>
      </c>
      <c r="I87" s="64">
        <v>1.47</v>
      </c>
      <c r="J87" s="64">
        <v>0.18</v>
      </c>
      <c r="K87" s="64">
        <v>298.69</v>
      </c>
      <c r="L87" s="64">
        <v>23.35</v>
      </c>
      <c r="M87" s="64">
        <v>59.45</v>
      </c>
      <c r="N87" s="64">
        <v>30</v>
      </c>
      <c r="O87" s="64">
        <v>0</v>
      </c>
      <c r="P87" s="64">
        <v>2.11</v>
      </c>
      <c r="Q87" s="64">
        <v>0.21</v>
      </c>
      <c r="R87" s="198"/>
      <c r="S87" s="198"/>
      <c r="T87" s="198"/>
      <c r="U87" s="198"/>
    </row>
    <row r="88" spans="1:26" s="12" customFormat="1" x14ac:dyDescent="0.25">
      <c r="A88" s="215" t="s">
        <v>1288</v>
      </c>
      <c r="B88" s="64">
        <v>25.64</v>
      </c>
      <c r="C88" s="64">
        <v>66.16</v>
      </c>
      <c r="D88" s="64">
        <v>91.8</v>
      </c>
      <c r="E88" s="64">
        <v>1.06</v>
      </c>
      <c r="F88" s="64">
        <v>0.88</v>
      </c>
      <c r="G88" s="64">
        <v>152.91999999999999</v>
      </c>
      <c r="H88" s="64">
        <v>67.37</v>
      </c>
      <c r="I88" s="64">
        <v>1.5</v>
      </c>
      <c r="J88" s="64">
        <v>0.14000000000000001</v>
      </c>
      <c r="K88" s="64">
        <v>327.62</v>
      </c>
      <c r="L88" s="64">
        <v>22.69</v>
      </c>
      <c r="M88" s="64">
        <v>69.459999999999994</v>
      </c>
      <c r="N88" s="64">
        <v>30.4</v>
      </c>
      <c r="O88" s="64">
        <v>0</v>
      </c>
      <c r="P88" s="64">
        <v>1.95</v>
      </c>
      <c r="Q88" s="64">
        <v>3.06</v>
      </c>
      <c r="R88" s="198"/>
      <c r="S88" s="198"/>
      <c r="T88" s="198"/>
      <c r="U88" s="198"/>
    </row>
    <row r="89" spans="1:26" s="12" customFormat="1" x14ac:dyDescent="0.25">
      <c r="A89" s="215" t="s">
        <v>1289</v>
      </c>
      <c r="B89" s="64">
        <v>74.150000000000006</v>
      </c>
      <c r="C89" s="64">
        <v>94.16</v>
      </c>
      <c r="D89" s="64">
        <v>168.31</v>
      </c>
      <c r="E89" s="64">
        <v>1.81</v>
      </c>
      <c r="F89" s="64">
        <v>0.6</v>
      </c>
      <c r="G89" s="64">
        <v>171.26</v>
      </c>
      <c r="H89" s="64">
        <v>72.11</v>
      </c>
      <c r="I89" s="64">
        <v>1.49</v>
      </c>
      <c r="J89" s="64">
        <v>0.1</v>
      </c>
      <c r="K89" s="64">
        <v>350.68</v>
      </c>
      <c r="L89" s="64">
        <v>22.09</v>
      </c>
      <c r="M89" s="64">
        <v>70.489999999999995</v>
      </c>
      <c r="N89" s="64">
        <v>30.2</v>
      </c>
      <c r="O89" s="64">
        <v>0</v>
      </c>
      <c r="P89" s="64">
        <v>3.17</v>
      </c>
      <c r="Q89" s="64">
        <v>0.72</v>
      </c>
      <c r="R89" s="198"/>
      <c r="S89" s="198"/>
      <c r="T89" s="198"/>
      <c r="U89" s="198"/>
    </row>
    <row r="90" spans="1:26" s="12" customFormat="1" x14ac:dyDescent="0.25">
      <c r="A90" s="215" t="s">
        <v>1290</v>
      </c>
      <c r="B90" s="64">
        <v>36.74</v>
      </c>
      <c r="C90" s="64">
        <v>67.59</v>
      </c>
      <c r="D90" s="64">
        <v>104.34</v>
      </c>
      <c r="E90" s="64">
        <v>1.36</v>
      </c>
      <c r="F90" s="64">
        <v>0.43</v>
      </c>
      <c r="G90" s="64">
        <v>209.83</v>
      </c>
      <c r="H90" s="64">
        <v>78.709999999999994</v>
      </c>
      <c r="I90" s="64">
        <v>1.54</v>
      </c>
      <c r="J90" s="64">
        <v>0.04</v>
      </c>
      <c r="K90" s="64">
        <v>324</v>
      </c>
      <c r="L90" s="64">
        <v>21.78</v>
      </c>
      <c r="M90" s="64">
        <v>69.41</v>
      </c>
      <c r="N90" s="64">
        <v>30.1</v>
      </c>
      <c r="O90" s="64">
        <v>0</v>
      </c>
      <c r="P90" s="64">
        <v>2.06</v>
      </c>
      <c r="Q90" s="64">
        <v>3.48</v>
      </c>
      <c r="R90" s="198"/>
      <c r="S90" s="198"/>
      <c r="T90" s="198"/>
      <c r="U90" s="198"/>
    </row>
    <row r="91" spans="1:26" s="12" customFormat="1" x14ac:dyDescent="0.25">
      <c r="A91" s="215" t="s">
        <v>1291</v>
      </c>
      <c r="B91" s="64">
        <v>53.63</v>
      </c>
      <c r="C91" s="64">
        <v>65.84</v>
      </c>
      <c r="D91" s="64">
        <v>119.47</v>
      </c>
      <c r="E91" s="64">
        <v>1.28</v>
      </c>
      <c r="F91" s="64">
        <v>0.49</v>
      </c>
      <c r="G91" s="64">
        <v>209.83</v>
      </c>
      <c r="H91" s="64">
        <v>78.709999999999994</v>
      </c>
      <c r="I91" s="64">
        <v>1.44</v>
      </c>
      <c r="J91" s="64">
        <v>0.11</v>
      </c>
      <c r="K91" s="64">
        <v>289.89</v>
      </c>
      <c r="L91" s="64">
        <v>21.63</v>
      </c>
      <c r="M91" s="64">
        <v>73.31</v>
      </c>
      <c r="N91" s="64">
        <v>30</v>
      </c>
      <c r="O91" s="64">
        <v>0</v>
      </c>
      <c r="P91" s="64">
        <v>2.3199999999999998</v>
      </c>
      <c r="Q91" s="64">
        <v>2.37</v>
      </c>
      <c r="R91" s="198"/>
      <c r="S91" s="198"/>
      <c r="T91" s="198"/>
      <c r="U91" s="198"/>
    </row>
    <row r="92" spans="1:26" s="12" customFormat="1" x14ac:dyDescent="0.25">
      <c r="A92" s="215" t="s">
        <v>1292</v>
      </c>
      <c r="B92" s="64">
        <v>46.79</v>
      </c>
      <c r="C92" s="64">
        <v>78.55</v>
      </c>
      <c r="D92" s="64">
        <v>125.34</v>
      </c>
      <c r="E92" s="64">
        <v>1.36</v>
      </c>
      <c r="F92" s="64">
        <v>1.51</v>
      </c>
      <c r="G92" s="64">
        <v>209.83</v>
      </c>
      <c r="H92" s="64">
        <v>78.709999999999994</v>
      </c>
      <c r="I92" s="64">
        <v>1.6</v>
      </c>
      <c r="J92" s="64">
        <v>0.11</v>
      </c>
      <c r="K92" s="64">
        <v>298.37</v>
      </c>
      <c r="L92" s="64">
        <v>21.64</v>
      </c>
      <c r="M92" s="64">
        <v>66.45</v>
      </c>
      <c r="N92" s="64">
        <v>29.9</v>
      </c>
      <c r="O92" s="64">
        <v>0</v>
      </c>
      <c r="P92" s="64">
        <v>2.12</v>
      </c>
      <c r="Q92" s="64">
        <v>2.95</v>
      </c>
      <c r="R92" s="198"/>
      <c r="S92" s="198"/>
      <c r="T92" s="198"/>
      <c r="U92" s="198"/>
    </row>
    <row r="93" spans="1:26" s="12" customFormat="1" x14ac:dyDescent="0.25">
      <c r="A93" s="215" t="s">
        <v>1293</v>
      </c>
      <c r="B93" s="64">
        <v>42.33</v>
      </c>
      <c r="C93" s="64">
        <v>73.459999999999994</v>
      </c>
      <c r="D93" s="64">
        <v>115.79</v>
      </c>
      <c r="E93" s="64">
        <v>1.57</v>
      </c>
      <c r="F93" s="64">
        <v>2.9</v>
      </c>
      <c r="G93" s="64">
        <v>213</v>
      </c>
      <c r="H93" s="64">
        <v>80.989999999999995</v>
      </c>
      <c r="I93" s="64">
        <v>1.54</v>
      </c>
      <c r="J93" s="64">
        <v>0.14000000000000001</v>
      </c>
      <c r="K93" s="64">
        <v>303.99</v>
      </c>
      <c r="L93" s="64">
        <v>21.7</v>
      </c>
      <c r="M93" s="64">
        <v>68.97</v>
      </c>
      <c r="N93" s="64">
        <v>34</v>
      </c>
      <c r="O93" s="64">
        <v>0</v>
      </c>
      <c r="P93" s="64">
        <v>2.38</v>
      </c>
      <c r="Q93" s="64">
        <v>4.91</v>
      </c>
      <c r="R93" s="198"/>
      <c r="S93" s="198"/>
      <c r="T93" s="198"/>
      <c r="U93" s="198"/>
    </row>
    <row r="94" spans="1:26" s="12" customFormat="1" x14ac:dyDescent="0.25">
      <c r="A94" s="215" t="s">
        <v>1294</v>
      </c>
      <c r="B94" s="64">
        <v>65.819999999999993</v>
      </c>
      <c r="C94" s="64">
        <v>67.52</v>
      </c>
      <c r="D94" s="64">
        <v>133.35</v>
      </c>
      <c r="E94" s="64">
        <v>1.41</v>
      </c>
      <c r="F94" s="64">
        <v>0.78</v>
      </c>
      <c r="G94" s="64">
        <v>219.66</v>
      </c>
      <c r="H94" s="64">
        <v>84.16</v>
      </c>
      <c r="I94" s="64">
        <v>1.51</v>
      </c>
      <c r="J94" s="64">
        <v>0.1</v>
      </c>
      <c r="K94" s="64">
        <v>325.39999999999998</v>
      </c>
      <c r="L94" s="64">
        <v>21.26</v>
      </c>
      <c r="M94" s="64">
        <v>75.44</v>
      </c>
      <c r="N94" s="64">
        <v>34.200000000000003</v>
      </c>
      <c r="O94" s="64">
        <v>0</v>
      </c>
      <c r="P94" s="64">
        <v>2.62</v>
      </c>
      <c r="Q94" s="64">
        <v>2.94</v>
      </c>
      <c r="R94" s="198"/>
      <c r="S94" s="198"/>
      <c r="T94" s="198"/>
      <c r="U94" s="198"/>
    </row>
    <row r="95" spans="1:26" s="12" customFormat="1" x14ac:dyDescent="0.25">
      <c r="A95" s="215" t="s">
        <v>1295</v>
      </c>
      <c r="B95" s="64">
        <v>55.46</v>
      </c>
      <c r="C95" s="64">
        <v>62.28</v>
      </c>
      <c r="D95" s="64">
        <v>117.74</v>
      </c>
      <c r="E95" s="64">
        <v>1.37</v>
      </c>
      <c r="F95" s="64">
        <v>0.55000000000000004</v>
      </c>
      <c r="G95" s="64">
        <v>219.66</v>
      </c>
      <c r="H95" s="64">
        <v>84.16</v>
      </c>
      <c r="I95" s="64">
        <v>1.48</v>
      </c>
      <c r="J95" s="64">
        <v>0.04</v>
      </c>
      <c r="K95" s="64">
        <v>289.33999999999997</v>
      </c>
      <c r="L95" s="64">
        <v>21.05</v>
      </c>
      <c r="M95" s="64">
        <v>73.02</v>
      </c>
      <c r="N95" s="64">
        <v>34.5</v>
      </c>
      <c r="O95" s="64">
        <v>0</v>
      </c>
      <c r="P95" s="64">
        <v>2.2799999999999998</v>
      </c>
      <c r="Q95" s="64">
        <v>4.8899999999999997</v>
      </c>
      <c r="R95" s="198"/>
      <c r="S95" s="198"/>
      <c r="T95" s="198"/>
      <c r="U95" s="198"/>
    </row>
    <row r="96" spans="1:26" s="12" customFormat="1" x14ac:dyDescent="0.25">
      <c r="A96" s="215" t="s">
        <v>1296</v>
      </c>
      <c r="B96" s="64">
        <v>47.95</v>
      </c>
      <c r="C96" s="64">
        <v>56.33</v>
      </c>
      <c r="D96" s="64">
        <v>104.29</v>
      </c>
      <c r="E96" s="64">
        <v>1.36</v>
      </c>
      <c r="F96" s="64">
        <v>0.34</v>
      </c>
      <c r="G96" s="64">
        <v>219.66</v>
      </c>
      <c r="H96" s="64">
        <v>84.16</v>
      </c>
      <c r="I96" s="64">
        <v>1.47</v>
      </c>
      <c r="J96" s="64">
        <v>0.09</v>
      </c>
      <c r="K96" s="64">
        <v>294.35000000000002</v>
      </c>
      <c r="L96" s="64">
        <v>20.83</v>
      </c>
      <c r="M96" s="64">
        <v>81.45</v>
      </c>
      <c r="N96" s="64">
        <v>35</v>
      </c>
      <c r="O96" s="64">
        <v>0</v>
      </c>
      <c r="P96" s="64">
        <v>2.35</v>
      </c>
      <c r="Q96" s="64">
        <v>4.2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1297</v>
      </c>
      <c r="B97" s="64">
        <v>41.06</v>
      </c>
      <c r="C97" s="64">
        <v>60.39</v>
      </c>
      <c r="D97" s="64">
        <v>101.45</v>
      </c>
      <c r="E97" s="64">
        <v>1.28</v>
      </c>
      <c r="F97" s="64">
        <v>0.59</v>
      </c>
      <c r="G97" s="64">
        <v>220.84</v>
      </c>
      <c r="H97" s="64">
        <v>88.72</v>
      </c>
      <c r="I97" s="64">
        <v>1.59</v>
      </c>
      <c r="J97" s="64">
        <v>0.08</v>
      </c>
      <c r="K97" s="64">
        <v>224.27</v>
      </c>
      <c r="L97" s="64">
        <v>20.59</v>
      </c>
      <c r="M97" s="64">
        <v>77.11</v>
      </c>
      <c r="N97" s="64">
        <v>34.700000000000003</v>
      </c>
      <c r="O97" s="64">
        <v>0</v>
      </c>
      <c r="P97" s="64">
        <v>2.2200000000000002</v>
      </c>
      <c r="Q97" s="64">
        <v>5.47</v>
      </c>
      <c r="R97" s="198"/>
      <c r="S97" s="198"/>
      <c r="T97" s="198"/>
      <c r="U97" s="198"/>
    </row>
    <row r="98" spans="1:33" s="12" customFormat="1" x14ac:dyDescent="0.25">
      <c r="A98" s="215" t="s">
        <v>1298</v>
      </c>
      <c r="B98" s="64">
        <v>35.369999999999997</v>
      </c>
      <c r="C98" s="64">
        <v>50.86</v>
      </c>
      <c r="D98" s="64">
        <v>86.23</v>
      </c>
      <c r="E98" s="64">
        <v>0.95</v>
      </c>
      <c r="F98" s="64">
        <v>0.94</v>
      </c>
      <c r="G98" s="64">
        <v>223.33</v>
      </c>
      <c r="H98" s="64">
        <v>94.91</v>
      </c>
      <c r="I98" s="64">
        <v>1.51</v>
      </c>
      <c r="J98" s="64">
        <v>0.06</v>
      </c>
      <c r="K98" s="64">
        <v>228.84</v>
      </c>
      <c r="L98" s="64">
        <v>20.52</v>
      </c>
      <c r="M98" s="64">
        <v>75.38</v>
      </c>
      <c r="N98" s="64">
        <v>34.799999999999997</v>
      </c>
      <c r="O98" s="64">
        <v>0</v>
      </c>
      <c r="P98" s="64">
        <v>2.0299999999999998</v>
      </c>
      <c r="Q98" s="64">
        <v>6.98</v>
      </c>
      <c r="R98" s="198"/>
      <c r="S98" s="198"/>
      <c r="T98" s="198"/>
      <c r="U98" s="198"/>
    </row>
    <row r="99" spans="1:33" s="12" customFormat="1" x14ac:dyDescent="0.25">
      <c r="A99" s="215" t="s">
        <v>1299</v>
      </c>
      <c r="B99" s="64">
        <v>36.08</v>
      </c>
      <c r="C99" s="64">
        <v>44.09</v>
      </c>
      <c r="D99" s="64">
        <v>80.17</v>
      </c>
      <c r="E99" s="64">
        <v>0.93</v>
      </c>
      <c r="F99" s="64">
        <v>3.01</v>
      </c>
      <c r="G99" s="64">
        <v>223.33</v>
      </c>
      <c r="H99" s="64">
        <v>94.91</v>
      </c>
      <c r="I99" s="64">
        <v>1.48</v>
      </c>
      <c r="J99" s="64">
        <v>0.04</v>
      </c>
      <c r="K99" s="64">
        <v>165.11</v>
      </c>
      <c r="L99" s="64">
        <v>20.45</v>
      </c>
      <c r="M99" s="64">
        <v>72.58</v>
      </c>
      <c r="N99" s="64">
        <v>34.799999999999997</v>
      </c>
      <c r="O99" s="64">
        <v>0</v>
      </c>
      <c r="P99" s="64">
        <v>2.0099999999999998</v>
      </c>
      <c r="Q99" s="64">
        <v>7.62</v>
      </c>
      <c r="R99" s="198"/>
      <c r="S99" s="198"/>
      <c r="T99" s="198"/>
      <c r="U99" s="198"/>
    </row>
    <row r="100" spans="1:33" s="12" customFormat="1" x14ac:dyDescent="0.25">
      <c r="A100" s="215" t="s">
        <v>1300</v>
      </c>
      <c r="B100" s="64">
        <v>49.81</v>
      </c>
      <c r="C100" s="64">
        <v>50.62</v>
      </c>
      <c r="D100" s="64">
        <v>100.43</v>
      </c>
      <c r="E100" s="64">
        <v>0.8</v>
      </c>
      <c r="F100" s="64">
        <v>0.9</v>
      </c>
      <c r="G100" s="64">
        <v>223.33</v>
      </c>
      <c r="H100" s="64">
        <v>94.91</v>
      </c>
      <c r="I100" s="64">
        <v>1.52</v>
      </c>
      <c r="J100" s="64">
        <v>0.08</v>
      </c>
      <c r="K100" s="64">
        <v>241.79</v>
      </c>
      <c r="L100" s="64">
        <v>20.34</v>
      </c>
      <c r="M100" s="64">
        <v>76.94</v>
      </c>
      <c r="N100" s="64">
        <v>34.799999999999997</v>
      </c>
      <c r="O100" s="64">
        <v>0</v>
      </c>
      <c r="P100" s="64">
        <v>2.11</v>
      </c>
      <c r="Q100" s="64">
        <v>6.3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1301</v>
      </c>
      <c r="B101" s="64">
        <v>34.86</v>
      </c>
      <c r="C101" s="64">
        <v>58.37</v>
      </c>
      <c r="D101" s="64">
        <v>93.23</v>
      </c>
      <c r="E101" s="64">
        <v>0.79</v>
      </c>
      <c r="F101" s="64">
        <v>0.41</v>
      </c>
      <c r="G101" s="64">
        <v>208.39</v>
      </c>
      <c r="H101" s="64">
        <v>94.18</v>
      </c>
      <c r="I101" s="64">
        <v>1.56</v>
      </c>
      <c r="J101" s="64">
        <v>7.0000000000000007E-2</v>
      </c>
      <c r="K101" s="64">
        <v>261.38</v>
      </c>
      <c r="L101" s="64">
        <v>20.309999999999999</v>
      </c>
      <c r="M101" s="64">
        <v>77.739999999999995</v>
      </c>
      <c r="N101" s="64">
        <v>34.9</v>
      </c>
      <c r="O101" s="64">
        <v>0</v>
      </c>
      <c r="P101" s="64">
        <v>1.86</v>
      </c>
      <c r="Q101" s="64">
        <v>6.77</v>
      </c>
      <c r="R101" s="198"/>
      <c r="S101" s="198"/>
      <c r="T101" s="198"/>
      <c r="U101" s="198"/>
    </row>
    <row r="102" spans="1:33" s="12" customFormat="1" x14ac:dyDescent="0.25">
      <c r="A102" s="215" t="s">
        <v>1302</v>
      </c>
      <c r="B102" s="64">
        <v>40.020000000000003</v>
      </c>
      <c r="C102" s="64">
        <v>49.72</v>
      </c>
      <c r="D102" s="64">
        <v>89.74</v>
      </c>
      <c r="E102" s="64">
        <v>0.71</v>
      </c>
      <c r="F102" s="64">
        <v>0.46</v>
      </c>
      <c r="G102" s="64">
        <v>176.95</v>
      </c>
      <c r="H102" s="64">
        <v>93.19</v>
      </c>
      <c r="I102" s="64">
        <v>1.53</v>
      </c>
      <c r="J102" s="64">
        <v>0.11</v>
      </c>
      <c r="K102" s="64">
        <v>297.12</v>
      </c>
      <c r="L102" s="64">
        <v>20.010000000000002</v>
      </c>
      <c r="M102" s="64">
        <v>79.680000000000007</v>
      </c>
      <c r="N102" s="64">
        <v>35</v>
      </c>
      <c r="O102" s="64">
        <v>0</v>
      </c>
      <c r="P102" s="64">
        <v>2.08</v>
      </c>
      <c r="Q102" s="64">
        <v>7.11</v>
      </c>
      <c r="R102" s="198"/>
      <c r="S102" s="198"/>
      <c r="T102" s="198"/>
      <c r="U102" s="198"/>
    </row>
    <row r="103" spans="1:33" s="12" customFormat="1" x14ac:dyDescent="0.25">
      <c r="A103" s="215" t="s">
        <v>1303</v>
      </c>
      <c r="B103" s="64">
        <v>37.15</v>
      </c>
      <c r="C103" s="64">
        <v>49.83</v>
      </c>
      <c r="D103" s="64">
        <v>86.98</v>
      </c>
      <c r="E103" s="64">
        <v>0.74</v>
      </c>
      <c r="F103" s="64">
        <v>1.48</v>
      </c>
      <c r="G103" s="64">
        <v>176.95</v>
      </c>
      <c r="H103" s="64">
        <v>93.19</v>
      </c>
      <c r="I103" s="64">
        <v>1.52</v>
      </c>
      <c r="J103" s="64">
        <v>7.0000000000000007E-2</v>
      </c>
      <c r="K103" s="64">
        <v>280.04000000000002</v>
      </c>
      <c r="L103" s="64">
        <v>19.72</v>
      </c>
      <c r="M103" s="64">
        <v>79.92</v>
      </c>
      <c r="N103" s="64">
        <v>35.4</v>
      </c>
      <c r="O103" s="64">
        <v>0</v>
      </c>
      <c r="P103" s="64">
        <v>1.93</v>
      </c>
      <c r="Q103" s="64">
        <v>7.18</v>
      </c>
      <c r="R103" s="198"/>
      <c r="S103" s="198"/>
      <c r="T103" s="198"/>
      <c r="U103" s="198"/>
    </row>
    <row r="104" spans="1:33" s="12" customFormat="1" x14ac:dyDescent="0.25">
      <c r="A104" s="215" t="s">
        <v>1304</v>
      </c>
      <c r="B104" s="64">
        <v>35.69</v>
      </c>
      <c r="C104" s="64">
        <v>47.58</v>
      </c>
      <c r="D104" s="64">
        <v>83.27</v>
      </c>
      <c r="E104" s="64">
        <v>0.52</v>
      </c>
      <c r="F104" s="64">
        <v>2.04</v>
      </c>
      <c r="G104" s="64">
        <v>176.95</v>
      </c>
      <c r="H104" s="64">
        <v>93.19</v>
      </c>
      <c r="I104" s="64">
        <v>1.44</v>
      </c>
      <c r="J104" s="64">
        <v>0.03</v>
      </c>
      <c r="K104" s="64">
        <v>261.16000000000003</v>
      </c>
      <c r="L104" s="64">
        <v>19.55</v>
      </c>
      <c r="M104" s="64">
        <v>79.28</v>
      </c>
      <c r="N104" s="64">
        <v>35.700000000000003</v>
      </c>
      <c r="O104" s="64">
        <v>0</v>
      </c>
      <c r="P104" s="64">
        <v>1.92</v>
      </c>
      <c r="Q104" s="64">
        <v>7.58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28.14</v>
      </c>
      <c r="D106" s="67">
        <f t="shared" ref="D106:Q106" si="0">MIN(D9:D104)</f>
        <v>30.14</v>
      </c>
      <c r="E106" s="67">
        <f t="shared" si="0"/>
        <v>0.25</v>
      </c>
      <c r="F106" s="67">
        <f t="shared" si="0"/>
        <v>0.12</v>
      </c>
      <c r="G106" s="67">
        <f t="shared" si="0"/>
        <v>80.75</v>
      </c>
      <c r="H106" s="67">
        <f t="shared" si="0"/>
        <v>42.23</v>
      </c>
      <c r="I106" s="67">
        <f t="shared" si="0"/>
        <v>1.4</v>
      </c>
      <c r="J106" s="67">
        <f t="shared" si="0"/>
        <v>0.02</v>
      </c>
      <c r="K106" s="67">
        <f t="shared" si="0"/>
        <v>8.99</v>
      </c>
      <c r="L106" s="67">
        <f t="shared" si="0"/>
        <v>17.600000000000001</v>
      </c>
      <c r="M106" s="67">
        <f t="shared" si="0"/>
        <v>29.42</v>
      </c>
      <c r="N106" s="67">
        <f t="shared" si="0"/>
        <v>27.5</v>
      </c>
      <c r="O106" s="67">
        <f t="shared" si="0"/>
        <v>0</v>
      </c>
      <c r="P106" s="67">
        <f t="shared" si="0"/>
        <v>0.63</v>
      </c>
      <c r="Q106" s="67">
        <f t="shared" si="0"/>
        <v>0.2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92.99</v>
      </c>
      <c r="C107" s="66">
        <f t="shared" ref="C107:Q107" si="1">MAX(C9:C104)</f>
        <v>115.13</v>
      </c>
      <c r="D107" s="66">
        <f t="shared" si="1"/>
        <v>168.31</v>
      </c>
      <c r="E107" s="66">
        <f t="shared" si="1"/>
        <v>5.37</v>
      </c>
      <c r="F107" s="66">
        <f t="shared" si="1"/>
        <v>69.459999999999994</v>
      </c>
      <c r="G107" s="66">
        <f t="shared" si="1"/>
        <v>246.28</v>
      </c>
      <c r="H107" s="66">
        <f t="shared" si="1"/>
        <v>111.74</v>
      </c>
      <c r="I107" s="66">
        <f t="shared" si="1"/>
        <v>1.61</v>
      </c>
      <c r="J107" s="66">
        <f t="shared" si="1"/>
        <v>1.07</v>
      </c>
      <c r="K107" s="66">
        <f t="shared" si="1"/>
        <v>356.65</v>
      </c>
      <c r="L107" s="66">
        <f t="shared" si="1"/>
        <v>32.57</v>
      </c>
      <c r="M107" s="66">
        <f t="shared" si="1"/>
        <v>91.16</v>
      </c>
      <c r="N107" s="66">
        <f t="shared" si="1"/>
        <v>667.9</v>
      </c>
      <c r="O107" s="66">
        <f t="shared" si="1"/>
        <v>0</v>
      </c>
      <c r="P107" s="66">
        <f t="shared" si="1"/>
        <v>3.17</v>
      </c>
      <c r="Q107" s="66">
        <f t="shared" si="1"/>
        <v>12.6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34.451770833333335</v>
      </c>
      <c r="C108" s="67">
        <f t="shared" ref="C108:Q108" si="2">AVERAGE(C9:C104)</f>
        <v>48.352916666666665</v>
      </c>
      <c r="D108" s="67">
        <f t="shared" si="2"/>
        <v>82.804895833333319</v>
      </c>
      <c r="E108" s="67">
        <f t="shared" si="2"/>
        <v>1.3203125</v>
      </c>
      <c r="F108" s="67">
        <f t="shared" si="2"/>
        <v>9.4137499999999985</v>
      </c>
      <c r="G108" s="67">
        <f t="shared" si="2"/>
        <v>144.79593750000001</v>
      </c>
      <c r="H108" s="67">
        <f t="shared" si="2"/>
        <v>73.40395833333325</v>
      </c>
      <c r="I108" s="67">
        <f t="shared" si="2"/>
        <v>1.5054166666666673</v>
      </c>
      <c r="J108" s="67">
        <f t="shared" si="2"/>
        <v>0.17864583333333331</v>
      </c>
      <c r="K108" s="67">
        <f t="shared" si="2"/>
        <v>234.56510416666666</v>
      </c>
      <c r="L108" s="67">
        <f t="shared" si="2"/>
        <v>23.648437500000004</v>
      </c>
      <c r="M108" s="67">
        <f t="shared" si="2"/>
        <v>61.973958333333321</v>
      </c>
      <c r="N108" s="67">
        <f t="shared" si="2"/>
        <v>185.5072916666667</v>
      </c>
      <c r="O108" s="67">
        <f t="shared" si="2"/>
        <v>0</v>
      </c>
      <c r="P108" s="67">
        <f t="shared" si="2"/>
        <v>1.4961458333333333</v>
      </c>
      <c r="Q108" s="67">
        <f t="shared" si="2"/>
        <v>6.2902127659574445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23.914318723079592</v>
      </c>
      <c r="C109" s="67">
        <f t="shared" ref="C109:Q109" si="3">STDEV(C9:C104)</f>
        <v>22.350464632715049</v>
      </c>
      <c r="D109" s="67">
        <f t="shared" si="3"/>
        <v>28.812722372510265</v>
      </c>
      <c r="E109" s="67">
        <f t="shared" si="3"/>
        <v>1.2103991974159856</v>
      </c>
      <c r="F109" s="67">
        <f t="shared" si="3"/>
        <v>16.205632370454289</v>
      </c>
      <c r="G109" s="67">
        <f t="shared" si="3"/>
        <v>50.979977030783594</v>
      </c>
      <c r="H109" s="67">
        <f t="shared" si="3"/>
        <v>19.626804629285722</v>
      </c>
      <c r="I109" s="67">
        <f t="shared" si="3"/>
        <v>4.5280800315288E-2</v>
      </c>
      <c r="J109" s="67">
        <f t="shared" si="3"/>
        <v>0.19864604751412104</v>
      </c>
      <c r="K109" s="67">
        <f t="shared" si="3"/>
        <v>102.10351284224195</v>
      </c>
      <c r="L109" s="67">
        <f t="shared" si="3"/>
        <v>4.9932304337446132</v>
      </c>
      <c r="M109" s="67">
        <f t="shared" si="3"/>
        <v>20.663548300744324</v>
      </c>
      <c r="N109" s="67">
        <f t="shared" si="3"/>
        <v>221.1884736907426</v>
      </c>
      <c r="O109" s="67">
        <f t="shared" si="3"/>
        <v>0</v>
      </c>
      <c r="P109" s="67">
        <f t="shared" si="3"/>
        <v>0.4709617702479556</v>
      </c>
      <c r="Q109" s="67">
        <f t="shared" si="3"/>
        <v>2.8056436896697514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1305</v>
      </c>
      <c r="B9" s="64">
        <v>34.74</v>
      </c>
      <c r="C9" s="64">
        <v>44.82</v>
      </c>
      <c r="D9" s="64">
        <v>79.569999999999993</v>
      </c>
      <c r="E9" s="64">
        <v>0.87</v>
      </c>
      <c r="F9" s="64">
        <v>1.0900000000000001</v>
      </c>
      <c r="G9" s="64">
        <v>171.31</v>
      </c>
      <c r="H9" s="64">
        <v>90.86</v>
      </c>
      <c r="I9" s="64">
        <v>1.46</v>
      </c>
      <c r="J9" s="64">
        <v>0.03</v>
      </c>
      <c r="K9" s="64">
        <v>119.74</v>
      </c>
      <c r="L9" s="64">
        <v>19.34</v>
      </c>
      <c r="M9" s="64">
        <v>81.540000000000006</v>
      </c>
      <c r="N9" s="64">
        <v>35.5</v>
      </c>
      <c r="O9" s="64">
        <v>0</v>
      </c>
      <c r="P9" s="64">
        <v>1.89</v>
      </c>
      <c r="Q9" s="64">
        <v>7.62</v>
      </c>
      <c r="R9" s="198"/>
      <c r="S9" s="198"/>
      <c r="T9" s="198"/>
      <c r="U9" s="198"/>
    </row>
    <row r="10" spans="1:21" s="12" customFormat="1" x14ac:dyDescent="0.25">
      <c r="A10" s="215" t="s">
        <v>1306</v>
      </c>
      <c r="B10" s="64">
        <v>33.49</v>
      </c>
      <c r="C10" s="64">
        <v>43.26</v>
      </c>
      <c r="D10" s="64">
        <v>76.75</v>
      </c>
      <c r="E10" s="64">
        <v>0.79</v>
      </c>
      <c r="F10" s="64">
        <v>1.27</v>
      </c>
      <c r="G10" s="64">
        <v>159.43</v>
      </c>
      <c r="H10" s="64">
        <v>87.69</v>
      </c>
      <c r="I10" s="64">
        <v>1.51</v>
      </c>
      <c r="J10" s="64">
        <v>0.09</v>
      </c>
      <c r="K10" s="64">
        <v>257.69</v>
      </c>
      <c r="L10" s="64">
        <v>19.43</v>
      </c>
      <c r="M10" s="64">
        <v>81.569999999999993</v>
      </c>
      <c r="N10" s="64">
        <v>35.299999999999997</v>
      </c>
      <c r="O10" s="64">
        <v>0</v>
      </c>
      <c r="P10" s="64">
        <v>1.83</v>
      </c>
      <c r="Q10" s="64">
        <v>7.67</v>
      </c>
      <c r="R10" s="198"/>
      <c r="S10" s="198"/>
      <c r="T10" s="198"/>
      <c r="U10" s="198"/>
    </row>
    <row r="11" spans="1:21" s="12" customFormat="1" x14ac:dyDescent="0.25">
      <c r="A11" s="215" t="s">
        <v>1307</v>
      </c>
      <c r="B11" s="64">
        <v>32.17</v>
      </c>
      <c r="C11" s="64">
        <v>38.450000000000003</v>
      </c>
      <c r="D11" s="64">
        <v>70.61</v>
      </c>
      <c r="E11" s="64">
        <v>0.82</v>
      </c>
      <c r="F11" s="64">
        <v>3.59</v>
      </c>
      <c r="G11" s="64">
        <v>159.43</v>
      </c>
      <c r="H11" s="64">
        <v>87.69</v>
      </c>
      <c r="I11" s="64">
        <v>1.47</v>
      </c>
      <c r="J11" s="64">
        <v>0.13</v>
      </c>
      <c r="K11" s="64">
        <v>307.66000000000003</v>
      </c>
      <c r="L11" s="64">
        <v>19.309999999999999</v>
      </c>
      <c r="M11" s="64">
        <v>76.959999999999994</v>
      </c>
      <c r="N11" s="64">
        <v>35.5</v>
      </c>
      <c r="O11" s="64">
        <v>0</v>
      </c>
      <c r="P11" s="64">
        <v>1.77</v>
      </c>
      <c r="Q11" s="64">
        <v>7.7</v>
      </c>
      <c r="R11" s="198"/>
      <c r="S11" s="198"/>
      <c r="T11" s="198"/>
      <c r="U11" s="198"/>
    </row>
    <row r="12" spans="1:21" s="12" customFormat="1" x14ac:dyDescent="0.25">
      <c r="A12" s="215" t="s">
        <v>1308</v>
      </c>
      <c r="B12" s="64">
        <v>34.33</v>
      </c>
      <c r="C12" s="64">
        <v>36.72</v>
      </c>
      <c r="D12" s="64">
        <v>71.040000000000006</v>
      </c>
      <c r="E12" s="64">
        <v>0.81</v>
      </c>
      <c r="F12" s="64">
        <v>2</v>
      </c>
      <c r="G12" s="64">
        <v>159.43</v>
      </c>
      <c r="H12" s="64">
        <v>87.69</v>
      </c>
      <c r="I12" s="64">
        <v>1.51</v>
      </c>
      <c r="J12" s="64">
        <v>0.06</v>
      </c>
      <c r="K12" s="64">
        <v>311.58</v>
      </c>
      <c r="L12" s="64">
        <v>19.260000000000002</v>
      </c>
      <c r="M12" s="64">
        <v>74.790000000000006</v>
      </c>
      <c r="N12" s="64">
        <v>35.6</v>
      </c>
      <c r="O12" s="64">
        <v>0</v>
      </c>
      <c r="P12" s="64">
        <v>1.77</v>
      </c>
      <c r="Q12" s="64">
        <v>7.43</v>
      </c>
      <c r="R12" s="198"/>
      <c r="S12" s="198"/>
      <c r="T12" s="198"/>
      <c r="U12" s="198"/>
    </row>
    <row r="13" spans="1:21" s="12" customFormat="1" x14ac:dyDescent="0.25">
      <c r="A13" s="215" t="s">
        <v>1309</v>
      </c>
      <c r="B13" s="64">
        <v>29.89</v>
      </c>
      <c r="C13" s="64">
        <v>29.98</v>
      </c>
      <c r="D13" s="64">
        <v>59.87</v>
      </c>
      <c r="E13" s="64">
        <v>0.76</v>
      </c>
      <c r="F13" s="64">
        <v>4.03</v>
      </c>
      <c r="G13" s="64">
        <v>145.25</v>
      </c>
      <c r="H13" s="64">
        <v>86.38</v>
      </c>
      <c r="I13" s="64">
        <v>1.51</v>
      </c>
      <c r="J13" s="64">
        <v>0.12</v>
      </c>
      <c r="K13" s="64">
        <v>293.86</v>
      </c>
      <c r="L13" s="64">
        <v>19.28</v>
      </c>
      <c r="M13" s="64">
        <v>77.510000000000005</v>
      </c>
      <c r="N13" s="64">
        <v>35.6</v>
      </c>
      <c r="O13" s="64">
        <v>0</v>
      </c>
      <c r="P13" s="64">
        <v>1.53</v>
      </c>
      <c r="Q13" s="64">
        <v>7.51</v>
      </c>
      <c r="R13" s="198"/>
      <c r="S13" s="198"/>
      <c r="T13" s="198"/>
      <c r="U13" s="198"/>
    </row>
    <row r="14" spans="1:21" s="12" customFormat="1" x14ac:dyDescent="0.25">
      <c r="A14" s="215" t="s">
        <v>1310</v>
      </c>
      <c r="B14" s="64">
        <v>31.71</v>
      </c>
      <c r="C14" s="64">
        <v>34.4</v>
      </c>
      <c r="D14" s="64">
        <v>66.11</v>
      </c>
      <c r="E14" s="64">
        <v>0.59</v>
      </c>
      <c r="F14" s="64">
        <v>0.89</v>
      </c>
      <c r="G14" s="64">
        <v>113.84</v>
      </c>
      <c r="H14" s="64">
        <v>81.28</v>
      </c>
      <c r="I14" s="64">
        <v>1.49</v>
      </c>
      <c r="J14" s="64">
        <v>0.06</v>
      </c>
      <c r="K14" s="64">
        <v>208.45</v>
      </c>
      <c r="L14" s="64">
        <v>19.04</v>
      </c>
      <c r="M14" s="64">
        <v>79.239999999999995</v>
      </c>
      <c r="N14" s="64">
        <v>35.6</v>
      </c>
      <c r="O14" s="64">
        <v>0</v>
      </c>
      <c r="P14" s="64">
        <v>1.7</v>
      </c>
      <c r="Q14" s="64">
        <v>7.05</v>
      </c>
      <c r="R14" s="198"/>
      <c r="S14" s="198"/>
      <c r="T14" s="198"/>
      <c r="U14" s="198"/>
    </row>
    <row r="15" spans="1:21" s="12" customFormat="1" x14ac:dyDescent="0.25">
      <c r="A15" s="215" t="s">
        <v>1311</v>
      </c>
      <c r="B15" s="64">
        <v>30.86</v>
      </c>
      <c r="C15" s="64">
        <v>35.950000000000003</v>
      </c>
      <c r="D15" s="64">
        <v>66.81</v>
      </c>
      <c r="E15" s="64">
        <v>0.48</v>
      </c>
      <c r="F15" s="64">
        <v>0.45</v>
      </c>
      <c r="G15" s="64">
        <v>113.84</v>
      </c>
      <c r="H15" s="64">
        <v>81.28</v>
      </c>
      <c r="I15" s="64">
        <v>1.51</v>
      </c>
      <c r="J15" s="64">
        <v>0.15</v>
      </c>
      <c r="K15" s="64">
        <v>313.17</v>
      </c>
      <c r="L15" s="64">
        <v>18.75</v>
      </c>
      <c r="M15" s="64">
        <v>82.12</v>
      </c>
      <c r="N15" s="64">
        <v>35.700000000000003</v>
      </c>
      <c r="O15" s="64">
        <v>0</v>
      </c>
      <c r="P15" s="64">
        <v>1.63</v>
      </c>
      <c r="Q15" s="64">
        <v>6.74</v>
      </c>
      <c r="R15" s="198"/>
      <c r="S15" s="198"/>
      <c r="T15" s="198"/>
      <c r="U15" s="198"/>
    </row>
    <row r="16" spans="1:21" s="12" customFormat="1" x14ac:dyDescent="0.25">
      <c r="A16" s="215" t="s">
        <v>1312</v>
      </c>
      <c r="B16" s="64">
        <v>29.33</v>
      </c>
      <c r="C16" s="64">
        <v>35.92</v>
      </c>
      <c r="D16" s="64">
        <v>65.239999999999995</v>
      </c>
      <c r="E16" s="64">
        <v>0.54</v>
      </c>
      <c r="F16" s="64">
        <v>0.34</v>
      </c>
      <c r="G16" s="64">
        <v>113.84</v>
      </c>
      <c r="H16" s="64">
        <v>81.28</v>
      </c>
      <c r="I16" s="64">
        <v>1.44</v>
      </c>
      <c r="J16" s="64">
        <v>0.09</v>
      </c>
      <c r="K16" s="64">
        <v>328.36</v>
      </c>
      <c r="L16" s="64">
        <v>18.53</v>
      </c>
      <c r="M16" s="64">
        <v>84.71</v>
      </c>
      <c r="N16" s="64">
        <v>35.4</v>
      </c>
      <c r="O16" s="64">
        <v>0</v>
      </c>
      <c r="P16" s="64">
        <v>1.6</v>
      </c>
      <c r="Q16" s="64">
        <v>6.65</v>
      </c>
      <c r="R16" s="198"/>
      <c r="S16" s="198"/>
      <c r="T16" s="198"/>
      <c r="U16" s="198"/>
    </row>
    <row r="17" spans="1:21" s="12" customFormat="1" x14ac:dyDescent="0.25">
      <c r="A17" s="215" t="s">
        <v>1313</v>
      </c>
      <c r="B17" s="64">
        <v>26.61</v>
      </c>
      <c r="C17" s="64">
        <v>32.43</v>
      </c>
      <c r="D17" s="64">
        <v>59.04</v>
      </c>
      <c r="E17" s="64">
        <v>0.55000000000000004</v>
      </c>
      <c r="F17" s="64">
        <v>1.72</v>
      </c>
      <c r="G17" s="64">
        <v>110.15</v>
      </c>
      <c r="H17" s="64">
        <v>77.92</v>
      </c>
      <c r="I17" s="64">
        <v>1.48</v>
      </c>
      <c r="J17" s="64">
        <v>0.17</v>
      </c>
      <c r="K17" s="64">
        <v>90.48</v>
      </c>
      <c r="L17" s="64">
        <v>18.86</v>
      </c>
      <c r="M17" s="64">
        <v>80.45</v>
      </c>
      <c r="N17" s="64">
        <v>35.299999999999997</v>
      </c>
      <c r="O17" s="64">
        <v>0</v>
      </c>
      <c r="P17" s="64">
        <v>1.53</v>
      </c>
      <c r="Q17" s="64">
        <v>6.58</v>
      </c>
      <c r="R17" s="198"/>
      <c r="S17" s="198"/>
      <c r="T17" s="198"/>
      <c r="U17" s="198"/>
    </row>
    <row r="18" spans="1:21" s="12" customFormat="1" x14ac:dyDescent="0.25">
      <c r="A18" s="215" t="s">
        <v>1314</v>
      </c>
      <c r="B18" s="64">
        <v>25.96</v>
      </c>
      <c r="C18" s="64">
        <v>35.299999999999997</v>
      </c>
      <c r="D18" s="64">
        <v>61.26</v>
      </c>
      <c r="E18" s="64">
        <v>0.52</v>
      </c>
      <c r="F18" s="64">
        <v>0.27</v>
      </c>
      <c r="G18" s="64">
        <v>102.38</v>
      </c>
      <c r="H18" s="64">
        <v>73.23</v>
      </c>
      <c r="I18" s="64">
        <v>1.41</v>
      </c>
      <c r="J18" s="64">
        <v>0.08</v>
      </c>
      <c r="K18" s="64">
        <v>190.23</v>
      </c>
      <c r="L18" s="64">
        <v>19.03</v>
      </c>
      <c r="M18" s="64">
        <v>80.11</v>
      </c>
      <c r="N18" s="64">
        <v>35.200000000000003</v>
      </c>
      <c r="O18" s="64">
        <v>0</v>
      </c>
      <c r="P18" s="64">
        <v>1.5</v>
      </c>
      <c r="Q18" s="64">
        <v>6.4</v>
      </c>
      <c r="R18" s="198"/>
      <c r="S18" s="198"/>
      <c r="T18" s="198"/>
      <c r="U18" s="198"/>
    </row>
    <row r="19" spans="1:21" s="12" customFormat="1" x14ac:dyDescent="0.25">
      <c r="A19" s="215" t="s">
        <v>1315</v>
      </c>
      <c r="B19" s="64">
        <v>22.3</v>
      </c>
      <c r="C19" s="64">
        <v>32.25</v>
      </c>
      <c r="D19" s="64">
        <v>54.55</v>
      </c>
      <c r="E19" s="64">
        <v>0.61</v>
      </c>
      <c r="F19" s="64">
        <v>1.66</v>
      </c>
      <c r="G19" s="64">
        <v>102.38</v>
      </c>
      <c r="H19" s="64">
        <v>73.23</v>
      </c>
      <c r="I19" s="64">
        <v>1.59</v>
      </c>
      <c r="J19" s="64">
        <v>0.1</v>
      </c>
      <c r="K19" s="64">
        <v>345.26</v>
      </c>
      <c r="L19" s="64">
        <v>18.78</v>
      </c>
      <c r="M19" s="64">
        <v>83.89</v>
      </c>
      <c r="N19" s="64">
        <v>35.799999999999997</v>
      </c>
      <c r="O19" s="64">
        <v>0</v>
      </c>
      <c r="P19" s="64">
        <v>1.39</v>
      </c>
      <c r="Q19" s="64">
        <v>6.2</v>
      </c>
      <c r="R19" s="198"/>
      <c r="S19" s="198"/>
      <c r="T19" s="198"/>
      <c r="U19" s="198"/>
    </row>
    <row r="20" spans="1:21" s="12" customFormat="1" x14ac:dyDescent="0.25">
      <c r="A20" s="215" t="s">
        <v>1316</v>
      </c>
      <c r="B20" s="64">
        <v>19.21</v>
      </c>
      <c r="C20" s="64">
        <v>31.12</v>
      </c>
      <c r="D20" s="64">
        <v>50.33</v>
      </c>
      <c r="E20" s="64">
        <v>0.67</v>
      </c>
      <c r="F20" s="64">
        <v>2.58</v>
      </c>
      <c r="G20" s="64">
        <v>102.38</v>
      </c>
      <c r="H20" s="64">
        <v>73.23</v>
      </c>
      <c r="I20" s="64">
        <v>1.47</v>
      </c>
      <c r="J20" s="64">
        <v>0.08</v>
      </c>
      <c r="K20" s="64">
        <v>286.57</v>
      </c>
      <c r="L20" s="64">
        <v>18.52</v>
      </c>
      <c r="M20" s="64">
        <v>86.95</v>
      </c>
      <c r="N20" s="64">
        <v>35.700000000000003</v>
      </c>
      <c r="O20" s="64">
        <v>0</v>
      </c>
      <c r="P20" s="64">
        <v>1.38</v>
      </c>
      <c r="Q20" s="64">
        <v>6.19</v>
      </c>
      <c r="R20" s="198"/>
      <c r="S20" s="198"/>
      <c r="T20" s="198"/>
      <c r="U20" s="198"/>
    </row>
    <row r="21" spans="1:21" s="12" customFormat="1" x14ac:dyDescent="0.25">
      <c r="A21" s="215" t="s">
        <v>1317</v>
      </c>
      <c r="B21" s="64">
        <v>19.559999999999999</v>
      </c>
      <c r="C21" s="64">
        <v>34.31</v>
      </c>
      <c r="D21" s="64">
        <v>53.86</v>
      </c>
      <c r="E21" s="64">
        <v>0.59</v>
      </c>
      <c r="F21" s="64">
        <v>1.56</v>
      </c>
      <c r="G21" s="64">
        <v>97.66</v>
      </c>
      <c r="H21" s="64">
        <v>68.05</v>
      </c>
      <c r="I21" s="64">
        <v>1.47</v>
      </c>
      <c r="J21" s="64">
        <v>0.06</v>
      </c>
      <c r="K21" s="64">
        <v>268.54000000000002</v>
      </c>
      <c r="L21" s="64">
        <v>18.22</v>
      </c>
      <c r="M21" s="64">
        <v>89.68</v>
      </c>
      <c r="N21" s="64">
        <v>35.799999999999997</v>
      </c>
      <c r="O21" s="64">
        <v>0</v>
      </c>
      <c r="P21" s="64">
        <v>1.34</v>
      </c>
      <c r="Q21" s="64">
        <v>6.06</v>
      </c>
      <c r="R21" s="198"/>
      <c r="S21" s="198"/>
      <c r="T21" s="198"/>
      <c r="U21" s="198"/>
    </row>
    <row r="22" spans="1:21" s="12" customFormat="1" x14ac:dyDescent="0.25">
      <c r="A22" s="215" t="s">
        <v>1318</v>
      </c>
      <c r="B22" s="64">
        <v>20.309999999999999</v>
      </c>
      <c r="C22" s="64">
        <v>33.950000000000003</v>
      </c>
      <c r="D22" s="64">
        <v>54.25</v>
      </c>
      <c r="E22" s="64">
        <v>0.51</v>
      </c>
      <c r="F22" s="64">
        <v>0.95</v>
      </c>
      <c r="G22" s="64">
        <v>87.73</v>
      </c>
      <c r="H22" s="64">
        <v>60.82</v>
      </c>
      <c r="I22" s="64">
        <v>1.53</v>
      </c>
      <c r="J22" s="64">
        <v>0.09</v>
      </c>
      <c r="K22" s="64">
        <v>271.63</v>
      </c>
      <c r="L22" s="64">
        <v>18.03</v>
      </c>
      <c r="M22" s="64">
        <v>90.93</v>
      </c>
      <c r="N22" s="64">
        <v>35.799999999999997</v>
      </c>
      <c r="O22" s="64">
        <v>0</v>
      </c>
      <c r="P22" s="64">
        <v>1.31</v>
      </c>
      <c r="Q22" s="64">
        <v>6.05</v>
      </c>
      <c r="R22" s="198"/>
      <c r="S22" s="198"/>
      <c r="T22" s="198"/>
      <c r="U22" s="198"/>
    </row>
    <row r="23" spans="1:21" s="12" customFormat="1" x14ac:dyDescent="0.25">
      <c r="A23" s="215" t="s">
        <v>1319</v>
      </c>
      <c r="B23" s="64">
        <v>18.95</v>
      </c>
      <c r="C23" s="64">
        <v>35.28</v>
      </c>
      <c r="D23" s="64">
        <v>54.24</v>
      </c>
      <c r="E23" s="64">
        <v>0.56999999999999995</v>
      </c>
      <c r="F23" s="64">
        <v>0.84</v>
      </c>
      <c r="G23" s="64">
        <v>87.73</v>
      </c>
      <c r="H23" s="64">
        <v>60.82</v>
      </c>
      <c r="I23" s="64">
        <v>1.63</v>
      </c>
      <c r="J23" s="64">
        <v>0.14000000000000001</v>
      </c>
      <c r="K23" s="64">
        <v>288.39</v>
      </c>
      <c r="L23" s="64">
        <v>18.010000000000002</v>
      </c>
      <c r="M23" s="64">
        <v>92.64</v>
      </c>
      <c r="N23" s="64">
        <v>35.6</v>
      </c>
      <c r="O23" s="64">
        <v>0</v>
      </c>
      <c r="P23" s="64">
        <v>1.25</v>
      </c>
      <c r="Q23" s="64">
        <v>5.98</v>
      </c>
      <c r="R23" s="198"/>
      <c r="S23" s="198"/>
      <c r="T23" s="198"/>
      <c r="U23" s="198"/>
    </row>
    <row r="24" spans="1:21" s="12" customFormat="1" x14ac:dyDescent="0.25">
      <c r="A24" s="215" t="s">
        <v>1320</v>
      </c>
      <c r="B24" s="64">
        <v>21.26</v>
      </c>
      <c r="C24" s="64">
        <v>31.53</v>
      </c>
      <c r="D24" s="64">
        <v>52.79</v>
      </c>
      <c r="E24" s="64">
        <v>0.3</v>
      </c>
      <c r="F24" s="64">
        <v>0.38</v>
      </c>
      <c r="G24" s="64">
        <v>87.73</v>
      </c>
      <c r="H24" s="64">
        <v>60.82</v>
      </c>
      <c r="I24" s="64">
        <v>1.59</v>
      </c>
      <c r="J24" s="64">
        <v>0.22</v>
      </c>
      <c r="K24" s="64">
        <v>208.16</v>
      </c>
      <c r="L24" s="64">
        <v>18.079999999999998</v>
      </c>
      <c r="M24" s="64">
        <v>91.49</v>
      </c>
      <c r="N24" s="64">
        <v>35</v>
      </c>
      <c r="O24" s="64">
        <v>0</v>
      </c>
      <c r="P24" s="64">
        <v>1.28</v>
      </c>
      <c r="Q24" s="64">
        <v>5.86</v>
      </c>
      <c r="R24" s="198"/>
      <c r="S24" s="198"/>
      <c r="T24" s="198"/>
      <c r="U24" s="198"/>
    </row>
    <row r="25" spans="1:21" s="12" customFormat="1" x14ac:dyDescent="0.25">
      <c r="A25" s="215" t="s">
        <v>1321</v>
      </c>
      <c r="B25" s="64">
        <v>21.42</v>
      </c>
      <c r="C25" s="64">
        <v>27.41</v>
      </c>
      <c r="D25" s="64">
        <v>48.83</v>
      </c>
      <c r="E25" s="64">
        <v>0.5</v>
      </c>
      <c r="F25" s="64">
        <v>0.53</v>
      </c>
      <c r="G25" s="64">
        <v>91.43</v>
      </c>
      <c r="H25" s="64">
        <v>59.8</v>
      </c>
      <c r="I25" s="64">
        <v>1.38</v>
      </c>
      <c r="J25" s="64">
        <v>0.12</v>
      </c>
      <c r="K25" s="64">
        <v>252.51</v>
      </c>
      <c r="L25" s="64">
        <v>18.420000000000002</v>
      </c>
      <c r="M25" s="64">
        <v>89.45</v>
      </c>
      <c r="N25" s="64">
        <v>35.6</v>
      </c>
      <c r="O25" s="64">
        <v>0</v>
      </c>
      <c r="P25" s="64">
        <v>1.25</v>
      </c>
      <c r="Q25" s="64">
        <v>5.88</v>
      </c>
      <c r="R25" s="198"/>
      <c r="S25" s="198"/>
      <c r="T25" s="198"/>
      <c r="U25" s="198"/>
    </row>
    <row r="26" spans="1:21" s="12" customFormat="1" x14ac:dyDescent="0.25">
      <c r="A26" s="215" t="s">
        <v>1322</v>
      </c>
      <c r="B26" s="64">
        <v>21.19</v>
      </c>
      <c r="C26" s="64">
        <v>32.92</v>
      </c>
      <c r="D26" s="64">
        <v>54.1</v>
      </c>
      <c r="E26" s="64">
        <v>0.49</v>
      </c>
      <c r="F26" s="64">
        <v>0.14000000000000001</v>
      </c>
      <c r="G26" s="64">
        <v>99.19</v>
      </c>
      <c r="H26" s="64">
        <v>58.38</v>
      </c>
      <c r="I26" s="64">
        <v>1.45</v>
      </c>
      <c r="J26" s="64">
        <v>0.09</v>
      </c>
      <c r="K26" s="64">
        <v>263.64999999999998</v>
      </c>
      <c r="L26" s="64">
        <v>18.27</v>
      </c>
      <c r="M26" s="64">
        <v>88.7</v>
      </c>
      <c r="N26" s="64">
        <v>35.700000000000003</v>
      </c>
      <c r="O26" s="64">
        <v>0</v>
      </c>
      <c r="P26" s="64">
        <v>1.22</v>
      </c>
      <c r="Q26" s="64">
        <v>5.83</v>
      </c>
      <c r="R26" s="198"/>
      <c r="S26" s="198"/>
      <c r="T26" s="198"/>
      <c r="U26" s="198"/>
    </row>
    <row r="27" spans="1:21" s="12" customFormat="1" x14ac:dyDescent="0.25">
      <c r="A27" s="215" t="s">
        <v>1323</v>
      </c>
      <c r="B27" s="64">
        <v>20.92</v>
      </c>
      <c r="C27" s="64">
        <v>30.38</v>
      </c>
      <c r="D27" s="64">
        <v>51.3</v>
      </c>
      <c r="E27" s="64">
        <v>0.43</v>
      </c>
      <c r="F27" s="64">
        <v>0.44</v>
      </c>
      <c r="G27" s="64">
        <v>99.19</v>
      </c>
      <c r="H27" s="64">
        <v>58.38</v>
      </c>
      <c r="I27" s="64">
        <v>1.47</v>
      </c>
      <c r="J27" s="64">
        <v>0.14000000000000001</v>
      </c>
      <c r="K27" s="64">
        <v>307.13</v>
      </c>
      <c r="L27" s="64">
        <v>17.97</v>
      </c>
      <c r="M27" s="64">
        <v>92.32</v>
      </c>
      <c r="N27" s="64">
        <v>35.799999999999997</v>
      </c>
      <c r="O27" s="64">
        <v>0</v>
      </c>
      <c r="P27" s="64">
        <v>1.2</v>
      </c>
      <c r="Q27" s="64">
        <v>5.82</v>
      </c>
      <c r="R27" s="198"/>
      <c r="S27" s="198"/>
      <c r="T27" s="198"/>
      <c r="U27" s="198"/>
    </row>
    <row r="28" spans="1:21" s="12" customFormat="1" x14ac:dyDescent="0.25">
      <c r="A28" s="215" t="s">
        <v>1324</v>
      </c>
      <c r="B28" s="64">
        <v>21.27</v>
      </c>
      <c r="C28" s="64">
        <v>31.92</v>
      </c>
      <c r="D28" s="64">
        <v>53.19</v>
      </c>
      <c r="E28" s="64">
        <v>0.44</v>
      </c>
      <c r="F28" s="64">
        <v>0.22</v>
      </c>
      <c r="G28" s="64">
        <v>99.19</v>
      </c>
      <c r="H28" s="64">
        <v>58.38</v>
      </c>
      <c r="I28" s="64">
        <v>1.48</v>
      </c>
      <c r="J28" s="64">
        <v>0.08</v>
      </c>
      <c r="K28" s="64">
        <v>263.67</v>
      </c>
      <c r="L28" s="64">
        <v>17.7</v>
      </c>
      <c r="M28" s="64">
        <v>94.77</v>
      </c>
      <c r="N28" s="64">
        <v>35.799999999999997</v>
      </c>
      <c r="O28" s="64">
        <v>0</v>
      </c>
      <c r="P28" s="64">
        <v>1.18</v>
      </c>
      <c r="Q28" s="64">
        <v>5.83</v>
      </c>
      <c r="R28" s="198"/>
      <c r="S28" s="198"/>
      <c r="T28" s="198"/>
      <c r="U28" s="198"/>
    </row>
    <row r="29" spans="1:21" s="12" customFormat="1" x14ac:dyDescent="0.25">
      <c r="A29" s="215" t="s">
        <v>1325</v>
      </c>
      <c r="B29" s="64">
        <v>21.98</v>
      </c>
      <c r="C29" s="64">
        <v>31.95</v>
      </c>
      <c r="D29" s="64">
        <v>53.93</v>
      </c>
      <c r="E29" s="64">
        <v>0.44</v>
      </c>
      <c r="F29" s="64">
        <v>0.2</v>
      </c>
      <c r="G29" s="64">
        <v>98.81</v>
      </c>
      <c r="H29" s="64">
        <v>57.86</v>
      </c>
      <c r="I29" s="64">
        <v>1.49</v>
      </c>
      <c r="J29" s="64">
        <v>0.14000000000000001</v>
      </c>
      <c r="K29" s="64">
        <v>221.02</v>
      </c>
      <c r="L29" s="64">
        <v>17.649999999999999</v>
      </c>
      <c r="M29" s="64">
        <v>94.29</v>
      </c>
      <c r="N29" s="64">
        <v>35.4</v>
      </c>
      <c r="O29" s="64">
        <v>0</v>
      </c>
      <c r="P29" s="64">
        <v>1.1599999999999999</v>
      </c>
      <c r="Q29" s="64">
        <v>5.9</v>
      </c>
      <c r="R29" s="198"/>
      <c r="S29" s="198"/>
      <c r="T29" s="198"/>
      <c r="U29" s="198"/>
    </row>
    <row r="30" spans="1:21" s="12" customFormat="1" x14ac:dyDescent="0.25">
      <c r="A30" s="215" t="s">
        <v>1326</v>
      </c>
      <c r="B30" s="64">
        <v>22.6</v>
      </c>
      <c r="C30" s="64">
        <v>31.61</v>
      </c>
      <c r="D30" s="64">
        <v>54.21</v>
      </c>
      <c r="E30" s="64">
        <v>0.52</v>
      </c>
      <c r="F30" s="64">
        <v>0.31</v>
      </c>
      <c r="G30" s="64">
        <v>97.99</v>
      </c>
      <c r="H30" s="64">
        <v>57.14</v>
      </c>
      <c r="I30" s="64">
        <v>1.43</v>
      </c>
      <c r="J30" s="64">
        <v>0.11</v>
      </c>
      <c r="K30" s="64">
        <v>238.98</v>
      </c>
      <c r="L30" s="64">
        <v>17.899999999999999</v>
      </c>
      <c r="M30" s="64">
        <v>91.85</v>
      </c>
      <c r="N30" s="64">
        <v>35.4</v>
      </c>
      <c r="O30" s="64">
        <v>0</v>
      </c>
      <c r="P30" s="64">
        <v>1.1499999999999999</v>
      </c>
      <c r="Q30" s="64">
        <v>6</v>
      </c>
      <c r="R30" s="198"/>
      <c r="S30" s="198"/>
      <c r="T30" s="198"/>
      <c r="U30" s="198"/>
    </row>
    <row r="31" spans="1:21" s="12" customFormat="1" x14ac:dyDescent="0.25">
      <c r="A31" s="215" t="s">
        <v>1327</v>
      </c>
      <c r="B31" s="64">
        <v>24.12</v>
      </c>
      <c r="C31" s="64">
        <v>33.590000000000003</v>
      </c>
      <c r="D31" s="64">
        <v>57.71</v>
      </c>
      <c r="E31" s="64">
        <v>0.48</v>
      </c>
      <c r="F31" s="64">
        <v>0.11</v>
      </c>
      <c r="G31" s="64">
        <v>97.99</v>
      </c>
      <c r="H31" s="64">
        <v>57.14</v>
      </c>
      <c r="I31" s="64">
        <v>1.62</v>
      </c>
      <c r="J31" s="64">
        <v>0.11</v>
      </c>
      <c r="K31" s="64">
        <v>293.47000000000003</v>
      </c>
      <c r="L31" s="64">
        <v>17.489999999999998</v>
      </c>
      <c r="M31" s="64">
        <v>95.99</v>
      </c>
      <c r="N31" s="64">
        <v>35.799999999999997</v>
      </c>
      <c r="O31" s="64">
        <v>0</v>
      </c>
      <c r="P31" s="64">
        <v>1.1299999999999999</v>
      </c>
      <c r="Q31" s="64">
        <v>6.09</v>
      </c>
      <c r="R31" s="198"/>
      <c r="S31" s="198"/>
      <c r="T31" s="198"/>
      <c r="U31" s="198"/>
    </row>
    <row r="32" spans="1:21" s="12" customFormat="1" x14ac:dyDescent="0.25">
      <c r="A32" s="215" t="s">
        <v>1328</v>
      </c>
      <c r="B32" s="64">
        <v>24.92</v>
      </c>
      <c r="C32" s="64">
        <v>33.96</v>
      </c>
      <c r="D32" s="64">
        <v>58.88</v>
      </c>
      <c r="E32" s="64">
        <v>0.48</v>
      </c>
      <c r="F32" s="64">
        <v>0.22</v>
      </c>
      <c r="G32" s="64">
        <v>97.99</v>
      </c>
      <c r="H32" s="64">
        <v>57.14</v>
      </c>
      <c r="I32" s="64">
        <v>1.5</v>
      </c>
      <c r="J32" s="64">
        <v>0.14000000000000001</v>
      </c>
      <c r="K32" s="64">
        <v>227.62</v>
      </c>
      <c r="L32" s="64">
        <v>17.87</v>
      </c>
      <c r="M32" s="64">
        <v>91.8</v>
      </c>
      <c r="N32" s="64">
        <v>36.5</v>
      </c>
      <c r="O32" s="64">
        <v>0</v>
      </c>
      <c r="P32" s="64">
        <v>1.1100000000000001</v>
      </c>
      <c r="Q32" s="64">
        <v>6.21</v>
      </c>
      <c r="R32" s="198"/>
      <c r="S32" s="198"/>
      <c r="T32" s="198"/>
      <c r="U32" s="198"/>
    </row>
    <row r="33" spans="1:21" s="12" customFormat="1" x14ac:dyDescent="0.25">
      <c r="A33" s="215" t="s">
        <v>1329</v>
      </c>
      <c r="B33" s="64">
        <v>29.56</v>
      </c>
      <c r="C33" s="64">
        <v>37.76</v>
      </c>
      <c r="D33" s="64">
        <v>67.319999999999993</v>
      </c>
      <c r="E33" s="64">
        <v>0.5</v>
      </c>
      <c r="F33" s="64">
        <v>0.27</v>
      </c>
      <c r="G33" s="64">
        <v>98.35</v>
      </c>
      <c r="H33" s="64">
        <v>55.61</v>
      </c>
      <c r="I33" s="64">
        <v>1.55</v>
      </c>
      <c r="J33" s="64">
        <v>7.0000000000000007E-2</v>
      </c>
      <c r="K33" s="64">
        <v>251.64</v>
      </c>
      <c r="L33" s="64">
        <v>17.68</v>
      </c>
      <c r="M33" s="64">
        <v>94.46</v>
      </c>
      <c r="N33" s="64">
        <v>43.6</v>
      </c>
      <c r="O33" s="64">
        <v>0</v>
      </c>
      <c r="P33" s="64">
        <v>1.1200000000000001</v>
      </c>
      <c r="Q33" s="64">
        <v>6.25</v>
      </c>
      <c r="R33" s="198"/>
      <c r="S33" s="198"/>
      <c r="T33" s="198"/>
      <c r="U33" s="198"/>
    </row>
    <row r="34" spans="1:21" s="12" customFormat="1" x14ac:dyDescent="0.25">
      <c r="A34" s="215" t="s">
        <v>1330</v>
      </c>
      <c r="B34" s="64">
        <v>28.58</v>
      </c>
      <c r="C34" s="64">
        <v>35.07</v>
      </c>
      <c r="D34" s="64">
        <v>63.64</v>
      </c>
      <c r="E34" s="64">
        <v>0.48</v>
      </c>
      <c r="F34" s="64">
        <v>0.28999999999999998</v>
      </c>
      <c r="G34" s="64">
        <v>99.1</v>
      </c>
      <c r="H34" s="64">
        <v>53.49</v>
      </c>
      <c r="I34" s="64">
        <v>1.49</v>
      </c>
      <c r="J34" s="64">
        <v>0.13</v>
      </c>
      <c r="K34" s="64">
        <v>327.72</v>
      </c>
      <c r="L34" s="64">
        <v>17.61</v>
      </c>
      <c r="M34" s="64">
        <v>95.8</v>
      </c>
      <c r="N34" s="64">
        <v>58.2</v>
      </c>
      <c r="O34" s="64">
        <v>0</v>
      </c>
      <c r="P34" s="64">
        <v>1.1100000000000001</v>
      </c>
      <c r="Q34" s="64">
        <v>6.34</v>
      </c>
      <c r="R34" s="198"/>
      <c r="S34" s="198"/>
      <c r="T34" s="198"/>
      <c r="U34" s="198"/>
    </row>
    <row r="35" spans="1:21" s="12" customFormat="1" x14ac:dyDescent="0.25">
      <c r="A35" s="215" t="s">
        <v>1331</v>
      </c>
      <c r="B35" s="64">
        <v>30.23</v>
      </c>
      <c r="C35" s="64">
        <v>34.700000000000003</v>
      </c>
      <c r="D35" s="64">
        <v>64.930000000000007</v>
      </c>
      <c r="E35" s="64">
        <v>0.49</v>
      </c>
      <c r="F35" s="64">
        <v>0.16</v>
      </c>
      <c r="G35" s="64">
        <v>99.1</v>
      </c>
      <c r="H35" s="64">
        <v>53.49</v>
      </c>
      <c r="I35" s="64">
        <v>1.46</v>
      </c>
      <c r="J35" s="64">
        <v>0.59</v>
      </c>
      <c r="K35" s="64">
        <v>329.28</v>
      </c>
      <c r="L35" s="64">
        <v>18</v>
      </c>
      <c r="M35" s="64">
        <v>94.53</v>
      </c>
      <c r="N35" s="64">
        <v>74.7</v>
      </c>
      <c r="O35" s="64">
        <v>0</v>
      </c>
      <c r="P35" s="64">
        <v>1.1299999999999999</v>
      </c>
      <c r="Q35" s="64">
        <v>6.47</v>
      </c>
      <c r="R35" s="198"/>
      <c r="S35" s="198"/>
      <c r="T35" s="198"/>
      <c r="U35" s="198"/>
    </row>
    <row r="36" spans="1:21" s="12" customFormat="1" x14ac:dyDescent="0.25">
      <c r="A36" s="215" t="s">
        <v>1332</v>
      </c>
      <c r="B36" s="64">
        <v>31.05</v>
      </c>
      <c r="C36" s="64">
        <v>33.99</v>
      </c>
      <c r="D36" s="64">
        <v>65.05</v>
      </c>
      <c r="E36" s="64">
        <v>0.51</v>
      </c>
      <c r="F36" s="64">
        <v>0.54</v>
      </c>
      <c r="G36" s="64">
        <v>99.1</v>
      </c>
      <c r="H36" s="64">
        <v>53.49</v>
      </c>
      <c r="I36" s="64">
        <v>1.5</v>
      </c>
      <c r="J36" s="64">
        <v>0.7</v>
      </c>
      <c r="K36" s="64">
        <v>323.41000000000003</v>
      </c>
      <c r="L36" s="64">
        <v>18.93</v>
      </c>
      <c r="M36" s="64">
        <v>85.82</v>
      </c>
      <c r="N36" s="64">
        <v>94.2</v>
      </c>
      <c r="O36" s="64">
        <v>0</v>
      </c>
      <c r="P36" s="64">
        <v>1.1200000000000001</v>
      </c>
      <c r="Q36" s="64">
        <v>6.3</v>
      </c>
      <c r="R36" s="198"/>
      <c r="S36" s="198"/>
      <c r="T36" s="198"/>
      <c r="U36" s="198"/>
    </row>
    <row r="37" spans="1:21" s="12" customFormat="1" x14ac:dyDescent="0.25">
      <c r="A37" s="215" t="s">
        <v>1333</v>
      </c>
      <c r="B37" s="64">
        <v>30.09</v>
      </c>
      <c r="C37" s="64">
        <v>33.049999999999997</v>
      </c>
      <c r="D37" s="64">
        <v>63.13</v>
      </c>
      <c r="E37" s="64">
        <v>0.44</v>
      </c>
      <c r="F37" s="64">
        <v>0.61</v>
      </c>
      <c r="G37" s="64">
        <v>108.77</v>
      </c>
      <c r="H37" s="64">
        <v>55.24</v>
      </c>
      <c r="I37" s="64">
        <v>1.49</v>
      </c>
      <c r="J37" s="64">
        <v>1.01</v>
      </c>
      <c r="K37" s="64">
        <v>331.51</v>
      </c>
      <c r="L37" s="64">
        <v>19.61</v>
      </c>
      <c r="M37" s="64">
        <v>79.239999999999995</v>
      </c>
      <c r="N37" s="64">
        <v>139.69999999999999</v>
      </c>
      <c r="O37" s="64">
        <v>0</v>
      </c>
      <c r="P37" s="64">
        <v>1.18</v>
      </c>
      <c r="Q37" s="64">
        <v>6.45</v>
      </c>
      <c r="R37" s="198"/>
      <c r="S37" s="198"/>
      <c r="T37" s="198"/>
      <c r="U37" s="198"/>
    </row>
    <row r="38" spans="1:21" s="12" customFormat="1" x14ac:dyDescent="0.25">
      <c r="A38" s="215" t="s">
        <v>1334</v>
      </c>
      <c r="B38" s="64">
        <v>28.71</v>
      </c>
      <c r="C38" s="64">
        <v>34.92</v>
      </c>
      <c r="D38" s="64">
        <v>63.63</v>
      </c>
      <c r="E38" s="64">
        <v>0.43</v>
      </c>
      <c r="F38" s="64">
        <v>0.2</v>
      </c>
      <c r="G38" s="64">
        <v>129.11000000000001</v>
      </c>
      <c r="H38" s="64">
        <v>62.08</v>
      </c>
      <c r="I38" s="64">
        <v>1.49</v>
      </c>
      <c r="J38" s="64">
        <v>0.73</v>
      </c>
      <c r="K38" s="64">
        <v>335.97</v>
      </c>
      <c r="L38" s="64">
        <v>20.99</v>
      </c>
      <c r="M38" s="64">
        <v>71.88</v>
      </c>
      <c r="N38" s="64">
        <v>192.7</v>
      </c>
      <c r="O38" s="64">
        <v>0</v>
      </c>
      <c r="P38" s="64">
        <v>1.2</v>
      </c>
      <c r="Q38" s="64">
        <v>6.46</v>
      </c>
      <c r="R38" s="198"/>
      <c r="S38" s="198"/>
      <c r="T38" s="198"/>
      <c r="U38" s="198"/>
    </row>
    <row r="39" spans="1:21" s="12" customFormat="1" x14ac:dyDescent="0.25">
      <c r="A39" s="215" t="s">
        <v>1335</v>
      </c>
      <c r="B39" s="64">
        <v>27.8</v>
      </c>
      <c r="C39" s="64">
        <v>35.630000000000003</v>
      </c>
      <c r="D39" s="64">
        <v>63.42</v>
      </c>
      <c r="E39" s="64">
        <v>0.47</v>
      </c>
      <c r="F39" s="64">
        <v>0.24</v>
      </c>
      <c r="G39" s="64">
        <v>129.11000000000001</v>
      </c>
      <c r="H39" s="64">
        <v>62.08</v>
      </c>
      <c r="I39" s="64">
        <v>1.51</v>
      </c>
      <c r="J39" s="64">
        <v>0.56999999999999995</v>
      </c>
      <c r="K39" s="64">
        <v>344</v>
      </c>
      <c r="L39" s="64">
        <v>22.98</v>
      </c>
      <c r="M39" s="64">
        <v>62.13</v>
      </c>
      <c r="N39" s="64">
        <v>243.3</v>
      </c>
      <c r="O39" s="64">
        <v>0</v>
      </c>
      <c r="P39" s="64">
        <v>1.22</v>
      </c>
      <c r="Q39" s="64">
        <v>6.46</v>
      </c>
      <c r="R39" s="198"/>
      <c r="S39" s="198"/>
      <c r="T39" s="198"/>
      <c r="U39" s="198"/>
    </row>
    <row r="40" spans="1:21" s="12" customFormat="1" x14ac:dyDescent="0.25">
      <c r="A40" s="215" t="s">
        <v>1336</v>
      </c>
      <c r="B40" s="64">
        <v>27.68</v>
      </c>
      <c r="C40" s="64">
        <v>35.86</v>
      </c>
      <c r="D40" s="64">
        <v>63.54</v>
      </c>
      <c r="E40" s="64">
        <v>0.11</v>
      </c>
      <c r="F40" s="64">
        <v>0.46</v>
      </c>
      <c r="G40" s="64">
        <v>129.11000000000001</v>
      </c>
      <c r="H40" s="64">
        <v>62.08</v>
      </c>
      <c r="I40" s="64">
        <v>1.42</v>
      </c>
      <c r="J40" s="64">
        <v>0.65</v>
      </c>
      <c r="K40" s="64">
        <v>344.01</v>
      </c>
      <c r="L40" s="64">
        <v>24.57</v>
      </c>
      <c r="M40" s="64">
        <v>55.96</v>
      </c>
      <c r="N40" s="64">
        <v>285.5</v>
      </c>
      <c r="O40" s="64">
        <v>0</v>
      </c>
      <c r="P40" s="64">
        <v>1.22</v>
      </c>
      <c r="Q40" s="64">
        <v>6.39</v>
      </c>
      <c r="R40" s="198"/>
      <c r="S40" s="198"/>
      <c r="T40" s="198"/>
      <c r="U40" s="198"/>
    </row>
    <row r="41" spans="1:21" s="12" customFormat="1" x14ac:dyDescent="0.25">
      <c r="A41" s="215" t="s">
        <v>1337</v>
      </c>
      <c r="B41" s="64">
        <v>27.82</v>
      </c>
      <c r="C41" s="64">
        <v>36.799999999999997</v>
      </c>
      <c r="D41" s="64">
        <v>64.62</v>
      </c>
      <c r="E41" s="64">
        <v>0.32</v>
      </c>
      <c r="F41" s="64">
        <v>0.55000000000000004</v>
      </c>
      <c r="G41" s="64">
        <v>159.34</v>
      </c>
      <c r="H41" s="64">
        <v>71.37</v>
      </c>
      <c r="I41" s="64">
        <v>1.51</v>
      </c>
      <c r="J41" s="64">
        <v>0.57999999999999996</v>
      </c>
      <c r="K41" s="64">
        <v>343.26</v>
      </c>
      <c r="L41" s="64">
        <v>26.24</v>
      </c>
      <c r="M41" s="64">
        <v>51.58</v>
      </c>
      <c r="N41" s="64">
        <v>347.8</v>
      </c>
      <c r="O41" s="64">
        <v>0</v>
      </c>
      <c r="P41" s="64">
        <v>1.24</v>
      </c>
      <c r="Q41" s="64">
        <v>6.38</v>
      </c>
      <c r="R41" s="198"/>
      <c r="S41" s="198"/>
      <c r="T41" s="198"/>
      <c r="U41" s="198"/>
    </row>
    <row r="42" spans="1:21" s="12" customFormat="1" x14ac:dyDescent="0.25">
      <c r="A42" s="215" t="s">
        <v>1338</v>
      </c>
      <c r="B42" s="64">
        <v>27.96</v>
      </c>
      <c r="C42" s="64">
        <v>36.28</v>
      </c>
      <c r="D42" s="64">
        <v>64.239999999999995</v>
      </c>
      <c r="E42" s="64">
        <v>0.28999999999999998</v>
      </c>
      <c r="F42" s="64">
        <v>0.53</v>
      </c>
      <c r="G42" s="64">
        <v>222.93</v>
      </c>
      <c r="H42" s="64">
        <v>84.32</v>
      </c>
      <c r="I42" s="64">
        <v>1.55</v>
      </c>
      <c r="J42" s="64">
        <v>0.38</v>
      </c>
      <c r="K42" s="64">
        <v>346.75</v>
      </c>
      <c r="L42" s="64">
        <v>27.71</v>
      </c>
      <c r="M42" s="64">
        <v>46.93</v>
      </c>
      <c r="N42" s="64">
        <v>394.8</v>
      </c>
      <c r="O42" s="64">
        <v>0</v>
      </c>
      <c r="P42" s="64">
        <v>1.26</v>
      </c>
      <c r="Q42" s="64">
        <v>6.51</v>
      </c>
      <c r="R42" s="198"/>
      <c r="S42" s="198"/>
      <c r="T42" s="198"/>
      <c r="U42" s="198"/>
    </row>
    <row r="43" spans="1:21" s="12" customFormat="1" x14ac:dyDescent="0.25">
      <c r="A43" s="215" t="s">
        <v>1339</v>
      </c>
      <c r="B43" s="64">
        <v>22.38</v>
      </c>
      <c r="C43" s="64">
        <v>46.5</v>
      </c>
      <c r="D43" s="64">
        <v>68.87</v>
      </c>
      <c r="E43" s="64">
        <v>0.38</v>
      </c>
      <c r="F43" s="64">
        <v>5.0999999999999996</v>
      </c>
      <c r="G43" s="64">
        <v>222.93</v>
      </c>
      <c r="H43" s="64">
        <v>84.32</v>
      </c>
      <c r="I43" s="64">
        <v>1.55</v>
      </c>
      <c r="J43" s="64">
        <v>0.28999999999999998</v>
      </c>
      <c r="K43" s="64">
        <v>350.82</v>
      </c>
      <c r="L43" s="64">
        <v>28.6</v>
      </c>
      <c r="M43" s="64">
        <v>44.19</v>
      </c>
      <c r="N43" s="64">
        <v>426.2</v>
      </c>
      <c r="O43" s="64">
        <v>0</v>
      </c>
      <c r="P43" s="64">
        <v>1.26</v>
      </c>
      <c r="Q43" s="64">
        <v>6.44</v>
      </c>
      <c r="R43" s="198"/>
      <c r="S43" s="198"/>
      <c r="T43" s="198"/>
      <c r="U43" s="198"/>
    </row>
    <row r="44" spans="1:21" s="12" customFormat="1" x14ac:dyDescent="0.25">
      <c r="A44" s="215" t="s">
        <v>1340</v>
      </c>
      <c r="B44" s="64">
        <v>22.34</v>
      </c>
      <c r="C44" s="64">
        <v>43.99</v>
      </c>
      <c r="D44" s="64">
        <v>66.33</v>
      </c>
      <c r="E44" s="64">
        <v>0.44</v>
      </c>
      <c r="F44" s="64">
        <v>5.6</v>
      </c>
      <c r="G44" s="64">
        <v>222.93</v>
      </c>
      <c r="H44" s="64">
        <v>84.32</v>
      </c>
      <c r="I44" s="64">
        <v>1.49</v>
      </c>
      <c r="J44" s="64">
        <v>0.16</v>
      </c>
      <c r="K44" s="64">
        <v>85.8</v>
      </c>
      <c r="L44" s="64">
        <v>28.28</v>
      </c>
      <c r="M44" s="64">
        <v>43.52</v>
      </c>
      <c r="N44" s="64">
        <v>476.9</v>
      </c>
      <c r="O44" s="64">
        <v>0</v>
      </c>
      <c r="P44" s="64">
        <v>1.24</v>
      </c>
      <c r="Q44" s="64">
        <v>6.5</v>
      </c>
      <c r="R44" s="198"/>
      <c r="S44" s="198"/>
      <c r="T44" s="198"/>
      <c r="U44" s="198"/>
    </row>
    <row r="45" spans="1:21" s="12" customFormat="1" x14ac:dyDescent="0.25">
      <c r="A45" s="215" t="s">
        <v>1341</v>
      </c>
      <c r="B45" s="64">
        <v>22.03</v>
      </c>
      <c r="C45" s="64">
        <v>41.98</v>
      </c>
      <c r="D45" s="64">
        <v>64</v>
      </c>
      <c r="E45" s="64">
        <v>0.54</v>
      </c>
      <c r="F45" s="64">
        <v>5.85</v>
      </c>
      <c r="G45" s="64">
        <v>219.03</v>
      </c>
      <c r="H45" s="64">
        <v>92.26</v>
      </c>
      <c r="I45" s="64">
        <v>1.65</v>
      </c>
      <c r="J45" s="64">
        <v>0.12</v>
      </c>
      <c r="K45" s="64">
        <v>30.95</v>
      </c>
      <c r="L45" s="64">
        <v>29.54</v>
      </c>
      <c r="M45" s="64">
        <v>38.35</v>
      </c>
      <c r="N45" s="64">
        <v>542.79999999999995</v>
      </c>
      <c r="O45" s="64">
        <v>0</v>
      </c>
      <c r="P45" s="64">
        <v>1.23</v>
      </c>
      <c r="Q45" s="64">
        <v>6.51</v>
      </c>
      <c r="R45" s="198"/>
      <c r="S45" s="198"/>
      <c r="T45" s="198"/>
      <c r="U45" s="198"/>
    </row>
    <row r="46" spans="1:21" s="12" customFormat="1" x14ac:dyDescent="0.25">
      <c r="A46" s="215" t="s">
        <v>1342</v>
      </c>
      <c r="B46" s="64">
        <v>22.07</v>
      </c>
      <c r="C46" s="64">
        <v>41.58</v>
      </c>
      <c r="D46" s="64">
        <v>63.66</v>
      </c>
      <c r="E46" s="64">
        <v>0.51</v>
      </c>
      <c r="F46" s="64">
        <v>5.42</v>
      </c>
      <c r="G46" s="64">
        <v>210.83</v>
      </c>
      <c r="H46" s="64">
        <v>103.32</v>
      </c>
      <c r="I46" s="64">
        <v>1.55</v>
      </c>
      <c r="J46" s="64">
        <v>0.1</v>
      </c>
      <c r="K46" s="64">
        <v>16.12</v>
      </c>
      <c r="L46" s="64">
        <v>30.4</v>
      </c>
      <c r="M46" s="64">
        <v>37.01</v>
      </c>
      <c r="N46" s="64">
        <v>560.29999999999995</v>
      </c>
      <c r="O46" s="64">
        <v>0</v>
      </c>
      <c r="P46" s="64">
        <v>1.28</v>
      </c>
      <c r="Q46" s="64">
        <v>6.41</v>
      </c>
      <c r="R46" s="198"/>
      <c r="S46" s="198"/>
      <c r="T46" s="198"/>
      <c r="U46" s="198"/>
    </row>
    <row r="47" spans="1:21" s="12" customFormat="1" x14ac:dyDescent="0.25">
      <c r="A47" s="215" t="s">
        <v>1343</v>
      </c>
      <c r="B47" s="64">
        <v>22.67</v>
      </c>
      <c r="C47" s="64">
        <v>39.119999999999997</v>
      </c>
      <c r="D47" s="64">
        <v>61.79</v>
      </c>
      <c r="E47" s="64">
        <v>0.62</v>
      </c>
      <c r="F47" s="64">
        <v>1.68</v>
      </c>
      <c r="G47" s="64">
        <v>210.83</v>
      </c>
      <c r="H47" s="64">
        <v>103.32</v>
      </c>
      <c r="I47" s="64">
        <v>1.52</v>
      </c>
      <c r="J47" s="64">
        <v>0.28999999999999998</v>
      </c>
      <c r="K47" s="64">
        <v>328.49</v>
      </c>
      <c r="L47" s="64">
        <v>30.67</v>
      </c>
      <c r="M47" s="64">
        <v>36.72</v>
      </c>
      <c r="N47" s="64">
        <v>585.20000000000005</v>
      </c>
      <c r="O47" s="64">
        <v>0</v>
      </c>
      <c r="P47" s="64">
        <v>1.28</v>
      </c>
      <c r="Q47" s="64">
        <v>6.24</v>
      </c>
      <c r="R47" s="198"/>
      <c r="S47" s="198"/>
      <c r="T47" s="198"/>
      <c r="U47" s="198"/>
    </row>
    <row r="48" spans="1:21" s="12" customFormat="1" x14ac:dyDescent="0.25">
      <c r="A48" s="215" t="s">
        <v>1344</v>
      </c>
      <c r="B48" s="64">
        <v>20.56</v>
      </c>
      <c r="C48" s="64">
        <v>35.01</v>
      </c>
      <c r="D48" s="64">
        <v>55.57</v>
      </c>
      <c r="E48" s="64">
        <v>0.61</v>
      </c>
      <c r="F48" s="64">
        <v>2.62</v>
      </c>
      <c r="G48" s="64">
        <v>210.83</v>
      </c>
      <c r="H48" s="64">
        <v>103.32</v>
      </c>
      <c r="I48" s="64">
        <v>1.55</v>
      </c>
      <c r="J48" s="64">
        <v>0.35</v>
      </c>
      <c r="K48" s="64">
        <v>346.55</v>
      </c>
      <c r="L48" s="64">
        <v>31.93</v>
      </c>
      <c r="M48" s="64">
        <v>34.28</v>
      </c>
      <c r="N48" s="64">
        <v>622.29999999999995</v>
      </c>
      <c r="O48" s="64">
        <v>0</v>
      </c>
      <c r="P48" s="64">
        <v>1.29</v>
      </c>
      <c r="Q48" s="64">
        <v>6.1</v>
      </c>
      <c r="R48" s="198"/>
      <c r="S48" s="198"/>
      <c r="T48" s="198"/>
      <c r="U48" s="198"/>
    </row>
    <row r="49" spans="1:21" s="12" customFormat="1" x14ac:dyDescent="0.25">
      <c r="A49" s="215" t="s">
        <v>1345</v>
      </c>
      <c r="B49" s="64">
        <v>17.47</v>
      </c>
      <c r="C49" s="64">
        <v>37.409999999999997</v>
      </c>
      <c r="D49" s="64">
        <v>54.88</v>
      </c>
      <c r="E49" s="64">
        <v>0.51</v>
      </c>
      <c r="F49" s="64">
        <v>3.04</v>
      </c>
      <c r="G49" s="64">
        <v>184.79</v>
      </c>
      <c r="H49" s="64">
        <v>92.83</v>
      </c>
      <c r="I49" s="64">
        <v>1.53</v>
      </c>
      <c r="J49" s="64">
        <v>0.34</v>
      </c>
      <c r="K49" s="64">
        <v>356.93</v>
      </c>
      <c r="L49" s="64">
        <v>32.369999999999997</v>
      </c>
      <c r="M49" s="64">
        <v>33.4</v>
      </c>
      <c r="N49" s="64">
        <v>649.29999999999995</v>
      </c>
      <c r="O49" s="64">
        <v>0</v>
      </c>
      <c r="P49" s="64">
        <v>1.29</v>
      </c>
      <c r="Q49" s="64">
        <v>5.77</v>
      </c>
      <c r="R49" s="198"/>
      <c r="S49" s="198"/>
      <c r="T49" s="198"/>
      <c r="U49" s="198"/>
    </row>
    <row r="50" spans="1:21" s="12" customFormat="1" x14ac:dyDescent="0.25">
      <c r="A50" s="215" t="s">
        <v>1346</v>
      </c>
      <c r="B50" s="64">
        <v>15.08</v>
      </c>
      <c r="C50" s="64">
        <v>44.35</v>
      </c>
      <c r="D50" s="64">
        <v>59.43</v>
      </c>
      <c r="E50" s="64">
        <v>0.46</v>
      </c>
      <c r="F50" s="64">
        <v>2.04</v>
      </c>
      <c r="G50" s="64">
        <v>130.01</v>
      </c>
      <c r="H50" s="64">
        <v>78.23</v>
      </c>
      <c r="I50" s="64">
        <v>1.51</v>
      </c>
      <c r="J50" s="64">
        <v>0.31</v>
      </c>
      <c r="K50" s="64">
        <v>336.28</v>
      </c>
      <c r="L50" s="64">
        <v>32.49</v>
      </c>
      <c r="M50" s="64">
        <v>33.56</v>
      </c>
      <c r="N50" s="64">
        <v>666.2</v>
      </c>
      <c r="O50" s="64">
        <v>0</v>
      </c>
      <c r="P50" s="64">
        <v>1.27</v>
      </c>
      <c r="Q50" s="64">
        <v>5.48</v>
      </c>
      <c r="R50" s="198"/>
      <c r="S50" s="198"/>
      <c r="T50" s="198"/>
      <c r="U50" s="198"/>
    </row>
    <row r="51" spans="1:21" s="12" customFormat="1" x14ac:dyDescent="0.25">
      <c r="A51" s="215" t="s">
        <v>1347</v>
      </c>
      <c r="B51" s="64">
        <v>10.79</v>
      </c>
      <c r="C51" s="64">
        <v>36.43</v>
      </c>
      <c r="D51" s="64">
        <v>47.22</v>
      </c>
      <c r="E51" s="64">
        <v>0.65</v>
      </c>
      <c r="F51" s="64">
        <v>5.8</v>
      </c>
      <c r="G51" s="64">
        <v>130.01</v>
      </c>
      <c r="H51" s="64">
        <v>78.23</v>
      </c>
      <c r="I51" s="64">
        <v>1.54</v>
      </c>
      <c r="J51" s="64">
        <v>0.15</v>
      </c>
      <c r="K51" s="64">
        <v>340.29</v>
      </c>
      <c r="L51" s="64">
        <v>32.270000000000003</v>
      </c>
      <c r="M51" s="64">
        <v>33.549999999999997</v>
      </c>
      <c r="N51" s="64">
        <v>672.9</v>
      </c>
      <c r="O51" s="64">
        <v>0</v>
      </c>
      <c r="P51" s="64">
        <v>1.19</v>
      </c>
      <c r="Q51" s="64">
        <v>5.53</v>
      </c>
      <c r="R51" s="198"/>
      <c r="S51" s="198"/>
      <c r="T51" s="198"/>
      <c r="U51" s="198"/>
    </row>
    <row r="52" spans="1:21" s="12" customFormat="1" x14ac:dyDescent="0.25">
      <c r="A52" s="215" t="s">
        <v>1348</v>
      </c>
      <c r="B52" s="64">
        <v>10.66</v>
      </c>
      <c r="C52" s="64">
        <v>42.27</v>
      </c>
      <c r="D52" s="64">
        <v>52.93</v>
      </c>
      <c r="E52" s="64">
        <v>0.44</v>
      </c>
      <c r="F52" s="64">
        <v>2.14</v>
      </c>
      <c r="G52" s="64">
        <v>130.01</v>
      </c>
      <c r="H52" s="64">
        <v>78.23</v>
      </c>
      <c r="I52" s="64">
        <v>1.54</v>
      </c>
      <c r="J52" s="64">
        <v>0.73</v>
      </c>
      <c r="K52" s="64">
        <v>329.95</v>
      </c>
      <c r="L52" s="64">
        <v>33.130000000000003</v>
      </c>
      <c r="M52" s="64">
        <v>32.619999999999997</v>
      </c>
      <c r="N52" s="64">
        <v>665.5</v>
      </c>
      <c r="O52" s="64">
        <v>0</v>
      </c>
      <c r="P52" s="64">
        <v>1.24</v>
      </c>
      <c r="Q52" s="64">
        <v>5.17</v>
      </c>
      <c r="R52" s="198"/>
      <c r="S52" s="198"/>
      <c r="T52" s="198"/>
      <c r="U52" s="198"/>
    </row>
    <row r="53" spans="1:21" s="12" customFormat="1" x14ac:dyDescent="0.25">
      <c r="A53" s="215" t="s">
        <v>1349</v>
      </c>
      <c r="B53" s="64">
        <v>8.9700000000000006</v>
      </c>
      <c r="C53" s="64">
        <v>45.19</v>
      </c>
      <c r="D53" s="64">
        <v>54.16</v>
      </c>
      <c r="E53" s="64">
        <v>0.56999999999999995</v>
      </c>
      <c r="F53" s="64">
        <v>7.77</v>
      </c>
      <c r="G53" s="64">
        <v>129.55000000000001</v>
      </c>
      <c r="H53" s="64">
        <v>74.790000000000006</v>
      </c>
      <c r="I53" s="64">
        <v>1.41</v>
      </c>
      <c r="J53" s="64">
        <v>0.42</v>
      </c>
      <c r="K53" s="64">
        <v>339.22</v>
      </c>
      <c r="L53" s="64">
        <v>33.11</v>
      </c>
      <c r="M53" s="64">
        <v>33.46</v>
      </c>
      <c r="N53" s="64">
        <v>662.8</v>
      </c>
      <c r="O53" s="64">
        <v>0</v>
      </c>
      <c r="P53" s="64">
        <v>1.19</v>
      </c>
      <c r="Q53" s="64">
        <v>4.97</v>
      </c>
      <c r="R53" s="198"/>
      <c r="S53" s="198"/>
      <c r="T53" s="198"/>
      <c r="U53" s="198"/>
    </row>
    <row r="54" spans="1:21" s="12" customFormat="1" x14ac:dyDescent="0.25">
      <c r="A54" s="215" t="s">
        <v>1350</v>
      </c>
      <c r="B54" s="64">
        <v>7.38</v>
      </c>
      <c r="C54" s="64">
        <v>43.01</v>
      </c>
      <c r="D54" s="64">
        <v>50.39</v>
      </c>
      <c r="E54" s="64">
        <v>0.99</v>
      </c>
      <c r="F54" s="64">
        <v>10.25</v>
      </c>
      <c r="G54" s="64">
        <v>128.58000000000001</v>
      </c>
      <c r="H54" s="64">
        <v>70</v>
      </c>
      <c r="I54" s="64">
        <v>1.5</v>
      </c>
      <c r="J54" s="64">
        <v>0.52</v>
      </c>
      <c r="K54" s="64">
        <v>339.95</v>
      </c>
      <c r="L54" s="64">
        <v>33.36</v>
      </c>
      <c r="M54" s="64">
        <v>31.7</v>
      </c>
      <c r="N54" s="64">
        <v>676.8</v>
      </c>
      <c r="O54" s="64">
        <v>0</v>
      </c>
      <c r="P54" s="64">
        <v>1.19</v>
      </c>
      <c r="Q54" s="64">
        <v>4.95</v>
      </c>
      <c r="R54" s="198"/>
      <c r="S54" s="198"/>
      <c r="T54" s="198"/>
      <c r="U54" s="198"/>
    </row>
    <row r="55" spans="1:21" s="12" customFormat="1" x14ac:dyDescent="0.25">
      <c r="A55" s="215" t="s">
        <v>1351</v>
      </c>
      <c r="B55" s="64">
        <v>6.91</v>
      </c>
      <c r="C55" s="64">
        <v>45.64</v>
      </c>
      <c r="D55" s="64">
        <v>52.54</v>
      </c>
      <c r="E55" s="64">
        <v>1.26</v>
      </c>
      <c r="F55" s="64">
        <v>12.39</v>
      </c>
      <c r="G55" s="64">
        <v>128.58000000000001</v>
      </c>
      <c r="H55" s="64">
        <v>70</v>
      </c>
      <c r="I55" s="64">
        <v>1.49</v>
      </c>
      <c r="J55" s="64">
        <v>0.43</v>
      </c>
      <c r="K55" s="64">
        <v>343.45</v>
      </c>
      <c r="L55" s="64">
        <v>32.92</v>
      </c>
      <c r="M55" s="64">
        <v>28.87</v>
      </c>
      <c r="N55" s="64">
        <v>690</v>
      </c>
      <c r="O55" s="64">
        <v>0</v>
      </c>
      <c r="P55" s="64">
        <v>1.1299999999999999</v>
      </c>
      <c r="Q55" s="64">
        <v>4.78</v>
      </c>
      <c r="R55" s="198"/>
      <c r="S55" s="198"/>
      <c r="T55" s="198"/>
      <c r="U55" s="198"/>
    </row>
    <row r="56" spans="1:21" s="12" customFormat="1" x14ac:dyDescent="0.25">
      <c r="A56" s="215" t="s">
        <v>1352</v>
      </c>
      <c r="B56" s="64">
        <v>7.27</v>
      </c>
      <c r="C56" s="64">
        <v>44.88</v>
      </c>
      <c r="D56" s="64">
        <v>52.16</v>
      </c>
      <c r="E56" s="64">
        <v>1.08</v>
      </c>
      <c r="F56" s="64">
        <v>9.26</v>
      </c>
      <c r="G56" s="64">
        <v>128.58000000000001</v>
      </c>
      <c r="H56" s="64">
        <v>70</v>
      </c>
      <c r="I56" s="64">
        <v>1.49</v>
      </c>
      <c r="J56" s="64">
        <v>0.52</v>
      </c>
      <c r="K56" s="64">
        <v>346.15</v>
      </c>
      <c r="L56" s="64">
        <v>32.770000000000003</v>
      </c>
      <c r="M56" s="64">
        <v>28.94</v>
      </c>
      <c r="N56" s="64">
        <v>675</v>
      </c>
      <c r="O56" s="64">
        <v>0</v>
      </c>
      <c r="P56" s="64">
        <v>1.1599999999999999</v>
      </c>
      <c r="Q56" s="64">
        <v>3.88</v>
      </c>
      <c r="R56" s="198"/>
      <c r="S56" s="198"/>
      <c r="T56" s="198"/>
      <c r="U56" s="198"/>
    </row>
    <row r="57" spans="1:21" s="12" customFormat="1" x14ac:dyDescent="0.25">
      <c r="A57" s="215" t="s">
        <v>1353</v>
      </c>
      <c r="B57" s="64">
        <v>7.06</v>
      </c>
      <c r="C57" s="64">
        <v>42.73</v>
      </c>
      <c r="D57" s="64">
        <v>49.79</v>
      </c>
      <c r="E57" s="64">
        <v>1.43</v>
      </c>
      <c r="F57" s="64">
        <v>15.53</v>
      </c>
      <c r="G57" s="64">
        <v>123.04</v>
      </c>
      <c r="H57" s="64">
        <v>67.89</v>
      </c>
      <c r="I57" s="64">
        <v>1.5</v>
      </c>
      <c r="J57" s="64">
        <v>0.61</v>
      </c>
      <c r="K57" s="64">
        <v>341.4</v>
      </c>
      <c r="L57" s="64">
        <v>32.92</v>
      </c>
      <c r="M57" s="64">
        <v>26.46</v>
      </c>
      <c r="N57" s="64">
        <v>628.20000000000005</v>
      </c>
      <c r="O57" s="64">
        <v>0</v>
      </c>
      <c r="P57" s="64">
        <v>1.08</v>
      </c>
      <c r="Q57" s="64">
        <v>4.3</v>
      </c>
      <c r="R57" s="198"/>
      <c r="S57" s="198"/>
      <c r="T57" s="198"/>
      <c r="U57" s="198"/>
    </row>
    <row r="58" spans="1:21" s="12" customFormat="1" x14ac:dyDescent="0.25">
      <c r="A58" s="215" t="s">
        <v>1354</v>
      </c>
      <c r="B58" s="64">
        <v>4.99</v>
      </c>
      <c r="C58" s="64">
        <v>36.92</v>
      </c>
      <c r="D58" s="64">
        <v>41.92</v>
      </c>
      <c r="E58" s="64">
        <v>1.52</v>
      </c>
      <c r="F58" s="64">
        <v>6.83</v>
      </c>
      <c r="G58" s="64">
        <v>111.4</v>
      </c>
      <c r="H58" s="64">
        <v>64.95</v>
      </c>
      <c r="I58" s="64">
        <v>1.39</v>
      </c>
      <c r="J58" s="64">
        <v>0.86</v>
      </c>
      <c r="K58" s="64">
        <v>339.33</v>
      </c>
      <c r="L58" s="64">
        <v>32.840000000000003</v>
      </c>
      <c r="M58" s="64">
        <v>26.66</v>
      </c>
      <c r="N58" s="64">
        <v>578.70000000000005</v>
      </c>
      <c r="O58" s="64">
        <v>0</v>
      </c>
      <c r="P58" s="64">
        <v>1.1200000000000001</v>
      </c>
      <c r="Q58" s="64">
        <v>4.75</v>
      </c>
      <c r="R58" s="198"/>
      <c r="S58" s="198"/>
      <c r="T58" s="198"/>
      <c r="U58" s="198"/>
    </row>
    <row r="59" spans="1:21" s="12" customFormat="1" x14ac:dyDescent="0.25">
      <c r="A59" s="215" t="s">
        <v>1355</v>
      </c>
      <c r="B59" s="64">
        <v>5.66</v>
      </c>
      <c r="C59" s="64">
        <v>39.42</v>
      </c>
      <c r="D59" s="64">
        <v>45.08</v>
      </c>
      <c r="E59" s="64">
        <v>1.1499999999999999</v>
      </c>
      <c r="F59" s="64">
        <v>5.37</v>
      </c>
      <c r="G59" s="64">
        <v>111.4</v>
      </c>
      <c r="H59" s="64">
        <v>64.95</v>
      </c>
      <c r="I59" s="64">
        <v>1.45</v>
      </c>
      <c r="J59" s="64">
        <v>0.76</v>
      </c>
      <c r="K59" s="64">
        <v>344.91</v>
      </c>
      <c r="L59" s="64">
        <v>32.21</v>
      </c>
      <c r="M59" s="64">
        <v>25.47</v>
      </c>
      <c r="N59" s="64">
        <v>588.1</v>
      </c>
      <c r="O59" s="64">
        <v>0</v>
      </c>
      <c r="P59" s="64">
        <v>1.1100000000000001</v>
      </c>
      <c r="Q59" s="64">
        <v>4.72</v>
      </c>
      <c r="R59" s="198"/>
      <c r="S59" s="198"/>
      <c r="T59" s="198"/>
      <c r="U59" s="198"/>
    </row>
    <row r="60" spans="1:21" s="12" customFormat="1" x14ac:dyDescent="0.25">
      <c r="A60" s="215" t="s">
        <v>1356</v>
      </c>
      <c r="B60" s="64">
        <v>4.4800000000000004</v>
      </c>
      <c r="C60" s="64">
        <v>32.96</v>
      </c>
      <c r="D60" s="64">
        <v>37.43</v>
      </c>
      <c r="E60" s="64">
        <v>1.21</v>
      </c>
      <c r="F60" s="64">
        <v>11.15</v>
      </c>
      <c r="G60" s="64">
        <v>111.4</v>
      </c>
      <c r="H60" s="64">
        <v>64.95</v>
      </c>
      <c r="I60" s="64">
        <v>1.47</v>
      </c>
      <c r="J60" s="64">
        <v>0.23</v>
      </c>
      <c r="K60" s="64">
        <v>41.24</v>
      </c>
      <c r="L60" s="64">
        <v>32.36</v>
      </c>
      <c r="M60" s="64">
        <v>23.05</v>
      </c>
      <c r="N60" s="64">
        <v>610.4</v>
      </c>
      <c r="O60" s="64">
        <v>0</v>
      </c>
      <c r="P60" s="64">
        <v>1.06</v>
      </c>
      <c r="Q60" s="64">
        <v>5.17</v>
      </c>
      <c r="R60" s="198"/>
      <c r="S60" s="198"/>
      <c r="T60" s="198"/>
      <c r="U60" s="198"/>
    </row>
    <row r="61" spans="1:21" s="12" customFormat="1" x14ac:dyDescent="0.25">
      <c r="A61" s="215" t="s">
        <v>1357</v>
      </c>
      <c r="B61" s="64">
        <v>4.13</v>
      </c>
      <c r="C61" s="64">
        <v>30.87</v>
      </c>
      <c r="D61" s="64">
        <v>35.01</v>
      </c>
      <c r="E61" s="64">
        <v>1.0900000000000001</v>
      </c>
      <c r="F61" s="64">
        <v>7.92</v>
      </c>
      <c r="G61" s="64">
        <v>98.93</v>
      </c>
      <c r="H61" s="64">
        <v>62.64</v>
      </c>
      <c r="I61" s="64">
        <v>1.52</v>
      </c>
      <c r="J61" s="64">
        <v>0.95</v>
      </c>
      <c r="K61" s="64">
        <v>337.53</v>
      </c>
      <c r="L61" s="64">
        <v>31.69</v>
      </c>
      <c r="M61" s="64">
        <v>25.9</v>
      </c>
      <c r="N61" s="64">
        <v>592.5</v>
      </c>
      <c r="O61" s="64">
        <v>0</v>
      </c>
      <c r="P61" s="64">
        <v>1.03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1358</v>
      </c>
      <c r="B62" s="64">
        <v>3.52</v>
      </c>
      <c r="C62" s="64">
        <v>40.020000000000003</v>
      </c>
      <c r="D62" s="64">
        <v>43.54</v>
      </c>
      <c r="E62" s="64">
        <v>0.84</v>
      </c>
      <c r="F62" s="64">
        <v>3.61</v>
      </c>
      <c r="G62" s="64">
        <v>72.709999999999994</v>
      </c>
      <c r="H62" s="64">
        <v>53.63</v>
      </c>
      <c r="I62" s="64">
        <v>1.49</v>
      </c>
      <c r="J62" s="64">
        <v>0.4</v>
      </c>
      <c r="K62" s="64">
        <v>22.68</v>
      </c>
      <c r="L62" s="64">
        <v>31.37</v>
      </c>
      <c r="M62" s="64">
        <v>28.2</v>
      </c>
      <c r="N62" s="64">
        <v>608.1</v>
      </c>
      <c r="O62" s="64">
        <v>0</v>
      </c>
      <c r="P62" s="64">
        <v>1.05</v>
      </c>
      <c r="Q62" s="64">
        <v>5.2</v>
      </c>
      <c r="R62" s="198"/>
      <c r="S62" s="198"/>
      <c r="T62" s="198"/>
      <c r="U62" s="198"/>
    </row>
    <row r="63" spans="1:21" s="12" customFormat="1" x14ac:dyDescent="0.25">
      <c r="A63" s="215" t="s">
        <v>1359</v>
      </c>
      <c r="B63" s="64">
        <v>3.28</v>
      </c>
      <c r="C63" s="64">
        <v>34.799999999999997</v>
      </c>
      <c r="D63" s="64">
        <v>38.08</v>
      </c>
      <c r="E63" s="64">
        <v>0.7</v>
      </c>
      <c r="F63" s="64">
        <v>16.21</v>
      </c>
      <c r="G63" s="64">
        <v>72.709999999999994</v>
      </c>
      <c r="H63" s="64">
        <v>53.63</v>
      </c>
      <c r="I63" s="64">
        <v>1.46</v>
      </c>
      <c r="J63" s="64">
        <v>0.18</v>
      </c>
      <c r="K63" s="64">
        <v>25.44</v>
      </c>
      <c r="L63" s="64">
        <v>30.42</v>
      </c>
      <c r="M63" s="64">
        <v>28.48</v>
      </c>
      <c r="N63" s="64">
        <v>580</v>
      </c>
      <c r="O63" s="64">
        <v>0</v>
      </c>
      <c r="P63" s="64">
        <v>0.94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1360</v>
      </c>
      <c r="B64" s="64">
        <v>3.7</v>
      </c>
      <c r="C64" s="64">
        <v>34.14</v>
      </c>
      <c r="D64" s="64">
        <v>37.840000000000003</v>
      </c>
      <c r="E64" s="64">
        <v>1.1499999999999999</v>
      </c>
      <c r="F64" s="64">
        <v>19.399999999999999</v>
      </c>
      <c r="G64" s="64">
        <v>72.709999999999994</v>
      </c>
      <c r="H64" s="64">
        <v>53.63</v>
      </c>
      <c r="I64" s="64">
        <v>1.47</v>
      </c>
      <c r="J64" s="64">
        <v>0.5</v>
      </c>
      <c r="K64" s="64">
        <v>332.75</v>
      </c>
      <c r="L64" s="64">
        <v>30.89</v>
      </c>
      <c r="M64" s="64">
        <v>28.12</v>
      </c>
      <c r="N64" s="64">
        <v>373.2</v>
      </c>
      <c r="O64" s="64">
        <v>0</v>
      </c>
      <c r="P64" s="64">
        <v>0.93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1361</v>
      </c>
      <c r="B65" s="64">
        <v>2.98</v>
      </c>
      <c r="C65" s="64">
        <v>39.81</v>
      </c>
      <c r="D65" s="64">
        <v>42.79</v>
      </c>
      <c r="E65" s="64">
        <v>0.91</v>
      </c>
      <c r="F65" s="64">
        <v>12.1</v>
      </c>
      <c r="G65" s="64">
        <v>70.8</v>
      </c>
      <c r="H65" s="64">
        <v>49.05</v>
      </c>
      <c r="I65" s="64">
        <v>1.5</v>
      </c>
      <c r="J65" s="64">
        <v>0.68</v>
      </c>
      <c r="K65" s="64">
        <v>341.9</v>
      </c>
      <c r="L65" s="64">
        <v>31.29</v>
      </c>
      <c r="M65" s="64">
        <v>26.18</v>
      </c>
      <c r="N65" s="64">
        <v>211.6</v>
      </c>
      <c r="O65" s="64">
        <v>0</v>
      </c>
      <c r="P65" s="64">
        <v>0.94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1362</v>
      </c>
      <c r="B66" s="64">
        <v>4.47</v>
      </c>
      <c r="C66" s="64">
        <v>35.770000000000003</v>
      </c>
      <c r="D66" s="64">
        <v>40.229999999999997</v>
      </c>
      <c r="E66" s="64">
        <v>1.26</v>
      </c>
      <c r="F66" s="64">
        <v>22.67</v>
      </c>
      <c r="G66" s="64">
        <v>66.78</v>
      </c>
      <c r="H66" s="64">
        <v>42.67</v>
      </c>
      <c r="I66" s="64">
        <v>1.43</v>
      </c>
      <c r="J66" s="64">
        <v>0.74</v>
      </c>
      <c r="K66" s="64">
        <v>339.82</v>
      </c>
      <c r="L66" s="64">
        <v>30.75</v>
      </c>
      <c r="M66" s="64">
        <v>26.86</v>
      </c>
      <c r="N66" s="64">
        <v>206.7</v>
      </c>
      <c r="O66" s="64">
        <v>0</v>
      </c>
      <c r="P66" s="64">
        <v>0.84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1363</v>
      </c>
      <c r="B67" s="64">
        <v>4.2300000000000004</v>
      </c>
      <c r="C67" s="64">
        <v>34.06</v>
      </c>
      <c r="D67" s="64">
        <v>38.29</v>
      </c>
      <c r="E67" s="64">
        <v>1.1299999999999999</v>
      </c>
      <c r="F67" s="64">
        <v>14.16</v>
      </c>
      <c r="G67" s="64">
        <v>66.78</v>
      </c>
      <c r="H67" s="64">
        <v>42.67</v>
      </c>
      <c r="I67" s="64">
        <v>1.51</v>
      </c>
      <c r="J67" s="64">
        <v>0.98</v>
      </c>
      <c r="K67" s="64">
        <v>340.89</v>
      </c>
      <c r="L67" s="64">
        <v>30.53</v>
      </c>
      <c r="M67" s="64">
        <v>26.97</v>
      </c>
      <c r="N67" s="64">
        <v>174.1</v>
      </c>
      <c r="O67" s="64">
        <v>0</v>
      </c>
      <c r="P67" s="64">
        <v>0.94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1364</v>
      </c>
      <c r="B68" s="64">
        <v>3.54</v>
      </c>
      <c r="C68" s="64">
        <v>36.72</v>
      </c>
      <c r="D68" s="64">
        <v>40.26</v>
      </c>
      <c r="E68" s="64">
        <v>1.1100000000000001</v>
      </c>
      <c r="F68" s="64">
        <v>10.8</v>
      </c>
      <c r="G68" s="64">
        <v>66.78</v>
      </c>
      <c r="H68" s="64">
        <v>42.67</v>
      </c>
      <c r="I68" s="64">
        <v>1.54</v>
      </c>
      <c r="J68" s="64">
        <v>1.1100000000000001</v>
      </c>
      <c r="K68" s="64">
        <v>337.94</v>
      </c>
      <c r="L68" s="64">
        <v>30.03</v>
      </c>
      <c r="M68" s="64">
        <v>27.57</v>
      </c>
      <c r="N68" s="64">
        <v>145.1</v>
      </c>
      <c r="O68" s="64">
        <v>0</v>
      </c>
      <c r="P68" s="64">
        <v>0.94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1365</v>
      </c>
      <c r="B69" s="64">
        <v>4.91</v>
      </c>
      <c r="C69" s="64">
        <v>41.51</v>
      </c>
      <c r="D69" s="64">
        <v>46.42</v>
      </c>
      <c r="E69" s="64">
        <v>1.45</v>
      </c>
      <c r="F69" s="64">
        <v>23.76</v>
      </c>
      <c r="G69" s="64">
        <v>68.31</v>
      </c>
      <c r="H69" s="64">
        <v>43.49</v>
      </c>
      <c r="I69" s="64">
        <v>1.48</v>
      </c>
      <c r="J69" s="64">
        <v>0.56000000000000005</v>
      </c>
      <c r="K69" s="64">
        <v>323.23</v>
      </c>
      <c r="L69" s="64">
        <v>29.54</v>
      </c>
      <c r="M69" s="64">
        <v>28.59</v>
      </c>
      <c r="N69" s="64">
        <v>145.80000000000001</v>
      </c>
      <c r="O69" s="64">
        <v>0</v>
      </c>
      <c r="P69" s="64">
        <v>0.92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1366</v>
      </c>
      <c r="B70" s="64">
        <v>4.34</v>
      </c>
      <c r="C70" s="64">
        <v>36.869999999999997</v>
      </c>
      <c r="D70" s="64">
        <v>41.21</v>
      </c>
      <c r="E70" s="64">
        <v>1.1499999999999999</v>
      </c>
      <c r="F70" s="64">
        <v>12.51</v>
      </c>
      <c r="G70" s="64">
        <v>71.540000000000006</v>
      </c>
      <c r="H70" s="64">
        <v>44.59</v>
      </c>
      <c r="I70" s="64">
        <v>1.46</v>
      </c>
      <c r="J70" s="64">
        <v>0.56999999999999995</v>
      </c>
      <c r="K70" s="64">
        <v>326.72000000000003</v>
      </c>
      <c r="L70" s="64">
        <v>29.3</v>
      </c>
      <c r="M70" s="64">
        <v>28.81</v>
      </c>
      <c r="N70" s="64">
        <v>130.19999999999999</v>
      </c>
      <c r="O70" s="64">
        <v>0</v>
      </c>
      <c r="P70" s="64">
        <v>0.9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1367</v>
      </c>
      <c r="B71" s="64">
        <v>5.23</v>
      </c>
      <c r="C71" s="64">
        <v>33.97</v>
      </c>
      <c r="D71" s="64">
        <v>39.200000000000003</v>
      </c>
      <c r="E71" s="64">
        <v>1.1599999999999999</v>
      </c>
      <c r="F71" s="64">
        <v>17.41</v>
      </c>
      <c r="G71" s="64">
        <v>71.540000000000006</v>
      </c>
      <c r="H71" s="64">
        <v>44.59</v>
      </c>
      <c r="I71" s="64">
        <v>1.47</v>
      </c>
      <c r="J71" s="64">
        <v>0.48</v>
      </c>
      <c r="K71" s="64">
        <v>322.42</v>
      </c>
      <c r="L71" s="64">
        <v>28.98</v>
      </c>
      <c r="M71" s="64">
        <v>29.26</v>
      </c>
      <c r="N71" s="64">
        <v>115.3</v>
      </c>
      <c r="O71" s="64">
        <v>0</v>
      </c>
      <c r="P71" s="64">
        <v>0.94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1368</v>
      </c>
      <c r="B72" s="64">
        <v>4.47</v>
      </c>
      <c r="C72" s="64">
        <v>27.47</v>
      </c>
      <c r="D72" s="64">
        <v>31.94</v>
      </c>
      <c r="E72" s="64">
        <v>0.69</v>
      </c>
      <c r="F72" s="64">
        <v>17.5</v>
      </c>
      <c r="G72" s="64">
        <v>71.540000000000006</v>
      </c>
      <c r="H72" s="64">
        <v>44.59</v>
      </c>
      <c r="I72" s="64">
        <v>1.43</v>
      </c>
      <c r="J72" s="64">
        <v>0.86</v>
      </c>
      <c r="K72" s="64">
        <v>336.88</v>
      </c>
      <c r="L72" s="64">
        <v>28.63</v>
      </c>
      <c r="M72" s="64">
        <v>29.57</v>
      </c>
      <c r="N72" s="64">
        <v>98.8</v>
      </c>
      <c r="O72" s="64">
        <v>0</v>
      </c>
      <c r="P72" s="64">
        <v>0.9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1369</v>
      </c>
      <c r="B73" s="64">
        <v>4.9800000000000004</v>
      </c>
      <c r="C73" s="64">
        <v>34.68</v>
      </c>
      <c r="D73" s="64">
        <v>39.659999999999997</v>
      </c>
      <c r="E73" s="64">
        <v>0.84</v>
      </c>
      <c r="F73" s="64">
        <v>8.73</v>
      </c>
      <c r="G73" s="64">
        <v>69.959999999999994</v>
      </c>
      <c r="H73" s="64">
        <v>41.09</v>
      </c>
      <c r="I73" s="64">
        <v>1.57</v>
      </c>
      <c r="J73" s="64">
        <v>0.85</v>
      </c>
      <c r="K73" s="64">
        <v>344.41</v>
      </c>
      <c r="L73" s="64">
        <v>28.05</v>
      </c>
      <c r="M73" s="64">
        <v>31.46</v>
      </c>
      <c r="N73" s="64">
        <v>86.2</v>
      </c>
      <c r="O73" s="64">
        <v>0</v>
      </c>
      <c r="P73" s="64">
        <v>0.93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1370</v>
      </c>
      <c r="B74" s="64">
        <v>6.07</v>
      </c>
      <c r="C74" s="64">
        <v>37.340000000000003</v>
      </c>
      <c r="D74" s="64">
        <v>43.41</v>
      </c>
      <c r="E74" s="64">
        <v>0.96</v>
      </c>
      <c r="F74" s="64">
        <v>22.26</v>
      </c>
      <c r="G74" s="64">
        <v>66.66</v>
      </c>
      <c r="H74" s="64">
        <v>36.33</v>
      </c>
      <c r="I74" s="64">
        <v>1.52</v>
      </c>
      <c r="J74" s="64">
        <v>0.64</v>
      </c>
      <c r="K74" s="64">
        <v>345.35</v>
      </c>
      <c r="L74" s="64">
        <v>27.66</v>
      </c>
      <c r="M74" s="64">
        <v>32.880000000000003</v>
      </c>
      <c r="N74" s="64">
        <v>76.900000000000006</v>
      </c>
      <c r="O74" s="64">
        <v>0</v>
      </c>
      <c r="P74" s="64">
        <v>0.94</v>
      </c>
      <c r="Q74" s="64">
        <v>5.18</v>
      </c>
      <c r="R74" s="198"/>
      <c r="S74" s="198"/>
      <c r="T74" s="198"/>
      <c r="U74" s="198"/>
    </row>
    <row r="75" spans="1:21" s="12" customFormat="1" x14ac:dyDescent="0.25">
      <c r="A75" s="215" t="s">
        <v>1371</v>
      </c>
      <c r="B75" s="64">
        <v>5.12</v>
      </c>
      <c r="C75" s="64">
        <v>43.35</v>
      </c>
      <c r="D75" s="64">
        <v>48.47</v>
      </c>
      <c r="E75" s="64">
        <v>1.17</v>
      </c>
      <c r="F75" s="64">
        <v>26.18</v>
      </c>
      <c r="G75" s="64">
        <v>66.66</v>
      </c>
      <c r="H75" s="64">
        <v>36.33</v>
      </c>
      <c r="I75" s="64">
        <v>1.45</v>
      </c>
      <c r="J75" s="64">
        <v>0.21</v>
      </c>
      <c r="K75" s="64">
        <v>339.8</v>
      </c>
      <c r="L75" s="64">
        <v>26.49</v>
      </c>
      <c r="M75" s="64">
        <v>41.52</v>
      </c>
      <c r="N75" s="64">
        <v>60.9</v>
      </c>
      <c r="O75" s="64">
        <v>0</v>
      </c>
      <c r="P75" s="64">
        <v>1.18</v>
      </c>
      <c r="Q75" s="64">
        <v>5.1100000000000003</v>
      </c>
      <c r="R75" s="198"/>
      <c r="S75" s="198"/>
      <c r="T75" s="198"/>
      <c r="U75" s="198"/>
    </row>
    <row r="76" spans="1:21" s="12" customFormat="1" x14ac:dyDescent="0.25">
      <c r="A76" s="215" t="s">
        <v>1372</v>
      </c>
      <c r="B76" s="64">
        <v>3.55</v>
      </c>
      <c r="C76" s="64">
        <v>49.63</v>
      </c>
      <c r="D76" s="64">
        <v>53.18</v>
      </c>
      <c r="E76" s="64">
        <v>0.92</v>
      </c>
      <c r="F76" s="64">
        <v>12.78</v>
      </c>
      <c r="G76" s="64">
        <v>66.66</v>
      </c>
      <c r="H76" s="64">
        <v>36.33</v>
      </c>
      <c r="I76" s="64">
        <v>1.48</v>
      </c>
      <c r="J76" s="64">
        <v>0.06</v>
      </c>
      <c r="K76" s="64">
        <v>309.64999999999998</v>
      </c>
      <c r="L76" s="64">
        <v>25.14</v>
      </c>
      <c r="M76" s="64">
        <v>46.65</v>
      </c>
      <c r="N76" s="64">
        <v>45.5</v>
      </c>
      <c r="O76" s="64">
        <v>0</v>
      </c>
      <c r="P76" s="64">
        <v>1.21</v>
      </c>
      <c r="Q76" s="64">
        <v>5.09</v>
      </c>
      <c r="R76" s="198"/>
      <c r="S76" s="198"/>
      <c r="T76" s="198"/>
      <c r="U76" s="198"/>
    </row>
    <row r="77" spans="1:21" s="12" customFormat="1" x14ac:dyDescent="0.25">
      <c r="A77" s="215" t="s">
        <v>1373</v>
      </c>
      <c r="B77" s="64">
        <v>6.38</v>
      </c>
      <c r="C77" s="64">
        <v>63.81</v>
      </c>
      <c r="D77" s="64">
        <v>70.19</v>
      </c>
      <c r="E77" s="64">
        <v>1.21</v>
      </c>
      <c r="F77" s="64">
        <v>12.23</v>
      </c>
      <c r="G77" s="64">
        <v>72.89</v>
      </c>
      <c r="H77" s="64">
        <v>37.950000000000003</v>
      </c>
      <c r="I77" s="64">
        <v>1.46</v>
      </c>
      <c r="J77" s="64">
        <v>0.04</v>
      </c>
      <c r="K77" s="64">
        <v>136.51</v>
      </c>
      <c r="L77" s="64">
        <v>24.59</v>
      </c>
      <c r="M77" s="64">
        <v>46.67</v>
      </c>
      <c r="N77" s="64">
        <v>36.9</v>
      </c>
      <c r="O77" s="64">
        <v>0</v>
      </c>
      <c r="P77" s="64">
        <v>1.47</v>
      </c>
      <c r="Q77" s="64">
        <v>4.1100000000000003</v>
      </c>
      <c r="R77" s="198"/>
      <c r="S77" s="198"/>
      <c r="T77" s="198"/>
      <c r="U77" s="198"/>
    </row>
    <row r="78" spans="1:21" s="12" customFormat="1" x14ac:dyDescent="0.25">
      <c r="A78" s="215" t="s">
        <v>1374</v>
      </c>
      <c r="B78" s="64">
        <v>2.9</v>
      </c>
      <c r="C78" s="64">
        <v>55.58</v>
      </c>
      <c r="D78" s="64">
        <v>58.48</v>
      </c>
      <c r="E78" s="64">
        <v>1.46</v>
      </c>
      <c r="F78" s="64">
        <v>10.38</v>
      </c>
      <c r="G78" s="64">
        <v>85.99</v>
      </c>
      <c r="H78" s="64">
        <v>40.14</v>
      </c>
      <c r="I78" s="64">
        <v>1.45</v>
      </c>
      <c r="J78" s="64">
        <v>0.12</v>
      </c>
      <c r="K78" s="64">
        <v>120.53</v>
      </c>
      <c r="L78" s="64">
        <v>23.95</v>
      </c>
      <c r="M78" s="64">
        <v>47.61</v>
      </c>
      <c r="N78" s="64">
        <v>32.9</v>
      </c>
      <c r="O78" s="64">
        <v>0</v>
      </c>
      <c r="P78" s="64">
        <v>1.21</v>
      </c>
      <c r="Q78" s="64">
        <v>4.16</v>
      </c>
      <c r="R78" s="198"/>
      <c r="S78" s="198"/>
      <c r="T78" s="198"/>
      <c r="U78" s="198"/>
    </row>
    <row r="79" spans="1:21" s="12" customFormat="1" x14ac:dyDescent="0.25">
      <c r="A79" s="215" t="s">
        <v>1375</v>
      </c>
      <c r="B79" s="64">
        <v>2.89</v>
      </c>
      <c r="C79" s="64">
        <v>55.08</v>
      </c>
      <c r="D79" s="64">
        <v>57.97</v>
      </c>
      <c r="E79" s="64">
        <v>1.38</v>
      </c>
      <c r="F79" s="64">
        <v>10.16</v>
      </c>
      <c r="G79" s="64">
        <v>85.99</v>
      </c>
      <c r="H79" s="64">
        <v>40.14</v>
      </c>
      <c r="I79" s="64">
        <v>1.49</v>
      </c>
      <c r="J79" s="64">
        <v>0.04</v>
      </c>
      <c r="K79" s="64">
        <v>147.32</v>
      </c>
      <c r="L79" s="64">
        <v>23.42</v>
      </c>
      <c r="M79" s="64">
        <v>48.87</v>
      </c>
      <c r="N79" s="64">
        <v>32</v>
      </c>
      <c r="O79" s="64">
        <v>0</v>
      </c>
      <c r="P79" s="64">
        <v>1.1299999999999999</v>
      </c>
      <c r="Q79" s="64">
        <v>4.57</v>
      </c>
      <c r="R79" s="198"/>
      <c r="S79" s="198"/>
      <c r="T79" s="198"/>
      <c r="U79" s="198"/>
    </row>
    <row r="80" spans="1:21" s="12" customFormat="1" x14ac:dyDescent="0.25">
      <c r="A80" s="215" t="s">
        <v>1376</v>
      </c>
      <c r="B80" s="64">
        <v>12.27</v>
      </c>
      <c r="C80" s="64">
        <v>60.39</v>
      </c>
      <c r="D80" s="64">
        <v>72.66</v>
      </c>
      <c r="E80" s="64">
        <v>1.22</v>
      </c>
      <c r="F80" s="64">
        <v>4.4800000000000004</v>
      </c>
      <c r="G80" s="64">
        <v>85.99</v>
      </c>
      <c r="H80" s="64">
        <v>40.14</v>
      </c>
      <c r="I80" s="64">
        <v>1.53</v>
      </c>
      <c r="J80" s="64">
        <v>0.12</v>
      </c>
      <c r="K80" s="64">
        <v>324.36</v>
      </c>
      <c r="L80" s="64">
        <v>22.88</v>
      </c>
      <c r="M80" s="64">
        <v>60.12</v>
      </c>
      <c r="N80" s="64">
        <v>31.9</v>
      </c>
      <c r="O80" s="64">
        <v>0</v>
      </c>
      <c r="P80" s="64">
        <v>1.68</v>
      </c>
      <c r="Q80" s="64">
        <v>3.56</v>
      </c>
      <c r="R80" s="198"/>
      <c r="S80" s="198"/>
      <c r="T80" s="198"/>
      <c r="U80" s="198"/>
    </row>
    <row r="81" spans="1:26" s="12" customFormat="1" x14ac:dyDescent="0.25">
      <c r="A81" s="215" t="s">
        <v>1377</v>
      </c>
      <c r="B81" s="64">
        <v>18.78</v>
      </c>
      <c r="C81" s="64">
        <v>71.16</v>
      </c>
      <c r="D81" s="64">
        <v>89.93</v>
      </c>
      <c r="E81" s="64">
        <v>1.04</v>
      </c>
      <c r="F81" s="64">
        <v>1.34</v>
      </c>
      <c r="G81" s="64">
        <v>95.27</v>
      </c>
      <c r="H81" s="64">
        <v>41.79</v>
      </c>
      <c r="I81" s="64">
        <v>1.49</v>
      </c>
      <c r="J81" s="64">
        <v>0.06</v>
      </c>
      <c r="K81" s="64">
        <v>298.77999999999997</v>
      </c>
      <c r="L81" s="64">
        <v>22.35</v>
      </c>
      <c r="M81" s="64">
        <v>59.69</v>
      </c>
      <c r="N81" s="64">
        <v>32.6</v>
      </c>
      <c r="O81" s="64">
        <v>0</v>
      </c>
      <c r="P81" s="64">
        <v>1.51</v>
      </c>
      <c r="Q81" s="64">
        <v>2</v>
      </c>
      <c r="R81" s="198"/>
      <c r="S81" s="198"/>
      <c r="T81" s="198"/>
      <c r="U81" s="198"/>
    </row>
    <row r="82" spans="1:26" s="12" customFormat="1" x14ac:dyDescent="0.25">
      <c r="A82" s="215" t="s">
        <v>1378</v>
      </c>
      <c r="B82" s="64">
        <v>41.82</v>
      </c>
      <c r="C82" s="64">
        <v>79.36</v>
      </c>
      <c r="D82" s="64">
        <v>121.18</v>
      </c>
      <c r="E82" s="64">
        <v>1.1000000000000001</v>
      </c>
      <c r="F82" s="64">
        <v>0.65</v>
      </c>
      <c r="G82" s="64">
        <v>114.79</v>
      </c>
      <c r="H82" s="64">
        <v>44.07</v>
      </c>
      <c r="I82" s="64">
        <v>1.49</v>
      </c>
      <c r="J82" s="64">
        <v>0.04</v>
      </c>
      <c r="K82" s="64">
        <v>219.37</v>
      </c>
      <c r="L82" s="64">
        <v>22.15</v>
      </c>
      <c r="M82" s="64">
        <v>59.23</v>
      </c>
      <c r="N82" s="64">
        <v>33</v>
      </c>
      <c r="O82" s="64">
        <v>0</v>
      </c>
      <c r="P82" s="64">
        <v>1.56</v>
      </c>
      <c r="Q82" s="64">
        <v>0.88</v>
      </c>
      <c r="R82" s="198"/>
      <c r="S82" s="198"/>
      <c r="T82" s="198"/>
      <c r="U82" s="198"/>
    </row>
    <row r="83" spans="1:26" s="12" customFormat="1" x14ac:dyDescent="0.25">
      <c r="A83" s="215" t="s">
        <v>1379</v>
      </c>
      <c r="B83" s="64">
        <v>44.51</v>
      </c>
      <c r="C83" s="64">
        <v>71.650000000000006</v>
      </c>
      <c r="D83" s="64">
        <v>116.16</v>
      </c>
      <c r="E83" s="64">
        <v>1.2</v>
      </c>
      <c r="F83" s="64">
        <v>0.63</v>
      </c>
      <c r="G83" s="64">
        <v>114.79</v>
      </c>
      <c r="H83" s="64">
        <v>44.07</v>
      </c>
      <c r="I83" s="64">
        <v>1.57</v>
      </c>
      <c r="J83" s="64">
        <v>0.1</v>
      </c>
      <c r="K83" s="64">
        <v>305.06</v>
      </c>
      <c r="L83" s="64">
        <v>22.04</v>
      </c>
      <c r="M83" s="64">
        <v>58.9</v>
      </c>
      <c r="N83" s="64">
        <v>33</v>
      </c>
      <c r="O83" s="64">
        <v>0</v>
      </c>
      <c r="P83" s="64">
        <v>1.33</v>
      </c>
      <c r="Q83" s="64">
        <v>0.18</v>
      </c>
      <c r="R83" s="198"/>
      <c r="S83" s="198"/>
      <c r="T83" s="198"/>
      <c r="U83" s="198"/>
    </row>
    <row r="84" spans="1:26" s="12" customFormat="1" x14ac:dyDescent="0.25">
      <c r="A84" s="215" t="s">
        <v>1380</v>
      </c>
      <c r="B84" s="64">
        <v>29.66</v>
      </c>
      <c r="C84" s="64">
        <v>59.47</v>
      </c>
      <c r="D84" s="64">
        <v>89.13</v>
      </c>
      <c r="E84" s="64">
        <v>0.85</v>
      </c>
      <c r="F84" s="64">
        <v>0.54</v>
      </c>
      <c r="G84" s="64">
        <v>114.79</v>
      </c>
      <c r="H84" s="64">
        <v>44.07</v>
      </c>
      <c r="I84" s="64">
        <v>1.53</v>
      </c>
      <c r="J84" s="64">
        <v>0.09</v>
      </c>
      <c r="K84" s="64">
        <v>287.66000000000003</v>
      </c>
      <c r="L84" s="64">
        <v>21.87</v>
      </c>
      <c r="M84" s="64">
        <v>62.56</v>
      </c>
      <c r="N84" s="64">
        <v>33</v>
      </c>
      <c r="O84" s="64">
        <v>0</v>
      </c>
      <c r="P84" s="64">
        <v>1.43</v>
      </c>
      <c r="Q84" s="64">
        <v>2.4700000000000002</v>
      </c>
      <c r="R84" s="198"/>
      <c r="S84" s="198"/>
      <c r="T84" s="198"/>
      <c r="U84" s="198"/>
    </row>
    <row r="85" spans="1:26" s="12" customFormat="1" x14ac:dyDescent="0.25">
      <c r="A85" s="215" t="s">
        <v>1381</v>
      </c>
      <c r="B85" s="64">
        <v>26.06</v>
      </c>
      <c r="C85" s="64">
        <v>43.4</v>
      </c>
      <c r="D85" s="64">
        <v>69.47</v>
      </c>
      <c r="E85" s="64">
        <v>0.78</v>
      </c>
      <c r="F85" s="64">
        <v>0.42</v>
      </c>
      <c r="G85" s="64">
        <v>127.55</v>
      </c>
      <c r="H85" s="64">
        <v>46.27</v>
      </c>
      <c r="I85" s="64">
        <v>1.42</v>
      </c>
      <c r="J85" s="64">
        <v>0.12</v>
      </c>
      <c r="K85" s="64">
        <v>203.48</v>
      </c>
      <c r="L85" s="64">
        <v>21.91</v>
      </c>
      <c r="M85" s="64">
        <v>63.16</v>
      </c>
      <c r="N85" s="64">
        <v>32.299999999999997</v>
      </c>
      <c r="O85" s="64">
        <v>0</v>
      </c>
      <c r="P85" s="64">
        <v>1.43</v>
      </c>
      <c r="Q85" s="64">
        <v>2.97</v>
      </c>
      <c r="R85" s="198"/>
      <c r="S85" s="198"/>
      <c r="T85" s="198"/>
      <c r="U85" s="198"/>
    </row>
    <row r="86" spans="1:26" s="12" customFormat="1" x14ac:dyDescent="0.25">
      <c r="A86" s="215" t="s">
        <v>1382</v>
      </c>
      <c r="B86" s="64">
        <v>18.95</v>
      </c>
      <c r="C86" s="64">
        <v>55.09</v>
      </c>
      <c r="D86" s="64">
        <v>74.040000000000006</v>
      </c>
      <c r="E86" s="64">
        <v>0.79</v>
      </c>
      <c r="F86" s="64">
        <v>0.73</v>
      </c>
      <c r="G86" s="64">
        <v>154.4</v>
      </c>
      <c r="H86" s="64">
        <v>54.83</v>
      </c>
      <c r="I86" s="64">
        <v>1.46</v>
      </c>
      <c r="J86" s="64">
        <v>0.35</v>
      </c>
      <c r="K86" s="64">
        <v>161.33000000000001</v>
      </c>
      <c r="L86" s="64">
        <v>22.77</v>
      </c>
      <c r="M86" s="64">
        <v>53.95</v>
      </c>
      <c r="N86" s="64">
        <v>32</v>
      </c>
      <c r="O86" s="64">
        <v>0</v>
      </c>
      <c r="P86" s="64">
        <v>1.58</v>
      </c>
      <c r="Q86" s="64">
        <v>4.5999999999999996</v>
      </c>
      <c r="R86" s="198"/>
      <c r="S86" s="198"/>
      <c r="T86" s="198"/>
      <c r="U86" s="198"/>
    </row>
    <row r="87" spans="1:26" s="12" customFormat="1" x14ac:dyDescent="0.25">
      <c r="A87" s="215" t="s">
        <v>1383</v>
      </c>
      <c r="B87" s="64">
        <v>30.39</v>
      </c>
      <c r="C87" s="64">
        <v>48.69</v>
      </c>
      <c r="D87" s="64">
        <v>79.069999999999993</v>
      </c>
      <c r="E87" s="64">
        <v>0.83</v>
      </c>
      <c r="F87" s="64">
        <v>0.88</v>
      </c>
      <c r="G87" s="64">
        <v>154.4</v>
      </c>
      <c r="H87" s="64">
        <v>54.83</v>
      </c>
      <c r="I87" s="64">
        <v>1.48</v>
      </c>
      <c r="J87" s="64">
        <v>0.08</v>
      </c>
      <c r="K87" s="64">
        <v>122.1</v>
      </c>
      <c r="L87" s="64">
        <v>22.87</v>
      </c>
      <c r="M87" s="64">
        <v>52.42</v>
      </c>
      <c r="N87" s="64">
        <v>33</v>
      </c>
      <c r="O87" s="64">
        <v>0</v>
      </c>
      <c r="P87" s="64">
        <v>1.53</v>
      </c>
      <c r="Q87" s="64">
        <v>4.97</v>
      </c>
      <c r="R87" s="198"/>
      <c r="S87" s="198"/>
      <c r="T87" s="198"/>
      <c r="U87" s="198"/>
    </row>
    <row r="88" spans="1:26" s="12" customFormat="1" x14ac:dyDescent="0.25">
      <c r="A88" s="215" t="s">
        <v>1384</v>
      </c>
      <c r="B88" s="64">
        <v>27.14</v>
      </c>
      <c r="C88" s="64">
        <v>47.03</v>
      </c>
      <c r="D88" s="64">
        <v>74.17</v>
      </c>
      <c r="E88" s="64">
        <v>0.34</v>
      </c>
      <c r="F88" s="64">
        <v>0.6</v>
      </c>
      <c r="G88" s="64">
        <v>154.4</v>
      </c>
      <c r="H88" s="64">
        <v>54.83</v>
      </c>
      <c r="I88" s="64">
        <v>1.54</v>
      </c>
      <c r="J88" s="64">
        <v>0.56000000000000005</v>
      </c>
      <c r="K88" s="64">
        <v>129.97</v>
      </c>
      <c r="L88" s="64">
        <v>22.43</v>
      </c>
      <c r="M88" s="64">
        <v>53.69</v>
      </c>
      <c r="N88" s="64">
        <v>32.200000000000003</v>
      </c>
      <c r="O88" s="64">
        <v>0</v>
      </c>
      <c r="P88" s="64">
        <v>1.59</v>
      </c>
      <c r="Q88" s="64">
        <v>4.25</v>
      </c>
      <c r="R88" s="198"/>
      <c r="S88" s="198"/>
      <c r="T88" s="198"/>
      <c r="U88" s="198"/>
    </row>
    <row r="89" spans="1:26" s="12" customFormat="1" x14ac:dyDescent="0.25">
      <c r="A89" s="215" t="s">
        <v>1385</v>
      </c>
      <c r="B89" s="64">
        <v>31.94</v>
      </c>
      <c r="C89" s="64">
        <v>54.83</v>
      </c>
      <c r="D89" s="64">
        <v>86.77</v>
      </c>
      <c r="E89" s="64">
        <v>0.82</v>
      </c>
      <c r="F89" s="64">
        <v>0.5</v>
      </c>
      <c r="G89" s="64">
        <v>163.4</v>
      </c>
      <c r="H89" s="64">
        <v>65.680000000000007</v>
      </c>
      <c r="I89" s="64">
        <v>1.54</v>
      </c>
      <c r="J89" s="64">
        <v>7.0000000000000007E-2</v>
      </c>
      <c r="K89" s="64">
        <v>309.20999999999998</v>
      </c>
      <c r="L89" s="64">
        <v>22.88</v>
      </c>
      <c r="M89" s="64">
        <v>52.42</v>
      </c>
      <c r="N89" s="64">
        <v>33.799999999999997</v>
      </c>
      <c r="O89" s="64">
        <v>0</v>
      </c>
      <c r="P89" s="64">
        <v>1.65</v>
      </c>
      <c r="Q89" s="64">
        <v>4.58</v>
      </c>
      <c r="R89" s="198"/>
      <c r="S89" s="198"/>
      <c r="T89" s="198"/>
      <c r="U89" s="198"/>
    </row>
    <row r="90" spans="1:26" s="12" customFormat="1" x14ac:dyDescent="0.25">
      <c r="A90" s="215" t="s">
        <v>1386</v>
      </c>
      <c r="B90" s="64">
        <v>22.44</v>
      </c>
      <c r="C90" s="64">
        <v>53.59</v>
      </c>
      <c r="D90" s="64">
        <v>76.03</v>
      </c>
      <c r="E90" s="64">
        <v>0.87</v>
      </c>
      <c r="F90" s="64">
        <v>0.79</v>
      </c>
      <c r="G90" s="64">
        <v>182.35</v>
      </c>
      <c r="H90" s="64">
        <v>80.78</v>
      </c>
      <c r="I90" s="64">
        <v>1.43</v>
      </c>
      <c r="J90" s="64">
        <v>0.17</v>
      </c>
      <c r="K90" s="64">
        <v>337.57</v>
      </c>
      <c r="L90" s="64">
        <v>21.55</v>
      </c>
      <c r="M90" s="64">
        <v>64.34</v>
      </c>
      <c r="N90" s="64">
        <v>34.5</v>
      </c>
      <c r="O90" s="64">
        <v>0</v>
      </c>
      <c r="P90" s="64">
        <v>1.63</v>
      </c>
      <c r="Q90" s="64">
        <v>5.37</v>
      </c>
      <c r="R90" s="198"/>
      <c r="S90" s="198"/>
      <c r="T90" s="198"/>
      <c r="U90" s="198"/>
    </row>
    <row r="91" spans="1:26" s="12" customFormat="1" x14ac:dyDescent="0.25">
      <c r="A91" s="215" t="s">
        <v>1387</v>
      </c>
      <c r="B91" s="64">
        <v>31.08</v>
      </c>
      <c r="C91" s="64">
        <v>55.12</v>
      </c>
      <c r="D91" s="64">
        <v>86.2</v>
      </c>
      <c r="E91" s="64">
        <v>0.96</v>
      </c>
      <c r="F91" s="64">
        <v>0.8</v>
      </c>
      <c r="G91" s="64">
        <v>182.35</v>
      </c>
      <c r="H91" s="64">
        <v>80.78</v>
      </c>
      <c r="I91" s="64">
        <v>1.55</v>
      </c>
      <c r="J91" s="64">
        <v>7.0000000000000007E-2</v>
      </c>
      <c r="K91" s="64">
        <v>275.89999999999998</v>
      </c>
      <c r="L91" s="64">
        <v>21.1</v>
      </c>
      <c r="M91" s="64">
        <v>62.64</v>
      </c>
      <c r="N91" s="64">
        <v>33.799999999999997</v>
      </c>
      <c r="O91" s="64">
        <v>0</v>
      </c>
      <c r="P91" s="64">
        <v>1.89</v>
      </c>
      <c r="Q91" s="64">
        <v>5.42</v>
      </c>
      <c r="R91" s="198"/>
      <c r="S91" s="198"/>
      <c r="T91" s="198"/>
      <c r="U91" s="198"/>
    </row>
    <row r="92" spans="1:26" s="12" customFormat="1" x14ac:dyDescent="0.25">
      <c r="A92" s="215" t="s">
        <v>1388</v>
      </c>
      <c r="B92" s="64">
        <v>51.52</v>
      </c>
      <c r="C92" s="64">
        <v>53.26</v>
      </c>
      <c r="D92" s="64">
        <v>104.78</v>
      </c>
      <c r="E92" s="64">
        <v>1.25</v>
      </c>
      <c r="F92" s="64">
        <v>0.51</v>
      </c>
      <c r="G92" s="64">
        <v>182.35</v>
      </c>
      <c r="H92" s="64">
        <v>80.78</v>
      </c>
      <c r="I92" s="64">
        <v>1.46</v>
      </c>
      <c r="J92" s="64">
        <v>0.19</v>
      </c>
      <c r="K92" s="64">
        <v>107.26</v>
      </c>
      <c r="L92" s="64">
        <v>20.95</v>
      </c>
      <c r="M92" s="64">
        <v>64.180000000000007</v>
      </c>
      <c r="N92" s="64">
        <v>33.6</v>
      </c>
      <c r="O92" s="64">
        <v>0</v>
      </c>
      <c r="P92" s="64">
        <v>1.59</v>
      </c>
      <c r="Q92" s="64">
        <v>3.34</v>
      </c>
      <c r="R92" s="198"/>
      <c r="S92" s="198"/>
      <c r="T92" s="198"/>
      <c r="U92" s="198"/>
    </row>
    <row r="93" spans="1:26" s="12" customFormat="1" x14ac:dyDescent="0.25">
      <c r="A93" s="215" t="s">
        <v>1389</v>
      </c>
      <c r="B93" s="64">
        <v>33.71</v>
      </c>
      <c r="C93" s="64">
        <v>47.91</v>
      </c>
      <c r="D93" s="64">
        <v>81.62</v>
      </c>
      <c r="E93" s="64">
        <v>1.54</v>
      </c>
      <c r="F93" s="64">
        <v>0.36</v>
      </c>
      <c r="G93" s="64">
        <v>182.35</v>
      </c>
      <c r="H93" s="64">
        <v>80.78</v>
      </c>
      <c r="I93" s="64">
        <v>1.46</v>
      </c>
      <c r="J93" s="64">
        <v>0.05</v>
      </c>
      <c r="K93" s="64">
        <v>215.17</v>
      </c>
      <c r="L93" s="64">
        <v>20.77</v>
      </c>
      <c r="M93" s="64">
        <v>65.78</v>
      </c>
      <c r="N93" s="64">
        <v>33.799999999999997</v>
      </c>
      <c r="O93" s="64">
        <v>0</v>
      </c>
      <c r="P93" s="64">
        <v>1.68</v>
      </c>
      <c r="Q93" s="64">
        <v>5.22</v>
      </c>
      <c r="R93" s="198"/>
      <c r="S93" s="198"/>
      <c r="T93" s="198"/>
      <c r="U93" s="198"/>
    </row>
    <row r="94" spans="1:26" s="12" customFormat="1" x14ac:dyDescent="0.25">
      <c r="A94" s="215" t="s">
        <v>1390</v>
      </c>
      <c r="B94" s="64">
        <v>34.159999999999997</v>
      </c>
      <c r="C94" s="64">
        <v>46.22</v>
      </c>
      <c r="D94" s="64">
        <v>80.38</v>
      </c>
      <c r="E94" s="64">
        <v>1.75</v>
      </c>
      <c r="F94" s="64">
        <v>0.74</v>
      </c>
      <c r="G94" s="64">
        <v>270.60000000000002</v>
      </c>
      <c r="H94" s="64">
        <v>173.98</v>
      </c>
      <c r="I94" s="64">
        <v>1.46</v>
      </c>
      <c r="J94" s="64">
        <v>0.09</v>
      </c>
      <c r="K94" s="64">
        <v>306.83</v>
      </c>
      <c r="L94" s="64">
        <v>20.65</v>
      </c>
      <c r="M94" s="64">
        <v>69.91</v>
      </c>
      <c r="N94" s="64">
        <v>33.799999999999997</v>
      </c>
      <c r="O94" s="64">
        <v>0</v>
      </c>
      <c r="P94" s="64">
        <v>1.75</v>
      </c>
      <c r="Q94" s="64">
        <v>5.27</v>
      </c>
      <c r="R94" s="198"/>
      <c r="S94" s="198"/>
      <c r="T94" s="198"/>
      <c r="U94" s="198"/>
    </row>
    <row r="95" spans="1:26" s="12" customFormat="1" x14ac:dyDescent="0.25">
      <c r="A95" s="215" t="s">
        <v>1391</v>
      </c>
      <c r="B95" s="64">
        <v>51.33</v>
      </c>
      <c r="C95" s="64">
        <v>54.5</v>
      </c>
      <c r="D95" s="64">
        <v>105.83</v>
      </c>
      <c r="E95" s="64">
        <v>1.69</v>
      </c>
      <c r="F95" s="64">
        <v>0.78</v>
      </c>
      <c r="G95" s="64">
        <v>270.60000000000002</v>
      </c>
      <c r="H95" s="64">
        <v>173.98</v>
      </c>
      <c r="I95" s="64">
        <v>1.47</v>
      </c>
      <c r="J95" s="64">
        <v>0.04</v>
      </c>
      <c r="K95" s="64">
        <v>135.49</v>
      </c>
      <c r="L95" s="64">
        <v>20.38</v>
      </c>
      <c r="M95" s="64">
        <v>69.67</v>
      </c>
      <c r="N95" s="64">
        <v>33.5</v>
      </c>
      <c r="O95" s="64">
        <v>0</v>
      </c>
      <c r="P95" s="64">
        <v>1.95</v>
      </c>
      <c r="Q95" s="64">
        <v>5.09</v>
      </c>
      <c r="R95" s="198"/>
      <c r="S95" s="198"/>
      <c r="T95" s="198"/>
      <c r="U95" s="198"/>
    </row>
    <row r="96" spans="1:26" s="12" customFormat="1" x14ac:dyDescent="0.25">
      <c r="A96" s="215" t="s">
        <v>1392</v>
      </c>
      <c r="B96" s="64">
        <v>48.89</v>
      </c>
      <c r="C96" s="64">
        <v>48.05</v>
      </c>
      <c r="D96" s="64">
        <v>96.95</v>
      </c>
      <c r="E96" s="64">
        <v>2.19</v>
      </c>
      <c r="F96" s="64">
        <v>0.7</v>
      </c>
      <c r="G96" s="64">
        <v>270.60000000000002</v>
      </c>
      <c r="H96" s="64">
        <v>173.98</v>
      </c>
      <c r="I96" s="64">
        <v>1.42</v>
      </c>
      <c r="J96" s="64">
        <v>0.09</v>
      </c>
      <c r="K96" s="64">
        <v>312.76</v>
      </c>
      <c r="L96" s="64">
        <v>20.54</v>
      </c>
      <c r="M96" s="64">
        <v>68.099999999999994</v>
      </c>
      <c r="N96" s="64">
        <v>33.799999999999997</v>
      </c>
      <c r="O96" s="64">
        <v>0</v>
      </c>
      <c r="P96" s="64">
        <v>1.95</v>
      </c>
      <c r="Q96" s="64">
        <v>4.4400000000000004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1393</v>
      </c>
      <c r="B97" s="64">
        <v>48.46</v>
      </c>
      <c r="C97" s="64">
        <v>43.88</v>
      </c>
      <c r="D97" s="64">
        <v>92.34</v>
      </c>
      <c r="E97" s="64">
        <v>2.9</v>
      </c>
      <c r="F97" s="64">
        <v>0.81</v>
      </c>
      <c r="G97" s="211" t="s">
        <v>43</v>
      </c>
      <c r="H97" s="211" t="s">
        <v>43</v>
      </c>
      <c r="I97" s="64">
        <v>1.56</v>
      </c>
      <c r="J97" s="64">
        <v>0.09</v>
      </c>
      <c r="K97" s="64">
        <v>333.15</v>
      </c>
      <c r="L97" s="64">
        <v>20.37</v>
      </c>
      <c r="M97" s="64">
        <v>70.11</v>
      </c>
      <c r="N97" s="64">
        <v>33.9</v>
      </c>
      <c r="O97" s="64">
        <v>0</v>
      </c>
      <c r="P97" s="64">
        <v>1.91</v>
      </c>
      <c r="Q97" s="64">
        <v>4.4800000000000004</v>
      </c>
      <c r="R97" s="198"/>
      <c r="S97" s="198"/>
      <c r="T97" s="198"/>
      <c r="U97" s="198"/>
    </row>
    <row r="98" spans="1:33" s="12" customFormat="1" x14ac:dyDescent="0.25">
      <c r="A98" s="215" t="s">
        <v>1394</v>
      </c>
      <c r="B98" s="64">
        <v>66.760000000000005</v>
      </c>
      <c r="C98" s="64">
        <v>59.73</v>
      </c>
      <c r="D98" s="64">
        <v>126.49</v>
      </c>
      <c r="E98" s="64">
        <v>3.13</v>
      </c>
      <c r="F98" s="64">
        <v>0.66</v>
      </c>
      <c r="G98" s="211" t="s">
        <v>43</v>
      </c>
      <c r="H98" s="211" t="s">
        <v>43</v>
      </c>
      <c r="I98" s="64">
        <v>1.48</v>
      </c>
      <c r="J98" s="64">
        <v>0.08</v>
      </c>
      <c r="K98" s="64">
        <v>263.33999999999997</v>
      </c>
      <c r="L98" s="64">
        <v>20.329999999999998</v>
      </c>
      <c r="M98" s="64">
        <v>66.16</v>
      </c>
      <c r="N98" s="64">
        <v>33.700000000000003</v>
      </c>
      <c r="O98" s="64">
        <v>0</v>
      </c>
      <c r="P98" s="64">
        <v>2.0099999999999998</v>
      </c>
      <c r="Q98" s="64">
        <v>4.84</v>
      </c>
      <c r="R98" s="198"/>
      <c r="S98" s="198"/>
      <c r="T98" s="198"/>
      <c r="U98" s="198"/>
    </row>
    <row r="99" spans="1:33" s="12" customFormat="1" x14ac:dyDescent="0.25">
      <c r="A99" s="215" t="s">
        <v>1395</v>
      </c>
      <c r="B99" s="64">
        <v>53.3</v>
      </c>
      <c r="C99" s="64">
        <v>38.64</v>
      </c>
      <c r="D99" s="64">
        <v>91.94</v>
      </c>
      <c r="E99" s="64">
        <v>3.28</v>
      </c>
      <c r="F99" s="64">
        <v>0.59</v>
      </c>
      <c r="G99" s="211" t="s">
        <v>43</v>
      </c>
      <c r="H99" s="211" t="s">
        <v>43</v>
      </c>
      <c r="I99" s="64">
        <v>1.52</v>
      </c>
      <c r="J99" s="64">
        <v>0.06</v>
      </c>
      <c r="K99" s="64">
        <v>125.87</v>
      </c>
      <c r="L99" s="64">
        <v>20.38</v>
      </c>
      <c r="M99" s="64">
        <v>66.09</v>
      </c>
      <c r="N99" s="64">
        <v>33.6</v>
      </c>
      <c r="O99" s="64">
        <v>0</v>
      </c>
      <c r="P99" s="64">
        <v>1.88</v>
      </c>
      <c r="Q99" s="64">
        <v>6.16</v>
      </c>
      <c r="R99" s="198"/>
      <c r="S99" s="198"/>
      <c r="T99" s="198"/>
      <c r="U99" s="198"/>
    </row>
    <row r="100" spans="1:33" s="12" customFormat="1" x14ac:dyDescent="0.25">
      <c r="A100" s="215" t="s">
        <v>1396</v>
      </c>
      <c r="B100" s="64">
        <v>58.98</v>
      </c>
      <c r="C100" s="64">
        <v>45.44</v>
      </c>
      <c r="D100" s="64">
        <v>104.42</v>
      </c>
      <c r="E100" s="64">
        <v>3.32</v>
      </c>
      <c r="F100" s="64">
        <v>0.45</v>
      </c>
      <c r="G100" s="211" t="s">
        <v>43</v>
      </c>
      <c r="H100" s="211" t="s">
        <v>43</v>
      </c>
      <c r="I100" s="64">
        <v>1.47</v>
      </c>
      <c r="J100" s="64">
        <v>0.11</v>
      </c>
      <c r="K100" s="64">
        <v>282.88</v>
      </c>
      <c r="L100" s="64">
        <v>20.36</v>
      </c>
      <c r="M100" s="64">
        <v>65.900000000000006</v>
      </c>
      <c r="N100" s="64">
        <v>33.9</v>
      </c>
      <c r="O100" s="64">
        <v>0</v>
      </c>
      <c r="P100" s="64">
        <v>1.89</v>
      </c>
      <c r="Q100" s="64">
        <v>6.85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1397</v>
      </c>
      <c r="B101" s="64">
        <v>67.72</v>
      </c>
      <c r="C101" s="64">
        <v>50.02</v>
      </c>
      <c r="D101" s="64">
        <v>117.74</v>
      </c>
      <c r="E101" s="64">
        <v>3.64</v>
      </c>
      <c r="F101" s="64">
        <v>0.5</v>
      </c>
      <c r="G101" s="211" t="s">
        <v>43</v>
      </c>
      <c r="H101" s="211" t="s">
        <v>43</v>
      </c>
      <c r="I101" s="64">
        <v>1.53</v>
      </c>
      <c r="J101" s="64">
        <v>0.03</v>
      </c>
      <c r="K101" s="64">
        <v>240.97</v>
      </c>
      <c r="L101" s="64">
        <v>19.940000000000001</v>
      </c>
      <c r="M101" s="64">
        <v>69.73</v>
      </c>
      <c r="N101" s="64">
        <v>33.799999999999997</v>
      </c>
      <c r="O101" s="64">
        <v>0</v>
      </c>
      <c r="P101" s="64">
        <v>1.94</v>
      </c>
      <c r="Q101" s="64">
        <v>7.4</v>
      </c>
      <c r="R101" s="198"/>
      <c r="S101" s="198"/>
      <c r="T101" s="198"/>
      <c r="U101" s="198"/>
    </row>
    <row r="102" spans="1:33" s="12" customFormat="1" x14ac:dyDescent="0.25">
      <c r="A102" s="215" t="s">
        <v>1398</v>
      </c>
      <c r="B102" s="64">
        <v>66.569999999999993</v>
      </c>
      <c r="C102" s="64">
        <v>44.49</v>
      </c>
      <c r="D102" s="64">
        <v>111.06</v>
      </c>
      <c r="E102" s="64">
        <v>6.32</v>
      </c>
      <c r="F102" s="64">
        <v>0.77</v>
      </c>
      <c r="G102" s="211" t="s">
        <v>43</v>
      </c>
      <c r="H102" s="211" t="s">
        <v>43</v>
      </c>
      <c r="I102" s="64">
        <v>1.54</v>
      </c>
      <c r="J102" s="64">
        <v>0.02</v>
      </c>
      <c r="K102" s="64">
        <v>2.87</v>
      </c>
      <c r="L102" s="64">
        <v>19.77</v>
      </c>
      <c r="M102" s="64">
        <v>68.510000000000005</v>
      </c>
      <c r="N102" s="64">
        <v>34.200000000000003</v>
      </c>
      <c r="O102" s="64">
        <v>0</v>
      </c>
      <c r="P102" s="64">
        <v>1.96</v>
      </c>
      <c r="Q102" s="64">
        <v>5.47</v>
      </c>
      <c r="R102" s="198"/>
      <c r="S102" s="198"/>
      <c r="T102" s="198"/>
      <c r="U102" s="198"/>
    </row>
    <row r="103" spans="1:33" s="12" customFormat="1" x14ac:dyDescent="0.25">
      <c r="A103" s="215" t="s">
        <v>1399</v>
      </c>
      <c r="B103" s="64">
        <v>74.510000000000005</v>
      </c>
      <c r="C103" s="64">
        <v>40.79</v>
      </c>
      <c r="D103" s="64">
        <v>115.3</v>
      </c>
      <c r="E103" s="64">
        <v>4.83</v>
      </c>
      <c r="F103" s="64">
        <v>0.64</v>
      </c>
      <c r="G103" s="211" t="s">
        <v>43</v>
      </c>
      <c r="H103" s="211" t="s">
        <v>43</v>
      </c>
      <c r="I103" s="64">
        <v>1.51</v>
      </c>
      <c r="J103" s="64">
        <v>0.14000000000000001</v>
      </c>
      <c r="K103" s="64">
        <v>291.64</v>
      </c>
      <c r="L103" s="64">
        <v>19.399999999999999</v>
      </c>
      <c r="M103" s="64">
        <v>76.77</v>
      </c>
      <c r="N103" s="64">
        <v>34.200000000000003</v>
      </c>
      <c r="O103" s="64">
        <v>0</v>
      </c>
      <c r="P103" s="64">
        <v>2.08</v>
      </c>
      <c r="Q103" s="64">
        <v>5.74</v>
      </c>
      <c r="R103" s="198"/>
      <c r="S103" s="198"/>
      <c r="T103" s="198"/>
      <c r="U103" s="198"/>
    </row>
    <row r="104" spans="1:33" s="12" customFormat="1" x14ac:dyDescent="0.25">
      <c r="A104" s="215" t="s">
        <v>1400</v>
      </c>
      <c r="B104" s="64">
        <v>87.13</v>
      </c>
      <c r="C104" s="64">
        <v>47.05</v>
      </c>
      <c r="D104" s="64">
        <v>134.16999999999999</v>
      </c>
      <c r="E104" s="64">
        <v>2.62</v>
      </c>
      <c r="F104" s="64">
        <v>0.48</v>
      </c>
      <c r="G104" s="211" t="s">
        <v>43</v>
      </c>
      <c r="H104" s="211" t="s">
        <v>43</v>
      </c>
      <c r="I104" s="64">
        <v>1.51</v>
      </c>
      <c r="J104" s="64">
        <v>0.02</v>
      </c>
      <c r="K104" s="64">
        <v>354.26</v>
      </c>
      <c r="L104" s="64">
        <v>19.25</v>
      </c>
      <c r="M104" s="64">
        <v>78.459999999999994</v>
      </c>
      <c r="N104" s="64">
        <v>34.200000000000003</v>
      </c>
      <c r="O104" s="64">
        <v>0</v>
      </c>
      <c r="P104" s="64">
        <v>2.13</v>
      </c>
      <c r="Q104" s="64">
        <v>5.8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2.89</v>
      </c>
      <c r="C106" s="67">
        <f>MIN(C9:C104)</f>
        <v>27.41</v>
      </c>
      <c r="D106" s="67">
        <f t="shared" ref="D106:Q106" si="0">MIN(D9:D104)</f>
        <v>31.94</v>
      </c>
      <c r="E106" s="67">
        <f t="shared" si="0"/>
        <v>0.11</v>
      </c>
      <c r="F106" s="67">
        <f t="shared" si="0"/>
        <v>0.11</v>
      </c>
      <c r="G106" s="67">
        <f t="shared" si="0"/>
        <v>66.66</v>
      </c>
      <c r="H106" s="67">
        <f t="shared" si="0"/>
        <v>36.33</v>
      </c>
      <c r="I106" s="67">
        <f t="shared" si="0"/>
        <v>1.38</v>
      </c>
      <c r="J106" s="67">
        <f t="shared" si="0"/>
        <v>0.02</v>
      </c>
      <c r="K106" s="67">
        <f t="shared" si="0"/>
        <v>2.87</v>
      </c>
      <c r="L106" s="67">
        <f t="shared" si="0"/>
        <v>17.489999999999998</v>
      </c>
      <c r="M106" s="67">
        <f t="shared" si="0"/>
        <v>23.05</v>
      </c>
      <c r="N106" s="67">
        <f t="shared" si="0"/>
        <v>31.9</v>
      </c>
      <c r="O106" s="67">
        <f t="shared" si="0"/>
        <v>0</v>
      </c>
      <c r="P106" s="67">
        <f t="shared" si="0"/>
        <v>0.84</v>
      </c>
      <c r="Q106" s="67">
        <f t="shared" si="0"/>
        <v>0.18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87.13</v>
      </c>
      <c r="C107" s="66">
        <f t="shared" ref="C107:Q107" si="1">MAX(C9:C104)</f>
        <v>79.36</v>
      </c>
      <c r="D107" s="66">
        <f t="shared" si="1"/>
        <v>134.16999999999999</v>
      </c>
      <c r="E107" s="66">
        <f t="shared" si="1"/>
        <v>6.32</v>
      </c>
      <c r="F107" s="66">
        <f t="shared" si="1"/>
        <v>26.18</v>
      </c>
      <c r="G107" s="66">
        <f t="shared" si="1"/>
        <v>270.60000000000002</v>
      </c>
      <c r="H107" s="66">
        <f t="shared" si="1"/>
        <v>173.98</v>
      </c>
      <c r="I107" s="66">
        <f t="shared" si="1"/>
        <v>1.65</v>
      </c>
      <c r="J107" s="66">
        <f t="shared" si="1"/>
        <v>1.1100000000000001</v>
      </c>
      <c r="K107" s="66">
        <f t="shared" si="1"/>
        <v>356.93</v>
      </c>
      <c r="L107" s="66">
        <f t="shared" si="1"/>
        <v>33.36</v>
      </c>
      <c r="M107" s="66">
        <f t="shared" si="1"/>
        <v>95.99</v>
      </c>
      <c r="N107" s="66">
        <f t="shared" si="1"/>
        <v>690</v>
      </c>
      <c r="O107" s="66">
        <f t="shared" si="1"/>
        <v>0</v>
      </c>
      <c r="P107" s="66">
        <f t="shared" si="1"/>
        <v>2.13</v>
      </c>
      <c r="Q107" s="66">
        <f t="shared" si="1"/>
        <v>7.7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23.917916666666681</v>
      </c>
      <c r="C108" s="67">
        <f t="shared" ref="C108:Q108" si="2">AVERAGE(C9:C104)</f>
        <v>41.646874999999994</v>
      </c>
      <c r="D108" s="67">
        <f t="shared" si="2"/>
        <v>65.563958333333304</v>
      </c>
      <c r="E108" s="67">
        <f t="shared" si="2"/>
        <v>1.0626041666666668</v>
      </c>
      <c r="F108" s="67">
        <f t="shared" si="2"/>
        <v>4.6729166666666684</v>
      </c>
      <c r="G108" s="67">
        <f t="shared" si="2"/>
        <v>125.24954545454548</v>
      </c>
      <c r="H108" s="67">
        <f t="shared" si="2"/>
        <v>67.471022727272711</v>
      </c>
      <c r="I108" s="67">
        <f t="shared" si="2"/>
        <v>1.4957291666666659</v>
      </c>
      <c r="J108" s="67">
        <f t="shared" si="2"/>
        <v>0.29177083333333326</v>
      </c>
      <c r="K108" s="67">
        <f t="shared" si="2"/>
        <v>265.3359375</v>
      </c>
      <c r="L108" s="67">
        <f t="shared" si="2"/>
        <v>23.987916666666667</v>
      </c>
      <c r="M108" s="67">
        <f t="shared" si="2"/>
        <v>58.714062500000004</v>
      </c>
      <c r="N108" s="67">
        <f t="shared" si="2"/>
        <v>190.56562500000004</v>
      </c>
      <c r="O108" s="67">
        <f t="shared" si="2"/>
        <v>0</v>
      </c>
      <c r="P108" s="67">
        <f t="shared" si="2"/>
        <v>1.3581250000000002</v>
      </c>
      <c r="Q108" s="67">
        <f t="shared" si="2"/>
        <v>5.4606249999999994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17.634251594503379</v>
      </c>
      <c r="C109" s="67">
        <f t="shared" ref="C109:Q109" si="3">STDEV(C9:C104)</f>
        <v>9.9977295646245796</v>
      </c>
      <c r="D109" s="67">
        <f t="shared" si="3"/>
        <v>22.355089305365798</v>
      </c>
      <c r="E109" s="67">
        <f t="shared" si="3"/>
        <v>0.9583826779820992</v>
      </c>
      <c r="F109" s="67">
        <f t="shared" si="3"/>
        <v>6.3437352298678622</v>
      </c>
      <c r="G109" s="67">
        <f t="shared" si="3"/>
        <v>50.704036292417058</v>
      </c>
      <c r="H109" s="67">
        <f t="shared" si="3"/>
        <v>26.42896899976018</v>
      </c>
      <c r="I109" s="67">
        <f t="shared" si="3"/>
        <v>4.9688393046150886E-2</v>
      </c>
      <c r="J109" s="67">
        <f t="shared" si="3"/>
        <v>0.28166047044985765</v>
      </c>
      <c r="K109" s="67">
        <f t="shared" si="3"/>
        <v>95.865759416934253</v>
      </c>
      <c r="L109" s="67">
        <f t="shared" si="3"/>
        <v>5.4423177950626984</v>
      </c>
      <c r="M109" s="67">
        <f t="shared" si="3"/>
        <v>23.595526408204186</v>
      </c>
      <c r="N109" s="67">
        <f t="shared" si="3"/>
        <v>235.54548463563643</v>
      </c>
      <c r="O109" s="67">
        <f t="shared" si="3"/>
        <v>0</v>
      </c>
      <c r="P109" s="67">
        <f t="shared" si="3"/>
        <v>0.32239012816282314</v>
      </c>
      <c r="Q109" s="67">
        <f t="shared" si="3"/>
        <v>1.2834089576715575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88</v>
      </c>
      <c r="H110" s="66">
        <f>COUNT(H9:H104)</f>
        <v>88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98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 t="s">
        <v>1497</v>
      </c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1401</v>
      </c>
      <c r="B9" s="64">
        <v>85.43</v>
      </c>
      <c r="C9" s="64">
        <v>44.08</v>
      </c>
      <c r="D9" s="64">
        <v>129.51</v>
      </c>
      <c r="E9" s="64">
        <v>4.45</v>
      </c>
      <c r="F9" s="64">
        <v>0.55000000000000004</v>
      </c>
      <c r="G9" s="211" t="s">
        <v>43</v>
      </c>
      <c r="H9" s="211" t="s">
        <v>43</v>
      </c>
      <c r="I9" s="64">
        <v>1.51</v>
      </c>
      <c r="J9" s="64">
        <v>0.08</v>
      </c>
      <c r="K9" s="64">
        <v>247.22</v>
      </c>
      <c r="L9" s="64">
        <v>19.440000000000001</v>
      </c>
      <c r="M9" s="64">
        <v>75.12</v>
      </c>
      <c r="N9" s="64">
        <v>34</v>
      </c>
      <c r="O9" s="64">
        <v>0</v>
      </c>
      <c r="P9" s="64">
        <v>2.17</v>
      </c>
      <c r="Q9" s="64">
        <v>6.51</v>
      </c>
      <c r="R9" s="198"/>
      <c r="S9" s="198"/>
      <c r="T9" s="198"/>
      <c r="U9" s="198"/>
    </row>
    <row r="10" spans="1:21" s="12" customFormat="1" x14ac:dyDescent="0.25">
      <c r="A10" s="215" t="s">
        <v>1402</v>
      </c>
      <c r="B10" s="64">
        <v>82.31</v>
      </c>
      <c r="C10" s="64">
        <v>38.4</v>
      </c>
      <c r="D10" s="64">
        <v>120.71</v>
      </c>
      <c r="E10" s="64">
        <v>3.84</v>
      </c>
      <c r="F10" s="64">
        <v>0.94</v>
      </c>
      <c r="G10" s="211" t="s">
        <v>43</v>
      </c>
      <c r="H10" s="211" t="s">
        <v>43</v>
      </c>
      <c r="I10" s="64">
        <v>1.49</v>
      </c>
      <c r="J10" s="64">
        <v>0.04</v>
      </c>
      <c r="K10" s="64">
        <v>231.26</v>
      </c>
      <c r="L10" s="64">
        <v>19.37</v>
      </c>
      <c r="M10" s="64">
        <v>75.02</v>
      </c>
      <c r="N10" s="64">
        <v>34.200000000000003</v>
      </c>
      <c r="O10" s="64">
        <v>0</v>
      </c>
      <c r="P10" s="64">
        <v>2.09</v>
      </c>
      <c r="Q10" s="64">
        <v>8.93</v>
      </c>
      <c r="R10" s="198"/>
      <c r="S10" s="198"/>
      <c r="T10" s="198"/>
      <c r="U10" s="198"/>
    </row>
    <row r="11" spans="1:21" s="12" customFormat="1" x14ac:dyDescent="0.25">
      <c r="A11" s="215" t="s">
        <v>1403</v>
      </c>
      <c r="B11" s="64">
        <v>79.92</v>
      </c>
      <c r="C11" s="64">
        <v>35.94</v>
      </c>
      <c r="D11" s="64">
        <v>115.87</v>
      </c>
      <c r="E11" s="64">
        <v>2.68</v>
      </c>
      <c r="F11" s="64">
        <v>0.51</v>
      </c>
      <c r="G11" s="211" t="s">
        <v>43</v>
      </c>
      <c r="H11" s="211" t="s">
        <v>43</v>
      </c>
      <c r="I11" s="64">
        <v>1.51</v>
      </c>
      <c r="J11" s="64">
        <v>0.03</v>
      </c>
      <c r="K11" s="64">
        <v>55.33</v>
      </c>
      <c r="L11" s="64">
        <v>19.2</v>
      </c>
      <c r="M11" s="64">
        <v>76.14</v>
      </c>
      <c r="N11" s="64">
        <v>34</v>
      </c>
      <c r="O11" s="64">
        <v>0</v>
      </c>
      <c r="P11" s="64">
        <v>2.1</v>
      </c>
      <c r="Q11" s="64">
        <v>10.119999999999999</v>
      </c>
      <c r="R11" s="198"/>
      <c r="S11" s="198"/>
      <c r="T11" s="198"/>
      <c r="U11" s="198"/>
    </row>
    <row r="12" spans="1:21" s="12" customFormat="1" x14ac:dyDescent="0.25">
      <c r="A12" s="215" t="s">
        <v>1404</v>
      </c>
      <c r="B12" s="64">
        <v>81.48</v>
      </c>
      <c r="C12" s="64">
        <v>36.11</v>
      </c>
      <c r="D12" s="64">
        <v>117.59</v>
      </c>
      <c r="E12" s="64">
        <v>2.3199999999999998</v>
      </c>
      <c r="F12" s="64">
        <v>0.41</v>
      </c>
      <c r="G12" s="211" t="s">
        <v>43</v>
      </c>
      <c r="H12" s="211" t="s">
        <v>43</v>
      </c>
      <c r="I12" s="64">
        <v>1.49</v>
      </c>
      <c r="J12" s="64">
        <v>0.09</v>
      </c>
      <c r="K12" s="64">
        <v>254.7</v>
      </c>
      <c r="L12" s="64">
        <v>19.350000000000001</v>
      </c>
      <c r="M12" s="64">
        <v>72.900000000000006</v>
      </c>
      <c r="N12" s="64">
        <v>34</v>
      </c>
      <c r="O12" s="64">
        <v>0</v>
      </c>
      <c r="P12" s="64">
        <v>2.1</v>
      </c>
      <c r="Q12" s="64">
        <v>10.64</v>
      </c>
      <c r="R12" s="198"/>
      <c r="S12" s="198"/>
      <c r="T12" s="198"/>
      <c r="U12" s="198"/>
    </row>
    <row r="13" spans="1:21" s="12" customFormat="1" x14ac:dyDescent="0.25">
      <c r="A13" s="215" t="s">
        <v>1405</v>
      </c>
      <c r="B13" s="64">
        <v>82.31</v>
      </c>
      <c r="C13" s="64">
        <v>34.68</v>
      </c>
      <c r="D13" s="64">
        <v>116.99</v>
      </c>
      <c r="E13" s="64">
        <v>2.2200000000000002</v>
      </c>
      <c r="F13" s="64">
        <v>0.56000000000000005</v>
      </c>
      <c r="G13" s="211" t="s">
        <v>43</v>
      </c>
      <c r="H13" s="211" t="s">
        <v>43</v>
      </c>
      <c r="I13" s="64">
        <v>1.49</v>
      </c>
      <c r="J13" s="64">
        <v>7.0000000000000007E-2</v>
      </c>
      <c r="K13" s="64">
        <v>332.32</v>
      </c>
      <c r="L13" s="64">
        <v>18.989999999999998</v>
      </c>
      <c r="M13" s="64">
        <v>77.98</v>
      </c>
      <c r="N13" s="64">
        <v>34.299999999999997</v>
      </c>
      <c r="O13" s="64">
        <v>0</v>
      </c>
      <c r="P13" s="64">
        <v>1.86</v>
      </c>
      <c r="Q13" s="64">
        <v>10.76</v>
      </c>
      <c r="R13" s="198"/>
      <c r="S13" s="198"/>
      <c r="T13" s="198"/>
      <c r="U13" s="198"/>
    </row>
    <row r="14" spans="1:21" s="12" customFormat="1" x14ac:dyDescent="0.25">
      <c r="A14" s="215" t="s">
        <v>1406</v>
      </c>
      <c r="B14" s="64">
        <v>82.36</v>
      </c>
      <c r="C14" s="64">
        <v>34.9</v>
      </c>
      <c r="D14" s="64">
        <v>117.25</v>
      </c>
      <c r="E14" s="64">
        <v>1.93</v>
      </c>
      <c r="F14" s="64">
        <v>0.18</v>
      </c>
      <c r="G14" s="211" t="s">
        <v>43</v>
      </c>
      <c r="H14" s="211" t="s">
        <v>43</v>
      </c>
      <c r="I14" s="64">
        <v>1.5</v>
      </c>
      <c r="J14" s="64">
        <v>0.04</v>
      </c>
      <c r="K14" s="64">
        <v>312.08999999999997</v>
      </c>
      <c r="L14" s="64">
        <v>18.579999999999998</v>
      </c>
      <c r="M14" s="64">
        <v>82.67</v>
      </c>
      <c r="N14" s="64">
        <v>34.4</v>
      </c>
      <c r="O14" s="64">
        <v>0</v>
      </c>
      <c r="P14" s="64">
        <v>1.96</v>
      </c>
      <c r="Q14" s="64">
        <v>10.87</v>
      </c>
      <c r="R14" s="198"/>
      <c r="S14" s="198"/>
      <c r="T14" s="198"/>
      <c r="U14" s="198"/>
    </row>
    <row r="15" spans="1:21" s="12" customFormat="1" x14ac:dyDescent="0.25">
      <c r="A15" s="215" t="s">
        <v>1407</v>
      </c>
      <c r="B15" s="64">
        <v>81.88</v>
      </c>
      <c r="C15" s="64">
        <v>34.840000000000003</v>
      </c>
      <c r="D15" s="64">
        <v>116.72</v>
      </c>
      <c r="E15" s="64">
        <v>1.79</v>
      </c>
      <c r="F15" s="64">
        <v>0.38</v>
      </c>
      <c r="G15" s="211" t="s">
        <v>43</v>
      </c>
      <c r="H15" s="211" t="s">
        <v>43</v>
      </c>
      <c r="I15" s="64">
        <v>1.51</v>
      </c>
      <c r="J15" s="64">
        <v>0.02</v>
      </c>
      <c r="K15" s="64">
        <v>191.34</v>
      </c>
      <c r="L15" s="64">
        <v>18.55</v>
      </c>
      <c r="M15" s="64">
        <v>77.39</v>
      </c>
      <c r="N15" s="64">
        <v>34.299999999999997</v>
      </c>
      <c r="O15" s="64">
        <v>0</v>
      </c>
      <c r="P15" s="64">
        <v>1.94</v>
      </c>
      <c r="Q15" s="64">
        <v>10.94</v>
      </c>
      <c r="R15" s="198"/>
      <c r="S15" s="198"/>
      <c r="T15" s="198"/>
      <c r="U15" s="198"/>
    </row>
    <row r="16" spans="1:21" s="12" customFormat="1" x14ac:dyDescent="0.25">
      <c r="A16" s="215" t="s">
        <v>1408</v>
      </c>
      <c r="B16" s="64">
        <v>80.77</v>
      </c>
      <c r="C16" s="64">
        <v>31.54</v>
      </c>
      <c r="D16" s="64">
        <v>112.31</v>
      </c>
      <c r="E16" s="64">
        <v>1.83</v>
      </c>
      <c r="F16" s="64">
        <v>0.43</v>
      </c>
      <c r="G16" s="211" t="s">
        <v>43</v>
      </c>
      <c r="H16" s="211" t="s">
        <v>43</v>
      </c>
      <c r="I16" s="64">
        <v>1.48</v>
      </c>
      <c r="J16" s="64">
        <v>0.02</v>
      </c>
      <c r="K16" s="64">
        <v>344.19</v>
      </c>
      <c r="L16" s="64">
        <v>18.66</v>
      </c>
      <c r="M16" s="64">
        <v>75.59</v>
      </c>
      <c r="N16" s="64">
        <v>34.200000000000003</v>
      </c>
      <c r="O16" s="64">
        <v>0</v>
      </c>
      <c r="P16" s="64">
        <v>1.91</v>
      </c>
      <c r="Q16" s="64">
        <v>10.84</v>
      </c>
      <c r="R16" s="198"/>
      <c r="S16" s="198"/>
      <c r="T16" s="198"/>
      <c r="U16" s="198"/>
    </row>
    <row r="17" spans="1:21" s="12" customFormat="1" x14ac:dyDescent="0.25">
      <c r="A17" s="215" t="s">
        <v>1409</v>
      </c>
      <c r="B17" s="64">
        <v>73.66</v>
      </c>
      <c r="C17" s="64">
        <v>31.94</v>
      </c>
      <c r="D17" s="64">
        <v>105.6</v>
      </c>
      <c r="E17" s="64">
        <v>1.99</v>
      </c>
      <c r="F17" s="64">
        <v>1.1399999999999999</v>
      </c>
      <c r="G17" s="211" t="s">
        <v>43</v>
      </c>
      <c r="H17" s="211" t="s">
        <v>43</v>
      </c>
      <c r="I17" s="64">
        <v>1.52</v>
      </c>
      <c r="J17" s="64">
        <v>0.55000000000000004</v>
      </c>
      <c r="K17" s="64">
        <v>345.45</v>
      </c>
      <c r="L17" s="64">
        <v>19.03</v>
      </c>
      <c r="M17" s="64">
        <v>69.28</v>
      </c>
      <c r="N17" s="64">
        <v>34.9</v>
      </c>
      <c r="O17" s="64">
        <v>0</v>
      </c>
      <c r="P17" s="64">
        <v>1.83</v>
      </c>
      <c r="Q17" s="64">
        <v>10.93</v>
      </c>
      <c r="R17" s="198"/>
      <c r="S17" s="198"/>
      <c r="T17" s="198"/>
      <c r="U17" s="198"/>
    </row>
    <row r="18" spans="1:21" s="12" customFormat="1" x14ac:dyDescent="0.25">
      <c r="A18" s="215" t="s">
        <v>1410</v>
      </c>
      <c r="B18" s="64">
        <v>71.11</v>
      </c>
      <c r="C18" s="64">
        <v>30.04</v>
      </c>
      <c r="D18" s="64">
        <v>101.15</v>
      </c>
      <c r="E18" s="64">
        <v>1.86</v>
      </c>
      <c r="F18" s="64">
        <v>1.22</v>
      </c>
      <c r="G18" s="211" t="s">
        <v>43</v>
      </c>
      <c r="H18" s="211" t="s">
        <v>43</v>
      </c>
      <c r="I18" s="64">
        <v>1.48</v>
      </c>
      <c r="J18" s="64">
        <v>0.33</v>
      </c>
      <c r="K18" s="64">
        <v>354.3</v>
      </c>
      <c r="L18" s="64">
        <v>19.079999999999998</v>
      </c>
      <c r="M18" s="64">
        <v>68.69</v>
      </c>
      <c r="N18" s="64">
        <v>37.1</v>
      </c>
      <c r="O18" s="64">
        <v>0</v>
      </c>
      <c r="P18" s="64">
        <v>1.78</v>
      </c>
      <c r="Q18" s="64">
        <v>10.72</v>
      </c>
      <c r="R18" s="198"/>
      <c r="S18" s="198"/>
      <c r="T18" s="198"/>
      <c r="U18" s="198"/>
    </row>
    <row r="19" spans="1:21" s="12" customFormat="1" x14ac:dyDescent="0.25">
      <c r="A19" s="215" t="s">
        <v>1411</v>
      </c>
      <c r="B19" s="64">
        <v>58.55</v>
      </c>
      <c r="C19" s="64">
        <v>32.96</v>
      </c>
      <c r="D19" s="64">
        <v>91.51</v>
      </c>
      <c r="E19" s="64">
        <v>1.74</v>
      </c>
      <c r="F19" s="64">
        <v>1.1399999999999999</v>
      </c>
      <c r="G19" s="211" t="s">
        <v>43</v>
      </c>
      <c r="H19" s="211" t="s">
        <v>43</v>
      </c>
      <c r="I19" s="64">
        <v>1.49</v>
      </c>
      <c r="J19" s="64">
        <v>0.17</v>
      </c>
      <c r="K19" s="64">
        <v>81.09</v>
      </c>
      <c r="L19" s="64">
        <v>19.07</v>
      </c>
      <c r="M19" s="64">
        <v>68.64</v>
      </c>
      <c r="N19" s="64">
        <v>37.299999999999997</v>
      </c>
      <c r="O19" s="64">
        <v>0</v>
      </c>
      <c r="P19" s="64">
        <v>1.58</v>
      </c>
      <c r="Q19" s="64">
        <v>10.73</v>
      </c>
      <c r="R19" s="198"/>
      <c r="S19" s="198"/>
      <c r="T19" s="198"/>
      <c r="U19" s="198"/>
    </row>
    <row r="20" spans="1:21" s="12" customFormat="1" x14ac:dyDescent="0.25">
      <c r="A20" s="215" t="s">
        <v>1412</v>
      </c>
      <c r="B20" s="64">
        <v>62.62</v>
      </c>
      <c r="C20" s="64">
        <v>32.840000000000003</v>
      </c>
      <c r="D20" s="64">
        <v>95.46</v>
      </c>
      <c r="E20" s="64">
        <v>1.74</v>
      </c>
      <c r="F20" s="64">
        <v>0.74</v>
      </c>
      <c r="G20" s="211" t="s">
        <v>43</v>
      </c>
      <c r="H20" s="211" t="s">
        <v>43</v>
      </c>
      <c r="I20" s="64">
        <v>1.48</v>
      </c>
      <c r="J20" s="64">
        <v>0.12</v>
      </c>
      <c r="K20" s="64">
        <v>70.989999999999995</v>
      </c>
      <c r="L20" s="64">
        <v>19.02</v>
      </c>
      <c r="M20" s="64">
        <v>69.66</v>
      </c>
      <c r="N20" s="64">
        <v>37.700000000000003</v>
      </c>
      <c r="O20" s="64">
        <v>0</v>
      </c>
      <c r="P20" s="64">
        <v>1.65</v>
      </c>
      <c r="Q20" s="64">
        <v>10.53</v>
      </c>
      <c r="R20" s="198"/>
      <c r="S20" s="198"/>
      <c r="T20" s="198"/>
      <c r="U20" s="198"/>
    </row>
    <row r="21" spans="1:21" s="12" customFormat="1" x14ac:dyDescent="0.25">
      <c r="A21" s="215" t="s">
        <v>1413</v>
      </c>
      <c r="B21" s="64">
        <v>65.05</v>
      </c>
      <c r="C21" s="64">
        <v>33.18</v>
      </c>
      <c r="D21" s="64">
        <v>98.23</v>
      </c>
      <c r="E21" s="64">
        <v>1.56</v>
      </c>
      <c r="F21" s="64">
        <v>0.37</v>
      </c>
      <c r="G21" s="64">
        <v>145.13999999999999</v>
      </c>
      <c r="H21" s="64">
        <v>75.91</v>
      </c>
      <c r="I21" s="64">
        <v>1.44</v>
      </c>
      <c r="J21" s="64">
        <v>0.02</v>
      </c>
      <c r="K21" s="64">
        <v>67.69</v>
      </c>
      <c r="L21" s="64">
        <v>18.73</v>
      </c>
      <c r="M21" s="64">
        <v>73.900000000000006</v>
      </c>
      <c r="N21" s="64">
        <v>37.799999999999997</v>
      </c>
      <c r="O21" s="64">
        <v>0</v>
      </c>
      <c r="P21" s="64">
        <v>1.69</v>
      </c>
      <c r="Q21" s="64">
        <v>9.9</v>
      </c>
      <c r="R21" s="198"/>
      <c r="S21" s="198"/>
      <c r="T21" s="198"/>
      <c r="U21" s="198"/>
    </row>
    <row r="22" spans="1:21" s="12" customFormat="1" x14ac:dyDescent="0.25">
      <c r="A22" s="215" t="s">
        <v>1414</v>
      </c>
      <c r="B22" s="64">
        <v>63.34</v>
      </c>
      <c r="C22" s="64">
        <v>27.84</v>
      </c>
      <c r="D22" s="64">
        <v>91.18</v>
      </c>
      <c r="E22" s="64">
        <v>1.28</v>
      </c>
      <c r="F22" s="64">
        <v>0.63</v>
      </c>
      <c r="G22" s="64">
        <v>145.13999999999999</v>
      </c>
      <c r="H22" s="64">
        <v>75.91</v>
      </c>
      <c r="I22" s="64">
        <v>1.53</v>
      </c>
      <c r="J22" s="64">
        <v>0.08</v>
      </c>
      <c r="K22" s="64">
        <v>250.54</v>
      </c>
      <c r="L22" s="64">
        <v>18.46</v>
      </c>
      <c r="M22" s="64">
        <v>75.510000000000005</v>
      </c>
      <c r="N22" s="64">
        <v>37.799999999999997</v>
      </c>
      <c r="O22" s="64">
        <v>0</v>
      </c>
      <c r="P22" s="64">
        <v>1.66</v>
      </c>
      <c r="Q22" s="64">
        <v>9.44</v>
      </c>
      <c r="R22" s="198"/>
      <c r="S22" s="198"/>
      <c r="T22" s="198"/>
      <c r="U22" s="198"/>
    </row>
    <row r="23" spans="1:21" s="12" customFormat="1" x14ac:dyDescent="0.25">
      <c r="A23" s="215" t="s">
        <v>1415</v>
      </c>
      <c r="B23" s="64">
        <v>60.46</v>
      </c>
      <c r="C23" s="64">
        <v>31.94</v>
      </c>
      <c r="D23" s="64">
        <v>92.4</v>
      </c>
      <c r="E23" s="64">
        <v>1.19</v>
      </c>
      <c r="F23" s="64">
        <v>0.4</v>
      </c>
      <c r="G23" s="64">
        <v>145.13999999999999</v>
      </c>
      <c r="H23" s="64">
        <v>75.91</v>
      </c>
      <c r="I23" s="64">
        <v>1.55</v>
      </c>
      <c r="J23" s="64">
        <v>0.06</v>
      </c>
      <c r="K23" s="64">
        <v>323.94</v>
      </c>
      <c r="L23" s="64">
        <v>18.13</v>
      </c>
      <c r="M23" s="64">
        <v>79.510000000000005</v>
      </c>
      <c r="N23" s="64">
        <v>38.1</v>
      </c>
      <c r="O23" s="64">
        <v>0</v>
      </c>
      <c r="P23" s="64">
        <v>1.64</v>
      </c>
      <c r="Q23" s="64">
        <v>9.16</v>
      </c>
      <c r="R23" s="198"/>
      <c r="S23" s="198"/>
      <c r="T23" s="198"/>
      <c r="U23" s="198"/>
    </row>
    <row r="24" spans="1:21" s="12" customFormat="1" x14ac:dyDescent="0.25">
      <c r="A24" s="215" t="s">
        <v>1416</v>
      </c>
      <c r="B24" s="64">
        <v>58.16</v>
      </c>
      <c r="C24" s="64">
        <v>32.880000000000003</v>
      </c>
      <c r="D24" s="64">
        <v>91.04</v>
      </c>
      <c r="E24" s="64">
        <v>0.82</v>
      </c>
      <c r="F24" s="64">
        <v>0.33</v>
      </c>
      <c r="G24" s="64">
        <v>145.13999999999999</v>
      </c>
      <c r="H24" s="64">
        <v>75.91</v>
      </c>
      <c r="I24" s="64">
        <v>1.52</v>
      </c>
      <c r="J24" s="64">
        <v>7.0000000000000007E-2</v>
      </c>
      <c r="K24" s="64">
        <v>308.95</v>
      </c>
      <c r="L24" s="64">
        <v>17.84</v>
      </c>
      <c r="M24" s="64">
        <v>80.790000000000006</v>
      </c>
      <c r="N24" s="64">
        <v>37.9</v>
      </c>
      <c r="O24" s="64">
        <v>0</v>
      </c>
      <c r="P24" s="64">
        <v>1.61</v>
      </c>
      <c r="Q24" s="64">
        <v>9</v>
      </c>
      <c r="R24" s="198"/>
      <c r="S24" s="198"/>
      <c r="T24" s="198"/>
      <c r="U24" s="198"/>
    </row>
    <row r="25" spans="1:21" s="12" customFormat="1" x14ac:dyDescent="0.25">
      <c r="A25" s="215" t="s">
        <v>1417</v>
      </c>
      <c r="B25" s="64">
        <v>56.12</v>
      </c>
      <c r="C25" s="64">
        <v>30.82</v>
      </c>
      <c r="D25" s="64">
        <v>86.94</v>
      </c>
      <c r="E25" s="64">
        <v>1.1399999999999999</v>
      </c>
      <c r="F25" s="64">
        <v>0.24</v>
      </c>
      <c r="G25" s="64">
        <v>154.65</v>
      </c>
      <c r="H25" s="64">
        <v>68.489999999999995</v>
      </c>
      <c r="I25" s="64">
        <v>1.57</v>
      </c>
      <c r="J25" s="64">
        <v>0.15</v>
      </c>
      <c r="K25" s="64">
        <v>357.3</v>
      </c>
      <c r="L25" s="64">
        <v>17.850000000000001</v>
      </c>
      <c r="M25" s="64">
        <v>82.83</v>
      </c>
      <c r="N25" s="64">
        <v>37.6</v>
      </c>
      <c r="O25" s="64">
        <v>0</v>
      </c>
      <c r="P25" s="64">
        <v>1.58</v>
      </c>
      <c r="Q25" s="64">
        <v>8.8800000000000008</v>
      </c>
      <c r="R25" s="198"/>
      <c r="S25" s="198"/>
      <c r="T25" s="198"/>
      <c r="U25" s="198"/>
    </row>
    <row r="26" spans="1:21" s="12" customFormat="1" x14ac:dyDescent="0.25">
      <c r="A26" s="215" t="s">
        <v>1418</v>
      </c>
      <c r="B26" s="64">
        <v>54</v>
      </c>
      <c r="C26" s="64">
        <v>31.8</v>
      </c>
      <c r="D26" s="64">
        <v>85.79</v>
      </c>
      <c r="E26" s="64">
        <v>1.1599999999999999</v>
      </c>
      <c r="F26" s="64">
        <v>0.26</v>
      </c>
      <c r="G26" s="64">
        <v>174.64</v>
      </c>
      <c r="H26" s="64">
        <v>58.15</v>
      </c>
      <c r="I26" s="64">
        <v>1.48</v>
      </c>
      <c r="J26" s="64">
        <v>7.0000000000000007E-2</v>
      </c>
      <c r="K26" s="64">
        <v>37.58</v>
      </c>
      <c r="L26" s="64">
        <v>18.07</v>
      </c>
      <c r="M26" s="64">
        <v>81.540000000000006</v>
      </c>
      <c r="N26" s="64">
        <v>37.6</v>
      </c>
      <c r="O26" s="64">
        <v>0</v>
      </c>
      <c r="P26" s="64">
        <v>1.56</v>
      </c>
      <c r="Q26" s="64">
        <v>8.6999999999999993</v>
      </c>
      <c r="R26" s="198"/>
      <c r="S26" s="198"/>
      <c r="T26" s="198"/>
      <c r="U26" s="198"/>
    </row>
    <row r="27" spans="1:21" s="12" customFormat="1" x14ac:dyDescent="0.25">
      <c r="A27" s="215" t="s">
        <v>1419</v>
      </c>
      <c r="B27" s="64">
        <v>51.81</v>
      </c>
      <c r="C27" s="64">
        <v>31.44</v>
      </c>
      <c r="D27" s="64">
        <v>83.25</v>
      </c>
      <c r="E27" s="64">
        <v>1.08</v>
      </c>
      <c r="F27" s="64">
        <v>0.23</v>
      </c>
      <c r="G27" s="64">
        <v>174.64</v>
      </c>
      <c r="H27" s="64">
        <v>58.15</v>
      </c>
      <c r="I27" s="64">
        <v>1.49</v>
      </c>
      <c r="J27" s="64">
        <v>0.18</v>
      </c>
      <c r="K27" s="64">
        <v>344.94</v>
      </c>
      <c r="L27" s="64">
        <v>18.239999999999998</v>
      </c>
      <c r="M27" s="64">
        <v>81.05</v>
      </c>
      <c r="N27" s="64">
        <v>37.299999999999997</v>
      </c>
      <c r="O27" s="64">
        <v>0</v>
      </c>
      <c r="P27" s="64">
        <v>1.55</v>
      </c>
      <c r="Q27" s="64">
        <v>8.5399999999999991</v>
      </c>
      <c r="R27" s="198"/>
      <c r="S27" s="198"/>
      <c r="T27" s="198"/>
      <c r="U27" s="198"/>
    </row>
    <row r="28" spans="1:21" s="12" customFormat="1" x14ac:dyDescent="0.25">
      <c r="A28" s="215" t="s">
        <v>1420</v>
      </c>
      <c r="B28" s="64">
        <v>49.38</v>
      </c>
      <c r="C28" s="64">
        <v>29.7</v>
      </c>
      <c r="D28" s="64">
        <v>79.09</v>
      </c>
      <c r="E28" s="64">
        <v>1.1499999999999999</v>
      </c>
      <c r="F28" s="64">
        <v>0.3</v>
      </c>
      <c r="G28" s="64">
        <v>174.64</v>
      </c>
      <c r="H28" s="64">
        <v>58.15</v>
      </c>
      <c r="I28" s="64">
        <v>1.48</v>
      </c>
      <c r="J28" s="64">
        <v>0.48</v>
      </c>
      <c r="K28" s="64">
        <v>339.23</v>
      </c>
      <c r="L28" s="64">
        <v>18.29</v>
      </c>
      <c r="M28" s="64">
        <v>80.91</v>
      </c>
      <c r="N28" s="64">
        <v>37.299999999999997</v>
      </c>
      <c r="O28" s="64">
        <v>0</v>
      </c>
      <c r="P28" s="64">
        <v>1.53</v>
      </c>
      <c r="Q28" s="64">
        <v>8.33</v>
      </c>
      <c r="R28" s="198"/>
      <c r="S28" s="198"/>
      <c r="T28" s="198"/>
      <c r="U28" s="198"/>
    </row>
    <row r="29" spans="1:21" s="12" customFormat="1" x14ac:dyDescent="0.25">
      <c r="A29" s="215" t="s">
        <v>1421</v>
      </c>
      <c r="B29" s="64">
        <v>45.91</v>
      </c>
      <c r="C29" s="64">
        <v>29.33</v>
      </c>
      <c r="D29" s="64">
        <v>75.25</v>
      </c>
      <c r="E29" s="64">
        <v>1.18</v>
      </c>
      <c r="F29" s="64">
        <v>0.26</v>
      </c>
      <c r="G29" s="64">
        <v>163.86</v>
      </c>
      <c r="H29" s="64">
        <v>62.62</v>
      </c>
      <c r="I29" s="64">
        <v>1.49</v>
      </c>
      <c r="J29" s="64">
        <v>0.57999999999999996</v>
      </c>
      <c r="K29" s="64">
        <v>340.72</v>
      </c>
      <c r="L29" s="64">
        <v>18.37</v>
      </c>
      <c r="M29" s="64">
        <v>80.569999999999993</v>
      </c>
      <c r="N29" s="64">
        <v>37.5</v>
      </c>
      <c r="O29" s="64">
        <v>0</v>
      </c>
      <c r="P29" s="64">
        <v>1.49</v>
      </c>
      <c r="Q29" s="64">
        <v>8.1199999999999992</v>
      </c>
      <c r="R29" s="198"/>
      <c r="S29" s="198"/>
      <c r="T29" s="198"/>
      <c r="U29" s="198"/>
    </row>
    <row r="30" spans="1:21" s="12" customFormat="1" x14ac:dyDescent="0.25">
      <c r="A30" s="215" t="s">
        <v>1422</v>
      </c>
      <c r="B30" s="64">
        <v>42.49</v>
      </c>
      <c r="C30" s="64">
        <v>31.8</v>
      </c>
      <c r="D30" s="64">
        <v>74.290000000000006</v>
      </c>
      <c r="E30" s="64">
        <v>1.1499999999999999</v>
      </c>
      <c r="F30" s="64">
        <v>0.46</v>
      </c>
      <c r="G30" s="64">
        <v>141.16999999999999</v>
      </c>
      <c r="H30" s="64">
        <v>68.84</v>
      </c>
      <c r="I30" s="64">
        <v>1.55</v>
      </c>
      <c r="J30" s="64">
        <v>0.35</v>
      </c>
      <c r="K30" s="64">
        <v>338.23</v>
      </c>
      <c r="L30" s="64">
        <v>18.34</v>
      </c>
      <c r="M30" s="64">
        <v>80.97</v>
      </c>
      <c r="N30" s="64">
        <v>37.799999999999997</v>
      </c>
      <c r="O30" s="64">
        <v>0</v>
      </c>
      <c r="P30" s="64">
        <v>1.43</v>
      </c>
      <c r="Q30" s="64">
        <v>7.97</v>
      </c>
      <c r="R30" s="198"/>
      <c r="S30" s="198"/>
      <c r="T30" s="198"/>
      <c r="U30" s="198"/>
    </row>
    <row r="31" spans="1:21" s="12" customFormat="1" x14ac:dyDescent="0.25">
      <c r="A31" s="215" t="s">
        <v>1423</v>
      </c>
      <c r="B31" s="64">
        <v>39.770000000000003</v>
      </c>
      <c r="C31" s="64">
        <v>31.24</v>
      </c>
      <c r="D31" s="64">
        <v>71.010000000000005</v>
      </c>
      <c r="E31" s="64">
        <v>1.06</v>
      </c>
      <c r="F31" s="64">
        <v>0.77</v>
      </c>
      <c r="G31" s="64">
        <v>141.16999999999999</v>
      </c>
      <c r="H31" s="64">
        <v>68.84</v>
      </c>
      <c r="I31" s="64">
        <v>1.53</v>
      </c>
      <c r="J31" s="64">
        <v>0.03</v>
      </c>
      <c r="K31" s="64">
        <v>332.99</v>
      </c>
      <c r="L31" s="64">
        <v>18.149999999999999</v>
      </c>
      <c r="M31" s="64">
        <v>82.22</v>
      </c>
      <c r="N31" s="64">
        <v>38.1</v>
      </c>
      <c r="O31" s="64">
        <v>0</v>
      </c>
      <c r="P31" s="64">
        <v>1.39</v>
      </c>
      <c r="Q31" s="64">
        <v>7.84</v>
      </c>
      <c r="R31" s="198"/>
      <c r="S31" s="198"/>
      <c r="T31" s="198"/>
      <c r="U31" s="198"/>
    </row>
    <row r="32" spans="1:21" s="12" customFormat="1" x14ac:dyDescent="0.25">
      <c r="A32" s="215" t="s">
        <v>1424</v>
      </c>
      <c r="B32" s="64">
        <v>35.82</v>
      </c>
      <c r="C32" s="64">
        <v>32.450000000000003</v>
      </c>
      <c r="D32" s="64">
        <v>68.27</v>
      </c>
      <c r="E32" s="64">
        <v>1.03</v>
      </c>
      <c r="F32" s="64">
        <v>0.56000000000000005</v>
      </c>
      <c r="G32" s="64">
        <v>141.16999999999999</v>
      </c>
      <c r="H32" s="64">
        <v>68.84</v>
      </c>
      <c r="I32" s="64">
        <v>1.51</v>
      </c>
      <c r="J32" s="64">
        <v>0.05</v>
      </c>
      <c r="K32" s="64">
        <v>356.36</v>
      </c>
      <c r="L32" s="64">
        <v>18.03</v>
      </c>
      <c r="M32" s="64">
        <v>82.75</v>
      </c>
      <c r="N32" s="64">
        <v>38.6</v>
      </c>
      <c r="O32" s="64">
        <v>0</v>
      </c>
      <c r="P32" s="64">
        <v>1.35</v>
      </c>
      <c r="Q32" s="64">
        <v>7.68</v>
      </c>
      <c r="R32" s="198"/>
      <c r="S32" s="198"/>
      <c r="T32" s="198"/>
      <c r="U32" s="198"/>
    </row>
    <row r="33" spans="1:21" s="12" customFormat="1" x14ac:dyDescent="0.25">
      <c r="A33" s="215" t="s">
        <v>1425</v>
      </c>
      <c r="B33" s="64">
        <v>35.79</v>
      </c>
      <c r="C33" s="64">
        <v>30.69</v>
      </c>
      <c r="D33" s="64">
        <v>66.48</v>
      </c>
      <c r="E33" s="64">
        <v>0.99</v>
      </c>
      <c r="F33" s="64">
        <v>0.46</v>
      </c>
      <c r="G33" s="64">
        <v>129</v>
      </c>
      <c r="H33" s="64">
        <v>66.81</v>
      </c>
      <c r="I33" s="64">
        <v>1.5</v>
      </c>
      <c r="J33" s="64">
        <v>0.09</v>
      </c>
      <c r="K33" s="64">
        <v>345.6</v>
      </c>
      <c r="L33" s="64">
        <v>18.03</v>
      </c>
      <c r="M33" s="64">
        <v>82.97</v>
      </c>
      <c r="N33" s="64">
        <v>42.6</v>
      </c>
      <c r="O33" s="64">
        <v>0</v>
      </c>
      <c r="P33" s="64">
        <v>1.32</v>
      </c>
      <c r="Q33" s="64">
        <v>7.39</v>
      </c>
      <c r="R33" s="198"/>
      <c r="S33" s="198"/>
      <c r="T33" s="198"/>
      <c r="U33" s="198"/>
    </row>
    <row r="34" spans="1:21" s="12" customFormat="1" x14ac:dyDescent="0.25">
      <c r="A34" s="215" t="s">
        <v>1426</v>
      </c>
      <c r="B34" s="64">
        <v>34.979999999999997</v>
      </c>
      <c r="C34" s="64">
        <v>31.11</v>
      </c>
      <c r="D34" s="64">
        <v>66.08</v>
      </c>
      <c r="E34" s="64">
        <v>0.95</v>
      </c>
      <c r="F34" s="64">
        <v>0.34</v>
      </c>
      <c r="G34" s="64">
        <v>103.39</v>
      </c>
      <c r="H34" s="64">
        <v>63.98</v>
      </c>
      <c r="I34" s="64">
        <v>1.49</v>
      </c>
      <c r="J34" s="64">
        <v>0.05</v>
      </c>
      <c r="K34" s="64">
        <v>67.64</v>
      </c>
      <c r="L34" s="64">
        <v>18.059999999999999</v>
      </c>
      <c r="M34" s="64">
        <v>83.04</v>
      </c>
      <c r="N34" s="64">
        <v>56.8</v>
      </c>
      <c r="O34" s="64">
        <v>0</v>
      </c>
      <c r="P34" s="64">
        <v>1.29</v>
      </c>
      <c r="Q34" s="64">
        <v>7.19</v>
      </c>
      <c r="R34" s="198"/>
      <c r="S34" s="198"/>
      <c r="T34" s="198"/>
      <c r="U34" s="198"/>
    </row>
    <row r="35" spans="1:21" s="12" customFormat="1" x14ac:dyDescent="0.25">
      <c r="A35" s="215" t="s">
        <v>1427</v>
      </c>
      <c r="B35" s="64">
        <v>33.15</v>
      </c>
      <c r="C35" s="64">
        <v>31.77</v>
      </c>
      <c r="D35" s="64">
        <v>64.92</v>
      </c>
      <c r="E35" s="64">
        <v>0.9</v>
      </c>
      <c r="F35" s="64">
        <v>0.21</v>
      </c>
      <c r="G35" s="64">
        <v>103.39</v>
      </c>
      <c r="H35" s="64">
        <v>63.98</v>
      </c>
      <c r="I35" s="64">
        <v>1.52</v>
      </c>
      <c r="J35" s="64">
        <v>0.05</v>
      </c>
      <c r="K35" s="64">
        <v>64.150000000000006</v>
      </c>
      <c r="L35" s="64">
        <v>18.14</v>
      </c>
      <c r="M35" s="64">
        <v>83.59</v>
      </c>
      <c r="N35" s="64">
        <v>75.2</v>
      </c>
      <c r="O35" s="64">
        <v>0</v>
      </c>
      <c r="P35" s="64">
        <v>1.26</v>
      </c>
      <c r="Q35" s="64">
        <v>6.99</v>
      </c>
      <c r="R35" s="198"/>
      <c r="S35" s="198"/>
      <c r="T35" s="198"/>
      <c r="U35" s="198"/>
    </row>
    <row r="36" spans="1:21" s="12" customFormat="1" x14ac:dyDescent="0.25">
      <c r="A36" s="215" t="s">
        <v>1428</v>
      </c>
      <c r="B36" s="64">
        <v>31.49</v>
      </c>
      <c r="C36" s="64">
        <v>29.93</v>
      </c>
      <c r="D36" s="64">
        <v>61.43</v>
      </c>
      <c r="E36" s="64">
        <v>0.83</v>
      </c>
      <c r="F36" s="64">
        <v>0.23</v>
      </c>
      <c r="G36" s="64">
        <v>103.39</v>
      </c>
      <c r="H36" s="64">
        <v>63.98</v>
      </c>
      <c r="I36" s="64">
        <v>1.47</v>
      </c>
      <c r="J36" s="64">
        <v>0.18</v>
      </c>
      <c r="K36" s="64">
        <v>103.41</v>
      </c>
      <c r="L36" s="64">
        <v>18.489999999999998</v>
      </c>
      <c r="M36" s="64">
        <v>82.13</v>
      </c>
      <c r="N36" s="64">
        <v>97.3</v>
      </c>
      <c r="O36" s="64">
        <v>0</v>
      </c>
      <c r="P36" s="64">
        <v>1.22</v>
      </c>
      <c r="Q36" s="64">
        <v>6.83</v>
      </c>
      <c r="R36" s="198"/>
      <c r="S36" s="198"/>
      <c r="T36" s="198"/>
      <c r="U36" s="198"/>
    </row>
    <row r="37" spans="1:21" s="12" customFormat="1" x14ac:dyDescent="0.25">
      <c r="A37" s="215" t="s">
        <v>1429</v>
      </c>
      <c r="B37" s="64">
        <v>29.78</v>
      </c>
      <c r="C37" s="64">
        <v>31.13</v>
      </c>
      <c r="D37" s="64">
        <v>60.9</v>
      </c>
      <c r="E37" s="64">
        <v>0.8</v>
      </c>
      <c r="F37" s="64">
        <v>0.11</v>
      </c>
      <c r="G37" s="64">
        <v>101.91</v>
      </c>
      <c r="H37" s="64">
        <v>64.44</v>
      </c>
      <c r="I37" s="64">
        <v>1.46</v>
      </c>
      <c r="J37" s="64">
        <v>0.14000000000000001</v>
      </c>
      <c r="K37" s="64">
        <v>68.05</v>
      </c>
      <c r="L37" s="64">
        <v>18.940000000000001</v>
      </c>
      <c r="M37" s="64">
        <v>80.73</v>
      </c>
      <c r="N37" s="64">
        <v>137.1</v>
      </c>
      <c r="O37" s="64">
        <v>0</v>
      </c>
      <c r="P37" s="64">
        <v>1.24</v>
      </c>
      <c r="Q37" s="64">
        <v>6.71</v>
      </c>
      <c r="R37" s="198"/>
      <c r="S37" s="198"/>
      <c r="T37" s="198"/>
      <c r="U37" s="198"/>
    </row>
    <row r="38" spans="1:21" s="12" customFormat="1" x14ac:dyDescent="0.25">
      <c r="A38" s="215" t="s">
        <v>1430</v>
      </c>
      <c r="B38" s="64">
        <v>28.26</v>
      </c>
      <c r="C38" s="64">
        <v>31.44</v>
      </c>
      <c r="D38" s="64">
        <v>59.7</v>
      </c>
      <c r="E38" s="64">
        <v>0.75</v>
      </c>
      <c r="F38" s="64">
        <v>0.26</v>
      </c>
      <c r="G38" s="64">
        <v>98.81</v>
      </c>
      <c r="H38" s="64">
        <v>66.23</v>
      </c>
      <c r="I38" s="64">
        <v>1.51</v>
      </c>
      <c r="J38" s="64">
        <v>0.19</v>
      </c>
      <c r="K38" s="64">
        <v>84</v>
      </c>
      <c r="L38" s="64">
        <v>19.73</v>
      </c>
      <c r="M38" s="64">
        <v>77.319999999999993</v>
      </c>
      <c r="N38" s="64">
        <v>186.2</v>
      </c>
      <c r="O38" s="64">
        <v>0</v>
      </c>
      <c r="P38" s="64">
        <v>1.28</v>
      </c>
      <c r="Q38" s="64">
        <v>6.61</v>
      </c>
      <c r="R38" s="198"/>
      <c r="S38" s="198"/>
      <c r="T38" s="198"/>
      <c r="U38" s="198"/>
    </row>
    <row r="39" spans="1:21" s="12" customFormat="1" x14ac:dyDescent="0.25">
      <c r="A39" s="215" t="s">
        <v>1431</v>
      </c>
      <c r="B39" s="64">
        <v>26.84</v>
      </c>
      <c r="C39" s="64">
        <v>30.26</v>
      </c>
      <c r="D39" s="64">
        <v>57.09</v>
      </c>
      <c r="E39" s="64">
        <v>0.77</v>
      </c>
      <c r="F39" s="64">
        <v>0.42</v>
      </c>
      <c r="G39" s="64">
        <v>98.81</v>
      </c>
      <c r="H39" s="64">
        <v>66.23</v>
      </c>
      <c r="I39" s="64">
        <v>1.5</v>
      </c>
      <c r="J39" s="64">
        <v>0.09</v>
      </c>
      <c r="K39" s="64">
        <v>46.48</v>
      </c>
      <c r="L39" s="64">
        <v>20.78</v>
      </c>
      <c r="M39" s="64">
        <v>73.2</v>
      </c>
      <c r="N39" s="64">
        <v>229</v>
      </c>
      <c r="O39" s="64">
        <v>0</v>
      </c>
      <c r="P39" s="64">
        <v>1.25</v>
      </c>
      <c r="Q39" s="64">
        <v>6.46</v>
      </c>
      <c r="R39" s="198"/>
      <c r="S39" s="198"/>
      <c r="T39" s="198"/>
      <c r="U39" s="198"/>
    </row>
    <row r="40" spans="1:21" s="12" customFormat="1" x14ac:dyDescent="0.25">
      <c r="A40" s="215" t="s">
        <v>1432</v>
      </c>
      <c r="B40" s="64">
        <v>25.26</v>
      </c>
      <c r="C40" s="64">
        <v>31.86</v>
      </c>
      <c r="D40" s="64">
        <v>57.12</v>
      </c>
      <c r="E40" s="64">
        <v>0.51</v>
      </c>
      <c r="F40" s="64">
        <v>0.27</v>
      </c>
      <c r="G40" s="64">
        <v>98.81</v>
      </c>
      <c r="H40" s="64">
        <v>66.23</v>
      </c>
      <c r="I40" s="64">
        <v>1.48</v>
      </c>
      <c r="J40" s="64">
        <v>0.49</v>
      </c>
      <c r="K40" s="64">
        <v>93.2</v>
      </c>
      <c r="L40" s="64">
        <v>20.91</v>
      </c>
      <c r="M40" s="64">
        <v>72.97</v>
      </c>
      <c r="N40" s="64">
        <v>280.10000000000002</v>
      </c>
      <c r="O40" s="64">
        <v>0</v>
      </c>
      <c r="P40" s="64">
        <v>1.23</v>
      </c>
      <c r="Q40" s="64">
        <v>6.39</v>
      </c>
      <c r="R40" s="198"/>
      <c r="S40" s="198"/>
      <c r="T40" s="198"/>
      <c r="U40" s="198"/>
    </row>
    <row r="41" spans="1:21" s="12" customFormat="1" x14ac:dyDescent="0.25">
      <c r="A41" s="215" t="s">
        <v>1433</v>
      </c>
      <c r="B41" s="64">
        <v>23.11</v>
      </c>
      <c r="C41" s="64">
        <v>32.74</v>
      </c>
      <c r="D41" s="64">
        <v>55.85</v>
      </c>
      <c r="E41" s="64">
        <v>0.77</v>
      </c>
      <c r="F41" s="64">
        <v>0.6</v>
      </c>
      <c r="G41" s="64">
        <v>104.84</v>
      </c>
      <c r="H41" s="64">
        <v>60.43</v>
      </c>
      <c r="I41" s="64">
        <v>1.47</v>
      </c>
      <c r="J41" s="64">
        <v>0.19</v>
      </c>
      <c r="K41" s="64">
        <v>0.77</v>
      </c>
      <c r="L41" s="64">
        <v>21.62</v>
      </c>
      <c r="M41" s="64">
        <v>69.709999999999994</v>
      </c>
      <c r="N41" s="64">
        <v>329.1</v>
      </c>
      <c r="O41" s="64">
        <v>0</v>
      </c>
      <c r="P41" s="64">
        <v>1.21</v>
      </c>
      <c r="Q41" s="64">
        <v>6.29</v>
      </c>
      <c r="R41" s="198"/>
      <c r="S41" s="198"/>
      <c r="T41" s="198"/>
      <c r="U41" s="198"/>
    </row>
    <row r="42" spans="1:21" s="12" customFormat="1" x14ac:dyDescent="0.25">
      <c r="A42" s="215" t="s">
        <v>1434</v>
      </c>
      <c r="B42" s="64">
        <v>21.73</v>
      </c>
      <c r="C42" s="64">
        <v>32.869999999999997</v>
      </c>
      <c r="D42" s="64">
        <v>54.6</v>
      </c>
      <c r="E42" s="64">
        <v>0.74</v>
      </c>
      <c r="F42" s="64">
        <v>0.86</v>
      </c>
      <c r="G42" s="64">
        <v>117.51</v>
      </c>
      <c r="H42" s="64">
        <v>52.35</v>
      </c>
      <c r="I42" s="64">
        <v>1.51</v>
      </c>
      <c r="J42" s="64">
        <v>0.31</v>
      </c>
      <c r="K42" s="64">
        <v>88.07</v>
      </c>
      <c r="L42" s="64">
        <v>22.38</v>
      </c>
      <c r="M42" s="64">
        <v>67.180000000000007</v>
      </c>
      <c r="N42" s="64">
        <v>379.5</v>
      </c>
      <c r="O42" s="64">
        <v>0</v>
      </c>
      <c r="P42" s="64">
        <v>1.18</v>
      </c>
      <c r="Q42" s="64">
        <v>6.18</v>
      </c>
      <c r="R42" s="198"/>
      <c r="S42" s="198"/>
      <c r="T42" s="198"/>
      <c r="U42" s="198"/>
    </row>
    <row r="43" spans="1:21" s="12" customFormat="1" x14ac:dyDescent="0.25">
      <c r="A43" s="215" t="s">
        <v>1435</v>
      </c>
      <c r="B43" s="64">
        <v>20.059999999999999</v>
      </c>
      <c r="C43" s="64">
        <v>32.74</v>
      </c>
      <c r="D43" s="64">
        <v>52.8</v>
      </c>
      <c r="E43" s="64">
        <v>0.68</v>
      </c>
      <c r="F43" s="64">
        <v>1.35</v>
      </c>
      <c r="G43" s="64">
        <v>117.51</v>
      </c>
      <c r="H43" s="64">
        <v>52.35</v>
      </c>
      <c r="I43" s="64">
        <v>1.43</v>
      </c>
      <c r="J43" s="64">
        <v>0.44</v>
      </c>
      <c r="K43" s="64">
        <v>101.1</v>
      </c>
      <c r="L43" s="64">
        <v>22.49</v>
      </c>
      <c r="M43" s="64">
        <v>67.16</v>
      </c>
      <c r="N43" s="64">
        <v>422.8</v>
      </c>
      <c r="O43" s="64">
        <v>0</v>
      </c>
      <c r="P43" s="64">
        <v>1.1499999999999999</v>
      </c>
      <c r="Q43" s="64">
        <v>6.04</v>
      </c>
      <c r="R43" s="198"/>
      <c r="S43" s="198"/>
      <c r="T43" s="198"/>
      <c r="U43" s="198"/>
    </row>
    <row r="44" spans="1:21" s="12" customFormat="1" x14ac:dyDescent="0.25">
      <c r="A44" s="215" t="s">
        <v>1436</v>
      </c>
      <c r="B44" s="64">
        <v>18.66</v>
      </c>
      <c r="C44" s="64">
        <v>32.57</v>
      </c>
      <c r="D44" s="64">
        <v>51.24</v>
      </c>
      <c r="E44" s="64">
        <v>0.73</v>
      </c>
      <c r="F44" s="64">
        <v>0.82</v>
      </c>
      <c r="G44" s="64">
        <v>117.51</v>
      </c>
      <c r="H44" s="64">
        <v>52.35</v>
      </c>
      <c r="I44" s="64">
        <v>1.55</v>
      </c>
      <c r="J44" s="64">
        <v>0.24</v>
      </c>
      <c r="K44" s="64">
        <v>39.99</v>
      </c>
      <c r="L44" s="64">
        <v>23.08</v>
      </c>
      <c r="M44" s="64">
        <v>65.069999999999993</v>
      </c>
      <c r="N44" s="64">
        <v>456.6</v>
      </c>
      <c r="O44" s="64">
        <v>0</v>
      </c>
      <c r="P44" s="64">
        <v>1.1299999999999999</v>
      </c>
      <c r="Q44" s="64">
        <v>5.89</v>
      </c>
      <c r="R44" s="198"/>
      <c r="S44" s="198"/>
      <c r="T44" s="198"/>
      <c r="U44" s="198"/>
    </row>
    <row r="45" spans="1:21" s="12" customFormat="1" x14ac:dyDescent="0.25">
      <c r="A45" s="215" t="s">
        <v>1437</v>
      </c>
      <c r="B45" s="64">
        <v>17.010000000000002</v>
      </c>
      <c r="C45" s="64">
        <v>28.21</v>
      </c>
      <c r="D45" s="64">
        <v>45.21</v>
      </c>
      <c r="E45" s="64">
        <v>0.68</v>
      </c>
      <c r="F45" s="64">
        <v>1.19</v>
      </c>
      <c r="G45" s="64">
        <v>113.08</v>
      </c>
      <c r="H45" s="64">
        <v>58.53</v>
      </c>
      <c r="I45" s="64">
        <v>1.46</v>
      </c>
      <c r="J45" s="64">
        <v>0.51</v>
      </c>
      <c r="K45" s="64">
        <v>101.16</v>
      </c>
      <c r="L45" s="64">
        <v>23.7</v>
      </c>
      <c r="M45" s="64">
        <v>63.98</v>
      </c>
      <c r="N45" s="64">
        <v>487.6</v>
      </c>
      <c r="O45" s="64">
        <v>0</v>
      </c>
      <c r="P45" s="64">
        <v>1.0900000000000001</v>
      </c>
      <c r="Q45" s="64">
        <v>5.74</v>
      </c>
      <c r="R45" s="198"/>
      <c r="S45" s="198"/>
      <c r="T45" s="198"/>
      <c r="U45" s="198"/>
    </row>
    <row r="46" spans="1:21" s="12" customFormat="1" x14ac:dyDescent="0.25">
      <c r="A46" s="215" t="s">
        <v>1438</v>
      </c>
      <c r="B46" s="64">
        <v>15.31</v>
      </c>
      <c r="C46" s="64">
        <v>31.12</v>
      </c>
      <c r="D46" s="64">
        <v>46.44</v>
      </c>
      <c r="E46" s="64">
        <v>0.61</v>
      </c>
      <c r="F46" s="64">
        <v>0.93</v>
      </c>
      <c r="G46" s="64">
        <v>103.77</v>
      </c>
      <c r="H46" s="64">
        <v>67.150000000000006</v>
      </c>
      <c r="I46" s="64">
        <v>1.45</v>
      </c>
      <c r="J46" s="64">
        <v>0.3</v>
      </c>
      <c r="K46" s="64">
        <v>96.49</v>
      </c>
      <c r="L46" s="64">
        <v>24.71</v>
      </c>
      <c r="M46" s="64">
        <v>60.29</v>
      </c>
      <c r="N46" s="64">
        <v>516</v>
      </c>
      <c r="O46" s="64">
        <v>0</v>
      </c>
      <c r="P46" s="64">
        <v>1.08</v>
      </c>
      <c r="Q46" s="64">
        <v>5.5</v>
      </c>
      <c r="R46" s="198"/>
      <c r="S46" s="198"/>
      <c r="T46" s="198"/>
      <c r="U46" s="198"/>
    </row>
    <row r="47" spans="1:21" s="12" customFormat="1" x14ac:dyDescent="0.25">
      <c r="A47" s="215" t="s">
        <v>1439</v>
      </c>
      <c r="B47" s="64">
        <v>13.85</v>
      </c>
      <c r="C47" s="64">
        <v>32.03</v>
      </c>
      <c r="D47" s="64">
        <v>45.88</v>
      </c>
      <c r="E47" s="64">
        <v>0.62</v>
      </c>
      <c r="F47" s="64">
        <v>0.71</v>
      </c>
      <c r="G47" s="64">
        <v>103.77</v>
      </c>
      <c r="H47" s="64">
        <v>67.150000000000006</v>
      </c>
      <c r="I47" s="64">
        <v>1.42</v>
      </c>
      <c r="J47" s="64">
        <v>0.42</v>
      </c>
      <c r="K47" s="64">
        <v>91.14</v>
      </c>
      <c r="L47" s="64">
        <v>24.38</v>
      </c>
      <c r="M47" s="64">
        <v>62.35</v>
      </c>
      <c r="N47" s="64">
        <v>549.4</v>
      </c>
      <c r="O47" s="64">
        <v>0</v>
      </c>
      <c r="P47" s="64">
        <v>1.06</v>
      </c>
      <c r="Q47" s="64">
        <v>5.41</v>
      </c>
      <c r="R47" s="198"/>
      <c r="S47" s="198"/>
      <c r="T47" s="198"/>
      <c r="U47" s="198"/>
    </row>
    <row r="48" spans="1:21" s="12" customFormat="1" x14ac:dyDescent="0.25">
      <c r="A48" s="215" t="s">
        <v>1440</v>
      </c>
      <c r="B48" s="64">
        <v>12.08</v>
      </c>
      <c r="C48" s="64">
        <v>29.46</v>
      </c>
      <c r="D48" s="64">
        <v>41.54</v>
      </c>
      <c r="E48" s="64">
        <v>0.57999999999999996</v>
      </c>
      <c r="F48" s="64">
        <v>1.1200000000000001</v>
      </c>
      <c r="G48" s="64">
        <v>103.77</v>
      </c>
      <c r="H48" s="64">
        <v>67.150000000000006</v>
      </c>
      <c r="I48" s="64">
        <v>1.43</v>
      </c>
      <c r="J48" s="64">
        <v>0.51</v>
      </c>
      <c r="K48" s="64">
        <v>103.65</v>
      </c>
      <c r="L48" s="64">
        <v>24.61</v>
      </c>
      <c r="M48" s="64">
        <v>62.48</v>
      </c>
      <c r="N48" s="64">
        <v>575.5</v>
      </c>
      <c r="O48" s="64">
        <v>0</v>
      </c>
      <c r="P48" s="64">
        <v>1.03</v>
      </c>
      <c r="Q48" s="64">
        <v>5.35</v>
      </c>
      <c r="R48" s="198"/>
      <c r="S48" s="198"/>
      <c r="T48" s="198"/>
      <c r="U48" s="198"/>
    </row>
    <row r="49" spans="1:21" s="12" customFormat="1" x14ac:dyDescent="0.25">
      <c r="A49" s="215" t="s">
        <v>1441</v>
      </c>
      <c r="B49" s="64">
        <v>10.32</v>
      </c>
      <c r="C49" s="64">
        <v>31</v>
      </c>
      <c r="D49" s="64">
        <v>41.32</v>
      </c>
      <c r="E49" s="64">
        <v>0.57999999999999996</v>
      </c>
      <c r="F49" s="64">
        <v>1.28</v>
      </c>
      <c r="G49" s="64">
        <v>102.13</v>
      </c>
      <c r="H49" s="64">
        <v>67.89</v>
      </c>
      <c r="I49" s="64">
        <v>1.62</v>
      </c>
      <c r="J49" s="64">
        <v>0.75</v>
      </c>
      <c r="K49" s="64">
        <v>105.51</v>
      </c>
      <c r="L49" s="64">
        <v>24.73</v>
      </c>
      <c r="M49" s="64">
        <v>62.33</v>
      </c>
      <c r="N49" s="64">
        <v>596.9</v>
      </c>
      <c r="O49" s="64">
        <v>0</v>
      </c>
      <c r="P49" s="64">
        <v>1.01</v>
      </c>
      <c r="Q49" s="64">
        <v>5.16</v>
      </c>
      <c r="R49" s="198"/>
      <c r="S49" s="198"/>
      <c r="T49" s="198"/>
      <c r="U49" s="198"/>
    </row>
    <row r="50" spans="1:21" s="12" customFormat="1" x14ac:dyDescent="0.25">
      <c r="A50" s="215" t="s">
        <v>1442</v>
      </c>
      <c r="B50" s="64">
        <v>8.57</v>
      </c>
      <c r="C50" s="64">
        <v>30.66</v>
      </c>
      <c r="D50" s="64">
        <v>39.229999999999997</v>
      </c>
      <c r="E50" s="64">
        <v>0.57999999999999996</v>
      </c>
      <c r="F50" s="64">
        <v>2.8</v>
      </c>
      <c r="G50" s="64">
        <v>98.68</v>
      </c>
      <c r="H50" s="64">
        <v>68.92</v>
      </c>
      <c r="I50" s="64">
        <v>1.47</v>
      </c>
      <c r="J50" s="64">
        <v>0.27</v>
      </c>
      <c r="K50" s="64">
        <v>4.58</v>
      </c>
      <c r="L50" s="64">
        <v>26.36</v>
      </c>
      <c r="M50" s="64">
        <v>56.69</v>
      </c>
      <c r="N50" s="64">
        <v>607.9</v>
      </c>
      <c r="O50" s="64">
        <v>0</v>
      </c>
      <c r="P50" s="64">
        <v>0.98</v>
      </c>
      <c r="Q50" s="64">
        <v>5.05</v>
      </c>
      <c r="R50" s="198"/>
      <c r="S50" s="198"/>
      <c r="T50" s="198"/>
      <c r="U50" s="198"/>
    </row>
    <row r="51" spans="1:21" s="12" customFormat="1" x14ac:dyDescent="0.25">
      <c r="A51" s="215" t="s">
        <v>1443</v>
      </c>
      <c r="B51" s="64">
        <v>7.26</v>
      </c>
      <c r="C51" s="64">
        <v>32.42</v>
      </c>
      <c r="D51" s="64">
        <v>39.68</v>
      </c>
      <c r="E51" s="64">
        <v>0.61</v>
      </c>
      <c r="F51" s="64">
        <v>2.12</v>
      </c>
      <c r="G51" s="64">
        <v>98.68</v>
      </c>
      <c r="H51" s="64">
        <v>68.92</v>
      </c>
      <c r="I51" s="64">
        <v>1.52</v>
      </c>
      <c r="J51" s="64">
        <v>0.21</v>
      </c>
      <c r="K51" s="64">
        <v>340.76</v>
      </c>
      <c r="L51" s="64">
        <v>27.63</v>
      </c>
      <c r="M51" s="64">
        <v>53.52</v>
      </c>
      <c r="N51" s="64">
        <v>620.70000000000005</v>
      </c>
      <c r="O51" s="64">
        <v>0</v>
      </c>
      <c r="P51" s="64">
        <v>0.97</v>
      </c>
      <c r="Q51" s="64">
        <v>4.93</v>
      </c>
      <c r="R51" s="198"/>
      <c r="S51" s="198"/>
      <c r="T51" s="198"/>
      <c r="U51" s="198"/>
    </row>
    <row r="52" spans="1:21" s="12" customFormat="1" x14ac:dyDescent="0.25">
      <c r="A52" s="215" t="s">
        <v>1444</v>
      </c>
      <c r="B52" s="64">
        <v>6.13</v>
      </c>
      <c r="C52" s="64">
        <v>33.020000000000003</v>
      </c>
      <c r="D52" s="64">
        <v>39.14</v>
      </c>
      <c r="E52" s="64">
        <v>0.67</v>
      </c>
      <c r="F52" s="64">
        <v>4.67</v>
      </c>
      <c r="G52" s="64">
        <v>98.68</v>
      </c>
      <c r="H52" s="64">
        <v>68.92</v>
      </c>
      <c r="I52" s="64">
        <v>1.5</v>
      </c>
      <c r="J52" s="64">
        <v>0.16</v>
      </c>
      <c r="K52" s="64">
        <v>112.84</v>
      </c>
      <c r="L52" s="64">
        <v>27.73</v>
      </c>
      <c r="M52" s="64">
        <v>53.19</v>
      </c>
      <c r="N52" s="64">
        <v>654.5</v>
      </c>
      <c r="O52" s="64">
        <v>0</v>
      </c>
      <c r="P52" s="64">
        <v>0.95</v>
      </c>
      <c r="Q52" s="64">
        <v>4.91</v>
      </c>
      <c r="R52" s="198"/>
      <c r="S52" s="198"/>
      <c r="T52" s="198"/>
      <c r="U52" s="198"/>
    </row>
    <row r="53" spans="1:21" s="12" customFormat="1" x14ac:dyDescent="0.25">
      <c r="A53" s="215" t="s">
        <v>1445</v>
      </c>
      <c r="B53" s="64">
        <v>5.57</v>
      </c>
      <c r="C53" s="64">
        <v>32.770000000000003</v>
      </c>
      <c r="D53" s="64">
        <v>38.340000000000003</v>
      </c>
      <c r="E53" s="64">
        <v>0.72</v>
      </c>
      <c r="F53" s="64">
        <v>3.27</v>
      </c>
      <c r="G53" s="64">
        <v>101.2</v>
      </c>
      <c r="H53" s="64">
        <v>63.72</v>
      </c>
      <c r="I53" s="64">
        <v>1.45</v>
      </c>
      <c r="J53" s="64">
        <v>0.42</v>
      </c>
      <c r="K53" s="64">
        <v>24.18</v>
      </c>
      <c r="L53" s="64">
        <v>28.37</v>
      </c>
      <c r="M53" s="64">
        <v>50.2</v>
      </c>
      <c r="N53" s="64">
        <v>655.7</v>
      </c>
      <c r="O53" s="64">
        <v>0</v>
      </c>
      <c r="P53" s="64">
        <v>0.95</v>
      </c>
      <c r="Q53" s="64">
        <v>5.05</v>
      </c>
      <c r="R53" s="198"/>
      <c r="S53" s="198"/>
      <c r="T53" s="198"/>
      <c r="U53" s="198"/>
    </row>
    <row r="54" spans="1:21" s="12" customFormat="1" x14ac:dyDescent="0.25">
      <c r="A54" s="215" t="s">
        <v>1446</v>
      </c>
      <c r="B54" s="64">
        <v>5.18</v>
      </c>
      <c r="C54" s="64">
        <v>32.69</v>
      </c>
      <c r="D54" s="64">
        <v>37.880000000000003</v>
      </c>
      <c r="E54" s="64">
        <v>0.71</v>
      </c>
      <c r="F54" s="64">
        <v>4.3600000000000003</v>
      </c>
      <c r="G54" s="64">
        <v>106.49</v>
      </c>
      <c r="H54" s="64">
        <v>56.49</v>
      </c>
      <c r="I54" s="64">
        <v>1.45</v>
      </c>
      <c r="J54" s="64">
        <v>0.74</v>
      </c>
      <c r="K54" s="64">
        <v>108.63</v>
      </c>
      <c r="L54" s="64">
        <v>26.62</v>
      </c>
      <c r="M54" s="64">
        <v>52.33</v>
      </c>
      <c r="N54" s="64">
        <v>652.70000000000005</v>
      </c>
      <c r="O54" s="64">
        <v>0</v>
      </c>
      <c r="P54" s="64">
        <v>0.93</v>
      </c>
      <c r="Q54" s="64">
        <v>5.15</v>
      </c>
      <c r="R54" s="198"/>
      <c r="S54" s="198"/>
      <c r="T54" s="198"/>
      <c r="U54" s="198"/>
    </row>
    <row r="55" spans="1:21" s="12" customFormat="1" x14ac:dyDescent="0.25">
      <c r="A55" s="215" t="s">
        <v>1447</v>
      </c>
      <c r="B55" s="64">
        <v>4.29</v>
      </c>
      <c r="C55" s="64">
        <v>30.38</v>
      </c>
      <c r="D55" s="64">
        <v>34.67</v>
      </c>
      <c r="E55" s="64">
        <v>0.74</v>
      </c>
      <c r="F55" s="64">
        <v>3.4</v>
      </c>
      <c r="G55" s="64">
        <v>106.49</v>
      </c>
      <c r="H55" s="64">
        <v>56.49</v>
      </c>
      <c r="I55" s="64">
        <v>1.46</v>
      </c>
      <c r="J55" s="64">
        <v>0.26</v>
      </c>
      <c r="K55" s="64">
        <v>130.59</v>
      </c>
      <c r="L55" s="64">
        <v>27.59</v>
      </c>
      <c r="M55" s="64">
        <v>48.92</v>
      </c>
      <c r="N55" s="64">
        <v>646.6</v>
      </c>
      <c r="O55" s="64">
        <v>0</v>
      </c>
      <c r="P55" s="64">
        <v>0.9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1448</v>
      </c>
      <c r="B56" s="64">
        <v>3.99</v>
      </c>
      <c r="C56" s="64">
        <v>30.01</v>
      </c>
      <c r="D56" s="64">
        <v>34</v>
      </c>
      <c r="E56" s="64">
        <v>0.35</v>
      </c>
      <c r="F56" s="64">
        <v>1.28</v>
      </c>
      <c r="G56" s="64">
        <v>106.49</v>
      </c>
      <c r="H56" s="64">
        <v>56.49</v>
      </c>
      <c r="I56" s="64">
        <v>1.58</v>
      </c>
      <c r="J56" s="64">
        <v>0.7</v>
      </c>
      <c r="K56" s="64">
        <v>118.3</v>
      </c>
      <c r="L56" s="64">
        <v>27.33</v>
      </c>
      <c r="M56" s="64">
        <v>49</v>
      </c>
      <c r="N56" s="64">
        <v>650.70000000000005</v>
      </c>
      <c r="O56" s="64">
        <v>0</v>
      </c>
      <c r="P56" s="64">
        <v>0.89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1449</v>
      </c>
      <c r="B57" s="64">
        <v>3.03</v>
      </c>
      <c r="C57" s="64">
        <v>24.52</v>
      </c>
      <c r="D57" s="64">
        <v>27.55</v>
      </c>
      <c r="E57" s="64">
        <v>0.62</v>
      </c>
      <c r="F57" s="64">
        <v>5.59</v>
      </c>
      <c r="G57" s="64">
        <v>92.58</v>
      </c>
      <c r="H57" s="64">
        <v>49.26</v>
      </c>
      <c r="I57" s="64">
        <v>1.47</v>
      </c>
      <c r="J57" s="64">
        <v>0.27</v>
      </c>
      <c r="K57" s="64">
        <v>14.97</v>
      </c>
      <c r="L57" s="64">
        <v>28.19</v>
      </c>
      <c r="M57" s="64">
        <v>48.09</v>
      </c>
      <c r="N57" s="64">
        <v>647.70000000000005</v>
      </c>
      <c r="O57" s="64">
        <v>0</v>
      </c>
      <c r="P57" s="64">
        <v>0.85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1450</v>
      </c>
      <c r="B58" s="64">
        <v>2.3199999999999998</v>
      </c>
      <c r="C58" s="64">
        <v>21.92</v>
      </c>
      <c r="D58" s="64">
        <v>24.24</v>
      </c>
      <c r="E58" s="64">
        <v>0.62</v>
      </c>
      <c r="F58" s="64">
        <v>6</v>
      </c>
      <c r="G58" s="64">
        <v>63.33</v>
      </c>
      <c r="H58" s="64">
        <v>39.19</v>
      </c>
      <c r="I58" s="64">
        <v>1.52</v>
      </c>
      <c r="J58" s="64">
        <v>0.63</v>
      </c>
      <c r="K58" s="64">
        <v>336.82</v>
      </c>
      <c r="L58" s="64">
        <v>31.18</v>
      </c>
      <c r="M58" s="64">
        <v>40.57</v>
      </c>
      <c r="N58" s="64">
        <v>604.79999999999995</v>
      </c>
      <c r="O58" s="64">
        <v>0</v>
      </c>
      <c r="P58" s="64">
        <v>0.83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1451</v>
      </c>
      <c r="B59" s="64">
        <v>2</v>
      </c>
      <c r="C59" s="64">
        <v>24.78</v>
      </c>
      <c r="D59" s="64">
        <v>26.78</v>
      </c>
      <c r="E59" s="64">
        <v>0.56999999999999995</v>
      </c>
      <c r="F59" s="64">
        <v>3.49</v>
      </c>
      <c r="G59" s="64">
        <v>63.33</v>
      </c>
      <c r="H59" s="64">
        <v>39.19</v>
      </c>
      <c r="I59" s="64">
        <v>1.49</v>
      </c>
      <c r="J59" s="64">
        <v>0.57999999999999996</v>
      </c>
      <c r="K59" s="64">
        <v>335.53</v>
      </c>
      <c r="L59" s="64">
        <v>31.38</v>
      </c>
      <c r="M59" s="64">
        <v>37.81</v>
      </c>
      <c r="N59" s="64">
        <v>600</v>
      </c>
      <c r="O59" s="64">
        <v>0</v>
      </c>
      <c r="P59" s="64">
        <v>0.84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1452</v>
      </c>
      <c r="B60" s="64">
        <v>2</v>
      </c>
      <c r="C60" s="64">
        <v>28.2</v>
      </c>
      <c r="D60" s="64">
        <v>30.2</v>
      </c>
      <c r="E60" s="64">
        <v>0.54</v>
      </c>
      <c r="F60" s="64">
        <v>11.68</v>
      </c>
      <c r="G60" s="64">
        <v>63.33</v>
      </c>
      <c r="H60" s="64">
        <v>39.19</v>
      </c>
      <c r="I60" s="64">
        <v>1.56</v>
      </c>
      <c r="J60" s="64">
        <v>0.28999999999999998</v>
      </c>
      <c r="K60" s="64">
        <v>1.88</v>
      </c>
      <c r="L60" s="64">
        <v>30.42</v>
      </c>
      <c r="M60" s="64">
        <v>39.15</v>
      </c>
      <c r="N60" s="64">
        <v>590.79999999999995</v>
      </c>
      <c r="O60" s="64">
        <v>0</v>
      </c>
      <c r="P60" s="64">
        <v>0.8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1453</v>
      </c>
      <c r="B61" s="64">
        <v>2</v>
      </c>
      <c r="C61" s="64">
        <v>21.12</v>
      </c>
      <c r="D61" s="64">
        <v>23.12</v>
      </c>
      <c r="E61" s="64">
        <v>0.76</v>
      </c>
      <c r="F61" s="64">
        <v>22.33</v>
      </c>
      <c r="G61" s="64">
        <v>63.19</v>
      </c>
      <c r="H61" s="64">
        <v>38.450000000000003</v>
      </c>
      <c r="I61" s="64">
        <v>1.49</v>
      </c>
      <c r="J61" s="64">
        <v>0.17</v>
      </c>
      <c r="K61" s="64">
        <v>3.16</v>
      </c>
      <c r="L61" s="64">
        <v>30.74</v>
      </c>
      <c r="M61" s="64">
        <v>35.979999999999997</v>
      </c>
      <c r="N61" s="64">
        <v>547.6</v>
      </c>
      <c r="O61" s="64">
        <v>0</v>
      </c>
      <c r="P61" s="64">
        <v>0.69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1454</v>
      </c>
      <c r="B62" s="64">
        <v>2</v>
      </c>
      <c r="C62" s="64">
        <v>23.5</v>
      </c>
      <c r="D62" s="64">
        <v>25.5</v>
      </c>
      <c r="E62" s="64">
        <v>0.73</v>
      </c>
      <c r="F62" s="64">
        <v>6.49</v>
      </c>
      <c r="G62" s="64">
        <v>62.91</v>
      </c>
      <c r="H62" s="64">
        <v>35.56</v>
      </c>
      <c r="I62" s="64">
        <v>1.52</v>
      </c>
      <c r="J62" s="64">
        <v>0.13</v>
      </c>
      <c r="K62" s="64">
        <v>26.23</v>
      </c>
      <c r="L62" s="64">
        <v>30.46</v>
      </c>
      <c r="M62" s="64">
        <v>32.909999999999997</v>
      </c>
      <c r="N62" s="64">
        <v>488.7</v>
      </c>
      <c r="O62" s="64">
        <v>0</v>
      </c>
      <c r="P62" s="64">
        <v>0.78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5" t="s">
        <v>1455</v>
      </c>
      <c r="B63" s="64">
        <v>2</v>
      </c>
      <c r="C63" s="64">
        <v>28.93</v>
      </c>
      <c r="D63" s="64">
        <v>30.93</v>
      </c>
      <c r="E63" s="64">
        <v>0.61</v>
      </c>
      <c r="F63" s="64">
        <v>6.11</v>
      </c>
      <c r="G63" s="64">
        <v>62.91</v>
      </c>
      <c r="H63" s="64">
        <v>35.56</v>
      </c>
      <c r="I63" s="64">
        <v>1.47</v>
      </c>
      <c r="J63" s="64">
        <v>0.9</v>
      </c>
      <c r="K63" s="64">
        <v>340.28</v>
      </c>
      <c r="L63" s="64">
        <v>29.96</v>
      </c>
      <c r="M63" s="64">
        <v>33.64</v>
      </c>
      <c r="N63" s="64">
        <v>386.4</v>
      </c>
      <c r="O63" s="64">
        <v>0</v>
      </c>
      <c r="P63" s="64">
        <v>0.77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1456</v>
      </c>
      <c r="B64" s="64">
        <v>2</v>
      </c>
      <c r="C64" s="64">
        <v>27.41</v>
      </c>
      <c r="D64" s="64">
        <v>29.41</v>
      </c>
      <c r="E64" s="64">
        <v>0.9</v>
      </c>
      <c r="F64" s="64">
        <v>22.98</v>
      </c>
      <c r="G64" s="64">
        <v>62.91</v>
      </c>
      <c r="H64" s="64">
        <v>35.56</v>
      </c>
      <c r="I64" s="64">
        <v>1.5</v>
      </c>
      <c r="J64" s="64">
        <v>0.18</v>
      </c>
      <c r="K64" s="64">
        <v>26.68</v>
      </c>
      <c r="L64" s="64">
        <v>29.62</v>
      </c>
      <c r="M64" s="64">
        <v>29.96</v>
      </c>
      <c r="N64" s="64">
        <v>227.6</v>
      </c>
      <c r="O64" s="64">
        <v>0</v>
      </c>
      <c r="P64" s="64">
        <v>0.68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1457</v>
      </c>
      <c r="B65" s="64">
        <v>2</v>
      </c>
      <c r="C65" s="64">
        <v>26.37</v>
      </c>
      <c r="D65" s="64">
        <v>28.37</v>
      </c>
      <c r="E65" s="64">
        <v>1.03</v>
      </c>
      <c r="F65" s="64">
        <v>18.39</v>
      </c>
      <c r="G65" s="64">
        <v>59.35</v>
      </c>
      <c r="H65" s="64">
        <v>31.16</v>
      </c>
      <c r="I65" s="64">
        <v>1.44</v>
      </c>
      <c r="J65" s="64">
        <v>0.43</v>
      </c>
      <c r="K65" s="64">
        <v>338.36</v>
      </c>
      <c r="L65" s="64">
        <v>28.8</v>
      </c>
      <c r="M65" s="64">
        <v>32.57</v>
      </c>
      <c r="N65" s="64">
        <v>225.7</v>
      </c>
      <c r="O65" s="64">
        <v>0</v>
      </c>
      <c r="P65" s="64">
        <v>0.75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1458</v>
      </c>
      <c r="B66" s="64">
        <v>2.99</v>
      </c>
      <c r="C66" s="64">
        <v>29.86</v>
      </c>
      <c r="D66" s="64">
        <v>32.840000000000003</v>
      </c>
      <c r="E66" s="64">
        <v>1.1100000000000001</v>
      </c>
      <c r="F66" s="64">
        <v>12.76</v>
      </c>
      <c r="G66" s="64">
        <v>51.84</v>
      </c>
      <c r="H66" s="64">
        <v>25.03</v>
      </c>
      <c r="I66" s="64">
        <v>1.44</v>
      </c>
      <c r="J66" s="64">
        <v>0.46</v>
      </c>
      <c r="K66" s="64">
        <v>328.75</v>
      </c>
      <c r="L66" s="64">
        <v>29.39</v>
      </c>
      <c r="M66" s="64">
        <v>33.07</v>
      </c>
      <c r="N66" s="64">
        <v>228.1</v>
      </c>
      <c r="O66" s="64">
        <v>0</v>
      </c>
      <c r="P66" s="64">
        <v>0.75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1459</v>
      </c>
      <c r="B67" s="64">
        <v>2.0699999999999998</v>
      </c>
      <c r="C67" s="64">
        <v>28.74</v>
      </c>
      <c r="D67" s="64">
        <v>30.81</v>
      </c>
      <c r="E67" s="64">
        <v>1.06</v>
      </c>
      <c r="F67" s="64">
        <v>14.35</v>
      </c>
      <c r="G67" s="64">
        <v>51.84</v>
      </c>
      <c r="H67" s="64">
        <v>25.03</v>
      </c>
      <c r="I67" s="64">
        <v>1.53</v>
      </c>
      <c r="J67" s="64">
        <v>0.42</v>
      </c>
      <c r="K67" s="64">
        <v>334.1</v>
      </c>
      <c r="L67" s="64">
        <v>29.44</v>
      </c>
      <c r="M67" s="64">
        <v>33.01</v>
      </c>
      <c r="N67" s="64">
        <v>197.8</v>
      </c>
      <c r="O67" s="64">
        <v>0</v>
      </c>
      <c r="P67" s="64">
        <v>0.76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1460</v>
      </c>
      <c r="B68" s="64">
        <v>2</v>
      </c>
      <c r="C68" s="64">
        <v>27.09</v>
      </c>
      <c r="D68" s="64">
        <v>29.09</v>
      </c>
      <c r="E68" s="64">
        <v>1.1399999999999999</v>
      </c>
      <c r="F68" s="64">
        <v>17.86</v>
      </c>
      <c r="G68" s="64">
        <v>51.84</v>
      </c>
      <c r="H68" s="64">
        <v>25.03</v>
      </c>
      <c r="I68" s="64">
        <v>1.49</v>
      </c>
      <c r="J68" s="64">
        <v>0.67</v>
      </c>
      <c r="K68" s="64">
        <v>337.42</v>
      </c>
      <c r="L68" s="64">
        <v>28.8</v>
      </c>
      <c r="M68" s="64">
        <v>35.159999999999997</v>
      </c>
      <c r="N68" s="64">
        <v>172.2</v>
      </c>
      <c r="O68" s="64">
        <v>0</v>
      </c>
      <c r="P68" s="64">
        <v>0.7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1461</v>
      </c>
      <c r="B69" s="64">
        <v>2.12</v>
      </c>
      <c r="C69" s="64">
        <v>29.5</v>
      </c>
      <c r="D69" s="64">
        <v>31.62</v>
      </c>
      <c r="E69" s="64">
        <v>1.71</v>
      </c>
      <c r="F69" s="64">
        <v>28.94</v>
      </c>
      <c r="G69" s="64">
        <v>56.2</v>
      </c>
      <c r="H69" s="64">
        <v>25.53</v>
      </c>
      <c r="I69" s="64">
        <v>1.46</v>
      </c>
      <c r="J69" s="64">
        <v>0.56999999999999995</v>
      </c>
      <c r="K69" s="64">
        <v>342.49</v>
      </c>
      <c r="L69" s="64">
        <v>28.21</v>
      </c>
      <c r="M69" s="64">
        <v>38.39</v>
      </c>
      <c r="N69" s="64">
        <v>159.80000000000001</v>
      </c>
      <c r="O69" s="64">
        <v>0</v>
      </c>
      <c r="P69" s="64">
        <v>0.74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1462</v>
      </c>
      <c r="B70" s="64">
        <v>2</v>
      </c>
      <c r="C70" s="64">
        <v>31.17</v>
      </c>
      <c r="D70" s="64">
        <v>33.17</v>
      </c>
      <c r="E70" s="64">
        <v>1.83</v>
      </c>
      <c r="F70" s="64">
        <v>14.34</v>
      </c>
      <c r="G70" s="64">
        <v>65.36</v>
      </c>
      <c r="H70" s="64">
        <v>26.24</v>
      </c>
      <c r="I70" s="64">
        <v>1.55</v>
      </c>
      <c r="J70" s="64">
        <v>0.59</v>
      </c>
      <c r="K70" s="64">
        <v>340.03</v>
      </c>
      <c r="L70" s="64">
        <v>27.85</v>
      </c>
      <c r="M70" s="64">
        <v>38.67</v>
      </c>
      <c r="N70" s="64">
        <v>140.69999999999999</v>
      </c>
      <c r="O70" s="64">
        <v>0</v>
      </c>
      <c r="P70" s="64">
        <v>0.76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1463</v>
      </c>
      <c r="B71" s="64">
        <v>2.4700000000000002</v>
      </c>
      <c r="C71" s="64">
        <v>36.08</v>
      </c>
      <c r="D71" s="64">
        <v>38.549999999999997</v>
      </c>
      <c r="E71" s="64">
        <v>2.0299999999999998</v>
      </c>
      <c r="F71" s="64">
        <v>26.63</v>
      </c>
      <c r="G71" s="64">
        <v>65.36</v>
      </c>
      <c r="H71" s="64">
        <v>26.24</v>
      </c>
      <c r="I71" s="64">
        <v>1.48</v>
      </c>
      <c r="J71" s="64">
        <v>0.44</v>
      </c>
      <c r="K71" s="64">
        <v>332.96</v>
      </c>
      <c r="L71" s="64">
        <v>27.58</v>
      </c>
      <c r="M71" s="64">
        <v>39</v>
      </c>
      <c r="N71" s="64">
        <v>125.4</v>
      </c>
      <c r="O71" s="64">
        <v>0</v>
      </c>
      <c r="P71" s="64">
        <v>0.74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1464</v>
      </c>
      <c r="B72" s="64">
        <v>2.19</v>
      </c>
      <c r="C72" s="64">
        <v>33.36</v>
      </c>
      <c r="D72" s="64">
        <v>35.549999999999997</v>
      </c>
      <c r="E72" s="64">
        <v>1.04</v>
      </c>
      <c r="F72" s="64">
        <v>12.84</v>
      </c>
      <c r="G72" s="64">
        <v>65.36</v>
      </c>
      <c r="H72" s="64">
        <v>26.24</v>
      </c>
      <c r="I72" s="64">
        <v>1.44</v>
      </c>
      <c r="J72" s="64">
        <v>0.56999999999999995</v>
      </c>
      <c r="K72" s="64">
        <v>341.11</v>
      </c>
      <c r="L72" s="64">
        <v>27.31</v>
      </c>
      <c r="M72" s="64">
        <v>39.96</v>
      </c>
      <c r="N72" s="64">
        <v>99.2</v>
      </c>
      <c r="O72" s="64">
        <v>0</v>
      </c>
      <c r="P72" s="64">
        <v>0.78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1465</v>
      </c>
      <c r="B73" s="64">
        <v>2</v>
      </c>
      <c r="C73" s="64">
        <v>37.43</v>
      </c>
      <c r="D73" s="64">
        <v>39.43</v>
      </c>
      <c r="E73" s="64">
        <v>2.92</v>
      </c>
      <c r="F73" s="64">
        <v>28.71</v>
      </c>
      <c r="G73" s="64">
        <v>70.349999999999994</v>
      </c>
      <c r="H73" s="64">
        <v>30.81</v>
      </c>
      <c r="I73" s="64">
        <v>1.5</v>
      </c>
      <c r="J73" s="64">
        <v>0.47</v>
      </c>
      <c r="K73" s="64">
        <v>342.8</v>
      </c>
      <c r="L73" s="64">
        <v>26.86</v>
      </c>
      <c r="M73" s="64">
        <v>40.35</v>
      </c>
      <c r="N73" s="64">
        <v>78.8</v>
      </c>
      <c r="O73" s="64">
        <v>0</v>
      </c>
      <c r="P73" s="64">
        <v>0.82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1466</v>
      </c>
      <c r="B74" s="64">
        <v>2.12</v>
      </c>
      <c r="C74" s="64">
        <v>41.02</v>
      </c>
      <c r="D74" s="64">
        <v>43.15</v>
      </c>
      <c r="E74" s="64">
        <v>2.39</v>
      </c>
      <c r="F74" s="64">
        <v>17.47</v>
      </c>
      <c r="G74" s="64">
        <v>80.86</v>
      </c>
      <c r="H74" s="64">
        <v>37.19</v>
      </c>
      <c r="I74" s="64">
        <v>1.49</v>
      </c>
      <c r="J74" s="64">
        <v>0.39</v>
      </c>
      <c r="K74" s="64">
        <v>339.13</v>
      </c>
      <c r="L74" s="64">
        <v>26.32</v>
      </c>
      <c r="M74" s="64">
        <v>41.8</v>
      </c>
      <c r="N74" s="64">
        <v>64.099999999999994</v>
      </c>
      <c r="O74" s="64">
        <v>0</v>
      </c>
      <c r="P74" s="64">
        <v>0.83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1467</v>
      </c>
      <c r="B75" s="64">
        <v>2.99</v>
      </c>
      <c r="C75" s="64">
        <v>44.56</v>
      </c>
      <c r="D75" s="64">
        <v>47.56</v>
      </c>
      <c r="E75" s="64">
        <v>3.79</v>
      </c>
      <c r="F75" s="64">
        <v>26.79</v>
      </c>
      <c r="G75" s="64">
        <v>80.86</v>
      </c>
      <c r="H75" s="64">
        <v>37.19</v>
      </c>
      <c r="I75" s="64">
        <v>1.45</v>
      </c>
      <c r="J75" s="64">
        <v>0.36</v>
      </c>
      <c r="K75" s="64">
        <v>342.4</v>
      </c>
      <c r="L75" s="64">
        <v>25.75</v>
      </c>
      <c r="M75" s="64">
        <v>43.59</v>
      </c>
      <c r="N75" s="64">
        <v>55.5</v>
      </c>
      <c r="O75" s="64">
        <v>0</v>
      </c>
      <c r="P75" s="64">
        <v>0.98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1468</v>
      </c>
      <c r="B76" s="64">
        <v>3.64</v>
      </c>
      <c r="C76" s="64">
        <v>47.68</v>
      </c>
      <c r="D76" s="64">
        <v>51.31</v>
      </c>
      <c r="E76" s="64">
        <v>4.41</v>
      </c>
      <c r="F76" s="64">
        <v>20.73</v>
      </c>
      <c r="G76" s="64">
        <v>80.86</v>
      </c>
      <c r="H76" s="64">
        <v>37.19</v>
      </c>
      <c r="I76" s="64">
        <v>1.52</v>
      </c>
      <c r="J76" s="64">
        <v>0.31</v>
      </c>
      <c r="K76" s="64">
        <v>339.01</v>
      </c>
      <c r="L76" s="64">
        <v>25.28</v>
      </c>
      <c r="M76" s="64">
        <v>47.64</v>
      </c>
      <c r="N76" s="64">
        <v>44.9</v>
      </c>
      <c r="O76" s="64">
        <v>0</v>
      </c>
      <c r="P76" s="64">
        <v>0.95</v>
      </c>
      <c r="Q76" s="64">
        <v>5.16</v>
      </c>
      <c r="R76" s="198"/>
      <c r="S76" s="198"/>
      <c r="T76" s="198"/>
      <c r="U76" s="198"/>
    </row>
    <row r="77" spans="1:21" s="12" customFormat="1" x14ac:dyDescent="0.25">
      <c r="A77" s="215" t="s">
        <v>1469</v>
      </c>
      <c r="B77" s="64">
        <v>2.64</v>
      </c>
      <c r="C77" s="64">
        <v>45.27</v>
      </c>
      <c r="D77" s="64">
        <v>47.91</v>
      </c>
      <c r="E77" s="64">
        <v>3.77</v>
      </c>
      <c r="F77" s="64">
        <v>20.57</v>
      </c>
      <c r="G77" s="64">
        <v>81.349999999999994</v>
      </c>
      <c r="H77" s="64">
        <v>37.01</v>
      </c>
      <c r="I77" s="64">
        <v>1.48</v>
      </c>
      <c r="J77" s="64">
        <v>0.22</v>
      </c>
      <c r="K77" s="64">
        <v>315.77</v>
      </c>
      <c r="L77" s="64">
        <v>24.15</v>
      </c>
      <c r="M77" s="64">
        <v>56.7</v>
      </c>
      <c r="N77" s="64">
        <v>35.200000000000003</v>
      </c>
      <c r="O77" s="64">
        <v>0</v>
      </c>
      <c r="P77" s="64">
        <v>1.03</v>
      </c>
      <c r="Q77" s="64">
        <v>5.12</v>
      </c>
      <c r="R77" s="198"/>
      <c r="S77" s="198"/>
      <c r="T77" s="198"/>
      <c r="U77" s="198"/>
    </row>
    <row r="78" spans="1:21" s="12" customFormat="1" x14ac:dyDescent="0.25">
      <c r="A78" s="215" t="s">
        <v>1470</v>
      </c>
      <c r="B78" s="64">
        <v>2.3199999999999998</v>
      </c>
      <c r="C78" s="64">
        <v>44.36</v>
      </c>
      <c r="D78" s="64">
        <v>46.68</v>
      </c>
      <c r="E78" s="64">
        <v>3.71</v>
      </c>
      <c r="F78" s="64">
        <v>21.86</v>
      </c>
      <c r="G78" s="64">
        <v>82.4</v>
      </c>
      <c r="H78" s="64">
        <v>36.31</v>
      </c>
      <c r="I78" s="64">
        <v>1.48</v>
      </c>
      <c r="J78" s="64">
        <v>0.05</v>
      </c>
      <c r="K78" s="64">
        <v>349.29</v>
      </c>
      <c r="L78" s="64">
        <v>23.61</v>
      </c>
      <c r="M78" s="64">
        <v>59.1</v>
      </c>
      <c r="N78" s="64">
        <v>32.6</v>
      </c>
      <c r="O78" s="64">
        <v>0</v>
      </c>
      <c r="P78" s="64">
        <v>1.18</v>
      </c>
      <c r="Q78" s="64">
        <v>5.09</v>
      </c>
      <c r="R78" s="198"/>
      <c r="S78" s="198"/>
      <c r="T78" s="198"/>
      <c r="U78" s="198"/>
    </row>
    <row r="79" spans="1:21" s="12" customFormat="1" x14ac:dyDescent="0.25">
      <c r="A79" s="215" t="s">
        <v>1471</v>
      </c>
      <c r="B79" s="64">
        <v>14.81</v>
      </c>
      <c r="C79" s="64">
        <v>63.12</v>
      </c>
      <c r="D79" s="64">
        <v>77.930000000000007</v>
      </c>
      <c r="E79" s="64">
        <v>3.48</v>
      </c>
      <c r="F79" s="64">
        <v>11.83</v>
      </c>
      <c r="G79" s="64">
        <v>82.4</v>
      </c>
      <c r="H79" s="64">
        <v>36.31</v>
      </c>
      <c r="I79" s="64">
        <v>1.45</v>
      </c>
      <c r="J79" s="64">
        <v>0.02</v>
      </c>
      <c r="K79" s="64">
        <v>278.33999999999997</v>
      </c>
      <c r="L79" s="64">
        <v>23.25</v>
      </c>
      <c r="M79" s="64">
        <v>60.46</v>
      </c>
      <c r="N79" s="64">
        <v>32</v>
      </c>
      <c r="O79" s="64">
        <v>0</v>
      </c>
      <c r="P79" s="64">
        <v>1.37</v>
      </c>
      <c r="Q79" s="64">
        <v>3.07</v>
      </c>
      <c r="R79" s="198"/>
      <c r="S79" s="198"/>
      <c r="T79" s="198"/>
      <c r="U79" s="198"/>
    </row>
    <row r="80" spans="1:21" s="12" customFormat="1" x14ac:dyDescent="0.25">
      <c r="A80" s="215" t="s">
        <v>1472</v>
      </c>
      <c r="B80" s="64">
        <v>6</v>
      </c>
      <c r="C80" s="64">
        <v>72.23</v>
      </c>
      <c r="D80" s="64">
        <v>78.23</v>
      </c>
      <c r="E80" s="64">
        <v>3.47</v>
      </c>
      <c r="F80" s="64">
        <v>13.17</v>
      </c>
      <c r="G80" s="64">
        <v>82.4</v>
      </c>
      <c r="H80" s="64">
        <v>36.31</v>
      </c>
      <c r="I80" s="64">
        <v>1.45</v>
      </c>
      <c r="J80" s="64">
        <v>0.08</v>
      </c>
      <c r="K80" s="64">
        <v>94.37</v>
      </c>
      <c r="L80" s="64">
        <v>23.03</v>
      </c>
      <c r="M80" s="64">
        <v>56.61</v>
      </c>
      <c r="N80" s="64">
        <v>31.6</v>
      </c>
      <c r="O80" s="64">
        <v>0</v>
      </c>
      <c r="P80" s="64">
        <v>1.61</v>
      </c>
      <c r="Q80" s="64">
        <v>1.83</v>
      </c>
      <c r="R80" s="198"/>
      <c r="S80" s="198"/>
      <c r="T80" s="198"/>
      <c r="U80" s="198"/>
    </row>
    <row r="81" spans="1:26" s="12" customFormat="1" x14ac:dyDescent="0.25">
      <c r="A81" s="215" t="s">
        <v>1473</v>
      </c>
      <c r="B81" s="64">
        <v>4.83</v>
      </c>
      <c r="C81" s="64">
        <v>59.04</v>
      </c>
      <c r="D81" s="64">
        <v>63.87</v>
      </c>
      <c r="E81" s="64">
        <v>2.73</v>
      </c>
      <c r="F81" s="64">
        <v>6.57</v>
      </c>
      <c r="G81" s="64">
        <v>87.85</v>
      </c>
      <c r="H81" s="64">
        <v>36.15</v>
      </c>
      <c r="I81" s="64">
        <v>1.51</v>
      </c>
      <c r="J81" s="64">
        <v>0.14000000000000001</v>
      </c>
      <c r="K81" s="64">
        <v>86.36</v>
      </c>
      <c r="L81" s="64">
        <v>23.13</v>
      </c>
      <c r="M81" s="64">
        <v>57.58</v>
      </c>
      <c r="N81" s="64">
        <v>31.5</v>
      </c>
      <c r="O81" s="64">
        <v>0</v>
      </c>
      <c r="P81" s="64">
        <v>1.49</v>
      </c>
      <c r="Q81" s="64">
        <v>3.7</v>
      </c>
      <c r="R81" s="198"/>
      <c r="S81" s="198"/>
      <c r="T81" s="198"/>
      <c r="U81" s="198"/>
    </row>
    <row r="82" spans="1:26" s="12" customFormat="1" x14ac:dyDescent="0.25">
      <c r="A82" s="215" t="s">
        <v>1474</v>
      </c>
      <c r="B82" s="64">
        <v>5.81</v>
      </c>
      <c r="C82" s="64">
        <v>69.84</v>
      </c>
      <c r="D82" s="64">
        <v>75.650000000000006</v>
      </c>
      <c r="E82" s="64">
        <v>2.85</v>
      </c>
      <c r="F82" s="64">
        <v>11.36</v>
      </c>
      <c r="G82" s="64">
        <v>99.31</v>
      </c>
      <c r="H82" s="64">
        <v>35.93</v>
      </c>
      <c r="I82" s="64">
        <v>1.55</v>
      </c>
      <c r="J82" s="64">
        <v>0.12</v>
      </c>
      <c r="K82" s="64">
        <v>80.92</v>
      </c>
      <c r="L82" s="64">
        <v>23.16</v>
      </c>
      <c r="M82" s="64">
        <v>56.83</v>
      </c>
      <c r="N82" s="64">
        <v>31.5</v>
      </c>
      <c r="O82" s="64">
        <v>0</v>
      </c>
      <c r="P82" s="64">
        <v>1.81</v>
      </c>
      <c r="Q82" s="64">
        <v>3.49</v>
      </c>
      <c r="R82" s="198"/>
      <c r="S82" s="198"/>
      <c r="T82" s="198"/>
      <c r="U82" s="198"/>
    </row>
    <row r="83" spans="1:26" s="12" customFormat="1" x14ac:dyDescent="0.25">
      <c r="A83" s="215" t="s">
        <v>1475</v>
      </c>
      <c r="B83" s="64">
        <v>7.39</v>
      </c>
      <c r="C83" s="64">
        <v>62.9</v>
      </c>
      <c r="D83" s="64">
        <v>70.290000000000006</v>
      </c>
      <c r="E83" s="64">
        <v>2.1</v>
      </c>
      <c r="F83" s="64">
        <v>2.98</v>
      </c>
      <c r="G83" s="64">
        <v>99.31</v>
      </c>
      <c r="H83" s="64">
        <v>35.93</v>
      </c>
      <c r="I83" s="64">
        <v>1.45</v>
      </c>
      <c r="J83" s="64">
        <v>0.09</v>
      </c>
      <c r="K83" s="64">
        <v>44.26</v>
      </c>
      <c r="L83" s="64">
        <v>22.91</v>
      </c>
      <c r="M83" s="64">
        <v>61.46</v>
      </c>
      <c r="N83" s="64">
        <v>31.8</v>
      </c>
      <c r="O83" s="64">
        <v>0</v>
      </c>
      <c r="P83" s="64">
        <v>1.72</v>
      </c>
      <c r="Q83" s="64">
        <v>3.79</v>
      </c>
      <c r="R83" s="198"/>
      <c r="S83" s="198"/>
      <c r="T83" s="198"/>
      <c r="U83" s="198"/>
    </row>
    <row r="84" spans="1:26" s="12" customFormat="1" x14ac:dyDescent="0.25">
      <c r="A84" s="215" t="s">
        <v>1476</v>
      </c>
      <c r="B84" s="64">
        <v>8.52</v>
      </c>
      <c r="C84" s="64">
        <v>69.31</v>
      </c>
      <c r="D84" s="64">
        <v>77.83</v>
      </c>
      <c r="E84" s="64">
        <v>2.75</v>
      </c>
      <c r="F84" s="64">
        <v>6.36</v>
      </c>
      <c r="G84" s="64">
        <v>99.31</v>
      </c>
      <c r="H84" s="64">
        <v>35.93</v>
      </c>
      <c r="I84" s="64">
        <v>1.53</v>
      </c>
      <c r="J84" s="64">
        <v>0.11</v>
      </c>
      <c r="K84" s="64">
        <v>81.040000000000006</v>
      </c>
      <c r="L84" s="64">
        <v>22.84</v>
      </c>
      <c r="M84" s="64">
        <v>58.78</v>
      </c>
      <c r="N84" s="64">
        <v>31.6</v>
      </c>
      <c r="O84" s="64">
        <v>0</v>
      </c>
      <c r="P84" s="64">
        <v>1.87</v>
      </c>
      <c r="Q84" s="64">
        <v>2.7</v>
      </c>
      <c r="R84" s="198"/>
      <c r="S84" s="198"/>
      <c r="T84" s="198"/>
      <c r="U84" s="198"/>
    </row>
    <row r="85" spans="1:26" s="12" customFormat="1" x14ac:dyDescent="0.25">
      <c r="A85" s="215" t="s">
        <v>1477</v>
      </c>
      <c r="B85" s="64">
        <v>3.46</v>
      </c>
      <c r="C85" s="64">
        <v>65.62</v>
      </c>
      <c r="D85" s="64">
        <v>69.08</v>
      </c>
      <c r="E85" s="64">
        <v>2.2400000000000002</v>
      </c>
      <c r="F85" s="64">
        <v>9.19</v>
      </c>
      <c r="G85" s="64">
        <v>123.04</v>
      </c>
      <c r="H85" s="64">
        <v>51.82</v>
      </c>
      <c r="I85" s="64">
        <v>1.49</v>
      </c>
      <c r="J85" s="64">
        <v>0.13</v>
      </c>
      <c r="K85" s="64">
        <v>80.66</v>
      </c>
      <c r="L85" s="64">
        <v>22.7</v>
      </c>
      <c r="M85" s="64">
        <v>57.19</v>
      </c>
      <c r="N85" s="64">
        <v>31.6</v>
      </c>
      <c r="O85" s="64">
        <v>0</v>
      </c>
      <c r="P85" s="64">
        <v>1.54</v>
      </c>
      <c r="Q85" s="64">
        <v>3.72</v>
      </c>
      <c r="R85" s="198"/>
      <c r="S85" s="198"/>
      <c r="T85" s="198"/>
      <c r="U85" s="198"/>
    </row>
    <row r="86" spans="1:26" s="12" customFormat="1" x14ac:dyDescent="0.25">
      <c r="A86" s="215" t="s">
        <v>1478</v>
      </c>
      <c r="B86" s="64">
        <v>4.1399999999999997</v>
      </c>
      <c r="C86" s="64">
        <v>50.35</v>
      </c>
      <c r="D86" s="64">
        <v>54.49</v>
      </c>
      <c r="E86" s="64">
        <v>2.62</v>
      </c>
      <c r="F86" s="64">
        <v>5.96</v>
      </c>
      <c r="G86" s="64">
        <v>172.97</v>
      </c>
      <c r="H86" s="64">
        <v>73.95</v>
      </c>
      <c r="I86" s="64">
        <v>1.48</v>
      </c>
      <c r="J86" s="64">
        <v>0.11</v>
      </c>
      <c r="K86" s="64">
        <v>73.08</v>
      </c>
      <c r="L86" s="64">
        <v>22.75</v>
      </c>
      <c r="M86" s="64">
        <v>55.71</v>
      </c>
      <c r="N86" s="64">
        <v>31.6</v>
      </c>
      <c r="O86" s="64">
        <v>0</v>
      </c>
      <c r="P86" s="64">
        <v>1.43</v>
      </c>
      <c r="Q86" s="64">
        <v>3.7</v>
      </c>
      <c r="R86" s="198"/>
      <c r="S86" s="198"/>
      <c r="T86" s="198"/>
      <c r="U86" s="198"/>
    </row>
    <row r="87" spans="1:26" s="12" customFormat="1" x14ac:dyDescent="0.25">
      <c r="A87" s="215" t="s">
        <v>1479</v>
      </c>
      <c r="B87" s="64">
        <v>3.67</v>
      </c>
      <c r="C87" s="64">
        <v>68.2</v>
      </c>
      <c r="D87" s="64">
        <v>71.87</v>
      </c>
      <c r="E87" s="64">
        <v>3.55</v>
      </c>
      <c r="F87" s="64">
        <v>11.14</v>
      </c>
      <c r="G87" s="64">
        <v>172.97</v>
      </c>
      <c r="H87" s="64">
        <v>73.95</v>
      </c>
      <c r="I87" s="64">
        <v>1.52</v>
      </c>
      <c r="J87" s="64">
        <v>0.1</v>
      </c>
      <c r="K87" s="64">
        <v>76.67</v>
      </c>
      <c r="L87" s="64">
        <v>22.72</v>
      </c>
      <c r="M87" s="64">
        <v>55.78</v>
      </c>
      <c r="N87" s="64">
        <v>31.8</v>
      </c>
      <c r="O87" s="64">
        <v>0</v>
      </c>
      <c r="P87" s="64">
        <v>1.52</v>
      </c>
      <c r="Q87" s="64">
        <v>3.2</v>
      </c>
      <c r="R87" s="198"/>
      <c r="S87" s="198"/>
      <c r="T87" s="198"/>
      <c r="U87" s="198"/>
    </row>
    <row r="88" spans="1:26" s="12" customFormat="1" x14ac:dyDescent="0.25">
      <c r="A88" s="215" t="s">
        <v>1480</v>
      </c>
      <c r="B88" s="64">
        <v>3.38</v>
      </c>
      <c r="C88" s="64">
        <v>49.11</v>
      </c>
      <c r="D88" s="64">
        <v>52.49</v>
      </c>
      <c r="E88" s="64">
        <v>1.8</v>
      </c>
      <c r="F88" s="64">
        <v>13.94</v>
      </c>
      <c r="G88" s="64">
        <v>172.97</v>
      </c>
      <c r="H88" s="64">
        <v>73.95</v>
      </c>
      <c r="I88" s="64">
        <v>1.46</v>
      </c>
      <c r="J88" s="64">
        <v>0.16</v>
      </c>
      <c r="K88" s="64">
        <v>82.63</v>
      </c>
      <c r="L88" s="64">
        <v>22.72</v>
      </c>
      <c r="M88" s="64">
        <v>56.58</v>
      </c>
      <c r="N88" s="64">
        <v>31.7</v>
      </c>
      <c r="O88" s="64">
        <v>0</v>
      </c>
      <c r="P88" s="64">
        <v>1.29</v>
      </c>
      <c r="Q88" s="64">
        <v>3.98</v>
      </c>
      <c r="R88" s="198"/>
      <c r="S88" s="198"/>
      <c r="T88" s="198"/>
      <c r="U88" s="198"/>
    </row>
    <row r="89" spans="1:26" s="12" customFormat="1" x14ac:dyDescent="0.25">
      <c r="A89" s="215" t="s">
        <v>1481</v>
      </c>
      <c r="B89" s="64">
        <v>3.23</v>
      </c>
      <c r="C89" s="64">
        <v>46.1</v>
      </c>
      <c r="D89" s="64">
        <v>49.33</v>
      </c>
      <c r="E89" s="64">
        <v>3.25</v>
      </c>
      <c r="F89" s="64">
        <v>15.27</v>
      </c>
      <c r="G89" s="64">
        <v>183.45</v>
      </c>
      <c r="H89" s="64">
        <v>95.37</v>
      </c>
      <c r="I89" s="64">
        <v>1.48</v>
      </c>
      <c r="J89" s="64">
        <v>0.12</v>
      </c>
      <c r="K89" s="64">
        <v>77.67</v>
      </c>
      <c r="L89" s="64">
        <v>22.59</v>
      </c>
      <c r="M89" s="64">
        <v>56.73</v>
      </c>
      <c r="N89" s="64">
        <v>31.9</v>
      </c>
      <c r="O89" s="64">
        <v>0</v>
      </c>
      <c r="P89" s="64">
        <v>1.26</v>
      </c>
      <c r="Q89" s="64">
        <v>4.42</v>
      </c>
      <c r="R89" s="198"/>
      <c r="S89" s="198"/>
      <c r="T89" s="198"/>
      <c r="U89" s="198"/>
    </row>
    <row r="90" spans="1:26" s="12" customFormat="1" x14ac:dyDescent="0.25">
      <c r="A90" s="215" t="s">
        <v>1482</v>
      </c>
      <c r="B90" s="64">
        <v>3.77</v>
      </c>
      <c r="C90" s="64">
        <v>44.92</v>
      </c>
      <c r="D90" s="64">
        <v>48.7</v>
      </c>
      <c r="E90" s="64">
        <v>3</v>
      </c>
      <c r="F90" s="64">
        <v>8.3000000000000007</v>
      </c>
      <c r="G90" s="64">
        <v>205.48</v>
      </c>
      <c r="H90" s="64">
        <v>124.44</v>
      </c>
      <c r="I90" s="64">
        <v>1.46</v>
      </c>
      <c r="J90" s="64">
        <v>0.11</v>
      </c>
      <c r="K90" s="64">
        <v>93.24</v>
      </c>
      <c r="L90" s="64">
        <v>22.45</v>
      </c>
      <c r="M90" s="64">
        <v>57.47</v>
      </c>
      <c r="N90" s="64">
        <v>31.8</v>
      </c>
      <c r="O90" s="64">
        <v>0</v>
      </c>
      <c r="P90" s="64">
        <v>1.31</v>
      </c>
      <c r="Q90" s="64">
        <v>4.55</v>
      </c>
      <c r="R90" s="198"/>
      <c r="S90" s="198"/>
      <c r="T90" s="198"/>
      <c r="U90" s="198"/>
    </row>
    <row r="91" spans="1:26" s="12" customFormat="1" x14ac:dyDescent="0.25">
      <c r="A91" s="215" t="s">
        <v>1483</v>
      </c>
      <c r="B91" s="64">
        <v>3.97</v>
      </c>
      <c r="C91" s="64">
        <v>38.130000000000003</v>
      </c>
      <c r="D91" s="64">
        <v>42.11</v>
      </c>
      <c r="E91" s="64">
        <v>2.72</v>
      </c>
      <c r="F91" s="64">
        <v>13.66</v>
      </c>
      <c r="G91" s="64">
        <v>205.48</v>
      </c>
      <c r="H91" s="64">
        <v>124.44</v>
      </c>
      <c r="I91" s="64">
        <v>1.57</v>
      </c>
      <c r="J91" s="64">
        <v>0.21</v>
      </c>
      <c r="K91" s="64">
        <v>93.11</v>
      </c>
      <c r="L91" s="64">
        <v>22.42</v>
      </c>
      <c r="M91" s="64">
        <v>55.88</v>
      </c>
      <c r="N91" s="64">
        <v>31.7</v>
      </c>
      <c r="O91" s="64">
        <v>0</v>
      </c>
      <c r="P91" s="64">
        <v>1.24</v>
      </c>
      <c r="Q91" s="64">
        <v>4.93</v>
      </c>
      <c r="R91" s="198"/>
      <c r="S91" s="198"/>
      <c r="T91" s="198"/>
      <c r="U91" s="198"/>
    </row>
    <row r="92" spans="1:26" s="12" customFormat="1" x14ac:dyDescent="0.25">
      <c r="A92" s="215" t="s">
        <v>1484</v>
      </c>
      <c r="B92" s="64">
        <v>2.74</v>
      </c>
      <c r="C92" s="64">
        <v>38.69</v>
      </c>
      <c r="D92" s="64">
        <v>41.43</v>
      </c>
      <c r="E92" s="64">
        <v>3.33</v>
      </c>
      <c r="F92" s="64">
        <v>18.260000000000002</v>
      </c>
      <c r="G92" s="64">
        <v>205.48</v>
      </c>
      <c r="H92" s="64">
        <v>124.44</v>
      </c>
      <c r="I92" s="64">
        <v>1.47</v>
      </c>
      <c r="J92" s="64">
        <v>0.18</v>
      </c>
      <c r="K92" s="64">
        <v>88.32</v>
      </c>
      <c r="L92" s="64">
        <v>22.42</v>
      </c>
      <c r="M92" s="64">
        <v>56.48</v>
      </c>
      <c r="N92" s="64">
        <v>31.9</v>
      </c>
      <c r="O92" s="64">
        <v>0</v>
      </c>
      <c r="P92" s="64">
        <v>1.17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5" t="s">
        <v>1485</v>
      </c>
      <c r="B93" s="64">
        <v>2.73</v>
      </c>
      <c r="C93" s="64">
        <v>46.47</v>
      </c>
      <c r="D93" s="64">
        <v>49.2</v>
      </c>
      <c r="E93" s="64">
        <v>2.2200000000000002</v>
      </c>
      <c r="F93" s="64">
        <v>7.41</v>
      </c>
      <c r="G93" s="64">
        <v>191.32</v>
      </c>
      <c r="H93" s="64">
        <v>116.55</v>
      </c>
      <c r="I93" s="64">
        <v>1.49</v>
      </c>
      <c r="J93" s="64">
        <v>0.17</v>
      </c>
      <c r="K93" s="64">
        <v>79.819999999999993</v>
      </c>
      <c r="L93" s="64">
        <v>22.39</v>
      </c>
      <c r="M93" s="64">
        <v>56.33</v>
      </c>
      <c r="N93" s="64">
        <v>32</v>
      </c>
      <c r="O93" s="64">
        <v>0</v>
      </c>
      <c r="P93" s="64">
        <v>1.3</v>
      </c>
      <c r="Q93" s="64">
        <v>5.2</v>
      </c>
      <c r="R93" s="198"/>
      <c r="S93" s="198"/>
      <c r="T93" s="198"/>
      <c r="U93" s="198"/>
    </row>
    <row r="94" spans="1:26" s="12" customFormat="1" x14ac:dyDescent="0.25">
      <c r="A94" s="215" t="s">
        <v>1486</v>
      </c>
      <c r="B94" s="64">
        <v>3.3</v>
      </c>
      <c r="C94" s="64">
        <v>42.4</v>
      </c>
      <c r="D94" s="64">
        <v>45.7</v>
      </c>
      <c r="E94" s="64">
        <v>2.2200000000000002</v>
      </c>
      <c r="F94" s="64">
        <v>5.64</v>
      </c>
      <c r="G94" s="64">
        <v>161.53</v>
      </c>
      <c r="H94" s="64">
        <v>86.57</v>
      </c>
      <c r="I94" s="64">
        <v>1.46</v>
      </c>
      <c r="J94" s="64">
        <v>0.11</v>
      </c>
      <c r="K94" s="64">
        <v>53.4</v>
      </c>
      <c r="L94" s="64">
        <v>22.21</v>
      </c>
      <c r="M94" s="64">
        <v>57.51</v>
      </c>
      <c r="N94" s="64">
        <v>32.1</v>
      </c>
      <c r="O94" s="64">
        <v>0</v>
      </c>
      <c r="P94" s="64">
        <v>1.32</v>
      </c>
      <c r="Q94" s="64">
        <v>5.0199999999999996</v>
      </c>
      <c r="R94" s="198"/>
      <c r="S94" s="198"/>
      <c r="T94" s="198"/>
      <c r="U94" s="198"/>
    </row>
    <row r="95" spans="1:26" s="12" customFormat="1" x14ac:dyDescent="0.25">
      <c r="A95" s="215" t="s">
        <v>1487</v>
      </c>
      <c r="B95" s="64">
        <v>5.33</v>
      </c>
      <c r="C95" s="64">
        <v>50.63</v>
      </c>
      <c r="D95" s="64">
        <v>55.96</v>
      </c>
      <c r="E95" s="64">
        <v>2.69</v>
      </c>
      <c r="F95" s="64">
        <v>7.29</v>
      </c>
      <c r="G95" s="64">
        <v>161.53</v>
      </c>
      <c r="H95" s="64">
        <v>86.57</v>
      </c>
      <c r="I95" s="64">
        <v>1.51</v>
      </c>
      <c r="J95" s="64">
        <v>0.14000000000000001</v>
      </c>
      <c r="K95" s="64">
        <v>78.930000000000007</v>
      </c>
      <c r="L95" s="64">
        <v>21.98</v>
      </c>
      <c r="M95" s="64">
        <v>58.45</v>
      </c>
      <c r="N95" s="64">
        <v>32.299999999999997</v>
      </c>
      <c r="O95" s="64">
        <v>0</v>
      </c>
      <c r="P95" s="64">
        <v>1.37</v>
      </c>
      <c r="Q95" s="64">
        <v>4.51</v>
      </c>
      <c r="R95" s="198"/>
      <c r="S95" s="198"/>
      <c r="T95" s="198"/>
      <c r="U95" s="198"/>
    </row>
    <row r="96" spans="1:26" s="12" customFormat="1" x14ac:dyDescent="0.25">
      <c r="A96" s="215" t="s">
        <v>1488</v>
      </c>
      <c r="B96" s="64">
        <v>7.08</v>
      </c>
      <c r="C96" s="64">
        <v>46.4</v>
      </c>
      <c r="D96" s="64">
        <v>53.48</v>
      </c>
      <c r="E96" s="64">
        <v>2.0099999999999998</v>
      </c>
      <c r="F96" s="64">
        <v>2.2200000000000002</v>
      </c>
      <c r="G96" s="64">
        <v>161.53</v>
      </c>
      <c r="H96" s="64">
        <v>86.57</v>
      </c>
      <c r="I96" s="64">
        <v>1.47</v>
      </c>
      <c r="J96" s="64">
        <v>0.12</v>
      </c>
      <c r="K96" s="64">
        <v>336.1</v>
      </c>
      <c r="L96" s="64">
        <v>21.76</v>
      </c>
      <c r="M96" s="64">
        <v>62.15</v>
      </c>
      <c r="N96" s="64">
        <v>32.200000000000003</v>
      </c>
      <c r="O96" s="64">
        <v>0</v>
      </c>
      <c r="P96" s="64">
        <v>1.43</v>
      </c>
      <c r="Q96" s="64">
        <v>4.66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1489</v>
      </c>
      <c r="B97" s="64">
        <v>12.65</v>
      </c>
      <c r="C97" s="64">
        <v>44.29</v>
      </c>
      <c r="D97" s="64">
        <v>56.93</v>
      </c>
      <c r="E97" s="64">
        <v>2.25</v>
      </c>
      <c r="F97" s="64">
        <v>3.8</v>
      </c>
      <c r="G97" s="64">
        <v>171.94</v>
      </c>
      <c r="H97" s="64">
        <v>88.41</v>
      </c>
      <c r="I97" s="64">
        <v>1.44</v>
      </c>
      <c r="J97" s="64">
        <v>0.11</v>
      </c>
      <c r="K97" s="64">
        <v>317.16000000000003</v>
      </c>
      <c r="L97" s="64">
        <v>21.21</v>
      </c>
      <c r="M97" s="64">
        <v>68.12</v>
      </c>
      <c r="N97" s="64">
        <v>32.299999999999997</v>
      </c>
      <c r="O97" s="64">
        <v>0</v>
      </c>
      <c r="P97" s="64">
        <v>1.39</v>
      </c>
      <c r="Q97" s="64">
        <v>3.55</v>
      </c>
      <c r="R97" s="198"/>
      <c r="S97" s="198"/>
      <c r="T97" s="198"/>
      <c r="U97" s="198"/>
    </row>
    <row r="98" spans="1:33" s="12" customFormat="1" x14ac:dyDescent="0.25">
      <c r="A98" s="215" t="s">
        <v>1490</v>
      </c>
      <c r="B98" s="64">
        <v>8.01</v>
      </c>
      <c r="C98" s="64">
        <v>38.299999999999997</v>
      </c>
      <c r="D98" s="64">
        <v>46.31</v>
      </c>
      <c r="E98" s="64">
        <v>1.45</v>
      </c>
      <c r="F98" s="64">
        <v>1.46</v>
      </c>
      <c r="G98" s="64">
        <v>193.82</v>
      </c>
      <c r="H98" s="64">
        <v>90.91</v>
      </c>
      <c r="I98" s="64">
        <v>1.56</v>
      </c>
      <c r="J98" s="64">
        <v>0.13</v>
      </c>
      <c r="K98" s="64">
        <v>291.45999999999998</v>
      </c>
      <c r="L98" s="64">
        <v>20.74</v>
      </c>
      <c r="M98" s="64">
        <v>70.599999999999994</v>
      </c>
      <c r="N98" s="64">
        <v>32.299999999999997</v>
      </c>
      <c r="O98" s="64">
        <v>0</v>
      </c>
      <c r="P98" s="64">
        <v>1.36</v>
      </c>
      <c r="Q98" s="64">
        <v>4.43</v>
      </c>
      <c r="R98" s="198"/>
      <c r="S98" s="198"/>
      <c r="T98" s="198"/>
      <c r="U98" s="198"/>
    </row>
    <row r="99" spans="1:33" s="12" customFormat="1" x14ac:dyDescent="0.25">
      <c r="A99" s="215" t="s">
        <v>1491</v>
      </c>
      <c r="B99" s="64">
        <v>8.74</v>
      </c>
      <c r="C99" s="64">
        <v>42.61</v>
      </c>
      <c r="D99" s="64">
        <v>51.35</v>
      </c>
      <c r="E99" s="64">
        <v>1.71</v>
      </c>
      <c r="F99" s="64">
        <v>4.9800000000000004</v>
      </c>
      <c r="G99" s="64">
        <v>193.82</v>
      </c>
      <c r="H99" s="64">
        <v>90.91</v>
      </c>
      <c r="I99" s="64">
        <v>1.48</v>
      </c>
      <c r="J99" s="64">
        <v>0.12</v>
      </c>
      <c r="K99" s="64">
        <v>299.14999999999998</v>
      </c>
      <c r="L99" s="64">
        <v>20.38</v>
      </c>
      <c r="M99" s="64">
        <v>70.84</v>
      </c>
      <c r="N99" s="64">
        <v>32.1</v>
      </c>
      <c r="O99" s="64">
        <v>0</v>
      </c>
      <c r="P99" s="64">
        <v>1.3</v>
      </c>
      <c r="Q99" s="64">
        <v>4.3</v>
      </c>
      <c r="R99" s="198"/>
      <c r="S99" s="198"/>
      <c r="T99" s="198"/>
      <c r="U99" s="198"/>
    </row>
    <row r="100" spans="1:33" s="12" customFormat="1" x14ac:dyDescent="0.25">
      <c r="A100" s="215" t="s">
        <v>1492</v>
      </c>
      <c r="B100" s="64">
        <v>6.77</v>
      </c>
      <c r="C100" s="64">
        <v>41.76</v>
      </c>
      <c r="D100" s="64">
        <v>48.54</v>
      </c>
      <c r="E100" s="64">
        <v>1.92</v>
      </c>
      <c r="F100" s="64">
        <v>5.54</v>
      </c>
      <c r="G100" s="64">
        <v>193.82</v>
      </c>
      <c r="H100" s="64">
        <v>90.91</v>
      </c>
      <c r="I100" s="64">
        <v>1.44</v>
      </c>
      <c r="J100" s="64">
        <v>0.12</v>
      </c>
      <c r="K100" s="64">
        <v>268.55</v>
      </c>
      <c r="L100" s="64">
        <v>20.51</v>
      </c>
      <c r="M100" s="64">
        <v>68.42</v>
      </c>
      <c r="N100" s="64">
        <v>32.1</v>
      </c>
      <c r="O100" s="64">
        <v>0</v>
      </c>
      <c r="P100" s="64">
        <v>1.25</v>
      </c>
      <c r="Q100" s="64">
        <v>4.5599999999999996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1493</v>
      </c>
      <c r="B101" s="64">
        <v>6.94</v>
      </c>
      <c r="C101" s="64">
        <v>45.43</v>
      </c>
      <c r="D101" s="64">
        <v>52.36</v>
      </c>
      <c r="E101" s="64">
        <v>1.86</v>
      </c>
      <c r="F101" s="64">
        <v>5.01</v>
      </c>
      <c r="G101" s="64">
        <v>185.88</v>
      </c>
      <c r="H101" s="64">
        <v>95.61</v>
      </c>
      <c r="I101" s="64">
        <v>1.56</v>
      </c>
      <c r="J101" s="64">
        <v>0.05</v>
      </c>
      <c r="K101" s="64">
        <v>266.02999999999997</v>
      </c>
      <c r="L101" s="64">
        <v>20.47</v>
      </c>
      <c r="M101" s="64">
        <v>66.95</v>
      </c>
      <c r="N101" s="64">
        <v>31.9</v>
      </c>
      <c r="O101" s="64">
        <v>0</v>
      </c>
      <c r="P101" s="64">
        <v>1.29</v>
      </c>
      <c r="Q101" s="64">
        <v>4.51</v>
      </c>
      <c r="R101" s="198"/>
      <c r="S101" s="198"/>
      <c r="T101" s="198"/>
      <c r="U101" s="198"/>
    </row>
    <row r="102" spans="1:33" s="12" customFormat="1" x14ac:dyDescent="0.25">
      <c r="A102" s="215" t="s">
        <v>1494</v>
      </c>
      <c r="B102" s="64">
        <v>6.86</v>
      </c>
      <c r="C102" s="64">
        <v>41.83</v>
      </c>
      <c r="D102" s="64">
        <v>48.68</v>
      </c>
      <c r="E102" s="64">
        <v>1.75</v>
      </c>
      <c r="F102" s="64">
        <v>5.91</v>
      </c>
      <c r="G102" s="64">
        <v>169.18</v>
      </c>
      <c r="H102" s="64">
        <v>101.99</v>
      </c>
      <c r="I102" s="64">
        <v>1.52</v>
      </c>
      <c r="J102" s="64">
        <v>0.32</v>
      </c>
      <c r="K102" s="64">
        <v>100.92</v>
      </c>
      <c r="L102" s="64">
        <v>20.98</v>
      </c>
      <c r="M102" s="64">
        <v>62.7</v>
      </c>
      <c r="N102" s="64">
        <v>31</v>
      </c>
      <c r="O102" s="64">
        <v>0</v>
      </c>
      <c r="P102" s="64">
        <v>1.23</v>
      </c>
      <c r="Q102" s="64">
        <v>4.59</v>
      </c>
      <c r="R102" s="198"/>
      <c r="S102" s="198"/>
      <c r="T102" s="198"/>
      <c r="U102" s="198"/>
    </row>
    <row r="103" spans="1:33" s="12" customFormat="1" x14ac:dyDescent="0.25">
      <c r="A103" s="215" t="s">
        <v>1495</v>
      </c>
      <c r="B103" s="64">
        <v>6.39</v>
      </c>
      <c r="C103" s="64">
        <v>33.729999999999997</v>
      </c>
      <c r="D103" s="64">
        <v>40.119999999999997</v>
      </c>
      <c r="E103" s="64">
        <v>1.63</v>
      </c>
      <c r="F103" s="64">
        <v>7.7</v>
      </c>
      <c r="G103" s="64">
        <v>169.18</v>
      </c>
      <c r="H103" s="64">
        <v>101.99</v>
      </c>
      <c r="I103" s="64">
        <v>1.51</v>
      </c>
      <c r="J103" s="64">
        <v>0.37</v>
      </c>
      <c r="K103" s="64">
        <v>106.94</v>
      </c>
      <c r="L103" s="64">
        <v>21.46</v>
      </c>
      <c r="M103" s="64">
        <v>59.59</v>
      </c>
      <c r="N103" s="64">
        <v>31.4</v>
      </c>
      <c r="O103" s="64">
        <v>0</v>
      </c>
      <c r="P103" s="64">
        <v>1.19</v>
      </c>
      <c r="Q103" s="64">
        <v>4.95</v>
      </c>
      <c r="R103" s="198"/>
      <c r="S103" s="198"/>
      <c r="T103" s="198"/>
      <c r="U103" s="198"/>
    </row>
    <row r="104" spans="1:33" s="12" customFormat="1" x14ac:dyDescent="0.25">
      <c r="A104" s="215" t="s">
        <v>1496</v>
      </c>
      <c r="B104" s="64">
        <v>5.93</v>
      </c>
      <c r="C104" s="64">
        <v>28.44</v>
      </c>
      <c r="D104" s="64">
        <v>34.380000000000003</v>
      </c>
      <c r="E104" s="64">
        <v>0.79</v>
      </c>
      <c r="F104" s="64">
        <v>3.95</v>
      </c>
      <c r="G104" s="64">
        <v>169.18</v>
      </c>
      <c r="H104" s="64">
        <v>101.99</v>
      </c>
      <c r="I104" s="64">
        <v>1.51</v>
      </c>
      <c r="J104" s="64">
        <v>0.14000000000000001</v>
      </c>
      <c r="K104" s="64">
        <v>93.35</v>
      </c>
      <c r="L104" s="64">
        <v>21.36</v>
      </c>
      <c r="M104" s="64">
        <v>60.19</v>
      </c>
      <c r="N104" s="64">
        <v>31.9</v>
      </c>
      <c r="O104" s="64">
        <v>0</v>
      </c>
      <c r="P104" s="64">
        <v>1.23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21.12</v>
      </c>
      <c r="D106" s="67">
        <f t="shared" ref="D106:Q106" si="0">MIN(D9:D104)</f>
        <v>23.12</v>
      </c>
      <c r="E106" s="67">
        <f t="shared" si="0"/>
        <v>0.35</v>
      </c>
      <c r="F106" s="67">
        <f t="shared" si="0"/>
        <v>0.11</v>
      </c>
      <c r="G106" s="67">
        <f t="shared" si="0"/>
        <v>51.84</v>
      </c>
      <c r="H106" s="67">
        <f t="shared" si="0"/>
        <v>25.03</v>
      </c>
      <c r="I106" s="67">
        <f t="shared" si="0"/>
        <v>1.42</v>
      </c>
      <c r="J106" s="67">
        <f t="shared" si="0"/>
        <v>0.02</v>
      </c>
      <c r="K106" s="67">
        <f t="shared" si="0"/>
        <v>0.77</v>
      </c>
      <c r="L106" s="67">
        <f t="shared" si="0"/>
        <v>17.84</v>
      </c>
      <c r="M106" s="67">
        <f t="shared" si="0"/>
        <v>29.96</v>
      </c>
      <c r="N106" s="67">
        <f t="shared" si="0"/>
        <v>31</v>
      </c>
      <c r="O106" s="67">
        <f t="shared" si="0"/>
        <v>0</v>
      </c>
      <c r="P106" s="67">
        <f t="shared" si="0"/>
        <v>0.68</v>
      </c>
      <c r="Q106" s="67">
        <f t="shared" si="0"/>
        <v>1.83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85.43</v>
      </c>
      <c r="C107" s="66">
        <f t="shared" ref="C107:Q107" si="1">MAX(C9:C104)</f>
        <v>72.23</v>
      </c>
      <c r="D107" s="66">
        <f t="shared" si="1"/>
        <v>129.51</v>
      </c>
      <c r="E107" s="66">
        <f t="shared" si="1"/>
        <v>4.45</v>
      </c>
      <c r="F107" s="66">
        <f t="shared" si="1"/>
        <v>28.94</v>
      </c>
      <c r="G107" s="66">
        <f t="shared" si="1"/>
        <v>205.48</v>
      </c>
      <c r="H107" s="66">
        <f t="shared" si="1"/>
        <v>124.44</v>
      </c>
      <c r="I107" s="66">
        <f t="shared" si="1"/>
        <v>1.62</v>
      </c>
      <c r="J107" s="66">
        <f t="shared" si="1"/>
        <v>0.9</v>
      </c>
      <c r="K107" s="66">
        <f t="shared" si="1"/>
        <v>357.3</v>
      </c>
      <c r="L107" s="66">
        <f t="shared" si="1"/>
        <v>31.38</v>
      </c>
      <c r="M107" s="66">
        <f t="shared" si="1"/>
        <v>83.59</v>
      </c>
      <c r="N107" s="66">
        <f t="shared" si="1"/>
        <v>655.7</v>
      </c>
      <c r="O107" s="66">
        <f t="shared" si="1"/>
        <v>0</v>
      </c>
      <c r="P107" s="66">
        <f t="shared" si="1"/>
        <v>2.17</v>
      </c>
      <c r="Q107" s="66">
        <f t="shared" si="1"/>
        <v>10.94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22.820104166666656</v>
      </c>
      <c r="C108" s="67">
        <f t="shared" ref="C108:Q108" si="2">AVERAGE(C9:C104)</f>
        <v>36.961354166666673</v>
      </c>
      <c r="D108" s="67">
        <f t="shared" si="2"/>
        <v>59.7815625</v>
      </c>
      <c r="E108" s="67">
        <f t="shared" si="2"/>
        <v>1.6535416666666662</v>
      </c>
      <c r="F108" s="67">
        <f t="shared" si="2"/>
        <v>6.4779166666666654</v>
      </c>
      <c r="G108" s="67">
        <f t="shared" si="2"/>
        <v>118.78666666666665</v>
      </c>
      <c r="H108" s="67">
        <f t="shared" si="2"/>
        <v>61.416190476190437</v>
      </c>
      <c r="I108" s="67">
        <f t="shared" si="2"/>
        <v>1.4935416666666657</v>
      </c>
      <c r="J108" s="67">
        <f t="shared" si="2"/>
        <v>0.25072916666666673</v>
      </c>
      <c r="K108" s="67">
        <f t="shared" si="2"/>
        <v>188.44468749999996</v>
      </c>
      <c r="L108" s="67">
        <f t="shared" si="2"/>
        <v>22.907187500000006</v>
      </c>
      <c r="M108" s="67">
        <f t="shared" si="2"/>
        <v>61.192604166666648</v>
      </c>
      <c r="N108" s="67">
        <f t="shared" si="2"/>
        <v>180.84895833333334</v>
      </c>
      <c r="O108" s="67">
        <f t="shared" si="2"/>
        <v>0</v>
      </c>
      <c r="P108" s="67">
        <f t="shared" si="2"/>
        <v>1.2744791666666673</v>
      </c>
      <c r="Q108" s="67">
        <f t="shared" si="2"/>
        <v>6.1443749999999939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26.531054475236807</v>
      </c>
      <c r="C109" s="67">
        <f t="shared" ref="C109:Q109" si="3">STDEV(C9:C104)</f>
        <v>11.016611248931703</v>
      </c>
      <c r="D109" s="67">
        <f t="shared" si="3"/>
        <v>26.474689256289786</v>
      </c>
      <c r="E109" s="67">
        <f t="shared" si="3"/>
        <v>1.0254744515965262</v>
      </c>
      <c r="F109" s="67">
        <f t="shared" si="3"/>
        <v>7.7173490016996862</v>
      </c>
      <c r="G109" s="67">
        <f t="shared" si="3"/>
        <v>44.789672172648658</v>
      </c>
      <c r="H109" s="67">
        <f t="shared" si="3"/>
        <v>24.957212150493351</v>
      </c>
      <c r="I109" s="67">
        <f t="shared" si="3"/>
        <v>3.7974483584490966E-2</v>
      </c>
      <c r="J109" s="67">
        <f t="shared" si="3"/>
        <v>0.20473471817100644</v>
      </c>
      <c r="K109" s="67">
        <f t="shared" si="3"/>
        <v>128.7348826971897</v>
      </c>
      <c r="L109" s="67">
        <f t="shared" si="3"/>
        <v>3.9666516976903043</v>
      </c>
      <c r="M109" s="67">
        <f t="shared" si="3"/>
        <v>15.234952420411254</v>
      </c>
      <c r="N109" s="67">
        <f t="shared" si="3"/>
        <v>220.78819666906381</v>
      </c>
      <c r="O109" s="67">
        <f t="shared" si="3"/>
        <v>0</v>
      </c>
      <c r="P109" s="67">
        <f t="shared" si="3"/>
        <v>0.37677822540633971</v>
      </c>
      <c r="Q109" s="67">
        <f t="shared" si="3"/>
        <v>2.1828483625035124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84</v>
      </c>
      <c r="H110" s="66">
        <f>COUNT(H9:H104)</f>
        <v>84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215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1498</v>
      </c>
      <c r="B9" s="64">
        <v>5.03</v>
      </c>
      <c r="C9" s="64">
        <v>31.81</v>
      </c>
      <c r="D9" s="64">
        <v>36.83</v>
      </c>
      <c r="E9" s="64">
        <v>1.19</v>
      </c>
      <c r="F9" s="64">
        <v>6.83</v>
      </c>
      <c r="G9" s="64">
        <v>144.08000000000001</v>
      </c>
      <c r="H9" s="64">
        <v>83.23</v>
      </c>
      <c r="I9" s="64">
        <v>1.44</v>
      </c>
      <c r="J9" s="64">
        <v>0.09</v>
      </c>
      <c r="K9" s="64">
        <v>341.11</v>
      </c>
      <c r="L9" s="64">
        <v>20.73</v>
      </c>
      <c r="M9" s="64">
        <v>63.88</v>
      </c>
      <c r="N9" s="64">
        <v>32.299999999999997</v>
      </c>
      <c r="O9" s="64">
        <v>0</v>
      </c>
      <c r="P9" s="64">
        <v>1.1399999999999999</v>
      </c>
      <c r="Q9" s="64">
        <v>5.21</v>
      </c>
      <c r="R9" s="198"/>
      <c r="S9" s="198"/>
      <c r="T9" s="198"/>
      <c r="U9" s="198"/>
    </row>
    <row r="10" spans="1:21" s="12" customFormat="1" x14ac:dyDescent="0.25">
      <c r="A10" s="215" t="s">
        <v>1499</v>
      </c>
      <c r="B10" s="64">
        <v>4.5999999999999996</v>
      </c>
      <c r="C10" s="64">
        <v>31.46</v>
      </c>
      <c r="D10" s="64">
        <v>36.049999999999997</v>
      </c>
      <c r="E10" s="64">
        <v>1.08</v>
      </c>
      <c r="F10" s="64">
        <v>5.68</v>
      </c>
      <c r="G10" s="64">
        <v>91.28</v>
      </c>
      <c r="H10" s="64">
        <v>58.01</v>
      </c>
      <c r="I10" s="64">
        <v>1.46</v>
      </c>
      <c r="J10" s="64">
        <v>0.13</v>
      </c>
      <c r="K10" s="64">
        <v>78.8</v>
      </c>
      <c r="L10" s="64">
        <v>20.86</v>
      </c>
      <c r="M10" s="64">
        <v>61.75</v>
      </c>
      <c r="N10" s="64">
        <v>31.9</v>
      </c>
      <c r="O10" s="64">
        <v>0</v>
      </c>
      <c r="P10" s="64">
        <v>1.1200000000000001</v>
      </c>
      <c r="Q10" s="64">
        <v>5.21</v>
      </c>
      <c r="R10" s="198"/>
      <c r="S10" s="198"/>
      <c r="T10" s="198"/>
      <c r="U10" s="198"/>
    </row>
    <row r="11" spans="1:21" s="12" customFormat="1" x14ac:dyDescent="0.25">
      <c r="A11" s="215" t="s">
        <v>1500</v>
      </c>
      <c r="B11" s="64">
        <v>3.94</v>
      </c>
      <c r="C11" s="64">
        <v>29.16</v>
      </c>
      <c r="D11" s="64">
        <v>33.11</v>
      </c>
      <c r="E11" s="64">
        <v>1.08</v>
      </c>
      <c r="F11" s="64">
        <v>4.63</v>
      </c>
      <c r="G11" s="64">
        <v>91.28</v>
      </c>
      <c r="H11" s="64">
        <v>58.01</v>
      </c>
      <c r="I11" s="64">
        <v>1.53</v>
      </c>
      <c r="J11" s="64">
        <v>0.17</v>
      </c>
      <c r="K11" s="64">
        <v>248.88</v>
      </c>
      <c r="L11" s="64">
        <v>20.56</v>
      </c>
      <c r="M11" s="64">
        <v>63.91</v>
      </c>
      <c r="N11" s="64">
        <v>32.299999999999997</v>
      </c>
      <c r="O11" s="64">
        <v>0</v>
      </c>
      <c r="P11" s="64">
        <v>1.1000000000000001</v>
      </c>
      <c r="Q11" s="64">
        <v>5.21</v>
      </c>
      <c r="R11" s="198"/>
      <c r="S11" s="198"/>
      <c r="T11" s="198"/>
      <c r="U11" s="198"/>
    </row>
    <row r="12" spans="1:21" s="12" customFormat="1" x14ac:dyDescent="0.25">
      <c r="A12" s="215" t="s">
        <v>1501</v>
      </c>
      <c r="B12" s="64">
        <v>3.86</v>
      </c>
      <c r="C12" s="64">
        <v>30.59</v>
      </c>
      <c r="D12" s="64">
        <v>34.44</v>
      </c>
      <c r="E12" s="64">
        <v>0.93</v>
      </c>
      <c r="F12" s="64">
        <v>1.36</v>
      </c>
      <c r="G12" s="64">
        <v>91.28</v>
      </c>
      <c r="H12" s="64">
        <v>58.01</v>
      </c>
      <c r="I12" s="64">
        <v>1.52</v>
      </c>
      <c r="J12" s="64">
        <v>0.01</v>
      </c>
      <c r="K12" s="64">
        <v>75.58</v>
      </c>
      <c r="L12" s="64">
        <v>20.100000000000001</v>
      </c>
      <c r="M12" s="64">
        <v>68.06</v>
      </c>
      <c r="N12" s="64">
        <v>32.6</v>
      </c>
      <c r="O12" s="64">
        <v>0</v>
      </c>
      <c r="P12" s="64">
        <v>1.1200000000000001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5" t="s">
        <v>1502</v>
      </c>
      <c r="B13" s="64">
        <v>3.61</v>
      </c>
      <c r="C13" s="64">
        <v>29.77</v>
      </c>
      <c r="D13" s="64">
        <v>33.380000000000003</v>
      </c>
      <c r="E13" s="64">
        <v>0.84</v>
      </c>
      <c r="F13" s="64">
        <v>0.9</v>
      </c>
      <c r="G13" s="64">
        <v>81.59</v>
      </c>
      <c r="H13" s="64">
        <v>53.75</v>
      </c>
      <c r="I13" s="64">
        <v>1.52</v>
      </c>
      <c r="J13" s="64">
        <v>0.05</v>
      </c>
      <c r="K13" s="64">
        <v>194.52</v>
      </c>
      <c r="L13" s="64">
        <v>19.5</v>
      </c>
      <c r="M13" s="64">
        <v>74</v>
      </c>
      <c r="N13" s="64">
        <v>32.5</v>
      </c>
      <c r="O13" s="64">
        <v>0</v>
      </c>
      <c r="P13" s="64">
        <v>1.07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5" t="s">
        <v>1503</v>
      </c>
      <c r="B14" s="64">
        <v>3.48</v>
      </c>
      <c r="C14" s="64">
        <v>27.48</v>
      </c>
      <c r="D14" s="64">
        <v>30.96</v>
      </c>
      <c r="E14" s="64">
        <v>0.99</v>
      </c>
      <c r="F14" s="64">
        <v>2.2400000000000002</v>
      </c>
      <c r="G14" s="64">
        <v>61.23</v>
      </c>
      <c r="H14" s="64">
        <v>37.130000000000003</v>
      </c>
      <c r="I14" s="64">
        <v>1.53</v>
      </c>
      <c r="J14" s="64">
        <v>0.05</v>
      </c>
      <c r="K14" s="64">
        <v>241.16</v>
      </c>
      <c r="L14" s="64">
        <v>18.940000000000001</v>
      </c>
      <c r="M14" s="64">
        <v>77.73</v>
      </c>
      <c r="N14" s="64">
        <v>32.6</v>
      </c>
      <c r="O14" s="64">
        <v>0</v>
      </c>
      <c r="P14" s="64">
        <v>1.04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5" t="s">
        <v>1504</v>
      </c>
      <c r="B15" s="64">
        <v>3.35</v>
      </c>
      <c r="C15" s="64">
        <v>27.05</v>
      </c>
      <c r="D15" s="64">
        <v>30.4</v>
      </c>
      <c r="E15" s="64">
        <v>1.1100000000000001</v>
      </c>
      <c r="F15" s="64">
        <v>2.82</v>
      </c>
      <c r="G15" s="64">
        <v>61.23</v>
      </c>
      <c r="H15" s="64">
        <v>37.130000000000003</v>
      </c>
      <c r="I15" s="64">
        <v>1.54</v>
      </c>
      <c r="J15" s="64">
        <v>0.24</v>
      </c>
      <c r="K15" s="64">
        <v>344.44</v>
      </c>
      <c r="L15" s="64">
        <v>18.52</v>
      </c>
      <c r="M15" s="64">
        <v>82.13</v>
      </c>
      <c r="N15" s="64">
        <v>32.6</v>
      </c>
      <c r="O15" s="64">
        <v>0</v>
      </c>
      <c r="P15" s="64">
        <v>1.02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5" t="s">
        <v>1505</v>
      </c>
      <c r="B16" s="64">
        <v>3.57</v>
      </c>
      <c r="C16" s="64">
        <v>27.53</v>
      </c>
      <c r="D16" s="64">
        <v>31.1</v>
      </c>
      <c r="E16" s="64">
        <v>0.94</v>
      </c>
      <c r="F16" s="64">
        <v>1.47</v>
      </c>
      <c r="G16" s="64">
        <v>61.23</v>
      </c>
      <c r="H16" s="64">
        <v>37.130000000000003</v>
      </c>
      <c r="I16" s="64">
        <v>1.42</v>
      </c>
      <c r="J16" s="64">
        <v>0.14000000000000001</v>
      </c>
      <c r="K16" s="64">
        <v>0.71</v>
      </c>
      <c r="L16" s="64">
        <v>18.149999999999999</v>
      </c>
      <c r="M16" s="64">
        <v>85.71</v>
      </c>
      <c r="N16" s="64">
        <v>32.200000000000003</v>
      </c>
      <c r="O16" s="64">
        <v>0</v>
      </c>
      <c r="P16" s="64">
        <v>1.01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5" t="s">
        <v>1506</v>
      </c>
      <c r="B17" s="64">
        <v>3.53</v>
      </c>
      <c r="C17" s="64">
        <v>27.47</v>
      </c>
      <c r="D17" s="64">
        <v>31</v>
      </c>
      <c r="E17" s="64">
        <v>0.93</v>
      </c>
      <c r="F17" s="64">
        <v>3.89</v>
      </c>
      <c r="G17" s="64">
        <v>60.39</v>
      </c>
      <c r="H17" s="64">
        <v>34.979999999999997</v>
      </c>
      <c r="I17" s="64">
        <v>1.56</v>
      </c>
      <c r="J17" s="64">
        <v>0.1</v>
      </c>
      <c r="K17" s="64">
        <v>242.84</v>
      </c>
      <c r="L17" s="64">
        <v>18.38</v>
      </c>
      <c r="M17" s="64">
        <v>82.38</v>
      </c>
      <c r="N17" s="64">
        <v>32.200000000000003</v>
      </c>
      <c r="O17" s="64">
        <v>0</v>
      </c>
      <c r="P17" s="64">
        <v>0.96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5" t="s">
        <v>1507</v>
      </c>
      <c r="B18" s="64">
        <v>3.74</v>
      </c>
      <c r="C18" s="64">
        <v>28.78</v>
      </c>
      <c r="D18" s="64">
        <v>32.51</v>
      </c>
      <c r="E18" s="64">
        <v>0.87</v>
      </c>
      <c r="F18" s="64">
        <v>1.03</v>
      </c>
      <c r="G18" s="64">
        <v>58.63</v>
      </c>
      <c r="H18" s="64">
        <v>31.98</v>
      </c>
      <c r="I18" s="64">
        <v>1.56</v>
      </c>
      <c r="J18" s="64">
        <v>0.02</v>
      </c>
      <c r="K18" s="64">
        <v>177.1</v>
      </c>
      <c r="L18" s="64">
        <v>18.149999999999999</v>
      </c>
      <c r="M18" s="64">
        <v>84.95</v>
      </c>
      <c r="N18" s="64">
        <v>32.5</v>
      </c>
      <c r="O18" s="64">
        <v>0</v>
      </c>
      <c r="P18" s="64">
        <v>0.97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5" t="s">
        <v>1508</v>
      </c>
      <c r="B19" s="64">
        <v>3.83</v>
      </c>
      <c r="C19" s="64">
        <v>25.02</v>
      </c>
      <c r="D19" s="64">
        <v>28.85</v>
      </c>
      <c r="E19" s="64">
        <v>0.8</v>
      </c>
      <c r="F19" s="64">
        <v>0.69</v>
      </c>
      <c r="G19" s="64">
        <v>58.63</v>
      </c>
      <c r="H19" s="64">
        <v>31.98</v>
      </c>
      <c r="I19" s="64">
        <v>1.52</v>
      </c>
      <c r="J19" s="64">
        <v>7.0000000000000007E-2</v>
      </c>
      <c r="K19" s="64">
        <v>233.81</v>
      </c>
      <c r="L19" s="64">
        <v>18.02</v>
      </c>
      <c r="M19" s="64">
        <v>85.53</v>
      </c>
      <c r="N19" s="64">
        <v>32.299999999999997</v>
      </c>
      <c r="O19" s="64">
        <v>0</v>
      </c>
      <c r="P19" s="64">
        <v>0.96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5" t="s">
        <v>1509</v>
      </c>
      <c r="B20" s="64">
        <v>3.79</v>
      </c>
      <c r="C20" s="64">
        <v>25.86</v>
      </c>
      <c r="D20" s="64">
        <v>29.65</v>
      </c>
      <c r="E20" s="64">
        <v>0.71</v>
      </c>
      <c r="F20" s="64">
        <v>0.54</v>
      </c>
      <c r="G20" s="64">
        <v>58.63</v>
      </c>
      <c r="H20" s="64">
        <v>31.98</v>
      </c>
      <c r="I20" s="64">
        <v>1.5</v>
      </c>
      <c r="J20" s="64">
        <v>0.1</v>
      </c>
      <c r="K20" s="64">
        <v>306.74</v>
      </c>
      <c r="L20" s="64">
        <v>17.89</v>
      </c>
      <c r="M20" s="64">
        <v>88.04</v>
      </c>
      <c r="N20" s="64">
        <v>32.299999999999997</v>
      </c>
      <c r="O20" s="64">
        <v>0</v>
      </c>
      <c r="P20" s="64">
        <v>0.94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5" t="s">
        <v>1510</v>
      </c>
      <c r="B21" s="64">
        <v>3.92</v>
      </c>
      <c r="C21" s="64">
        <v>25.17</v>
      </c>
      <c r="D21" s="64">
        <v>29.09</v>
      </c>
      <c r="E21" s="64">
        <v>0.61</v>
      </c>
      <c r="F21" s="64">
        <v>0.54</v>
      </c>
      <c r="G21" s="64">
        <v>66.28</v>
      </c>
      <c r="H21" s="64">
        <v>34.04</v>
      </c>
      <c r="I21" s="64">
        <v>1.51</v>
      </c>
      <c r="J21" s="64">
        <v>0.11</v>
      </c>
      <c r="K21" s="64">
        <v>267.26</v>
      </c>
      <c r="L21" s="64">
        <v>17.66</v>
      </c>
      <c r="M21" s="64">
        <v>89.83</v>
      </c>
      <c r="N21" s="64">
        <v>32.200000000000003</v>
      </c>
      <c r="O21" s="64">
        <v>0</v>
      </c>
      <c r="P21" s="64">
        <v>0.92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5" t="s">
        <v>1511</v>
      </c>
      <c r="B22" s="64">
        <v>4.12</v>
      </c>
      <c r="C22" s="64">
        <v>27.37</v>
      </c>
      <c r="D22" s="64">
        <v>31.48</v>
      </c>
      <c r="E22" s="64">
        <v>0.59</v>
      </c>
      <c r="F22" s="64">
        <v>0.15</v>
      </c>
      <c r="G22" s="64">
        <v>82.38</v>
      </c>
      <c r="H22" s="64">
        <v>36.909999999999997</v>
      </c>
      <c r="I22" s="64">
        <v>1.51</v>
      </c>
      <c r="J22" s="64">
        <v>0.17</v>
      </c>
      <c r="K22" s="64">
        <v>348.28</v>
      </c>
      <c r="L22" s="64">
        <v>17.46</v>
      </c>
      <c r="M22" s="64">
        <v>91.74</v>
      </c>
      <c r="N22" s="64">
        <v>32.299999999999997</v>
      </c>
      <c r="O22" s="64">
        <v>0</v>
      </c>
      <c r="P22" s="64">
        <v>0.91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5" t="s">
        <v>1512</v>
      </c>
      <c r="B23" s="64">
        <v>4.3</v>
      </c>
      <c r="C23" s="64">
        <v>26.6</v>
      </c>
      <c r="D23" s="64">
        <v>30.9</v>
      </c>
      <c r="E23" s="64">
        <v>0.56999999999999995</v>
      </c>
      <c r="F23" s="64">
        <v>0.55000000000000004</v>
      </c>
      <c r="G23" s="64">
        <v>82.38</v>
      </c>
      <c r="H23" s="64">
        <v>36.909999999999997</v>
      </c>
      <c r="I23" s="64">
        <v>1.56</v>
      </c>
      <c r="J23" s="64">
        <v>0.3</v>
      </c>
      <c r="K23" s="64">
        <v>314.98</v>
      </c>
      <c r="L23" s="64">
        <v>17.52</v>
      </c>
      <c r="M23" s="64">
        <v>92.75</v>
      </c>
      <c r="N23" s="64">
        <v>31.8</v>
      </c>
      <c r="O23" s="64">
        <v>0</v>
      </c>
      <c r="P23" s="64">
        <v>0.91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5" t="s">
        <v>1513</v>
      </c>
      <c r="B24" s="64">
        <v>4.49</v>
      </c>
      <c r="C24" s="64">
        <v>26.4</v>
      </c>
      <c r="D24" s="64">
        <v>30.9</v>
      </c>
      <c r="E24" s="64">
        <v>0.26</v>
      </c>
      <c r="F24" s="64">
        <v>0.48</v>
      </c>
      <c r="G24" s="64">
        <v>82.38</v>
      </c>
      <c r="H24" s="64">
        <v>36.909999999999997</v>
      </c>
      <c r="I24" s="64">
        <v>1.4</v>
      </c>
      <c r="J24" s="64">
        <v>0.86</v>
      </c>
      <c r="K24" s="64">
        <v>335.41</v>
      </c>
      <c r="L24" s="64">
        <v>17.8</v>
      </c>
      <c r="M24" s="64">
        <v>90.4</v>
      </c>
      <c r="N24" s="64">
        <v>31.2</v>
      </c>
      <c r="O24" s="64">
        <v>0</v>
      </c>
      <c r="P24" s="64">
        <v>0.9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5" t="s">
        <v>1514</v>
      </c>
      <c r="B25" s="64">
        <v>4.66</v>
      </c>
      <c r="C25" s="64">
        <v>28.51</v>
      </c>
      <c r="D25" s="64">
        <v>33.17</v>
      </c>
      <c r="E25" s="64">
        <v>0.37</v>
      </c>
      <c r="F25" s="64">
        <v>0.25</v>
      </c>
      <c r="G25" s="64">
        <v>96.19</v>
      </c>
      <c r="H25" s="64">
        <v>48.15</v>
      </c>
      <c r="I25" s="64">
        <v>1.5</v>
      </c>
      <c r="J25" s="64">
        <v>0.74</v>
      </c>
      <c r="K25" s="64">
        <v>347.1</v>
      </c>
      <c r="L25" s="64">
        <v>17.98</v>
      </c>
      <c r="M25" s="64">
        <v>84.98</v>
      </c>
      <c r="N25" s="64">
        <v>32</v>
      </c>
      <c r="O25" s="64">
        <v>0</v>
      </c>
      <c r="P25" s="64">
        <v>0.91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5" t="s">
        <v>1515</v>
      </c>
      <c r="B26" s="64">
        <v>4.8600000000000003</v>
      </c>
      <c r="C26" s="64">
        <v>29.18</v>
      </c>
      <c r="D26" s="64">
        <v>34.049999999999997</v>
      </c>
      <c r="E26" s="64">
        <v>0.52</v>
      </c>
      <c r="F26" s="64">
        <v>0.33</v>
      </c>
      <c r="G26" s="64">
        <v>125.23</v>
      </c>
      <c r="H26" s="64">
        <v>63.81</v>
      </c>
      <c r="I26" s="64">
        <v>1.51</v>
      </c>
      <c r="J26" s="64">
        <v>0.7</v>
      </c>
      <c r="K26" s="64">
        <v>339.32</v>
      </c>
      <c r="L26" s="64">
        <v>17.920000000000002</v>
      </c>
      <c r="M26" s="64">
        <v>84.01</v>
      </c>
      <c r="N26" s="64">
        <v>32.299999999999997</v>
      </c>
      <c r="O26" s="64">
        <v>0</v>
      </c>
      <c r="P26" s="64">
        <v>0.92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5" t="s">
        <v>1516</v>
      </c>
      <c r="B27" s="64">
        <v>5.2</v>
      </c>
      <c r="C27" s="64">
        <v>29.93</v>
      </c>
      <c r="D27" s="64">
        <v>35.119999999999997</v>
      </c>
      <c r="E27" s="64">
        <v>0.49</v>
      </c>
      <c r="F27" s="64">
        <v>0.36</v>
      </c>
      <c r="G27" s="64">
        <v>125.23</v>
      </c>
      <c r="H27" s="64">
        <v>63.81</v>
      </c>
      <c r="I27" s="64">
        <v>1.49</v>
      </c>
      <c r="J27" s="64">
        <v>0.67</v>
      </c>
      <c r="K27" s="64">
        <v>342.84</v>
      </c>
      <c r="L27" s="64">
        <v>17.989999999999998</v>
      </c>
      <c r="M27" s="64">
        <v>81.97</v>
      </c>
      <c r="N27" s="64">
        <v>32.5</v>
      </c>
      <c r="O27" s="64">
        <v>0</v>
      </c>
      <c r="P27" s="64">
        <v>0.93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5" t="s">
        <v>1517</v>
      </c>
      <c r="B28" s="64">
        <v>5.37</v>
      </c>
      <c r="C28" s="64">
        <v>30.47</v>
      </c>
      <c r="D28" s="64">
        <v>35.840000000000003</v>
      </c>
      <c r="E28" s="64">
        <v>0.52</v>
      </c>
      <c r="F28" s="64">
        <v>0.53</v>
      </c>
      <c r="G28" s="64">
        <v>125.23</v>
      </c>
      <c r="H28" s="64">
        <v>63.81</v>
      </c>
      <c r="I28" s="64">
        <v>1.61</v>
      </c>
      <c r="J28" s="64">
        <v>0.15</v>
      </c>
      <c r="K28" s="64">
        <v>64.489999999999995</v>
      </c>
      <c r="L28" s="64">
        <v>17.89</v>
      </c>
      <c r="M28" s="64">
        <v>82.56</v>
      </c>
      <c r="N28" s="64">
        <v>32.799999999999997</v>
      </c>
      <c r="O28" s="64">
        <v>0</v>
      </c>
      <c r="P28" s="64">
        <v>0.95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5" t="s">
        <v>1518</v>
      </c>
      <c r="B29" s="64">
        <v>5.64</v>
      </c>
      <c r="C29" s="64">
        <v>31.17</v>
      </c>
      <c r="D29" s="64">
        <v>36.81</v>
      </c>
      <c r="E29" s="64">
        <v>0.47</v>
      </c>
      <c r="F29" s="64">
        <v>0.48</v>
      </c>
      <c r="G29" s="64">
        <v>129.5</v>
      </c>
      <c r="H29" s="64">
        <v>63.66</v>
      </c>
      <c r="I29" s="64">
        <v>1.46</v>
      </c>
      <c r="J29" s="64">
        <v>0.19</v>
      </c>
      <c r="K29" s="64">
        <v>86.74</v>
      </c>
      <c r="L29" s="64">
        <v>17.71</v>
      </c>
      <c r="M29" s="64">
        <v>83.84</v>
      </c>
      <c r="N29" s="64">
        <v>32.700000000000003</v>
      </c>
      <c r="O29" s="64">
        <v>0</v>
      </c>
      <c r="P29" s="64">
        <v>0.98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5" t="s">
        <v>1519</v>
      </c>
      <c r="B30" s="64">
        <v>6.55</v>
      </c>
      <c r="C30" s="64">
        <v>32.44</v>
      </c>
      <c r="D30" s="64">
        <v>38.99</v>
      </c>
      <c r="E30" s="64">
        <v>0.5</v>
      </c>
      <c r="F30" s="64">
        <v>0.15</v>
      </c>
      <c r="G30" s="64">
        <v>138.49</v>
      </c>
      <c r="H30" s="64">
        <v>63.13</v>
      </c>
      <c r="I30" s="64">
        <v>1.39</v>
      </c>
      <c r="J30" s="64">
        <v>0.11</v>
      </c>
      <c r="K30" s="64">
        <v>76.12</v>
      </c>
      <c r="L30" s="64">
        <v>17.54</v>
      </c>
      <c r="M30" s="64">
        <v>85.27</v>
      </c>
      <c r="N30" s="64">
        <v>32.700000000000003</v>
      </c>
      <c r="O30" s="64">
        <v>0</v>
      </c>
      <c r="P30" s="64">
        <v>0.99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5" t="s">
        <v>1520</v>
      </c>
      <c r="B31" s="64">
        <v>6.29</v>
      </c>
      <c r="C31" s="64">
        <v>26.17</v>
      </c>
      <c r="D31" s="64">
        <v>32.46</v>
      </c>
      <c r="E31" s="64">
        <v>0.44</v>
      </c>
      <c r="F31" s="64">
        <v>0.48</v>
      </c>
      <c r="G31" s="64">
        <v>138.49</v>
      </c>
      <c r="H31" s="64">
        <v>63.13</v>
      </c>
      <c r="I31" s="64">
        <v>1.5</v>
      </c>
      <c r="J31" s="64">
        <v>0.09</v>
      </c>
      <c r="K31" s="64">
        <v>95.33</v>
      </c>
      <c r="L31" s="64">
        <v>17.420000000000002</v>
      </c>
      <c r="M31" s="64">
        <v>86.27</v>
      </c>
      <c r="N31" s="64">
        <v>32.6</v>
      </c>
      <c r="O31" s="64">
        <v>0</v>
      </c>
      <c r="P31" s="64">
        <v>1.01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5" t="s">
        <v>1521</v>
      </c>
      <c r="B32" s="64">
        <v>6.4</v>
      </c>
      <c r="C32" s="64">
        <v>28.87</v>
      </c>
      <c r="D32" s="64">
        <v>35.270000000000003</v>
      </c>
      <c r="E32" s="64">
        <v>0.32</v>
      </c>
      <c r="F32" s="64">
        <v>0.32</v>
      </c>
      <c r="G32" s="64">
        <v>138.49</v>
      </c>
      <c r="H32" s="64">
        <v>63.13</v>
      </c>
      <c r="I32" s="64">
        <v>1.43</v>
      </c>
      <c r="J32" s="64">
        <v>0.51</v>
      </c>
      <c r="K32" s="64">
        <v>342.41</v>
      </c>
      <c r="L32" s="64">
        <v>17.47</v>
      </c>
      <c r="M32" s="64">
        <v>86.4</v>
      </c>
      <c r="N32" s="64">
        <v>32.6</v>
      </c>
      <c r="O32" s="64">
        <v>0</v>
      </c>
      <c r="P32" s="64">
        <v>1.01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5" t="s">
        <v>1522</v>
      </c>
      <c r="B33" s="64">
        <v>6.37</v>
      </c>
      <c r="C33" s="64">
        <v>29.48</v>
      </c>
      <c r="D33" s="64">
        <v>35.85</v>
      </c>
      <c r="E33" s="64">
        <v>0.42</v>
      </c>
      <c r="F33" s="64">
        <v>0.2</v>
      </c>
      <c r="G33" s="64">
        <v>129.5</v>
      </c>
      <c r="H33" s="64">
        <v>55.47</v>
      </c>
      <c r="I33" s="64">
        <v>1.47</v>
      </c>
      <c r="J33" s="64">
        <v>0.19</v>
      </c>
      <c r="K33" s="64">
        <v>331.61</v>
      </c>
      <c r="L33" s="64">
        <v>17.53</v>
      </c>
      <c r="M33" s="64">
        <v>86.41</v>
      </c>
      <c r="N33" s="64">
        <v>36.1</v>
      </c>
      <c r="O33" s="64">
        <v>0</v>
      </c>
      <c r="P33" s="64">
        <v>1.01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5" t="s">
        <v>1523</v>
      </c>
      <c r="B34" s="64">
        <v>6.44</v>
      </c>
      <c r="C34" s="64">
        <v>29.46</v>
      </c>
      <c r="D34" s="64">
        <v>35.9</v>
      </c>
      <c r="E34" s="64">
        <v>0.31</v>
      </c>
      <c r="F34" s="64">
        <v>0.34</v>
      </c>
      <c r="G34" s="64">
        <v>110.6</v>
      </c>
      <c r="H34" s="64">
        <v>44.79</v>
      </c>
      <c r="I34" s="64">
        <v>1.51</v>
      </c>
      <c r="J34" s="64">
        <v>0.28999999999999998</v>
      </c>
      <c r="K34" s="64">
        <v>333.79</v>
      </c>
      <c r="L34" s="64">
        <v>17.600000000000001</v>
      </c>
      <c r="M34" s="64">
        <v>86.28</v>
      </c>
      <c r="N34" s="64">
        <v>47.4</v>
      </c>
      <c r="O34" s="64">
        <v>0</v>
      </c>
      <c r="P34" s="64">
        <v>1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5" t="s">
        <v>1524</v>
      </c>
      <c r="B35" s="64">
        <v>6.44</v>
      </c>
      <c r="C35" s="64">
        <v>27.73</v>
      </c>
      <c r="D35" s="64">
        <v>34.17</v>
      </c>
      <c r="E35" s="64">
        <v>0.28999999999999998</v>
      </c>
      <c r="F35" s="64">
        <v>0.65</v>
      </c>
      <c r="G35" s="64">
        <v>110.6</v>
      </c>
      <c r="H35" s="64">
        <v>44.79</v>
      </c>
      <c r="I35" s="64">
        <v>1.45</v>
      </c>
      <c r="J35" s="64">
        <v>0.26</v>
      </c>
      <c r="K35" s="64">
        <v>343.86</v>
      </c>
      <c r="L35" s="64">
        <v>17.82</v>
      </c>
      <c r="M35" s="64">
        <v>86</v>
      </c>
      <c r="N35" s="64">
        <v>66.400000000000006</v>
      </c>
      <c r="O35" s="64">
        <v>0</v>
      </c>
      <c r="P35" s="64">
        <v>0.99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5" t="s">
        <v>1525</v>
      </c>
      <c r="B36" s="64">
        <v>6.49</v>
      </c>
      <c r="C36" s="64">
        <v>29.38</v>
      </c>
      <c r="D36" s="64">
        <v>35.869999999999997</v>
      </c>
      <c r="E36" s="64">
        <v>0.35</v>
      </c>
      <c r="F36" s="64">
        <v>0.34</v>
      </c>
      <c r="G36" s="64">
        <v>110.6</v>
      </c>
      <c r="H36" s="64">
        <v>44.79</v>
      </c>
      <c r="I36" s="64">
        <v>1.49</v>
      </c>
      <c r="J36" s="64">
        <v>0.15</v>
      </c>
      <c r="K36" s="64">
        <v>90.26</v>
      </c>
      <c r="L36" s="64">
        <v>17.89</v>
      </c>
      <c r="M36" s="64">
        <v>86.66</v>
      </c>
      <c r="N36" s="64">
        <v>74.7</v>
      </c>
      <c r="O36" s="64">
        <v>0</v>
      </c>
      <c r="P36" s="64">
        <v>0.98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5" t="s">
        <v>1526</v>
      </c>
      <c r="B37" s="64">
        <v>6.47</v>
      </c>
      <c r="C37" s="64">
        <v>27.43</v>
      </c>
      <c r="D37" s="64">
        <v>33.89</v>
      </c>
      <c r="E37" s="64">
        <v>0.33</v>
      </c>
      <c r="F37" s="64">
        <v>0.44</v>
      </c>
      <c r="G37" s="64">
        <v>108.97</v>
      </c>
      <c r="H37" s="64">
        <v>46.03</v>
      </c>
      <c r="I37" s="64">
        <v>1.52</v>
      </c>
      <c r="J37" s="64">
        <v>0.46</v>
      </c>
      <c r="K37" s="64">
        <v>338.49</v>
      </c>
      <c r="L37" s="64">
        <v>18.079999999999998</v>
      </c>
      <c r="M37" s="64">
        <v>86.34</v>
      </c>
      <c r="N37" s="64">
        <v>89.2</v>
      </c>
      <c r="O37" s="64">
        <v>0</v>
      </c>
      <c r="P37" s="64">
        <v>0.94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5" t="s">
        <v>1527</v>
      </c>
      <c r="B38" s="64">
        <v>6.91</v>
      </c>
      <c r="C38" s="64">
        <v>28.99</v>
      </c>
      <c r="D38" s="64">
        <v>35.9</v>
      </c>
      <c r="E38" s="64">
        <v>0.33</v>
      </c>
      <c r="F38" s="64">
        <v>0.53</v>
      </c>
      <c r="G38" s="64">
        <v>105.56</v>
      </c>
      <c r="H38" s="64">
        <v>47.76</v>
      </c>
      <c r="I38" s="64">
        <v>1.44</v>
      </c>
      <c r="J38" s="64">
        <v>0.28000000000000003</v>
      </c>
      <c r="K38" s="64">
        <v>348.79</v>
      </c>
      <c r="L38" s="64">
        <v>18.760000000000002</v>
      </c>
      <c r="M38" s="64">
        <v>82.8</v>
      </c>
      <c r="N38" s="64">
        <v>164.2</v>
      </c>
      <c r="O38" s="64">
        <v>0</v>
      </c>
      <c r="P38" s="64">
        <v>0.96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5" t="s">
        <v>1528</v>
      </c>
      <c r="B39" s="64">
        <v>6.64</v>
      </c>
      <c r="C39" s="64">
        <v>29.91</v>
      </c>
      <c r="D39" s="64">
        <v>36.54</v>
      </c>
      <c r="E39" s="64">
        <v>0.28999999999999998</v>
      </c>
      <c r="F39" s="64">
        <v>0.8</v>
      </c>
      <c r="G39" s="64">
        <v>105.56</v>
      </c>
      <c r="H39" s="64">
        <v>47.76</v>
      </c>
      <c r="I39" s="64">
        <v>1.49</v>
      </c>
      <c r="J39" s="64">
        <v>0.28000000000000003</v>
      </c>
      <c r="K39" s="64">
        <v>356.8</v>
      </c>
      <c r="L39" s="64">
        <v>20.07</v>
      </c>
      <c r="M39" s="64">
        <v>77.48</v>
      </c>
      <c r="N39" s="64">
        <v>235</v>
      </c>
      <c r="O39" s="64">
        <v>0</v>
      </c>
      <c r="P39" s="64">
        <v>0.97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5" t="s">
        <v>1529</v>
      </c>
      <c r="B40" s="64">
        <v>6.73</v>
      </c>
      <c r="C40" s="64">
        <v>30.19</v>
      </c>
      <c r="D40" s="64">
        <v>36.92</v>
      </c>
      <c r="E40" s="64">
        <v>0.39</v>
      </c>
      <c r="F40" s="64">
        <v>0.45</v>
      </c>
      <c r="G40" s="64">
        <v>105.56</v>
      </c>
      <c r="H40" s="64">
        <v>47.76</v>
      </c>
      <c r="I40" s="64">
        <v>1.51</v>
      </c>
      <c r="J40" s="64">
        <v>0.48</v>
      </c>
      <c r="K40" s="64">
        <v>106.7</v>
      </c>
      <c r="L40" s="64">
        <v>20.309999999999999</v>
      </c>
      <c r="M40" s="64">
        <v>76.27</v>
      </c>
      <c r="N40" s="64">
        <v>245.6</v>
      </c>
      <c r="O40" s="64">
        <v>0</v>
      </c>
      <c r="P40" s="64">
        <v>0.96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5" t="s">
        <v>1530</v>
      </c>
      <c r="B41" s="64">
        <v>6.69</v>
      </c>
      <c r="C41" s="64">
        <v>30.48</v>
      </c>
      <c r="D41" s="64">
        <v>37.17</v>
      </c>
      <c r="E41" s="64">
        <v>0.6</v>
      </c>
      <c r="F41" s="64">
        <v>0.27</v>
      </c>
      <c r="G41" s="64">
        <v>103.15</v>
      </c>
      <c r="H41" s="64">
        <v>45.77</v>
      </c>
      <c r="I41" s="64">
        <v>1.48</v>
      </c>
      <c r="J41" s="64">
        <v>0.75</v>
      </c>
      <c r="K41" s="64">
        <v>102.54</v>
      </c>
      <c r="L41" s="64">
        <v>20.37</v>
      </c>
      <c r="M41" s="64">
        <v>76.489999999999995</v>
      </c>
      <c r="N41" s="64">
        <v>296.39999999999998</v>
      </c>
      <c r="O41" s="64">
        <v>0</v>
      </c>
      <c r="P41" s="64">
        <v>0.95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5" t="s">
        <v>1531</v>
      </c>
      <c r="B42" s="64">
        <v>6.75</v>
      </c>
      <c r="C42" s="64">
        <v>29.04</v>
      </c>
      <c r="D42" s="64">
        <v>35.799999999999997</v>
      </c>
      <c r="E42" s="64">
        <v>0.53</v>
      </c>
      <c r="F42" s="64">
        <v>0.37</v>
      </c>
      <c r="G42" s="64">
        <v>98.07</v>
      </c>
      <c r="H42" s="64">
        <v>43</v>
      </c>
      <c r="I42" s="64">
        <v>1.49</v>
      </c>
      <c r="J42" s="64">
        <v>0.14000000000000001</v>
      </c>
      <c r="K42" s="64">
        <v>302.81</v>
      </c>
      <c r="L42" s="64">
        <v>21.98</v>
      </c>
      <c r="M42" s="64">
        <v>68.67</v>
      </c>
      <c r="N42" s="64">
        <v>374.8</v>
      </c>
      <c r="O42" s="64">
        <v>0</v>
      </c>
      <c r="P42" s="64">
        <v>0.93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5" t="s">
        <v>1532</v>
      </c>
      <c r="B43" s="64">
        <v>6.71</v>
      </c>
      <c r="C43" s="64">
        <v>24.5</v>
      </c>
      <c r="D43" s="64">
        <v>31.21</v>
      </c>
      <c r="E43" s="64">
        <v>0.56999999999999995</v>
      </c>
      <c r="F43" s="64">
        <v>0.9</v>
      </c>
      <c r="G43" s="64">
        <v>98.07</v>
      </c>
      <c r="H43" s="64">
        <v>43</v>
      </c>
      <c r="I43" s="64">
        <v>1.53</v>
      </c>
      <c r="J43" s="64">
        <v>0.53</v>
      </c>
      <c r="K43" s="64">
        <v>97.98</v>
      </c>
      <c r="L43" s="64">
        <v>22.54</v>
      </c>
      <c r="M43" s="64">
        <v>67.45</v>
      </c>
      <c r="N43" s="64">
        <v>427.6</v>
      </c>
      <c r="O43" s="64">
        <v>0</v>
      </c>
      <c r="P43" s="64">
        <v>0.93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5" t="s">
        <v>1533</v>
      </c>
      <c r="B44" s="64">
        <v>6.27</v>
      </c>
      <c r="C44" s="64">
        <v>30.18</v>
      </c>
      <c r="D44" s="64">
        <v>36.450000000000003</v>
      </c>
      <c r="E44" s="64">
        <v>0.53</v>
      </c>
      <c r="F44" s="64">
        <v>0.67</v>
      </c>
      <c r="G44" s="64">
        <v>98.07</v>
      </c>
      <c r="H44" s="64">
        <v>43</v>
      </c>
      <c r="I44" s="64">
        <v>1.49</v>
      </c>
      <c r="J44" s="64">
        <v>0.27</v>
      </c>
      <c r="K44" s="64">
        <v>97.42</v>
      </c>
      <c r="L44" s="64">
        <v>23.52</v>
      </c>
      <c r="M44" s="64">
        <v>64.27</v>
      </c>
      <c r="N44" s="64">
        <v>446.3</v>
      </c>
      <c r="O44" s="64">
        <v>0</v>
      </c>
      <c r="P44" s="64">
        <v>0.92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5" t="s">
        <v>1534</v>
      </c>
      <c r="B45" s="64">
        <v>5.61</v>
      </c>
      <c r="C45" s="64">
        <v>29.15</v>
      </c>
      <c r="D45" s="64">
        <v>34.770000000000003</v>
      </c>
      <c r="E45" s="64">
        <v>0.5</v>
      </c>
      <c r="F45" s="64">
        <v>1.61</v>
      </c>
      <c r="G45" s="64">
        <v>104.88</v>
      </c>
      <c r="H45" s="64">
        <v>44.68</v>
      </c>
      <c r="I45" s="64">
        <v>1.47</v>
      </c>
      <c r="J45" s="64">
        <v>0.33</v>
      </c>
      <c r="K45" s="64">
        <v>100.46</v>
      </c>
      <c r="L45" s="64">
        <v>23.76</v>
      </c>
      <c r="M45" s="64">
        <v>63.62</v>
      </c>
      <c r="N45" s="64">
        <v>488.5</v>
      </c>
      <c r="O45" s="64">
        <v>0</v>
      </c>
      <c r="P45" s="64">
        <v>0.92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5" t="s">
        <v>1535</v>
      </c>
      <c r="B46" s="64">
        <v>5.0599999999999996</v>
      </c>
      <c r="C46" s="64">
        <v>30.43</v>
      </c>
      <c r="D46" s="64">
        <v>35.49</v>
      </c>
      <c r="E46" s="64">
        <v>0.52</v>
      </c>
      <c r="F46" s="64">
        <v>1.69</v>
      </c>
      <c r="G46" s="64">
        <v>119.21</v>
      </c>
      <c r="H46" s="64">
        <v>51.2</v>
      </c>
      <c r="I46" s="64">
        <v>1.55</v>
      </c>
      <c r="J46" s="64">
        <v>0.75</v>
      </c>
      <c r="K46" s="64">
        <v>111.18</v>
      </c>
      <c r="L46" s="64">
        <v>23.62</v>
      </c>
      <c r="M46" s="64">
        <v>64.45</v>
      </c>
      <c r="N46" s="64">
        <v>524</v>
      </c>
      <c r="O46" s="64">
        <v>0</v>
      </c>
      <c r="P46" s="64">
        <v>0.9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5" t="s">
        <v>1536</v>
      </c>
      <c r="B47" s="64">
        <v>4.43</v>
      </c>
      <c r="C47" s="64">
        <v>29.94</v>
      </c>
      <c r="D47" s="64">
        <v>34.36</v>
      </c>
      <c r="E47" s="64">
        <v>0.53</v>
      </c>
      <c r="F47" s="64">
        <v>1.59</v>
      </c>
      <c r="G47" s="64">
        <v>119.21</v>
      </c>
      <c r="H47" s="64">
        <v>51.2</v>
      </c>
      <c r="I47" s="64">
        <v>1.5</v>
      </c>
      <c r="J47" s="64">
        <v>0.71</v>
      </c>
      <c r="K47" s="64">
        <v>100.48</v>
      </c>
      <c r="L47" s="64">
        <v>24.11</v>
      </c>
      <c r="M47" s="64">
        <v>62.86</v>
      </c>
      <c r="N47" s="64">
        <v>569.79999999999995</v>
      </c>
      <c r="O47" s="64">
        <v>0</v>
      </c>
      <c r="P47" s="64">
        <v>0.89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5" t="s">
        <v>1537</v>
      </c>
      <c r="B48" s="64">
        <v>3.79</v>
      </c>
      <c r="C48" s="64">
        <v>29.58</v>
      </c>
      <c r="D48" s="64">
        <v>33.369999999999997</v>
      </c>
      <c r="E48" s="64">
        <v>0.5</v>
      </c>
      <c r="F48" s="64">
        <v>1.38</v>
      </c>
      <c r="G48" s="64">
        <v>119.21</v>
      </c>
      <c r="H48" s="64">
        <v>51.2</v>
      </c>
      <c r="I48" s="64">
        <v>1.51</v>
      </c>
      <c r="J48" s="64">
        <v>0.62</v>
      </c>
      <c r="K48" s="64">
        <v>111.06</v>
      </c>
      <c r="L48" s="64">
        <v>24.57</v>
      </c>
      <c r="M48" s="64">
        <v>62.06</v>
      </c>
      <c r="N48" s="64">
        <v>552.5</v>
      </c>
      <c r="O48" s="64">
        <v>0</v>
      </c>
      <c r="P48" s="64">
        <v>0.87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5" t="s">
        <v>1538</v>
      </c>
      <c r="B49" s="64">
        <v>3.25</v>
      </c>
      <c r="C49" s="64">
        <v>28.84</v>
      </c>
      <c r="D49" s="64">
        <v>32.090000000000003</v>
      </c>
      <c r="E49" s="64">
        <v>0.48</v>
      </c>
      <c r="F49" s="64">
        <v>2.79</v>
      </c>
      <c r="G49" s="64">
        <v>108.01</v>
      </c>
      <c r="H49" s="64">
        <v>46.69</v>
      </c>
      <c r="I49" s="64">
        <v>1.52</v>
      </c>
      <c r="J49" s="64">
        <v>0.7</v>
      </c>
      <c r="K49" s="64">
        <v>120.21</v>
      </c>
      <c r="L49" s="64">
        <v>24.63</v>
      </c>
      <c r="M49" s="64">
        <v>61.16</v>
      </c>
      <c r="N49" s="64">
        <v>502.9</v>
      </c>
      <c r="O49" s="64">
        <v>0</v>
      </c>
      <c r="P49" s="64">
        <v>0.86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5" t="s">
        <v>1539</v>
      </c>
      <c r="B50" s="64">
        <v>2.96</v>
      </c>
      <c r="C50" s="64">
        <v>28.42</v>
      </c>
      <c r="D50" s="64">
        <v>31.38</v>
      </c>
      <c r="E50" s="64">
        <v>0.57999999999999996</v>
      </c>
      <c r="F50" s="64">
        <v>4.26</v>
      </c>
      <c r="G50" s="64">
        <v>84.44</v>
      </c>
      <c r="H50" s="64">
        <v>40.42</v>
      </c>
      <c r="I50" s="64">
        <v>1.43</v>
      </c>
      <c r="J50" s="64">
        <v>0.73</v>
      </c>
      <c r="K50" s="64">
        <v>113.41</v>
      </c>
      <c r="L50" s="64">
        <v>24.42</v>
      </c>
      <c r="M50" s="64">
        <v>61.19</v>
      </c>
      <c r="N50" s="64">
        <v>502.4</v>
      </c>
      <c r="O50" s="64">
        <v>0</v>
      </c>
      <c r="P50" s="64">
        <v>0.83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5" t="s">
        <v>1540</v>
      </c>
      <c r="B51" s="64">
        <v>2.78</v>
      </c>
      <c r="C51" s="64">
        <v>28.01</v>
      </c>
      <c r="D51" s="64">
        <v>30.78</v>
      </c>
      <c r="E51" s="64">
        <v>0.62</v>
      </c>
      <c r="F51" s="64">
        <v>3.19</v>
      </c>
      <c r="G51" s="64">
        <v>84.44</v>
      </c>
      <c r="H51" s="64">
        <v>40.42</v>
      </c>
      <c r="I51" s="64">
        <v>1.55</v>
      </c>
      <c r="J51" s="64">
        <v>0.27</v>
      </c>
      <c r="K51" s="64">
        <v>11.62</v>
      </c>
      <c r="L51" s="64">
        <v>25.94</v>
      </c>
      <c r="M51" s="64">
        <v>57.05</v>
      </c>
      <c r="N51" s="64">
        <v>606.29999999999995</v>
      </c>
      <c r="O51" s="64">
        <v>0</v>
      </c>
      <c r="P51" s="64">
        <v>0.82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5" t="s">
        <v>1541</v>
      </c>
      <c r="B52" s="64">
        <v>2.66</v>
      </c>
      <c r="C52" s="64">
        <v>28.4</v>
      </c>
      <c r="D52" s="64">
        <v>31.06</v>
      </c>
      <c r="E52" s="64">
        <v>0.62</v>
      </c>
      <c r="F52" s="64">
        <v>3.42</v>
      </c>
      <c r="G52" s="64">
        <v>84.44</v>
      </c>
      <c r="H52" s="64">
        <v>40.42</v>
      </c>
      <c r="I52" s="64">
        <v>1.46</v>
      </c>
      <c r="J52" s="64">
        <v>0.85</v>
      </c>
      <c r="K52" s="64">
        <v>113.93</v>
      </c>
      <c r="L52" s="64">
        <v>26.51</v>
      </c>
      <c r="M52" s="64">
        <v>55.11</v>
      </c>
      <c r="N52" s="64">
        <v>629.70000000000005</v>
      </c>
      <c r="O52" s="64">
        <v>0</v>
      </c>
      <c r="P52" s="64">
        <v>0.82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5" t="s">
        <v>1542</v>
      </c>
      <c r="B53" s="64">
        <v>2.6</v>
      </c>
      <c r="C53" s="64">
        <v>27.92</v>
      </c>
      <c r="D53" s="64">
        <v>30.53</v>
      </c>
      <c r="E53" s="64">
        <v>0.59</v>
      </c>
      <c r="F53" s="64">
        <v>3.55</v>
      </c>
      <c r="G53" s="64">
        <v>79.94</v>
      </c>
      <c r="H53" s="64">
        <v>39.76</v>
      </c>
      <c r="I53" s="64">
        <v>1.44</v>
      </c>
      <c r="J53" s="64">
        <v>0.56000000000000005</v>
      </c>
      <c r="K53" s="64">
        <v>92.17</v>
      </c>
      <c r="L53" s="64">
        <v>26.24</v>
      </c>
      <c r="M53" s="64">
        <v>55.14</v>
      </c>
      <c r="N53" s="64">
        <v>650.20000000000005</v>
      </c>
      <c r="O53" s="64">
        <v>0</v>
      </c>
      <c r="P53" s="64">
        <v>0.81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5" t="s">
        <v>1543</v>
      </c>
      <c r="B54" s="64">
        <v>2.36</v>
      </c>
      <c r="C54" s="64">
        <v>24.52</v>
      </c>
      <c r="D54" s="64">
        <v>26.87</v>
      </c>
      <c r="E54" s="64">
        <v>0.65</v>
      </c>
      <c r="F54" s="64">
        <v>2.69</v>
      </c>
      <c r="G54" s="64">
        <v>70.48</v>
      </c>
      <c r="H54" s="64">
        <v>38.85</v>
      </c>
      <c r="I54" s="64">
        <v>1.53</v>
      </c>
      <c r="J54" s="64">
        <v>0.55000000000000004</v>
      </c>
      <c r="K54" s="64">
        <v>116.53</v>
      </c>
      <c r="L54" s="64">
        <v>26.52</v>
      </c>
      <c r="M54" s="64">
        <v>52.05</v>
      </c>
      <c r="N54" s="64">
        <v>653.70000000000005</v>
      </c>
      <c r="O54" s="64">
        <v>0</v>
      </c>
      <c r="P54" s="64">
        <v>0.79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5" t="s">
        <v>1544</v>
      </c>
      <c r="B55" s="64">
        <v>2.04</v>
      </c>
      <c r="C55" s="64">
        <v>20.74</v>
      </c>
      <c r="D55" s="64">
        <v>22.78</v>
      </c>
      <c r="E55" s="64">
        <v>0.62</v>
      </c>
      <c r="F55" s="64">
        <v>3.43</v>
      </c>
      <c r="G55" s="64">
        <v>70.48</v>
      </c>
      <c r="H55" s="64">
        <v>38.85</v>
      </c>
      <c r="I55" s="64">
        <v>1.56</v>
      </c>
      <c r="J55" s="64">
        <v>0.72</v>
      </c>
      <c r="K55" s="64">
        <v>117.44</v>
      </c>
      <c r="L55" s="64">
        <v>26.46</v>
      </c>
      <c r="M55" s="64">
        <v>52.49</v>
      </c>
      <c r="N55" s="64">
        <v>631.5</v>
      </c>
      <c r="O55" s="64">
        <v>0</v>
      </c>
      <c r="P55" s="64">
        <v>0.77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1545</v>
      </c>
      <c r="B56" s="64">
        <v>2</v>
      </c>
      <c r="C56" s="64">
        <v>24.83</v>
      </c>
      <c r="D56" s="64">
        <v>26.83</v>
      </c>
      <c r="E56" s="64">
        <v>0.31</v>
      </c>
      <c r="F56" s="64">
        <v>2.2400000000000002</v>
      </c>
      <c r="G56" s="64">
        <v>70.48</v>
      </c>
      <c r="H56" s="64">
        <v>38.85</v>
      </c>
      <c r="I56" s="64">
        <v>1.41</v>
      </c>
      <c r="J56" s="64">
        <v>0.22</v>
      </c>
      <c r="K56" s="64">
        <v>88.4</v>
      </c>
      <c r="L56" s="64">
        <v>26.62</v>
      </c>
      <c r="M56" s="64">
        <v>51.28</v>
      </c>
      <c r="N56" s="64">
        <v>556.9</v>
      </c>
      <c r="O56" s="64">
        <v>0</v>
      </c>
      <c r="P56" s="64">
        <v>0.77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1546</v>
      </c>
      <c r="B57" s="64">
        <v>2</v>
      </c>
      <c r="C57" s="64">
        <v>25.11</v>
      </c>
      <c r="D57" s="64">
        <v>27.11</v>
      </c>
      <c r="E57" s="64">
        <v>0.47</v>
      </c>
      <c r="F57" s="64">
        <v>9.84</v>
      </c>
      <c r="G57" s="64">
        <v>70.59</v>
      </c>
      <c r="H57" s="64">
        <v>37.03</v>
      </c>
      <c r="I57" s="64">
        <v>1.47</v>
      </c>
      <c r="J57" s="64">
        <v>0.92</v>
      </c>
      <c r="K57" s="64">
        <v>112.99</v>
      </c>
      <c r="L57" s="64">
        <v>26.87</v>
      </c>
      <c r="M57" s="64">
        <v>47.77</v>
      </c>
      <c r="N57" s="64">
        <v>471.5</v>
      </c>
      <c r="O57" s="64">
        <v>0</v>
      </c>
      <c r="P57" s="64">
        <v>0.74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1547</v>
      </c>
      <c r="B58" s="210" t="s">
        <v>36</v>
      </c>
      <c r="C58" s="64">
        <v>6.69</v>
      </c>
      <c r="D58" s="64">
        <v>5.32</v>
      </c>
      <c r="E58" s="64">
        <v>0.55000000000000004</v>
      </c>
      <c r="F58" s="64">
        <v>0.17</v>
      </c>
      <c r="G58" s="64">
        <v>70.81</v>
      </c>
      <c r="H58" s="64">
        <v>34.5</v>
      </c>
      <c r="I58" s="64">
        <v>1.5</v>
      </c>
      <c r="J58" s="64">
        <v>0.81</v>
      </c>
      <c r="K58" s="64">
        <v>100.67</v>
      </c>
      <c r="L58" s="64">
        <v>26.03</v>
      </c>
      <c r="M58" s="64">
        <v>44.09</v>
      </c>
      <c r="N58" s="64">
        <v>496.1</v>
      </c>
      <c r="O58" s="64">
        <v>0</v>
      </c>
      <c r="P58" s="26" t="s">
        <v>40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1548</v>
      </c>
      <c r="B59" s="212" t="s">
        <v>40</v>
      </c>
      <c r="C59" s="212" t="s">
        <v>40</v>
      </c>
      <c r="D59" s="212" t="s">
        <v>40</v>
      </c>
      <c r="E59" s="212" t="s">
        <v>40</v>
      </c>
      <c r="F59" s="212" t="s">
        <v>40</v>
      </c>
      <c r="G59" s="64">
        <v>70.81</v>
      </c>
      <c r="H59" s="64">
        <v>34.5</v>
      </c>
      <c r="I59" s="64">
        <v>1.48</v>
      </c>
      <c r="J59" s="64">
        <v>1.07</v>
      </c>
      <c r="K59" s="64">
        <v>112.53</v>
      </c>
      <c r="L59" s="64">
        <v>26.32</v>
      </c>
      <c r="M59" s="64">
        <v>38.31</v>
      </c>
      <c r="N59" s="64">
        <v>563.9</v>
      </c>
      <c r="O59" s="64">
        <v>0</v>
      </c>
      <c r="P59" s="64">
        <v>4.2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1549</v>
      </c>
      <c r="B60" s="212" t="s">
        <v>40</v>
      </c>
      <c r="C60" s="212" t="s">
        <v>40</v>
      </c>
      <c r="D60" s="212" t="s">
        <v>40</v>
      </c>
      <c r="E60" s="212" t="s">
        <v>40</v>
      </c>
      <c r="F60" s="212" t="s">
        <v>40</v>
      </c>
      <c r="G60" s="64">
        <v>70.81</v>
      </c>
      <c r="H60" s="64">
        <v>34.5</v>
      </c>
      <c r="I60" s="64">
        <v>1.49</v>
      </c>
      <c r="J60" s="64">
        <v>0.43</v>
      </c>
      <c r="K60" s="64">
        <v>99.26</v>
      </c>
      <c r="L60" s="64">
        <v>27.33</v>
      </c>
      <c r="M60" s="64">
        <v>38.78</v>
      </c>
      <c r="N60" s="64">
        <v>479.7</v>
      </c>
      <c r="O60" s="64">
        <v>0</v>
      </c>
      <c r="P60" s="64">
        <v>4.67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1550</v>
      </c>
      <c r="B61" s="212" t="s">
        <v>40</v>
      </c>
      <c r="C61" s="212" t="s">
        <v>40</v>
      </c>
      <c r="D61" s="212" t="s">
        <v>40</v>
      </c>
      <c r="E61" s="212" t="s">
        <v>40</v>
      </c>
      <c r="F61" s="64">
        <v>26.09</v>
      </c>
      <c r="G61" s="212" t="s">
        <v>40</v>
      </c>
      <c r="H61" s="212" t="s">
        <v>40</v>
      </c>
      <c r="I61" s="64">
        <v>1.56</v>
      </c>
      <c r="J61" s="64">
        <v>0.26</v>
      </c>
      <c r="K61" s="64">
        <v>96.26</v>
      </c>
      <c r="L61" s="64">
        <v>26.3</v>
      </c>
      <c r="M61" s="64">
        <v>38.89</v>
      </c>
      <c r="N61" s="64">
        <v>279.7</v>
      </c>
      <c r="O61" s="64">
        <v>0</v>
      </c>
      <c r="P61" s="64">
        <v>0.8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1551</v>
      </c>
      <c r="B62" s="64">
        <v>3.1</v>
      </c>
      <c r="C62" s="64">
        <v>7.73</v>
      </c>
      <c r="D62" s="64">
        <v>7.55</v>
      </c>
      <c r="E62" s="212" t="s">
        <v>40</v>
      </c>
      <c r="F62" s="64">
        <v>64.2</v>
      </c>
      <c r="G62" s="212" t="s">
        <v>40</v>
      </c>
      <c r="H62" s="212" t="s">
        <v>40</v>
      </c>
      <c r="I62" s="64">
        <v>1.44</v>
      </c>
      <c r="J62" s="64">
        <v>0.81</v>
      </c>
      <c r="K62" s="64">
        <v>112.07</v>
      </c>
      <c r="L62" s="64">
        <v>26.47</v>
      </c>
      <c r="M62" s="64">
        <v>39.47</v>
      </c>
      <c r="N62" s="64">
        <v>276.3</v>
      </c>
      <c r="O62" s="64">
        <v>0</v>
      </c>
      <c r="P62" s="64">
        <v>0.74</v>
      </c>
      <c r="Q62" s="64">
        <v>4.1500000000000004</v>
      </c>
      <c r="R62" s="198"/>
      <c r="S62" s="198"/>
      <c r="T62" s="198"/>
      <c r="U62" s="198"/>
    </row>
    <row r="63" spans="1:21" s="12" customFormat="1" x14ac:dyDescent="0.25">
      <c r="A63" s="215" t="s">
        <v>1552</v>
      </c>
      <c r="B63" s="64">
        <v>4.2</v>
      </c>
      <c r="C63" s="64">
        <v>33.630000000000003</v>
      </c>
      <c r="D63" s="64">
        <v>22.57</v>
      </c>
      <c r="E63" s="64">
        <v>3.9</v>
      </c>
      <c r="F63" s="64">
        <v>47.66</v>
      </c>
      <c r="G63" s="212" t="s">
        <v>40</v>
      </c>
      <c r="H63" s="212" t="s">
        <v>40</v>
      </c>
      <c r="I63" s="64">
        <v>1.58</v>
      </c>
      <c r="J63" s="64">
        <v>0.16</v>
      </c>
      <c r="K63" s="64">
        <v>28.94</v>
      </c>
      <c r="L63" s="64">
        <v>26.46</v>
      </c>
      <c r="M63" s="64">
        <v>39.99</v>
      </c>
      <c r="N63" s="64">
        <v>296.2</v>
      </c>
      <c r="O63" s="64">
        <v>0</v>
      </c>
      <c r="P63" s="64">
        <v>0.83</v>
      </c>
      <c r="Q63" s="64">
        <v>5.2</v>
      </c>
      <c r="R63" s="198"/>
      <c r="S63" s="198"/>
      <c r="T63" s="198"/>
      <c r="U63" s="198"/>
    </row>
    <row r="64" spans="1:21" s="12" customFormat="1" x14ac:dyDescent="0.25">
      <c r="A64" s="215" t="s">
        <v>1553</v>
      </c>
      <c r="B64" s="64">
        <v>1.82</v>
      </c>
      <c r="C64" s="64">
        <v>25.39</v>
      </c>
      <c r="D64" s="64">
        <v>16.12</v>
      </c>
      <c r="E64" s="64">
        <v>5.01</v>
      </c>
      <c r="F64" s="64">
        <v>62.67</v>
      </c>
      <c r="G64" s="212" t="s">
        <v>40</v>
      </c>
      <c r="H64" s="212" t="s">
        <v>40</v>
      </c>
      <c r="I64" s="64">
        <v>1.49</v>
      </c>
      <c r="J64" s="64">
        <v>0.46</v>
      </c>
      <c r="K64" s="64">
        <v>116.05</v>
      </c>
      <c r="L64" s="64">
        <v>26.38</v>
      </c>
      <c r="M64" s="64">
        <v>38.69</v>
      </c>
      <c r="N64" s="64">
        <v>284.39999999999998</v>
      </c>
      <c r="O64" s="64">
        <v>0</v>
      </c>
      <c r="P64" s="64">
        <v>0.67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1554</v>
      </c>
      <c r="B65" s="64">
        <v>1.73</v>
      </c>
      <c r="C65" s="64">
        <v>28.4</v>
      </c>
      <c r="D65" s="64">
        <v>17.71</v>
      </c>
      <c r="E65" s="64">
        <v>4.3099999999999996</v>
      </c>
      <c r="F65" s="64">
        <v>12.94</v>
      </c>
      <c r="G65" s="210" t="s">
        <v>36</v>
      </c>
      <c r="H65" s="210" t="s">
        <v>36</v>
      </c>
      <c r="I65" s="64">
        <v>1.47</v>
      </c>
      <c r="J65" s="64">
        <v>0.93</v>
      </c>
      <c r="K65" s="64">
        <v>115.17</v>
      </c>
      <c r="L65" s="64">
        <v>26.32</v>
      </c>
      <c r="M65" s="64">
        <v>40.17</v>
      </c>
      <c r="N65" s="64">
        <v>285.89999999999998</v>
      </c>
      <c r="O65" s="64">
        <v>0</v>
      </c>
      <c r="P65" s="64">
        <v>0.78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1555</v>
      </c>
      <c r="B66" s="64">
        <v>1.54</v>
      </c>
      <c r="C66" s="64">
        <v>27.57</v>
      </c>
      <c r="D66" s="64">
        <v>17.09</v>
      </c>
      <c r="E66" s="64">
        <v>3.38</v>
      </c>
      <c r="F66" s="64">
        <v>19.48</v>
      </c>
      <c r="G66" s="210" t="s">
        <v>36</v>
      </c>
      <c r="H66" s="210" t="s">
        <v>36</v>
      </c>
      <c r="I66" s="64">
        <v>1.49</v>
      </c>
      <c r="J66" s="64">
        <v>0.99</v>
      </c>
      <c r="K66" s="64">
        <v>118.19</v>
      </c>
      <c r="L66" s="64">
        <v>26.13</v>
      </c>
      <c r="M66" s="64">
        <v>41.9</v>
      </c>
      <c r="N66" s="64">
        <v>246.5</v>
      </c>
      <c r="O66" s="64">
        <v>0</v>
      </c>
      <c r="P66" s="64">
        <v>0.72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1556</v>
      </c>
      <c r="B67" s="64">
        <v>1.39</v>
      </c>
      <c r="C67" s="64">
        <v>21.83</v>
      </c>
      <c r="D67" s="64">
        <v>13.81</v>
      </c>
      <c r="E67" s="64">
        <v>3.53</v>
      </c>
      <c r="F67" s="64">
        <v>36.47</v>
      </c>
      <c r="G67" s="210" t="s">
        <v>36</v>
      </c>
      <c r="H67" s="210" t="s">
        <v>36</v>
      </c>
      <c r="I67" s="64">
        <v>1.49</v>
      </c>
      <c r="J67" s="64">
        <v>0.57999999999999996</v>
      </c>
      <c r="K67" s="64">
        <v>125.84</v>
      </c>
      <c r="L67" s="64">
        <v>26.09</v>
      </c>
      <c r="M67" s="64">
        <v>40.35</v>
      </c>
      <c r="N67" s="64">
        <v>218.3</v>
      </c>
      <c r="O67" s="64">
        <v>0</v>
      </c>
      <c r="P67" s="64">
        <v>0.69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1557</v>
      </c>
      <c r="B68" s="64">
        <v>1.75</v>
      </c>
      <c r="C68" s="64">
        <v>22.03</v>
      </c>
      <c r="D68" s="64">
        <v>14.2</v>
      </c>
      <c r="E68" s="64">
        <v>4.28</v>
      </c>
      <c r="F68" s="64">
        <v>32.89</v>
      </c>
      <c r="G68" s="210" t="s">
        <v>36</v>
      </c>
      <c r="H68" s="210" t="s">
        <v>36</v>
      </c>
      <c r="I68" s="64">
        <v>1.49</v>
      </c>
      <c r="J68" s="64">
        <v>0.19</v>
      </c>
      <c r="K68" s="64">
        <v>39.630000000000003</v>
      </c>
      <c r="L68" s="64">
        <v>26.45</v>
      </c>
      <c r="M68" s="64">
        <v>41.51</v>
      </c>
      <c r="N68" s="64">
        <v>185.1</v>
      </c>
      <c r="O68" s="64">
        <v>0</v>
      </c>
      <c r="P68" s="64">
        <v>0.76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1558</v>
      </c>
      <c r="B69" s="64">
        <v>1.84</v>
      </c>
      <c r="C69" s="64">
        <v>24.71</v>
      </c>
      <c r="D69" s="64">
        <v>15.76</v>
      </c>
      <c r="E69" s="64">
        <v>3.62</v>
      </c>
      <c r="F69" s="64">
        <v>11.59</v>
      </c>
      <c r="G69" s="210" t="s">
        <v>36</v>
      </c>
      <c r="H69" s="210" t="s">
        <v>36</v>
      </c>
      <c r="I69" s="64">
        <v>1.56</v>
      </c>
      <c r="J69" s="64">
        <v>0.47</v>
      </c>
      <c r="K69" s="64">
        <v>342.19</v>
      </c>
      <c r="L69" s="64">
        <v>26.27</v>
      </c>
      <c r="M69" s="64">
        <v>40.97</v>
      </c>
      <c r="N69" s="64">
        <v>155.9</v>
      </c>
      <c r="O69" s="64">
        <v>0</v>
      </c>
      <c r="P69" s="64">
        <v>0.74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1559</v>
      </c>
      <c r="B70" s="64">
        <v>2.23</v>
      </c>
      <c r="C70" s="64">
        <v>37.840000000000003</v>
      </c>
      <c r="D70" s="64">
        <v>23.32</v>
      </c>
      <c r="E70" s="64">
        <v>3.01</v>
      </c>
      <c r="F70" s="64">
        <v>12.88</v>
      </c>
      <c r="G70" s="64">
        <v>35.700000000000003</v>
      </c>
      <c r="H70" s="64">
        <v>30.6</v>
      </c>
      <c r="I70" s="64">
        <v>1.58</v>
      </c>
      <c r="J70" s="64">
        <v>1</v>
      </c>
      <c r="K70" s="64">
        <v>342.59</v>
      </c>
      <c r="L70" s="64">
        <v>26.45</v>
      </c>
      <c r="M70" s="64">
        <v>40.11</v>
      </c>
      <c r="N70" s="64">
        <v>148.80000000000001</v>
      </c>
      <c r="O70" s="64">
        <v>0</v>
      </c>
      <c r="P70" s="64">
        <v>0.78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1560</v>
      </c>
      <c r="B71" s="64">
        <v>3.57</v>
      </c>
      <c r="C71" s="64">
        <v>32.119999999999997</v>
      </c>
      <c r="D71" s="64">
        <v>21.24</v>
      </c>
      <c r="E71" s="64">
        <v>3.39</v>
      </c>
      <c r="F71" s="64">
        <v>24.57</v>
      </c>
      <c r="G71" s="64">
        <v>35.700000000000003</v>
      </c>
      <c r="H71" s="64">
        <v>30.6</v>
      </c>
      <c r="I71" s="64">
        <v>1.52</v>
      </c>
      <c r="J71" s="64">
        <v>0.51</v>
      </c>
      <c r="K71" s="64">
        <v>352.31</v>
      </c>
      <c r="L71" s="64">
        <v>26.4</v>
      </c>
      <c r="M71" s="64">
        <v>40.450000000000003</v>
      </c>
      <c r="N71" s="64">
        <v>156.9</v>
      </c>
      <c r="O71" s="64">
        <v>0</v>
      </c>
      <c r="P71" s="64">
        <v>0.85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1561</v>
      </c>
      <c r="B72" s="64">
        <v>3.26</v>
      </c>
      <c r="C72" s="64">
        <v>32.15</v>
      </c>
      <c r="D72" s="64">
        <v>21</v>
      </c>
      <c r="E72" s="64">
        <v>3.2</v>
      </c>
      <c r="F72" s="64">
        <v>25.43</v>
      </c>
      <c r="G72" s="64">
        <v>35.700000000000003</v>
      </c>
      <c r="H72" s="64">
        <v>30.6</v>
      </c>
      <c r="I72" s="64">
        <v>1.47</v>
      </c>
      <c r="J72" s="64">
        <v>0.24</v>
      </c>
      <c r="K72" s="64">
        <v>7.08</v>
      </c>
      <c r="L72" s="64">
        <v>26.02</v>
      </c>
      <c r="M72" s="64">
        <v>41.41</v>
      </c>
      <c r="N72" s="64">
        <v>148.9</v>
      </c>
      <c r="O72" s="64">
        <v>0</v>
      </c>
      <c r="P72" s="64">
        <v>0.87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1562</v>
      </c>
      <c r="B73" s="64">
        <v>2.81</v>
      </c>
      <c r="C73" s="64">
        <v>32.18</v>
      </c>
      <c r="D73" s="64">
        <v>20.66</v>
      </c>
      <c r="E73" s="64">
        <v>4.8099999999999996</v>
      </c>
      <c r="F73" s="64">
        <v>39.28</v>
      </c>
      <c r="G73" s="64">
        <v>43.41</v>
      </c>
      <c r="H73" s="64">
        <v>33.770000000000003</v>
      </c>
      <c r="I73" s="64">
        <v>1.54</v>
      </c>
      <c r="J73" s="64">
        <v>0.2</v>
      </c>
      <c r="K73" s="64">
        <v>28.78</v>
      </c>
      <c r="L73" s="64">
        <v>25.7</v>
      </c>
      <c r="M73" s="64">
        <v>41.91</v>
      </c>
      <c r="N73" s="64">
        <v>110.2</v>
      </c>
      <c r="O73" s="64">
        <v>0</v>
      </c>
      <c r="P73" s="64">
        <v>0.86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1563</v>
      </c>
      <c r="B74" s="64">
        <v>3.57</v>
      </c>
      <c r="C74" s="64">
        <v>37.81</v>
      </c>
      <c r="D74" s="64">
        <v>24.37</v>
      </c>
      <c r="E74" s="64">
        <v>5.71</v>
      </c>
      <c r="F74" s="64">
        <v>27.96</v>
      </c>
      <c r="G74" s="64">
        <v>48.55</v>
      </c>
      <c r="H74" s="64">
        <v>34.53</v>
      </c>
      <c r="I74" s="64">
        <v>1.53</v>
      </c>
      <c r="J74" s="64">
        <v>0.1</v>
      </c>
      <c r="K74" s="64">
        <v>26.06</v>
      </c>
      <c r="L74" s="64">
        <v>25.22</v>
      </c>
      <c r="M74" s="64">
        <v>43.21</v>
      </c>
      <c r="N74" s="64">
        <v>74.7</v>
      </c>
      <c r="O74" s="64">
        <v>0</v>
      </c>
      <c r="P74" s="64">
        <v>0.96</v>
      </c>
      <c r="Q74" s="64">
        <v>5.09</v>
      </c>
      <c r="R74" s="198"/>
      <c r="S74" s="198"/>
      <c r="T74" s="198"/>
      <c r="U74" s="198"/>
    </row>
    <row r="75" spans="1:21" s="12" customFormat="1" x14ac:dyDescent="0.25">
      <c r="A75" s="215" t="s">
        <v>1564</v>
      </c>
      <c r="B75" s="64">
        <v>2.33</v>
      </c>
      <c r="C75" s="64">
        <v>35.56</v>
      </c>
      <c r="D75" s="64">
        <v>22.14</v>
      </c>
      <c r="E75" s="64">
        <v>5.9</v>
      </c>
      <c r="F75" s="64">
        <v>43.7</v>
      </c>
      <c r="G75" s="64">
        <v>48.55</v>
      </c>
      <c r="H75" s="64">
        <v>34.53</v>
      </c>
      <c r="I75" s="64">
        <v>1.48</v>
      </c>
      <c r="J75" s="64">
        <v>0.18</v>
      </c>
      <c r="K75" s="64">
        <v>83.57</v>
      </c>
      <c r="L75" s="64">
        <v>24.51</v>
      </c>
      <c r="M75" s="64">
        <v>46.75</v>
      </c>
      <c r="N75" s="64">
        <v>64.099999999999994</v>
      </c>
      <c r="O75" s="64">
        <v>0</v>
      </c>
      <c r="P75" s="64">
        <v>0.9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1565</v>
      </c>
      <c r="B76" s="64">
        <v>3.41</v>
      </c>
      <c r="C76" s="64">
        <v>48.73</v>
      </c>
      <c r="D76" s="64">
        <v>30.27</v>
      </c>
      <c r="E76" s="64">
        <v>5.92</v>
      </c>
      <c r="F76" s="64">
        <v>15.43</v>
      </c>
      <c r="G76" s="64">
        <v>48.55</v>
      </c>
      <c r="H76" s="64">
        <v>34.53</v>
      </c>
      <c r="I76" s="64">
        <v>1.53</v>
      </c>
      <c r="J76" s="64">
        <v>7.0000000000000007E-2</v>
      </c>
      <c r="K76" s="64">
        <v>27.94</v>
      </c>
      <c r="L76" s="64">
        <v>23.68</v>
      </c>
      <c r="M76" s="64">
        <v>54.9</v>
      </c>
      <c r="N76" s="64">
        <v>54.5</v>
      </c>
      <c r="O76" s="64">
        <v>0</v>
      </c>
      <c r="P76" s="64">
        <v>1.23</v>
      </c>
      <c r="Q76" s="64">
        <v>5.15</v>
      </c>
      <c r="R76" s="198"/>
      <c r="S76" s="198"/>
      <c r="T76" s="198"/>
      <c r="U76" s="198"/>
    </row>
    <row r="77" spans="1:21" s="12" customFormat="1" x14ac:dyDescent="0.25">
      <c r="A77" s="215" t="s">
        <v>1566</v>
      </c>
      <c r="B77" s="64">
        <v>8.44</v>
      </c>
      <c r="C77" s="64">
        <v>75.22</v>
      </c>
      <c r="D77" s="64">
        <v>48.93</v>
      </c>
      <c r="E77" s="64">
        <v>4.74</v>
      </c>
      <c r="F77" s="64">
        <v>14.09</v>
      </c>
      <c r="G77" s="64">
        <v>59.5</v>
      </c>
      <c r="H77" s="64">
        <v>35.51</v>
      </c>
      <c r="I77" s="64">
        <v>1.52</v>
      </c>
      <c r="J77" s="64">
        <v>7.0000000000000007E-2</v>
      </c>
      <c r="K77" s="64">
        <v>73.739999999999995</v>
      </c>
      <c r="L77" s="64">
        <v>23.38</v>
      </c>
      <c r="M77" s="64">
        <v>54.7</v>
      </c>
      <c r="N77" s="64">
        <v>45.6</v>
      </c>
      <c r="O77" s="64">
        <v>0</v>
      </c>
      <c r="P77" s="64">
        <v>1.55</v>
      </c>
      <c r="Q77" s="64">
        <v>4.45</v>
      </c>
      <c r="R77" s="198"/>
      <c r="S77" s="198"/>
      <c r="T77" s="198"/>
      <c r="U77" s="198"/>
    </row>
    <row r="78" spans="1:21" s="12" customFormat="1" x14ac:dyDescent="0.25">
      <c r="A78" s="215" t="s">
        <v>1567</v>
      </c>
      <c r="B78" s="64">
        <v>5.4</v>
      </c>
      <c r="C78" s="64">
        <v>75.900000000000006</v>
      </c>
      <c r="D78" s="64">
        <v>46.86</v>
      </c>
      <c r="E78" s="64">
        <v>6.07</v>
      </c>
      <c r="F78" s="64">
        <v>24.36</v>
      </c>
      <c r="G78" s="64">
        <v>66.81</v>
      </c>
      <c r="H78" s="64">
        <v>35.92</v>
      </c>
      <c r="I78" s="64">
        <v>1.43</v>
      </c>
      <c r="J78" s="64">
        <v>0.17</v>
      </c>
      <c r="K78" s="64">
        <v>83.04</v>
      </c>
      <c r="L78" s="64">
        <v>23.09</v>
      </c>
      <c r="M78" s="64">
        <v>56.7</v>
      </c>
      <c r="N78" s="64">
        <v>41.8</v>
      </c>
      <c r="O78" s="64">
        <v>0</v>
      </c>
      <c r="P78" s="64">
        <v>1.65</v>
      </c>
      <c r="Q78" s="64">
        <v>3.45</v>
      </c>
      <c r="R78" s="198"/>
      <c r="S78" s="198"/>
      <c r="T78" s="198"/>
      <c r="U78" s="198"/>
    </row>
    <row r="79" spans="1:21" s="12" customFormat="1" x14ac:dyDescent="0.25">
      <c r="A79" s="215" t="s">
        <v>1568</v>
      </c>
      <c r="B79" s="64">
        <v>3.6</v>
      </c>
      <c r="C79" s="64">
        <v>35.200000000000003</v>
      </c>
      <c r="D79" s="64">
        <v>22.96</v>
      </c>
      <c r="E79" s="64">
        <v>4.67</v>
      </c>
      <c r="F79" s="64">
        <v>5.89</v>
      </c>
      <c r="G79" s="64">
        <v>66.81</v>
      </c>
      <c r="H79" s="64">
        <v>35.92</v>
      </c>
      <c r="I79" s="64">
        <v>1.5</v>
      </c>
      <c r="J79" s="64">
        <v>0.05</v>
      </c>
      <c r="K79" s="64">
        <v>9.6999999999999993</v>
      </c>
      <c r="L79" s="64">
        <v>22.66</v>
      </c>
      <c r="M79" s="64">
        <v>63.68</v>
      </c>
      <c r="N79" s="64">
        <v>41.3</v>
      </c>
      <c r="O79" s="64">
        <v>0</v>
      </c>
      <c r="P79" s="64">
        <v>1.1299999999999999</v>
      </c>
      <c r="Q79" s="64">
        <v>4.9000000000000004</v>
      </c>
      <c r="R79" s="198"/>
      <c r="S79" s="198"/>
      <c r="T79" s="198"/>
      <c r="U79" s="198"/>
    </row>
    <row r="80" spans="1:21" s="12" customFormat="1" x14ac:dyDescent="0.25">
      <c r="A80" s="215" t="s">
        <v>1569</v>
      </c>
      <c r="B80" s="64">
        <v>3.72</v>
      </c>
      <c r="C80" s="64">
        <v>70.59</v>
      </c>
      <c r="D80" s="64">
        <v>42.58</v>
      </c>
      <c r="E80" s="64">
        <v>3.87</v>
      </c>
      <c r="F80" s="64">
        <v>16.13</v>
      </c>
      <c r="G80" s="64">
        <v>66.81</v>
      </c>
      <c r="H80" s="64">
        <v>35.92</v>
      </c>
      <c r="I80" s="64">
        <v>1.54</v>
      </c>
      <c r="J80" s="64">
        <v>0.08</v>
      </c>
      <c r="K80" s="64">
        <v>57.66</v>
      </c>
      <c r="L80" s="64">
        <v>22.15</v>
      </c>
      <c r="M80" s="64">
        <v>61.4</v>
      </c>
      <c r="N80" s="64">
        <v>41.3</v>
      </c>
      <c r="O80" s="64">
        <v>0</v>
      </c>
      <c r="P80" s="64">
        <v>1.64</v>
      </c>
      <c r="Q80" s="64">
        <v>4.13</v>
      </c>
      <c r="R80" s="198"/>
      <c r="S80" s="198"/>
      <c r="T80" s="198"/>
      <c r="U80" s="198"/>
    </row>
    <row r="81" spans="1:26" s="12" customFormat="1" x14ac:dyDescent="0.25">
      <c r="A81" s="215" t="s">
        <v>1570</v>
      </c>
      <c r="B81" s="64">
        <v>19.739999999999998</v>
      </c>
      <c r="C81" s="64">
        <v>64.64</v>
      </c>
      <c r="D81" s="64">
        <v>52.15</v>
      </c>
      <c r="E81" s="64">
        <v>4.75</v>
      </c>
      <c r="F81" s="64">
        <v>7.79</v>
      </c>
      <c r="G81" s="64">
        <v>79.19</v>
      </c>
      <c r="H81" s="64">
        <v>36.700000000000003</v>
      </c>
      <c r="I81" s="64">
        <v>1.6</v>
      </c>
      <c r="J81" s="64">
        <v>0.06</v>
      </c>
      <c r="K81" s="64">
        <v>15.93</v>
      </c>
      <c r="L81" s="64">
        <v>22.31</v>
      </c>
      <c r="M81" s="64">
        <v>60.99</v>
      </c>
      <c r="N81" s="64">
        <v>41.3</v>
      </c>
      <c r="O81" s="64">
        <v>0</v>
      </c>
      <c r="P81" s="64">
        <v>2.02</v>
      </c>
      <c r="Q81" s="64">
        <v>1.87</v>
      </c>
      <c r="R81" s="198"/>
      <c r="S81" s="198"/>
      <c r="T81" s="198"/>
      <c r="U81" s="198"/>
    </row>
    <row r="82" spans="1:26" s="12" customFormat="1" x14ac:dyDescent="0.25">
      <c r="A82" s="215" t="s">
        <v>1571</v>
      </c>
      <c r="B82" s="64">
        <v>14.26</v>
      </c>
      <c r="C82" s="64">
        <v>68.319999999999993</v>
      </c>
      <c r="D82" s="64">
        <v>49.79</v>
      </c>
      <c r="E82" s="64">
        <v>3.33</v>
      </c>
      <c r="F82" s="64">
        <v>5.26</v>
      </c>
      <c r="G82" s="64">
        <v>87.45</v>
      </c>
      <c r="H82" s="64">
        <v>37.01</v>
      </c>
      <c r="I82" s="64">
        <v>1.5</v>
      </c>
      <c r="J82" s="64">
        <v>0.11</v>
      </c>
      <c r="K82" s="64">
        <v>72.78</v>
      </c>
      <c r="L82" s="64">
        <v>22.37</v>
      </c>
      <c r="M82" s="64">
        <v>59.01</v>
      </c>
      <c r="N82" s="64">
        <v>40.6</v>
      </c>
      <c r="O82" s="64">
        <v>0</v>
      </c>
      <c r="P82" s="64">
        <v>1.75</v>
      </c>
      <c r="Q82" s="64">
        <v>2.74</v>
      </c>
      <c r="R82" s="198"/>
      <c r="S82" s="198"/>
      <c r="T82" s="198"/>
      <c r="U82" s="198"/>
    </row>
    <row r="83" spans="1:26" s="12" customFormat="1" x14ac:dyDescent="0.25">
      <c r="A83" s="215" t="s">
        <v>1572</v>
      </c>
      <c r="B83" s="64">
        <v>6.78</v>
      </c>
      <c r="C83" s="64">
        <v>63.22</v>
      </c>
      <c r="D83" s="64">
        <v>40.97</v>
      </c>
      <c r="E83" s="64">
        <v>4.3899999999999997</v>
      </c>
      <c r="F83" s="64">
        <v>18.96</v>
      </c>
      <c r="G83" s="64">
        <v>87.45</v>
      </c>
      <c r="H83" s="64">
        <v>37.01</v>
      </c>
      <c r="I83" s="64">
        <v>1.53</v>
      </c>
      <c r="J83" s="64">
        <v>0.13</v>
      </c>
      <c r="K83" s="64">
        <v>76.78</v>
      </c>
      <c r="L83" s="64">
        <v>22.72</v>
      </c>
      <c r="M83" s="64">
        <v>53.68</v>
      </c>
      <c r="N83" s="64">
        <v>40.200000000000003</v>
      </c>
      <c r="O83" s="64">
        <v>0</v>
      </c>
      <c r="P83" s="64">
        <v>1.6</v>
      </c>
      <c r="Q83" s="64">
        <v>2.3199999999999998</v>
      </c>
      <c r="R83" s="198"/>
      <c r="S83" s="198"/>
      <c r="T83" s="198"/>
      <c r="U83" s="198"/>
    </row>
    <row r="84" spans="1:26" s="12" customFormat="1" x14ac:dyDescent="0.25">
      <c r="A84" s="215" t="s">
        <v>1573</v>
      </c>
      <c r="B84" s="64">
        <v>8.3000000000000007</v>
      </c>
      <c r="C84" s="64">
        <v>56.4</v>
      </c>
      <c r="D84" s="64">
        <v>38.43</v>
      </c>
      <c r="E84" s="64">
        <v>4.63</v>
      </c>
      <c r="F84" s="64">
        <v>14.1</v>
      </c>
      <c r="G84" s="64">
        <v>87.45</v>
      </c>
      <c r="H84" s="64">
        <v>37.01</v>
      </c>
      <c r="I84" s="64">
        <v>1.5</v>
      </c>
      <c r="J84" s="64">
        <v>0.04</v>
      </c>
      <c r="K84" s="64">
        <v>343.02</v>
      </c>
      <c r="L84" s="64">
        <v>22.78</v>
      </c>
      <c r="M84" s="64">
        <v>54.18</v>
      </c>
      <c r="N84" s="64">
        <v>40.6</v>
      </c>
      <c r="O84" s="64">
        <v>0</v>
      </c>
      <c r="P84" s="64">
        <v>1.64</v>
      </c>
      <c r="Q84" s="64">
        <v>3.59</v>
      </c>
      <c r="R84" s="198"/>
      <c r="S84" s="198"/>
      <c r="T84" s="198"/>
      <c r="U84" s="198"/>
    </row>
    <row r="85" spans="1:26" s="12" customFormat="1" x14ac:dyDescent="0.25">
      <c r="A85" s="215" t="s">
        <v>1574</v>
      </c>
      <c r="B85" s="64">
        <v>9.81</v>
      </c>
      <c r="C85" s="64">
        <v>53.85</v>
      </c>
      <c r="D85" s="64">
        <v>38.229999999999997</v>
      </c>
      <c r="E85" s="64">
        <v>4.93</v>
      </c>
      <c r="F85" s="64">
        <v>13.81</v>
      </c>
      <c r="G85" s="64">
        <v>102</v>
      </c>
      <c r="H85" s="64">
        <v>45.06</v>
      </c>
      <c r="I85" s="64">
        <v>1.5</v>
      </c>
      <c r="J85" s="64">
        <v>0.17</v>
      </c>
      <c r="K85" s="64">
        <v>342.5</v>
      </c>
      <c r="L85" s="64">
        <v>22.66</v>
      </c>
      <c r="M85" s="64">
        <v>55.59</v>
      </c>
      <c r="N85" s="64">
        <v>41</v>
      </c>
      <c r="O85" s="64">
        <v>0</v>
      </c>
      <c r="P85" s="64">
        <v>1.55</v>
      </c>
      <c r="Q85" s="64">
        <v>2.72</v>
      </c>
      <c r="R85" s="198"/>
      <c r="S85" s="198"/>
      <c r="T85" s="198"/>
      <c r="U85" s="198"/>
    </row>
    <row r="86" spans="1:26" s="12" customFormat="1" x14ac:dyDescent="0.25">
      <c r="A86" s="215" t="s">
        <v>1575</v>
      </c>
      <c r="B86" s="64">
        <v>9.76</v>
      </c>
      <c r="C86" s="64">
        <v>54.36</v>
      </c>
      <c r="D86" s="64">
        <v>38.47</v>
      </c>
      <c r="E86" s="64">
        <v>4.78</v>
      </c>
      <c r="F86" s="64">
        <v>9.18</v>
      </c>
      <c r="G86" s="64">
        <v>111.7</v>
      </c>
      <c r="H86" s="64">
        <v>47.04</v>
      </c>
      <c r="I86" s="64">
        <v>1.53</v>
      </c>
      <c r="J86" s="64">
        <v>0.1</v>
      </c>
      <c r="K86" s="64">
        <v>350.68</v>
      </c>
      <c r="L86" s="64">
        <v>22.45</v>
      </c>
      <c r="M86" s="64">
        <v>57.79</v>
      </c>
      <c r="N86" s="64">
        <v>41.2</v>
      </c>
      <c r="O86" s="64">
        <v>0</v>
      </c>
      <c r="P86" s="64">
        <v>1.8</v>
      </c>
      <c r="Q86" s="64">
        <v>2.94</v>
      </c>
      <c r="R86" s="198"/>
      <c r="S86" s="198"/>
      <c r="T86" s="198"/>
      <c r="U86" s="198"/>
    </row>
    <row r="87" spans="1:26" s="12" customFormat="1" x14ac:dyDescent="0.25">
      <c r="A87" s="215" t="s">
        <v>1576</v>
      </c>
      <c r="B87" s="64">
        <v>9.44</v>
      </c>
      <c r="C87" s="64">
        <v>52.61</v>
      </c>
      <c r="D87" s="64">
        <v>37.25</v>
      </c>
      <c r="E87" s="64">
        <v>4.58</v>
      </c>
      <c r="F87" s="64">
        <v>9.57</v>
      </c>
      <c r="G87" s="64">
        <v>111.7</v>
      </c>
      <c r="H87" s="64">
        <v>47.04</v>
      </c>
      <c r="I87" s="64">
        <v>1.55</v>
      </c>
      <c r="J87" s="64">
        <v>0.09</v>
      </c>
      <c r="K87" s="64">
        <v>85.68</v>
      </c>
      <c r="L87" s="64">
        <v>22.3</v>
      </c>
      <c r="M87" s="64">
        <v>58.23</v>
      </c>
      <c r="N87" s="64">
        <v>40.700000000000003</v>
      </c>
      <c r="O87" s="64">
        <v>0</v>
      </c>
      <c r="P87" s="64">
        <v>1.73</v>
      </c>
      <c r="Q87" s="64">
        <v>3.44</v>
      </c>
      <c r="R87" s="198"/>
      <c r="S87" s="198"/>
      <c r="T87" s="198"/>
      <c r="U87" s="198"/>
    </row>
    <row r="88" spans="1:26" s="12" customFormat="1" x14ac:dyDescent="0.25">
      <c r="A88" s="215" t="s">
        <v>1577</v>
      </c>
      <c r="B88" s="64">
        <v>6.67</v>
      </c>
      <c r="C88" s="64">
        <v>48.74</v>
      </c>
      <c r="D88" s="64">
        <v>32.89</v>
      </c>
      <c r="E88" s="64">
        <v>3.33</v>
      </c>
      <c r="F88" s="64">
        <v>10.38</v>
      </c>
      <c r="G88" s="64">
        <v>111.7</v>
      </c>
      <c r="H88" s="64">
        <v>47.04</v>
      </c>
      <c r="I88" s="64">
        <v>1.48</v>
      </c>
      <c r="J88" s="64">
        <v>0.16</v>
      </c>
      <c r="K88" s="64">
        <v>95.31</v>
      </c>
      <c r="L88" s="64">
        <v>22.19</v>
      </c>
      <c r="M88" s="64">
        <v>58.8</v>
      </c>
      <c r="N88" s="64">
        <v>41.2</v>
      </c>
      <c r="O88" s="64">
        <v>0</v>
      </c>
      <c r="P88" s="64">
        <v>1.59</v>
      </c>
      <c r="Q88" s="64">
        <v>4.01</v>
      </c>
      <c r="R88" s="198"/>
      <c r="S88" s="198"/>
      <c r="T88" s="198"/>
      <c r="U88" s="198"/>
    </row>
    <row r="89" spans="1:26" s="12" customFormat="1" x14ac:dyDescent="0.25">
      <c r="A89" s="215" t="s">
        <v>1578</v>
      </c>
      <c r="B89" s="64">
        <v>7.07</v>
      </c>
      <c r="C89" s="64">
        <v>56.11</v>
      </c>
      <c r="D89" s="64">
        <v>37.28</v>
      </c>
      <c r="E89" s="64">
        <v>4.21</v>
      </c>
      <c r="F89" s="64">
        <v>12.23</v>
      </c>
      <c r="G89" s="64">
        <v>133.61000000000001</v>
      </c>
      <c r="H89" s="64">
        <v>60.62</v>
      </c>
      <c r="I89" s="64">
        <v>1.53</v>
      </c>
      <c r="J89" s="64">
        <v>0.16</v>
      </c>
      <c r="K89" s="64">
        <v>85.42</v>
      </c>
      <c r="L89" s="64">
        <v>22.05</v>
      </c>
      <c r="M89" s="64">
        <v>59.21</v>
      </c>
      <c r="N89" s="64">
        <v>41.1</v>
      </c>
      <c r="O89" s="64">
        <v>0</v>
      </c>
      <c r="P89" s="64">
        <v>1.67</v>
      </c>
      <c r="Q89" s="64">
        <v>3.85</v>
      </c>
      <c r="R89" s="198"/>
      <c r="S89" s="198"/>
      <c r="T89" s="198"/>
      <c r="U89" s="198"/>
    </row>
    <row r="90" spans="1:26" s="12" customFormat="1" x14ac:dyDescent="0.25">
      <c r="A90" s="215" t="s">
        <v>1579</v>
      </c>
      <c r="B90" s="64">
        <v>6.34</v>
      </c>
      <c r="C90" s="64">
        <v>45.16</v>
      </c>
      <c r="D90" s="64">
        <v>30.65</v>
      </c>
      <c r="E90" s="64">
        <v>4.58</v>
      </c>
      <c r="F90" s="64">
        <v>10.27</v>
      </c>
      <c r="G90" s="64">
        <v>148.21</v>
      </c>
      <c r="H90" s="64">
        <v>63.89</v>
      </c>
      <c r="I90" s="64">
        <v>1.54</v>
      </c>
      <c r="J90" s="64">
        <v>0.06</v>
      </c>
      <c r="K90" s="64">
        <v>76.75</v>
      </c>
      <c r="L90" s="64">
        <v>21.72</v>
      </c>
      <c r="M90" s="64">
        <v>61.02</v>
      </c>
      <c r="N90" s="64">
        <v>41.3</v>
      </c>
      <c r="O90" s="64">
        <v>0</v>
      </c>
      <c r="P90" s="64">
        <v>1.55</v>
      </c>
      <c r="Q90" s="64">
        <v>4.13</v>
      </c>
      <c r="R90" s="198"/>
      <c r="S90" s="198"/>
      <c r="T90" s="198"/>
      <c r="U90" s="198"/>
    </row>
    <row r="91" spans="1:26" s="12" customFormat="1" x14ac:dyDescent="0.25">
      <c r="A91" s="215" t="s">
        <v>1580</v>
      </c>
      <c r="B91" s="64">
        <v>6.39</v>
      </c>
      <c r="C91" s="64">
        <v>43.46</v>
      </c>
      <c r="D91" s="64">
        <v>29.75</v>
      </c>
      <c r="E91" s="64">
        <v>3.42</v>
      </c>
      <c r="F91" s="64">
        <v>10.69</v>
      </c>
      <c r="G91" s="64">
        <v>148.21</v>
      </c>
      <c r="H91" s="64">
        <v>63.89</v>
      </c>
      <c r="I91" s="64">
        <v>1.49</v>
      </c>
      <c r="J91" s="64">
        <v>0.08</v>
      </c>
      <c r="K91" s="64">
        <v>93.39</v>
      </c>
      <c r="L91" s="64">
        <v>21.56</v>
      </c>
      <c r="M91" s="64">
        <v>61.46</v>
      </c>
      <c r="N91" s="64">
        <v>40.9</v>
      </c>
      <c r="O91" s="64">
        <v>0</v>
      </c>
      <c r="P91" s="64">
        <v>1.49</v>
      </c>
      <c r="Q91" s="64">
        <v>4.49</v>
      </c>
      <c r="R91" s="198"/>
      <c r="S91" s="198"/>
      <c r="T91" s="198"/>
      <c r="U91" s="198"/>
    </row>
    <row r="92" spans="1:26" s="12" customFormat="1" x14ac:dyDescent="0.25">
      <c r="A92" s="215" t="s">
        <v>1581</v>
      </c>
      <c r="B92" s="64">
        <v>5.13</v>
      </c>
      <c r="C92" s="64">
        <v>43.18</v>
      </c>
      <c r="D92" s="64">
        <v>28.59</v>
      </c>
      <c r="E92" s="64">
        <v>3.92</v>
      </c>
      <c r="F92" s="64">
        <v>11.3</v>
      </c>
      <c r="G92" s="64">
        <v>148.21</v>
      </c>
      <c r="H92" s="64">
        <v>63.89</v>
      </c>
      <c r="I92" s="64">
        <v>1.41</v>
      </c>
      <c r="J92" s="64">
        <v>0.04</v>
      </c>
      <c r="K92" s="64">
        <v>109.75</v>
      </c>
      <c r="L92" s="64">
        <v>21.36</v>
      </c>
      <c r="M92" s="64">
        <v>64.290000000000006</v>
      </c>
      <c r="N92" s="64">
        <v>41.3</v>
      </c>
      <c r="O92" s="64">
        <v>0</v>
      </c>
      <c r="P92" s="64">
        <v>1.48</v>
      </c>
      <c r="Q92" s="64">
        <v>4.54</v>
      </c>
      <c r="R92" s="198"/>
      <c r="S92" s="198"/>
      <c r="T92" s="198"/>
      <c r="U92" s="198"/>
    </row>
    <row r="93" spans="1:26" s="12" customFormat="1" x14ac:dyDescent="0.25">
      <c r="A93" s="215" t="s">
        <v>1582</v>
      </c>
      <c r="B93" s="64">
        <v>5.99</v>
      </c>
      <c r="C93" s="64">
        <v>49.75</v>
      </c>
      <c r="D93" s="64">
        <v>32.9</v>
      </c>
      <c r="E93" s="64">
        <v>3.22</v>
      </c>
      <c r="F93" s="64">
        <v>7.83</v>
      </c>
      <c r="G93" s="64">
        <v>142.02000000000001</v>
      </c>
      <c r="H93" s="64">
        <v>66.709999999999994</v>
      </c>
      <c r="I93" s="64">
        <v>1.46</v>
      </c>
      <c r="J93" s="64">
        <v>0.11</v>
      </c>
      <c r="K93" s="64">
        <v>46.87</v>
      </c>
      <c r="L93" s="64">
        <v>21.28</v>
      </c>
      <c r="M93" s="64">
        <v>63.44</v>
      </c>
      <c r="N93" s="64">
        <v>41</v>
      </c>
      <c r="O93" s="64">
        <v>0</v>
      </c>
      <c r="P93" s="64">
        <v>1.58</v>
      </c>
      <c r="Q93" s="64">
        <v>4.54</v>
      </c>
      <c r="R93" s="198"/>
      <c r="S93" s="198"/>
      <c r="T93" s="198"/>
      <c r="U93" s="198"/>
    </row>
    <row r="94" spans="1:26" s="12" customFormat="1" x14ac:dyDescent="0.25">
      <c r="A94" s="215" t="s">
        <v>1583</v>
      </c>
      <c r="B94" s="64">
        <v>5.86</v>
      </c>
      <c r="C94" s="64">
        <v>45.79</v>
      </c>
      <c r="D94" s="64">
        <v>30.62</v>
      </c>
      <c r="E94" s="64">
        <v>3.66</v>
      </c>
      <c r="F94" s="64">
        <v>9.9499999999999993</v>
      </c>
      <c r="G94" s="64">
        <v>137.88999999999999</v>
      </c>
      <c r="H94" s="64">
        <v>67.89</v>
      </c>
      <c r="I94" s="64">
        <v>1.51</v>
      </c>
      <c r="J94" s="64">
        <v>0.12</v>
      </c>
      <c r="K94" s="64">
        <v>51.5</v>
      </c>
      <c r="L94" s="64">
        <v>21.15</v>
      </c>
      <c r="M94" s="64">
        <v>63.35</v>
      </c>
      <c r="N94" s="64">
        <v>41.3</v>
      </c>
      <c r="O94" s="64">
        <v>0</v>
      </c>
      <c r="P94" s="64">
        <v>1.58</v>
      </c>
      <c r="Q94" s="64">
        <v>4.21</v>
      </c>
      <c r="R94" s="198"/>
      <c r="S94" s="198"/>
      <c r="T94" s="198"/>
      <c r="U94" s="198"/>
    </row>
    <row r="95" spans="1:26" s="12" customFormat="1" x14ac:dyDescent="0.25">
      <c r="A95" s="215" t="s">
        <v>1584</v>
      </c>
      <c r="B95" s="64">
        <v>6.37</v>
      </c>
      <c r="C95" s="64">
        <v>40.07</v>
      </c>
      <c r="D95" s="64">
        <v>27.87</v>
      </c>
      <c r="E95" s="64">
        <v>3.13</v>
      </c>
      <c r="F95" s="64">
        <v>4.71</v>
      </c>
      <c r="G95" s="64">
        <v>137.88999999999999</v>
      </c>
      <c r="H95" s="64">
        <v>67.89</v>
      </c>
      <c r="I95" s="64">
        <v>1.53</v>
      </c>
      <c r="J95" s="64">
        <v>0.04</v>
      </c>
      <c r="K95" s="64">
        <v>341.58</v>
      </c>
      <c r="L95" s="64">
        <v>20.69</v>
      </c>
      <c r="M95" s="64">
        <v>67.3</v>
      </c>
      <c r="N95" s="64">
        <v>41.6</v>
      </c>
      <c r="O95" s="64">
        <v>0</v>
      </c>
      <c r="P95" s="64">
        <v>1.56</v>
      </c>
      <c r="Q95" s="64">
        <v>4.59</v>
      </c>
      <c r="R95" s="198"/>
      <c r="S95" s="198"/>
      <c r="T95" s="198"/>
      <c r="U95" s="198"/>
    </row>
    <row r="96" spans="1:26" s="12" customFormat="1" x14ac:dyDescent="0.25">
      <c r="A96" s="215" t="s">
        <v>1585</v>
      </c>
      <c r="B96" s="64">
        <v>6.89</v>
      </c>
      <c r="C96" s="64">
        <v>43.67</v>
      </c>
      <c r="D96" s="64">
        <v>30.27</v>
      </c>
      <c r="E96" s="64">
        <v>3.08</v>
      </c>
      <c r="F96" s="64">
        <v>5.74</v>
      </c>
      <c r="G96" s="64">
        <v>137.88999999999999</v>
      </c>
      <c r="H96" s="64">
        <v>67.89</v>
      </c>
      <c r="I96" s="64">
        <v>1.46</v>
      </c>
      <c r="J96" s="64">
        <v>0.06</v>
      </c>
      <c r="K96" s="64">
        <v>323.67</v>
      </c>
      <c r="L96" s="64">
        <v>20.16</v>
      </c>
      <c r="M96" s="64">
        <v>72.540000000000006</v>
      </c>
      <c r="N96" s="64">
        <v>41.5</v>
      </c>
      <c r="O96" s="64">
        <v>0</v>
      </c>
      <c r="P96" s="64">
        <v>1.61</v>
      </c>
      <c r="Q96" s="64">
        <v>4.17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1586</v>
      </c>
      <c r="B97" s="64">
        <v>5.95</v>
      </c>
      <c r="C97" s="64">
        <v>41.5</v>
      </c>
      <c r="D97" s="64">
        <v>28.32</v>
      </c>
      <c r="E97" s="64">
        <v>3.19</v>
      </c>
      <c r="F97" s="64">
        <v>7.55</v>
      </c>
      <c r="G97" s="64">
        <v>137.05000000000001</v>
      </c>
      <c r="H97" s="64">
        <v>69.709999999999994</v>
      </c>
      <c r="I97" s="64">
        <v>1.47</v>
      </c>
      <c r="J97" s="64">
        <v>0.06</v>
      </c>
      <c r="K97" s="64">
        <v>76.650000000000006</v>
      </c>
      <c r="L97" s="64">
        <v>20.29</v>
      </c>
      <c r="M97" s="64">
        <v>69.459999999999994</v>
      </c>
      <c r="N97" s="64">
        <v>41</v>
      </c>
      <c r="O97" s="64">
        <v>0</v>
      </c>
      <c r="P97" s="64">
        <v>1.52</v>
      </c>
      <c r="Q97" s="64">
        <v>4.4400000000000004</v>
      </c>
      <c r="R97" s="198"/>
      <c r="S97" s="198"/>
      <c r="T97" s="198"/>
      <c r="U97" s="198"/>
    </row>
    <row r="98" spans="1:33" s="12" customFormat="1" x14ac:dyDescent="0.25">
      <c r="A98" s="215" t="s">
        <v>1587</v>
      </c>
      <c r="B98" s="64">
        <v>5.91</v>
      </c>
      <c r="C98" s="64">
        <v>38.67</v>
      </c>
      <c r="D98" s="64">
        <v>26.73</v>
      </c>
      <c r="E98" s="64">
        <v>3.27</v>
      </c>
      <c r="F98" s="64">
        <v>9.14</v>
      </c>
      <c r="G98" s="64">
        <v>136.47999999999999</v>
      </c>
      <c r="H98" s="64">
        <v>70.16</v>
      </c>
      <c r="I98" s="64">
        <v>1.48</v>
      </c>
      <c r="J98" s="64">
        <v>0.13</v>
      </c>
      <c r="K98" s="64">
        <v>83.05</v>
      </c>
      <c r="L98" s="64">
        <v>20.46</v>
      </c>
      <c r="M98" s="64">
        <v>68.03</v>
      </c>
      <c r="N98" s="64">
        <v>41</v>
      </c>
      <c r="O98" s="64">
        <v>0</v>
      </c>
      <c r="P98" s="64">
        <v>1.48</v>
      </c>
      <c r="Q98" s="64">
        <v>4.5999999999999996</v>
      </c>
      <c r="R98" s="198"/>
      <c r="S98" s="198"/>
      <c r="T98" s="198"/>
      <c r="U98" s="198"/>
    </row>
    <row r="99" spans="1:33" s="12" customFormat="1" x14ac:dyDescent="0.25">
      <c r="A99" s="215" t="s">
        <v>1588</v>
      </c>
      <c r="B99" s="64">
        <v>5.85</v>
      </c>
      <c r="C99" s="64">
        <v>38.43</v>
      </c>
      <c r="D99" s="64">
        <v>26.55</v>
      </c>
      <c r="E99" s="64">
        <v>3.21</v>
      </c>
      <c r="F99" s="64">
        <v>8.49</v>
      </c>
      <c r="G99" s="64">
        <v>136.47999999999999</v>
      </c>
      <c r="H99" s="64">
        <v>70.16</v>
      </c>
      <c r="I99" s="64">
        <v>1.46</v>
      </c>
      <c r="J99" s="64">
        <v>0.08</v>
      </c>
      <c r="K99" s="64">
        <v>155.30000000000001</v>
      </c>
      <c r="L99" s="64">
        <v>20.52</v>
      </c>
      <c r="M99" s="64">
        <v>67.48</v>
      </c>
      <c r="N99" s="64">
        <v>41.3</v>
      </c>
      <c r="O99" s="64">
        <v>0</v>
      </c>
      <c r="P99" s="64">
        <v>1.46</v>
      </c>
      <c r="Q99" s="64">
        <v>4.58</v>
      </c>
      <c r="R99" s="198"/>
      <c r="S99" s="198"/>
      <c r="T99" s="198"/>
      <c r="U99" s="198"/>
    </row>
    <row r="100" spans="1:33" s="12" customFormat="1" x14ac:dyDescent="0.25">
      <c r="A100" s="215" t="s">
        <v>1589</v>
      </c>
      <c r="B100" s="64">
        <v>6.02</v>
      </c>
      <c r="C100" s="64">
        <v>36.840000000000003</v>
      </c>
      <c r="D100" s="64">
        <v>25.81</v>
      </c>
      <c r="E100" s="64">
        <v>3.16</v>
      </c>
      <c r="F100" s="64">
        <v>5.81</v>
      </c>
      <c r="G100" s="64">
        <v>136.47999999999999</v>
      </c>
      <c r="H100" s="64">
        <v>70.16</v>
      </c>
      <c r="I100" s="64">
        <v>1.51</v>
      </c>
      <c r="J100" s="64">
        <v>0.25</v>
      </c>
      <c r="K100" s="64">
        <v>116.19</v>
      </c>
      <c r="L100" s="64">
        <v>20.53</v>
      </c>
      <c r="M100" s="64">
        <v>66.900000000000006</v>
      </c>
      <c r="N100" s="64">
        <v>41.3</v>
      </c>
      <c r="O100" s="64">
        <v>0</v>
      </c>
      <c r="P100" s="64">
        <v>1.47</v>
      </c>
      <c r="Q100" s="64">
        <v>4.72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1590</v>
      </c>
      <c r="B101" s="64">
        <v>5.69</v>
      </c>
      <c r="C101" s="64">
        <v>30.27</v>
      </c>
      <c r="D101" s="64">
        <v>21.92</v>
      </c>
      <c r="E101" s="64">
        <v>3.28</v>
      </c>
      <c r="F101" s="64">
        <v>8.1199999999999992</v>
      </c>
      <c r="G101" s="64">
        <v>120.67</v>
      </c>
      <c r="H101" s="64">
        <v>66.25</v>
      </c>
      <c r="I101" s="64">
        <v>1.61</v>
      </c>
      <c r="J101" s="64">
        <v>0.49</v>
      </c>
      <c r="K101" s="64">
        <v>104.91</v>
      </c>
      <c r="L101" s="64">
        <v>20.8</v>
      </c>
      <c r="M101" s="64">
        <v>65.150000000000006</v>
      </c>
      <c r="N101" s="64">
        <v>41.1</v>
      </c>
      <c r="O101" s="64">
        <v>0</v>
      </c>
      <c r="P101" s="64">
        <v>1.43</v>
      </c>
      <c r="Q101" s="64">
        <v>5.21</v>
      </c>
      <c r="R101" s="198"/>
      <c r="S101" s="198"/>
      <c r="T101" s="198"/>
      <c r="U101" s="198"/>
    </row>
    <row r="102" spans="1:33" s="12" customFormat="1" x14ac:dyDescent="0.25">
      <c r="A102" s="215" t="s">
        <v>1591</v>
      </c>
      <c r="B102" s="64">
        <v>5.69</v>
      </c>
      <c r="C102" s="64">
        <v>32.4</v>
      </c>
      <c r="D102" s="64">
        <v>23.09</v>
      </c>
      <c r="E102" s="64">
        <v>2.92</v>
      </c>
      <c r="F102" s="64">
        <v>4.41</v>
      </c>
      <c r="G102" s="64">
        <v>110.13</v>
      </c>
      <c r="H102" s="64">
        <v>65.31</v>
      </c>
      <c r="I102" s="64">
        <v>1.52</v>
      </c>
      <c r="J102" s="64">
        <v>1.03</v>
      </c>
      <c r="K102" s="64">
        <v>100.37</v>
      </c>
      <c r="L102" s="64">
        <v>20.89</v>
      </c>
      <c r="M102" s="64">
        <v>64.150000000000006</v>
      </c>
      <c r="N102" s="64">
        <v>40.9</v>
      </c>
      <c r="O102" s="64">
        <v>0</v>
      </c>
      <c r="P102" s="64">
        <v>1.45</v>
      </c>
      <c r="Q102" s="64">
        <v>5.21</v>
      </c>
      <c r="R102" s="198"/>
      <c r="S102" s="198"/>
      <c r="T102" s="198"/>
      <c r="U102" s="198"/>
    </row>
    <row r="103" spans="1:33" s="12" customFormat="1" x14ac:dyDescent="0.25">
      <c r="A103" s="215" t="s">
        <v>1592</v>
      </c>
      <c r="B103" s="64">
        <v>5.32</v>
      </c>
      <c r="C103" s="64">
        <v>28.02</v>
      </c>
      <c r="D103" s="64">
        <v>20.37</v>
      </c>
      <c r="E103" s="64">
        <v>2.97</v>
      </c>
      <c r="F103" s="64">
        <v>4.97</v>
      </c>
      <c r="G103" s="64">
        <v>110.13</v>
      </c>
      <c r="H103" s="64">
        <v>65.31</v>
      </c>
      <c r="I103" s="64">
        <v>1.46</v>
      </c>
      <c r="J103" s="64">
        <v>0.7</v>
      </c>
      <c r="K103" s="64">
        <v>102.32</v>
      </c>
      <c r="L103" s="64">
        <v>20.7</v>
      </c>
      <c r="M103" s="64">
        <v>66.010000000000005</v>
      </c>
      <c r="N103" s="64">
        <v>41.8</v>
      </c>
      <c r="O103" s="64">
        <v>0</v>
      </c>
      <c r="P103" s="64">
        <v>1.42</v>
      </c>
      <c r="Q103" s="64">
        <v>5.21</v>
      </c>
      <c r="R103" s="198"/>
      <c r="S103" s="198"/>
      <c r="T103" s="198"/>
      <c r="U103" s="198"/>
    </row>
    <row r="104" spans="1:33" s="12" customFormat="1" x14ac:dyDescent="0.25">
      <c r="A104" s="215" t="s">
        <v>1593</v>
      </c>
      <c r="B104" s="64">
        <v>4.95</v>
      </c>
      <c r="C104" s="64">
        <v>31.79</v>
      </c>
      <c r="D104" s="64">
        <v>22.16</v>
      </c>
      <c r="E104" s="64">
        <v>2.54</v>
      </c>
      <c r="F104" s="64">
        <v>3.92</v>
      </c>
      <c r="G104" s="64">
        <v>110.13</v>
      </c>
      <c r="H104" s="64">
        <v>65.31</v>
      </c>
      <c r="I104" s="64">
        <v>1.45</v>
      </c>
      <c r="J104" s="64">
        <v>0.86</v>
      </c>
      <c r="K104" s="64">
        <v>104.86</v>
      </c>
      <c r="L104" s="64">
        <v>20.37</v>
      </c>
      <c r="M104" s="64">
        <v>67.92</v>
      </c>
      <c r="N104" s="64">
        <v>41.7</v>
      </c>
      <c r="O104" s="64">
        <v>0</v>
      </c>
      <c r="P104" s="64">
        <v>1.38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1.39</v>
      </c>
      <c r="C106" s="67">
        <f>MIN(C9:C104)</f>
        <v>6.69</v>
      </c>
      <c r="D106" s="67">
        <f t="shared" ref="D106:Q106" si="0">MIN(D9:D104)</f>
        <v>5.32</v>
      </c>
      <c r="E106" s="67">
        <f t="shared" si="0"/>
        <v>0.26</v>
      </c>
      <c r="F106" s="67">
        <f t="shared" si="0"/>
        <v>0.15</v>
      </c>
      <c r="G106" s="67">
        <f t="shared" si="0"/>
        <v>35.700000000000003</v>
      </c>
      <c r="H106" s="67">
        <f t="shared" si="0"/>
        <v>30.6</v>
      </c>
      <c r="I106" s="67">
        <f t="shared" si="0"/>
        <v>1.39</v>
      </c>
      <c r="J106" s="67">
        <f t="shared" si="0"/>
        <v>0.01</v>
      </c>
      <c r="K106" s="67">
        <f t="shared" si="0"/>
        <v>0.71</v>
      </c>
      <c r="L106" s="67">
        <f t="shared" si="0"/>
        <v>17.420000000000002</v>
      </c>
      <c r="M106" s="67">
        <f t="shared" si="0"/>
        <v>38.31</v>
      </c>
      <c r="N106" s="67">
        <f t="shared" si="0"/>
        <v>31.2</v>
      </c>
      <c r="O106" s="67">
        <f t="shared" si="0"/>
        <v>0</v>
      </c>
      <c r="P106" s="67">
        <f t="shared" si="0"/>
        <v>0.67</v>
      </c>
      <c r="Q106" s="67">
        <f t="shared" si="0"/>
        <v>1.87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19.739999999999998</v>
      </c>
      <c r="C107" s="66">
        <f t="shared" ref="C107:Q107" si="1">MAX(C9:C104)</f>
        <v>75.900000000000006</v>
      </c>
      <c r="D107" s="66">
        <f t="shared" si="1"/>
        <v>52.15</v>
      </c>
      <c r="E107" s="66">
        <f t="shared" si="1"/>
        <v>6.07</v>
      </c>
      <c r="F107" s="66">
        <f t="shared" si="1"/>
        <v>64.2</v>
      </c>
      <c r="G107" s="66">
        <f t="shared" si="1"/>
        <v>148.21</v>
      </c>
      <c r="H107" s="66">
        <f t="shared" si="1"/>
        <v>83.23</v>
      </c>
      <c r="I107" s="66">
        <f t="shared" si="1"/>
        <v>1.61</v>
      </c>
      <c r="J107" s="66">
        <f t="shared" si="1"/>
        <v>1.07</v>
      </c>
      <c r="K107" s="66">
        <f t="shared" si="1"/>
        <v>356.8</v>
      </c>
      <c r="L107" s="66">
        <f t="shared" si="1"/>
        <v>27.33</v>
      </c>
      <c r="M107" s="66">
        <f t="shared" si="1"/>
        <v>92.75</v>
      </c>
      <c r="N107" s="66">
        <f t="shared" si="1"/>
        <v>653.70000000000005</v>
      </c>
      <c r="O107" s="66">
        <f t="shared" si="1"/>
        <v>0</v>
      </c>
      <c r="P107" s="66">
        <f t="shared" si="1"/>
        <v>4.67</v>
      </c>
      <c r="Q107" s="66">
        <f t="shared" si="1"/>
        <v>5.21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5.092065217391303</v>
      </c>
      <c r="C108" s="67">
        <f t="shared" ref="C108:Q108" si="2">AVERAGE(C9:C104)</f>
        <v>34.46720430107527</v>
      </c>
      <c r="D108" s="67">
        <f t="shared" si="2"/>
        <v>30.548064516129021</v>
      </c>
      <c r="E108" s="67">
        <f t="shared" si="2"/>
        <v>2.1457608695652173</v>
      </c>
      <c r="F108" s="67">
        <f t="shared" si="2"/>
        <v>9.1744680851063833</v>
      </c>
      <c r="G108" s="67">
        <f t="shared" si="2"/>
        <v>96.53459770114938</v>
      </c>
      <c r="H108" s="67">
        <f t="shared" si="2"/>
        <v>48.035517241379324</v>
      </c>
      <c r="I108" s="67">
        <f t="shared" si="2"/>
        <v>1.5</v>
      </c>
      <c r="J108" s="67">
        <f t="shared" si="2"/>
        <v>0.34104166666666652</v>
      </c>
      <c r="K108" s="67">
        <f t="shared" si="2"/>
        <v>161.05656250000001</v>
      </c>
      <c r="L108" s="67">
        <f t="shared" si="2"/>
        <v>21.968958333333337</v>
      </c>
      <c r="M108" s="67">
        <f t="shared" si="2"/>
        <v>64.414166666666645</v>
      </c>
      <c r="N108" s="67">
        <f t="shared" si="2"/>
        <v>169.81874999999999</v>
      </c>
      <c r="O108" s="67">
        <f t="shared" si="2"/>
        <v>0</v>
      </c>
      <c r="P108" s="67">
        <f t="shared" si="2"/>
        <v>1.178421052631579</v>
      </c>
      <c r="Q108" s="67">
        <f t="shared" si="2"/>
        <v>4.8676041666666636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2.6454840384885636</v>
      </c>
      <c r="C109" s="67">
        <f t="shared" ref="C109:Q109" si="3">STDEV(C9:C104)</f>
        <v>12.828615039755521</v>
      </c>
      <c r="D109" s="67">
        <f t="shared" si="3"/>
        <v>8.2098721403570156</v>
      </c>
      <c r="E109" s="67">
        <f t="shared" si="3"/>
        <v>1.8202525085645402</v>
      </c>
      <c r="F109" s="67">
        <f t="shared" si="3"/>
        <v>12.990836440909195</v>
      </c>
      <c r="G109" s="67">
        <f t="shared" si="3"/>
        <v>30.847265032911668</v>
      </c>
      <c r="H109" s="67">
        <f t="shared" si="3"/>
        <v>13.148309269558368</v>
      </c>
      <c r="I109" s="67">
        <f t="shared" si="3"/>
        <v>4.5189658807717269E-2</v>
      </c>
      <c r="J109" s="67">
        <f t="shared" si="3"/>
        <v>0.29864423180932609</v>
      </c>
      <c r="K109" s="67">
        <f t="shared" si="3"/>
        <v>115.94036887286072</v>
      </c>
      <c r="L109" s="67">
        <f t="shared" si="3"/>
        <v>3.1852269122396697</v>
      </c>
      <c r="M109" s="67">
        <f t="shared" si="3"/>
        <v>15.899431215690065</v>
      </c>
      <c r="N109" s="67">
        <f t="shared" si="3"/>
        <v>198.21682296892658</v>
      </c>
      <c r="O109" s="67">
        <f t="shared" si="3"/>
        <v>0</v>
      </c>
      <c r="P109" s="67">
        <f t="shared" si="3"/>
        <v>0.57968317793956592</v>
      </c>
      <c r="Q109" s="67">
        <f t="shared" si="3"/>
        <v>0.70698729950876049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>COUNT(C9:C104)+3</f>
        <v>96</v>
      </c>
      <c r="D110" s="66">
        <f>COUNT(D9:D104)+3</f>
        <v>96</v>
      </c>
      <c r="E110" s="66">
        <f>COUNT(E9:E104)+4</f>
        <v>96</v>
      </c>
      <c r="F110" s="66">
        <f>COUNT(F9:F104)+2</f>
        <v>96</v>
      </c>
      <c r="G110" s="66">
        <f>COUNT(G9:G104)+9</f>
        <v>96</v>
      </c>
      <c r="H110" s="66">
        <f>COUNT(H9:H104)+9</f>
        <v>96</v>
      </c>
      <c r="I110" s="66">
        <f>COUNT(I9:I104)</f>
        <v>96</v>
      </c>
      <c r="J110" s="66">
        <f>COUNT(J9:J104)</f>
        <v>96</v>
      </c>
      <c r="K110" s="66">
        <f t="shared" ref="K110:Q110" si="4">COUNT(K9:K104)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COUNT(P9:P104)+1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5" sqref="G13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1594</v>
      </c>
      <c r="B9" s="64">
        <v>4.58</v>
      </c>
      <c r="C9" s="64">
        <v>26.7</v>
      </c>
      <c r="D9" s="64">
        <v>19.05</v>
      </c>
      <c r="E9" s="64">
        <v>2.89</v>
      </c>
      <c r="F9" s="64">
        <v>4.33</v>
      </c>
      <c r="G9" s="64">
        <v>100.44</v>
      </c>
      <c r="H9" s="64">
        <v>58.5</v>
      </c>
      <c r="I9" s="64">
        <v>1.53</v>
      </c>
      <c r="J9" s="64">
        <v>1.5</v>
      </c>
      <c r="K9" s="64">
        <v>101.12</v>
      </c>
      <c r="L9" s="64">
        <v>20.309999999999999</v>
      </c>
      <c r="M9" s="64">
        <v>68.66</v>
      </c>
      <c r="N9" s="64">
        <v>41.7</v>
      </c>
      <c r="O9" s="64">
        <v>0</v>
      </c>
      <c r="P9" s="64">
        <v>1.36</v>
      </c>
      <c r="Q9" s="64">
        <v>5.21</v>
      </c>
      <c r="R9" s="198"/>
      <c r="S9" s="198"/>
      <c r="T9" s="198"/>
      <c r="U9" s="198"/>
    </row>
    <row r="10" spans="1:21" s="12" customFormat="1" x14ac:dyDescent="0.25">
      <c r="A10" s="215" t="s">
        <v>1595</v>
      </c>
      <c r="B10" s="64">
        <v>4.32</v>
      </c>
      <c r="C10" s="64">
        <v>31.55</v>
      </c>
      <c r="D10" s="64">
        <v>21.52</v>
      </c>
      <c r="E10" s="64">
        <v>2.71</v>
      </c>
      <c r="F10" s="64">
        <v>3.7</v>
      </c>
      <c r="G10" s="64">
        <v>93.98</v>
      </c>
      <c r="H10" s="64">
        <v>56.86</v>
      </c>
      <c r="I10" s="64">
        <v>1.51</v>
      </c>
      <c r="J10" s="64">
        <v>1.43</v>
      </c>
      <c r="K10" s="64">
        <v>98.6</v>
      </c>
      <c r="L10" s="64">
        <v>20.18</v>
      </c>
      <c r="M10" s="64">
        <v>70.599999999999994</v>
      </c>
      <c r="N10" s="64">
        <v>42</v>
      </c>
      <c r="O10" s="64">
        <v>0</v>
      </c>
      <c r="P10" s="64">
        <v>1.33</v>
      </c>
      <c r="Q10" s="64">
        <v>5.21</v>
      </c>
      <c r="R10" s="198"/>
      <c r="S10" s="198"/>
      <c r="T10" s="198"/>
      <c r="U10" s="198"/>
    </row>
    <row r="11" spans="1:21" s="12" customFormat="1" x14ac:dyDescent="0.25">
      <c r="A11" s="215" t="s">
        <v>1596</v>
      </c>
      <c r="B11" s="64">
        <v>3.98</v>
      </c>
      <c r="C11" s="64">
        <v>28.42</v>
      </c>
      <c r="D11" s="64">
        <v>19.52</v>
      </c>
      <c r="E11" s="64">
        <v>2.91</v>
      </c>
      <c r="F11" s="64">
        <v>4.09</v>
      </c>
      <c r="G11" s="64">
        <v>93.98</v>
      </c>
      <c r="H11" s="64">
        <v>56.86</v>
      </c>
      <c r="I11" s="64">
        <v>1.49</v>
      </c>
      <c r="J11" s="64">
        <v>0.95</v>
      </c>
      <c r="K11" s="64">
        <v>92.75</v>
      </c>
      <c r="L11" s="64">
        <v>19.98</v>
      </c>
      <c r="M11" s="64">
        <v>73.19</v>
      </c>
      <c r="N11" s="64">
        <v>42.3</v>
      </c>
      <c r="O11" s="64">
        <v>0</v>
      </c>
      <c r="P11" s="64">
        <v>1.27</v>
      </c>
      <c r="Q11" s="64">
        <v>5.21</v>
      </c>
      <c r="R11" s="198"/>
      <c r="S11" s="198"/>
      <c r="T11" s="198"/>
      <c r="U11" s="198"/>
    </row>
    <row r="12" spans="1:21" s="12" customFormat="1" x14ac:dyDescent="0.25">
      <c r="A12" s="215" t="s">
        <v>1597</v>
      </c>
      <c r="B12" s="64">
        <v>3.71</v>
      </c>
      <c r="C12" s="64">
        <v>27.38</v>
      </c>
      <c r="D12" s="64">
        <v>18.73</v>
      </c>
      <c r="E12" s="64">
        <v>3.04</v>
      </c>
      <c r="F12" s="64">
        <v>6.05</v>
      </c>
      <c r="G12" s="64">
        <v>93.98</v>
      </c>
      <c r="H12" s="64">
        <v>56.86</v>
      </c>
      <c r="I12" s="64">
        <v>1.58</v>
      </c>
      <c r="J12" s="64">
        <v>0.66</v>
      </c>
      <c r="K12" s="64">
        <v>110.81</v>
      </c>
      <c r="L12" s="64">
        <v>19.79</v>
      </c>
      <c r="M12" s="64">
        <v>76.62</v>
      </c>
      <c r="N12" s="64">
        <v>42.1</v>
      </c>
      <c r="O12" s="64">
        <v>0</v>
      </c>
      <c r="P12" s="64">
        <v>1.22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5" t="s">
        <v>1598</v>
      </c>
      <c r="B13" s="64">
        <v>3.64</v>
      </c>
      <c r="C13" s="64">
        <v>27.74</v>
      </c>
      <c r="D13" s="64">
        <v>18.87</v>
      </c>
      <c r="E13" s="64">
        <v>2.99</v>
      </c>
      <c r="F13" s="64">
        <v>5.91</v>
      </c>
      <c r="G13" s="64">
        <v>85.03</v>
      </c>
      <c r="H13" s="64">
        <v>51.49</v>
      </c>
      <c r="I13" s="64">
        <v>1.45</v>
      </c>
      <c r="J13" s="64">
        <v>0.52</v>
      </c>
      <c r="K13" s="64">
        <v>107.91</v>
      </c>
      <c r="L13" s="64">
        <v>19.77</v>
      </c>
      <c r="M13" s="64">
        <v>78.45</v>
      </c>
      <c r="N13" s="64">
        <v>42</v>
      </c>
      <c r="O13" s="64">
        <v>0</v>
      </c>
      <c r="P13" s="64">
        <v>1.17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5" t="s">
        <v>1599</v>
      </c>
      <c r="B14" s="64">
        <v>3.63</v>
      </c>
      <c r="C14" s="64">
        <v>27.77</v>
      </c>
      <c r="D14" s="64">
        <v>18.88</v>
      </c>
      <c r="E14" s="64">
        <v>2.88</v>
      </c>
      <c r="F14" s="64">
        <v>6.43</v>
      </c>
      <c r="G14" s="64">
        <v>78.790000000000006</v>
      </c>
      <c r="H14" s="64">
        <v>48.9</v>
      </c>
      <c r="I14" s="64">
        <v>1.51</v>
      </c>
      <c r="J14" s="64">
        <v>0.28000000000000003</v>
      </c>
      <c r="K14" s="64">
        <v>117.13</v>
      </c>
      <c r="L14" s="64">
        <v>19.760000000000002</v>
      </c>
      <c r="M14" s="64">
        <v>79.52</v>
      </c>
      <c r="N14" s="64">
        <v>42.3</v>
      </c>
      <c r="O14" s="64">
        <v>0</v>
      </c>
      <c r="P14" s="64">
        <v>1.17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5" t="s">
        <v>1600</v>
      </c>
      <c r="B15" s="64">
        <v>3.68</v>
      </c>
      <c r="C15" s="64">
        <v>27.58</v>
      </c>
      <c r="D15" s="64">
        <v>18.82</v>
      </c>
      <c r="E15" s="64">
        <v>2.82</v>
      </c>
      <c r="F15" s="64">
        <v>4.76</v>
      </c>
      <c r="G15" s="64">
        <v>78.790000000000006</v>
      </c>
      <c r="H15" s="64">
        <v>48.9</v>
      </c>
      <c r="I15" s="64">
        <v>1.51</v>
      </c>
      <c r="J15" s="64">
        <v>0.46</v>
      </c>
      <c r="K15" s="64">
        <v>108.11</v>
      </c>
      <c r="L15" s="64">
        <v>19.760000000000002</v>
      </c>
      <c r="M15" s="64">
        <v>79.959999999999994</v>
      </c>
      <c r="N15" s="64">
        <v>42.1</v>
      </c>
      <c r="O15" s="64">
        <v>0</v>
      </c>
      <c r="P15" s="64">
        <v>1.1599999999999999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5" t="s">
        <v>1601</v>
      </c>
      <c r="B16" s="64">
        <v>3.67</v>
      </c>
      <c r="C16" s="64">
        <v>28.39</v>
      </c>
      <c r="D16" s="64">
        <v>19.25</v>
      </c>
      <c r="E16" s="64">
        <v>2.84</v>
      </c>
      <c r="F16" s="64">
        <v>4.49</v>
      </c>
      <c r="G16" s="64">
        <v>78.790000000000006</v>
      </c>
      <c r="H16" s="64">
        <v>48.9</v>
      </c>
      <c r="I16" s="64">
        <v>1.48</v>
      </c>
      <c r="J16" s="64">
        <v>0.36</v>
      </c>
      <c r="K16" s="64">
        <v>89.98</v>
      </c>
      <c r="L16" s="64">
        <v>19.64</v>
      </c>
      <c r="M16" s="64">
        <v>80.69</v>
      </c>
      <c r="N16" s="64">
        <v>42.3</v>
      </c>
      <c r="O16" s="64">
        <v>0</v>
      </c>
      <c r="P16" s="64">
        <v>1.1200000000000001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5" t="s">
        <v>1602</v>
      </c>
      <c r="B17" s="64">
        <v>3.49</v>
      </c>
      <c r="C17" s="64">
        <v>21.78</v>
      </c>
      <c r="D17" s="64">
        <v>15.46</v>
      </c>
      <c r="E17" s="64">
        <v>2.81</v>
      </c>
      <c r="F17" s="64">
        <v>5.67</v>
      </c>
      <c r="G17" s="64">
        <v>72.900000000000006</v>
      </c>
      <c r="H17" s="64">
        <v>42.02</v>
      </c>
      <c r="I17" s="64">
        <v>1.54</v>
      </c>
      <c r="J17" s="64">
        <v>0.49</v>
      </c>
      <c r="K17" s="64">
        <v>92.5</v>
      </c>
      <c r="L17" s="64">
        <v>19.55</v>
      </c>
      <c r="M17" s="64">
        <v>81.36</v>
      </c>
      <c r="N17" s="64">
        <v>42.3</v>
      </c>
      <c r="O17" s="64">
        <v>0</v>
      </c>
      <c r="P17" s="64">
        <v>1.0900000000000001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5" t="s">
        <v>1603</v>
      </c>
      <c r="B18" s="64">
        <v>3.46</v>
      </c>
      <c r="C18" s="64">
        <v>26.83</v>
      </c>
      <c r="D18" s="64">
        <v>18.23</v>
      </c>
      <c r="E18" s="64">
        <v>2.62</v>
      </c>
      <c r="F18" s="64">
        <v>3.85</v>
      </c>
      <c r="G18" s="64">
        <v>68.790000000000006</v>
      </c>
      <c r="H18" s="64">
        <v>40.200000000000003</v>
      </c>
      <c r="I18" s="64">
        <v>1.54</v>
      </c>
      <c r="J18" s="64">
        <v>0.63</v>
      </c>
      <c r="K18" s="64">
        <v>103.65</v>
      </c>
      <c r="L18" s="64">
        <v>19.34</v>
      </c>
      <c r="M18" s="64">
        <v>83.14</v>
      </c>
      <c r="N18" s="64">
        <v>42.3</v>
      </c>
      <c r="O18" s="64">
        <v>0</v>
      </c>
      <c r="P18" s="64">
        <v>1.1000000000000001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5" t="s">
        <v>1604</v>
      </c>
      <c r="B19" s="64">
        <v>3.4</v>
      </c>
      <c r="C19" s="64">
        <v>26.15</v>
      </c>
      <c r="D19" s="64">
        <v>17.8</v>
      </c>
      <c r="E19" s="64">
        <v>2.59</v>
      </c>
      <c r="F19" s="64">
        <v>3.82</v>
      </c>
      <c r="G19" s="64">
        <v>68.790000000000006</v>
      </c>
      <c r="H19" s="64">
        <v>40.200000000000003</v>
      </c>
      <c r="I19" s="64">
        <v>1.56</v>
      </c>
      <c r="J19" s="64">
        <v>0.47</v>
      </c>
      <c r="K19" s="64">
        <v>116.04</v>
      </c>
      <c r="L19" s="64">
        <v>19.34</v>
      </c>
      <c r="M19" s="64">
        <v>83.36</v>
      </c>
      <c r="N19" s="64">
        <v>42.2</v>
      </c>
      <c r="O19" s="64">
        <v>0</v>
      </c>
      <c r="P19" s="64">
        <v>1.06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5" t="s">
        <v>1605</v>
      </c>
      <c r="B20" s="64">
        <v>3.37</v>
      </c>
      <c r="C20" s="64">
        <v>28.63</v>
      </c>
      <c r="D20" s="64">
        <v>19.149999999999999</v>
      </c>
      <c r="E20" s="64">
        <v>2.64</v>
      </c>
      <c r="F20" s="64">
        <v>3.91</v>
      </c>
      <c r="G20" s="64">
        <v>68.790000000000006</v>
      </c>
      <c r="H20" s="64">
        <v>40.200000000000003</v>
      </c>
      <c r="I20" s="64">
        <v>1.43</v>
      </c>
      <c r="J20" s="64">
        <v>0.38</v>
      </c>
      <c r="K20" s="64">
        <v>141.97999999999999</v>
      </c>
      <c r="L20" s="64">
        <v>19.25</v>
      </c>
      <c r="M20" s="64">
        <v>83.87</v>
      </c>
      <c r="N20" s="64">
        <v>42.7</v>
      </c>
      <c r="O20" s="64">
        <v>0</v>
      </c>
      <c r="P20" s="64">
        <v>1.04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5" t="s">
        <v>1606</v>
      </c>
      <c r="B21" s="64">
        <v>3.29</v>
      </c>
      <c r="C21" s="64">
        <v>25.4</v>
      </c>
      <c r="D21" s="64">
        <v>17.3</v>
      </c>
      <c r="E21" s="64">
        <v>2.6</v>
      </c>
      <c r="F21" s="64">
        <v>4.04</v>
      </c>
      <c r="G21" s="64">
        <v>66.39</v>
      </c>
      <c r="H21" s="64">
        <v>35.65</v>
      </c>
      <c r="I21" s="64">
        <v>1.53</v>
      </c>
      <c r="J21" s="64">
        <v>0.28999999999999998</v>
      </c>
      <c r="K21" s="64">
        <v>160.84</v>
      </c>
      <c r="L21" s="64">
        <v>19.010000000000002</v>
      </c>
      <c r="M21" s="64">
        <v>85.54</v>
      </c>
      <c r="N21" s="64">
        <v>43.3</v>
      </c>
      <c r="O21" s="64">
        <v>0</v>
      </c>
      <c r="P21" s="64">
        <v>1.04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5" t="s">
        <v>1607</v>
      </c>
      <c r="B22" s="64">
        <v>3.27</v>
      </c>
      <c r="C22" s="64">
        <v>28.33</v>
      </c>
      <c r="D22" s="64">
        <v>18.899999999999999</v>
      </c>
      <c r="E22" s="64">
        <v>2.59</v>
      </c>
      <c r="F22" s="64">
        <v>3.5</v>
      </c>
      <c r="G22" s="64">
        <v>64.790000000000006</v>
      </c>
      <c r="H22" s="64">
        <v>34.450000000000003</v>
      </c>
      <c r="I22" s="64">
        <v>1.52</v>
      </c>
      <c r="J22" s="64">
        <v>0.38</v>
      </c>
      <c r="K22" s="64">
        <v>172.87</v>
      </c>
      <c r="L22" s="64">
        <v>18.78</v>
      </c>
      <c r="M22" s="64">
        <v>87.2</v>
      </c>
      <c r="N22" s="64">
        <v>44.2</v>
      </c>
      <c r="O22" s="64">
        <v>0</v>
      </c>
      <c r="P22" s="64">
        <v>1.01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5" t="s">
        <v>1608</v>
      </c>
      <c r="B23" s="64">
        <v>3.16</v>
      </c>
      <c r="C23" s="64">
        <v>24.7</v>
      </c>
      <c r="D23" s="64">
        <v>16.809999999999999</v>
      </c>
      <c r="E23" s="64">
        <v>2.67</v>
      </c>
      <c r="F23" s="64">
        <v>5.23</v>
      </c>
      <c r="G23" s="64">
        <v>64.790000000000006</v>
      </c>
      <c r="H23" s="64">
        <v>34.450000000000003</v>
      </c>
      <c r="I23" s="64">
        <v>1.55</v>
      </c>
      <c r="J23" s="64">
        <v>0.18</v>
      </c>
      <c r="K23" s="64">
        <v>200.45</v>
      </c>
      <c r="L23" s="64">
        <v>18.59</v>
      </c>
      <c r="M23" s="64">
        <v>88.55</v>
      </c>
      <c r="N23" s="64">
        <v>44.4</v>
      </c>
      <c r="O23" s="64">
        <v>0</v>
      </c>
      <c r="P23" s="64">
        <v>0.99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5" t="s">
        <v>1609</v>
      </c>
      <c r="B24" s="64">
        <v>3.16</v>
      </c>
      <c r="C24" s="64">
        <v>24.44</v>
      </c>
      <c r="D24" s="64">
        <v>16.670000000000002</v>
      </c>
      <c r="E24" s="64">
        <v>2.36</v>
      </c>
      <c r="F24" s="64">
        <v>5.87</v>
      </c>
      <c r="G24" s="64">
        <v>64.790000000000006</v>
      </c>
      <c r="H24" s="64">
        <v>34.450000000000003</v>
      </c>
      <c r="I24" s="64">
        <v>1.57</v>
      </c>
      <c r="J24" s="64">
        <v>0.18</v>
      </c>
      <c r="K24" s="64">
        <v>227.43</v>
      </c>
      <c r="L24" s="64">
        <v>18.399999999999999</v>
      </c>
      <c r="M24" s="64">
        <v>89.71</v>
      </c>
      <c r="N24" s="64">
        <v>44.6</v>
      </c>
      <c r="O24" s="64">
        <v>0</v>
      </c>
      <c r="P24" s="64">
        <v>0.96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5" t="s">
        <v>1610</v>
      </c>
      <c r="B25" s="64">
        <v>3.3</v>
      </c>
      <c r="C25" s="64">
        <v>25.22</v>
      </c>
      <c r="D25" s="64">
        <v>17.22</v>
      </c>
      <c r="E25" s="64">
        <v>2.48</v>
      </c>
      <c r="F25" s="64">
        <v>5.5</v>
      </c>
      <c r="G25" s="64">
        <v>62.09</v>
      </c>
      <c r="H25" s="64">
        <v>36.46</v>
      </c>
      <c r="I25" s="64">
        <v>1.5</v>
      </c>
      <c r="J25" s="64">
        <v>0.19</v>
      </c>
      <c r="K25" s="64">
        <v>200.55</v>
      </c>
      <c r="L25" s="64">
        <v>18.22</v>
      </c>
      <c r="M25" s="64">
        <v>91.34</v>
      </c>
      <c r="N25" s="64">
        <v>44.1</v>
      </c>
      <c r="O25" s="64">
        <v>0</v>
      </c>
      <c r="P25" s="64">
        <v>0.96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5" t="s">
        <v>1611</v>
      </c>
      <c r="B26" s="64">
        <v>3.43</v>
      </c>
      <c r="C26" s="64">
        <v>25.92</v>
      </c>
      <c r="D26" s="64">
        <v>17.7</v>
      </c>
      <c r="E26" s="64">
        <v>2.5299999999999998</v>
      </c>
      <c r="F26" s="64">
        <v>5.53</v>
      </c>
      <c r="G26" s="64">
        <v>60.29</v>
      </c>
      <c r="H26" s="64">
        <v>37</v>
      </c>
      <c r="I26" s="64">
        <v>1.45</v>
      </c>
      <c r="J26" s="64">
        <v>0.11</v>
      </c>
      <c r="K26" s="64">
        <v>328.11</v>
      </c>
      <c r="L26" s="64">
        <v>17.97</v>
      </c>
      <c r="M26" s="64">
        <v>92.88</v>
      </c>
      <c r="N26" s="64">
        <v>44.3</v>
      </c>
      <c r="O26" s="64">
        <v>0</v>
      </c>
      <c r="P26" s="64">
        <v>0.94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5" t="s">
        <v>1612</v>
      </c>
      <c r="B27" s="64">
        <v>3.66</v>
      </c>
      <c r="C27" s="64">
        <v>26.87</v>
      </c>
      <c r="D27" s="64">
        <v>18.41</v>
      </c>
      <c r="E27" s="64">
        <v>2.4500000000000002</v>
      </c>
      <c r="F27" s="64">
        <v>4.2699999999999996</v>
      </c>
      <c r="G27" s="64">
        <v>60.29</v>
      </c>
      <c r="H27" s="64">
        <v>37</v>
      </c>
      <c r="I27" s="64">
        <v>1.51</v>
      </c>
      <c r="J27" s="64">
        <v>0.03</v>
      </c>
      <c r="K27" s="64">
        <v>140.16</v>
      </c>
      <c r="L27" s="64">
        <v>17.579999999999998</v>
      </c>
      <c r="M27" s="64">
        <v>95.42</v>
      </c>
      <c r="N27" s="64">
        <v>44</v>
      </c>
      <c r="O27" s="64">
        <v>0</v>
      </c>
      <c r="P27" s="64">
        <v>0.95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5" t="s">
        <v>1613</v>
      </c>
      <c r="B28" s="64">
        <v>3.95</v>
      </c>
      <c r="C28" s="64">
        <v>27.3</v>
      </c>
      <c r="D28" s="64">
        <v>18.88</v>
      </c>
      <c r="E28" s="64">
        <v>2.4</v>
      </c>
      <c r="F28" s="64">
        <v>3.48</v>
      </c>
      <c r="G28" s="64">
        <v>60.29</v>
      </c>
      <c r="H28" s="64">
        <v>37</v>
      </c>
      <c r="I28" s="64">
        <v>1.55</v>
      </c>
      <c r="J28" s="64">
        <v>0.13</v>
      </c>
      <c r="K28" s="64">
        <v>318.31</v>
      </c>
      <c r="L28" s="64">
        <v>17.239999999999998</v>
      </c>
      <c r="M28" s="64">
        <v>97.44</v>
      </c>
      <c r="N28" s="64">
        <v>43.6</v>
      </c>
      <c r="O28" s="64">
        <v>0</v>
      </c>
      <c r="P28" s="64">
        <v>0.93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5" t="s">
        <v>1614</v>
      </c>
      <c r="B29" s="64">
        <v>4.1500000000000004</v>
      </c>
      <c r="C29" s="64">
        <v>22.88</v>
      </c>
      <c r="D29" s="64">
        <v>16.600000000000001</v>
      </c>
      <c r="E29" s="64">
        <v>2.4500000000000002</v>
      </c>
      <c r="F29" s="64">
        <v>3.75</v>
      </c>
      <c r="G29" s="64">
        <v>58.98</v>
      </c>
      <c r="H29" s="64">
        <v>34.369999999999997</v>
      </c>
      <c r="I29" s="64">
        <v>1.43</v>
      </c>
      <c r="J29" s="64">
        <v>0.66</v>
      </c>
      <c r="K29" s="64">
        <v>327.47000000000003</v>
      </c>
      <c r="L29" s="64">
        <v>17.2</v>
      </c>
      <c r="M29" s="64">
        <v>97.35</v>
      </c>
      <c r="N29" s="64">
        <v>42.9</v>
      </c>
      <c r="O29" s="64">
        <v>0</v>
      </c>
      <c r="P29" s="64">
        <v>0.92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5" t="s">
        <v>1615</v>
      </c>
      <c r="B30" s="64">
        <v>4.45</v>
      </c>
      <c r="C30" s="64">
        <v>28.44</v>
      </c>
      <c r="D30" s="64">
        <v>19.91</v>
      </c>
      <c r="E30" s="64">
        <v>2.37</v>
      </c>
      <c r="F30" s="64">
        <v>3.12</v>
      </c>
      <c r="G30" s="64">
        <v>58.11</v>
      </c>
      <c r="H30" s="64">
        <v>33.15</v>
      </c>
      <c r="I30" s="64">
        <v>1.53</v>
      </c>
      <c r="J30" s="64">
        <v>0.68</v>
      </c>
      <c r="K30" s="64">
        <v>334.21</v>
      </c>
      <c r="L30" s="64">
        <v>17.059999999999999</v>
      </c>
      <c r="M30" s="64">
        <v>96.89</v>
      </c>
      <c r="N30" s="64">
        <v>43</v>
      </c>
      <c r="O30" s="64">
        <v>0</v>
      </c>
      <c r="P30" s="64">
        <v>0.92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5" t="s">
        <v>1616</v>
      </c>
      <c r="B31" s="64">
        <v>4.7300000000000004</v>
      </c>
      <c r="C31" s="64">
        <v>26.27</v>
      </c>
      <c r="D31" s="64">
        <v>18.940000000000001</v>
      </c>
      <c r="E31" s="64">
        <v>2.38</v>
      </c>
      <c r="F31" s="64">
        <v>3.83</v>
      </c>
      <c r="G31" s="64">
        <v>58.11</v>
      </c>
      <c r="H31" s="64">
        <v>33.15</v>
      </c>
      <c r="I31" s="64">
        <v>1.48</v>
      </c>
      <c r="J31" s="64">
        <v>0.93</v>
      </c>
      <c r="K31" s="64">
        <v>348.21</v>
      </c>
      <c r="L31" s="64">
        <v>17.09</v>
      </c>
      <c r="M31" s="64">
        <v>97</v>
      </c>
      <c r="N31" s="64">
        <v>42.9</v>
      </c>
      <c r="O31" s="64">
        <v>0</v>
      </c>
      <c r="P31" s="64">
        <v>0.94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5" t="s">
        <v>1617</v>
      </c>
      <c r="B32" s="64">
        <v>5.14</v>
      </c>
      <c r="C32" s="64">
        <v>29.03</v>
      </c>
      <c r="D32" s="64">
        <v>20.79</v>
      </c>
      <c r="E32" s="64">
        <v>2.39</v>
      </c>
      <c r="F32" s="64">
        <v>3.25</v>
      </c>
      <c r="G32" s="64">
        <v>58.11</v>
      </c>
      <c r="H32" s="64">
        <v>33.15</v>
      </c>
      <c r="I32" s="64">
        <v>1.5</v>
      </c>
      <c r="J32" s="64">
        <v>0.4</v>
      </c>
      <c r="K32" s="64">
        <v>338.43</v>
      </c>
      <c r="L32" s="64">
        <v>17.12</v>
      </c>
      <c r="M32" s="64">
        <v>97.11</v>
      </c>
      <c r="N32" s="64">
        <v>43.7</v>
      </c>
      <c r="O32" s="64">
        <v>0</v>
      </c>
      <c r="P32" s="64">
        <v>0.96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5" t="s">
        <v>1618</v>
      </c>
      <c r="B33" s="64">
        <v>5.61</v>
      </c>
      <c r="C33" s="64">
        <v>27.82</v>
      </c>
      <c r="D33" s="64">
        <v>20.5</v>
      </c>
      <c r="E33" s="64">
        <v>2.34</v>
      </c>
      <c r="F33" s="64">
        <v>3.25</v>
      </c>
      <c r="G33" s="64">
        <v>78.8</v>
      </c>
      <c r="H33" s="64">
        <v>40.479999999999997</v>
      </c>
      <c r="I33" s="64">
        <v>1.48</v>
      </c>
      <c r="J33" s="64">
        <v>0.76</v>
      </c>
      <c r="K33" s="64">
        <v>344.67</v>
      </c>
      <c r="L33" s="64">
        <v>17.05</v>
      </c>
      <c r="M33" s="64">
        <v>97.14</v>
      </c>
      <c r="N33" s="64">
        <v>46.7</v>
      </c>
      <c r="O33" s="64">
        <v>0</v>
      </c>
      <c r="P33" s="64">
        <v>0.98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5" t="s">
        <v>1619</v>
      </c>
      <c r="B34" s="64">
        <v>5.94</v>
      </c>
      <c r="C34" s="64">
        <v>28.69</v>
      </c>
      <c r="D34" s="64">
        <v>21.24</v>
      </c>
      <c r="E34" s="64">
        <v>2.35</v>
      </c>
      <c r="F34" s="64">
        <v>3.28</v>
      </c>
      <c r="G34" s="64">
        <v>93.24</v>
      </c>
      <c r="H34" s="64">
        <v>42.41</v>
      </c>
      <c r="I34" s="64">
        <v>1.48</v>
      </c>
      <c r="J34" s="64">
        <v>0.78</v>
      </c>
      <c r="K34" s="64">
        <v>345.68</v>
      </c>
      <c r="L34" s="64">
        <v>17.16</v>
      </c>
      <c r="M34" s="64">
        <v>96.33</v>
      </c>
      <c r="N34" s="64">
        <v>59.7</v>
      </c>
      <c r="O34" s="64">
        <v>0</v>
      </c>
      <c r="P34" s="64">
        <v>1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5" t="s">
        <v>1620</v>
      </c>
      <c r="B35" s="64">
        <v>6.13</v>
      </c>
      <c r="C35" s="64">
        <v>27.87</v>
      </c>
      <c r="D35" s="64">
        <v>20.94</v>
      </c>
      <c r="E35" s="64">
        <v>2.2999999999999998</v>
      </c>
      <c r="F35" s="64">
        <v>3.33</v>
      </c>
      <c r="G35" s="64">
        <v>93.24</v>
      </c>
      <c r="H35" s="64">
        <v>42.41</v>
      </c>
      <c r="I35" s="64">
        <v>1.45</v>
      </c>
      <c r="J35" s="64">
        <v>0.64</v>
      </c>
      <c r="K35" s="64">
        <v>344.85</v>
      </c>
      <c r="L35" s="64">
        <v>17.27</v>
      </c>
      <c r="M35" s="64">
        <v>95.51</v>
      </c>
      <c r="N35" s="64">
        <v>77.3</v>
      </c>
      <c r="O35" s="64">
        <v>0</v>
      </c>
      <c r="P35" s="64">
        <v>1.02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5" t="s">
        <v>1621</v>
      </c>
      <c r="B36" s="64">
        <v>6.28</v>
      </c>
      <c r="C36" s="64">
        <v>28.16</v>
      </c>
      <c r="D36" s="64">
        <v>21.22</v>
      </c>
      <c r="E36" s="64">
        <v>2.34</v>
      </c>
      <c r="F36" s="64">
        <v>3.45</v>
      </c>
      <c r="G36" s="64">
        <v>93.24</v>
      </c>
      <c r="H36" s="64">
        <v>42.41</v>
      </c>
      <c r="I36" s="64">
        <v>1.49</v>
      </c>
      <c r="J36" s="64">
        <v>0.78</v>
      </c>
      <c r="K36" s="64">
        <v>343.85</v>
      </c>
      <c r="L36" s="64">
        <v>17.600000000000001</v>
      </c>
      <c r="M36" s="64">
        <v>92.96</v>
      </c>
      <c r="N36" s="64">
        <v>99.6</v>
      </c>
      <c r="O36" s="64">
        <v>0</v>
      </c>
      <c r="P36" s="64">
        <v>1.03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5" t="s">
        <v>1622</v>
      </c>
      <c r="B37" s="64">
        <v>6.39</v>
      </c>
      <c r="C37" s="64">
        <v>29.03</v>
      </c>
      <c r="D37" s="64">
        <v>21.79</v>
      </c>
      <c r="E37" s="64">
        <v>2.35</v>
      </c>
      <c r="F37" s="64">
        <v>3.77</v>
      </c>
      <c r="G37" s="64">
        <v>93.05</v>
      </c>
      <c r="H37" s="64">
        <v>42.9</v>
      </c>
      <c r="I37" s="64">
        <v>1.48</v>
      </c>
      <c r="J37" s="64">
        <v>0.81</v>
      </c>
      <c r="K37" s="64">
        <v>340.69</v>
      </c>
      <c r="L37" s="64">
        <v>18.170000000000002</v>
      </c>
      <c r="M37" s="64">
        <v>88.98</v>
      </c>
      <c r="N37" s="64">
        <v>140.19999999999999</v>
      </c>
      <c r="O37" s="64">
        <v>0</v>
      </c>
      <c r="P37" s="64">
        <v>1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5" t="s">
        <v>1623</v>
      </c>
      <c r="B38" s="64">
        <v>6.42</v>
      </c>
      <c r="C38" s="64">
        <v>29.67</v>
      </c>
      <c r="D38" s="64">
        <v>22.16</v>
      </c>
      <c r="E38" s="64">
        <v>2.37</v>
      </c>
      <c r="F38" s="64">
        <v>4.13</v>
      </c>
      <c r="G38" s="64">
        <v>92.92</v>
      </c>
      <c r="H38" s="64">
        <v>43.02</v>
      </c>
      <c r="I38" s="64">
        <v>1.49</v>
      </c>
      <c r="J38" s="64">
        <v>0.44</v>
      </c>
      <c r="K38" s="64">
        <v>339.57</v>
      </c>
      <c r="L38" s="64">
        <v>19.14</v>
      </c>
      <c r="M38" s="64">
        <v>83.98</v>
      </c>
      <c r="N38" s="64">
        <v>187.7</v>
      </c>
      <c r="O38" s="64">
        <v>0</v>
      </c>
      <c r="P38" s="64">
        <v>1.02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5" t="s">
        <v>1624</v>
      </c>
      <c r="B39" s="64">
        <v>6.43</v>
      </c>
      <c r="C39" s="64">
        <v>30.97</v>
      </c>
      <c r="D39" s="64">
        <v>22.9</v>
      </c>
      <c r="E39" s="64">
        <v>2.37</v>
      </c>
      <c r="F39" s="64">
        <v>3.74</v>
      </c>
      <c r="G39" s="64">
        <v>92.92</v>
      </c>
      <c r="H39" s="64">
        <v>43.02</v>
      </c>
      <c r="I39" s="64">
        <v>1.5</v>
      </c>
      <c r="J39" s="64">
        <v>0.91</v>
      </c>
      <c r="K39" s="64">
        <v>342.11</v>
      </c>
      <c r="L39" s="64">
        <v>20.41</v>
      </c>
      <c r="M39" s="64">
        <v>77.95</v>
      </c>
      <c r="N39" s="64">
        <v>233.3</v>
      </c>
      <c r="O39" s="64">
        <v>0</v>
      </c>
      <c r="P39" s="64">
        <v>1.03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5" t="s">
        <v>1625</v>
      </c>
      <c r="B40" s="64">
        <v>6.22</v>
      </c>
      <c r="C40" s="64">
        <v>27.7</v>
      </c>
      <c r="D40" s="64">
        <v>20.93</v>
      </c>
      <c r="E40" s="64">
        <v>2.1800000000000002</v>
      </c>
      <c r="F40" s="64">
        <v>3.85</v>
      </c>
      <c r="G40" s="64">
        <v>92.92</v>
      </c>
      <c r="H40" s="64">
        <v>43.02</v>
      </c>
      <c r="I40" s="64">
        <v>1.42</v>
      </c>
      <c r="J40" s="64">
        <v>0.99</v>
      </c>
      <c r="K40" s="64">
        <v>339.75</v>
      </c>
      <c r="L40" s="64">
        <v>21.47</v>
      </c>
      <c r="M40" s="64">
        <v>72.510000000000005</v>
      </c>
      <c r="N40" s="64">
        <v>279.5</v>
      </c>
      <c r="O40" s="64">
        <v>0</v>
      </c>
      <c r="P40" s="64">
        <v>1.02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5" t="s">
        <v>1626</v>
      </c>
      <c r="B41" s="64">
        <v>5.98</v>
      </c>
      <c r="C41" s="64">
        <v>27.92</v>
      </c>
      <c r="D41" s="64">
        <v>20.85</v>
      </c>
      <c r="E41" s="64">
        <v>2.46</v>
      </c>
      <c r="F41" s="64">
        <v>3.94</v>
      </c>
      <c r="G41" s="64">
        <v>92.57</v>
      </c>
      <c r="H41" s="64">
        <v>43.22</v>
      </c>
      <c r="I41" s="64">
        <v>1.47</v>
      </c>
      <c r="J41" s="64">
        <v>1.06</v>
      </c>
      <c r="K41" s="64">
        <v>341.77</v>
      </c>
      <c r="L41" s="64">
        <v>22.49</v>
      </c>
      <c r="M41" s="64">
        <v>67.77</v>
      </c>
      <c r="N41" s="64">
        <v>320.3</v>
      </c>
      <c r="O41" s="64">
        <v>0</v>
      </c>
      <c r="P41" s="64">
        <v>1.03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5" t="s">
        <v>1627</v>
      </c>
      <c r="B42" s="64">
        <v>5.97</v>
      </c>
      <c r="C42" s="64">
        <v>32.99</v>
      </c>
      <c r="D42" s="64">
        <v>23.64</v>
      </c>
      <c r="E42" s="64">
        <v>2.38</v>
      </c>
      <c r="F42" s="64">
        <v>3.38</v>
      </c>
      <c r="G42" s="64">
        <v>92.34</v>
      </c>
      <c r="H42" s="64">
        <v>43.28</v>
      </c>
      <c r="I42" s="64">
        <v>1.58</v>
      </c>
      <c r="J42" s="64">
        <v>0.91</v>
      </c>
      <c r="K42" s="64">
        <v>343.97</v>
      </c>
      <c r="L42" s="64">
        <v>24</v>
      </c>
      <c r="M42" s="64">
        <v>62.06</v>
      </c>
      <c r="N42" s="64">
        <v>357.8</v>
      </c>
      <c r="O42" s="64">
        <v>0</v>
      </c>
      <c r="P42" s="64">
        <v>1.03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5" t="s">
        <v>1628</v>
      </c>
      <c r="B43" s="64">
        <v>5.87</v>
      </c>
      <c r="C43" s="64">
        <v>31.14</v>
      </c>
      <c r="D43" s="64">
        <v>22.54</v>
      </c>
      <c r="E43" s="64">
        <v>2.41</v>
      </c>
      <c r="F43" s="64">
        <v>3.95</v>
      </c>
      <c r="G43" s="64">
        <v>92.34</v>
      </c>
      <c r="H43" s="64">
        <v>43.28</v>
      </c>
      <c r="I43" s="64">
        <v>1.47</v>
      </c>
      <c r="J43" s="64">
        <v>1.03</v>
      </c>
      <c r="K43" s="64">
        <v>340.75</v>
      </c>
      <c r="L43" s="64">
        <v>24.71</v>
      </c>
      <c r="M43" s="64">
        <v>59.06</v>
      </c>
      <c r="N43" s="64">
        <v>397.7</v>
      </c>
      <c r="O43" s="64">
        <v>0</v>
      </c>
      <c r="P43" s="64">
        <v>1.04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5" t="s">
        <v>1629</v>
      </c>
      <c r="B44" s="64">
        <v>5.82</v>
      </c>
      <c r="C44" s="64">
        <v>33.58</v>
      </c>
      <c r="D44" s="64">
        <v>23.84</v>
      </c>
      <c r="E44" s="64">
        <v>2.37</v>
      </c>
      <c r="F44" s="64">
        <v>3.84</v>
      </c>
      <c r="G44" s="64">
        <v>92.34</v>
      </c>
      <c r="H44" s="64">
        <v>43.28</v>
      </c>
      <c r="I44" s="64">
        <v>1.54</v>
      </c>
      <c r="J44" s="64">
        <v>0.41</v>
      </c>
      <c r="K44" s="64">
        <v>314.70999999999998</v>
      </c>
      <c r="L44" s="64">
        <v>23.35</v>
      </c>
      <c r="M44" s="64">
        <v>70.819999999999993</v>
      </c>
      <c r="N44" s="64">
        <v>431.8</v>
      </c>
      <c r="O44" s="64">
        <v>0</v>
      </c>
      <c r="P44" s="64">
        <v>1.03</v>
      </c>
      <c r="Q44" s="64">
        <v>5.19</v>
      </c>
      <c r="R44" s="198"/>
      <c r="S44" s="198"/>
      <c r="T44" s="198"/>
      <c r="U44" s="198"/>
    </row>
    <row r="45" spans="1:21" s="12" customFormat="1" x14ac:dyDescent="0.25">
      <c r="A45" s="215" t="s">
        <v>1630</v>
      </c>
      <c r="B45" s="64">
        <v>5.75</v>
      </c>
      <c r="C45" s="64">
        <v>32.5</v>
      </c>
      <c r="D45" s="64">
        <v>23.19</v>
      </c>
      <c r="E45" s="64">
        <v>2.34</v>
      </c>
      <c r="F45" s="64">
        <v>4.1100000000000003</v>
      </c>
      <c r="G45" s="64">
        <v>91.89</v>
      </c>
      <c r="H45" s="64">
        <v>42.73</v>
      </c>
      <c r="I45" s="64">
        <v>1.53</v>
      </c>
      <c r="J45" s="64">
        <v>0.8</v>
      </c>
      <c r="K45" s="64">
        <v>327.61</v>
      </c>
      <c r="L45" s="64">
        <v>23.33</v>
      </c>
      <c r="M45" s="64">
        <v>73.09</v>
      </c>
      <c r="N45" s="64">
        <v>465.7</v>
      </c>
      <c r="O45" s="64">
        <v>0</v>
      </c>
      <c r="P45" s="64">
        <v>1.04</v>
      </c>
      <c r="Q45" s="64">
        <v>5.2</v>
      </c>
      <c r="R45" s="198"/>
      <c r="S45" s="198"/>
      <c r="T45" s="198"/>
      <c r="U45" s="198"/>
    </row>
    <row r="46" spans="1:21" s="12" customFormat="1" x14ac:dyDescent="0.25">
      <c r="A46" s="215" t="s">
        <v>1631</v>
      </c>
      <c r="B46" s="64">
        <v>5.79</v>
      </c>
      <c r="C46" s="64">
        <v>36.58</v>
      </c>
      <c r="D46" s="64">
        <v>25.48</v>
      </c>
      <c r="E46" s="64">
        <v>2.33</v>
      </c>
      <c r="F46" s="64">
        <v>3.38</v>
      </c>
      <c r="G46" s="64">
        <v>91.58</v>
      </c>
      <c r="H46" s="64">
        <v>42.48</v>
      </c>
      <c r="I46" s="64">
        <v>1.43</v>
      </c>
      <c r="J46" s="64">
        <v>0.99</v>
      </c>
      <c r="K46" s="64">
        <v>334.31</v>
      </c>
      <c r="L46" s="64">
        <v>23.8</v>
      </c>
      <c r="M46" s="64">
        <v>72.08</v>
      </c>
      <c r="N46" s="64">
        <v>505.8</v>
      </c>
      <c r="O46" s="64">
        <v>0</v>
      </c>
      <c r="P46" s="64">
        <v>1.05</v>
      </c>
      <c r="Q46" s="64">
        <v>4.97</v>
      </c>
      <c r="R46" s="198"/>
      <c r="S46" s="198"/>
      <c r="T46" s="198"/>
      <c r="U46" s="198"/>
    </row>
    <row r="47" spans="1:21" s="12" customFormat="1" x14ac:dyDescent="0.25">
      <c r="A47" s="215" t="s">
        <v>1632</v>
      </c>
      <c r="B47" s="64">
        <v>5.76</v>
      </c>
      <c r="C47" s="64">
        <v>35.46</v>
      </c>
      <c r="D47" s="64">
        <v>24.84</v>
      </c>
      <c r="E47" s="64">
        <v>2.36</v>
      </c>
      <c r="F47" s="64">
        <v>3.83</v>
      </c>
      <c r="G47" s="64">
        <v>91.58</v>
      </c>
      <c r="H47" s="64">
        <v>42.48</v>
      </c>
      <c r="I47" s="64">
        <v>1.45</v>
      </c>
      <c r="J47" s="64">
        <v>0.6</v>
      </c>
      <c r="K47" s="64">
        <v>337.4</v>
      </c>
      <c r="L47" s="64">
        <v>24.23</v>
      </c>
      <c r="M47" s="64">
        <v>69.64</v>
      </c>
      <c r="N47" s="64">
        <v>545</v>
      </c>
      <c r="O47" s="64">
        <v>0</v>
      </c>
      <c r="P47" s="64">
        <v>1.06</v>
      </c>
      <c r="Q47" s="64">
        <v>5.04</v>
      </c>
      <c r="R47" s="198"/>
      <c r="S47" s="198"/>
      <c r="T47" s="198"/>
      <c r="U47" s="198"/>
    </row>
    <row r="48" spans="1:21" s="12" customFormat="1" x14ac:dyDescent="0.25">
      <c r="A48" s="215" t="s">
        <v>1633</v>
      </c>
      <c r="B48" s="64">
        <v>5.83</v>
      </c>
      <c r="C48" s="64">
        <v>35.69</v>
      </c>
      <c r="D48" s="64">
        <v>25.02</v>
      </c>
      <c r="E48" s="64">
        <v>2.4500000000000002</v>
      </c>
      <c r="F48" s="64">
        <v>3.95</v>
      </c>
      <c r="G48" s="64">
        <v>91.58</v>
      </c>
      <c r="H48" s="64">
        <v>42.48</v>
      </c>
      <c r="I48" s="64">
        <v>1.56</v>
      </c>
      <c r="J48" s="64">
        <v>0.27</v>
      </c>
      <c r="K48" s="64">
        <v>54.25</v>
      </c>
      <c r="L48" s="64">
        <v>23.78</v>
      </c>
      <c r="M48" s="64">
        <v>68.989999999999995</v>
      </c>
      <c r="N48" s="64">
        <v>580.70000000000005</v>
      </c>
      <c r="O48" s="64">
        <v>0</v>
      </c>
      <c r="P48" s="64">
        <v>1.06</v>
      </c>
      <c r="Q48" s="64">
        <v>5.0199999999999996</v>
      </c>
      <c r="R48" s="198"/>
      <c r="S48" s="198"/>
      <c r="T48" s="198"/>
      <c r="U48" s="198"/>
    </row>
    <row r="49" spans="1:21" s="12" customFormat="1" x14ac:dyDescent="0.25">
      <c r="A49" s="215" t="s">
        <v>1634</v>
      </c>
      <c r="B49" s="64">
        <v>5.82</v>
      </c>
      <c r="C49" s="64">
        <v>36.43</v>
      </c>
      <c r="D49" s="64">
        <v>25.42</v>
      </c>
      <c r="E49" s="64">
        <v>2.4300000000000002</v>
      </c>
      <c r="F49" s="64">
        <v>4.4000000000000004</v>
      </c>
      <c r="G49" s="64">
        <v>89.22</v>
      </c>
      <c r="H49" s="64">
        <v>41.1</v>
      </c>
      <c r="I49" s="64">
        <v>1.5</v>
      </c>
      <c r="J49" s="64">
        <v>0.49</v>
      </c>
      <c r="K49" s="64">
        <v>344.21</v>
      </c>
      <c r="L49" s="64">
        <v>24.14</v>
      </c>
      <c r="M49" s="64">
        <v>65.53</v>
      </c>
      <c r="N49" s="64">
        <v>595.1</v>
      </c>
      <c r="O49" s="64">
        <v>0</v>
      </c>
      <c r="P49" s="64">
        <v>1.06</v>
      </c>
      <c r="Q49" s="64">
        <v>4.95</v>
      </c>
      <c r="R49" s="198"/>
      <c r="S49" s="198"/>
      <c r="T49" s="198"/>
      <c r="U49" s="198"/>
    </row>
    <row r="50" spans="1:21" s="12" customFormat="1" x14ac:dyDescent="0.25">
      <c r="A50" s="215" t="s">
        <v>1635</v>
      </c>
      <c r="B50" s="64">
        <v>5.89</v>
      </c>
      <c r="C50" s="64">
        <v>38.78</v>
      </c>
      <c r="D50" s="64">
        <v>26.77</v>
      </c>
      <c r="E50" s="64">
        <v>2.5</v>
      </c>
      <c r="F50" s="64">
        <v>4.99</v>
      </c>
      <c r="G50" s="64">
        <v>87.64</v>
      </c>
      <c r="H50" s="64">
        <v>40.75</v>
      </c>
      <c r="I50" s="64">
        <v>1.52</v>
      </c>
      <c r="J50" s="64">
        <v>0.77</v>
      </c>
      <c r="K50" s="64">
        <v>350.28</v>
      </c>
      <c r="L50" s="64">
        <v>26.66</v>
      </c>
      <c r="M50" s="64">
        <v>52.7</v>
      </c>
      <c r="N50" s="64">
        <v>613.29999999999995</v>
      </c>
      <c r="O50" s="64">
        <v>0</v>
      </c>
      <c r="P50" s="64">
        <v>1.07</v>
      </c>
      <c r="Q50" s="64">
        <v>4.8899999999999997</v>
      </c>
      <c r="R50" s="198"/>
      <c r="S50" s="198"/>
      <c r="T50" s="198"/>
      <c r="U50" s="198"/>
    </row>
    <row r="51" spans="1:21" s="12" customFormat="1" x14ac:dyDescent="0.25">
      <c r="A51" s="215" t="s">
        <v>1636</v>
      </c>
      <c r="B51" s="64">
        <v>5.59</v>
      </c>
      <c r="C51" s="64">
        <v>34.78</v>
      </c>
      <c r="D51" s="64">
        <v>24.32</v>
      </c>
      <c r="E51" s="64">
        <v>2.44</v>
      </c>
      <c r="F51" s="64">
        <v>4.7300000000000004</v>
      </c>
      <c r="G51" s="64">
        <v>87.64</v>
      </c>
      <c r="H51" s="64">
        <v>40.75</v>
      </c>
      <c r="I51" s="64">
        <v>1.5</v>
      </c>
      <c r="J51" s="64">
        <v>0.28999999999999998</v>
      </c>
      <c r="K51" s="64">
        <v>72.55</v>
      </c>
      <c r="L51" s="64">
        <v>25.58</v>
      </c>
      <c r="M51" s="64">
        <v>56.22</v>
      </c>
      <c r="N51" s="64">
        <v>631.1</v>
      </c>
      <c r="O51" s="64">
        <v>0</v>
      </c>
      <c r="P51" s="64">
        <v>1.06</v>
      </c>
      <c r="Q51" s="64">
        <v>5.0999999999999996</v>
      </c>
      <c r="R51" s="198"/>
      <c r="S51" s="198"/>
      <c r="T51" s="198"/>
      <c r="U51" s="198"/>
    </row>
    <row r="52" spans="1:21" s="12" customFormat="1" x14ac:dyDescent="0.25">
      <c r="A52" s="215" t="s">
        <v>1637</v>
      </c>
      <c r="B52" s="64">
        <v>5.08</v>
      </c>
      <c r="C52" s="64">
        <v>29.39</v>
      </c>
      <c r="D52" s="64">
        <v>20.94</v>
      </c>
      <c r="E52" s="64">
        <v>2.41</v>
      </c>
      <c r="F52" s="64">
        <v>5.82</v>
      </c>
      <c r="G52" s="64">
        <v>87.64</v>
      </c>
      <c r="H52" s="64">
        <v>40.75</v>
      </c>
      <c r="I52" s="64">
        <v>1.56</v>
      </c>
      <c r="J52" s="64">
        <v>0.67</v>
      </c>
      <c r="K52" s="64">
        <v>343.77</v>
      </c>
      <c r="L52" s="64">
        <v>26.85</v>
      </c>
      <c r="M52" s="64">
        <v>50.96</v>
      </c>
      <c r="N52" s="64">
        <v>632.70000000000005</v>
      </c>
      <c r="O52" s="64">
        <v>0</v>
      </c>
      <c r="P52" s="64">
        <v>1.06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5" t="s">
        <v>1638</v>
      </c>
      <c r="B53" s="64">
        <v>4.6100000000000003</v>
      </c>
      <c r="C53" s="64">
        <v>32.79</v>
      </c>
      <c r="D53" s="64">
        <v>22.43</v>
      </c>
      <c r="E53" s="64">
        <v>2.41</v>
      </c>
      <c r="F53" s="64">
        <v>4.75</v>
      </c>
      <c r="G53" s="64">
        <v>84.24</v>
      </c>
      <c r="H53" s="64">
        <v>40.869999999999997</v>
      </c>
      <c r="I53" s="64">
        <v>1.46</v>
      </c>
      <c r="J53" s="64">
        <v>0.61</v>
      </c>
      <c r="K53" s="64">
        <v>103.83</v>
      </c>
      <c r="L53" s="64">
        <v>26.38</v>
      </c>
      <c r="M53" s="64">
        <v>51.92</v>
      </c>
      <c r="N53" s="64">
        <v>651.5</v>
      </c>
      <c r="O53" s="64">
        <v>0</v>
      </c>
      <c r="P53" s="64">
        <v>1.07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5" t="s">
        <v>1639</v>
      </c>
      <c r="B54" s="64">
        <v>4.13</v>
      </c>
      <c r="C54" s="64">
        <v>32.9</v>
      </c>
      <c r="D54" s="64">
        <v>22.12</v>
      </c>
      <c r="E54" s="64">
        <v>2.41</v>
      </c>
      <c r="F54" s="64">
        <v>5.1100000000000003</v>
      </c>
      <c r="G54" s="64">
        <v>81.97</v>
      </c>
      <c r="H54" s="64">
        <v>40.9</v>
      </c>
      <c r="I54" s="64">
        <v>1.42</v>
      </c>
      <c r="J54" s="64">
        <v>1.02</v>
      </c>
      <c r="K54" s="64">
        <v>112.34</v>
      </c>
      <c r="L54" s="64">
        <v>25.4</v>
      </c>
      <c r="M54" s="64">
        <v>51.68</v>
      </c>
      <c r="N54" s="64">
        <v>644.70000000000005</v>
      </c>
      <c r="O54" s="64">
        <v>0</v>
      </c>
      <c r="P54" s="64">
        <v>1.05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5" t="s">
        <v>1640</v>
      </c>
      <c r="B55" s="64">
        <v>3.61</v>
      </c>
      <c r="C55" s="64">
        <v>30.25</v>
      </c>
      <c r="D55" s="64">
        <v>20.23</v>
      </c>
      <c r="E55" s="64">
        <v>2.39</v>
      </c>
      <c r="F55" s="64">
        <v>5.19</v>
      </c>
      <c r="G55" s="64">
        <v>81.97</v>
      </c>
      <c r="H55" s="64">
        <v>40.9</v>
      </c>
      <c r="I55" s="64">
        <v>1.48</v>
      </c>
      <c r="J55" s="64">
        <v>0.77</v>
      </c>
      <c r="K55" s="64">
        <v>107.5</v>
      </c>
      <c r="L55" s="64">
        <v>25.5</v>
      </c>
      <c r="M55" s="64">
        <v>48.3</v>
      </c>
      <c r="N55" s="64">
        <v>674.6</v>
      </c>
      <c r="O55" s="64">
        <v>0</v>
      </c>
      <c r="P55" s="64">
        <v>1.04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1641</v>
      </c>
      <c r="B56" s="64">
        <v>3.26</v>
      </c>
      <c r="C56" s="64">
        <v>31.32</v>
      </c>
      <c r="D56" s="64">
        <v>20.54</v>
      </c>
      <c r="E56" s="64">
        <v>2.09</v>
      </c>
      <c r="F56" s="64">
        <v>5.44</v>
      </c>
      <c r="G56" s="64">
        <v>81.97</v>
      </c>
      <c r="H56" s="64">
        <v>40.9</v>
      </c>
      <c r="I56" s="64">
        <v>1.42</v>
      </c>
      <c r="J56" s="64">
        <v>0.69</v>
      </c>
      <c r="K56" s="64">
        <v>91.99</v>
      </c>
      <c r="L56" s="64">
        <v>25.96</v>
      </c>
      <c r="M56" s="64">
        <v>44.25</v>
      </c>
      <c r="N56" s="64">
        <v>613.29999999999995</v>
      </c>
      <c r="O56" s="64">
        <v>0</v>
      </c>
      <c r="P56" s="64">
        <v>1.02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1642</v>
      </c>
      <c r="B57" s="64">
        <v>2.99</v>
      </c>
      <c r="C57" s="64">
        <v>25.65</v>
      </c>
      <c r="D57" s="64">
        <v>17.2</v>
      </c>
      <c r="E57" s="64">
        <v>2.25</v>
      </c>
      <c r="F57" s="64">
        <v>6.7</v>
      </c>
      <c r="G57" s="64">
        <v>75.34</v>
      </c>
      <c r="H57" s="64">
        <v>40.24</v>
      </c>
      <c r="I57" s="64">
        <v>1.46</v>
      </c>
      <c r="J57" s="64">
        <v>1.44</v>
      </c>
      <c r="K57" s="64">
        <v>109.74</v>
      </c>
      <c r="L57" s="64">
        <v>25.61</v>
      </c>
      <c r="M57" s="64">
        <v>42.28</v>
      </c>
      <c r="N57" s="64">
        <v>586.29999999999995</v>
      </c>
      <c r="O57" s="64">
        <v>0</v>
      </c>
      <c r="P57" s="64">
        <v>1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1643</v>
      </c>
      <c r="B58" s="64">
        <v>2.86</v>
      </c>
      <c r="C58" s="64">
        <v>29.12</v>
      </c>
      <c r="D58" s="64">
        <v>19.010000000000002</v>
      </c>
      <c r="E58" s="64">
        <v>2.33</v>
      </c>
      <c r="F58" s="64">
        <v>5.92</v>
      </c>
      <c r="G58" s="64">
        <v>70.91</v>
      </c>
      <c r="H58" s="64">
        <v>40.08</v>
      </c>
      <c r="I58" s="64">
        <v>1.55</v>
      </c>
      <c r="J58" s="64">
        <v>0.53</v>
      </c>
      <c r="K58" s="64">
        <v>91.94</v>
      </c>
      <c r="L58" s="64">
        <v>25.54</v>
      </c>
      <c r="M58" s="64">
        <v>43.87</v>
      </c>
      <c r="N58" s="64">
        <v>469.8</v>
      </c>
      <c r="O58" s="64">
        <v>0</v>
      </c>
      <c r="P58" s="64">
        <v>0.99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1644</v>
      </c>
      <c r="B59" s="64">
        <v>2.91</v>
      </c>
      <c r="C59" s="64">
        <v>30.5</v>
      </c>
      <c r="D59" s="64">
        <v>19.809999999999999</v>
      </c>
      <c r="E59" s="64">
        <v>2.36</v>
      </c>
      <c r="F59" s="64">
        <v>8.19</v>
      </c>
      <c r="G59" s="64">
        <v>70.91</v>
      </c>
      <c r="H59" s="64">
        <v>40.08</v>
      </c>
      <c r="I59" s="64">
        <v>1.46</v>
      </c>
      <c r="J59" s="64">
        <v>0.72</v>
      </c>
      <c r="K59" s="64">
        <v>341.05</v>
      </c>
      <c r="L59" s="64">
        <v>26.52</v>
      </c>
      <c r="M59" s="64">
        <v>41.28</v>
      </c>
      <c r="N59" s="64">
        <v>383.5</v>
      </c>
      <c r="O59" s="64">
        <v>0</v>
      </c>
      <c r="P59" s="64">
        <v>0.98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1645</v>
      </c>
      <c r="B60" s="64">
        <v>2.96</v>
      </c>
      <c r="C60" s="64">
        <v>31.71</v>
      </c>
      <c r="D60" s="64">
        <v>20.52</v>
      </c>
      <c r="E60" s="64">
        <v>2.41</v>
      </c>
      <c r="F60" s="64">
        <v>7.83</v>
      </c>
      <c r="G60" s="64">
        <v>70.91</v>
      </c>
      <c r="H60" s="64">
        <v>40.08</v>
      </c>
      <c r="I60" s="64">
        <v>1.53</v>
      </c>
      <c r="J60" s="64">
        <v>1.3</v>
      </c>
      <c r="K60" s="64">
        <v>340</v>
      </c>
      <c r="L60" s="64">
        <v>27.48</v>
      </c>
      <c r="M60" s="64">
        <v>38.04</v>
      </c>
      <c r="N60" s="64">
        <v>416.6</v>
      </c>
      <c r="O60" s="64">
        <v>0</v>
      </c>
      <c r="P60" s="64">
        <v>1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1646</v>
      </c>
      <c r="B61" s="64">
        <v>2.91</v>
      </c>
      <c r="C61" s="64">
        <v>32.58</v>
      </c>
      <c r="D61" s="64">
        <v>20.96</v>
      </c>
      <c r="E61" s="64">
        <v>2.41</v>
      </c>
      <c r="F61" s="64">
        <v>8.7200000000000006</v>
      </c>
      <c r="G61" s="64">
        <v>68.03</v>
      </c>
      <c r="H61" s="64">
        <v>40.08</v>
      </c>
      <c r="I61" s="64">
        <v>1.44</v>
      </c>
      <c r="J61" s="64">
        <v>0.42</v>
      </c>
      <c r="K61" s="64">
        <v>11.55</v>
      </c>
      <c r="L61" s="64">
        <v>27.61</v>
      </c>
      <c r="M61" s="64">
        <v>37.54</v>
      </c>
      <c r="N61" s="64">
        <v>506.5</v>
      </c>
      <c r="O61" s="64">
        <v>0</v>
      </c>
      <c r="P61" s="64">
        <v>0.93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1647</v>
      </c>
      <c r="B62" s="64">
        <v>2.86</v>
      </c>
      <c r="C62" s="64">
        <v>32.44</v>
      </c>
      <c r="D62" s="64">
        <v>20.84</v>
      </c>
      <c r="E62" s="64">
        <v>2.4500000000000002</v>
      </c>
      <c r="F62" s="64">
        <v>6.34</v>
      </c>
      <c r="G62" s="64">
        <v>66.099999999999994</v>
      </c>
      <c r="H62" s="64">
        <v>40.090000000000003</v>
      </c>
      <c r="I62" s="64">
        <v>1.46</v>
      </c>
      <c r="J62" s="64">
        <v>0.56999999999999995</v>
      </c>
      <c r="K62" s="64">
        <v>83.57</v>
      </c>
      <c r="L62" s="64">
        <v>26.55</v>
      </c>
      <c r="M62" s="64">
        <v>38.46</v>
      </c>
      <c r="N62" s="64">
        <v>493.5</v>
      </c>
      <c r="O62" s="64">
        <v>0</v>
      </c>
      <c r="P62" s="64">
        <v>0.99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5" t="s">
        <v>1648</v>
      </c>
      <c r="B63" s="64">
        <v>2.81</v>
      </c>
      <c r="C63" s="64">
        <v>29.99</v>
      </c>
      <c r="D63" s="64">
        <v>19.45</v>
      </c>
      <c r="E63" s="64">
        <v>2.85</v>
      </c>
      <c r="F63" s="64">
        <v>7.61</v>
      </c>
      <c r="G63" s="64">
        <v>66.099999999999994</v>
      </c>
      <c r="H63" s="64">
        <v>40.090000000000003</v>
      </c>
      <c r="I63" s="64">
        <v>1.53</v>
      </c>
      <c r="J63" s="64">
        <v>0.99</v>
      </c>
      <c r="K63" s="64">
        <v>337.36</v>
      </c>
      <c r="L63" s="64">
        <v>26.98</v>
      </c>
      <c r="M63" s="64">
        <v>37.270000000000003</v>
      </c>
      <c r="N63" s="64">
        <v>475.3</v>
      </c>
      <c r="O63" s="64">
        <v>0</v>
      </c>
      <c r="P63" s="64">
        <v>0.97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1649</v>
      </c>
      <c r="B64" s="64">
        <v>2.96</v>
      </c>
      <c r="C64" s="64">
        <v>25.63</v>
      </c>
      <c r="D64" s="64">
        <v>17.16</v>
      </c>
      <c r="E64" s="64">
        <v>2.5099999999999998</v>
      </c>
      <c r="F64" s="64">
        <v>9.57</v>
      </c>
      <c r="G64" s="64">
        <v>66.099999999999994</v>
      </c>
      <c r="H64" s="64">
        <v>40.090000000000003</v>
      </c>
      <c r="I64" s="64">
        <v>1.49</v>
      </c>
      <c r="J64" s="64">
        <v>0.3</v>
      </c>
      <c r="K64" s="64">
        <v>80.489999999999995</v>
      </c>
      <c r="L64" s="64">
        <v>27.09</v>
      </c>
      <c r="M64" s="64">
        <v>37.950000000000003</v>
      </c>
      <c r="N64" s="64">
        <v>340.9</v>
      </c>
      <c r="O64" s="64">
        <v>0</v>
      </c>
      <c r="P64" s="64">
        <v>0.97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1650</v>
      </c>
      <c r="B65" s="64">
        <v>2.96</v>
      </c>
      <c r="C65" s="64">
        <v>28.6</v>
      </c>
      <c r="D65" s="64">
        <v>18.8</v>
      </c>
      <c r="E65" s="64">
        <v>2.42</v>
      </c>
      <c r="F65" s="64">
        <v>6.59</v>
      </c>
      <c r="G65" s="64">
        <v>65.08</v>
      </c>
      <c r="H65" s="64">
        <v>38.31</v>
      </c>
      <c r="I65" s="64">
        <v>1.52</v>
      </c>
      <c r="J65" s="64">
        <v>0.91</v>
      </c>
      <c r="K65" s="64">
        <v>105.95</v>
      </c>
      <c r="L65" s="64">
        <v>25.85</v>
      </c>
      <c r="M65" s="64">
        <v>39.97</v>
      </c>
      <c r="N65" s="64">
        <v>246.6</v>
      </c>
      <c r="O65" s="64">
        <v>0</v>
      </c>
      <c r="P65" s="64">
        <v>0.97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1651</v>
      </c>
      <c r="B66" s="64">
        <v>2.66</v>
      </c>
      <c r="C66" s="64">
        <v>33.24</v>
      </c>
      <c r="D66" s="64">
        <v>21.12</v>
      </c>
      <c r="E66" s="64">
        <v>2.42</v>
      </c>
      <c r="F66" s="64">
        <v>10.45</v>
      </c>
      <c r="G66" s="64">
        <v>64.400000000000006</v>
      </c>
      <c r="H66" s="64">
        <v>37.869999999999997</v>
      </c>
      <c r="I66" s="64">
        <v>1.51</v>
      </c>
      <c r="J66" s="64">
        <v>0.34</v>
      </c>
      <c r="K66" s="64">
        <v>46.36</v>
      </c>
      <c r="L66" s="64">
        <v>26.27</v>
      </c>
      <c r="M66" s="64">
        <v>38.630000000000003</v>
      </c>
      <c r="N66" s="64">
        <v>212.2</v>
      </c>
      <c r="O66" s="64">
        <v>0</v>
      </c>
      <c r="P66" s="64">
        <v>0.96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1652</v>
      </c>
      <c r="B67" s="64">
        <v>2.36</v>
      </c>
      <c r="C67" s="64">
        <v>29.05</v>
      </c>
      <c r="D67" s="64">
        <v>18.57</v>
      </c>
      <c r="E67" s="64">
        <v>2.4300000000000002</v>
      </c>
      <c r="F67" s="64">
        <v>7.96</v>
      </c>
      <c r="G67" s="64">
        <v>64.400000000000006</v>
      </c>
      <c r="H67" s="64">
        <v>37.869999999999997</v>
      </c>
      <c r="I67" s="64">
        <v>1.53</v>
      </c>
      <c r="J67" s="64">
        <v>1.1100000000000001</v>
      </c>
      <c r="K67" s="64">
        <v>108.44</v>
      </c>
      <c r="L67" s="64">
        <v>25.56</v>
      </c>
      <c r="M67" s="64">
        <v>39.299999999999997</v>
      </c>
      <c r="N67" s="64">
        <v>180.1</v>
      </c>
      <c r="O67" s="64">
        <v>0</v>
      </c>
      <c r="P67" s="64">
        <v>0.94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1653</v>
      </c>
      <c r="B68" s="64">
        <v>2.23</v>
      </c>
      <c r="C68" s="64">
        <v>31.52</v>
      </c>
      <c r="D68" s="64">
        <v>19.829999999999998</v>
      </c>
      <c r="E68" s="64">
        <v>2.48</v>
      </c>
      <c r="F68" s="64">
        <v>14.62</v>
      </c>
      <c r="G68" s="64">
        <v>64.400000000000006</v>
      </c>
      <c r="H68" s="64">
        <v>37.869999999999997</v>
      </c>
      <c r="I68" s="64">
        <v>1.53</v>
      </c>
      <c r="J68" s="64">
        <v>1.04</v>
      </c>
      <c r="K68" s="64">
        <v>108.53</v>
      </c>
      <c r="L68" s="64">
        <v>25.31</v>
      </c>
      <c r="M68" s="64">
        <v>39.119999999999997</v>
      </c>
      <c r="N68" s="64">
        <v>167.5</v>
      </c>
      <c r="O68" s="64">
        <v>0</v>
      </c>
      <c r="P68" s="64">
        <v>0.9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1654</v>
      </c>
      <c r="B69" s="64">
        <v>2.25</v>
      </c>
      <c r="C69" s="64">
        <v>25.62</v>
      </c>
      <c r="D69" s="64">
        <v>16.59</v>
      </c>
      <c r="E69" s="64">
        <v>2.57</v>
      </c>
      <c r="F69" s="64">
        <v>12.65</v>
      </c>
      <c r="G69" s="64">
        <v>63.28</v>
      </c>
      <c r="H69" s="64">
        <v>37.08</v>
      </c>
      <c r="I69" s="64">
        <v>1.48</v>
      </c>
      <c r="J69" s="64">
        <v>0.69</v>
      </c>
      <c r="K69" s="64">
        <v>100.22</v>
      </c>
      <c r="L69" s="64">
        <v>25.25</v>
      </c>
      <c r="M69" s="64">
        <v>39.409999999999997</v>
      </c>
      <c r="N69" s="64">
        <v>144.9</v>
      </c>
      <c r="O69" s="64">
        <v>0</v>
      </c>
      <c r="P69" s="64">
        <v>0.88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1655</v>
      </c>
      <c r="B70" s="64">
        <v>2.2400000000000002</v>
      </c>
      <c r="C70" s="64">
        <v>26.2</v>
      </c>
      <c r="D70" s="64">
        <v>16.899999999999999</v>
      </c>
      <c r="E70" s="64">
        <v>2.72</v>
      </c>
      <c r="F70" s="64">
        <v>13.86</v>
      </c>
      <c r="G70" s="64">
        <v>62.53</v>
      </c>
      <c r="H70" s="64">
        <v>36.89</v>
      </c>
      <c r="I70" s="64">
        <v>1.51</v>
      </c>
      <c r="J70" s="64">
        <v>0.67</v>
      </c>
      <c r="K70" s="64">
        <v>101.67</v>
      </c>
      <c r="L70" s="64">
        <v>25.1</v>
      </c>
      <c r="M70" s="64">
        <v>39.4</v>
      </c>
      <c r="N70" s="64">
        <v>131.6</v>
      </c>
      <c r="O70" s="64">
        <v>0</v>
      </c>
      <c r="P70" s="64">
        <v>0.88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1656</v>
      </c>
      <c r="B71" s="64">
        <v>2.8</v>
      </c>
      <c r="C71" s="64">
        <v>29.98</v>
      </c>
      <c r="D71" s="64">
        <v>19.440000000000001</v>
      </c>
      <c r="E71" s="64">
        <v>2.88</v>
      </c>
      <c r="F71" s="64">
        <v>17.309999999999999</v>
      </c>
      <c r="G71" s="64">
        <v>62.53</v>
      </c>
      <c r="H71" s="64">
        <v>36.89</v>
      </c>
      <c r="I71" s="64">
        <v>1.48</v>
      </c>
      <c r="J71" s="64">
        <v>0.26</v>
      </c>
      <c r="K71" s="64">
        <v>73.7</v>
      </c>
      <c r="L71" s="64">
        <v>25.04</v>
      </c>
      <c r="M71" s="64">
        <v>39.74</v>
      </c>
      <c r="N71" s="64">
        <v>118.3</v>
      </c>
      <c r="O71" s="64">
        <v>0</v>
      </c>
      <c r="P71" s="64">
        <v>0.88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1657</v>
      </c>
      <c r="B72" s="64">
        <v>2.52</v>
      </c>
      <c r="C72" s="64">
        <v>28.83</v>
      </c>
      <c r="D72" s="64">
        <v>18.57</v>
      </c>
      <c r="E72" s="64">
        <v>2.73</v>
      </c>
      <c r="F72" s="64">
        <v>18.03</v>
      </c>
      <c r="G72" s="64">
        <v>62.53</v>
      </c>
      <c r="H72" s="64">
        <v>36.89</v>
      </c>
      <c r="I72" s="64">
        <v>1.47</v>
      </c>
      <c r="J72" s="64">
        <v>0.43</v>
      </c>
      <c r="K72" s="64">
        <v>104.44</v>
      </c>
      <c r="L72" s="64">
        <v>24.8</v>
      </c>
      <c r="M72" s="64">
        <v>40.99</v>
      </c>
      <c r="N72" s="64">
        <v>103.3</v>
      </c>
      <c r="O72" s="64">
        <v>0</v>
      </c>
      <c r="P72" s="64">
        <v>0.85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1658</v>
      </c>
      <c r="B73" s="64">
        <v>2.4500000000000002</v>
      </c>
      <c r="C73" s="64">
        <v>29.74</v>
      </c>
      <c r="D73" s="64">
        <v>19.02</v>
      </c>
      <c r="E73" s="64">
        <v>3.15</v>
      </c>
      <c r="F73" s="64">
        <v>21.86</v>
      </c>
      <c r="G73" s="64">
        <v>61.94</v>
      </c>
      <c r="H73" s="64">
        <v>34.24</v>
      </c>
      <c r="I73" s="64">
        <v>1.46</v>
      </c>
      <c r="J73" s="64">
        <v>0.36</v>
      </c>
      <c r="K73" s="64">
        <v>103.39</v>
      </c>
      <c r="L73" s="64">
        <v>24.64</v>
      </c>
      <c r="M73" s="64">
        <v>41.45</v>
      </c>
      <c r="N73" s="64">
        <v>89.4</v>
      </c>
      <c r="O73" s="64">
        <v>0</v>
      </c>
      <c r="P73" s="64">
        <v>0.85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1659</v>
      </c>
      <c r="B74" s="64">
        <v>2.29</v>
      </c>
      <c r="C74" s="64">
        <v>30.02</v>
      </c>
      <c r="D74" s="64">
        <v>19.05</v>
      </c>
      <c r="E74" s="64">
        <v>3.03</v>
      </c>
      <c r="F74" s="64">
        <v>19.21</v>
      </c>
      <c r="G74" s="64">
        <v>61.55</v>
      </c>
      <c r="H74" s="64">
        <v>33.590000000000003</v>
      </c>
      <c r="I74" s="64">
        <v>1.49</v>
      </c>
      <c r="J74" s="64">
        <v>0.51</v>
      </c>
      <c r="K74" s="64">
        <v>102.25</v>
      </c>
      <c r="L74" s="64">
        <v>24.38</v>
      </c>
      <c r="M74" s="64">
        <v>42.59</v>
      </c>
      <c r="N74" s="64">
        <v>74.900000000000006</v>
      </c>
      <c r="O74" s="64">
        <v>0</v>
      </c>
      <c r="P74" s="64">
        <v>0.84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1660</v>
      </c>
      <c r="B75" s="64">
        <v>2.13</v>
      </c>
      <c r="C75" s="64">
        <v>25.79</v>
      </c>
      <c r="D75" s="64">
        <v>16.59</v>
      </c>
      <c r="E75" s="64">
        <v>3.22</v>
      </c>
      <c r="F75" s="64">
        <v>26.98</v>
      </c>
      <c r="G75" s="64">
        <v>61.55</v>
      </c>
      <c r="H75" s="64">
        <v>33.590000000000003</v>
      </c>
      <c r="I75" s="64">
        <v>1.61</v>
      </c>
      <c r="J75" s="64">
        <v>0.36</v>
      </c>
      <c r="K75" s="64">
        <v>93.23</v>
      </c>
      <c r="L75" s="64">
        <v>23.95</v>
      </c>
      <c r="M75" s="64">
        <v>47.42</v>
      </c>
      <c r="N75" s="64">
        <v>60.8</v>
      </c>
      <c r="O75" s="64">
        <v>0</v>
      </c>
      <c r="P75" s="64">
        <v>0.81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1661</v>
      </c>
      <c r="B76" s="64">
        <v>2.0099999999999998</v>
      </c>
      <c r="C76" s="64">
        <v>22.87</v>
      </c>
      <c r="D76" s="64">
        <v>14.88</v>
      </c>
      <c r="E76" s="64">
        <v>3.2</v>
      </c>
      <c r="F76" s="64">
        <v>17.010000000000002</v>
      </c>
      <c r="G76" s="64">
        <v>61.55</v>
      </c>
      <c r="H76" s="64">
        <v>33.590000000000003</v>
      </c>
      <c r="I76" s="64">
        <v>1.47</v>
      </c>
      <c r="J76" s="64">
        <v>0.08</v>
      </c>
      <c r="K76" s="64">
        <v>43.39</v>
      </c>
      <c r="L76" s="64">
        <v>23.32</v>
      </c>
      <c r="M76" s="64">
        <v>51.09</v>
      </c>
      <c r="N76" s="64">
        <v>48.1</v>
      </c>
      <c r="O76" s="64">
        <v>0</v>
      </c>
      <c r="P76" s="64">
        <v>0.82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5" t="s">
        <v>1662</v>
      </c>
      <c r="B77" s="64">
        <v>2.12</v>
      </c>
      <c r="C77" s="64">
        <v>30.7</v>
      </c>
      <c r="D77" s="64">
        <v>19.29</v>
      </c>
      <c r="E77" s="64">
        <v>2.89</v>
      </c>
      <c r="F77" s="64">
        <v>24.91</v>
      </c>
      <c r="G77" s="64">
        <v>61.24</v>
      </c>
      <c r="H77" s="64">
        <v>32.86</v>
      </c>
      <c r="I77" s="64">
        <v>1.45</v>
      </c>
      <c r="J77" s="64">
        <v>7.0000000000000007E-2</v>
      </c>
      <c r="K77" s="64">
        <v>359.88</v>
      </c>
      <c r="L77" s="64">
        <v>23.03</v>
      </c>
      <c r="M77" s="64">
        <v>52.87</v>
      </c>
      <c r="N77" s="64">
        <v>39</v>
      </c>
      <c r="O77" s="64">
        <v>0</v>
      </c>
      <c r="P77" s="64">
        <v>0.8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5" t="s">
        <v>1663</v>
      </c>
      <c r="B78" s="64">
        <v>2.21</v>
      </c>
      <c r="C78" s="64">
        <v>30.11</v>
      </c>
      <c r="D78" s="64">
        <v>19.03</v>
      </c>
      <c r="E78" s="64">
        <v>2.8</v>
      </c>
      <c r="F78" s="64">
        <v>12.19</v>
      </c>
      <c r="G78" s="64">
        <v>61.03</v>
      </c>
      <c r="H78" s="64">
        <v>32.54</v>
      </c>
      <c r="I78" s="64">
        <v>1.52</v>
      </c>
      <c r="J78" s="64">
        <v>0.15</v>
      </c>
      <c r="K78" s="64">
        <v>87.38</v>
      </c>
      <c r="L78" s="64">
        <v>22.81</v>
      </c>
      <c r="M78" s="64">
        <v>50.95</v>
      </c>
      <c r="N78" s="64">
        <v>35.200000000000003</v>
      </c>
      <c r="O78" s="64">
        <v>0</v>
      </c>
      <c r="P78" s="64">
        <v>0.83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5" t="s">
        <v>1664</v>
      </c>
      <c r="B79" s="64">
        <v>2.08</v>
      </c>
      <c r="C79" s="64">
        <v>31.31</v>
      </c>
      <c r="D79" s="64">
        <v>19.600000000000001</v>
      </c>
      <c r="E79" s="64">
        <v>3.09</v>
      </c>
      <c r="F79" s="64">
        <v>27.7</v>
      </c>
      <c r="G79" s="64">
        <v>61.03</v>
      </c>
      <c r="H79" s="64">
        <v>32.54</v>
      </c>
      <c r="I79" s="64">
        <v>1.52</v>
      </c>
      <c r="J79" s="64">
        <v>0.17</v>
      </c>
      <c r="K79" s="64">
        <v>110.82</v>
      </c>
      <c r="L79" s="64">
        <v>22.56</v>
      </c>
      <c r="M79" s="64">
        <v>50.87</v>
      </c>
      <c r="N79" s="64">
        <v>34.5</v>
      </c>
      <c r="O79" s="64">
        <v>0</v>
      </c>
      <c r="P79" s="64">
        <v>0.81</v>
      </c>
      <c r="Q79" s="64">
        <v>5.21</v>
      </c>
      <c r="R79" s="198"/>
      <c r="S79" s="198"/>
      <c r="T79" s="198"/>
      <c r="U79" s="198"/>
    </row>
    <row r="80" spans="1:21" s="12" customFormat="1" x14ac:dyDescent="0.25">
      <c r="A80" s="215" t="s">
        <v>1665</v>
      </c>
      <c r="B80" s="64">
        <v>2.13</v>
      </c>
      <c r="C80" s="64">
        <v>31.3</v>
      </c>
      <c r="D80" s="64">
        <v>19.63</v>
      </c>
      <c r="E80" s="64">
        <v>2.9</v>
      </c>
      <c r="F80" s="64">
        <v>24.21</v>
      </c>
      <c r="G80" s="64">
        <v>61.03</v>
      </c>
      <c r="H80" s="64">
        <v>32.54</v>
      </c>
      <c r="I80" s="64">
        <v>1.47</v>
      </c>
      <c r="J80" s="64">
        <v>0.31</v>
      </c>
      <c r="K80" s="64">
        <v>92.31</v>
      </c>
      <c r="L80" s="64">
        <v>22.47</v>
      </c>
      <c r="M80" s="64">
        <v>51.27</v>
      </c>
      <c r="N80" s="64">
        <v>34.200000000000003</v>
      </c>
      <c r="O80" s="64">
        <v>0</v>
      </c>
      <c r="P80" s="64">
        <v>0.82</v>
      </c>
      <c r="Q80" s="64">
        <v>5.21</v>
      </c>
      <c r="R80" s="198"/>
      <c r="S80" s="198"/>
      <c r="T80" s="198"/>
      <c r="U80" s="198"/>
    </row>
    <row r="81" spans="1:26" s="12" customFormat="1" x14ac:dyDescent="0.25">
      <c r="A81" s="215" t="s">
        <v>1666</v>
      </c>
      <c r="B81" s="64">
        <v>2.1</v>
      </c>
      <c r="C81" s="64">
        <v>31.07</v>
      </c>
      <c r="D81" s="64">
        <v>19.48</v>
      </c>
      <c r="E81" s="64">
        <v>3.25</v>
      </c>
      <c r="F81" s="64">
        <v>18.14</v>
      </c>
      <c r="G81" s="64">
        <v>60.37</v>
      </c>
      <c r="H81" s="64">
        <v>31.49</v>
      </c>
      <c r="I81" s="64">
        <v>1.51</v>
      </c>
      <c r="J81" s="64">
        <v>0.14000000000000001</v>
      </c>
      <c r="K81" s="64">
        <v>60.8</v>
      </c>
      <c r="L81" s="64">
        <v>22.22</v>
      </c>
      <c r="M81" s="64">
        <v>52.52</v>
      </c>
      <c r="N81" s="64">
        <v>34.6</v>
      </c>
      <c r="O81" s="64">
        <v>0</v>
      </c>
      <c r="P81" s="64">
        <v>0.89</v>
      </c>
      <c r="Q81" s="64">
        <v>5.21</v>
      </c>
      <c r="R81" s="198"/>
      <c r="S81" s="198"/>
      <c r="T81" s="198"/>
      <c r="U81" s="198"/>
    </row>
    <row r="82" spans="1:26" s="12" customFormat="1" x14ac:dyDescent="0.25">
      <c r="A82" s="215" t="s">
        <v>1667</v>
      </c>
      <c r="B82" s="64">
        <v>2.2400000000000002</v>
      </c>
      <c r="C82" s="64">
        <v>29.96</v>
      </c>
      <c r="D82" s="64">
        <v>18.98</v>
      </c>
      <c r="E82" s="64">
        <v>3.26</v>
      </c>
      <c r="F82" s="64">
        <v>19.920000000000002</v>
      </c>
      <c r="G82" s="64">
        <v>59.92</v>
      </c>
      <c r="H82" s="64">
        <v>31.24</v>
      </c>
      <c r="I82" s="64">
        <v>1.55</v>
      </c>
      <c r="J82" s="64">
        <v>0.25</v>
      </c>
      <c r="K82" s="64">
        <v>98.77</v>
      </c>
      <c r="L82" s="64">
        <v>21.99</v>
      </c>
      <c r="M82" s="64">
        <v>53.94</v>
      </c>
      <c r="N82" s="64">
        <v>34.4</v>
      </c>
      <c r="O82" s="64">
        <v>0</v>
      </c>
      <c r="P82" s="64">
        <v>0.87</v>
      </c>
      <c r="Q82" s="64">
        <v>5.21</v>
      </c>
      <c r="R82" s="198"/>
      <c r="S82" s="198"/>
      <c r="T82" s="198"/>
      <c r="U82" s="198"/>
    </row>
    <row r="83" spans="1:26" s="12" customFormat="1" x14ac:dyDescent="0.25">
      <c r="A83" s="215" t="s">
        <v>1668</v>
      </c>
      <c r="B83" s="64">
        <v>2.37</v>
      </c>
      <c r="C83" s="64">
        <v>29.69</v>
      </c>
      <c r="D83" s="64">
        <v>18.940000000000001</v>
      </c>
      <c r="E83" s="64">
        <v>3.24</v>
      </c>
      <c r="F83" s="64">
        <v>11.2</v>
      </c>
      <c r="G83" s="64">
        <v>59.92</v>
      </c>
      <c r="H83" s="64">
        <v>31.24</v>
      </c>
      <c r="I83" s="64">
        <v>1.48</v>
      </c>
      <c r="J83" s="64">
        <v>0.16</v>
      </c>
      <c r="K83" s="64">
        <v>100.11</v>
      </c>
      <c r="L83" s="64">
        <v>21.77</v>
      </c>
      <c r="M83" s="64">
        <v>55.03</v>
      </c>
      <c r="N83" s="64">
        <v>34.4</v>
      </c>
      <c r="O83" s="64">
        <v>0</v>
      </c>
      <c r="P83" s="64">
        <v>0.88</v>
      </c>
      <c r="Q83" s="64">
        <v>5.21</v>
      </c>
      <c r="R83" s="198"/>
      <c r="S83" s="198"/>
      <c r="T83" s="198"/>
      <c r="U83" s="198"/>
    </row>
    <row r="84" spans="1:26" s="12" customFormat="1" x14ac:dyDescent="0.25">
      <c r="A84" s="215" t="s">
        <v>1669</v>
      </c>
      <c r="B84" s="64">
        <v>2.52</v>
      </c>
      <c r="C84" s="64">
        <v>31.05</v>
      </c>
      <c r="D84" s="64">
        <v>19.809999999999999</v>
      </c>
      <c r="E84" s="64">
        <v>3.19</v>
      </c>
      <c r="F84" s="64">
        <v>16.27</v>
      </c>
      <c r="G84" s="64">
        <v>59.92</v>
      </c>
      <c r="H84" s="64">
        <v>31.24</v>
      </c>
      <c r="I84" s="64">
        <v>1.51</v>
      </c>
      <c r="J84" s="64">
        <v>0.24</v>
      </c>
      <c r="K84" s="64">
        <v>76.36</v>
      </c>
      <c r="L84" s="64">
        <v>21.67</v>
      </c>
      <c r="M84" s="64">
        <v>55.1</v>
      </c>
      <c r="N84" s="64">
        <v>34.5</v>
      </c>
      <c r="O84" s="64">
        <v>0</v>
      </c>
      <c r="P84" s="64">
        <v>0.92</v>
      </c>
      <c r="Q84" s="64">
        <v>5.21</v>
      </c>
      <c r="R84" s="198"/>
      <c r="S84" s="198"/>
      <c r="T84" s="198"/>
      <c r="U84" s="198"/>
    </row>
    <row r="85" spans="1:26" s="12" customFormat="1" x14ac:dyDescent="0.25">
      <c r="A85" s="215" t="s">
        <v>1670</v>
      </c>
      <c r="B85" s="64">
        <v>3.5</v>
      </c>
      <c r="C85" s="64">
        <v>34.97</v>
      </c>
      <c r="D85" s="64">
        <v>22.75</v>
      </c>
      <c r="E85" s="64">
        <v>3.2</v>
      </c>
      <c r="F85" s="64">
        <v>9.49</v>
      </c>
      <c r="G85" s="64">
        <v>62.64</v>
      </c>
      <c r="H85" s="64">
        <v>32</v>
      </c>
      <c r="I85" s="64">
        <v>1.53</v>
      </c>
      <c r="J85" s="64">
        <v>0.11</v>
      </c>
      <c r="K85" s="64">
        <v>35.07</v>
      </c>
      <c r="L85" s="64">
        <v>21.42</v>
      </c>
      <c r="M85" s="64">
        <v>56.72</v>
      </c>
      <c r="N85" s="64">
        <v>34.799999999999997</v>
      </c>
      <c r="O85" s="64">
        <v>0</v>
      </c>
      <c r="P85" s="64">
        <v>0.9</v>
      </c>
      <c r="Q85" s="64">
        <v>5.21</v>
      </c>
      <c r="R85" s="198"/>
      <c r="S85" s="198"/>
      <c r="T85" s="198"/>
      <c r="U85" s="198"/>
    </row>
    <row r="86" spans="1:26" s="12" customFormat="1" x14ac:dyDescent="0.25">
      <c r="A86" s="215" t="s">
        <v>1671</v>
      </c>
      <c r="B86" s="64">
        <v>3.42</v>
      </c>
      <c r="C86" s="64">
        <v>38.47</v>
      </c>
      <c r="D86" s="64">
        <v>24.62</v>
      </c>
      <c r="E86" s="64">
        <v>3.01</v>
      </c>
      <c r="F86" s="64">
        <v>11.96</v>
      </c>
      <c r="G86" s="64">
        <v>64.45</v>
      </c>
      <c r="H86" s="64">
        <v>32.19</v>
      </c>
      <c r="I86" s="64">
        <v>1.46</v>
      </c>
      <c r="J86" s="64">
        <v>0.05</v>
      </c>
      <c r="K86" s="64">
        <v>71.97</v>
      </c>
      <c r="L86" s="64">
        <v>20.97</v>
      </c>
      <c r="M86" s="64">
        <v>58.66</v>
      </c>
      <c r="N86" s="64">
        <v>34.9</v>
      </c>
      <c r="O86" s="64">
        <v>0</v>
      </c>
      <c r="P86" s="64">
        <v>0.93</v>
      </c>
      <c r="Q86" s="64">
        <v>5.21</v>
      </c>
      <c r="R86" s="198"/>
      <c r="S86" s="198"/>
      <c r="T86" s="198"/>
      <c r="U86" s="198"/>
    </row>
    <row r="87" spans="1:26" s="12" customFormat="1" x14ac:dyDescent="0.25">
      <c r="A87" s="215" t="s">
        <v>1672</v>
      </c>
      <c r="B87" s="64">
        <v>2.75</v>
      </c>
      <c r="C87" s="64">
        <v>33.08</v>
      </c>
      <c r="D87" s="64">
        <v>21.11</v>
      </c>
      <c r="E87" s="64">
        <v>3.17</v>
      </c>
      <c r="F87" s="64">
        <v>18.22</v>
      </c>
      <c r="G87" s="64">
        <v>64.45</v>
      </c>
      <c r="H87" s="64">
        <v>32.19</v>
      </c>
      <c r="I87" s="64">
        <v>1.54</v>
      </c>
      <c r="J87" s="64">
        <v>0.09</v>
      </c>
      <c r="K87" s="64">
        <v>34.299999999999997</v>
      </c>
      <c r="L87" s="64">
        <v>20.8</v>
      </c>
      <c r="M87" s="64">
        <v>60.97</v>
      </c>
      <c r="N87" s="64">
        <v>34.6</v>
      </c>
      <c r="O87" s="64">
        <v>0</v>
      </c>
      <c r="P87" s="64">
        <v>0.98</v>
      </c>
      <c r="Q87" s="64">
        <v>5.21</v>
      </c>
      <c r="R87" s="198"/>
      <c r="S87" s="198"/>
      <c r="T87" s="198"/>
      <c r="U87" s="198"/>
    </row>
    <row r="88" spans="1:26" s="12" customFormat="1" x14ac:dyDescent="0.25">
      <c r="A88" s="215" t="s">
        <v>1673</v>
      </c>
      <c r="B88" s="64">
        <v>3.01</v>
      </c>
      <c r="C88" s="64">
        <v>34.28</v>
      </c>
      <c r="D88" s="64">
        <v>21.98</v>
      </c>
      <c r="E88" s="64">
        <v>2.46</v>
      </c>
      <c r="F88" s="64">
        <v>6.09</v>
      </c>
      <c r="G88" s="64">
        <v>64.45</v>
      </c>
      <c r="H88" s="64">
        <v>32.19</v>
      </c>
      <c r="I88" s="64">
        <v>1.47</v>
      </c>
      <c r="J88" s="64">
        <v>0.16</v>
      </c>
      <c r="K88" s="64">
        <v>52.71</v>
      </c>
      <c r="L88" s="64">
        <v>20.77</v>
      </c>
      <c r="M88" s="64">
        <v>61.72</v>
      </c>
      <c r="N88" s="64">
        <v>34.6</v>
      </c>
      <c r="O88" s="64">
        <v>0</v>
      </c>
      <c r="P88" s="64">
        <v>0.97</v>
      </c>
      <c r="Q88" s="64">
        <v>5.21</v>
      </c>
      <c r="R88" s="198"/>
      <c r="S88" s="198"/>
      <c r="T88" s="198"/>
      <c r="U88" s="198"/>
    </row>
    <row r="89" spans="1:26" s="12" customFormat="1" x14ac:dyDescent="0.25">
      <c r="A89" s="215" t="s">
        <v>1674</v>
      </c>
      <c r="B89" s="64">
        <v>3.36</v>
      </c>
      <c r="C89" s="64">
        <v>37.18</v>
      </c>
      <c r="D89" s="64">
        <v>23.86</v>
      </c>
      <c r="E89" s="64">
        <v>2.73</v>
      </c>
      <c r="F89" s="64">
        <v>9.92</v>
      </c>
      <c r="G89" s="64">
        <v>67.55</v>
      </c>
      <c r="H89" s="64">
        <v>35.18</v>
      </c>
      <c r="I89" s="64">
        <v>1.48</v>
      </c>
      <c r="J89" s="64">
        <v>0.11</v>
      </c>
      <c r="K89" s="64">
        <v>57.59</v>
      </c>
      <c r="L89" s="64">
        <v>20.6</v>
      </c>
      <c r="M89" s="64">
        <v>62.42</v>
      </c>
      <c r="N89" s="64">
        <v>34.700000000000003</v>
      </c>
      <c r="O89" s="64">
        <v>0</v>
      </c>
      <c r="P89" s="64">
        <v>1.1399999999999999</v>
      </c>
      <c r="Q89" s="64">
        <v>5.21</v>
      </c>
      <c r="R89" s="198"/>
      <c r="S89" s="198"/>
      <c r="T89" s="198"/>
      <c r="U89" s="198"/>
    </row>
    <row r="90" spans="1:26" s="12" customFormat="1" x14ac:dyDescent="0.25">
      <c r="A90" s="215" t="s">
        <v>1675</v>
      </c>
      <c r="B90" s="64">
        <v>3.57</v>
      </c>
      <c r="C90" s="64">
        <v>39.119999999999997</v>
      </c>
      <c r="D90" s="64">
        <v>25.1</v>
      </c>
      <c r="E90" s="64">
        <v>2.65</v>
      </c>
      <c r="F90" s="64">
        <v>7.89</v>
      </c>
      <c r="G90" s="64">
        <v>69.61</v>
      </c>
      <c r="H90" s="64">
        <v>35.9</v>
      </c>
      <c r="I90" s="64">
        <v>1.48</v>
      </c>
      <c r="J90" s="64">
        <v>0.12</v>
      </c>
      <c r="K90" s="64">
        <v>48.14</v>
      </c>
      <c r="L90" s="64">
        <v>20.440000000000001</v>
      </c>
      <c r="M90" s="64">
        <v>63.34</v>
      </c>
      <c r="N90" s="64">
        <v>34.6</v>
      </c>
      <c r="O90" s="64">
        <v>0</v>
      </c>
      <c r="P90" s="64">
        <v>1.05</v>
      </c>
      <c r="Q90" s="64">
        <v>5.21</v>
      </c>
      <c r="R90" s="198"/>
      <c r="S90" s="198"/>
      <c r="T90" s="198"/>
      <c r="U90" s="198"/>
    </row>
    <row r="91" spans="1:26" s="12" customFormat="1" x14ac:dyDescent="0.25">
      <c r="A91" s="215" t="s">
        <v>1676</v>
      </c>
      <c r="B91" s="64">
        <v>3.76</v>
      </c>
      <c r="C91" s="64">
        <v>36.08</v>
      </c>
      <c r="D91" s="64">
        <v>23.57</v>
      </c>
      <c r="E91" s="64">
        <v>2.68</v>
      </c>
      <c r="F91" s="64">
        <v>6.47</v>
      </c>
      <c r="G91" s="64">
        <v>69.61</v>
      </c>
      <c r="H91" s="64">
        <v>35.9</v>
      </c>
      <c r="I91" s="64">
        <v>1.49</v>
      </c>
      <c r="J91" s="64">
        <v>0.03</v>
      </c>
      <c r="K91" s="64">
        <v>2.67</v>
      </c>
      <c r="L91" s="64">
        <v>20.350000000000001</v>
      </c>
      <c r="M91" s="64">
        <v>63.14</v>
      </c>
      <c r="N91" s="64">
        <v>34.5</v>
      </c>
      <c r="O91" s="64">
        <v>0</v>
      </c>
      <c r="P91" s="64">
        <v>1.05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5" t="s">
        <v>1677</v>
      </c>
      <c r="B92" s="64">
        <v>3.86</v>
      </c>
      <c r="C92" s="64">
        <v>34.24</v>
      </c>
      <c r="D92" s="64">
        <v>22.64</v>
      </c>
      <c r="E92" s="64">
        <v>2.59</v>
      </c>
      <c r="F92" s="64">
        <v>6.95</v>
      </c>
      <c r="G92" s="64">
        <v>69.61</v>
      </c>
      <c r="H92" s="64">
        <v>35.9</v>
      </c>
      <c r="I92" s="64">
        <v>1.52</v>
      </c>
      <c r="J92" s="64">
        <v>1.1299999999999999</v>
      </c>
      <c r="K92" s="64">
        <v>108.14</v>
      </c>
      <c r="L92" s="64">
        <v>20.96</v>
      </c>
      <c r="M92" s="64">
        <v>58.61</v>
      </c>
      <c r="N92" s="64">
        <v>32.700000000000003</v>
      </c>
      <c r="O92" s="64">
        <v>0</v>
      </c>
      <c r="P92" s="64">
        <v>1.05</v>
      </c>
      <c r="Q92" s="64">
        <v>5.21</v>
      </c>
      <c r="R92" s="198"/>
      <c r="S92" s="198"/>
      <c r="T92" s="198"/>
      <c r="U92" s="198"/>
    </row>
    <row r="93" spans="1:26" s="12" customFormat="1" x14ac:dyDescent="0.25">
      <c r="A93" s="215" t="s">
        <v>1678</v>
      </c>
      <c r="B93" s="64">
        <v>3.97</v>
      </c>
      <c r="C93" s="64">
        <v>33.74</v>
      </c>
      <c r="D93" s="64">
        <v>22.45</v>
      </c>
      <c r="E93" s="64">
        <v>2.59</v>
      </c>
      <c r="F93" s="64">
        <v>4.1399999999999997</v>
      </c>
      <c r="G93" s="64">
        <v>71.61</v>
      </c>
      <c r="H93" s="64">
        <v>37.590000000000003</v>
      </c>
      <c r="I93" s="64">
        <v>1.45</v>
      </c>
      <c r="J93" s="64">
        <v>1.57</v>
      </c>
      <c r="K93" s="64">
        <v>99.65</v>
      </c>
      <c r="L93" s="64">
        <v>21.34</v>
      </c>
      <c r="M93" s="64">
        <v>56.46</v>
      </c>
      <c r="N93" s="64">
        <v>33.6</v>
      </c>
      <c r="O93" s="64">
        <v>0</v>
      </c>
      <c r="P93" s="64">
        <v>1.04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5" t="s">
        <v>1679</v>
      </c>
      <c r="B94" s="64">
        <v>3.88</v>
      </c>
      <c r="C94" s="64">
        <v>32.36</v>
      </c>
      <c r="D94" s="64">
        <v>21.62</v>
      </c>
      <c r="E94" s="64">
        <v>2.57</v>
      </c>
      <c r="F94" s="64">
        <v>5.77</v>
      </c>
      <c r="G94" s="64">
        <v>72.94</v>
      </c>
      <c r="H94" s="64">
        <v>38.33</v>
      </c>
      <c r="I94" s="64">
        <v>1.46</v>
      </c>
      <c r="J94" s="64">
        <v>1.33</v>
      </c>
      <c r="K94" s="64">
        <v>105.97</v>
      </c>
      <c r="L94" s="64">
        <v>21.1</v>
      </c>
      <c r="M94" s="64">
        <v>57.38</v>
      </c>
      <c r="N94" s="64">
        <v>34.5</v>
      </c>
      <c r="O94" s="64">
        <v>0</v>
      </c>
      <c r="P94" s="64">
        <v>1.03</v>
      </c>
      <c r="Q94" s="64">
        <v>5.21</v>
      </c>
      <c r="R94" s="198"/>
      <c r="S94" s="198"/>
      <c r="T94" s="198"/>
      <c r="U94" s="198"/>
    </row>
    <row r="95" spans="1:26" s="12" customFormat="1" x14ac:dyDescent="0.25">
      <c r="A95" s="215" t="s">
        <v>1680</v>
      </c>
      <c r="B95" s="64">
        <v>3.72</v>
      </c>
      <c r="C95" s="64">
        <v>31.52</v>
      </c>
      <c r="D95" s="64">
        <v>21.02</v>
      </c>
      <c r="E95" s="64">
        <v>2.58</v>
      </c>
      <c r="F95" s="64">
        <v>5.82</v>
      </c>
      <c r="G95" s="64">
        <v>72.94</v>
      </c>
      <c r="H95" s="64">
        <v>38.33</v>
      </c>
      <c r="I95" s="64">
        <v>1.55</v>
      </c>
      <c r="J95" s="64">
        <v>1.05</v>
      </c>
      <c r="K95" s="64">
        <v>110.5</v>
      </c>
      <c r="L95" s="64">
        <v>20.98</v>
      </c>
      <c r="M95" s="64">
        <v>57.87</v>
      </c>
      <c r="N95" s="64">
        <v>34.700000000000003</v>
      </c>
      <c r="O95" s="64">
        <v>0</v>
      </c>
      <c r="P95" s="64">
        <v>1.02</v>
      </c>
      <c r="Q95" s="64">
        <v>5.21</v>
      </c>
      <c r="R95" s="198"/>
      <c r="S95" s="198"/>
      <c r="T95" s="198"/>
      <c r="U95" s="198"/>
    </row>
    <row r="96" spans="1:26" s="12" customFormat="1" x14ac:dyDescent="0.25">
      <c r="A96" s="215" t="s">
        <v>1681</v>
      </c>
      <c r="B96" s="64">
        <v>3.54</v>
      </c>
      <c r="C96" s="64">
        <v>31.11</v>
      </c>
      <c r="D96" s="64">
        <v>20.66</v>
      </c>
      <c r="E96" s="64">
        <v>2.65</v>
      </c>
      <c r="F96" s="64">
        <v>7.12</v>
      </c>
      <c r="G96" s="64">
        <v>72.94</v>
      </c>
      <c r="H96" s="64">
        <v>38.33</v>
      </c>
      <c r="I96" s="64">
        <v>1.48</v>
      </c>
      <c r="J96" s="64">
        <v>0.97</v>
      </c>
      <c r="K96" s="64">
        <v>110.75</v>
      </c>
      <c r="L96" s="64">
        <v>20.68</v>
      </c>
      <c r="M96" s="64">
        <v>59.61</v>
      </c>
      <c r="N96" s="64">
        <v>34.799999999999997</v>
      </c>
      <c r="O96" s="64">
        <v>0</v>
      </c>
      <c r="P96" s="64">
        <v>1</v>
      </c>
      <c r="Q96" s="64">
        <v>5.21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1682</v>
      </c>
      <c r="B97" s="64">
        <v>3.46</v>
      </c>
      <c r="C97" s="64">
        <v>30.28</v>
      </c>
      <c r="D97" s="64">
        <v>20.14</v>
      </c>
      <c r="E97" s="64">
        <v>2.56</v>
      </c>
      <c r="F97" s="64">
        <v>5.49</v>
      </c>
      <c r="G97" s="64">
        <v>72.180000000000007</v>
      </c>
      <c r="H97" s="64">
        <v>35.81</v>
      </c>
      <c r="I97" s="64">
        <v>1.42</v>
      </c>
      <c r="J97" s="64">
        <v>1.1100000000000001</v>
      </c>
      <c r="K97" s="64">
        <v>120.64</v>
      </c>
      <c r="L97" s="64">
        <v>20.53</v>
      </c>
      <c r="M97" s="64">
        <v>60.27</v>
      </c>
      <c r="N97" s="64">
        <v>34.6</v>
      </c>
      <c r="O97" s="64">
        <v>0</v>
      </c>
      <c r="P97" s="64">
        <v>0.99</v>
      </c>
      <c r="Q97" s="64">
        <v>5.21</v>
      </c>
      <c r="R97" s="198"/>
      <c r="S97" s="198"/>
      <c r="T97" s="198"/>
      <c r="U97" s="198"/>
    </row>
    <row r="98" spans="1:33" s="12" customFormat="1" x14ac:dyDescent="0.25">
      <c r="A98" s="215" t="s">
        <v>1683</v>
      </c>
      <c r="B98" s="64">
        <v>3.32</v>
      </c>
      <c r="C98" s="64">
        <v>26.43</v>
      </c>
      <c r="D98" s="64">
        <v>17.89</v>
      </c>
      <c r="E98" s="64">
        <v>2.52</v>
      </c>
      <c r="F98" s="64">
        <v>5.63</v>
      </c>
      <c r="G98" s="64">
        <v>71.67</v>
      </c>
      <c r="H98" s="64">
        <v>35.19</v>
      </c>
      <c r="I98" s="64">
        <v>1.49</v>
      </c>
      <c r="J98" s="64">
        <v>0.91</v>
      </c>
      <c r="K98" s="64">
        <v>116.54</v>
      </c>
      <c r="L98" s="64">
        <v>20.34</v>
      </c>
      <c r="M98" s="64">
        <v>61.24</v>
      </c>
      <c r="N98" s="64">
        <v>34.799999999999997</v>
      </c>
      <c r="O98" s="64">
        <v>0</v>
      </c>
      <c r="P98" s="64">
        <v>0.97</v>
      </c>
      <c r="Q98" s="64">
        <v>5.21</v>
      </c>
      <c r="R98" s="198"/>
      <c r="S98" s="198"/>
      <c r="T98" s="198"/>
      <c r="U98" s="198"/>
    </row>
    <row r="99" spans="1:33" s="12" customFormat="1" x14ac:dyDescent="0.25">
      <c r="A99" s="215" t="s">
        <v>1684</v>
      </c>
      <c r="B99" s="64">
        <v>3.2</v>
      </c>
      <c r="C99" s="64">
        <v>25.72</v>
      </c>
      <c r="D99" s="64">
        <v>17.41</v>
      </c>
      <c r="E99" s="64">
        <v>2.4700000000000002</v>
      </c>
      <c r="F99" s="64">
        <v>4.8499999999999996</v>
      </c>
      <c r="G99" s="64">
        <v>71.67</v>
      </c>
      <c r="H99" s="64">
        <v>35.19</v>
      </c>
      <c r="I99" s="64">
        <v>1.46</v>
      </c>
      <c r="J99" s="64">
        <v>1.1299999999999999</v>
      </c>
      <c r="K99" s="64">
        <v>112.25</v>
      </c>
      <c r="L99" s="64">
        <v>20.29</v>
      </c>
      <c r="M99" s="64">
        <v>61.6</v>
      </c>
      <c r="N99" s="64">
        <v>34.4</v>
      </c>
      <c r="O99" s="64">
        <v>0</v>
      </c>
      <c r="P99" s="64">
        <v>0.96</v>
      </c>
      <c r="Q99" s="64">
        <v>5.21</v>
      </c>
      <c r="R99" s="198"/>
      <c r="S99" s="198"/>
      <c r="T99" s="198"/>
      <c r="U99" s="198"/>
    </row>
    <row r="100" spans="1:33" s="12" customFormat="1" x14ac:dyDescent="0.25">
      <c r="A100" s="215" t="s">
        <v>1685</v>
      </c>
      <c r="B100" s="64">
        <v>3.12</v>
      </c>
      <c r="C100" s="64">
        <v>27.1</v>
      </c>
      <c r="D100" s="64">
        <v>18.100000000000001</v>
      </c>
      <c r="E100" s="64">
        <v>2.44</v>
      </c>
      <c r="F100" s="64">
        <v>4.7300000000000004</v>
      </c>
      <c r="G100" s="64">
        <v>71.67</v>
      </c>
      <c r="H100" s="64">
        <v>35.19</v>
      </c>
      <c r="I100" s="64">
        <v>1.52</v>
      </c>
      <c r="J100" s="64">
        <v>1.1599999999999999</v>
      </c>
      <c r="K100" s="64">
        <v>107.94</v>
      </c>
      <c r="L100" s="64">
        <v>20.39</v>
      </c>
      <c r="M100" s="64">
        <v>60.35</v>
      </c>
      <c r="N100" s="64">
        <v>34.4</v>
      </c>
      <c r="O100" s="64">
        <v>0</v>
      </c>
      <c r="P100" s="64">
        <v>0.94</v>
      </c>
      <c r="Q100" s="64">
        <v>5.21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1686</v>
      </c>
      <c r="B101" s="64">
        <v>3.06</v>
      </c>
      <c r="C101" s="64">
        <v>28.55</v>
      </c>
      <c r="D101" s="64">
        <v>18.86</v>
      </c>
      <c r="E101" s="64">
        <v>2.4700000000000002</v>
      </c>
      <c r="F101" s="64">
        <v>4.34</v>
      </c>
      <c r="G101" s="64">
        <v>69.87</v>
      </c>
      <c r="H101" s="64">
        <v>35.92</v>
      </c>
      <c r="I101" s="64">
        <v>1.51</v>
      </c>
      <c r="J101" s="64">
        <v>1.3</v>
      </c>
      <c r="K101" s="64">
        <v>110.75</v>
      </c>
      <c r="L101" s="64">
        <v>20.32</v>
      </c>
      <c r="M101" s="64">
        <v>60.61</v>
      </c>
      <c r="N101" s="64">
        <v>34.6</v>
      </c>
      <c r="O101" s="64">
        <v>0</v>
      </c>
      <c r="P101" s="64">
        <v>0.93</v>
      </c>
      <c r="Q101" s="64">
        <v>5.21</v>
      </c>
      <c r="R101" s="198"/>
      <c r="S101" s="198"/>
      <c r="T101" s="198"/>
      <c r="U101" s="198"/>
    </row>
    <row r="102" spans="1:33" s="12" customFormat="1" x14ac:dyDescent="0.25">
      <c r="A102" s="215" t="s">
        <v>1687</v>
      </c>
      <c r="B102" s="64">
        <v>3.01</v>
      </c>
      <c r="C102" s="64">
        <v>26.8</v>
      </c>
      <c r="D102" s="64">
        <v>17.850000000000001</v>
      </c>
      <c r="E102" s="64">
        <v>2.46</v>
      </c>
      <c r="F102" s="64">
        <v>4.96</v>
      </c>
      <c r="G102" s="64">
        <v>68.67</v>
      </c>
      <c r="H102" s="64">
        <v>36.090000000000003</v>
      </c>
      <c r="I102" s="64">
        <v>1.49</v>
      </c>
      <c r="J102" s="64">
        <v>1.47</v>
      </c>
      <c r="K102" s="64">
        <v>110.19</v>
      </c>
      <c r="L102" s="64">
        <v>20.010000000000002</v>
      </c>
      <c r="M102" s="64">
        <v>63.13</v>
      </c>
      <c r="N102" s="64">
        <v>34.799999999999997</v>
      </c>
      <c r="O102" s="64">
        <v>0</v>
      </c>
      <c r="P102" s="64">
        <v>0.91</v>
      </c>
      <c r="Q102" s="64">
        <v>5.21</v>
      </c>
      <c r="R102" s="198"/>
      <c r="S102" s="198"/>
      <c r="T102" s="198"/>
      <c r="U102" s="198"/>
    </row>
    <row r="103" spans="1:33" s="12" customFormat="1" x14ac:dyDescent="0.25">
      <c r="A103" s="215" t="s">
        <v>1688</v>
      </c>
      <c r="B103" s="64">
        <v>2.94</v>
      </c>
      <c r="C103" s="64">
        <v>26.95</v>
      </c>
      <c r="D103" s="64">
        <v>17.87</v>
      </c>
      <c r="E103" s="64">
        <v>2.4700000000000002</v>
      </c>
      <c r="F103" s="64">
        <v>4.18</v>
      </c>
      <c r="G103" s="64">
        <v>68.67</v>
      </c>
      <c r="H103" s="64">
        <v>36.090000000000003</v>
      </c>
      <c r="I103" s="64">
        <v>1.63</v>
      </c>
      <c r="J103" s="64">
        <v>1.07</v>
      </c>
      <c r="K103" s="64">
        <v>105.94</v>
      </c>
      <c r="L103" s="64">
        <v>19.850000000000001</v>
      </c>
      <c r="M103" s="64">
        <v>63.49</v>
      </c>
      <c r="N103" s="64">
        <v>34.799999999999997</v>
      </c>
      <c r="O103" s="64">
        <v>0</v>
      </c>
      <c r="P103" s="64">
        <v>0.89</v>
      </c>
      <c r="Q103" s="64">
        <v>5.21</v>
      </c>
      <c r="R103" s="198"/>
      <c r="S103" s="198"/>
      <c r="T103" s="198"/>
      <c r="U103" s="198"/>
    </row>
    <row r="104" spans="1:33" s="12" customFormat="1" x14ac:dyDescent="0.25">
      <c r="A104" s="215" t="s">
        <v>1689</v>
      </c>
      <c r="B104" s="64">
        <v>2.88</v>
      </c>
      <c r="C104" s="64">
        <v>27.48</v>
      </c>
      <c r="D104" s="64">
        <v>18.12</v>
      </c>
      <c r="E104" s="64">
        <v>2.2000000000000002</v>
      </c>
      <c r="F104" s="64">
        <v>4.1500000000000004</v>
      </c>
      <c r="G104" s="64">
        <v>68.67</v>
      </c>
      <c r="H104" s="64">
        <v>36.090000000000003</v>
      </c>
      <c r="I104" s="64">
        <v>1.55</v>
      </c>
      <c r="J104" s="64">
        <v>0.95</v>
      </c>
      <c r="K104" s="64">
        <v>105.13</v>
      </c>
      <c r="L104" s="64">
        <v>19.649999999999999</v>
      </c>
      <c r="M104" s="64">
        <v>64.2</v>
      </c>
      <c r="N104" s="64">
        <v>34.700000000000003</v>
      </c>
      <c r="O104" s="64">
        <v>0</v>
      </c>
      <c r="P104" s="64">
        <v>0.88</v>
      </c>
      <c r="Q104" s="64">
        <v>5.21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2.0099999999999998</v>
      </c>
      <c r="C106" s="67">
        <f>MIN(C9:C104)</f>
        <v>21.78</v>
      </c>
      <c r="D106" s="67">
        <f t="shared" ref="D106:Q106" si="0">MIN(D9:D104)</f>
        <v>14.88</v>
      </c>
      <c r="E106" s="67">
        <f t="shared" si="0"/>
        <v>2.09</v>
      </c>
      <c r="F106" s="67">
        <f t="shared" si="0"/>
        <v>3.12</v>
      </c>
      <c r="G106" s="67">
        <f t="shared" si="0"/>
        <v>58.11</v>
      </c>
      <c r="H106" s="67">
        <f t="shared" si="0"/>
        <v>31.24</v>
      </c>
      <c r="I106" s="67">
        <f t="shared" si="0"/>
        <v>1.42</v>
      </c>
      <c r="J106" s="67">
        <f t="shared" si="0"/>
        <v>0.03</v>
      </c>
      <c r="K106" s="67">
        <f t="shared" si="0"/>
        <v>2.67</v>
      </c>
      <c r="L106" s="67">
        <f t="shared" si="0"/>
        <v>17.05</v>
      </c>
      <c r="M106" s="67">
        <f t="shared" si="0"/>
        <v>37.270000000000003</v>
      </c>
      <c r="N106" s="67">
        <f t="shared" si="0"/>
        <v>32.700000000000003</v>
      </c>
      <c r="O106" s="67">
        <f t="shared" si="0"/>
        <v>0</v>
      </c>
      <c r="P106" s="67">
        <f t="shared" si="0"/>
        <v>0.8</v>
      </c>
      <c r="Q106" s="67">
        <f t="shared" si="0"/>
        <v>4.8899999999999997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6.43</v>
      </c>
      <c r="C107" s="66">
        <f t="shared" ref="C107:Q107" si="1">MAX(C9:C104)</f>
        <v>39.119999999999997</v>
      </c>
      <c r="D107" s="66">
        <f t="shared" si="1"/>
        <v>26.77</v>
      </c>
      <c r="E107" s="66">
        <f t="shared" si="1"/>
        <v>3.26</v>
      </c>
      <c r="F107" s="66">
        <f t="shared" si="1"/>
        <v>27.7</v>
      </c>
      <c r="G107" s="66">
        <f t="shared" si="1"/>
        <v>100.44</v>
      </c>
      <c r="H107" s="66">
        <f t="shared" si="1"/>
        <v>58.5</v>
      </c>
      <c r="I107" s="66">
        <f t="shared" si="1"/>
        <v>1.63</v>
      </c>
      <c r="J107" s="66">
        <f t="shared" si="1"/>
        <v>1.57</v>
      </c>
      <c r="K107" s="66">
        <f t="shared" si="1"/>
        <v>359.88</v>
      </c>
      <c r="L107" s="66">
        <f t="shared" si="1"/>
        <v>27.61</v>
      </c>
      <c r="M107" s="66">
        <f t="shared" si="1"/>
        <v>97.44</v>
      </c>
      <c r="N107" s="66">
        <f t="shared" si="1"/>
        <v>674.6</v>
      </c>
      <c r="O107" s="66">
        <f t="shared" si="1"/>
        <v>0</v>
      </c>
      <c r="P107" s="66">
        <f t="shared" si="1"/>
        <v>1.36</v>
      </c>
      <c r="Q107" s="66">
        <f t="shared" si="1"/>
        <v>5.21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3.7714583333333347</v>
      </c>
      <c r="C108" s="67">
        <f t="shared" ref="C108:Q108" si="2">AVERAGE(C9:C104)</f>
        <v>29.852708333333329</v>
      </c>
      <c r="D108" s="67">
        <f t="shared" si="2"/>
        <v>20.145312499999992</v>
      </c>
      <c r="E108" s="67">
        <f t="shared" si="2"/>
        <v>2.6052083333333327</v>
      </c>
      <c r="F108" s="67">
        <f t="shared" si="2"/>
        <v>7.792812500000001</v>
      </c>
      <c r="G108" s="67">
        <f t="shared" si="2"/>
        <v>73.431145833333275</v>
      </c>
      <c r="H108" s="67">
        <f t="shared" si="2"/>
        <v>38.966562500000002</v>
      </c>
      <c r="I108" s="67">
        <f t="shared" si="2"/>
        <v>1.4989583333333334</v>
      </c>
      <c r="J108" s="67">
        <f t="shared" si="2"/>
        <v>0.62624999999999975</v>
      </c>
      <c r="K108" s="67">
        <f t="shared" si="2"/>
        <v>169.17260416666662</v>
      </c>
      <c r="L108" s="67">
        <f t="shared" si="2"/>
        <v>21.85958333333333</v>
      </c>
      <c r="M108" s="67">
        <f t="shared" si="2"/>
        <v>64.337708333333339</v>
      </c>
      <c r="N108" s="67">
        <f t="shared" si="2"/>
        <v>177.47291666666661</v>
      </c>
      <c r="O108" s="67">
        <f t="shared" si="2"/>
        <v>0</v>
      </c>
      <c r="P108" s="67">
        <f t="shared" si="2"/>
        <v>0.99312499999999992</v>
      </c>
      <c r="Q108" s="67">
        <f t="shared" si="2"/>
        <v>5.1962499999999903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1.2857919772544546</v>
      </c>
      <c r="C109" s="67">
        <f t="shared" ref="C109:Q109" si="3">STDEV(C9:C104)</f>
        <v>3.6216630315416172</v>
      </c>
      <c r="D109" s="67">
        <f t="shared" si="3"/>
        <v>2.4548195144825624</v>
      </c>
      <c r="E109" s="67">
        <f t="shared" si="3"/>
        <v>0.28414962391658205</v>
      </c>
      <c r="F109" s="67">
        <f t="shared" si="3"/>
        <v>5.8629562694177801</v>
      </c>
      <c r="G109" s="67">
        <f t="shared" si="3"/>
        <v>12.229007350497277</v>
      </c>
      <c r="H109" s="67">
        <f t="shared" si="3"/>
        <v>5.7428791290422501</v>
      </c>
      <c r="I109" s="67">
        <f t="shared" si="3"/>
        <v>4.2710264183995282E-2</v>
      </c>
      <c r="J109" s="67">
        <f t="shared" si="3"/>
        <v>0.4042387257159083</v>
      </c>
      <c r="K109" s="67">
        <f t="shared" si="3"/>
        <v>114.2927855552967</v>
      </c>
      <c r="L109" s="67">
        <f t="shared" si="3"/>
        <v>3.0333750238122374</v>
      </c>
      <c r="M109" s="67">
        <f t="shared" si="3"/>
        <v>18.428757988773199</v>
      </c>
      <c r="N109" s="67">
        <f t="shared" si="3"/>
        <v>208.30173432290437</v>
      </c>
      <c r="O109" s="67">
        <f t="shared" si="3"/>
        <v>0</v>
      </c>
      <c r="P109" s="67">
        <f t="shared" si="3"/>
        <v>0.1045925679155004</v>
      </c>
      <c r="Q109" s="67">
        <f t="shared" si="3"/>
        <v>5.4968890723466779E-2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1690</v>
      </c>
      <c r="B9" s="64">
        <v>2.87</v>
      </c>
      <c r="C9" s="64">
        <v>26.26</v>
      </c>
      <c r="D9" s="64">
        <v>17.440000000000001</v>
      </c>
      <c r="E9" s="64">
        <v>2.44</v>
      </c>
      <c r="F9" s="64">
        <v>4.8</v>
      </c>
      <c r="G9" s="64">
        <v>67.680000000000007</v>
      </c>
      <c r="H9" s="64">
        <v>34.979999999999997</v>
      </c>
      <c r="I9" s="64">
        <v>1.54</v>
      </c>
      <c r="J9" s="64">
        <v>0.8</v>
      </c>
      <c r="K9" s="64">
        <v>97.63</v>
      </c>
      <c r="L9" s="64">
        <v>19.61</v>
      </c>
      <c r="M9" s="64">
        <v>63.84</v>
      </c>
      <c r="N9" s="64">
        <v>34.700000000000003</v>
      </c>
      <c r="O9" s="64">
        <v>0</v>
      </c>
      <c r="P9" s="64">
        <v>0.86</v>
      </c>
      <c r="Q9" s="64">
        <v>5.21</v>
      </c>
      <c r="R9" s="198"/>
      <c r="S9" s="198"/>
      <c r="T9" s="198"/>
      <c r="U9" s="198"/>
    </row>
    <row r="10" spans="1:21" s="12" customFormat="1" x14ac:dyDescent="0.25">
      <c r="A10" s="215" t="s">
        <v>1691</v>
      </c>
      <c r="B10" s="64">
        <v>2.9</v>
      </c>
      <c r="C10" s="64">
        <v>26.28</v>
      </c>
      <c r="D10" s="64">
        <v>17.47</v>
      </c>
      <c r="E10" s="64">
        <v>2.4500000000000002</v>
      </c>
      <c r="F10" s="64">
        <v>5.47</v>
      </c>
      <c r="G10" s="64">
        <v>67.02</v>
      </c>
      <c r="H10" s="64">
        <v>34.71</v>
      </c>
      <c r="I10" s="64">
        <v>1.58</v>
      </c>
      <c r="J10" s="64">
        <v>0.53</v>
      </c>
      <c r="K10" s="64">
        <v>99.46</v>
      </c>
      <c r="L10" s="64">
        <v>19.399999999999999</v>
      </c>
      <c r="M10" s="64">
        <v>64.36</v>
      </c>
      <c r="N10" s="64">
        <v>34.9</v>
      </c>
      <c r="O10" s="64">
        <v>0</v>
      </c>
      <c r="P10" s="64">
        <v>0.85</v>
      </c>
      <c r="Q10" s="64">
        <v>5.21</v>
      </c>
      <c r="R10" s="198"/>
      <c r="S10" s="198"/>
      <c r="T10" s="198"/>
      <c r="U10" s="198"/>
    </row>
    <row r="11" spans="1:21" s="12" customFormat="1" x14ac:dyDescent="0.25">
      <c r="A11" s="215" t="s">
        <v>1692</v>
      </c>
      <c r="B11" s="64">
        <v>2.97</v>
      </c>
      <c r="C11" s="64">
        <v>26.8</v>
      </c>
      <c r="D11" s="64">
        <v>17.82</v>
      </c>
      <c r="E11" s="64">
        <v>2.44</v>
      </c>
      <c r="F11" s="64">
        <v>4.2300000000000004</v>
      </c>
      <c r="G11" s="64">
        <v>67.02</v>
      </c>
      <c r="H11" s="64">
        <v>34.71</v>
      </c>
      <c r="I11" s="64">
        <v>1.44</v>
      </c>
      <c r="J11" s="64">
        <v>1.22</v>
      </c>
      <c r="K11" s="64">
        <v>105.96</v>
      </c>
      <c r="L11" s="64">
        <v>19.48</v>
      </c>
      <c r="M11" s="64">
        <v>62.49</v>
      </c>
      <c r="N11" s="64">
        <v>34.1</v>
      </c>
      <c r="O11" s="64">
        <v>0</v>
      </c>
      <c r="P11" s="64">
        <v>0.84</v>
      </c>
      <c r="Q11" s="64">
        <v>5.21</v>
      </c>
      <c r="R11" s="198"/>
      <c r="S11" s="198"/>
      <c r="T11" s="198"/>
      <c r="U11" s="198"/>
    </row>
    <row r="12" spans="1:21" s="12" customFormat="1" x14ac:dyDescent="0.25">
      <c r="A12" s="215" t="s">
        <v>1693</v>
      </c>
      <c r="B12" s="64">
        <v>3</v>
      </c>
      <c r="C12" s="64">
        <v>26.76</v>
      </c>
      <c r="D12" s="64">
        <v>17.82</v>
      </c>
      <c r="E12" s="64">
        <v>2.4</v>
      </c>
      <c r="F12" s="64">
        <v>4.87</v>
      </c>
      <c r="G12" s="64">
        <v>67.02</v>
      </c>
      <c r="H12" s="64">
        <v>34.71</v>
      </c>
      <c r="I12" s="64">
        <v>1.51</v>
      </c>
      <c r="J12" s="64">
        <v>1.26</v>
      </c>
      <c r="K12" s="64">
        <v>109.73</v>
      </c>
      <c r="L12" s="64">
        <v>19.45</v>
      </c>
      <c r="M12" s="64">
        <v>61.89</v>
      </c>
      <c r="N12" s="64">
        <v>34.6</v>
      </c>
      <c r="O12" s="64">
        <v>0</v>
      </c>
      <c r="P12" s="64">
        <v>0.82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5" t="s">
        <v>1694</v>
      </c>
      <c r="B13" s="64">
        <v>2.99</v>
      </c>
      <c r="C13" s="64">
        <v>26.98</v>
      </c>
      <c r="D13" s="64">
        <v>17.940000000000001</v>
      </c>
      <c r="E13" s="64">
        <v>2.37</v>
      </c>
      <c r="F13" s="64">
        <v>4.49</v>
      </c>
      <c r="G13" s="64">
        <v>60.72</v>
      </c>
      <c r="H13" s="64">
        <v>33.39</v>
      </c>
      <c r="I13" s="64">
        <v>1.49</v>
      </c>
      <c r="J13" s="64">
        <v>1.08</v>
      </c>
      <c r="K13" s="64">
        <v>105.34</v>
      </c>
      <c r="L13" s="64">
        <v>19.41</v>
      </c>
      <c r="M13" s="64">
        <v>61.7</v>
      </c>
      <c r="N13" s="64">
        <v>34.6</v>
      </c>
      <c r="O13" s="64">
        <v>0</v>
      </c>
      <c r="P13" s="64">
        <v>0.83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5" t="s">
        <v>1695</v>
      </c>
      <c r="B14" s="64">
        <v>2.93</v>
      </c>
      <c r="C14" s="64">
        <v>23.73</v>
      </c>
      <c r="D14" s="64">
        <v>16.09</v>
      </c>
      <c r="E14" s="64">
        <v>2.38</v>
      </c>
      <c r="F14" s="64">
        <v>4.87</v>
      </c>
      <c r="G14" s="64">
        <v>56.33</v>
      </c>
      <c r="H14" s="64">
        <v>32.729999999999997</v>
      </c>
      <c r="I14" s="64">
        <v>1.55</v>
      </c>
      <c r="J14" s="64">
        <v>0.56000000000000005</v>
      </c>
      <c r="K14" s="64">
        <v>110.96</v>
      </c>
      <c r="L14" s="64">
        <v>19.16</v>
      </c>
      <c r="M14" s="64">
        <v>63.81</v>
      </c>
      <c r="N14" s="64">
        <v>35.1</v>
      </c>
      <c r="O14" s="64">
        <v>0</v>
      </c>
      <c r="P14" s="64">
        <v>0.85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5" t="s">
        <v>1696</v>
      </c>
      <c r="B15" s="64">
        <v>2.92</v>
      </c>
      <c r="C15" s="64">
        <v>25.4</v>
      </c>
      <c r="D15" s="64">
        <v>17.010000000000002</v>
      </c>
      <c r="E15" s="64">
        <v>2.2999999999999998</v>
      </c>
      <c r="F15" s="64">
        <v>3.96</v>
      </c>
      <c r="G15" s="64">
        <v>56.33</v>
      </c>
      <c r="H15" s="64">
        <v>32.729999999999997</v>
      </c>
      <c r="I15" s="64">
        <v>1.53</v>
      </c>
      <c r="J15" s="64">
        <v>0.36</v>
      </c>
      <c r="K15" s="64">
        <v>98.87</v>
      </c>
      <c r="L15" s="64">
        <v>18.72</v>
      </c>
      <c r="M15" s="64">
        <v>66.8</v>
      </c>
      <c r="N15" s="64">
        <v>34.9</v>
      </c>
      <c r="O15" s="64">
        <v>0</v>
      </c>
      <c r="P15" s="64">
        <v>0.84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5" t="s">
        <v>1697</v>
      </c>
      <c r="B16" s="64">
        <v>2.88</v>
      </c>
      <c r="C16" s="64">
        <v>25.23</v>
      </c>
      <c r="D16" s="64">
        <v>16.88</v>
      </c>
      <c r="E16" s="64">
        <v>2.29</v>
      </c>
      <c r="F16" s="64">
        <v>3.84</v>
      </c>
      <c r="G16" s="64">
        <v>56.33</v>
      </c>
      <c r="H16" s="64">
        <v>32.729999999999997</v>
      </c>
      <c r="I16" s="64">
        <v>1.44</v>
      </c>
      <c r="J16" s="64">
        <v>0.49</v>
      </c>
      <c r="K16" s="64">
        <v>110.16</v>
      </c>
      <c r="L16" s="64">
        <v>18.940000000000001</v>
      </c>
      <c r="M16" s="64">
        <v>65.19</v>
      </c>
      <c r="N16" s="64">
        <v>34.5</v>
      </c>
      <c r="O16" s="64">
        <v>0</v>
      </c>
      <c r="P16" s="64">
        <v>0.83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5" t="s">
        <v>1698</v>
      </c>
      <c r="B17" s="64">
        <v>2.89</v>
      </c>
      <c r="C17" s="64">
        <v>25.77</v>
      </c>
      <c r="D17" s="64">
        <v>17.18</v>
      </c>
      <c r="E17" s="64">
        <v>2.33</v>
      </c>
      <c r="F17" s="64">
        <v>3.65</v>
      </c>
      <c r="G17" s="64">
        <v>50.05</v>
      </c>
      <c r="H17" s="64">
        <v>29.72</v>
      </c>
      <c r="I17" s="64">
        <v>1.52</v>
      </c>
      <c r="J17" s="64">
        <v>0.33</v>
      </c>
      <c r="K17" s="64">
        <v>345.65</v>
      </c>
      <c r="L17" s="64">
        <v>18.559999999999999</v>
      </c>
      <c r="M17" s="64">
        <v>67.61</v>
      </c>
      <c r="N17" s="64">
        <v>35.1</v>
      </c>
      <c r="O17" s="64">
        <v>0</v>
      </c>
      <c r="P17" s="64">
        <v>0.82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5" t="s">
        <v>1699</v>
      </c>
      <c r="B18" s="64">
        <v>2.9</v>
      </c>
      <c r="C18" s="64">
        <v>24.68</v>
      </c>
      <c r="D18" s="64">
        <v>16.59</v>
      </c>
      <c r="E18" s="64">
        <v>2.25</v>
      </c>
      <c r="F18" s="64">
        <v>3.87</v>
      </c>
      <c r="G18" s="64">
        <v>45.67</v>
      </c>
      <c r="H18" s="64">
        <v>28.93</v>
      </c>
      <c r="I18" s="64">
        <v>1.41</v>
      </c>
      <c r="J18" s="64">
        <v>0.46</v>
      </c>
      <c r="K18" s="64">
        <v>347.57</v>
      </c>
      <c r="L18" s="64">
        <v>17.95</v>
      </c>
      <c r="M18" s="64">
        <v>72.25</v>
      </c>
      <c r="N18" s="64">
        <v>35.200000000000003</v>
      </c>
      <c r="O18" s="64">
        <v>0</v>
      </c>
      <c r="P18" s="64">
        <v>0.81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5" t="s">
        <v>1700</v>
      </c>
      <c r="B19" s="64">
        <v>2.93</v>
      </c>
      <c r="C19" s="64">
        <v>24.25</v>
      </c>
      <c r="D19" s="64">
        <v>16.38</v>
      </c>
      <c r="E19" s="64">
        <v>2.2599999999999998</v>
      </c>
      <c r="F19" s="64">
        <v>3.83</v>
      </c>
      <c r="G19" s="64">
        <v>45.67</v>
      </c>
      <c r="H19" s="64">
        <v>28.93</v>
      </c>
      <c r="I19" s="64">
        <v>1.55</v>
      </c>
      <c r="J19" s="64">
        <v>0.45</v>
      </c>
      <c r="K19" s="64">
        <v>341.28</v>
      </c>
      <c r="L19" s="64">
        <v>17.59</v>
      </c>
      <c r="M19" s="64">
        <v>78.78</v>
      </c>
      <c r="N19" s="64">
        <v>35.4</v>
      </c>
      <c r="O19" s="64">
        <v>0</v>
      </c>
      <c r="P19" s="64">
        <v>0.79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5" t="s">
        <v>1701</v>
      </c>
      <c r="B20" s="64">
        <v>3.06</v>
      </c>
      <c r="C20" s="64">
        <v>25.79</v>
      </c>
      <c r="D20" s="64">
        <v>17.329999999999998</v>
      </c>
      <c r="E20" s="64">
        <v>2.27</v>
      </c>
      <c r="F20" s="64">
        <v>3.61</v>
      </c>
      <c r="G20" s="64">
        <v>45.67</v>
      </c>
      <c r="H20" s="64">
        <v>28.93</v>
      </c>
      <c r="I20" s="64">
        <v>1.48</v>
      </c>
      <c r="J20" s="64">
        <v>0.64</v>
      </c>
      <c r="K20" s="64">
        <v>343.3</v>
      </c>
      <c r="L20" s="64">
        <v>17.12</v>
      </c>
      <c r="M20" s="64">
        <v>81.25</v>
      </c>
      <c r="N20" s="64">
        <v>34.9</v>
      </c>
      <c r="O20" s="64">
        <v>0</v>
      </c>
      <c r="P20" s="64">
        <v>0.79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5" t="s">
        <v>1702</v>
      </c>
      <c r="B21" s="64">
        <v>3.29</v>
      </c>
      <c r="C21" s="64">
        <v>26.63</v>
      </c>
      <c r="D21" s="64">
        <v>17.98</v>
      </c>
      <c r="E21" s="64">
        <v>2.2799999999999998</v>
      </c>
      <c r="F21" s="64">
        <v>3.39</v>
      </c>
      <c r="G21" s="64">
        <v>52.82</v>
      </c>
      <c r="H21" s="64">
        <v>28.57</v>
      </c>
      <c r="I21" s="64">
        <v>1.46</v>
      </c>
      <c r="J21" s="64">
        <v>0.63</v>
      </c>
      <c r="K21" s="64">
        <v>341.02</v>
      </c>
      <c r="L21" s="64">
        <v>17.02</v>
      </c>
      <c r="M21" s="64">
        <v>81.290000000000006</v>
      </c>
      <c r="N21" s="64">
        <v>34.799999999999997</v>
      </c>
      <c r="O21" s="64">
        <v>0</v>
      </c>
      <c r="P21" s="64">
        <v>0.81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5" t="s">
        <v>1703</v>
      </c>
      <c r="B22" s="64">
        <v>3.66</v>
      </c>
      <c r="C22" s="64">
        <v>27.66</v>
      </c>
      <c r="D22" s="64">
        <v>18.850000000000001</v>
      </c>
      <c r="E22" s="64">
        <v>2.3199999999999998</v>
      </c>
      <c r="F22" s="64">
        <v>3.37</v>
      </c>
      <c r="G22" s="64">
        <v>57.58</v>
      </c>
      <c r="H22" s="64">
        <v>28.48</v>
      </c>
      <c r="I22" s="64">
        <v>1.46</v>
      </c>
      <c r="J22" s="64">
        <v>0.85</v>
      </c>
      <c r="K22" s="64">
        <v>347.61</v>
      </c>
      <c r="L22" s="64">
        <v>16.93</v>
      </c>
      <c r="M22" s="64">
        <v>81.180000000000007</v>
      </c>
      <c r="N22" s="64">
        <v>34.700000000000003</v>
      </c>
      <c r="O22" s="64">
        <v>0</v>
      </c>
      <c r="P22" s="64">
        <v>0.84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5" t="s">
        <v>1704</v>
      </c>
      <c r="B23" s="64">
        <v>4.08</v>
      </c>
      <c r="C23" s="64">
        <v>28.89</v>
      </c>
      <c r="D23" s="64">
        <v>19.86</v>
      </c>
      <c r="E23" s="64">
        <v>2.2799999999999998</v>
      </c>
      <c r="F23" s="64">
        <v>3.34</v>
      </c>
      <c r="G23" s="64">
        <v>57.58</v>
      </c>
      <c r="H23" s="64">
        <v>28.48</v>
      </c>
      <c r="I23" s="64">
        <v>1.52</v>
      </c>
      <c r="J23" s="64">
        <v>0.39</v>
      </c>
      <c r="K23" s="64">
        <v>342.42</v>
      </c>
      <c r="L23" s="64">
        <v>17.02</v>
      </c>
      <c r="M23" s="64">
        <v>80.97</v>
      </c>
      <c r="N23" s="64">
        <v>35</v>
      </c>
      <c r="O23" s="64">
        <v>0</v>
      </c>
      <c r="P23" s="64">
        <v>0.9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5" t="s">
        <v>1705</v>
      </c>
      <c r="B24" s="64">
        <v>4.5599999999999996</v>
      </c>
      <c r="C24" s="64">
        <v>28.92</v>
      </c>
      <c r="D24" s="64">
        <v>20.260000000000002</v>
      </c>
      <c r="E24" s="64">
        <v>2.3199999999999998</v>
      </c>
      <c r="F24" s="64">
        <v>3.42</v>
      </c>
      <c r="G24" s="64">
        <v>57.58</v>
      </c>
      <c r="H24" s="64">
        <v>28.48</v>
      </c>
      <c r="I24" s="64">
        <v>1.45</v>
      </c>
      <c r="J24" s="64">
        <v>0.27</v>
      </c>
      <c r="K24" s="64">
        <v>81.459999999999994</v>
      </c>
      <c r="L24" s="64">
        <v>16.809999999999999</v>
      </c>
      <c r="M24" s="64">
        <v>81.17</v>
      </c>
      <c r="N24" s="64">
        <v>35.1</v>
      </c>
      <c r="O24" s="64">
        <v>0</v>
      </c>
      <c r="P24" s="64">
        <v>0.95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5" t="s">
        <v>1706</v>
      </c>
      <c r="B25" s="64">
        <v>4.8899999999999997</v>
      </c>
      <c r="C25" s="64">
        <v>27.07</v>
      </c>
      <c r="D25" s="64">
        <v>19.510000000000002</v>
      </c>
      <c r="E25" s="64">
        <v>2.52</v>
      </c>
      <c r="F25" s="64">
        <v>3.45</v>
      </c>
      <c r="G25" s="64">
        <v>76.42</v>
      </c>
      <c r="H25" s="64">
        <v>37.630000000000003</v>
      </c>
      <c r="I25" s="64">
        <v>1.47</v>
      </c>
      <c r="J25" s="64">
        <v>0.56000000000000005</v>
      </c>
      <c r="K25" s="64">
        <v>340.79</v>
      </c>
      <c r="L25" s="64">
        <v>16.78</v>
      </c>
      <c r="M25" s="64">
        <v>81.27</v>
      </c>
      <c r="N25" s="64">
        <v>34.799999999999997</v>
      </c>
      <c r="O25" s="64">
        <v>0</v>
      </c>
      <c r="P25" s="64">
        <v>0.97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5" t="s">
        <v>1707</v>
      </c>
      <c r="B26" s="64">
        <v>5.0599999999999996</v>
      </c>
      <c r="C26" s="64">
        <v>26.49</v>
      </c>
      <c r="D26" s="64">
        <v>19.32</v>
      </c>
      <c r="E26" s="64">
        <v>2.37</v>
      </c>
      <c r="F26" s="64">
        <v>3.47</v>
      </c>
      <c r="G26" s="64">
        <v>89.58</v>
      </c>
      <c r="H26" s="64">
        <v>40.04</v>
      </c>
      <c r="I26" s="64">
        <v>1.43</v>
      </c>
      <c r="J26" s="64">
        <v>0.52</v>
      </c>
      <c r="K26" s="64">
        <v>346.28</v>
      </c>
      <c r="L26" s="64">
        <v>16.72</v>
      </c>
      <c r="M26" s="64">
        <v>81.11</v>
      </c>
      <c r="N26" s="64">
        <v>34.799999999999997</v>
      </c>
      <c r="O26" s="64">
        <v>0</v>
      </c>
      <c r="P26" s="64">
        <v>1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5" t="s">
        <v>1708</v>
      </c>
      <c r="B27" s="64">
        <v>5.24</v>
      </c>
      <c r="C27" s="64">
        <v>27.08</v>
      </c>
      <c r="D27" s="64">
        <v>19.79</v>
      </c>
      <c r="E27" s="64">
        <v>2.4500000000000002</v>
      </c>
      <c r="F27" s="64">
        <v>3.38</v>
      </c>
      <c r="G27" s="64">
        <v>89.58</v>
      </c>
      <c r="H27" s="64">
        <v>40.04</v>
      </c>
      <c r="I27" s="64">
        <v>1.47</v>
      </c>
      <c r="J27" s="64">
        <v>0.6</v>
      </c>
      <c r="K27" s="64">
        <v>340.47</v>
      </c>
      <c r="L27" s="64">
        <v>16.55</v>
      </c>
      <c r="M27" s="64">
        <v>82.03</v>
      </c>
      <c r="N27" s="64">
        <v>34.9</v>
      </c>
      <c r="O27" s="64">
        <v>0</v>
      </c>
      <c r="P27" s="64">
        <v>1.01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5" t="s">
        <v>1709</v>
      </c>
      <c r="B28" s="64">
        <v>5.49</v>
      </c>
      <c r="C28" s="64">
        <v>26.14</v>
      </c>
      <c r="D28" s="64">
        <v>19.47</v>
      </c>
      <c r="E28" s="64">
        <v>2.39</v>
      </c>
      <c r="F28" s="64">
        <v>3.58</v>
      </c>
      <c r="G28" s="64">
        <v>89.58</v>
      </c>
      <c r="H28" s="64">
        <v>40.04</v>
      </c>
      <c r="I28" s="64">
        <v>1.59</v>
      </c>
      <c r="J28" s="64">
        <v>0.33</v>
      </c>
      <c r="K28" s="64">
        <v>328.99</v>
      </c>
      <c r="L28" s="64">
        <v>16.41</v>
      </c>
      <c r="M28" s="64">
        <v>82.41</v>
      </c>
      <c r="N28" s="64">
        <v>35.1</v>
      </c>
      <c r="O28" s="64">
        <v>0</v>
      </c>
      <c r="P28" s="64">
        <v>1.03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5" t="s">
        <v>1710</v>
      </c>
      <c r="B29" s="64">
        <v>5.66</v>
      </c>
      <c r="C29" s="64">
        <v>26.89</v>
      </c>
      <c r="D29" s="64">
        <v>20.02</v>
      </c>
      <c r="E29" s="64">
        <v>2.39</v>
      </c>
      <c r="F29" s="64">
        <v>3.24</v>
      </c>
      <c r="G29" s="64">
        <v>92.65</v>
      </c>
      <c r="H29" s="64">
        <v>39.409999999999997</v>
      </c>
      <c r="I29" s="64">
        <v>1.52</v>
      </c>
      <c r="J29" s="64">
        <v>0.16</v>
      </c>
      <c r="K29" s="64">
        <v>88.13</v>
      </c>
      <c r="L29" s="64">
        <v>16.09</v>
      </c>
      <c r="M29" s="64">
        <v>84.1</v>
      </c>
      <c r="N29" s="64">
        <v>35.1</v>
      </c>
      <c r="O29" s="64">
        <v>0</v>
      </c>
      <c r="P29" s="64">
        <v>1.03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5" t="s">
        <v>1711</v>
      </c>
      <c r="B30" s="64">
        <v>5.95</v>
      </c>
      <c r="C30" s="64">
        <v>26.91</v>
      </c>
      <c r="D30" s="64">
        <v>20.27</v>
      </c>
      <c r="E30" s="64">
        <v>2.4</v>
      </c>
      <c r="F30" s="64">
        <v>3.15</v>
      </c>
      <c r="G30" s="64">
        <v>94.69</v>
      </c>
      <c r="H30" s="64">
        <v>39.130000000000003</v>
      </c>
      <c r="I30" s="64">
        <v>1.55</v>
      </c>
      <c r="J30" s="64">
        <v>0.08</v>
      </c>
      <c r="K30" s="64">
        <v>41.17</v>
      </c>
      <c r="L30" s="64">
        <v>15.97</v>
      </c>
      <c r="M30" s="64">
        <v>83.86</v>
      </c>
      <c r="N30" s="64">
        <v>34.799999999999997</v>
      </c>
      <c r="O30" s="64">
        <v>0</v>
      </c>
      <c r="P30" s="64">
        <v>1.02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5" t="s">
        <v>1712</v>
      </c>
      <c r="B31" s="64">
        <v>6.24</v>
      </c>
      <c r="C31" s="64">
        <v>25.95</v>
      </c>
      <c r="D31" s="64">
        <v>19.97</v>
      </c>
      <c r="E31" s="64">
        <v>2.42</v>
      </c>
      <c r="F31" s="64">
        <v>3.28</v>
      </c>
      <c r="G31" s="64">
        <v>94.69</v>
      </c>
      <c r="H31" s="64">
        <v>39.130000000000003</v>
      </c>
      <c r="I31" s="64">
        <v>1.49</v>
      </c>
      <c r="J31" s="64">
        <v>0.09</v>
      </c>
      <c r="K31" s="64">
        <v>33.94</v>
      </c>
      <c r="L31" s="64">
        <v>15.88</v>
      </c>
      <c r="M31" s="64">
        <v>83.87</v>
      </c>
      <c r="N31" s="64">
        <v>34.799999999999997</v>
      </c>
      <c r="O31" s="64">
        <v>0</v>
      </c>
      <c r="P31" s="64">
        <v>1.01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5" t="s">
        <v>1713</v>
      </c>
      <c r="B32" s="64">
        <v>6.52</v>
      </c>
      <c r="C32" s="64">
        <v>26.65</v>
      </c>
      <c r="D32" s="64">
        <v>20.59</v>
      </c>
      <c r="E32" s="64">
        <v>2.38</v>
      </c>
      <c r="F32" s="64">
        <v>3.22</v>
      </c>
      <c r="G32" s="64">
        <v>94.69</v>
      </c>
      <c r="H32" s="64">
        <v>39.130000000000003</v>
      </c>
      <c r="I32" s="64">
        <v>1.5</v>
      </c>
      <c r="J32" s="64">
        <v>7.0000000000000007E-2</v>
      </c>
      <c r="K32" s="64">
        <v>1.56</v>
      </c>
      <c r="L32" s="64">
        <v>15.82</v>
      </c>
      <c r="M32" s="64">
        <v>84.01</v>
      </c>
      <c r="N32" s="64">
        <v>35.4</v>
      </c>
      <c r="O32" s="64">
        <v>0</v>
      </c>
      <c r="P32" s="64">
        <v>1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5" t="s">
        <v>1714</v>
      </c>
      <c r="B33" s="64">
        <v>6.98</v>
      </c>
      <c r="C33" s="64">
        <v>26.84</v>
      </c>
      <c r="D33" s="64">
        <v>21.05</v>
      </c>
      <c r="E33" s="64">
        <v>2.4300000000000002</v>
      </c>
      <c r="F33" s="64">
        <v>3.44</v>
      </c>
      <c r="G33" s="64">
        <v>82.36</v>
      </c>
      <c r="H33" s="64">
        <v>32.1</v>
      </c>
      <c r="I33" s="64">
        <v>1.54</v>
      </c>
      <c r="J33" s="64">
        <v>0.06</v>
      </c>
      <c r="K33" s="64">
        <v>65.34</v>
      </c>
      <c r="L33" s="64">
        <v>15.71</v>
      </c>
      <c r="M33" s="64">
        <v>84.12</v>
      </c>
      <c r="N33" s="64">
        <v>39</v>
      </c>
      <c r="O33" s="64">
        <v>0</v>
      </c>
      <c r="P33" s="64">
        <v>0.99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5" t="s">
        <v>1715</v>
      </c>
      <c r="B34" s="64">
        <v>7.3</v>
      </c>
      <c r="C34" s="64">
        <v>27.33</v>
      </c>
      <c r="D34" s="64">
        <v>21.58</v>
      </c>
      <c r="E34" s="64">
        <v>2.48</v>
      </c>
      <c r="F34" s="64">
        <v>3.47</v>
      </c>
      <c r="G34" s="64">
        <v>74.14</v>
      </c>
      <c r="H34" s="64">
        <v>30.24</v>
      </c>
      <c r="I34" s="64">
        <v>1.46</v>
      </c>
      <c r="J34" s="64">
        <v>0.05</v>
      </c>
      <c r="K34" s="64">
        <v>41.71</v>
      </c>
      <c r="L34" s="64">
        <v>15.74</v>
      </c>
      <c r="M34" s="64">
        <v>84.13</v>
      </c>
      <c r="N34" s="64">
        <v>52.2</v>
      </c>
      <c r="O34" s="64">
        <v>0</v>
      </c>
      <c r="P34" s="64">
        <v>0.98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5" t="s">
        <v>1716</v>
      </c>
      <c r="B35" s="64">
        <v>7.61</v>
      </c>
      <c r="C35" s="64">
        <v>27.91</v>
      </c>
      <c r="D35" s="64">
        <v>22.15</v>
      </c>
      <c r="E35" s="64">
        <v>2.4500000000000002</v>
      </c>
      <c r="F35" s="64">
        <v>3.28</v>
      </c>
      <c r="G35" s="64">
        <v>74.14</v>
      </c>
      <c r="H35" s="64">
        <v>30.24</v>
      </c>
      <c r="I35" s="64">
        <v>1.51</v>
      </c>
      <c r="J35" s="64">
        <v>0.12</v>
      </c>
      <c r="K35" s="64">
        <v>322.60000000000002</v>
      </c>
      <c r="L35" s="64">
        <v>16.03</v>
      </c>
      <c r="M35" s="64">
        <v>82.73</v>
      </c>
      <c r="N35" s="64">
        <v>70.3</v>
      </c>
      <c r="O35" s="64">
        <v>0</v>
      </c>
      <c r="P35" s="64">
        <v>0.97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5" t="s">
        <v>1717</v>
      </c>
      <c r="B36" s="64">
        <v>8.41</v>
      </c>
      <c r="C36" s="64">
        <v>29.05</v>
      </c>
      <c r="D36" s="64">
        <v>23.42</v>
      </c>
      <c r="E36" s="64">
        <v>2.4</v>
      </c>
      <c r="F36" s="64">
        <v>3.16</v>
      </c>
      <c r="G36" s="64">
        <v>74.14</v>
      </c>
      <c r="H36" s="64">
        <v>30.24</v>
      </c>
      <c r="I36" s="64">
        <v>1.46</v>
      </c>
      <c r="J36" s="64">
        <v>0.1</v>
      </c>
      <c r="K36" s="64">
        <v>49.74</v>
      </c>
      <c r="L36" s="64">
        <v>16.5</v>
      </c>
      <c r="M36" s="64">
        <v>80.27</v>
      </c>
      <c r="N36" s="64">
        <v>90.4</v>
      </c>
      <c r="O36" s="64">
        <v>0</v>
      </c>
      <c r="P36" s="64">
        <v>0.98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5" t="s">
        <v>1718</v>
      </c>
      <c r="B37" s="64">
        <v>9.49</v>
      </c>
      <c r="C37" s="64">
        <v>26.89</v>
      </c>
      <c r="D37" s="64">
        <v>23.1</v>
      </c>
      <c r="E37" s="64">
        <v>2.39</v>
      </c>
      <c r="F37" s="64">
        <v>3.54</v>
      </c>
      <c r="G37" s="64">
        <v>77.180000000000007</v>
      </c>
      <c r="H37" s="64">
        <v>33.72</v>
      </c>
      <c r="I37" s="64">
        <v>1.45</v>
      </c>
      <c r="J37" s="64">
        <v>0.3</v>
      </c>
      <c r="K37" s="64">
        <v>318.11</v>
      </c>
      <c r="L37" s="64">
        <v>17.14</v>
      </c>
      <c r="M37" s="64">
        <v>77.209999999999994</v>
      </c>
      <c r="N37" s="64">
        <v>139.1</v>
      </c>
      <c r="O37" s="64">
        <v>0</v>
      </c>
      <c r="P37" s="64">
        <v>0.87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5" t="s">
        <v>1719</v>
      </c>
      <c r="B38" s="64">
        <v>10.02</v>
      </c>
      <c r="C38" s="64">
        <v>27.91</v>
      </c>
      <c r="D38" s="64">
        <v>24.08</v>
      </c>
      <c r="E38" s="64">
        <v>2.39</v>
      </c>
      <c r="F38" s="64">
        <v>3.46</v>
      </c>
      <c r="G38" s="64">
        <v>79.209999999999994</v>
      </c>
      <c r="H38" s="64">
        <v>34.64</v>
      </c>
      <c r="I38" s="64">
        <v>1.46</v>
      </c>
      <c r="J38" s="64">
        <v>0.28999999999999998</v>
      </c>
      <c r="K38" s="64">
        <v>328.59</v>
      </c>
      <c r="L38" s="64">
        <v>18.190000000000001</v>
      </c>
      <c r="M38" s="64">
        <v>71.95</v>
      </c>
      <c r="N38" s="64">
        <v>221.9</v>
      </c>
      <c r="O38" s="64">
        <v>0</v>
      </c>
      <c r="P38" s="64">
        <v>0.92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5" t="s">
        <v>1720</v>
      </c>
      <c r="B39" s="64">
        <v>10.16</v>
      </c>
      <c r="C39" s="64">
        <v>27.09</v>
      </c>
      <c r="D39" s="64">
        <v>23.74</v>
      </c>
      <c r="E39" s="64">
        <v>2.33</v>
      </c>
      <c r="F39" s="64">
        <v>3.58</v>
      </c>
      <c r="G39" s="64">
        <v>79.209999999999994</v>
      </c>
      <c r="H39" s="64">
        <v>34.64</v>
      </c>
      <c r="I39" s="64">
        <v>1.53</v>
      </c>
      <c r="J39" s="64">
        <v>0.2</v>
      </c>
      <c r="K39" s="64">
        <v>45.36</v>
      </c>
      <c r="L39" s="64">
        <v>19.2</v>
      </c>
      <c r="M39" s="64">
        <v>67.52</v>
      </c>
      <c r="N39" s="64">
        <v>276.60000000000002</v>
      </c>
      <c r="O39" s="64">
        <v>0</v>
      </c>
      <c r="P39" s="64">
        <v>0.92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5" t="s">
        <v>1721</v>
      </c>
      <c r="B40" s="64">
        <v>10.09</v>
      </c>
      <c r="C40" s="64">
        <v>27.77</v>
      </c>
      <c r="D40" s="64">
        <v>24.06</v>
      </c>
      <c r="E40" s="64">
        <v>2.1800000000000002</v>
      </c>
      <c r="F40" s="64">
        <v>3.47</v>
      </c>
      <c r="G40" s="64">
        <v>79.209999999999994</v>
      </c>
      <c r="H40" s="64">
        <v>34.64</v>
      </c>
      <c r="I40" s="64">
        <v>1.57</v>
      </c>
      <c r="J40" s="64">
        <v>0.34</v>
      </c>
      <c r="K40" s="64">
        <v>96.66</v>
      </c>
      <c r="L40" s="64">
        <v>19.7</v>
      </c>
      <c r="M40" s="64">
        <v>65.69</v>
      </c>
      <c r="N40" s="64">
        <v>333.6</v>
      </c>
      <c r="O40" s="64">
        <v>0</v>
      </c>
      <c r="P40" s="64">
        <v>0.92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5" t="s">
        <v>1722</v>
      </c>
      <c r="B41" s="64">
        <v>9.8800000000000008</v>
      </c>
      <c r="C41" s="64">
        <v>27.76</v>
      </c>
      <c r="D41" s="64">
        <v>23.89</v>
      </c>
      <c r="E41" s="64">
        <v>2.2999999999999998</v>
      </c>
      <c r="F41" s="64">
        <v>3.45</v>
      </c>
      <c r="G41" s="64">
        <v>82.39</v>
      </c>
      <c r="H41" s="64">
        <v>31.7</v>
      </c>
      <c r="I41" s="64">
        <v>1.51</v>
      </c>
      <c r="J41" s="64">
        <v>0.3</v>
      </c>
      <c r="K41" s="64">
        <v>82.42</v>
      </c>
      <c r="L41" s="64">
        <v>20.37</v>
      </c>
      <c r="M41" s="64">
        <v>63.29</v>
      </c>
      <c r="N41" s="64">
        <v>385.4</v>
      </c>
      <c r="O41" s="64">
        <v>0</v>
      </c>
      <c r="P41" s="64">
        <v>0.92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5" t="s">
        <v>1723</v>
      </c>
      <c r="B42" s="64">
        <v>9.82</v>
      </c>
      <c r="C42" s="64">
        <v>27.92</v>
      </c>
      <c r="D42" s="64">
        <v>23.93</v>
      </c>
      <c r="E42" s="64">
        <v>2.3199999999999998</v>
      </c>
      <c r="F42" s="64">
        <v>3.77</v>
      </c>
      <c r="G42" s="64">
        <v>85</v>
      </c>
      <c r="H42" s="64">
        <v>30.83</v>
      </c>
      <c r="I42" s="64">
        <v>1.47</v>
      </c>
      <c r="J42" s="64">
        <v>0.47</v>
      </c>
      <c r="K42" s="64">
        <v>330.91</v>
      </c>
      <c r="L42" s="64">
        <v>22.48</v>
      </c>
      <c r="M42" s="64">
        <v>56.17</v>
      </c>
      <c r="N42" s="64">
        <v>431.6</v>
      </c>
      <c r="O42" s="64">
        <v>0</v>
      </c>
      <c r="P42" s="64">
        <v>0.91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5" t="s">
        <v>1724</v>
      </c>
      <c r="B43" s="64">
        <v>9.66</v>
      </c>
      <c r="C43" s="64">
        <v>28.6</v>
      </c>
      <c r="D43" s="64">
        <v>24.18</v>
      </c>
      <c r="E43" s="64">
        <v>2.34</v>
      </c>
      <c r="F43" s="64">
        <v>3.56</v>
      </c>
      <c r="G43" s="64">
        <v>85</v>
      </c>
      <c r="H43" s="64">
        <v>30.83</v>
      </c>
      <c r="I43" s="64">
        <v>1.51</v>
      </c>
      <c r="J43" s="64">
        <v>0.27</v>
      </c>
      <c r="K43" s="64">
        <v>352.74</v>
      </c>
      <c r="L43" s="64">
        <v>22.55</v>
      </c>
      <c r="M43" s="64">
        <v>61.51</v>
      </c>
      <c r="N43" s="64">
        <v>483.7</v>
      </c>
      <c r="O43" s="64">
        <v>0</v>
      </c>
      <c r="P43" s="64">
        <v>0.92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5" t="s">
        <v>1725</v>
      </c>
      <c r="B44" s="64">
        <v>9.16</v>
      </c>
      <c r="C44" s="64">
        <v>28.85</v>
      </c>
      <c r="D44" s="64">
        <v>23.92</v>
      </c>
      <c r="E44" s="64">
        <v>2.36</v>
      </c>
      <c r="F44" s="64">
        <v>3.85</v>
      </c>
      <c r="G44" s="64">
        <v>85</v>
      </c>
      <c r="H44" s="64">
        <v>30.83</v>
      </c>
      <c r="I44" s="64">
        <v>1.52</v>
      </c>
      <c r="J44" s="64">
        <v>0.46</v>
      </c>
      <c r="K44" s="64">
        <v>102.92</v>
      </c>
      <c r="L44" s="64">
        <v>22</v>
      </c>
      <c r="M44" s="64">
        <v>59.03</v>
      </c>
      <c r="N44" s="64">
        <v>538.4</v>
      </c>
      <c r="O44" s="64">
        <v>0</v>
      </c>
      <c r="P44" s="64">
        <v>0.91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5" t="s">
        <v>1726</v>
      </c>
      <c r="B45" s="64">
        <v>8.36</v>
      </c>
      <c r="C45" s="64">
        <v>29.41</v>
      </c>
      <c r="D45" s="64">
        <v>23.58</v>
      </c>
      <c r="E45" s="64">
        <v>2.34</v>
      </c>
      <c r="F45" s="64">
        <v>5.15</v>
      </c>
      <c r="G45" s="64">
        <v>80.02</v>
      </c>
      <c r="H45" s="64">
        <v>31.36</v>
      </c>
      <c r="I45" s="64">
        <v>1.5</v>
      </c>
      <c r="J45" s="64">
        <v>0.59</v>
      </c>
      <c r="K45" s="64">
        <v>109.27</v>
      </c>
      <c r="L45" s="64">
        <v>22.18</v>
      </c>
      <c r="M45" s="64">
        <v>57.1</v>
      </c>
      <c r="N45" s="64">
        <v>557.6</v>
      </c>
      <c r="O45" s="64">
        <v>0</v>
      </c>
      <c r="P45" s="64">
        <v>0.89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5" t="s">
        <v>1727</v>
      </c>
      <c r="B46" s="64">
        <v>7.63</v>
      </c>
      <c r="C46" s="64">
        <v>29.52</v>
      </c>
      <c r="D46" s="64">
        <v>23.05</v>
      </c>
      <c r="E46" s="64">
        <v>2.35</v>
      </c>
      <c r="F46" s="64">
        <v>4.97</v>
      </c>
      <c r="G46" s="64">
        <v>76.53</v>
      </c>
      <c r="H46" s="64">
        <v>31.59</v>
      </c>
      <c r="I46" s="64">
        <v>1.49</v>
      </c>
      <c r="J46" s="64">
        <v>0.12</v>
      </c>
      <c r="K46" s="64">
        <v>23.85</v>
      </c>
      <c r="L46" s="64">
        <v>22.71</v>
      </c>
      <c r="M46" s="64">
        <v>57.72</v>
      </c>
      <c r="N46" s="64">
        <v>593.20000000000005</v>
      </c>
      <c r="O46" s="64">
        <v>0</v>
      </c>
      <c r="P46" s="64">
        <v>0.88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5" t="s">
        <v>1728</v>
      </c>
      <c r="B47" s="64">
        <v>6.9</v>
      </c>
      <c r="C47" s="64">
        <v>29.82</v>
      </c>
      <c r="D47" s="64">
        <v>22.64</v>
      </c>
      <c r="E47" s="64">
        <v>2.37</v>
      </c>
      <c r="F47" s="64">
        <v>6</v>
      </c>
      <c r="G47" s="64">
        <v>76.53</v>
      </c>
      <c r="H47" s="64">
        <v>31.59</v>
      </c>
      <c r="I47" s="64">
        <v>1.56</v>
      </c>
      <c r="J47" s="64">
        <v>0.72</v>
      </c>
      <c r="K47" s="64">
        <v>108.94</v>
      </c>
      <c r="L47" s="64">
        <v>22.9</v>
      </c>
      <c r="M47" s="64">
        <v>56.65</v>
      </c>
      <c r="N47" s="64">
        <v>605.70000000000005</v>
      </c>
      <c r="O47" s="64">
        <v>0</v>
      </c>
      <c r="P47" s="64">
        <v>0.86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5" t="s">
        <v>1729</v>
      </c>
      <c r="B48" s="64">
        <v>6.17</v>
      </c>
      <c r="C48" s="64">
        <v>28.62</v>
      </c>
      <c r="D48" s="64">
        <v>21.39</v>
      </c>
      <c r="E48" s="64">
        <v>2.35</v>
      </c>
      <c r="F48" s="64">
        <v>6.83</v>
      </c>
      <c r="G48" s="64">
        <v>76.53</v>
      </c>
      <c r="H48" s="64">
        <v>31.59</v>
      </c>
      <c r="I48" s="64">
        <v>1.4</v>
      </c>
      <c r="J48" s="64">
        <v>0.51</v>
      </c>
      <c r="K48" s="64">
        <v>97.31</v>
      </c>
      <c r="L48" s="64">
        <v>23.55</v>
      </c>
      <c r="M48" s="64">
        <v>51.31</v>
      </c>
      <c r="N48" s="64">
        <v>630.29999999999995</v>
      </c>
      <c r="O48" s="64">
        <v>0</v>
      </c>
      <c r="P48" s="64">
        <v>0.85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5" t="s">
        <v>1730</v>
      </c>
      <c r="B49" s="64">
        <v>5.33</v>
      </c>
      <c r="C49" s="64">
        <v>24.94</v>
      </c>
      <c r="D49" s="64">
        <v>18.68</v>
      </c>
      <c r="E49" s="64">
        <v>2.34</v>
      </c>
      <c r="F49" s="64">
        <v>6.62</v>
      </c>
      <c r="G49" s="64">
        <v>69.31</v>
      </c>
      <c r="H49" s="64">
        <v>29.56</v>
      </c>
      <c r="I49" s="64">
        <v>1.57</v>
      </c>
      <c r="J49" s="64">
        <v>1.26</v>
      </c>
      <c r="K49" s="64">
        <v>103.21</v>
      </c>
      <c r="L49" s="64">
        <v>24.01</v>
      </c>
      <c r="M49" s="64">
        <v>46.12</v>
      </c>
      <c r="N49" s="64">
        <v>664.6</v>
      </c>
      <c r="O49" s="64">
        <v>0</v>
      </c>
      <c r="P49" s="64">
        <v>0.83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5" t="s">
        <v>1731</v>
      </c>
      <c r="B50" s="64">
        <v>4.5</v>
      </c>
      <c r="C50" s="64">
        <v>27.51</v>
      </c>
      <c r="D50" s="64">
        <v>19.43</v>
      </c>
      <c r="E50" s="64">
        <v>2.36</v>
      </c>
      <c r="F50" s="64">
        <v>5.9</v>
      </c>
      <c r="G50" s="64">
        <v>64.27</v>
      </c>
      <c r="H50" s="64">
        <v>29.03</v>
      </c>
      <c r="I50" s="64">
        <v>1.48</v>
      </c>
      <c r="J50" s="64">
        <v>1.68</v>
      </c>
      <c r="K50" s="64">
        <v>106.38</v>
      </c>
      <c r="L50" s="64">
        <v>23.73</v>
      </c>
      <c r="M50" s="64">
        <v>44.96</v>
      </c>
      <c r="N50" s="64">
        <v>702.1</v>
      </c>
      <c r="O50" s="64">
        <v>0</v>
      </c>
      <c r="P50" s="64">
        <v>0.81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5" t="s">
        <v>1732</v>
      </c>
      <c r="B51" s="64">
        <v>3.89</v>
      </c>
      <c r="C51" s="64">
        <v>27.1</v>
      </c>
      <c r="D51" s="64">
        <v>18.72</v>
      </c>
      <c r="E51" s="64">
        <v>2.3199999999999998</v>
      </c>
      <c r="F51" s="64">
        <v>6.87</v>
      </c>
      <c r="G51" s="64">
        <v>64.27</v>
      </c>
      <c r="H51" s="64">
        <v>29.03</v>
      </c>
      <c r="I51" s="64">
        <v>1.55</v>
      </c>
      <c r="J51" s="64">
        <v>0.44</v>
      </c>
      <c r="K51" s="64">
        <v>76.92</v>
      </c>
      <c r="L51" s="64">
        <v>24.97</v>
      </c>
      <c r="M51" s="64">
        <v>40.49</v>
      </c>
      <c r="N51" s="64">
        <v>733.5</v>
      </c>
      <c r="O51" s="64">
        <v>0</v>
      </c>
      <c r="P51" s="64">
        <v>0.81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5" t="s">
        <v>1733</v>
      </c>
      <c r="B52" s="64">
        <v>3.43</v>
      </c>
      <c r="C52" s="64">
        <v>28.84</v>
      </c>
      <c r="D52" s="64">
        <v>19.32</v>
      </c>
      <c r="E52" s="64">
        <v>2.35</v>
      </c>
      <c r="F52" s="64">
        <v>6.57</v>
      </c>
      <c r="G52" s="64">
        <v>64.27</v>
      </c>
      <c r="H52" s="64">
        <v>29.03</v>
      </c>
      <c r="I52" s="64">
        <v>1.53</v>
      </c>
      <c r="J52" s="64">
        <v>1.23</v>
      </c>
      <c r="K52" s="64">
        <v>103.42</v>
      </c>
      <c r="L52" s="64">
        <v>25.17</v>
      </c>
      <c r="M52" s="64">
        <v>39.630000000000003</v>
      </c>
      <c r="N52" s="64">
        <v>750.7</v>
      </c>
      <c r="O52" s="64">
        <v>0</v>
      </c>
      <c r="P52" s="64">
        <v>0.79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5" t="s">
        <v>1734</v>
      </c>
      <c r="B53" s="64">
        <v>3.03</v>
      </c>
      <c r="C53" s="64">
        <v>29.01</v>
      </c>
      <c r="D53" s="64">
        <v>19.09</v>
      </c>
      <c r="E53" s="64">
        <v>2.33</v>
      </c>
      <c r="F53" s="64">
        <v>7.14</v>
      </c>
      <c r="G53" s="64">
        <v>61.33</v>
      </c>
      <c r="H53" s="64">
        <v>29.85</v>
      </c>
      <c r="I53" s="64">
        <v>1.53</v>
      </c>
      <c r="J53" s="64">
        <v>0.3</v>
      </c>
      <c r="K53" s="64">
        <v>69.88</v>
      </c>
      <c r="L53" s="64">
        <v>26.11</v>
      </c>
      <c r="M53" s="64">
        <v>37.85</v>
      </c>
      <c r="N53" s="64">
        <v>740.3</v>
      </c>
      <c r="O53" s="64">
        <v>0</v>
      </c>
      <c r="P53" s="64">
        <v>0.78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5" t="s">
        <v>1735</v>
      </c>
      <c r="B54" s="64">
        <v>2.87</v>
      </c>
      <c r="C54" s="64">
        <v>27.63</v>
      </c>
      <c r="D54" s="64">
        <v>18.190000000000001</v>
      </c>
      <c r="E54" s="64">
        <v>2.38</v>
      </c>
      <c r="F54" s="64">
        <v>7.16</v>
      </c>
      <c r="G54" s="64">
        <v>59.37</v>
      </c>
      <c r="H54" s="64">
        <v>30.05</v>
      </c>
      <c r="I54" s="64">
        <v>1.47</v>
      </c>
      <c r="J54" s="64">
        <v>0.3</v>
      </c>
      <c r="K54" s="64">
        <v>38.25</v>
      </c>
      <c r="L54" s="64">
        <v>27.03</v>
      </c>
      <c r="M54" s="64">
        <v>35.5</v>
      </c>
      <c r="N54" s="64">
        <v>738.5</v>
      </c>
      <c r="O54" s="64">
        <v>0</v>
      </c>
      <c r="P54" s="64">
        <v>0.78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5" t="s">
        <v>1736</v>
      </c>
      <c r="B55" s="64">
        <v>2.77</v>
      </c>
      <c r="C55" s="64">
        <v>30.92</v>
      </c>
      <c r="D55" s="64">
        <v>19.93</v>
      </c>
      <c r="E55" s="64">
        <v>2.34</v>
      </c>
      <c r="F55" s="64">
        <v>7.09</v>
      </c>
      <c r="G55" s="64">
        <v>59.37</v>
      </c>
      <c r="H55" s="64">
        <v>30.05</v>
      </c>
      <c r="I55" s="64">
        <v>1.51</v>
      </c>
      <c r="J55" s="64">
        <v>0.3</v>
      </c>
      <c r="K55" s="64">
        <v>84.66</v>
      </c>
      <c r="L55" s="64">
        <v>26.51</v>
      </c>
      <c r="M55" s="64">
        <v>36.65</v>
      </c>
      <c r="N55" s="64">
        <v>735.8</v>
      </c>
      <c r="O55" s="64">
        <v>0</v>
      </c>
      <c r="P55" s="64">
        <v>0.78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1737</v>
      </c>
      <c r="B56" s="64">
        <v>2.71</v>
      </c>
      <c r="C56" s="64">
        <v>30.83</v>
      </c>
      <c r="D56" s="64">
        <v>19.829999999999998</v>
      </c>
      <c r="E56" s="64">
        <v>2.21</v>
      </c>
      <c r="F56" s="64">
        <v>8</v>
      </c>
      <c r="G56" s="64">
        <v>59.37</v>
      </c>
      <c r="H56" s="64">
        <v>30.05</v>
      </c>
      <c r="I56" s="64">
        <v>1.52</v>
      </c>
      <c r="J56" s="64">
        <v>0.74</v>
      </c>
      <c r="K56" s="64">
        <v>344.12</v>
      </c>
      <c r="L56" s="64">
        <v>27.73</v>
      </c>
      <c r="M56" s="64">
        <v>34.020000000000003</v>
      </c>
      <c r="N56" s="64">
        <v>727.2</v>
      </c>
      <c r="O56" s="64">
        <v>0</v>
      </c>
      <c r="P56" s="64">
        <v>0.77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1738</v>
      </c>
      <c r="B57" s="64">
        <v>2.67</v>
      </c>
      <c r="C57" s="64">
        <v>30.16</v>
      </c>
      <c r="D57" s="64">
        <v>19.43</v>
      </c>
      <c r="E57" s="64">
        <v>2.34</v>
      </c>
      <c r="F57" s="64">
        <v>7.33</v>
      </c>
      <c r="G57" s="64">
        <v>57.25</v>
      </c>
      <c r="H57" s="64">
        <v>31.33</v>
      </c>
      <c r="I57" s="64">
        <v>1.48</v>
      </c>
      <c r="J57" s="64">
        <v>0.89</v>
      </c>
      <c r="K57" s="64">
        <v>109.6</v>
      </c>
      <c r="L57" s="64">
        <v>27.11</v>
      </c>
      <c r="M57" s="64">
        <v>35.18</v>
      </c>
      <c r="N57" s="64">
        <v>720.6</v>
      </c>
      <c r="O57" s="64">
        <v>0</v>
      </c>
      <c r="P57" s="64">
        <v>0.78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1739</v>
      </c>
      <c r="B58" s="64">
        <v>2.64</v>
      </c>
      <c r="C58" s="64">
        <v>29.9</v>
      </c>
      <c r="D58" s="64">
        <v>19.260000000000002</v>
      </c>
      <c r="E58" s="64">
        <v>2.36</v>
      </c>
      <c r="F58" s="64">
        <v>8.35</v>
      </c>
      <c r="G58" s="64">
        <v>55.83</v>
      </c>
      <c r="H58" s="64">
        <v>31.67</v>
      </c>
      <c r="I58" s="64">
        <v>1.52</v>
      </c>
      <c r="J58" s="64">
        <v>0.54</v>
      </c>
      <c r="K58" s="64">
        <v>9.81</v>
      </c>
      <c r="L58" s="64">
        <v>27</v>
      </c>
      <c r="M58" s="64">
        <v>35.08</v>
      </c>
      <c r="N58" s="64">
        <v>707.6</v>
      </c>
      <c r="O58" s="64">
        <v>0</v>
      </c>
      <c r="P58" s="64">
        <v>0.77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1740</v>
      </c>
      <c r="B59" s="64">
        <v>2.65</v>
      </c>
      <c r="C59" s="64">
        <v>30.49</v>
      </c>
      <c r="D59" s="64">
        <v>19.600000000000001</v>
      </c>
      <c r="E59" s="64">
        <v>2.39</v>
      </c>
      <c r="F59" s="64">
        <v>7.91</v>
      </c>
      <c r="G59" s="64">
        <v>55.83</v>
      </c>
      <c r="H59" s="64">
        <v>31.67</v>
      </c>
      <c r="I59" s="64">
        <v>1.53</v>
      </c>
      <c r="J59" s="64">
        <v>0.66</v>
      </c>
      <c r="K59" s="64">
        <v>354.68</v>
      </c>
      <c r="L59" s="64">
        <v>28.03</v>
      </c>
      <c r="M59" s="64">
        <v>33.409999999999997</v>
      </c>
      <c r="N59" s="64">
        <v>685.1</v>
      </c>
      <c r="O59" s="64">
        <v>0</v>
      </c>
      <c r="P59" s="64">
        <v>0.78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1741</v>
      </c>
      <c r="B60" s="64">
        <v>2.5099999999999998</v>
      </c>
      <c r="C60" s="64">
        <v>28.69</v>
      </c>
      <c r="D60" s="64">
        <v>18.5</v>
      </c>
      <c r="E60" s="64">
        <v>2.44</v>
      </c>
      <c r="F60" s="64">
        <v>10.3</v>
      </c>
      <c r="G60" s="64">
        <v>55.83</v>
      </c>
      <c r="H60" s="64">
        <v>31.67</v>
      </c>
      <c r="I60" s="64">
        <v>1.43</v>
      </c>
      <c r="J60" s="64">
        <v>0.88</v>
      </c>
      <c r="K60" s="64">
        <v>335.21</v>
      </c>
      <c r="L60" s="64">
        <v>28.95</v>
      </c>
      <c r="M60" s="64">
        <v>31.31</v>
      </c>
      <c r="N60" s="64">
        <v>644.29999999999995</v>
      </c>
      <c r="O60" s="64">
        <v>0</v>
      </c>
      <c r="P60" s="64">
        <v>0.77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1742</v>
      </c>
      <c r="B61" s="64">
        <v>2.38</v>
      </c>
      <c r="C61" s="64">
        <v>24.45</v>
      </c>
      <c r="D61" s="64">
        <v>16.05</v>
      </c>
      <c r="E61" s="64">
        <v>2.36</v>
      </c>
      <c r="F61" s="64">
        <v>10.17</v>
      </c>
      <c r="G61" s="64">
        <v>53.13</v>
      </c>
      <c r="H61" s="64">
        <v>30.26</v>
      </c>
      <c r="I61" s="64">
        <v>1.5</v>
      </c>
      <c r="J61" s="64">
        <v>0.65</v>
      </c>
      <c r="K61" s="64">
        <v>63.65</v>
      </c>
      <c r="L61" s="64">
        <v>28.14</v>
      </c>
      <c r="M61" s="64">
        <v>33.44</v>
      </c>
      <c r="N61" s="64">
        <v>635.70000000000005</v>
      </c>
      <c r="O61" s="64">
        <v>0</v>
      </c>
      <c r="P61" s="64">
        <v>0.79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1743</v>
      </c>
      <c r="B62" s="64">
        <v>2.4500000000000002</v>
      </c>
      <c r="C62" s="64">
        <v>29.01</v>
      </c>
      <c r="D62" s="64">
        <v>18.62</v>
      </c>
      <c r="E62" s="64">
        <v>2.25</v>
      </c>
      <c r="F62" s="64">
        <v>7.8</v>
      </c>
      <c r="G62" s="64">
        <v>51.33</v>
      </c>
      <c r="H62" s="64">
        <v>29.67</v>
      </c>
      <c r="I62" s="64">
        <v>1.5</v>
      </c>
      <c r="J62" s="64">
        <v>0.45</v>
      </c>
      <c r="K62" s="64">
        <v>76.34</v>
      </c>
      <c r="L62" s="64">
        <v>26.74</v>
      </c>
      <c r="M62" s="64">
        <v>35.44</v>
      </c>
      <c r="N62" s="64">
        <v>590.5</v>
      </c>
      <c r="O62" s="64">
        <v>0</v>
      </c>
      <c r="P62" s="64">
        <v>0.84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5" t="s">
        <v>1744</v>
      </c>
      <c r="B63" s="64">
        <v>2.35</v>
      </c>
      <c r="C63" s="64">
        <v>27.16</v>
      </c>
      <c r="D63" s="64">
        <v>17.52</v>
      </c>
      <c r="E63" s="64">
        <v>2.35</v>
      </c>
      <c r="F63" s="64">
        <v>9.2100000000000009</v>
      </c>
      <c r="G63" s="64">
        <v>51.33</v>
      </c>
      <c r="H63" s="64">
        <v>29.67</v>
      </c>
      <c r="I63" s="64">
        <v>1.55</v>
      </c>
      <c r="J63" s="64">
        <v>0.56999999999999995</v>
      </c>
      <c r="K63" s="64">
        <v>19.350000000000001</v>
      </c>
      <c r="L63" s="64">
        <v>26.95</v>
      </c>
      <c r="M63" s="64">
        <v>35.03</v>
      </c>
      <c r="N63" s="64">
        <v>484.4</v>
      </c>
      <c r="O63" s="64">
        <v>0</v>
      </c>
      <c r="P63" s="64">
        <v>0.83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1745</v>
      </c>
      <c r="B64" s="64">
        <v>2.78</v>
      </c>
      <c r="C64" s="64">
        <v>31.04</v>
      </c>
      <c r="D64" s="64">
        <v>20</v>
      </c>
      <c r="E64" s="64">
        <v>2.2799999999999998</v>
      </c>
      <c r="F64" s="64">
        <v>10.67</v>
      </c>
      <c r="G64" s="64">
        <v>51.33</v>
      </c>
      <c r="H64" s="64">
        <v>29.67</v>
      </c>
      <c r="I64" s="64">
        <v>1.56</v>
      </c>
      <c r="J64" s="64">
        <v>0.63</v>
      </c>
      <c r="K64" s="64">
        <v>344.55</v>
      </c>
      <c r="L64" s="64">
        <v>27.36</v>
      </c>
      <c r="M64" s="64">
        <v>34.22</v>
      </c>
      <c r="N64" s="64">
        <v>373.8</v>
      </c>
      <c r="O64" s="64">
        <v>0</v>
      </c>
      <c r="P64" s="64">
        <v>0.83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1746</v>
      </c>
      <c r="B65" s="64">
        <v>2.61</v>
      </c>
      <c r="C65" s="64">
        <v>27.92</v>
      </c>
      <c r="D65" s="64">
        <v>18.149999999999999</v>
      </c>
      <c r="E65" s="64">
        <v>2.35</v>
      </c>
      <c r="F65" s="64">
        <v>13.38</v>
      </c>
      <c r="G65" s="64">
        <v>46.55</v>
      </c>
      <c r="H65" s="64">
        <v>23.59</v>
      </c>
      <c r="I65" s="64">
        <v>1.52</v>
      </c>
      <c r="J65" s="64">
        <v>0.65</v>
      </c>
      <c r="K65" s="64">
        <v>111.81</v>
      </c>
      <c r="L65" s="64">
        <v>26.48</v>
      </c>
      <c r="M65" s="64">
        <v>35.79</v>
      </c>
      <c r="N65" s="64">
        <v>202.9</v>
      </c>
      <c r="O65" s="64">
        <v>0</v>
      </c>
      <c r="P65" s="64">
        <v>0.81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1747</v>
      </c>
      <c r="B66" s="64">
        <v>2.23</v>
      </c>
      <c r="C66" s="64">
        <v>27.45</v>
      </c>
      <c r="D66" s="64">
        <v>17.59</v>
      </c>
      <c r="E66" s="64">
        <v>2.42</v>
      </c>
      <c r="F66" s="64">
        <v>18.149999999999999</v>
      </c>
      <c r="G66" s="64">
        <v>43.36</v>
      </c>
      <c r="H66" s="64">
        <v>22.1</v>
      </c>
      <c r="I66" s="64">
        <v>1.55</v>
      </c>
      <c r="J66" s="64">
        <v>0.62</v>
      </c>
      <c r="K66" s="64">
        <v>335.96</v>
      </c>
      <c r="L66" s="64">
        <v>26.77</v>
      </c>
      <c r="M66" s="64">
        <v>34.74</v>
      </c>
      <c r="N66" s="64">
        <v>167</v>
      </c>
      <c r="O66" s="64">
        <v>0</v>
      </c>
      <c r="P66" s="64">
        <v>0.79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1748</v>
      </c>
      <c r="B67" s="64">
        <v>2.85</v>
      </c>
      <c r="C67" s="64">
        <v>26.46</v>
      </c>
      <c r="D67" s="64">
        <v>17.53</v>
      </c>
      <c r="E67" s="64">
        <v>2.4500000000000002</v>
      </c>
      <c r="F67" s="64">
        <v>9.68</v>
      </c>
      <c r="G67" s="64">
        <v>43.36</v>
      </c>
      <c r="H67" s="64">
        <v>22.1</v>
      </c>
      <c r="I67" s="64">
        <v>1.48</v>
      </c>
      <c r="J67" s="64">
        <v>1.03</v>
      </c>
      <c r="K67" s="64">
        <v>342.83</v>
      </c>
      <c r="L67" s="64">
        <v>27</v>
      </c>
      <c r="M67" s="64">
        <v>34.14</v>
      </c>
      <c r="N67" s="64">
        <v>143.4</v>
      </c>
      <c r="O67" s="64">
        <v>0</v>
      </c>
      <c r="P67" s="64">
        <v>0.82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1749</v>
      </c>
      <c r="B68" s="64">
        <v>2.94</v>
      </c>
      <c r="C68" s="64">
        <v>29.89</v>
      </c>
      <c r="D68" s="64">
        <v>19.5</v>
      </c>
      <c r="E68" s="64">
        <v>2.59</v>
      </c>
      <c r="F68" s="64">
        <v>20.77</v>
      </c>
      <c r="G68" s="64">
        <v>43.36</v>
      </c>
      <c r="H68" s="64">
        <v>22.1</v>
      </c>
      <c r="I68" s="64">
        <v>1.48</v>
      </c>
      <c r="J68" s="64">
        <v>0.23</v>
      </c>
      <c r="K68" s="64">
        <v>47.93</v>
      </c>
      <c r="L68" s="64">
        <v>26.35</v>
      </c>
      <c r="M68" s="64">
        <v>35.69</v>
      </c>
      <c r="N68" s="64">
        <v>130.4</v>
      </c>
      <c r="O68" s="64">
        <v>0</v>
      </c>
      <c r="P68" s="64">
        <v>0.83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1750</v>
      </c>
      <c r="B69" s="64">
        <v>2.84</v>
      </c>
      <c r="C69" s="64">
        <v>30.75</v>
      </c>
      <c r="D69" s="64">
        <v>19.89</v>
      </c>
      <c r="E69" s="64">
        <v>2.62</v>
      </c>
      <c r="F69" s="64">
        <v>21.88</v>
      </c>
      <c r="G69" s="64">
        <v>43.76</v>
      </c>
      <c r="H69" s="64">
        <v>23.13</v>
      </c>
      <c r="I69" s="64">
        <v>1.48</v>
      </c>
      <c r="J69" s="64">
        <v>0.67</v>
      </c>
      <c r="K69" s="64">
        <v>339.37</v>
      </c>
      <c r="L69" s="64">
        <v>26.04</v>
      </c>
      <c r="M69" s="64">
        <v>35.950000000000003</v>
      </c>
      <c r="N69" s="64">
        <v>114.9</v>
      </c>
      <c r="O69" s="64">
        <v>0</v>
      </c>
      <c r="P69" s="64">
        <v>0.84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1751</v>
      </c>
      <c r="B70" s="64">
        <v>2.97</v>
      </c>
      <c r="C70" s="64">
        <v>32.299999999999997</v>
      </c>
      <c r="D70" s="64">
        <v>20.86</v>
      </c>
      <c r="E70" s="64">
        <v>2.74</v>
      </c>
      <c r="F70" s="64">
        <v>14.46</v>
      </c>
      <c r="G70" s="64">
        <v>44.02</v>
      </c>
      <c r="H70" s="64">
        <v>23.38</v>
      </c>
      <c r="I70" s="64">
        <v>1.44</v>
      </c>
      <c r="J70" s="64">
        <v>0.32</v>
      </c>
      <c r="K70" s="64">
        <v>36.79</v>
      </c>
      <c r="L70" s="64">
        <v>25.97</v>
      </c>
      <c r="M70" s="64">
        <v>36.35</v>
      </c>
      <c r="N70" s="64">
        <v>117.3</v>
      </c>
      <c r="O70" s="64">
        <v>0</v>
      </c>
      <c r="P70" s="64">
        <v>0.83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1752</v>
      </c>
      <c r="B71" s="64">
        <v>3.23</v>
      </c>
      <c r="C71" s="64">
        <v>33.049999999999997</v>
      </c>
      <c r="D71" s="64">
        <v>21.48</v>
      </c>
      <c r="E71" s="64">
        <v>2.77</v>
      </c>
      <c r="F71" s="64">
        <v>13.89</v>
      </c>
      <c r="G71" s="64">
        <v>44.02</v>
      </c>
      <c r="H71" s="64">
        <v>23.38</v>
      </c>
      <c r="I71" s="64">
        <v>1.58</v>
      </c>
      <c r="J71" s="64">
        <v>0.78</v>
      </c>
      <c r="K71" s="64">
        <v>337.96</v>
      </c>
      <c r="L71" s="64">
        <v>25.75</v>
      </c>
      <c r="M71" s="64">
        <v>36.79</v>
      </c>
      <c r="N71" s="64">
        <v>99.9</v>
      </c>
      <c r="O71" s="64">
        <v>0</v>
      </c>
      <c r="P71" s="64">
        <v>0.86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1753</v>
      </c>
      <c r="B72" s="64">
        <v>4.04</v>
      </c>
      <c r="C72" s="64">
        <v>30.85</v>
      </c>
      <c r="D72" s="64">
        <v>20.91</v>
      </c>
      <c r="E72" s="64">
        <v>2.52</v>
      </c>
      <c r="F72" s="64">
        <v>22.78</v>
      </c>
      <c r="G72" s="64">
        <v>44.02</v>
      </c>
      <c r="H72" s="64">
        <v>23.38</v>
      </c>
      <c r="I72" s="64">
        <v>1.46</v>
      </c>
      <c r="J72" s="64">
        <v>0.2</v>
      </c>
      <c r="K72" s="64">
        <v>41.66</v>
      </c>
      <c r="L72" s="64">
        <v>25.67</v>
      </c>
      <c r="M72" s="64">
        <v>36.619999999999997</v>
      </c>
      <c r="N72" s="64">
        <v>92.7</v>
      </c>
      <c r="O72" s="64">
        <v>0</v>
      </c>
      <c r="P72" s="64">
        <v>0.84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1754</v>
      </c>
      <c r="B73" s="64">
        <v>2.84</v>
      </c>
      <c r="C73" s="64">
        <v>27.9</v>
      </c>
      <c r="D73" s="64">
        <v>18.329999999999998</v>
      </c>
      <c r="E73" s="64">
        <v>2.83</v>
      </c>
      <c r="F73" s="64">
        <v>17.670000000000002</v>
      </c>
      <c r="G73" s="64">
        <v>44.07</v>
      </c>
      <c r="H73" s="64">
        <v>20.91</v>
      </c>
      <c r="I73" s="64">
        <v>1.55</v>
      </c>
      <c r="J73" s="64">
        <v>0.28000000000000003</v>
      </c>
      <c r="K73" s="64">
        <v>86.18</v>
      </c>
      <c r="L73" s="64">
        <v>25.05</v>
      </c>
      <c r="M73" s="64">
        <v>37.799999999999997</v>
      </c>
      <c r="N73" s="64">
        <v>80.099999999999994</v>
      </c>
      <c r="O73" s="64">
        <v>0</v>
      </c>
      <c r="P73" s="64">
        <v>0.8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1755</v>
      </c>
      <c r="B74" s="64">
        <v>5.0199999999999996</v>
      </c>
      <c r="C74" s="64">
        <v>42.15</v>
      </c>
      <c r="D74" s="64">
        <v>27.93</v>
      </c>
      <c r="E74" s="64">
        <v>2.75</v>
      </c>
      <c r="F74" s="64">
        <v>21.61</v>
      </c>
      <c r="G74" s="64">
        <v>44.11</v>
      </c>
      <c r="H74" s="64">
        <v>20.309999999999999</v>
      </c>
      <c r="I74" s="64">
        <v>1.48</v>
      </c>
      <c r="J74" s="64">
        <v>0.21</v>
      </c>
      <c r="K74" s="64">
        <v>20.62</v>
      </c>
      <c r="L74" s="64">
        <v>25.05</v>
      </c>
      <c r="M74" s="64">
        <v>38.11</v>
      </c>
      <c r="N74" s="64">
        <v>69.3</v>
      </c>
      <c r="O74" s="64">
        <v>0</v>
      </c>
      <c r="P74" s="64">
        <v>0.94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1756</v>
      </c>
      <c r="B75" s="64">
        <v>3.29</v>
      </c>
      <c r="C75" s="64">
        <v>35.74</v>
      </c>
      <c r="D75" s="64">
        <v>23</v>
      </c>
      <c r="E75" s="64">
        <v>2.73</v>
      </c>
      <c r="F75" s="64">
        <v>14.57</v>
      </c>
      <c r="G75" s="64">
        <v>44.11</v>
      </c>
      <c r="H75" s="64">
        <v>20.309999999999999</v>
      </c>
      <c r="I75" s="64">
        <v>1.54</v>
      </c>
      <c r="J75" s="64">
        <v>0.45</v>
      </c>
      <c r="K75" s="64">
        <v>343.98</v>
      </c>
      <c r="L75" s="64">
        <v>24.72</v>
      </c>
      <c r="M75" s="64">
        <v>39.340000000000003</v>
      </c>
      <c r="N75" s="64">
        <v>58.7</v>
      </c>
      <c r="O75" s="64">
        <v>0</v>
      </c>
      <c r="P75" s="64">
        <v>0.92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1757</v>
      </c>
      <c r="B76" s="64">
        <v>3.7</v>
      </c>
      <c r="C76" s="64">
        <v>42.67</v>
      </c>
      <c r="D76" s="64">
        <v>27.16</v>
      </c>
      <c r="E76" s="64">
        <v>2.88</v>
      </c>
      <c r="F76" s="64">
        <v>16.12</v>
      </c>
      <c r="G76" s="64">
        <v>44.11</v>
      </c>
      <c r="H76" s="64">
        <v>20.309999999999999</v>
      </c>
      <c r="I76" s="64">
        <v>1.41</v>
      </c>
      <c r="J76" s="64">
        <v>0.39</v>
      </c>
      <c r="K76" s="64">
        <v>332.42</v>
      </c>
      <c r="L76" s="64">
        <v>24.3</v>
      </c>
      <c r="M76" s="64">
        <v>44.53</v>
      </c>
      <c r="N76" s="64">
        <v>48.4</v>
      </c>
      <c r="O76" s="64">
        <v>0</v>
      </c>
      <c r="P76" s="64">
        <v>1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5" t="s">
        <v>1758</v>
      </c>
      <c r="B77" s="64">
        <v>4.43</v>
      </c>
      <c r="C77" s="64">
        <v>46.28</v>
      </c>
      <c r="D77" s="64">
        <v>29.74</v>
      </c>
      <c r="E77" s="64">
        <v>2.73</v>
      </c>
      <c r="F77" s="64">
        <v>11.36</v>
      </c>
      <c r="G77" s="64">
        <v>44.29</v>
      </c>
      <c r="H77" s="64">
        <v>21.96</v>
      </c>
      <c r="I77" s="64">
        <v>1.49</v>
      </c>
      <c r="J77" s="64">
        <v>0.44</v>
      </c>
      <c r="K77" s="64">
        <v>324.23</v>
      </c>
      <c r="L77" s="64">
        <v>23.21</v>
      </c>
      <c r="M77" s="64">
        <v>52.77</v>
      </c>
      <c r="N77" s="64">
        <v>38.6</v>
      </c>
      <c r="O77" s="64">
        <v>0</v>
      </c>
      <c r="P77" s="64">
        <v>1.03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5" t="s">
        <v>1759</v>
      </c>
      <c r="B78" s="64">
        <v>4.32</v>
      </c>
      <c r="C78" s="64">
        <v>42.95</v>
      </c>
      <c r="D78" s="64">
        <v>27.81</v>
      </c>
      <c r="E78" s="64">
        <v>2.63</v>
      </c>
      <c r="F78" s="64">
        <v>5.81</v>
      </c>
      <c r="G78" s="64">
        <v>44.41</v>
      </c>
      <c r="H78" s="64">
        <v>22.65</v>
      </c>
      <c r="I78" s="64">
        <v>1.53</v>
      </c>
      <c r="J78" s="64">
        <v>0.21</v>
      </c>
      <c r="K78" s="64">
        <v>325.43</v>
      </c>
      <c r="L78" s="64">
        <v>22.71</v>
      </c>
      <c r="M78" s="64">
        <v>53.89</v>
      </c>
      <c r="N78" s="64">
        <v>34.799999999999997</v>
      </c>
      <c r="O78" s="64">
        <v>0</v>
      </c>
      <c r="P78" s="64">
        <v>1.01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5" t="s">
        <v>1760</v>
      </c>
      <c r="B79" s="64">
        <v>9.67</v>
      </c>
      <c r="C79" s="64">
        <v>55.86</v>
      </c>
      <c r="D79" s="64">
        <v>39.229999999999997</v>
      </c>
      <c r="E79" s="64">
        <v>2.78</v>
      </c>
      <c r="F79" s="64">
        <v>9.42</v>
      </c>
      <c r="G79" s="64">
        <v>44.41</v>
      </c>
      <c r="H79" s="64">
        <v>22.65</v>
      </c>
      <c r="I79" s="64">
        <v>1.57</v>
      </c>
      <c r="J79" s="64">
        <v>0.26</v>
      </c>
      <c r="K79" s="64">
        <v>321.66000000000003</v>
      </c>
      <c r="L79" s="64">
        <v>22.32</v>
      </c>
      <c r="M79" s="64">
        <v>56.32</v>
      </c>
      <c r="N79" s="64">
        <v>33.799999999999997</v>
      </c>
      <c r="O79" s="64">
        <v>0</v>
      </c>
      <c r="P79" s="64">
        <v>1.36</v>
      </c>
      <c r="Q79" s="64">
        <v>3.05</v>
      </c>
      <c r="R79" s="198"/>
      <c r="S79" s="198"/>
      <c r="T79" s="198"/>
      <c r="U79" s="198"/>
    </row>
    <row r="80" spans="1:21" s="12" customFormat="1" x14ac:dyDescent="0.25">
      <c r="A80" s="215" t="s">
        <v>1761</v>
      </c>
      <c r="B80" s="64">
        <v>5.78</v>
      </c>
      <c r="C80" s="64">
        <v>47.34</v>
      </c>
      <c r="D80" s="64">
        <v>31.4</v>
      </c>
      <c r="E80" s="64">
        <v>2.8</v>
      </c>
      <c r="F80" s="64">
        <v>9.0500000000000007</v>
      </c>
      <c r="G80" s="64">
        <v>44.41</v>
      </c>
      <c r="H80" s="64">
        <v>22.65</v>
      </c>
      <c r="I80" s="64">
        <v>1.54</v>
      </c>
      <c r="J80" s="64">
        <v>0.19</v>
      </c>
      <c r="K80" s="64">
        <v>335.44</v>
      </c>
      <c r="L80" s="64">
        <v>22.04</v>
      </c>
      <c r="M80" s="64">
        <v>53.48</v>
      </c>
      <c r="N80" s="64">
        <v>33.9</v>
      </c>
      <c r="O80" s="64">
        <v>0</v>
      </c>
      <c r="P80" s="64">
        <v>1.33</v>
      </c>
      <c r="Q80" s="64">
        <v>3.85</v>
      </c>
      <c r="R80" s="198"/>
      <c r="S80" s="198"/>
      <c r="T80" s="198"/>
      <c r="U80" s="198"/>
    </row>
    <row r="81" spans="1:26" s="12" customFormat="1" x14ac:dyDescent="0.25">
      <c r="A81" s="215" t="s">
        <v>1762</v>
      </c>
      <c r="B81" s="64">
        <v>7.7</v>
      </c>
      <c r="C81" s="64">
        <v>59.1</v>
      </c>
      <c r="D81" s="64">
        <v>39.44</v>
      </c>
      <c r="E81" s="64">
        <v>2.94</v>
      </c>
      <c r="F81" s="64">
        <v>11.56</v>
      </c>
      <c r="G81" s="64">
        <v>49.24</v>
      </c>
      <c r="H81" s="64">
        <v>24.48</v>
      </c>
      <c r="I81" s="64">
        <v>1.52</v>
      </c>
      <c r="J81" s="64">
        <v>0.15</v>
      </c>
      <c r="K81" s="64">
        <v>326.51</v>
      </c>
      <c r="L81" s="64">
        <v>21.91</v>
      </c>
      <c r="M81" s="64">
        <v>50.18</v>
      </c>
      <c r="N81" s="64">
        <v>35.5</v>
      </c>
      <c r="O81" s="64">
        <v>0</v>
      </c>
      <c r="P81" s="64">
        <v>1.59</v>
      </c>
      <c r="Q81" s="64">
        <v>3.79</v>
      </c>
      <c r="R81" s="198"/>
      <c r="S81" s="198"/>
      <c r="T81" s="198"/>
      <c r="U81" s="198"/>
    </row>
    <row r="82" spans="1:26" s="12" customFormat="1" x14ac:dyDescent="0.25">
      <c r="A82" s="215" t="s">
        <v>1763</v>
      </c>
      <c r="B82" s="64">
        <v>7.84</v>
      </c>
      <c r="C82" s="64">
        <v>46.34</v>
      </c>
      <c r="D82" s="64">
        <v>32.51</v>
      </c>
      <c r="E82" s="64">
        <v>2.94</v>
      </c>
      <c r="F82" s="64">
        <v>7.79</v>
      </c>
      <c r="G82" s="64">
        <v>52.46</v>
      </c>
      <c r="H82" s="64">
        <v>24.93</v>
      </c>
      <c r="I82" s="64">
        <v>1.53</v>
      </c>
      <c r="J82" s="64">
        <v>0.49</v>
      </c>
      <c r="K82" s="64">
        <v>345.11</v>
      </c>
      <c r="L82" s="64">
        <v>21.9</v>
      </c>
      <c r="M82" s="64">
        <v>49.76</v>
      </c>
      <c r="N82" s="64">
        <v>35</v>
      </c>
      <c r="O82" s="64">
        <v>0</v>
      </c>
      <c r="P82" s="64">
        <v>1.33</v>
      </c>
      <c r="Q82" s="64">
        <v>3.81</v>
      </c>
      <c r="R82" s="198"/>
      <c r="S82" s="198"/>
      <c r="T82" s="198"/>
      <c r="U82" s="198"/>
    </row>
    <row r="83" spans="1:26" s="12" customFormat="1" x14ac:dyDescent="0.25">
      <c r="A83" s="215" t="s">
        <v>1764</v>
      </c>
      <c r="B83" s="64">
        <v>7.56</v>
      </c>
      <c r="C83" s="64">
        <v>45.62</v>
      </c>
      <c r="D83" s="64">
        <v>31.89</v>
      </c>
      <c r="E83" s="64">
        <v>3.05</v>
      </c>
      <c r="F83" s="64">
        <v>6.18</v>
      </c>
      <c r="G83" s="64">
        <v>52.46</v>
      </c>
      <c r="H83" s="64">
        <v>24.93</v>
      </c>
      <c r="I83" s="64">
        <v>1.52</v>
      </c>
      <c r="J83" s="64">
        <v>0.96</v>
      </c>
      <c r="K83" s="64">
        <v>344.06</v>
      </c>
      <c r="L83" s="64">
        <v>22.24</v>
      </c>
      <c r="M83" s="64">
        <v>46.66</v>
      </c>
      <c r="N83" s="64">
        <v>34.700000000000003</v>
      </c>
      <c r="O83" s="64">
        <v>0</v>
      </c>
      <c r="P83" s="64">
        <v>1.29</v>
      </c>
      <c r="Q83" s="64">
        <v>4.3600000000000003</v>
      </c>
      <c r="R83" s="198"/>
      <c r="S83" s="198"/>
      <c r="T83" s="198"/>
      <c r="U83" s="198"/>
    </row>
    <row r="84" spans="1:26" s="12" customFormat="1" x14ac:dyDescent="0.25">
      <c r="A84" s="215" t="s">
        <v>1765</v>
      </c>
      <c r="B84" s="64">
        <v>8.7100000000000009</v>
      </c>
      <c r="C84" s="64">
        <v>39.26</v>
      </c>
      <c r="D84" s="64">
        <v>29.3</v>
      </c>
      <c r="E84" s="64">
        <v>2.98</v>
      </c>
      <c r="F84" s="64">
        <v>4.7699999999999996</v>
      </c>
      <c r="G84" s="64">
        <v>52.46</v>
      </c>
      <c r="H84" s="64">
        <v>24.93</v>
      </c>
      <c r="I84" s="64">
        <v>1.46</v>
      </c>
      <c r="J84" s="64">
        <v>0.9</v>
      </c>
      <c r="K84" s="64">
        <v>344.77</v>
      </c>
      <c r="L84" s="64">
        <v>22.25</v>
      </c>
      <c r="M84" s="64">
        <v>46.52</v>
      </c>
      <c r="N84" s="64">
        <v>35.5</v>
      </c>
      <c r="O84" s="64">
        <v>0</v>
      </c>
      <c r="P84" s="64">
        <v>1.31</v>
      </c>
      <c r="Q84" s="64">
        <v>4.6100000000000003</v>
      </c>
      <c r="R84" s="198"/>
      <c r="S84" s="198"/>
      <c r="T84" s="198"/>
      <c r="U84" s="198"/>
    </row>
    <row r="85" spans="1:26" s="12" customFormat="1" x14ac:dyDescent="0.25">
      <c r="A85" s="215" t="s">
        <v>1766</v>
      </c>
      <c r="B85" s="64">
        <v>8.2799999999999994</v>
      </c>
      <c r="C85" s="64">
        <v>44.69</v>
      </c>
      <c r="D85" s="64">
        <v>31.94</v>
      </c>
      <c r="E85" s="64">
        <v>2.89</v>
      </c>
      <c r="F85" s="64">
        <v>7.03</v>
      </c>
      <c r="G85" s="64">
        <v>71.739999999999995</v>
      </c>
      <c r="H85" s="64">
        <v>30.84</v>
      </c>
      <c r="I85" s="64">
        <v>1.55</v>
      </c>
      <c r="J85" s="64">
        <v>0.87</v>
      </c>
      <c r="K85" s="64">
        <v>344.3</v>
      </c>
      <c r="L85" s="64">
        <v>22.1</v>
      </c>
      <c r="M85" s="64">
        <v>45.86</v>
      </c>
      <c r="N85" s="64">
        <v>35.6</v>
      </c>
      <c r="O85" s="64">
        <v>0</v>
      </c>
      <c r="P85" s="64">
        <v>1.23</v>
      </c>
      <c r="Q85" s="64">
        <v>4.6399999999999997</v>
      </c>
      <c r="R85" s="198"/>
      <c r="S85" s="198"/>
      <c r="T85" s="198"/>
      <c r="U85" s="198"/>
    </row>
    <row r="86" spans="1:26" s="12" customFormat="1" x14ac:dyDescent="0.25">
      <c r="A86" s="215" t="s">
        <v>1767</v>
      </c>
      <c r="B86" s="64">
        <v>9.1999999999999993</v>
      </c>
      <c r="C86" s="64">
        <v>47.65</v>
      </c>
      <c r="D86" s="64">
        <v>34.32</v>
      </c>
      <c r="E86" s="64">
        <v>2.9</v>
      </c>
      <c r="F86" s="64">
        <v>5.52</v>
      </c>
      <c r="G86" s="64">
        <v>84.59</v>
      </c>
      <c r="H86" s="64">
        <v>32.28</v>
      </c>
      <c r="I86" s="64">
        <v>1.56</v>
      </c>
      <c r="J86" s="64">
        <v>0.59</v>
      </c>
      <c r="K86" s="64">
        <v>341.86</v>
      </c>
      <c r="L86" s="64">
        <v>21.93</v>
      </c>
      <c r="M86" s="64">
        <v>45.93</v>
      </c>
      <c r="N86" s="64">
        <v>35.9</v>
      </c>
      <c r="O86" s="64">
        <v>0</v>
      </c>
      <c r="P86" s="64">
        <v>1.3</v>
      </c>
      <c r="Q86" s="64">
        <v>4.6399999999999997</v>
      </c>
      <c r="R86" s="198"/>
      <c r="S86" s="198"/>
      <c r="T86" s="198"/>
      <c r="U86" s="198"/>
    </row>
    <row r="87" spans="1:26" s="12" customFormat="1" x14ac:dyDescent="0.25">
      <c r="A87" s="215" t="s">
        <v>1768</v>
      </c>
      <c r="B87" s="64">
        <v>9.02</v>
      </c>
      <c r="C87" s="64">
        <v>45.42</v>
      </c>
      <c r="D87" s="64">
        <v>32.950000000000003</v>
      </c>
      <c r="E87" s="64">
        <v>2.82</v>
      </c>
      <c r="F87" s="64">
        <v>4.6100000000000003</v>
      </c>
      <c r="G87" s="64">
        <v>84.59</v>
      </c>
      <c r="H87" s="64">
        <v>32.28</v>
      </c>
      <c r="I87" s="64">
        <v>1.58</v>
      </c>
      <c r="J87" s="64">
        <v>0.81</v>
      </c>
      <c r="K87" s="64">
        <v>342.73</v>
      </c>
      <c r="L87" s="64">
        <v>21.75</v>
      </c>
      <c r="M87" s="64">
        <v>45.92</v>
      </c>
      <c r="N87" s="64">
        <v>35.6</v>
      </c>
      <c r="O87" s="64">
        <v>0</v>
      </c>
      <c r="P87" s="64">
        <v>1.34</v>
      </c>
      <c r="Q87" s="64">
        <v>4.7300000000000004</v>
      </c>
      <c r="R87" s="198"/>
      <c r="S87" s="198"/>
      <c r="T87" s="198"/>
      <c r="U87" s="198"/>
    </row>
    <row r="88" spans="1:26" s="12" customFormat="1" x14ac:dyDescent="0.25">
      <c r="A88" s="215" t="s">
        <v>1769</v>
      </c>
      <c r="B88" s="64">
        <v>8.91</v>
      </c>
      <c r="C88" s="64">
        <v>46.45</v>
      </c>
      <c r="D88" s="64">
        <v>33.43</v>
      </c>
      <c r="E88" s="64">
        <v>2.46</v>
      </c>
      <c r="F88" s="64">
        <v>4.28</v>
      </c>
      <c r="G88" s="64">
        <v>84.59</v>
      </c>
      <c r="H88" s="64">
        <v>32.28</v>
      </c>
      <c r="I88" s="64">
        <v>1.51</v>
      </c>
      <c r="J88" s="64">
        <v>0.86</v>
      </c>
      <c r="K88" s="64">
        <v>342.25</v>
      </c>
      <c r="L88" s="64">
        <v>21.59</v>
      </c>
      <c r="M88" s="64">
        <v>46.29</v>
      </c>
      <c r="N88" s="64">
        <v>35.700000000000003</v>
      </c>
      <c r="O88" s="64">
        <v>0</v>
      </c>
      <c r="P88" s="64">
        <v>1.37</v>
      </c>
      <c r="Q88" s="64">
        <v>4.83</v>
      </c>
      <c r="R88" s="198"/>
      <c r="S88" s="198"/>
      <c r="T88" s="198"/>
      <c r="U88" s="198"/>
    </row>
    <row r="89" spans="1:26" s="12" customFormat="1" x14ac:dyDescent="0.25">
      <c r="A89" s="215" t="s">
        <v>1770</v>
      </c>
      <c r="B89" s="64">
        <v>10.56</v>
      </c>
      <c r="C89" s="64">
        <v>45.9</v>
      </c>
      <c r="D89" s="64">
        <v>34.44</v>
      </c>
      <c r="E89" s="64">
        <v>2.93</v>
      </c>
      <c r="F89" s="64">
        <v>5.0599999999999996</v>
      </c>
      <c r="G89" s="64">
        <v>93.37</v>
      </c>
      <c r="H89" s="64">
        <v>39.130000000000003</v>
      </c>
      <c r="I89" s="64">
        <v>1.49</v>
      </c>
      <c r="J89" s="64">
        <v>0.34</v>
      </c>
      <c r="K89" s="64">
        <v>331.09</v>
      </c>
      <c r="L89" s="64">
        <v>21.31</v>
      </c>
      <c r="M89" s="64">
        <v>48.5</v>
      </c>
      <c r="N89" s="64">
        <v>36.200000000000003</v>
      </c>
      <c r="O89" s="64">
        <v>0</v>
      </c>
      <c r="P89" s="64">
        <v>1.45</v>
      </c>
      <c r="Q89" s="64">
        <v>4.5199999999999996</v>
      </c>
      <c r="R89" s="198"/>
      <c r="S89" s="198"/>
      <c r="T89" s="198"/>
      <c r="U89" s="198"/>
    </row>
    <row r="90" spans="1:26" s="12" customFormat="1" x14ac:dyDescent="0.25">
      <c r="A90" s="215" t="s">
        <v>1771</v>
      </c>
      <c r="B90" s="64">
        <v>9.27</v>
      </c>
      <c r="C90" s="64">
        <v>45.59</v>
      </c>
      <c r="D90" s="64">
        <v>33.24</v>
      </c>
      <c r="E90" s="64">
        <v>2.81</v>
      </c>
      <c r="F90" s="64">
        <v>4.09</v>
      </c>
      <c r="G90" s="64">
        <v>99.22</v>
      </c>
      <c r="H90" s="64">
        <v>40.78</v>
      </c>
      <c r="I90" s="64">
        <v>1.5</v>
      </c>
      <c r="J90" s="64">
        <v>0.3</v>
      </c>
      <c r="K90" s="64">
        <v>333.67</v>
      </c>
      <c r="L90" s="64">
        <v>20.9</v>
      </c>
      <c r="M90" s="64">
        <v>50.43</v>
      </c>
      <c r="N90" s="64">
        <v>36.200000000000003</v>
      </c>
      <c r="O90" s="64">
        <v>0</v>
      </c>
      <c r="P90" s="64">
        <v>1.5</v>
      </c>
      <c r="Q90" s="64">
        <v>4.79</v>
      </c>
      <c r="R90" s="198"/>
      <c r="S90" s="198"/>
      <c r="T90" s="198"/>
      <c r="U90" s="198"/>
    </row>
    <row r="91" spans="1:26" s="12" customFormat="1" x14ac:dyDescent="0.25">
      <c r="A91" s="215" t="s">
        <v>1772</v>
      </c>
      <c r="B91" s="64">
        <v>10.69</v>
      </c>
      <c r="C91" s="64">
        <v>55.97</v>
      </c>
      <c r="D91" s="64">
        <v>40.11</v>
      </c>
      <c r="E91" s="64">
        <v>3.03</v>
      </c>
      <c r="F91" s="64">
        <v>6.09</v>
      </c>
      <c r="G91" s="64">
        <v>99.22</v>
      </c>
      <c r="H91" s="64">
        <v>40.78</v>
      </c>
      <c r="I91" s="64">
        <v>1.54</v>
      </c>
      <c r="J91" s="64">
        <v>0.1</v>
      </c>
      <c r="K91" s="64">
        <v>332.52</v>
      </c>
      <c r="L91" s="64">
        <v>20.420000000000002</v>
      </c>
      <c r="M91" s="64">
        <v>52.87</v>
      </c>
      <c r="N91" s="64">
        <v>36.5</v>
      </c>
      <c r="O91" s="64">
        <v>0</v>
      </c>
      <c r="P91" s="64">
        <v>1.68</v>
      </c>
      <c r="Q91" s="64">
        <v>4.66</v>
      </c>
      <c r="R91" s="198"/>
      <c r="S91" s="198"/>
      <c r="T91" s="198"/>
      <c r="U91" s="198"/>
    </row>
    <row r="92" spans="1:26" s="12" customFormat="1" x14ac:dyDescent="0.25">
      <c r="A92" s="215" t="s">
        <v>1773</v>
      </c>
      <c r="B92" s="64">
        <v>12.03</v>
      </c>
      <c r="C92" s="64">
        <v>47.2</v>
      </c>
      <c r="D92" s="64">
        <v>36.35</v>
      </c>
      <c r="E92" s="64">
        <v>3</v>
      </c>
      <c r="F92" s="64">
        <v>4.71</v>
      </c>
      <c r="G92" s="64">
        <v>99.22</v>
      </c>
      <c r="H92" s="64">
        <v>40.78</v>
      </c>
      <c r="I92" s="64">
        <v>1.53</v>
      </c>
      <c r="J92" s="64">
        <v>0.23</v>
      </c>
      <c r="K92" s="64">
        <v>331.65</v>
      </c>
      <c r="L92" s="64">
        <v>20.350000000000001</v>
      </c>
      <c r="M92" s="64">
        <v>52.46</v>
      </c>
      <c r="N92" s="64">
        <v>35.6</v>
      </c>
      <c r="O92" s="64">
        <v>0</v>
      </c>
      <c r="P92" s="64">
        <v>1.62</v>
      </c>
      <c r="Q92" s="64">
        <v>4.54</v>
      </c>
      <c r="R92" s="198"/>
      <c r="S92" s="198"/>
      <c r="T92" s="198"/>
      <c r="U92" s="198"/>
    </row>
    <row r="93" spans="1:26" s="12" customFormat="1" x14ac:dyDescent="0.25">
      <c r="A93" s="215" t="s">
        <v>1774</v>
      </c>
      <c r="B93" s="64">
        <v>15.51</v>
      </c>
      <c r="C93" s="64">
        <v>49.44</v>
      </c>
      <c r="D93" s="64">
        <v>40.369999999999997</v>
      </c>
      <c r="E93" s="64">
        <v>2.97</v>
      </c>
      <c r="F93" s="64">
        <v>6.24</v>
      </c>
      <c r="G93" s="64">
        <v>101.99</v>
      </c>
      <c r="H93" s="64">
        <v>37.869999999999997</v>
      </c>
      <c r="I93" s="64">
        <v>1.49</v>
      </c>
      <c r="J93" s="64">
        <v>0.24</v>
      </c>
      <c r="K93" s="64">
        <v>333.5</v>
      </c>
      <c r="L93" s="64">
        <v>20.37</v>
      </c>
      <c r="M93" s="64">
        <v>52.61</v>
      </c>
      <c r="N93" s="64">
        <v>36.200000000000003</v>
      </c>
      <c r="O93" s="64">
        <v>0</v>
      </c>
      <c r="P93" s="64">
        <v>1.66</v>
      </c>
      <c r="Q93" s="64">
        <v>4.0199999999999996</v>
      </c>
      <c r="R93" s="198"/>
      <c r="S93" s="198"/>
      <c r="T93" s="198"/>
      <c r="U93" s="198"/>
    </row>
    <row r="94" spans="1:26" s="12" customFormat="1" x14ac:dyDescent="0.25">
      <c r="A94" s="215" t="s">
        <v>1775</v>
      </c>
      <c r="B94" s="64">
        <v>14.42</v>
      </c>
      <c r="C94" s="64">
        <v>50.69</v>
      </c>
      <c r="D94" s="64">
        <v>40.19</v>
      </c>
      <c r="E94" s="64">
        <v>2.92</v>
      </c>
      <c r="F94" s="64">
        <v>5.58</v>
      </c>
      <c r="G94" s="64">
        <v>103.85</v>
      </c>
      <c r="H94" s="64">
        <v>36.61</v>
      </c>
      <c r="I94" s="64">
        <v>1.49</v>
      </c>
      <c r="J94" s="64">
        <v>0.2</v>
      </c>
      <c r="K94" s="64">
        <v>331.13</v>
      </c>
      <c r="L94" s="64">
        <v>20.13</v>
      </c>
      <c r="M94" s="64">
        <v>53.41</v>
      </c>
      <c r="N94" s="64">
        <v>35.799999999999997</v>
      </c>
      <c r="O94" s="64">
        <v>0</v>
      </c>
      <c r="P94" s="64">
        <v>1.62</v>
      </c>
      <c r="Q94" s="64">
        <v>4.78</v>
      </c>
      <c r="R94" s="198"/>
      <c r="S94" s="198"/>
      <c r="T94" s="198"/>
      <c r="U94" s="198"/>
    </row>
    <row r="95" spans="1:26" s="12" customFormat="1" x14ac:dyDescent="0.25">
      <c r="A95" s="215" t="s">
        <v>1776</v>
      </c>
      <c r="B95" s="64">
        <v>13.73</v>
      </c>
      <c r="C95" s="64">
        <v>45.13</v>
      </c>
      <c r="D95" s="64">
        <v>36.56</v>
      </c>
      <c r="E95" s="64">
        <v>2.85</v>
      </c>
      <c r="F95" s="64">
        <v>4.6500000000000004</v>
      </c>
      <c r="G95" s="64">
        <v>103.85</v>
      </c>
      <c r="H95" s="64">
        <v>36.61</v>
      </c>
      <c r="I95" s="64">
        <v>1.53</v>
      </c>
      <c r="J95" s="64">
        <v>0.05</v>
      </c>
      <c r="K95" s="64">
        <v>85.68</v>
      </c>
      <c r="L95" s="64">
        <v>20.149999999999999</v>
      </c>
      <c r="M95" s="64">
        <v>52.45</v>
      </c>
      <c r="N95" s="64">
        <v>36.299999999999997</v>
      </c>
      <c r="O95" s="64">
        <v>0</v>
      </c>
      <c r="P95" s="64">
        <v>1.61</v>
      </c>
      <c r="Q95" s="64">
        <v>5.22</v>
      </c>
      <c r="R95" s="198"/>
      <c r="S95" s="198"/>
      <c r="T95" s="198"/>
      <c r="U95" s="198"/>
    </row>
    <row r="96" spans="1:26" s="12" customFormat="1" x14ac:dyDescent="0.25">
      <c r="A96" s="215" t="s">
        <v>1777</v>
      </c>
      <c r="B96" s="64">
        <v>13.77</v>
      </c>
      <c r="C96" s="64">
        <v>39.96</v>
      </c>
      <c r="D96" s="64">
        <v>33.74</v>
      </c>
      <c r="E96" s="64">
        <v>2.69</v>
      </c>
      <c r="F96" s="64">
        <v>4.05</v>
      </c>
      <c r="G96" s="64">
        <v>103.85</v>
      </c>
      <c r="H96" s="64">
        <v>36.61</v>
      </c>
      <c r="I96" s="64">
        <v>1.45</v>
      </c>
      <c r="J96" s="64">
        <v>0.1</v>
      </c>
      <c r="K96" s="64">
        <v>63.55</v>
      </c>
      <c r="L96" s="64">
        <v>19.89</v>
      </c>
      <c r="M96" s="64">
        <v>53.59</v>
      </c>
      <c r="N96" s="64">
        <v>36.299999999999997</v>
      </c>
      <c r="O96" s="64">
        <v>0</v>
      </c>
      <c r="P96" s="64">
        <v>1.6</v>
      </c>
      <c r="Q96" s="64">
        <v>5.32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1778</v>
      </c>
      <c r="B97" s="64">
        <v>13.67</v>
      </c>
      <c r="C97" s="64">
        <v>44.39</v>
      </c>
      <c r="D97" s="64">
        <v>36.1</v>
      </c>
      <c r="E97" s="64">
        <v>2.59</v>
      </c>
      <c r="F97" s="64">
        <v>4.07</v>
      </c>
      <c r="G97" s="64">
        <v>94.51</v>
      </c>
      <c r="H97" s="64">
        <v>35.17</v>
      </c>
      <c r="I97" s="64">
        <v>1.49</v>
      </c>
      <c r="J97" s="64">
        <v>0.15</v>
      </c>
      <c r="K97" s="64">
        <v>77.819999999999993</v>
      </c>
      <c r="L97" s="64">
        <v>19.75</v>
      </c>
      <c r="M97" s="64">
        <v>53.86</v>
      </c>
      <c r="N97" s="64">
        <v>36.200000000000003</v>
      </c>
      <c r="O97" s="64">
        <v>0</v>
      </c>
      <c r="P97" s="64">
        <v>1.57</v>
      </c>
      <c r="Q97" s="64">
        <v>5.23</v>
      </c>
      <c r="R97" s="198"/>
      <c r="S97" s="198"/>
      <c r="T97" s="198"/>
      <c r="U97" s="198"/>
    </row>
    <row r="98" spans="1:33" s="12" customFormat="1" x14ac:dyDescent="0.25">
      <c r="A98" s="215" t="s">
        <v>1779</v>
      </c>
      <c r="B98" s="64">
        <v>13.79</v>
      </c>
      <c r="C98" s="64">
        <v>42.64</v>
      </c>
      <c r="D98" s="64">
        <v>35.24</v>
      </c>
      <c r="E98" s="64">
        <v>2.5499999999999998</v>
      </c>
      <c r="F98" s="64">
        <v>3.82</v>
      </c>
      <c r="G98" s="64">
        <v>88.28</v>
      </c>
      <c r="H98" s="64">
        <v>34.81</v>
      </c>
      <c r="I98" s="64">
        <v>1.51</v>
      </c>
      <c r="J98" s="64">
        <v>0.08</v>
      </c>
      <c r="K98" s="64">
        <v>87.91</v>
      </c>
      <c r="L98" s="64">
        <v>19.66</v>
      </c>
      <c r="M98" s="64">
        <v>53.87</v>
      </c>
      <c r="N98" s="64">
        <v>36.1</v>
      </c>
      <c r="O98" s="64">
        <v>0</v>
      </c>
      <c r="P98" s="64">
        <v>1.56</v>
      </c>
      <c r="Q98" s="64">
        <v>5.29</v>
      </c>
      <c r="R98" s="198"/>
      <c r="S98" s="198"/>
      <c r="T98" s="198"/>
      <c r="U98" s="198"/>
    </row>
    <row r="99" spans="1:33" s="12" customFormat="1" x14ac:dyDescent="0.25">
      <c r="A99" s="215" t="s">
        <v>1780</v>
      </c>
      <c r="B99" s="64">
        <v>13.91</v>
      </c>
      <c r="C99" s="64">
        <v>41.71</v>
      </c>
      <c r="D99" s="64">
        <v>34.82</v>
      </c>
      <c r="E99" s="64">
        <v>2.5099999999999998</v>
      </c>
      <c r="F99" s="64">
        <v>4.17</v>
      </c>
      <c r="G99" s="64">
        <v>88.28</v>
      </c>
      <c r="H99" s="64">
        <v>34.81</v>
      </c>
      <c r="I99" s="64">
        <v>1.48</v>
      </c>
      <c r="J99" s="64">
        <v>0.1</v>
      </c>
      <c r="K99" s="64">
        <v>105.87</v>
      </c>
      <c r="L99" s="64">
        <v>19.64</v>
      </c>
      <c r="M99" s="64">
        <v>53.84</v>
      </c>
      <c r="N99" s="64">
        <v>35.9</v>
      </c>
      <c r="O99" s="64">
        <v>0</v>
      </c>
      <c r="P99" s="64">
        <v>1.54</v>
      </c>
      <c r="Q99" s="64">
        <v>5.34</v>
      </c>
      <c r="R99" s="198"/>
      <c r="S99" s="198"/>
      <c r="T99" s="198"/>
      <c r="U99" s="198"/>
    </row>
    <row r="100" spans="1:33" s="12" customFormat="1" x14ac:dyDescent="0.25">
      <c r="A100" s="215" t="s">
        <v>1781</v>
      </c>
      <c r="B100" s="64">
        <v>13.68</v>
      </c>
      <c r="C100" s="64">
        <v>41.04</v>
      </c>
      <c r="D100" s="64">
        <v>34.270000000000003</v>
      </c>
      <c r="E100" s="64">
        <v>2.48</v>
      </c>
      <c r="F100" s="64">
        <v>3.94</v>
      </c>
      <c r="G100" s="64">
        <v>88.28</v>
      </c>
      <c r="H100" s="64">
        <v>34.81</v>
      </c>
      <c r="I100" s="64">
        <v>1.53</v>
      </c>
      <c r="J100" s="64">
        <v>0.05</v>
      </c>
      <c r="K100" s="64">
        <v>1.07</v>
      </c>
      <c r="L100" s="64">
        <v>19.600000000000001</v>
      </c>
      <c r="M100" s="64">
        <v>53.75</v>
      </c>
      <c r="N100" s="64">
        <v>36</v>
      </c>
      <c r="O100" s="64">
        <v>0</v>
      </c>
      <c r="P100" s="64">
        <v>1.51</v>
      </c>
      <c r="Q100" s="64">
        <v>5.32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1782</v>
      </c>
      <c r="B101" s="64">
        <v>13.17</v>
      </c>
      <c r="C101" s="64">
        <v>39.479999999999997</v>
      </c>
      <c r="D101" s="64">
        <v>33</v>
      </c>
      <c r="E101" s="64">
        <v>2.42</v>
      </c>
      <c r="F101" s="64">
        <v>3.73</v>
      </c>
      <c r="G101" s="64">
        <v>80.58</v>
      </c>
      <c r="H101" s="64">
        <v>31.69</v>
      </c>
      <c r="I101" s="64">
        <v>1.52</v>
      </c>
      <c r="J101" s="64">
        <v>0.13</v>
      </c>
      <c r="K101" s="64">
        <v>84.71</v>
      </c>
      <c r="L101" s="64">
        <v>19.47</v>
      </c>
      <c r="M101" s="64">
        <v>53.92</v>
      </c>
      <c r="N101" s="64">
        <v>36.1</v>
      </c>
      <c r="O101" s="64">
        <v>0</v>
      </c>
      <c r="P101" s="64">
        <v>1.48</v>
      </c>
      <c r="Q101" s="64">
        <v>5.28</v>
      </c>
      <c r="R101" s="198"/>
      <c r="S101" s="198"/>
      <c r="T101" s="198"/>
      <c r="U101" s="198"/>
    </row>
    <row r="102" spans="1:33" s="12" customFormat="1" x14ac:dyDescent="0.25">
      <c r="A102" s="215" t="s">
        <v>1783</v>
      </c>
      <c r="B102" s="64">
        <v>12.59</v>
      </c>
      <c r="C102" s="64">
        <v>40.619999999999997</v>
      </c>
      <c r="D102" s="64">
        <v>33.159999999999997</v>
      </c>
      <c r="E102" s="64">
        <v>2.4500000000000002</v>
      </c>
      <c r="F102" s="64">
        <v>5.19</v>
      </c>
      <c r="G102" s="64">
        <v>75.44</v>
      </c>
      <c r="H102" s="64">
        <v>30.92</v>
      </c>
      <c r="I102" s="64">
        <v>1.56</v>
      </c>
      <c r="J102" s="64">
        <v>0.14000000000000001</v>
      </c>
      <c r="K102" s="64">
        <v>97.28</v>
      </c>
      <c r="L102" s="64">
        <v>19.350000000000001</v>
      </c>
      <c r="M102" s="64">
        <v>54.23</v>
      </c>
      <c r="N102" s="64">
        <v>36.4</v>
      </c>
      <c r="O102" s="64">
        <v>0</v>
      </c>
      <c r="P102" s="64">
        <v>1.42</v>
      </c>
      <c r="Q102" s="64">
        <v>5.23</v>
      </c>
      <c r="R102" s="198"/>
      <c r="S102" s="198"/>
      <c r="T102" s="198"/>
      <c r="U102" s="198"/>
    </row>
    <row r="103" spans="1:33" s="12" customFormat="1" x14ac:dyDescent="0.25">
      <c r="A103" s="215" t="s">
        <v>1784</v>
      </c>
      <c r="B103" s="64">
        <v>11.7</v>
      </c>
      <c r="C103" s="64">
        <v>39.57</v>
      </c>
      <c r="D103" s="64">
        <v>31.87</v>
      </c>
      <c r="E103" s="64">
        <v>2.44</v>
      </c>
      <c r="F103" s="64">
        <v>6.48</v>
      </c>
      <c r="G103" s="64">
        <v>75.44</v>
      </c>
      <c r="H103" s="64">
        <v>30.92</v>
      </c>
      <c r="I103" s="64">
        <v>1.47</v>
      </c>
      <c r="J103" s="64">
        <v>0.03</v>
      </c>
      <c r="K103" s="64">
        <v>92.03</v>
      </c>
      <c r="L103" s="64">
        <v>19.18</v>
      </c>
      <c r="M103" s="64">
        <v>54.68</v>
      </c>
      <c r="N103" s="64">
        <v>36.5</v>
      </c>
      <c r="O103" s="64">
        <v>0</v>
      </c>
      <c r="P103" s="64">
        <v>1.4</v>
      </c>
      <c r="Q103" s="64">
        <v>5.27</v>
      </c>
      <c r="R103" s="198"/>
      <c r="S103" s="198"/>
      <c r="T103" s="198"/>
      <c r="U103" s="198"/>
    </row>
    <row r="104" spans="1:33" s="12" customFormat="1" x14ac:dyDescent="0.25">
      <c r="A104" s="215" t="s">
        <v>1785</v>
      </c>
      <c r="B104" s="64">
        <v>11.1</v>
      </c>
      <c r="C104" s="64">
        <v>38.880000000000003</v>
      </c>
      <c r="D104" s="64">
        <v>31</v>
      </c>
      <c r="E104" s="64">
        <v>2.38</v>
      </c>
      <c r="F104" s="64">
        <v>6.33</v>
      </c>
      <c r="G104" s="64">
        <v>75.44</v>
      </c>
      <c r="H104" s="64">
        <v>30.92</v>
      </c>
      <c r="I104" s="64">
        <v>1.5</v>
      </c>
      <c r="J104" s="64">
        <v>0.08</v>
      </c>
      <c r="K104" s="64">
        <v>40.25</v>
      </c>
      <c r="L104" s="64">
        <v>18.98</v>
      </c>
      <c r="M104" s="64">
        <v>54.83</v>
      </c>
      <c r="N104" s="64">
        <v>36.299999999999997</v>
      </c>
      <c r="O104" s="64">
        <v>0</v>
      </c>
      <c r="P104" s="64">
        <v>1.36</v>
      </c>
      <c r="Q104" s="64">
        <v>5.25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2.23</v>
      </c>
      <c r="C106" s="67">
        <f>MIN(C9:C104)</f>
        <v>23.73</v>
      </c>
      <c r="D106" s="67">
        <f t="shared" ref="D106:Q106" si="0">MIN(D9:D104)</f>
        <v>16.05</v>
      </c>
      <c r="E106" s="67">
        <f t="shared" si="0"/>
        <v>2.1800000000000002</v>
      </c>
      <c r="F106" s="67">
        <f t="shared" si="0"/>
        <v>3.15</v>
      </c>
      <c r="G106" s="67">
        <f t="shared" si="0"/>
        <v>43.36</v>
      </c>
      <c r="H106" s="67">
        <f t="shared" si="0"/>
        <v>20.309999999999999</v>
      </c>
      <c r="I106" s="67">
        <f t="shared" si="0"/>
        <v>1.4</v>
      </c>
      <c r="J106" s="67">
        <f t="shared" si="0"/>
        <v>0.03</v>
      </c>
      <c r="K106" s="67">
        <f t="shared" si="0"/>
        <v>1.07</v>
      </c>
      <c r="L106" s="67">
        <f t="shared" si="0"/>
        <v>15.71</v>
      </c>
      <c r="M106" s="67">
        <f t="shared" si="0"/>
        <v>31.31</v>
      </c>
      <c r="N106" s="67">
        <f t="shared" si="0"/>
        <v>33.799999999999997</v>
      </c>
      <c r="O106" s="67">
        <f t="shared" si="0"/>
        <v>0</v>
      </c>
      <c r="P106" s="67">
        <f t="shared" si="0"/>
        <v>0.77</v>
      </c>
      <c r="Q106" s="67">
        <f t="shared" si="0"/>
        <v>3.05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15.51</v>
      </c>
      <c r="C107" s="66">
        <f t="shared" ref="C107:Q107" si="1">MAX(C9:C104)</f>
        <v>59.1</v>
      </c>
      <c r="D107" s="66">
        <f t="shared" si="1"/>
        <v>40.369999999999997</v>
      </c>
      <c r="E107" s="66">
        <f t="shared" si="1"/>
        <v>3.05</v>
      </c>
      <c r="F107" s="66">
        <f t="shared" si="1"/>
        <v>22.78</v>
      </c>
      <c r="G107" s="66">
        <f t="shared" si="1"/>
        <v>103.85</v>
      </c>
      <c r="H107" s="66">
        <f t="shared" si="1"/>
        <v>40.78</v>
      </c>
      <c r="I107" s="66">
        <f t="shared" si="1"/>
        <v>1.59</v>
      </c>
      <c r="J107" s="66">
        <f t="shared" si="1"/>
        <v>1.68</v>
      </c>
      <c r="K107" s="66">
        <f t="shared" si="1"/>
        <v>354.68</v>
      </c>
      <c r="L107" s="66">
        <f t="shared" si="1"/>
        <v>28.95</v>
      </c>
      <c r="M107" s="66">
        <f t="shared" si="1"/>
        <v>84.13</v>
      </c>
      <c r="N107" s="66">
        <f t="shared" si="1"/>
        <v>750.7</v>
      </c>
      <c r="O107" s="66">
        <f t="shared" si="1"/>
        <v>0</v>
      </c>
      <c r="P107" s="66">
        <f t="shared" si="1"/>
        <v>1.68</v>
      </c>
      <c r="Q107" s="66">
        <f t="shared" si="1"/>
        <v>5.34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6.4171874999999972</v>
      </c>
      <c r="C108" s="67">
        <f t="shared" ref="C108:Q108" si="2">AVERAGE(C9:C104)</f>
        <v>33.38000000000001</v>
      </c>
      <c r="D108" s="67">
        <f t="shared" si="2"/>
        <v>24.213749999999994</v>
      </c>
      <c r="E108" s="67">
        <f t="shared" si="2"/>
        <v>2.5048958333333329</v>
      </c>
      <c r="F108" s="67">
        <f t="shared" si="2"/>
        <v>6.8165624999999999</v>
      </c>
      <c r="G108" s="67">
        <f t="shared" si="2"/>
        <v>68.148749999999993</v>
      </c>
      <c r="H108" s="67">
        <f t="shared" si="2"/>
        <v>30.873750000000015</v>
      </c>
      <c r="I108" s="67">
        <f t="shared" si="2"/>
        <v>1.505520833333333</v>
      </c>
      <c r="J108" s="67">
        <f t="shared" si="2"/>
        <v>0.45864583333333342</v>
      </c>
      <c r="K108" s="67">
        <f t="shared" si="2"/>
        <v>194.91499999999996</v>
      </c>
      <c r="L108" s="67">
        <f t="shared" si="2"/>
        <v>21.459687500000001</v>
      </c>
      <c r="M108" s="67">
        <f t="shared" si="2"/>
        <v>55.736458333333324</v>
      </c>
      <c r="N108" s="67">
        <f t="shared" si="2"/>
        <v>200.51250000000005</v>
      </c>
      <c r="O108" s="67">
        <f t="shared" si="2"/>
        <v>0</v>
      </c>
      <c r="P108" s="67">
        <f t="shared" si="2"/>
        <v>1.0341666666666673</v>
      </c>
      <c r="Q108" s="67">
        <f t="shared" si="2"/>
        <v>5.0736458333333312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3.748804919220051</v>
      </c>
      <c r="C109" s="67">
        <f t="shared" ref="C109:Q109" si="3">STDEV(C9:C104)</f>
        <v>8.7506491789255811</v>
      </c>
      <c r="D109" s="67">
        <f t="shared" si="3"/>
        <v>7.0546983597719262</v>
      </c>
      <c r="E109" s="67">
        <f t="shared" si="3"/>
        <v>0.22827036044160517</v>
      </c>
      <c r="F109" s="67">
        <f t="shared" si="3"/>
        <v>4.6010069442803312</v>
      </c>
      <c r="G109" s="67">
        <f t="shared" si="3"/>
        <v>18.654524906137109</v>
      </c>
      <c r="H109" s="67">
        <f t="shared" si="3"/>
        <v>5.3538449046602956</v>
      </c>
      <c r="I109" s="67">
        <f t="shared" si="3"/>
        <v>4.2199271424657708E-2</v>
      </c>
      <c r="J109" s="67">
        <f t="shared" si="3"/>
        <v>0.33397327277766475</v>
      </c>
      <c r="K109" s="67">
        <f t="shared" si="3"/>
        <v>134.36346135526748</v>
      </c>
      <c r="L109" s="67">
        <f t="shared" si="3"/>
        <v>3.6930165827224575</v>
      </c>
      <c r="M109" s="67">
        <f t="shared" si="3"/>
        <v>16.432317706863486</v>
      </c>
      <c r="N109" s="67">
        <f t="shared" si="3"/>
        <v>254.75416684779807</v>
      </c>
      <c r="O109" s="67">
        <f t="shared" si="3"/>
        <v>0</v>
      </c>
      <c r="P109" s="67">
        <f t="shared" si="3"/>
        <v>0.27981823674312867</v>
      </c>
      <c r="Q109" s="67">
        <f t="shared" si="3"/>
        <v>0.38219895560645728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1786</v>
      </c>
      <c r="B9" s="64">
        <v>10.64</v>
      </c>
      <c r="C9" s="64">
        <v>38.520000000000003</v>
      </c>
      <c r="D9" s="64">
        <v>30.43</v>
      </c>
      <c r="E9" s="64">
        <v>2.5499999999999998</v>
      </c>
      <c r="F9" s="64">
        <v>5.21</v>
      </c>
      <c r="G9" s="64">
        <v>65.2</v>
      </c>
      <c r="H9" s="64">
        <v>28.16</v>
      </c>
      <c r="I9" s="64">
        <v>1.42</v>
      </c>
      <c r="J9" s="64">
        <v>0.08</v>
      </c>
      <c r="K9" s="64">
        <v>348.49</v>
      </c>
      <c r="L9" s="64">
        <v>19.02</v>
      </c>
      <c r="M9" s="64">
        <v>53.99</v>
      </c>
      <c r="N9" s="64">
        <v>36.6</v>
      </c>
      <c r="O9" s="64">
        <v>0</v>
      </c>
      <c r="P9" s="64">
        <v>1.33</v>
      </c>
      <c r="Q9" s="64">
        <v>5.2</v>
      </c>
      <c r="R9" s="198"/>
      <c r="S9" s="198"/>
      <c r="T9" s="198"/>
      <c r="U9" s="198"/>
    </row>
    <row r="10" spans="1:21" s="12" customFormat="1" x14ac:dyDescent="0.25">
      <c r="A10" s="215" t="s">
        <v>1787</v>
      </c>
      <c r="B10" s="64">
        <v>10.16</v>
      </c>
      <c r="C10" s="64">
        <v>38.200000000000003</v>
      </c>
      <c r="D10" s="64">
        <v>29.88</v>
      </c>
      <c r="E10" s="64">
        <v>2.5</v>
      </c>
      <c r="F10" s="64">
        <v>5.79</v>
      </c>
      <c r="G10" s="64">
        <v>58.38</v>
      </c>
      <c r="H10" s="64">
        <v>27.48</v>
      </c>
      <c r="I10" s="64">
        <v>1.52</v>
      </c>
      <c r="J10" s="64">
        <v>0.33</v>
      </c>
      <c r="K10" s="64">
        <v>326.77999999999997</v>
      </c>
      <c r="L10" s="64">
        <v>18.91</v>
      </c>
      <c r="M10" s="64">
        <v>55.01</v>
      </c>
      <c r="N10" s="64">
        <v>35.9</v>
      </c>
      <c r="O10" s="64">
        <v>0</v>
      </c>
      <c r="P10" s="64">
        <v>1.3</v>
      </c>
      <c r="Q10" s="64">
        <v>5.14</v>
      </c>
      <c r="R10" s="198"/>
      <c r="S10" s="198"/>
      <c r="T10" s="198"/>
      <c r="U10" s="198"/>
    </row>
    <row r="11" spans="1:21" s="12" customFormat="1" x14ac:dyDescent="0.25">
      <c r="A11" s="215" t="s">
        <v>1788</v>
      </c>
      <c r="B11" s="64">
        <v>9.67</v>
      </c>
      <c r="C11" s="64">
        <v>35.92</v>
      </c>
      <c r="D11" s="64">
        <v>28.23</v>
      </c>
      <c r="E11" s="64">
        <v>2.4900000000000002</v>
      </c>
      <c r="F11" s="64">
        <v>4.53</v>
      </c>
      <c r="G11" s="64">
        <v>58.38</v>
      </c>
      <c r="H11" s="64">
        <v>27.48</v>
      </c>
      <c r="I11" s="64">
        <v>1.48</v>
      </c>
      <c r="J11" s="64">
        <v>0.05</v>
      </c>
      <c r="K11" s="64">
        <v>317.06</v>
      </c>
      <c r="L11" s="64">
        <v>18.829999999999998</v>
      </c>
      <c r="M11" s="64">
        <v>56.03</v>
      </c>
      <c r="N11" s="64">
        <v>36.700000000000003</v>
      </c>
      <c r="O11" s="64">
        <v>0</v>
      </c>
      <c r="P11" s="64">
        <v>1.29</v>
      </c>
      <c r="Q11" s="64">
        <v>5.12</v>
      </c>
      <c r="R11" s="198"/>
      <c r="S11" s="198"/>
      <c r="T11" s="198"/>
      <c r="U11" s="198"/>
    </row>
    <row r="12" spans="1:21" s="12" customFormat="1" x14ac:dyDescent="0.25">
      <c r="A12" s="215" t="s">
        <v>1789</v>
      </c>
      <c r="B12" s="64">
        <v>9.2100000000000009</v>
      </c>
      <c r="C12" s="64">
        <v>35.86</v>
      </c>
      <c r="D12" s="64">
        <v>27.82</v>
      </c>
      <c r="E12" s="64">
        <v>2.4300000000000002</v>
      </c>
      <c r="F12" s="64">
        <v>3.85</v>
      </c>
      <c r="G12" s="64">
        <v>58.38</v>
      </c>
      <c r="H12" s="64">
        <v>27.48</v>
      </c>
      <c r="I12" s="64">
        <v>1.5</v>
      </c>
      <c r="J12" s="64">
        <v>0.14000000000000001</v>
      </c>
      <c r="K12" s="64">
        <v>102.47</v>
      </c>
      <c r="L12" s="64">
        <v>18.440000000000001</v>
      </c>
      <c r="M12" s="64">
        <v>57.89</v>
      </c>
      <c r="N12" s="64">
        <v>36.6</v>
      </c>
      <c r="O12" s="64">
        <v>0</v>
      </c>
      <c r="P12" s="64">
        <v>1.26</v>
      </c>
      <c r="Q12" s="64">
        <v>5</v>
      </c>
      <c r="R12" s="198"/>
      <c r="S12" s="198"/>
      <c r="T12" s="198"/>
      <c r="U12" s="198"/>
    </row>
    <row r="13" spans="1:21" s="12" customFormat="1" x14ac:dyDescent="0.25">
      <c r="A13" s="215" t="s">
        <v>1790</v>
      </c>
      <c r="B13" s="64">
        <v>8.82</v>
      </c>
      <c r="C13" s="64">
        <v>36.17</v>
      </c>
      <c r="D13" s="64">
        <v>27.68</v>
      </c>
      <c r="E13" s="64">
        <v>2.39</v>
      </c>
      <c r="F13" s="64">
        <v>3.33</v>
      </c>
      <c r="G13" s="64">
        <v>54.55</v>
      </c>
      <c r="H13" s="64">
        <v>25.69</v>
      </c>
      <c r="I13" s="64">
        <v>1.53</v>
      </c>
      <c r="J13" s="64">
        <v>0.04</v>
      </c>
      <c r="K13" s="64">
        <v>243.15</v>
      </c>
      <c r="L13" s="64">
        <v>18.190000000000001</v>
      </c>
      <c r="M13" s="64">
        <v>59.72</v>
      </c>
      <c r="N13" s="64">
        <v>36.6</v>
      </c>
      <c r="O13" s="64">
        <v>0</v>
      </c>
      <c r="P13" s="64">
        <v>1.1599999999999999</v>
      </c>
      <c r="Q13" s="64">
        <v>4.91</v>
      </c>
      <c r="R13" s="198"/>
      <c r="S13" s="198"/>
      <c r="T13" s="198"/>
      <c r="U13" s="198"/>
    </row>
    <row r="14" spans="1:21" s="12" customFormat="1" x14ac:dyDescent="0.25">
      <c r="A14" s="215" t="s">
        <v>1791</v>
      </c>
      <c r="B14" s="64">
        <v>8.48</v>
      </c>
      <c r="C14" s="64">
        <v>35.6</v>
      </c>
      <c r="D14" s="64">
        <v>27.09</v>
      </c>
      <c r="E14" s="64">
        <v>2.41</v>
      </c>
      <c r="F14" s="64">
        <v>3.6</v>
      </c>
      <c r="G14" s="64">
        <v>51.87</v>
      </c>
      <c r="H14" s="64">
        <v>24.91</v>
      </c>
      <c r="I14" s="64">
        <v>1.48</v>
      </c>
      <c r="J14" s="64">
        <v>0.63</v>
      </c>
      <c r="K14" s="64">
        <v>343.02</v>
      </c>
      <c r="L14" s="64">
        <v>18</v>
      </c>
      <c r="M14" s="64">
        <v>61.21</v>
      </c>
      <c r="N14" s="64">
        <v>36.200000000000003</v>
      </c>
      <c r="O14" s="64">
        <v>0</v>
      </c>
      <c r="P14" s="64">
        <v>1.2</v>
      </c>
      <c r="Q14" s="64">
        <v>4.8899999999999997</v>
      </c>
      <c r="R14" s="198"/>
      <c r="S14" s="198"/>
      <c r="T14" s="198"/>
      <c r="U14" s="198"/>
    </row>
    <row r="15" spans="1:21" s="12" customFormat="1" x14ac:dyDescent="0.25">
      <c r="A15" s="215" t="s">
        <v>1792</v>
      </c>
      <c r="B15" s="64">
        <v>7.92</v>
      </c>
      <c r="C15" s="64">
        <v>35.06</v>
      </c>
      <c r="D15" s="64">
        <v>26.35</v>
      </c>
      <c r="E15" s="64">
        <v>2.4</v>
      </c>
      <c r="F15" s="64">
        <v>3.81</v>
      </c>
      <c r="G15" s="64">
        <v>51.87</v>
      </c>
      <c r="H15" s="64">
        <v>24.91</v>
      </c>
      <c r="I15" s="64">
        <v>1.59</v>
      </c>
      <c r="J15" s="64">
        <v>0.75</v>
      </c>
      <c r="K15" s="64">
        <v>342.05</v>
      </c>
      <c r="L15" s="64">
        <v>18.12</v>
      </c>
      <c r="M15" s="64">
        <v>60.89</v>
      </c>
      <c r="N15" s="64">
        <v>36.4</v>
      </c>
      <c r="O15" s="64">
        <v>0</v>
      </c>
      <c r="P15" s="64">
        <v>1.1599999999999999</v>
      </c>
      <c r="Q15" s="64">
        <v>4.9000000000000004</v>
      </c>
      <c r="R15" s="198"/>
      <c r="S15" s="198"/>
      <c r="T15" s="198"/>
      <c r="U15" s="198"/>
    </row>
    <row r="16" spans="1:21" s="12" customFormat="1" x14ac:dyDescent="0.25">
      <c r="A16" s="215" t="s">
        <v>1793</v>
      </c>
      <c r="B16" s="64">
        <v>7.38</v>
      </c>
      <c r="C16" s="64">
        <v>34.61</v>
      </c>
      <c r="D16" s="64">
        <v>25.66</v>
      </c>
      <c r="E16" s="64">
        <v>2.38</v>
      </c>
      <c r="F16" s="64">
        <v>3.79</v>
      </c>
      <c r="G16" s="64">
        <v>51.87</v>
      </c>
      <c r="H16" s="64">
        <v>24.91</v>
      </c>
      <c r="I16" s="64">
        <v>1.51</v>
      </c>
      <c r="J16" s="64">
        <v>0.57999999999999996</v>
      </c>
      <c r="K16" s="64">
        <v>342.51</v>
      </c>
      <c r="L16" s="64">
        <v>18.010000000000002</v>
      </c>
      <c r="M16" s="64">
        <v>61.67</v>
      </c>
      <c r="N16" s="64">
        <v>36.5</v>
      </c>
      <c r="O16" s="64">
        <v>0</v>
      </c>
      <c r="P16" s="64">
        <v>1.1200000000000001</v>
      </c>
      <c r="Q16" s="64">
        <v>5.05</v>
      </c>
      <c r="R16" s="198"/>
      <c r="S16" s="198"/>
      <c r="T16" s="198"/>
      <c r="U16" s="198"/>
    </row>
    <row r="17" spans="1:21" s="12" customFormat="1" x14ac:dyDescent="0.25">
      <c r="A17" s="215" t="s">
        <v>1794</v>
      </c>
      <c r="B17" s="64">
        <v>6.98</v>
      </c>
      <c r="C17" s="64">
        <v>34.97</v>
      </c>
      <c r="D17" s="64">
        <v>25.54</v>
      </c>
      <c r="E17" s="64">
        <v>2.33</v>
      </c>
      <c r="F17" s="64">
        <v>3.95</v>
      </c>
      <c r="G17" s="64">
        <v>52.23</v>
      </c>
      <c r="H17" s="64">
        <v>26.37</v>
      </c>
      <c r="I17" s="64">
        <v>1.46</v>
      </c>
      <c r="J17" s="64">
        <v>0.68</v>
      </c>
      <c r="K17" s="64">
        <v>334.35</v>
      </c>
      <c r="L17" s="64">
        <v>17.89</v>
      </c>
      <c r="M17" s="64">
        <v>62.15</v>
      </c>
      <c r="N17" s="64">
        <v>36.4</v>
      </c>
      <c r="O17" s="64">
        <v>0</v>
      </c>
      <c r="P17" s="64">
        <v>1.0900000000000001</v>
      </c>
      <c r="Q17" s="64">
        <v>5.0999999999999996</v>
      </c>
      <c r="R17" s="198"/>
      <c r="S17" s="198"/>
      <c r="T17" s="198"/>
      <c r="U17" s="198"/>
    </row>
    <row r="18" spans="1:21" s="12" customFormat="1" x14ac:dyDescent="0.25">
      <c r="A18" s="215" t="s">
        <v>1795</v>
      </c>
      <c r="B18" s="64">
        <v>6.65</v>
      </c>
      <c r="C18" s="64">
        <v>35.24</v>
      </c>
      <c r="D18" s="64">
        <v>25.43</v>
      </c>
      <c r="E18" s="64">
        <v>2.39</v>
      </c>
      <c r="F18" s="64">
        <v>3.95</v>
      </c>
      <c r="G18" s="64">
        <v>52.47</v>
      </c>
      <c r="H18" s="64">
        <v>26.75</v>
      </c>
      <c r="I18" s="64">
        <v>1.51</v>
      </c>
      <c r="J18" s="64">
        <v>0.66</v>
      </c>
      <c r="K18" s="64">
        <v>338.39</v>
      </c>
      <c r="L18" s="64">
        <v>17.72</v>
      </c>
      <c r="M18" s="64">
        <v>63.14</v>
      </c>
      <c r="N18" s="64">
        <v>36.6</v>
      </c>
      <c r="O18" s="64">
        <v>0</v>
      </c>
      <c r="P18" s="64">
        <v>1.06</v>
      </c>
      <c r="Q18" s="64">
        <v>5.15</v>
      </c>
      <c r="R18" s="198"/>
      <c r="S18" s="198"/>
      <c r="T18" s="198"/>
      <c r="U18" s="198"/>
    </row>
    <row r="19" spans="1:21" s="12" customFormat="1" x14ac:dyDescent="0.25">
      <c r="A19" s="215" t="s">
        <v>1796</v>
      </c>
      <c r="B19" s="64">
        <v>6.28</v>
      </c>
      <c r="C19" s="64">
        <v>35.17</v>
      </c>
      <c r="D19" s="64">
        <v>25.09</v>
      </c>
      <c r="E19" s="64">
        <v>2.36</v>
      </c>
      <c r="F19" s="64">
        <v>4.8</v>
      </c>
      <c r="G19" s="64">
        <v>52.47</v>
      </c>
      <c r="H19" s="64">
        <v>26.75</v>
      </c>
      <c r="I19" s="64">
        <v>1.5</v>
      </c>
      <c r="J19" s="64">
        <v>0.71</v>
      </c>
      <c r="K19" s="64">
        <v>335.66</v>
      </c>
      <c r="L19" s="64">
        <v>17.649999999999999</v>
      </c>
      <c r="M19" s="64">
        <v>64.319999999999993</v>
      </c>
      <c r="N19" s="64">
        <v>36.700000000000003</v>
      </c>
      <c r="O19" s="64">
        <v>0</v>
      </c>
      <c r="P19" s="64">
        <v>1.03</v>
      </c>
      <c r="Q19" s="64">
        <v>5.19</v>
      </c>
      <c r="R19" s="198"/>
      <c r="S19" s="198"/>
      <c r="T19" s="198"/>
      <c r="U19" s="198"/>
    </row>
    <row r="20" spans="1:21" s="12" customFormat="1" x14ac:dyDescent="0.25">
      <c r="A20" s="215" t="s">
        <v>1797</v>
      </c>
      <c r="B20" s="64">
        <v>5.98</v>
      </c>
      <c r="C20" s="64">
        <v>35.4</v>
      </c>
      <c r="D20" s="64">
        <v>24.98</v>
      </c>
      <c r="E20" s="64">
        <v>2.4</v>
      </c>
      <c r="F20" s="64">
        <v>4.09</v>
      </c>
      <c r="G20" s="64">
        <v>52.47</v>
      </c>
      <c r="H20" s="64">
        <v>26.75</v>
      </c>
      <c r="I20" s="64">
        <v>1.46</v>
      </c>
      <c r="J20" s="64">
        <v>0.76</v>
      </c>
      <c r="K20" s="64">
        <v>340.15</v>
      </c>
      <c r="L20" s="64">
        <v>17.52</v>
      </c>
      <c r="M20" s="64">
        <v>65.650000000000006</v>
      </c>
      <c r="N20" s="64">
        <v>36.799999999999997</v>
      </c>
      <c r="O20" s="64">
        <v>0</v>
      </c>
      <c r="P20" s="64">
        <v>1.02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5" t="s">
        <v>1798</v>
      </c>
      <c r="B21" s="64">
        <v>5.74</v>
      </c>
      <c r="C21" s="64">
        <v>35.61</v>
      </c>
      <c r="D21" s="64">
        <v>24.9</v>
      </c>
      <c r="E21" s="64">
        <v>2.34</v>
      </c>
      <c r="F21" s="64">
        <v>5.42</v>
      </c>
      <c r="G21" s="64">
        <v>55.16</v>
      </c>
      <c r="H21" s="64">
        <v>25.81</v>
      </c>
      <c r="I21" s="64">
        <v>1.48</v>
      </c>
      <c r="J21" s="64">
        <v>0.73</v>
      </c>
      <c r="K21" s="64">
        <v>341.55</v>
      </c>
      <c r="L21" s="64">
        <v>17.440000000000001</v>
      </c>
      <c r="M21" s="64">
        <v>66.81</v>
      </c>
      <c r="N21" s="64">
        <v>36.700000000000003</v>
      </c>
      <c r="O21" s="64">
        <v>0</v>
      </c>
      <c r="P21" s="64">
        <v>1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5" t="s">
        <v>1799</v>
      </c>
      <c r="B22" s="64">
        <v>5.67</v>
      </c>
      <c r="C22" s="64">
        <v>35.33</v>
      </c>
      <c r="D22" s="64">
        <v>24.69</v>
      </c>
      <c r="E22" s="64">
        <v>2.37</v>
      </c>
      <c r="F22" s="64">
        <v>4.3899999999999997</v>
      </c>
      <c r="G22" s="64">
        <v>56.96</v>
      </c>
      <c r="H22" s="64">
        <v>25.56</v>
      </c>
      <c r="I22" s="64">
        <v>1.49</v>
      </c>
      <c r="J22" s="64">
        <v>0.64</v>
      </c>
      <c r="K22" s="64">
        <v>334.67</v>
      </c>
      <c r="L22" s="64">
        <v>17.38</v>
      </c>
      <c r="M22" s="64">
        <v>67.25</v>
      </c>
      <c r="N22" s="64">
        <v>36.799999999999997</v>
      </c>
      <c r="O22" s="64">
        <v>0</v>
      </c>
      <c r="P22" s="64">
        <v>0.98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5" t="s">
        <v>1800</v>
      </c>
      <c r="B23" s="64">
        <v>5.54</v>
      </c>
      <c r="C23" s="64">
        <v>33.630000000000003</v>
      </c>
      <c r="D23" s="64">
        <v>23.65</v>
      </c>
      <c r="E23" s="64">
        <v>2.33</v>
      </c>
      <c r="F23" s="64">
        <v>3.78</v>
      </c>
      <c r="G23" s="64">
        <v>56.96</v>
      </c>
      <c r="H23" s="64">
        <v>25.56</v>
      </c>
      <c r="I23" s="64">
        <v>1.48</v>
      </c>
      <c r="J23" s="64">
        <v>0.6</v>
      </c>
      <c r="K23" s="64">
        <v>334.8</v>
      </c>
      <c r="L23" s="64">
        <v>17.329999999999998</v>
      </c>
      <c r="M23" s="64">
        <v>68.099999999999994</v>
      </c>
      <c r="N23" s="64">
        <v>36.9</v>
      </c>
      <c r="O23" s="64">
        <v>0</v>
      </c>
      <c r="P23" s="64">
        <v>0.97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5" t="s">
        <v>1801</v>
      </c>
      <c r="B24" s="64">
        <v>5.43</v>
      </c>
      <c r="C24" s="64">
        <v>34.869999999999997</v>
      </c>
      <c r="D24" s="64">
        <v>24.25</v>
      </c>
      <c r="E24" s="64">
        <v>2.08</v>
      </c>
      <c r="F24" s="64">
        <v>3.57</v>
      </c>
      <c r="G24" s="64">
        <v>56.96</v>
      </c>
      <c r="H24" s="64">
        <v>25.56</v>
      </c>
      <c r="I24" s="64">
        <v>1.54</v>
      </c>
      <c r="J24" s="64">
        <v>0.42</v>
      </c>
      <c r="K24" s="64">
        <v>330.82</v>
      </c>
      <c r="L24" s="64">
        <v>17.100000000000001</v>
      </c>
      <c r="M24" s="64">
        <v>69.91</v>
      </c>
      <c r="N24" s="64">
        <v>36.9</v>
      </c>
      <c r="O24" s="64">
        <v>0</v>
      </c>
      <c r="P24" s="64">
        <v>0.96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5" t="s">
        <v>1802</v>
      </c>
      <c r="B25" s="64">
        <v>5.53</v>
      </c>
      <c r="C25" s="64">
        <v>34.479999999999997</v>
      </c>
      <c r="D25" s="64">
        <v>24.11</v>
      </c>
      <c r="E25" s="64">
        <v>2.31</v>
      </c>
      <c r="F25" s="64">
        <v>3.61</v>
      </c>
      <c r="G25" s="64">
        <v>61.59</v>
      </c>
      <c r="H25" s="64">
        <v>26.09</v>
      </c>
      <c r="I25" s="64">
        <v>1.56</v>
      </c>
      <c r="J25" s="64">
        <v>0.9</v>
      </c>
      <c r="K25" s="64">
        <v>341.21</v>
      </c>
      <c r="L25" s="64">
        <v>17.059999999999999</v>
      </c>
      <c r="M25" s="64">
        <v>70</v>
      </c>
      <c r="N25" s="64">
        <v>36.5</v>
      </c>
      <c r="O25" s="64">
        <v>0</v>
      </c>
      <c r="P25" s="64">
        <v>0.96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5" t="s">
        <v>1803</v>
      </c>
      <c r="B26" s="64">
        <v>5.63</v>
      </c>
      <c r="C26" s="64">
        <v>34.479999999999997</v>
      </c>
      <c r="D26" s="64">
        <v>24.19</v>
      </c>
      <c r="E26" s="64">
        <v>2.3199999999999998</v>
      </c>
      <c r="F26" s="64">
        <v>3.64</v>
      </c>
      <c r="G26" s="64">
        <v>64.819999999999993</v>
      </c>
      <c r="H26" s="64">
        <v>26.22</v>
      </c>
      <c r="I26" s="64">
        <v>1.54</v>
      </c>
      <c r="J26" s="64">
        <v>0.89</v>
      </c>
      <c r="K26" s="64">
        <v>342.93</v>
      </c>
      <c r="L26" s="64">
        <v>17.059999999999999</v>
      </c>
      <c r="M26" s="64">
        <v>70.010000000000005</v>
      </c>
      <c r="N26" s="64">
        <v>36.700000000000003</v>
      </c>
      <c r="O26" s="64">
        <v>0</v>
      </c>
      <c r="P26" s="64">
        <v>0.96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5" t="s">
        <v>1804</v>
      </c>
      <c r="B27" s="64">
        <v>5.59</v>
      </c>
      <c r="C27" s="64">
        <v>35.1</v>
      </c>
      <c r="D27" s="64">
        <v>24.51</v>
      </c>
      <c r="E27" s="64">
        <v>2.27</v>
      </c>
      <c r="F27" s="64">
        <v>3.68</v>
      </c>
      <c r="G27" s="64">
        <v>64.819999999999993</v>
      </c>
      <c r="H27" s="64">
        <v>26.22</v>
      </c>
      <c r="I27" s="64">
        <v>1.48</v>
      </c>
      <c r="J27" s="64">
        <v>0.73</v>
      </c>
      <c r="K27" s="64">
        <v>340.11</v>
      </c>
      <c r="L27" s="64">
        <v>16.97</v>
      </c>
      <c r="M27" s="64">
        <v>70.78</v>
      </c>
      <c r="N27" s="64">
        <v>36.9</v>
      </c>
      <c r="O27" s="64">
        <v>0</v>
      </c>
      <c r="P27" s="64">
        <v>0.96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5" t="s">
        <v>1805</v>
      </c>
      <c r="B28" s="64">
        <v>5.66</v>
      </c>
      <c r="C28" s="64">
        <v>35.28</v>
      </c>
      <c r="D28" s="64">
        <v>24.66</v>
      </c>
      <c r="E28" s="64">
        <v>2.2599999999999998</v>
      </c>
      <c r="F28" s="64">
        <v>3.65</v>
      </c>
      <c r="G28" s="64">
        <v>64.819999999999993</v>
      </c>
      <c r="H28" s="64">
        <v>26.22</v>
      </c>
      <c r="I28" s="64">
        <v>1.51</v>
      </c>
      <c r="J28" s="64">
        <v>0.72</v>
      </c>
      <c r="K28" s="64">
        <v>337.51</v>
      </c>
      <c r="L28" s="64">
        <v>16.86</v>
      </c>
      <c r="M28" s="64">
        <v>71.48</v>
      </c>
      <c r="N28" s="64">
        <v>36.799999999999997</v>
      </c>
      <c r="O28" s="64">
        <v>0</v>
      </c>
      <c r="P28" s="64">
        <v>0.95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5" t="s">
        <v>1806</v>
      </c>
      <c r="B29" s="64">
        <v>5.82</v>
      </c>
      <c r="C29" s="64">
        <v>34.229999999999997</v>
      </c>
      <c r="D29" s="64">
        <v>24.21</v>
      </c>
      <c r="E29" s="64">
        <v>2.2599999999999998</v>
      </c>
      <c r="F29" s="64">
        <v>3.62</v>
      </c>
      <c r="G29" s="64">
        <v>64.7</v>
      </c>
      <c r="H29" s="64">
        <v>27.78</v>
      </c>
      <c r="I29" s="64">
        <v>1.58</v>
      </c>
      <c r="J29" s="64">
        <v>0.5</v>
      </c>
      <c r="K29" s="64">
        <v>339.79</v>
      </c>
      <c r="L29" s="64">
        <v>16.8</v>
      </c>
      <c r="M29" s="64">
        <v>72.03</v>
      </c>
      <c r="N29" s="64">
        <v>37</v>
      </c>
      <c r="O29" s="64">
        <v>0</v>
      </c>
      <c r="P29" s="64">
        <v>0.93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5" t="s">
        <v>1807</v>
      </c>
      <c r="B30" s="64">
        <v>6.13</v>
      </c>
      <c r="C30" s="64">
        <v>34.14</v>
      </c>
      <c r="D30" s="64">
        <v>24.4</v>
      </c>
      <c r="E30" s="64">
        <v>2.29</v>
      </c>
      <c r="F30" s="64">
        <v>4.1399999999999997</v>
      </c>
      <c r="G30" s="64">
        <v>64.61</v>
      </c>
      <c r="H30" s="64">
        <v>28.51</v>
      </c>
      <c r="I30" s="64">
        <v>1.44</v>
      </c>
      <c r="J30" s="64">
        <v>0.44</v>
      </c>
      <c r="K30" s="64">
        <v>335.42</v>
      </c>
      <c r="L30" s="64">
        <v>16.649999999999999</v>
      </c>
      <c r="M30" s="64">
        <v>73.44</v>
      </c>
      <c r="N30" s="64">
        <v>37</v>
      </c>
      <c r="O30" s="64">
        <v>0</v>
      </c>
      <c r="P30" s="64">
        <v>0.93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5" t="s">
        <v>1808</v>
      </c>
      <c r="B31" s="64">
        <v>6.42</v>
      </c>
      <c r="C31" s="64">
        <v>35.15</v>
      </c>
      <c r="D31" s="64">
        <v>25.2</v>
      </c>
      <c r="E31" s="64">
        <v>2.29</v>
      </c>
      <c r="F31" s="64">
        <v>4.9000000000000004</v>
      </c>
      <c r="G31" s="64">
        <v>64.61</v>
      </c>
      <c r="H31" s="64">
        <v>28.51</v>
      </c>
      <c r="I31" s="64">
        <v>1.5</v>
      </c>
      <c r="J31" s="64">
        <v>0.28999999999999998</v>
      </c>
      <c r="K31" s="64">
        <v>338.08</v>
      </c>
      <c r="L31" s="64">
        <v>16.47</v>
      </c>
      <c r="M31" s="64">
        <v>74.69</v>
      </c>
      <c r="N31" s="64">
        <v>37</v>
      </c>
      <c r="O31" s="64">
        <v>0</v>
      </c>
      <c r="P31" s="64">
        <v>0.92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5" t="s">
        <v>1809</v>
      </c>
      <c r="B32" s="64">
        <v>6.76</v>
      </c>
      <c r="C32" s="64">
        <v>36.020000000000003</v>
      </c>
      <c r="D32" s="64">
        <v>25.95</v>
      </c>
      <c r="E32" s="64">
        <v>2.33</v>
      </c>
      <c r="F32" s="64">
        <v>3.89</v>
      </c>
      <c r="G32" s="64">
        <v>64.61</v>
      </c>
      <c r="H32" s="64">
        <v>28.51</v>
      </c>
      <c r="I32" s="64">
        <v>1.51</v>
      </c>
      <c r="J32" s="64">
        <v>0.12</v>
      </c>
      <c r="K32" s="64">
        <v>5.1100000000000003</v>
      </c>
      <c r="L32" s="64">
        <v>16.37</v>
      </c>
      <c r="M32" s="64">
        <v>75.39</v>
      </c>
      <c r="N32" s="64">
        <v>37.6</v>
      </c>
      <c r="O32" s="64">
        <v>0</v>
      </c>
      <c r="P32" s="64">
        <v>0.91</v>
      </c>
      <c r="Q32" s="64">
        <v>5.0599999999999996</v>
      </c>
      <c r="R32" s="198"/>
      <c r="S32" s="198"/>
      <c r="T32" s="198"/>
      <c r="U32" s="198"/>
    </row>
    <row r="33" spans="1:21" s="12" customFormat="1" x14ac:dyDescent="0.25">
      <c r="A33" s="215" t="s">
        <v>1810</v>
      </c>
      <c r="B33" s="64">
        <v>7</v>
      </c>
      <c r="C33" s="64">
        <v>36.700000000000003</v>
      </c>
      <c r="D33" s="64">
        <v>26.52</v>
      </c>
      <c r="E33" s="64">
        <v>2.2799999999999998</v>
      </c>
      <c r="F33" s="64">
        <v>3.65</v>
      </c>
      <c r="G33" s="64">
        <v>61.67</v>
      </c>
      <c r="H33" s="64">
        <v>26.01</v>
      </c>
      <c r="I33" s="64">
        <v>1.47</v>
      </c>
      <c r="J33" s="64">
        <v>0.12</v>
      </c>
      <c r="K33" s="64">
        <v>69.92</v>
      </c>
      <c r="L33" s="64">
        <v>16.29</v>
      </c>
      <c r="M33" s="64">
        <v>76.12</v>
      </c>
      <c r="N33" s="64">
        <v>40.799999999999997</v>
      </c>
      <c r="O33" s="64">
        <v>0</v>
      </c>
      <c r="P33" s="64">
        <v>0.91</v>
      </c>
      <c r="Q33" s="64">
        <v>4.88</v>
      </c>
      <c r="R33" s="198"/>
      <c r="S33" s="198"/>
      <c r="T33" s="198"/>
      <c r="U33" s="198"/>
    </row>
    <row r="34" spans="1:21" s="12" customFormat="1" x14ac:dyDescent="0.25">
      <c r="A34" s="215" t="s">
        <v>1811</v>
      </c>
      <c r="B34" s="64">
        <v>7.2</v>
      </c>
      <c r="C34" s="64">
        <v>36.26</v>
      </c>
      <c r="D34" s="64">
        <v>26.44</v>
      </c>
      <c r="E34" s="64">
        <v>2.29</v>
      </c>
      <c r="F34" s="64">
        <v>3.36</v>
      </c>
      <c r="G34" s="64">
        <v>59.71</v>
      </c>
      <c r="H34" s="64">
        <v>25.4</v>
      </c>
      <c r="I34" s="64">
        <v>1.47</v>
      </c>
      <c r="J34" s="64">
        <v>0.1</v>
      </c>
      <c r="K34" s="64">
        <v>316.8</v>
      </c>
      <c r="L34" s="64">
        <v>16.25</v>
      </c>
      <c r="M34" s="64">
        <v>76.680000000000007</v>
      </c>
      <c r="N34" s="64">
        <v>53.5</v>
      </c>
      <c r="O34" s="64">
        <v>0</v>
      </c>
      <c r="P34" s="64">
        <v>0.9</v>
      </c>
      <c r="Q34" s="64">
        <v>4.83</v>
      </c>
      <c r="R34" s="198"/>
      <c r="S34" s="198"/>
      <c r="T34" s="198"/>
      <c r="U34" s="198"/>
    </row>
    <row r="35" spans="1:21" s="12" customFormat="1" x14ac:dyDescent="0.25">
      <c r="A35" s="215" t="s">
        <v>1812</v>
      </c>
      <c r="B35" s="64">
        <v>7.61</v>
      </c>
      <c r="C35" s="64">
        <v>35.83</v>
      </c>
      <c r="D35" s="64">
        <v>26.52</v>
      </c>
      <c r="E35" s="64">
        <v>2.29</v>
      </c>
      <c r="F35" s="64">
        <v>3.34</v>
      </c>
      <c r="G35" s="64">
        <v>59.71</v>
      </c>
      <c r="H35" s="64">
        <v>25.4</v>
      </c>
      <c r="I35" s="64">
        <v>1.5</v>
      </c>
      <c r="J35" s="64">
        <v>0.14000000000000001</v>
      </c>
      <c r="K35" s="64">
        <v>319.92</v>
      </c>
      <c r="L35" s="64">
        <v>16.57</v>
      </c>
      <c r="M35" s="64">
        <v>75.91</v>
      </c>
      <c r="N35" s="64">
        <v>70.099999999999994</v>
      </c>
      <c r="O35" s="64">
        <v>0</v>
      </c>
      <c r="P35" s="64">
        <v>0.89</v>
      </c>
      <c r="Q35" s="64">
        <v>4.88</v>
      </c>
      <c r="R35" s="198"/>
      <c r="S35" s="198"/>
      <c r="T35" s="198"/>
      <c r="U35" s="198"/>
    </row>
    <row r="36" spans="1:21" s="12" customFormat="1" x14ac:dyDescent="0.25">
      <c r="A36" s="215" t="s">
        <v>1813</v>
      </c>
      <c r="B36" s="64">
        <v>8.2799999999999994</v>
      </c>
      <c r="C36" s="64">
        <v>36.79</v>
      </c>
      <c r="D36" s="64">
        <v>27.59</v>
      </c>
      <c r="E36" s="64">
        <v>2.2599999999999998</v>
      </c>
      <c r="F36" s="64">
        <v>3.19</v>
      </c>
      <c r="G36" s="64">
        <v>59.71</v>
      </c>
      <c r="H36" s="64">
        <v>25.4</v>
      </c>
      <c r="I36" s="64">
        <v>1.55</v>
      </c>
      <c r="J36" s="64">
        <v>0.11</v>
      </c>
      <c r="K36" s="64">
        <v>353.98</v>
      </c>
      <c r="L36" s="64">
        <v>16.940000000000001</v>
      </c>
      <c r="M36" s="64">
        <v>75.11</v>
      </c>
      <c r="N36" s="64">
        <v>86.2</v>
      </c>
      <c r="O36" s="64">
        <v>0</v>
      </c>
      <c r="P36" s="64">
        <v>0.9</v>
      </c>
      <c r="Q36" s="64">
        <v>4.8099999999999996</v>
      </c>
      <c r="R36" s="198"/>
      <c r="S36" s="198"/>
      <c r="T36" s="198"/>
      <c r="U36" s="198"/>
    </row>
    <row r="37" spans="1:21" s="12" customFormat="1" x14ac:dyDescent="0.25">
      <c r="A37" s="215" t="s">
        <v>1814</v>
      </c>
      <c r="B37" s="64">
        <v>8.83</v>
      </c>
      <c r="C37" s="64">
        <v>36.94</v>
      </c>
      <c r="D37" s="64">
        <v>28.11</v>
      </c>
      <c r="E37" s="64">
        <v>2.25</v>
      </c>
      <c r="F37" s="64">
        <v>3.18</v>
      </c>
      <c r="G37" s="64">
        <v>61.62</v>
      </c>
      <c r="H37" s="64">
        <v>26.5</v>
      </c>
      <c r="I37" s="64">
        <v>1.53</v>
      </c>
      <c r="J37" s="64">
        <v>0.37</v>
      </c>
      <c r="K37" s="64">
        <v>337.45</v>
      </c>
      <c r="L37" s="64">
        <v>17.59</v>
      </c>
      <c r="M37" s="64">
        <v>72.459999999999994</v>
      </c>
      <c r="N37" s="64">
        <v>126.1</v>
      </c>
      <c r="O37" s="64">
        <v>0</v>
      </c>
      <c r="P37" s="64">
        <v>0.88</v>
      </c>
      <c r="Q37" s="64">
        <v>4.87</v>
      </c>
      <c r="R37" s="198"/>
      <c r="S37" s="198"/>
      <c r="T37" s="198"/>
      <c r="U37" s="198"/>
    </row>
    <row r="38" spans="1:21" s="12" customFormat="1" x14ac:dyDescent="0.25">
      <c r="A38" s="215" t="s">
        <v>1815</v>
      </c>
      <c r="B38" s="64">
        <v>9.3699999999999992</v>
      </c>
      <c r="C38" s="64">
        <v>37.24</v>
      </c>
      <c r="D38" s="64">
        <v>28.71</v>
      </c>
      <c r="E38" s="64">
        <v>2.2000000000000002</v>
      </c>
      <c r="F38" s="64">
        <v>3.23</v>
      </c>
      <c r="G38" s="64">
        <v>62.89</v>
      </c>
      <c r="H38" s="64">
        <v>26.77</v>
      </c>
      <c r="I38" s="64">
        <v>1.51</v>
      </c>
      <c r="J38" s="64">
        <v>0.67</v>
      </c>
      <c r="K38" s="64">
        <v>340.16</v>
      </c>
      <c r="L38" s="64">
        <v>19.18</v>
      </c>
      <c r="M38" s="64">
        <v>65.31</v>
      </c>
      <c r="N38" s="64">
        <v>228.9</v>
      </c>
      <c r="O38" s="64">
        <v>0</v>
      </c>
      <c r="P38" s="64">
        <v>0.91</v>
      </c>
      <c r="Q38" s="64">
        <v>4.9400000000000004</v>
      </c>
      <c r="R38" s="198"/>
      <c r="S38" s="198"/>
      <c r="T38" s="198"/>
      <c r="U38" s="198"/>
    </row>
    <row r="39" spans="1:21" s="12" customFormat="1" x14ac:dyDescent="0.25">
      <c r="A39" s="215" t="s">
        <v>1816</v>
      </c>
      <c r="B39" s="64">
        <v>9.5299999999999994</v>
      </c>
      <c r="C39" s="64">
        <v>37.03</v>
      </c>
      <c r="D39" s="64">
        <v>28.73</v>
      </c>
      <c r="E39" s="64">
        <v>2.2400000000000002</v>
      </c>
      <c r="F39" s="64">
        <v>3.3</v>
      </c>
      <c r="G39" s="64">
        <v>62.89</v>
      </c>
      <c r="H39" s="64">
        <v>26.77</v>
      </c>
      <c r="I39" s="64">
        <v>1.49</v>
      </c>
      <c r="J39" s="64">
        <v>0.91</v>
      </c>
      <c r="K39" s="64">
        <v>342.82</v>
      </c>
      <c r="L39" s="64">
        <v>21.61</v>
      </c>
      <c r="M39" s="64">
        <v>56.56</v>
      </c>
      <c r="N39" s="64">
        <v>276.89999999999998</v>
      </c>
      <c r="O39" s="64">
        <v>0</v>
      </c>
      <c r="P39" s="64">
        <v>0.9</v>
      </c>
      <c r="Q39" s="64">
        <v>4.95</v>
      </c>
      <c r="R39" s="198"/>
      <c r="S39" s="198"/>
      <c r="T39" s="198"/>
      <c r="U39" s="198"/>
    </row>
    <row r="40" spans="1:21" s="12" customFormat="1" x14ac:dyDescent="0.25">
      <c r="A40" s="215" t="s">
        <v>1817</v>
      </c>
      <c r="B40" s="64">
        <v>9.5399999999999991</v>
      </c>
      <c r="C40" s="64">
        <v>37.71</v>
      </c>
      <c r="D40" s="64">
        <v>29.11</v>
      </c>
      <c r="E40" s="64">
        <v>2.15</v>
      </c>
      <c r="F40" s="64">
        <v>3.47</v>
      </c>
      <c r="G40" s="64">
        <v>62.89</v>
      </c>
      <c r="H40" s="64">
        <v>26.77</v>
      </c>
      <c r="I40" s="64">
        <v>1.51</v>
      </c>
      <c r="J40" s="64">
        <v>0.7</v>
      </c>
      <c r="K40" s="64">
        <v>338.76</v>
      </c>
      <c r="L40" s="64">
        <v>22.85</v>
      </c>
      <c r="M40" s="64">
        <v>52.28</v>
      </c>
      <c r="N40" s="64">
        <v>327.9</v>
      </c>
      <c r="O40" s="64">
        <v>0</v>
      </c>
      <c r="P40" s="64">
        <v>0.91</v>
      </c>
      <c r="Q40" s="64">
        <v>4.9400000000000004</v>
      </c>
      <c r="R40" s="198"/>
      <c r="S40" s="198"/>
      <c r="T40" s="198"/>
      <c r="U40" s="198"/>
    </row>
    <row r="41" spans="1:21" s="12" customFormat="1" x14ac:dyDescent="0.25">
      <c r="A41" s="215" t="s">
        <v>1818</v>
      </c>
      <c r="B41" s="64">
        <v>9.5299999999999994</v>
      </c>
      <c r="C41" s="64">
        <v>37.93</v>
      </c>
      <c r="D41" s="64">
        <v>29.22</v>
      </c>
      <c r="E41" s="64">
        <v>2.2599999999999998</v>
      </c>
      <c r="F41" s="64">
        <v>3.32</v>
      </c>
      <c r="G41" s="64">
        <v>62.77</v>
      </c>
      <c r="H41" s="64">
        <v>26.47</v>
      </c>
      <c r="I41" s="64">
        <v>1.48</v>
      </c>
      <c r="J41" s="64">
        <v>0.25</v>
      </c>
      <c r="K41" s="64">
        <v>354.8</v>
      </c>
      <c r="L41" s="64">
        <v>23.83</v>
      </c>
      <c r="M41" s="64">
        <v>50.08</v>
      </c>
      <c r="N41" s="64">
        <v>376.3</v>
      </c>
      <c r="O41" s="64">
        <v>0</v>
      </c>
      <c r="P41" s="64">
        <v>0.9</v>
      </c>
      <c r="Q41" s="64">
        <v>4.97</v>
      </c>
      <c r="R41" s="198"/>
      <c r="S41" s="198"/>
      <c r="T41" s="198"/>
      <c r="U41" s="198"/>
    </row>
    <row r="42" spans="1:21" s="12" customFormat="1" x14ac:dyDescent="0.25">
      <c r="A42" s="215" t="s">
        <v>1819</v>
      </c>
      <c r="B42" s="64">
        <v>10.14</v>
      </c>
      <c r="C42" s="64">
        <v>39.57</v>
      </c>
      <c r="D42" s="64">
        <v>30.61</v>
      </c>
      <c r="E42" s="64">
        <v>2.27</v>
      </c>
      <c r="F42" s="64">
        <v>3.52</v>
      </c>
      <c r="G42" s="64">
        <v>62.69</v>
      </c>
      <c r="H42" s="64">
        <v>26.4</v>
      </c>
      <c r="I42" s="64">
        <v>1.47</v>
      </c>
      <c r="J42" s="64">
        <v>0.23</v>
      </c>
      <c r="K42" s="64">
        <v>90.88</v>
      </c>
      <c r="L42" s="64">
        <v>23.19</v>
      </c>
      <c r="M42" s="64">
        <v>52.56</v>
      </c>
      <c r="N42" s="64">
        <v>427.8</v>
      </c>
      <c r="O42" s="64">
        <v>0</v>
      </c>
      <c r="P42" s="64">
        <v>0.91</v>
      </c>
      <c r="Q42" s="64">
        <v>4.99</v>
      </c>
      <c r="R42" s="198"/>
      <c r="S42" s="198"/>
      <c r="T42" s="198"/>
      <c r="U42" s="198"/>
    </row>
    <row r="43" spans="1:21" s="12" customFormat="1" x14ac:dyDescent="0.25">
      <c r="A43" s="215" t="s">
        <v>1820</v>
      </c>
      <c r="B43" s="64">
        <v>10.029999999999999</v>
      </c>
      <c r="C43" s="64">
        <v>40.18</v>
      </c>
      <c r="D43" s="64">
        <v>30.86</v>
      </c>
      <c r="E43" s="64">
        <v>2.25</v>
      </c>
      <c r="F43" s="64">
        <v>3.63</v>
      </c>
      <c r="G43" s="64">
        <v>62.69</v>
      </c>
      <c r="H43" s="64">
        <v>26.4</v>
      </c>
      <c r="I43" s="64">
        <v>1.48</v>
      </c>
      <c r="J43" s="64">
        <v>0.84</v>
      </c>
      <c r="K43" s="64">
        <v>110.73</v>
      </c>
      <c r="L43" s="64">
        <v>21.88</v>
      </c>
      <c r="M43" s="64">
        <v>57.81</v>
      </c>
      <c r="N43" s="64">
        <v>486.2</v>
      </c>
      <c r="O43" s="64">
        <v>0</v>
      </c>
      <c r="P43" s="64">
        <v>0.91</v>
      </c>
      <c r="Q43" s="64">
        <v>5.04</v>
      </c>
      <c r="R43" s="198"/>
      <c r="S43" s="198"/>
      <c r="T43" s="198"/>
      <c r="U43" s="198"/>
    </row>
    <row r="44" spans="1:21" s="12" customFormat="1" x14ac:dyDescent="0.25">
      <c r="A44" s="215" t="s">
        <v>1821</v>
      </c>
      <c r="B44" s="64">
        <v>9.69</v>
      </c>
      <c r="C44" s="64">
        <v>39.22</v>
      </c>
      <c r="D44" s="64">
        <v>30.07</v>
      </c>
      <c r="E44" s="64">
        <v>2.2599999999999998</v>
      </c>
      <c r="F44" s="64">
        <v>3.61</v>
      </c>
      <c r="G44" s="64">
        <v>62.69</v>
      </c>
      <c r="H44" s="64">
        <v>26.4</v>
      </c>
      <c r="I44" s="64">
        <v>1.5</v>
      </c>
      <c r="J44" s="64">
        <v>0.34</v>
      </c>
      <c r="K44" s="64">
        <v>355.59</v>
      </c>
      <c r="L44" s="64">
        <v>23.4</v>
      </c>
      <c r="M44" s="64">
        <v>53.24</v>
      </c>
      <c r="N44" s="64">
        <v>529.29999999999995</v>
      </c>
      <c r="O44" s="64">
        <v>0</v>
      </c>
      <c r="P44" s="64">
        <v>0.9</v>
      </c>
      <c r="Q44" s="64">
        <v>5.07</v>
      </c>
      <c r="R44" s="198"/>
      <c r="S44" s="198"/>
      <c r="T44" s="198"/>
      <c r="U44" s="198"/>
    </row>
    <row r="45" spans="1:21" s="12" customFormat="1" x14ac:dyDescent="0.25">
      <c r="A45" s="215" t="s">
        <v>1822</v>
      </c>
      <c r="B45" s="64">
        <v>9.5500000000000007</v>
      </c>
      <c r="C45" s="64">
        <v>39.53</v>
      </c>
      <c r="D45" s="64">
        <v>30.12</v>
      </c>
      <c r="E45" s="64">
        <v>2.31</v>
      </c>
      <c r="F45" s="64">
        <v>4.4000000000000004</v>
      </c>
      <c r="G45" s="64">
        <v>63.83</v>
      </c>
      <c r="H45" s="64">
        <v>28.15</v>
      </c>
      <c r="I45" s="64">
        <v>1.44</v>
      </c>
      <c r="J45" s="64">
        <v>0.31</v>
      </c>
      <c r="K45" s="64">
        <v>65.790000000000006</v>
      </c>
      <c r="L45" s="64">
        <v>25.59</v>
      </c>
      <c r="M45" s="64">
        <v>48.01</v>
      </c>
      <c r="N45" s="64">
        <v>561.4</v>
      </c>
      <c r="O45" s="64">
        <v>0</v>
      </c>
      <c r="P45" s="64">
        <v>0.91</v>
      </c>
      <c r="Q45" s="64">
        <v>5.0999999999999996</v>
      </c>
      <c r="R45" s="198"/>
      <c r="S45" s="198"/>
      <c r="T45" s="198"/>
      <c r="U45" s="198"/>
    </row>
    <row r="46" spans="1:21" s="12" customFormat="1" x14ac:dyDescent="0.25">
      <c r="A46" s="215" t="s">
        <v>1823</v>
      </c>
      <c r="B46" s="64">
        <v>9.15</v>
      </c>
      <c r="C46" s="64">
        <v>37.659999999999997</v>
      </c>
      <c r="D46" s="64">
        <v>28.77</v>
      </c>
      <c r="E46" s="64">
        <v>2.2599999999999998</v>
      </c>
      <c r="F46" s="64">
        <v>3.82</v>
      </c>
      <c r="G46" s="64">
        <v>64.59</v>
      </c>
      <c r="H46" s="64">
        <v>28.89</v>
      </c>
      <c r="I46" s="64">
        <v>1.48</v>
      </c>
      <c r="J46" s="64">
        <v>1.1499999999999999</v>
      </c>
      <c r="K46" s="64">
        <v>115.27</v>
      </c>
      <c r="L46" s="64">
        <v>23.09</v>
      </c>
      <c r="M46" s="64">
        <v>56.21</v>
      </c>
      <c r="N46" s="64">
        <v>596.9</v>
      </c>
      <c r="O46" s="64">
        <v>0</v>
      </c>
      <c r="P46" s="64">
        <v>0.9</v>
      </c>
      <c r="Q46" s="64">
        <v>5.13</v>
      </c>
      <c r="R46" s="198"/>
      <c r="S46" s="198"/>
      <c r="T46" s="198"/>
      <c r="U46" s="198"/>
    </row>
    <row r="47" spans="1:21" s="12" customFormat="1" x14ac:dyDescent="0.25">
      <c r="A47" s="215" t="s">
        <v>1824</v>
      </c>
      <c r="B47" s="64">
        <v>8.41</v>
      </c>
      <c r="C47" s="64">
        <v>36.409999999999997</v>
      </c>
      <c r="D47" s="64">
        <v>27.48</v>
      </c>
      <c r="E47" s="64">
        <v>2.2599999999999998</v>
      </c>
      <c r="F47" s="64">
        <v>3.85</v>
      </c>
      <c r="G47" s="64">
        <v>64.59</v>
      </c>
      <c r="H47" s="64">
        <v>28.89</v>
      </c>
      <c r="I47" s="64">
        <v>1.55</v>
      </c>
      <c r="J47" s="64">
        <v>0.94</v>
      </c>
      <c r="K47" s="64">
        <v>111.97</v>
      </c>
      <c r="L47" s="64">
        <v>23.53</v>
      </c>
      <c r="M47" s="64">
        <v>55.11</v>
      </c>
      <c r="N47" s="64">
        <v>630.6</v>
      </c>
      <c r="O47" s="64">
        <v>0</v>
      </c>
      <c r="P47" s="64">
        <v>0.89</v>
      </c>
      <c r="Q47" s="64">
        <v>5.05</v>
      </c>
      <c r="R47" s="198"/>
      <c r="S47" s="198"/>
      <c r="T47" s="198"/>
      <c r="U47" s="198"/>
    </row>
    <row r="48" spans="1:21" s="12" customFormat="1" x14ac:dyDescent="0.25">
      <c r="A48" s="215" t="s">
        <v>1825</v>
      </c>
      <c r="B48" s="64">
        <v>7.6</v>
      </c>
      <c r="C48" s="64">
        <v>36.99</v>
      </c>
      <c r="D48" s="64">
        <v>27.15</v>
      </c>
      <c r="E48" s="64">
        <v>2.25</v>
      </c>
      <c r="F48" s="64">
        <v>4.05</v>
      </c>
      <c r="G48" s="64">
        <v>64.59</v>
      </c>
      <c r="H48" s="64">
        <v>28.89</v>
      </c>
      <c r="I48" s="64">
        <v>1.54</v>
      </c>
      <c r="J48" s="64">
        <v>0.52</v>
      </c>
      <c r="K48" s="64">
        <v>102.3</v>
      </c>
      <c r="L48" s="64">
        <v>24.51</v>
      </c>
      <c r="M48" s="64">
        <v>53.31</v>
      </c>
      <c r="N48" s="64">
        <v>656.8</v>
      </c>
      <c r="O48" s="64">
        <v>0</v>
      </c>
      <c r="P48" s="64">
        <v>0.88</v>
      </c>
      <c r="Q48" s="64">
        <v>4.97</v>
      </c>
      <c r="R48" s="198"/>
      <c r="S48" s="198"/>
      <c r="T48" s="198"/>
      <c r="U48" s="198"/>
    </row>
    <row r="49" spans="1:21" s="12" customFormat="1" x14ac:dyDescent="0.25">
      <c r="A49" s="215" t="s">
        <v>1826</v>
      </c>
      <c r="B49" s="64">
        <v>6.85</v>
      </c>
      <c r="C49" s="64">
        <v>37.85</v>
      </c>
      <c r="D49" s="64">
        <v>27.03</v>
      </c>
      <c r="E49" s="64">
        <v>2.29</v>
      </c>
      <c r="F49" s="64">
        <v>3.85</v>
      </c>
      <c r="G49" s="64">
        <v>62.84</v>
      </c>
      <c r="H49" s="64">
        <v>25.67</v>
      </c>
      <c r="I49" s="64">
        <v>1.52</v>
      </c>
      <c r="J49" s="64">
        <v>1.01</v>
      </c>
      <c r="K49" s="64">
        <v>114.58</v>
      </c>
      <c r="L49" s="64">
        <v>24.59</v>
      </c>
      <c r="M49" s="64">
        <v>52.87</v>
      </c>
      <c r="N49" s="64">
        <v>698.8</v>
      </c>
      <c r="O49" s="64">
        <v>0</v>
      </c>
      <c r="P49" s="64">
        <v>0.87</v>
      </c>
      <c r="Q49" s="64">
        <v>4.8600000000000003</v>
      </c>
      <c r="R49" s="198"/>
      <c r="S49" s="198"/>
      <c r="T49" s="198"/>
      <c r="U49" s="198"/>
    </row>
    <row r="50" spans="1:21" s="12" customFormat="1" x14ac:dyDescent="0.25">
      <c r="A50" s="215" t="s">
        <v>1827</v>
      </c>
      <c r="B50" s="64">
        <v>6.15</v>
      </c>
      <c r="C50" s="64">
        <v>38.1</v>
      </c>
      <c r="D50" s="64">
        <v>26.61</v>
      </c>
      <c r="E50" s="64">
        <v>2.25</v>
      </c>
      <c r="F50" s="64">
        <v>4.57</v>
      </c>
      <c r="G50" s="64">
        <v>61.67</v>
      </c>
      <c r="H50" s="64">
        <v>24.9</v>
      </c>
      <c r="I50" s="64">
        <v>1.57</v>
      </c>
      <c r="J50" s="64">
        <v>0.24</v>
      </c>
      <c r="K50" s="64">
        <v>78.34</v>
      </c>
      <c r="L50" s="64">
        <v>26.21</v>
      </c>
      <c r="M50" s="64">
        <v>48.42</v>
      </c>
      <c r="N50" s="64">
        <v>709.7</v>
      </c>
      <c r="O50" s="64">
        <v>0</v>
      </c>
      <c r="P50" s="64">
        <v>0.87</v>
      </c>
      <c r="Q50" s="64">
        <v>4.8499999999999996</v>
      </c>
      <c r="R50" s="198"/>
      <c r="S50" s="198"/>
      <c r="T50" s="198"/>
      <c r="U50" s="198"/>
    </row>
    <row r="51" spans="1:21" s="12" customFormat="1" x14ac:dyDescent="0.25">
      <c r="A51" s="215" t="s">
        <v>1828</v>
      </c>
      <c r="B51" s="64">
        <v>5.5</v>
      </c>
      <c r="C51" s="64">
        <v>36.74</v>
      </c>
      <c r="D51" s="64">
        <v>25.33</v>
      </c>
      <c r="E51" s="64">
        <v>2.2999999999999998</v>
      </c>
      <c r="F51" s="64">
        <v>4.7</v>
      </c>
      <c r="G51" s="64">
        <v>61.67</v>
      </c>
      <c r="H51" s="64">
        <v>24.9</v>
      </c>
      <c r="I51" s="64">
        <v>1.53</v>
      </c>
      <c r="J51" s="64">
        <v>0.41</v>
      </c>
      <c r="K51" s="64">
        <v>98.67</v>
      </c>
      <c r="L51" s="64">
        <v>26.92</v>
      </c>
      <c r="M51" s="64">
        <v>45.27</v>
      </c>
      <c r="N51" s="64">
        <v>729.3</v>
      </c>
      <c r="O51" s="64">
        <v>0</v>
      </c>
      <c r="P51" s="64">
        <v>0.87</v>
      </c>
      <c r="Q51" s="64">
        <v>5.08</v>
      </c>
      <c r="R51" s="198"/>
      <c r="S51" s="198"/>
      <c r="T51" s="198"/>
      <c r="U51" s="198"/>
    </row>
    <row r="52" spans="1:21" s="12" customFormat="1" x14ac:dyDescent="0.25">
      <c r="A52" s="215" t="s">
        <v>1829</v>
      </c>
      <c r="B52" s="64">
        <v>4.8499999999999996</v>
      </c>
      <c r="C52" s="64">
        <v>37.590000000000003</v>
      </c>
      <c r="D52" s="64">
        <v>25.27</v>
      </c>
      <c r="E52" s="64">
        <v>2.27</v>
      </c>
      <c r="F52" s="64">
        <v>4.5</v>
      </c>
      <c r="G52" s="64">
        <v>61.67</v>
      </c>
      <c r="H52" s="64">
        <v>24.9</v>
      </c>
      <c r="I52" s="64">
        <v>1.54</v>
      </c>
      <c r="J52" s="64">
        <v>2.0499999999999998</v>
      </c>
      <c r="K52" s="64">
        <v>108.99</v>
      </c>
      <c r="L52" s="64">
        <v>24.92</v>
      </c>
      <c r="M52" s="64">
        <v>46.64</v>
      </c>
      <c r="N52" s="64">
        <v>739.6</v>
      </c>
      <c r="O52" s="64">
        <v>0</v>
      </c>
      <c r="P52" s="64">
        <v>0.86</v>
      </c>
      <c r="Q52" s="64">
        <v>5.04</v>
      </c>
      <c r="R52" s="198"/>
      <c r="S52" s="198"/>
      <c r="T52" s="198"/>
      <c r="U52" s="198"/>
    </row>
    <row r="53" spans="1:21" s="12" customFormat="1" x14ac:dyDescent="0.25">
      <c r="A53" s="215" t="s">
        <v>1830</v>
      </c>
      <c r="B53" s="64">
        <v>4.1399999999999997</v>
      </c>
      <c r="C53" s="64">
        <v>35.58</v>
      </c>
      <c r="D53" s="64">
        <v>23.6</v>
      </c>
      <c r="E53" s="64">
        <v>2.2599999999999998</v>
      </c>
      <c r="F53" s="64">
        <v>6.37</v>
      </c>
      <c r="G53" s="64">
        <v>58.43</v>
      </c>
      <c r="H53" s="64">
        <v>24.87</v>
      </c>
      <c r="I53" s="64">
        <v>1.47</v>
      </c>
      <c r="J53" s="64">
        <v>0.66</v>
      </c>
      <c r="K53" s="64">
        <v>104.1</v>
      </c>
      <c r="L53" s="64">
        <v>26.03</v>
      </c>
      <c r="M53" s="64">
        <v>44.15</v>
      </c>
      <c r="N53" s="64">
        <v>741</v>
      </c>
      <c r="O53" s="64">
        <v>0</v>
      </c>
      <c r="P53" s="64">
        <v>0.85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5" t="s">
        <v>1831</v>
      </c>
      <c r="B54" s="64">
        <v>3.69</v>
      </c>
      <c r="C54" s="64">
        <v>36.07</v>
      </c>
      <c r="D54" s="64">
        <v>23.52</v>
      </c>
      <c r="E54" s="64">
        <v>2.37</v>
      </c>
      <c r="F54" s="64">
        <v>6.7</v>
      </c>
      <c r="G54" s="64">
        <v>56.26</v>
      </c>
      <c r="H54" s="64">
        <v>24.87</v>
      </c>
      <c r="I54" s="64">
        <v>1.45</v>
      </c>
      <c r="J54" s="64">
        <v>1.69</v>
      </c>
      <c r="K54" s="64">
        <v>117.19</v>
      </c>
      <c r="L54" s="64">
        <v>25.52</v>
      </c>
      <c r="M54" s="64">
        <v>45.66</v>
      </c>
      <c r="N54" s="64">
        <v>762.9</v>
      </c>
      <c r="O54" s="64">
        <v>0</v>
      </c>
      <c r="P54" s="64">
        <v>0.83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5" t="s">
        <v>1832</v>
      </c>
      <c r="B55" s="64">
        <v>3.36</v>
      </c>
      <c r="C55" s="64">
        <v>36.04</v>
      </c>
      <c r="D55" s="64">
        <v>23.23</v>
      </c>
      <c r="E55" s="64">
        <v>2.36</v>
      </c>
      <c r="F55" s="64">
        <v>6.27</v>
      </c>
      <c r="G55" s="64">
        <v>56.26</v>
      </c>
      <c r="H55" s="64">
        <v>24.87</v>
      </c>
      <c r="I55" s="64">
        <v>1.53</v>
      </c>
      <c r="J55" s="64">
        <v>0.76</v>
      </c>
      <c r="K55" s="64">
        <v>104.02</v>
      </c>
      <c r="L55" s="64">
        <v>26.53</v>
      </c>
      <c r="M55" s="64">
        <v>43.01</v>
      </c>
      <c r="N55" s="64">
        <v>736.9</v>
      </c>
      <c r="O55" s="64">
        <v>0</v>
      </c>
      <c r="P55" s="64">
        <v>0.82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1833</v>
      </c>
      <c r="B56" s="64">
        <v>3.15</v>
      </c>
      <c r="C56" s="64">
        <v>36.04</v>
      </c>
      <c r="D56" s="64">
        <v>23.06</v>
      </c>
      <c r="E56" s="64">
        <v>2.27</v>
      </c>
      <c r="F56" s="64">
        <v>6.01</v>
      </c>
      <c r="G56" s="64">
        <v>56.26</v>
      </c>
      <c r="H56" s="64">
        <v>24.87</v>
      </c>
      <c r="I56" s="64">
        <v>1.5</v>
      </c>
      <c r="J56" s="64">
        <v>1.08</v>
      </c>
      <c r="K56" s="64">
        <v>108.97</v>
      </c>
      <c r="L56" s="64">
        <v>26.11</v>
      </c>
      <c r="M56" s="64">
        <v>43.87</v>
      </c>
      <c r="N56" s="64">
        <v>744.8</v>
      </c>
      <c r="O56" s="64">
        <v>0</v>
      </c>
      <c r="P56" s="64">
        <v>0.8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1834</v>
      </c>
      <c r="B57" s="64">
        <v>3.03</v>
      </c>
      <c r="C57" s="64">
        <v>36.450000000000003</v>
      </c>
      <c r="D57" s="64">
        <v>23.19</v>
      </c>
      <c r="E57" s="64">
        <v>2.44</v>
      </c>
      <c r="F57" s="64">
        <v>6.17</v>
      </c>
      <c r="G57" s="64">
        <v>54.96</v>
      </c>
      <c r="H57" s="64">
        <v>24.42</v>
      </c>
      <c r="I57" s="64">
        <v>1.53</v>
      </c>
      <c r="J57" s="64">
        <v>0.48</v>
      </c>
      <c r="K57" s="64">
        <v>95.99</v>
      </c>
      <c r="L57" s="64">
        <v>27.33</v>
      </c>
      <c r="M57" s="64">
        <v>41.5</v>
      </c>
      <c r="N57" s="64">
        <v>714.6</v>
      </c>
      <c r="O57" s="64">
        <v>0</v>
      </c>
      <c r="P57" s="64">
        <v>0.79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1835</v>
      </c>
      <c r="B58" s="64">
        <v>2.86</v>
      </c>
      <c r="C58" s="64">
        <v>33.6</v>
      </c>
      <c r="D58" s="64">
        <v>21.49</v>
      </c>
      <c r="E58" s="64">
        <v>2.42</v>
      </c>
      <c r="F58" s="64">
        <v>7.46</v>
      </c>
      <c r="G58" s="64">
        <v>54.09</v>
      </c>
      <c r="H58" s="64">
        <v>24.31</v>
      </c>
      <c r="I58" s="64">
        <v>1.52</v>
      </c>
      <c r="J58" s="64">
        <v>0.23</v>
      </c>
      <c r="K58" s="64">
        <v>2.82</v>
      </c>
      <c r="L58" s="64">
        <v>28.67</v>
      </c>
      <c r="M58" s="64">
        <v>40.5</v>
      </c>
      <c r="N58" s="64">
        <v>730.3</v>
      </c>
      <c r="O58" s="64">
        <v>0</v>
      </c>
      <c r="P58" s="64">
        <v>0.78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1836</v>
      </c>
      <c r="B59" s="64">
        <v>2.74</v>
      </c>
      <c r="C59" s="64">
        <v>30.59</v>
      </c>
      <c r="D59" s="64">
        <v>19.73</v>
      </c>
      <c r="E59" s="64">
        <v>2.46</v>
      </c>
      <c r="F59" s="64">
        <v>8.4700000000000006</v>
      </c>
      <c r="G59" s="64">
        <v>54.09</v>
      </c>
      <c r="H59" s="64">
        <v>24.31</v>
      </c>
      <c r="I59" s="64">
        <v>1.57</v>
      </c>
      <c r="J59" s="64">
        <v>0.34</v>
      </c>
      <c r="K59" s="64">
        <v>6.6</v>
      </c>
      <c r="L59" s="64">
        <v>29.11</v>
      </c>
      <c r="M59" s="64">
        <v>39.81</v>
      </c>
      <c r="N59" s="64">
        <v>719.9</v>
      </c>
      <c r="O59" s="64">
        <v>0</v>
      </c>
      <c r="P59" s="64">
        <v>0.78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1837</v>
      </c>
      <c r="B60" s="64">
        <v>2.7</v>
      </c>
      <c r="C60" s="64">
        <v>35.799999999999997</v>
      </c>
      <c r="D60" s="64">
        <v>22.57</v>
      </c>
      <c r="E60" s="64">
        <v>2.48</v>
      </c>
      <c r="F60" s="64">
        <v>6.93</v>
      </c>
      <c r="G60" s="64">
        <v>54.09</v>
      </c>
      <c r="H60" s="64">
        <v>24.31</v>
      </c>
      <c r="I60" s="64">
        <v>1.51</v>
      </c>
      <c r="J60" s="64">
        <v>0.34</v>
      </c>
      <c r="K60" s="64">
        <v>25.87</v>
      </c>
      <c r="L60" s="64">
        <v>30.11</v>
      </c>
      <c r="M60" s="64">
        <v>36.18</v>
      </c>
      <c r="N60" s="64">
        <v>643.5</v>
      </c>
      <c r="O60" s="64">
        <v>0</v>
      </c>
      <c r="P60" s="64">
        <v>0.78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1838</v>
      </c>
      <c r="B61" s="64">
        <v>2.65</v>
      </c>
      <c r="C61" s="64">
        <v>33.200000000000003</v>
      </c>
      <c r="D61" s="64">
        <v>21.09</v>
      </c>
      <c r="E61" s="64">
        <v>2.46</v>
      </c>
      <c r="F61" s="64">
        <v>10.62</v>
      </c>
      <c r="G61" s="64">
        <v>47.66</v>
      </c>
      <c r="H61" s="64">
        <v>24.12</v>
      </c>
      <c r="I61" s="64">
        <v>1.5</v>
      </c>
      <c r="J61" s="64">
        <v>1.01</v>
      </c>
      <c r="K61" s="64">
        <v>334.57</v>
      </c>
      <c r="L61" s="64">
        <v>29.66</v>
      </c>
      <c r="M61" s="64">
        <v>37.15</v>
      </c>
      <c r="N61" s="64">
        <v>647.29999999999995</v>
      </c>
      <c r="O61" s="64">
        <v>0</v>
      </c>
      <c r="P61" s="64">
        <v>0.75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1839</v>
      </c>
      <c r="B62" s="64">
        <v>3.7</v>
      </c>
      <c r="C62" s="64">
        <v>36.03</v>
      </c>
      <c r="D62" s="64">
        <v>23.5</v>
      </c>
      <c r="E62" s="64">
        <v>2.4</v>
      </c>
      <c r="F62" s="64">
        <v>8.75</v>
      </c>
      <c r="G62" s="64">
        <v>43.38</v>
      </c>
      <c r="H62" s="64">
        <v>24.03</v>
      </c>
      <c r="I62" s="64">
        <v>1.5</v>
      </c>
      <c r="J62" s="64">
        <v>0.38</v>
      </c>
      <c r="K62" s="64">
        <v>2.31</v>
      </c>
      <c r="L62" s="64">
        <v>30.02</v>
      </c>
      <c r="M62" s="64">
        <v>34.479999999999997</v>
      </c>
      <c r="N62" s="64">
        <v>581.70000000000005</v>
      </c>
      <c r="O62" s="64">
        <v>0</v>
      </c>
      <c r="P62" s="64">
        <v>0.78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5" t="s">
        <v>1840</v>
      </c>
      <c r="B63" s="64">
        <v>3.06</v>
      </c>
      <c r="C63" s="64">
        <v>33.19</v>
      </c>
      <c r="D63" s="64">
        <v>21.42</v>
      </c>
      <c r="E63" s="64">
        <v>2.52</v>
      </c>
      <c r="F63" s="64">
        <v>6.67</v>
      </c>
      <c r="G63" s="64">
        <v>43.38</v>
      </c>
      <c r="H63" s="64">
        <v>24.03</v>
      </c>
      <c r="I63" s="64">
        <v>1.51</v>
      </c>
      <c r="J63" s="64">
        <v>1.55</v>
      </c>
      <c r="K63" s="64">
        <v>111.33</v>
      </c>
      <c r="L63" s="64">
        <v>27.02</v>
      </c>
      <c r="M63" s="64">
        <v>38.090000000000003</v>
      </c>
      <c r="N63" s="64">
        <v>405.4</v>
      </c>
      <c r="O63" s="64">
        <v>0</v>
      </c>
      <c r="P63" s="64">
        <v>0.77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1841</v>
      </c>
      <c r="B64" s="64">
        <v>3.57</v>
      </c>
      <c r="C64" s="64">
        <v>38.64</v>
      </c>
      <c r="D64" s="64">
        <v>24.83</v>
      </c>
      <c r="E64" s="64">
        <v>2.5099999999999998</v>
      </c>
      <c r="F64" s="64">
        <v>12.32</v>
      </c>
      <c r="G64" s="64">
        <v>43.38</v>
      </c>
      <c r="H64" s="64">
        <v>24.03</v>
      </c>
      <c r="I64" s="64">
        <v>1.52</v>
      </c>
      <c r="J64" s="64">
        <v>0.34</v>
      </c>
      <c r="K64" s="64">
        <v>340.83</v>
      </c>
      <c r="L64" s="64">
        <v>28.14</v>
      </c>
      <c r="M64" s="64">
        <v>35.92</v>
      </c>
      <c r="N64" s="64">
        <v>231.4</v>
      </c>
      <c r="O64" s="64">
        <v>0</v>
      </c>
      <c r="P64" s="64">
        <v>0.75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1842</v>
      </c>
      <c r="B65" s="64">
        <v>3.53</v>
      </c>
      <c r="C65" s="64">
        <v>36.9</v>
      </c>
      <c r="D65" s="64">
        <v>23.84</v>
      </c>
      <c r="E65" s="64">
        <v>2.59</v>
      </c>
      <c r="F65" s="64">
        <v>9.3000000000000007</v>
      </c>
      <c r="G65" s="64">
        <v>39.64</v>
      </c>
      <c r="H65" s="64">
        <v>18.87</v>
      </c>
      <c r="I65" s="64">
        <v>1.48</v>
      </c>
      <c r="J65" s="64">
        <v>0.89</v>
      </c>
      <c r="K65" s="64">
        <v>106.61</v>
      </c>
      <c r="L65" s="64">
        <v>27.58</v>
      </c>
      <c r="M65" s="64">
        <v>27.61</v>
      </c>
      <c r="N65" s="64">
        <v>189.2</v>
      </c>
      <c r="O65" s="64">
        <v>0</v>
      </c>
      <c r="P65" s="64">
        <v>0.72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1843</v>
      </c>
      <c r="B66" s="64">
        <v>3.2</v>
      </c>
      <c r="C66" s="64">
        <v>34.29</v>
      </c>
      <c r="D66" s="64">
        <v>22.14</v>
      </c>
      <c r="E66" s="64">
        <v>2.61</v>
      </c>
      <c r="F66" s="64">
        <v>17.87</v>
      </c>
      <c r="G66" s="64">
        <v>37.15</v>
      </c>
      <c r="H66" s="64">
        <v>17.63</v>
      </c>
      <c r="I66" s="64">
        <v>1.45</v>
      </c>
      <c r="J66" s="64">
        <v>0.38</v>
      </c>
      <c r="K66" s="64">
        <v>355.38</v>
      </c>
      <c r="L66" s="64">
        <v>27.53</v>
      </c>
      <c r="M66" s="64">
        <v>31.03</v>
      </c>
      <c r="N66" s="64">
        <v>169.7</v>
      </c>
      <c r="O66" s="64">
        <v>0</v>
      </c>
      <c r="P66" s="64">
        <v>0.68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1844</v>
      </c>
      <c r="B67" s="64">
        <v>2.71</v>
      </c>
      <c r="C67" s="64">
        <v>25.75</v>
      </c>
      <c r="D67" s="64">
        <v>17.03</v>
      </c>
      <c r="E67" s="64">
        <v>2.82</v>
      </c>
      <c r="F67" s="64">
        <v>22.55</v>
      </c>
      <c r="G67" s="64">
        <v>37.15</v>
      </c>
      <c r="H67" s="64">
        <v>17.63</v>
      </c>
      <c r="I67" s="64">
        <v>1.49</v>
      </c>
      <c r="J67" s="64">
        <v>0.52</v>
      </c>
      <c r="K67" s="64">
        <v>145.07</v>
      </c>
      <c r="L67" s="64">
        <v>27.51</v>
      </c>
      <c r="M67" s="64">
        <v>32.82</v>
      </c>
      <c r="N67" s="64">
        <v>184.8</v>
      </c>
      <c r="O67" s="64">
        <v>0</v>
      </c>
      <c r="P67" s="64">
        <v>0.63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1845</v>
      </c>
      <c r="B68" s="64">
        <v>4.9000000000000004</v>
      </c>
      <c r="C68" s="64">
        <v>36.08</v>
      </c>
      <c r="D68" s="64">
        <v>24.49</v>
      </c>
      <c r="E68" s="64">
        <v>2.96</v>
      </c>
      <c r="F68" s="64">
        <v>34.450000000000003</v>
      </c>
      <c r="G68" s="64">
        <v>37.15</v>
      </c>
      <c r="H68" s="64">
        <v>17.63</v>
      </c>
      <c r="I68" s="64">
        <v>1.48</v>
      </c>
      <c r="J68" s="64">
        <v>0.45</v>
      </c>
      <c r="K68" s="64">
        <v>332.56</v>
      </c>
      <c r="L68" s="64">
        <v>27.34</v>
      </c>
      <c r="M68" s="64">
        <v>35.18</v>
      </c>
      <c r="N68" s="64">
        <v>171.5</v>
      </c>
      <c r="O68" s="64">
        <v>0</v>
      </c>
      <c r="P68" s="64">
        <v>0.72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1846</v>
      </c>
      <c r="B69" s="64">
        <v>4.25</v>
      </c>
      <c r="C69" s="64">
        <v>33.64</v>
      </c>
      <c r="D69" s="64">
        <v>22.62</v>
      </c>
      <c r="E69" s="64">
        <v>2.96</v>
      </c>
      <c r="F69" s="64">
        <v>16.84</v>
      </c>
      <c r="G69" s="64">
        <v>33.99</v>
      </c>
      <c r="H69" s="64">
        <v>16.2</v>
      </c>
      <c r="I69" s="64">
        <v>1.5</v>
      </c>
      <c r="J69" s="64">
        <v>0.95</v>
      </c>
      <c r="K69" s="64">
        <v>338.15</v>
      </c>
      <c r="L69" s="64">
        <v>27.59</v>
      </c>
      <c r="M69" s="64">
        <v>35.979999999999997</v>
      </c>
      <c r="N69" s="64">
        <v>156.1</v>
      </c>
      <c r="O69" s="64">
        <v>0</v>
      </c>
      <c r="P69" s="64">
        <v>0.74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1847</v>
      </c>
      <c r="B70" s="64">
        <v>4.4400000000000004</v>
      </c>
      <c r="C70" s="64">
        <v>34.56</v>
      </c>
      <c r="D70" s="64">
        <v>23.28</v>
      </c>
      <c r="E70" s="64">
        <v>2.9</v>
      </c>
      <c r="F70" s="64">
        <v>21.63</v>
      </c>
      <c r="G70" s="64">
        <v>31.88</v>
      </c>
      <c r="H70" s="64">
        <v>15.86</v>
      </c>
      <c r="I70" s="64">
        <v>1.48</v>
      </c>
      <c r="J70" s="64">
        <v>0.2</v>
      </c>
      <c r="K70" s="64">
        <v>26.41</v>
      </c>
      <c r="L70" s="64">
        <v>26.95</v>
      </c>
      <c r="M70" s="64">
        <v>36.200000000000003</v>
      </c>
      <c r="N70" s="64">
        <v>149.4</v>
      </c>
      <c r="O70" s="64">
        <v>0</v>
      </c>
      <c r="P70" s="64">
        <v>0.75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1848</v>
      </c>
      <c r="B71" s="64">
        <v>4.07</v>
      </c>
      <c r="C71" s="64">
        <v>36.369999999999997</v>
      </c>
      <c r="D71" s="64">
        <v>23.98</v>
      </c>
      <c r="E71" s="64">
        <v>2.87</v>
      </c>
      <c r="F71" s="64">
        <v>24.86</v>
      </c>
      <c r="G71" s="64">
        <v>31.88</v>
      </c>
      <c r="H71" s="64">
        <v>15.86</v>
      </c>
      <c r="I71" s="64">
        <v>1.5</v>
      </c>
      <c r="J71" s="64">
        <v>0.17</v>
      </c>
      <c r="K71" s="64">
        <v>20.059999999999999</v>
      </c>
      <c r="L71" s="64">
        <v>26.51</v>
      </c>
      <c r="M71" s="64">
        <v>36.04</v>
      </c>
      <c r="N71" s="64">
        <v>132.1</v>
      </c>
      <c r="O71" s="64">
        <v>0</v>
      </c>
      <c r="P71" s="64">
        <v>0.76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1849</v>
      </c>
      <c r="B72" s="64">
        <v>2.97</v>
      </c>
      <c r="C72" s="64">
        <v>29.19</v>
      </c>
      <c r="D72" s="64">
        <v>19.13</v>
      </c>
      <c r="E72" s="64">
        <v>2.54</v>
      </c>
      <c r="F72" s="64">
        <v>34.340000000000003</v>
      </c>
      <c r="G72" s="64">
        <v>31.88</v>
      </c>
      <c r="H72" s="64">
        <v>15.86</v>
      </c>
      <c r="I72" s="64">
        <v>1.48</v>
      </c>
      <c r="J72" s="64">
        <v>0.19</v>
      </c>
      <c r="K72" s="64">
        <v>84.99</v>
      </c>
      <c r="L72" s="64">
        <v>26.16</v>
      </c>
      <c r="M72" s="64">
        <v>36.6</v>
      </c>
      <c r="N72" s="64">
        <v>124.1</v>
      </c>
      <c r="O72" s="64">
        <v>0</v>
      </c>
      <c r="P72" s="64">
        <v>0.64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1850</v>
      </c>
      <c r="B73" s="64">
        <v>5.39</v>
      </c>
      <c r="C73" s="64">
        <v>40.51</v>
      </c>
      <c r="D73" s="64">
        <v>27.33</v>
      </c>
      <c r="E73" s="64">
        <v>2.89</v>
      </c>
      <c r="F73" s="64">
        <v>23.14</v>
      </c>
      <c r="G73" s="64">
        <v>31.55</v>
      </c>
      <c r="H73" s="64">
        <v>15.89</v>
      </c>
      <c r="I73" s="64">
        <v>1.52</v>
      </c>
      <c r="J73" s="64">
        <v>0.3</v>
      </c>
      <c r="K73" s="64">
        <v>17.25</v>
      </c>
      <c r="L73" s="64">
        <v>26.12</v>
      </c>
      <c r="M73" s="64">
        <v>37.270000000000003</v>
      </c>
      <c r="N73" s="64">
        <v>113.3</v>
      </c>
      <c r="O73" s="64">
        <v>0</v>
      </c>
      <c r="P73" s="64">
        <v>0.79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1851</v>
      </c>
      <c r="B74" s="64">
        <v>3.45</v>
      </c>
      <c r="C74" s="64">
        <v>34.18</v>
      </c>
      <c r="D74" s="64">
        <v>22.28</v>
      </c>
      <c r="E74" s="64">
        <v>3.04</v>
      </c>
      <c r="F74" s="64">
        <v>44.76</v>
      </c>
      <c r="G74" s="64">
        <v>31.33</v>
      </c>
      <c r="H74" s="64">
        <v>15.9</v>
      </c>
      <c r="I74" s="64">
        <v>1.54</v>
      </c>
      <c r="J74" s="64">
        <v>0.24</v>
      </c>
      <c r="K74" s="64">
        <v>88.39</v>
      </c>
      <c r="L74" s="64">
        <v>25.72</v>
      </c>
      <c r="M74" s="64">
        <v>37.86</v>
      </c>
      <c r="N74" s="64">
        <v>100.8</v>
      </c>
      <c r="O74" s="64">
        <v>0</v>
      </c>
      <c r="P74" s="64">
        <v>0.61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1852</v>
      </c>
      <c r="B75" s="64">
        <v>2.5099999999999998</v>
      </c>
      <c r="C75" s="64">
        <v>31.35</v>
      </c>
      <c r="D75" s="64">
        <v>19.96</v>
      </c>
      <c r="E75" s="64">
        <v>3.13</v>
      </c>
      <c r="F75" s="64">
        <v>29.44</v>
      </c>
      <c r="G75" s="64">
        <v>31.33</v>
      </c>
      <c r="H75" s="64">
        <v>15.9</v>
      </c>
      <c r="I75" s="64">
        <v>1.44</v>
      </c>
      <c r="J75" s="64">
        <v>0.24</v>
      </c>
      <c r="K75" s="64">
        <v>99.21</v>
      </c>
      <c r="L75" s="64">
        <v>25.32</v>
      </c>
      <c r="M75" s="64">
        <v>39.96</v>
      </c>
      <c r="N75" s="64">
        <v>86.7</v>
      </c>
      <c r="O75" s="64">
        <v>0</v>
      </c>
      <c r="P75" s="64">
        <v>0.67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1853</v>
      </c>
      <c r="B76" s="64">
        <v>2.34</v>
      </c>
      <c r="C76" s="64">
        <v>32.29</v>
      </c>
      <c r="D76" s="64">
        <v>20.34</v>
      </c>
      <c r="E76" s="64">
        <v>3.36</v>
      </c>
      <c r="F76" s="64">
        <v>33.56</v>
      </c>
      <c r="G76" s="64">
        <v>31.33</v>
      </c>
      <c r="H76" s="64">
        <v>15.9</v>
      </c>
      <c r="I76" s="64">
        <v>1.52</v>
      </c>
      <c r="J76" s="64">
        <v>0.28000000000000003</v>
      </c>
      <c r="K76" s="64">
        <v>83.67</v>
      </c>
      <c r="L76" s="64">
        <v>25.01</v>
      </c>
      <c r="M76" s="64">
        <v>41.14</v>
      </c>
      <c r="N76" s="64">
        <v>75.8</v>
      </c>
      <c r="O76" s="64">
        <v>0</v>
      </c>
      <c r="P76" s="64">
        <v>0.7</v>
      </c>
      <c r="Q76" s="64">
        <v>5.21</v>
      </c>
      <c r="R76" s="198"/>
      <c r="S76" s="198"/>
      <c r="T76" s="198"/>
      <c r="U76" s="198"/>
    </row>
    <row r="77" spans="1:21" s="12" customFormat="1" x14ac:dyDescent="0.25">
      <c r="A77" s="215" t="s">
        <v>1854</v>
      </c>
      <c r="B77" s="64">
        <v>2.42</v>
      </c>
      <c r="C77" s="64">
        <v>40.619999999999997</v>
      </c>
      <c r="D77" s="64">
        <v>25</v>
      </c>
      <c r="E77" s="64">
        <v>4.1900000000000004</v>
      </c>
      <c r="F77" s="64">
        <v>40.78</v>
      </c>
      <c r="G77" s="64">
        <v>31.17</v>
      </c>
      <c r="H77" s="64">
        <v>15.02</v>
      </c>
      <c r="I77" s="64">
        <v>1.5</v>
      </c>
      <c r="J77" s="64">
        <v>0.17</v>
      </c>
      <c r="K77" s="64">
        <v>74.91</v>
      </c>
      <c r="L77" s="64">
        <v>24.43</v>
      </c>
      <c r="M77" s="64">
        <v>47.73</v>
      </c>
      <c r="N77" s="64">
        <v>66.400000000000006</v>
      </c>
      <c r="O77" s="64">
        <v>0</v>
      </c>
      <c r="P77" s="64">
        <v>0.79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5" t="s">
        <v>1855</v>
      </c>
      <c r="B78" s="64">
        <v>13.84</v>
      </c>
      <c r="C78" s="64">
        <v>79.61</v>
      </c>
      <c r="D78" s="64">
        <v>55.68</v>
      </c>
      <c r="E78" s="64">
        <v>4.38</v>
      </c>
      <c r="F78" s="64">
        <v>11.47</v>
      </c>
      <c r="G78" s="64">
        <v>31.07</v>
      </c>
      <c r="H78" s="64">
        <v>14.65</v>
      </c>
      <c r="I78" s="64">
        <v>1.49</v>
      </c>
      <c r="J78" s="64">
        <v>0.1</v>
      </c>
      <c r="K78" s="64">
        <v>72.63</v>
      </c>
      <c r="L78" s="64">
        <v>23.65</v>
      </c>
      <c r="M78" s="64">
        <v>54.38</v>
      </c>
      <c r="N78" s="64">
        <v>62.7</v>
      </c>
      <c r="O78" s="64">
        <v>0</v>
      </c>
      <c r="P78" s="64">
        <v>1.39</v>
      </c>
      <c r="Q78" s="64">
        <v>3.6</v>
      </c>
      <c r="R78" s="198"/>
      <c r="S78" s="198"/>
      <c r="T78" s="198"/>
      <c r="U78" s="198"/>
    </row>
    <row r="79" spans="1:21" s="12" customFormat="1" x14ac:dyDescent="0.25">
      <c r="A79" s="215" t="s">
        <v>1856</v>
      </c>
      <c r="B79" s="64">
        <v>19.89</v>
      </c>
      <c r="C79" s="64">
        <v>59.21</v>
      </c>
      <c r="D79" s="64">
        <v>49.28</v>
      </c>
      <c r="E79" s="64">
        <v>3.79</v>
      </c>
      <c r="F79" s="64">
        <v>6.24</v>
      </c>
      <c r="G79" s="64">
        <v>31.07</v>
      </c>
      <c r="H79" s="64">
        <v>14.65</v>
      </c>
      <c r="I79" s="64">
        <v>1.51</v>
      </c>
      <c r="J79" s="64">
        <v>0.12</v>
      </c>
      <c r="K79" s="64">
        <v>351.69</v>
      </c>
      <c r="L79" s="64">
        <v>22.89</v>
      </c>
      <c r="M79" s="64">
        <v>62.97</v>
      </c>
      <c r="N79" s="64">
        <v>62.5</v>
      </c>
      <c r="O79" s="64">
        <v>0</v>
      </c>
      <c r="P79" s="64">
        <v>1.33</v>
      </c>
      <c r="Q79" s="64">
        <v>1.55</v>
      </c>
      <c r="R79" s="198"/>
      <c r="S79" s="198"/>
      <c r="T79" s="198"/>
      <c r="U79" s="198"/>
    </row>
    <row r="80" spans="1:21" s="12" customFormat="1" x14ac:dyDescent="0.25">
      <c r="A80" s="215" t="s">
        <v>1857</v>
      </c>
      <c r="B80" s="64">
        <v>12.93</v>
      </c>
      <c r="C80" s="64">
        <v>61.03</v>
      </c>
      <c r="D80" s="64">
        <v>44.7</v>
      </c>
      <c r="E80" s="64">
        <v>3.45</v>
      </c>
      <c r="F80" s="64">
        <v>6.23</v>
      </c>
      <c r="G80" s="64">
        <v>31.07</v>
      </c>
      <c r="H80" s="64">
        <v>14.65</v>
      </c>
      <c r="I80" s="64">
        <v>1.52</v>
      </c>
      <c r="J80" s="64">
        <v>0.11</v>
      </c>
      <c r="K80" s="64">
        <v>317.61</v>
      </c>
      <c r="L80" s="64">
        <v>22.16</v>
      </c>
      <c r="M80" s="64">
        <v>62.44</v>
      </c>
      <c r="N80" s="64">
        <v>62.9</v>
      </c>
      <c r="O80" s="64">
        <v>0</v>
      </c>
      <c r="P80" s="64">
        <v>1.69</v>
      </c>
      <c r="Q80" s="64">
        <v>1.78</v>
      </c>
      <c r="R80" s="198"/>
      <c r="S80" s="198"/>
      <c r="T80" s="198"/>
      <c r="U80" s="198"/>
    </row>
    <row r="81" spans="1:26" s="12" customFormat="1" x14ac:dyDescent="0.25">
      <c r="A81" s="215" t="s">
        <v>1858</v>
      </c>
      <c r="B81" s="64">
        <v>13.58</v>
      </c>
      <c r="C81" s="64">
        <v>72.709999999999994</v>
      </c>
      <c r="D81" s="64">
        <v>51.66</v>
      </c>
      <c r="E81" s="64">
        <v>3.36</v>
      </c>
      <c r="F81" s="64">
        <v>6.04</v>
      </c>
      <c r="G81" s="64">
        <v>41.94</v>
      </c>
      <c r="H81" s="64">
        <v>15.85</v>
      </c>
      <c r="I81" s="64">
        <v>1.44</v>
      </c>
      <c r="J81" s="64">
        <v>0.06</v>
      </c>
      <c r="K81" s="64">
        <v>269.87</v>
      </c>
      <c r="L81" s="64">
        <v>21.78</v>
      </c>
      <c r="M81" s="64">
        <v>63</v>
      </c>
      <c r="N81" s="64">
        <v>71.2</v>
      </c>
      <c r="O81" s="64">
        <v>0</v>
      </c>
      <c r="P81" s="64">
        <v>1.89</v>
      </c>
      <c r="Q81" s="64">
        <v>2.6</v>
      </c>
      <c r="R81" s="198"/>
      <c r="S81" s="198"/>
      <c r="T81" s="198"/>
      <c r="U81" s="198"/>
    </row>
    <row r="82" spans="1:26" s="12" customFormat="1" x14ac:dyDescent="0.25">
      <c r="A82" s="215" t="s">
        <v>1859</v>
      </c>
      <c r="B82" s="64">
        <v>17.66</v>
      </c>
      <c r="C82" s="64">
        <v>60.08</v>
      </c>
      <c r="D82" s="64">
        <v>47.96</v>
      </c>
      <c r="E82" s="64">
        <v>3.39</v>
      </c>
      <c r="F82" s="64">
        <v>5.51</v>
      </c>
      <c r="G82" s="64">
        <v>49.18</v>
      </c>
      <c r="H82" s="64">
        <v>16.149999999999999</v>
      </c>
      <c r="I82" s="64">
        <v>1.54</v>
      </c>
      <c r="J82" s="64">
        <v>0.08</v>
      </c>
      <c r="K82" s="64">
        <v>118.22</v>
      </c>
      <c r="L82" s="64">
        <v>21.79</v>
      </c>
      <c r="M82" s="64">
        <v>60.03</v>
      </c>
      <c r="N82" s="64">
        <v>73.099999999999994</v>
      </c>
      <c r="O82" s="64">
        <v>0</v>
      </c>
      <c r="P82" s="64">
        <v>1.39</v>
      </c>
      <c r="Q82" s="64">
        <v>2.12</v>
      </c>
      <c r="R82" s="198"/>
      <c r="S82" s="198"/>
      <c r="T82" s="198"/>
      <c r="U82" s="198"/>
    </row>
    <row r="83" spans="1:26" s="12" customFormat="1" x14ac:dyDescent="0.25">
      <c r="A83" s="215" t="s">
        <v>1860</v>
      </c>
      <c r="B83" s="64">
        <v>10.7</v>
      </c>
      <c r="C83" s="64">
        <v>78.180000000000007</v>
      </c>
      <c r="D83" s="64">
        <v>52.37</v>
      </c>
      <c r="E83" s="64">
        <v>3.39</v>
      </c>
      <c r="F83" s="64">
        <v>12.11</v>
      </c>
      <c r="G83" s="64">
        <v>49.18</v>
      </c>
      <c r="H83" s="64">
        <v>16.149999999999999</v>
      </c>
      <c r="I83" s="64">
        <v>1.45</v>
      </c>
      <c r="J83" s="64">
        <v>0.13</v>
      </c>
      <c r="K83" s="64">
        <v>70.88</v>
      </c>
      <c r="L83" s="64">
        <v>22.06</v>
      </c>
      <c r="M83" s="64">
        <v>58.07</v>
      </c>
      <c r="N83" s="64">
        <v>74.099999999999994</v>
      </c>
      <c r="O83" s="64">
        <v>0</v>
      </c>
      <c r="P83" s="64">
        <v>1.87</v>
      </c>
      <c r="Q83" s="64">
        <v>3.35</v>
      </c>
      <c r="R83" s="198"/>
      <c r="S83" s="198"/>
      <c r="T83" s="198"/>
      <c r="U83" s="198"/>
    </row>
    <row r="84" spans="1:26" s="12" customFormat="1" x14ac:dyDescent="0.25">
      <c r="A84" s="215" t="s">
        <v>1861</v>
      </c>
      <c r="B84" s="64">
        <v>11.19</v>
      </c>
      <c r="C84" s="64">
        <v>59.93</v>
      </c>
      <c r="D84" s="64">
        <v>42.69</v>
      </c>
      <c r="E84" s="64">
        <v>3.32</v>
      </c>
      <c r="F84" s="64">
        <v>8.73</v>
      </c>
      <c r="G84" s="64">
        <v>49.18</v>
      </c>
      <c r="H84" s="64">
        <v>16.149999999999999</v>
      </c>
      <c r="I84" s="64">
        <v>1.44</v>
      </c>
      <c r="J84" s="64">
        <v>0.11</v>
      </c>
      <c r="K84" s="64">
        <v>55.39</v>
      </c>
      <c r="L84" s="64">
        <v>22.01</v>
      </c>
      <c r="M84" s="64">
        <v>57.87</v>
      </c>
      <c r="N84" s="64">
        <v>74.3</v>
      </c>
      <c r="O84" s="64">
        <v>0</v>
      </c>
      <c r="P84" s="64">
        <v>1.54</v>
      </c>
      <c r="Q84" s="64">
        <v>3.88</v>
      </c>
      <c r="R84" s="198"/>
      <c r="S84" s="198"/>
      <c r="T84" s="198"/>
      <c r="U84" s="198"/>
    </row>
    <row r="85" spans="1:26" s="12" customFormat="1" x14ac:dyDescent="0.25">
      <c r="A85" s="215" t="s">
        <v>1862</v>
      </c>
      <c r="B85" s="64">
        <v>7.84</v>
      </c>
      <c r="C85" s="64">
        <v>70.58</v>
      </c>
      <c r="D85" s="64">
        <v>45.88</v>
      </c>
      <c r="E85" s="64">
        <v>3.51</v>
      </c>
      <c r="F85" s="64">
        <v>14.18</v>
      </c>
      <c r="G85" s="64">
        <v>51.58</v>
      </c>
      <c r="H85" s="64">
        <v>20.52</v>
      </c>
      <c r="I85" s="64">
        <v>1.45</v>
      </c>
      <c r="J85" s="64">
        <v>0.1</v>
      </c>
      <c r="K85" s="64">
        <v>65</v>
      </c>
      <c r="L85" s="64">
        <v>22.28</v>
      </c>
      <c r="M85" s="64">
        <v>54.1</v>
      </c>
      <c r="N85" s="64">
        <v>76.3</v>
      </c>
      <c r="O85" s="64">
        <v>0</v>
      </c>
      <c r="P85" s="64">
        <v>1.5</v>
      </c>
      <c r="Q85" s="64">
        <v>3.67</v>
      </c>
      <c r="R85" s="198"/>
      <c r="S85" s="198"/>
      <c r="T85" s="198"/>
      <c r="U85" s="198"/>
    </row>
    <row r="86" spans="1:26" s="12" customFormat="1" x14ac:dyDescent="0.25">
      <c r="A86" s="215" t="s">
        <v>1863</v>
      </c>
      <c r="B86" s="64">
        <v>21.54</v>
      </c>
      <c r="C86" s="64">
        <v>64.569999999999993</v>
      </c>
      <c r="D86" s="64">
        <v>53.56</v>
      </c>
      <c r="E86" s="64">
        <v>3.24</v>
      </c>
      <c r="F86" s="64">
        <v>14</v>
      </c>
      <c r="G86" s="64">
        <v>53.18</v>
      </c>
      <c r="H86" s="64">
        <v>21.57</v>
      </c>
      <c r="I86" s="64">
        <v>1.5</v>
      </c>
      <c r="J86" s="64">
        <v>0.04</v>
      </c>
      <c r="K86" s="64">
        <v>334.06</v>
      </c>
      <c r="L86" s="64">
        <v>21.91</v>
      </c>
      <c r="M86" s="64">
        <v>57.55</v>
      </c>
      <c r="N86" s="64">
        <v>77.2</v>
      </c>
      <c r="O86" s="64">
        <v>0</v>
      </c>
      <c r="P86" s="64">
        <v>1.69</v>
      </c>
      <c r="Q86" s="64">
        <v>4.0199999999999996</v>
      </c>
      <c r="R86" s="198"/>
      <c r="S86" s="198"/>
      <c r="T86" s="198"/>
      <c r="U86" s="198"/>
    </row>
    <row r="87" spans="1:26" s="12" customFormat="1" x14ac:dyDescent="0.25">
      <c r="A87" s="215" t="s">
        <v>1864</v>
      </c>
      <c r="B87" s="64">
        <v>14.54</v>
      </c>
      <c r="C87" s="64">
        <v>48.62</v>
      </c>
      <c r="D87" s="64">
        <v>39.14</v>
      </c>
      <c r="E87" s="64">
        <v>3.3</v>
      </c>
      <c r="F87" s="64">
        <v>3.98</v>
      </c>
      <c r="G87" s="64">
        <v>53.18</v>
      </c>
      <c r="H87" s="64">
        <v>21.57</v>
      </c>
      <c r="I87" s="64">
        <v>1.52</v>
      </c>
      <c r="J87" s="64">
        <v>0.09</v>
      </c>
      <c r="K87" s="64">
        <v>316.44</v>
      </c>
      <c r="L87" s="64">
        <v>21.35</v>
      </c>
      <c r="M87" s="64">
        <v>66.13</v>
      </c>
      <c r="N87" s="64">
        <v>77.8</v>
      </c>
      <c r="O87" s="64">
        <v>0</v>
      </c>
      <c r="P87" s="64">
        <v>1.52</v>
      </c>
      <c r="Q87" s="64">
        <v>3.14</v>
      </c>
      <c r="R87" s="198"/>
      <c r="S87" s="198"/>
      <c r="T87" s="198"/>
      <c r="U87" s="198"/>
    </row>
    <row r="88" spans="1:26" s="12" customFormat="1" x14ac:dyDescent="0.25">
      <c r="A88" s="215" t="s">
        <v>1865</v>
      </c>
      <c r="B88" s="64">
        <v>24.5</v>
      </c>
      <c r="C88" s="64">
        <v>61.03</v>
      </c>
      <c r="D88" s="64">
        <v>53.97</v>
      </c>
      <c r="E88" s="64">
        <v>2.77</v>
      </c>
      <c r="F88" s="64">
        <v>3.65</v>
      </c>
      <c r="G88" s="64">
        <v>53.18</v>
      </c>
      <c r="H88" s="64">
        <v>21.57</v>
      </c>
      <c r="I88" s="64">
        <v>1.47</v>
      </c>
      <c r="J88" s="64">
        <v>0.13</v>
      </c>
      <c r="K88" s="64">
        <v>329.66</v>
      </c>
      <c r="L88" s="64">
        <v>20.88</v>
      </c>
      <c r="M88" s="64">
        <v>67.790000000000006</v>
      </c>
      <c r="N88" s="64">
        <v>77.900000000000006</v>
      </c>
      <c r="O88" s="64">
        <v>0</v>
      </c>
      <c r="P88" s="64">
        <v>1.95</v>
      </c>
      <c r="Q88" s="64">
        <v>2.71</v>
      </c>
      <c r="R88" s="198"/>
      <c r="S88" s="198"/>
      <c r="T88" s="198"/>
      <c r="U88" s="198"/>
    </row>
    <row r="89" spans="1:26" s="12" customFormat="1" x14ac:dyDescent="0.25">
      <c r="A89" s="215" t="s">
        <v>1866</v>
      </c>
      <c r="B89" s="64">
        <v>22.66</v>
      </c>
      <c r="C89" s="64">
        <v>65.61</v>
      </c>
      <c r="D89" s="64">
        <v>55.03</v>
      </c>
      <c r="E89" s="64">
        <v>3.19</v>
      </c>
      <c r="F89" s="64">
        <v>4.42</v>
      </c>
      <c r="G89" s="64">
        <v>64.010000000000005</v>
      </c>
      <c r="H89" s="64">
        <v>25.04</v>
      </c>
      <c r="I89" s="64">
        <v>1.48</v>
      </c>
      <c r="J89" s="64">
        <v>0.16</v>
      </c>
      <c r="K89" s="64">
        <v>340.08</v>
      </c>
      <c r="L89" s="64">
        <v>20.52</v>
      </c>
      <c r="M89" s="64">
        <v>71.599999999999994</v>
      </c>
      <c r="N89" s="64">
        <v>81.5</v>
      </c>
      <c r="O89" s="64">
        <v>0</v>
      </c>
      <c r="P89" s="64">
        <v>2.11</v>
      </c>
      <c r="Q89" s="64">
        <v>3.85</v>
      </c>
      <c r="R89" s="198"/>
      <c r="S89" s="198"/>
      <c r="T89" s="198"/>
      <c r="U89" s="198"/>
    </row>
    <row r="90" spans="1:26" s="12" customFormat="1" x14ac:dyDescent="0.25">
      <c r="A90" s="215" t="s">
        <v>1867</v>
      </c>
      <c r="B90" s="64">
        <v>16.649999999999999</v>
      </c>
      <c r="C90" s="64">
        <v>56.94</v>
      </c>
      <c r="D90" s="64">
        <v>45.42</v>
      </c>
      <c r="E90" s="64">
        <v>3.17</v>
      </c>
      <c r="F90" s="64">
        <v>6.22</v>
      </c>
      <c r="G90" s="64">
        <v>71.22</v>
      </c>
      <c r="H90" s="64">
        <v>25.89</v>
      </c>
      <c r="I90" s="64">
        <v>1.49</v>
      </c>
      <c r="J90" s="64">
        <v>0.08</v>
      </c>
      <c r="K90" s="64">
        <v>59.89</v>
      </c>
      <c r="L90" s="64">
        <v>20.41</v>
      </c>
      <c r="M90" s="64">
        <v>68.87</v>
      </c>
      <c r="N90" s="64">
        <v>78</v>
      </c>
      <c r="O90" s="64">
        <v>0</v>
      </c>
      <c r="P90" s="64">
        <v>1.84</v>
      </c>
      <c r="Q90" s="64">
        <v>4.83</v>
      </c>
      <c r="R90" s="198"/>
      <c r="S90" s="198"/>
      <c r="T90" s="198"/>
      <c r="U90" s="198"/>
    </row>
    <row r="91" spans="1:26" s="12" customFormat="1" x14ac:dyDescent="0.25">
      <c r="A91" s="215" t="s">
        <v>1868</v>
      </c>
      <c r="B91" s="64">
        <v>26.08</v>
      </c>
      <c r="C91" s="64">
        <v>69.81</v>
      </c>
      <c r="D91" s="64">
        <v>60.08</v>
      </c>
      <c r="E91" s="64">
        <v>3.1</v>
      </c>
      <c r="F91" s="64">
        <v>6.54</v>
      </c>
      <c r="G91" s="64">
        <v>71.22</v>
      </c>
      <c r="H91" s="64">
        <v>25.89</v>
      </c>
      <c r="I91" s="64">
        <v>1.5</v>
      </c>
      <c r="J91" s="64">
        <v>0.04</v>
      </c>
      <c r="K91" s="64">
        <v>343.16</v>
      </c>
      <c r="L91" s="64">
        <v>20.84</v>
      </c>
      <c r="M91" s="64">
        <v>62.92</v>
      </c>
      <c r="N91" s="64">
        <v>74.7</v>
      </c>
      <c r="O91" s="64">
        <v>0</v>
      </c>
      <c r="P91" s="64">
        <v>2.0099999999999998</v>
      </c>
      <c r="Q91" s="64">
        <v>4.84</v>
      </c>
      <c r="R91" s="198"/>
      <c r="S91" s="198"/>
      <c r="T91" s="198"/>
      <c r="U91" s="198"/>
    </row>
    <row r="92" spans="1:26" s="12" customFormat="1" x14ac:dyDescent="0.25">
      <c r="A92" s="215" t="s">
        <v>1869</v>
      </c>
      <c r="B92" s="64">
        <v>22.83</v>
      </c>
      <c r="C92" s="64">
        <v>52.37</v>
      </c>
      <c r="D92" s="64">
        <v>47.85</v>
      </c>
      <c r="E92" s="64">
        <v>3.06</v>
      </c>
      <c r="F92" s="64">
        <v>3.59</v>
      </c>
      <c r="G92" s="64">
        <v>71.22</v>
      </c>
      <c r="H92" s="64">
        <v>25.89</v>
      </c>
      <c r="I92" s="64">
        <v>1.52</v>
      </c>
      <c r="J92" s="64">
        <v>0.09</v>
      </c>
      <c r="K92" s="64">
        <v>242.71</v>
      </c>
      <c r="L92" s="64">
        <v>20.36</v>
      </c>
      <c r="M92" s="64">
        <v>67.38</v>
      </c>
      <c r="N92" s="64">
        <v>76</v>
      </c>
      <c r="O92" s="64">
        <v>0</v>
      </c>
      <c r="P92" s="64">
        <v>1.82</v>
      </c>
      <c r="Q92" s="64">
        <v>3.79</v>
      </c>
      <c r="R92" s="198"/>
      <c r="S92" s="198"/>
      <c r="T92" s="198"/>
      <c r="U92" s="198"/>
    </row>
    <row r="93" spans="1:26" s="12" customFormat="1" x14ac:dyDescent="0.25">
      <c r="A93" s="215" t="s">
        <v>1870</v>
      </c>
      <c r="B93" s="64">
        <v>45.61</v>
      </c>
      <c r="C93" s="64">
        <v>60.94</v>
      </c>
      <c r="D93" s="64">
        <v>70.86</v>
      </c>
      <c r="E93" s="64">
        <v>2.92</v>
      </c>
      <c r="F93" s="64">
        <v>3.29</v>
      </c>
      <c r="G93" s="64">
        <v>73.45</v>
      </c>
      <c r="H93" s="64">
        <v>30.08</v>
      </c>
      <c r="I93" s="64">
        <v>1.56</v>
      </c>
      <c r="J93" s="64">
        <v>0.15</v>
      </c>
      <c r="K93" s="64">
        <v>326.68</v>
      </c>
      <c r="L93" s="64">
        <v>20.11</v>
      </c>
      <c r="M93" s="64">
        <v>74.14</v>
      </c>
      <c r="N93" s="64">
        <v>76.5</v>
      </c>
      <c r="O93" s="64">
        <v>0</v>
      </c>
      <c r="P93" s="64">
        <v>2.2799999999999998</v>
      </c>
      <c r="Q93" s="64">
        <v>2.65</v>
      </c>
      <c r="R93" s="198"/>
      <c r="S93" s="198"/>
      <c r="T93" s="198"/>
      <c r="U93" s="198"/>
    </row>
    <row r="94" spans="1:26" s="12" customFormat="1" x14ac:dyDescent="0.25">
      <c r="A94" s="215" t="s">
        <v>1871</v>
      </c>
      <c r="B94" s="64">
        <v>30.11</v>
      </c>
      <c r="C94" s="64">
        <v>48.65</v>
      </c>
      <c r="D94" s="64">
        <v>51.64</v>
      </c>
      <c r="E94" s="64">
        <v>2.78</v>
      </c>
      <c r="F94" s="64">
        <v>3.39</v>
      </c>
      <c r="G94" s="64">
        <v>74.930000000000007</v>
      </c>
      <c r="H94" s="64">
        <v>31.9</v>
      </c>
      <c r="I94" s="64">
        <v>1.48</v>
      </c>
      <c r="J94" s="64">
        <v>0.09</v>
      </c>
      <c r="K94" s="64">
        <v>281.77999999999997</v>
      </c>
      <c r="L94" s="64">
        <v>19.66</v>
      </c>
      <c r="M94" s="64">
        <v>74.23</v>
      </c>
      <c r="N94" s="64">
        <v>78.400000000000006</v>
      </c>
      <c r="O94" s="64">
        <v>0</v>
      </c>
      <c r="P94" s="64">
        <v>1.91</v>
      </c>
      <c r="Q94" s="64">
        <v>4.3</v>
      </c>
      <c r="R94" s="198"/>
      <c r="S94" s="198"/>
      <c r="T94" s="198"/>
      <c r="U94" s="198"/>
    </row>
    <row r="95" spans="1:26" s="12" customFormat="1" x14ac:dyDescent="0.25">
      <c r="A95" s="215" t="s">
        <v>1872</v>
      </c>
      <c r="B95" s="64">
        <v>41.41</v>
      </c>
      <c r="C95" s="64">
        <v>46.64</v>
      </c>
      <c r="D95" s="64">
        <v>59.59</v>
      </c>
      <c r="E95" s="64">
        <v>2.62</v>
      </c>
      <c r="F95" s="64">
        <v>3.5</v>
      </c>
      <c r="G95" s="64">
        <v>74.930000000000007</v>
      </c>
      <c r="H95" s="64">
        <v>31.9</v>
      </c>
      <c r="I95" s="64">
        <v>1.47</v>
      </c>
      <c r="J95" s="64">
        <v>0.12</v>
      </c>
      <c r="K95" s="64">
        <v>308.94</v>
      </c>
      <c r="L95" s="64">
        <v>19.43</v>
      </c>
      <c r="M95" s="64">
        <v>78.91</v>
      </c>
      <c r="N95" s="64">
        <v>80.7</v>
      </c>
      <c r="O95" s="64">
        <v>0</v>
      </c>
      <c r="P95" s="64">
        <v>2</v>
      </c>
      <c r="Q95" s="64">
        <v>5.27</v>
      </c>
      <c r="R95" s="198"/>
      <c r="S95" s="198"/>
      <c r="T95" s="198"/>
      <c r="U95" s="198"/>
    </row>
    <row r="96" spans="1:26" s="12" customFormat="1" x14ac:dyDescent="0.25">
      <c r="A96" s="215" t="s">
        <v>1873</v>
      </c>
      <c r="B96" s="64">
        <v>44.61</v>
      </c>
      <c r="C96" s="64">
        <v>46.84</v>
      </c>
      <c r="D96" s="64">
        <v>62.26</v>
      </c>
      <c r="E96" s="64">
        <v>2.65</v>
      </c>
      <c r="F96" s="64">
        <v>3.32</v>
      </c>
      <c r="G96" s="64">
        <v>74.930000000000007</v>
      </c>
      <c r="H96" s="64">
        <v>31.9</v>
      </c>
      <c r="I96" s="64">
        <v>1.56</v>
      </c>
      <c r="J96" s="64">
        <v>0.09</v>
      </c>
      <c r="K96" s="64">
        <v>273.33999999999997</v>
      </c>
      <c r="L96" s="64">
        <v>19.11</v>
      </c>
      <c r="M96" s="64">
        <v>78.900000000000006</v>
      </c>
      <c r="N96" s="64">
        <v>77.2</v>
      </c>
      <c r="O96" s="64">
        <v>0</v>
      </c>
      <c r="P96" s="64">
        <v>2.08</v>
      </c>
      <c r="Q96" s="64">
        <v>6.29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1874</v>
      </c>
      <c r="B97" s="64">
        <v>54.1</v>
      </c>
      <c r="C97" s="64">
        <v>57.14</v>
      </c>
      <c r="D97" s="64">
        <v>75.56</v>
      </c>
      <c r="E97" s="64">
        <v>2.66</v>
      </c>
      <c r="F97" s="64">
        <v>3.29</v>
      </c>
      <c r="G97" s="64">
        <v>87.28</v>
      </c>
      <c r="H97" s="64">
        <v>33.82</v>
      </c>
      <c r="I97" s="64">
        <v>1.52</v>
      </c>
      <c r="J97" s="64">
        <v>0.08</v>
      </c>
      <c r="K97" s="64">
        <v>307.67</v>
      </c>
      <c r="L97" s="64">
        <v>19.14</v>
      </c>
      <c r="M97" s="64">
        <v>77.63</v>
      </c>
      <c r="N97" s="64">
        <v>76.900000000000006</v>
      </c>
      <c r="O97" s="64">
        <v>0</v>
      </c>
      <c r="P97" s="64">
        <v>2.19</v>
      </c>
      <c r="Q97" s="64">
        <v>6.22</v>
      </c>
      <c r="R97" s="198"/>
      <c r="S97" s="198"/>
      <c r="T97" s="198"/>
      <c r="U97" s="198"/>
    </row>
    <row r="98" spans="1:33" s="12" customFormat="1" x14ac:dyDescent="0.25">
      <c r="A98" s="215" t="s">
        <v>1875</v>
      </c>
      <c r="B98" s="64">
        <v>48.79</v>
      </c>
      <c r="C98" s="64">
        <v>50.92</v>
      </c>
      <c r="D98" s="64">
        <v>67.87</v>
      </c>
      <c r="E98" s="64">
        <v>2.63</v>
      </c>
      <c r="F98" s="64">
        <v>3.32</v>
      </c>
      <c r="G98" s="64">
        <v>95.52</v>
      </c>
      <c r="H98" s="64">
        <v>34.28</v>
      </c>
      <c r="I98" s="64">
        <v>1.45</v>
      </c>
      <c r="J98" s="64">
        <v>0.12</v>
      </c>
      <c r="K98" s="64">
        <v>295.44</v>
      </c>
      <c r="L98" s="64">
        <v>19.190000000000001</v>
      </c>
      <c r="M98" s="64">
        <v>77.64</v>
      </c>
      <c r="N98" s="64">
        <v>78.2</v>
      </c>
      <c r="O98" s="64">
        <v>0</v>
      </c>
      <c r="P98" s="64">
        <v>2.12</v>
      </c>
      <c r="Q98" s="64">
        <v>7.3</v>
      </c>
      <c r="R98" s="198"/>
      <c r="S98" s="198"/>
      <c r="T98" s="198"/>
      <c r="U98" s="198"/>
    </row>
    <row r="99" spans="1:33" s="12" customFormat="1" x14ac:dyDescent="0.25">
      <c r="A99" s="215" t="s">
        <v>1876</v>
      </c>
      <c r="B99" s="64">
        <v>51.26</v>
      </c>
      <c r="C99" s="64">
        <v>50.18</v>
      </c>
      <c r="D99" s="64">
        <v>69.45</v>
      </c>
      <c r="E99" s="64">
        <v>2.59</v>
      </c>
      <c r="F99" s="64">
        <v>3.29</v>
      </c>
      <c r="G99" s="64">
        <v>95.52</v>
      </c>
      <c r="H99" s="64">
        <v>34.28</v>
      </c>
      <c r="I99" s="64">
        <v>1.5</v>
      </c>
      <c r="J99" s="64">
        <v>0.08</v>
      </c>
      <c r="K99" s="64">
        <v>310.94</v>
      </c>
      <c r="L99" s="64">
        <v>18.829999999999998</v>
      </c>
      <c r="M99" s="64">
        <v>81.64</v>
      </c>
      <c r="N99" s="64">
        <v>80.2</v>
      </c>
      <c r="O99" s="64">
        <v>0</v>
      </c>
      <c r="P99" s="64">
        <v>2.19</v>
      </c>
      <c r="Q99" s="64">
        <v>8.16</v>
      </c>
      <c r="R99" s="198"/>
      <c r="S99" s="198"/>
      <c r="T99" s="198"/>
      <c r="U99" s="198"/>
    </row>
    <row r="100" spans="1:33" s="12" customFormat="1" x14ac:dyDescent="0.25">
      <c r="A100" s="215" t="s">
        <v>1877</v>
      </c>
      <c r="B100" s="64">
        <v>57.06</v>
      </c>
      <c r="C100" s="64">
        <v>55.59</v>
      </c>
      <c r="D100" s="64">
        <v>77.09</v>
      </c>
      <c r="E100" s="64">
        <v>2.61</v>
      </c>
      <c r="F100" s="64">
        <v>3.35</v>
      </c>
      <c r="G100" s="64">
        <v>95.52</v>
      </c>
      <c r="H100" s="64">
        <v>34.28</v>
      </c>
      <c r="I100" s="64">
        <v>1.53</v>
      </c>
      <c r="J100" s="64">
        <v>0.12</v>
      </c>
      <c r="K100" s="64">
        <v>294.7</v>
      </c>
      <c r="L100" s="64">
        <v>18.559999999999999</v>
      </c>
      <c r="M100" s="64">
        <v>81.39</v>
      </c>
      <c r="N100" s="64">
        <v>75.099999999999994</v>
      </c>
      <c r="O100" s="64">
        <v>0</v>
      </c>
      <c r="P100" s="64">
        <v>2.2599999999999998</v>
      </c>
      <c r="Q100" s="64">
        <v>8.25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1878</v>
      </c>
      <c r="B101" s="64">
        <v>64.37</v>
      </c>
      <c r="C101" s="64">
        <v>54.47</v>
      </c>
      <c r="D101" s="64">
        <v>82.33</v>
      </c>
      <c r="E101" s="64">
        <v>2.67</v>
      </c>
      <c r="F101" s="64">
        <v>3.19</v>
      </c>
      <c r="G101" s="64">
        <v>96.68</v>
      </c>
      <c r="H101" s="64">
        <v>36.01</v>
      </c>
      <c r="I101" s="64">
        <v>1.51</v>
      </c>
      <c r="J101" s="64">
        <v>0.11</v>
      </c>
      <c r="K101" s="64">
        <v>301.02</v>
      </c>
      <c r="L101" s="64">
        <v>18.28</v>
      </c>
      <c r="M101" s="64">
        <v>85.79</v>
      </c>
      <c r="N101" s="64">
        <v>76.400000000000006</v>
      </c>
      <c r="O101" s="64">
        <v>0</v>
      </c>
      <c r="P101" s="64">
        <v>2.34</v>
      </c>
      <c r="Q101" s="64">
        <v>6.19</v>
      </c>
      <c r="R101" s="198"/>
      <c r="S101" s="198"/>
      <c r="T101" s="198"/>
      <c r="U101" s="198"/>
    </row>
    <row r="102" spans="1:33" s="12" customFormat="1" x14ac:dyDescent="0.25">
      <c r="A102" s="215" t="s">
        <v>1879</v>
      </c>
      <c r="B102" s="64">
        <v>55.73</v>
      </c>
      <c r="C102" s="64">
        <v>60.28</v>
      </c>
      <c r="D102" s="64">
        <v>78.61</v>
      </c>
      <c r="E102" s="64">
        <v>2.68</v>
      </c>
      <c r="F102" s="64">
        <v>3.22</v>
      </c>
      <c r="G102" s="64">
        <v>97.45</v>
      </c>
      <c r="H102" s="64">
        <v>36.42</v>
      </c>
      <c r="I102" s="64">
        <v>1.5</v>
      </c>
      <c r="J102" s="64">
        <v>0.1</v>
      </c>
      <c r="K102" s="64">
        <v>280.14</v>
      </c>
      <c r="L102" s="64">
        <v>18.11</v>
      </c>
      <c r="M102" s="64">
        <v>84.87</v>
      </c>
      <c r="N102" s="64">
        <v>79.400000000000006</v>
      </c>
      <c r="O102" s="64">
        <v>0</v>
      </c>
      <c r="P102" s="64">
        <v>2.2599999999999998</v>
      </c>
      <c r="Q102" s="64">
        <v>8.4</v>
      </c>
      <c r="R102" s="198"/>
      <c r="S102" s="198"/>
      <c r="T102" s="198"/>
      <c r="U102" s="198"/>
    </row>
    <row r="103" spans="1:33" s="12" customFormat="1" x14ac:dyDescent="0.25">
      <c r="A103" s="215" t="s">
        <v>1880</v>
      </c>
      <c r="B103" s="64">
        <v>62.54</v>
      </c>
      <c r="C103" s="64">
        <v>56.49</v>
      </c>
      <c r="D103" s="64">
        <v>81.97</v>
      </c>
      <c r="E103" s="64">
        <v>2.68</v>
      </c>
      <c r="F103" s="64">
        <v>3.23</v>
      </c>
      <c r="G103" s="64">
        <v>97.45</v>
      </c>
      <c r="H103" s="64">
        <v>36.42</v>
      </c>
      <c r="I103" s="64">
        <v>1.48</v>
      </c>
      <c r="J103" s="64">
        <v>0.08</v>
      </c>
      <c r="K103" s="64">
        <v>325.77999999999997</v>
      </c>
      <c r="L103" s="64">
        <v>17.850000000000001</v>
      </c>
      <c r="M103" s="64">
        <v>86.58</v>
      </c>
      <c r="N103" s="64">
        <v>81</v>
      </c>
      <c r="O103" s="64">
        <v>0</v>
      </c>
      <c r="P103" s="64">
        <v>2.31</v>
      </c>
      <c r="Q103" s="64">
        <v>9.02</v>
      </c>
      <c r="R103" s="198"/>
      <c r="S103" s="198"/>
      <c r="T103" s="198"/>
      <c r="U103" s="198"/>
    </row>
    <row r="104" spans="1:33" s="12" customFormat="1" x14ac:dyDescent="0.25">
      <c r="A104" s="215" t="s">
        <v>1881</v>
      </c>
      <c r="B104" s="64">
        <v>66</v>
      </c>
      <c r="C104" s="64">
        <v>52.92</v>
      </c>
      <c r="D104" s="64">
        <v>82.78</v>
      </c>
      <c r="E104" s="64">
        <v>2.34</v>
      </c>
      <c r="F104" s="64">
        <v>3.06</v>
      </c>
      <c r="G104" s="64">
        <v>97.45</v>
      </c>
      <c r="H104" s="64">
        <v>36.42</v>
      </c>
      <c r="I104" s="64">
        <v>1.46</v>
      </c>
      <c r="J104" s="64">
        <v>0.08</v>
      </c>
      <c r="K104" s="64">
        <v>89.79</v>
      </c>
      <c r="L104" s="64">
        <v>17.71</v>
      </c>
      <c r="M104" s="64">
        <v>88.1</v>
      </c>
      <c r="N104" s="64">
        <v>80.400000000000006</v>
      </c>
      <c r="O104" s="64">
        <v>0</v>
      </c>
      <c r="P104" s="64">
        <v>2.3199999999999998</v>
      </c>
      <c r="Q104" s="64">
        <v>9.34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2.34</v>
      </c>
      <c r="C106" s="67">
        <f>MIN(C9:C104)</f>
        <v>25.75</v>
      </c>
      <c r="D106" s="67">
        <f t="shared" ref="D106:Q106" si="0">MIN(D9:D104)</f>
        <v>17.03</v>
      </c>
      <c r="E106" s="67">
        <f t="shared" si="0"/>
        <v>2.08</v>
      </c>
      <c r="F106" s="67">
        <f t="shared" si="0"/>
        <v>3.06</v>
      </c>
      <c r="G106" s="67">
        <f t="shared" si="0"/>
        <v>31.07</v>
      </c>
      <c r="H106" s="67">
        <f t="shared" si="0"/>
        <v>14.65</v>
      </c>
      <c r="I106" s="67">
        <f t="shared" si="0"/>
        <v>1.42</v>
      </c>
      <c r="J106" s="67">
        <f t="shared" si="0"/>
        <v>0.04</v>
      </c>
      <c r="K106" s="67">
        <f t="shared" si="0"/>
        <v>2.31</v>
      </c>
      <c r="L106" s="67">
        <f t="shared" si="0"/>
        <v>16.25</v>
      </c>
      <c r="M106" s="67">
        <f t="shared" si="0"/>
        <v>27.61</v>
      </c>
      <c r="N106" s="67">
        <f t="shared" si="0"/>
        <v>35.9</v>
      </c>
      <c r="O106" s="67">
        <f t="shared" si="0"/>
        <v>0</v>
      </c>
      <c r="P106" s="67">
        <f t="shared" si="0"/>
        <v>0.61</v>
      </c>
      <c r="Q106" s="67">
        <f t="shared" si="0"/>
        <v>1.55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66</v>
      </c>
      <c r="C107" s="66">
        <f t="shared" ref="C107:Q107" si="1">MAX(C9:C104)</f>
        <v>79.61</v>
      </c>
      <c r="D107" s="66">
        <f t="shared" si="1"/>
        <v>82.78</v>
      </c>
      <c r="E107" s="66">
        <f t="shared" si="1"/>
        <v>4.38</v>
      </c>
      <c r="F107" s="66">
        <f t="shared" si="1"/>
        <v>44.76</v>
      </c>
      <c r="G107" s="66">
        <f t="shared" si="1"/>
        <v>97.45</v>
      </c>
      <c r="H107" s="66">
        <f t="shared" si="1"/>
        <v>36.42</v>
      </c>
      <c r="I107" s="66">
        <f t="shared" si="1"/>
        <v>1.59</v>
      </c>
      <c r="J107" s="66">
        <f t="shared" si="1"/>
        <v>2.0499999999999998</v>
      </c>
      <c r="K107" s="66">
        <f t="shared" si="1"/>
        <v>355.59</v>
      </c>
      <c r="L107" s="66">
        <f t="shared" si="1"/>
        <v>30.11</v>
      </c>
      <c r="M107" s="66">
        <f t="shared" si="1"/>
        <v>88.1</v>
      </c>
      <c r="N107" s="66">
        <f t="shared" si="1"/>
        <v>762.9</v>
      </c>
      <c r="O107" s="66">
        <f t="shared" si="1"/>
        <v>0</v>
      </c>
      <c r="P107" s="66">
        <f t="shared" si="1"/>
        <v>2.34</v>
      </c>
      <c r="Q107" s="66">
        <f t="shared" si="1"/>
        <v>9.34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13.497395833333334</v>
      </c>
      <c r="C108" s="67">
        <f t="shared" ref="C108:Q108" si="2">AVERAGE(C9:C104)</f>
        <v>42.391770833333325</v>
      </c>
      <c r="D108" s="67">
        <f t="shared" si="2"/>
        <v>34.865416666666668</v>
      </c>
      <c r="E108" s="67">
        <f t="shared" si="2"/>
        <v>2.6221874999999999</v>
      </c>
      <c r="F108" s="67">
        <f t="shared" si="2"/>
        <v>8.0432291666666664</v>
      </c>
      <c r="G108" s="67">
        <f t="shared" si="2"/>
        <v>57.712500000000055</v>
      </c>
      <c r="H108" s="67">
        <f t="shared" si="2"/>
        <v>24.782916666666683</v>
      </c>
      <c r="I108" s="67">
        <f t="shared" si="2"/>
        <v>1.5003124999999997</v>
      </c>
      <c r="J108" s="67">
        <f t="shared" si="2"/>
        <v>0.41979166666666684</v>
      </c>
      <c r="K108" s="67">
        <f t="shared" si="2"/>
        <v>222.65177083333319</v>
      </c>
      <c r="L108" s="67">
        <f t="shared" si="2"/>
        <v>21.766874999999999</v>
      </c>
      <c r="M108" s="67">
        <f t="shared" si="2"/>
        <v>58.356041666666698</v>
      </c>
      <c r="N108" s="67">
        <f t="shared" si="2"/>
        <v>215.14687500000005</v>
      </c>
      <c r="O108" s="67">
        <f t="shared" si="2"/>
        <v>0</v>
      </c>
      <c r="P108" s="67">
        <f t="shared" si="2"/>
        <v>1.1854166666666666</v>
      </c>
      <c r="Q108" s="67">
        <f t="shared" si="2"/>
        <v>5.0401041666666631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15.78673728797567</v>
      </c>
      <c r="C109" s="67">
        <f t="shared" ref="C109:Q109" si="3">STDEV(C9:C104)</f>
        <v>11.819079935229778</v>
      </c>
      <c r="D109" s="67">
        <f t="shared" si="3"/>
        <v>17.185977081493334</v>
      </c>
      <c r="E109" s="67">
        <f t="shared" si="3"/>
        <v>0.45158714989176674</v>
      </c>
      <c r="F109" s="67">
        <f t="shared" si="3"/>
        <v>8.7440342965080351</v>
      </c>
      <c r="G109" s="67">
        <f t="shared" si="3"/>
        <v>16.341902743045374</v>
      </c>
      <c r="H109" s="67">
        <f t="shared" si="3"/>
        <v>5.4719341171522844</v>
      </c>
      <c r="I109" s="67">
        <f t="shared" si="3"/>
        <v>3.459397954923131E-2</v>
      </c>
      <c r="J109" s="67">
        <f t="shared" si="3"/>
        <v>0.38844353153705918</v>
      </c>
      <c r="K109" s="67">
        <f t="shared" si="3"/>
        <v>126.56166238340995</v>
      </c>
      <c r="L109" s="67">
        <f t="shared" si="3"/>
        <v>4.0605543600013938</v>
      </c>
      <c r="M109" s="67">
        <f t="shared" si="3"/>
        <v>15.200373089546142</v>
      </c>
      <c r="N109" s="67">
        <f t="shared" si="3"/>
        <v>248.24289758351176</v>
      </c>
      <c r="O109" s="67">
        <f t="shared" si="3"/>
        <v>0</v>
      </c>
      <c r="P109" s="67">
        <f t="shared" si="3"/>
        <v>0.50819581113596379</v>
      </c>
      <c r="Q109" s="67">
        <f t="shared" si="3"/>
        <v>1.2202195615989773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1" sqref="G1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1882</v>
      </c>
      <c r="B9" s="64">
        <v>68.31</v>
      </c>
      <c r="C9" s="64">
        <v>45.92</v>
      </c>
      <c r="D9" s="64">
        <v>80.77</v>
      </c>
      <c r="E9" s="64">
        <v>2.5099999999999998</v>
      </c>
      <c r="F9" s="64">
        <v>3.43</v>
      </c>
      <c r="G9" s="64">
        <v>100.21</v>
      </c>
      <c r="H9" s="64">
        <v>38.58</v>
      </c>
      <c r="I9" s="64">
        <v>1.47</v>
      </c>
      <c r="J9" s="64">
        <v>7.0000000000000007E-2</v>
      </c>
      <c r="K9" s="64">
        <v>265.51</v>
      </c>
      <c r="L9" s="64">
        <v>17.59</v>
      </c>
      <c r="M9" s="64">
        <v>89.6</v>
      </c>
      <c r="N9" s="64">
        <v>76.400000000000006</v>
      </c>
      <c r="O9" s="64">
        <v>0</v>
      </c>
      <c r="P9" s="64">
        <v>2.3199999999999998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15" t="s">
        <v>1883</v>
      </c>
      <c r="B10" s="64">
        <v>70.62</v>
      </c>
      <c r="C10" s="64">
        <v>48.19</v>
      </c>
      <c r="D10" s="64">
        <v>83.87</v>
      </c>
      <c r="E10" s="64">
        <v>2.5499999999999998</v>
      </c>
      <c r="F10" s="64">
        <v>3.27</v>
      </c>
      <c r="G10" s="64">
        <v>102.05</v>
      </c>
      <c r="H10" s="64">
        <v>39.11</v>
      </c>
      <c r="I10" s="64">
        <v>1.47</v>
      </c>
      <c r="J10" s="64">
        <v>0.15</v>
      </c>
      <c r="K10" s="64">
        <v>308.11</v>
      </c>
      <c r="L10" s="64">
        <v>17.5</v>
      </c>
      <c r="M10" s="64">
        <v>91.72</v>
      </c>
      <c r="N10" s="64">
        <v>75.099999999999994</v>
      </c>
      <c r="O10" s="64">
        <v>0</v>
      </c>
      <c r="P10" s="64">
        <v>2.3199999999999998</v>
      </c>
      <c r="Q10" s="64">
        <v>9.89</v>
      </c>
      <c r="R10" s="198"/>
      <c r="S10" s="198"/>
      <c r="T10" s="198"/>
      <c r="U10" s="198"/>
    </row>
    <row r="11" spans="1:21" s="12" customFormat="1" x14ac:dyDescent="0.25">
      <c r="A11" s="215" t="s">
        <v>1884</v>
      </c>
      <c r="B11" s="64">
        <v>72.87</v>
      </c>
      <c r="C11" s="64">
        <v>48.26</v>
      </c>
      <c r="D11" s="64">
        <v>85.71</v>
      </c>
      <c r="E11" s="64">
        <v>2.5099999999999998</v>
      </c>
      <c r="F11" s="64">
        <v>3.36</v>
      </c>
      <c r="G11" s="64">
        <v>102.05</v>
      </c>
      <c r="H11" s="64">
        <v>39.11</v>
      </c>
      <c r="I11" s="64">
        <v>1.55</v>
      </c>
      <c r="J11" s="64">
        <v>0.06</v>
      </c>
      <c r="K11" s="64">
        <v>273.49</v>
      </c>
      <c r="L11" s="64">
        <v>17.3</v>
      </c>
      <c r="M11" s="64">
        <v>92.85</v>
      </c>
      <c r="N11" s="64">
        <v>75.3</v>
      </c>
      <c r="O11" s="64">
        <v>0</v>
      </c>
      <c r="P11" s="64">
        <v>2.3199999999999998</v>
      </c>
      <c r="Q11" s="64">
        <v>10.119999999999999</v>
      </c>
      <c r="R11" s="198"/>
      <c r="S11" s="198"/>
      <c r="T11" s="198"/>
      <c r="U11" s="198"/>
    </row>
    <row r="12" spans="1:21" s="12" customFormat="1" x14ac:dyDescent="0.25">
      <c r="A12" s="215" t="s">
        <v>1885</v>
      </c>
      <c r="B12" s="64">
        <v>75.16</v>
      </c>
      <c r="C12" s="64">
        <v>47.49</v>
      </c>
      <c r="D12" s="64">
        <v>87.13</v>
      </c>
      <c r="E12" s="64">
        <v>2.5499999999999998</v>
      </c>
      <c r="F12" s="64">
        <v>3.42</v>
      </c>
      <c r="G12" s="64">
        <v>102.05</v>
      </c>
      <c r="H12" s="64">
        <v>39.11</v>
      </c>
      <c r="I12" s="64">
        <v>1.54</v>
      </c>
      <c r="J12" s="64">
        <v>0.09</v>
      </c>
      <c r="K12" s="64">
        <v>282.19</v>
      </c>
      <c r="L12" s="64">
        <v>17.3</v>
      </c>
      <c r="M12" s="64">
        <v>93.32</v>
      </c>
      <c r="N12" s="64">
        <v>75.5</v>
      </c>
      <c r="O12" s="64">
        <v>0</v>
      </c>
      <c r="P12" s="64">
        <v>2.34</v>
      </c>
      <c r="Q12" s="64">
        <v>10.3</v>
      </c>
      <c r="R12" s="198"/>
      <c r="S12" s="198"/>
      <c r="T12" s="198"/>
      <c r="U12" s="198"/>
    </row>
    <row r="13" spans="1:21" s="12" customFormat="1" x14ac:dyDescent="0.25">
      <c r="A13" s="215" t="s">
        <v>1886</v>
      </c>
      <c r="B13" s="64">
        <v>76.62</v>
      </c>
      <c r="C13" s="64">
        <v>47.19</v>
      </c>
      <c r="D13" s="64">
        <v>88.13</v>
      </c>
      <c r="E13" s="64">
        <v>2.5</v>
      </c>
      <c r="F13" s="64">
        <v>3.26</v>
      </c>
      <c r="G13" s="64">
        <v>100.74</v>
      </c>
      <c r="H13" s="64">
        <v>37.840000000000003</v>
      </c>
      <c r="I13" s="64">
        <v>1.53</v>
      </c>
      <c r="J13" s="64">
        <v>7.0000000000000007E-2</v>
      </c>
      <c r="K13" s="64">
        <v>287.12</v>
      </c>
      <c r="L13" s="64">
        <v>17.170000000000002</v>
      </c>
      <c r="M13" s="64">
        <v>91.4</v>
      </c>
      <c r="N13" s="64">
        <v>75.8</v>
      </c>
      <c r="O13" s="64">
        <v>0</v>
      </c>
      <c r="P13" s="64">
        <v>2.11</v>
      </c>
      <c r="Q13" s="64">
        <v>10.48</v>
      </c>
      <c r="R13" s="198"/>
      <c r="S13" s="198"/>
      <c r="T13" s="198"/>
      <c r="U13" s="198"/>
    </row>
    <row r="14" spans="1:21" s="12" customFormat="1" x14ac:dyDescent="0.25">
      <c r="A14" s="215" t="s">
        <v>1887</v>
      </c>
      <c r="B14" s="64">
        <v>76.489999999999995</v>
      </c>
      <c r="C14" s="64">
        <v>47.72</v>
      </c>
      <c r="D14" s="64">
        <v>88.32</v>
      </c>
      <c r="E14" s="64">
        <v>2.4700000000000002</v>
      </c>
      <c r="F14" s="64">
        <v>2.96</v>
      </c>
      <c r="G14" s="64">
        <v>99.82</v>
      </c>
      <c r="H14" s="64">
        <v>37.229999999999997</v>
      </c>
      <c r="I14" s="64">
        <v>1.42</v>
      </c>
      <c r="J14" s="64">
        <v>0.08</v>
      </c>
      <c r="K14" s="64">
        <v>289.97000000000003</v>
      </c>
      <c r="L14" s="64">
        <v>17.23</v>
      </c>
      <c r="M14" s="64">
        <v>89.21</v>
      </c>
      <c r="N14" s="64">
        <v>76.2</v>
      </c>
      <c r="O14" s="64">
        <v>0</v>
      </c>
      <c r="P14" s="64">
        <v>2.2200000000000002</v>
      </c>
      <c r="Q14" s="64">
        <v>10.61</v>
      </c>
      <c r="R14" s="198"/>
      <c r="S14" s="198"/>
      <c r="T14" s="198"/>
      <c r="U14" s="198"/>
    </row>
    <row r="15" spans="1:21" s="12" customFormat="1" x14ac:dyDescent="0.25">
      <c r="A15" s="215" t="s">
        <v>1888</v>
      </c>
      <c r="B15" s="64">
        <v>75.25</v>
      </c>
      <c r="C15" s="64">
        <v>45.6</v>
      </c>
      <c r="D15" s="64">
        <v>86.15</v>
      </c>
      <c r="E15" s="64">
        <v>2.4700000000000002</v>
      </c>
      <c r="F15" s="64">
        <v>3.34</v>
      </c>
      <c r="G15" s="64">
        <v>99.82</v>
      </c>
      <c r="H15" s="64">
        <v>37.229999999999997</v>
      </c>
      <c r="I15" s="64">
        <v>1.55</v>
      </c>
      <c r="J15" s="64">
        <v>0.1</v>
      </c>
      <c r="K15" s="64">
        <v>243.76</v>
      </c>
      <c r="L15" s="64">
        <v>17.420000000000002</v>
      </c>
      <c r="M15" s="64">
        <v>86.28</v>
      </c>
      <c r="N15" s="64">
        <v>76.8</v>
      </c>
      <c r="O15" s="64">
        <v>0</v>
      </c>
      <c r="P15" s="64">
        <v>2.19</v>
      </c>
      <c r="Q15" s="64">
        <v>10.59</v>
      </c>
      <c r="R15" s="198"/>
      <c r="S15" s="198"/>
      <c r="T15" s="198"/>
      <c r="U15" s="198"/>
    </row>
    <row r="16" spans="1:21" s="12" customFormat="1" x14ac:dyDescent="0.25">
      <c r="A16" s="215" t="s">
        <v>1889</v>
      </c>
      <c r="B16" s="64">
        <v>71.349999999999994</v>
      </c>
      <c r="C16" s="64">
        <v>46.46</v>
      </c>
      <c r="D16" s="64">
        <v>83.51</v>
      </c>
      <c r="E16" s="64">
        <v>2.4700000000000002</v>
      </c>
      <c r="F16" s="64">
        <v>3.14</v>
      </c>
      <c r="G16" s="64">
        <v>99.82</v>
      </c>
      <c r="H16" s="64">
        <v>37.229999999999997</v>
      </c>
      <c r="I16" s="64">
        <v>1.55</v>
      </c>
      <c r="J16" s="64">
        <v>0.01</v>
      </c>
      <c r="K16" s="64">
        <v>211.08</v>
      </c>
      <c r="L16" s="64">
        <v>17.41</v>
      </c>
      <c r="M16" s="64">
        <v>87.39</v>
      </c>
      <c r="N16" s="64">
        <v>79.099999999999994</v>
      </c>
      <c r="O16" s="64">
        <v>0</v>
      </c>
      <c r="P16" s="64">
        <v>2.15</v>
      </c>
      <c r="Q16" s="64">
        <v>10.52</v>
      </c>
      <c r="R16" s="198"/>
      <c r="S16" s="198"/>
      <c r="T16" s="198"/>
      <c r="U16" s="198"/>
    </row>
    <row r="17" spans="1:21" s="12" customFormat="1" x14ac:dyDescent="0.25">
      <c r="A17" s="215" t="s">
        <v>1890</v>
      </c>
      <c r="B17" s="64">
        <v>65.63</v>
      </c>
      <c r="C17" s="64">
        <v>49.26</v>
      </c>
      <c r="D17" s="64">
        <v>80.459999999999994</v>
      </c>
      <c r="E17" s="64">
        <v>2.5299999999999998</v>
      </c>
      <c r="F17" s="64">
        <v>3.36</v>
      </c>
      <c r="G17" s="64">
        <v>94.34</v>
      </c>
      <c r="H17" s="64">
        <v>34.26</v>
      </c>
      <c r="I17" s="64">
        <v>1.53</v>
      </c>
      <c r="J17" s="64">
        <v>0.16</v>
      </c>
      <c r="K17" s="64">
        <v>333.38</v>
      </c>
      <c r="L17" s="64">
        <v>17.190000000000001</v>
      </c>
      <c r="M17" s="64">
        <v>89</v>
      </c>
      <c r="N17" s="64">
        <v>80.5</v>
      </c>
      <c r="O17" s="64">
        <v>0</v>
      </c>
      <c r="P17" s="64">
        <v>2.08</v>
      </c>
      <c r="Q17" s="64">
        <v>10.4</v>
      </c>
      <c r="R17" s="198"/>
      <c r="S17" s="198"/>
      <c r="T17" s="198"/>
      <c r="U17" s="198"/>
    </row>
    <row r="18" spans="1:21" s="12" customFormat="1" x14ac:dyDescent="0.25">
      <c r="A18" s="215" t="s">
        <v>1891</v>
      </c>
      <c r="B18" s="64">
        <v>64.09</v>
      </c>
      <c r="C18" s="64">
        <v>46.07</v>
      </c>
      <c r="D18" s="64">
        <v>77.459999999999994</v>
      </c>
      <c r="E18" s="64">
        <v>2.56</v>
      </c>
      <c r="F18" s="64">
        <v>4.41</v>
      </c>
      <c r="G18" s="64">
        <v>90.68</v>
      </c>
      <c r="H18" s="64">
        <v>33.47</v>
      </c>
      <c r="I18" s="64">
        <v>1.53</v>
      </c>
      <c r="J18" s="64">
        <v>0.26</v>
      </c>
      <c r="K18" s="64">
        <v>329.21</v>
      </c>
      <c r="L18" s="64">
        <v>17.899999999999999</v>
      </c>
      <c r="M18" s="64">
        <v>78.290000000000006</v>
      </c>
      <c r="N18" s="64">
        <v>72.599999999999994</v>
      </c>
      <c r="O18" s="64">
        <v>0</v>
      </c>
      <c r="P18" s="64">
        <v>2.0299999999999998</v>
      </c>
      <c r="Q18" s="64">
        <v>10.37</v>
      </c>
      <c r="R18" s="198"/>
      <c r="S18" s="198"/>
      <c r="T18" s="198"/>
      <c r="U18" s="198"/>
    </row>
    <row r="19" spans="1:21" s="12" customFormat="1" x14ac:dyDescent="0.25">
      <c r="A19" s="215" t="s">
        <v>1892</v>
      </c>
      <c r="B19" s="64">
        <v>59.22</v>
      </c>
      <c r="C19" s="64">
        <v>48.43</v>
      </c>
      <c r="D19" s="64">
        <v>74.86</v>
      </c>
      <c r="E19" s="64">
        <v>2.4700000000000002</v>
      </c>
      <c r="F19" s="64">
        <v>3.64</v>
      </c>
      <c r="G19" s="64">
        <v>90.68</v>
      </c>
      <c r="H19" s="64">
        <v>33.47</v>
      </c>
      <c r="I19" s="64">
        <v>1.49</v>
      </c>
      <c r="J19" s="64">
        <v>0.06</v>
      </c>
      <c r="K19" s="64">
        <v>56.33</v>
      </c>
      <c r="L19" s="64">
        <v>17.82</v>
      </c>
      <c r="M19" s="64">
        <v>79.16</v>
      </c>
      <c r="N19" s="64">
        <v>76.7</v>
      </c>
      <c r="O19" s="64">
        <v>0</v>
      </c>
      <c r="P19" s="64">
        <v>2.0099999999999998</v>
      </c>
      <c r="Q19" s="64">
        <v>10.050000000000001</v>
      </c>
      <c r="R19" s="198"/>
      <c r="S19" s="198"/>
      <c r="T19" s="198"/>
      <c r="U19" s="198"/>
    </row>
    <row r="20" spans="1:21" s="12" customFormat="1" x14ac:dyDescent="0.25">
      <c r="A20" s="215" t="s">
        <v>1893</v>
      </c>
      <c r="B20" s="64">
        <v>59.76</v>
      </c>
      <c r="C20" s="64">
        <v>44.16</v>
      </c>
      <c r="D20" s="64">
        <v>72.94</v>
      </c>
      <c r="E20" s="64">
        <v>2.4900000000000002</v>
      </c>
      <c r="F20" s="64">
        <v>3.38</v>
      </c>
      <c r="G20" s="64">
        <v>90.68</v>
      </c>
      <c r="H20" s="64">
        <v>33.47</v>
      </c>
      <c r="I20" s="64">
        <v>1.53</v>
      </c>
      <c r="J20" s="64">
        <v>0.1</v>
      </c>
      <c r="K20" s="64">
        <v>119.01</v>
      </c>
      <c r="L20" s="64">
        <v>17.510000000000002</v>
      </c>
      <c r="M20" s="64">
        <v>80.8</v>
      </c>
      <c r="N20" s="64">
        <v>74</v>
      </c>
      <c r="O20" s="64">
        <v>0</v>
      </c>
      <c r="P20" s="64">
        <v>1.99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5" t="s">
        <v>1894</v>
      </c>
      <c r="B21" s="64">
        <v>58.89</v>
      </c>
      <c r="C21" s="64">
        <v>42.16</v>
      </c>
      <c r="D21" s="64">
        <v>71.14</v>
      </c>
      <c r="E21" s="64">
        <v>2.38</v>
      </c>
      <c r="F21" s="64">
        <v>3.5</v>
      </c>
      <c r="G21" s="64">
        <v>94.41</v>
      </c>
      <c r="H21" s="64">
        <v>36.4</v>
      </c>
      <c r="I21" s="64">
        <v>1.58</v>
      </c>
      <c r="J21" s="64">
        <v>0.09</v>
      </c>
      <c r="K21" s="64">
        <v>57.33</v>
      </c>
      <c r="L21" s="64">
        <v>17.39</v>
      </c>
      <c r="M21" s="64">
        <v>81.42</v>
      </c>
      <c r="N21" s="64">
        <v>76.400000000000006</v>
      </c>
      <c r="O21" s="64">
        <v>0</v>
      </c>
      <c r="P21" s="64">
        <v>1.95</v>
      </c>
      <c r="Q21" s="64">
        <v>9.26</v>
      </c>
      <c r="R21" s="198"/>
      <c r="S21" s="198"/>
      <c r="T21" s="198"/>
      <c r="U21" s="198"/>
    </row>
    <row r="22" spans="1:21" s="12" customFormat="1" x14ac:dyDescent="0.25">
      <c r="A22" s="215" t="s">
        <v>1895</v>
      </c>
      <c r="B22" s="64">
        <v>56.76</v>
      </c>
      <c r="C22" s="64">
        <v>43.59</v>
      </c>
      <c r="D22" s="64">
        <v>70.22</v>
      </c>
      <c r="E22" s="64">
        <v>2.4500000000000002</v>
      </c>
      <c r="F22" s="64">
        <v>3.26</v>
      </c>
      <c r="G22" s="64">
        <v>96.9</v>
      </c>
      <c r="H22" s="64">
        <v>37.159999999999997</v>
      </c>
      <c r="I22" s="64">
        <v>1.48</v>
      </c>
      <c r="J22" s="64">
        <v>0.12</v>
      </c>
      <c r="K22" s="64">
        <v>316.87</v>
      </c>
      <c r="L22" s="64">
        <v>17.05</v>
      </c>
      <c r="M22" s="64">
        <v>86.27</v>
      </c>
      <c r="N22" s="64">
        <v>80.5</v>
      </c>
      <c r="O22" s="64">
        <v>0</v>
      </c>
      <c r="P22" s="64">
        <v>1.91</v>
      </c>
      <c r="Q22" s="64">
        <v>9.06</v>
      </c>
      <c r="R22" s="198"/>
      <c r="S22" s="198"/>
      <c r="T22" s="198"/>
      <c r="U22" s="198"/>
    </row>
    <row r="23" spans="1:21" s="12" customFormat="1" x14ac:dyDescent="0.25">
      <c r="A23" s="215" t="s">
        <v>1896</v>
      </c>
      <c r="B23" s="64">
        <v>54.95</v>
      </c>
      <c r="C23" s="64">
        <v>41.7</v>
      </c>
      <c r="D23" s="64">
        <v>67.72</v>
      </c>
      <c r="E23" s="64">
        <v>2.39</v>
      </c>
      <c r="F23" s="64">
        <v>3.27</v>
      </c>
      <c r="G23" s="64">
        <v>96.9</v>
      </c>
      <c r="H23" s="64">
        <v>37.159999999999997</v>
      </c>
      <c r="I23" s="64">
        <v>1.49</v>
      </c>
      <c r="J23" s="64">
        <v>0.05</v>
      </c>
      <c r="K23" s="64">
        <v>292.86</v>
      </c>
      <c r="L23" s="64">
        <v>16.8</v>
      </c>
      <c r="M23" s="64">
        <v>86.73</v>
      </c>
      <c r="N23" s="64">
        <v>80.7</v>
      </c>
      <c r="O23" s="64">
        <v>0</v>
      </c>
      <c r="P23" s="64">
        <v>1.87</v>
      </c>
      <c r="Q23" s="64">
        <v>8.93</v>
      </c>
      <c r="R23" s="198"/>
      <c r="S23" s="198"/>
      <c r="T23" s="198"/>
      <c r="U23" s="198"/>
    </row>
    <row r="24" spans="1:21" s="12" customFormat="1" x14ac:dyDescent="0.25">
      <c r="A24" s="215" t="s">
        <v>1897</v>
      </c>
      <c r="B24" s="64">
        <v>53.02</v>
      </c>
      <c r="C24" s="64">
        <v>42.11</v>
      </c>
      <c r="D24" s="64">
        <v>66.400000000000006</v>
      </c>
      <c r="E24" s="64">
        <v>2.31</v>
      </c>
      <c r="F24" s="64">
        <v>3.22</v>
      </c>
      <c r="G24" s="64">
        <v>96.9</v>
      </c>
      <c r="H24" s="64">
        <v>37.159999999999997</v>
      </c>
      <c r="I24" s="64">
        <v>1.5</v>
      </c>
      <c r="J24" s="64">
        <v>0.02</v>
      </c>
      <c r="K24" s="64">
        <v>191.04</v>
      </c>
      <c r="L24" s="64">
        <v>16.600000000000001</v>
      </c>
      <c r="M24" s="64">
        <v>86.23</v>
      </c>
      <c r="N24" s="64">
        <v>78.8</v>
      </c>
      <c r="O24" s="64">
        <v>0</v>
      </c>
      <c r="P24" s="64">
        <v>1.83</v>
      </c>
      <c r="Q24" s="64">
        <v>8.7899999999999991</v>
      </c>
      <c r="R24" s="198"/>
      <c r="S24" s="198"/>
      <c r="T24" s="198"/>
      <c r="U24" s="198"/>
    </row>
    <row r="25" spans="1:21" s="12" customFormat="1" x14ac:dyDescent="0.25">
      <c r="A25" s="215" t="s">
        <v>1898</v>
      </c>
      <c r="B25" s="64">
        <v>51.09</v>
      </c>
      <c r="C25" s="64">
        <v>42.36</v>
      </c>
      <c r="D25" s="64">
        <v>64.989999999999995</v>
      </c>
      <c r="E25" s="64">
        <v>2.52</v>
      </c>
      <c r="F25" s="64">
        <v>3.16</v>
      </c>
      <c r="G25" s="64">
        <v>97.57</v>
      </c>
      <c r="H25" s="64">
        <v>37.29</v>
      </c>
      <c r="I25" s="64">
        <v>1.48</v>
      </c>
      <c r="J25" s="64">
        <v>0.11</v>
      </c>
      <c r="K25" s="64">
        <v>261.45</v>
      </c>
      <c r="L25" s="64">
        <v>16.82</v>
      </c>
      <c r="M25" s="64">
        <v>85.49</v>
      </c>
      <c r="N25" s="64">
        <v>78.5</v>
      </c>
      <c r="O25" s="64">
        <v>0</v>
      </c>
      <c r="P25" s="64">
        <v>1.79</v>
      </c>
      <c r="Q25" s="64">
        <v>8.6300000000000008</v>
      </c>
      <c r="R25" s="198"/>
      <c r="S25" s="198"/>
      <c r="T25" s="198"/>
      <c r="U25" s="198"/>
    </row>
    <row r="26" spans="1:21" s="12" customFormat="1" x14ac:dyDescent="0.25">
      <c r="A26" s="215" t="s">
        <v>1899</v>
      </c>
      <c r="B26" s="64">
        <v>49.12</v>
      </c>
      <c r="C26" s="64">
        <v>41.46</v>
      </c>
      <c r="D26" s="64">
        <v>62.92</v>
      </c>
      <c r="E26" s="64">
        <v>2.4900000000000002</v>
      </c>
      <c r="F26" s="64">
        <v>3.14</v>
      </c>
      <c r="G26" s="64">
        <v>98.02</v>
      </c>
      <c r="H26" s="64">
        <v>37.33</v>
      </c>
      <c r="I26" s="64">
        <v>1.46</v>
      </c>
      <c r="J26" s="64">
        <v>0.06</v>
      </c>
      <c r="K26" s="64">
        <v>275.36</v>
      </c>
      <c r="L26" s="64">
        <v>16.64</v>
      </c>
      <c r="M26" s="64">
        <v>86.26</v>
      </c>
      <c r="N26" s="64">
        <v>78.7</v>
      </c>
      <c r="O26" s="64">
        <v>0</v>
      </c>
      <c r="P26" s="64">
        <v>1.74</v>
      </c>
      <c r="Q26" s="64">
        <v>8.4600000000000009</v>
      </c>
      <c r="R26" s="198"/>
      <c r="S26" s="198"/>
      <c r="T26" s="198"/>
      <c r="U26" s="198"/>
    </row>
    <row r="27" spans="1:21" s="12" customFormat="1" x14ac:dyDescent="0.25">
      <c r="A27" s="215" t="s">
        <v>1900</v>
      </c>
      <c r="B27" s="64">
        <v>45.29</v>
      </c>
      <c r="C27" s="64">
        <v>42.29</v>
      </c>
      <c r="D27" s="64">
        <v>60.31</v>
      </c>
      <c r="E27" s="64">
        <v>2.4900000000000002</v>
      </c>
      <c r="F27" s="64">
        <v>2.82</v>
      </c>
      <c r="G27" s="64">
        <v>98.02</v>
      </c>
      <c r="H27" s="64">
        <v>37.33</v>
      </c>
      <c r="I27" s="64">
        <v>1.48</v>
      </c>
      <c r="J27" s="64">
        <v>0.1</v>
      </c>
      <c r="K27" s="64">
        <v>267.22000000000003</v>
      </c>
      <c r="L27" s="64">
        <v>16.28</v>
      </c>
      <c r="M27" s="64">
        <v>89.72</v>
      </c>
      <c r="N27" s="64">
        <v>78.8</v>
      </c>
      <c r="O27" s="64">
        <v>0</v>
      </c>
      <c r="P27" s="64">
        <v>1.68</v>
      </c>
      <c r="Q27" s="64">
        <v>8.3699999999999992</v>
      </c>
      <c r="R27" s="198"/>
      <c r="S27" s="198"/>
      <c r="T27" s="198"/>
      <c r="U27" s="198"/>
    </row>
    <row r="28" spans="1:21" s="12" customFormat="1" x14ac:dyDescent="0.25">
      <c r="A28" s="215" t="s">
        <v>1901</v>
      </c>
      <c r="B28" s="64">
        <v>44.23</v>
      </c>
      <c r="C28" s="64">
        <v>41.98</v>
      </c>
      <c r="D28" s="64">
        <v>59.28</v>
      </c>
      <c r="E28" s="64">
        <v>2.4900000000000002</v>
      </c>
      <c r="F28" s="64">
        <v>2.85</v>
      </c>
      <c r="G28" s="64">
        <v>98.02</v>
      </c>
      <c r="H28" s="64">
        <v>37.33</v>
      </c>
      <c r="I28" s="64">
        <v>1.5</v>
      </c>
      <c r="J28" s="64">
        <v>0.06</v>
      </c>
      <c r="K28" s="64">
        <v>316.66000000000003</v>
      </c>
      <c r="L28" s="64">
        <v>16.309999999999999</v>
      </c>
      <c r="M28" s="64">
        <v>89.84</v>
      </c>
      <c r="N28" s="64">
        <v>79</v>
      </c>
      <c r="O28" s="64">
        <v>0</v>
      </c>
      <c r="P28" s="64">
        <v>1.63</v>
      </c>
      <c r="Q28" s="64">
        <v>8.2799999999999994</v>
      </c>
      <c r="R28" s="198"/>
      <c r="S28" s="198"/>
      <c r="T28" s="198"/>
      <c r="U28" s="198"/>
    </row>
    <row r="29" spans="1:21" s="12" customFormat="1" x14ac:dyDescent="0.25">
      <c r="A29" s="215" t="s">
        <v>1902</v>
      </c>
      <c r="B29" s="64">
        <v>41.57</v>
      </c>
      <c r="C29" s="64">
        <v>43.84</v>
      </c>
      <c r="D29" s="64">
        <v>58.18</v>
      </c>
      <c r="E29" s="64">
        <v>2.4900000000000002</v>
      </c>
      <c r="F29" s="64">
        <v>3.04</v>
      </c>
      <c r="G29" s="64">
        <v>91.69</v>
      </c>
      <c r="H29" s="64">
        <v>35.9</v>
      </c>
      <c r="I29" s="64">
        <v>1.53</v>
      </c>
      <c r="J29" s="64">
        <v>0.12</v>
      </c>
      <c r="K29" s="64">
        <v>2.84</v>
      </c>
      <c r="L29" s="64">
        <v>16.21</v>
      </c>
      <c r="M29" s="64">
        <v>91.09</v>
      </c>
      <c r="N29" s="64">
        <v>79.2</v>
      </c>
      <c r="O29" s="64">
        <v>0</v>
      </c>
      <c r="P29" s="64">
        <v>1.6</v>
      </c>
      <c r="Q29" s="64">
        <v>8.18</v>
      </c>
      <c r="R29" s="198"/>
      <c r="S29" s="198"/>
      <c r="T29" s="198"/>
      <c r="U29" s="198"/>
    </row>
    <row r="30" spans="1:21" s="12" customFormat="1" x14ac:dyDescent="0.25">
      <c r="A30" s="215" t="s">
        <v>1903</v>
      </c>
      <c r="B30" s="64">
        <v>43.95</v>
      </c>
      <c r="C30" s="64">
        <v>42.96</v>
      </c>
      <c r="D30" s="64">
        <v>59.6</v>
      </c>
      <c r="E30" s="64">
        <v>2.5099999999999998</v>
      </c>
      <c r="F30" s="64">
        <v>3.1</v>
      </c>
      <c r="G30" s="64">
        <v>87.46</v>
      </c>
      <c r="H30" s="64">
        <v>35.26</v>
      </c>
      <c r="I30" s="64">
        <v>1.5</v>
      </c>
      <c r="J30" s="64">
        <v>0.09</v>
      </c>
      <c r="K30" s="64">
        <v>275.26</v>
      </c>
      <c r="L30" s="64">
        <v>16.190000000000001</v>
      </c>
      <c r="M30" s="64">
        <v>92.23</v>
      </c>
      <c r="N30" s="64">
        <v>79.900000000000006</v>
      </c>
      <c r="O30" s="64">
        <v>0</v>
      </c>
      <c r="P30" s="64">
        <v>1.58</v>
      </c>
      <c r="Q30" s="64">
        <v>8.17</v>
      </c>
      <c r="R30" s="198"/>
      <c r="S30" s="198"/>
      <c r="T30" s="198"/>
      <c r="U30" s="198"/>
    </row>
    <row r="31" spans="1:21" s="12" customFormat="1" x14ac:dyDescent="0.25">
      <c r="A31" s="215" t="s">
        <v>1904</v>
      </c>
      <c r="B31" s="64">
        <v>45.49</v>
      </c>
      <c r="C31" s="64">
        <v>42.44</v>
      </c>
      <c r="D31" s="64">
        <v>60.55</v>
      </c>
      <c r="E31" s="64">
        <v>2.5299999999999998</v>
      </c>
      <c r="F31" s="64">
        <v>3.12</v>
      </c>
      <c r="G31" s="64">
        <v>87.46</v>
      </c>
      <c r="H31" s="64">
        <v>35.26</v>
      </c>
      <c r="I31" s="64">
        <v>1.47</v>
      </c>
      <c r="J31" s="64">
        <v>0.15</v>
      </c>
      <c r="K31" s="64">
        <v>331.95</v>
      </c>
      <c r="L31" s="64">
        <v>16.079999999999998</v>
      </c>
      <c r="M31" s="64">
        <v>93.12</v>
      </c>
      <c r="N31" s="64">
        <v>81.7</v>
      </c>
      <c r="O31" s="64">
        <v>0</v>
      </c>
      <c r="P31" s="64">
        <v>1.55</v>
      </c>
      <c r="Q31" s="64">
        <v>8.19</v>
      </c>
      <c r="R31" s="198"/>
      <c r="S31" s="198"/>
      <c r="T31" s="198"/>
      <c r="U31" s="198"/>
    </row>
    <row r="32" spans="1:21" s="12" customFormat="1" x14ac:dyDescent="0.25">
      <c r="A32" s="215" t="s">
        <v>1905</v>
      </c>
      <c r="B32" s="64">
        <v>45.73</v>
      </c>
      <c r="C32" s="64">
        <v>39.81</v>
      </c>
      <c r="D32" s="64">
        <v>59.29</v>
      </c>
      <c r="E32" s="64">
        <v>2.5099999999999998</v>
      </c>
      <c r="F32" s="64">
        <v>3.27</v>
      </c>
      <c r="G32" s="64">
        <v>87.46</v>
      </c>
      <c r="H32" s="64">
        <v>35.26</v>
      </c>
      <c r="I32" s="64">
        <v>1.5</v>
      </c>
      <c r="J32" s="64">
        <v>0.04</v>
      </c>
      <c r="K32" s="64">
        <v>217.11</v>
      </c>
      <c r="L32" s="64">
        <v>16.11</v>
      </c>
      <c r="M32" s="64">
        <v>92.97</v>
      </c>
      <c r="N32" s="64">
        <v>79.5</v>
      </c>
      <c r="O32" s="64">
        <v>0</v>
      </c>
      <c r="P32" s="64">
        <v>1.52</v>
      </c>
      <c r="Q32" s="64">
        <v>8.14</v>
      </c>
      <c r="R32" s="198"/>
      <c r="S32" s="198"/>
      <c r="T32" s="198"/>
      <c r="U32" s="198"/>
    </row>
    <row r="33" spans="1:21" s="12" customFormat="1" x14ac:dyDescent="0.25">
      <c r="A33" s="215" t="s">
        <v>1906</v>
      </c>
      <c r="B33" s="64">
        <v>44.76</v>
      </c>
      <c r="C33" s="64">
        <v>41.52</v>
      </c>
      <c r="D33" s="64">
        <v>59.46</v>
      </c>
      <c r="E33" s="64">
        <v>2.52</v>
      </c>
      <c r="F33" s="64">
        <v>3.32</v>
      </c>
      <c r="G33" s="64">
        <v>90.5</v>
      </c>
      <c r="H33" s="64">
        <v>36.840000000000003</v>
      </c>
      <c r="I33" s="64">
        <v>1.52</v>
      </c>
      <c r="J33" s="64">
        <v>0.1</v>
      </c>
      <c r="K33" s="64">
        <v>271.92</v>
      </c>
      <c r="L33" s="64">
        <v>16.47</v>
      </c>
      <c r="M33" s="64">
        <v>91.1</v>
      </c>
      <c r="N33" s="64">
        <v>72.7</v>
      </c>
      <c r="O33" s="64">
        <v>0</v>
      </c>
      <c r="P33" s="64">
        <v>1.5</v>
      </c>
      <c r="Q33" s="64">
        <v>8.0299999999999994</v>
      </c>
      <c r="R33" s="198"/>
      <c r="S33" s="198"/>
      <c r="T33" s="198"/>
      <c r="U33" s="198"/>
    </row>
    <row r="34" spans="1:21" s="12" customFormat="1" x14ac:dyDescent="0.25">
      <c r="A34" s="215" t="s">
        <v>1907</v>
      </c>
      <c r="B34" s="64">
        <v>44.61</v>
      </c>
      <c r="C34" s="64">
        <v>41.4</v>
      </c>
      <c r="D34" s="64">
        <v>59.27</v>
      </c>
      <c r="E34" s="64">
        <v>2.5</v>
      </c>
      <c r="F34" s="64">
        <v>3.37</v>
      </c>
      <c r="G34" s="64">
        <v>92.53</v>
      </c>
      <c r="H34" s="64">
        <v>37.229999999999997</v>
      </c>
      <c r="I34" s="64">
        <v>1.54</v>
      </c>
      <c r="J34" s="64">
        <v>0.05</v>
      </c>
      <c r="K34" s="64">
        <v>115.13</v>
      </c>
      <c r="L34" s="64">
        <v>16.12</v>
      </c>
      <c r="M34" s="64">
        <v>94.02</v>
      </c>
      <c r="N34" s="64">
        <v>82.7</v>
      </c>
      <c r="O34" s="64">
        <v>0</v>
      </c>
      <c r="P34" s="64">
        <v>1.48</v>
      </c>
      <c r="Q34" s="64">
        <v>7.98</v>
      </c>
      <c r="R34" s="198"/>
      <c r="S34" s="198"/>
      <c r="T34" s="198"/>
      <c r="U34" s="198"/>
    </row>
    <row r="35" spans="1:21" s="12" customFormat="1" x14ac:dyDescent="0.25">
      <c r="A35" s="215" t="s">
        <v>1908</v>
      </c>
      <c r="B35" s="64">
        <v>44.43</v>
      </c>
      <c r="C35" s="64">
        <v>41.72</v>
      </c>
      <c r="D35" s="64">
        <v>59.3</v>
      </c>
      <c r="E35" s="64">
        <v>2.44</v>
      </c>
      <c r="F35" s="64">
        <v>3.28</v>
      </c>
      <c r="G35" s="64">
        <v>92.53</v>
      </c>
      <c r="H35" s="64">
        <v>37.229999999999997</v>
      </c>
      <c r="I35" s="64">
        <v>1.51</v>
      </c>
      <c r="J35" s="64">
        <v>0.05</v>
      </c>
      <c r="K35" s="64">
        <v>246.55</v>
      </c>
      <c r="L35" s="64">
        <v>16.46</v>
      </c>
      <c r="M35" s="64">
        <v>92.82</v>
      </c>
      <c r="N35" s="64">
        <v>97.4</v>
      </c>
      <c r="O35" s="64">
        <v>0</v>
      </c>
      <c r="P35" s="64">
        <v>1.48</v>
      </c>
      <c r="Q35" s="64">
        <v>7.91</v>
      </c>
      <c r="R35" s="198"/>
      <c r="S35" s="198"/>
      <c r="T35" s="198"/>
      <c r="U35" s="198"/>
    </row>
    <row r="36" spans="1:21" s="12" customFormat="1" x14ac:dyDescent="0.25">
      <c r="A36" s="215" t="s">
        <v>1909</v>
      </c>
      <c r="B36" s="64">
        <v>44.85</v>
      </c>
      <c r="C36" s="64">
        <v>40.85</v>
      </c>
      <c r="D36" s="64">
        <v>59.16</v>
      </c>
      <c r="E36" s="64">
        <v>2.5</v>
      </c>
      <c r="F36" s="64">
        <v>3.36</v>
      </c>
      <c r="G36" s="64">
        <v>92.53</v>
      </c>
      <c r="H36" s="64">
        <v>37.229999999999997</v>
      </c>
      <c r="I36" s="64">
        <v>1.46</v>
      </c>
      <c r="J36" s="64">
        <v>0.03</v>
      </c>
      <c r="K36" s="64">
        <v>84.08</v>
      </c>
      <c r="L36" s="64">
        <v>16.940000000000001</v>
      </c>
      <c r="M36" s="64">
        <v>91.64</v>
      </c>
      <c r="N36" s="64">
        <v>116.1</v>
      </c>
      <c r="O36" s="64">
        <v>0</v>
      </c>
      <c r="P36" s="64">
        <v>1.49</v>
      </c>
      <c r="Q36" s="64">
        <v>7.9</v>
      </c>
      <c r="R36" s="198"/>
      <c r="S36" s="198"/>
      <c r="T36" s="198"/>
      <c r="U36" s="198"/>
    </row>
    <row r="37" spans="1:21" s="12" customFormat="1" x14ac:dyDescent="0.25">
      <c r="A37" s="215" t="s">
        <v>1910</v>
      </c>
      <c r="B37" s="64">
        <v>45.56</v>
      </c>
      <c r="C37" s="64">
        <v>41.5</v>
      </c>
      <c r="D37" s="64">
        <v>60.08</v>
      </c>
      <c r="E37" s="64">
        <v>2.46</v>
      </c>
      <c r="F37" s="64">
        <v>3.12</v>
      </c>
      <c r="G37" s="64">
        <v>98.62</v>
      </c>
      <c r="H37" s="64">
        <v>41.69</v>
      </c>
      <c r="I37" s="64">
        <v>1.52</v>
      </c>
      <c r="J37" s="64">
        <v>0.51</v>
      </c>
      <c r="K37" s="64">
        <v>112.54</v>
      </c>
      <c r="L37" s="64">
        <v>17.61</v>
      </c>
      <c r="M37" s="64">
        <v>87.25</v>
      </c>
      <c r="N37" s="64">
        <v>160.30000000000001</v>
      </c>
      <c r="O37" s="64">
        <v>0</v>
      </c>
      <c r="P37" s="64">
        <v>1.47</v>
      </c>
      <c r="Q37" s="64">
        <v>7.95</v>
      </c>
      <c r="R37" s="198"/>
      <c r="S37" s="198"/>
      <c r="T37" s="198"/>
      <c r="U37" s="198"/>
    </row>
    <row r="38" spans="1:21" s="12" customFormat="1" x14ac:dyDescent="0.25">
      <c r="A38" s="215" t="s">
        <v>1911</v>
      </c>
      <c r="B38" s="64">
        <v>45.14</v>
      </c>
      <c r="C38" s="64">
        <v>42.69</v>
      </c>
      <c r="D38" s="64">
        <v>60.41</v>
      </c>
      <c r="E38" s="64">
        <v>2.4700000000000002</v>
      </c>
      <c r="F38" s="64">
        <v>3.1</v>
      </c>
      <c r="G38" s="64">
        <v>102.68</v>
      </c>
      <c r="H38" s="64">
        <v>42.79</v>
      </c>
      <c r="I38" s="64">
        <v>1.49</v>
      </c>
      <c r="J38" s="64">
        <v>0.15</v>
      </c>
      <c r="K38" s="64">
        <v>21.32</v>
      </c>
      <c r="L38" s="64">
        <v>18.920000000000002</v>
      </c>
      <c r="M38" s="64">
        <v>80.81</v>
      </c>
      <c r="N38" s="64">
        <v>257.8</v>
      </c>
      <c r="O38" s="64">
        <v>0</v>
      </c>
      <c r="P38" s="64">
        <v>1.51</v>
      </c>
      <c r="Q38" s="64">
        <v>8</v>
      </c>
      <c r="R38" s="198"/>
      <c r="S38" s="198"/>
      <c r="T38" s="198"/>
      <c r="U38" s="198"/>
    </row>
    <row r="39" spans="1:21" s="12" customFormat="1" x14ac:dyDescent="0.25">
      <c r="A39" s="215" t="s">
        <v>1912</v>
      </c>
      <c r="B39" s="64">
        <v>44.52</v>
      </c>
      <c r="C39" s="64">
        <v>42.23</v>
      </c>
      <c r="D39" s="64">
        <v>59.65</v>
      </c>
      <c r="E39" s="64">
        <v>2.5099999999999998</v>
      </c>
      <c r="F39" s="64">
        <v>3.24</v>
      </c>
      <c r="G39" s="64">
        <v>102.68</v>
      </c>
      <c r="H39" s="64">
        <v>42.79</v>
      </c>
      <c r="I39" s="64">
        <v>1.53</v>
      </c>
      <c r="J39" s="64">
        <v>0.11</v>
      </c>
      <c r="K39" s="64">
        <v>14.85</v>
      </c>
      <c r="L39" s="64">
        <v>20.84</v>
      </c>
      <c r="M39" s="64">
        <v>72.540000000000006</v>
      </c>
      <c r="N39" s="64">
        <v>317.8</v>
      </c>
      <c r="O39" s="64">
        <v>0</v>
      </c>
      <c r="P39" s="64">
        <v>1.52</v>
      </c>
      <c r="Q39" s="64">
        <v>7.95</v>
      </c>
      <c r="R39" s="198"/>
      <c r="S39" s="198"/>
      <c r="T39" s="198"/>
      <c r="U39" s="198"/>
    </row>
    <row r="40" spans="1:21" s="12" customFormat="1" x14ac:dyDescent="0.25">
      <c r="A40" s="215" t="s">
        <v>1913</v>
      </c>
      <c r="B40" s="64">
        <v>41.76</v>
      </c>
      <c r="C40" s="64">
        <v>43.14</v>
      </c>
      <c r="D40" s="64">
        <v>57.94</v>
      </c>
      <c r="E40" s="64">
        <v>2.2400000000000002</v>
      </c>
      <c r="F40" s="64">
        <v>3.28</v>
      </c>
      <c r="G40" s="64">
        <v>102.68</v>
      </c>
      <c r="H40" s="64">
        <v>42.79</v>
      </c>
      <c r="I40" s="64">
        <v>1.49</v>
      </c>
      <c r="J40" s="64">
        <v>0.35</v>
      </c>
      <c r="K40" s="64">
        <v>103.83</v>
      </c>
      <c r="L40" s="64">
        <v>21.51</v>
      </c>
      <c r="M40" s="64">
        <v>70.31</v>
      </c>
      <c r="N40" s="64">
        <v>379.6</v>
      </c>
      <c r="O40" s="64">
        <v>0</v>
      </c>
      <c r="P40" s="64">
        <v>1.51</v>
      </c>
      <c r="Q40" s="64">
        <v>7.96</v>
      </c>
      <c r="R40" s="198"/>
      <c r="S40" s="198"/>
      <c r="T40" s="198"/>
      <c r="U40" s="198"/>
    </row>
    <row r="41" spans="1:21" s="12" customFormat="1" x14ac:dyDescent="0.25">
      <c r="A41" s="215" t="s">
        <v>1914</v>
      </c>
      <c r="B41" s="64">
        <v>41.93</v>
      </c>
      <c r="C41" s="64">
        <v>43.77</v>
      </c>
      <c r="D41" s="64">
        <v>58.43</v>
      </c>
      <c r="E41" s="64">
        <v>2.42</v>
      </c>
      <c r="F41" s="64">
        <v>3.35</v>
      </c>
      <c r="G41" s="64">
        <v>109.43</v>
      </c>
      <c r="H41" s="64">
        <v>41.46</v>
      </c>
      <c r="I41" s="64">
        <v>1.46</v>
      </c>
      <c r="J41" s="64">
        <v>0.54</v>
      </c>
      <c r="K41" s="64">
        <v>349.4</v>
      </c>
      <c r="L41" s="64">
        <v>23.48</v>
      </c>
      <c r="M41" s="64">
        <v>61.75</v>
      </c>
      <c r="N41" s="64">
        <v>429.5</v>
      </c>
      <c r="O41" s="64">
        <v>0</v>
      </c>
      <c r="P41" s="64">
        <v>1.51</v>
      </c>
      <c r="Q41" s="64">
        <v>7.88</v>
      </c>
      <c r="R41" s="198"/>
      <c r="S41" s="198"/>
      <c r="T41" s="198"/>
      <c r="U41" s="198"/>
    </row>
    <row r="42" spans="1:21" s="12" customFormat="1" x14ac:dyDescent="0.25">
      <c r="A42" s="215" t="s">
        <v>1915</v>
      </c>
      <c r="B42" s="64">
        <v>40.450000000000003</v>
      </c>
      <c r="C42" s="64">
        <v>43.11</v>
      </c>
      <c r="D42" s="64">
        <v>56.88</v>
      </c>
      <c r="E42" s="64">
        <v>2.5299999999999998</v>
      </c>
      <c r="F42" s="64">
        <v>3.6</v>
      </c>
      <c r="G42" s="64">
        <v>113.92</v>
      </c>
      <c r="H42" s="64">
        <v>41.13</v>
      </c>
      <c r="I42" s="64">
        <v>1.49</v>
      </c>
      <c r="J42" s="64">
        <v>0.2</v>
      </c>
      <c r="K42" s="64">
        <v>8.58</v>
      </c>
      <c r="L42" s="64">
        <v>25.3</v>
      </c>
      <c r="M42" s="64">
        <v>56.28</v>
      </c>
      <c r="N42" s="64">
        <v>464</v>
      </c>
      <c r="O42" s="64">
        <v>0</v>
      </c>
      <c r="P42" s="64">
        <v>1.47</v>
      </c>
      <c r="Q42" s="64">
        <v>7.92</v>
      </c>
      <c r="R42" s="198"/>
      <c r="S42" s="198"/>
      <c r="T42" s="198"/>
      <c r="U42" s="198"/>
    </row>
    <row r="43" spans="1:21" s="12" customFormat="1" x14ac:dyDescent="0.25">
      <c r="A43" s="215" t="s">
        <v>1916</v>
      </c>
      <c r="B43" s="64">
        <v>39.43</v>
      </c>
      <c r="C43" s="64">
        <v>42.94</v>
      </c>
      <c r="D43" s="64">
        <v>55.97</v>
      </c>
      <c r="E43" s="64">
        <v>2.4500000000000002</v>
      </c>
      <c r="F43" s="64">
        <v>3.37</v>
      </c>
      <c r="G43" s="64">
        <v>113.92</v>
      </c>
      <c r="H43" s="64">
        <v>41.13</v>
      </c>
      <c r="I43" s="64">
        <v>1.46</v>
      </c>
      <c r="J43" s="64">
        <v>0.09</v>
      </c>
      <c r="K43" s="64">
        <v>86.38</v>
      </c>
      <c r="L43" s="64">
        <v>22.98</v>
      </c>
      <c r="M43" s="64">
        <v>67.760000000000005</v>
      </c>
      <c r="N43" s="64">
        <v>503.5</v>
      </c>
      <c r="O43" s="64">
        <v>0</v>
      </c>
      <c r="P43" s="64">
        <v>1.45</v>
      </c>
      <c r="Q43" s="64">
        <v>7.82</v>
      </c>
      <c r="R43" s="198"/>
      <c r="S43" s="198"/>
      <c r="T43" s="198"/>
      <c r="U43" s="198"/>
    </row>
    <row r="44" spans="1:21" s="12" customFormat="1" x14ac:dyDescent="0.25">
      <c r="A44" s="215" t="s">
        <v>1917</v>
      </c>
      <c r="B44" s="64">
        <v>37.82</v>
      </c>
      <c r="C44" s="64">
        <v>36.68</v>
      </c>
      <c r="D44" s="64">
        <v>51.22</v>
      </c>
      <c r="E44" s="64">
        <v>2.4500000000000002</v>
      </c>
      <c r="F44" s="64">
        <v>3.91</v>
      </c>
      <c r="G44" s="64">
        <v>113.92</v>
      </c>
      <c r="H44" s="64">
        <v>41.13</v>
      </c>
      <c r="I44" s="64">
        <v>1.47</v>
      </c>
      <c r="J44" s="64">
        <v>0.28999999999999998</v>
      </c>
      <c r="K44" s="64">
        <v>135.15</v>
      </c>
      <c r="L44" s="64">
        <v>22.66</v>
      </c>
      <c r="M44" s="64">
        <v>67.72</v>
      </c>
      <c r="N44" s="64">
        <v>551.20000000000005</v>
      </c>
      <c r="O44" s="64">
        <v>0</v>
      </c>
      <c r="P44" s="64">
        <v>1.41</v>
      </c>
      <c r="Q44" s="64">
        <v>7.64</v>
      </c>
      <c r="R44" s="198"/>
      <c r="S44" s="198"/>
      <c r="T44" s="198"/>
      <c r="U44" s="198"/>
    </row>
    <row r="45" spans="1:21" s="12" customFormat="1" x14ac:dyDescent="0.25">
      <c r="A45" s="215" t="s">
        <v>1918</v>
      </c>
      <c r="B45" s="64">
        <v>35.07</v>
      </c>
      <c r="C45" s="64">
        <v>38.4</v>
      </c>
      <c r="D45" s="64">
        <v>49.96</v>
      </c>
      <c r="E45" s="64">
        <v>2.42</v>
      </c>
      <c r="F45" s="64">
        <v>3.82</v>
      </c>
      <c r="G45" s="64">
        <v>100.95</v>
      </c>
      <c r="H45" s="64">
        <v>37.24</v>
      </c>
      <c r="I45" s="64">
        <v>1.49</v>
      </c>
      <c r="J45" s="64">
        <v>0.12</v>
      </c>
      <c r="K45" s="64">
        <v>82.54</v>
      </c>
      <c r="L45" s="64">
        <v>23.09</v>
      </c>
      <c r="M45" s="64">
        <v>68.31</v>
      </c>
      <c r="N45" s="64">
        <v>590.5</v>
      </c>
      <c r="O45" s="64">
        <v>0</v>
      </c>
      <c r="P45" s="64">
        <v>1.37</v>
      </c>
      <c r="Q45" s="64">
        <v>7.37</v>
      </c>
      <c r="R45" s="198"/>
      <c r="S45" s="198"/>
      <c r="T45" s="198"/>
      <c r="U45" s="198"/>
    </row>
    <row r="46" spans="1:21" s="12" customFormat="1" x14ac:dyDescent="0.25">
      <c r="A46" s="215" t="s">
        <v>1919</v>
      </c>
      <c r="B46" s="64">
        <v>32.39</v>
      </c>
      <c r="C46" s="64">
        <v>42.18</v>
      </c>
      <c r="D46" s="64">
        <v>49.89</v>
      </c>
      <c r="E46" s="64">
        <v>2.3199999999999998</v>
      </c>
      <c r="F46" s="64">
        <v>3.47</v>
      </c>
      <c r="G46" s="64">
        <v>92.29</v>
      </c>
      <c r="H46" s="64">
        <v>35.549999999999997</v>
      </c>
      <c r="I46" s="64">
        <v>1.52</v>
      </c>
      <c r="J46" s="64">
        <v>0.1</v>
      </c>
      <c r="K46" s="64">
        <v>295.39999999999998</v>
      </c>
      <c r="L46" s="64">
        <v>23.75</v>
      </c>
      <c r="M46" s="64">
        <v>67.319999999999993</v>
      </c>
      <c r="N46" s="64">
        <v>626</v>
      </c>
      <c r="O46" s="64">
        <v>0</v>
      </c>
      <c r="P46" s="64">
        <v>1.32</v>
      </c>
      <c r="Q46" s="64">
        <v>7.15</v>
      </c>
      <c r="R46" s="198"/>
      <c r="S46" s="198"/>
      <c r="T46" s="198"/>
      <c r="U46" s="198"/>
    </row>
    <row r="47" spans="1:21" s="12" customFormat="1" x14ac:dyDescent="0.25">
      <c r="A47" s="215" t="s">
        <v>1920</v>
      </c>
      <c r="B47" s="64">
        <v>29.91</v>
      </c>
      <c r="C47" s="64">
        <v>42.61</v>
      </c>
      <c r="D47" s="64">
        <v>48.15</v>
      </c>
      <c r="E47" s="64">
        <v>2.39</v>
      </c>
      <c r="F47" s="64">
        <v>3.5</v>
      </c>
      <c r="G47" s="64">
        <v>92.29</v>
      </c>
      <c r="H47" s="64">
        <v>35.549999999999997</v>
      </c>
      <c r="I47" s="64">
        <v>1.45</v>
      </c>
      <c r="J47" s="64">
        <v>0.15</v>
      </c>
      <c r="K47" s="64">
        <v>129.01</v>
      </c>
      <c r="L47" s="64">
        <v>24.16</v>
      </c>
      <c r="M47" s="64">
        <v>65.239999999999995</v>
      </c>
      <c r="N47" s="64">
        <v>664.4</v>
      </c>
      <c r="O47" s="64">
        <v>0</v>
      </c>
      <c r="P47" s="64">
        <v>1.27</v>
      </c>
      <c r="Q47" s="64">
        <v>6.98</v>
      </c>
      <c r="R47" s="198"/>
      <c r="S47" s="198"/>
      <c r="T47" s="198"/>
      <c r="U47" s="198"/>
    </row>
    <row r="48" spans="1:21" s="12" customFormat="1" x14ac:dyDescent="0.25">
      <c r="A48" s="215" t="s">
        <v>1921</v>
      </c>
      <c r="B48" s="64">
        <v>27.65</v>
      </c>
      <c r="C48" s="64">
        <v>39.979999999999997</v>
      </c>
      <c r="D48" s="64">
        <v>44.89</v>
      </c>
      <c r="E48" s="64">
        <v>2.39</v>
      </c>
      <c r="F48" s="64">
        <v>3.83</v>
      </c>
      <c r="G48" s="64">
        <v>92.29</v>
      </c>
      <c r="H48" s="64">
        <v>35.549999999999997</v>
      </c>
      <c r="I48" s="64">
        <v>1.53</v>
      </c>
      <c r="J48" s="64">
        <v>0.04</v>
      </c>
      <c r="K48" s="64">
        <v>29.18</v>
      </c>
      <c r="L48" s="64">
        <v>25.04</v>
      </c>
      <c r="M48" s="64">
        <v>63.73</v>
      </c>
      <c r="N48" s="64">
        <v>670.6</v>
      </c>
      <c r="O48" s="64">
        <v>0</v>
      </c>
      <c r="P48" s="64">
        <v>1.24</v>
      </c>
      <c r="Q48" s="64">
        <v>6.86</v>
      </c>
      <c r="R48" s="198"/>
      <c r="S48" s="198"/>
      <c r="T48" s="198"/>
      <c r="U48" s="198"/>
    </row>
    <row r="49" spans="1:21" s="12" customFormat="1" x14ac:dyDescent="0.25">
      <c r="A49" s="215" t="s">
        <v>1922</v>
      </c>
      <c r="B49" s="64">
        <v>23.45</v>
      </c>
      <c r="C49" s="64">
        <v>43.9</v>
      </c>
      <c r="D49" s="64">
        <v>43.68</v>
      </c>
      <c r="E49" s="64">
        <v>2.4</v>
      </c>
      <c r="F49" s="64">
        <v>4.1100000000000003</v>
      </c>
      <c r="G49" s="64">
        <v>80.239999999999995</v>
      </c>
      <c r="H49" s="64">
        <v>31.8</v>
      </c>
      <c r="I49" s="64">
        <v>1.5</v>
      </c>
      <c r="J49" s="64">
        <v>0.39</v>
      </c>
      <c r="K49" s="64">
        <v>106.48</v>
      </c>
      <c r="L49" s="64">
        <v>25.74</v>
      </c>
      <c r="M49" s="64">
        <v>58.22</v>
      </c>
      <c r="N49" s="64">
        <v>681.7</v>
      </c>
      <c r="O49" s="64">
        <v>0</v>
      </c>
      <c r="P49" s="64">
        <v>1.2</v>
      </c>
      <c r="Q49" s="64">
        <v>6.7</v>
      </c>
      <c r="R49" s="198"/>
      <c r="S49" s="198"/>
      <c r="T49" s="198"/>
      <c r="U49" s="198"/>
    </row>
    <row r="50" spans="1:21" s="12" customFormat="1" x14ac:dyDescent="0.25">
      <c r="A50" s="215" t="s">
        <v>1923</v>
      </c>
      <c r="B50" s="64">
        <v>22.66</v>
      </c>
      <c r="C50" s="64">
        <v>41.56</v>
      </c>
      <c r="D50" s="64">
        <v>41.75</v>
      </c>
      <c r="E50" s="64">
        <v>2.36</v>
      </c>
      <c r="F50" s="64">
        <v>4.0199999999999996</v>
      </c>
      <c r="G50" s="64">
        <v>72.209999999999994</v>
      </c>
      <c r="H50" s="64">
        <v>30.88</v>
      </c>
      <c r="I50" s="64">
        <v>1.5</v>
      </c>
      <c r="J50" s="64">
        <v>0.95</v>
      </c>
      <c r="K50" s="64">
        <v>116.86</v>
      </c>
      <c r="L50" s="64">
        <v>25.41</v>
      </c>
      <c r="M50" s="64">
        <v>57.21</v>
      </c>
      <c r="N50" s="64">
        <v>699.7</v>
      </c>
      <c r="O50" s="64">
        <v>0</v>
      </c>
      <c r="P50" s="64">
        <v>1.17</v>
      </c>
      <c r="Q50" s="64">
        <v>6.57</v>
      </c>
      <c r="R50" s="198"/>
      <c r="S50" s="198"/>
      <c r="T50" s="198"/>
      <c r="U50" s="198"/>
    </row>
    <row r="51" spans="1:21" s="12" customFormat="1" x14ac:dyDescent="0.25">
      <c r="A51" s="215" t="s">
        <v>1924</v>
      </c>
      <c r="B51" s="64">
        <v>20.18</v>
      </c>
      <c r="C51" s="64">
        <v>42.32</v>
      </c>
      <c r="D51" s="64">
        <v>40.18</v>
      </c>
      <c r="E51" s="64">
        <v>2.3199999999999998</v>
      </c>
      <c r="F51" s="64">
        <v>4.9000000000000004</v>
      </c>
      <c r="G51" s="64">
        <v>72.209999999999994</v>
      </c>
      <c r="H51" s="64">
        <v>30.88</v>
      </c>
      <c r="I51" s="64">
        <v>1.5</v>
      </c>
      <c r="J51" s="64">
        <v>0.47</v>
      </c>
      <c r="K51" s="64">
        <v>118.81</v>
      </c>
      <c r="L51" s="64">
        <v>26</v>
      </c>
      <c r="M51" s="64">
        <v>54.74</v>
      </c>
      <c r="N51" s="64">
        <v>743.7</v>
      </c>
      <c r="O51" s="64">
        <v>0</v>
      </c>
      <c r="P51" s="64">
        <v>1.1299999999999999</v>
      </c>
      <c r="Q51" s="64">
        <v>6.46</v>
      </c>
      <c r="R51" s="198"/>
      <c r="S51" s="198"/>
      <c r="T51" s="198"/>
      <c r="U51" s="198"/>
    </row>
    <row r="52" spans="1:21" s="12" customFormat="1" x14ac:dyDescent="0.25">
      <c r="A52" s="215" t="s">
        <v>1925</v>
      </c>
      <c r="B52" s="64">
        <v>18.329999999999998</v>
      </c>
      <c r="C52" s="64">
        <v>43.37</v>
      </c>
      <c r="D52" s="64">
        <v>39.28</v>
      </c>
      <c r="E52" s="64">
        <v>2.39</v>
      </c>
      <c r="F52" s="64">
        <v>5.42</v>
      </c>
      <c r="G52" s="64">
        <v>72.209999999999994</v>
      </c>
      <c r="H52" s="64">
        <v>30.88</v>
      </c>
      <c r="I52" s="64">
        <v>1.61</v>
      </c>
      <c r="J52" s="64">
        <v>0.87</v>
      </c>
      <c r="K52" s="64">
        <v>116.72</v>
      </c>
      <c r="L52" s="64">
        <v>26.75</v>
      </c>
      <c r="M52" s="64">
        <v>51.94</v>
      </c>
      <c r="N52" s="64">
        <v>713.4</v>
      </c>
      <c r="O52" s="64">
        <v>0</v>
      </c>
      <c r="P52" s="64">
        <v>1.1000000000000001</v>
      </c>
      <c r="Q52" s="64">
        <v>6.3</v>
      </c>
      <c r="R52" s="198"/>
      <c r="S52" s="198"/>
      <c r="T52" s="198"/>
      <c r="U52" s="198"/>
    </row>
    <row r="53" spans="1:21" s="12" customFormat="1" x14ac:dyDescent="0.25">
      <c r="A53" s="215" t="s">
        <v>1926</v>
      </c>
      <c r="B53" s="64">
        <v>16.96</v>
      </c>
      <c r="C53" s="64">
        <v>43.19</v>
      </c>
      <c r="D53" s="64">
        <v>38.08</v>
      </c>
      <c r="E53" s="64">
        <v>2.39</v>
      </c>
      <c r="F53" s="64">
        <v>5.34</v>
      </c>
      <c r="G53" s="64">
        <v>67.12</v>
      </c>
      <c r="H53" s="64">
        <v>26.1</v>
      </c>
      <c r="I53" s="64">
        <v>1.45</v>
      </c>
      <c r="J53" s="64">
        <v>0.41</v>
      </c>
      <c r="K53" s="64">
        <v>83.8</v>
      </c>
      <c r="L53" s="64">
        <v>27.05</v>
      </c>
      <c r="M53" s="64">
        <v>50.47</v>
      </c>
      <c r="N53" s="64">
        <v>712.1</v>
      </c>
      <c r="O53" s="64">
        <v>0</v>
      </c>
      <c r="P53" s="64">
        <v>1.07</v>
      </c>
      <c r="Q53" s="64">
        <v>6.13</v>
      </c>
      <c r="R53" s="198"/>
      <c r="S53" s="198"/>
      <c r="T53" s="198"/>
      <c r="U53" s="198"/>
    </row>
    <row r="54" spans="1:21" s="12" customFormat="1" x14ac:dyDescent="0.25">
      <c r="A54" s="215" t="s">
        <v>1927</v>
      </c>
      <c r="B54" s="64">
        <v>15.46</v>
      </c>
      <c r="C54" s="64">
        <v>42.74</v>
      </c>
      <c r="D54" s="64">
        <v>36.64</v>
      </c>
      <c r="E54" s="64">
        <v>2.4300000000000002</v>
      </c>
      <c r="F54" s="64">
        <v>6.16</v>
      </c>
      <c r="G54" s="64">
        <v>63.73</v>
      </c>
      <c r="H54" s="64">
        <v>24.95</v>
      </c>
      <c r="I54" s="64">
        <v>1.52</v>
      </c>
      <c r="J54" s="64">
        <v>0.83</v>
      </c>
      <c r="K54" s="64">
        <v>97.75</v>
      </c>
      <c r="L54" s="64">
        <v>27.14</v>
      </c>
      <c r="M54" s="64">
        <v>49.39</v>
      </c>
      <c r="N54" s="64">
        <v>685.2</v>
      </c>
      <c r="O54" s="64">
        <v>0</v>
      </c>
      <c r="P54" s="64">
        <v>1.03</v>
      </c>
      <c r="Q54" s="64">
        <v>5.95</v>
      </c>
      <c r="R54" s="198"/>
      <c r="S54" s="198"/>
      <c r="T54" s="198"/>
      <c r="U54" s="198"/>
    </row>
    <row r="55" spans="1:21" s="12" customFormat="1" x14ac:dyDescent="0.25">
      <c r="A55" s="215" t="s">
        <v>1928</v>
      </c>
      <c r="B55" s="64">
        <v>13.29</v>
      </c>
      <c r="C55" s="64">
        <v>40.5</v>
      </c>
      <c r="D55" s="64">
        <v>33.659999999999997</v>
      </c>
      <c r="E55" s="64">
        <v>2.5299999999999998</v>
      </c>
      <c r="F55" s="64">
        <v>5.83</v>
      </c>
      <c r="G55" s="64">
        <v>63.73</v>
      </c>
      <c r="H55" s="64">
        <v>24.95</v>
      </c>
      <c r="I55" s="64">
        <v>1.48</v>
      </c>
      <c r="J55" s="64">
        <v>1.27</v>
      </c>
      <c r="K55" s="64">
        <v>113.16</v>
      </c>
      <c r="L55" s="64">
        <v>26.25</v>
      </c>
      <c r="M55" s="64">
        <v>50.04</v>
      </c>
      <c r="N55" s="64">
        <v>686.4</v>
      </c>
      <c r="O55" s="64">
        <v>0</v>
      </c>
      <c r="P55" s="64">
        <v>0.99</v>
      </c>
      <c r="Q55" s="64">
        <v>5.87</v>
      </c>
      <c r="R55" s="198"/>
      <c r="S55" s="198"/>
      <c r="T55" s="198"/>
      <c r="U55" s="198"/>
    </row>
    <row r="56" spans="1:21" s="12" customFormat="1" x14ac:dyDescent="0.25">
      <c r="A56" s="215" t="s">
        <v>1929</v>
      </c>
      <c r="B56" s="64">
        <v>11.03</v>
      </c>
      <c r="C56" s="64">
        <v>36.25</v>
      </c>
      <c r="D56" s="64">
        <v>29.5</v>
      </c>
      <c r="E56" s="64">
        <v>2.19</v>
      </c>
      <c r="F56" s="64">
        <v>6.04</v>
      </c>
      <c r="G56" s="64">
        <v>63.73</v>
      </c>
      <c r="H56" s="64">
        <v>24.95</v>
      </c>
      <c r="I56" s="64">
        <v>1.5</v>
      </c>
      <c r="J56" s="64">
        <v>0.75</v>
      </c>
      <c r="K56" s="64">
        <v>335.04</v>
      </c>
      <c r="L56" s="64">
        <v>28.71</v>
      </c>
      <c r="M56" s="64">
        <v>43.91</v>
      </c>
      <c r="N56" s="64">
        <v>740.6</v>
      </c>
      <c r="O56" s="64">
        <v>0</v>
      </c>
      <c r="P56" s="64">
        <v>0.94</v>
      </c>
      <c r="Q56" s="64">
        <v>5.72</v>
      </c>
      <c r="R56" s="198"/>
      <c r="S56" s="198"/>
      <c r="T56" s="198"/>
      <c r="U56" s="198"/>
    </row>
    <row r="57" spans="1:21" s="12" customFormat="1" x14ac:dyDescent="0.25">
      <c r="A57" s="215" t="s">
        <v>1930</v>
      </c>
      <c r="B57" s="64">
        <v>9.59</v>
      </c>
      <c r="C57" s="64">
        <v>35.14</v>
      </c>
      <c r="D57" s="64">
        <v>27.73</v>
      </c>
      <c r="E57" s="64">
        <v>2.31</v>
      </c>
      <c r="F57" s="64">
        <v>8.09</v>
      </c>
      <c r="G57" s="64">
        <v>54.98</v>
      </c>
      <c r="H57" s="64">
        <v>22.83</v>
      </c>
      <c r="I57" s="64">
        <v>1.51</v>
      </c>
      <c r="J57" s="64">
        <v>0.61</v>
      </c>
      <c r="K57" s="64">
        <v>342.45</v>
      </c>
      <c r="L57" s="64">
        <v>31.36</v>
      </c>
      <c r="M57" s="64">
        <v>37.46</v>
      </c>
      <c r="N57" s="64">
        <v>692</v>
      </c>
      <c r="O57" s="64">
        <v>0</v>
      </c>
      <c r="P57" s="64">
        <v>0.92</v>
      </c>
      <c r="Q57" s="64">
        <v>5.48</v>
      </c>
      <c r="R57" s="198"/>
      <c r="S57" s="198"/>
      <c r="T57" s="198"/>
      <c r="U57" s="198"/>
    </row>
    <row r="58" spans="1:21" s="12" customFormat="1" x14ac:dyDescent="0.25">
      <c r="A58" s="215" t="s">
        <v>1931</v>
      </c>
      <c r="B58" s="64">
        <v>8.5399999999999991</v>
      </c>
      <c r="C58" s="64">
        <v>45.24</v>
      </c>
      <c r="D58" s="64">
        <v>32.46</v>
      </c>
      <c r="E58" s="64">
        <v>2.3199999999999998</v>
      </c>
      <c r="F58" s="64">
        <v>6.55</v>
      </c>
      <c r="G58" s="64">
        <v>49.16</v>
      </c>
      <c r="H58" s="64">
        <v>22.3</v>
      </c>
      <c r="I58" s="64">
        <v>1.43</v>
      </c>
      <c r="J58" s="64">
        <v>0.94</v>
      </c>
      <c r="K58" s="64">
        <v>333.83</v>
      </c>
      <c r="L58" s="64">
        <v>30.18</v>
      </c>
      <c r="M58" s="64">
        <v>40.44</v>
      </c>
      <c r="N58" s="64">
        <v>358</v>
      </c>
      <c r="O58" s="64">
        <v>0</v>
      </c>
      <c r="P58" s="64">
        <v>0.93</v>
      </c>
      <c r="Q58" s="64">
        <v>5.18</v>
      </c>
      <c r="R58" s="198"/>
      <c r="S58" s="198"/>
      <c r="T58" s="198"/>
      <c r="U58" s="198"/>
    </row>
    <row r="59" spans="1:21" s="12" customFormat="1" x14ac:dyDescent="0.25">
      <c r="A59" s="215" t="s">
        <v>1932</v>
      </c>
      <c r="B59" s="64">
        <v>7.41</v>
      </c>
      <c r="C59" s="64">
        <v>41.47</v>
      </c>
      <c r="D59" s="64">
        <v>29.48</v>
      </c>
      <c r="E59" s="64">
        <v>2.46</v>
      </c>
      <c r="F59" s="64">
        <v>10.87</v>
      </c>
      <c r="G59" s="64">
        <v>49.16</v>
      </c>
      <c r="H59" s="64">
        <v>22.3</v>
      </c>
      <c r="I59" s="64">
        <v>1.44</v>
      </c>
      <c r="J59" s="64">
        <v>0.44</v>
      </c>
      <c r="K59" s="64">
        <v>110.46</v>
      </c>
      <c r="L59" s="64">
        <v>28.94</v>
      </c>
      <c r="M59" s="64">
        <v>42.19</v>
      </c>
      <c r="N59" s="64">
        <v>558.4</v>
      </c>
      <c r="O59" s="64">
        <v>0</v>
      </c>
      <c r="P59" s="64">
        <v>0.9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1933</v>
      </c>
      <c r="B60" s="64">
        <v>6.28</v>
      </c>
      <c r="C60" s="64">
        <v>43.1</v>
      </c>
      <c r="D60" s="64">
        <v>29.46</v>
      </c>
      <c r="E60" s="64">
        <v>2.34</v>
      </c>
      <c r="F60" s="64">
        <v>6.5</v>
      </c>
      <c r="G60" s="64">
        <v>49.16</v>
      </c>
      <c r="H60" s="64">
        <v>22.3</v>
      </c>
      <c r="I60" s="64">
        <v>1.59</v>
      </c>
      <c r="J60" s="64">
        <v>0.49</v>
      </c>
      <c r="K60" s="64">
        <v>108.2</v>
      </c>
      <c r="L60" s="64">
        <v>27.78</v>
      </c>
      <c r="M60" s="64">
        <v>44.19</v>
      </c>
      <c r="N60" s="64">
        <v>606.4</v>
      </c>
      <c r="O60" s="64">
        <v>0</v>
      </c>
      <c r="P60" s="64">
        <v>0.91</v>
      </c>
      <c r="Q60" s="64">
        <v>5.14</v>
      </c>
      <c r="R60" s="198"/>
      <c r="S60" s="198"/>
      <c r="T60" s="198"/>
      <c r="U60" s="198"/>
    </row>
    <row r="61" spans="1:21" s="12" customFormat="1" x14ac:dyDescent="0.25">
      <c r="A61" s="215" t="s">
        <v>1934</v>
      </c>
      <c r="B61" s="64">
        <v>5.21</v>
      </c>
      <c r="C61" s="64">
        <v>42.66</v>
      </c>
      <c r="D61" s="64">
        <v>28.36</v>
      </c>
      <c r="E61" s="64">
        <v>2.42</v>
      </c>
      <c r="F61" s="64">
        <v>9.19</v>
      </c>
      <c r="G61" s="64">
        <v>44.02</v>
      </c>
      <c r="H61" s="64">
        <v>23.55</v>
      </c>
      <c r="I61" s="64">
        <v>1.56</v>
      </c>
      <c r="J61" s="64">
        <v>0.52</v>
      </c>
      <c r="K61" s="64">
        <v>95.47</v>
      </c>
      <c r="L61" s="64">
        <v>27.84</v>
      </c>
      <c r="M61" s="64">
        <v>43.46</v>
      </c>
      <c r="N61" s="64">
        <v>603.1</v>
      </c>
      <c r="O61" s="64">
        <v>0</v>
      </c>
      <c r="P61" s="64">
        <v>0.88</v>
      </c>
      <c r="Q61" s="64">
        <v>5.07</v>
      </c>
      <c r="R61" s="198"/>
      <c r="S61" s="198"/>
      <c r="T61" s="198"/>
      <c r="U61" s="198"/>
    </row>
    <row r="62" spans="1:21" s="12" customFormat="1" x14ac:dyDescent="0.25">
      <c r="A62" s="215" t="s">
        <v>1935</v>
      </c>
      <c r="B62" s="64">
        <v>4.5</v>
      </c>
      <c r="C62" s="64">
        <v>38.35</v>
      </c>
      <c r="D62" s="64">
        <v>25.42</v>
      </c>
      <c r="E62" s="64">
        <v>2.4700000000000002</v>
      </c>
      <c r="F62" s="64">
        <v>17.510000000000002</v>
      </c>
      <c r="G62" s="64">
        <v>40.590000000000003</v>
      </c>
      <c r="H62" s="64">
        <v>24.1</v>
      </c>
      <c r="I62" s="64">
        <v>1.49</v>
      </c>
      <c r="J62" s="64">
        <v>0.33</v>
      </c>
      <c r="K62" s="64">
        <v>86.2</v>
      </c>
      <c r="L62" s="64">
        <v>27.33</v>
      </c>
      <c r="M62" s="64">
        <v>43.17</v>
      </c>
      <c r="N62" s="64">
        <v>458.5</v>
      </c>
      <c r="O62" s="64">
        <v>0</v>
      </c>
      <c r="P62" s="64">
        <v>0.84</v>
      </c>
      <c r="Q62" s="64">
        <v>5.1100000000000003</v>
      </c>
      <c r="R62" s="198"/>
      <c r="S62" s="198"/>
      <c r="T62" s="198"/>
      <c r="U62" s="198"/>
    </row>
    <row r="63" spans="1:21" s="12" customFormat="1" x14ac:dyDescent="0.25">
      <c r="A63" s="215" t="s">
        <v>1936</v>
      </c>
      <c r="B63" s="64">
        <v>3.92</v>
      </c>
      <c r="C63" s="64">
        <v>36.119999999999997</v>
      </c>
      <c r="D63" s="64">
        <v>23.73</v>
      </c>
      <c r="E63" s="64">
        <v>2.46</v>
      </c>
      <c r="F63" s="64">
        <v>16.149999999999999</v>
      </c>
      <c r="G63" s="64">
        <v>40.590000000000003</v>
      </c>
      <c r="H63" s="64">
        <v>24.1</v>
      </c>
      <c r="I63" s="64">
        <v>1.54</v>
      </c>
      <c r="J63" s="64">
        <v>0.56000000000000005</v>
      </c>
      <c r="K63" s="64">
        <v>107.45</v>
      </c>
      <c r="L63" s="64">
        <v>27.54</v>
      </c>
      <c r="M63" s="64">
        <v>43.19</v>
      </c>
      <c r="N63" s="64">
        <v>352.8</v>
      </c>
      <c r="O63" s="64">
        <v>0</v>
      </c>
      <c r="P63" s="64">
        <v>0.82</v>
      </c>
      <c r="Q63" s="64">
        <v>5.12</v>
      </c>
      <c r="R63" s="198"/>
      <c r="S63" s="198"/>
      <c r="T63" s="198"/>
      <c r="U63" s="198"/>
    </row>
    <row r="64" spans="1:21" s="12" customFormat="1" x14ac:dyDescent="0.25">
      <c r="A64" s="215" t="s">
        <v>1937</v>
      </c>
      <c r="B64" s="64">
        <v>3.97</v>
      </c>
      <c r="C64" s="64">
        <v>37.450000000000003</v>
      </c>
      <c r="D64" s="64">
        <v>24.5</v>
      </c>
      <c r="E64" s="64">
        <v>2.61</v>
      </c>
      <c r="F64" s="64">
        <v>17.79</v>
      </c>
      <c r="G64" s="64">
        <v>40.590000000000003</v>
      </c>
      <c r="H64" s="64">
        <v>24.1</v>
      </c>
      <c r="I64" s="64">
        <v>1.42</v>
      </c>
      <c r="J64" s="64">
        <v>0.17</v>
      </c>
      <c r="K64" s="64">
        <v>33.39</v>
      </c>
      <c r="L64" s="64">
        <v>27.67</v>
      </c>
      <c r="M64" s="64">
        <v>41.25</v>
      </c>
      <c r="N64" s="64">
        <v>262.39999999999998</v>
      </c>
      <c r="O64" s="64">
        <v>0</v>
      </c>
      <c r="P64" s="64">
        <v>0.83</v>
      </c>
      <c r="Q64" s="64">
        <v>5.08</v>
      </c>
      <c r="R64" s="198"/>
      <c r="S64" s="198"/>
      <c r="T64" s="198"/>
      <c r="U64" s="198"/>
    </row>
    <row r="65" spans="1:21" s="12" customFormat="1" x14ac:dyDescent="0.25">
      <c r="A65" s="215" t="s">
        <v>1938</v>
      </c>
      <c r="B65" s="64">
        <v>5.79</v>
      </c>
      <c r="C65" s="64">
        <v>43.18</v>
      </c>
      <c r="D65" s="64">
        <v>29.11</v>
      </c>
      <c r="E65" s="64">
        <v>2.78</v>
      </c>
      <c r="F65" s="64">
        <v>30.09</v>
      </c>
      <c r="G65" s="64">
        <v>39.44</v>
      </c>
      <c r="H65" s="64">
        <v>19.37</v>
      </c>
      <c r="I65" s="64">
        <v>1.5</v>
      </c>
      <c r="J65" s="64">
        <v>0.44</v>
      </c>
      <c r="K65" s="64">
        <v>336.76</v>
      </c>
      <c r="L65" s="64">
        <v>29.37</v>
      </c>
      <c r="M65" s="64">
        <v>38.17</v>
      </c>
      <c r="N65" s="64">
        <v>255.7</v>
      </c>
      <c r="O65" s="64">
        <v>0</v>
      </c>
      <c r="P65" s="64">
        <v>0.85</v>
      </c>
      <c r="Q65" s="64">
        <v>4.9000000000000004</v>
      </c>
      <c r="R65" s="198"/>
      <c r="S65" s="198"/>
      <c r="T65" s="198"/>
      <c r="U65" s="198"/>
    </row>
    <row r="66" spans="1:21" s="12" customFormat="1" x14ac:dyDescent="0.25">
      <c r="A66" s="215" t="s">
        <v>1939</v>
      </c>
      <c r="B66" s="64">
        <v>4.37</v>
      </c>
      <c r="C66" s="64">
        <v>37.26</v>
      </c>
      <c r="D66" s="64">
        <v>24.71</v>
      </c>
      <c r="E66" s="64">
        <v>2.91</v>
      </c>
      <c r="F66" s="64">
        <v>12.31</v>
      </c>
      <c r="G66" s="64">
        <v>38.67</v>
      </c>
      <c r="H66" s="64">
        <v>18.21</v>
      </c>
      <c r="I66" s="64">
        <v>1.47</v>
      </c>
      <c r="J66" s="64">
        <v>0.71</v>
      </c>
      <c r="K66" s="64">
        <v>338.96</v>
      </c>
      <c r="L66" s="64">
        <v>29.26</v>
      </c>
      <c r="M66" s="64">
        <v>37.74</v>
      </c>
      <c r="N66" s="64">
        <v>198.6</v>
      </c>
      <c r="O66" s="64">
        <v>0</v>
      </c>
      <c r="P66" s="64">
        <v>0.86</v>
      </c>
      <c r="Q66" s="64">
        <v>4.97</v>
      </c>
      <c r="R66" s="198"/>
      <c r="S66" s="198"/>
      <c r="T66" s="198"/>
      <c r="U66" s="198"/>
    </row>
    <row r="67" spans="1:21" s="12" customFormat="1" x14ac:dyDescent="0.25">
      <c r="A67" s="215" t="s">
        <v>1940</v>
      </c>
      <c r="B67" s="64">
        <v>5.5</v>
      </c>
      <c r="C67" s="64">
        <v>42.72</v>
      </c>
      <c r="D67" s="64">
        <v>28.63</v>
      </c>
      <c r="E67" s="64">
        <v>2.91</v>
      </c>
      <c r="F67" s="64">
        <v>17.309999999999999</v>
      </c>
      <c r="G67" s="64">
        <v>38.67</v>
      </c>
      <c r="H67" s="64">
        <v>18.21</v>
      </c>
      <c r="I67" s="64">
        <v>1.49</v>
      </c>
      <c r="J67" s="64">
        <v>0.1</v>
      </c>
      <c r="K67" s="64">
        <v>21.79</v>
      </c>
      <c r="L67" s="64">
        <v>28.65</v>
      </c>
      <c r="M67" s="64">
        <v>39.44</v>
      </c>
      <c r="N67" s="64">
        <v>166.6</v>
      </c>
      <c r="O67" s="64">
        <v>0</v>
      </c>
      <c r="P67" s="64">
        <v>0.84</v>
      </c>
      <c r="Q67" s="64">
        <v>4.8</v>
      </c>
      <c r="R67" s="198"/>
      <c r="S67" s="198"/>
      <c r="T67" s="198"/>
      <c r="U67" s="198"/>
    </row>
    <row r="68" spans="1:21" s="12" customFormat="1" x14ac:dyDescent="0.25">
      <c r="A68" s="215" t="s">
        <v>1941</v>
      </c>
      <c r="B68" s="64">
        <v>4.37</v>
      </c>
      <c r="C68" s="64">
        <v>34.799999999999997</v>
      </c>
      <c r="D68" s="64">
        <v>23.36</v>
      </c>
      <c r="E68" s="64">
        <v>3.25</v>
      </c>
      <c r="F68" s="64">
        <v>26.94</v>
      </c>
      <c r="G68" s="64">
        <v>38.67</v>
      </c>
      <c r="H68" s="64">
        <v>18.21</v>
      </c>
      <c r="I68" s="64">
        <v>1.5</v>
      </c>
      <c r="J68" s="64">
        <v>0.55000000000000004</v>
      </c>
      <c r="K68" s="64">
        <v>114.09</v>
      </c>
      <c r="L68" s="64">
        <v>27.03</v>
      </c>
      <c r="M68" s="64">
        <v>42.12</v>
      </c>
      <c r="N68" s="64">
        <v>161.30000000000001</v>
      </c>
      <c r="O68" s="64">
        <v>0</v>
      </c>
      <c r="P68" s="64">
        <v>0.81</v>
      </c>
      <c r="Q68" s="64">
        <v>4.88</v>
      </c>
      <c r="R68" s="198"/>
      <c r="S68" s="198"/>
      <c r="T68" s="198"/>
      <c r="U68" s="198"/>
    </row>
    <row r="69" spans="1:21" s="12" customFormat="1" x14ac:dyDescent="0.25">
      <c r="A69" s="215" t="s">
        <v>1942</v>
      </c>
      <c r="B69" s="64">
        <v>6.08</v>
      </c>
      <c r="C69" s="64">
        <v>38.76</v>
      </c>
      <c r="D69" s="64">
        <v>26.91</v>
      </c>
      <c r="E69" s="64">
        <v>4.2699999999999996</v>
      </c>
      <c r="F69" s="64">
        <v>30.78</v>
      </c>
      <c r="G69" s="64">
        <v>38.32</v>
      </c>
      <c r="H69" s="64">
        <v>18.41</v>
      </c>
      <c r="I69" s="64">
        <v>1.45</v>
      </c>
      <c r="J69" s="64">
        <v>0.24</v>
      </c>
      <c r="K69" s="64">
        <v>63.36</v>
      </c>
      <c r="L69" s="64">
        <v>27.43</v>
      </c>
      <c r="M69" s="64">
        <v>41.84</v>
      </c>
      <c r="N69" s="64">
        <v>139.80000000000001</v>
      </c>
      <c r="O69" s="64">
        <v>0</v>
      </c>
      <c r="P69" s="64">
        <v>0.87</v>
      </c>
      <c r="Q69" s="64">
        <v>5.18</v>
      </c>
      <c r="R69" s="198"/>
      <c r="S69" s="198"/>
      <c r="T69" s="198"/>
      <c r="U69" s="198"/>
    </row>
    <row r="70" spans="1:21" s="12" customFormat="1" x14ac:dyDescent="0.25">
      <c r="A70" s="215" t="s">
        <v>1943</v>
      </c>
      <c r="B70" s="64">
        <v>3.63</v>
      </c>
      <c r="C70" s="64">
        <v>35.78</v>
      </c>
      <c r="D70" s="64">
        <v>23.3</v>
      </c>
      <c r="E70" s="64">
        <v>3.85</v>
      </c>
      <c r="F70" s="64">
        <v>17.71</v>
      </c>
      <c r="G70" s="64">
        <v>38.08</v>
      </c>
      <c r="H70" s="64">
        <v>18.46</v>
      </c>
      <c r="I70" s="64">
        <v>1.45</v>
      </c>
      <c r="J70" s="64">
        <v>0.63</v>
      </c>
      <c r="K70" s="64">
        <v>116.22</v>
      </c>
      <c r="L70" s="64">
        <v>26.61</v>
      </c>
      <c r="M70" s="64">
        <v>42.98</v>
      </c>
      <c r="N70" s="64">
        <v>111.6</v>
      </c>
      <c r="O70" s="64">
        <v>0</v>
      </c>
      <c r="P70" s="64">
        <v>0.81</v>
      </c>
      <c r="Q70" s="64">
        <v>5.19</v>
      </c>
      <c r="R70" s="198"/>
      <c r="S70" s="198"/>
      <c r="T70" s="198"/>
      <c r="U70" s="198"/>
    </row>
    <row r="71" spans="1:21" s="12" customFormat="1" x14ac:dyDescent="0.25">
      <c r="A71" s="215" t="s">
        <v>1944</v>
      </c>
      <c r="B71" s="64">
        <v>7.69</v>
      </c>
      <c r="C71" s="64">
        <v>54.69</v>
      </c>
      <c r="D71" s="64">
        <v>36.99</v>
      </c>
      <c r="E71" s="64">
        <v>3.17</v>
      </c>
      <c r="F71" s="64">
        <v>23.38</v>
      </c>
      <c r="G71" s="64">
        <v>38.08</v>
      </c>
      <c r="H71" s="64">
        <v>18.46</v>
      </c>
      <c r="I71" s="64">
        <v>1.48</v>
      </c>
      <c r="J71" s="64">
        <v>0.31</v>
      </c>
      <c r="K71" s="64">
        <v>12.34</v>
      </c>
      <c r="L71" s="64">
        <v>26.55</v>
      </c>
      <c r="M71" s="64">
        <v>43.16</v>
      </c>
      <c r="N71" s="64">
        <v>96</v>
      </c>
      <c r="O71" s="64">
        <v>0</v>
      </c>
      <c r="P71" s="64">
        <v>0.9</v>
      </c>
      <c r="Q71" s="64">
        <v>4.4000000000000004</v>
      </c>
      <c r="R71" s="198"/>
      <c r="S71" s="198"/>
      <c r="T71" s="198"/>
      <c r="U71" s="198"/>
    </row>
    <row r="72" spans="1:21" s="12" customFormat="1" x14ac:dyDescent="0.25">
      <c r="A72" s="215" t="s">
        <v>1945</v>
      </c>
      <c r="B72" s="64">
        <v>2.79</v>
      </c>
      <c r="C72" s="64">
        <v>45.52</v>
      </c>
      <c r="D72" s="64">
        <v>28.01</v>
      </c>
      <c r="E72" s="64">
        <v>3.82</v>
      </c>
      <c r="F72" s="64">
        <v>54.63</v>
      </c>
      <c r="G72" s="64">
        <v>38.08</v>
      </c>
      <c r="H72" s="64">
        <v>18.46</v>
      </c>
      <c r="I72" s="64">
        <v>1.5</v>
      </c>
      <c r="J72" s="64">
        <v>0.64</v>
      </c>
      <c r="K72" s="64">
        <v>104.92</v>
      </c>
      <c r="L72" s="64">
        <v>26.22</v>
      </c>
      <c r="M72" s="64">
        <v>43.38</v>
      </c>
      <c r="N72" s="64">
        <v>82.3</v>
      </c>
      <c r="O72" s="64">
        <v>0</v>
      </c>
      <c r="P72" s="64">
        <v>0.62</v>
      </c>
      <c r="Q72" s="64">
        <v>5.1100000000000003</v>
      </c>
      <c r="R72" s="198"/>
      <c r="S72" s="198"/>
      <c r="T72" s="198"/>
      <c r="U72" s="198"/>
    </row>
    <row r="73" spans="1:21" s="12" customFormat="1" x14ac:dyDescent="0.25">
      <c r="A73" s="215" t="s">
        <v>1946</v>
      </c>
      <c r="B73" s="64">
        <v>1.77</v>
      </c>
      <c r="C73" s="64">
        <v>32.590000000000003</v>
      </c>
      <c r="D73" s="64">
        <v>20.05</v>
      </c>
      <c r="E73" s="64">
        <v>6.22</v>
      </c>
      <c r="F73" s="64">
        <v>57.95</v>
      </c>
      <c r="G73" s="64">
        <v>30.55</v>
      </c>
      <c r="H73" s="64">
        <v>19.95</v>
      </c>
      <c r="I73" s="64">
        <v>1.54</v>
      </c>
      <c r="J73" s="64">
        <v>0.39</v>
      </c>
      <c r="K73" s="64">
        <v>118.69</v>
      </c>
      <c r="L73" s="64">
        <v>25.93</v>
      </c>
      <c r="M73" s="64">
        <v>43.41</v>
      </c>
      <c r="N73" s="64">
        <v>68.5</v>
      </c>
      <c r="O73" s="64">
        <v>0</v>
      </c>
      <c r="P73" s="64">
        <v>0.51</v>
      </c>
      <c r="Q73" s="64">
        <v>5.15</v>
      </c>
      <c r="R73" s="198"/>
      <c r="S73" s="198"/>
      <c r="T73" s="198"/>
      <c r="U73" s="198"/>
    </row>
    <row r="74" spans="1:21" s="12" customFormat="1" x14ac:dyDescent="0.25">
      <c r="A74" s="215" t="s">
        <v>1947</v>
      </c>
      <c r="B74" s="64">
        <v>1.73</v>
      </c>
      <c r="C74" s="64">
        <v>32.18</v>
      </c>
      <c r="D74" s="64">
        <v>19.79</v>
      </c>
      <c r="E74" s="64">
        <v>7.85</v>
      </c>
      <c r="F74" s="64">
        <v>52.02</v>
      </c>
      <c r="G74" s="64">
        <v>25.3</v>
      </c>
      <c r="H74" s="64">
        <v>20.309999999999999</v>
      </c>
      <c r="I74" s="64">
        <v>1.54</v>
      </c>
      <c r="J74" s="64">
        <v>0.41</v>
      </c>
      <c r="K74" s="64">
        <v>101.83</v>
      </c>
      <c r="L74" s="64">
        <v>25.69</v>
      </c>
      <c r="M74" s="64">
        <v>45.71</v>
      </c>
      <c r="N74" s="64">
        <v>58.5</v>
      </c>
      <c r="O74" s="64">
        <v>0</v>
      </c>
      <c r="P74" s="64">
        <v>0.52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1948</v>
      </c>
      <c r="B75" s="64">
        <v>1.66</v>
      </c>
      <c r="C75" s="64">
        <v>34.159999999999997</v>
      </c>
      <c r="D75" s="64">
        <v>20.83</v>
      </c>
      <c r="E75" s="64">
        <v>6.51</v>
      </c>
      <c r="F75" s="64">
        <v>20.55</v>
      </c>
      <c r="G75" s="64">
        <v>25.3</v>
      </c>
      <c r="H75" s="64">
        <v>20.309999999999999</v>
      </c>
      <c r="I75" s="64">
        <v>1.53</v>
      </c>
      <c r="J75" s="64">
        <v>0.1</v>
      </c>
      <c r="K75" s="64">
        <v>27.3</v>
      </c>
      <c r="L75" s="64">
        <v>25.25</v>
      </c>
      <c r="M75" s="64">
        <v>48.47</v>
      </c>
      <c r="N75" s="64">
        <v>48</v>
      </c>
      <c r="O75" s="64">
        <v>0</v>
      </c>
      <c r="P75" s="64">
        <v>0.52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5" t="s">
        <v>1949</v>
      </c>
      <c r="B76" s="64">
        <v>2.76</v>
      </c>
      <c r="C76" s="64">
        <v>43.85</v>
      </c>
      <c r="D76" s="64">
        <v>27.05</v>
      </c>
      <c r="E76" s="64">
        <v>6.16</v>
      </c>
      <c r="F76" s="64">
        <v>55.45</v>
      </c>
      <c r="G76" s="64">
        <v>25.3</v>
      </c>
      <c r="H76" s="64">
        <v>20.309999999999999</v>
      </c>
      <c r="I76" s="64">
        <v>1.43</v>
      </c>
      <c r="J76" s="64">
        <v>0.17</v>
      </c>
      <c r="K76" s="64">
        <v>64.66</v>
      </c>
      <c r="L76" s="64">
        <v>24.99</v>
      </c>
      <c r="M76" s="64">
        <v>49.71</v>
      </c>
      <c r="N76" s="64">
        <v>92.5</v>
      </c>
      <c r="O76" s="64">
        <v>0</v>
      </c>
      <c r="P76" s="64">
        <v>0.7</v>
      </c>
      <c r="Q76" s="64">
        <v>5.17</v>
      </c>
      <c r="R76" s="198"/>
      <c r="S76" s="198"/>
      <c r="T76" s="198"/>
      <c r="U76" s="198"/>
    </row>
    <row r="77" spans="1:21" s="12" customFormat="1" x14ac:dyDescent="0.25">
      <c r="A77" s="215" t="s">
        <v>1950</v>
      </c>
      <c r="B77" s="64">
        <v>1.53</v>
      </c>
      <c r="C77" s="64">
        <v>31.26</v>
      </c>
      <c r="D77" s="64">
        <v>19.13</v>
      </c>
      <c r="E77" s="64">
        <v>7.8</v>
      </c>
      <c r="F77" s="64">
        <v>64.63</v>
      </c>
      <c r="G77" s="64">
        <v>29.18</v>
      </c>
      <c r="H77" s="64">
        <v>19.989999999999998</v>
      </c>
      <c r="I77" s="64">
        <v>1.5</v>
      </c>
      <c r="J77" s="64">
        <v>0.13</v>
      </c>
      <c r="K77" s="64">
        <v>61.39</v>
      </c>
      <c r="L77" s="64">
        <v>24.54</v>
      </c>
      <c r="M77" s="64">
        <v>53.44</v>
      </c>
      <c r="N77" s="64">
        <v>75.7</v>
      </c>
      <c r="O77" s="64">
        <v>0</v>
      </c>
      <c r="P77" s="64">
        <v>0.55000000000000004</v>
      </c>
      <c r="Q77" s="64">
        <v>5.31</v>
      </c>
      <c r="R77" s="198"/>
      <c r="S77" s="198"/>
      <c r="T77" s="198"/>
      <c r="U77" s="198"/>
    </row>
    <row r="78" spans="1:21" s="12" customFormat="1" x14ac:dyDescent="0.25">
      <c r="A78" s="215" t="s">
        <v>1951</v>
      </c>
      <c r="B78" s="64">
        <v>1.86</v>
      </c>
      <c r="C78" s="64">
        <v>55.34</v>
      </c>
      <c r="D78" s="64">
        <v>32.68</v>
      </c>
      <c r="E78" s="64">
        <v>5.84</v>
      </c>
      <c r="F78" s="64">
        <v>36.67</v>
      </c>
      <c r="G78" s="64">
        <v>31.76</v>
      </c>
      <c r="H78" s="64">
        <v>19.850000000000001</v>
      </c>
      <c r="I78" s="64">
        <v>1.48</v>
      </c>
      <c r="J78" s="64">
        <v>0.14000000000000001</v>
      </c>
      <c r="K78" s="64">
        <v>76.08</v>
      </c>
      <c r="L78" s="64">
        <v>24.16</v>
      </c>
      <c r="M78" s="64">
        <v>56.52</v>
      </c>
      <c r="N78" s="64">
        <v>63.6</v>
      </c>
      <c r="O78" s="64">
        <v>0</v>
      </c>
      <c r="P78" s="64">
        <v>0.81</v>
      </c>
      <c r="Q78" s="64">
        <v>5.27</v>
      </c>
      <c r="R78" s="198"/>
      <c r="S78" s="198"/>
      <c r="T78" s="198"/>
      <c r="U78" s="198"/>
    </row>
    <row r="79" spans="1:21" s="12" customFormat="1" x14ac:dyDescent="0.25">
      <c r="A79" s="215" t="s">
        <v>1952</v>
      </c>
      <c r="B79" s="64">
        <v>23.32</v>
      </c>
      <c r="C79" s="64">
        <v>106.12</v>
      </c>
      <c r="D79" s="64">
        <v>77.92</v>
      </c>
      <c r="E79" s="64">
        <v>4.5999999999999996</v>
      </c>
      <c r="F79" s="64">
        <v>10.15</v>
      </c>
      <c r="G79" s="64">
        <v>31.76</v>
      </c>
      <c r="H79" s="64">
        <v>19.850000000000001</v>
      </c>
      <c r="I79" s="64">
        <v>1.51</v>
      </c>
      <c r="J79" s="64">
        <v>0.12</v>
      </c>
      <c r="K79" s="64">
        <v>342.95</v>
      </c>
      <c r="L79" s="64">
        <v>23.84</v>
      </c>
      <c r="M79" s="64">
        <v>59.21</v>
      </c>
      <c r="N79" s="64">
        <v>63.9</v>
      </c>
      <c r="O79" s="64">
        <v>0</v>
      </c>
      <c r="P79" s="64">
        <v>1.73</v>
      </c>
      <c r="Q79" s="64">
        <v>5.76</v>
      </c>
      <c r="R79" s="198"/>
      <c r="S79" s="198"/>
      <c r="T79" s="198"/>
      <c r="U79" s="198"/>
    </row>
    <row r="80" spans="1:21" s="12" customFormat="1" x14ac:dyDescent="0.25">
      <c r="A80" s="215" t="s">
        <v>1953</v>
      </c>
      <c r="B80" s="64">
        <v>55</v>
      </c>
      <c r="C80" s="64">
        <v>110.14</v>
      </c>
      <c r="D80" s="64">
        <v>105.54</v>
      </c>
      <c r="E80" s="64">
        <v>3.97</v>
      </c>
      <c r="F80" s="64">
        <v>6.36</v>
      </c>
      <c r="G80" s="64">
        <v>31.76</v>
      </c>
      <c r="H80" s="64">
        <v>19.850000000000001</v>
      </c>
      <c r="I80" s="64">
        <v>1.54</v>
      </c>
      <c r="J80" s="64">
        <v>7.0000000000000007E-2</v>
      </c>
      <c r="K80" s="64">
        <v>10.08</v>
      </c>
      <c r="L80" s="64">
        <v>23.12</v>
      </c>
      <c r="M80" s="64">
        <v>69.47</v>
      </c>
      <c r="N80" s="64">
        <v>57.6</v>
      </c>
      <c r="O80" s="64">
        <v>0</v>
      </c>
      <c r="P80" s="64">
        <v>3.26</v>
      </c>
      <c r="Q80" s="64">
        <v>7.69</v>
      </c>
      <c r="R80" s="198"/>
      <c r="S80" s="198"/>
      <c r="T80" s="198"/>
      <c r="U80" s="198"/>
    </row>
    <row r="81" spans="1:26" s="12" customFormat="1" x14ac:dyDescent="0.25">
      <c r="A81" s="215" t="s">
        <v>1954</v>
      </c>
      <c r="B81" s="64">
        <v>28.71</v>
      </c>
      <c r="C81" s="64">
        <v>106.97</v>
      </c>
      <c r="D81" s="64">
        <v>82.7</v>
      </c>
      <c r="E81" s="64">
        <v>3.44</v>
      </c>
      <c r="F81" s="64">
        <v>3.97</v>
      </c>
      <c r="G81" s="64">
        <v>84.84</v>
      </c>
      <c r="H81" s="64">
        <v>23.4</v>
      </c>
      <c r="I81" s="64">
        <v>1.49</v>
      </c>
      <c r="J81" s="64">
        <v>0.03</v>
      </c>
      <c r="K81" s="64">
        <v>300.7</v>
      </c>
      <c r="L81" s="64">
        <v>22.62</v>
      </c>
      <c r="M81" s="64">
        <v>70.83</v>
      </c>
      <c r="N81" s="64">
        <v>56.4</v>
      </c>
      <c r="O81" s="64">
        <v>0</v>
      </c>
      <c r="P81" s="64">
        <v>2.86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5" t="s">
        <v>1955</v>
      </c>
      <c r="B82" s="64">
        <v>39.840000000000003</v>
      </c>
      <c r="C82" s="64">
        <v>103.31</v>
      </c>
      <c r="D82" s="64">
        <v>89.61</v>
      </c>
      <c r="E82" s="64">
        <v>3.08</v>
      </c>
      <c r="F82" s="64">
        <v>4.76</v>
      </c>
      <c r="G82" s="64">
        <v>120.23</v>
      </c>
      <c r="H82" s="64">
        <v>24.25</v>
      </c>
      <c r="I82" s="64">
        <v>1.5</v>
      </c>
      <c r="J82" s="64">
        <v>0.1</v>
      </c>
      <c r="K82" s="64">
        <v>349.66</v>
      </c>
      <c r="L82" s="64">
        <v>22.6</v>
      </c>
      <c r="M82" s="64">
        <v>67.22</v>
      </c>
      <c r="N82" s="64">
        <v>56.8</v>
      </c>
      <c r="O82" s="64">
        <v>0</v>
      </c>
      <c r="P82" s="64">
        <v>2.8</v>
      </c>
      <c r="Q82" s="64">
        <v>7.6</v>
      </c>
      <c r="R82" s="198"/>
      <c r="S82" s="198"/>
      <c r="T82" s="198"/>
      <c r="U82" s="198"/>
    </row>
    <row r="83" spans="1:26" s="12" customFormat="1" x14ac:dyDescent="0.25">
      <c r="A83" s="215" t="s">
        <v>1956</v>
      </c>
      <c r="B83" s="64">
        <v>58.97</v>
      </c>
      <c r="C83" s="64">
        <v>104.03</v>
      </c>
      <c r="D83" s="64">
        <v>105.35</v>
      </c>
      <c r="E83" s="64">
        <v>2.96</v>
      </c>
      <c r="F83" s="64">
        <v>3.79</v>
      </c>
      <c r="G83" s="64">
        <v>120.23</v>
      </c>
      <c r="H83" s="64">
        <v>24.25</v>
      </c>
      <c r="I83" s="64">
        <v>1.42</v>
      </c>
      <c r="J83" s="64">
        <v>0.09</v>
      </c>
      <c r="K83" s="64">
        <v>353.23</v>
      </c>
      <c r="L83" s="64">
        <v>22.6</v>
      </c>
      <c r="M83" s="64">
        <v>66.97</v>
      </c>
      <c r="N83" s="64">
        <v>55</v>
      </c>
      <c r="O83" s="64">
        <v>0</v>
      </c>
      <c r="P83" s="64">
        <v>3.56</v>
      </c>
      <c r="Q83" s="64">
        <v>4.09</v>
      </c>
      <c r="R83" s="198"/>
      <c r="S83" s="198"/>
      <c r="T83" s="198"/>
      <c r="U83" s="198"/>
    </row>
    <row r="84" spans="1:26" s="12" customFormat="1" x14ac:dyDescent="0.25">
      <c r="A84" s="215" t="s">
        <v>1957</v>
      </c>
      <c r="B84" s="64">
        <v>47.87</v>
      </c>
      <c r="C84" s="64">
        <v>84.09</v>
      </c>
      <c r="D84" s="64">
        <v>85.44</v>
      </c>
      <c r="E84" s="64">
        <v>2.92</v>
      </c>
      <c r="F84" s="64">
        <v>3.15</v>
      </c>
      <c r="G84" s="64">
        <v>120.23</v>
      </c>
      <c r="H84" s="64">
        <v>24.25</v>
      </c>
      <c r="I84" s="64">
        <v>1.47</v>
      </c>
      <c r="J84" s="64">
        <v>0.11</v>
      </c>
      <c r="K84" s="64">
        <v>4.75</v>
      </c>
      <c r="L84" s="64">
        <v>22.69</v>
      </c>
      <c r="M84" s="64">
        <v>68.489999999999995</v>
      </c>
      <c r="N84" s="64">
        <v>53.2</v>
      </c>
      <c r="O84" s="64">
        <v>0</v>
      </c>
      <c r="P84" s="64">
        <v>3.62</v>
      </c>
      <c r="Q84" s="64">
        <v>4.38</v>
      </c>
      <c r="R84" s="198"/>
      <c r="S84" s="198"/>
      <c r="T84" s="198"/>
      <c r="U84" s="198"/>
    </row>
    <row r="85" spans="1:26" s="12" customFormat="1" x14ac:dyDescent="0.25">
      <c r="A85" s="215" t="s">
        <v>1958</v>
      </c>
      <c r="B85" s="64">
        <v>35.71</v>
      </c>
      <c r="C85" s="64">
        <v>84.03</v>
      </c>
      <c r="D85" s="64">
        <v>75.650000000000006</v>
      </c>
      <c r="E85" s="64">
        <v>2.9</v>
      </c>
      <c r="F85" s="64">
        <v>3.15</v>
      </c>
      <c r="G85" s="64">
        <v>114.24</v>
      </c>
      <c r="H85" s="64">
        <v>30.96</v>
      </c>
      <c r="I85" s="64">
        <v>1.49</v>
      </c>
      <c r="J85" s="64">
        <v>0.06</v>
      </c>
      <c r="K85" s="64">
        <v>1.4</v>
      </c>
      <c r="L85" s="64">
        <v>22.19</v>
      </c>
      <c r="M85" s="64">
        <v>68.430000000000007</v>
      </c>
      <c r="N85" s="64">
        <v>53.1</v>
      </c>
      <c r="O85" s="64">
        <v>0</v>
      </c>
      <c r="P85" s="64">
        <v>2.97</v>
      </c>
      <c r="Q85" s="64">
        <v>5.68</v>
      </c>
      <c r="R85" s="198"/>
      <c r="S85" s="198"/>
      <c r="T85" s="198"/>
      <c r="U85" s="198"/>
    </row>
    <row r="86" spans="1:26" s="12" customFormat="1" x14ac:dyDescent="0.25">
      <c r="A86" s="215" t="s">
        <v>1959</v>
      </c>
      <c r="B86" s="64">
        <v>28.3</v>
      </c>
      <c r="C86" s="64">
        <v>75.2</v>
      </c>
      <c r="D86" s="64">
        <v>64.84</v>
      </c>
      <c r="E86" s="64">
        <v>2.78</v>
      </c>
      <c r="F86" s="64">
        <v>3.49</v>
      </c>
      <c r="G86" s="64">
        <v>110.24</v>
      </c>
      <c r="H86" s="64">
        <v>32.58</v>
      </c>
      <c r="I86" s="64">
        <v>1.52</v>
      </c>
      <c r="J86" s="64">
        <v>0.08</v>
      </c>
      <c r="K86" s="64">
        <v>328.14</v>
      </c>
      <c r="L86" s="64">
        <v>22.06</v>
      </c>
      <c r="M86" s="64">
        <v>64.17</v>
      </c>
      <c r="N86" s="64">
        <v>52.5</v>
      </c>
      <c r="O86" s="64">
        <v>0</v>
      </c>
      <c r="P86" s="64">
        <v>2.75</v>
      </c>
      <c r="Q86" s="64">
        <v>6.34</v>
      </c>
      <c r="R86" s="198"/>
      <c r="S86" s="198"/>
      <c r="T86" s="198"/>
      <c r="U86" s="198"/>
    </row>
    <row r="87" spans="1:26" s="12" customFormat="1" x14ac:dyDescent="0.25">
      <c r="A87" s="215" t="s">
        <v>1960</v>
      </c>
      <c r="B87" s="64">
        <v>28.3</v>
      </c>
      <c r="C87" s="64">
        <v>76.38</v>
      </c>
      <c r="D87" s="64">
        <v>65.489999999999995</v>
      </c>
      <c r="E87" s="64">
        <v>2.77</v>
      </c>
      <c r="F87" s="64">
        <v>2.92</v>
      </c>
      <c r="G87" s="64">
        <v>110.24</v>
      </c>
      <c r="H87" s="64">
        <v>32.58</v>
      </c>
      <c r="I87" s="64">
        <v>1.53</v>
      </c>
      <c r="J87" s="64">
        <v>0.1</v>
      </c>
      <c r="K87" s="64">
        <v>64.94</v>
      </c>
      <c r="L87" s="64">
        <v>21.78</v>
      </c>
      <c r="M87" s="64">
        <v>67.900000000000006</v>
      </c>
      <c r="N87" s="64">
        <v>52.8</v>
      </c>
      <c r="O87" s="64">
        <v>0</v>
      </c>
      <c r="P87" s="64">
        <v>2.9</v>
      </c>
      <c r="Q87" s="64">
        <v>6.26</v>
      </c>
      <c r="R87" s="198"/>
      <c r="S87" s="198"/>
      <c r="T87" s="198"/>
      <c r="U87" s="198"/>
    </row>
    <row r="88" spans="1:26" s="12" customFormat="1" x14ac:dyDescent="0.25">
      <c r="A88" s="215" t="s">
        <v>1961</v>
      </c>
      <c r="B88" s="64">
        <v>22.13</v>
      </c>
      <c r="C88" s="64">
        <v>68.709999999999994</v>
      </c>
      <c r="D88" s="64">
        <v>56.32</v>
      </c>
      <c r="E88" s="64">
        <v>2.35</v>
      </c>
      <c r="F88" s="64">
        <v>6.54</v>
      </c>
      <c r="G88" s="64">
        <v>110.24</v>
      </c>
      <c r="H88" s="64">
        <v>32.58</v>
      </c>
      <c r="I88" s="64">
        <v>1.47</v>
      </c>
      <c r="J88" s="64">
        <v>0.08</v>
      </c>
      <c r="K88" s="64">
        <v>98.42</v>
      </c>
      <c r="L88" s="64">
        <v>21.9</v>
      </c>
      <c r="M88" s="64">
        <v>62.36</v>
      </c>
      <c r="N88" s="64">
        <v>52.9</v>
      </c>
      <c r="O88" s="64">
        <v>0</v>
      </c>
      <c r="P88" s="64">
        <v>2.5499999999999998</v>
      </c>
      <c r="Q88" s="64">
        <v>6.73</v>
      </c>
      <c r="R88" s="198"/>
      <c r="S88" s="198"/>
      <c r="T88" s="198"/>
      <c r="U88" s="198"/>
    </row>
    <row r="89" spans="1:26" s="12" customFormat="1" x14ac:dyDescent="0.25">
      <c r="A89" s="215" t="s">
        <v>1962</v>
      </c>
      <c r="B89" s="64">
        <v>23.43</v>
      </c>
      <c r="C89" s="64">
        <v>69.63</v>
      </c>
      <c r="D89" s="64">
        <v>57.86</v>
      </c>
      <c r="E89" s="64">
        <v>2.4900000000000002</v>
      </c>
      <c r="F89" s="64">
        <v>4.8600000000000003</v>
      </c>
      <c r="G89" s="64">
        <v>87.4</v>
      </c>
      <c r="H89" s="64">
        <v>36.58</v>
      </c>
      <c r="I89" s="64">
        <v>1.52</v>
      </c>
      <c r="J89" s="64">
        <v>0</v>
      </c>
      <c r="K89" s="64">
        <v>215.37</v>
      </c>
      <c r="L89" s="64">
        <v>21.94</v>
      </c>
      <c r="M89" s="64">
        <v>62.77</v>
      </c>
      <c r="N89" s="64">
        <v>53</v>
      </c>
      <c r="O89" s="64">
        <v>0</v>
      </c>
      <c r="P89" s="64">
        <v>2.39</v>
      </c>
      <c r="Q89" s="64">
        <v>6.78</v>
      </c>
      <c r="R89" s="198"/>
      <c r="S89" s="198"/>
      <c r="T89" s="198"/>
      <c r="U89" s="198"/>
    </row>
    <row r="90" spans="1:26" s="12" customFormat="1" x14ac:dyDescent="0.25">
      <c r="A90" s="215" t="s">
        <v>1963</v>
      </c>
      <c r="B90" s="64">
        <v>34.82</v>
      </c>
      <c r="C90" s="64">
        <v>69.260000000000005</v>
      </c>
      <c r="D90" s="64">
        <v>66.790000000000006</v>
      </c>
      <c r="E90" s="64">
        <v>2.5</v>
      </c>
      <c r="F90" s="64">
        <v>3.13</v>
      </c>
      <c r="G90" s="64">
        <v>72.180000000000007</v>
      </c>
      <c r="H90" s="64">
        <v>37.54</v>
      </c>
      <c r="I90" s="64">
        <v>1.56</v>
      </c>
      <c r="J90" s="64">
        <v>0.08</v>
      </c>
      <c r="K90" s="64">
        <v>245.9</v>
      </c>
      <c r="L90" s="64">
        <v>21.65</v>
      </c>
      <c r="M90" s="64">
        <v>66.89</v>
      </c>
      <c r="N90" s="64">
        <v>54.2</v>
      </c>
      <c r="O90" s="64">
        <v>0</v>
      </c>
      <c r="P90" s="64">
        <v>2.5099999999999998</v>
      </c>
      <c r="Q90" s="64">
        <v>5.85</v>
      </c>
      <c r="R90" s="198"/>
      <c r="S90" s="198"/>
      <c r="T90" s="198"/>
      <c r="U90" s="198"/>
    </row>
    <row r="91" spans="1:26" s="12" customFormat="1" x14ac:dyDescent="0.25">
      <c r="A91" s="215" t="s">
        <v>1964</v>
      </c>
      <c r="B91" s="64">
        <v>67.790000000000006</v>
      </c>
      <c r="C91" s="64">
        <v>71.88</v>
      </c>
      <c r="D91" s="64">
        <v>94.68</v>
      </c>
      <c r="E91" s="64">
        <v>2.54</v>
      </c>
      <c r="F91" s="64">
        <v>2.97</v>
      </c>
      <c r="G91" s="64">
        <v>72.180000000000007</v>
      </c>
      <c r="H91" s="64">
        <v>37.54</v>
      </c>
      <c r="I91" s="64">
        <v>1.56</v>
      </c>
      <c r="J91" s="64">
        <v>7.0000000000000007E-2</v>
      </c>
      <c r="K91" s="64">
        <v>291.08</v>
      </c>
      <c r="L91" s="64">
        <v>21.34</v>
      </c>
      <c r="M91" s="64">
        <v>70.14</v>
      </c>
      <c r="N91" s="64">
        <v>54.7</v>
      </c>
      <c r="O91" s="64">
        <v>0</v>
      </c>
      <c r="P91" s="64">
        <v>2.95</v>
      </c>
      <c r="Q91" s="64">
        <v>2.82</v>
      </c>
      <c r="R91" s="198"/>
      <c r="S91" s="198"/>
      <c r="T91" s="198"/>
      <c r="U91" s="198"/>
    </row>
    <row r="92" spans="1:26" s="12" customFormat="1" x14ac:dyDescent="0.25">
      <c r="A92" s="215" t="s">
        <v>1965</v>
      </c>
      <c r="B92" s="64">
        <v>36.020000000000003</v>
      </c>
      <c r="C92" s="64">
        <v>65.209999999999994</v>
      </c>
      <c r="D92" s="64">
        <v>65.52</v>
      </c>
      <c r="E92" s="64">
        <v>2.5099999999999998</v>
      </c>
      <c r="F92" s="64">
        <v>2.87</v>
      </c>
      <c r="G92" s="64">
        <v>72.180000000000007</v>
      </c>
      <c r="H92" s="64">
        <v>37.54</v>
      </c>
      <c r="I92" s="64">
        <v>1.5</v>
      </c>
      <c r="J92" s="64">
        <v>0.06</v>
      </c>
      <c r="K92" s="64">
        <v>174.54</v>
      </c>
      <c r="L92" s="64">
        <v>21.38</v>
      </c>
      <c r="M92" s="64">
        <v>68.349999999999994</v>
      </c>
      <c r="N92" s="64">
        <v>55</v>
      </c>
      <c r="O92" s="64">
        <v>0</v>
      </c>
      <c r="P92" s="64">
        <v>2.57</v>
      </c>
      <c r="Q92" s="64">
        <v>4.49</v>
      </c>
      <c r="R92" s="198"/>
      <c r="S92" s="198"/>
      <c r="T92" s="198"/>
      <c r="U92" s="198"/>
    </row>
    <row r="93" spans="1:26" s="12" customFormat="1" x14ac:dyDescent="0.25">
      <c r="A93" s="215" t="s">
        <v>1966</v>
      </c>
      <c r="B93" s="64">
        <v>36.450000000000003</v>
      </c>
      <c r="C93" s="64">
        <v>49.48</v>
      </c>
      <c r="D93" s="64">
        <v>57.18</v>
      </c>
      <c r="E93" s="64">
        <v>2.4500000000000002</v>
      </c>
      <c r="F93" s="64">
        <v>2.81</v>
      </c>
      <c r="G93" s="64">
        <v>83.88</v>
      </c>
      <c r="H93" s="64">
        <v>37.479999999999997</v>
      </c>
      <c r="I93" s="64">
        <v>1.48</v>
      </c>
      <c r="J93" s="64">
        <v>0.01</v>
      </c>
      <c r="K93" s="64">
        <v>81.63</v>
      </c>
      <c r="L93" s="64">
        <v>21.33</v>
      </c>
      <c r="M93" s="64">
        <v>67.8</v>
      </c>
      <c r="N93" s="64">
        <v>55.1</v>
      </c>
      <c r="O93" s="64">
        <v>0</v>
      </c>
      <c r="P93" s="64">
        <v>2.7</v>
      </c>
      <c r="Q93" s="64">
        <v>6.36</v>
      </c>
      <c r="R93" s="198"/>
      <c r="S93" s="198"/>
      <c r="T93" s="198"/>
      <c r="U93" s="198"/>
    </row>
    <row r="94" spans="1:26" s="12" customFormat="1" x14ac:dyDescent="0.25">
      <c r="A94" s="215" t="s">
        <v>1967</v>
      </c>
      <c r="B94" s="64">
        <v>35.68</v>
      </c>
      <c r="C94" s="64">
        <v>52.72</v>
      </c>
      <c r="D94" s="64">
        <v>58.36</v>
      </c>
      <c r="E94" s="64">
        <v>2.41</v>
      </c>
      <c r="F94" s="64">
        <v>3.71</v>
      </c>
      <c r="G94" s="64">
        <v>91.68</v>
      </c>
      <c r="H94" s="64">
        <v>37.450000000000003</v>
      </c>
      <c r="I94" s="64">
        <v>1.51</v>
      </c>
      <c r="J94" s="64">
        <v>0.1</v>
      </c>
      <c r="K94" s="64">
        <v>63.35</v>
      </c>
      <c r="L94" s="64">
        <v>21.54</v>
      </c>
      <c r="M94" s="64">
        <v>64.8</v>
      </c>
      <c r="N94" s="64">
        <v>55.3</v>
      </c>
      <c r="O94" s="64">
        <v>0</v>
      </c>
      <c r="P94" s="64">
        <v>2.39</v>
      </c>
      <c r="Q94" s="64">
        <v>6.73</v>
      </c>
      <c r="R94" s="198"/>
      <c r="S94" s="198"/>
      <c r="T94" s="198"/>
      <c r="U94" s="198"/>
    </row>
    <row r="95" spans="1:26" s="12" customFormat="1" x14ac:dyDescent="0.25">
      <c r="A95" s="215" t="s">
        <v>1968</v>
      </c>
      <c r="B95" s="64">
        <v>37.1</v>
      </c>
      <c r="C95" s="64">
        <v>43.08</v>
      </c>
      <c r="D95" s="64">
        <v>54.18</v>
      </c>
      <c r="E95" s="64">
        <v>2.42</v>
      </c>
      <c r="F95" s="64">
        <v>4.1399999999999997</v>
      </c>
      <c r="G95" s="64">
        <v>91.68</v>
      </c>
      <c r="H95" s="64">
        <v>37.450000000000003</v>
      </c>
      <c r="I95" s="64">
        <v>1.56</v>
      </c>
      <c r="J95" s="64">
        <v>7.0000000000000007E-2</v>
      </c>
      <c r="K95" s="64">
        <v>351.99</v>
      </c>
      <c r="L95" s="64">
        <v>21.41</v>
      </c>
      <c r="M95" s="64">
        <v>66.09</v>
      </c>
      <c r="N95" s="64">
        <v>56.4</v>
      </c>
      <c r="O95" s="64">
        <v>0</v>
      </c>
      <c r="P95" s="64">
        <v>2.54</v>
      </c>
      <c r="Q95" s="64">
        <v>7.4</v>
      </c>
      <c r="R95" s="198"/>
      <c r="S95" s="198"/>
      <c r="T95" s="198"/>
      <c r="U95" s="198"/>
    </row>
    <row r="96" spans="1:26" s="12" customFormat="1" x14ac:dyDescent="0.25">
      <c r="A96" s="215" t="s">
        <v>1969</v>
      </c>
      <c r="B96" s="64">
        <v>42.5</v>
      </c>
      <c r="C96" s="64">
        <v>50.69</v>
      </c>
      <c r="D96" s="64">
        <v>62.71</v>
      </c>
      <c r="E96" s="64">
        <v>2.4500000000000002</v>
      </c>
      <c r="F96" s="64">
        <v>3.58</v>
      </c>
      <c r="G96" s="64">
        <v>91.68</v>
      </c>
      <c r="H96" s="64">
        <v>37.450000000000003</v>
      </c>
      <c r="I96" s="64">
        <v>1.55</v>
      </c>
      <c r="J96" s="64">
        <v>0.06</v>
      </c>
      <c r="K96" s="64">
        <v>330.55</v>
      </c>
      <c r="L96" s="64">
        <v>21.06</v>
      </c>
      <c r="M96" s="64">
        <v>68.3</v>
      </c>
      <c r="N96" s="64">
        <v>58.1</v>
      </c>
      <c r="O96" s="64">
        <v>0</v>
      </c>
      <c r="P96" s="64">
        <v>2.4700000000000002</v>
      </c>
      <c r="Q96" s="64">
        <v>6.88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1970</v>
      </c>
      <c r="B97" s="64">
        <v>39.67</v>
      </c>
      <c r="C97" s="64">
        <v>41.15</v>
      </c>
      <c r="D97" s="64">
        <v>55.17</v>
      </c>
      <c r="E97" s="64">
        <v>2.39</v>
      </c>
      <c r="F97" s="64">
        <v>3.21</v>
      </c>
      <c r="G97" s="64">
        <v>79.75</v>
      </c>
      <c r="H97" s="64">
        <v>36.76</v>
      </c>
      <c r="I97" s="64">
        <v>1.47</v>
      </c>
      <c r="J97" s="64">
        <v>0.1</v>
      </c>
      <c r="K97" s="64">
        <v>270.42</v>
      </c>
      <c r="L97" s="64">
        <v>20.74</v>
      </c>
      <c r="M97" s="64">
        <v>70.52</v>
      </c>
      <c r="N97" s="64">
        <v>59.7</v>
      </c>
      <c r="O97" s="64">
        <v>0</v>
      </c>
      <c r="P97" s="64">
        <v>2.4700000000000002</v>
      </c>
      <c r="Q97" s="64">
        <v>7.54</v>
      </c>
      <c r="R97" s="198"/>
      <c r="S97" s="198"/>
      <c r="T97" s="198"/>
      <c r="U97" s="198"/>
    </row>
    <row r="98" spans="1:33" s="12" customFormat="1" x14ac:dyDescent="0.25">
      <c r="A98" s="215" t="s">
        <v>1971</v>
      </c>
      <c r="B98" s="64">
        <v>39.74</v>
      </c>
      <c r="C98" s="64">
        <v>40.25</v>
      </c>
      <c r="D98" s="64">
        <v>54.73</v>
      </c>
      <c r="E98" s="64">
        <v>2.37</v>
      </c>
      <c r="F98" s="64">
        <v>3.22</v>
      </c>
      <c r="G98" s="64">
        <v>71.790000000000006</v>
      </c>
      <c r="H98" s="64">
        <v>36.590000000000003</v>
      </c>
      <c r="I98" s="64">
        <v>1.58</v>
      </c>
      <c r="J98" s="64">
        <v>0.06</v>
      </c>
      <c r="K98" s="64">
        <v>288.22000000000003</v>
      </c>
      <c r="L98" s="64">
        <v>20.55</v>
      </c>
      <c r="M98" s="64">
        <v>70.69</v>
      </c>
      <c r="N98" s="64">
        <v>58.9</v>
      </c>
      <c r="O98" s="64">
        <v>0</v>
      </c>
      <c r="P98" s="64">
        <v>2.39</v>
      </c>
      <c r="Q98" s="64">
        <v>7.49</v>
      </c>
      <c r="R98" s="198"/>
      <c r="S98" s="198"/>
      <c r="T98" s="198"/>
      <c r="U98" s="198"/>
    </row>
    <row r="99" spans="1:33" s="12" customFormat="1" x14ac:dyDescent="0.25">
      <c r="A99" s="215" t="s">
        <v>1972</v>
      </c>
      <c r="B99" s="64">
        <v>35.35</v>
      </c>
      <c r="C99" s="64">
        <v>47.71</v>
      </c>
      <c r="D99" s="64">
        <v>55.33</v>
      </c>
      <c r="E99" s="64">
        <v>2.36</v>
      </c>
      <c r="F99" s="64">
        <v>3.49</v>
      </c>
      <c r="G99" s="64">
        <v>71.790000000000006</v>
      </c>
      <c r="H99" s="64">
        <v>36.590000000000003</v>
      </c>
      <c r="I99" s="64">
        <v>1.52</v>
      </c>
      <c r="J99" s="64">
        <v>0.1</v>
      </c>
      <c r="K99" s="64">
        <v>41.95</v>
      </c>
      <c r="L99" s="64">
        <v>20.81</v>
      </c>
      <c r="M99" s="64">
        <v>67.44</v>
      </c>
      <c r="N99" s="64">
        <v>61.5</v>
      </c>
      <c r="O99" s="64">
        <v>0</v>
      </c>
      <c r="P99" s="64">
        <v>2.1800000000000002</v>
      </c>
      <c r="Q99" s="64">
        <v>7.49</v>
      </c>
      <c r="R99" s="198"/>
      <c r="S99" s="198"/>
      <c r="T99" s="198"/>
      <c r="U99" s="198"/>
    </row>
    <row r="100" spans="1:33" s="12" customFormat="1" x14ac:dyDescent="0.25">
      <c r="A100" s="215" t="s">
        <v>1973</v>
      </c>
      <c r="B100" s="64">
        <v>36.21</v>
      </c>
      <c r="C100" s="64">
        <v>40.78</v>
      </c>
      <c r="D100" s="64">
        <v>52.19</v>
      </c>
      <c r="E100" s="64">
        <v>2.36</v>
      </c>
      <c r="F100" s="64">
        <v>3.52</v>
      </c>
      <c r="G100" s="64">
        <v>71.790000000000006</v>
      </c>
      <c r="H100" s="64">
        <v>36.590000000000003</v>
      </c>
      <c r="I100" s="64">
        <v>1.49</v>
      </c>
      <c r="J100" s="64">
        <v>0.05</v>
      </c>
      <c r="K100" s="64">
        <v>329.12</v>
      </c>
      <c r="L100" s="64">
        <v>20.82</v>
      </c>
      <c r="M100" s="64">
        <v>67.73</v>
      </c>
      <c r="N100" s="64">
        <v>57.7</v>
      </c>
      <c r="O100" s="64">
        <v>0</v>
      </c>
      <c r="P100" s="64">
        <v>2.25</v>
      </c>
      <c r="Q100" s="64">
        <v>7.57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1974</v>
      </c>
      <c r="B101" s="64">
        <v>34.479999999999997</v>
      </c>
      <c r="C101" s="64">
        <v>37.99</v>
      </c>
      <c r="D101" s="64">
        <v>49.26</v>
      </c>
      <c r="E101" s="64">
        <v>2.38</v>
      </c>
      <c r="F101" s="64">
        <v>3.72</v>
      </c>
      <c r="G101" s="64">
        <v>71.650000000000006</v>
      </c>
      <c r="H101" s="64">
        <v>37.14</v>
      </c>
      <c r="I101" s="64">
        <v>1.5</v>
      </c>
      <c r="J101" s="64">
        <v>0.09</v>
      </c>
      <c r="K101" s="64">
        <v>275.62</v>
      </c>
      <c r="L101" s="64">
        <v>20.63</v>
      </c>
      <c r="M101" s="64">
        <v>68.92</v>
      </c>
      <c r="N101" s="64">
        <v>55.3</v>
      </c>
      <c r="O101" s="64">
        <v>0</v>
      </c>
      <c r="P101" s="64">
        <v>2.16</v>
      </c>
      <c r="Q101" s="64">
        <v>7.39</v>
      </c>
      <c r="R101" s="198"/>
      <c r="S101" s="198"/>
      <c r="T101" s="198"/>
      <c r="U101" s="198"/>
    </row>
    <row r="102" spans="1:33" s="12" customFormat="1" x14ac:dyDescent="0.25">
      <c r="A102" s="215" t="s">
        <v>1975</v>
      </c>
      <c r="B102" s="64">
        <v>33.380000000000003</v>
      </c>
      <c r="C102" s="64">
        <v>38.81</v>
      </c>
      <c r="D102" s="64">
        <v>48.83</v>
      </c>
      <c r="E102" s="64">
        <v>2.31</v>
      </c>
      <c r="F102" s="64">
        <v>3.13</v>
      </c>
      <c r="G102" s="64">
        <v>71.56</v>
      </c>
      <c r="H102" s="64">
        <v>37.270000000000003</v>
      </c>
      <c r="I102" s="64">
        <v>1.5</v>
      </c>
      <c r="J102" s="64">
        <v>0.03</v>
      </c>
      <c r="K102" s="64">
        <v>262.63</v>
      </c>
      <c r="L102" s="64">
        <v>20.440000000000001</v>
      </c>
      <c r="M102" s="64">
        <v>69.040000000000006</v>
      </c>
      <c r="N102" s="64">
        <v>56.4</v>
      </c>
      <c r="O102" s="64">
        <v>0</v>
      </c>
      <c r="P102" s="64">
        <v>2.06</v>
      </c>
      <c r="Q102" s="64">
        <v>7.14</v>
      </c>
      <c r="R102" s="198"/>
      <c r="S102" s="198"/>
      <c r="T102" s="198"/>
      <c r="U102" s="198"/>
    </row>
    <row r="103" spans="1:33" s="12" customFormat="1" x14ac:dyDescent="0.25">
      <c r="A103" s="215" t="s">
        <v>1976</v>
      </c>
      <c r="B103" s="64">
        <v>32.369999999999997</v>
      </c>
      <c r="C103" s="64">
        <v>35.200000000000003</v>
      </c>
      <c r="D103" s="64">
        <v>46.03</v>
      </c>
      <c r="E103" s="64">
        <v>2.2999999999999998</v>
      </c>
      <c r="F103" s="64">
        <v>3.48</v>
      </c>
      <c r="G103" s="64">
        <v>71.56</v>
      </c>
      <c r="H103" s="64">
        <v>37.270000000000003</v>
      </c>
      <c r="I103" s="64">
        <v>1.46</v>
      </c>
      <c r="J103" s="64">
        <v>0.09</v>
      </c>
      <c r="K103" s="64">
        <v>300.74</v>
      </c>
      <c r="L103" s="64">
        <v>19.93</v>
      </c>
      <c r="M103" s="64">
        <v>73.34</v>
      </c>
      <c r="N103" s="64">
        <v>58</v>
      </c>
      <c r="O103" s="64">
        <v>0</v>
      </c>
      <c r="P103" s="64">
        <v>2</v>
      </c>
      <c r="Q103" s="64">
        <v>7.04</v>
      </c>
      <c r="R103" s="198"/>
      <c r="S103" s="198"/>
      <c r="T103" s="198"/>
      <c r="U103" s="198"/>
    </row>
    <row r="104" spans="1:33" s="12" customFormat="1" x14ac:dyDescent="0.25">
      <c r="A104" s="215" t="s">
        <v>1977</v>
      </c>
      <c r="B104" s="64">
        <v>32.299999999999997</v>
      </c>
      <c r="C104" s="64">
        <v>37.5</v>
      </c>
      <c r="D104" s="64">
        <v>47.24</v>
      </c>
      <c r="E104" s="64">
        <v>2.29</v>
      </c>
      <c r="F104" s="64">
        <v>3.09</v>
      </c>
      <c r="G104" s="64">
        <v>71.56</v>
      </c>
      <c r="H104" s="64">
        <v>37.270000000000003</v>
      </c>
      <c r="I104" s="64">
        <v>1.53</v>
      </c>
      <c r="J104" s="64">
        <v>0.05</v>
      </c>
      <c r="K104" s="64">
        <v>321.05</v>
      </c>
      <c r="L104" s="64">
        <v>19.84</v>
      </c>
      <c r="M104" s="64">
        <v>73.53</v>
      </c>
      <c r="N104" s="64">
        <v>59</v>
      </c>
      <c r="O104" s="64">
        <v>0</v>
      </c>
      <c r="P104" s="64">
        <v>1.92</v>
      </c>
      <c r="Q104" s="64">
        <v>6.88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1.53</v>
      </c>
      <c r="C106" s="67">
        <f>MIN(C9:C104)</f>
        <v>31.26</v>
      </c>
      <c r="D106" s="67">
        <f t="shared" ref="D106:Q106" si="0">MIN(D9:D104)</f>
        <v>19.13</v>
      </c>
      <c r="E106" s="67">
        <f t="shared" si="0"/>
        <v>2.19</v>
      </c>
      <c r="F106" s="67">
        <f t="shared" si="0"/>
        <v>2.81</v>
      </c>
      <c r="G106" s="67">
        <f t="shared" si="0"/>
        <v>25.3</v>
      </c>
      <c r="H106" s="67">
        <f t="shared" si="0"/>
        <v>18.21</v>
      </c>
      <c r="I106" s="67">
        <f t="shared" si="0"/>
        <v>1.42</v>
      </c>
      <c r="J106" s="67">
        <f t="shared" si="0"/>
        <v>0</v>
      </c>
      <c r="K106" s="67">
        <f t="shared" si="0"/>
        <v>1.4</v>
      </c>
      <c r="L106" s="67">
        <f t="shared" si="0"/>
        <v>16.079999999999998</v>
      </c>
      <c r="M106" s="67">
        <f t="shared" si="0"/>
        <v>37.46</v>
      </c>
      <c r="N106" s="67">
        <f t="shared" si="0"/>
        <v>48</v>
      </c>
      <c r="O106" s="67">
        <f t="shared" si="0"/>
        <v>0</v>
      </c>
      <c r="P106" s="67">
        <f t="shared" si="0"/>
        <v>0.51</v>
      </c>
      <c r="Q106" s="67">
        <f t="shared" si="0"/>
        <v>2.82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76.62</v>
      </c>
      <c r="C107" s="66">
        <f t="shared" ref="C107:Q107" si="1">MAX(C9:C104)</f>
        <v>110.14</v>
      </c>
      <c r="D107" s="66">
        <f t="shared" si="1"/>
        <v>105.54</v>
      </c>
      <c r="E107" s="66">
        <f t="shared" si="1"/>
        <v>7.85</v>
      </c>
      <c r="F107" s="66">
        <f t="shared" si="1"/>
        <v>64.63</v>
      </c>
      <c r="G107" s="66">
        <f t="shared" si="1"/>
        <v>120.23</v>
      </c>
      <c r="H107" s="66">
        <f t="shared" si="1"/>
        <v>42.79</v>
      </c>
      <c r="I107" s="66">
        <f t="shared" si="1"/>
        <v>1.61</v>
      </c>
      <c r="J107" s="66">
        <f t="shared" si="1"/>
        <v>1.27</v>
      </c>
      <c r="K107" s="66">
        <f t="shared" si="1"/>
        <v>353.23</v>
      </c>
      <c r="L107" s="66">
        <f t="shared" si="1"/>
        <v>31.36</v>
      </c>
      <c r="M107" s="66">
        <f t="shared" si="1"/>
        <v>94.02</v>
      </c>
      <c r="N107" s="66">
        <f t="shared" si="1"/>
        <v>743.7</v>
      </c>
      <c r="O107" s="66">
        <f t="shared" si="1"/>
        <v>0</v>
      </c>
      <c r="P107" s="66">
        <f t="shared" si="1"/>
        <v>3.62</v>
      </c>
      <c r="Q107" s="66">
        <f t="shared" si="1"/>
        <v>10.61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34.098854166666669</v>
      </c>
      <c r="C108" s="67">
        <f t="shared" ref="C108:Q108" si="2">AVERAGE(C9:C104)</f>
        <v>48.561874999999986</v>
      </c>
      <c r="D108" s="67">
        <f t="shared" si="2"/>
        <v>54.791145833333324</v>
      </c>
      <c r="E108" s="67">
        <f t="shared" si="2"/>
        <v>2.8613541666666671</v>
      </c>
      <c r="F108" s="67">
        <f t="shared" si="2"/>
        <v>9.0806249999999995</v>
      </c>
      <c r="G108" s="67">
        <f t="shared" si="2"/>
        <v>78.173541666666665</v>
      </c>
      <c r="H108" s="67">
        <f t="shared" si="2"/>
        <v>31.716874999999987</v>
      </c>
      <c r="I108" s="67">
        <f t="shared" si="2"/>
        <v>1.5019791666666682</v>
      </c>
      <c r="J108" s="67">
        <f t="shared" si="2"/>
        <v>0.22833333333333336</v>
      </c>
      <c r="K108" s="67">
        <f t="shared" si="2"/>
        <v>181.81104166666668</v>
      </c>
      <c r="L108" s="67">
        <f t="shared" si="2"/>
        <v>22.055520833333329</v>
      </c>
      <c r="M108" s="67">
        <f t="shared" si="2"/>
        <v>67.1640625</v>
      </c>
      <c r="N108" s="67">
        <f t="shared" si="2"/>
        <v>213.38958333333332</v>
      </c>
      <c r="O108" s="67">
        <f t="shared" si="2"/>
        <v>0</v>
      </c>
      <c r="P108" s="67">
        <f t="shared" si="2"/>
        <v>1.6928124999999989</v>
      </c>
      <c r="Q108" s="67">
        <f t="shared" si="2"/>
        <v>7.081666666666667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21.603666105537769</v>
      </c>
      <c r="C109" s="67">
        <f t="shared" ref="C109:Q109" si="3">STDEV(C9:C104)</f>
        <v>17.079383774936957</v>
      </c>
      <c r="D109" s="67">
        <f t="shared" si="3"/>
        <v>21.259239520477571</v>
      </c>
      <c r="E109" s="67">
        <f t="shared" si="3"/>
        <v>1.1052131204734523</v>
      </c>
      <c r="F109" s="67">
        <f t="shared" si="3"/>
        <v>13.148555478995045</v>
      </c>
      <c r="G109" s="67">
        <f t="shared" si="3"/>
        <v>27.012212130195184</v>
      </c>
      <c r="H109" s="67">
        <f t="shared" si="3"/>
        <v>7.6994481432455482</v>
      </c>
      <c r="I109" s="67">
        <f t="shared" si="3"/>
        <v>3.8460363511068262E-2</v>
      </c>
      <c r="J109" s="67">
        <f t="shared" si="3"/>
        <v>0.25478439457568475</v>
      </c>
      <c r="K109" s="67">
        <f t="shared" si="3"/>
        <v>116.99961925695287</v>
      </c>
      <c r="L109" s="67">
        <f t="shared" si="3"/>
        <v>4.2157284117536173</v>
      </c>
      <c r="M109" s="67">
        <f t="shared" si="3"/>
        <v>17.469990906401069</v>
      </c>
      <c r="N109" s="67">
        <f t="shared" si="3"/>
        <v>232.13221390504199</v>
      </c>
      <c r="O109" s="67">
        <f t="shared" si="3"/>
        <v>0</v>
      </c>
      <c r="P109" s="67">
        <f t="shared" si="3"/>
        <v>0.73827209807054117</v>
      </c>
      <c r="Q109" s="67">
        <f t="shared" si="3"/>
        <v>1.789927764885715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1978</v>
      </c>
      <c r="B9" s="64">
        <v>31.02</v>
      </c>
      <c r="C9" s="64">
        <v>34.909999999999997</v>
      </c>
      <c r="D9" s="64">
        <v>44.79</v>
      </c>
      <c r="E9" s="64">
        <v>2.4</v>
      </c>
      <c r="F9" s="64">
        <v>3.65</v>
      </c>
      <c r="G9" s="64">
        <v>67.06</v>
      </c>
      <c r="H9" s="64">
        <v>33.35</v>
      </c>
      <c r="I9" s="64">
        <v>1.45</v>
      </c>
      <c r="J9" s="64">
        <v>0.03</v>
      </c>
      <c r="K9" s="64">
        <v>109.71</v>
      </c>
      <c r="L9" s="64">
        <v>19.86</v>
      </c>
      <c r="M9" s="64">
        <v>74.05</v>
      </c>
      <c r="N9" s="64">
        <v>57.9</v>
      </c>
      <c r="O9" s="64">
        <v>0</v>
      </c>
      <c r="P9" s="64">
        <v>1.85</v>
      </c>
      <c r="Q9" s="64">
        <v>6.84</v>
      </c>
      <c r="R9" s="198"/>
      <c r="S9" s="198"/>
      <c r="T9" s="198"/>
      <c r="U9" s="198"/>
    </row>
    <row r="10" spans="1:21" s="12" customFormat="1" x14ac:dyDescent="0.25">
      <c r="A10" s="215" t="s">
        <v>1979</v>
      </c>
      <c r="B10" s="64">
        <v>28.93</v>
      </c>
      <c r="C10" s="64">
        <v>36.36</v>
      </c>
      <c r="D10" s="64">
        <v>43.91</v>
      </c>
      <c r="E10" s="64">
        <v>2.37</v>
      </c>
      <c r="F10" s="64">
        <v>3.53</v>
      </c>
      <c r="G10" s="64">
        <v>64.05</v>
      </c>
      <c r="H10" s="64">
        <v>32.409999999999997</v>
      </c>
      <c r="I10" s="64">
        <v>1.44</v>
      </c>
      <c r="J10" s="64">
        <v>7.0000000000000007E-2</v>
      </c>
      <c r="K10" s="64">
        <v>343.29</v>
      </c>
      <c r="L10" s="64">
        <v>20.05</v>
      </c>
      <c r="M10" s="64">
        <v>73.84</v>
      </c>
      <c r="N10" s="64">
        <v>57.4</v>
      </c>
      <c r="O10" s="64">
        <v>0</v>
      </c>
      <c r="P10" s="64">
        <v>1.75</v>
      </c>
      <c r="Q10" s="64">
        <v>6.62</v>
      </c>
      <c r="R10" s="198"/>
      <c r="S10" s="198"/>
      <c r="T10" s="198"/>
      <c r="U10" s="198"/>
    </row>
    <row r="11" spans="1:21" s="12" customFormat="1" x14ac:dyDescent="0.25">
      <c r="A11" s="215" t="s">
        <v>1980</v>
      </c>
      <c r="B11" s="64">
        <v>26.98</v>
      </c>
      <c r="C11" s="64">
        <v>33.950000000000003</v>
      </c>
      <c r="D11" s="64">
        <v>41.02</v>
      </c>
      <c r="E11" s="64">
        <v>2.38</v>
      </c>
      <c r="F11" s="64">
        <v>3.58</v>
      </c>
      <c r="G11" s="64">
        <v>64.05</v>
      </c>
      <c r="H11" s="64">
        <v>32.409999999999997</v>
      </c>
      <c r="I11" s="64">
        <v>1.43</v>
      </c>
      <c r="J11" s="64">
        <v>0.06</v>
      </c>
      <c r="K11" s="64">
        <v>81.41</v>
      </c>
      <c r="L11" s="64">
        <v>19.8</v>
      </c>
      <c r="M11" s="64">
        <v>75.680000000000007</v>
      </c>
      <c r="N11" s="64">
        <v>57.2</v>
      </c>
      <c r="O11" s="64">
        <v>0</v>
      </c>
      <c r="P11" s="64">
        <v>1.69</v>
      </c>
      <c r="Q11" s="64">
        <v>6.54</v>
      </c>
      <c r="R11" s="198"/>
      <c r="S11" s="198"/>
      <c r="T11" s="198"/>
      <c r="U11" s="198"/>
    </row>
    <row r="12" spans="1:21" s="12" customFormat="1" x14ac:dyDescent="0.25">
      <c r="A12" s="215" t="s">
        <v>1981</v>
      </c>
      <c r="B12" s="64">
        <v>25.23</v>
      </c>
      <c r="C12" s="64">
        <v>41.4</v>
      </c>
      <c r="D12" s="64">
        <v>43.72</v>
      </c>
      <c r="E12" s="64">
        <v>2.38</v>
      </c>
      <c r="F12" s="64">
        <v>3.49</v>
      </c>
      <c r="G12" s="64">
        <v>64.05</v>
      </c>
      <c r="H12" s="64">
        <v>32.409999999999997</v>
      </c>
      <c r="I12" s="64">
        <v>1.49</v>
      </c>
      <c r="J12" s="64">
        <v>0.42</v>
      </c>
      <c r="K12" s="64">
        <v>96.62</v>
      </c>
      <c r="L12" s="64">
        <v>20.07</v>
      </c>
      <c r="M12" s="64">
        <v>74.150000000000006</v>
      </c>
      <c r="N12" s="64">
        <v>55.8</v>
      </c>
      <c r="O12" s="64">
        <v>0</v>
      </c>
      <c r="P12" s="64">
        <v>1.62</v>
      </c>
      <c r="Q12" s="64">
        <v>5.95</v>
      </c>
      <c r="R12" s="198"/>
      <c r="S12" s="198"/>
      <c r="T12" s="198"/>
      <c r="U12" s="198"/>
    </row>
    <row r="13" spans="1:21" s="12" customFormat="1" x14ac:dyDescent="0.25">
      <c r="A13" s="215" t="s">
        <v>1982</v>
      </c>
      <c r="B13" s="64">
        <v>24.01</v>
      </c>
      <c r="C13" s="64">
        <v>39.07</v>
      </c>
      <c r="D13" s="64">
        <v>41.46</v>
      </c>
      <c r="E13" s="64">
        <v>2.4300000000000002</v>
      </c>
      <c r="F13" s="64">
        <v>3.83</v>
      </c>
      <c r="G13" s="64">
        <v>55.34</v>
      </c>
      <c r="H13" s="64">
        <v>29.46</v>
      </c>
      <c r="I13" s="64">
        <v>1.55</v>
      </c>
      <c r="J13" s="64">
        <v>0.24</v>
      </c>
      <c r="K13" s="64">
        <v>104.47</v>
      </c>
      <c r="L13" s="64">
        <v>20.51</v>
      </c>
      <c r="M13" s="64">
        <v>72.23</v>
      </c>
      <c r="N13" s="64">
        <v>57</v>
      </c>
      <c r="O13" s="64">
        <v>0</v>
      </c>
      <c r="P13" s="64">
        <v>1.62</v>
      </c>
      <c r="Q13" s="64">
        <v>5.83</v>
      </c>
      <c r="R13" s="198"/>
      <c r="S13" s="198"/>
      <c r="T13" s="198"/>
      <c r="U13" s="198"/>
    </row>
    <row r="14" spans="1:21" s="12" customFormat="1" x14ac:dyDescent="0.25">
      <c r="A14" s="215" t="s">
        <v>1983</v>
      </c>
      <c r="B14" s="64">
        <v>21.04</v>
      </c>
      <c r="C14" s="64">
        <v>38.71</v>
      </c>
      <c r="D14" s="64">
        <v>38.89</v>
      </c>
      <c r="E14" s="64">
        <v>2.39</v>
      </c>
      <c r="F14" s="64">
        <v>4.4800000000000004</v>
      </c>
      <c r="G14" s="64">
        <v>49.25</v>
      </c>
      <c r="H14" s="64">
        <v>28.08</v>
      </c>
      <c r="I14" s="64">
        <v>1.55</v>
      </c>
      <c r="J14" s="64">
        <v>0.18</v>
      </c>
      <c r="K14" s="64">
        <v>111.69</v>
      </c>
      <c r="L14" s="64">
        <v>20.190000000000001</v>
      </c>
      <c r="M14" s="64">
        <v>74.89</v>
      </c>
      <c r="N14" s="64">
        <v>60.7</v>
      </c>
      <c r="O14" s="64">
        <v>0</v>
      </c>
      <c r="P14" s="64">
        <v>1.63</v>
      </c>
      <c r="Q14" s="64">
        <v>5.72</v>
      </c>
      <c r="R14" s="198"/>
      <c r="S14" s="198"/>
      <c r="T14" s="198"/>
      <c r="U14" s="198"/>
    </row>
    <row r="15" spans="1:21" s="12" customFormat="1" x14ac:dyDescent="0.25">
      <c r="A15" s="215" t="s">
        <v>1984</v>
      </c>
      <c r="B15" s="64">
        <v>21.6</v>
      </c>
      <c r="C15" s="64">
        <v>35.78</v>
      </c>
      <c r="D15" s="64">
        <v>37.71</v>
      </c>
      <c r="E15" s="64">
        <v>2.37</v>
      </c>
      <c r="F15" s="64">
        <v>3.91</v>
      </c>
      <c r="G15" s="64">
        <v>49.25</v>
      </c>
      <c r="H15" s="64">
        <v>28.08</v>
      </c>
      <c r="I15" s="64">
        <v>1.53</v>
      </c>
      <c r="J15" s="64">
        <v>0.57999999999999996</v>
      </c>
      <c r="K15" s="64">
        <v>97.88</v>
      </c>
      <c r="L15" s="64">
        <v>20.3</v>
      </c>
      <c r="M15" s="64">
        <v>73.89</v>
      </c>
      <c r="N15" s="64">
        <v>59.3</v>
      </c>
      <c r="O15" s="64">
        <v>0</v>
      </c>
      <c r="P15" s="64">
        <v>1.57</v>
      </c>
      <c r="Q15" s="64">
        <v>5.65</v>
      </c>
      <c r="R15" s="198"/>
      <c r="S15" s="198"/>
      <c r="T15" s="198"/>
      <c r="U15" s="198"/>
    </row>
    <row r="16" spans="1:21" s="12" customFormat="1" x14ac:dyDescent="0.25">
      <c r="A16" s="215" t="s">
        <v>1985</v>
      </c>
      <c r="B16" s="64">
        <v>20.79</v>
      </c>
      <c r="C16" s="64">
        <v>34.4</v>
      </c>
      <c r="D16" s="64">
        <v>36.299999999999997</v>
      </c>
      <c r="E16" s="64">
        <v>2.4</v>
      </c>
      <c r="F16" s="64">
        <v>3.74</v>
      </c>
      <c r="G16" s="64">
        <v>49.25</v>
      </c>
      <c r="H16" s="64">
        <v>28.08</v>
      </c>
      <c r="I16" s="64">
        <v>1.54</v>
      </c>
      <c r="J16" s="64">
        <v>0.14000000000000001</v>
      </c>
      <c r="K16" s="64">
        <v>128.88999999999999</v>
      </c>
      <c r="L16" s="64">
        <v>20.149999999999999</v>
      </c>
      <c r="M16" s="64">
        <v>75.52</v>
      </c>
      <c r="N16" s="64">
        <v>57.6</v>
      </c>
      <c r="O16" s="64">
        <v>0</v>
      </c>
      <c r="P16" s="64">
        <v>1.54</v>
      </c>
      <c r="Q16" s="64">
        <v>5.59</v>
      </c>
      <c r="R16" s="198"/>
      <c r="S16" s="198"/>
      <c r="T16" s="198"/>
      <c r="U16" s="198"/>
    </row>
    <row r="17" spans="1:21" s="12" customFormat="1" x14ac:dyDescent="0.25">
      <c r="A17" s="215" t="s">
        <v>1986</v>
      </c>
      <c r="B17" s="64">
        <v>19.350000000000001</v>
      </c>
      <c r="C17" s="64">
        <v>34.21</v>
      </c>
      <c r="D17" s="64">
        <v>35.049999999999997</v>
      </c>
      <c r="E17" s="64">
        <v>2.4300000000000002</v>
      </c>
      <c r="F17" s="64">
        <v>4.0999999999999996</v>
      </c>
      <c r="G17" s="64">
        <v>46.21</v>
      </c>
      <c r="H17" s="64">
        <v>27.72</v>
      </c>
      <c r="I17" s="64">
        <v>1.42</v>
      </c>
      <c r="J17" s="64">
        <v>0.38</v>
      </c>
      <c r="K17" s="64">
        <v>96.9</v>
      </c>
      <c r="L17" s="64">
        <v>19.97</v>
      </c>
      <c r="M17" s="64">
        <v>76.22</v>
      </c>
      <c r="N17" s="64">
        <v>58.8</v>
      </c>
      <c r="O17" s="64">
        <v>0</v>
      </c>
      <c r="P17" s="64">
        <v>1.48</v>
      </c>
      <c r="Q17" s="64">
        <v>5.51</v>
      </c>
      <c r="R17" s="198"/>
      <c r="S17" s="198"/>
      <c r="T17" s="198"/>
      <c r="U17" s="198"/>
    </row>
    <row r="18" spans="1:21" s="12" customFormat="1" x14ac:dyDescent="0.25">
      <c r="A18" s="215" t="s">
        <v>1987</v>
      </c>
      <c r="B18" s="64">
        <v>18.34</v>
      </c>
      <c r="C18" s="64">
        <v>33.61</v>
      </c>
      <c r="D18" s="64">
        <v>33.9</v>
      </c>
      <c r="E18" s="64">
        <v>2.4300000000000002</v>
      </c>
      <c r="F18" s="64">
        <v>4.32</v>
      </c>
      <c r="G18" s="64">
        <v>44.19</v>
      </c>
      <c r="H18" s="64">
        <v>27.63</v>
      </c>
      <c r="I18" s="64">
        <v>1.57</v>
      </c>
      <c r="J18" s="64">
        <v>0.42</v>
      </c>
      <c r="K18" s="64">
        <v>97.64</v>
      </c>
      <c r="L18" s="64">
        <v>19.940000000000001</v>
      </c>
      <c r="M18" s="64">
        <v>76.89</v>
      </c>
      <c r="N18" s="64">
        <v>60.1</v>
      </c>
      <c r="O18" s="64">
        <v>0</v>
      </c>
      <c r="P18" s="64">
        <v>1.42</v>
      </c>
      <c r="Q18" s="64">
        <v>5.46</v>
      </c>
      <c r="R18" s="198"/>
      <c r="S18" s="198"/>
      <c r="T18" s="198"/>
      <c r="U18" s="198"/>
    </row>
    <row r="19" spans="1:21" s="12" customFormat="1" x14ac:dyDescent="0.25">
      <c r="A19" s="215" t="s">
        <v>1988</v>
      </c>
      <c r="B19" s="64">
        <v>18.02</v>
      </c>
      <c r="C19" s="64">
        <v>32.93</v>
      </c>
      <c r="D19" s="64">
        <v>33.270000000000003</v>
      </c>
      <c r="E19" s="64">
        <v>2.4300000000000002</v>
      </c>
      <c r="F19" s="64">
        <v>3.65</v>
      </c>
      <c r="G19" s="64">
        <v>44.19</v>
      </c>
      <c r="H19" s="64">
        <v>27.63</v>
      </c>
      <c r="I19" s="64">
        <v>1.52</v>
      </c>
      <c r="J19" s="64">
        <v>0.64</v>
      </c>
      <c r="K19" s="64">
        <v>99.59</v>
      </c>
      <c r="L19" s="64">
        <v>19.82</v>
      </c>
      <c r="M19" s="64">
        <v>77.489999999999995</v>
      </c>
      <c r="N19" s="64">
        <v>54.6</v>
      </c>
      <c r="O19" s="64">
        <v>0</v>
      </c>
      <c r="P19" s="64">
        <v>1.4</v>
      </c>
      <c r="Q19" s="64">
        <v>5.4</v>
      </c>
      <c r="R19" s="198"/>
      <c r="S19" s="198"/>
      <c r="T19" s="198"/>
      <c r="U19" s="198"/>
    </row>
    <row r="20" spans="1:21" s="12" customFormat="1" x14ac:dyDescent="0.25">
      <c r="A20" s="215" t="s">
        <v>1989</v>
      </c>
      <c r="B20" s="64">
        <v>17.05</v>
      </c>
      <c r="C20" s="64">
        <v>33.06</v>
      </c>
      <c r="D20" s="64">
        <v>32.56</v>
      </c>
      <c r="E20" s="64">
        <v>2.44</v>
      </c>
      <c r="F20" s="64">
        <v>3.53</v>
      </c>
      <c r="G20" s="64">
        <v>44.19</v>
      </c>
      <c r="H20" s="64">
        <v>27.63</v>
      </c>
      <c r="I20" s="64">
        <v>1.43</v>
      </c>
      <c r="J20" s="64">
        <v>0.01</v>
      </c>
      <c r="K20" s="64">
        <v>121.87</v>
      </c>
      <c r="L20" s="64">
        <v>19.54</v>
      </c>
      <c r="M20" s="64">
        <v>80.33</v>
      </c>
      <c r="N20" s="64">
        <v>57.1</v>
      </c>
      <c r="O20" s="64">
        <v>0</v>
      </c>
      <c r="P20" s="64">
        <v>1.33</v>
      </c>
      <c r="Q20" s="64">
        <v>5.29</v>
      </c>
      <c r="R20" s="198"/>
      <c r="S20" s="198"/>
      <c r="T20" s="198"/>
      <c r="U20" s="198"/>
    </row>
    <row r="21" spans="1:21" s="12" customFormat="1" x14ac:dyDescent="0.25">
      <c r="A21" s="215" t="s">
        <v>1990</v>
      </c>
      <c r="B21" s="64">
        <v>16.510000000000002</v>
      </c>
      <c r="C21" s="64">
        <v>32.83</v>
      </c>
      <c r="D21" s="64">
        <v>32</v>
      </c>
      <c r="E21" s="64">
        <v>2.39</v>
      </c>
      <c r="F21" s="64">
        <v>3.37</v>
      </c>
      <c r="G21" s="64">
        <v>47.6</v>
      </c>
      <c r="H21" s="64">
        <v>26.05</v>
      </c>
      <c r="I21" s="64">
        <v>1.5</v>
      </c>
      <c r="J21" s="64">
        <v>0.06</v>
      </c>
      <c r="K21" s="64">
        <v>301.64999999999998</v>
      </c>
      <c r="L21" s="64">
        <v>18.7</v>
      </c>
      <c r="M21" s="64">
        <v>85.91</v>
      </c>
      <c r="N21" s="64">
        <v>55.9</v>
      </c>
      <c r="O21" s="64">
        <v>0</v>
      </c>
      <c r="P21" s="64">
        <v>1.3</v>
      </c>
      <c r="Q21" s="64">
        <v>5.19</v>
      </c>
      <c r="R21" s="198"/>
      <c r="S21" s="198"/>
      <c r="T21" s="198"/>
      <c r="U21" s="198"/>
    </row>
    <row r="22" spans="1:21" s="12" customFormat="1" x14ac:dyDescent="0.25">
      <c r="A22" s="215" t="s">
        <v>1991</v>
      </c>
      <c r="B22" s="64">
        <v>16</v>
      </c>
      <c r="C22" s="64">
        <v>32.15</v>
      </c>
      <c r="D22" s="64">
        <v>31.22</v>
      </c>
      <c r="E22" s="64">
        <v>2.4</v>
      </c>
      <c r="F22" s="64">
        <v>3.5</v>
      </c>
      <c r="G22" s="64">
        <v>49.87</v>
      </c>
      <c r="H22" s="64">
        <v>25.66</v>
      </c>
      <c r="I22" s="64">
        <v>1.46</v>
      </c>
      <c r="J22" s="64">
        <v>0.06</v>
      </c>
      <c r="K22" s="64">
        <v>283.06</v>
      </c>
      <c r="L22" s="64">
        <v>18.38</v>
      </c>
      <c r="M22" s="64">
        <v>88.34</v>
      </c>
      <c r="N22" s="64">
        <v>69.400000000000006</v>
      </c>
      <c r="O22" s="64">
        <v>0</v>
      </c>
      <c r="P22" s="64">
        <v>1.25</v>
      </c>
      <c r="Q22" s="64">
        <v>5.22</v>
      </c>
      <c r="R22" s="198"/>
      <c r="S22" s="198"/>
      <c r="T22" s="198"/>
      <c r="U22" s="198"/>
    </row>
    <row r="23" spans="1:21" s="12" customFormat="1" x14ac:dyDescent="0.25">
      <c r="A23" s="215" t="s">
        <v>1992</v>
      </c>
      <c r="B23" s="64">
        <v>15.66</v>
      </c>
      <c r="C23" s="64">
        <v>31.62</v>
      </c>
      <c r="D23" s="64">
        <v>30.65</v>
      </c>
      <c r="E23" s="64">
        <v>2.35</v>
      </c>
      <c r="F23" s="64">
        <v>3.3</v>
      </c>
      <c r="G23" s="64">
        <v>49.87</v>
      </c>
      <c r="H23" s="64">
        <v>25.66</v>
      </c>
      <c r="I23" s="64">
        <v>1.57</v>
      </c>
      <c r="J23" s="64">
        <v>0.08</v>
      </c>
      <c r="K23" s="64">
        <v>339.84</v>
      </c>
      <c r="L23" s="64">
        <v>18.04</v>
      </c>
      <c r="M23" s="64">
        <v>91.24</v>
      </c>
      <c r="N23" s="64">
        <v>74.7</v>
      </c>
      <c r="O23" s="64">
        <v>0</v>
      </c>
      <c r="P23" s="64">
        <v>1.2</v>
      </c>
      <c r="Q23" s="64">
        <v>5.22</v>
      </c>
      <c r="R23" s="198"/>
      <c r="S23" s="198"/>
      <c r="T23" s="198"/>
      <c r="U23" s="198"/>
    </row>
    <row r="24" spans="1:21" s="12" customFormat="1" x14ac:dyDescent="0.25">
      <c r="A24" s="215" t="s">
        <v>1993</v>
      </c>
      <c r="B24" s="64">
        <v>15.44</v>
      </c>
      <c r="C24" s="64">
        <v>30.88</v>
      </c>
      <c r="D24" s="64">
        <v>30.07</v>
      </c>
      <c r="E24" s="64">
        <v>2.2400000000000002</v>
      </c>
      <c r="F24" s="64">
        <v>3.3</v>
      </c>
      <c r="G24" s="64">
        <v>49.87</v>
      </c>
      <c r="H24" s="64">
        <v>25.66</v>
      </c>
      <c r="I24" s="64">
        <v>1.53</v>
      </c>
      <c r="J24" s="64">
        <v>0.06</v>
      </c>
      <c r="K24" s="64">
        <v>305.02</v>
      </c>
      <c r="L24" s="64">
        <v>17.760000000000002</v>
      </c>
      <c r="M24" s="64">
        <v>92.94</v>
      </c>
      <c r="N24" s="64">
        <v>66.7</v>
      </c>
      <c r="O24" s="64">
        <v>0</v>
      </c>
      <c r="P24" s="64">
        <v>1.17</v>
      </c>
      <c r="Q24" s="64">
        <v>5.23</v>
      </c>
      <c r="R24" s="198"/>
      <c r="S24" s="198"/>
      <c r="T24" s="198"/>
      <c r="U24" s="198"/>
    </row>
    <row r="25" spans="1:21" s="12" customFormat="1" x14ac:dyDescent="0.25">
      <c r="A25" s="215" t="s">
        <v>1994</v>
      </c>
      <c r="B25" s="64">
        <v>16.16</v>
      </c>
      <c r="C25" s="64">
        <v>36.46</v>
      </c>
      <c r="D25" s="64">
        <v>33.729999999999997</v>
      </c>
      <c r="E25" s="64">
        <v>2.41</v>
      </c>
      <c r="F25" s="64">
        <v>3.17</v>
      </c>
      <c r="G25" s="64">
        <v>47.97</v>
      </c>
      <c r="H25" s="64">
        <v>27.42</v>
      </c>
      <c r="I25" s="64">
        <v>1.41</v>
      </c>
      <c r="J25" s="64">
        <v>0.02</v>
      </c>
      <c r="K25" s="64">
        <v>103.04</v>
      </c>
      <c r="L25" s="64">
        <v>17.47</v>
      </c>
      <c r="M25" s="64">
        <v>94.97</v>
      </c>
      <c r="N25" s="64">
        <v>58.7</v>
      </c>
      <c r="O25" s="64">
        <v>0</v>
      </c>
      <c r="P25" s="64">
        <v>1.1399999999999999</v>
      </c>
      <c r="Q25" s="64">
        <v>4.96</v>
      </c>
      <c r="R25" s="198"/>
      <c r="S25" s="198"/>
      <c r="T25" s="198"/>
      <c r="U25" s="198"/>
    </row>
    <row r="26" spans="1:21" s="12" customFormat="1" x14ac:dyDescent="0.25">
      <c r="A26" s="215" t="s">
        <v>1995</v>
      </c>
      <c r="B26" s="64">
        <v>16.73</v>
      </c>
      <c r="C26" s="64">
        <v>32.58</v>
      </c>
      <c r="D26" s="64">
        <v>32.049999999999997</v>
      </c>
      <c r="E26" s="64">
        <v>2.42</v>
      </c>
      <c r="F26" s="64">
        <v>3.15</v>
      </c>
      <c r="G26" s="64">
        <v>46.7</v>
      </c>
      <c r="H26" s="64">
        <v>27.89</v>
      </c>
      <c r="I26" s="64">
        <v>1.49</v>
      </c>
      <c r="J26" s="64">
        <v>0.08</v>
      </c>
      <c r="K26" s="64">
        <v>336.34</v>
      </c>
      <c r="L26" s="64">
        <v>17.3</v>
      </c>
      <c r="M26" s="64">
        <v>96.19</v>
      </c>
      <c r="N26" s="64">
        <v>59</v>
      </c>
      <c r="O26" s="64">
        <v>0</v>
      </c>
      <c r="P26" s="64">
        <v>1.1299999999999999</v>
      </c>
      <c r="Q26" s="64">
        <v>5.19</v>
      </c>
      <c r="R26" s="198"/>
      <c r="S26" s="198"/>
      <c r="T26" s="198"/>
      <c r="U26" s="198"/>
    </row>
    <row r="27" spans="1:21" s="12" customFormat="1" x14ac:dyDescent="0.25">
      <c r="A27" s="215" t="s">
        <v>1996</v>
      </c>
      <c r="B27" s="64">
        <v>17.13</v>
      </c>
      <c r="C27" s="64">
        <v>30.95</v>
      </c>
      <c r="D27" s="64">
        <v>31.46</v>
      </c>
      <c r="E27" s="64">
        <v>2.41</v>
      </c>
      <c r="F27" s="64">
        <v>3.3</v>
      </c>
      <c r="G27" s="64">
        <v>46.7</v>
      </c>
      <c r="H27" s="64">
        <v>27.89</v>
      </c>
      <c r="I27" s="64">
        <v>1.47</v>
      </c>
      <c r="J27" s="64">
        <v>7.0000000000000007E-2</v>
      </c>
      <c r="K27" s="64">
        <v>354.63</v>
      </c>
      <c r="L27" s="64">
        <v>17.14</v>
      </c>
      <c r="M27" s="64">
        <v>97.27</v>
      </c>
      <c r="N27" s="64">
        <v>59.7</v>
      </c>
      <c r="O27" s="64">
        <v>0</v>
      </c>
      <c r="P27" s="64">
        <v>1.1200000000000001</v>
      </c>
      <c r="Q27" s="64">
        <v>5.43</v>
      </c>
      <c r="R27" s="198"/>
      <c r="S27" s="198"/>
      <c r="T27" s="198"/>
      <c r="U27" s="198"/>
    </row>
    <row r="28" spans="1:21" s="12" customFormat="1" x14ac:dyDescent="0.25">
      <c r="A28" s="215" t="s">
        <v>1997</v>
      </c>
      <c r="B28" s="64">
        <v>17.98</v>
      </c>
      <c r="C28" s="64">
        <v>35.69</v>
      </c>
      <c r="D28" s="64">
        <v>34.76</v>
      </c>
      <c r="E28" s="64">
        <v>2.34</v>
      </c>
      <c r="F28" s="64">
        <v>3.14</v>
      </c>
      <c r="G28" s="64">
        <v>46.7</v>
      </c>
      <c r="H28" s="64">
        <v>27.89</v>
      </c>
      <c r="I28" s="64">
        <v>1.54</v>
      </c>
      <c r="J28" s="64">
        <v>0.06</v>
      </c>
      <c r="K28" s="64">
        <v>312.81</v>
      </c>
      <c r="L28" s="64">
        <v>17.100000000000001</v>
      </c>
      <c r="M28" s="64">
        <v>97.4</v>
      </c>
      <c r="N28" s="64">
        <v>60.1</v>
      </c>
      <c r="O28" s="64">
        <v>0</v>
      </c>
      <c r="P28" s="64">
        <v>1.1299999999999999</v>
      </c>
      <c r="Q28" s="64">
        <v>5.29</v>
      </c>
      <c r="R28" s="198"/>
      <c r="S28" s="198"/>
      <c r="T28" s="198"/>
      <c r="U28" s="198"/>
    </row>
    <row r="29" spans="1:21" s="12" customFormat="1" x14ac:dyDescent="0.25">
      <c r="A29" s="215" t="s">
        <v>1998</v>
      </c>
      <c r="B29" s="64">
        <v>19.09</v>
      </c>
      <c r="C29" s="64">
        <v>34.409999999999997</v>
      </c>
      <c r="D29" s="64">
        <v>34.950000000000003</v>
      </c>
      <c r="E29" s="64">
        <v>2.37</v>
      </c>
      <c r="F29" s="64">
        <v>3.12</v>
      </c>
      <c r="G29" s="64">
        <v>64.3</v>
      </c>
      <c r="H29" s="64">
        <v>33.26</v>
      </c>
      <c r="I29" s="64">
        <v>1.53</v>
      </c>
      <c r="J29" s="64">
        <v>0.17</v>
      </c>
      <c r="K29" s="64">
        <v>63.2</v>
      </c>
      <c r="L29" s="64">
        <v>17.23</v>
      </c>
      <c r="M29" s="64">
        <v>96.99</v>
      </c>
      <c r="N29" s="64">
        <v>60</v>
      </c>
      <c r="O29" s="64">
        <v>0</v>
      </c>
      <c r="P29" s="64">
        <v>1.1299999999999999</v>
      </c>
      <c r="Q29" s="64">
        <v>5.43</v>
      </c>
      <c r="R29" s="198"/>
      <c r="S29" s="198"/>
      <c r="T29" s="198"/>
      <c r="U29" s="198"/>
    </row>
    <row r="30" spans="1:21" s="12" customFormat="1" x14ac:dyDescent="0.25">
      <c r="A30" s="215" t="s">
        <v>1999</v>
      </c>
      <c r="B30" s="64">
        <v>20.7</v>
      </c>
      <c r="C30" s="64">
        <v>35.49</v>
      </c>
      <c r="D30" s="64">
        <v>36.83</v>
      </c>
      <c r="E30" s="64">
        <v>2.39</v>
      </c>
      <c r="F30" s="64">
        <v>3.14</v>
      </c>
      <c r="G30" s="64">
        <v>76.03</v>
      </c>
      <c r="H30" s="64">
        <v>35.770000000000003</v>
      </c>
      <c r="I30" s="64">
        <v>1.47</v>
      </c>
      <c r="J30" s="64">
        <v>0.19</v>
      </c>
      <c r="K30" s="64">
        <v>93.18</v>
      </c>
      <c r="L30" s="64">
        <v>17.420000000000002</v>
      </c>
      <c r="M30" s="64">
        <v>95.75</v>
      </c>
      <c r="N30" s="64">
        <v>59</v>
      </c>
      <c r="O30" s="64">
        <v>0</v>
      </c>
      <c r="P30" s="64">
        <v>1.1499999999999999</v>
      </c>
      <c r="Q30" s="64">
        <v>5.55</v>
      </c>
      <c r="R30" s="198"/>
      <c r="S30" s="198"/>
      <c r="T30" s="198"/>
      <c r="U30" s="198"/>
    </row>
    <row r="31" spans="1:21" s="12" customFormat="1" x14ac:dyDescent="0.25">
      <c r="A31" s="215" t="s">
        <v>2000</v>
      </c>
      <c r="B31" s="64">
        <v>21.57</v>
      </c>
      <c r="C31" s="64">
        <v>36.32</v>
      </c>
      <c r="D31" s="64">
        <v>37.99</v>
      </c>
      <c r="E31" s="64">
        <v>2.37</v>
      </c>
      <c r="F31" s="64">
        <v>3.18</v>
      </c>
      <c r="G31" s="64">
        <v>76.03</v>
      </c>
      <c r="H31" s="64">
        <v>35.770000000000003</v>
      </c>
      <c r="I31" s="64">
        <v>1.49</v>
      </c>
      <c r="J31" s="64">
        <v>0.11</v>
      </c>
      <c r="K31" s="64">
        <v>303.64999999999998</v>
      </c>
      <c r="L31" s="64">
        <v>17.64</v>
      </c>
      <c r="M31" s="64">
        <v>92.9</v>
      </c>
      <c r="N31" s="64">
        <v>59.8</v>
      </c>
      <c r="O31" s="64">
        <v>0</v>
      </c>
      <c r="P31" s="64">
        <v>1.18</v>
      </c>
      <c r="Q31" s="64">
        <v>5.58</v>
      </c>
      <c r="R31" s="198"/>
      <c r="S31" s="198"/>
      <c r="T31" s="198"/>
      <c r="U31" s="198"/>
    </row>
    <row r="32" spans="1:21" s="12" customFormat="1" x14ac:dyDescent="0.25">
      <c r="A32" s="215" t="s">
        <v>2001</v>
      </c>
      <c r="B32" s="64">
        <v>21.52</v>
      </c>
      <c r="C32" s="64">
        <v>32.369999999999997</v>
      </c>
      <c r="D32" s="64">
        <v>35.770000000000003</v>
      </c>
      <c r="E32" s="64">
        <v>2.31</v>
      </c>
      <c r="F32" s="64">
        <v>3.18</v>
      </c>
      <c r="G32" s="64">
        <v>76.03</v>
      </c>
      <c r="H32" s="64">
        <v>35.770000000000003</v>
      </c>
      <c r="I32" s="64">
        <v>1.47</v>
      </c>
      <c r="J32" s="64">
        <v>0.04</v>
      </c>
      <c r="K32" s="64">
        <v>10.63</v>
      </c>
      <c r="L32" s="64">
        <v>17.440000000000001</v>
      </c>
      <c r="M32" s="64">
        <v>93.17</v>
      </c>
      <c r="N32" s="64">
        <v>60.9</v>
      </c>
      <c r="O32" s="64">
        <v>0</v>
      </c>
      <c r="P32" s="64">
        <v>1.2</v>
      </c>
      <c r="Q32" s="64">
        <v>5.75</v>
      </c>
      <c r="R32" s="198"/>
      <c r="S32" s="198"/>
      <c r="T32" s="198"/>
      <c r="U32" s="198"/>
    </row>
    <row r="33" spans="1:21" s="12" customFormat="1" x14ac:dyDescent="0.25">
      <c r="A33" s="215" t="s">
        <v>2002</v>
      </c>
      <c r="B33" s="64">
        <v>20.89</v>
      </c>
      <c r="C33" s="64">
        <v>30.68</v>
      </c>
      <c r="D33" s="64">
        <v>34.33</v>
      </c>
      <c r="E33" s="64">
        <v>2.35</v>
      </c>
      <c r="F33" s="64">
        <v>3.19</v>
      </c>
      <c r="G33" s="64">
        <v>94.36</v>
      </c>
      <c r="H33" s="64">
        <v>41.63</v>
      </c>
      <c r="I33" s="64">
        <v>1.51</v>
      </c>
      <c r="J33" s="64">
        <v>0.21</v>
      </c>
      <c r="K33" s="64">
        <v>86.57</v>
      </c>
      <c r="L33" s="64">
        <v>17.39</v>
      </c>
      <c r="M33" s="64">
        <v>92.85</v>
      </c>
      <c r="N33" s="64">
        <v>63.5</v>
      </c>
      <c r="O33" s="64">
        <v>0</v>
      </c>
      <c r="P33" s="64">
        <v>1.2</v>
      </c>
      <c r="Q33" s="64">
        <v>5.81</v>
      </c>
      <c r="R33" s="198"/>
      <c r="S33" s="198"/>
      <c r="T33" s="198"/>
      <c r="U33" s="198"/>
    </row>
    <row r="34" spans="1:21" s="12" customFormat="1" x14ac:dyDescent="0.25">
      <c r="A34" s="215" t="s">
        <v>2003</v>
      </c>
      <c r="B34" s="64">
        <v>20.079999999999998</v>
      </c>
      <c r="C34" s="64">
        <v>31.11</v>
      </c>
      <c r="D34" s="64">
        <v>33.92</v>
      </c>
      <c r="E34" s="64">
        <v>2.35</v>
      </c>
      <c r="F34" s="64">
        <v>3.15</v>
      </c>
      <c r="G34" s="64">
        <v>106.58</v>
      </c>
      <c r="H34" s="64">
        <v>43.07</v>
      </c>
      <c r="I34" s="64">
        <v>1.47</v>
      </c>
      <c r="J34" s="64">
        <v>0.38</v>
      </c>
      <c r="K34" s="64">
        <v>99.17</v>
      </c>
      <c r="L34" s="64">
        <v>17.59</v>
      </c>
      <c r="M34" s="64">
        <v>91.77</v>
      </c>
      <c r="N34" s="64">
        <v>75.3</v>
      </c>
      <c r="O34" s="64">
        <v>0</v>
      </c>
      <c r="P34" s="64">
        <v>1.19</v>
      </c>
      <c r="Q34" s="64">
        <v>5.82</v>
      </c>
      <c r="R34" s="198"/>
      <c r="S34" s="198"/>
      <c r="T34" s="198"/>
      <c r="U34" s="198"/>
    </row>
    <row r="35" spans="1:21" s="12" customFormat="1" x14ac:dyDescent="0.25">
      <c r="A35" s="215" t="s">
        <v>2004</v>
      </c>
      <c r="B35" s="64">
        <v>19.260000000000002</v>
      </c>
      <c r="C35" s="64">
        <v>30.87</v>
      </c>
      <c r="D35" s="64">
        <v>33.119999999999997</v>
      </c>
      <c r="E35" s="64">
        <v>2.33</v>
      </c>
      <c r="F35" s="64">
        <v>3.25</v>
      </c>
      <c r="G35" s="64">
        <v>106.58</v>
      </c>
      <c r="H35" s="64">
        <v>43.07</v>
      </c>
      <c r="I35" s="64">
        <v>1.55</v>
      </c>
      <c r="J35" s="64">
        <v>0.41</v>
      </c>
      <c r="K35" s="64">
        <v>100.67</v>
      </c>
      <c r="L35" s="64">
        <v>17.89</v>
      </c>
      <c r="M35" s="64">
        <v>90.22</v>
      </c>
      <c r="N35" s="64">
        <v>94</v>
      </c>
      <c r="O35" s="64">
        <v>0</v>
      </c>
      <c r="P35" s="64">
        <v>1.17</v>
      </c>
      <c r="Q35" s="64">
        <v>5.68</v>
      </c>
      <c r="R35" s="198"/>
      <c r="S35" s="198"/>
      <c r="T35" s="198"/>
      <c r="U35" s="198"/>
    </row>
    <row r="36" spans="1:21" s="12" customFormat="1" x14ac:dyDescent="0.25">
      <c r="A36" s="215" t="s">
        <v>2005</v>
      </c>
      <c r="B36" s="64">
        <v>18.93</v>
      </c>
      <c r="C36" s="64">
        <v>32.9</v>
      </c>
      <c r="D36" s="64">
        <v>33.99</v>
      </c>
      <c r="E36" s="64">
        <v>2.35</v>
      </c>
      <c r="F36" s="64">
        <v>3.03</v>
      </c>
      <c r="G36" s="64">
        <v>106.58</v>
      </c>
      <c r="H36" s="64">
        <v>43.07</v>
      </c>
      <c r="I36" s="64">
        <v>1.49</v>
      </c>
      <c r="J36" s="64">
        <v>0.32</v>
      </c>
      <c r="K36" s="64">
        <v>97.06</v>
      </c>
      <c r="L36" s="64">
        <v>18.21</v>
      </c>
      <c r="M36" s="64">
        <v>89.32</v>
      </c>
      <c r="N36" s="64">
        <v>115</v>
      </c>
      <c r="O36" s="64">
        <v>0</v>
      </c>
      <c r="P36" s="64">
        <v>1.1399999999999999</v>
      </c>
      <c r="Q36" s="64">
        <v>5.49</v>
      </c>
      <c r="R36" s="198"/>
      <c r="S36" s="198"/>
      <c r="T36" s="198"/>
      <c r="U36" s="198"/>
    </row>
    <row r="37" spans="1:21" s="12" customFormat="1" x14ac:dyDescent="0.25">
      <c r="A37" s="215" t="s">
        <v>2006</v>
      </c>
      <c r="B37" s="64">
        <v>18.600000000000001</v>
      </c>
      <c r="C37" s="64">
        <v>34.68</v>
      </c>
      <c r="D37" s="64">
        <v>34.700000000000003</v>
      </c>
      <c r="E37" s="64">
        <v>2.33</v>
      </c>
      <c r="F37" s="64">
        <v>3.12</v>
      </c>
      <c r="G37" s="64">
        <v>92.96</v>
      </c>
      <c r="H37" s="64">
        <v>42.48</v>
      </c>
      <c r="I37" s="64">
        <v>1.54</v>
      </c>
      <c r="J37" s="64">
        <v>0.41</v>
      </c>
      <c r="K37" s="64">
        <v>103.41</v>
      </c>
      <c r="L37" s="64">
        <v>18.73</v>
      </c>
      <c r="M37" s="64">
        <v>86.68</v>
      </c>
      <c r="N37" s="64">
        <v>149.4</v>
      </c>
      <c r="O37" s="64">
        <v>0</v>
      </c>
      <c r="P37" s="64">
        <v>1.1000000000000001</v>
      </c>
      <c r="Q37" s="64">
        <v>5.45</v>
      </c>
      <c r="R37" s="198"/>
      <c r="S37" s="198"/>
      <c r="T37" s="198"/>
      <c r="U37" s="198"/>
    </row>
    <row r="38" spans="1:21" s="12" customFormat="1" x14ac:dyDescent="0.25">
      <c r="A38" s="215" t="s">
        <v>2007</v>
      </c>
      <c r="B38" s="64">
        <v>17.89</v>
      </c>
      <c r="C38" s="64">
        <v>35.799999999999997</v>
      </c>
      <c r="D38" s="64">
        <v>34.75</v>
      </c>
      <c r="E38" s="64">
        <v>2.33</v>
      </c>
      <c r="F38" s="64">
        <v>3.54</v>
      </c>
      <c r="G38" s="64">
        <v>83.88</v>
      </c>
      <c r="H38" s="64">
        <v>42.33</v>
      </c>
      <c r="I38" s="64">
        <v>1.45</v>
      </c>
      <c r="J38" s="64">
        <v>0.54</v>
      </c>
      <c r="K38" s="64">
        <v>109.36</v>
      </c>
      <c r="L38" s="64">
        <v>19.59</v>
      </c>
      <c r="M38" s="64">
        <v>82.23</v>
      </c>
      <c r="N38" s="64">
        <v>223.4</v>
      </c>
      <c r="O38" s="64">
        <v>0</v>
      </c>
      <c r="P38" s="64">
        <v>1.1399999999999999</v>
      </c>
      <c r="Q38" s="64">
        <v>5.3</v>
      </c>
      <c r="R38" s="198"/>
      <c r="S38" s="198"/>
      <c r="T38" s="198"/>
      <c r="U38" s="198"/>
    </row>
    <row r="39" spans="1:21" s="12" customFormat="1" x14ac:dyDescent="0.25">
      <c r="A39" s="215" t="s">
        <v>2008</v>
      </c>
      <c r="B39" s="64">
        <v>16.91</v>
      </c>
      <c r="C39" s="64">
        <v>43.91</v>
      </c>
      <c r="D39" s="64">
        <v>38.44</v>
      </c>
      <c r="E39" s="64">
        <v>2.2999999999999998</v>
      </c>
      <c r="F39" s="64">
        <v>3.2</v>
      </c>
      <c r="G39" s="64">
        <v>83.88</v>
      </c>
      <c r="H39" s="64">
        <v>42.33</v>
      </c>
      <c r="I39" s="64">
        <v>1.47</v>
      </c>
      <c r="J39" s="64">
        <v>0.6</v>
      </c>
      <c r="K39" s="64">
        <v>111.01</v>
      </c>
      <c r="L39" s="64">
        <v>20.87</v>
      </c>
      <c r="M39" s="64">
        <v>76.400000000000006</v>
      </c>
      <c r="N39" s="64">
        <v>275</v>
      </c>
      <c r="O39" s="64">
        <v>0</v>
      </c>
      <c r="P39" s="64">
        <v>1.1100000000000001</v>
      </c>
      <c r="Q39" s="64">
        <v>4.8499999999999996</v>
      </c>
      <c r="R39" s="198"/>
      <c r="S39" s="198"/>
      <c r="T39" s="198"/>
      <c r="U39" s="198"/>
    </row>
    <row r="40" spans="1:21" s="12" customFormat="1" x14ac:dyDescent="0.25">
      <c r="A40" s="215" t="s">
        <v>2009</v>
      </c>
      <c r="B40" s="64">
        <v>16.27</v>
      </c>
      <c r="C40" s="64">
        <v>45.47</v>
      </c>
      <c r="D40" s="64">
        <v>38.79</v>
      </c>
      <c r="E40" s="64">
        <v>2.16</v>
      </c>
      <c r="F40" s="64">
        <v>3.42</v>
      </c>
      <c r="G40" s="64">
        <v>83.88</v>
      </c>
      <c r="H40" s="64">
        <v>42.33</v>
      </c>
      <c r="I40" s="64">
        <v>1.55</v>
      </c>
      <c r="J40" s="64">
        <v>0.39</v>
      </c>
      <c r="K40" s="64">
        <v>100.08</v>
      </c>
      <c r="L40" s="64">
        <v>22.17</v>
      </c>
      <c r="M40" s="64">
        <v>71.430000000000007</v>
      </c>
      <c r="N40" s="64">
        <v>323.5</v>
      </c>
      <c r="O40" s="64">
        <v>0</v>
      </c>
      <c r="P40" s="64">
        <v>1.0900000000000001</v>
      </c>
      <c r="Q40" s="64">
        <v>4.63</v>
      </c>
      <c r="R40" s="198"/>
      <c r="S40" s="198"/>
      <c r="T40" s="198"/>
      <c r="U40" s="198"/>
    </row>
    <row r="41" spans="1:21" s="12" customFormat="1" x14ac:dyDescent="0.25">
      <c r="A41" s="215" t="s">
        <v>2010</v>
      </c>
      <c r="B41" s="64">
        <v>15.82</v>
      </c>
      <c r="C41" s="64">
        <v>42.93</v>
      </c>
      <c r="D41" s="64">
        <v>37.020000000000003</v>
      </c>
      <c r="E41" s="64">
        <v>2.23</v>
      </c>
      <c r="F41" s="64">
        <v>3.62</v>
      </c>
      <c r="G41" s="64">
        <v>68.87</v>
      </c>
      <c r="H41" s="64">
        <v>38.78</v>
      </c>
      <c r="I41" s="64">
        <v>1.5</v>
      </c>
      <c r="J41" s="64">
        <v>0.36</v>
      </c>
      <c r="K41" s="64">
        <v>96.28</v>
      </c>
      <c r="L41" s="64">
        <v>22.5</v>
      </c>
      <c r="M41" s="64">
        <v>69.489999999999995</v>
      </c>
      <c r="N41" s="64">
        <v>386.7</v>
      </c>
      <c r="O41" s="64">
        <v>0</v>
      </c>
      <c r="P41" s="64">
        <v>1.07</v>
      </c>
      <c r="Q41" s="64">
        <v>4.78</v>
      </c>
      <c r="R41" s="198"/>
      <c r="S41" s="198"/>
      <c r="T41" s="198"/>
      <c r="U41" s="198"/>
    </row>
    <row r="42" spans="1:21" s="12" customFormat="1" x14ac:dyDescent="0.25">
      <c r="A42" s="215" t="s">
        <v>2011</v>
      </c>
      <c r="B42" s="64">
        <v>15.3</v>
      </c>
      <c r="C42" s="64">
        <v>40.049999999999997</v>
      </c>
      <c r="D42" s="64">
        <v>35.020000000000003</v>
      </c>
      <c r="E42" s="64">
        <v>2.27</v>
      </c>
      <c r="F42" s="64">
        <v>4.03</v>
      </c>
      <c r="G42" s="64">
        <v>58.86</v>
      </c>
      <c r="H42" s="64">
        <v>37.909999999999997</v>
      </c>
      <c r="I42" s="64">
        <v>1.45</v>
      </c>
      <c r="J42" s="64">
        <v>0.15</v>
      </c>
      <c r="K42" s="64">
        <v>322.45999999999998</v>
      </c>
      <c r="L42" s="64">
        <v>23.56</v>
      </c>
      <c r="M42" s="64">
        <v>67.53</v>
      </c>
      <c r="N42" s="64">
        <v>403.2</v>
      </c>
      <c r="O42" s="64">
        <v>0</v>
      </c>
      <c r="P42" s="64">
        <v>1.05</v>
      </c>
      <c r="Q42" s="64">
        <v>4.9000000000000004</v>
      </c>
      <c r="R42" s="198"/>
      <c r="S42" s="198"/>
      <c r="T42" s="198"/>
      <c r="U42" s="198"/>
    </row>
    <row r="43" spans="1:21" s="12" customFormat="1" x14ac:dyDescent="0.25">
      <c r="A43" s="215" t="s">
        <v>2012</v>
      </c>
      <c r="B43" s="64">
        <v>14.76</v>
      </c>
      <c r="C43" s="64">
        <v>36.68</v>
      </c>
      <c r="D43" s="64">
        <v>32.72</v>
      </c>
      <c r="E43" s="64">
        <v>2.34</v>
      </c>
      <c r="F43" s="64">
        <v>3.53</v>
      </c>
      <c r="G43" s="64">
        <v>58.86</v>
      </c>
      <c r="H43" s="64">
        <v>37.909999999999997</v>
      </c>
      <c r="I43" s="64">
        <v>1.43</v>
      </c>
      <c r="J43" s="64">
        <v>0.22</v>
      </c>
      <c r="K43" s="64">
        <v>321.75</v>
      </c>
      <c r="L43" s="64">
        <v>23.32</v>
      </c>
      <c r="M43" s="64">
        <v>70.75</v>
      </c>
      <c r="N43" s="64">
        <v>487.8</v>
      </c>
      <c r="O43" s="64">
        <v>0</v>
      </c>
      <c r="P43" s="64">
        <v>1.04</v>
      </c>
      <c r="Q43" s="64">
        <v>5.1100000000000003</v>
      </c>
      <c r="R43" s="198"/>
      <c r="S43" s="198"/>
      <c r="T43" s="198"/>
      <c r="U43" s="198"/>
    </row>
    <row r="44" spans="1:21" s="12" customFormat="1" x14ac:dyDescent="0.25">
      <c r="A44" s="215" t="s">
        <v>2013</v>
      </c>
      <c r="B44" s="64">
        <v>14.34</v>
      </c>
      <c r="C44" s="64">
        <v>35.549999999999997</v>
      </c>
      <c r="D44" s="64">
        <v>31.77</v>
      </c>
      <c r="E44" s="64">
        <v>2.2999999999999998</v>
      </c>
      <c r="F44" s="64">
        <v>3.47</v>
      </c>
      <c r="G44" s="64">
        <v>58.86</v>
      </c>
      <c r="H44" s="64">
        <v>37.909999999999997</v>
      </c>
      <c r="I44" s="64">
        <v>1.45</v>
      </c>
      <c r="J44" s="64">
        <v>0.57999999999999996</v>
      </c>
      <c r="K44" s="64">
        <v>330.37</v>
      </c>
      <c r="L44" s="64">
        <v>24.55</v>
      </c>
      <c r="M44" s="64">
        <v>68.2</v>
      </c>
      <c r="N44" s="64">
        <v>559.79999999999995</v>
      </c>
      <c r="O44" s="64">
        <v>0</v>
      </c>
      <c r="P44" s="64">
        <v>1.03</v>
      </c>
      <c r="Q44" s="64">
        <v>5.12</v>
      </c>
      <c r="R44" s="198"/>
      <c r="S44" s="198"/>
      <c r="T44" s="198"/>
      <c r="U44" s="198"/>
    </row>
    <row r="45" spans="1:21" s="12" customFormat="1" x14ac:dyDescent="0.25">
      <c r="A45" s="215" t="s">
        <v>2014</v>
      </c>
      <c r="B45" s="64">
        <v>13.7</v>
      </c>
      <c r="C45" s="64">
        <v>35.21</v>
      </c>
      <c r="D45" s="64">
        <v>31.06</v>
      </c>
      <c r="E45" s="64">
        <v>2.29</v>
      </c>
      <c r="F45" s="64">
        <v>4.3899999999999997</v>
      </c>
      <c r="G45" s="64">
        <v>57.89</v>
      </c>
      <c r="H45" s="64">
        <v>33.5</v>
      </c>
      <c r="I45" s="64">
        <v>1.52</v>
      </c>
      <c r="J45" s="64">
        <v>0.4</v>
      </c>
      <c r="K45" s="64">
        <v>124.04</v>
      </c>
      <c r="L45" s="64">
        <v>23.58</v>
      </c>
      <c r="M45" s="64">
        <v>67.67</v>
      </c>
      <c r="N45" s="64">
        <v>580.20000000000005</v>
      </c>
      <c r="O45" s="64">
        <v>0</v>
      </c>
      <c r="P45" s="64">
        <v>1.01</v>
      </c>
      <c r="Q45" s="64">
        <v>5.13</v>
      </c>
      <c r="R45" s="198"/>
      <c r="S45" s="198"/>
      <c r="T45" s="198"/>
      <c r="U45" s="198"/>
    </row>
    <row r="46" spans="1:21" s="12" customFormat="1" x14ac:dyDescent="0.25">
      <c r="A46" s="215" t="s">
        <v>2015</v>
      </c>
      <c r="B46" s="64">
        <v>12.78</v>
      </c>
      <c r="C46" s="64">
        <v>34.54</v>
      </c>
      <c r="D46" s="64">
        <v>29.96</v>
      </c>
      <c r="E46" s="64">
        <v>2.3199999999999998</v>
      </c>
      <c r="F46" s="64">
        <v>4.92</v>
      </c>
      <c r="G46" s="64">
        <v>57.23</v>
      </c>
      <c r="H46" s="64">
        <v>31.65</v>
      </c>
      <c r="I46" s="64">
        <v>1.47</v>
      </c>
      <c r="J46" s="64">
        <v>0.15</v>
      </c>
      <c r="K46" s="64">
        <v>327.16000000000003</v>
      </c>
      <c r="L46" s="64">
        <v>24.08</v>
      </c>
      <c r="M46" s="64">
        <v>68.56</v>
      </c>
      <c r="N46" s="64">
        <v>594.6</v>
      </c>
      <c r="O46" s="64">
        <v>0</v>
      </c>
      <c r="P46" s="64">
        <v>0.99</v>
      </c>
      <c r="Q46" s="64">
        <v>5.08</v>
      </c>
      <c r="R46" s="198"/>
      <c r="S46" s="198"/>
      <c r="T46" s="198"/>
      <c r="U46" s="198"/>
    </row>
    <row r="47" spans="1:21" s="12" customFormat="1" x14ac:dyDescent="0.25">
      <c r="A47" s="215" t="s">
        <v>2016</v>
      </c>
      <c r="B47" s="64">
        <v>12.28</v>
      </c>
      <c r="C47" s="64">
        <v>35.92</v>
      </c>
      <c r="D47" s="64">
        <v>30.32</v>
      </c>
      <c r="E47" s="64">
        <v>2.31</v>
      </c>
      <c r="F47" s="64">
        <v>4.2699999999999996</v>
      </c>
      <c r="G47" s="64">
        <v>57.23</v>
      </c>
      <c r="H47" s="64">
        <v>31.65</v>
      </c>
      <c r="I47" s="64">
        <v>1.48</v>
      </c>
      <c r="J47" s="64">
        <v>0.22</v>
      </c>
      <c r="K47" s="64">
        <v>338.66</v>
      </c>
      <c r="L47" s="64">
        <v>24.97</v>
      </c>
      <c r="M47" s="64">
        <v>66.459999999999994</v>
      </c>
      <c r="N47" s="64">
        <v>603.5</v>
      </c>
      <c r="O47" s="64">
        <v>0</v>
      </c>
      <c r="P47" s="64">
        <v>0.98</v>
      </c>
      <c r="Q47" s="64">
        <v>5</v>
      </c>
      <c r="R47" s="198"/>
      <c r="S47" s="198"/>
      <c r="T47" s="198"/>
      <c r="U47" s="198"/>
    </row>
    <row r="48" spans="1:21" s="12" customFormat="1" x14ac:dyDescent="0.25">
      <c r="A48" s="215" t="s">
        <v>2017</v>
      </c>
      <c r="B48" s="64">
        <v>11.58</v>
      </c>
      <c r="C48" s="64">
        <v>34.51</v>
      </c>
      <c r="D48" s="64">
        <v>28.98</v>
      </c>
      <c r="E48" s="64">
        <v>2.34</v>
      </c>
      <c r="F48" s="64">
        <v>4.95</v>
      </c>
      <c r="G48" s="64">
        <v>57.23</v>
      </c>
      <c r="H48" s="64">
        <v>31.65</v>
      </c>
      <c r="I48" s="64">
        <v>1.5</v>
      </c>
      <c r="J48" s="64">
        <v>0.15</v>
      </c>
      <c r="K48" s="64">
        <v>24.32</v>
      </c>
      <c r="L48" s="64">
        <v>25.34</v>
      </c>
      <c r="M48" s="64">
        <v>64.430000000000007</v>
      </c>
      <c r="N48" s="64">
        <v>626.79999999999995</v>
      </c>
      <c r="O48" s="64">
        <v>0</v>
      </c>
      <c r="P48" s="64">
        <v>0.95</v>
      </c>
      <c r="Q48" s="64">
        <v>4.9800000000000004</v>
      </c>
      <c r="R48" s="198"/>
      <c r="S48" s="198"/>
      <c r="T48" s="198"/>
      <c r="U48" s="198"/>
    </row>
    <row r="49" spans="1:21" s="12" customFormat="1" x14ac:dyDescent="0.25">
      <c r="A49" s="215" t="s">
        <v>2018</v>
      </c>
      <c r="B49" s="64">
        <v>10.76</v>
      </c>
      <c r="C49" s="64">
        <v>34.979999999999997</v>
      </c>
      <c r="D49" s="64">
        <v>28.58</v>
      </c>
      <c r="E49" s="64">
        <v>2.31</v>
      </c>
      <c r="F49" s="64">
        <v>4.67</v>
      </c>
      <c r="G49" s="64">
        <v>51.27</v>
      </c>
      <c r="H49" s="64">
        <v>27.66</v>
      </c>
      <c r="I49" s="64">
        <v>1.44</v>
      </c>
      <c r="J49" s="64">
        <v>1.05</v>
      </c>
      <c r="K49" s="64">
        <v>108.75</v>
      </c>
      <c r="L49" s="64">
        <v>25.01</v>
      </c>
      <c r="M49" s="64">
        <v>62.19</v>
      </c>
      <c r="N49" s="64">
        <v>660.5</v>
      </c>
      <c r="O49" s="64">
        <v>0</v>
      </c>
      <c r="P49" s="64">
        <v>0.93</v>
      </c>
      <c r="Q49" s="64">
        <v>4.88</v>
      </c>
      <c r="R49" s="198"/>
      <c r="S49" s="198"/>
      <c r="T49" s="198"/>
      <c r="U49" s="198"/>
    </row>
    <row r="50" spans="1:21" s="12" customFormat="1" x14ac:dyDescent="0.25">
      <c r="A50" s="215" t="s">
        <v>2019</v>
      </c>
      <c r="B50" s="64">
        <v>9.8800000000000008</v>
      </c>
      <c r="C50" s="64">
        <v>34.22</v>
      </c>
      <c r="D50" s="64">
        <v>27.45</v>
      </c>
      <c r="E50" s="64">
        <v>2.3199999999999998</v>
      </c>
      <c r="F50" s="64">
        <v>4.59</v>
      </c>
      <c r="G50" s="64">
        <v>47.29</v>
      </c>
      <c r="H50" s="64">
        <v>26.63</v>
      </c>
      <c r="I50" s="64">
        <v>1.5</v>
      </c>
      <c r="J50" s="64">
        <v>0.6</v>
      </c>
      <c r="K50" s="64">
        <v>102.81</v>
      </c>
      <c r="L50" s="64">
        <v>25.95</v>
      </c>
      <c r="M50" s="64">
        <v>58.87</v>
      </c>
      <c r="N50" s="64">
        <v>678.3</v>
      </c>
      <c r="O50" s="64">
        <v>0</v>
      </c>
      <c r="P50" s="64">
        <v>0.91</v>
      </c>
      <c r="Q50" s="64">
        <v>4.8600000000000003</v>
      </c>
      <c r="R50" s="198"/>
      <c r="S50" s="198"/>
      <c r="T50" s="198"/>
      <c r="U50" s="198"/>
    </row>
    <row r="51" spans="1:21" s="12" customFormat="1" x14ac:dyDescent="0.25">
      <c r="A51" s="215" t="s">
        <v>2020</v>
      </c>
      <c r="B51" s="64">
        <v>9.0500000000000007</v>
      </c>
      <c r="C51" s="64">
        <v>34.090000000000003</v>
      </c>
      <c r="D51" s="64">
        <v>26.72</v>
      </c>
      <c r="E51" s="64">
        <v>2.35</v>
      </c>
      <c r="F51" s="64">
        <v>4.8499999999999996</v>
      </c>
      <c r="G51" s="64">
        <v>47.29</v>
      </c>
      <c r="H51" s="64">
        <v>26.63</v>
      </c>
      <c r="I51" s="64">
        <v>1.51</v>
      </c>
      <c r="J51" s="64">
        <v>0.8</v>
      </c>
      <c r="K51" s="64">
        <v>96.82</v>
      </c>
      <c r="L51" s="64">
        <v>25.88</v>
      </c>
      <c r="M51" s="64">
        <v>58.96</v>
      </c>
      <c r="N51" s="64">
        <v>679.5</v>
      </c>
      <c r="O51" s="64">
        <v>0</v>
      </c>
      <c r="P51" s="64">
        <v>0.89</v>
      </c>
      <c r="Q51" s="64">
        <v>4.76</v>
      </c>
      <c r="R51" s="198"/>
      <c r="S51" s="198"/>
      <c r="T51" s="198"/>
      <c r="U51" s="198"/>
    </row>
    <row r="52" spans="1:21" s="12" customFormat="1" x14ac:dyDescent="0.25">
      <c r="A52" s="215" t="s">
        <v>2021</v>
      </c>
      <c r="B52" s="64">
        <v>8.2100000000000009</v>
      </c>
      <c r="C52" s="64">
        <v>34.299999999999997</v>
      </c>
      <c r="D52" s="64">
        <v>26.16</v>
      </c>
      <c r="E52" s="64">
        <v>2.2999999999999998</v>
      </c>
      <c r="F52" s="64">
        <v>4.8499999999999996</v>
      </c>
      <c r="G52" s="64">
        <v>47.29</v>
      </c>
      <c r="H52" s="64">
        <v>26.63</v>
      </c>
      <c r="I52" s="64">
        <v>1.55</v>
      </c>
      <c r="J52" s="64">
        <v>0.96</v>
      </c>
      <c r="K52" s="64">
        <v>101.75</v>
      </c>
      <c r="L52" s="64">
        <v>26.1</v>
      </c>
      <c r="M52" s="64">
        <v>56.29</v>
      </c>
      <c r="N52" s="64">
        <v>702.6</v>
      </c>
      <c r="O52" s="64">
        <v>0</v>
      </c>
      <c r="P52" s="64">
        <v>0.87</v>
      </c>
      <c r="Q52" s="64">
        <v>4.68</v>
      </c>
      <c r="R52" s="198"/>
      <c r="S52" s="198"/>
      <c r="T52" s="198"/>
      <c r="U52" s="198"/>
    </row>
    <row r="53" spans="1:21" s="12" customFormat="1" x14ac:dyDescent="0.25">
      <c r="A53" s="215" t="s">
        <v>2022</v>
      </c>
      <c r="B53" s="64">
        <v>7.3</v>
      </c>
      <c r="C53" s="64">
        <v>29.56</v>
      </c>
      <c r="D53" s="64">
        <v>22.82</v>
      </c>
      <c r="E53" s="64">
        <v>2.33</v>
      </c>
      <c r="F53" s="64">
        <v>4.67</v>
      </c>
      <c r="G53" s="64">
        <v>45.8</v>
      </c>
      <c r="H53" s="64">
        <v>27.7</v>
      </c>
      <c r="I53" s="64">
        <v>1.5</v>
      </c>
      <c r="J53" s="64">
        <v>0.74</v>
      </c>
      <c r="K53" s="64">
        <v>122.82</v>
      </c>
      <c r="L53" s="64">
        <v>26.32</v>
      </c>
      <c r="M53" s="64">
        <v>53.94</v>
      </c>
      <c r="N53" s="64">
        <v>641.70000000000005</v>
      </c>
      <c r="O53" s="64">
        <v>0</v>
      </c>
      <c r="P53" s="64">
        <v>0.83</v>
      </c>
      <c r="Q53" s="64">
        <v>4.9800000000000004</v>
      </c>
      <c r="R53" s="198"/>
      <c r="S53" s="198"/>
      <c r="T53" s="198"/>
      <c r="U53" s="198"/>
    </row>
    <row r="54" spans="1:21" s="12" customFormat="1" x14ac:dyDescent="0.25">
      <c r="A54" s="215" t="s">
        <v>2023</v>
      </c>
      <c r="B54" s="64">
        <v>6.31</v>
      </c>
      <c r="C54" s="64">
        <v>30.95</v>
      </c>
      <c r="D54" s="64">
        <v>22.78</v>
      </c>
      <c r="E54" s="64">
        <v>2.25</v>
      </c>
      <c r="F54" s="64">
        <v>4.6399999999999997</v>
      </c>
      <c r="G54" s="64">
        <v>44.81</v>
      </c>
      <c r="H54" s="64">
        <v>27.96</v>
      </c>
      <c r="I54" s="64">
        <v>1.54</v>
      </c>
      <c r="J54" s="64">
        <v>1.05</v>
      </c>
      <c r="K54" s="64">
        <v>110.04</v>
      </c>
      <c r="L54" s="64">
        <v>26.4</v>
      </c>
      <c r="M54" s="64">
        <v>53.97</v>
      </c>
      <c r="N54" s="64">
        <v>590.20000000000005</v>
      </c>
      <c r="O54" s="64">
        <v>0</v>
      </c>
      <c r="P54" s="64">
        <v>0.82</v>
      </c>
      <c r="Q54" s="64">
        <v>5.2</v>
      </c>
      <c r="R54" s="198"/>
      <c r="S54" s="198"/>
      <c r="T54" s="198"/>
      <c r="U54" s="198"/>
    </row>
    <row r="55" spans="1:21" s="12" customFormat="1" x14ac:dyDescent="0.25">
      <c r="A55" s="215" t="s">
        <v>2024</v>
      </c>
      <c r="B55" s="64">
        <v>5.56</v>
      </c>
      <c r="C55" s="64">
        <v>30.38</v>
      </c>
      <c r="D55" s="64">
        <v>21.87</v>
      </c>
      <c r="E55" s="64">
        <v>2.29</v>
      </c>
      <c r="F55" s="64">
        <v>5.3</v>
      </c>
      <c r="G55" s="64">
        <v>44.81</v>
      </c>
      <c r="H55" s="64">
        <v>27.96</v>
      </c>
      <c r="I55" s="64">
        <v>1.53</v>
      </c>
      <c r="J55" s="64">
        <v>0.28999999999999998</v>
      </c>
      <c r="K55" s="64">
        <v>83.17</v>
      </c>
      <c r="L55" s="64">
        <v>26.73</v>
      </c>
      <c r="M55" s="64">
        <v>51.64</v>
      </c>
      <c r="N55" s="64">
        <v>464.1</v>
      </c>
      <c r="O55" s="64">
        <v>0</v>
      </c>
      <c r="P55" s="64">
        <v>0.8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2025</v>
      </c>
      <c r="B56" s="64">
        <v>5.45</v>
      </c>
      <c r="C56" s="64">
        <v>37.119999999999997</v>
      </c>
      <c r="D56" s="64">
        <v>25.51</v>
      </c>
      <c r="E56" s="64">
        <v>2.2000000000000002</v>
      </c>
      <c r="F56" s="64">
        <v>5.49</v>
      </c>
      <c r="G56" s="64">
        <v>44.81</v>
      </c>
      <c r="H56" s="64">
        <v>27.96</v>
      </c>
      <c r="I56" s="64">
        <v>1.5</v>
      </c>
      <c r="J56" s="64">
        <v>1.21</v>
      </c>
      <c r="K56" s="64">
        <v>110.73</v>
      </c>
      <c r="L56" s="64">
        <v>25.75</v>
      </c>
      <c r="M56" s="64">
        <v>53.55</v>
      </c>
      <c r="N56" s="64">
        <v>313.39999999999998</v>
      </c>
      <c r="O56" s="64">
        <v>0</v>
      </c>
      <c r="P56" s="64">
        <v>0.79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2026</v>
      </c>
      <c r="B57" s="64">
        <v>4.6900000000000004</v>
      </c>
      <c r="C57" s="64">
        <v>32.68</v>
      </c>
      <c r="D57" s="64">
        <v>22.44</v>
      </c>
      <c r="E57" s="64">
        <v>2.34</v>
      </c>
      <c r="F57" s="64">
        <v>4.88</v>
      </c>
      <c r="G57" s="64">
        <v>43.84</v>
      </c>
      <c r="H57" s="64">
        <v>27.11</v>
      </c>
      <c r="I57" s="64">
        <v>1.55</v>
      </c>
      <c r="J57" s="64">
        <v>1.45</v>
      </c>
      <c r="K57" s="64">
        <v>111.68</v>
      </c>
      <c r="L57" s="64">
        <v>25.91</v>
      </c>
      <c r="M57" s="64">
        <v>49.77</v>
      </c>
      <c r="N57" s="64">
        <v>620.1</v>
      </c>
      <c r="O57" s="64">
        <v>0</v>
      </c>
      <c r="P57" s="64">
        <v>0.75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2027</v>
      </c>
      <c r="B58" s="64">
        <v>4.03</v>
      </c>
      <c r="C58" s="64">
        <v>32.520000000000003</v>
      </c>
      <c r="D58" s="64">
        <v>21.82</v>
      </c>
      <c r="E58" s="64">
        <v>2.29</v>
      </c>
      <c r="F58" s="64">
        <v>6.64</v>
      </c>
      <c r="G58" s="64">
        <v>43.18</v>
      </c>
      <c r="H58" s="64">
        <v>26.91</v>
      </c>
      <c r="I58" s="64">
        <v>1.52</v>
      </c>
      <c r="J58" s="64">
        <v>1.1200000000000001</v>
      </c>
      <c r="K58" s="64">
        <v>106.48</v>
      </c>
      <c r="L58" s="64">
        <v>26.01</v>
      </c>
      <c r="M58" s="64">
        <v>49.63</v>
      </c>
      <c r="N58" s="64">
        <v>680.5</v>
      </c>
      <c r="O58" s="64">
        <v>0</v>
      </c>
      <c r="P58" s="64">
        <v>0.71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2028</v>
      </c>
      <c r="B59" s="64">
        <v>3.6</v>
      </c>
      <c r="C59" s="64">
        <v>31.12</v>
      </c>
      <c r="D59" s="64">
        <v>20.71</v>
      </c>
      <c r="E59" s="64">
        <v>2.33</v>
      </c>
      <c r="F59" s="64">
        <v>6.1</v>
      </c>
      <c r="G59" s="64">
        <v>43.18</v>
      </c>
      <c r="H59" s="64">
        <v>26.91</v>
      </c>
      <c r="I59" s="64">
        <v>1.46</v>
      </c>
      <c r="J59" s="64">
        <v>0.86</v>
      </c>
      <c r="K59" s="64">
        <v>107.27</v>
      </c>
      <c r="L59" s="64">
        <v>27.23</v>
      </c>
      <c r="M59" s="64">
        <v>46.11</v>
      </c>
      <c r="N59" s="64">
        <v>682.5</v>
      </c>
      <c r="O59" s="64">
        <v>0</v>
      </c>
      <c r="P59" s="64">
        <v>0.71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5" t="s">
        <v>2029</v>
      </c>
      <c r="B60" s="64">
        <v>3.32</v>
      </c>
      <c r="C60" s="64">
        <v>29.28</v>
      </c>
      <c r="D60" s="64">
        <v>19.46</v>
      </c>
      <c r="E60" s="64">
        <v>2.37</v>
      </c>
      <c r="F60" s="64">
        <v>6.66</v>
      </c>
      <c r="G60" s="64">
        <v>43.18</v>
      </c>
      <c r="H60" s="64">
        <v>26.91</v>
      </c>
      <c r="I60" s="64">
        <v>1.53</v>
      </c>
      <c r="J60" s="64">
        <v>0.94</v>
      </c>
      <c r="K60" s="64">
        <v>105</v>
      </c>
      <c r="L60" s="64">
        <v>26.97</v>
      </c>
      <c r="M60" s="64">
        <v>45.86</v>
      </c>
      <c r="N60" s="64">
        <v>682.8</v>
      </c>
      <c r="O60" s="64">
        <v>0</v>
      </c>
      <c r="P60" s="64">
        <v>0.67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5" t="s">
        <v>2030</v>
      </c>
      <c r="B61" s="64">
        <v>3.4</v>
      </c>
      <c r="C61" s="64">
        <v>32.299999999999997</v>
      </c>
      <c r="D61" s="64">
        <v>21.2</v>
      </c>
      <c r="E61" s="64">
        <v>2.2999999999999998</v>
      </c>
      <c r="F61" s="64">
        <v>6.34</v>
      </c>
      <c r="G61" s="64">
        <v>38.950000000000003</v>
      </c>
      <c r="H61" s="64">
        <v>24.8</v>
      </c>
      <c r="I61" s="64">
        <v>1.38</v>
      </c>
      <c r="J61" s="64">
        <v>0.76</v>
      </c>
      <c r="K61" s="64">
        <v>346.02</v>
      </c>
      <c r="L61" s="64">
        <v>28.13</v>
      </c>
      <c r="M61" s="64">
        <v>42.25</v>
      </c>
      <c r="N61" s="64">
        <v>457.5</v>
      </c>
      <c r="O61" s="64">
        <v>0</v>
      </c>
      <c r="P61" s="64">
        <v>0.65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5" t="s">
        <v>2031</v>
      </c>
      <c r="B62" s="64">
        <v>3.65</v>
      </c>
      <c r="C62" s="64">
        <v>30.13</v>
      </c>
      <c r="D62" s="64">
        <v>20.2</v>
      </c>
      <c r="E62" s="64">
        <v>2.36</v>
      </c>
      <c r="F62" s="64">
        <v>7.92</v>
      </c>
      <c r="G62" s="64">
        <v>36.130000000000003</v>
      </c>
      <c r="H62" s="64">
        <v>23.91</v>
      </c>
      <c r="I62" s="64">
        <v>1.55</v>
      </c>
      <c r="J62" s="64">
        <v>0.88</v>
      </c>
      <c r="K62" s="64">
        <v>108.93</v>
      </c>
      <c r="L62" s="64">
        <v>27.59</v>
      </c>
      <c r="M62" s="64">
        <v>42.75</v>
      </c>
      <c r="N62" s="64">
        <v>432.7</v>
      </c>
      <c r="O62" s="64">
        <v>0</v>
      </c>
      <c r="P62" s="64">
        <v>0.66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5" t="s">
        <v>2032</v>
      </c>
      <c r="B63" s="64">
        <v>3.45</v>
      </c>
      <c r="C63" s="64">
        <v>31.44</v>
      </c>
      <c r="D63" s="64">
        <v>20.76</v>
      </c>
      <c r="E63" s="64">
        <v>2.3199999999999998</v>
      </c>
      <c r="F63" s="64">
        <v>8.73</v>
      </c>
      <c r="G63" s="64">
        <v>36.130000000000003</v>
      </c>
      <c r="H63" s="64">
        <v>23.91</v>
      </c>
      <c r="I63" s="64">
        <v>1.59</v>
      </c>
      <c r="J63" s="64">
        <v>1.04</v>
      </c>
      <c r="K63" s="64">
        <v>109.63</v>
      </c>
      <c r="L63" s="64">
        <v>26.93</v>
      </c>
      <c r="M63" s="64">
        <v>43.14</v>
      </c>
      <c r="N63" s="64">
        <v>360.1</v>
      </c>
      <c r="O63" s="64">
        <v>0</v>
      </c>
      <c r="P63" s="64">
        <v>0.64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5" t="s">
        <v>2033</v>
      </c>
      <c r="B64" s="64">
        <v>3.19</v>
      </c>
      <c r="C64" s="64">
        <v>27.66</v>
      </c>
      <c r="D64" s="64">
        <v>18.47</v>
      </c>
      <c r="E64" s="64">
        <v>2.33</v>
      </c>
      <c r="F64" s="64">
        <v>6.15</v>
      </c>
      <c r="G64" s="64">
        <v>36.130000000000003</v>
      </c>
      <c r="H64" s="64">
        <v>23.91</v>
      </c>
      <c r="I64" s="64">
        <v>1.49</v>
      </c>
      <c r="J64" s="64">
        <v>1.6</v>
      </c>
      <c r="K64" s="64">
        <v>113.37</v>
      </c>
      <c r="L64" s="64">
        <v>26.94</v>
      </c>
      <c r="M64" s="64">
        <v>42.63</v>
      </c>
      <c r="N64" s="64">
        <v>338</v>
      </c>
      <c r="O64" s="64">
        <v>0</v>
      </c>
      <c r="P64" s="64">
        <v>0.63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5" t="s">
        <v>2034</v>
      </c>
      <c r="B65" s="64">
        <v>4.12</v>
      </c>
      <c r="C65" s="64">
        <v>31.96</v>
      </c>
      <c r="D65" s="64">
        <v>21.58</v>
      </c>
      <c r="E65" s="64">
        <v>2.33</v>
      </c>
      <c r="F65" s="64">
        <v>8.4700000000000006</v>
      </c>
      <c r="G65" s="64">
        <v>35.200000000000003</v>
      </c>
      <c r="H65" s="64">
        <v>22.56</v>
      </c>
      <c r="I65" s="64">
        <v>1.52</v>
      </c>
      <c r="J65" s="64">
        <v>0.42</v>
      </c>
      <c r="K65" s="64">
        <v>82.98</v>
      </c>
      <c r="L65" s="64">
        <v>27.19</v>
      </c>
      <c r="M65" s="64">
        <v>42.98</v>
      </c>
      <c r="N65" s="64">
        <v>198.8</v>
      </c>
      <c r="O65" s="64">
        <v>0</v>
      </c>
      <c r="P65" s="64">
        <v>0.61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5" t="s">
        <v>2035</v>
      </c>
      <c r="B66" s="64">
        <v>3.3</v>
      </c>
      <c r="C66" s="64">
        <v>31.32</v>
      </c>
      <c r="D66" s="64">
        <v>20.58</v>
      </c>
      <c r="E66" s="64">
        <v>2.38</v>
      </c>
      <c r="F66" s="64">
        <v>8.89</v>
      </c>
      <c r="G66" s="64">
        <v>34.57</v>
      </c>
      <c r="H66" s="64">
        <v>22.23</v>
      </c>
      <c r="I66" s="64">
        <v>1.43</v>
      </c>
      <c r="J66" s="64">
        <v>1.29</v>
      </c>
      <c r="K66" s="64">
        <v>106.51</v>
      </c>
      <c r="L66" s="64">
        <v>26.55</v>
      </c>
      <c r="M66" s="64">
        <v>42.46</v>
      </c>
      <c r="N66" s="64">
        <v>174.8</v>
      </c>
      <c r="O66" s="64">
        <v>0</v>
      </c>
      <c r="P66" s="64">
        <v>0.6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5" t="s">
        <v>2036</v>
      </c>
      <c r="B67" s="64">
        <v>3.22</v>
      </c>
      <c r="C67" s="64">
        <v>28.49</v>
      </c>
      <c r="D67" s="64">
        <v>18.95</v>
      </c>
      <c r="E67" s="64">
        <v>2.35</v>
      </c>
      <c r="F67" s="64">
        <v>8.5299999999999994</v>
      </c>
      <c r="G67" s="64">
        <v>34.57</v>
      </c>
      <c r="H67" s="64">
        <v>22.23</v>
      </c>
      <c r="I67" s="64">
        <v>1.5</v>
      </c>
      <c r="J67" s="64">
        <v>1.03</v>
      </c>
      <c r="K67" s="64">
        <v>106.93</v>
      </c>
      <c r="L67" s="64">
        <v>26.5</v>
      </c>
      <c r="M67" s="64">
        <v>41.04</v>
      </c>
      <c r="N67" s="64">
        <v>177.5</v>
      </c>
      <c r="O67" s="64">
        <v>0</v>
      </c>
      <c r="P67" s="64">
        <v>0.57999999999999996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2037</v>
      </c>
      <c r="B68" s="64">
        <v>3.6</v>
      </c>
      <c r="C68" s="64">
        <v>30.16</v>
      </c>
      <c r="D68" s="64">
        <v>20.18</v>
      </c>
      <c r="E68" s="64">
        <v>2.42</v>
      </c>
      <c r="F68" s="64">
        <v>11.1</v>
      </c>
      <c r="G68" s="64">
        <v>34.57</v>
      </c>
      <c r="H68" s="64">
        <v>22.23</v>
      </c>
      <c r="I68" s="64">
        <v>1.56</v>
      </c>
      <c r="J68" s="64">
        <v>0.81</v>
      </c>
      <c r="K68" s="64">
        <v>111.1</v>
      </c>
      <c r="L68" s="64">
        <v>26.66</v>
      </c>
      <c r="M68" s="64">
        <v>42.82</v>
      </c>
      <c r="N68" s="64">
        <v>204.1</v>
      </c>
      <c r="O68" s="64">
        <v>0</v>
      </c>
      <c r="P68" s="64">
        <v>0.54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2038</v>
      </c>
      <c r="B69" s="64">
        <v>5.1100000000000003</v>
      </c>
      <c r="C69" s="64">
        <v>30.5</v>
      </c>
      <c r="D69" s="64">
        <v>21.58</v>
      </c>
      <c r="E69" s="64">
        <v>2.48</v>
      </c>
      <c r="F69" s="64">
        <v>13.91</v>
      </c>
      <c r="G69" s="64">
        <v>32.19</v>
      </c>
      <c r="H69" s="64">
        <v>20.88</v>
      </c>
      <c r="I69" s="64">
        <v>1.55</v>
      </c>
      <c r="J69" s="64">
        <v>0.48</v>
      </c>
      <c r="K69" s="64">
        <v>98</v>
      </c>
      <c r="L69" s="64">
        <v>26.7</v>
      </c>
      <c r="M69" s="64">
        <v>43.24</v>
      </c>
      <c r="N69" s="64">
        <v>138</v>
      </c>
      <c r="O69" s="64">
        <v>0</v>
      </c>
      <c r="P69" s="64">
        <v>0.56999999999999995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2039</v>
      </c>
      <c r="B70" s="64">
        <v>5.07</v>
      </c>
      <c r="C70" s="64">
        <v>31.64</v>
      </c>
      <c r="D70" s="64">
        <v>22.17</v>
      </c>
      <c r="E70" s="64">
        <v>2.52</v>
      </c>
      <c r="F70" s="64">
        <v>15.71</v>
      </c>
      <c r="G70" s="64">
        <v>30.6</v>
      </c>
      <c r="H70" s="64">
        <v>20.56</v>
      </c>
      <c r="I70" s="64">
        <v>1.54</v>
      </c>
      <c r="J70" s="64">
        <v>0.61</v>
      </c>
      <c r="K70" s="64">
        <v>104.54</v>
      </c>
      <c r="L70" s="64">
        <v>25.93</v>
      </c>
      <c r="M70" s="64">
        <v>45.58</v>
      </c>
      <c r="N70" s="64">
        <v>108.6</v>
      </c>
      <c r="O70" s="64">
        <v>0</v>
      </c>
      <c r="P70" s="64">
        <v>0.55000000000000004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5" t="s">
        <v>2040</v>
      </c>
      <c r="B71" s="64">
        <v>4.76</v>
      </c>
      <c r="C71" s="64">
        <v>33.68</v>
      </c>
      <c r="D71" s="64">
        <v>23.05</v>
      </c>
      <c r="E71" s="64">
        <v>2.56</v>
      </c>
      <c r="F71" s="64">
        <v>17.36</v>
      </c>
      <c r="G71" s="64">
        <v>30.6</v>
      </c>
      <c r="H71" s="64">
        <v>20.56</v>
      </c>
      <c r="I71" s="64">
        <v>1.46</v>
      </c>
      <c r="J71" s="64">
        <v>0.5</v>
      </c>
      <c r="K71" s="64">
        <v>109.14</v>
      </c>
      <c r="L71" s="64">
        <v>25.83</v>
      </c>
      <c r="M71" s="64">
        <v>44.27</v>
      </c>
      <c r="N71" s="64">
        <v>116.6</v>
      </c>
      <c r="O71" s="64">
        <v>0</v>
      </c>
      <c r="P71" s="64">
        <v>0.54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2041</v>
      </c>
      <c r="B72" s="64">
        <v>4.3099999999999996</v>
      </c>
      <c r="C72" s="64">
        <v>32.14</v>
      </c>
      <c r="D72" s="64">
        <v>21.83</v>
      </c>
      <c r="E72" s="64">
        <v>2.35</v>
      </c>
      <c r="F72" s="64">
        <v>20.329999999999998</v>
      </c>
      <c r="G72" s="64">
        <v>30.6</v>
      </c>
      <c r="H72" s="64">
        <v>20.56</v>
      </c>
      <c r="I72" s="64">
        <v>1.47</v>
      </c>
      <c r="J72" s="64">
        <v>0.4</v>
      </c>
      <c r="K72" s="64">
        <v>102.07</v>
      </c>
      <c r="L72" s="64">
        <v>26.18</v>
      </c>
      <c r="M72" s="64">
        <v>43.69</v>
      </c>
      <c r="N72" s="64">
        <v>128</v>
      </c>
      <c r="O72" s="64">
        <v>0</v>
      </c>
      <c r="P72" s="64">
        <v>0.55000000000000004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2042</v>
      </c>
      <c r="B73" s="64">
        <v>5.75</v>
      </c>
      <c r="C73" s="64">
        <v>34.979999999999997</v>
      </c>
      <c r="D73" s="64">
        <v>24.56</v>
      </c>
      <c r="E73" s="64">
        <v>2.57</v>
      </c>
      <c r="F73" s="64">
        <v>17.73</v>
      </c>
      <c r="G73" s="64">
        <v>30.81</v>
      </c>
      <c r="H73" s="64">
        <v>22.68</v>
      </c>
      <c r="I73" s="64">
        <v>1.53</v>
      </c>
      <c r="J73" s="64">
        <v>0.3</v>
      </c>
      <c r="K73" s="64">
        <v>81.92</v>
      </c>
      <c r="L73" s="64">
        <v>25.98</v>
      </c>
      <c r="M73" s="64">
        <v>44.76</v>
      </c>
      <c r="N73" s="64">
        <v>83.1</v>
      </c>
      <c r="O73" s="64">
        <v>0</v>
      </c>
      <c r="P73" s="64">
        <v>0.6</v>
      </c>
      <c r="Q73" s="64">
        <v>5.21</v>
      </c>
      <c r="R73" s="198"/>
      <c r="S73" s="198"/>
      <c r="T73" s="198"/>
      <c r="U73" s="198"/>
    </row>
    <row r="74" spans="1:21" s="12" customFormat="1" x14ac:dyDescent="0.25">
      <c r="A74" s="215" t="s">
        <v>2043</v>
      </c>
      <c r="B74" s="64">
        <v>5.0999999999999996</v>
      </c>
      <c r="C74" s="64">
        <v>33.340000000000003</v>
      </c>
      <c r="D74" s="64">
        <v>23.13</v>
      </c>
      <c r="E74" s="64">
        <v>2.68</v>
      </c>
      <c r="F74" s="64">
        <v>15.18</v>
      </c>
      <c r="G74" s="64">
        <v>30.96</v>
      </c>
      <c r="H74" s="64">
        <v>23.21</v>
      </c>
      <c r="I74" s="64">
        <v>1.53</v>
      </c>
      <c r="J74" s="64">
        <v>0.39</v>
      </c>
      <c r="K74" s="64">
        <v>97.22</v>
      </c>
      <c r="L74" s="64">
        <v>25.48</v>
      </c>
      <c r="M74" s="64">
        <v>46.3</v>
      </c>
      <c r="N74" s="64">
        <v>71.400000000000006</v>
      </c>
      <c r="O74" s="64">
        <v>0</v>
      </c>
      <c r="P74" s="64">
        <v>0.56999999999999995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2044</v>
      </c>
      <c r="B75" s="64">
        <v>6.74</v>
      </c>
      <c r="C75" s="64">
        <v>43.55</v>
      </c>
      <c r="D75" s="64">
        <v>30.09</v>
      </c>
      <c r="E75" s="64">
        <v>2.8</v>
      </c>
      <c r="F75" s="64">
        <v>15.96</v>
      </c>
      <c r="G75" s="64">
        <v>30.96</v>
      </c>
      <c r="H75" s="64">
        <v>23.21</v>
      </c>
      <c r="I75" s="64">
        <v>1.53</v>
      </c>
      <c r="J75" s="64">
        <v>0.2</v>
      </c>
      <c r="K75" s="64">
        <v>93.41</v>
      </c>
      <c r="L75" s="64">
        <v>25.09</v>
      </c>
      <c r="M75" s="64">
        <v>48.22</v>
      </c>
      <c r="N75" s="64">
        <v>61.2</v>
      </c>
      <c r="O75" s="64">
        <v>0</v>
      </c>
      <c r="P75" s="64">
        <v>0.68</v>
      </c>
      <c r="Q75" s="64">
        <v>4.45</v>
      </c>
      <c r="R75" s="198"/>
      <c r="S75" s="198"/>
      <c r="T75" s="198"/>
      <c r="U75" s="198"/>
    </row>
    <row r="76" spans="1:21" s="12" customFormat="1" x14ac:dyDescent="0.25">
      <c r="A76" s="215" t="s">
        <v>2045</v>
      </c>
      <c r="B76" s="64">
        <v>5.68</v>
      </c>
      <c r="C76" s="64">
        <v>43.07</v>
      </c>
      <c r="D76" s="64">
        <v>28.97</v>
      </c>
      <c r="E76" s="64">
        <v>2.9</v>
      </c>
      <c r="F76" s="64">
        <v>17.39</v>
      </c>
      <c r="G76" s="64">
        <v>30.96</v>
      </c>
      <c r="H76" s="64">
        <v>23.21</v>
      </c>
      <c r="I76" s="64">
        <v>1.47</v>
      </c>
      <c r="J76" s="64">
        <v>0.22</v>
      </c>
      <c r="K76" s="64">
        <v>103.17</v>
      </c>
      <c r="L76" s="64">
        <v>24.79</v>
      </c>
      <c r="M76" s="64">
        <v>49.24</v>
      </c>
      <c r="N76" s="64">
        <v>50.7</v>
      </c>
      <c r="O76" s="64">
        <v>0</v>
      </c>
      <c r="P76" s="64">
        <v>0.76</v>
      </c>
      <c r="Q76" s="64">
        <v>4.5199999999999996</v>
      </c>
      <c r="R76" s="198"/>
      <c r="S76" s="198"/>
      <c r="T76" s="198"/>
      <c r="U76" s="198"/>
    </row>
    <row r="77" spans="1:21" s="12" customFormat="1" x14ac:dyDescent="0.25">
      <c r="A77" s="215" t="s">
        <v>2046</v>
      </c>
      <c r="B77" s="64">
        <v>4.37</v>
      </c>
      <c r="C77" s="64">
        <v>39.03</v>
      </c>
      <c r="D77" s="64">
        <v>25.69</v>
      </c>
      <c r="E77" s="64">
        <v>3.01</v>
      </c>
      <c r="F77" s="64">
        <v>29.97</v>
      </c>
      <c r="G77" s="64">
        <v>37.4</v>
      </c>
      <c r="H77" s="64">
        <v>22.05</v>
      </c>
      <c r="I77" s="64">
        <v>1.57</v>
      </c>
      <c r="J77" s="64">
        <v>0.19</v>
      </c>
      <c r="K77" s="64">
        <v>82.64</v>
      </c>
      <c r="L77" s="64">
        <v>24.47</v>
      </c>
      <c r="M77" s="64">
        <v>49.94</v>
      </c>
      <c r="N77" s="64">
        <v>42.6</v>
      </c>
      <c r="O77" s="64">
        <v>0</v>
      </c>
      <c r="P77" s="64">
        <v>0.67</v>
      </c>
      <c r="Q77" s="64">
        <v>5.2</v>
      </c>
      <c r="R77" s="198"/>
      <c r="S77" s="198"/>
      <c r="T77" s="198"/>
      <c r="U77" s="198"/>
    </row>
    <row r="78" spans="1:21" s="12" customFormat="1" x14ac:dyDescent="0.25">
      <c r="A78" s="215" t="s">
        <v>2047</v>
      </c>
      <c r="B78" s="64">
        <v>3.82</v>
      </c>
      <c r="C78" s="64">
        <v>35.42</v>
      </c>
      <c r="D78" s="64">
        <v>23.26</v>
      </c>
      <c r="E78" s="64">
        <v>3.16</v>
      </c>
      <c r="F78" s="64">
        <v>29.95</v>
      </c>
      <c r="G78" s="64">
        <v>41.69</v>
      </c>
      <c r="H78" s="64">
        <v>21.56</v>
      </c>
      <c r="I78" s="64">
        <v>1.49</v>
      </c>
      <c r="J78" s="64">
        <v>7.0000000000000007E-2</v>
      </c>
      <c r="K78" s="64">
        <v>65.34</v>
      </c>
      <c r="L78" s="64">
        <v>24.13</v>
      </c>
      <c r="M78" s="64">
        <v>50.99</v>
      </c>
      <c r="N78" s="64">
        <v>39.799999999999997</v>
      </c>
      <c r="O78" s="64">
        <v>0</v>
      </c>
      <c r="P78" s="64">
        <v>0.65</v>
      </c>
      <c r="Q78" s="64">
        <v>5.21</v>
      </c>
      <c r="R78" s="198"/>
      <c r="S78" s="198"/>
      <c r="T78" s="198"/>
      <c r="U78" s="198"/>
    </row>
    <row r="79" spans="1:21" s="12" customFormat="1" x14ac:dyDescent="0.25">
      <c r="A79" s="215" t="s">
        <v>2048</v>
      </c>
      <c r="B79" s="64">
        <v>13.27</v>
      </c>
      <c r="C79" s="64">
        <v>61.32</v>
      </c>
      <c r="D79" s="64">
        <v>45.13</v>
      </c>
      <c r="E79" s="64">
        <v>3.26</v>
      </c>
      <c r="F79" s="64">
        <v>10.32</v>
      </c>
      <c r="G79" s="64">
        <v>41.69</v>
      </c>
      <c r="H79" s="64">
        <v>21.56</v>
      </c>
      <c r="I79" s="64">
        <v>1.47</v>
      </c>
      <c r="J79" s="64">
        <v>7.0000000000000007E-2</v>
      </c>
      <c r="K79" s="64">
        <v>63.5</v>
      </c>
      <c r="L79" s="64">
        <v>23.76</v>
      </c>
      <c r="M79" s="64">
        <v>53.11</v>
      </c>
      <c r="N79" s="64">
        <v>38.9</v>
      </c>
      <c r="O79" s="64">
        <v>0</v>
      </c>
      <c r="P79" s="64">
        <v>1.17</v>
      </c>
      <c r="Q79" s="64">
        <v>2.84</v>
      </c>
      <c r="R79" s="198"/>
      <c r="S79" s="198"/>
      <c r="T79" s="198"/>
      <c r="U79" s="198"/>
    </row>
    <row r="80" spans="1:21" s="12" customFormat="1" x14ac:dyDescent="0.25">
      <c r="A80" s="215" t="s">
        <v>2049</v>
      </c>
      <c r="B80" s="64">
        <v>5.55</v>
      </c>
      <c r="C80" s="64">
        <v>51.5</v>
      </c>
      <c r="D80" s="64">
        <v>33.520000000000003</v>
      </c>
      <c r="E80" s="64">
        <v>3.23</v>
      </c>
      <c r="F80" s="64">
        <v>12.77</v>
      </c>
      <c r="G80" s="64">
        <v>41.69</v>
      </c>
      <c r="H80" s="64">
        <v>21.56</v>
      </c>
      <c r="I80" s="64">
        <v>1.49</v>
      </c>
      <c r="J80" s="64">
        <v>0.13</v>
      </c>
      <c r="K80" s="64">
        <v>74.599999999999994</v>
      </c>
      <c r="L80" s="64">
        <v>23.39</v>
      </c>
      <c r="M80" s="64">
        <v>54.5</v>
      </c>
      <c r="N80" s="64">
        <v>40.5</v>
      </c>
      <c r="O80" s="64">
        <v>0</v>
      </c>
      <c r="P80" s="64">
        <v>1.02</v>
      </c>
      <c r="Q80" s="64">
        <v>3.51</v>
      </c>
      <c r="R80" s="198"/>
      <c r="S80" s="198"/>
      <c r="T80" s="198"/>
      <c r="U80" s="198"/>
    </row>
    <row r="81" spans="1:26" s="12" customFormat="1" x14ac:dyDescent="0.25">
      <c r="A81" s="215" t="s">
        <v>2050</v>
      </c>
      <c r="B81" s="64">
        <v>6.03</v>
      </c>
      <c r="C81" s="64">
        <v>43.98</v>
      </c>
      <c r="D81" s="64">
        <v>29.76</v>
      </c>
      <c r="E81" s="64">
        <v>3.27</v>
      </c>
      <c r="F81" s="64">
        <v>10.84</v>
      </c>
      <c r="G81" s="64">
        <v>47.81</v>
      </c>
      <c r="H81" s="64">
        <v>23.28</v>
      </c>
      <c r="I81" s="64">
        <v>1.42</v>
      </c>
      <c r="J81" s="64">
        <v>0.12</v>
      </c>
      <c r="K81" s="64">
        <v>52.02</v>
      </c>
      <c r="L81" s="64">
        <v>23.11</v>
      </c>
      <c r="M81" s="64">
        <v>55.97</v>
      </c>
      <c r="N81" s="64">
        <v>41</v>
      </c>
      <c r="O81" s="64">
        <v>0</v>
      </c>
      <c r="P81" s="64">
        <v>0.87</v>
      </c>
      <c r="Q81" s="64">
        <v>4.0599999999999996</v>
      </c>
      <c r="R81" s="198"/>
      <c r="S81" s="198"/>
      <c r="T81" s="198"/>
      <c r="U81" s="198"/>
    </row>
    <row r="82" spans="1:26" s="12" customFormat="1" x14ac:dyDescent="0.25">
      <c r="A82" s="215" t="s">
        <v>2051</v>
      </c>
      <c r="B82" s="64">
        <v>22.45</v>
      </c>
      <c r="C82" s="64">
        <v>61.13</v>
      </c>
      <c r="D82" s="64">
        <v>52.39</v>
      </c>
      <c r="E82" s="64">
        <v>3</v>
      </c>
      <c r="F82" s="64">
        <v>7.12</v>
      </c>
      <c r="G82" s="64">
        <v>51.88</v>
      </c>
      <c r="H82" s="64">
        <v>23.71</v>
      </c>
      <c r="I82" s="64">
        <v>1.51</v>
      </c>
      <c r="J82" s="64">
        <v>0.11</v>
      </c>
      <c r="K82" s="64">
        <v>11.04</v>
      </c>
      <c r="L82" s="64">
        <v>22.79</v>
      </c>
      <c r="M82" s="64">
        <v>60.66</v>
      </c>
      <c r="N82" s="64">
        <v>41.2</v>
      </c>
      <c r="O82" s="64">
        <v>0</v>
      </c>
      <c r="P82" s="64">
        <v>1.71</v>
      </c>
      <c r="Q82" s="64">
        <v>0.73</v>
      </c>
      <c r="R82" s="198"/>
      <c r="S82" s="198"/>
      <c r="T82" s="198"/>
      <c r="U82" s="198"/>
    </row>
    <row r="83" spans="1:26" s="12" customFormat="1" x14ac:dyDescent="0.25">
      <c r="A83" s="215" t="s">
        <v>2052</v>
      </c>
      <c r="B83" s="64">
        <v>15.44</v>
      </c>
      <c r="C83" s="64">
        <v>60.47</v>
      </c>
      <c r="D83" s="64">
        <v>46.4</v>
      </c>
      <c r="E83" s="64">
        <v>2.89</v>
      </c>
      <c r="F83" s="64">
        <v>5.77</v>
      </c>
      <c r="G83" s="64">
        <v>51.88</v>
      </c>
      <c r="H83" s="64">
        <v>23.71</v>
      </c>
      <c r="I83" s="64">
        <v>1.47</v>
      </c>
      <c r="J83" s="64">
        <v>0.09</v>
      </c>
      <c r="K83" s="64">
        <v>65.349999999999994</v>
      </c>
      <c r="L83" s="64">
        <v>22.56</v>
      </c>
      <c r="M83" s="64">
        <v>59.93</v>
      </c>
      <c r="N83" s="64">
        <v>41.2</v>
      </c>
      <c r="O83" s="64">
        <v>0</v>
      </c>
      <c r="P83" s="64">
        <v>1.61</v>
      </c>
      <c r="Q83" s="64">
        <v>2.4</v>
      </c>
      <c r="R83" s="198"/>
      <c r="S83" s="198"/>
      <c r="T83" s="198"/>
      <c r="U83" s="198"/>
    </row>
    <row r="84" spans="1:26" s="12" customFormat="1" x14ac:dyDescent="0.25">
      <c r="A84" s="215" t="s">
        <v>2053</v>
      </c>
      <c r="B84" s="64">
        <v>14.67</v>
      </c>
      <c r="C84" s="64">
        <v>55.48</v>
      </c>
      <c r="D84" s="64">
        <v>43.03</v>
      </c>
      <c r="E84" s="64">
        <v>2.88</v>
      </c>
      <c r="F84" s="64">
        <v>5.39</v>
      </c>
      <c r="G84" s="64">
        <v>51.88</v>
      </c>
      <c r="H84" s="64">
        <v>23.71</v>
      </c>
      <c r="I84" s="64">
        <v>1.46</v>
      </c>
      <c r="J84" s="64">
        <v>0.13</v>
      </c>
      <c r="K84" s="64">
        <v>84.78</v>
      </c>
      <c r="L84" s="64">
        <v>22.65</v>
      </c>
      <c r="M84" s="64">
        <v>58.97</v>
      </c>
      <c r="N84" s="64">
        <v>41.2</v>
      </c>
      <c r="O84" s="64">
        <v>0</v>
      </c>
      <c r="P84" s="64">
        <v>1.44</v>
      </c>
      <c r="Q84" s="64">
        <v>3.48</v>
      </c>
      <c r="R84" s="198"/>
      <c r="S84" s="198"/>
      <c r="T84" s="198"/>
      <c r="U84" s="198"/>
    </row>
    <row r="85" spans="1:26" s="12" customFormat="1" x14ac:dyDescent="0.25">
      <c r="A85" s="215" t="s">
        <v>2054</v>
      </c>
      <c r="B85" s="64">
        <v>11.5</v>
      </c>
      <c r="C85" s="64">
        <v>50.22</v>
      </c>
      <c r="D85" s="64">
        <v>37.58</v>
      </c>
      <c r="E85" s="64">
        <v>2.94</v>
      </c>
      <c r="F85" s="64">
        <v>8.2799999999999994</v>
      </c>
      <c r="G85" s="64">
        <v>60.43</v>
      </c>
      <c r="H85" s="64">
        <v>31.68</v>
      </c>
      <c r="I85" s="64">
        <v>1.43</v>
      </c>
      <c r="J85" s="64">
        <v>0.12</v>
      </c>
      <c r="K85" s="64">
        <v>63.86</v>
      </c>
      <c r="L85" s="64">
        <v>22.6</v>
      </c>
      <c r="M85" s="64">
        <v>58.64</v>
      </c>
      <c r="N85" s="64">
        <v>41.4</v>
      </c>
      <c r="O85" s="64">
        <v>0</v>
      </c>
      <c r="P85" s="64">
        <v>1.28</v>
      </c>
      <c r="Q85" s="64">
        <v>4.26</v>
      </c>
      <c r="R85" s="198"/>
      <c r="S85" s="198"/>
      <c r="T85" s="198"/>
      <c r="U85" s="198"/>
    </row>
    <row r="86" spans="1:26" s="12" customFormat="1" x14ac:dyDescent="0.25">
      <c r="A86" s="215" t="s">
        <v>2055</v>
      </c>
      <c r="B86" s="64">
        <v>11.74</v>
      </c>
      <c r="C86" s="64">
        <v>48.98</v>
      </c>
      <c r="D86" s="64">
        <v>37.090000000000003</v>
      </c>
      <c r="E86" s="64">
        <v>2.95</v>
      </c>
      <c r="F86" s="64">
        <v>7.37</v>
      </c>
      <c r="G86" s="64">
        <v>66.13</v>
      </c>
      <c r="H86" s="64">
        <v>33.64</v>
      </c>
      <c r="I86" s="64">
        <v>1.44</v>
      </c>
      <c r="J86" s="64">
        <v>0.06</v>
      </c>
      <c r="K86" s="64">
        <v>25.15</v>
      </c>
      <c r="L86" s="64">
        <v>22.4</v>
      </c>
      <c r="M86" s="64">
        <v>60.76</v>
      </c>
      <c r="N86" s="64">
        <v>41.4</v>
      </c>
      <c r="O86" s="64">
        <v>0</v>
      </c>
      <c r="P86" s="64">
        <v>1.42</v>
      </c>
      <c r="Q86" s="64">
        <v>4.53</v>
      </c>
      <c r="R86" s="198"/>
      <c r="S86" s="198"/>
      <c r="T86" s="198"/>
      <c r="U86" s="198"/>
    </row>
    <row r="87" spans="1:26" s="12" customFormat="1" x14ac:dyDescent="0.25">
      <c r="A87" s="215" t="s">
        <v>2056</v>
      </c>
      <c r="B87" s="64">
        <v>12.3</v>
      </c>
      <c r="C87" s="64">
        <v>52.96</v>
      </c>
      <c r="D87" s="64">
        <v>39.729999999999997</v>
      </c>
      <c r="E87" s="64">
        <v>2.94</v>
      </c>
      <c r="F87" s="64">
        <v>6.66</v>
      </c>
      <c r="G87" s="64">
        <v>66.13</v>
      </c>
      <c r="H87" s="64">
        <v>33.64</v>
      </c>
      <c r="I87" s="64">
        <v>1.51</v>
      </c>
      <c r="J87" s="64">
        <v>0.15</v>
      </c>
      <c r="K87" s="64">
        <v>84.65</v>
      </c>
      <c r="L87" s="64">
        <v>22.43</v>
      </c>
      <c r="M87" s="64">
        <v>59.56</v>
      </c>
      <c r="N87" s="64">
        <v>41.4</v>
      </c>
      <c r="O87" s="64">
        <v>0</v>
      </c>
      <c r="P87" s="64">
        <v>1.47</v>
      </c>
      <c r="Q87" s="64">
        <v>4.5599999999999996</v>
      </c>
      <c r="R87" s="198"/>
      <c r="S87" s="198"/>
      <c r="T87" s="198"/>
      <c r="U87" s="198"/>
    </row>
    <row r="88" spans="1:26" s="12" customFormat="1" x14ac:dyDescent="0.25">
      <c r="A88" s="215" t="s">
        <v>2057</v>
      </c>
      <c r="B88" s="64">
        <v>12.42</v>
      </c>
      <c r="C88" s="64">
        <v>52.29</v>
      </c>
      <c r="D88" s="64">
        <v>39.47</v>
      </c>
      <c r="E88" s="64">
        <v>2.4700000000000002</v>
      </c>
      <c r="F88" s="64">
        <v>6.46</v>
      </c>
      <c r="G88" s="64">
        <v>66.13</v>
      </c>
      <c r="H88" s="64">
        <v>33.64</v>
      </c>
      <c r="I88" s="64">
        <v>1.49</v>
      </c>
      <c r="J88" s="64">
        <v>0.13</v>
      </c>
      <c r="K88" s="64">
        <v>62.71</v>
      </c>
      <c r="L88" s="64">
        <v>22.42</v>
      </c>
      <c r="M88" s="64">
        <v>59.62</v>
      </c>
      <c r="N88" s="64">
        <v>41.5</v>
      </c>
      <c r="O88" s="64">
        <v>0</v>
      </c>
      <c r="P88" s="64">
        <v>1.45</v>
      </c>
      <c r="Q88" s="64">
        <v>4.67</v>
      </c>
      <c r="R88" s="198"/>
      <c r="S88" s="198"/>
      <c r="T88" s="198"/>
      <c r="U88" s="198"/>
    </row>
    <row r="89" spans="1:26" s="12" customFormat="1" x14ac:dyDescent="0.25">
      <c r="A89" s="215" t="s">
        <v>2058</v>
      </c>
      <c r="B89" s="64">
        <v>13.67</v>
      </c>
      <c r="C89" s="64">
        <v>49.43</v>
      </c>
      <c r="D89" s="64">
        <v>38.89</v>
      </c>
      <c r="E89" s="64">
        <v>2.77</v>
      </c>
      <c r="F89" s="64">
        <v>5.54</v>
      </c>
      <c r="G89" s="64">
        <v>72.040000000000006</v>
      </c>
      <c r="H89" s="64">
        <v>34.93</v>
      </c>
      <c r="I89" s="64">
        <v>1.51</v>
      </c>
      <c r="J89" s="64">
        <v>0.09</v>
      </c>
      <c r="K89" s="64">
        <v>25.17</v>
      </c>
      <c r="L89" s="64">
        <v>22.42</v>
      </c>
      <c r="M89" s="64">
        <v>59.54</v>
      </c>
      <c r="N89" s="64">
        <v>41.6</v>
      </c>
      <c r="O89" s="64">
        <v>0</v>
      </c>
      <c r="P89" s="64">
        <v>1.52</v>
      </c>
      <c r="Q89" s="64">
        <v>4.46</v>
      </c>
      <c r="R89" s="198"/>
      <c r="S89" s="198"/>
      <c r="T89" s="198"/>
      <c r="U89" s="198"/>
    </row>
    <row r="90" spans="1:26" s="12" customFormat="1" x14ac:dyDescent="0.25">
      <c r="A90" s="215" t="s">
        <v>2059</v>
      </c>
      <c r="B90" s="64">
        <v>15.44</v>
      </c>
      <c r="C90" s="64">
        <v>44.35</v>
      </c>
      <c r="D90" s="64">
        <v>37.5</v>
      </c>
      <c r="E90" s="64">
        <v>2.7</v>
      </c>
      <c r="F90" s="64">
        <v>5.58</v>
      </c>
      <c r="G90" s="64">
        <v>75.98</v>
      </c>
      <c r="H90" s="64">
        <v>35.24</v>
      </c>
      <c r="I90" s="64">
        <v>1.48</v>
      </c>
      <c r="J90" s="64">
        <v>0.12</v>
      </c>
      <c r="K90" s="64">
        <v>328.31</v>
      </c>
      <c r="L90" s="64">
        <v>22.38</v>
      </c>
      <c r="M90" s="64">
        <v>60.07</v>
      </c>
      <c r="N90" s="64">
        <v>41.5</v>
      </c>
      <c r="O90" s="64">
        <v>0</v>
      </c>
      <c r="P90" s="64">
        <v>1.5</v>
      </c>
      <c r="Q90" s="64">
        <v>4.3099999999999996</v>
      </c>
      <c r="R90" s="198"/>
      <c r="S90" s="198"/>
      <c r="T90" s="198"/>
      <c r="U90" s="198"/>
    </row>
    <row r="91" spans="1:26" s="12" customFormat="1" x14ac:dyDescent="0.25">
      <c r="A91" s="215" t="s">
        <v>2060</v>
      </c>
      <c r="B91" s="64">
        <v>18.739999999999998</v>
      </c>
      <c r="C91" s="64">
        <v>41.73</v>
      </c>
      <c r="D91" s="64">
        <v>38.700000000000003</v>
      </c>
      <c r="E91" s="64">
        <v>2.68</v>
      </c>
      <c r="F91" s="64">
        <v>5.52</v>
      </c>
      <c r="G91" s="64">
        <v>75.98</v>
      </c>
      <c r="H91" s="64">
        <v>35.24</v>
      </c>
      <c r="I91" s="64">
        <v>1.5</v>
      </c>
      <c r="J91" s="64">
        <v>0.13</v>
      </c>
      <c r="K91" s="64">
        <v>325.18</v>
      </c>
      <c r="L91" s="64">
        <v>22.27</v>
      </c>
      <c r="M91" s="64">
        <v>60.06</v>
      </c>
      <c r="N91" s="64">
        <v>41.7</v>
      </c>
      <c r="O91" s="64">
        <v>0</v>
      </c>
      <c r="P91" s="64">
        <v>1.52</v>
      </c>
      <c r="Q91" s="64">
        <v>3.68</v>
      </c>
      <c r="R91" s="198"/>
      <c r="S91" s="198"/>
      <c r="T91" s="198"/>
      <c r="U91" s="198"/>
    </row>
    <row r="92" spans="1:26" s="12" customFormat="1" x14ac:dyDescent="0.25">
      <c r="A92" s="215" t="s">
        <v>2061</v>
      </c>
      <c r="B92" s="64">
        <v>14.5</v>
      </c>
      <c r="C92" s="64">
        <v>40.94</v>
      </c>
      <c r="D92" s="64">
        <v>34.869999999999997</v>
      </c>
      <c r="E92" s="64">
        <v>2.65</v>
      </c>
      <c r="F92" s="64">
        <v>6.36</v>
      </c>
      <c r="G92" s="64">
        <v>75.98</v>
      </c>
      <c r="H92" s="64">
        <v>35.24</v>
      </c>
      <c r="I92" s="64">
        <v>1.52</v>
      </c>
      <c r="J92" s="64">
        <v>0.21</v>
      </c>
      <c r="K92" s="64">
        <v>92.75</v>
      </c>
      <c r="L92" s="64">
        <v>22.2</v>
      </c>
      <c r="M92" s="64">
        <v>59.98</v>
      </c>
      <c r="N92" s="64">
        <v>41.6</v>
      </c>
      <c r="O92" s="64">
        <v>0</v>
      </c>
      <c r="P92" s="64">
        <v>1.5</v>
      </c>
      <c r="Q92" s="64">
        <v>4.76</v>
      </c>
      <c r="R92" s="198"/>
      <c r="S92" s="198"/>
      <c r="T92" s="198"/>
      <c r="U92" s="198"/>
    </row>
    <row r="93" spans="1:26" s="12" customFormat="1" x14ac:dyDescent="0.25">
      <c r="A93" s="215" t="s">
        <v>2062</v>
      </c>
      <c r="B93" s="64">
        <v>13.36</v>
      </c>
      <c r="C93" s="64">
        <v>44.18</v>
      </c>
      <c r="D93" s="64">
        <v>35.74</v>
      </c>
      <c r="E93" s="64">
        <v>2.7</v>
      </c>
      <c r="F93" s="64">
        <v>7.84</v>
      </c>
      <c r="G93" s="64">
        <v>72.17</v>
      </c>
      <c r="H93" s="64">
        <v>33.909999999999997</v>
      </c>
      <c r="I93" s="64">
        <v>1.59</v>
      </c>
      <c r="J93" s="64">
        <v>7.0000000000000007E-2</v>
      </c>
      <c r="K93" s="64">
        <v>23.39</v>
      </c>
      <c r="L93" s="64">
        <v>22.31</v>
      </c>
      <c r="M93" s="64">
        <v>60.02</v>
      </c>
      <c r="N93" s="64">
        <v>41.8</v>
      </c>
      <c r="O93" s="64">
        <v>0</v>
      </c>
      <c r="P93" s="64">
        <v>1.45</v>
      </c>
      <c r="Q93" s="64">
        <v>5.21</v>
      </c>
      <c r="R93" s="198"/>
      <c r="S93" s="198"/>
      <c r="T93" s="198"/>
      <c r="U93" s="198"/>
    </row>
    <row r="94" spans="1:26" s="12" customFormat="1" x14ac:dyDescent="0.25">
      <c r="A94" s="215" t="s">
        <v>2063</v>
      </c>
      <c r="B94" s="64">
        <v>13.48</v>
      </c>
      <c r="C94" s="64">
        <v>46.41</v>
      </c>
      <c r="D94" s="64">
        <v>37.07</v>
      </c>
      <c r="E94" s="64">
        <v>2.67</v>
      </c>
      <c r="F94" s="64">
        <v>6.41</v>
      </c>
      <c r="G94" s="64">
        <v>69.64</v>
      </c>
      <c r="H94" s="64">
        <v>33.33</v>
      </c>
      <c r="I94" s="64">
        <v>1.47</v>
      </c>
      <c r="J94" s="64">
        <v>0.23</v>
      </c>
      <c r="K94" s="64">
        <v>98.75</v>
      </c>
      <c r="L94" s="64">
        <v>22.48</v>
      </c>
      <c r="M94" s="64">
        <v>59.02</v>
      </c>
      <c r="N94" s="64">
        <v>41.9</v>
      </c>
      <c r="O94" s="64">
        <v>0</v>
      </c>
      <c r="P94" s="64">
        <v>1.45</v>
      </c>
      <c r="Q94" s="64">
        <v>5.28</v>
      </c>
      <c r="R94" s="198"/>
      <c r="S94" s="198"/>
      <c r="T94" s="198"/>
      <c r="U94" s="198"/>
    </row>
    <row r="95" spans="1:26" s="12" customFormat="1" x14ac:dyDescent="0.25">
      <c r="A95" s="215" t="s">
        <v>2064</v>
      </c>
      <c r="B95" s="64">
        <v>13.69</v>
      </c>
      <c r="C95" s="64">
        <v>43.71</v>
      </c>
      <c r="D95" s="64">
        <v>35.74</v>
      </c>
      <c r="E95" s="64">
        <v>2.77</v>
      </c>
      <c r="F95" s="64">
        <v>6.04</v>
      </c>
      <c r="G95" s="64">
        <v>69.64</v>
      </c>
      <c r="H95" s="64">
        <v>33.33</v>
      </c>
      <c r="I95" s="64">
        <v>1.49</v>
      </c>
      <c r="J95" s="64">
        <v>0.36</v>
      </c>
      <c r="K95" s="64">
        <v>99.2</v>
      </c>
      <c r="L95" s="64">
        <v>22.48</v>
      </c>
      <c r="M95" s="64">
        <v>59.16</v>
      </c>
      <c r="N95" s="64">
        <v>42.1</v>
      </c>
      <c r="O95" s="64">
        <v>0</v>
      </c>
      <c r="P95" s="64">
        <v>1.45</v>
      </c>
      <c r="Q95" s="64">
        <v>5.33</v>
      </c>
      <c r="R95" s="198"/>
      <c r="S95" s="198"/>
      <c r="T95" s="198"/>
      <c r="U95" s="198"/>
    </row>
    <row r="96" spans="1:26" s="12" customFormat="1" x14ac:dyDescent="0.25">
      <c r="A96" s="215" t="s">
        <v>2065</v>
      </c>
      <c r="B96" s="64">
        <v>13.5</v>
      </c>
      <c r="C96" s="64">
        <v>40.5</v>
      </c>
      <c r="D96" s="64">
        <v>33.83</v>
      </c>
      <c r="E96" s="64">
        <v>2.8</v>
      </c>
      <c r="F96" s="64">
        <v>5.89</v>
      </c>
      <c r="G96" s="64">
        <v>69.64</v>
      </c>
      <c r="H96" s="64">
        <v>33.33</v>
      </c>
      <c r="I96" s="64">
        <v>1.52</v>
      </c>
      <c r="J96" s="64">
        <v>1.08</v>
      </c>
      <c r="K96" s="64">
        <v>107.22</v>
      </c>
      <c r="L96" s="64">
        <v>22.45</v>
      </c>
      <c r="M96" s="64">
        <v>59.13</v>
      </c>
      <c r="N96" s="64">
        <v>42.2</v>
      </c>
      <c r="O96" s="64">
        <v>0</v>
      </c>
      <c r="P96" s="64">
        <v>1.41</v>
      </c>
      <c r="Q96" s="64">
        <v>5.38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2066</v>
      </c>
      <c r="B97" s="64">
        <v>12.6</v>
      </c>
      <c r="C97" s="64">
        <v>38.229999999999997</v>
      </c>
      <c r="D97" s="64">
        <v>31.85</v>
      </c>
      <c r="E97" s="64">
        <v>2.79</v>
      </c>
      <c r="F97" s="64">
        <v>7.63</v>
      </c>
      <c r="G97" s="64">
        <v>62.39</v>
      </c>
      <c r="H97" s="64">
        <v>29.17</v>
      </c>
      <c r="I97" s="64">
        <v>1.46</v>
      </c>
      <c r="J97" s="64">
        <v>0.93</v>
      </c>
      <c r="K97" s="64">
        <v>103.45</v>
      </c>
      <c r="L97" s="64">
        <v>22.21</v>
      </c>
      <c r="M97" s="64">
        <v>61</v>
      </c>
      <c r="N97" s="64">
        <v>42.7</v>
      </c>
      <c r="O97" s="64">
        <v>0</v>
      </c>
      <c r="P97" s="64">
        <v>1.37</v>
      </c>
      <c r="Q97" s="64">
        <v>5.39</v>
      </c>
      <c r="R97" s="198"/>
      <c r="S97" s="198"/>
      <c r="T97" s="198"/>
      <c r="U97" s="198"/>
    </row>
    <row r="98" spans="1:33" s="12" customFormat="1" x14ac:dyDescent="0.25">
      <c r="A98" s="215" t="s">
        <v>2067</v>
      </c>
      <c r="B98" s="64">
        <v>11.62</v>
      </c>
      <c r="C98" s="64">
        <v>38.020000000000003</v>
      </c>
      <c r="D98" s="64">
        <v>30.95</v>
      </c>
      <c r="E98" s="64">
        <v>2.78</v>
      </c>
      <c r="F98" s="64">
        <v>6.78</v>
      </c>
      <c r="G98" s="64">
        <v>57.55</v>
      </c>
      <c r="H98" s="64">
        <v>28.15</v>
      </c>
      <c r="I98" s="64">
        <v>1.52</v>
      </c>
      <c r="J98" s="64">
        <v>0.56000000000000005</v>
      </c>
      <c r="K98" s="64">
        <v>100.5</v>
      </c>
      <c r="L98" s="64">
        <v>21.95</v>
      </c>
      <c r="M98" s="64">
        <v>63.06</v>
      </c>
      <c r="N98" s="64">
        <v>42.7</v>
      </c>
      <c r="O98" s="64">
        <v>0</v>
      </c>
      <c r="P98" s="64">
        <v>1.34</v>
      </c>
      <c r="Q98" s="64">
        <v>5.33</v>
      </c>
      <c r="R98" s="198"/>
      <c r="S98" s="198"/>
      <c r="T98" s="198"/>
      <c r="U98" s="198"/>
    </row>
    <row r="99" spans="1:33" s="12" customFormat="1" x14ac:dyDescent="0.25">
      <c r="A99" s="215" t="s">
        <v>2068</v>
      </c>
      <c r="B99" s="64">
        <v>11.16</v>
      </c>
      <c r="C99" s="64">
        <v>38.340000000000003</v>
      </c>
      <c r="D99" s="64">
        <v>30.76</v>
      </c>
      <c r="E99" s="64">
        <v>2.79</v>
      </c>
      <c r="F99" s="64">
        <v>7.09</v>
      </c>
      <c r="G99" s="64">
        <v>57.55</v>
      </c>
      <c r="H99" s="64">
        <v>28.15</v>
      </c>
      <c r="I99" s="64">
        <v>1.4</v>
      </c>
      <c r="J99" s="64">
        <v>0.67</v>
      </c>
      <c r="K99" s="64">
        <v>102.89</v>
      </c>
      <c r="L99" s="64">
        <v>21.84</v>
      </c>
      <c r="M99" s="64">
        <v>63.75</v>
      </c>
      <c r="N99" s="64">
        <v>42.5</v>
      </c>
      <c r="O99" s="64">
        <v>0</v>
      </c>
      <c r="P99" s="64">
        <v>1.29</v>
      </c>
      <c r="Q99" s="64">
        <v>5.22</v>
      </c>
      <c r="R99" s="198"/>
      <c r="S99" s="198"/>
      <c r="T99" s="198"/>
      <c r="U99" s="198"/>
    </row>
    <row r="100" spans="1:33" s="12" customFormat="1" x14ac:dyDescent="0.25">
      <c r="A100" s="215" t="s">
        <v>2069</v>
      </c>
      <c r="B100" s="64">
        <v>10.64</v>
      </c>
      <c r="C100" s="64">
        <v>37.58</v>
      </c>
      <c r="D100" s="64">
        <v>29.92</v>
      </c>
      <c r="E100" s="64">
        <v>2.75</v>
      </c>
      <c r="F100" s="64">
        <v>7.32</v>
      </c>
      <c r="G100" s="64">
        <v>57.55</v>
      </c>
      <c r="H100" s="64">
        <v>28.15</v>
      </c>
      <c r="I100" s="64">
        <v>1.53</v>
      </c>
      <c r="J100" s="64">
        <v>0.64</v>
      </c>
      <c r="K100" s="64">
        <v>103.48</v>
      </c>
      <c r="L100" s="64">
        <v>21.82</v>
      </c>
      <c r="M100" s="64">
        <v>64.040000000000006</v>
      </c>
      <c r="N100" s="64">
        <v>42.5</v>
      </c>
      <c r="O100" s="64">
        <v>0</v>
      </c>
      <c r="P100" s="64">
        <v>1.26</v>
      </c>
      <c r="Q100" s="64">
        <v>5.2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2070</v>
      </c>
      <c r="B101" s="64">
        <v>10.28</v>
      </c>
      <c r="C101" s="64">
        <v>37.200000000000003</v>
      </c>
      <c r="D101" s="64">
        <v>29.42</v>
      </c>
      <c r="E101" s="64">
        <v>2.78</v>
      </c>
      <c r="F101" s="64">
        <v>7.45</v>
      </c>
      <c r="G101" s="64">
        <v>55.75</v>
      </c>
      <c r="H101" s="64">
        <v>27.55</v>
      </c>
      <c r="I101" s="64">
        <v>1.51</v>
      </c>
      <c r="J101" s="64">
        <v>0.73</v>
      </c>
      <c r="K101" s="64">
        <v>106.8</v>
      </c>
      <c r="L101" s="64">
        <v>21.8</v>
      </c>
      <c r="M101" s="64">
        <v>64.09</v>
      </c>
      <c r="N101" s="64">
        <v>42.5</v>
      </c>
      <c r="O101" s="64">
        <v>0</v>
      </c>
      <c r="P101" s="64">
        <v>1.24</v>
      </c>
      <c r="Q101" s="64">
        <v>5.0999999999999996</v>
      </c>
      <c r="R101" s="198"/>
      <c r="S101" s="198"/>
      <c r="T101" s="198"/>
      <c r="U101" s="198"/>
    </row>
    <row r="102" spans="1:33" s="12" customFormat="1" x14ac:dyDescent="0.25">
      <c r="A102" s="215" t="s">
        <v>2071</v>
      </c>
      <c r="B102" s="64">
        <v>9.93</v>
      </c>
      <c r="C102" s="64">
        <v>36.64</v>
      </c>
      <c r="D102" s="64">
        <v>28.83</v>
      </c>
      <c r="E102" s="64">
        <v>2.73</v>
      </c>
      <c r="F102" s="64">
        <v>5.05</v>
      </c>
      <c r="G102" s="64">
        <v>54.54</v>
      </c>
      <c r="H102" s="64">
        <v>27.4</v>
      </c>
      <c r="I102" s="64">
        <v>1.47</v>
      </c>
      <c r="J102" s="64">
        <v>1.33</v>
      </c>
      <c r="K102" s="64">
        <v>115.58</v>
      </c>
      <c r="L102" s="64">
        <v>21.8</v>
      </c>
      <c r="M102" s="64">
        <v>64.03</v>
      </c>
      <c r="N102" s="64">
        <v>42.3</v>
      </c>
      <c r="O102" s="64">
        <v>0</v>
      </c>
      <c r="P102" s="64">
        <v>1.22</v>
      </c>
      <c r="Q102" s="64">
        <v>5.05</v>
      </c>
      <c r="R102" s="198"/>
      <c r="S102" s="198"/>
      <c r="T102" s="198"/>
      <c r="U102" s="198"/>
    </row>
    <row r="103" spans="1:33" s="12" customFormat="1" x14ac:dyDescent="0.25">
      <c r="A103" s="215" t="s">
        <v>2072</v>
      </c>
      <c r="B103" s="64">
        <v>9.6</v>
      </c>
      <c r="C103" s="64">
        <v>36.119999999999997</v>
      </c>
      <c r="D103" s="64">
        <v>28.28</v>
      </c>
      <c r="E103" s="64">
        <v>2.66</v>
      </c>
      <c r="F103" s="64">
        <v>5</v>
      </c>
      <c r="G103" s="64">
        <v>54.54</v>
      </c>
      <c r="H103" s="64">
        <v>27.4</v>
      </c>
      <c r="I103" s="64">
        <v>1.51</v>
      </c>
      <c r="J103" s="64">
        <v>1.32</v>
      </c>
      <c r="K103" s="64">
        <v>110.36</v>
      </c>
      <c r="L103" s="64">
        <v>21.76</v>
      </c>
      <c r="M103" s="64">
        <v>64.489999999999995</v>
      </c>
      <c r="N103" s="64">
        <v>42.5</v>
      </c>
      <c r="O103" s="64">
        <v>0</v>
      </c>
      <c r="P103" s="64">
        <v>1.17</v>
      </c>
      <c r="Q103" s="64">
        <v>4.99</v>
      </c>
      <c r="R103" s="198"/>
      <c r="S103" s="198"/>
      <c r="T103" s="198"/>
      <c r="U103" s="198"/>
    </row>
    <row r="104" spans="1:33" s="12" customFormat="1" x14ac:dyDescent="0.25">
      <c r="A104" s="215" t="s">
        <v>2073</v>
      </c>
      <c r="B104" s="64">
        <v>9.09</v>
      </c>
      <c r="C104" s="64">
        <v>35.81</v>
      </c>
      <c r="D104" s="64">
        <v>27.7</v>
      </c>
      <c r="E104" s="64">
        <v>2.4</v>
      </c>
      <c r="F104" s="64">
        <v>4.04</v>
      </c>
      <c r="G104" s="64">
        <v>54.54</v>
      </c>
      <c r="H104" s="64">
        <v>27.4</v>
      </c>
      <c r="I104" s="64">
        <v>1.49</v>
      </c>
      <c r="J104" s="64">
        <v>1.31</v>
      </c>
      <c r="K104" s="64">
        <v>110.6</v>
      </c>
      <c r="L104" s="64">
        <v>21.79</v>
      </c>
      <c r="M104" s="64">
        <v>64.430000000000007</v>
      </c>
      <c r="N104" s="64">
        <v>42.4</v>
      </c>
      <c r="O104" s="64">
        <v>0</v>
      </c>
      <c r="P104" s="64">
        <v>1.1399999999999999</v>
      </c>
      <c r="Q104" s="64">
        <v>4.9400000000000004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3.19</v>
      </c>
      <c r="C106" s="67">
        <f>MIN(C9:C104)</f>
        <v>27.66</v>
      </c>
      <c r="D106" s="67">
        <f t="shared" ref="D106:Q106" si="0">MIN(D9:D104)</f>
        <v>18.47</v>
      </c>
      <c r="E106" s="67">
        <f t="shared" si="0"/>
        <v>2.16</v>
      </c>
      <c r="F106" s="67">
        <f t="shared" si="0"/>
        <v>3.03</v>
      </c>
      <c r="G106" s="67">
        <f t="shared" si="0"/>
        <v>30.6</v>
      </c>
      <c r="H106" s="67">
        <f t="shared" si="0"/>
        <v>20.56</v>
      </c>
      <c r="I106" s="67">
        <f t="shared" si="0"/>
        <v>1.38</v>
      </c>
      <c r="J106" s="67">
        <f t="shared" si="0"/>
        <v>0.01</v>
      </c>
      <c r="K106" s="67">
        <f t="shared" si="0"/>
        <v>10.63</v>
      </c>
      <c r="L106" s="67">
        <f t="shared" si="0"/>
        <v>17.100000000000001</v>
      </c>
      <c r="M106" s="67">
        <f t="shared" si="0"/>
        <v>41.04</v>
      </c>
      <c r="N106" s="67">
        <f t="shared" si="0"/>
        <v>38.9</v>
      </c>
      <c r="O106" s="67">
        <f t="shared" si="0"/>
        <v>0</v>
      </c>
      <c r="P106" s="67">
        <f t="shared" si="0"/>
        <v>0.54</v>
      </c>
      <c r="Q106" s="67">
        <f t="shared" si="0"/>
        <v>0.73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31.02</v>
      </c>
      <c r="C107" s="66">
        <f t="shared" ref="C107:Q107" si="1">MAX(C9:C104)</f>
        <v>61.32</v>
      </c>
      <c r="D107" s="66">
        <f t="shared" si="1"/>
        <v>52.39</v>
      </c>
      <c r="E107" s="66">
        <f t="shared" si="1"/>
        <v>3.27</v>
      </c>
      <c r="F107" s="66">
        <f t="shared" si="1"/>
        <v>29.97</v>
      </c>
      <c r="G107" s="66">
        <f t="shared" si="1"/>
        <v>106.58</v>
      </c>
      <c r="H107" s="66">
        <f t="shared" si="1"/>
        <v>43.07</v>
      </c>
      <c r="I107" s="66">
        <f t="shared" si="1"/>
        <v>1.59</v>
      </c>
      <c r="J107" s="66">
        <f t="shared" si="1"/>
        <v>1.6</v>
      </c>
      <c r="K107" s="66">
        <f t="shared" si="1"/>
        <v>354.63</v>
      </c>
      <c r="L107" s="66">
        <f t="shared" si="1"/>
        <v>28.13</v>
      </c>
      <c r="M107" s="66">
        <f t="shared" si="1"/>
        <v>97.4</v>
      </c>
      <c r="N107" s="66">
        <f t="shared" si="1"/>
        <v>702.6</v>
      </c>
      <c r="O107" s="66">
        <f t="shared" si="1"/>
        <v>0</v>
      </c>
      <c r="P107" s="66">
        <f t="shared" si="1"/>
        <v>1.85</v>
      </c>
      <c r="Q107" s="66">
        <f t="shared" si="1"/>
        <v>6.84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12.809479166666668</v>
      </c>
      <c r="C108" s="67">
        <f t="shared" ref="C108:Q108" si="2">AVERAGE(C9:C104)</f>
        <v>37.400833333333331</v>
      </c>
      <c r="D108" s="67">
        <f t="shared" si="2"/>
        <v>31.559062499999996</v>
      </c>
      <c r="E108" s="67">
        <f t="shared" si="2"/>
        <v>2.5093749999999995</v>
      </c>
      <c r="F108" s="67">
        <f t="shared" si="2"/>
        <v>6.7418749999999976</v>
      </c>
      <c r="G108" s="67">
        <f t="shared" si="2"/>
        <v>55.139375000000008</v>
      </c>
      <c r="H108" s="67">
        <f t="shared" si="2"/>
        <v>29.480520833333344</v>
      </c>
      <c r="I108" s="67">
        <f t="shared" si="2"/>
        <v>1.4961458333333335</v>
      </c>
      <c r="J108" s="67">
        <f t="shared" si="2"/>
        <v>0.4459375000000001</v>
      </c>
      <c r="K108" s="67">
        <f t="shared" si="2"/>
        <v>133.55114583333332</v>
      </c>
      <c r="L108" s="67">
        <f t="shared" si="2"/>
        <v>22.537083333333353</v>
      </c>
      <c r="M108" s="67">
        <f t="shared" si="2"/>
        <v>65.280312500000008</v>
      </c>
      <c r="N108" s="67">
        <f t="shared" si="2"/>
        <v>194.40625000000003</v>
      </c>
      <c r="O108" s="67">
        <f t="shared" si="2"/>
        <v>0</v>
      </c>
      <c r="P108" s="67">
        <f t="shared" si="2"/>
        <v>1.1068750000000003</v>
      </c>
      <c r="Q108" s="67">
        <f t="shared" si="2"/>
        <v>5.0539583333333278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6.6652368173336711</v>
      </c>
      <c r="C109" s="67">
        <f t="shared" ref="C109:Q109" si="3">STDEV(C9:C104)</f>
        <v>7.2927683959655409</v>
      </c>
      <c r="D109" s="67">
        <f t="shared" si="3"/>
        <v>7.2340082909786396</v>
      </c>
      <c r="E109" s="67">
        <f t="shared" si="3"/>
        <v>0.25919637952312286</v>
      </c>
      <c r="F109" s="67">
        <f t="shared" si="3"/>
        <v>5.0941469638668382</v>
      </c>
      <c r="G109" s="67">
        <f t="shared" si="3"/>
        <v>17.510378264722995</v>
      </c>
      <c r="H109" s="67">
        <f t="shared" si="3"/>
        <v>6.0444390048847181</v>
      </c>
      <c r="I109" s="67">
        <f t="shared" si="3"/>
        <v>4.3994492278888707E-2</v>
      </c>
      <c r="J109" s="67">
        <f t="shared" si="3"/>
        <v>0.39877332467666893</v>
      </c>
      <c r="K109" s="67">
        <f t="shared" si="3"/>
        <v>92.482439014342901</v>
      </c>
      <c r="L109" s="67">
        <f t="shared" si="3"/>
        <v>3.1393495526994499</v>
      </c>
      <c r="M109" s="67">
        <f t="shared" si="3"/>
        <v>16.300007003752086</v>
      </c>
      <c r="N109" s="67">
        <f t="shared" si="3"/>
        <v>221.71202698070917</v>
      </c>
      <c r="O109" s="67">
        <f t="shared" si="3"/>
        <v>0</v>
      </c>
      <c r="P109" s="67">
        <f t="shared" si="3"/>
        <v>0.34258556364950987</v>
      </c>
      <c r="Q109" s="67">
        <f t="shared" si="3"/>
        <v>0.77700298606306417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2074</v>
      </c>
      <c r="B9" s="64">
        <v>8.4700000000000006</v>
      </c>
      <c r="C9" s="64">
        <v>35.590000000000003</v>
      </c>
      <c r="D9" s="64">
        <v>27.08</v>
      </c>
      <c r="E9" s="64">
        <v>2.64</v>
      </c>
      <c r="F9" s="64">
        <v>4.66</v>
      </c>
      <c r="G9" s="64">
        <v>50.64</v>
      </c>
      <c r="H9" s="64">
        <v>25.78</v>
      </c>
      <c r="I9" s="64">
        <v>1.44</v>
      </c>
      <c r="J9" s="64">
        <v>1.24</v>
      </c>
      <c r="K9" s="64">
        <v>116.38</v>
      </c>
      <c r="L9" s="64">
        <v>21.7</v>
      </c>
      <c r="M9" s="64">
        <v>65.27</v>
      </c>
      <c r="N9" s="64">
        <v>42.6</v>
      </c>
      <c r="O9" s="64">
        <v>0</v>
      </c>
      <c r="P9" s="64">
        <v>1.08</v>
      </c>
      <c r="Q9" s="64">
        <v>4.8499999999999996</v>
      </c>
      <c r="R9" s="198"/>
      <c r="S9" s="198"/>
      <c r="T9" s="198"/>
      <c r="U9" s="198"/>
    </row>
    <row r="10" spans="1:21" s="12" customFormat="1" x14ac:dyDescent="0.25">
      <c r="A10" s="215" t="s">
        <v>2075</v>
      </c>
      <c r="B10" s="64">
        <v>8</v>
      </c>
      <c r="C10" s="64">
        <v>35.049999999999997</v>
      </c>
      <c r="D10" s="64">
        <v>26.4</v>
      </c>
      <c r="E10" s="64">
        <v>2.65</v>
      </c>
      <c r="F10" s="64">
        <v>4.5</v>
      </c>
      <c r="G10" s="64">
        <v>48.04</v>
      </c>
      <c r="H10" s="64">
        <v>25.39</v>
      </c>
      <c r="I10" s="64">
        <v>1.52</v>
      </c>
      <c r="J10" s="64">
        <v>1.29</v>
      </c>
      <c r="K10" s="64">
        <v>112.87</v>
      </c>
      <c r="L10" s="64">
        <v>21.54</v>
      </c>
      <c r="M10" s="64">
        <v>66.36</v>
      </c>
      <c r="N10" s="64">
        <v>42.5</v>
      </c>
      <c r="O10" s="64">
        <v>0</v>
      </c>
      <c r="P10" s="64">
        <v>1.04</v>
      </c>
      <c r="Q10" s="64">
        <v>4.82</v>
      </c>
      <c r="R10" s="198"/>
      <c r="S10" s="198"/>
      <c r="T10" s="198"/>
      <c r="U10" s="198"/>
    </row>
    <row r="11" spans="1:21" s="12" customFormat="1" x14ac:dyDescent="0.25">
      <c r="A11" s="215" t="s">
        <v>2076</v>
      </c>
      <c r="B11" s="64">
        <v>7.45</v>
      </c>
      <c r="C11" s="64">
        <v>34.69</v>
      </c>
      <c r="D11" s="64">
        <v>25.76</v>
      </c>
      <c r="E11" s="64">
        <v>2.72</v>
      </c>
      <c r="F11" s="64">
        <v>5.98</v>
      </c>
      <c r="G11" s="64">
        <v>48.04</v>
      </c>
      <c r="H11" s="64">
        <v>25.39</v>
      </c>
      <c r="I11" s="64">
        <v>1.48</v>
      </c>
      <c r="J11" s="64">
        <v>1.1399999999999999</v>
      </c>
      <c r="K11" s="64">
        <v>111.06</v>
      </c>
      <c r="L11" s="64">
        <v>21.45</v>
      </c>
      <c r="M11" s="64">
        <v>67.040000000000006</v>
      </c>
      <c r="N11" s="64">
        <v>42.5</v>
      </c>
      <c r="O11" s="64">
        <v>0</v>
      </c>
      <c r="P11" s="64">
        <v>0.99</v>
      </c>
      <c r="Q11" s="64">
        <v>4.7699999999999996</v>
      </c>
      <c r="R11" s="198"/>
      <c r="S11" s="198"/>
      <c r="T11" s="198"/>
      <c r="U11" s="198"/>
    </row>
    <row r="12" spans="1:21" s="12" customFormat="1" x14ac:dyDescent="0.25">
      <c r="A12" s="215" t="s">
        <v>2077</v>
      </c>
      <c r="B12" s="64">
        <v>6.93</v>
      </c>
      <c r="C12" s="64">
        <v>32.18</v>
      </c>
      <c r="D12" s="64">
        <v>23.96</v>
      </c>
      <c r="E12" s="64">
        <v>2.68</v>
      </c>
      <c r="F12" s="64">
        <v>5.52</v>
      </c>
      <c r="G12" s="64">
        <v>48.04</v>
      </c>
      <c r="H12" s="64">
        <v>25.39</v>
      </c>
      <c r="I12" s="64">
        <v>1.56</v>
      </c>
      <c r="J12" s="64">
        <v>0.77</v>
      </c>
      <c r="K12" s="64">
        <v>100.4</v>
      </c>
      <c r="L12" s="64">
        <v>21.28</v>
      </c>
      <c r="M12" s="64">
        <v>67.98</v>
      </c>
      <c r="N12" s="64">
        <v>42.5</v>
      </c>
      <c r="O12" s="64">
        <v>0</v>
      </c>
      <c r="P12" s="64">
        <v>0.96</v>
      </c>
      <c r="Q12" s="64">
        <v>5.0199999999999996</v>
      </c>
      <c r="R12" s="198"/>
      <c r="S12" s="198"/>
      <c r="T12" s="198"/>
      <c r="U12" s="198"/>
    </row>
    <row r="13" spans="1:21" s="12" customFormat="1" x14ac:dyDescent="0.25">
      <c r="A13" s="215" t="s">
        <v>2078</v>
      </c>
      <c r="B13" s="64">
        <v>6.32</v>
      </c>
      <c r="C13" s="64">
        <v>31.04</v>
      </c>
      <c r="D13" s="64">
        <v>22.85</v>
      </c>
      <c r="E13" s="64">
        <v>2.58</v>
      </c>
      <c r="F13" s="64">
        <v>6.15</v>
      </c>
      <c r="G13" s="64">
        <v>44.98</v>
      </c>
      <c r="H13" s="64">
        <v>24.52</v>
      </c>
      <c r="I13" s="64">
        <v>1.45</v>
      </c>
      <c r="J13" s="64">
        <v>0.94</v>
      </c>
      <c r="K13" s="64">
        <v>105.79</v>
      </c>
      <c r="L13" s="64">
        <v>21.11</v>
      </c>
      <c r="M13" s="64">
        <v>69.040000000000006</v>
      </c>
      <c r="N13" s="64">
        <v>42.4</v>
      </c>
      <c r="O13" s="64">
        <v>0</v>
      </c>
      <c r="P13" s="64">
        <v>0.85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5" t="s">
        <v>2079</v>
      </c>
      <c r="B14" s="64">
        <v>5.89</v>
      </c>
      <c r="C14" s="64">
        <v>32.32</v>
      </c>
      <c r="D14" s="64">
        <v>23.2</v>
      </c>
      <c r="E14" s="64">
        <v>2.52</v>
      </c>
      <c r="F14" s="64">
        <v>4.5</v>
      </c>
      <c r="G14" s="64">
        <v>42.94</v>
      </c>
      <c r="H14" s="64">
        <v>24.12</v>
      </c>
      <c r="I14" s="64">
        <v>1.45</v>
      </c>
      <c r="J14" s="64">
        <v>0.36</v>
      </c>
      <c r="K14" s="64">
        <v>101.72</v>
      </c>
      <c r="L14" s="64">
        <v>20.82</v>
      </c>
      <c r="M14" s="64">
        <v>71.349999999999994</v>
      </c>
      <c r="N14" s="64">
        <v>42.6</v>
      </c>
      <c r="O14" s="64">
        <v>0</v>
      </c>
      <c r="P14" s="64">
        <v>0.89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5" t="s">
        <v>2080</v>
      </c>
      <c r="B15" s="64">
        <v>5.54</v>
      </c>
      <c r="C15" s="64">
        <v>31.41</v>
      </c>
      <c r="D15" s="64">
        <v>22.42</v>
      </c>
      <c r="E15" s="64">
        <v>2.44</v>
      </c>
      <c r="F15" s="64">
        <v>4.24</v>
      </c>
      <c r="G15" s="64">
        <v>42.94</v>
      </c>
      <c r="H15" s="64">
        <v>24.12</v>
      </c>
      <c r="I15" s="64">
        <v>1.48</v>
      </c>
      <c r="J15" s="64">
        <v>0.48</v>
      </c>
      <c r="K15" s="64">
        <v>112.85</v>
      </c>
      <c r="L15" s="64">
        <v>20.51</v>
      </c>
      <c r="M15" s="64">
        <v>73.22</v>
      </c>
      <c r="N15" s="64">
        <v>42.4</v>
      </c>
      <c r="O15" s="64">
        <v>0</v>
      </c>
      <c r="P15" s="64">
        <v>0.86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5" t="s">
        <v>2081</v>
      </c>
      <c r="B16" s="64">
        <v>5.18</v>
      </c>
      <c r="C16" s="64">
        <v>31.21</v>
      </c>
      <c r="D16" s="64">
        <v>22.02</v>
      </c>
      <c r="E16" s="64">
        <v>2.48</v>
      </c>
      <c r="F16" s="64">
        <v>4.6900000000000004</v>
      </c>
      <c r="G16" s="64">
        <v>42.94</v>
      </c>
      <c r="H16" s="64">
        <v>24.12</v>
      </c>
      <c r="I16" s="64">
        <v>1.44</v>
      </c>
      <c r="J16" s="64">
        <v>0.8</v>
      </c>
      <c r="K16" s="64">
        <v>110.77</v>
      </c>
      <c r="L16" s="64">
        <v>20.49</v>
      </c>
      <c r="M16" s="64">
        <v>73.5</v>
      </c>
      <c r="N16" s="64">
        <v>42.2</v>
      </c>
      <c r="O16" s="64">
        <v>0</v>
      </c>
      <c r="P16" s="64">
        <v>0.83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5" t="s">
        <v>2082</v>
      </c>
      <c r="B17" s="64">
        <v>4.8899999999999997</v>
      </c>
      <c r="C17" s="64">
        <v>31.49</v>
      </c>
      <c r="D17" s="64">
        <v>21.94</v>
      </c>
      <c r="E17" s="64">
        <v>2.5</v>
      </c>
      <c r="F17" s="64">
        <v>4.6100000000000003</v>
      </c>
      <c r="G17" s="64">
        <v>42.32</v>
      </c>
      <c r="H17" s="64">
        <v>22.48</v>
      </c>
      <c r="I17" s="64">
        <v>1.44</v>
      </c>
      <c r="J17" s="64">
        <v>0.98</v>
      </c>
      <c r="K17" s="64">
        <v>105.73</v>
      </c>
      <c r="L17" s="64">
        <v>20.38</v>
      </c>
      <c r="M17" s="64">
        <v>73.989999999999995</v>
      </c>
      <c r="N17" s="64">
        <v>42.1</v>
      </c>
      <c r="O17" s="64">
        <v>0</v>
      </c>
      <c r="P17" s="64">
        <v>0.81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5" t="s">
        <v>2083</v>
      </c>
      <c r="B18" s="64">
        <v>4.7</v>
      </c>
      <c r="C18" s="64">
        <v>31.36</v>
      </c>
      <c r="D18" s="64">
        <v>21.72</v>
      </c>
      <c r="E18" s="64">
        <v>2.44</v>
      </c>
      <c r="F18" s="64">
        <v>3.9</v>
      </c>
      <c r="G18" s="64">
        <v>41.91</v>
      </c>
      <c r="H18" s="64">
        <v>22.05</v>
      </c>
      <c r="I18" s="64">
        <v>1.54</v>
      </c>
      <c r="J18" s="64">
        <v>0.89</v>
      </c>
      <c r="K18" s="64">
        <v>99.72</v>
      </c>
      <c r="L18" s="64">
        <v>20.22</v>
      </c>
      <c r="M18" s="64">
        <v>75.239999999999995</v>
      </c>
      <c r="N18" s="64">
        <v>42.4</v>
      </c>
      <c r="O18" s="64">
        <v>0</v>
      </c>
      <c r="P18" s="64">
        <v>0.78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5" t="s">
        <v>2084</v>
      </c>
      <c r="B19" s="64">
        <v>4.4800000000000004</v>
      </c>
      <c r="C19" s="64">
        <v>30.11</v>
      </c>
      <c r="D19" s="64">
        <v>20.86</v>
      </c>
      <c r="E19" s="64">
        <v>2.41</v>
      </c>
      <c r="F19" s="64">
        <v>3.92</v>
      </c>
      <c r="G19" s="64">
        <v>41.91</v>
      </c>
      <c r="H19" s="64">
        <v>22.05</v>
      </c>
      <c r="I19" s="64">
        <v>1.59</v>
      </c>
      <c r="J19" s="64">
        <v>0.85</v>
      </c>
      <c r="K19" s="64">
        <v>98.68</v>
      </c>
      <c r="L19" s="64">
        <v>20.010000000000002</v>
      </c>
      <c r="M19" s="64">
        <v>76.19</v>
      </c>
      <c r="N19" s="64">
        <v>42.4</v>
      </c>
      <c r="O19" s="64">
        <v>0</v>
      </c>
      <c r="P19" s="64">
        <v>0.75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5" t="s">
        <v>2085</v>
      </c>
      <c r="B20" s="64">
        <v>4.33</v>
      </c>
      <c r="C20" s="64">
        <v>31.04</v>
      </c>
      <c r="D20" s="64">
        <v>21.25</v>
      </c>
      <c r="E20" s="64">
        <v>2.46</v>
      </c>
      <c r="F20" s="64">
        <v>3.63</v>
      </c>
      <c r="G20" s="64">
        <v>41.91</v>
      </c>
      <c r="H20" s="64">
        <v>22.05</v>
      </c>
      <c r="I20" s="64">
        <v>1.44</v>
      </c>
      <c r="J20" s="64">
        <v>0.85</v>
      </c>
      <c r="K20" s="64">
        <v>98.68</v>
      </c>
      <c r="L20" s="64">
        <v>19.95</v>
      </c>
      <c r="M20" s="64">
        <v>76.64</v>
      </c>
      <c r="N20" s="64">
        <v>42.4</v>
      </c>
      <c r="O20" s="64">
        <v>0</v>
      </c>
      <c r="P20" s="64">
        <v>0.72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5" t="s">
        <v>2086</v>
      </c>
      <c r="B21" s="64">
        <v>4.2300000000000004</v>
      </c>
      <c r="C21" s="64">
        <v>30.72</v>
      </c>
      <c r="D21" s="64">
        <v>20.99</v>
      </c>
      <c r="E21" s="64">
        <v>2.4500000000000002</v>
      </c>
      <c r="F21" s="64">
        <v>3.71</v>
      </c>
      <c r="G21" s="64">
        <v>39.92</v>
      </c>
      <c r="H21" s="64">
        <v>21.17</v>
      </c>
      <c r="I21" s="64">
        <v>1.39</v>
      </c>
      <c r="J21" s="64">
        <v>0.41</v>
      </c>
      <c r="K21" s="64">
        <v>88.38</v>
      </c>
      <c r="L21" s="64">
        <v>19.8</v>
      </c>
      <c r="M21" s="64">
        <v>77.239999999999995</v>
      </c>
      <c r="N21" s="64">
        <v>42.5</v>
      </c>
      <c r="O21" s="64">
        <v>0</v>
      </c>
      <c r="P21" s="64">
        <v>0.7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5" t="s">
        <v>2087</v>
      </c>
      <c r="B22" s="64">
        <v>4.2300000000000004</v>
      </c>
      <c r="C22" s="64">
        <v>30.64</v>
      </c>
      <c r="D22" s="64">
        <v>20.94</v>
      </c>
      <c r="E22" s="64">
        <v>2.4500000000000002</v>
      </c>
      <c r="F22" s="64">
        <v>3.72</v>
      </c>
      <c r="G22" s="64">
        <v>38.590000000000003</v>
      </c>
      <c r="H22" s="64">
        <v>20.95</v>
      </c>
      <c r="I22" s="64">
        <v>1.59</v>
      </c>
      <c r="J22" s="64">
        <v>0.27</v>
      </c>
      <c r="K22" s="64">
        <v>340.12</v>
      </c>
      <c r="L22" s="64">
        <v>19.36</v>
      </c>
      <c r="M22" s="64">
        <v>82.03</v>
      </c>
      <c r="N22" s="64">
        <v>43.2</v>
      </c>
      <c r="O22" s="64">
        <v>0</v>
      </c>
      <c r="P22" s="64">
        <v>0.69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5" t="s">
        <v>2088</v>
      </c>
      <c r="B23" s="64">
        <v>4.33</v>
      </c>
      <c r="C23" s="64">
        <v>30.54</v>
      </c>
      <c r="D23" s="64">
        <v>20.97</v>
      </c>
      <c r="E23" s="64">
        <v>2.39</v>
      </c>
      <c r="F23" s="64">
        <v>3.47</v>
      </c>
      <c r="G23" s="64">
        <v>38.590000000000003</v>
      </c>
      <c r="H23" s="64">
        <v>20.95</v>
      </c>
      <c r="I23" s="64">
        <v>1.49</v>
      </c>
      <c r="J23" s="64">
        <v>0.18</v>
      </c>
      <c r="K23" s="64">
        <v>9.58</v>
      </c>
      <c r="L23" s="64">
        <v>18.489999999999998</v>
      </c>
      <c r="M23" s="64">
        <v>87.66</v>
      </c>
      <c r="N23" s="64">
        <v>43</v>
      </c>
      <c r="O23" s="64">
        <v>0</v>
      </c>
      <c r="P23" s="64">
        <v>0.68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5" t="s">
        <v>2089</v>
      </c>
      <c r="B24" s="64">
        <v>4.5199999999999996</v>
      </c>
      <c r="C24" s="64">
        <v>30.4</v>
      </c>
      <c r="D24" s="64">
        <v>21.05</v>
      </c>
      <c r="E24" s="64">
        <v>2.1800000000000002</v>
      </c>
      <c r="F24" s="64">
        <v>3.41</v>
      </c>
      <c r="G24" s="64">
        <v>38.590000000000003</v>
      </c>
      <c r="H24" s="64">
        <v>20.95</v>
      </c>
      <c r="I24" s="64">
        <v>1.48</v>
      </c>
      <c r="J24" s="64">
        <v>0.35</v>
      </c>
      <c r="K24" s="64">
        <v>96.45</v>
      </c>
      <c r="L24" s="64">
        <v>18.5</v>
      </c>
      <c r="M24" s="64">
        <v>86.29</v>
      </c>
      <c r="N24" s="64">
        <v>42.4</v>
      </c>
      <c r="O24" s="64">
        <v>0</v>
      </c>
      <c r="P24" s="64">
        <v>0.67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5" t="s">
        <v>2090</v>
      </c>
      <c r="B25" s="64">
        <v>4.76</v>
      </c>
      <c r="C25" s="64">
        <v>30.87</v>
      </c>
      <c r="D25" s="64">
        <v>21.5</v>
      </c>
      <c r="E25" s="64">
        <v>2.33</v>
      </c>
      <c r="F25" s="64">
        <v>3.51</v>
      </c>
      <c r="G25" s="64">
        <v>39.53</v>
      </c>
      <c r="H25" s="64">
        <v>20.65</v>
      </c>
      <c r="I25" s="64">
        <v>1.53</v>
      </c>
      <c r="J25" s="64">
        <v>0.32</v>
      </c>
      <c r="K25" s="64">
        <v>353.12</v>
      </c>
      <c r="L25" s="64">
        <v>18.25</v>
      </c>
      <c r="M25" s="64">
        <v>86.98</v>
      </c>
      <c r="N25" s="64">
        <v>42.6</v>
      </c>
      <c r="O25" s="64">
        <v>0</v>
      </c>
      <c r="P25" s="64">
        <v>0.67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5" t="s">
        <v>2091</v>
      </c>
      <c r="B26" s="64">
        <v>5.57</v>
      </c>
      <c r="C26" s="64">
        <v>31.62</v>
      </c>
      <c r="D26" s="64">
        <v>22.57</v>
      </c>
      <c r="E26" s="64">
        <v>2.29</v>
      </c>
      <c r="F26" s="64">
        <v>3.38</v>
      </c>
      <c r="G26" s="64">
        <v>40.159999999999997</v>
      </c>
      <c r="H26" s="64">
        <v>20.57</v>
      </c>
      <c r="I26" s="64">
        <v>1.5</v>
      </c>
      <c r="J26" s="64">
        <v>0.24</v>
      </c>
      <c r="K26" s="64">
        <v>344.12</v>
      </c>
      <c r="L26" s="64">
        <v>18.07</v>
      </c>
      <c r="M26" s="64">
        <v>87.88</v>
      </c>
      <c r="N26" s="64">
        <v>42.7</v>
      </c>
      <c r="O26" s="64">
        <v>0</v>
      </c>
      <c r="P26" s="64">
        <v>0.66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5" t="s">
        <v>2092</v>
      </c>
      <c r="B27" s="64">
        <v>6.61</v>
      </c>
      <c r="C27" s="64">
        <v>33.58</v>
      </c>
      <c r="D27" s="64">
        <v>24.48</v>
      </c>
      <c r="E27" s="64">
        <v>2.2999999999999998</v>
      </c>
      <c r="F27" s="64">
        <v>3.53</v>
      </c>
      <c r="G27" s="64">
        <v>40.159999999999997</v>
      </c>
      <c r="H27" s="64">
        <v>20.57</v>
      </c>
      <c r="I27" s="64">
        <v>1.48</v>
      </c>
      <c r="J27" s="64">
        <v>0.2</v>
      </c>
      <c r="K27" s="64">
        <v>347.31</v>
      </c>
      <c r="L27" s="64">
        <v>17.79</v>
      </c>
      <c r="M27" s="64">
        <v>88.67</v>
      </c>
      <c r="N27" s="64">
        <v>42.6</v>
      </c>
      <c r="O27" s="64">
        <v>0</v>
      </c>
      <c r="P27" s="64">
        <v>0.67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5" t="s">
        <v>2093</v>
      </c>
      <c r="B28" s="64">
        <v>6.72</v>
      </c>
      <c r="C28" s="64">
        <v>33.94</v>
      </c>
      <c r="D28" s="64">
        <v>24.77</v>
      </c>
      <c r="E28" s="64">
        <v>2.3199999999999998</v>
      </c>
      <c r="F28" s="64">
        <v>4.01</v>
      </c>
      <c r="G28" s="64">
        <v>40.159999999999997</v>
      </c>
      <c r="H28" s="64">
        <v>20.57</v>
      </c>
      <c r="I28" s="64">
        <v>1.47</v>
      </c>
      <c r="J28" s="64">
        <v>0.09</v>
      </c>
      <c r="K28" s="64">
        <v>310.38</v>
      </c>
      <c r="L28" s="64">
        <v>17.72</v>
      </c>
      <c r="M28" s="64">
        <v>89.88</v>
      </c>
      <c r="N28" s="64">
        <v>42.8</v>
      </c>
      <c r="O28" s="64">
        <v>0</v>
      </c>
      <c r="P28" s="64">
        <v>0.66</v>
      </c>
      <c r="Q28" s="64">
        <v>5.12</v>
      </c>
      <c r="R28" s="198"/>
      <c r="S28" s="198"/>
      <c r="T28" s="198"/>
      <c r="U28" s="198"/>
    </row>
    <row r="29" spans="1:21" s="12" customFormat="1" x14ac:dyDescent="0.25">
      <c r="A29" s="215" t="s">
        <v>2094</v>
      </c>
      <c r="B29" s="64">
        <v>7.32</v>
      </c>
      <c r="C29" s="64">
        <v>34.33</v>
      </c>
      <c r="D29" s="64">
        <v>25.47</v>
      </c>
      <c r="E29" s="64">
        <v>2.35</v>
      </c>
      <c r="F29" s="64">
        <v>3.61</v>
      </c>
      <c r="G29" s="64">
        <v>42.06</v>
      </c>
      <c r="H29" s="64">
        <v>22.92</v>
      </c>
      <c r="I29" s="64">
        <v>1.4</v>
      </c>
      <c r="J29" s="64">
        <v>0.06</v>
      </c>
      <c r="K29" s="64">
        <v>96.31</v>
      </c>
      <c r="L29" s="64">
        <v>17.54</v>
      </c>
      <c r="M29" s="64">
        <v>89.7</v>
      </c>
      <c r="N29" s="64">
        <v>42.7</v>
      </c>
      <c r="O29" s="64">
        <v>0</v>
      </c>
      <c r="P29" s="64">
        <v>0.67</v>
      </c>
      <c r="Q29" s="64">
        <v>4.92</v>
      </c>
      <c r="R29" s="198"/>
      <c r="S29" s="198"/>
      <c r="T29" s="198"/>
      <c r="U29" s="198"/>
    </row>
    <row r="30" spans="1:21" s="12" customFormat="1" x14ac:dyDescent="0.25">
      <c r="A30" s="215" t="s">
        <v>2095</v>
      </c>
      <c r="B30" s="64">
        <v>7.74</v>
      </c>
      <c r="C30" s="64">
        <v>33.880000000000003</v>
      </c>
      <c r="D30" s="64">
        <v>25.55</v>
      </c>
      <c r="E30" s="64">
        <v>2.35</v>
      </c>
      <c r="F30" s="64">
        <v>4.28</v>
      </c>
      <c r="G30" s="64">
        <v>43.33</v>
      </c>
      <c r="H30" s="64">
        <v>24.01</v>
      </c>
      <c r="I30" s="64">
        <v>1.52</v>
      </c>
      <c r="J30" s="64">
        <v>0.19</v>
      </c>
      <c r="K30" s="64">
        <v>79.7</v>
      </c>
      <c r="L30" s="64">
        <v>17.66</v>
      </c>
      <c r="M30" s="64">
        <v>88.42</v>
      </c>
      <c r="N30" s="64">
        <v>42.6</v>
      </c>
      <c r="O30" s="64">
        <v>0</v>
      </c>
      <c r="P30" s="64">
        <v>0.67</v>
      </c>
      <c r="Q30" s="64">
        <v>4.8099999999999996</v>
      </c>
      <c r="R30" s="198"/>
      <c r="S30" s="198"/>
      <c r="T30" s="198"/>
      <c r="U30" s="198"/>
    </row>
    <row r="31" spans="1:21" s="12" customFormat="1" x14ac:dyDescent="0.25">
      <c r="A31" s="215" t="s">
        <v>2096</v>
      </c>
      <c r="B31" s="64">
        <v>8.23</v>
      </c>
      <c r="C31" s="64">
        <v>33.71</v>
      </c>
      <c r="D31" s="64">
        <v>25.85</v>
      </c>
      <c r="E31" s="64">
        <v>2.36</v>
      </c>
      <c r="F31" s="64">
        <v>3.75</v>
      </c>
      <c r="G31" s="64">
        <v>43.33</v>
      </c>
      <c r="H31" s="64">
        <v>24.01</v>
      </c>
      <c r="I31" s="64">
        <v>1.47</v>
      </c>
      <c r="J31" s="64">
        <v>0.2</v>
      </c>
      <c r="K31" s="64">
        <v>351.27</v>
      </c>
      <c r="L31" s="64">
        <v>17.53</v>
      </c>
      <c r="M31" s="64">
        <v>89.23</v>
      </c>
      <c r="N31" s="64">
        <v>43</v>
      </c>
      <c r="O31" s="64">
        <v>0</v>
      </c>
      <c r="P31" s="64">
        <v>0.67</v>
      </c>
      <c r="Q31" s="64">
        <v>4.76</v>
      </c>
      <c r="R31" s="198"/>
      <c r="S31" s="198"/>
      <c r="T31" s="198"/>
      <c r="U31" s="198"/>
    </row>
    <row r="32" spans="1:21" s="12" customFormat="1" x14ac:dyDescent="0.25">
      <c r="A32" s="215" t="s">
        <v>2097</v>
      </c>
      <c r="B32" s="64">
        <v>8.99</v>
      </c>
      <c r="C32" s="64">
        <v>34.1</v>
      </c>
      <c r="D32" s="64">
        <v>26.67</v>
      </c>
      <c r="E32" s="64">
        <v>2.34</v>
      </c>
      <c r="F32" s="64">
        <v>3.92</v>
      </c>
      <c r="G32" s="64">
        <v>43.33</v>
      </c>
      <c r="H32" s="64">
        <v>24.01</v>
      </c>
      <c r="I32" s="64">
        <v>1.4</v>
      </c>
      <c r="J32" s="64">
        <v>0.3</v>
      </c>
      <c r="K32" s="64">
        <v>347.5</v>
      </c>
      <c r="L32" s="64">
        <v>17.600000000000001</v>
      </c>
      <c r="M32" s="64">
        <v>88.57</v>
      </c>
      <c r="N32" s="64">
        <v>43.1</v>
      </c>
      <c r="O32" s="64">
        <v>0</v>
      </c>
      <c r="P32" s="64">
        <v>0.67</v>
      </c>
      <c r="Q32" s="64">
        <v>4.8</v>
      </c>
      <c r="R32" s="198"/>
      <c r="S32" s="198"/>
      <c r="T32" s="198"/>
      <c r="U32" s="198"/>
    </row>
    <row r="33" spans="1:21" s="12" customFormat="1" x14ac:dyDescent="0.25">
      <c r="A33" s="215" t="s">
        <v>2098</v>
      </c>
      <c r="B33" s="64">
        <v>9.61</v>
      </c>
      <c r="C33" s="64">
        <v>34.39</v>
      </c>
      <c r="D33" s="64">
        <v>27.33</v>
      </c>
      <c r="E33" s="64">
        <v>2.3199999999999998</v>
      </c>
      <c r="F33" s="64">
        <v>3.69</v>
      </c>
      <c r="G33" s="64">
        <v>44.24</v>
      </c>
      <c r="H33" s="64">
        <v>21.16</v>
      </c>
      <c r="I33" s="64">
        <v>1.46</v>
      </c>
      <c r="J33" s="64">
        <v>0.38</v>
      </c>
      <c r="K33" s="64">
        <v>341.98</v>
      </c>
      <c r="L33" s="64">
        <v>17.690000000000001</v>
      </c>
      <c r="M33" s="64">
        <v>86.95</v>
      </c>
      <c r="N33" s="64">
        <v>46.4</v>
      </c>
      <c r="O33" s="64">
        <v>0</v>
      </c>
      <c r="P33" s="64">
        <v>0.68</v>
      </c>
      <c r="Q33" s="64">
        <v>4.8600000000000003</v>
      </c>
      <c r="R33" s="198"/>
      <c r="S33" s="198"/>
      <c r="T33" s="198"/>
      <c r="U33" s="198"/>
    </row>
    <row r="34" spans="1:21" s="12" customFormat="1" x14ac:dyDescent="0.25">
      <c r="A34" s="215" t="s">
        <v>2099</v>
      </c>
      <c r="B34" s="64">
        <v>9.91</v>
      </c>
      <c r="C34" s="64">
        <v>34.979999999999997</v>
      </c>
      <c r="D34" s="64">
        <v>27.9</v>
      </c>
      <c r="E34" s="64">
        <v>2.36</v>
      </c>
      <c r="F34" s="64">
        <v>3.62</v>
      </c>
      <c r="G34" s="64">
        <v>44.85</v>
      </c>
      <c r="H34" s="64">
        <v>20.41</v>
      </c>
      <c r="I34" s="64">
        <v>1.42</v>
      </c>
      <c r="J34" s="64">
        <v>0.34</v>
      </c>
      <c r="K34" s="64">
        <v>340.51</v>
      </c>
      <c r="L34" s="64">
        <v>17.829999999999998</v>
      </c>
      <c r="M34" s="64">
        <v>87.11</v>
      </c>
      <c r="N34" s="64">
        <v>58.9</v>
      </c>
      <c r="O34" s="64">
        <v>0</v>
      </c>
      <c r="P34" s="64">
        <v>0.69</v>
      </c>
      <c r="Q34" s="64">
        <v>4.9000000000000004</v>
      </c>
      <c r="R34" s="198"/>
      <c r="S34" s="198"/>
      <c r="T34" s="198"/>
      <c r="U34" s="198"/>
    </row>
    <row r="35" spans="1:21" s="12" customFormat="1" x14ac:dyDescent="0.25">
      <c r="A35" s="215" t="s">
        <v>2100</v>
      </c>
      <c r="B35" s="64">
        <v>10.59</v>
      </c>
      <c r="C35" s="64">
        <v>36.43</v>
      </c>
      <c r="D35" s="64">
        <v>29.25</v>
      </c>
      <c r="E35" s="64">
        <v>2.27</v>
      </c>
      <c r="F35" s="64">
        <v>3.6</v>
      </c>
      <c r="G35" s="64">
        <v>44.85</v>
      </c>
      <c r="H35" s="64">
        <v>20.41</v>
      </c>
      <c r="I35" s="64">
        <v>1.49</v>
      </c>
      <c r="J35" s="64">
        <v>0.49</v>
      </c>
      <c r="K35" s="64">
        <v>340.94</v>
      </c>
      <c r="L35" s="64">
        <v>17.96</v>
      </c>
      <c r="M35" s="64">
        <v>86.8</v>
      </c>
      <c r="N35" s="64">
        <v>80.8</v>
      </c>
      <c r="O35" s="64">
        <v>0</v>
      </c>
      <c r="P35" s="64">
        <v>0.7</v>
      </c>
      <c r="Q35" s="64">
        <v>4.84</v>
      </c>
      <c r="R35" s="198"/>
      <c r="S35" s="198"/>
      <c r="T35" s="198"/>
      <c r="U35" s="198"/>
    </row>
    <row r="36" spans="1:21" s="12" customFormat="1" x14ac:dyDescent="0.25">
      <c r="A36" s="215" t="s">
        <v>2101</v>
      </c>
      <c r="B36" s="64">
        <v>12.67</v>
      </c>
      <c r="C36" s="64">
        <v>35.840000000000003</v>
      </c>
      <c r="D36" s="64">
        <v>30.59</v>
      </c>
      <c r="E36" s="64">
        <v>2.33</v>
      </c>
      <c r="F36" s="64">
        <v>3.4</v>
      </c>
      <c r="G36" s="64">
        <v>44.85</v>
      </c>
      <c r="H36" s="64">
        <v>20.41</v>
      </c>
      <c r="I36" s="64">
        <v>1.52</v>
      </c>
      <c r="J36" s="64">
        <v>0.89</v>
      </c>
      <c r="K36" s="64">
        <v>343.31</v>
      </c>
      <c r="L36" s="64">
        <v>18.5</v>
      </c>
      <c r="M36" s="64">
        <v>84.2</v>
      </c>
      <c r="N36" s="64">
        <v>101.5</v>
      </c>
      <c r="O36" s="64">
        <v>0</v>
      </c>
      <c r="P36" s="64">
        <v>0.72</v>
      </c>
      <c r="Q36" s="64">
        <v>4.84</v>
      </c>
      <c r="R36" s="198"/>
      <c r="S36" s="198"/>
      <c r="T36" s="198"/>
      <c r="U36" s="198"/>
    </row>
    <row r="37" spans="1:21" s="12" customFormat="1" x14ac:dyDescent="0.25">
      <c r="A37" s="215" t="s">
        <v>2102</v>
      </c>
      <c r="B37" s="64">
        <v>12.8</v>
      </c>
      <c r="C37" s="64">
        <v>37.06</v>
      </c>
      <c r="D37" s="64">
        <v>31.36</v>
      </c>
      <c r="E37" s="64">
        <v>2.2599999999999998</v>
      </c>
      <c r="F37" s="64">
        <v>3.25</v>
      </c>
      <c r="G37" s="64">
        <v>52.28</v>
      </c>
      <c r="H37" s="64">
        <v>22.66</v>
      </c>
      <c r="I37" s="64">
        <v>1.49</v>
      </c>
      <c r="J37" s="64">
        <v>0.54</v>
      </c>
      <c r="K37" s="64">
        <v>334.9</v>
      </c>
      <c r="L37" s="64">
        <v>18.89</v>
      </c>
      <c r="M37" s="64">
        <v>81.84</v>
      </c>
      <c r="N37" s="64">
        <v>141</v>
      </c>
      <c r="O37" s="64">
        <v>0</v>
      </c>
      <c r="P37" s="64">
        <v>0.72</v>
      </c>
      <c r="Q37" s="64">
        <v>4.93</v>
      </c>
      <c r="R37" s="198"/>
      <c r="S37" s="198"/>
      <c r="T37" s="198"/>
      <c r="U37" s="198"/>
    </row>
    <row r="38" spans="1:21" s="12" customFormat="1" x14ac:dyDescent="0.25">
      <c r="A38" s="215" t="s">
        <v>2103</v>
      </c>
      <c r="B38" s="64">
        <v>13.46</v>
      </c>
      <c r="C38" s="64">
        <v>37.619999999999997</v>
      </c>
      <c r="D38" s="64">
        <v>32.200000000000003</v>
      </c>
      <c r="E38" s="64">
        <v>2.34</v>
      </c>
      <c r="F38" s="64">
        <v>3.51</v>
      </c>
      <c r="G38" s="64">
        <v>57.23</v>
      </c>
      <c r="H38" s="64">
        <v>23.25</v>
      </c>
      <c r="I38" s="64">
        <v>1.51</v>
      </c>
      <c r="J38" s="64">
        <v>0.56000000000000005</v>
      </c>
      <c r="K38" s="64">
        <v>334.89</v>
      </c>
      <c r="L38" s="64">
        <v>20.04</v>
      </c>
      <c r="M38" s="64">
        <v>76.28</v>
      </c>
      <c r="N38" s="64">
        <v>223.9</v>
      </c>
      <c r="O38" s="64">
        <v>0</v>
      </c>
      <c r="P38" s="64">
        <v>0.79</v>
      </c>
      <c r="Q38" s="64">
        <v>5.03</v>
      </c>
      <c r="R38" s="198"/>
      <c r="S38" s="198"/>
      <c r="T38" s="198"/>
      <c r="U38" s="198"/>
    </row>
    <row r="39" spans="1:21" s="12" customFormat="1" x14ac:dyDescent="0.25">
      <c r="A39" s="215" t="s">
        <v>2104</v>
      </c>
      <c r="B39" s="64">
        <v>14.29</v>
      </c>
      <c r="C39" s="64">
        <v>37.409999999999997</v>
      </c>
      <c r="D39" s="64">
        <v>32.76</v>
      </c>
      <c r="E39" s="64">
        <v>2.31</v>
      </c>
      <c r="F39" s="64">
        <v>3.53</v>
      </c>
      <c r="G39" s="64">
        <v>57.23</v>
      </c>
      <c r="H39" s="64">
        <v>23.25</v>
      </c>
      <c r="I39" s="64">
        <v>1.53</v>
      </c>
      <c r="J39" s="64">
        <v>0.19</v>
      </c>
      <c r="K39" s="64">
        <v>349.7</v>
      </c>
      <c r="L39" s="64">
        <v>21.31</v>
      </c>
      <c r="M39" s="64">
        <v>70.28</v>
      </c>
      <c r="N39" s="64">
        <v>312.60000000000002</v>
      </c>
      <c r="O39" s="64">
        <v>0</v>
      </c>
      <c r="P39" s="64">
        <v>0.81</v>
      </c>
      <c r="Q39" s="64">
        <v>5.16</v>
      </c>
      <c r="R39" s="198"/>
      <c r="S39" s="198"/>
      <c r="T39" s="198"/>
      <c r="U39" s="198"/>
    </row>
    <row r="40" spans="1:21" s="12" customFormat="1" x14ac:dyDescent="0.25">
      <c r="A40" s="215" t="s">
        <v>2105</v>
      </c>
      <c r="B40" s="64">
        <v>14.9</v>
      </c>
      <c r="C40" s="64">
        <v>33.56</v>
      </c>
      <c r="D40" s="64">
        <v>31.12</v>
      </c>
      <c r="E40" s="64">
        <v>2.12</v>
      </c>
      <c r="F40" s="64">
        <v>3.39</v>
      </c>
      <c r="G40" s="64">
        <v>57.23</v>
      </c>
      <c r="H40" s="64">
        <v>23.25</v>
      </c>
      <c r="I40" s="64">
        <v>1.38</v>
      </c>
      <c r="J40" s="64">
        <v>0.12</v>
      </c>
      <c r="K40" s="64">
        <v>66.06</v>
      </c>
      <c r="L40" s="64">
        <v>22.2</v>
      </c>
      <c r="M40" s="64">
        <v>67.27</v>
      </c>
      <c r="N40" s="64">
        <v>376.1</v>
      </c>
      <c r="O40" s="64">
        <v>0</v>
      </c>
      <c r="P40" s="64">
        <v>0.83</v>
      </c>
      <c r="Q40" s="64">
        <v>5.38</v>
      </c>
      <c r="R40" s="198"/>
      <c r="S40" s="198"/>
      <c r="T40" s="198"/>
      <c r="U40" s="198"/>
    </row>
    <row r="41" spans="1:21" s="12" customFormat="1" x14ac:dyDescent="0.25">
      <c r="A41" s="215" t="s">
        <v>2106</v>
      </c>
      <c r="B41" s="64">
        <v>14.89</v>
      </c>
      <c r="C41" s="64">
        <v>35.020000000000003</v>
      </c>
      <c r="D41" s="64">
        <v>31.92</v>
      </c>
      <c r="E41" s="64">
        <v>2.21</v>
      </c>
      <c r="F41" s="64">
        <v>3.48</v>
      </c>
      <c r="G41" s="64">
        <v>64.87</v>
      </c>
      <c r="H41" s="64">
        <v>28.35</v>
      </c>
      <c r="I41" s="64">
        <v>1.47</v>
      </c>
      <c r="J41" s="64">
        <v>0.2</v>
      </c>
      <c r="K41" s="64">
        <v>53.98</v>
      </c>
      <c r="L41" s="64">
        <v>22.68</v>
      </c>
      <c r="M41" s="64">
        <v>64.680000000000007</v>
      </c>
      <c r="N41" s="64">
        <v>422.1</v>
      </c>
      <c r="O41" s="64">
        <v>0</v>
      </c>
      <c r="P41" s="64">
        <v>0.84</v>
      </c>
      <c r="Q41" s="64">
        <v>5.37</v>
      </c>
      <c r="R41" s="198"/>
      <c r="S41" s="198"/>
      <c r="T41" s="198"/>
      <c r="U41" s="198"/>
    </row>
    <row r="42" spans="1:21" s="12" customFormat="1" x14ac:dyDescent="0.25">
      <c r="A42" s="215" t="s">
        <v>2107</v>
      </c>
      <c r="B42" s="64">
        <v>14.94</v>
      </c>
      <c r="C42" s="64">
        <v>35.880000000000003</v>
      </c>
      <c r="D42" s="64">
        <v>32.42</v>
      </c>
      <c r="E42" s="64">
        <v>2.21</v>
      </c>
      <c r="F42" s="64">
        <v>3.72</v>
      </c>
      <c r="G42" s="64">
        <v>69.97</v>
      </c>
      <c r="H42" s="64">
        <v>29.6</v>
      </c>
      <c r="I42" s="64">
        <v>1.43</v>
      </c>
      <c r="J42" s="64">
        <v>0.19</v>
      </c>
      <c r="K42" s="64">
        <v>341.7</v>
      </c>
      <c r="L42" s="64">
        <v>24.26</v>
      </c>
      <c r="M42" s="64">
        <v>60.37</v>
      </c>
      <c r="N42" s="64">
        <v>448.9</v>
      </c>
      <c r="O42" s="64">
        <v>0</v>
      </c>
      <c r="P42" s="64">
        <v>0.84</v>
      </c>
      <c r="Q42" s="64">
        <v>5.36</v>
      </c>
      <c r="R42" s="198"/>
      <c r="S42" s="198"/>
      <c r="T42" s="198"/>
      <c r="U42" s="198"/>
    </row>
    <row r="43" spans="1:21" s="12" customFormat="1" x14ac:dyDescent="0.25">
      <c r="A43" s="215" t="s">
        <v>2108</v>
      </c>
      <c r="B43" s="64">
        <v>14.55</v>
      </c>
      <c r="C43" s="64">
        <v>36.58</v>
      </c>
      <c r="D43" s="64">
        <v>32.5</v>
      </c>
      <c r="E43" s="64">
        <v>2.27</v>
      </c>
      <c r="F43" s="64">
        <v>3.65</v>
      </c>
      <c r="G43" s="64">
        <v>69.97</v>
      </c>
      <c r="H43" s="64">
        <v>29.6</v>
      </c>
      <c r="I43" s="64">
        <v>1.48</v>
      </c>
      <c r="J43" s="64">
        <v>0.03</v>
      </c>
      <c r="K43" s="64">
        <v>38.92</v>
      </c>
      <c r="L43" s="64">
        <v>23.87</v>
      </c>
      <c r="M43" s="64">
        <v>65.7</v>
      </c>
      <c r="N43" s="64">
        <v>504.2</v>
      </c>
      <c r="O43" s="64">
        <v>0</v>
      </c>
      <c r="P43" s="64">
        <v>0.86</v>
      </c>
      <c r="Q43" s="64">
        <v>5.36</v>
      </c>
      <c r="R43" s="198"/>
      <c r="S43" s="198"/>
      <c r="T43" s="198"/>
      <c r="U43" s="198"/>
    </row>
    <row r="44" spans="1:21" s="12" customFormat="1" x14ac:dyDescent="0.25">
      <c r="A44" s="215" t="s">
        <v>2109</v>
      </c>
      <c r="B44" s="64">
        <v>13.58</v>
      </c>
      <c r="C44" s="64">
        <v>37.11</v>
      </c>
      <c r="D44" s="64">
        <v>32.020000000000003</v>
      </c>
      <c r="E44" s="64">
        <v>2.23</v>
      </c>
      <c r="F44" s="64">
        <v>3.73</v>
      </c>
      <c r="G44" s="64">
        <v>69.97</v>
      </c>
      <c r="H44" s="64">
        <v>29.6</v>
      </c>
      <c r="I44" s="64">
        <v>1.51</v>
      </c>
      <c r="J44" s="64">
        <v>0.05</v>
      </c>
      <c r="K44" s="64">
        <v>126.49</v>
      </c>
      <c r="L44" s="64">
        <v>23.95</v>
      </c>
      <c r="M44" s="64">
        <v>65.03</v>
      </c>
      <c r="N44" s="64">
        <v>517.6</v>
      </c>
      <c r="O44" s="64">
        <v>0</v>
      </c>
      <c r="P44" s="64">
        <v>0.85</v>
      </c>
      <c r="Q44" s="64">
        <v>5.31</v>
      </c>
      <c r="R44" s="198"/>
      <c r="S44" s="198"/>
      <c r="T44" s="198"/>
      <c r="U44" s="198"/>
    </row>
    <row r="45" spans="1:21" s="12" customFormat="1" x14ac:dyDescent="0.25">
      <c r="A45" s="215" t="s">
        <v>2110</v>
      </c>
      <c r="B45" s="64">
        <v>12.73</v>
      </c>
      <c r="C45" s="64">
        <v>37.75</v>
      </c>
      <c r="D45" s="64">
        <v>31.69</v>
      </c>
      <c r="E45" s="64">
        <v>2.27</v>
      </c>
      <c r="F45" s="64">
        <v>3.63</v>
      </c>
      <c r="G45" s="64">
        <v>66.09</v>
      </c>
      <c r="H45" s="64">
        <v>29.41</v>
      </c>
      <c r="I45" s="64">
        <v>1.53</v>
      </c>
      <c r="J45" s="64">
        <v>0.08</v>
      </c>
      <c r="K45" s="64">
        <v>65.66</v>
      </c>
      <c r="L45" s="64">
        <v>24.57</v>
      </c>
      <c r="M45" s="64">
        <v>63.97</v>
      </c>
      <c r="N45" s="64">
        <v>568.1</v>
      </c>
      <c r="O45" s="64">
        <v>0</v>
      </c>
      <c r="P45" s="64">
        <v>0.85</v>
      </c>
      <c r="Q45" s="64">
        <v>5.24</v>
      </c>
      <c r="R45" s="198"/>
      <c r="S45" s="198"/>
      <c r="T45" s="198"/>
      <c r="U45" s="198"/>
    </row>
    <row r="46" spans="1:21" s="12" customFormat="1" x14ac:dyDescent="0.25">
      <c r="A46" s="215" t="s">
        <v>2111</v>
      </c>
      <c r="B46" s="64">
        <v>11.84</v>
      </c>
      <c r="C46" s="64">
        <v>37.299999999999997</v>
      </c>
      <c r="D46" s="64">
        <v>30.72</v>
      </c>
      <c r="E46" s="64">
        <v>2.2200000000000002</v>
      </c>
      <c r="F46" s="64">
        <v>3.59</v>
      </c>
      <c r="G46" s="64">
        <v>63.5</v>
      </c>
      <c r="H46" s="64">
        <v>29.33</v>
      </c>
      <c r="I46" s="64">
        <v>1.57</v>
      </c>
      <c r="J46" s="64">
        <v>0.92</v>
      </c>
      <c r="K46" s="64">
        <v>120.85</v>
      </c>
      <c r="L46" s="64">
        <v>23.87</v>
      </c>
      <c r="M46" s="64">
        <v>62.68</v>
      </c>
      <c r="N46" s="64">
        <v>551.6</v>
      </c>
      <c r="O46" s="64">
        <v>0</v>
      </c>
      <c r="P46" s="64">
        <v>0.84</v>
      </c>
      <c r="Q46" s="64">
        <v>5.17</v>
      </c>
      <c r="R46" s="198"/>
      <c r="S46" s="198"/>
      <c r="T46" s="198"/>
      <c r="U46" s="198"/>
    </row>
    <row r="47" spans="1:21" s="12" customFormat="1" x14ac:dyDescent="0.25">
      <c r="A47" s="215" t="s">
        <v>2112</v>
      </c>
      <c r="B47" s="64">
        <v>10.34</v>
      </c>
      <c r="C47" s="64">
        <v>36.39</v>
      </c>
      <c r="D47" s="64">
        <v>29.03</v>
      </c>
      <c r="E47" s="64">
        <v>2.2000000000000002</v>
      </c>
      <c r="F47" s="64">
        <v>4.43</v>
      </c>
      <c r="G47" s="64">
        <v>63.5</v>
      </c>
      <c r="H47" s="64">
        <v>29.33</v>
      </c>
      <c r="I47" s="64">
        <v>1.52</v>
      </c>
      <c r="J47" s="64">
        <v>0.49</v>
      </c>
      <c r="K47" s="64">
        <v>112.21</v>
      </c>
      <c r="L47" s="64">
        <v>24.3</v>
      </c>
      <c r="M47" s="64">
        <v>62.38</v>
      </c>
      <c r="N47" s="64">
        <v>633.1</v>
      </c>
      <c r="O47" s="64">
        <v>0</v>
      </c>
      <c r="P47" s="64">
        <v>0.82</v>
      </c>
      <c r="Q47" s="64">
        <v>5.1100000000000003</v>
      </c>
      <c r="R47" s="198"/>
      <c r="S47" s="198"/>
      <c r="T47" s="198"/>
      <c r="U47" s="198"/>
    </row>
    <row r="48" spans="1:21" s="12" customFormat="1" x14ac:dyDescent="0.25">
      <c r="A48" s="215" t="s">
        <v>2113</v>
      </c>
      <c r="B48" s="64">
        <v>8.8000000000000007</v>
      </c>
      <c r="C48" s="64">
        <v>36.75</v>
      </c>
      <c r="D48" s="64">
        <v>27.99</v>
      </c>
      <c r="E48" s="64">
        <v>2.1800000000000002</v>
      </c>
      <c r="F48" s="64">
        <v>4.46</v>
      </c>
      <c r="G48" s="64">
        <v>63.5</v>
      </c>
      <c r="H48" s="64">
        <v>29.33</v>
      </c>
      <c r="I48" s="64">
        <v>1.46</v>
      </c>
      <c r="J48" s="64">
        <v>0.27</v>
      </c>
      <c r="K48" s="64">
        <v>87.64</v>
      </c>
      <c r="L48" s="64">
        <v>25.23</v>
      </c>
      <c r="M48" s="64">
        <v>61.15</v>
      </c>
      <c r="N48" s="64">
        <v>695.1</v>
      </c>
      <c r="O48" s="64">
        <v>0</v>
      </c>
      <c r="P48" s="64">
        <v>0.81</v>
      </c>
      <c r="Q48" s="64">
        <v>4.99</v>
      </c>
      <c r="R48" s="198"/>
      <c r="S48" s="198"/>
      <c r="T48" s="198"/>
      <c r="U48" s="198"/>
    </row>
    <row r="49" spans="1:21" s="12" customFormat="1" x14ac:dyDescent="0.25">
      <c r="A49" s="215" t="s">
        <v>2114</v>
      </c>
      <c r="B49" s="64">
        <v>7.53</v>
      </c>
      <c r="C49" s="64">
        <v>37.270000000000003</v>
      </c>
      <c r="D49" s="64">
        <v>27.25</v>
      </c>
      <c r="E49" s="64">
        <v>2.16</v>
      </c>
      <c r="F49" s="64">
        <v>4.3899999999999997</v>
      </c>
      <c r="G49" s="64">
        <v>59.41</v>
      </c>
      <c r="H49" s="64">
        <v>28.24</v>
      </c>
      <c r="I49" s="64">
        <v>1.43</v>
      </c>
      <c r="J49" s="64">
        <v>1.1000000000000001</v>
      </c>
      <c r="K49" s="64">
        <v>111.38</v>
      </c>
      <c r="L49" s="64">
        <v>24.97</v>
      </c>
      <c r="M49" s="64">
        <v>56.66</v>
      </c>
      <c r="N49" s="64">
        <v>729.8</v>
      </c>
      <c r="O49" s="64">
        <v>0</v>
      </c>
      <c r="P49" s="64">
        <v>0.79</v>
      </c>
      <c r="Q49" s="64">
        <v>4.8899999999999997</v>
      </c>
      <c r="R49" s="198"/>
      <c r="S49" s="198"/>
      <c r="T49" s="198"/>
      <c r="U49" s="198"/>
    </row>
    <row r="50" spans="1:21" s="12" customFormat="1" x14ac:dyDescent="0.25">
      <c r="A50" s="215" t="s">
        <v>2115</v>
      </c>
      <c r="B50" s="64">
        <v>6.21</v>
      </c>
      <c r="C50" s="64">
        <v>34.880000000000003</v>
      </c>
      <c r="D50" s="64">
        <v>24.87</v>
      </c>
      <c r="E50" s="64">
        <v>2.2000000000000002</v>
      </c>
      <c r="F50" s="64">
        <v>4.37</v>
      </c>
      <c r="G50" s="64">
        <v>56.69</v>
      </c>
      <c r="H50" s="64">
        <v>27.95</v>
      </c>
      <c r="I50" s="64">
        <v>1.55</v>
      </c>
      <c r="J50" s="64">
        <v>1.05</v>
      </c>
      <c r="K50" s="64">
        <v>113.23</v>
      </c>
      <c r="L50" s="64">
        <v>25.09</v>
      </c>
      <c r="M50" s="64">
        <v>55.43</v>
      </c>
      <c r="N50" s="64">
        <v>682.7</v>
      </c>
      <c r="O50" s="64">
        <v>0</v>
      </c>
      <c r="P50" s="64">
        <v>0.76</v>
      </c>
      <c r="Q50" s="64">
        <v>4.9800000000000004</v>
      </c>
      <c r="R50" s="198"/>
      <c r="S50" s="198"/>
      <c r="T50" s="198"/>
      <c r="U50" s="198"/>
    </row>
    <row r="51" spans="1:21" s="12" customFormat="1" x14ac:dyDescent="0.25">
      <c r="A51" s="215" t="s">
        <v>2116</v>
      </c>
      <c r="B51" s="64">
        <v>4.9800000000000004</v>
      </c>
      <c r="C51" s="64">
        <v>36</v>
      </c>
      <c r="D51" s="64">
        <v>24.51</v>
      </c>
      <c r="E51" s="64">
        <v>2.1800000000000002</v>
      </c>
      <c r="F51" s="64">
        <v>6.85</v>
      </c>
      <c r="G51" s="64">
        <v>56.69</v>
      </c>
      <c r="H51" s="64">
        <v>27.95</v>
      </c>
      <c r="I51" s="64">
        <v>1.47</v>
      </c>
      <c r="J51" s="64">
        <v>1.26</v>
      </c>
      <c r="K51" s="64">
        <v>110.68</v>
      </c>
      <c r="L51" s="64">
        <v>25.52</v>
      </c>
      <c r="M51" s="64">
        <v>51.6</v>
      </c>
      <c r="N51" s="64">
        <v>700.5</v>
      </c>
      <c r="O51" s="64">
        <v>0</v>
      </c>
      <c r="P51" s="64">
        <v>0.73</v>
      </c>
      <c r="Q51" s="64">
        <v>5.13</v>
      </c>
      <c r="R51" s="198"/>
      <c r="S51" s="198"/>
      <c r="T51" s="198"/>
      <c r="U51" s="198"/>
    </row>
    <row r="52" spans="1:21" s="12" customFormat="1" x14ac:dyDescent="0.25">
      <c r="A52" s="215" t="s">
        <v>2117</v>
      </c>
      <c r="B52" s="64">
        <v>3.76</v>
      </c>
      <c r="C52" s="64">
        <v>35.54</v>
      </c>
      <c r="D52" s="64">
        <v>23.28</v>
      </c>
      <c r="E52" s="64">
        <v>2.25</v>
      </c>
      <c r="F52" s="64">
        <v>11.72</v>
      </c>
      <c r="G52" s="64">
        <v>56.69</v>
      </c>
      <c r="H52" s="64">
        <v>27.95</v>
      </c>
      <c r="I52" s="64">
        <v>1.6</v>
      </c>
      <c r="J52" s="64">
        <v>0.95</v>
      </c>
      <c r="K52" s="64">
        <v>94.18</v>
      </c>
      <c r="L52" s="64">
        <v>25.91</v>
      </c>
      <c r="M52" s="64">
        <v>49.92</v>
      </c>
      <c r="N52" s="64">
        <v>723.4</v>
      </c>
      <c r="O52" s="64">
        <v>0</v>
      </c>
      <c r="P52" s="64">
        <v>0.66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5" t="s">
        <v>2118</v>
      </c>
      <c r="B53" s="64">
        <v>3.09</v>
      </c>
      <c r="C53" s="64">
        <v>35.26</v>
      </c>
      <c r="D53" s="64">
        <v>22.58</v>
      </c>
      <c r="E53" s="64">
        <v>2.2200000000000002</v>
      </c>
      <c r="F53" s="64">
        <v>7.39</v>
      </c>
      <c r="G53" s="64">
        <v>42.76</v>
      </c>
      <c r="H53" s="64">
        <v>25.3</v>
      </c>
      <c r="I53" s="64">
        <v>1.48</v>
      </c>
      <c r="J53" s="64">
        <v>1.28</v>
      </c>
      <c r="K53" s="64">
        <v>105.24</v>
      </c>
      <c r="L53" s="64">
        <v>26.05</v>
      </c>
      <c r="M53" s="64">
        <v>47.85</v>
      </c>
      <c r="N53" s="64">
        <v>747.5</v>
      </c>
      <c r="O53" s="64">
        <v>0</v>
      </c>
      <c r="P53" s="64">
        <v>0.66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5" t="s">
        <v>2119</v>
      </c>
      <c r="B54" s="64">
        <v>3.36</v>
      </c>
      <c r="C54" s="64">
        <v>34.17</v>
      </c>
      <c r="D54" s="64">
        <v>22.2</v>
      </c>
      <c r="E54" s="64">
        <v>2.23</v>
      </c>
      <c r="F54" s="64">
        <v>8.49</v>
      </c>
      <c r="G54" s="64">
        <v>33.47</v>
      </c>
      <c r="H54" s="64">
        <v>24.6</v>
      </c>
      <c r="I54" s="64">
        <v>1.59</v>
      </c>
      <c r="J54" s="64">
        <v>0.79</v>
      </c>
      <c r="K54" s="64">
        <v>103.98</v>
      </c>
      <c r="L54" s="64">
        <v>26.33</v>
      </c>
      <c r="M54" s="64">
        <v>46.65</v>
      </c>
      <c r="N54" s="64">
        <v>667.2</v>
      </c>
      <c r="O54" s="64">
        <v>0</v>
      </c>
      <c r="P54" s="64">
        <v>0.64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5" t="s">
        <v>2120</v>
      </c>
      <c r="B55" s="64">
        <v>3.68</v>
      </c>
      <c r="C55" s="64">
        <v>32.26</v>
      </c>
      <c r="D55" s="64">
        <v>21.4</v>
      </c>
      <c r="E55" s="64">
        <v>2.27</v>
      </c>
      <c r="F55" s="64">
        <v>15.74</v>
      </c>
      <c r="G55" s="64">
        <v>33.47</v>
      </c>
      <c r="H55" s="64">
        <v>24.6</v>
      </c>
      <c r="I55" s="64">
        <v>1.51</v>
      </c>
      <c r="J55" s="64">
        <v>0.41</v>
      </c>
      <c r="K55" s="64">
        <v>69.48</v>
      </c>
      <c r="L55" s="64">
        <v>27.74</v>
      </c>
      <c r="M55" s="64">
        <v>40.9</v>
      </c>
      <c r="N55" s="64">
        <v>687.4</v>
      </c>
      <c r="O55" s="64">
        <v>0</v>
      </c>
      <c r="P55" s="64">
        <v>0.6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5" t="s">
        <v>2121</v>
      </c>
      <c r="B56" s="64">
        <v>2.77</v>
      </c>
      <c r="C56" s="64">
        <v>32.299999999999997</v>
      </c>
      <c r="D56" s="64">
        <v>20.69</v>
      </c>
      <c r="E56" s="64">
        <v>2.2999999999999998</v>
      </c>
      <c r="F56" s="64">
        <v>7.87</v>
      </c>
      <c r="G56" s="64">
        <v>33.47</v>
      </c>
      <c r="H56" s="64">
        <v>24.6</v>
      </c>
      <c r="I56" s="64">
        <v>1.5</v>
      </c>
      <c r="J56" s="64">
        <v>0.39</v>
      </c>
      <c r="K56" s="64">
        <v>88.38</v>
      </c>
      <c r="L56" s="64">
        <v>27.15</v>
      </c>
      <c r="M56" s="64">
        <v>43.28</v>
      </c>
      <c r="N56" s="64">
        <v>558.1</v>
      </c>
      <c r="O56" s="64">
        <v>0</v>
      </c>
      <c r="P56" s="64">
        <v>0.6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5" t="s">
        <v>2122</v>
      </c>
      <c r="B57" s="64">
        <v>3.74</v>
      </c>
      <c r="C57" s="64">
        <v>37.130000000000003</v>
      </c>
      <c r="D57" s="64">
        <v>24.14</v>
      </c>
      <c r="E57" s="64">
        <v>2.46</v>
      </c>
      <c r="F57" s="64">
        <v>8.0500000000000007</v>
      </c>
      <c r="G57" s="64">
        <v>40.33</v>
      </c>
      <c r="H57" s="64">
        <v>24.5</v>
      </c>
      <c r="I57" s="64">
        <v>1.42</v>
      </c>
      <c r="J57" s="64">
        <v>0.3</v>
      </c>
      <c r="K57" s="64">
        <v>51.38</v>
      </c>
      <c r="L57" s="64">
        <v>27.78</v>
      </c>
      <c r="M57" s="64">
        <v>41.54</v>
      </c>
      <c r="N57" s="64">
        <v>470.6</v>
      </c>
      <c r="O57" s="64">
        <v>0</v>
      </c>
      <c r="P57" s="64">
        <v>0.63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5" t="s">
        <v>2123</v>
      </c>
      <c r="B58" s="64">
        <v>5.0199999999999996</v>
      </c>
      <c r="C58" s="64">
        <v>35.799999999999997</v>
      </c>
      <c r="D58" s="64">
        <v>24.43</v>
      </c>
      <c r="E58" s="64">
        <v>2.52</v>
      </c>
      <c r="F58" s="64">
        <v>8.34</v>
      </c>
      <c r="G58" s="64">
        <v>44.9</v>
      </c>
      <c r="H58" s="64">
        <v>24.48</v>
      </c>
      <c r="I58" s="64">
        <v>1.51</v>
      </c>
      <c r="J58" s="64">
        <v>0.21</v>
      </c>
      <c r="K58" s="64">
        <v>22.27</v>
      </c>
      <c r="L58" s="64">
        <v>27.96</v>
      </c>
      <c r="M58" s="64">
        <v>40.97</v>
      </c>
      <c r="N58" s="64">
        <v>450.1</v>
      </c>
      <c r="O58" s="64">
        <v>0</v>
      </c>
      <c r="P58" s="64">
        <v>0.64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5" t="s">
        <v>2124</v>
      </c>
      <c r="B59" s="64">
        <v>7.46</v>
      </c>
      <c r="C59" s="64">
        <v>34.83</v>
      </c>
      <c r="D59" s="64">
        <v>25.85</v>
      </c>
      <c r="E59" s="64">
        <v>2.5</v>
      </c>
      <c r="F59" s="64">
        <v>7.43</v>
      </c>
      <c r="G59" s="64">
        <v>44.9</v>
      </c>
      <c r="H59" s="64">
        <v>24.48</v>
      </c>
      <c r="I59" s="64">
        <v>1.49</v>
      </c>
      <c r="J59" s="64">
        <v>0.37</v>
      </c>
      <c r="K59" s="64">
        <v>36.86</v>
      </c>
      <c r="L59" s="64">
        <v>26.48</v>
      </c>
      <c r="M59" s="64">
        <v>43.94</v>
      </c>
      <c r="N59" s="64">
        <v>277.8</v>
      </c>
      <c r="O59" s="64">
        <v>0</v>
      </c>
      <c r="P59" s="64">
        <v>0.64</v>
      </c>
      <c r="Q59" s="64">
        <v>5.1100000000000003</v>
      </c>
      <c r="R59" s="198"/>
      <c r="S59" s="198"/>
      <c r="T59" s="198"/>
      <c r="U59" s="198"/>
    </row>
    <row r="60" spans="1:21" s="12" customFormat="1" x14ac:dyDescent="0.25">
      <c r="A60" s="215" t="s">
        <v>2125</v>
      </c>
      <c r="B60" s="64">
        <v>4.67</v>
      </c>
      <c r="C60" s="64">
        <v>35.26</v>
      </c>
      <c r="D60" s="64">
        <v>23.85</v>
      </c>
      <c r="E60" s="64">
        <v>2.5</v>
      </c>
      <c r="F60" s="64">
        <v>7.97</v>
      </c>
      <c r="G60" s="64">
        <v>44.9</v>
      </c>
      <c r="H60" s="64">
        <v>24.48</v>
      </c>
      <c r="I60" s="64">
        <v>1.52</v>
      </c>
      <c r="J60" s="64">
        <v>0.47</v>
      </c>
      <c r="K60" s="64">
        <v>108.2</v>
      </c>
      <c r="L60" s="64">
        <v>26.97</v>
      </c>
      <c r="M60" s="64">
        <v>41.83</v>
      </c>
      <c r="N60" s="64">
        <v>547</v>
      </c>
      <c r="O60" s="64">
        <v>0</v>
      </c>
      <c r="P60" s="64">
        <v>0.64</v>
      </c>
      <c r="Q60" s="64">
        <v>4.8899999999999997</v>
      </c>
      <c r="R60" s="198"/>
      <c r="S60" s="198"/>
      <c r="T60" s="198"/>
      <c r="U60" s="198"/>
    </row>
    <row r="61" spans="1:21" s="12" customFormat="1" x14ac:dyDescent="0.25">
      <c r="A61" s="215" t="s">
        <v>2126</v>
      </c>
      <c r="B61" s="64">
        <v>5.86</v>
      </c>
      <c r="C61" s="64">
        <v>37.5</v>
      </c>
      <c r="D61" s="64">
        <v>26.04</v>
      </c>
      <c r="E61" s="64">
        <v>2.6</v>
      </c>
      <c r="F61" s="64">
        <v>20.63</v>
      </c>
      <c r="G61" s="64">
        <v>37.46</v>
      </c>
      <c r="H61" s="64">
        <v>23.64</v>
      </c>
      <c r="I61" s="64">
        <v>1.49</v>
      </c>
      <c r="J61" s="64">
        <v>0.25</v>
      </c>
      <c r="K61" s="64">
        <v>79.08</v>
      </c>
      <c r="L61" s="64">
        <v>27.18</v>
      </c>
      <c r="M61" s="64">
        <v>41.2</v>
      </c>
      <c r="N61" s="64">
        <v>432.3</v>
      </c>
      <c r="O61" s="64">
        <v>0</v>
      </c>
      <c r="P61" s="64">
        <v>0.56000000000000005</v>
      </c>
      <c r="Q61" s="64">
        <v>4.84</v>
      </c>
      <c r="R61" s="198"/>
      <c r="S61" s="198"/>
      <c r="T61" s="198"/>
      <c r="U61" s="198"/>
    </row>
    <row r="62" spans="1:21" s="12" customFormat="1" x14ac:dyDescent="0.25">
      <c r="A62" s="215" t="s">
        <v>2127</v>
      </c>
      <c r="B62" s="64">
        <v>4.0999999999999996</v>
      </c>
      <c r="C62" s="64">
        <v>34.869999999999997</v>
      </c>
      <c r="D62" s="64">
        <v>23.18</v>
      </c>
      <c r="E62" s="64">
        <v>2.5299999999999998</v>
      </c>
      <c r="F62" s="64">
        <v>8.83</v>
      </c>
      <c r="G62" s="64">
        <v>32.51</v>
      </c>
      <c r="H62" s="64">
        <v>23.26</v>
      </c>
      <c r="I62" s="64">
        <v>1.52</v>
      </c>
      <c r="J62" s="64">
        <v>0.55000000000000004</v>
      </c>
      <c r="K62" s="64">
        <v>105.81</v>
      </c>
      <c r="L62" s="64">
        <v>26.77</v>
      </c>
      <c r="M62" s="64">
        <v>43.14</v>
      </c>
      <c r="N62" s="64">
        <v>454.3</v>
      </c>
      <c r="O62" s="64">
        <v>0</v>
      </c>
      <c r="P62" s="64">
        <v>0.61</v>
      </c>
      <c r="Q62" s="64">
        <v>4.7300000000000004</v>
      </c>
      <c r="R62" s="198"/>
      <c r="S62" s="198"/>
      <c r="T62" s="198"/>
      <c r="U62" s="198"/>
    </row>
    <row r="63" spans="1:21" s="12" customFormat="1" x14ac:dyDescent="0.25">
      <c r="A63" s="215" t="s">
        <v>2128</v>
      </c>
      <c r="B63" s="64">
        <v>4.83</v>
      </c>
      <c r="C63" s="64">
        <v>40.409999999999997</v>
      </c>
      <c r="D63" s="64">
        <v>26.82</v>
      </c>
      <c r="E63" s="64">
        <v>2.54</v>
      </c>
      <c r="F63" s="64">
        <v>8.6</v>
      </c>
      <c r="G63" s="64">
        <v>32.51</v>
      </c>
      <c r="H63" s="64">
        <v>23.26</v>
      </c>
      <c r="I63" s="64">
        <v>1.49</v>
      </c>
      <c r="J63" s="64">
        <v>0.28999999999999998</v>
      </c>
      <c r="K63" s="64">
        <v>85.85</v>
      </c>
      <c r="L63" s="64">
        <v>27.4</v>
      </c>
      <c r="M63" s="64">
        <v>41.31</v>
      </c>
      <c r="N63" s="64">
        <v>289.5</v>
      </c>
      <c r="O63" s="64">
        <v>0</v>
      </c>
      <c r="P63" s="64">
        <v>0.6</v>
      </c>
      <c r="Q63" s="64">
        <v>4.88</v>
      </c>
      <c r="R63" s="198"/>
      <c r="S63" s="198"/>
      <c r="T63" s="198"/>
      <c r="U63" s="198"/>
    </row>
    <row r="64" spans="1:21" s="12" customFormat="1" x14ac:dyDescent="0.25">
      <c r="A64" s="215" t="s">
        <v>2129</v>
      </c>
      <c r="B64" s="64">
        <v>4.58</v>
      </c>
      <c r="C64" s="64">
        <v>35.35</v>
      </c>
      <c r="D64" s="64">
        <v>23.83</v>
      </c>
      <c r="E64" s="64">
        <v>2.56</v>
      </c>
      <c r="F64" s="64">
        <v>8.2799999999999994</v>
      </c>
      <c r="G64" s="64">
        <v>32.51</v>
      </c>
      <c r="H64" s="64">
        <v>23.26</v>
      </c>
      <c r="I64" s="64">
        <v>1.56</v>
      </c>
      <c r="J64" s="64">
        <v>0.31</v>
      </c>
      <c r="K64" s="64">
        <v>69.66</v>
      </c>
      <c r="L64" s="64">
        <v>26.91</v>
      </c>
      <c r="M64" s="64">
        <v>42.54</v>
      </c>
      <c r="N64" s="64">
        <v>291.5</v>
      </c>
      <c r="O64" s="64">
        <v>0</v>
      </c>
      <c r="P64" s="64">
        <v>0.61</v>
      </c>
      <c r="Q64" s="64">
        <v>5.03</v>
      </c>
      <c r="R64" s="198"/>
      <c r="S64" s="198"/>
      <c r="T64" s="198"/>
      <c r="U64" s="198"/>
    </row>
    <row r="65" spans="1:21" s="12" customFormat="1" x14ac:dyDescent="0.25">
      <c r="A65" s="215" t="s">
        <v>2130</v>
      </c>
      <c r="B65" s="64">
        <v>4.6100000000000003</v>
      </c>
      <c r="C65" s="64">
        <v>37.799999999999997</v>
      </c>
      <c r="D65" s="64">
        <v>25.21</v>
      </c>
      <c r="E65" s="64">
        <v>2.54</v>
      </c>
      <c r="F65" s="64">
        <v>10</v>
      </c>
      <c r="G65" s="64">
        <v>40.4</v>
      </c>
      <c r="H65" s="64">
        <v>24.77</v>
      </c>
      <c r="I65" s="64">
        <v>1.49</v>
      </c>
      <c r="J65" s="64">
        <v>0.68</v>
      </c>
      <c r="K65" s="64">
        <v>83.6</v>
      </c>
      <c r="L65" s="64">
        <v>26.58</v>
      </c>
      <c r="M65" s="64">
        <v>42.44</v>
      </c>
      <c r="N65" s="64">
        <v>152.69999999999999</v>
      </c>
      <c r="O65" s="64">
        <v>0</v>
      </c>
      <c r="P65" s="64">
        <v>0.61</v>
      </c>
      <c r="Q65" s="64">
        <v>4.9400000000000004</v>
      </c>
      <c r="R65" s="198"/>
      <c r="S65" s="198"/>
      <c r="T65" s="198"/>
      <c r="U65" s="198"/>
    </row>
    <row r="66" spans="1:21" s="12" customFormat="1" x14ac:dyDescent="0.25">
      <c r="A66" s="215" t="s">
        <v>2131</v>
      </c>
      <c r="B66" s="64">
        <v>3.96</v>
      </c>
      <c r="C66" s="64">
        <v>36.61</v>
      </c>
      <c r="D66" s="64">
        <v>24.03</v>
      </c>
      <c r="E66" s="64">
        <v>2.5499999999999998</v>
      </c>
      <c r="F66" s="64">
        <v>8.82</v>
      </c>
      <c r="G66" s="64">
        <v>45.67</v>
      </c>
      <c r="H66" s="64">
        <v>25.14</v>
      </c>
      <c r="I66" s="64">
        <v>1.51</v>
      </c>
      <c r="J66" s="64">
        <v>1.43</v>
      </c>
      <c r="K66" s="64">
        <v>113.05</v>
      </c>
      <c r="L66" s="64">
        <v>25.57</v>
      </c>
      <c r="M66" s="64">
        <v>43.27</v>
      </c>
      <c r="N66" s="64">
        <v>166.8</v>
      </c>
      <c r="O66" s="64">
        <v>0</v>
      </c>
      <c r="P66" s="64">
        <v>0.56999999999999995</v>
      </c>
      <c r="Q66" s="64">
        <v>5.09</v>
      </c>
      <c r="R66" s="198"/>
      <c r="S66" s="198"/>
      <c r="T66" s="198"/>
      <c r="U66" s="198"/>
    </row>
    <row r="67" spans="1:21" s="12" customFormat="1" x14ac:dyDescent="0.25">
      <c r="A67" s="215" t="s">
        <v>2132</v>
      </c>
      <c r="B67" s="64">
        <v>3.35</v>
      </c>
      <c r="C67" s="64">
        <v>37.17</v>
      </c>
      <c r="D67" s="64">
        <v>23.84</v>
      </c>
      <c r="E67" s="64">
        <v>2.5299999999999998</v>
      </c>
      <c r="F67" s="64">
        <v>10.57</v>
      </c>
      <c r="G67" s="64">
        <v>45.67</v>
      </c>
      <c r="H67" s="64">
        <v>25.14</v>
      </c>
      <c r="I67" s="64">
        <v>1.59</v>
      </c>
      <c r="J67" s="64">
        <v>1.23</v>
      </c>
      <c r="K67" s="64">
        <v>113.58</v>
      </c>
      <c r="L67" s="64">
        <v>26.25</v>
      </c>
      <c r="M67" s="64">
        <v>42.51</v>
      </c>
      <c r="N67" s="64">
        <v>203.1</v>
      </c>
      <c r="O67" s="64">
        <v>0</v>
      </c>
      <c r="P67" s="64">
        <v>0.55000000000000004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5" t="s">
        <v>2133</v>
      </c>
      <c r="B68" s="64">
        <v>3.2</v>
      </c>
      <c r="C68" s="64">
        <v>31.24</v>
      </c>
      <c r="D68" s="64">
        <v>20.46</v>
      </c>
      <c r="E68" s="64">
        <v>2.58</v>
      </c>
      <c r="F68" s="64">
        <v>10.54</v>
      </c>
      <c r="G68" s="64">
        <v>45.67</v>
      </c>
      <c r="H68" s="64">
        <v>25.14</v>
      </c>
      <c r="I68" s="64">
        <v>1.52</v>
      </c>
      <c r="J68" s="64">
        <v>1.55</v>
      </c>
      <c r="K68" s="64">
        <v>111.19</v>
      </c>
      <c r="L68" s="64">
        <v>25.67</v>
      </c>
      <c r="M68" s="64">
        <v>42.53</v>
      </c>
      <c r="N68" s="64">
        <v>117.7</v>
      </c>
      <c r="O68" s="64">
        <v>0</v>
      </c>
      <c r="P68" s="64">
        <v>0.53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5" t="s">
        <v>2134</v>
      </c>
      <c r="B69" s="64">
        <v>4.32</v>
      </c>
      <c r="C69" s="64">
        <v>39.450000000000003</v>
      </c>
      <c r="D69" s="64">
        <v>25.88</v>
      </c>
      <c r="E69" s="64">
        <v>2.4700000000000002</v>
      </c>
      <c r="F69" s="64">
        <v>11.31</v>
      </c>
      <c r="G69" s="64">
        <v>42.68</v>
      </c>
      <c r="H69" s="64">
        <v>23.56</v>
      </c>
      <c r="I69" s="64">
        <v>1.44</v>
      </c>
      <c r="J69" s="64">
        <v>0.42</v>
      </c>
      <c r="K69" s="64">
        <v>101.48</v>
      </c>
      <c r="L69" s="64">
        <v>25.7</v>
      </c>
      <c r="M69" s="64">
        <v>43.32</v>
      </c>
      <c r="N69" s="64">
        <v>153.30000000000001</v>
      </c>
      <c r="O69" s="64">
        <v>0</v>
      </c>
      <c r="P69" s="64">
        <v>0.57999999999999996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5" t="s">
        <v>2135</v>
      </c>
      <c r="B70" s="64">
        <v>4.18</v>
      </c>
      <c r="C70" s="64">
        <v>35.46</v>
      </c>
      <c r="D70" s="64">
        <v>23.57</v>
      </c>
      <c r="E70" s="64">
        <v>2.5299999999999998</v>
      </c>
      <c r="F70" s="64">
        <v>13.46</v>
      </c>
      <c r="G70" s="64">
        <v>40.700000000000003</v>
      </c>
      <c r="H70" s="64">
        <v>23.17</v>
      </c>
      <c r="I70" s="64">
        <v>1.5</v>
      </c>
      <c r="J70" s="64">
        <v>1.76</v>
      </c>
      <c r="K70" s="64">
        <v>113.54</v>
      </c>
      <c r="L70" s="64">
        <v>25.9</v>
      </c>
      <c r="M70" s="64">
        <v>43.03</v>
      </c>
      <c r="N70" s="64">
        <v>126.4</v>
      </c>
      <c r="O70" s="64">
        <v>0</v>
      </c>
      <c r="P70" s="64">
        <v>0.54</v>
      </c>
      <c r="Q70" s="64">
        <v>5.19</v>
      </c>
      <c r="R70" s="198"/>
      <c r="S70" s="198"/>
      <c r="T70" s="198"/>
      <c r="U70" s="198"/>
    </row>
    <row r="71" spans="1:21" s="12" customFormat="1" x14ac:dyDescent="0.25">
      <c r="A71" s="215" t="s">
        <v>2136</v>
      </c>
      <c r="B71" s="64">
        <v>3.83</v>
      </c>
      <c r="C71" s="64">
        <v>30.4</v>
      </c>
      <c r="D71" s="64">
        <v>20.49</v>
      </c>
      <c r="E71" s="64">
        <v>2.5499999999999998</v>
      </c>
      <c r="F71" s="64">
        <v>12.62</v>
      </c>
      <c r="G71" s="64">
        <v>40.700000000000003</v>
      </c>
      <c r="H71" s="64">
        <v>23.17</v>
      </c>
      <c r="I71" s="64">
        <v>1.49</v>
      </c>
      <c r="J71" s="64">
        <v>1.24</v>
      </c>
      <c r="K71" s="64">
        <v>110.41</v>
      </c>
      <c r="L71" s="64">
        <v>25.25</v>
      </c>
      <c r="M71" s="64">
        <v>44.61</v>
      </c>
      <c r="N71" s="64">
        <v>88.6</v>
      </c>
      <c r="O71" s="64">
        <v>0</v>
      </c>
      <c r="P71" s="64">
        <v>0.51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5" t="s">
        <v>2137</v>
      </c>
      <c r="B72" s="64">
        <v>3.15</v>
      </c>
      <c r="C72" s="64">
        <v>38.01</v>
      </c>
      <c r="D72" s="64">
        <v>24.15</v>
      </c>
      <c r="E72" s="64">
        <v>2.1</v>
      </c>
      <c r="F72" s="64">
        <v>9.02</v>
      </c>
      <c r="G72" s="64">
        <v>40.700000000000003</v>
      </c>
      <c r="H72" s="64">
        <v>23.17</v>
      </c>
      <c r="I72" s="64">
        <v>1.49</v>
      </c>
      <c r="J72" s="64">
        <v>1.18</v>
      </c>
      <c r="K72" s="64">
        <v>109.93</v>
      </c>
      <c r="L72" s="64">
        <v>25.07</v>
      </c>
      <c r="M72" s="64">
        <v>45.27</v>
      </c>
      <c r="N72" s="64">
        <v>90</v>
      </c>
      <c r="O72" s="64">
        <v>0</v>
      </c>
      <c r="P72" s="64">
        <v>0.5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5" t="s">
        <v>2138</v>
      </c>
      <c r="B73" s="64">
        <v>2.83</v>
      </c>
      <c r="C73" s="64">
        <v>34.880000000000003</v>
      </c>
      <c r="D73" s="64">
        <v>22.16</v>
      </c>
      <c r="E73" s="64">
        <v>2.21</v>
      </c>
      <c r="F73" s="64">
        <v>10.6</v>
      </c>
      <c r="G73" s="64">
        <v>28.4</v>
      </c>
      <c r="H73" s="64">
        <v>18.12</v>
      </c>
      <c r="I73" s="64">
        <v>1.54</v>
      </c>
      <c r="J73" s="64">
        <v>0.71</v>
      </c>
      <c r="K73" s="64">
        <v>116.53</v>
      </c>
      <c r="L73" s="64">
        <v>24.84</v>
      </c>
      <c r="M73" s="64">
        <v>46.67</v>
      </c>
      <c r="N73" s="64">
        <v>77.2</v>
      </c>
      <c r="O73" s="64">
        <v>0</v>
      </c>
      <c r="P73" s="64">
        <v>0.48</v>
      </c>
      <c r="Q73" s="64">
        <v>4.87</v>
      </c>
      <c r="R73" s="198"/>
      <c r="S73" s="198"/>
      <c r="T73" s="198"/>
      <c r="U73" s="198"/>
    </row>
    <row r="74" spans="1:21" s="12" customFormat="1" x14ac:dyDescent="0.25">
      <c r="A74" s="215" t="s">
        <v>2139</v>
      </c>
      <c r="B74" s="64">
        <v>2.5099999999999998</v>
      </c>
      <c r="C74" s="64">
        <v>32.270000000000003</v>
      </c>
      <c r="D74" s="64">
        <v>20.47</v>
      </c>
      <c r="E74" s="64">
        <v>2.29</v>
      </c>
      <c r="F74" s="64">
        <v>18.670000000000002</v>
      </c>
      <c r="G74" s="64">
        <v>20.2</v>
      </c>
      <c r="H74" s="64">
        <v>16.88</v>
      </c>
      <c r="I74" s="64">
        <v>1.52</v>
      </c>
      <c r="J74" s="64">
        <v>0.74</v>
      </c>
      <c r="K74" s="64">
        <v>109.17</v>
      </c>
      <c r="L74" s="64">
        <v>24.61</v>
      </c>
      <c r="M74" s="64">
        <v>47.3</v>
      </c>
      <c r="N74" s="64">
        <v>61.8</v>
      </c>
      <c r="O74" s="64">
        <v>0</v>
      </c>
      <c r="P74" s="64">
        <v>0.45</v>
      </c>
      <c r="Q74" s="64">
        <v>5.13</v>
      </c>
      <c r="R74" s="198"/>
      <c r="S74" s="198"/>
      <c r="T74" s="198"/>
      <c r="U74" s="198"/>
    </row>
    <row r="75" spans="1:21" s="12" customFormat="1" x14ac:dyDescent="0.25">
      <c r="A75" s="215" t="s">
        <v>2140</v>
      </c>
      <c r="B75" s="64">
        <v>2.23</v>
      </c>
      <c r="C75" s="64">
        <v>36.25</v>
      </c>
      <c r="D75" s="64">
        <v>22.44</v>
      </c>
      <c r="E75" s="64">
        <v>2.19</v>
      </c>
      <c r="F75" s="64">
        <v>7.02</v>
      </c>
      <c r="G75" s="64">
        <v>20.2</v>
      </c>
      <c r="H75" s="64">
        <v>16.88</v>
      </c>
      <c r="I75" s="64">
        <v>1.48</v>
      </c>
      <c r="J75" s="64">
        <v>1.51</v>
      </c>
      <c r="K75" s="64">
        <v>101.78</v>
      </c>
      <c r="L75" s="64">
        <v>24.37</v>
      </c>
      <c r="M75" s="64">
        <v>47.85</v>
      </c>
      <c r="N75" s="64">
        <v>49.4</v>
      </c>
      <c r="O75" s="64">
        <v>0</v>
      </c>
      <c r="P75" s="64">
        <v>0.46</v>
      </c>
      <c r="Q75" s="64">
        <v>4.9800000000000004</v>
      </c>
      <c r="R75" s="198"/>
      <c r="S75" s="198"/>
      <c r="T75" s="198"/>
      <c r="U75" s="198"/>
    </row>
    <row r="76" spans="1:21" s="12" customFormat="1" x14ac:dyDescent="0.25">
      <c r="A76" s="215" t="s">
        <v>2141</v>
      </c>
      <c r="B76" s="64">
        <v>2.2200000000000002</v>
      </c>
      <c r="C76" s="64">
        <v>31.33</v>
      </c>
      <c r="D76" s="64">
        <v>19.72</v>
      </c>
      <c r="E76" s="64">
        <v>2.25</v>
      </c>
      <c r="F76" s="64">
        <v>8.27</v>
      </c>
      <c r="G76" s="64">
        <v>20.2</v>
      </c>
      <c r="H76" s="64">
        <v>16.88</v>
      </c>
      <c r="I76" s="64">
        <v>1.52</v>
      </c>
      <c r="J76" s="64">
        <v>1.57</v>
      </c>
      <c r="K76" s="64">
        <v>101.92</v>
      </c>
      <c r="L76" s="64">
        <v>24.13</v>
      </c>
      <c r="M76" s="64">
        <v>48.59</v>
      </c>
      <c r="N76" s="64">
        <v>38.9</v>
      </c>
      <c r="O76" s="64">
        <v>0</v>
      </c>
      <c r="P76" s="64">
        <v>0.44</v>
      </c>
      <c r="Q76" s="64">
        <v>5.08</v>
      </c>
      <c r="R76" s="198"/>
      <c r="S76" s="198"/>
      <c r="T76" s="198"/>
      <c r="U76" s="198"/>
    </row>
    <row r="77" spans="1:21" s="12" customFormat="1" x14ac:dyDescent="0.25">
      <c r="A77" s="215" t="s">
        <v>2142</v>
      </c>
      <c r="B77" s="64">
        <v>2.27</v>
      </c>
      <c r="C77" s="64">
        <v>37.9</v>
      </c>
      <c r="D77" s="64">
        <v>23.38</v>
      </c>
      <c r="E77" s="64">
        <v>2.2200000000000002</v>
      </c>
      <c r="F77" s="64">
        <v>6.45</v>
      </c>
      <c r="G77" s="64">
        <v>22.45</v>
      </c>
      <c r="H77" s="64">
        <v>17.53</v>
      </c>
      <c r="I77" s="64">
        <v>1.53</v>
      </c>
      <c r="J77" s="64">
        <v>1.17</v>
      </c>
      <c r="K77" s="64">
        <v>103.9</v>
      </c>
      <c r="L77" s="64">
        <v>23.87</v>
      </c>
      <c r="M77" s="64">
        <v>50.16</v>
      </c>
      <c r="N77" s="64">
        <v>30.7</v>
      </c>
      <c r="O77" s="64">
        <v>0</v>
      </c>
      <c r="P77" s="64">
        <v>0.46</v>
      </c>
      <c r="Q77" s="64">
        <v>4.82</v>
      </c>
      <c r="R77" s="198"/>
      <c r="S77" s="198"/>
      <c r="T77" s="198"/>
      <c r="U77" s="198"/>
    </row>
    <row r="78" spans="1:21" s="12" customFormat="1" x14ac:dyDescent="0.25">
      <c r="A78" s="215" t="s">
        <v>2143</v>
      </c>
      <c r="B78" s="64">
        <v>2.44</v>
      </c>
      <c r="C78" s="64">
        <v>37.08</v>
      </c>
      <c r="D78" s="64">
        <v>23.07</v>
      </c>
      <c r="E78" s="64">
        <v>2.2000000000000002</v>
      </c>
      <c r="F78" s="64">
        <v>6.08</v>
      </c>
      <c r="G78" s="64">
        <v>23.95</v>
      </c>
      <c r="H78" s="64">
        <v>17.829999999999998</v>
      </c>
      <c r="I78" s="64">
        <v>1.45</v>
      </c>
      <c r="J78" s="64">
        <v>0.89</v>
      </c>
      <c r="K78" s="64">
        <v>102.97</v>
      </c>
      <c r="L78" s="64">
        <v>23.6</v>
      </c>
      <c r="M78" s="64">
        <v>50.55</v>
      </c>
      <c r="N78" s="64">
        <v>26.9</v>
      </c>
      <c r="O78" s="64">
        <v>0</v>
      </c>
      <c r="P78" s="64">
        <v>0.46</v>
      </c>
      <c r="Q78" s="64">
        <v>4.91</v>
      </c>
      <c r="R78" s="198"/>
      <c r="S78" s="198"/>
      <c r="T78" s="198"/>
      <c r="U78" s="198"/>
    </row>
    <row r="79" spans="1:21" s="12" customFormat="1" x14ac:dyDescent="0.25">
      <c r="A79" s="215" t="s">
        <v>2144</v>
      </c>
      <c r="B79" s="64">
        <v>2.59</v>
      </c>
      <c r="C79" s="64">
        <v>36.64</v>
      </c>
      <c r="D79" s="64">
        <v>22.95</v>
      </c>
      <c r="E79" s="64">
        <v>2.21</v>
      </c>
      <c r="F79" s="64">
        <v>9.5</v>
      </c>
      <c r="G79" s="64">
        <v>23.95</v>
      </c>
      <c r="H79" s="64">
        <v>17.829999999999998</v>
      </c>
      <c r="I79" s="64">
        <v>1.52</v>
      </c>
      <c r="J79" s="64">
        <v>0.31</v>
      </c>
      <c r="K79" s="64">
        <v>95.39</v>
      </c>
      <c r="L79" s="64">
        <v>23.24</v>
      </c>
      <c r="M79" s="64">
        <v>53.25</v>
      </c>
      <c r="N79" s="64">
        <v>26.3</v>
      </c>
      <c r="O79" s="64">
        <v>0</v>
      </c>
      <c r="P79" s="64">
        <v>0.47</v>
      </c>
      <c r="Q79" s="64">
        <v>4.92</v>
      </c>
      <c r="R79" s="198"/>
      <c r="S79" s="198"/>
      <c r="T79" s="198"/>
      <c r="U79" s="198"/>
    </row>
    <row r="80" spans="1:21" s="12" customFormat="1" x14ac:dyDescent="0.25">
      <c r="A80" s="215" t="s">
        <v>2145</v>
      </c>
      <c r="B80" s="64">
        <v>2.77</v>
      </c>
      <c r="C80" s="64">
        <v>38.270000000000003</v>
      </c>
      <c r="D80" s="64">
        <v>23.98</v>
      </c>
      <c r="E80" s="64">
        <v>2.2200000000000002</v>
      </c>
      <c r="F80" s="64">
        <v>6.06</v>
      </c>
      <c r="G80" s="64">
        <v>23.95</v>
      </c>
      <c r="H80" s="64">
        <v>17.829999999999998</v>
      </c>
      <c r="I80" s="64">
        <v>1.5</v>
      </c>
      <c r="J80" s="64">
        <v>0.57999999999999996</v>
      </c>
      <c r="K80" s="64">
        <v>103.17</v>
      </c>
      <c r="L80" s="64">
        <v>23.14</v>
      </c>
      <c r="M80" s="64">
        <v>52.53</v>
      </c>
      <c r="N80" s="64">
        <v>25.9</v>
      </c>
      <c r="O80" s="64">
        <v>0</v>
      </c>
      <c r="P80" s="64">
        <v>0.48</v>
      </c>
      <c r="Q80" s="64">
        <v>4.8899999999999997</v>
      </c>
      <c r="R80" s="198"/>
      <c r="S80" s="198"/>
      <c r="T80" s="198"/>
      <c r="U80" s="198"/>
    </row>
    <row r="81" spans="1:26" s="12" customFormat="1" x14ac:dyDescent="0.25">
      <c r="A81" s="215" t="s">
        <v>2146</v>
      </c>
      <c r="B81" s="64">
        <v>2.93</v>
      </c>
      <c r="C81" s="64">
        <v>35.86</v>
      </c>
      <c r="D81" s="64">
        <v>22.79</v>
      </c>
      <c r="E81" s="64">
        <v>2.2000000000000002</v>
      </c>
      <c r="F81" s="64">
        <v>5.55</v>
      </c>
      <c r="G81" s="64">
        <v>27.86</v>
      </c>
      <c r="H81" s="64">
        <v>15.14</v>
      </c>
      <c r="I81" s="64">
        <v>1.46</v>
      </c>
      <c r="J81" s="64">
        <v>0.7</v>
      </c>
      <c r="K81" s="64">
        <v>101.46</v>
      </c>
      <c r="L81" s="64">
        <v>23.07</v>
      </c>
      <c r="M81" s="64">
        <v>51.44</v>
      </c>
      <c r="N81" s="64">
        <v>25.9</v>
      </c>
      <c r="O81" s="64">
        <v>0</v>
      </c>
      <c r="P81" s="64">
        <v>0.48</v>
      </c>
      <c r="Q81" s="64">
        <v>5.0199999999999996</v>
      </c>
      <c r="R81" s="198"/>
      <c r="S81" s="198"/>
      <c r="T81" s="198"/>
      <c r="U81" s="198"/>
    </row>
    <row r="82" spans="1:26" s="12" customFormat="1" x14ac:dyDescent="0.25">
      <c r="A82" s="215" t="s">
        <v>2147</v>
      </c>
      <c r="B82" s="64">
        <v>3.23</v>
      </c>
      <c r="C82" s="64">
        <v>45.69</v>
      </c>
      <c r="D82" s="64">
        <v>28.45</v>
      </c>
      <c r="E82" s="64">
        <v>2.19</v>
      </c>
      <c r="F82" s="64">
        <v>6.39</v>
      </c>
      <c r="G82" s="64">
        <v>30.46</v>
      </c>
      <c r="H82" s="64">
        <v>14.47</v>
      </c>
      <c r="I82" s="64">
        <v>1.55</v>
      </c>
      <c r="J82" s="64">
        <v>0.7</v>
      </c>
      <c r="K82" s="64">
        <v>97.27</v>
      </c>
      <c r="L82" s="64">
        <v>23.02</v>
      </c>
      <c r="M82" s="64">
        <v>51.31</v>
      </c>
      <c r="N82" s="64">
        <v>25.9</v>
      </c>
      <c r="O82" s="64">
        <v>0</v>
      </c>
      <c r="P82" s="64">
        <v>0.55000000000000004</v>
      </c>
      <c r="Q82" s="64">
        <v>4.8099999999999996</v>
      </c>
      <c r="R82" s="198"/>
      <c r="S82" s="198"/>
      <c r="T82" s="198"/>
      <c r="U82" s="198"/>
    </row>
    <row r="83" spans="1:26" s="12" customFormat="1" x14ac:dyDescent="0.25">
      <c r="A83" s="215" t="s">
        <v>2148</v>
      </c>
      <c r="B83" s="64">
        <v>3.68</v>
      </c>
      <c r="C83" s="64">
        <v>43.58</v>
      </c>
      <c r="D83" s="64">
        <v>27.65</v>
      </c>
      <c r="E83" s="64">
        <v>2.25</v>
      </c>
      <c r="F83" s="64">
        <v>5.9</v>
      </c>
      <c r="G83" s="64">
        <v>30.46</v>
      </c>
      <c r="H83" s="64">
        <v>14.47</v>
      </c>
      <c r="I83" s="64">
        <v>1.51</v>
      </c>
      <c r="J83" s="64">
        <v>0.85</v>
      </c>
      <c r="K83" s="64">
        <v>95.96</v>
      </c>
      <c r="L83" s="64">
        <v>22.92</v>
      </c>
      <c r="M83" s="64">
        <v>52.06</v>
      </c>
      <c r="N83" s="64">
        <v>25.8</v>
      </c>
      <c r="O83" s="64">
        <v>0</v>
      </c>
      <c r="P83" s="64">
        <v>0.53</v>
      </c>
      <c r="Q83" s="64">
        <v>4.8</v>
      </c>
      <c r="R83" s="198"/>
      <c r="S83" s="198"/>
      <c r="T83" s="198"/>
      <c r="U83" s="198"/>
    </row>
    <row r="84" spans="1:26" s="12" customFormat="1" x14ac:dyDescent="0.25">
      <c r="A84" s="215" t="s">
        <v>2149</v>
      </c>
      <c r="B84" s="64">
        <v>3.79</v>
      </c>
      <c r="C84" s="64">
        <v>42.23</v>
      </c>
      <c r="D84" s="64">
        <v>26.99</v>
      </c>
      <c r="E84" s="64">
        <v>2.31</v>
      </c>
      <c r="F84" s="64">
        <v>6.71</v>
      </c>
      <c r="G84" s="64">
        <v>30.46</v>
      </c>
      <c r="H84" s="64">
        <v>14.47</v>
      </c>
      <c r="I84" s="64">
        <v>1.48</v>
      </c>
      <c r="J84" s="64">
        <v>0.64</v>
      </c>
      <c r="K84" s="64">
        <v>101.35</v>
      </c>
      <c r="L84" s="64">
        <v>22.7</v>
      </c>
      <c r="M84" s="64">
        <v>54.07</v>
      </c>
      <c r="N84" s="64">
        <v>26.1</v>
      </c>
      <c r="O84" s="64">
        <v>0</v>
      </c>
      <c r="P84" s="64">
        <v>0.56999999999999995</v>
      </c>
      <c r="Q84" s="64">
        <v>4.91</v>
      </c>
      <c r="R84" s="198"/>
      <c r="S84" s="198"/>
      <c r="T84" s="198"/>
      <c r="U84" s="198"/>
    </row>
    <row r="85" spans="1:26" s="12" customFormat="1" x14ac:dyDescent="0.25">
      <c r="A85" s="215" t="s">
        <v>2150</v>
      </c>
      <c r="B85" s="64">
        <v>4.28</v>
      </c>
      <c r="C85" s="64">
        <v>43.91</v>
      </c>
      <c r="D85" s="64">
        <v>28.32</v>
      </c>
      <c r="E85" s="64">
        <v>2.29</v>
      </c>
      <c r="F85" s="64">
        <v>6.65</v>
      </c>
      <c r="G85" s="64">
        <v>38.44</v>
      </c>
      <c r="H85" s="64">
        <v>17.239999999999998</v>
      </c>
      <c r="I85" s="64">
        <v>1.5</v>
      </c>
      <c r="J85" s="64">
        <v>0.93</v>
      </c>
      <c r="K85" s="64">
        <v>102.61</v>
      </c>
      <c r="L85" s="64">
        <v>22.55</v>
      </c>
      <c r="M85" s="64">
        <v>55.28</v>
      </c>
      <c r="N85" s="64">
        <v>25.9</v>
      </c>
      <c r="O85" s="64">
        <v>0</v>
      </c>
      <c r="P85" s="64">
        <v>0.57999999999999996</v>
      </c>
      <c r="Q85" s="64">
        <v>4.8499999999999996</v>
      </c>
      <c r="R85" s="198"/>
      <c r="S85" s="198"/>
      <c r="T85" s="198"/>
      <c r="U85" s="198"/>
    </row>
    <row r="86" spans="1:26" s="12" customFormat="1" x14ac:dyDescent="0.25">
      <c r="A86" s="215" t="s">
        <v>2151</v>
      </c>
      <c r="B86" s="64">
        <v>4.5999999999999996</v>
      </c>
      <c r="C86" s="64">
        <v>40.51</v>
      </c>
      <c r="D86" s="64">
        <v>26.69</v>
      </c>
      <c r="E86" s="64">
        <v>2.2799999999999998</v>
      </c>
      <c r="F86" s="64">
        <v>7</v>
      </c>
      <c r="G86" s="64">
        <v>43.76</v>
      </c>
      <c r="H86" s="64">
        <v>17.920000000000002</v>
      </c>
      <c r="I86" s="64">
        <v>1.59</v>
      </c>
      <c r="J86" s="64">
        <v>0.94</v>
      </c>
      <c r="K86" s="64">
        <v>102.96</v>
      </c>
      <c r="L86" s="64">
        <v>22.48</v>
      </c>
      <c r="M86" s="64">
        <v>55.83</v>
      </c>
      <c r="N86" s="64">
        <v>25.9</v>
      </c>
      <c r="O86" s="64">
        <v>0</v>
      </c>
      <c r="P86" s="64">
        <v>0.57999999999999996</v>
      </c>
      <c r="Q86" s="64">
        <v>5.01</v>
      </c>
      <c r="R86" s="198"/>
      <c r="S86" s="198"/>
      <c r="T86" s="198"/>
      <c r="U86" s="198"/>
    </row>
    <row r="87" spans="1:26" s="12" customFormat="1" x14ac:dyDescent="0.25">
      <c r="A87" s="215" t="s">
        <v>2152</v>
      </c>
      <c r="B87" s="64">
        <v>4.76</v>
      </c>
      <c r="C87" s="64">
        <v>39.950000000000003</v>
      </c>
      <c r="D87" s="64">
        <v>26.51</v>
      </c>
      <c r="E87" s="64">
        <v>2.2000000000000002</v>
      </c>
      <c r="F87" s="64">
        <v>7.19</v>
      </c>
      <c r="G87" s="64">
        <v>43.76</v>
      </c>
      <c r="H87" s="64">
        <v>17.920000000000002</v>
      </c>
      <c r="I87" s="64">
        <v>1.6</v>
      </c>
      <c r="J87" s="64">
        <v>1.1100000000000001</v>
      </c>
      <c r="K87" s="64">
        <v>105.89</v>
      </c>
      <c r="L87" s="64">
        <v>22.4</v>
      </c>
      <c r="M87" s="64">
        <v>55.88</v>
      </c>
      <c r="N87" s="64">
        <v>25.8</v>
      </c>
      <c r="O87" s="64">
        <v>0</v>
      </c>
      <c r="P87" s="64">
        <v>0.6</v>
      </c>
      <c r="Q87" s="64">
        <v>5.07</v>
      </c>
      <c r="R87" s="198"/>
      <c r="S87" s="198"/>
      <c r="T87" s="198"/>
      <c r="U87" s="198"/>
    </row>
    <row r="88" spans="1:26" s="12" customFormat="1" x14ac:dyDescent="0.25">
      <c r="A88" s="215" t="s">
        <v>2153</v>
      </c>
      <c r="B88" s="64">
        <v>5</v>
      </c>
      <c r="C88" s="64">
        <v>38.880000000000003</v>
      </c>
      <c r="D88" s="64">
        <v>26.12</v>
      </c>
      <c r="E88" s="64">
        <v>2.25</v>
      </c>
      <c r="F88" s="64">
        <v>5.34</v>
      </c>
      <c r="G88" s="64">
        <v>43.76</v>
      </c>
      <c r="H88" s="64">
        <v>17.920000000000002</v>
      </c>
      <c r="I88" s="64">
        <v>1.57</v>
      </c>
      <c r="J88" s="64">
        <v>1.22</v>
      </c>
      <c r="K88" s="64">
        <v>107.72</v>
      </c>
      <c r="L88" s="64">
        <v>22.26</v>
      </c>
      <c r="M88" s="64">
        <v>56.75</v>
      </c>
      <c r="N88" s="64">
        <v>26</v>
      </c>
      <c r="O88" s="64">
        <v>0</v>
      </c>
      <c r="P88" s="64">
        <v>0.61</v>
      </c>
      <c r="Q88" s="64">
        <v>5.17</v>
      </c>
      <c r="R88" s="198"/>
      <c r="S88" s="198"/>
      <c r="T88" s="198"/>
      <c r="U88" s="198"/>
    </row>
    <row r="89" spans="1:26" s="12" customFormat="1" x14ac:dyDescent="0.25">
      <c r="A89" s="215" t="s">
        <v>2154</v>
      </c>
      <c r="B89" s="64">
        <v>5.15</v>
      </c>
      <c r="C89" s="64">
        <v>39.619999999999997</v>
      </c>
      <c r="D89" s="64">
        <v>26.64</v>
      </c>
      <c r="E89" s="64">
        <v>2.34</v>
      </c>
      <c r="F89" s="64">
        <v>4.67</v>
      </c>
      <c r="G89" s="64">
        <v>48.49</v>
      </c>
      <c r="H89" s="64">
        <v>20.03</v>
      </c>
      <c r="I89" s="64">
        <v>1.49</v>
      </c>
      <c r="J89" s="64">
        <v>1.25</v>
      </c>
      <c r="K89" s="64">
        <v>103.18</v>
      </c>
      <c r="L89" s="64">
        <v>22.11</v>
      </c>
      <c r="M89" s="64">
        <v>57.35</v>
      </c>
      <c r="N89" s="64">
        <v>26.1</v>
      </c>
      <c r="O89" s="64">
        <v>0</v>
      </c>
      <c r="P89" s="64">
        <v>0.62</v>
      </c>
      <c r="Q89" s="64">
        <v>5.16</v>
      </c>
      <c r="R89" s="198"/>
      <c r="S89" s="198"/>
      <c r="T89" s="198"/>
      <c r="U89" s="198"/>
    </row>
    <row r="90" spans="1:26" s="12" customFormat="1" x14ac:dyDescent="0.25">
      <c r="A90" s="215" t="s">
        <v>2155</v>
      </c>
      <c r="B90" s="64">
        <v>5.41</v>
      </c>
      <c r="C90" s="64">
        <v>40.31</v>
      </c>
      <c r="D90" s="64">
        <v>27.23</v>
      </c>
      <c r="E90" s="64">
        <v>2.39</v>
      </c>
      <c r="F90" s="64">
        <v>3.9</v>
      </c>
      <c r="G90" s="64">
        <v>51.63</v>
      </c>
      <c r="H90" s="64">
        <v>20.54</v>
      </c>
      <c r="I90" s="64">
        <v>1.49</v>
      </c>
      <c r="J90" s="64">
        <v>1.1599999999999999</v>
      </c>
      <c r="K90" s="64">
        <v>104.22</v>
      </c>
      <c r="L90" s="64">
        <v>21.99</v>
      </c>
      <c r="M90" s="64">
        <v>57.67</v>
      </c>
      <c r="N90" s="64">
        <v>26</v>
      </c>
      <c r="O90" s="64">
        <v>0</v>
      </c>
      <c r="P90" s="64">
        <v>0.63</v>
      </c>
      <c r="Q90" s="64">
        <v>5.17</v>
      </c>
      <c r="R90" s="198"/>
      <c r="S90" s="198"/>
      <c r="T90" s="198"/>
      <c r="U90" s="198"/>
    </row>
    <row r="91" spans="1:26" s="12" customFormat="1" x14ac:dyDescent="0.25">
      <c r="A91" s="215" t="s">
        <v>2156</v>
      </c>
      <c r="B91" s="64">
        <v>5.48</v>
      </c>
      <c r="C91" s="64">
        <v>39.33</v>
      </c>
      <c r="D91" s="64">
        <v>26.74</v>
      </c>
      <c r="E91" s="64">
        <v>2.38</v>
      </c>
      <c r="F91" s="64">
        <v>4.18</v>
      </c>
      <c r="G91" s="64">
        <v>51.63</v>
      </c>
      <c r="H91" s="64">
        <v>20.54</v>
      </c>
      <c r="I91" s="64">
        <v>1.52</v>
      </c>
      <c r="J91" s="64">
        <v>1.06</v>
      </c>
      <c r="K91" s="64">
        <v>108.5</v>
      </c>
      <c r="L91" s="64">
        <v>21.87</v>
      </c>
      <c r="M91" s="64">
        <v>57.93</v>
      </c>
      <c r="N91" s="64">
        <v>26.1</v>
      </c>
      <c r="O91" s="64">
        <v>0</v>
      </c>
      <c r="P91" s="64">
        <v>0.64</v>
      </c>
      <c r="Q91" s="64">
        <v>5.21</v>
      </c>
      <c r="R91" s="198"/>
      <c r="S91" s="198"/>
      <c r="T91" s="198"/>
      <c r="U91" s="198"/>
    </row>
    <row r="92" spans="1:26" s="12" customFormat="1" x14ac:dyDescent="0.25">
      <c r="A92" s="215" t="s">
        <v>2157</v>
      </c>
      <c r="B92" s="64">
        <v>5.48</v>
      </c>
      <c r="C92" s="64">
        <v>39.58</v>
      </c>
      <c r="D92" s="64">
        <v>26.88</v>
      </c>
      <c r="E92" s="64">
        <v>2.41</v>
      </c>
      <c r="F92" s="64">
        <v>6.23</v>
      </c>
      <c r="G92" s="64">
        <v>51.63</v>
      </c>
      <c r="H92" s="64">
        <v>20.54</v>
      </c>
      <c r="I92" s="64">
        <v>1.54</v>
      </c>
      <c r="J92" s="64">
        <v>0.68</v>
      </c>
      <c r="K92" s="64">
        <v>99.71</v>
      </c>
      <c r="L92" s="64">
        <v>21.71</v>
      </c>
      <c r="M92" s="64">
        <v>58.83</v>
      </c>
      <c r="N92" s="64">
        <v>26.2</v>
      </c>
      <c r="O92" s="64">
        <v>0</v>
      </c>
      <c r="P92" s="64">
        <v>0.65</v>
      </c>
      <c r="Q92" s="64">
        <v>5.22</v>
      </c>
      <c r="R92" s="198"/>
      <c r="S92" s="198"/>
      <c r="T92" s="198"/>
      <c r="U92" s="198"/>
    </row>
    <row r="93" spans="1:26" s="12" customFormat="1" x14ac:dyDescent="0.25">
      <c r="A93" s="215" t="s">
        <v>2158</v>
      </c>
      <c r="B93" s="64">
        <v>5.78</v>
      </c>
      <c r="C93" s="64">
        <v>39.450000000000003</v>
      </c>
      <c r="D93" s="64">
        <v>27.05</v>
      </c>
      <c r="E93" s="64">
        <v>2.29</v>
      </c>
      <c r="F93" s="64">
        <v>5.13</v>
      </c>
      <c r="G93" s="64">
        <v>49.9</v>
      </c>
      <c r="H93" s="64">
        <v>20.82</v>
      </c>
      <c r="I93" s="64">
        <v>1.52</v>
      </c>
      <c r="J93" s="64">
        <v>1.05</v>
      </c>
      <c r="K93" s="64">
        <v>95.39</v>
      </c>
      <c r="L93" s="64">
        <v>21.84</v>
      </c>
      <c r="M93" s="64">
        <v>56.66</v>
      </c>
      <c r="N93" s="64">
        <v>25.4</v>
      </c>
      <c r="O93" s="64">
        <v>0</v>
      </c>
      <c r="P93" s="64">
        <v>0.66</v>
      </c>
      <c r="Q93" s="64">
        <v>5.23</v>
      </c>
      <c r="R93" s="198"/>
      <c r="S93" s="198"/>
      <c r="T93" s="198"/>
      <c r="U93" s="198"/>
    </row>
    <row r="94" spans="1:26" s="12" customFormat="1" x14ac:dyDescent="0.25">
      <c r="A94" s="215" t="s">
        <v>2159</v>
      </c>
      <c r="B94" s="64">
        <v>5.85</v>
      </c>
      <c r="C94" s="64">
        <v>38.86</v>
      </c>
      <c r="D94" s="64">
        <v>26.78</v>
      </c>
      <c r="E94" s="64">
        <v>2.34</v>
      </c>
      <c r="F94" s="64">
        <v>4.66</v>
      </c>
      <c r="G94" s="64">
        <v>48.75</v>
      </c>
      <c r="H94" s="64">
        <v>20.94</v>
      </c>
      <c r="I94" s="64">
        <v>1.52</v>
      </c>
      <c r="J94" s="64">
        <v>1.64</v>
      </c>
      <c r="K94" s="64">
        <v>97.78</v>
      </c>
      <c r="L94" s="64">
        <v>21.92</v>
      </c>
      <c r="M94" s="64">
        <v>55.34</v>
      </c>
      <c r="N94" s="64">
        <v>25.7</v>
      </c>
      <c r="O94" s="64">
        <v>0</v>
      </c>
      <c r="P94" s="64">
        <v>0.67</v>
      </c>
      <c r="Q94" s="64">
        <v>5.24</v>
      </c>
      <c r="R94" s="198"/>
      <c r="S94" s="198"/>
      <c r="T94" s="198"/>
      <c r="U94" s="198"/>
    </row>
    <row r="95" spans="1:26" s="12" customFormat="1" x14ac:dyDescent="0.25">
      <c r="A95" s="215" t="s">
        <v>2160</v>
      </c>
      <c r="B95" s="64">
        <v>5.68</v>
      </c>
      <c r="C95" s="64">
        <v>37.93</v>
      </c>
      <c r="D95" s="64">
        <v>26.13</v>
      </c>
      <c r="E95" s="64">
        <v>2.34</v>
      </c>
      <c r="F95" s="64">
        <v>4.33</v>
      </c>
      <c r="G95" s="64">
        <v>48.75</v>
      </c>
      <c r="H95" s="64">
        <v>20.94</v>
      </c>
      <c r="I95" s="64">
        <v>1.45</v>
      </c>
      <c r="J95" s="64">
        <v>1.3</v>
      </c>
      <c r="K95" s="64">
        <v>94.47</v>
      </c>
      <c r="L95" s="64">
        <v>21.73</v>
      </c>
      <c r="M95" s="64">
        <v>55.8</v>
      </c>
      <c r="N95" s="64">
        <v>26.4</v>
      </c>
      <c r="O95" s="64">
        <v>0</v>
      </c>
      <c r="P95" s="64">
        <v>0.66</v>
      </c>
      <c r="Q95" s="64">
        <v>5.27</v>
      </c>
      <c r="R95" s="198"/>
      <c r="S95" s="198"/>
      <c r="T95" s="198"/>
      <c r="U95" s="198"/>
    </row>
    <row r="96" spans="1:26" s="12" customFormat="1" x14ac:dyDescent="0.25">
      <c r="A96" s="215" t="s">
        <v>2161</v>
      </c>
      <c r="B96" s="64">
        <v>5.23</v>
      </c>
      <c r="C96" s="64">
        <v>34.380000000000003</v>
      </c>
      <c r="D96" s="64">
        <v>23.82</v>
      </c>
      <c r="E96" s="64">
        <v>2.29</v>
      </c>
      <c r="F96" s="64">
        <v>4.72</v>
      </c>
      <c r="G96" s="64">
        <v>48.75</v>
      </c>
      <c r="H96" s="64">
        <v>20.94</v>
      </c>
      <c r="I96" s="64">
        <v>1.5</v>
      </c>
      <c r="J96" s="64">
        <v>1.37</v>
      </c>
      <c r="K96" s="64">
        <v>96.51</v>
      </c>
      <c r="L96" s="64">
        <v>21.55</v>
      </c>
      <c r="M96" s="64">
        <v>57.6</v>
      </c>
      <c r="N96" s="64">
        <v>26.3</v>
      </c>
      <c r="O96" s="64">
        <v>0</v>
      </c>
      <c r="P96" s="64">
        <v>0.66</v>
      </c>
      <c r="Q96" s="64">
        <v>5.39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2162</v>
      </c>
      <c r="B97" s="64">
        <v>4.8099999999999996</v>
      </c>
      <c r="C97" s="64">
        <v>36.26</v>
      </c>
      <c r="D97" s="64">
        <v>24.51</v>
      </c>
      <c r="E97" s="64">
        <v>2.2200000000000002</v>
      </c>
      <c r="F97" s="64">
        <v>4.2</v>
      </c>
      <c r="G97" s="64">
        <v>45.01</v>
      </c>
      <c r="H97" s="64">
        <v>17.36</v>
      </c>
      <c r="I97" s="64">
        <v>1.52</v>
      </c>
      <c r="J97" s="64">
        <v>1.47</v>
      </c>
      <c r="K97" s="64">
        <v>101.14</v>
      </c>
      <c r="L97" s="64">
        <v>21.42</v>
      </c>
      <c r="M97" s="64">
        <v>58.8</v>
      </c>
      <c r="N97" s="64">
        <v>26.2</v>
      </c>
      <c r="O97" s="64">
        <v>0</v>
      </c>
      <c r="P97" s="64">
        <v>0.64</v>
      </c>
      <c r="Q97" s="64">
        <v>5.28</v>
      </c>
      <c r="R97" s="198"/>
      <c r="S97" s="198"/>
      <c r="T97" s="198"/>
      <c r="U97" s="198"/>
    </row>
    <row r="98" spans="1:33" s="12" customFormat="1" x14ac:dyDescent="0.25">
      <c r="A98" s="215" t="s">
        <v>2163</v>
      </c>
      <c r="B98" s="64">
        <v>4.5</v>
      </c>
      <c r="C98" s="64">
        <v>37.97</v>
      </c>
      <c r="D98" s="64">
        <v>25.21</v>
      </c>
      <c r="E98" s="64">
        <v>2.2799999999999998</v>
      </c>
      <c r="F98" s="64">
        <v>4.51</v>
      </c>
      <c r="G98" s="64">
        <v>42.53</v>
      </c>
      <c r="H98" s="64">
        <v>16.5</v>
      </c>
      <c r="I98" s="64">
        <v>1.51</v>
      </c>
      <c r="J98" s="64">
        <v>1.67</v>
      </c>
      <c r="K98" s="64">
        <v>100.34</v>
      </c>
      <c r="L98" s="64">
        <v>21.33</v>
      </c>
      <c r="M98" s="64">
        <v>59.61</v>
      </c>
      <c r="N98" s="64">
        <v>26.2</v>
      </c>
      <c r="O98" s="64">
        <v>0</v>
      </c>
      <c r="P98" s="64">
        <v>0.64</v>
      </c>
      <c r="Q98" s="64">
        <v>5.18</v>
      </c>
      <c r="R98" s="198"/>
      <c r="S98" s="198"/>
      <c r="T98" s="198"/>
      <c r="U98" s="198"/>
    </row>
    <row r="99" spans="1:33" s="12" customFormat="1" x14ac:dyDescent="0.25">
      <c r="A99" s="215" t="s">
        <v>2164</v>
      </c>
      <c r="B99" s="64">
        <v>4.3</v>
      </c>
      <c r="C99" s="64">
        <v>37.19</v>
      </c>
      <c r="D99" s="64">
        <v>24.62</v>
      </c>
      <c r="E99" s="64">
        <v>2.2799999999999998</v>
      </c>
      <c r="F99" s="64">
        <v>4.45</v>
      </c>
      <c r="G99" s="64">
        <v>42.53</v>
      </c>
      <c r="H99" s="64">
        <v>16.5</v>
      </c>
      <c r="I99" s="64">
        <v>1.58</v>
      </c>
      <c r="J99" s="64">
        <v>1.64</v>
      </c>
      <c r="K99" s="64">
        <v>99.15</v>
      </c>
      <c r="L99" s="64">
        <v>21.2</v>
      </c>
      <c r="M99" s="64">
        <v>60.43</v>
      </c>
      <c r="N99" s="64">
        <v>26.3</v>
      </c>
      <c r="O99" s="64">
        <v>0</v>
      </c>
      <c r="P99" s="64">
        <v>0.64</v>
      </c>
      <c r="Q99" s="64">
        <v>5.18</v>
      </c>
      <c r="R99" s="198"/>
      <c r="S99" s="198"/>
      <c r="T99" s="198"/>
      <c r="U99" s="198"/>
    </row>
    <row r="100" spans="1:33" s="12" customFormat="1" x14ac:dyDescent="0.25">
      <c r="A100" s="215" t="s">
        <v>2165</v>
      </c>
      <c r="B100" s="64">
        <v>3.99</v>
      </c>
      <c r="C100" s="64">
        <v>35.869999999999997</v>
      </c>
      <c r="D100" s="64">
        <v>23.64</v>
      </c>
      <c r="E100" s="64">
        <v>2.2799999999999998</v>
      </c>
      <c r="F100" s="64">
        <v>4.29</v>
      </c>
      <c r="G100" s="64">
        <v>42.53</v>
      </c>
      <c r="H100" s="64">
        <v>16.5</v>
      </c>
      <c r="I100" s="64">
        <v>1.52</v>
      </c>
      <c r="J100" s="64">
        <v>1.33</v>
      </c>
      <c r="K100" s="64">
        <v>103.39</v>
      </c>
      <c r="L100" s="64">
        <v>21.04</v>
      </c>
      <c r="M100" s="64">
        <v>61.58</v>
      </c>
      <c r="N100" s="64">
        <v>26.5</v>
      </c>
      <c r="O100" s="64">
        <v>0</v>
      </c>
      <c r="P100" s="64">
        <v>0.62</v>
      </c>
      <c r="Q100" s="64">
        <v>5.22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2166</v>
      </c>
      <c r="B101" s="64">
        <v>3.74</v>
      </c>
      <c r="C101" s="64">
        <v>37.340000000000003</v>
      </c>
      <c r="D101" s="64">
        <v>24.26</v>
      </c>
      <c r="E101" s="64">
        <v>2.27</v>
      </c>
      <c r="F101" s="64">
        <v>4.3</v>
      </c>
      <c r="G101" s="64">
        <v>41.24</v>
      </c>
      <c r="H101" s="64">
        <v>18.88</v>
      </c>
      <c r="I101" s="64">
        <v>1.46</v>
      </c>
      <c r="J101" s="64">
        <v>1.07</v>
      </c>
      <c r="K101" s="64">
        <v>98.87</v>
      </c>
      <c r="L101" s="64">
        <v>20.82</v>
      </c>
      <c r="M101" s="64">
        <v>63.05</v>
      </c>
      <c r="N101" s="64">
        <v>26.3</v>
      </c>
      <c r="O101" s="64">
        <v>0</v>
      </c>
      <c r="P101" s="64">
        <v>0.61</v>
      </c>
      <c r="Q101" s="64">
        <v>5.1100000000000003</v>
      </c>
      <c r="R101" s="198"/>
      <c r="S101" s="198"/>
      <c r="T101" s="198"/>
      <c r="U101" s="198"/>
    </row>
    <row r="102" spans="1:33" s="12" customFormat="1" x14ac:dyDescent="0.25">
      <c r="A102" s="215" t="s">
        <v>2167</v>
      </c>
      <c r="B102" s="64">
        <v>3.63</v>
      </c>
      <c r="C102" s="64">
        <v>36.520000000000003</v>
      </c>
      <c r="D102" s="64">
        <v>23.71</v>
      </c>
      <c r="E102" s="64">
        <v>2.2799999999999998</v>
      </c>
      <c r="F102" s="64">
        <v>4</v>
      </c>
      <c r="G102" s="64">
        <v>40.380000000000003</v>
      </c>
      <c r="H102" s="64">
        <v>19.45</v>
      </c>
      <c r="I102" s="64">
        <v>1.5</v>
      </c>
      <c r="J102" s="64">
        <v>1.51</v>
      </c>
      <c r="K102" s="64">
        <v>102.96</v>
      </c>
      <c r="L102" s="64">
        <v>20.72</v>
      </c>
      <c r="M102" s="64">
        <v>63.62</v>
      </c>
      <c r="N102" s="64">
        <v>26.2</v>
      </c>
      <c r="O102" s="64">
        <v>0</v>
      </c>
      <c r="P102" s="64">
        <v>0.6</v>
      </c>
      <c r="Q102" s="64">
        <v>5.1100000000000003</v>
      </c>
      <c r="R102" s="198"/>
      <c r="S102" s="198"/>
      <c r="T102" s="198"/>
      <c r="U102" s="198"/>
    </row>
    <row r="103" spans="1:33" s="12" customFormat="1" x14ac:dyDescent="0.25">
      <c r="A103" s="215" t="s">
        <v>2168</v>
      </c>
      <c r="B103" s="64">
        <v>3.49</v>
      </c>
      <c r="C103" s="64">
        <v>34.86</v>
      </c>
      <c r="D103" s="64">
        <v>22.68</v>
      </c>
      <c r="E103" s="64">
        <v>2.1800000000000002</v>
      </c>
      <c r="F103" s="64">
        <v>3.99</v>
      </c>
      <c r="G103" s="64">
        <v>40.380000000000003</v>
      </c>
      <c r="H103" s="64">
        <v>19.45</v>
      </c>
      <c r="I103" s="64">
        <v>1.48</v>
      </c>
      <c r="J103" s="64">
        <v>0.98</v>
      </c>
      <c r="K103" s="64">
        <v>100.06</v>
      </c>
      <c r="L103" s="64">
        <v>20.59</v>
      </c>
      <c r="M103" s="64">
        <v>64.78</v>
      </c>
      <c r="N103" s="64">
        <v>26.4</v>
      </c>
      <c r="O103" s="64">
        <v>0</v>
      </c>
      <c r="P103" s="64">
        <v>0.59</v>
      </c>
      <c r="Q103" s="64">
        <v>5.14</v>
      </c>
      <c r="R103" s="198"/>
      <c r="S103" s="198"/>
      <c r="T103" s="198"/>
      <c r="U103" s="198"/>
    </row>
    <row r="104" spans="1:33" s="12" customFormat="1" x14ac:dyDescent="0.25">
      <c r="A104" s="215" t="s">
        <v>2169</v>
      </c>
      <c r="B104" s="64">
        <v>3.42</v>
      </c>
      <c r="C104" s="64">
        <v>34.51</v>
      </c>
      <c r="D104" s="64">
        <v>22.43</v>
      </c>
      <c r="E104" s="64">
        <v>2.0499999999999998</v>
      </c>
      <c r="F104" s="64">
        <v>3.8</v>
      </c>
      <c r="G104" s="64">
        <v>40.380000000000003</v>
      </c>
      <c r="H104" s="64">
        <v>19.45</v>
      </c>
      <c r="I104" s="64">
        <v>1.56</v>
      </c>
      <c r="J104" s="64">
        <v>0.98</v>
      </c>
      <c r="K104" s="64">
        <v>96.75</v>
      </c>
      <c r="L104" s="64">
        <v>20.440000000000001</v>
      </c>
      <c r="M104" s="64">
        <v>66.12</v>
      </c>
      <c r="N104" s="64">
        <v>26.3</v>
      </c>
      <c r="O104" s="64">
        <v>0</v>
      </c>
      <c r="P104" s="64">
        <v>0.59</v>
      </c>
      <c r="Q104" s="64">
        <v>5.0999999999999996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2.2200000000000002</v>
      </c>
      <c r="C106" s="67">
        <f>MIN(C9:C104)</f>
        <v>30.11</v>
      </c>
      <c r="D106" s="67">
        <f t="shared" ref="D106:Q106" si="0">MIN(D9:D104)</f>
        <v>19.72</v>
      </c>
      <c r="E106" s="67">
        <f t="shared" si="0"/>
        <v>2.0499999999999998</v>
      </c>
      <c r="F106" s="67">
        <f t="shared" si="0"/>
        <v>3.25</v>
      </c>
      <c r="G106" s="67">
        <f t="shared" si="0"/>
        <v>20.2</v>
      </c>
      <c r="H106" s="67">
        <f t="shared" si="0"/>
        <v>14.47</v>
      </c>
      <c r="I106" s="67">
        <f t="shared" si="0"/>
        <v>1.38</v>
      </c>
      <c r="J106" s="67">
        <f t="shared" si="0"/>
        <v>0.03</v>
      </c>
      <c r="K106" s="67">
        <f t="shared" si="0"/>
        <v>9.58</v>
      </c>
      <c r="L106" s="67">
        <f t="shared" si="0"/>
        <v>17.53</v>
      </c>
      <c r="M106" s="67">
        <f t="shared" si="0"/>
        <v>40.9</v>
      </c>
      <c r="N106" s="67">
        <f t="shared" si="0"/>
        <v>25.4</v>
      </c>
      <c r="O106" s="67">
        <f t="shared" si="0"/>
        <v>0</v>
      </c>
      <c r="P106" s="67">
        <f t="shared" si="0"/>
        <v>0.44</v>
      </c>
      <c r="Q106" s="67">
        <f t="shared" si="0"/>
        <v>4.7300000000000004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14.94</v>
      </c>
      <c r="C107" s="66">
        <f t="shared" ref="C107:Q107" si="1">MAX(C9:C104)</f>
        <v>45.69</v>
      </c>
      <c r="D107" s="66">
        <f t="shared" si="1"/>
        <v>32.76</v>
      </c>
      <c r="E107" s="66">
        <f t="shared" si="1"/>
        <v>2.72</v>
      </c>
      <c r="F107" s="66">
        <f t="shared" si="1"/>
        <v>20.63</v>
      </c>
      <c r="G107" s="66">
        <f t="shared" si="1"/>
        <v>69.97</v>
      </c>
      <c r="H107" s="66">
        <f t="shared" si="1"/>
        <v>29.6</v>
      </c>
      <c r="I107" s="66">
        <f t="shared" si="1"/>
        <v>1.6</v>
      </c>
      <c r="J107" s="66">
        <f t="shared" si="1"/>
        <v>1.76</v>
      </c>
      <c r="K107" s="66">
        <f t="shared" si="1"/>
        <v>353.12</v>
      </c>
      <c r="L107" s="66">
        <f t="shared" si="1"/>
        <v>27.96</v>
      </c>
      <c r="M107" s="66">
        <f t="shared" si="1"/>
        <v>89.88</v>
      </c>
      <c r="N107" s="66">
        <f t="shared" si="1"/>
        <v>747.5</v>
      </c>
      <c r="O107" s="66">
        <f t="shared" si="1"/>
        <v>0</v>
      </c>
      <c r="P107" s="66">
        <f t="shared" si="1"/>
        <v>1.08</v>
      </c>
      <c r="Q107" s="66">
        <f t="shared" si="1"/>
        <v>5.39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6.0379166666666642</v>
      </c>
      <c r="C108" s="67">
        <f t="shared" ref="C108:Q108" si="2">AVERAGE(C9:C104)</f>
        <v>35.688229166666666</v>
      </c>
      <c r="D108" s="67">
        <f t="shared" si="2"/>
        <v>25.183750000000007</v>
      </c>
      <c r="E108" s="67">
        <f t="shared" si="2"/>
        <v>2.3435416666666664</v>
      </c>
      <c r="F108" s="67">
        <f t="shared" si="2"/>
        <v>6.0969791666666646</v>
      </c>
      <c r="G108" s="67">
        <f t="shared" si="2"/>
        <v>43.647083333333342</v>
      </c>
      <c r="H108" s="67">
        <f t="shared" si="2"/>
        <v>22.215208333333333</v>
      </c>
      <c r="I108" s="67">
        <f t="shared" si="2"/>
        <v>1.499583333333333</v>
      </c>
      <c r="J108" s="67">
        <f t="shared" si="2"/>
        <v>0.76395833333333341</v>
      </c>
      <c r="K108" s="67">
        <f t="shared" si="2"/>
        <v>134.41187499999992</v>
      </c>
      <c r="L108" s="67">
        <f t="shared" si="2"/>
        <v>22.527083333333334</v>
      </c>
      <c r="M108" s="67">
        <f t="shared" si="2"/>
        <v>61.515520833333362</v>
      </c>
      <c r="N108" s="67">
        <f t="shared" si="2"/>
        <v>182.0354166666668</v>
      </c>
      <c r="O108" s="67">
        <f t="shared" si="2"/>
        <v>0</v>
      </c>
      <c r="P108" s="67">
        <f t="shared" si="2"/>
        <v>0.67052083333333312</v>
      </c>
      <c r="Q108" s="67">
        <f t="shared" si="2"/>
        <v>5.0889583333333333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3.3422929150247391</v>
      </c>
      <c r="C109" s="67">
        <f t="shared" ref="C109:Q109" si="3">STDEV(C9:C104)</f>
        <v>3.2090293645772854</v>
      </c>
      <c r="D109" s="67">
        <f t="shared" si="3"/>
        <v>3.2503305904735433</v>
      </c>
      <c r="E109" s="67">
        <f t="shared" si="3"/>
        <v>0.14336540848781196</v>
      </c>
      <c r="F109" s="67">
        <f t="shared" si="3"/>
        <v>3.2843613878313089</v>
      </c>
      <c r="G109" s="67">
        <f t="shared" si="3"/>
        <v>10.920889390874684</v>
      </c>
      <c r="H109" s="67">
        <f t="shared" si="3"/>
        <v>3.8345328348318404</v>
      </c>
      <c r="I109" s="67">
        <f t="shared" si="3"/>
        <v>4.8055158366340243E-2</v>
      </c>
      <c r="J109" s="67">
        <f t="shared" si="3"/>
        <v>0.46725509581106034</v>
      </c>
      <c r="K109" s="67">
        <f t="shared" si="3"/>
        <v>91.710124933917541</v>
      </c>
      <c r="L109" s="67">
        <f t="shared" si="3"/>
        <v>2.9238438710807233</v>
      </c>
      <c r="M109" s="67">
        <f t="shared" si="3"/>
        <v>15.025122601814497</v>
      </c>
      <c r="N109" s="67">
        <f t="shared" si="3"/>
        <v>228.60370857569521</v>
      </c>
      <c r="O109" s="67">
        <f t="shared" si="3"/>
        <v>0</v>
      </c>
      <c r="P109" s="67">
        <f t="shared" si="3"/>
        <v>0.13168039291099318</v>
      </c>
      <c r="Q109" s="67">
        <f t="shared" si="3"/>
        <v>0.16936089877857793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5" sqref="G1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2170</v>
      </c>
      <c r="B9" s="64">
        <v>3.39</v>
      </c>
      <c r="C9" s="64">
        <v>34.18</v>
      </c>
      <c r="D9" s="64">
        <v>22.23</v>
      </c>
      <c r="E9" s="64">
        <v>2.2200000000000002</v>
      </c>
      <c r="F9" s="64">
        <v>5.59</v>
      </c>
      <c r="G9" s="64">
        <v>41.68</v>
      </c>
      <c r="H9" s="64">
        <v>18.809999999999999</v>
      </c>
      <c r="I9" s="64">
        <v>1.55</v>
      </c>
      <c r="J9" s="64">
        <v>0.78</v>
      </c>
      <c r="K9" s="64">
        <v>99.21</v>
      </c>
      <c r="L9" s="64">
        <v>20.37</v>
      </c>
      <c r="M9" s="64">
        <v>66.59</v>
      </c>
      <c r="N9" s="64">
        <v>26.3</v>
      </c>
      <c r="O9" s="64">
        <v>0</v>
      </c>
      <c r="P9" s="64">
        <v>0.56999999999999995</v>
      </c>
      <c r="Q9" s="64">
        <v>5.07</v>
      </c>
      <c r="R9" s="198"/>
      <c r="S9" s="198"/>
      <c r="T9" s="198"/>
      <c r="U9" s="198"/>
    </row>
    <row r="10" spans="1:21" s="12" customFormat="1" x14ac:dyDescent="0.25">
      <c r="A10" s="215" t="s">
        <v>2171</v>
      </c>
      <c r="B10" s="64">
        <v>3.44</v>
      </c>
      <c r="C10" s="64">
        <v>33.44</v>
      </c>
      <c r="D10" s="64">
        <v>21.86</v>
      </c>
      <c r="E10" s="64">
        <v>2.2400000000000002</v>
      </c>
      <c r="F10" s="64">
        <v>4.7</v>
      </c>
      <c r="G10" s="64">
        <v>42.54</v>
      </c>
      <c r="H10" s="64">
        <v>18.66</v>
      </c>
      <c r="I10" s="64">
        <v>1.42</v>
      </c>
      <c r="J10" s="64">
        <v>0.6</v>
      </c>
      <c r="K10" s="64">
        <v>96.27</v>
      </c>
      <c r="L10" s="64">
        <v>20.27</v>
      </c>
      <c r="M10" s="64">
        <v>67.31</v>
      </c>
      <c r="N10" s="64">
        <v>26.2</v>
      </c>
      <c r="O10" s="64">
        <v>0</v>
      </c>
      <c r="P10" s="64">
        <v>0.56999999999999995</v>
      </c>
      <c r="Q10" s="64">
        <v>5.08</v>
      </c>
      <c r="R10" s="198"/>
      <c r="S10" s="198"/>
      <c r="T10" s="198"/>
      <c r="U10" s="198"/>
    </row>
    <row r="11" spans="1:21" s="12" customFormat="1" x14ac:dyDescent="0.25">
      <c r="A11" s="215" t="s">
        <v>2172</v>
      </c>
      <c r="B11" s="64">
        <v>3.41</v>
      </c>
      <c r="C11" s="64">
        <v>33.4</v>
      </c>
      <c r="D11" s="64">
        <v>21.81</v>
      </c>
      <c r="E11" s="64">
        <v>2.2400000000000002</v>
      </c>
      <c r="F11" s="64">
        <v>4.01</v>
      </c>
      <c r="G11" s="64">
        <v>42.54</v>
      </c>
      <c r="H11" s="64">
        <v>18.66</v>
      </c>
      <c r="I11" s="64">
        <v>1.45</v>
      </c>
      <c r="J11" s="64">
        <v>0.61</v>
      </c>
      <c r="K11" s="64">
        <v>91.42</v>
      </c>
      <c r="L11" s="64">
        <v>20.239999999999998</v>
      </c>
      <c r="M11" s="64">
        <v>67.400000000000006</v>
      </c>
      <c r="N11" s="64">
        <v>26.3</v>
      </c>
      <c r="O11" s="64">
        <v>0</v>
      </c>
      <c r="P11" s="64">
        <v>0.56000000000000005</v>
      </c>
      <c r="Q11" s="64">
        <v>5.0599999999999996</v>
      </c>
      <c r="R11" s="198"/>
      <c r="S11" s="198"/>
      <c r="T11" s="198"/>
      <c r="U11" s="198"/>
    </row>
    <row r="12" spans="1:21" s="12" customFormat="1" x14ac:dyDescent="0.25">
      <c r="A12" s="215" t="s">
        <v>2173</v>
      </c>
      <c r="B12" s="64">
        <v>3.34</v>
      </c>
      <c r="C12" s="64">
        <v>31.63</v>
      </c>
      <c r="D12" s="64">
        <v>20.78</v>
      </c>
      <c r="E12" s="64">
        <v>2.2400000000000002</v>
      </c>
      <c r="F12" s="64">
        <v>4.25</v>
      </c>
      <c r="G12" s="64">
        <v>42.54</v>
      </c>
      <c r="H12" s="64">
        <v>18.66</v>
      </c>
      <c r="I12" s="64">
        <v>1.43</v>
      </c>
      <c r="J12" s="6" t="s">
        <v>42</v>
      </c>
      <c r="K12" s="64">
        <v>293.36</v>
      </c>
      <c r="L12" s="64">
        <v>19.78</v>
      </c>
      <c r="M12" s="64">
        <v>71.16</v>
      </c>
      <c r="N12" s="64">
        <v>27.1</v>
      </c>
      <c r="O12" s="64">
        <v>0</v>
      </c>
      <c r="P12" s="64">
        <v>0.56000000000000005</v>
      </c>
      <c r="Q12" s="64">
        <v>5.0999999999999996</v>
      </c>
      <c r="R12" s="198"/>
      <c r="S12" s="198"/>
      <c r="T12" s="198"/>
      <c r="U12" s="198"/>
    </row>
    <row r="13" spans="1:21" s="12" customFormat="1" x14ac:dyDescent="0.25">
      <c r="A13" s="215" t="s">
        <v>2174</v>
      </c>
      <c r="B13" s="64">
        <v>3.42</v>
      </c>
      <c r="C13" s="64">
        <v>32.67</v>
      </c>
      <c r="D13" s="64">
        <v>21.42</v>
      </c>
      <c r="E13" s="64">
        <v>2.23</v>
      </c>
      <c r="F13" s="64">
        <v>3.88</v>
      </c>
      <c r="G13" s="64">
        <v>42.89</v>
      </c>
      <c r="H13" s="64">
        <v>19.39</v>
      </c>
      <c r="I13" s="64">
        <v>1.54</v>
      </c>
      <c r="J13" s="64">
        <v>0.1</v>
      </c>
      <c r="K13" s="64">
        <v>311.64999999999998</v>
      </c>
      <c r="L13" s="64">
        <v>18.96</v>
      </c>
      <c r="M13" s="64">
        <v>77.069999999999993</v>
      </c>
      <c r="N13" s="64">
        <v>27.1</v>
      </c>
      <c r="O13" s="64">
        <v>0</v>
      </c>
      <c r="P13" s="64">
        <v>0.54</v>
      </c>
      <c r="Q13" s="64">
        <v>5.04</v>
      </c>
      <c r="R13" s="198"/>
      <c r="S13" s="198"/>
      <c r="T13" s="198"/>
      <c r="U13" s="198"/>
    </row>
    <row r="14" spans="1:21" s="12" customFormat="1" x14ac:dyDescent="0.25">
      <c r="A14" s="215" t="s">
        <v>2175</v>
      </c>
      <c r="B14" s="64">
        <v>3.59</v>
      </c>
      <c r="C14" s="64">
        <v>33.31</v>
      </c>
      <c r="D14" s="64">
        <v>21.91</v>
      </c>
      <c r="E14" s="64">
        <v>2.21</v>
      </c>
      <c r="F14" s="64">
        <v>4.67</v>
      </c>
      <c r="G14" s="64">
        <v>43.13</v>
      </c>
      <c r="H14" s="64">
        <v>19.73</v>
      </c>
      <c r="I14" s="64">
        <v>1.53</v>
      </c>
      <c r="J14" s="64">
        <v>0.09</v>
      </c>
      <c r="K14" s="64">
        <v>287.36</v>
      </c>
      <c r="L14" s="64">
        <v>18.100000000000001</v>
      </c>
      <c r="M14" s="64">
        <v>83.05</v>
      </c>
      <c r="N14" s="64">
        <v>27.1</v>
      </c>
      <c r="O14" s="64">
        <v>0</v>
      </c>
      <c r="P14" s="64">
        <v>0.56999999999999995</v>
      </c>
      <c r="Q14" s="64">
        <v>5.03</v>
      </c>
      <c r="R14" s="198"/>
      <c r="S14" s="198"/>
      <c r="T14" s="198"/>
      <c r="U14" s="198"/>
    </row>
    <row r="15" spans="1:21" s="12" customFormat="1" x14ac:dyDescent="0.25">
      <c r="A15" s="215" t="s">
        <v>2176</v>
      </c>
      <c r="B15" s="64">
        <v>4.0199999999999996</v>
      </c>
      <c r="C15" s="64">
        <v>33.1</v>
      </c>
      <c r="D15" s="64">
        <v>22.13</v>
      </c>
      <c r="E15" s="64">
        <v>2.23</v>
      </c>
      <c r="F15" s="64">
        <v>4.25</v>
      </c>
      <c r="G15" s="64">
        <v>43.13</v>
      </c>
      <c r="H15" s="64">
        <v>19.73</v>
      </c>
      <c r="I15" s="64">
        <v>1.44</v>
      </c>
      <c r="J15" s="64">
        <v>0.13</v>
      </c>
      <c r="K15" s="64">
        <v>296.62</v>
      </c>
      <c r="L15" s="64">
        <v>17.739999999999998</v>
      </c>
      <c r="M15" s="64">
        <v>85.76</v>
      </c>
      <c r="N15" s="64">
        <v>26.9</v>
      </c>
      <c r="O15" s="64">
        <v>0</v>
      </c>
      <c r="P15" s="64">
        <v>0.56999999999999995</v>
      </c>
      <c r="Q15" s="64">
        <v>5.07</v>
      </c>
      <c r="R15" s="198"/>
      <c r="S15" s="198"/>
      <c r="T15" s="198"/>
      <c r="U15" s="198"/>
    </row>
    <row r="16" spans="1:21" s="12" customFormat="1" x14ac:dyDescent="0.25">
      <c r="A16" s="215" t="s">
        <v>2177</v>
      </c>
      <c r="B16" s="64">
        <v>4.57</v>
      </c>
      <c r="C16" s="64">
        <v>33.24</v>
      </c>
      <c r="D16" s="64">
        <v>22.65</v>
      </c>
      <c r="E16" s="64">
        <v>2.2200000000000002</v>
      </c>
      <c r="F16" s="64">
        <v>4.26</v>
      </c>
      <c r="G16" s="64">
        <v>43.13</v>
      </c>
      <c r="H16" s="64">
        <v>19.73</v>
      </c>
      <c r="I16" s="64">
        <v>1.51</v>
      </c>
      <c r="J16" s="64">
        <v>0.12</v>
      </c>
      <c r="K16" s="64">
        <v>299.55</v>
      </c>
      <c r="L16" s="64">
        <v>17.48</v>
      </c>
      <c r="M16" s="64">
        <v>89.29</v>
      </c>
      <c r="N16" s="64">
        <v>26.8</v>
      </c>
      <c r="O16" s="64">
        <v>0</v>
      </c>
      <c r="P16" s="64">
        <v>0.57999999999999996</v>
      </c>
      <c r="Q16" s="64">
        <v>5.0999999999999996</v>
      </c>
      <c r="R16" s="198"/>
      <c r="S16" s="198"/>
      <c r="T16" s="198"/>
      <c r="U16" s="198"/>
    </row>
    <row r="17" spans="1:21" s="12" customFormat="1" x14ac:dyDescent="0.25">
      <c r="A17" s="215" t="s">
        <v>2178</v>
      </c>
      <c r="B17" s="64">
        <v>5.28</v>
      </c>
      <c r="C17" s="64">
        <v>33.22</v>
      </c>
      <c r="D17" s="64">
        <v>23.22</v>
      </c>
      <c r="E17" s="64">
        <v>2.21</v>
      </c>
      <c r="F17" s="64">
        <v>4.26</v>
      </c>
      <c r="G17" s="64">
        <v>42.12</v>
      </c>
      <c r="H17" s="64">
        <v>17.77</v>
      </c>
      <c r="I17" s="64">
        <v>1.52</v>
      </c>
      <c r="J17" s="64">
        <v>0.1</v>
      </c>
      <c r="K17" s="64">
        <v>295.55</v>
      </c>
      <c r="L17" s="64">
        <v>17.5</v>
      </c>
      <c r="M17" s="64">
        <v>88.95</v>
      </c>
      <c r="N17" s="64">
        <v>26.7</v>
      </c>
      <c r="O17" s="64">
        <v>0</v>
      </c>
      <c r="P17" s="64">
        <v>0.57999999999999996</v>
      </c>
      <c r="Q17" s="64">
        <v>5.15</v>
      </c>
      <c r="R17" s="198"/>
      <c r="S17" s="198"/>
      <c r="T17" s="198"/>
      <c r="U17" s="198"/>
    </row>
    <row r="18" spans="1:21" s="12" customFormat="1" x14ac:dyDescent="0.25">
      <c r="A18" s="215" t="s">
        <v>2179</v>
      </c>
      <c r="B18" s="64">
        <v>6</v>
      </c>
      <c r="C18" s="64">
        <v>33.36</v>
      </c>
      <c r="D18" s="64">
        <v>23.87</v>
      </c>
      <c r="E18" s="64">
        <v>2.1800000000000002</v>
      </c>
      <c r="F18" s="64">
        <v>5.24</v>
      </c>
      <c r="G18" s="64">
        <v>41.45</v>
      </c>
      <c r="H18" s="64">
        <v>17.3</v>
      </c>
      <c r="I18" s="64">
        <v>1.46</v>
      </c>
      <c r="J18" s="64">
        <v>7.0000000000000007E-2</v>
      </c>
      <c r="K18" s="64">
        <v>158.65</v>
      </c>
      <c r="L18" s="64">
        <v>17.63</v>
      </c>
      <c r="M18" s="64">
        <v>86.66</v>
      </c>
      <c r="N18" s="64">
        <v>26</v>
      </c>
      <c r="O18" s="64">
        <v>0</v>
      </c>
      <c r="P18" s="64">
        <v>0.56999999999999995</v>
      </c>
      <c r="Q18" s="64">
        <v>5.22</v>
      </c>
      <c r="R18" s="198"/>
      <c r="S18" s="198"/>
      <c r="T18" s="198"/>
      <c r="U18" s="198"/>
    </row>
    <row r="19" spans="1:21" s="12" customFormat="1" x14ac:dyDescent="0.25">
      <c r="A19" s="215" t="s">
        <v>2180</v>
      </c>
      <c r="B19" s="64">
        <v>6.3</v>
      </c>
      <c r="C19" s="64">
        <v>33.299999999999997</v>
      </c>
      <c r="D19" s="64">
        <v>24.07</v>
      </c>
      <c r="E19" s="64">
        <v>2.25</v>
      </c>
      <c r="F19" s="64">
        <v>5.61</v>
      </c>
      <c r="G19" s="64">
        <v>41.45</v>
      </c>
      <c r="H19" s="64">
        <v>17.3</v>
      </c>
      <c r="I19" s="64">
        <v>1.5</v>
      </c>
      <c r="J19" s="64">
        <v>0.01</v>
      </c>
      <c r="K19" s="64">
        <v>221.91</v>
      </c>
      <c r="L19" s="64">
        <v>18.350000000000001</v>
      </c>
      <c r="M19" s="64">
        <v>81.39</v>
      </c>
      <c r="N19" s="64">
        <v>26.1</v>
      </c>
      <c r="O19" s="64">
        <v>0</v>
      </c>
      <c r="P19" s="64">
        <v>0.56000000000000005</v>
      </c>
      <c r="Q19" s="64">
        <v>5.27</v>
      </c>
      <c r="R19" s="198"/>
      <c r="S19" s="198"/>
      <c r="T19" s="198"/>
      <c r="U19" s="198"/>
    </row>
    <row r="20" spans="1:21" s="12" customFormat="1" x14ac:dyDescent="0.25">
      <c r="A20" s="215" t="s">
        <v>2181</v>
      </c>
      <c r="B20" s="64">
        <v>6.48</v>
      </c>
      <c r="C20" s="64">
        <v>33.299999999999997</v>
      </c>
      <c r="D20" s="64">
        <v>24.22</v>
      </c>
      <c r="E20" s="64">
        <v>2.27</v>
      </c>
      <c r="F20" s="64">
        <v>4.22</v>
      </c>
      <c r="G20" s="64">
        <v>41.45</v>
      </c>
      <c r="H20" s="64">
        <v>17.3</v>
      </c>
      <c r="I20" s="64">
        <v>1.43</v>
      </c>
      <c r="J20" s="64">
        <v>0.4</v>
      </c>
      <c r="K20" s="64">
        <v>313.70999999999998</v>
      </c>
      <c r="L20" s="64">
        <v>18.100000000000001</v>
      </c>
      <c r="M20" s="64">
        <v>84.6</v>
      </c>
      <c r="N20" s="64">
        <v>26.5</v>
      </c>
      <c r="O20" s="64">
        <v>0</v>
      </c>
      <c r="P20" s="64">
        <v>0.56000000000000005</v>
      </c>
      <c r="Q20" s="64">
        <v>5.35</v>
      </c>
      <c r="R20" s="198"/>
      <c r="S20" s="198"/>
      <c r="T20" s="198"/>
      <c r="U20" s="198"/>
    </row>
    <row r="21" spans="1:21" s="12" customFormat="1" x14ac:dyDescent="0.25">
      <c r="A21" s="215" t="s">
        <v>2182</v>
      </c>
      <c r="B21" s="64">
        <v>6.64</v>
      </c>
      <c r="C21" s="64">
        <v>33.83</v>
      </c>
      <c r="D21" s="64">
        <v>24.64</v>
      </c>
      <c r="E21" s="64">
        <v>2.2599999999999998</v>
      </c>
      <c r="F21" s="64">
        <v>3.66</v>
      </c>
      <c r="G21" s="64">
        <v>46.87</v>
      </c>
      <c r="H21" s="64">
        <v>18.940000000000001</v>
      </c>
      <c r="I21" s="64">
        <v>1.49</v>
      </c>
      <c r="J21" s="64">
        <v>0.72</v>
      </c>
      <c r="K21" s="64">
        <v>336.77</v>
      </c>
      <c r="L21" s="64">
        <v>17.88</v>
      </c>
      <c r="M21" s="64">
        <v>85.98</v>
      </c>
      <c r="N21" s="64">
        <v>25.9</v>
      </c>
      <c r="O21" s="64">
        <v>0</v>
      </c>
      <c r="P21" s="64">
        <v>0.56999999999999995</v>
      </c>
      <c r="Q21" s="64">
        <v>5.31</v>
      </c>
      <c r="R21" s="198"/>
      <c r="S21" s="198"/>
      <c r="T21" s="198"/>
      <c r="U21" s="198"/>
    </row>
    <row r="22" spans="1:21" s="12" customFormat="1" x14ac:dyDescent="0.25">
      <c r="A22" s="215" t="s">
        <v>2183</v>
      </c>
      <c r="B22" s="64">
        <v>6.77</v>
      </c>
      <c r="C22" s="64">
        <v>34.18</v>
      </c>
      <c r="D22" s="64">
        <v>24.94</v>
      </c>
      <c r="E22" s="64">
        <v>2.2200000000000002</v>
      </c>
      <c r="F22" s="64">
        <v>3.47</v>
      </c>
      <c r="G22" s="64">
        <v>50.47</v>
      </c>
      <c r="H22" s="64">
        <v>19.34</v>
      </c>
      <c r="I22" s="64">
        <v>1.5</v>
      </c>
      <c r="J22" s="64">
        <v>1.18</v>
      </c>
      <c r="K22" s="64">
        <v>341.59</v>
      </c>
      <c r="L22" s="64">
        <v>17.809999999999999</v>
      </c>
      <c r="M22" s="64">
        <v>85.6</v>
      </c>
      <c r="N22" s="64">
        <v>26.2</v>
      </c>
      <c r="O22" s="64">
        <v>0</v>
      </c>
      <c r="P22" s="64">
        <v>0.57999999999999996</v>
      </c>
      <c r="Q22" s="64">
        <v>5.32</v>
      </c>
      <c r="R22" s="198"/>
      <c r="S22" s="198"/>
      <c r="T22" s="198"/>
      <c r="U22" s="198"/>
    </row>
    <row r="23" spans="1:21" s="12" customFormat="1" x14ac:dyDescent="0.25">
      <c r="A23" s="215" t="s">
        <v>2184</v>
      </c>
      <c r="B23" s="64">
        <v>6.97</v>
      </c>
      <c r="C23" s="64">
        <v>34.83</v>
      </c>
      <c r="D23" s="64">
        <v>25.46</v>
      </c>
      <c r="E23" s="64">
        <v>2.2000000000000002</v>
      </c>
      <c r="F23" s="64">
        <v>3.39</v>
      </c>
      <c r="G23" s="64">
        <v>50.47</v>
      </c>
      <c r="H23" s="64">
        <v>19.34</v>
      </c>
      <c r="I23" s="64">
        <v>1.56</v>
      </c>
      <c r="J23" s="64">
        <v>0.51</v>
      </c>
      <c r="K23" s="64">
        <v>349.07</v>
      </c>
      <c r="L23" s="64">
        <v>17.75</v>
      </c>
      <c r="M23" s="64">
        <v>85.47</v>
      </c>
      <c r="N23" s="64">
        <v>26.6</v>
      </c>
      <c r="O23" s="64">
        <v>0</v>
      </c>
      <c r="P23" s="64">
        <v>0.59</v>
      </c>
      <c r="Q23" s="64">
        <v>5.32</v>
      </c>
      <c r="R23" s="198"/>
      <c r="S23" s="198"/>
      <c r="T23" s="198"/>
      <c r="U23" s="198"/>
    </row>
    <row r="24" spans="1:21" s="12" customFormat="1" x14ac:dyDescent="0.25">
      <c r="A24" s="215" t="s">
        <v>2185</v>
      </c>
      <c r="B24" s="64">
        <v>8.1300000000000008</v>
      </c>
      <c r="C24" s="64">
        <v>35.92</v>
      </c>
      <c r="D24" s="64">
        <v>26.99</v>
      </c>
      <c r="E24" s="64">
        <v>2.08</v>
      </c>
      <c r="F24" s="64">
        <v>3.37</v>
      </c>
      <c r="G24" s="64">
        <v>50.47</v>
      </c>
      <c r="H24" s="64">
        <v>19.34</v>
      </c>
      <c r="I24" s="64">
        <v>1.53</v>
      </c>
      <c r="J24" s="64">
        <v>0.56999999999999995</v>
      </c>
      <c r="K24" s="64">
        <v>336.29</v>
      </c>
      <c r="L24" s="64">
        <v>17.82</v>
      </c>
      <c r="M24" s="64">
        <v>84.41</v>
      </c>
      <c r="N24" s="64">
        <v>26.5</v>
      </c>
      <c r="O24" s="64">
        <v>0</v>
      </c>
      <c r="P24" s="64">
        <v>0.63</v>
      </c>
      <c r="Q24" s="64">
        <v>5.34</v>
      </c>
      <c r="R24" s="198"/>
      <c r="S24" s="198"/>
      <c r="T24" s="198"/>
      <c r="U24" s="198"/>
    </row>
    <row r="25" spans="1:21" s="12" customFormat="1" x14ac:dyDescent="0.25">
      <c r="A25" s="215" t="s">
        <v>2186</v>
      </c>
      <c r="B25" s="64">
        <v>8.83</v>
      </c>
      <c r="C25" s="64">
        <v>35.909999999999997</v>
      </c>
      <c r="D25" s="64">
        <v>27.54</v>
      </c>
      <c r="E25" s="64">
        <v>2.21</v>
      </c>
      <c r="F25" s="64">
        <v>3.8</v>
      </c>
      <c r="G25" s="64">
        <v>66.19</v>
      </c>
      <c r="H25" s="64">
        <v>28.44</v>
      </c>
      <c r="I25" s="64">
        <v>1.5</v>
      </c>
      <c r="J25" s="64">
        <v>0.9</v>
      </c>
      <c r="K25" s="64">
        <v>344.27</v>
      </c>
      <c r="L25" s="64">
        <v>17.72</v>
      </c>
      <c r="M25" s="64">
        <v>84.07</v>
      </c>
      <c r="N25" s="64">
        <v>26.5</v>
      </c>
      <c r="O25" s="64">
        <v>0</v>
      </c>
      <c r="P25" s="64">
        <v>0.65</v>
      </c>
      <c r="Q25" s="64">
        <v>5.37</v>
      </c>
      <c r="R25" s="198"/>
      <c r="S25" s="198"/>
      <c r="T25" s="198"/>
      <c r="U25" s="198"/>
    </row>
    <row r="26" spans="1:21" s="12" customFormat="1" x14ac:dyDescent="0.25">
      <c r="A26" s="215" t="s">
        <v>2187</v>
      </c>
      <c r="B26" s="64">
        <v>8.48</v>
      </c>
      <c r="C26" s="64">
        <v>35.54</v>
      </c>
      <c r="D26" s="64">
        <v>27.06</v>
      </c>
      <c r="E26" s="64">
        <v>2.2000000000000002</v>
      </c>
      <c r="F26" s="64">
        <v>3.76</v>
      </c>
      <c r="G26" s="64">
        <v>76.66</v>
      </c>
      <c r="H26" s="64">
        <v>30.67</v>
      </c>
      <c r="I26" s="64">
        <v>1.56</v>
      </c>
      <c r="J26" s="64">
        <v>0.35</v>
      </c>
      <c r="K26" s="64">
        <v>333.27</v>
      </c>
      <c r="L26" s="64">
        <v>17.53</v>
      </c>
      <c r="M26" s="64">
        <v>84.53</v>
      </c>
      <c r="N26" s="64">
        <v>26.8</v>
      </c>
      <c r="O26" s="64">
        <v>0</v>
      </c>
      <c r="P26" s="64">
        <v>0.68</v>
      </c>
      <c r="Q26" s="64">
        <v>5.47</v>
      </c>
      <c r="R26" s="198"/>
      <c r="S26" s="198"/>
      <c r="T26" s="198"/>
      <c r="U26" s="198"/>
    </row>
    <row r="27" spans="1:21" s="12" customFormat="1" x14ac:dyDescent="0.25">
      <c r="A27" s="215" t="s">
        <v>2188</v>
      </c>
      <c r="B27" s="64">
        <v>8.49</v>
      </c>
      <c r="C27" s="64">
        <v>34.18</v>
      </c>
      <c r="D27" s="64">
        <v>26.32</v>
      </c>
      <c r="E27" s="64">
        <v>2.21</v>
      </c>
      <c r="F27" s="64">
        <v>3.29</v>
      </c>
      <c r="G27" s="64">
        <v>76.66</v>
      </c>
      <c r="H27" s="64">
        <v>30.67</v>
      </c>
      <c r="I27" s="64">
        <v>1.52</v>
      </c>
      <c r="J27" s="64">
        <v>0.75</v>
      </c>
      <c r="K27" s="64">
        <v>343.33</v>
      </c>
      <c r="L27" s="64">
        <v>17.43</v>
      </c>
      <c r="M27" s="64">
        <v>84.72</v>
      </c>
      <c r="N27" s="64">
        <v>26.4</v>
      </c>
      <c r="O27" s="64">
        <v>0</v>
      </c>
      <c r="P27" s="64">
        <v>0.69</v>
      </c>
      <c r="Q27" s="64">
        <v>5.52</v>
      </c>
      <c r="R27" s="198"/>
      <c r="S27" s="198"/>
      <c r="T27" s="198"/>
      <c r="U27" s="198"/>
    </row>
    <row r="28" spans="1:21" s="12" customFormat="1" x14ac:dyDescent="0.25">
      <c r="A28" s="215" t="s">
        <v>2189</v>
      </c>
      <c r="B28" s="64">
        <v>8.1999999999999993</v>
      </c>
      <c r="C28" s="64">
        <v>33.31</v>
      </c>
      <c r="D28" s="64">
        <v>25.61</v>
      </c>
      <c r="E28" s="64">
        <v>2.16</v>
      </c>
      <c r="F28" s="64">
        <v>3.63</v>
      </c>
      <c r="G28" s="64">
        <v>76.66</v>
      </c>
      <c r="H28" s="64">
        <v>30.67</v>
      </c>
      <c r="I28" s="64">
        <v>1.52</v>
      </c>
      <c r="J28" s="64">
        <v>0.56000000000000005</v>
      </c>
      <c r="K28" s="64">
        <v>340.09</v>
      </c>
      <c r="L28" s="64">
        <v>17.52</v>
      </c>
      <c r="M28" s="64">
        <v>84.14</v>
      </c>
      <c r="N28" s="64">
        <v>26.6</v>
      </c>
      <c r="O28" s="64">
        <v>0</v>
      </c>
      <c r="P28" s="64">
        <v>0.7</v>
      </c>
      <c r="Q28" s="64">
        <v>5.52</v>
      </c>
      <c r="R28" s="198"/>
      <c r="S28" s="198"/>
      <c r="T28" s="198"/>
      <c r="U28" s="198"/>
    </row>
    <row r="29" spans="1:21" s="12" customFormat="1" x14ac:dyDescent="0.25">
      <c r="A29" s="215" t="s">
        <v>2190</v>
      </c>
      <c r="B29" s="64">
        <v>7.9</v>
      </c>
      <c r="C29" s="64">
        <v>34</v>
      </c>
      <c r="D29" s="64">
        <v>25.74</v>
      </c>
      <c r="E29" s="64">
        <v>2.2000000000000002</v>
      </c>
      <c r="F29" s="64">
        <v>3.45</v>
      </c>
      <c r="G29" s="64">
        <v>75.39</v>
      </c>
      <c r="H29" s="64">
        <v>29.91</v>
      </c>
      <c r="I29" s="64">
        <v>1.52</v>
      </c>
      <c r="J29" s="64">
        <v>0.33</v>
      </c>
      <c r="K29" s="64">
        <v>336.77</v>
      </c>
      <c r="L29" s="64">
        <v>17.41</v>
      </c>
      <c r="M29" s="64">
        <v>85.31</v>
      </c>
      <c r="N29" s="64">
        <v>26.6</v>
      </c>
      <c r="O29" s="64">
        <v>0</v>
      </c>
      <c r="P29" s="64">
        <v>0.7</v>
      </c>
      <c r="Q29" s="64">
        <v>5.48</v>
      </c>
      <c r="R29" s="198"/>
      <c r="S29" s="198"/>
      <c r="T29" s="198"/>
      <c r="U29" s="198"/>
    </row>
    <row r="30" spans="1:21" s="12" customFormat="1" x14ac:dyDescent="0.25">
      <c r="A30" s="215" t="s">
        <v>2191</v>
      </c>
      <c r="B30" s="64">
        <v>8.14</v>
      </c>
      <c r="C30" s="64">
        <v>34.4</v>
      </c>
      <c r="D30" s="64">
        <v>26.16</v>
      </c>
      <c r="E30" s="64">
        <v>2.1800000000000002</v>
      </c>
      <c r="F30" s="64">
        <v>3.24</v>
      </c>
      <c r="G30" s="64">
        <v>74.540000000000006</v>
      </c>
      <c r="H30" s="64">
        <v>29.58</v>
      </c>
      <c r="I30" s="64">
        <v>1.49</v>
      </c>
      <c r="J30" s="64">
        <v>0.32</v>
      </c>
      <c r="K30" s="64">
        <v>343.27</v>
      </c>
      <c r="L30" s="64">
        <v>17.41</v>
      </c>
      <c r="M30" s="64">
        <v>85.14</v>
      </c>
      <c r="N30" s="64">
        <v>26.5</v>
      </c>
      <c r="O30" s="64">
        <v>0</v>
      </c>
      <c r="P30" s="64">
        <v>0.71</v>
      </c>
      <c r="Q30" s="64">
        <v>5.43</v>
      </c>
      <c r="R30" s="198"/>
      <c r="S30" s="198"/>
      <c r="T30" s="198"/>
      <c r="U30" s="198"/>
    </row>
    <row r="31" spans="1:21" s="12" customFormat="1" x14ac:dyDescent="0.25">
      <c r="A31" s="215" t="s">
        <v>2192</v>
      </c>
      <c r="B31" s="64">
        <v>8.6300000000000008</v>
      </c>
      <c r="C31" s="64">
        <v>35.14</v>
      </c>
      <c r="D31" s="64">
        <v>26.96</v>
      </c>
      <c r="E31" s="64">
        <v>2.16</v>
      </c>
      <c r="F31" s="64">
        <v>3.15</v>
      </c>
      <c r="G31" s="64">
        <v>74.540000000000006</v>
      </c>
      <c r="H31" s="64">
        <v>29.58</v>
      </c>
      <c r="I31" s="64">
        <v>1.55</v>
      </c>
      <c r="J31" s="64">
        <v>0.16</v>
      </c>
      <c r="K31" s="64">
        <v>349.31</v>
      </c>
      <c r="L31" s="64">
        <v>17.149999999999999</v>
      </c>
      <c r="M31" s="64">
        <v>86.97</v>
      </c>
      <c r="N31" s="64">
        <v>26.7</v>
      </c>
      <c r="O31" s="64">
        <v>0</v>
      </c>
      <c r="P31" s="64">
        <v>0.72</v>
      </c>
      <c r="Q31" s="64">
        <v>5.45</v>
      </c>
      <c r="R31" s="198"/>
      <c r="S31" s="198"/>
      <c r="T31" s="198"/>
      <c r="U31" s="198"/>
    </row>
    <row r="32" spans="1:21" s="12" customFormat="1" x14ac:dyDescent="0.25">
      <c r="A32" s="215" t="s">
        <v>2193</v>
      </c>
      <c r="B32" s="64">
        <v>9.2899999999999991</v>
      </c>
      <c r="C32" s="64">
        <v>35.35</v>
      </c>
      <c r="D32" s="64">
        <v>27.6</v>
      </c>
      <c r="E32" s="64">
        <v>2.14</v>
      </c>
      <c r="F32" s="64">
        <v>3.12</v>
      </c>
      <c r="G32" s="64">
        <v>74.540000000000006</v>
      </c>
      <c r="H32" s="64">
        <v>29.58</v>
      </c>
      <c r="I32" s="64">
        <v>1.55</v>
      </c>
      <c r="J32" s="64">
        <v>0.12</v>
      </c>
      <c r="K32" s="64">
        <v>82.49</v>
      </c>
      <c r="L32" s="64">
        <v>17.07</v>
      </c>
      <c r="M32" s="64">
        <v>87.1</v>
      </c>
      <c r="N32" s="64">
        <v>27</v>
      </c>
      <c r="O32" s="64">
        <v>0</v>
      </c>
      <c r="P32" s="64">
        <v>0.73</v>
      </c>
      <c r="Q32" s="64">
        <v>5.49</v>
      </c>
      <c r="R32" s="198"/>
      <c r="S32" s="198"/>
      <c r="T32" s="198"/>
      <c r="U32" s="198"/>
    </row>
    <row r="33" spans="1:21" s="12" customFormat="1" x14ac:dyDescent="0.25">
      <c r="A33" s="215" t="s">
        <v>2194</v>
      </c>
      <c r="B33" s="64">
        <v>9.4499999999999993</v>
      </c>
      <c r="C33" s="64">
        <v>34.83</v>
      </c>
      <c r="D33" s="64">
        <v>27.45</v>
      </c>
      <c r="E33" s="64">
        <v>2.19</v>
      </c>
      <c r="F33" s="64">
        <v>3.2</v>
      </c>
      <c r="G33" s="64">
        <v>68.19</v>
      </c>
      <c r="H33" s="64">
        <v>28.64</v>
      </c>
      <c r="I33" s="64">
        <v>1.54</v>
      </c>
      <c r="J33" s="64">
        <v>0.02</v>
      </c>
      <c r="K33" s="64">
        <v>63.16</v>
      </c>
      <c r="L33" s="64">
        <v>16.98</v>
      </c>
      <c r="M33" s="64">
        <v>88.07</v>
      </c>
      <c r="N33" s="64">
        <v>29.1</v>
      </c>
      <c r="O33" s="64">
        <v>0</v>
      </c>
      <c r="P33" s="64">
        <v>0.73</v>
      </c>
      <c r="Q33" s="64">
        <v>5.56</v>
      </c>
      <c r="R33" s="198"/>
      <c r="S33" s="198"/>
      <c r="T33" s="198"/>
      <c r="U33" s="198"/>
    </row>
    <row r="34" spans="1:21" s="12" customFormat="1" x14ac:dyDescent="0.25">
      <c r="A34" s="215" t="s">
        <v>2195</v>
      </c>
      <c r="B34" s="64">
        <v>9.89</v>
      </c>
      <c r="C34" s="64">
        <v>35.25</v>
      </c>
      <c r="D34" s="64">
        <v>28.03</v>
      </c>
      <c r="E34" s="64">
        <v>2.1800000000000002</v>
      </c>
      <c r="F34" s="64">
        <v>2.96</v>
      </c>
      <c r="G34" s="64">
        <v>63.95</v>
      </c>
      <c r="H34" s="64">
        <v>28.4</v>
      </c>
      <c r="I34" s="64">
        <v>1.47</v>
      </c>
      <c r="J34" s="64">
        <v>0.1</v>
      </c>
      <c r="K34" s="64">
        <v>345.56</v>
      </c>
      <c r="L34" s="64">
        <v>16.98</v>
      </c>
      <c r="M34" s="64">
        <v>88.73</v>
      </c>
      <c r="N34" s="64">
        <v>33</v>
      </c>
      <c r="O34" s="64">
        <v>0</v>
      </c>
      <c r="P34" s="64">
        <v>0.74</v>
      </c>
      <c r="Q34" s="64">
        <v>5.57</v>
      </c>
      <c r="R34" s="198"/>
      <c r="S34" s="198"/>
      <c r="T34" s="198"/>
      <c r="U34" s="198"/>
    </row>
    <row r="35" spans="1:21" s="12" customFormat="1" x14ac:dyDescent="0.25">
      <c r="A35" s="215" t="s">
        <v>2196</v>
      </c>
      <c r="B35" s="64">
        <v>11.45</v>
      </c>
      <c r="C35" s="64">
        <v>36.33</v>
      </c>
      <c r="D35" s="64">
        <v>29.88</v>
      </c>
      <c r="E35" s="64">
        <v>2.15</v>
      </c>
      <c r="F35" s="64">
        <v>2.83</v>
      </c>
      <c r="G35" s="64">
        <v>63.95</v>
      </c>
      <c r="H35" s="64">
        <v>28.4</v>
      </c>
      <c r="I35" s="64">
        <v>1.5</v>
      </c>
      <c r="J35" s="64">
        <v>0.08</v>
      </c>
      <c r="K35" s="64">
        <v>23.2</v>
      </c>
      <c r="L35" s="64">
        <v>17.13</v>
      </c>
      <c r="M35" s="64">
        <v>88.24</v>
      </c>
      <c r="N35" s="64">
        <v>50.7</v>
      </c>
      <c r="O35" s="64">
        <v>0</v>
      </c>
      <c r="P35" s="64">
        <v>0.76</v>
      </c>
      <c r="Q35" s="64">
        <v>5.63</v>
      </c>
      <c r="R35" s="198"/>
      <c r="S35" s="198"/>
      <c r="T35" s="198"/>
      <c r="U35" s="198"/>
    </row>
    <row r="36" spans="1:21" s="12" customFormat="1" x14ac:dyDescent="0.25">
      <c r="A36" s="215" t="s">
        <v>2197</v>
      </c>
      <c r="B36" s="64">
        <v>12.88</v>
      </c>
      <c r="C36" s="64">
        <v>37.28</v>
      </c>
      <c r="D36" s="64">
        <v>31.54</v>
      </c>
      <c r="E36" s="64">
        <v>2.13</v>
      </c>
      <c r="F36" s="64">
        <v>3.09</v>
      </c>
      <c r="G36" s="64">
        <v>63.95</v>
      </c>
      <c r="H36" s="64">
        <v>28.4</v>
      </c>
      <c r="I36" s="64">
        <v>1.5</v>
      </c>
      <c r="J36" s="64">
        <v>0.22</v>
      </c>
      <c r="K36" s="64">
        <v>336.43</v>
      </c>
      <c r="L36" s="64">
        <v>17.68</v>
      </c>
      <c r="M36" s="64">
        <v>85.79</v>
      </c>
      <c r="N36" s="64">
        <v>72.900000000000006</v>
      </c>
      <c r="O36" s="64">
        <v>0</v>
      </c>
      <c r="P36" s="64">
        <v>0.78</v>
      </c>
      <c r="Q36" s="64">
        <v>5.78</v>
      </c>
      <c r="R36" s="198"/>
      <c r="S36" s="198"/>
      <c r="T36" s="198"/>
      <c r="U36" s="198"/>
    </row>
    <row r="37" spans="1:21" s="12" customFormat="1" x14ac:dyDescent="0.25">
      <c r="A37" s="215" t="s">
        <v>2198</v>
      </c>
      <c r="B37" s="64">
        <v>14.5</v>
      </c>
      <c r="C37" s="64">
        <v>37.130000000000003</v>
      </c>
      <c r="D37" s="64">
        <v>32.76</v>
      </c>
      <c r="E37" s="64">
        <v>2.23</v>
      </c>
      <c r="F37" s="64">
        <v>3.11</v>
      </c>
      <c r="G37" s="64">
        <v>65.55</v>
      </c>
      <c r="H37" s="64">
        <v>28.92</v>
      </c>
      <c r="I37" s="64">
        <v>1.51</v>
      </c>
      <c r="J37" s="64">
        <v>0.31</v>
      </c>
      <c r="K37" s="64">
        <v>334.31</v>
      </c>
      <c r="L37" s="64">
        <v>18.420000000000002</v>
      </c>
      <c r="M37" s="64">
        <v>81.78</v>
      </c>
      <c r="N37" s="64">
        <v>106.8</v>
      </c>
      <c r="O37" s="64">
        <v>0</v>
      </c>
      <c r="P37" s="64">
        <v>0.8</v>
      </c>
      <c r="Q37" s="64">
        <v>5.88</v>
      </c>
      <c r="R37" s="198"/>
      <c r="S37" s="198"/>
      <c r="T37" s="198"/>
      <c r="U37" s="198"/>
    </row>
    <row r="38" spans="1:21" s="12" customFormat="1" x14ac:dyDescent="0.25">
      <c r="A38" s="215" t="s">
        <v>2199</v>
      </c>
      <c r="B38" s="64">
        <v>16.11</v>
      </c>
      <c r="C38" s="64">
        <v>38.36</v>
      </c>
      <c r="D38" s="64">
        <v>34.74</v>
      </c>
      <c r="E38" s="64">
        <v>2.15</v>
      </c>
      <c r="F38" s="64">
        <v>3.2</v>
      </c>
      <c r="G38" s="64">
        <v>66.66</v>
      </c>
      <c r="H38" s="64">
        <v>29.05</v>
      </c>
      <c r="I38" s="64">
        <v>1.5</v>
      </c>
      <c r="J38" s="64">
        <v>0.12</v>
      </c>
      <c r="K38" s="64">
        <v>323.85000000000002</v>
      </c>
      <c r="L38" s="64">
        <v>19.46</v>
      </c>
      <c r="M38" s="64">
        <v>76.010000000000005</v>
      </c>
      <c r="N38" s="64">
        <v>183.7</v>
      </c>
      <c r="O38" s="64">
        <v>0</v>
      </c>
      <c r="P38" s="64">
        <v>0.84</v>
      </c>
      <c r="Q38" s="64">
        <v>5.99</v>
      </c>
      <c r="R38" s="198"/>
      <c r="S38" s="198"/>
      <c r="T38" s="198"/>
      <c r="U38" s="198"/>
    </row>
    <row r="39" spans="1:21" s="12" customFormat="1" x14ac:dyDescent="0.25">
      <c r="A39" s="215" t="s">
        <v>2200</v>
      </c>
      <c r="B39" s="64">
        <v>16.91</v>
      </c>
      <c r="C39" s="64">
        <v>38.85</v>
      </c>
      <c r="D39" s="64">
        <v>35.65</v>
      </c>
      <c r="E39" s="64">
        <v>2.17</v>
      </c>
      <c r="F39" s="64">
        <v>3.1</v>
      </c>
      <c r="G39" s="64">
        <v>66.66</v>
      </c>
      <c r="H39" s="64">
        <v>29.05</v>
      </c>
      <c r="I39" s="64">
        <v>1.51</v>
      </c>
      <c r="J39" s="64">
        <v>0.06</v>
      </c>
      <c r="K39" s="64">
        <v>31.54</v>
      </c>
      <c r="L39" s="64">
        <v>20.69</v>
      </c>
      <c r="M39" s="64">
        <v>69.66</v>
      </c>
      <c r="N39" s="64">
        <v>247.6</v>
      </c>
      <c r="O39" s="64">
        <v>0</v>
      </c>
      <c r="P39" s="64">
        <v>0.85</v>
      </c>
      <c r="Q39" s="64">
        <v>6.11</v>
      </c>
      <c r="R39" s="198"/>
      <c r="S39" s="198"/>
      <c r="T39" s="198"/>
      <c r="U39" s="198"/>
    </row>
    <row r="40" spans="1:21" s="12" customFormat="1" x14ac:dyDescent="0.25">
      <c r="A40" s="215" t="s">
        <v>2201</v>
      </c>
      <c r="B40" s="64">
        <v>17.34</v>
      </c>
      <c r="C40" s="64">
        <v>38.46</v>
      </c>
      <c r="D40" s="64">
        <v>35.78</v>
      </c>
      <c r="E40" s="64">
        <v>2.2000000000000002</v>
      </c>
      <c r="F40" s="64">
        <v>3.16</v>
      </c>
      <c r="G40" s="64">
        <v>66.66</v>
      </c>
      <c r="H40" s="64">
        <v>29.05</v>
      </c>
      <c r="I40" s="64">
        <v>1.56</v>
      </c>
      <c r="J40" s="64">
        <v>0.71</v>
      </c>
      <c r="K40" s="64">
        <v>102.32</v>
      </c>
      <c r="L40" s="64">
        <v>21.04</v>
      </c>
      <c r="M40" s="64">
        <v>67.37</v>
      </c>
      <c r="N40" s="64">
        <v>303.39999999999998</v>
      </c>
      <c r="O40" s="64">
        <v>0</v>
      </c>
      <c r="P40" s="64">
        <v>0.86</v>
      </c>
      <c r="Q40" s="64">
        <v>6.19</v>
      </c>
      <c r="R40" s="198"/>
      <c r="S40" s="198"/>
      <c r="T40" s="198"/>
      <c r="U40" s="198"/>
    </row>
    <row r="41" spans="1:21" s="12" customFormat="1" x14ac:dyDescent="0.25">
      <c r="A41" s="215" t="s">
        <v>2202</v>
      </c>
      <c r="B41" s="64">
        <v>16.88</v>
      </c>
      <c r="C41" s="64">
        <v>38.619999999999997</v>
      </c>
      <c r="D41" s="64">
        <v>35.49</v>
      </c>
      <c r="E41" s="64">
        <v>2.21</v>
      </c>
      <c r="F41" s="64">
        <v>3.23</v>
      </c>
      <c r="G41" s="64">
        <v>73.069999999999993</v>
      </c>
      <c r="H41" s="64">
        <v>29.66</v>
      </c>
      <c r="I41" s="64">
        <v>1.42</v>
      </c>
      <c r="J41" s="64">
        <v>0.33</v>
      </c>
      <c r="K41" s="64">
        <v>96.81</v>
      </c>
      <c r="L41" s="64">
        <v>22.04</v>
      </c>
      <c r="M41" s="64">
        <v>63.29</v>
      </c>
      <c r="N41" s="64">
        <v>351</v>
      </c>
      <c r="O41" s="64">
        <v>0</v>
      </c>
      <c r="P41" s="64">
        <v>0.86</v>
      </c>
      <c r="Q41" s="64">
        <v>6.18</v>
      </c>
      <c r="R41" s="198"/>
      <c r="S41" s="198"/>
      <c r="T41" s="198"/>
      <c r="U41" s="198"/>
    </row>
    <row r="42" spans="1:21" s="12" customFormat="1" x14ac:dyDescent="0.25">
      <c r="A42" s="215" t="s">
        <v>2203</v>
      </c>
      <c r="B42" s="64">
        <v>15.88</v>
      </c>
      <c r="C42" s="64">
        <v>39.57</v>
      </c>
      <c r="D42" s="64">
        <v>35.22</v>
      </c>
      <c r="E42" s="64">
        <v>2.17</v>
      </c>
      <c r="F42" s="64">
        <v>3.3</v>
      </c>
      <c r="G42" s="64">
        <v>77.34</v>
      </c>
      <c r="H42" s="64">
        <v>29.81</v>
      </c>
      <c r="I42" s="64">
        <v>1.53</v>
      </c>
      <c r="J42" s="64">
        <v>0.72</v>
      </c>
      <c r="K42" s="64">
        <v>113.25</v>
      </c>
      <c r="L42" s="64">
        <v>22.86</v>
      </c>
      <c r="M42" s="64">
        <v>61.5</v>
      </c>
      <c r="N42" s="64">
        <v>403.6</v>
      </c>
      <c r="O42" s="64">
        <v>0</v>
      </c>
      <c r="P42" s="64">
        <v>0.85</v>
      </c>
      <c r="Q42" s="64">
        <v>6.16</v>
      </c>
      <c r="R42" s="198"/>
      <c r="S42" s="198"/>
      <c r="T42" s="198"/>
      <c r="U42" s="198"/>
    </row>
    <row r="43" spans="1:21" s="12" customFormat="1" x14ac:dyDescent="0.25">
      <c r="A43" s="215" t="s">
        <v>2204</v>
      </c>
      <c r="B43" s="64">
        <v>14.9</v>
      </c>
      <c r="C43" s="64">
        <v>39.15</v>
      </c>
      <c r="D43" s="64">
        <v>34.200000000000003</v>
      </c>
      <c r="E43" s="64">
        <v>2.2400000000000002</v>
      </c>
      <c r="F43" s="64">
        <v>4.1399999999999997</v>
      </c>
      <c r="G43" s="64">
        <v>77.34</v>
      </c>
      <c r="H43" s="64">
        <v>29.81</v>
      </c>
      <c r="I43" s="64">
        <v>1.47</v>
      </c>
      <c r="J43" s="64">
        <v>0.66</v>
      </c>
      <c r="K43" s="64">
        <v>107.12</v>
      </c>
      <c r="L43" s="64">
        <v>22.23</v>
      </c>
      <c r="M43" s="64">
        <v>65.98</v>
      </c>
      <c r="N43" s="64">
        <v>458.9</v>
      </c>
      <c r="O43" s="64">
        <v>0</v>
      </c>
      <c r="P43" s="64">
        <v>0.85</v>
      </c>
      <c r="Q43" s="64">
        <v>6.14</v>
      </c>
      <c r="R43" s="198"/>
      <c r="S43" s="198"/>
      <c r="T43" s="198"/>
      <c r="U43" s="198"/>
    </row>
    <row r="44" spans="1:21" s="12" customFormat="1" x14ac:dyDescent="0.25">
      <c r="A44" s="215" t="s">
        <v>2205</v>
      </c>
      <c r="B44" s="64">
        <v>14.86</v>
      </c>
      <c r="C44" s="64">
        <v>38.86</v>
      </c>
      <c r="D44" s="64">
        <v>34.01</v>
      </c>
      <c r="E44" s="64">
        <v>2.2400000000000002</v>
      </c>
      <c r="F44" s="64">
        <v>3.96</v>
      </c>
      <c r="G44" s="64">
        <v>77.34</v>
      </c>
      <c r="H44" s="64">
        <v>29.81</v>
      </c>
      <c r="I44" s="64">
        <v>1.51</v>
      </c>
      <c r="J44" s="64">
        <v>0.33</v>
      </c>
      <c r="K44" s="64">
        <v>314.93</v>
      </c>
      <c r="L44" s="64">
        <v>23.62</v>
      </c>
      <c r="M44" s="64">
        <v>65.849999999999994</v>
      </c>
      <c r="N44" s="64">
        <v>488.5</v>
      </c>
      <c r="O44" s="64">
        <v>0</v>
      </c>
      <c r="P44" s="64">
        <v>0.85</v>
      </c>
      <c r="Q44" s="64">
        <v>6.03</v>
      </c>
      <c r="R44" s="198"/>
      <c r="S44" s="198"/>
      <c r="T44" s="198"/>
      <c r="U44" s="198"/>
    </row>
    <row r="45" spans="1:21" s="12" customFormat="1" x14ac:dyDescent="0.25">
      <c r="A45" s="215" t="s">
        <v>2206</v>
      </c>
      <c r="B45" s="64">
        <v>13.8</v>
      </c>
      <c r="C45" s="64">
        <v>39.29</v>
      </c>
      <c r="D45" s="64">
        <v>33.4</v>
      </c>
      <c r="E45" s="64">
        <v>2.2200000000000002</v>
      </c>
      <c r="F45" s="64">
        <v>3.77</v>
      </c>
      <c r="G45" s="64">
        <v>73.739999999999995</v>
      </c>
      <c r="H45" s="64">
        <v>29.59</v>
      </c>
      <c r="I45" s="64">
        <v>1.5</v>
      </c>
      <c r="J45" s="64">
        <v>0.19</v>
      </c>
      <c r="K45" s="64">
        <v>313.08999999999997</v>
      </c>
      <c r="L45" s="64">
        <v>24.32</v>
      </c>
      <c r="M45" s="64">
        <v>63.63</v>
      </c>
      <c r="N45" s="64">
        <v>530.29999999999995</v>
      </c>
      <c r="O45" s="64">
        <v>0</v>
      </c>
      <c r="P45" s="64">
        <v>0.85</v>
      </c>
      <c r="Q45" s="64">
        <v>5.95</v>
      </c>
      <c r="R45" s="198"/>
      <c r="S45" s="198"/>
      <c r="T45" s="198"/>
      <c r="U45" s="198"/>
    </row>
    <row r="46" spans="1:21" s="12" customFormat="1" x14ac:dyDescent="0.25">
      <c r="A46" s="215" t="s">
        <v>2207</v>
      </c>
      <c r="B46" s="64">
        <v>13.54</v>
      </c>
      <c r="C46" s="64">
        <v>39.28</v>
      </c>
      <c r="D46" s="64">
        <v>33.18</v>
      </c>
      <c r="E46" s="64">
        <v>2.2599999999999998</v>
      </c>
      <c r="F46" s="64">
        <v>4.16</v>
      </c>
      <c r="G46" s="64">
        <v>71.33</v>
      </c>
      <c r="H46" s="64">
        <v>29.5</v>
      </c>
      <c r="I46" s="64">
        <v>1.49</v>
      </c>
      <c r="J46" s="64">
        <v>0.32</v>
      </c>
      <c r="K46" s="64">
        <v>98.56</v>
      </c>
      <c r="L46" s="64">
        <v>24.67</v>
      </c>
      <c r="M46" s="64">
        <v>60.73</v>
      </c>
      <c r="N46" s="64">
        <v>559.29999999999995</v>
      </c>
      <c r="O46" s="64">
        <v>0</v>
      </c>
      <c r="P46" s="64">
        <v>0.86</v>
      </c>
      <c r="Q46" s="64">
        <v>5.91</v>
      </c>
      <c r="R46" s="198"/>
      <c r="S46" s="198"/>
      <c r="T46" s="198"/>
      <c r="U46" s="198"/>
    </row>
    <row r="47" spans="1:21" s="12" customFormat="1" x14ac:dyDescent="0.25">
      <c r="A47" s="215" t="s">
        <v>2208</v>
      </c>
      <c r="B47" s="64">
        <v>12.72</v>
      </c>
      <c r="C47" s="64">
        <v>38.72</v>
      </c>
      <c r="D47" s="64">
        <v>32.21</v>
      </c>
      <c r="E47" s="64">
        <v>2.2999999999999998</v>
      </c>
      <c r="F47" s="64">
        <v>4.68</v>
      </c>
      <c r="G47" s="64">
        <v>71.33</v>
      </c>
      <c r="H47" s="64">
        <v>29.5</v>
      </c>
      <c r="I47" s="64">
        <v>1.48</v>
      </c>
      <c r="J47" s="64">
        <v>0.43</v>
      </c>
      <c r="K47" s="64">
        <v>105.13</v>
      </c>
      <c r="L47" s="64">
        <v>24.5</v>
      </c>
      <c r="M47" s="64">
        <v>59.94</v>
      </c>
      <c r="N47" s="64">
        <v>594.6</v>
      </c>
      <c r="O47" s="64">
        <v>0</v>
      </c>
      <c r="P47" s="64">
        <v>0.85</v>
      </c>
      <c r="Q47" s="64">
        <v>5.93</v>
      </c>
      <c r="R47" s="198"/>
      <c r="S47" s="198"/>
      <c r="T47" s="198"/>
      <c r="U47" s="198"/>
    </row>
    <row r="48" spans="1:21" s="12" customFormat="1" x14ac:dyDescent="0.25">
      <c r="A48" s="215" t="s">
        <v>2209</v>
      </c>
      <c r="B48" s="64">
        <v>11.65</v>
      </c>
      <c r="C48" s="64">
        <v>38.33</v>
      </c>
      <c r="D48" s="64">
        <v>31.14</v>
      </c>
      <c r="E48" s="64">
        <v>2.2400000000000002</v>
      </c>
      <c r="F48" s="64">
        <v>5.86</v>
      </c>
      <c r="G48" s="64">
        <v>71.33</v>
      </c>
      <c r="H48" s="64">
        <v>29.5</v>
      </c>
      <c r="I48" s="64">
        <v>1.52</v>
      </c>
      <c r="J48" s="64">
        <v>0.86</v>
      </c>
      <c r="K48" s="64">
        <v>113.43</v>
      </c>
      <c r="L48" s="64">
        <v>24.31</v>
      </c>
      <c r="M48" s="64">
        <v>57.82</v>
      </c>
      <c r="N48" s="64">
        <v>636.5</v>
      </c>
      <c r="O48" s="64">
        <v>0</v>
      </c>
      <c r="P48" s="64">
        <v>0.84</v>
      </c>
      <c r="Q48" s="64">
        <v>5.88</v>
      </c>
      <c r="R48" s="198"/>
      <c r="S48" s="198"/>
      <c r="T48" s="198"/>
      <c r="U48" s="198"/>
    </row>
    <row r="49" spans="1:21" s="12" customFormat="1" x14ac:dyDescent="0.25">
      <c r="A49" s="215" t="s">
        <v>2210</v>
      </c>
      <c r="B49" s="64">
        <v>10.62</v>
      </c>
      <c r="C49" s="64">
        <v>38.119999999999997</v>
      </c>
      <c r="D49" s="64">
        <v>30.2</v>
      </c>
      <c r="E49" s="64">
        <v>2.3199999999999998</v>
      </c>
      <c r="F49" s="64">
        <v>5.27</v>
      </c>
      <c r="G49" s="64">
        <v>65.489999999999995</v>
      </c>
      <c r="H49" s="64">
        <v>29.54</v>
      </c>
      <c r="I49" s="64">
        <v>1.49</v>
      </c>
      <c r="J49" s="64">
        <v>0.22</v>
      </c>
      <c r="K49" s="64">
        <v>121.7</v>
      </c>
      <c r="L49" s="64">
        <v>24.9</v>
      </c>
      <c r="M49" s="64">
        <v>56.07</v>
      </c>
      <c r="N49" s="64">
        <v>641.4</v>
      </c>
      <c r="O49" s="64">
        <v>0</v>
      </c>
      <c r="P49" s="64">
        <v>0.83</v>
      </c>
      <c r="Q49" s="64">
        <v>5.81</v>
      </c>
      <c r="R49" s="198"/>
      <c r="S49" s="198"/>
      <c r="T49" s="198"/>
      <c r="U49" s="198"/>
    </row>
    <row r="50" spans="1:21" s="12" customFormat="1" x14ac:dyDescent="0.25">
      <c r="A50" s="215" t="s">
        <v>2211</v>
      </c>
      <c r="B50" s="64">
        <v>9.4</v>
      </c>
      <c r="C50" s="64">
        <v>37.799999999999997</v>
      </c>
      <c r="D50" s="64">
        <v>29.04</v>
      </c>
      <c r="E50" s="64">
        <v>2.3199999999999998</v>
      </c>
      <c r="F50" s="64">
        <v>4.67</v>
      </c>
      <c r="G50" s="64">
        <v>61.6</v>
      </c>
      <c r="H50" s="64">
        <v>29.55</v>
      </c>
      <c r="I50" s="64">
        <v>1.53</v>
      </c>
      <c r="J50" s="64">
        <v>0.68</v>
      </c>
      <c r="K50" s="64">
        <v>98.3</v>
      </c>
      <c r="L50" s="64">
        <v>25.87</v>
      </c>
      <c r="M50" s="64">
        <v>50.77</v>
      </c>
      <c r="N50" s="64">
        <v>654.5</v>
      </c>
      <c r="O50" s="64">
        <v>0</v>
      </c>
      <c r="P50" s="64">
        <v>0.83</v>
      </c>
      <c r="Q50" s="64">
        <v>5.65</v>
      </c>
      <c r="R50" s="198"/>
      <c r="S50" s="198"/>
      <c r="T50" s="198"/>
      <c r="U50" s="198"/>
    </row>
    <row r="51" spans="1:21" s="12" customFormat="1" x14ac:dyDescent="0.25">
      <c r="A51" s="215" t="s">
        <v>2212</v>
      </c>
      <c r="B51" s="64">
        <v>9.1199999999999992</v>
      </c>
      <c r="C51" s="64">
        <v>38.119999999999997</v>
      </c>
      <c r="D51" s="64">
        <v>29</v>
      </c>
      <c r="E51" s="64">
        <v>2.21</v>
      </c>
      <c r="F51" s="64">
        <v>5.0999999999999996</v>
      </c>
      <c r="G51" s="64">
        <v>61.6</v>
      </c>
      <c r="H51" s="64">
        <v>29.55</v>
      </c>
      <c r="I51" s="64">
        <v>1.52</v>
      </c>
      <c r="J51" s="64">
        <v>0.41</v>
      </c>
      <c r="K51" s="64">
        <v>63.86</v>
      </c>
      <c r="L51" s="64">
        <v>26.78</v>
      </c>
      <c r="M51" s="64">
        <v>46.66</v>
      </c>
      <c r="N51" s="64">
        <v>637.79999999999995</v>
      </c>
      <c r="O51" s="64">
        <v>0</v>
      </c>
      <c r="P51" s="64">
        <v>0.82</v>
      </c>
      <c r="Q51" s="64">
        <v>5.6</v>
      </c>
      <c r="R51" s="198"/>
      <c r="S51" s="198"/>
      <c r="T51" s="198"/>
      <c r="U51" s="198"/>
    </row>
    <row r="52" spans="1:21" s="12" customFormat="1" x14ac:dyDescent="0.25">
      <c r="A52" s="215" t="s">
        <v>2213</v>
      </c>
      <c r="B52" s="64">
        <v>8.1999999999999993</v>
      </c>
      <c r="C52" s="64">
        <v>38.39</v>
      </c>
      <c r="D52" s="64">
        <v>28.41</v>
      </c>
      <c r="E52" s="64">
        <v>2.2599999999999998</v>
      </c>
      <c r="F52" s="64">
        <v>5.13</v>
      </c>
      <c r="G52" s="64">
        <v>61.6</v>
      </c>
      <c r="H52" s="64">
        <v>29.55</v>
      </c>
      <c r="I52" s="64">
        <v>1.54</v>
      </c>
      <c r="J52" s="64">
        <v>1.67</v>
      </c>
      <c r="K52" s="64">
        <v>112.78</v>
      </c>
      <c r="L52" s="64">
        <v>25.26</v>
      </c>
      <c r="M52" s="64">
        <v>49.17</v>
      </c>
      <c r="N52" s="64">
        <v>694.3</v>
      </c>
      <c r="O52" s="64">
        <v>0</v>
      </c>
      <c r="P52" s="64">
        <v>0.81</v>
      </c>
      <c r="Q52" s="64">
        <v>5.58</v>
      </c>
      <c r="R52" s="198"/>
      <c r="S52" s="198"/>
      <c r="T52" s="198"/>
      <c r="U52" s="198"/>
    </row>
    <row r="53" spans="1:21" s="12" customFormat="1" x14ac:dyDescent="0.25">
      <c r="A53" s="215" t="s">
        <v>2214</v>
      </c>
      <c r="B53" s="64">
        <v>7.5</v>
      </c>
      <c r="C53" s="64">
        <v>37.99</v>
      </c>
      <c r="D53" s="64">
        <v>27.63</v>
      </c>
      <c r="E53" s="64">
        <v>2.33</v>
      </c>
      <c r="F53" s="64">
        <v>6.05</v>
      </c>
      <c r="G53" s="64">
        <v>58.74</v>
      </c>
      <c r="H53" s="64">
        <v>26.95</v>
      </c>
      <c r="I53" s="64">
        <v>1.53</v>
      </c>
      <c r="J53" s="64">
        <v>0.5</v>
      </c>
      <c r="K53" s="64">
        <v>8.91</v>
      </c>
      <c r="L53" s="64">
        <v>27</v>
      </c>
      <c r="M53" s="64">
        <v>44.37</v>
      </c>
      <c r="N53" s="64">
        <v>679</v>
      </c>
      <c r="O53" s="64">
        <v>0</v>
      </c>
      <c r="P53" s="64">
        <v>0.8</v>
      </c>
      <c r="Q53" s="64">
        <v>5.5</v>
      </c>
      <c r="R53" s="198"/>
      <c r="S53" s="198"/>
      <c r="T53" s="198"/>
      <c r="U53" s="198"/>
    </row>
    <row r="54" spans="1:21" s="12" customFormat="1" x14ac:dyDescent="0.25">
      <c r="A54" s="215" t="s">
        <v>2215</v>
      </c>
      <c r="B54" s="64">
        <v>8.24</v>
      </c>
      <c r="C54" s="64">
        <v>39.54</v>
      </c>
      <c r="D54" s="64">
        <v>29.07</v>
      </c>
      <c r="E54" s="64">
        <v>2.34</v>
      </c>
      <c r="F54" s="64">
        <v>6.53</v>
      </c>
      <c r="G54" s="64">
        <v>56.83</v>
      </c>
      <c r="H54" s="64">
        <v>26.31</v>
      </c>
      <c r="I54" s="64">
        <v>1.56</v>
      </c>
      <c r="J54" s="64">
        <v>0.39</v>
      </c>
      <c r="K54" s="64">
        <v>6.9</v>
      </c>
      <c r="L54" s="64">
        <v>27.81</v>
      </c>
      <c r="M54" s="64">
        <v>41.67</v>
      </c>
      <c r="N54" s="64">
        <v>558.6</v>
      </c>
      <c r="O54" s="64">
        <v>0</v>
      </c>
      <c r="P54" s="64">
        <v>0.8</v>
      </c>
      <c r="Q54" s="64">
        <v>5.42</v>
      </c>
      <c r="R54" s="198"/>
      <c r="S54" s="198"/>
      <c r="T54" s="198"/>
      <c r="U54" s="198"/>
    </row>
    <row r="55" spans="1:21" s="12" customFormat="1" x14ac:dyDescent="0.25">
      <c r="A55" s="215" t="s">
        <v>2216</v>
      </c>
      <c r="B55" s="64">
        <v>7.83</v>
      </c>
      <c r="C55" s="64">
        <v>37.520000000000003</v>
      </c>
      <c r="D55" s="64">
        <v>27.64</v>
      </c>
      <c r="E55" s="64">
        <v>2.27</v>
      </c>
      <c r="F55" s="64">
        <v>5.62</v>
      </c>
      <c r="G55" s="64">
        <v>56.83</v>
      </c>
      <c r="H55" s="64">
        <v>26.31</v>
      </c>
      <c r="I55" s="64">
        <v>1.5</v>
      </c>
      <c r="J55" s="64">
        <v>0.81</v>
      </c>
      <c r="K55" s="64">
        <v>343.27</v>
      </c>
      <c r="L55" s="64">
        <v>28.27</v>
      </c>
      <c r="M55" s="64">
        <v>40.74</v>
      </c>
      <c r="N55" s="64">
        <v>609.29999999999995</v>
      </c>
      <c r="O55" s="64">
        <v>0</v>
      </c>
      <c r="P55" s="64">
        <v>0.8</v>
      </c>
      <c r="Q55" s="64">
        <v>5.49</v>
      </c>
      <c r="R55" s="198"/>
      <c r="S55" s="198"/>
      <c r="T55" s="198"/>
      <c r="U55" s="198"/>
    </row>
    <row r="56" spans="1:21" s="12" customFormat="1" x14ac:dyDescent="0.25">
      <c r="A56" s="215" t="s">
        <v>2217</v>
      </c>
      <c r="B56" s="64">
        <v>6.97</v>
      </c>
      <c r="C56" s="64">
        <v>37.47</v>
      </c>
      <c r="D56" s="64">
        <v>26.91</v>
      </c>
      <c r="E56" s="64">
        <v>2.2000000000000002</v>
      </c>
      <c r="F56" s="64">
        <v>6.77</v>
      </c>
      <c r="G56" s="64">
        <v>56.83</v>
      </c>
      <c r="H56" s="64">
        <v>26.31</v>
      </c>
      <c r="I56" s="64">
        <v>1.49</v>
      </c>
      <c r="J56" s="64">
        <v>0.62</v>
      </c>
      <c r="K56" s="64">
        <v>350.82</v>
      </c>
      <c r="L56" s="64">
        <v>29.03</v>
      </c>
      <c r="M56" s="64">
        <v>38.99</v>
      </c>
      <c r="N56" s="64">
        <v>657.8</v>
      </c>
      <c r="O56" s="64">
        <v>0</v>
      </c>
      <c r="P56" s="64">
        <v>0.81</v>
      </c>
      <c r="Q56" s="64">
        <v>5.54</v>
      </c>
      <c r="R56" s="198"/>
      <c r="S56" s="198"/>
      <c r="T56" s="198"/>
      <c r="U56" s="198"/>
    </row>
    <row r="57" spans="1:21" s="12" customFormat="1" x14ac:dyDescent="0.25">
      <c r="A57" s="215" t="s">
        <v>2218</v>
      </c>
      <c r="B57" s="64">
        <v>6.47</v>
      </c>
      <c r="C57" s="64">
        <v>41.08</v>
      </c>
      <c r="D57" s="64">
        <v>28.5</v>
      </c>
      <c r="E57" s="64">
        <v>2.2400000000000002</v>
      </c>
      <c r="F57" s="64">
        <v>5.01</v>
      </c>
      <c r="G57" s="64">
        <v>54.06</v>
      </c>
      <c r="H57" s="64">
        <v>26.84</v>
      </c>
      <c r="I57" s="64">
        <v>1.57</v>
      </c>
      <c r="J57" s="64">
        <v>0.79</v>
      </c>
      <c r="K57" s="64">
        <v>101.66</v>
      </c>
      <c r="L57" s="64">
        <v>26.98</v>
      </c>
      <c r="M57" s="64">
        <v>43.59</v>
      </c>
      <c r="N57" s="64">
        <v>674.9</v>
      </c>
      <c r="O57" s="64">
        <v>0</v>
      </c>
      <c r="P57" s="64">
        <v>0.79</v>
      </c>
      <c r="Q57" s="64">
        <v>5.39</v>
      </c>
      <c r="R57" s="198"/>
      <c r="S57" s="198"/>
      <c r="T57" s="198"/>
      <c r="U57" s="198"/>
    </row>
    <row r="58" spans="1:21" s="12" customFormat="1" x14ac:dyDescent="0.25">
      <c r="A58" s="215" t="s">
        <v>2219</v>
      </c>
      <c r="B58" s="64">
        <v>5.88</v>
      </c>
      <c r="C58" s="64">
        <v>40.72</v>
      </c>
      <c r="D58" s="64">
        <v>27.84</v>
      </c>
      <c r="E58" s="64">
        <v>2.25</v>
      </c>
      <c r="F58" s="64">
        <v>5.99</v>
      </c>
      <c r="G58" s="64">
        <v>52.21</v>
      </c>
      <c r="H58" s="64">
        <v>26.96</v>
      </c>
      <c r="I58" s="64">
        <v>1.52</v>
      </c>
      <c r="J58" s="64">
        <v>1.04</v>
      </c>
      <c r="K58" s="64">
        <v>114.56</v>
      </c>
      <c r="L58" s="64">
        <v>27.07</v>
      </c>
      <c r="M58" s="64">
        <v>42.55</v>
      </c>
      <c r="N58" s="64">
        <v>685.2</v>
      </c>
      <c r="O58" s="64">
        <v>0</v>
      </c>
      <c r="P58" s="64">
        <v>0.77</v>
      </c>
      <c r="Q58" s="64">
        <v>5.38</v>
      </c>
      <c r="R58" s="198"/>
      <c r="S58" s="198"/>
      <c r="T58" s="198"/>
      <c r="U58" s="198"/>
    </row>
    <row r="59" spans="1:21" s="12" customFormat="1" x14ac:dyDescent="0.25">
      <c r="A59" s="215" t="s">
        <v>2220</v>
      </c>
      <c r="B59" s="64">
        <v>5.03</v>
      </c>
      <c r="C59" s="64">
        <v>37.159999999999997</v>
      </c>
      <c r="D59" s="64">
        <v>25.18</v>
      </c>
      <c r="E59" s="64">
        <v>2.2200000000000002</v>
      </c>
      <c r="F59" s="64">
        <v>5.72</v>
      </c>
      <c r="G59" s="64">
        <v>52.21</v>
      </c>
      <c r="H59" s="64">
        <v>26.96</v>
      </c>
      <c r="I59" s="64">
        <v>1.53</v>
      </c>
      <c r="J59" s="64">
        <v>0.59</v>
      </c>
      <c r="K59" s="64">
        <v>8.7100000000000009</v>
      </c>
      <c r="L59" s="64">
        <v>27.69</v>
      </c>
      <c r="M59" s="64">
        <v>41.35</v>
      </c>
      <c r="N59" s="64">
        <v>606.9</v>
      </c>
      <c r="O59" s="64">
        <v>0</v>
      </c>
      <c r="P59" s="64">
        <v>0.75</v>
      </c>
      <c r="Q59" s="64">
        <v>5.47</v>
      </c>
      <c r="R59" s="198"/>
      <c r="S59" s="198"/>
      <c r="T59" s="198"/>
      <c r="U59" s="198"/>
    </row>
    <row r="60" spans="1:21" s="12" customFormat="1" x14ac:dyDescent="0.25">
      <c r="A60" s="215" t="s">
        <v>2221</v>
      </c>
      <c r="B60" s="64">
        <v>4.6399999999999997</v>
      </c>
      <c r="C60" s="64">
        <v>42.2</v>
      </c>
      <c r="D60" s="64">
        <v>27.66</v>
      </c>
      <c r="E60" s="64">
        <v>2.27</v>
      </c>
      <c r="F60" s="64">
        <v>7</v>
      </c>
      <c r="G60" s="64">
        <v>52.21</v>
      </c>
      <c r="H60" s="64">
        <v>26.96</v>
      </c>
      <c r="I60" s="64">
        <v>1.62</v>
      </c>
      <c r="J60" s="64">
        <v>0.93</v>
      </c>
      <c r="K60" s="64">
        <v>109.99</v>
      </c>
      <c r="L60" s="64">
        <v>26.71</v>
      </c>
      <c r="M60" s="64">
        <v>42.68</v>
      </c>
      <c r="N60" s="64">
        <v>409</v>
      </c>
      <c r="O60" s="64">
        <v>0</v>
      </c>
      <c r="P60" s="64">
        <v>0.74</v>
      </c>
      <c r="Q60" s="64">
        <v>5.23</v>
      </c>
      <c r="R60" s="198"/>
      <c r="S60" s="198"/>
      <c r="T60" s="198"/>
      <c r="U60" s="198"/>
    </row>
    <row r="61" spans="1:21" s="12" customFormat="1" x14ac:dyDescent="0.25">
      <c r="A61" s="215" t="s">
        <v>2222</v>
      </c>
      <c r="B61" s="64">
        <v>4.41</v>
      </c>
      <c r="C61" s="64">
        <v>39.450000000000003</v>
      </c>
      <c r="D61" s="64">
        <v>25.95</v>
      </c>
      <c r="E61" s="64">
        <v>2.29</v>
      </c>
      <c r="F61" s="64">
        <v>7.63</v>
      </c>
      <c r="G61" s="64">
        <v>50.41</v>
      </c>
      <c r="H61" s="64">
        <v>26.86</v>
      </c>
      <c r="I61" s="64">
        <v>1.56</v>
      </c>
      <c r="J61" s="64">
        <v>0.83</v>
      </c>
      <c r="K61" s="64">
        <v>330.28</v>
      </c>
      <c r="L61" s="64">
        <v>28.15</v>
      </c>
      <c r="M61" s="64">
        <v>41.3</v>
      </c>
      <c r="N61" s="64">
        <v>606</v>
      </c>
      <c r="O61" s="64">
        <v>0</v>
      </c>
      <c r="P61" s="64">
        <v>0.69</v>
      </c>
      <c r="Q61" s="64">
        <v>5.25</v>
      </c>
      <c r="R61" s="198"/>
      <c r="S61" s="198"/>
      <c r="T61" s="198"/>
      <c r="U61" s="198"/>
    </row>
    <row r="62" spans="1:21" s="12" customFormat="1" x14ac:dyDescent="0.25">
      <c r="A62" s="215" t="s">
        <v>2223</v>
      </c>
      <c r="B62" s="64">
        <v>4.43</v>
      </c>
      <c r="C62" s="64">
        <v>39.520000000000003</v>
      </c>
      <c r="D62" s="64">
        <v>26.01</v>
      </c>
      <c r="E62" s="64">
        <v>2.37</v>
      </c>
      <c r="F62" s="64">
        <v>8.0299999999999994</v>
      </c>
      <c r="G62" s="64">
        <v>49.21</v>
      </c>
      <c r="H62" s="64">
        <v>26.82</v>
      </c>
      <c r="I62" s="64">
        <v>1.5</v>
      </c>
      <c r="J62" s="64">
        <v>0.18</v>
      </c>
      <c r="K62" s="64">
        <v>5.37</v>
      </c>
      <c r="L62" s="64">
        <v>27.93</v>
      </c>
      <c r="M62" s="64">
        <v>40.909999999999997</v>
      </c>
      <c r="N62" s="64">
        <v>276.8</v>
      </c>
      <c r="O62" s="64">
        <v>0</v>
      </c>
      <c r="P62" s="64">
        <v>0.74</v>
      </c>
      <c r="Q62" s="64">
        <v>5.24</v>
      </c>
      <c r="R62" s="198"/>
      <c r="S62" s="198"/>
      <c r="T62" s="198"/>
      <c r="U62" s="198"/>
    </row>
    <row r="63" spans="1:21" s="12" customFormat="1" x14ac:dyDescent="0.25">
      <c r="A63" s="215" t="s">
        <v>2224</v>
      </c>
      <c r="B63" s="64">
        <v>4.5</v>
      </c>
      <c r="C63" s="64">
        <v>41.44</v>
      </c>
      <c r="D63" s="64">
        <v>27.13</v>
      </c>
      <c r="E63" s="64">
        <v>2.52</v>
      </c>
      <c r="F63" s="64">
        <v>5.98</v>
      </c>
      <c r="G63" s="64">
        <v>49.21</v>
      </c>
      <c r="H63" s="64">
        <v>26.82</v>
      </c>
      <c r="I63" s="64">
        <v>1.58</v>
      </c>
      <c r="J63" s="64">
        <v>0.46</v>
      </c>
      <c r="K63" s="64">
        <v>73.81</v>
      </c>
      <c r="L63" s="64">
        <v>27.67</v>
      </c>
      <c r="M63" s="64">
        <v>40.49</v>
      </c>
      <c r="N63" s="64">
        <v>314.8</v>
      </c>
      <c r="O63" s="64">
        <v>0</v>
      </c>
      <c r="P63" s="64">
        <v>0.75</v>
      </c>
      <c r="Q63" s="64">
        <v>5.2</v>
      </c>
      <c r="R63" s="198"/>
      <c r="S63" s="198"/>
      <c r="T63" s="198"/>
      <c r="U63" s="198"/>
    </row>
    <row r="64" spans="1:21" s="12" customFormat="1" x14ac:dyDescent="0.25">
      <c r="A64" s="215" t="s">
        <v>2225</v>
      </c>
      <c r="B64" s="64">
        <v>4.59</v>
      </c>
      <c r="C64" s="64">
        <v>37.840000000000003</v>
      </c>
      <c r="D64" s="64">
        <v>25.2</v>
      </c>
      <c r="E64" s="64">
        <v>2.36</v>
      </c>
      <c r="F64" s="64">
        <v>7.77</v>
      </c>
      <c r="G64" s="64">
        <v>49.21</v>
      </c>
      <c r="H64" s="64">
        <v>26.82</v>
      </c>
      <c r="I64" s="64">
        <v>1.49</v>
      </c>
      <c r="J64" s="64">
        <v>0.2</v>
      </c>
      <c r="K64" s="64">
        <v>104.14</v>
      </c>
      <c r="L64" s="64">
        <v>27.22</v>
      </c>
      <c r="M64" s="64">
        <v>40.31</v>
      </c>
      <c r="N64" s="64">
        <v>270.3</v>
      </c>
      <c r="O64" s="64">
        <v>0</v>
      </c>
      <c r="P64" s="64">
        <v>0.74</v>
      </c>
      <c r="Q64" s="64">
        <v>5.27</v>
      </c>
      <c r="R64" s="198"/>
      <c r="S64" s="198"/>
      <c r="T64" s="198"/>
      <c r="U64" s="198"/>
    </row>
    <row r="65" spans="1:21" s="12" customFormat="1" x14ac:dyDescent="0.25">
      <c r="A65" s="215" t="s">
        <v>2226</v>
      </c>
      <c r="B65" s="64">
        <v>4.59</v>
      </c>
      <c r="C65" s="64">
        <v>40.81</v>
      </c>
      <c r="D65" s="64">
        <v>26.85</v>
      </c>
      <c r="E65" s="64">
        <v>2.4300000000000002</v>
      </c>
      <c r="F65" s="64">
        <v>11.3</v>
      </c>
      <c r="G65" s="64">
        <v>48.24</v>
      </c>
      <c r="H65" s="64">
        <v>20.67</v>
      </c>
      <c r="I65" s="64">
        <v>1.46</v>
      </c>
      <c r="J65" s="64">
        <v>0.47</v>
      </c>
      <c r="K65" s="64">
        <v>87.42</v>
      </c>
      <c r="L65" s="64">
        <v>27.47</v>
      </c>
      <c r="M65" s="64">
        <v>40.44</v>
      </c>
      <c r="N65" s="64">
        <v>232.5</v>
      </c>
      <c r="O65" s="64">
        <v>0</v>
      </c>
      <c r="P65" s="64">
        <v>0.74</v>
      </c>
      <c r="Q65" s="64">
        <v>5.14</v>
      </c>
      <c r="R65" s="198"/>
      <c r="S65" s="198"/>
      <c r="T65" s="198"/>
      <c r="U65" s="198"/>
    </row>
    <row r="66" spans="1:21" s="12" customFormat="1" x14ac:dyDescent="0.25">
      <c r="A66" s="215" t="s">
        <v>2227</v>
      </c>
      <c r="B66" s="64">
        <v>4.1100000000000003</v>
      </c>
      <c r="C66" s="64">
        <v>40.68</v>
      </c>
      <c r="D66" s="64">
        <v>26.39</v>
      </c>
      <c r="E66" s="64">
        <v>2.4300000000000002</v>
      </c>
      <c r="F66" s="64">
        <v>9.36</v>
      </c>
      <c r="G66" s="64">
        <v>47.6</v>
      </c>
      <c r="H66" s="64">
        <v>19.2</v>
      </c>
      <c r="I66" s="64">
        <v>1.55</v>
      </c>
      <c r="J66" s="64">
        <v>1.02</v>
      </c>
      <c r="K66" s="64">
        <v>114.74</v>
      </c>
      <c r="L66" s="64">
        <v>26.01</v>
      </c>
      <c r="M66" s="64">
        <v>43.35</v>
      </c>
      <c r="N66" s="64">
        <v>155.1</v>
      </c>
      <c r="O66" s="64">
        <v>0</v>
      </c>
      <c r="P66" s="64">
        <v>0.73</v>
      </c>
      <c r="Q66" s="64">
        <v>5.0999999999999996</v>
      </c>
      <c r="R66" s="198"/>
      <c r="S66" s="198"/>
      <c r="T66" s="198"/>
      <c r="U66" s="198"/>
    </row>
    <row r="67" spans="1:21" s="12" customFormat="1" x14ac:dyDescent="0.25">
      <c r="A67" s="215" t="s">
        <v>2228</v>
      </c>
      <c r="B67" s="64">
        <v>3.54</v>
      </c>
      <c r="C67" s="64">
        <v>36.22</v>
      </c>
      <c r="D67" s="64">
        <v>23.47</v>
      </c>
      <c r="E67" s="64">
        <v>2.44</v>
      </c>
      <c r="F67" s="64">
        <v>16.57</v>
      </c>
      <c r="G67" s="64">
        <v>47.6</v>
      </c>
      <c r="H67" s="64">
        <v>19.2</v>
      </c>
      <c r="I67" s="64">
        <v>1.5</v>
      </c>
      <c r="J67" s="64">
        <v>0.26</v>
      </c>
      <c r="K67" s="64">
        <v>71.989999999999995</v>
      </c>
      <c r="L67" s="64">
        <v>26.06</v>
      </c>
      <c r="M67" s="64">
        <v>42.41</v>
      </c>
      <c r="N67" s="64">
        <v>137.6</v>
      </c>
      <c r="O67" s="64">
        <v>0</v>
      </c>
      <c r="P67" s="64">
        <v>0.69</v>
      </c>
      <c r="Q67" s="64">
        <v>5.09</v>
      </c>
      <c r="R67" s="198"/>
      <c r="S67" s="198"/>
      <c r="T67" s="198"/>
      <c r="U67" s="198"/>
    </row>
    <row r="68" spans="1:21" s="12" customFormat="1" x14ac:dyDescent="0.25">
      <c r="A68" s="215" t="s">
        <v>2229</v>
      </c>
      <c r="B68" s="64">
        <v>3.99</v>
      </c>
      <c r="C68" s="64">
        <v>41.14</v>
      </c>
      <c r="D68" s="64">
        <v>26.55</v>
      </c>
      <c r="E68" s="64">
        <v>2.68</v>
      </c>
      <c r="F68" s="64">
        <v>11.35</v>
      </c>
      <c r="G68" s="64">
        <v>47.6</v>
      </c>
      <c r="H68" s="64">
        <v>19.2</v>
      </c>
      <c r="I68" s="64">
        <v>1.55</v>
      </c>
      <c r="J68" s="64">
        <v>0.57999999999999996</v>
      </c>
      <c r="K68" s="64">
        <v>353.57</v>
      </c>
      <c r="L68" s="64">
        <v>26.91</v>
      </c>
      <c r="M68" s="64">
        <v>40.729999999999997</v>
      </c>
      <c r="N68" s="64">
        <v>132.1</v>
      </c>
      <c r="O68" s="64">
        <v>0</v>
      </c>
      <c r="P68" s="64">
        <v>0.74</v>
      </c>
      <c r="Q68" s="64">
        <v>5.13</v>
      </c>
      <c r="R68" s="198"/>
      <c r="S68" s="198"/>
      <c r="T68" s="198"/>
      <c r="U68" s="198"/>
    </row>
    <row r="69" spans="1:21" s="12" customFormat="1" x14ac:dyDescent="0.25">
      <c r="A69" s="215" t="s">
        <v>2230</v>
      </c>
      <c r="B69" s="64">
        <v>4.34</v>
      </c>
      <c r="C69" s="64">
        <v>41.28</v>
      </c>
      <c r="D69" s="64">
        <v>26.9</v>
      </c>
      <c r="E69" s="64">
        <v>2.77</v>
      </c>
      <c r="F69" s="64">
        <v>20.399999999999999</v>
      </c>
      <c r="G69" s="64">
        <v>47.09</v>
      </c>
      <c r="H69" s="64">
        <v>21.66</v>
      </c>
      <c r="I69" s="64">
        <v>1.44</v>
      </c>
      <c r="J69" s="64">
        <v>0.47</v>
      </c>
      <c r="K69" s="64">
        <v>359.19</v>
      </c>
      <c r="L69" s="64">
        <v>26.46</v>
      </c>
      <c r="M69" s="64">
        <v>41.72</v>
      </c>
      <c r="N69" s="64">
        <v>119.6</v>
      </c>
      <c r="O69" s="64">
        <v>0</v>
      </c>
      <c r="P69" s="64">
        <v>0.73</v>
      </c>
      <c r="Q69" s="64">
        <v>5.17</v>
      </c>
      <c r="R69" s="198"/>
      <c r="S69" s="198"/>
      <c r="T69" s="198"/>
      <c r="U69" s="198"/>
    </row>
    <row r="70" spans="1:21" s="12" customFormat="1" x14ac:dyDescent="0.25">
      <c r="A70" s="215" t="s">
        <v>2231</v>
      </c>
      <c r="B70" s="64">
        <v>5.04</v>
      </c>
      <c r="C70" s="64">
        <v>43.14</v>
      </c>
      <c r="D70" s="64">
        <v>28.49</v>
      </c>
      <c r="E70" s="64">
        <v>2.88</v>
      </c>
      <c r="F70" s="64">
        <v>13.76</v>
      </c>
      <c r="G70" s="64">
        <v>46.75</v>
      </c>
      <c r="H70" s="64">
        <v>22.26</v>
      </c>
      <c r="I70" s="64">
        <v>1.46</v>
      </c>
      <c r="J70" s="64">
        <v>0.53</v>
      </c>
      <c r="K70" s="64">
        <v>82.11</v>
      </c>
      <c r="L70" s="64">
        <v>26.45</v>
      </c>
      <c r="M70" s="64">
        <v>41.36</v>
      </c>
      <c r="N70" s="64">
        <v>108.9</v>
      </c>
      <c r="O70" s="64">
        <v>0</v>
      </c>
      <c r="P70" s="64">
        <v>0.76</v>
      </c>
      <c r="Q70" s="64">
        <v>4.57</v>
      </c>
      <c r="R70" s="198"/>
      <c r="S70" s="198"/>
      <c r="T70" s="198"/>
      <c r="U70" s="198"/>
    </row>
    <row r="71" spans="1:21" s="12" customFormat="1" x14ac:dyDescent="0.25">
      <c r="A71" s="215" t="s">
        <v>2232</v>
      </c>
      <c r="B71" s="64">
        <v>3.29</v>
      </c>
      <c r="C71" s="64">
        <v>36.33</v>
      </c>
      <c r="D71" s="64">
        <v>23.34</v>
      </c>
      <c r="E71" s="64">
        <v>3.04</v>
      </c>
      <c r="F71" s="64">
        <v>22.92</v>
      </c>
      <c r="G71" s="64">
        <v>46.75</v>
      </c>
      <c r="H71" s="64">
        <v>22.26</v>
      </c>
      <c r="I71" s="64">
        <v>1.43</v>
      </c>
      <c r="J71" s="64">
        <v>0.77</v>
      </c>
      <c r="K71" s="64">
        <v>109.26</v>
      </c>
      <c r="L71" s="64">
        <v>25.57</v>
      </c>
      <c r="M71" s="64">
        <v>42.94</v>
      </c>
      <c r="N71" s="64">
        <v>91.8</v>
      </c>
      <c r="O71" s="64">
        <v>0</v>
      </c>
      <c r="P71" s="64">
        <v>0.68</v>
      </c>
      <c r="Q71" s="64">
        <v>4.96</v>
      </c>
      <c r="R71" s="198"/>
      <c r="S71" s="198"/>
      <c r="T71" s="198"/>
      <c r="U71" s="198"/>
    </row>
    <row r="72" spans="1:21" s="12" customFormat="1" x14ac:dyDescent="0.25">
      <c r="A72" s="215" t="s">
        <v>2233</v>
      </c>
      <c r="B72" s="64">
        <v>5.32</v>
      </c>
      <c r="C72" s="64">
        <v>40.14</v>
      </c>
      <c r="D72" s="64">
        <v>27.06</v>
      </c>
      <c r="E72" s="64">
        <v>2.84</v>
      </c>
      <c r="F72" s="64">
        <v>20.5</v>
      </c>
      <c r="G72" s="64">
        <v>46.75</v>
      </c>
      <c r="H72" s="64">
        <v>22.26</v>
      </c>
      <c r="I72" s="64">
        <v>1.51</v>
      </c>
      <c r="J72" s="64">
        <v>0.31</v>
      </c>
      <c r="K72" s="64">
        <v>25.64</v>
      </c>
      <c r="L72" s="64">
        <v>25.7</v>
      </c>
      <c r="M72" s="64">
        <v>42.95</v>
      </c>
      <c r="N72" s="64">
        <v>78.3</v>
      </c>
      <c r="O72" s="64">
        <v>0</v>
      </c>
      <c r="P72" s="64">
        <v>0.75</v>
      </c>
      <c r="Q72" s="64">
        <v>4.78</v>
      </c>
      <c r="R72" s="198"/>
      <c r="S72" s="198"/>
      <c r="T72" s="198"/>
      <c r="U72" s="198"/>
    </row>
    <row r="73" spans="1:21" s="12" customFormat="1" x14ac:dyDescent="0.25">
      <c r="A73" s="215" t="s">
        <v>2234</v>
      </c>
      <c r="B73" s="64">
        <v>3.63</v>
      </c>
      <c r="C73" s="64">
        <v>36.72</v>
      </c>
      <c r="D73" s="64">
        <v>23.82</v>
      </c>
      <c r="E73" s="64">
        <v>3.44</v>
      </c>
      <c r="F73" s="64">
        <v>24.94</v>
      </c>
      <c r="G73" s="64">
        <v>46.9</v>
      </c>
      <c r="H73" s="64">
        <v>23.02</v>
      </c>
      <c r="I73" s="64">
        <v>1.55</v>
      </c>
      <c r="J73" s="64">
        <v>0.45</v>
      </c>
      <c r="K73" s="64">
        <v>108.81</v>
      </c>
      <c r="L73" s="64">
        <v>25.32</v>
      </c>
      <c r="M73" s="64">
        <v>43.36</v>
      </c>
      <c r="N73" s="64">
        <v>68.400000000000006</v>
      </c>
      <c r="O73" s="64">
        <v>0</v>
      </c>
      <c r="P73" s="64">
        <v>0.68</v>
      </c>
      <c r="Q73" s="64">
        <v>5.03</v>
      </c>
      <c r="R73" s="198"/>
      <c r="S73" s="198"/>
      <c r="T73" s="198"/>
      <c r="U73" s="198"/>
    </row>
    <row r="74" spans="1:21" s="12" customFormat="1" x14ac:dyDescent="0.25">
      <c r="A74" s="215" t="s">
        <v>2235</v>
      </c>
      <c r="B74" s="64">
        <v>4.0599999999999996</v>
      </c>
      <c r="C74" s="64">
        <v>43.55</v>
      </c>
      <c r="D74" s="64">
        <v>27.94</v>
      </c>
      <c r="E74" s="64">
        <v>3.84</v>
      </c>
      <c r="F74" s="64">
        <v>24.71</v>
      </c>
      <c r="G74" s="64">
        <v>47.01</v>
      </c>
      <c r="H74" s="64">
        <v>23.21</v>
      </c>
      <c r="I74" s="64">
        <v>1.46</v>
      </c>
      <c r="J74" s="64">
        <v>0.42</v>
      </c>
      <c r="K74" s="64">
        <v>101.63</v>
      </c>
      <c r="L74" s="64">
        <v>25.07</v>
      </c>
      <c r="M74" s="64">
        <v>44.58</v>
      </c>
      <c r="N74" s="64">
        <v>58.2</v>
      </c>
      <c r="O74" s="64">
        <v>0</v>
      </c>
      <c r="P74" s="64">
        <v>0.7</v>
      </c>
      <c r="Q74" s="64">
        <v>4.93</v>
      </c>
      <c r="R74" s="198"/>
      <c r="S74" s="198"/>
      <c r="T74" s="198"/>
      <c r="U74" s="198"/>
    </row>
    <row r="75" spans="1:21" s="12" customFormat="1" x14ac:dyDescent="0.25">
      <c r="A75" s="215" t="s">
        <v>2236</v>
      </c>
      <c r="B75" s="64">
        <v>3.41</v>
      </c>
      <c r="C75" s="64">
        <v>44.27</v>
      </c>
      <c r="D75" s="64">
        <v>27.81</v>
      </c>
      <c r="E75" s="64">
        <v>4.16</v>
      </c>
      <c r="F75" s="64">
        <v>28.04</v>
      </c>
      <c r="G75" s="64">
        <v>47.01</v>
      </c>
      <c r="H75" s="64">
        <v>23.21</v>
      </c>
      <c r="I75" s="64">
        <v>1.47</v>
      </c>
      <c r="J75" s="64">
        <v>0.27</v>
      </c>
      <c r="K75" s="64">
        <v>96.84</v>
      </c>
      <c r="L75" s="64">
        <v>24.84</v>
      </c>
      <c r="M75" s="64">
        <v>44.36</v>
      </c>
      <c r="N75" s="64">
        <v>47.2</v>
      </c>
      <c r="O75" s="64">
        <v>0</v>
      </c>
      <c r="P75" s="64">
        <v>0.73</v>
      </c>
      <c r="Q75" s="64">
        <v>5.0599999999999996</v>
      </c>
      <c r="R75" s="198"/>
      <c r="S75" s="198"/>
      <c r="T75" s="198"/>
      <c r="U75" s="198"/>
    </row>
    <row r="76" spans="1:21" s="12" customFormat="1" x14ac:dyDescent="0.25">
      <c r="A76" s="215" t="s">
        <v>2237</v>
      </c>
      <c r="B76" s="64">
        <v>5.33</v>
      </c>
      <c r="C76" s="64">
        <v>59.8</v>
      </c>
      <c r="D76" s="64">
        <v>37.93</v>
      </c>
      <c r="E76" s="64">
        <v>4.68</v>
      </c>
      <c r="F76" s="64">
        <v>19.28</v>
      </c>
      <c r="G76" s="64">
        <v>47.01</v>
      </c>
      <c r="H76" s="64">
        <v>23.21</v>
      </c>
      <c r="I76" s="64">
        <v>1.47</v>
      </c>
      <c r="J76" s="64">
        <v>0.04</v>
      </c>
      <c r="K76" s="64">
        <v>40.549999999999997</v>
      </c>
      <c r="L76" s="64">
        <v>24.43</v>
      </c>
      <c r="M76" s="64">
        <v>47.29</v>
      </c>
      <c r="N76" s="64">
        <v>35.4</v>
      </c>
      <c r="O76" s="64">
        <v>0</v>
      </c>
      <c r="P76" s="64">
        <v>0.96</v>
      </c>
      <c r="Q76" s="64">
        <v>4.26</v>
      </c>
      <c r="R76" s="198"/>
      <c r="S76" s="198"/>
      <c r="T76" s="198"/>
      <c r="U76" s="198"/>
    </row>
    <row r="77" spans="1:21" s="12" customFormat="1" x14ac:dyDescent="0.25">
      <c r="A77" s="215" t="s">
        <v>2238</v>
      </c>
      <c r="B77" s="64">
        <v>6.86</v>
      </c>
      <c r="C77" s="64">
        <v>70.64</v>
      </c>
      <c r="D77" s="64">
        <v>45.13</v>
      </c>
      <c r="E77" s="64">
        <v>5.01</v>
      </c>
      <c r="F77" s="64">
        <v>13.43</v>
      </c>
      <c r="G77" s="64">
        <v>46.12</v>
      </c>
      <c r="H77" s="64">
        <v>24.45</v>
      </c>
      <c r="I77" s="64">
        <v>1.48</v>
      </c>
      <c r="J77" s="64">
        <v>0.15</v>
      </c>
      <c r="K77" s="64">
        <v>77.25</v>
      </c>
      <c r="L77" s="64">
        <v>23.59</v>
      </c>
      <c r="M77" s="64">
        <v>55.63</v>
      </c>
      <c r="N77" s="64">
        <v>27.2</v>
      </c>
      <c r="O77" s="64">
        <v>0</v>
      </c>
      <c r="P77" s="64">
        <v>1.21</v>
      </c>
      <c r="Q77" s="64">
        <v>3.14</v>
      </c>
      <c r="R77" s="198"/>
      <c r="S77" s="198"/>
      <c r="T77" s="198"/>
      <c r="U77" s="198"/>
    </row>
    <row r="78" spans="1:21" s="12" customFormat="1" x14ac:dyDescent="0.25">
      <c r="A78" s="215" t="s">
        <v>2239</v>
      </c>
      <c r="B78" s="64">
        <v>4.83</v>
      </c>
      <c r="C78" s="64">
        <v>57.69</v>
      </c>
      <c r="D78" s="64">
        <v>36.35</v>
      </c>
      <c r="E78" s="64">
        <v>5.01</v>
      </c>
      <c r="F78" s="64">
        <v>19.239999999999998</v>
      </c>
      <c r="G78" s="64">
        <v>45.53</v>
      </c>
      <c r="H78" s="64">
        <v>24.99</v>
      </c>
      <c r="I78" s="64">
        <v>1.47</v>
      </c>
      <c r="J78" s="64">
        <v>0.17</v>
      </c>
      <c r="K78" s="64">
        <v>74.59</v>
      </c>
      <c r="L78" s="64">
        <v>23.15</v>
      </c>
      <c r="M78" s="64">
        <v>58.55</v>
      </c>
      <c r="N78" s="64">
        <v>24</v>
      </c>
      <c r="O78" s="64">
        <v>0</v>
      </c>
      <c r="P78" s="64">
        <v>0.91</v>
      </c>
      <c r="Q78" s="64">
        <v>3.34</v>
      </c>
      <c r="R78" s="198"/>
      <c r="S78" s="198"/>
      <c r="T78" s="198"/>
      <c r="U78" s="198"/>
    </row>
    <row r="79" spans="1:21" s="12" customFormat="1" x14ac:dyDescent="0.25">
      <c r="A79" s="215" t="s">
        <v>2240</v>
      </c>
      <c r="B79" s="64">
        <v>5.25</v>
      </c>
      <c r="C79" s="64">
        <v>58.72</v>
      </c>
      <c r="D79" s="64">
        <v>37.26</v>
      </c>
      <c r="E79" s="64">
        <v>4.78</v>
      </c>
      <c r="F79" s="64">
        <v>17.38</v>
      </c>
      <c r="G79" s="64">
        <v>45.53</v>
      </c>
      <c r="H79" s="64">
        <v>24.99</v>
      </c>
      <c r="I79" s="64">
        <v>1.6</v>
      </c>
      <c r="J79" s="64">
        <v>0.15</v>
      </c>
      <c r="K79" s="64">
        <v>81.86</v>
      </c>
      <c r="L79" s="64">
        <v>22.88</v>
      </c>
      <c r="M79" s="64">
        <v>60.45</v>
      </c>
      <c r="N79" s="64">
        <v>23.4</v>
      </c>
      <c r="O79" s="64">
        <v>0</v>
      </c>
      <c r="P79" s="64">
        <v>0.99</v>
      </c>
      <c r="Q79" s="64">
        <v>3.2</v>
      </c>
      <c r="R79" s="198"/>
      <c r="S79" s="198"/>
      <c r="T79" s="198"/>
      <c r="U79" s="198"/>
    </row>
    <row r="80" spans="1:21" s="12" customFormat="1" x14ac:dyDescent="0.25">
      <c r="A80" s="215" t="s">
        <v>2241</v>
      </c>
      <c r="B80" s="64">
        <v>25.72</v>
      </c>
      <c r="C80" s="64">
        <v>72.7</v>
      </c>
      <c r="D80" s="64">
        <v>61.39</v>
      </c>
      <c r="E80" s="64">
        <v>4.49</v>
      </c>
      <c r="F80" s="64">
        <v>9.9</v>
      </c>
      <c r="G80" s="64">
        <v>45.53</v>
      </c>
      <c r="H80" s="64">
        <v>24.99</v>
      </c>
      <c r="I80" s="64">
        <v>1.45</v>
      </c>
      <c r="J80" s="64">
        <v>0.11</v>
      </c>
      <c r="K80" s="64">
        <v>17.170000000000002</v>
      </c>
      <c r="L80" s="64">
        <v>22.62</v>
      </c>
      <c r="M80" s="64">
        <v>64.22</v>
      </c>
      <c r="N80" s="64">
        <v>23.6</v>
      </c>
      <c r="O80" s="64">
        <v>0</v>
      </c>
      <c r="P80" s="64">
        <v>1.69</v>
      </c>
      <c r="Q80" s="64">
        <v>2.94</v>
      </c>
      <c r="R80" s="198"/>
      <c r="S80" s="198"/>
      <c r="T80" s="198"/>
      <c r="U80" s="198"/>
    </row>
    <row r="81" spans="1:26" s="12" customFormat="1" x14ac:dyDescent="0.25">
      <c r="A81" s="215" t="s">
        <v>2242</v>
      </c>
      <c r="B81" s="64">
        <v>18.07</v>
      </c>
      <c r="C81" s="64">
        <v>67.97</v>
      </c>
      <c r="D81" s="64">
        <v>52.65</v>
      </c>
      <c r="E81" s="64">
        <v>4.0199999999999996</v>
      </c>
      <c r="F81" s="64">
        <v>4.6100000000000003</v>
      </c>
      <c r="G81" s="64">
        <v>52.72</v>
      </c>
      <c r="H81" s="64">
        <v>25.42</v>
      </c>
      <c r="I81" s="64">
        <v>1.56</v>
      </c>
      <c r="J81" s="64">
        <v>0.08</v>
      </c>
      <c r="K81" s="64">
        <v>255.65</v>
      </c>
      <c r="L81" s="64">
        <v>22.21</v>
      </c>
      <c r="M81" s="64">
        <v>59.65</v>
      </c>
      <c r="N81" s="64">
        <v>23.6</v>
      </c>
      <c r="O81" s="64">
        <v>0</v>
      </c>
      <c r="P81" s="64">
        <v>1.52</v>
      </c>
      <c r="Q81" s="64">
        <v>2.0299999999999998</v>
      </c>
      <c r="R81" s="198"/>
      <c r="S81" s="198"/>
      <c r="T81" s="198"/>
      <c r="U81" s="198"/>
    </row>
    <row r="82" spans="1:26" s="12" customFormat="1" x14ac:dyDescent="0.25">
      <c r="A82" s="215" t="s">
        <v>2243</v>
      </c>
      <c r="B82" s="64">
        <v>21.65</v>
      </c>
      <c r="C82" s="64">
        <v>57.58</v>
      </c>
      <c r="D82" s="64">
        <v>49.78</v>
      </c>
      <c r="E82" s="64">
        <v>3.7</v>
      </c>
      <c r="F82" s="64">
        <v>5.26</v>
      </c>
      <c r="G82" s="64">
        <v>57.51</v>
      </c>
      <c r="H82" s="64">
        <v>25.53</v>
      </c>
      <c r="I82" s="64">
        <v>1.45</v>
      </c>
      <c r="J82" s="64">
        <v>0.2</v>
      </c>
      <c r="K82" s="64">
        <v>347.34</v>
      </c>
      <c r="L82" s="64">
        <v>21.9</v>
      </c>
      <c r="M82" s="64">
        <v>64.88</v>
      </c>
      <c r="N82" s="64">
        <v>23.5</v>
      </c>
      <c r="O82" s="64">
        <v>0</v>
      </c>
      <c r="P82" s="64">
        <v>1.61</v>
      </c>
      <c r="Q82" s="64">
        <v>2.09</v>
      </c>
      <c r="R82" s="198"/>
      <c r="S82" s="198"/>
      <c r="T82" s="198"/>
      <c r="U82" s="198"/>
    </row>
    <row r="83" spans="1:26" s="12" customFormat="1" x14ac:dyDescent="0.25">
      <c r="A83" s="215" t="s">
        <v>2244</v>
      </c>
      <c r="B83" s="64">
        <v>38.47</v>
      </c>
      <c r="C83" s="64">
        <v>74.900000000000006</v>
      </c>
      <c r="D83" s="64">
        <v>72.83</v>
      </c>
      <c r="E83" s="64">
        <v>3.55</v>
      </c>
      <c r="F83" s="64">
        <v>4.17</v>
      </c>
      <c r="G83" s="64">
        <v>57.51</v>
      </c>
      <c r="H83" s="64">
        <v>25.53</v>
      </c>
      <c r="I83" s="64">
        <v>1.56</v>
      </c>
      <c r="J83" s="64">
        <v>0.13</v>
      </c>
      <c r="K83" s="64">
        <v>349.21</v>
      </c>
      <c r="L83" s="64">
        <v>21.47</v>
      </c>
      <c r="M83" s="64">
        <v>69.2</v>
      </c>
      <c r="N83" s="64">
        <v>23.3</v>
      </c>
      <c r="O83" s="64">
        <v>0</v>
      </c>
      <c r="P83" s="64">
        <v>2.62</v>
      </c>
      <c r="Q83" s="64">
        <v>1.95</v>
      </c>
      <c r="R83" s="198"/>
      <c r="S83" s="198"/>
      <c r="T83" s="198"/>
      <c r="U83" s="198"/>
    </row>
    <row r="84" spans="1:26" s="12" customFormat="1" x14ac:dyDescent="0.25">
      <c r="A84" s="215" t="s">
        <v>2245</v>
      </c>
      <c r="B84" s="64">
        <v>22.13</v>
      </c>
      <c r="C84" s="64">
        <v>56.93</v>
      </c>
      <c r="D84" s="64">
        <v>49.81</v>
      </c>
      <c r="E84" s="64">
        <v>3.12</v>
      </c>
      <c r="F84" s="64">
        <v>3.7</v>
      </c>
      <c r="G84" s="64">
        <v>57.51</v>
      </c>
      <c r="H84" s="64">
        <v>25.53</v>
      </c>
      <c r="I84" s="64">
        <v>1.4</v>
      </c>
      <c r="J84" s="64">
        <v>7.0000000000000007E-2</v>
      </c>
      <c r="K84" s="64">
        <v>318.66000000000003</v>
      </c>
      <c r="L84" s="64">
        <v>21.2</v>
      </c>
      <c r="M84" s="64">
        <v>68.77</v>
      </c>
      <c r="N84" s="64">
        <v>23.4</v>
      </c>
      <c r="O84" s="64">
        <v>0</v>
      </c>
      <c r="P84" s="64">
        <v>1.78</v>
      </c>
      <c r="Q84" s="64">
        <v>3.79</v>
      </c>
      <c r="R84" s="198"/>
      <c r="S84" s="198"/>
      <c r="T84" s="198"/>
      <c r="U84" s="198"/>
    </row>
    <row r="85" spans="1:26" s="12" customFormat="1" x14ac:dyDescent="0.25">
      <c r="A85" s="215" t="s">
        <v>2246</v>
      </c>
      <c r="B85" s="64">
        <v>29.89</v>
      </c>
      <c r="C85" s="64">
        <v>69.010000000000005</v>
      </c>
      <c r="D85" s="64">
        <v>62.7</v>
      </c>
      <c r="E85" s="64">
        <v>3.15</v>
      </c>
      <c r="F85" s="64">
        <v>3.73</v>
      </c>
      <c r="G85" s="64">
        <v>72.319999999999993</v>
      </c>
      <c r="H85" s="64">
        <v>33.020000000000003</v>
      </c>
      <c r="I85" s="64">
        <v>1.53</v>
      </c>
      <c r="J85" s="64">
        <v>0.11</v>
      </c>
      <c r="K85" s="64">
        <v>358.53</v>
      </c>
      <c r="L85" s="64">
        <v>21.08</v>
      </c>
      <c r="M85" s="64">
        <v>68.069999999999993</v>
      </c>
      <c r="N85" s="64">
        <v>23.2</v>
      </c>
      <c r="O85" s="64">
        <v>0</v>
      </c>
      <c r="P85" s="64">
        <v>1.94</v>
      </c>
      <c r="Q85" s="64">
        <v>4.07</v>
      </c>
      <c r="R85" s="198"/>
      <c r="S85" s="198"/>
      <c r="T85" s="198"/>
      <c r="U85" s="198"/>
    </row>
    <row r="86" spans="1:26" s="12" customFormat="1" x14ac:dyDescent="0.25">
      <c r="A86" s="215" t="s">
        <v>2247</v>
      </c>
      <c r="B86" s="64">
        <v>32.35</v>
      </c>
      <c r="C86" s="64">
        <v>66.599999999999994</v>
      </c>
      <c r="D86" s="64">
        <v>63.34</v>
      </c>
      <c r="E86" s="64">
        <v>3.16</v>
      </c>
      <c r="F86" s="64">
        <v>3.61</v>
      </c>
      <c r="G86" s="64">
        <v>82.19</v>
      </c>
      <c r="H86" s="64">
        <v>34.86</v>
      </c>
      <c r="I86" s="64">
        <v>1.44</v>
      </c>
      <c r="J86" s="64">
        <v>0.04</v>
      </c>
      <c r="K86" s="64">
        <v>184.52</v>
      </c>
      <c r="L86" s="64">
        <v>21.18</v>
      </c>
      <c r="M86" s="64">
        <v>63.37</v>
      </c>
      <c r="N86" s="64">
        <v>23.1</v>
      </c>
      <c r="O86" s="64">
        <v>0</v>
      </c>
      <c r="P86" s="64">
        <v>2.14</v>
      </c>
      <c r="Q86" s="64">
        <v>2.58</v>
      </c>
      <c r="R86" s="198"/>
      <c r="S86" s="198"/>
      <c r="T86" s="198"/>
      <c r="U86" s="198"/>
    </row>
    <row r="87" spans="1:26" s="12" customFormat="1" x14ac:dyDescent="0.25">
      <c r="A87" s="215" t="s">
        <v>2248</v>
      </c>
      <c r="B87" s="64">
        <v>53.44</v>
      </c>
      <c r="C87" s="64">
        <v>87.36</v>
      </c>
      <c r="D87" s="64">
        <v>91.72</v>
      </c>
      <c r="E87" s="64">
        <v>3.26</v>
      </c>
      <c r="F87" s="64">
        <v>3.3</v>
      </c>
      <c r="G87" s="64">
        <v>82.19</v>
      </c>
      <c r="H87" s="64">
        <v>34.86</v>
      </c>
      <c r="I87" s="64">
        <v>1.54</v>
      </c>
      <c r="J87" s="64">
        <v>0.05</v>
      </c>
      <c r="K87" s="64">
        <v>17.2</v>
      </c>
      <c r="L87" s="64">
        <v>21.12</v>
      </c>
      <c r="M87" s="64">
        <v>64.05</v>
      </c>
      <c r="N87" s="64">
        <v>23.1</v>
      </c>
      <c r="O87" s="64">
        <v>0</v>
      </c>
      <c r="P87" s="64">
        <v>2.7</v>
      </c>
      <c r="Q87" s="64">
        <v>2.37</v>
      </c>
      <c r="R87" s="198"/>
      <c r="S87" s="198"/>
      <c r="T87" s="198"/>
      <c r="U87" s="198"/>
    </row>
    <row r="88" spans="1:26" s="12" customFormat="1" x14ac:dyDescent="0.25">
      <c r="A88" s="215" t="s">
        <v>2249</v>
      </c>
      <c r="B88" s="64">
        <v>41.75</v>
      </c>
      <c r="C88" s="64">
        <v>59.21</v>
      </c>
      <c r="D88" s="64">
        <v>66.8</v>
      </c>
      <c r="E88" s="64">
        <v>2.64</v>
      </c>
      <c r="F88" s="64">
        <v>3.36</v>
      </c>
      <c r="G88" s="64">
        <v>82.19</v>
      </c>
      <c r="H88" s="64">
        <v>34.86</v>
      </c>
      <c r="I88" s="64">
        <v>1.45</v>
      </c>
      <c r="J88" s="64">
        <v>0.12</v>
      </c>
      <c r="K88" s="64">
        <v>353.79</v>
      </c>
      <c r="L88" s="64">
        <v>20.94</v>
      </c>
      <c r="M88" s="64">
        <v>69.27</v>
      </c>
      <c r="N88" s="64">
        <v>23.3</v>
      </c>
      <c r="O88" s="64">
        <v>0</v>
      </c>
      <c r="P88" s="64">
        <v>2.38</v>
      </c>
      <c r="Q88" s="64">
        <v>4.42</v>
      </c>
      <c r="R88" s="198"/>
      <c r="S88" s="198"/>
      <c r="T88" s="198"/>
      <c r="U88" s="198"/>
    </row>
    <row r="89" spans="1:26" s="12" customFormat="1" x14ac:dyDescent="0.25">
      <c r="A89" s="215" t="s">
        <v>2250</v>
      </c>
      <c r="B89" s="64">
        <v>44.45</v>
      </c>
      <c r="C89" s="64">
        <v>63.18</v>
      </c>
      <c r="D89" s="64">
        <v>71.16</v>
      </c>
      <c r="E89" s="64">
        <v>2.89</v>
      </c>
      <c r="F89" s="64">
        <v>3.38</v>
      </c>
      <c r="G89" s="64">
        <v>96.08</v>
      </c>
      <c r="H89" s="64">
        <v>39.14</v>
      </c>
      <c r="I89" s="64">
        <v>1.46</v>
      </c>
      <c r="J89" s="64">
        <v>0.14000000000000001</v>
      </c>
      <c r="K89" s="64">
        <v>73.760000000000005</v>
      </c>
      <c r="L89" s="64">
        <v>21</v>
      </c>
      <c r="M89" s="64">
        <v>65.59</v>
      </c>
      <c r="N89" s="64">
        <v>22.9</v>
      </c>
      <c r="O89" s="64">
        <v>0</v>
      </c>
      <c r="P89" s="64">
        <v>2.5</v>
      </c>
      <c r="Q89" s="64">
        <v>3.85</v>
      </c>
      <c r="R89" s="198"/>
      <c r="S89" s="198"/>
      <c r="T89" s="198"/>
      <c r="U89" s="198"/>
    </row>
    <row r="90" spans="1:26" s="12" customFormat="1" x14ac:dyDescent="0.25">
      <c r="A90" s="215" t="s">
        <v>2251</v>
      </c>
      <c r="B90" s="64">
        <v>55.11</v>
      </c>
      <c r="C90" s="64">
        <v>74.73</v>
      </c>
      <c r="D90" s="64">
        <v>86.08</v>
      </c>
      <c r="E90" s="64">
        <v>3.01</v>
      </c>
      <c r="F90" s="64">
        <v>3.46</v>
      </c>
      <c r="G90" s="64">
        <v>105.34</v>
      </c>
      <c r="H90" s="64">
        <v>40.19</v>
      </c>
      <c r="I90" s="64">
        <v>1.52</v>
      </c>
      <c r="J90" s="64">
        <v>0.14000000000000001</v>
      </c>
      <c r="K90" s="64">
        <v>3.63</v>
      </c>
      <c r="L90" s="64">
        <v>21.05</v>
      </c>
      <c r="M90" s="64">
        <v>67.08</v>
      </c>
      <c r="N90" s="64">
        <v>23.2</v>
      </c>
      <c r="O90" s="64">
        <v>0</v>
      </c>
      <c r="P90" s="64">
        <v>3.13</v>
      </c>
      <c r="Q90" s="64">
        <v>3.73</v>
      </c>
      <c r="R90" s="198"/>
      <c r="S90" s="198"/>
      <c r="T90" s="198"/>
      <c r="U90" s="198"/>
    </row>
    <row r="91" spans="1:26" s="12" customFormat="1" x14ac:dyDescent="0.25">
      <c r="A91" s="215" t="s">
        <v>2252</v>
      </c>
      <c r="B91" s="64">
        <v>39.47</v>
      </c>
      <c r="C91" s="64">
        <v>68.95</v>
      </c>
      <c r="D91" s="64">
        <v>70.349999999999994</v>
      </c>
      <c r="E91" s="64">
        <v>2.8</v>
      </c>
      <c r="F91" s="64">
        <v>3.45</v>
      </c>
      <c r="G91" s="64">
        <v>105.34</v>
      </c>
      <c r="H91" s="64">
        <v>40.19</v>
      </c>
      <c r="I91" s="64">
        <v>1.51</v>
      </c>
      <c r="J91" s="6" t="s">
        <v>42</v>
      </c>
      <c r="K91" s="64">
        <v>58.71</v>
      </c>
      <c r="L91" s="64">
        <v>20.75</v>
      </c>
      <c r="M91" s="64">
        <v>65.38</v>
      </c>
      <c r="N91" s="64">
        <v>23.2</v>
      </c>
      <c r="O91" s="64">
        <v>0</v>
      </c>
      <c r="P91" s="64">
        <v>2.64</v>
      </c>
      <c r="Q91" s="64">
        <v>7.2</v>
      </c>
      <c r="R91" s="198"/>
      <c r="S91" s="198"/>
      <c r="T91" s="198"/>
      <c r="U91" s="198"/>
    </row>
    <row r="92" spans="1:26" s="12" customFormat="1" x14ac:dyDescent="0.25">
      <c r="A92" s="215" t="s">
        <v>2253</v>
      </c>
      <c r="B92" s="64">
        <v>39.36</v>
      </c>
      <c r="C92" s="64">
        <v>70.42</v>
      </c>
      <c r="D92" s="64">
        <v>71.069999999999993</v>
      </c>
      <c r="E92" s="64">
        <v>2.85</v>
      </c>
      <c r="F92" s="64">
        <v>3.42</v>
      </c>
      <c r="G92" s="64">
        <v>105.34</v>
      </c>
      <c r="H92" s="64">
        <v>40.19</v>
      </c>
      <c r="I92" s="64">
        <v>1.49</v>
      </c>
      <c r="J92" s="64">
        <v>0.14000000000000001</v>
      </c>
      <c r="K92" s="64">
        <v>112.89</v>
      </c>
      <c r="L92" s="64">
        <v>20.84</v>
      </c>
      <c r="M92" s="64">
        <v>63.85</v>
      </c>
      <c r="N92" s="64">
        <v>22.8</v>
      </c>
      <c r="O92" s="64">
        <v>0</v>
      </c>
      <c r="P92" s="64">
        <v>2.66</v>
      </c>
      <c r="Q92" s="64">
        <v>8.0399999999999991</v>
      </c>
      <c r="R92" s="198"/>
      <c r="S92" s="198"/>
      <c r="T92" s="198"/>
      <c r="U92" s="198"/>
    </row>
    <row r="93" spans="1:26" s="12" customFormat="1" x14ac:dyDescent="0.25">
      <c r="A93" s="215" t="s">
        <v>2254</v>
      </c>
      <c r="B93" s="64">
        <v>33.76</v>
      </c>
      <c r="C93" s="64">
        <v>63.76</v>
      </c>
      <c r="D93" s="64">
        <v>62.91</v>
      </c>
      <c r="E93" s="64">
        <v>2.86</v>
      </c>
      <c r="F93" s="64">
        <v>4.5599999999999996</v>
      </c>
      <c r="G93" s="64">
        <v>106.48</v>
      </c>
      <c r="H93" s="64">
        <v>42.12</v>
      </c>
      <c r="I93" s="64">
        <v>1.49</v>
      </c>
      <c r="J93" s="64">
        <v>0.05</v>
      </c>
      <c r="K93" s="64">
        <v>290.20999999999998</v>
      </c>
      <c r="L93" s="64">
        <v>20.85</v>
      </c>
      <c r="M93" s="64">
        <v>64.180000000000007</v>
      </c>
      <c r="N93" s="64">
        <v>23.1</v>
      </c>
      <c r="O93" s="64">
        <v>0</v>
      </c>
      <c r="P93" s="64">
        <v>2.54</v>
      </c>
      <c r="Q93" s="64">
        <v>8.52</v>
      </c>
      <c r="R93" s="198"/>
      <c r="S93" s="198"/>
      <c r="T93" s="198"/>
      <c r="U93" s="198"/>
    </row>
    <row r="94" spans="1:26" s="12" customFormat="1" x14ac:dyDescent="0.25">
      <c r="A94" s="215" t="s">
        <v>2255</v>
      </c>
      <c r="B94" s="64">
        <v>43.79</v>
      </c>
      <c r="C94" s="64">
        <v>61.21</v>
      </c>
      <c r="D94" s="64">
        <v>69.55</v>
      </c>
      <c r="E94" s="64">
        <v>2.78</v>
      </c>
      <c r="F94" s="64">
        <v>3.38</v>
      </c>
      <c r="G94" s="64">
        <v>107.24</v>
      </c>
      <c r="H94" s="64">
        <v>42.96</v>
      </c>
      <c r="I94" s="64">
        <v>1.47</v>
      </c>
      <c r="J94" s="64">
        <v>0.03</v>
      </c>
      <c r="K94" s="64">
        <v>314.91000000000003</v>
      </c>
      <c r="L94" s="64">
        <v>20.27</v>
      </c>
      <c r="M94" s="64">
        <v>68.3</v>
      </c>
      <c r="N94" s="64">
        <v>23.7</v>
      </c>
      <c r="O94" s="64">
        <v>0</v>
      </c>
      <c r="P94" s="64">
        <v>2.65</v>
      </c>
      <c r="Q94" s="64">
        <v>8.09</v>
      </c>
      <c r="R94" s="198"/>
      <c r="S94" s="198"/>
      <c r="T94" s="198"/>
      <c r="U94" s="198"/>
    </row>
    <row r="95" spans="1:26" s="12" customFormat="1" x14ac:dyDescent="0.25">
      <c r="A95" s="215" t="s">
        <v>2256</v>
      </c>
      <c r="B95" s="64">
        <v>56.27</v>
      </c>
      <c r="C95" s="64">
        <v>58.94</v>
      </c>
      <c r="D95" s="64">
        <v>78.290000000000006</v>
      </c>
      <c r="E95" s="64">
        <v>2.71</v>
      </c>
      <c r="F95" s="64">
        <v>3.17</v>
      </c>
      <c r="G95" s="64">
        <v>107.24</v>
      </c>
      <c r="H95" s="64">
        <v>42.96</v>
      </c>
      <c r="I95" s="64">
        <v>1.46</v>
      </c>
      <c r="J95" s="64">
        <v>0.11</v>
      </c>
      <c r="K95" s="64">
        <v>308.99</v>
      </c>
      <c r="L95" s="64">
        <v>19.7</v>
      </c>
      <c r="M95" s="64">
        <v>73.91</v>
      </c>
      <c r="N95" s="64">
        <v>23.5</v>
      </c>
      <c r="O95" s="64">
        <v>0</v>
      </c>
      <c r="P95" s="64">
        <v>2.74</v>
      </c>
      <c r="Q95" s="64">
        <v>7.22</v>
      </c>
      <c r="R95" s="198"/>
      <c r="S95" s="198"/>
      <c r="T95" s="198"/>
      <c r="U95" s="198"/>
    </row>
    <row r="96" spans="1:26" s="12" customFormat="1" x14ac:dyDescent="0.25">
      <c r="A96" s="215" t="s">
        <v>2257</v>
      </c>
      <c r="B96" s="64">
        <v>56.55</v>
      </c>
      <c r="C96" s="64">
        <v>58.03</v>
      </c>
      <c r="D96" s="64">
        <v>78.02</v>
      </c>
      <c r="E96" s="64">
        <v>2.69</v>
      </c>
      <c r="F96" s="64">
        <v>3.11</v>
      </c>
      <c r="G96" s="64">
        <v>107.24</v>
      </c>
      <c r="H96" s="64">
        <v>42.96</v>
      </c>
      <c r="I96" s="64">
        <v>1.55</v>
      </c>
      <c r="J96" s="64">
        <v>0.08</v>
      </c>
      <c r="K96" s="64">
        <v>305.63</v>
      </c>
      <c r="L96" s="64">
        <v>19.48</v>
      </c>
      <c r="M96" s="64">
        <v>73.790000000000006</v>
      </c>
      <c r="N96" s="64">
        <v>23.1</v>
      </c>
      <c r="O96" s="64">
        <v>0</v>
      </c>
      <c r="P96" s="64">
        <v>2.8</v>
      </c>
      <c r="Q96" s="64">
        <v>6.42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2258</v>
      </c>
      <c r="B97" s="64">
        <v>52.85</v>
      </c>
      <c r="C97" s="64">
        <v>60.38</v>
      </c>
      <c r="D97" s="64">
        <v>76.349999999999994</v>
      </c>
      <c r="E97" s="64">
        <v>2.76</v>
      </c>
      <c r="F97" s="64">
        <v>3.77</v>
      </c>
      <c r="G97" s="64">
        <v>105.93</v>
      </c>
      <c r="H97" s="64">
        <v>43.29</v>
      </c>
      <c r="I97" s="64">
        <v>1.46</v>
      </c>
      <c r="J97" s="64">
        <v>7.0000000000000007E-2</v>
      </c>
      <c r="K97" s="64">
        <v>288.27</v>
      </c>
      <c r="L97" s="64">
        <v>19.829999999999998</v>
      </c>
      <c r="M97" s="64">
        <v>69.709999999999994</v>
      </c>
      <c r="N97" s="64">
        <v>22.9</v>
      </c>
      <c r="O97" s="64">
        <v>0</v>
      </c>
      <c r="P97" s="64">
        <v>2.69</v>
      </c>
      <c r="Q97" s="64">
        <v>8.7200000000000006</v>
      </c>
      <c r="R97" s="198"/>
      <c r="S97" s="198"/>
      <c r="T97" s="198"/>
      <c r="U97" s="198"/>
    </row>
    <row r="98" spans="1:33" s="12" customFormat="1" x14ac:dyDescent="0.25">
      <c r="A98" s="215" t="s">
        <v>2259</v>
      </c>
      <c r="B98" s="64">
        <v>62.32</v>
      </c>
      <c r="C98" s="64">
        <v>55.77</v>
      </c>
      <c r="D98" s="64">
        <v>81.400000000000006</v>
      </c>
      <c r="E98" s="64">
        <v>2.73</v>
      </c>
      <c r="F98" s="64">
        <v>3.35</v>
      </c>
      <c r="G98" s="64">
        <v>105.06</v>
      </c>
      <c r="H98" s="64">
        <v>43.37</v>
      </c>
      <c r="I98" s="64">
        <v>1.45</v>
      </c>
      <c r="J98" s="64">
        <v>0.09</v>
      </c>
      <c r="K98" s="64">
        <v>340.98</v>
      </c>
      <c r="L98" s="64">
        <v>19.64</v>
      </c>
      <c r="M98" s="64">
        <v>72.5</v>
      </c>
      <c r="N98" s="64">
        <v>23.6</v>
      </c>
      <c r="O98" s="64">
        <v>0</v>
      </c>
      <c r="P98" s="64">
        <v>2.82</v>
      </c>
      <c r="Q98" s="64">
        <v>7.56</v>
      </c>
      <c r="R98" s="198"/>
      <c r="S98" s="198"/>
      <c r="T98" s="198"/>
      <c r="U98" s="198"/>
    </row>
    <row r="99" spans="1:33" s="12" customFormat="1" x14ac:dyDescent="0.25">
      <c r="A99" s="215" t="s">
        <v>2260</v>
      </c>
      <c r="B99" s="64">
        <v>68.56</v>
      </c>
      <c r="C99" s="64">
        <v>61.36</v>
      </c>
      <c r="D99" s="64">
        <v>89.49</v>
      </c>
      <c r="E99" s="64">
        <v>2.86</v>
      </c>
      <c r="F99" s="64">
        <v>3.27</v>
      </c>
      <c r="G99" s="64">
        <v>105.06</v>
      </c>
      <c r="H99" s="64">
        <v>43.37</v>
      </c>
      <c r="I99" s="64">
        <v>1.5</v>
      </c>
      <c r="J99" s="64">
        <v>0.19</v>
      </c>
      <c r="K99" s="64">
        <v>325.83999999999997</v>
      </c>
      <c r="L99" s="64">
        <v>19.149999999999999</v>
      </c>
      <c r="M99" s="64">
        <v>76.790000000000006</v>
      </c>
      <c r="N99" s="64">
        <v>23.2</v>
      </c>
      <c r="O99" s="64">
        <v>0</v>
      </c>
      <c r="P99" s="64">
        <v>2.76</v>
      </c>
      <c r="Q99" s="64">
        <v>7.56</v>
      </c>
      <c r="R99" s="198"/>
      <c r="S99" s="198"/>
      <c r="T99" s="198"/>
      <c r="U99" s="198"/>
    </row>
    <row r="100" spans="1:33" s="12" customFormat="1" x14ac:dyDescent="0.25">
      <c r="A100" s="215" t="s">
        <v>2261</v>
      </c>
      <c r="B100" s="64">
        <v>57.23</v>
      </c>
      <c r="C100" s="64">
        <v>61.78</v>
      </c>
      <c r="D100" s="64">
        <v>80.64</v>
      </c>
      <c r="E100" s="64">
        <v>2.81</v>
      </c>
      <c r="F100" s="64">
        <v>3.52</v>
      </c>
      <c r="G100" s="64">
        <v>105.06</v>
      </c>
      <c r="H100" s="64">
        <v>43.37</v>
      </c>
      <c r="I100" s="64">
        <v>1.45</v>
      </c>
      <c r="J100" s="64">
        <v>0.08</v>
      </c>
      <c r="K100" s="64">
        <v>316.42</v>
      </c>
      <c r="L100" s="64">
        <v>19.21</v>
      </c>
      <c r="M100" s="64">
        <v>74.760000000000005</v>
      </c>
      <c r="N100" s="64">
        <v>23.3</v>
      </c>
      <c r="O100" s="64">
        <v>0</v>
      </c>
      <c r="P100" s="64">
        <v>2.66</v>
      </c>
      <c r="Q100" s="64">
        <v>9.11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2262</v>
      </c>
      <c r="B101" s="64">
        <v>51.9</v>
      </c>
      <c r="C101" s="64">
        <v>58.02</v>
      </c>
      <c r="D101" s="64">
        <v>74.290000000000006</v>
      </c>
      <c r="E101" s="64">
        <v>2.72</v>
      </c>
      <c r="F101" s="64">
        <v>3.78</v>
      </c>
      <c r="G101" s="64">
        <v>104.95</v>
      </c>
      <c r="H101" s="64">
        <v>42.44</v>
      </c>
      <c r="I101" s="64">
        <v>1.49</v>
      </c>
      <c r="J101" s="64">
        <v>7.0000000000000007E-2</v>
      </c>
      <c r="K101" s="64">
        <v>288.70999999999998</v>
      </c>
      <c r="L101" s="64">
        <v>19.100000000000001</v>
      </c>
      <c r="M101" s="64">
        <v>75.400000000000006</v>
      </c>
      <c r="N101" s="64">
        <v>23.7</v>
      </c>
      <c r="O101" s="64">
        <v>0</v>
      </c>
      <c r="P101" s="64">
        <v>2.56</v>
      </c>
      <c r="Q101" s="64">
        <v>10.1</v>
      </c>
      <c r="R101" s="198"/>
      <c r="S101" s="198"/>
      <c r="T101" s="198"/>
      <c r="U101" s="198"/>
    </row>
    <row r="102" spans="1:33" s="12" customFormat="1" x14ac:dyDescent="0.25">
      <c r="A102" s="215" t="s">
        <v>2263</v>
      </c>
      <c r="B102" s="64">
        <v>59.99</v>
      </c>
      <c r="C102" s="64">
        <v>52.66</v>
      </c>
      <c r="D102" s="64">
        <v>77.81</v>
      </c>
      <c r="E102" s="64">
        <v>2.73</v>
      </c>
      <c r="F102" s="64">
        <v>3.82</v>
      </c>
      <c r="G102" s="64">
        <v>104.88</v>
      </c>
      <c r="H102" s="64">
        <v>42.22</v>
      </c>
      <c r="I102" s="64">
        <v>1.51</v>
      </c>
      <c r="J102" s="64">
        <v>0.05</v>
      </c>
      <c r="K102" s="64">
        <v>316.07</v>
      </c>
      <c r="L102" s="64">
        <v>18.77</v>
      </c>
      <c r="M102" s="64">
        <v>78.63</v>
      </c>
      <c r="N102" s="64">
        <v>23.5</v>
      </c>
      <c r="O102" s="64">
        <v>0</v>
      </c>
      <c r="P102" s="64">
        <v>2.5299999999999998</v>
      </c>
      <c r="Q102" s="64">
        <v>9.82</v>
      </c>
      <c r="R102" s="198"/>
      <c r="S102" s="198"/>
      <c r="T102" s="198"/>
      <c r="U102" s="198"/>
    </row>
    <row r="103" spans="1:33" s="12" customFormat="1" x14ac:dyDescent="0.25">
      <c r="A103" s="215" t="s">
        <v>2264</v>
      </c>
      <c r="B103" s="64">
        <v>59.9</v>
      </c>
      <c r="C103" s="64">
        <v>54.6</v>
      </c>
      <c r="D103" s="64">
        <v>78.81</v>
      </c>
      <c r="E103" s="64">
        <v>3.15</v>
      </c>
      <c r="F103" s="64">
        <v>3.3</v>
      </c>
      <c r="G103" s="64">
        <v>104.88</v>
      </c>
      <c r="H103" s="64">
        <v>42.22</v>
      </c>
      <c r="I103" s="64">
        <v>1.48</v>
      </c>
      <c r="J103" s="64">
        <v>0.11</v>
      </c>
      <c r="K103" s="64">
        <v>293.31</v>
      </c>
      <c r="L103" s="64">
        <v>18.45</v>
      </c>
      <c r="M103" s="64">
        <v>83.14</v>
      </c>
      <c r="N103" s="64">
        <v>23.5</v>
      </c>
      <c r="O103" s="64">
        <v>0</v>
      </c>
      <c r="P103" s="64">
        <v>2.5099999999999998</v>
      </c>
      <c r="Q103" s="64">
        <v>9.2100000000000009</v>
      </c>
      <c r="R103" s="198"/>
      <c r="S103" s="198"/>
      <c r="T103" s="198"/>
      <c r="U103" s="198"/>
    </row>
    <row r="104" spans="1:33" s="12" customFormat="1" x14ac:dyDescent="0.25">
      <c r="A104" s="215" t="s">
        <v>2265</v>
      </c>
      <c r="B104" s="64">
        <v>57.14</v>
      </c>
      <c r="C104" s="64">
        <v>53.4</v>
      </c>
      <c r="D104" s="64">
        <v>75.94</v>
      </c>
      <c r="E104" s="64">
        <v>2.5499999999999998</v>
      </c>
      <c r="F104" s="64">
        <v>4.1100000000000003</v>
      </c>
      <c r="G104" s="64">
        <v>104.88</v>
      </c>
      <c r="H104" s="64">
        <v>42.22</v>
      </c>
      <c r="I104" s="64">
        <v>1.52</v>
      </c>
      <c r="J104" s="64">
        <v>0.12</v>
      </c>
      <c r="K104" s="64">
        <v>291.36</v>
      </c>
      <c r="L104" s="64">
        <v>18.7</v>
      </c>
      <c r="M104" s="64">
        <v>78.86</v>
      </c>
      <c r="N104" s="64">
        <v>22.9</v>
      </c>
      <c r="O104" s="64">
        <v>0</v>
      </c>
      <c r="P104" s="64">
        <v>2.4500000000000002</v>
      </c>
      <c r="Q104" s="64">
        <v>9.86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3.29</v>
      </c>
      <c r="C106" s="67">
        <f>MIN(C9:C104)</f>
        <v>31.63</v>
      </c>
      <c r="D106" s="67">
        <f t="shared" ref="D106:Q106" si="0">MIN(D9:D104)</f>
        <v>20.78</v>
      </c>
      <c r="E106" s="67">
        <f t="shared" si="0"/>
        <v>2.08</v>
      </c>
      <c r="F106" s="67">
        <f t="shared" si="0"/>
        <v>2.83</v>
      </c>
      <c r="G106" s="67">
        <f t="shared" si="0"/>
        <v>41.45</v>
      </c>
      <c r="H106" s="67">
        <f t="shared" si="0"/>
        <v>17.3</v>
      </c>
      <c r="I106" s="67">
        <f t="shared" si="0"/>
        <v>1.4</v>
      </c>
      <c r="J106" s="67">
        <f t="shared" si="0"/>
        <v>0.01</v>
      </c>
      <c r="K106" s="67">
        <f t="shared" si="0"/>
        <v>3.63</v>
      </c>
      <c r="L106" s="67">
        <f t="shared" si="0"/>
        <v>16.98</v>
      </c>
      <c r="M106" s="67">
        <f t="shared" si="0"/>
        <v>38.99</v>
      </c>
      <c r="N106" s="67">
        <f t="shared" si="0"/>
        <v>22.8</v>
      </c>
      <c r="O106" s="67">
        <f t="shared" si="0"/>
        <v>0</v>
      </c>
      <c r="P106" s="67">
        <f t="shared" si="0"/>
        <v>0.54</v>
      </c>
      <c r="Q106" s="67">
        <f t="shared" si="0"/>
        <v>1.95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68.56</v>
      </c>
      <c r="C107" s="66">
        <f t="shared" ref="C107:Q107" si="1">MAX(C9:C104)</f>
        <v>87.36</v>
      </c>
      <c r="D107" s="66">
        <f t="shared" si="1"/>
        <v>91.72</v>
      </c>
      <c r="E107" s="66">
        <f t="shared" si="1"/>
        <v>5.01</v>
      </c>
      <c r="F107" s="66">
        <f t="shared" si="1"/>
        <v>28.04</v>
      </c>
      <c r="G107" s="66">
        <f t="shared" si="1"/>
        <v>107.24</v>
      </c>
      <c r="H107" s="66">
        <f t="shared" si="1"/>
        <v>43.37</v>
      </c>
      <c r="I107" s="66">
        <f t="shared" si="1"/>
        <v>1.62</v>
      </c>
      <c r="J107" s="66">
        <f t="shared" si="1"/>
        <v>1.67</v>
      </c>
      <c r="K107" s="66">
        <f t="shared" si="1"/>
        <v>359.19</v>
      </c>
      <c r="L107" s="66">
        <f t="shared" si="1"/>
        <v>29.03</v>
      </c>
      <c r="M107" s="66">
        <f t="shared" si="1"/>
        <v>89.29</v>
      </c>
      <c r="N107" s="66">
        <f t="shared" si="1"/>
        <v>694.3</v>
      </c>
      <c r="O107" s="66">
        <f t="shared" si="1"/>
        <v>0</v>
      </c>
      <c r="P107" s="66">
        <f t="shared" si="1"/>
        <v>3.13</v>
      </c>
      <c r="Q107" s="66">
        <f t="shared" si="1"/>
        <v>10.1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17.395937500000002</v>
      </c>
      <c r="C108" s="67">
        <f t="shared" ref="C108:Q108" si="2">AVERAGE(C9:C104)</f>
        <v>45.083229166666655</v>
      </c>
      <c r="D108" s="67">
        <f t="shared" si="2"/>
        <v>39.476145833333334</v>
      </c>
      <c r="E108" s="67">
        <f t="shared" si="2"/>
        <v>2.6398958333333331</v>
      </c>
      <c r="F108" s="67">
        <f t="shared" si="2"/>
        <v>6.4995833333333337</v>
      </c>
      <c r="G108" s="67">
        <f t="shared" si="2"/>
        <v>65.440729166666657</v>
      </c>
      <c r="H108" s="67">
        <f t="shared" si="2"/>
        <v>28.301041666666649</v>
      </c>
      <c r="I108" s="67">
        <f t="shared" si="2"/>
        <v>1.5020833333333332</v>
      </c>
      <c r="J108" s="67">
        <f t="shared" si="2"/>
        <v>0.358510638297872</v>
      </c>
      <c r="K108" s="67">
        <f t="shared" si="2"/>
        <v>201.00770833333334</v>
      </c>
      <c r="L108" s="67">
        <f t="shared" si="2"/>
        <v>21.840729166666666</v>
      </c>
      <c r="M108" s="67">
        <f t="shared" si="2"/>
        <v>65.126562499999991</v>
      </c>
      <c r="N108" s="67">
        <f t="shared" si="2"/>
        <v>172.76874999999998</v>
      </c>
      <c r="O108" s="67">
        <f t="shared" si="2"/>
        <v>0</v>
      </c>
      <c r="P108" s="67">
        <f t="shared" si="2"/>
        <v>1.1812499999999999</v>
      </c>
      <c r="Q108" s="67">
        <f t="shared" si="2"/>
        <v>5.5064583333333319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18.234851453546163</v>
      </c>
      <c r="C109" s="67">
        <f t="shared" ref="C109:Q109" si="3">STDEV(C9:C104)</f>
        <v>13.039918832068347</v>
      </c>
      <c r="D109" s="67">
        <f t="shared" si="3"/>
        <v>20.44393531844651</v>
      </c>
      <c r="E109" s="67">
        <f t="shared" si="3"/>
        <v>0.67660840698554248</v>
      </c>
      <c r="F109" s="67">
        <f t="shared" si="3"/>
        <v>5.6429883678152528</v>
      </c>
      <c r="G109" s="67">
        <f t="shared" si="3"/>
        <v>21.232235038400333</v>
      </c>
      <c r="H109" s="67">
        <f t="shared" si="3"/>
        <v>7.545684647415789</v>
      </c>
      <c r="I109" s="67">
        <f t="shared" si="3"/>
        <v>4.3162280478912997E-2</v>
      </c>
      <c r="J109" s="67">
        <f t="shared" si="3"/>
        <v>0.31831869283501185</v>
      </c>
      <c r="K109" s="67">
        <f t="shared" si="3"/>
        <v>126.32579100321399</v>
      </c>
      <c r="L109" s="67">
        <f t="shared" si="3"/>
        <v>3.6292168924153829</v>
      </c>
      <c r="M109" s="67">
        <f t="shared" si="3"/>
        <v>16.444655559794011</v>
      </c>
      <c r="N109" s="67">
        <f t="shared" si="3"/>
        <v>229.69575772839397</v>
      </c>
      <c r="O109" s="67">
        <f t="shared" si="3"/>
        <v>0</v>
      </c>
      <c r="P109" s="67">
        <f t="shared" si="3"/>
        <v>0.78718318606348092</v>
      </c>
      <c r="Q109" s="67">
        <f t="shared" si="3"/>
        <v>1.5655414258780773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COUNT(J9:J104)+2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2266</v>
      </c>
      <c r="B9" s="64">
        <v>52.17</v>
      </c>
      <c r="C9" s="64">
        <v>54.08</v>
      </c>
      <c r="D9" s="64">
        <v>72.319999999999993</v>
      </c>
      <c r="E9" s="64">
        <v>2.67</v>
      </c>
      <c r="F9" s="64">
        <v>3.71</v>
      </c>
      <c r="G9" s="64">
        <v>102.11</v>
      </c>
      <c r="H9" s="64">
        <v>41.65</v>
      </c>
      <c r="I9" s="64">
        <v>1.53</v>
      </c>
      <c r="J9" s="64">
        <v>0.15</v>
      </c>
      <c r="K9" s="64">
        <v>323.58999999999997</v>
      </c>
      <c r="L9" s="64">
        <v>18.52</v>
      </c>
      <c r="M9" s="64">
        <v>82.07</v>
      </c>
      <c r="N9" s="64">
        <v>23.6</v>
      </c>
      <c r="O9" s="64">
        <v>0</v>
      </c>
      <c r="P9" s="64">
        <v>2.33</v>
      </c>
      <c r="Q9" s="64">
        <v>10.06</v>
      </c>
      <c r="R9" s="198"/>
      <c r="S9" s="198"/>
      <c r="T9" s="198"/>
      <c r="U9" s="198"/>
    </row>
    <row r="10" spans="1:21" s="12" customFormat="1" x14ac:dyDescent="0.25">
      <c r="A10" s="215" t="s">
        <v>2267</v>
      </c>
      <c r="B10" s="64">
        <v>54.35</v>
      </c>
      <c r="C10" s="64">
        <v>50.17</v>
      </c>
      <c r="D10" s="64">
        <v>71.91</v>
      </c>
      <c r="E10" s="64">
        <v>2.7</v>
      </c>
      <c r="F10" s="64">
        <v>3.39</v>
      </c>
      <c r="G10" s="64">
        <v>100.26</v>
      </c>
      <c r="H10" s="64">
        <v>41.51</v>
      </c>
      <c r="I10" s="64">
        <v>1.45</v>
      </c>
      <c r="J10" s="64">
        <v>0.12</v>
      </c>
      <c r="K10" s="64">
        <v>293.99</v>
      </c>
      <c r="L10" s="64">
        <v>17.93</v>
      </c>
      <c r="M10" s="64">
        <v>87.44</v>
      </c>
      <c r="N10" s="64">
        <v>23.7</v>
      </c>
      <c r="O10" s="64">
        <v>0</v>
      </c>
      <c r="P10" s="64">
        <v>2.38</v>
      </c>
      <c r="Q10" s="64">
        <v>9.9600000000000009</v>
      </c>
      <c r="R10" s="198"/>
      <c r="S10" s="198"/>
      <c r="T10" s="198"/>
      <c r="U10" s="198"/>
    </row>
    <row r="11" spans="1:21" s="12" customFormat="1" x14ac:dyDescent="0.25">
      <c r="A11" s="215" t="s">
        <v>2268</v>
      </c>
      <c r="B11" s="64">
        <v>50.71</v>
      </c>
      <c r="C11" s="64">
        <v>48.68</v>
      </c>
      <c r="D11" s="64">
        <v>68.180000000000007</v>
      </c>
      <c r="E11" s="64">
        <v>2.74</v>
      </c>
      <c r="F11" s="64">
        <v>3.98</v>
      </c>
      <c r="G11" s="64">
        <v>100.26</v>
      </c>
      <c r="H11" s="64">
        <v>41.51</v>
      </c>
      <c r="I11" s="64">
        <v>1.51</v>
      </c>
      <c r="J11" s="64">
        <v>0.04</v>
      </c>
      <c r="K11" s="64">
        <v>150.12</v>
      </c>
      <c r="L11" s="64">
        <v>17.79</v>
      </c>
      <c r="M11" s="64">
        <v>86.32</v>
      </c>
      <c r="N11" s="64">
        <v>23.4</v>
      </c>
      <c r="O11" s="64">
        <v>0</v>
      </c>
      <c r="P11" s="64">
        <v>2.23</v>
      </c>
      <c r="Q11" s="64">
        <v>9.91</v>
      </c>
      <c r="R11" s="198"/>
      <c r="S11" s="198"/>
      <c r="T11" s="198"/>
      <c r="U11" s="198"/>
    </row>
    <row r="12" spans="1:21" s="12" customFormat="1" x14ac:dyDescent="0.25">
      <c r="A12" s="215" t="s">
        <v>2269</v>
      </c>
      <c r="B12" s="64">
        <v>48.12</v>
      </c>
      <c r="C12" s="64">
        <v>48.6</v>
      </c>
      <c r="D12" s="64">
        <v>66.05</v>
      </c>
      <c r="E12" s="64">
        <v>2.69</v>
      </c>
      <c r="F12" s="64">
        <v>4.24</v>
      </c>
      <c r="G12" s="64">
        <v>100.26</v>
      </c>
      <c r="H12" s="64">
        <v>41.51</v>
      </c>
      <c r="I12" s="64">
        <v>1.44</v>
      </c>
      <c r="J12" s="64">
        <v>0.1</v>
      </c>
      <c r="K12" s="64">
        <v>327.16000000000003</v>
      </c>
      <c r="L12" s="64">
        <v>17.95</v>
      </c>
      <c r="M12" s="64">
        <v>85.67</v>
      </c>
      <c r="N12" s="64">
        <v>23.1</v>
      </c>
      <c r="O12" s="64">
        <v>0</v>
      </c>
      <c r="P12" s="64">
        <v>2.1800000000000002</v>
      </c>
      <c r="Q12" s="64">
        <v>9.81</v>
      </c>
      <c r="R12" s="198"/>
      <c r="S12" s="198"/>
      <c r="T12" s="198"/>
      <c r="U12" s="198"/>
    </row>
    <row r="13" spans="1:21" s="12" customFormat="1" x14ac:dyDescent="0.25">
      <c r="A13" s="215" t="s">
        <v>2270</v>
      </c>
      <c r="B13" s="64">
        <v>45.4</v>
      </c>
      <c r="C13" s="64">
        <v>46.01</v>
      </c>
      <c r="D13" s="64">
        <v>62.45</v>
      </c>
      <c r="E13" s="64">
        <v>2.63</v>
      </c>
      <c r="F13" s="64">
        <v>3.83</v>
      </c>
      <c r="G13" s="64">
        <v>91.54</v>
      </c>
      <c r="H13" s="64">
        <v>39.81</v>
      </c>
      <c r="I13" s="64">
        <v>1.45</v>
      </c>
      <c r="J13" s="64">
        <v>0.2</v>
      </c>
      <c r="K13" s="64">
        <v>325.32</v>
      </c>
      <c r="L13" s="64">
        <v>18.010000000000002</v>
      </c>
      <c r="M13" s="64">
        <v>86.58</v>
      </c>
      <c r="N13" s="64">
        <v>23</v>
      </c>
      <c r="O13" s="64">
        <v>0</v>
      </c>
      <c r="P13" s="64">
        <v>1.95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15" t="s">
        <v>2271</v>
      </c>
      <c r="B14" s="64">
        <v>45.29</v>
      </c>
      <c r="C14" s="64">
        <v>43.29</v>
      </c>
      <c r="D14" s="64">
        <v>60.85</v>
      </c>
      <c r="E14" s="64">
        <v>2.58</v>
      </c>
      <c r="F14" s="64">
        <v>4.9400000000000004</v>
      </c>
      <c r="G14" s="64">
        <v>85.73</v>
      </c>
      <c r="H14" s="64">
        <v>39.01</v>
      </c>
      <c r="I14" s="64">
        <v>1.47</v>
      </c>
      <c r="J14" s="64">
        <v>0.14000000000000001</v>
      </c>
      <c r="K14" s="64">
        <v>294.64</v>
      </c>
      <c r="L14" s="64">
        <v>18.29</v>
      </c>
      <c r="M14" s="64">
        <v>83.63</v>
      </c>
      <c r="N14" s="64">
        <v>23.3</v>
      </c>
      <c r="O14" s="64">
        <v>0</v>
      </c>
      <c r="P14" s="64">
        <v>2.0299999999999998</v>
      </c>
      <c r="Q14" s="64">
        <v>9.4700000000000006</v>
      </c>
      <c r="R14" s="198"/>
      <c r="S14" s="198"/>
      <c r="T14" s="198"/>
      <c r="U14" s="198"/>
    </row>
    <row r="15" spans="1:21" s="12" customFormat="1" x14ac:dyDescent="0.25">
      <c r="A15" s="215" t="s">
        <v>2272</v>
      </c>
      <c r="B15" s="64">
        <v>44.47</v>
      </c>
      <c r="C15" s="64">
        <v>41.81</v>
      </c>
      <c r="D15" s="64">
        <v>59.38</v>
      </c>
      <c r="E15" s="64">
        <v>2.54</v>
      </c>
      <c r="F15" s="64">
        <v>3.83</v>
      </c>
      <c r="G15" s="64">
        <v>85.73</v>
      </c>
      <c r="H15" s="64">
        <v>39.01</v>
      </c>
      <c r="I15" s="64">
        <v>1.5</v>
      </c>
      <c r="J15" s="64">
        <v>0.97</v>
      </c>
      <c r="K15" s="64">
        <v>150.31</v>
      </c>
      <c r="L15" s="64">
        <v>18.27</v>
      </c>
      <c r="M15" s="64">
        <v>84.11</v>
      </c>
      <c r="N15" s="64">
        <v>22.6</v>
      </c>
      <c r="O15" s="64">
        <v>0</v>
      </c>
      <c r="P15" s="64">
        <v>1.99</v>
      </c>
      <c r="Q15" s="64">
        <v>9.1300000000000008</v>
      </c>
      <c r="R15" s="198"/>
      <c r="S15" s="198"/>
      <c r="T15" s="198"/>
      <c r="U15" s="198"/>
    </row>
    <row r="16" spans="1:21" s="12" customFormat="1" x14ac:dyDescent="0.25">
      <c r="A16" s="215" t="s">
        <v>2273</v>
      </c>
      <c r="B16" s="64">
        <v>42.48</v>
      </c>
      <c r="C16" s="64">
        <v>42.27</v>
      </c>
      <c r="D16" s="64">
        <v>58.04</v>
      </c>
      <c r="E16" s="64">
        <v>2.57</v>
      </c>
      <c r="F16" s="64">
        <v>3.42</v>
      </c>
      <c r="G16" s="64">
        <v>85.73</v>
      </c>
      <c r="H16" s="64">
        <v>39.01</v>
      </c>
      <c r="I16" s="64">
        <v>1.51</v>
      </c>
      <c r="J16" s="64">
        <v>0.34</v>
      </c>
      <c r="K16" s="64">
        <v>160.30000000000001</v>
      </c>
      <c r="L16" s="64">
        <v>17.579999999999998</v>
      </c>
      <c r="M16" s="64">
        <v>89.81</v>
      </c>
      <c r="N16" s="64">
        <v>24</v>
      </c>
      <c r="O16" s="64">
        <v>0</v>
      </c>
      <c r="P16" s="64">
        <v>1.9</v>
      </c>
      <c r="Q16" s="64">
        <v>8.7100000000000009</v>
      </c>
      <c r="R16" s="198"/>
      <c r="S16" s="198"/>
      <c r="T16" s="198"/>
      <c r="U16" s="198"/>
    </row>
    <row r="17" spans="1:21" s="12" customFormat="1" x14ac:dyDescent="0.25">
      <c r="A17" s="215" t="s">
        <v>2274</v>
      </c>
      <c r="B17" s="64">
        <v>40.06</v>
      </c>
      <c r="C17" s="64">
        <v>42.3</v>
      </c>
      <c r="D17" s="64">
        <v>56.12</v>
      </c>
      <c r="E17" s="64">
        <v>2.5099999999999998</v>
      </c>
      <c r="F17" s="64">
        <v>3.16</v>
      </c>
      <c r="G17" s="64">
        <v>79.099999999999994</v>
      </c>
      <c r="H17" s="64">
        <v>35.090000000000003</v>
      </c>
      <c r="I17" s="64">
        <v>1.57</v>
      </c>
      <c r="J17" s="64">
        <v>0.03</v>
      </c>
      <c r="K17" s="64">
        <v>95.64</v>
      </c>
      <c r="L17" s="64">
        <v>17.059999999999999</v>
      </c>
      <c r="M17" s="64">
        <v>92.57</v>
      </c>
      <c r="N17" s="64">
        <v>23.7</v>
      </c>
      <c r="O17" s="64">
        <v>0</v>
      </c>
      <c r="P17" s="64">
        <v>1.83</v>
      </c>
      <c r="Q17" s="64">
        <v>8.41</v>
      </c>
      <c r="R17" s="198"/>
      <c r="S17" s="198"/>
      <c r="T17" s="198"/>
      <c r="U17" s="198"/>
    </row>
    <row r="18" spans="1:21" s="12" customFormat="1" x14ac:dyDescent="0.25">
      <c r="A18" s="215" t="s">
        <v>2275</v>
      </c>
      <c r="B18" s="64">
        <v>38.130000000000003</v>
      </c>
      <c r="C18" s="64">
        <v>41.58</v>
      </c>
      <c r="D18" s="64">
        <v>54.17</v>
      </c>
      <c r="E18" s="64">
        <v>2.4500000000000002</v>
      </c>
      <c r="F18" s="64">
        <v>3.03</v>
      </c>
      <c r="G18" s="64">
        <v>74.69</v>
      </c>
      <c r="H18" s="64">
        <v>34.049999999999997</v>
      </c>
      <c r="I18" s="64">
        <v>1.43</v>
      </c>
      <c r="J18" s="64">
        <v>0.04</v>
      </c>
      <c r="K18" s="64">
        <v>325.13</v>
      </c>
      <c r="L18" s="64">
        <v>16.8</v>
      </c>
      <c r="M18" s="64">
        <v>94.7</v>
      </c>
      <c r="N18" s="64">
        <v>23.5</v>
      </c>
      <c r="O18" s="64">
        <v>0</v>
      </c>
      <c r="P18" s="64">
        <v>1.76</v>
      </c>
      <c r="Q18" s="64">
        <v>8.24</v>
      </c>
      <c r="R18" s="198"/>
      <c r="S18" s="198"/>
      <c r="T18" s="198"/>
      <c r="U18" s="198"/>
    </row>
    <row r="19" spans="1:21" s="12" customFormat="1" x14ac:dyDescent="0.25">
      <c r="A19" s="215" t="s">
        <v>2276</v>
      </c>
      <c r="B19" s="64">
        <v>36.54</v>
      </c>
      <c r="C19" s="64">
        <v>40.880000000000003</v>
      </c>
      <c r="D19" s="64">
        <v>52.51</v>
      </c>
      <c r="E19" s="64">
        <v>2.4900000000000002</v>
      </c>
      <c r="F19" s="64">
        <v>3.11</v>
      </c>
      <c r="G19" s="64">
        <v>74.69</v>
      </c>
      <c r="H19" s="64">
        <v>34.049999999999997</v>
      </c>
      <c r="I19" s="64">
        <v>1.52</v>
      </c>
      <c r="J19" s="64">
        <v>0.08</v>
      </c>
      <c r="K19" s="64">
        <v>323.5</v>
      </c>
      <c r="L19" s="64">
        <v>16.73</v>
      </c>
      <c r="M19" s="64">
        <v>95.98</v>
      </c>
      <c r="N19" s="64">
        <v>23.3</v>
      </c>
      <c r="O19" s="64">
        <v>0</v>
      </c>
      <c r="P19" s="64">
        <v>1.71</v>
      </c>
      <c r="Q19" s="64">
        <v>8.06</v>
      </c>
      <c r="R19" s="198"/>
      <c r="S19" s="198"/>
      <c r="T19" s="198"/>
      <c r="U19" s="198"/>
    </row>
    <row r="20" spans="1:21" s="12" customFormat="1" x14ac:dyDescent="0.25">
      <c r="A20" s="215" t="s">
        <v>2277</v>
      </c>
      <c r="B20" s="64">
        <v>34.979999999999997</v>
      </c>
      <c r="C20" s="64">
        <v>40.01</v>
      </c>
      <c r="D20" s="64">
        <v>50.78</v>
      </c>
      <c r="E20" s="64">
        <v>2.4500000000000002</v>
      </c>
      <c r="F20" s="64">
        <v>3.15</v>
      </c>
      <c r="G20" s="64">
        <v>74.69</v>
      </c>
      <c r="H20" s="64">
        <v>34.049999999999997</v>
      </c>
      <c r="I20" s="64">
        <v>1.53</v>
      </c>
      <c r="J20" s="64">
        <v>0.28999999999999998</v>
      </c>
      <c r="K20" s="64">
        <v>321.58</v>
      </c>
      <c r="L20" s="64">
        <v>16.82</v>
      </c>
      <c r="M20" s="64">
        <v>95.01</v>
      </c>
      <c r="N20" s="64">
        <v>22.9</v>
      </c>
      <c r="O20" s="64">
        <v>0</v>
      </c>
      <c r="P20" s="64">
        <v>1.66</v>
      </c>
      <c r="Q20" s="64">
        <v>7.94</v>
      </c>
      <c r="R20" s="198"/>
      <c r="S20" s="198"/>
      <c r="T20" s="198"/>
      <c r="U20" s="198"/>
    </row>
    <row r="21" spans="1:21" s="12" customFormat="1" x14ac:dyDescent="0.25">
      <c r="A21" s="215" t="s">
        <v>2278</v>
      </c>
      <c r="B21" s="64">
        <v>33.47</v>
      </c>
      <c r="C21" s="64">
        <v>40.17</v>
      </c>
      <c r="D21" s="64">
        <v>49.65</v>
      </c>
      <c r="E21" s="64">
        <v>2.4900000000000002</v>
      </c>
      <c r="F21" s="64">
        <v>3.07</v>
      </c>
      <c r="G21" s="64">
        <v>80.55</v>
      </c>
      <c r="H21" s="64">
        <v>36.89</v>
      </c>
      <c r="I21" s="64">
        <v>1.48</v>
      </c>
      <c r="J21" s="64">
        <v>0.15</v>
      </c>
      <c r="K21" s="64">
        <v>322.91000000000003</v>
      </c>
      <c r="L21" s="64">
        <v>16.93</v>
      </c>
      <c r="M21" s="64">
        <v>91.88</v>
      </c>
      <c r="N21" s="64">
        <v>23.3</v>
      </c>
      <c r="O21" s="64">
        <v>0</v>
      </c>
      <c r="P21" s="64">
        <v>1.64</v>
      </c>
      <c r="Q21" s="64">
        <v>7.78</v>
      </c>
      <c r="R21" s="198"/>
      <c r="S21" s="198"/>
      <c r="T21" s="198"/>
      <c r="U21" s="198"/>
    </row>
    <row r="22" spans="1:21" s="12" customFormat="1" x14ac:dyDescent="0.25">
      <c r="A22" s="215" t="s">
        <v>2279</v>
      </c>
      <c r="B22" s="64">
        <v>31.93</v>
      </c>
      <c r="C22" s="64">
        <v>39.619999999999997</v>
      </c>
      <c r="D22" s="64">
        <v>48.12</v>
      </c>
      <c r="E22" s="64">
        <v>2.46</v>
      </c>
      <c r="F22" s="64">
        <v>2.99</v>
      </c>
      <c r="G22" s="64">
        <v>84.46</v>
      </c>
      <c r="H22" s="64">
        <v>37.64</v>
      </c>
      <c r="I22" s="64">
        <v>1.49</v>
      </c>
      <c r="J22" s="64">
        <v>0.16</v>
      </c>
      <c r="K22" s="64">
        <v>342.55</v>
      </c>
      <c r="L22" s="64">
        <v>16.760000000000002</v>
      </c>
      <c r="M22" s="64">
        <v>90.05</v>
      </c>
      <c r="N22" s="64">
        <v>23.4</v>
      </c>
      <c r="O22" s="64">
        <v>0</v>
      </c>
      <c r="P22" s="64">
        <v>1.6</v>
      </c>
      <c r="Q22" s="64">
        <v>7.66</v>
      </c>
      <c r="R22" s="198"/>
      <c r="S22" s="198"/>
      <c r="T22" s="198"/>
      <c r="U22" s="198"/>
    </row>
    <row r="23" spans="1:21" s="12" customFormat="1" x14ac:dyDescent="0.25">
      <c r="A23" s="215" t="s">
        <v>2280</v>
      </c>
      <c r="B23" s="64">
        <v>30.33</v>
      </c>
      <c r="C23" s="64">
        <v>40.42</v>
      </c>
      <c r="D23" s="64">
        <v>47.27</v>
      </c>
      <c r="E23" s="64">
        <v>1.54</v>
      </c>
      <c r="F23" s="64">
        <v>2.99</v>
      </c>
      <c r="G23" s="64">
        <v>84.46</v>
      </c>
      <c r="H23" s="64">
        <v>37.64</v>
      </c>
      <c r="I23" s="64">
        <v>1.46</v>
      </c>
      <c r="J23" s="64">
        <v>0.04</v>
      </c>
      <c r="K23" s="64">
        <v>51.85</v>
      </c>
      <c r="L23" s="64">
        <v>16.760000000000002</v>
      </c>
      <c r="M23" s="64">
        <v>87.52</v>
      </c>
      <c r="N23" s="64">
        <v>23.6</v>
      </c>
      <c r="O23" s="64">
        <v>0</v>
      </c>
      <c r="P23" s="64">
        <v>1.56</v>
      </c>
      <c r="Q23" s="64">
        <v>7.53</v>
      </c>
      <c r="R23" s="198"/>
      <c r="S23" s="198"/>
      <c r="T23" s="198"/>
      <c r="U23" s="198"/>
    </row>
    <row r="24" spans="1:21" s="12" customFormat="1" x14ac:dyDescent="0.25">
      <c r="A24" s="215" t="s">
        <v>2281</v>
      </c>
      <c r="B24" s="64">
        <v>29.13</v>
      </c>
      <c r="C24" s="64">
        <v>40.57</v>
      </c>
      <c r="D24" s="64">
        <v>46.4</v>
      </c>
      <c r="E24" s="64">
        <v>1.88</v>
      </c>
      <c r="F24" s="64">
        <v>2.91</v>
      </c>
      <c r="G24" s="64">
        <v>84.46</v>
      </c>
      <c r="H24" s="64">
        <v>37.64</v>
      </c>
      <c r="I24" s="64">
        <v>1.45</v>
      </c>
      <c r="J24" s="64">
        <v>0.08</v>
      </c>
      <c r="K24" s="64">
        <v>80.62</v>
      </c>
      <c r="L24" s="64">
        <v>16.93</v>
      </c>
      <c r="M24" s="64">
        <v>84.5</v>
      </c>
      <c r="N24" s="64">
        <v>23</v>
      </c>
      <c r="O24" s="64">
        <v>0</v>
      </c>
      <c r="P24" s="64">
        <v>1.52</v>
      </c>
      <c r="Q24" s="64">
        <v>7.42</v>
      </c>
      <c r="R24" s="198"/>
      <c r="S24" s="198"/>
      <c r="T24" s="198"/>
      <c r="U24" s="198"/>
    </row>
    <row r="25" spans="1:21" s="12" customFormat="1" x14ac:dyDescent="0.25">
      <c r="A25" s="215" t="s">
        <v>2282</v>
      </c>
      <c r="B25" s="64">
        <v>27.97</v>
      </c>
      <c r="C25" s="64">
        <v>40.96</v>
      </c>
      <c r="D25" s="64">
        <v>45.68</v>
      </c>
      <c r="E25" s="64">
        <v>2.41</v>
      </c>
      <c r="F25" s="64">
        <v>2.87</v>
      </c>
      <c r="G25" s="64">
        <v>95.27</v>
      </c>
      <c r="H25" s="64">
        <v>47.15</v>
      </c>
      <c r="I25" s="64">
        <v>1.57</v>
      </c>
      <c r="J25" s="64">
        <v>0.09</v>
      </c>
      <c r="K25" s="64">
        <v>70.09</v>
      </c>
      <c r="L25" s="64">
        <v>16.989999999999998</v>
      </c>
      <c r="M25" s="64">
        <v>83.75</v>
      </c>
      <c r="N25" s="64">
        <v>23.3</v>
      </c>
      <c r="O25" s="64">
        <v>0</v>
      </c>
      <c r="P25" s="64">
        <v>1.49</v>
      </c>
      <c r="Q25" s="64">
        <v>7.32</v>
      </c>
      <c r="R25" s="198"/>
      <c r="S25" s="198"/>
      <c r="T25" s="198"/>
      <c r="U25" s="198"/>
    </row>
    <row r="26" spans="1:21" s="12" customFormat="1" x14ac:dyDescent="0.25">
      <c r="A26" s="215" t="s">
        <v>2283</v>
      </c>
      <c r="B26" s="64">
        <v>27.15</v>
      </c>
      <c r="C26" s="64">
        <v>40.130000000000003</v>
      </c>
      <c r="D26" s="64">
        <v>44.56</v>
      </c>
      <c r="E26" s="64">
        <v>2.41</v>
      </c>
      <c r="F26" s="64">
        <v>2.92</v>
      </c>
      <c r="G26" s="64">
        <v>102.48</v>
      </c>
      <c r="H26" s="64">
        <v>49.66</v>
      </c>
      <c r="I26" s="64">
        <v>1.5</v>
      </c>
      <c r="J26" s="64">
        <v>0.09</v>
      </c>
      <c r="K26" s="64">
        <v>40.98</v>
      </c>
      <c r="L26" s="64">
        <v>16.95</v>
      </c>
      <c r="M26" s="64">
        <v>83.16</v>
      </c>
      <c r="N26" s="64">
        <v>23.3</v>
      </c>
      <c r="O26" s="64">
        <v>0</v>
      </c>
      <c r="P26" s="64">
        <v>1.47</v>
      </c>
      <c r="Q26" s="64">
        <v>7.28</v>
      </c>
      <c r="R26" s="198"/>
      <c r="S26" s="198"/>
      <c r="T26" s="198"/>
      <c r="U26" s="198"/>
    </row>
    <row r="27" spans="1:21" s="12" customFormat="1" x14ac:dyDescent="0.25">
      <c r="A27" s="215" t="s">
        <v>2284</v>
      </c>
      <c r="B27" s="64">
        <v>26.45</v>
      </c>
      <c r="C27" s="64">
        <v>41.39</v>
      </c>
      <c r="D27" s="64">
        <v>44.7</v>
      </c>
      <c r="E27" s="64">
        <v>2.35</v>
      </c>
      <c r="F27" s="64">
        <v>3.04</v>
      </c>
      <c r="G27" s="64">
        <v>102.48</v>
      </c>
      <c r="H27" s="64">
        <v>49.66</v>
      </c>
      <c r="I27" s="64">
        <v>1.48</v>
      </c>
      <c r="J27" s="64">
        <v>0.28999999999999998</v>
      </c>
      <c r="K27" s="64">
        <v>348.63</v>
      </c>
      <c r="L27" s="64">
        <v>16.829999999999998</v>
      </c>
      <c r="M27" s="64">
        <v>88.51</v>
      </c>
      <c r="N27" s="64">
        <v>23.5</v>
      </c>
      <c r="O27" s="64">
        <v>0</v>
      </c>
      <c r="P27" s="64">
        <v>1.45</v>
      </c>
      <c r="Q27" s="64">
        <v>7.18</v>
      </c>
      <c r="R27" s="198"/>
      <c r="S27" s="198"/>
      <c r="T27" s="198"/>
      <c r="U27" s="198"/>
    </row>
    <row r="28" spans="1:21" s="12" customFormat="1" x14ac:dyDescent="0.25">
      <c r="A28" s="215" t="s">
        <v>2285</v>
      </c>
      <c r="B28" s="64">
        <v>26.42</v>
      </c>
      <c r="C28" s="64">
        <v>41.48</v>
      </c>
      <c r="D28" s="64">
        <v>44.72</v>
      </c>
      <c r="E28" s="64">
        <v>2.39</v>
      </c>
      <c r="F28" s="64">
        <v>3.14</v>
      </c>
      <c r="G28" s="64">
        <v>102.48</v>
      </c>
      <c r="H28" s="64">
        <v>49.66</v>
      </c>
      <c r="I28" s="64">
        <v>1.64</v>
      </c>
      <c r="J28" s="64">
        <v>0.02</v>
      </c>
      <c r="K28" s="64">
        <v>55.24</v>
      </c>
      <c r="L28" s="64">
        <v>16.95</v>
      </c>
      <c r="M28" s="64">
        <v>85.19</v>
      </c>
      <c r="N28" s="64">
        <v>23.4</v>
      </c>
      <c r="O28" s="64">
        <v>0</v>
      </c>
      <c r="P28" s="64">
        <v>1.44</v>
      </c>
      <c r="Q28" s="64">
        <v>7.12</v>
      </c>
      <c r="R28" s="198"/>
      <c r="S28" s="198"/>
      <c r="T28" s="198"/>
      <c r="U28" s="198"/>
    </row>
    <row r="29" spans="1:21" s="12" customFormat="1" x14ac:dyDescent="0.25">
      <c r="A29" s="215" t="s">
        <v>2286</v>
      </c>
      <c r="B29" s="64">
        <v>25.43</v>
      </c>
      <c r="C29" s="64">
        <v>41.7</v>
      </c>
      <c r="D29" s="64">
        <v>44.05</v>
      </c>
      <c r="E29" s="64">
        <v>2.38</v>
      </c>
      <c r="F29" s="64">
        <v>2.89</v>
      </c>
      <c r="G29" s="64">
        <v>107.67</v>
      </c>
      <c r="H29" s="64">
        <v>51.78</v>
      </c>
      <c r="I29" s="64">
        <v>1.47</v>
      </c>
      <c r="J29" s="64">
        <v>0.64</v>
      </c>
      <c r="K29" s="64">
        <v>117.57</v>
      </c>
      <c r="L29" s="64">
        <v>17.63</v>
      </c>
      <c r="M29" s="64">
        <v>76.88</v>
      </c>
      <c r="N29" s="64">
        <v>22.3</v>
      </c>
      <c r="O29" s="64">
        <v>0</v>
      </c>
      <c r="P29" s="64">
        <v>1.42</v>
      </c>
      <c r="Q29" s="64">
        <v>7.05</v>
      </c>
      <c r="R29" s="198"/>
      <c r="S29" s="198"/>
      <c r="T29" s="198"/>
      <c r="U29" s="198"/>
    </row>
    <row r="30" spans="1:21" s="12" customFormat="1" x14ac:dyDescent="0.25">
      <c r="A30" s="215" t="s">
        <v>2287</v>
      </c>
      <c r="B30" s="64">
        <v>21.63</v>
      </c>
      <c r="C30" s="64">
        <v>42.08</v>
      </c>
      <c r="D30" s="64">
        <v>41.21</v>
      </c>
      <c r="E30" s="64">
        <v>2.39</v>
      </c>
      <c r="F30" s="64">
        <v>3.29</v>
      </c>
      <c r="G30" s="64">
        <v>111.13</v>
      </c>
      <c r="H30" s="64">
        <v>52.77</v>
      </c>
      <c r="I30" s="64">
        <v>1.47</v>
      </c>
      <c r="J30" s="64">
        <v>0.08</v>
      </c>
      <c r="K30" s="64">
        <v>214.35</v>
      </c>
      <c r="L30" s="64">
        <v>17.809999999999999</v>
      </c>
      <c r="M30" s="64">
        <v>75.77</v>
      </c>
      <c r="N30" s="64">
        <v>23.4</v>
      </c>
      <c r="O30" s="64">
        <v>0</v>
      </c>
      <c r="P30" s="64">
        <v>1.38</v>
      </c>
      <c r="Q30" s="64">
        <v>7.04</v>
      </c>
      <c r="R30" s="198"/>
      <c r="S30" s="198"/>
      <c r="T30" s="198"/>
      <c r="U30" s="198"/>
    </row>
    <row r="31" spans="1:21" s="12" customFormat="1" x14ac:dyDescent="0.25">
      <c r="A31" s="215" t="s">
        <v>2288</v>
      </c>
      <c r="B31" s="64">
        <v>23.61</v>
      </c>
      <c r="C31" s="64">
        <v>43.49</v>
      </c>
      <c r="D31" s="64">
        <v>43.58</v>
      </c>
      <c r="E31" s="64">
        <v>2.37</v>
      </c>
      <c r="F31" s="64">
        <v>3.16</v>
      </c>
      <c r="G31" s="64">
        <v>111.13</v>
      </c>
      <c r="H31" s="64">
        <v>52.77</v>
      </c>
      <c r="I31" s="64">
        <v>1.46</v>
      </c>
      <c r="J31" s="64">
        <v>0.23</v>
      </c>
      <c r="K31" s="64">
        <v>354.94</v>
      </c>
      <c r="L31" s="64">
        <v>17.39</v>
      </c>
      <c r="M31" s="64">
        <v>80.180000000000007</v>
      </c>
      <c r="N31" s="64">
        <v>24</v>
      </c>
      <c r="O31" s="64">
        <v>0</v>
      </c>
      <c r="P31" s="64">
        <v>1.31</v>
      </c>
      <c r="Q31" s="64">
        <v>6.91</v>
      </c>
      <c r="R31" s="198"/>
      <c r="S31" s="198"/>
      <c r="T31" s="198"/>
      <c r="U31" s="198"/>
    </row>
    <row r="32" spans="1:21" s="12" customFormat="1" x14ac:dyDescent="0.25">
      <c r="A32" s="215" t="s">
        <v>2289</v>
      </c>
      <c r="B32" s="64">
        <v>22.49</v>
      </c>
      <c r="C32" s="64">
        <v>42.66</v>
      </c>
      <c r="D32" s="64">
        <v>42.22</v>
      </c>
      <c r="E32" s="64">
        <v>2.35</v>
      </c>
      <c r="F32" s="64">
        <v>3.3</v>
      </c>
      <c r="G32" s="64">
        <v>111.13</v>
      </c>
      <c r="H32" s="64">
        <v>52.77</v>
      </c>
      <c r="I32" s="64">
        <v>1.56</v>
      </c>
      <c r="J32" s="64">
        <v>0.15</v>
      </c>
      <c r="K32" s="64">
        <v>63.44</v>
      </c>
      <c r="L32" s="64">
        <v>17.14</v>
      </c>
      <c r="M32" s="64">
        <v>79.16</v>
      </c>
      <c r="N32" s="64">
        <v>24</v>
      </c>
      <c r="O32" s="64">
        <v>0</v>
      </c>
      <c r="P32" s="64">
        <v>1.29</v>
      </c>
      <c r="Q32" s="64">
        <v>6.93</v>
      </c>
      <c r="R32" s="198"/>
      <c r="S32" s="198"/>
      <c r="T32" s="198"/>
      <c r="U32" s="198"/>
    </row>
    <row r="33" spans="1:21" s="12" customFormat="1" x14ac:dyDescent="0.25">
      <c r="A33" s="215" t="s">
        <v>2290</v>
      </c>
      <c r="B33" s="64">
        <v>22.54</v>
      </c>
      <c r="C33" s="64">
        <v>43.07</v>
      </c>
      <c r="D33" s="64">
        <v>42.49</v>
      </c>
      <c r="E33" s="64">
        <v>2.34</v>
      </c>
      <c r="F33" s="64">
        <v>3.32</v>
      </c>
      <c r="G33" s="64">
        <v>103.67</v>
      </c>
      <c r="H33" s="64">
        <v>49.74</v>
      </c>
      <c r="I33" s="64">
        <v>1.52</v>
      </c>
      <c r="J33" s="64">
        <v>0.12</v>
      </c>
      <c r="K33" s="64">
        <v>85.12</v>
      </c>
      <c r="L33" s="64">
        <v>17.05</v>
      </c>
      <c r="M33" s="64">
        <v>79.77</v>
      </c>
      <c r="N33" s="64">
        <v>26.8</v>
      </c>
      <c r="O33" s="64">
        <v>0</v>
      </c>
      <c r="P33" s="64">
        <v>1.26</v>
      </c>
      <c r="Q33" s="64">
        <v>6.87</v>
      </c>
      <c r="R33" s="198"/>
      <c r="S33" s="198"/>
      <c r="T33" s="198"/>
      <c r="U33" s="198"/>
    </row>
    <row r="34" spans="1:21" s="12" customFormat="1" x14ac:dyDescent="0.25">
      <c r="A34" s="215" t="s">
        <v>2291</v>
      </c>
      <c r="B34" s="64">
        <v>22.74</v>
      </c>
      <c r="C34" s="64">
        <v>42.6</v>
      </c>
      <c r="D34" s="64">
        <v>42.39</v>
      </c>
      <c r="E34" s="64">
        <v>2.37</v>
      </c>
      <c r="F34" s="64">
        <v>3.46</v>
      </c>
      <c r="G34" s="64">
        <v>98.7</v>
      </c>
      <c r="H34" s="64">
        <v>49</v>
      </c>
      <c r="I34" s="64">
        <v>1.5</v>
      </c>
      <c r="J34" s="64">
        <v>0.06</v>
      </c>
      <c r="K34" s="64">
        <v>318.02999999999997</v>
      </c>
      <c r="L34" s="64">
        <v>16.809999999999999</v>
      </c>
      <c r="M34" s="64">
        <v>83.42</v>
      </c>
      <c r="N34" s="64">
        <v>36.799999999999997</v>
      </c>
      <c r="O34" s="64">
        <v>0</v>
      </c>
      <c r="P34" s="64">
        <v>1.25</v>
      </c>
      <c r="Q34" s="64">
        <v>6.81</v>
      </c>
      <c r="R34" s="198"/>
      <c r="S34" s="198"/>
      <c r="T34" s="198"/>
      <c r="U34" s="198"/>
    </row>
    <row r="35" spans="1:21" s="12" customFormat="1" x14ac:dyDescent="0.25">
      <c r="A35" s="215" t="s">
        <v>2292</v>
      </c>
      <c r="B35" s="64">
        <v>22.07</v>
      </c>
      <c r="C35" s="64">
        <v>43.22</v>
      </c>
      <c r="D35" s="64">
        <v>42.2</v>
      </c>
      <c r="E35" s="64">
        <v>2.33</v>
      </c>
      <c r="F35" s="64">
        <v>3.14</v>
      </c>
      <c r="G35" s="64">
        <v>98.7</v>
      </c>
      <c r="H35" s="64">
        <v>49</v>
      </c>
      <c r="I35" s="64">
        <v>1.51</v>
      </c>
      <c r="J35" s="64">
        <v>0.06</v>
      </c>
      <c r="K35" s="64">
        <v>29.45</v>
      </c>
      <c r="L35" s="64">
        <v>17.03</v>
      </c>
      <c r="M35" s="64">
        <v>81.44</v>
      </c>
      <c r="N35" s="64">
        <v>53.1</v>
      </c>
      <c r="O35" s="64">
        <v>0</v>
      </c>
      <c r="P35" s="64">
        <v>1.23</v>
      </c>
      <c r="Q35" s="64">
        <v>6.86</v>
      </c>
      <c r="R35" s="198"/>
      <c r="S35" s="198"/>
      <c r="T35" s="198"/>
      <c r="U35" s="198"/>
    </row>
    <row r="36" spans="1:21" s="12" customFormat="1" x14ac:dyDescent="0.25">
      <c r="A36" s="215" t="s">
        <v>2293</v>
      </c>
      <c r="B36" s="64">
        <v>24.2</v>
      </c>
      <c r="C36" s="64">
        <v>44.92</v>
      </c>
      <c r="D36" s="64">
        <v>44.85</v>
      </c>
      <c r="E36" s="64">
        <v>2.37</v>
      </c>
      <c r="F36" s="64">
        <v>3.28</v>
      </c>
      <c r="G36" s="64">
        <v>98.7</v>
      </c>
      <c r="H36" s="64">
        <v>49</v>
      </c>
      <c r="I36" s="64">
        <v>1.54</v>
      </c>
      <c r="J36" s="64">
        <v>0.49</v>
      </c>
      <c r="K36" s="64">
        <v>341.36</v>
      </c>
      <c r="L36" s="64">
        <v>17.809999999999999</v>
      </c>
      <c r="M36" s="64">
        <v>76.69</v>
      </c>
      <c r="N36" s="64">
        <v>70.7</v>
      </c>
      <c r="O36" s="64">
        <v>0</v>
      </c>
      <c r="P36" s="64">
        <v>1.23</v>
      </c>
      <c r="Q36" s="64">
        <v>6.87</v>
      </c>
      <c r="R36" s="198"/>
      <c r="S36" s="198"/>
      <c r="T36" s="198"/>
      <c r="U36" s="198"/>
    </row>
    <row r="37" spans="1:21" s="12" customFormat="1" x14ac:dyDescent="0.25">
      <c r="A37" s="215" t="s">
        <v>2294</v>
      </c>
      <c r="B37" s="64">
        <v>24.32</v>
      </c>
      <c r="C37" s="64">
        <v>45.55</v>
      </c>
      <c r="D37" s="64">
        <v>45.29</v>
      </c>
      <c r="E37" s="64">
        <v>2.36</v>
      </c>
      <c r="F37" s="64">
        <v>3.99</v>
      </c>
      <c r="G37" s="64">
        <v>93.71</v>
      </c>
      <c r="H37" s="64">
        <v>46.21</v>
      </c>
      <c r="I37" s="64">
        <v>1.48</v>
      </c>
      <c r="J37" s="64">
        <v>0.57999999999999996</v>
      </c>
      <c r="K37" s="64">
        <v>338.38</v>
      </c>
      <c r="L37" s="64">
        <v>18.420000000000002</v>
      </c>
      <c r="M37" s="64">
        <v>73.45</v>
      </c>
      <c r="N37" s="64">
        <v>100</v>
      </c>
      <c r="O37" s="64">
        <v>0</v>
      </c>
      <c r="P37" s="64">
        <v>1.1599999999999999</v>
      </c>
      <c r="Q37" s="64">
        <v>6.88</v>
      </c>
      <c r="R37" s="198"/>
      <c r="S37" s="198"/>
      <c r="T37" s="198"/>
      <c r="U37" s="198"/>
    </row>
    <row r="38" spans="1:21" s="12" customFormat="1" x14ac:dyDescent="0.25">
      <c r="A38" s="215" t="s">
        <v>2295</v>
      </c>
      <c r="B38" s="64">
        <v>24.17</v>
      </c>
      <c r="C38" s="64">
        <v>44.63</v>
      </c>
      <c r="D38" s="64">
        <v>44.66</v>
      </c>
      <c r="E38" s="64">
        <v>2.4</v>
      </c>
      <c r="F38" s="64">
        <v>3.82</v>
      </c>
      <c r="G38" s="64">
        <v>90.38</v>
      </c>
      <c r="H38" s="64">
        <v>45.47</v>
      </c>
      <c r="I38" s="64">
        <v>1.57</v>
      </c>
      <c r="J38" s="64">
        <v>0.69</v>
      </c>
      <c r="K38" s="64">
        <v>343.46</v>
      </c>
      <c r="L38" s="64">
        <v>19.489999999999998</v>
      </c>
      <c r="M38" s="64">
        <v>68.61</v>
      </c>
      <c r="N38" s="64">
        <v>167.6</v>
      </c>
      <c r="O38" s="64">
        <v>0</v>
      </c>
      <c r="P38" s="64">
        <v>1.2</v>
      </c>
      <c r="Q38" s="64">
        <v>6.93</v>
      </c>
      <c r="R38" s="198"/>
      <c r="S38" s="198"/>
      <c r="T38" s="198"/>
      <c r="U38" s="198"/>
    </row>
    <row r="39" spans="1:21" s="12" customFormat="1" x14ac:dyDescent="0.25">
      <c r="A39" s="215" t="s">
        <v>2296</v>
      </c>
      <c r="B39" s="64">
        <v>24.24</v>
      </c>
      <c r="C39" s="64">
        <v>44.03</v>
      </c>
      <c r="D39" s="64">
        <v>44.38</v>
      </c>
      <c r="E39" s="64">
        <v>1.85</v>
      </c>
      <c r="F39" s="64">
        <v>3.57</v>
      </c>
      <c r="G39" s="64">
        <v>90.38</v>
      </c>
      <c r="H39" s="64">
        <v>45.47</v>
      </c>
      <c r="I39" s="64">
        <v>1.47</v>
      </c>
      <c r="J39" s="64">
        <v>0.77</v>
      </c>
      <c r="K39" s="64">
        <v>342.05</v>
      </c>
      <c r="L39" s="64">
        <v>21.5</v>
      </c>
      <c r="M39" s="64">
        <v>60.76</v>
      </c>
      <c r="N39" s="64">
        <v>246.1</v>
      </c>
      <c r="O39" s="64">
        <v>0</v>
      </c>
      <c r="P39" s="64">
        <v>1.19</v>
      </c>
      <c r="Q39" s="64">
        <v>6.98</v>
      </c>
      <c r="R39" s="198"/>
      <c r="S39" s="198"/>
      <c r="T39" s="198"/>
      <c r="U39" s="198"/>
    </row>
    <row r="40" spans="1:21" s="12" customFormat="1" x14ac:dyDescent="0.25">
      <c r="A40" s="215" t="s">
        <v>2297</v>
      </c>
      <c r="B40" s="64">
        <v>23.92</v>
      </c>
      <c r="C40" s="64">
        <v>44.24</v>
      </c>
      <c r="D40" s="64">
        <v>44.24</v>
      </c>
      <c r="E40" s="64">
        <v>1.85</v>
      </c>
      <c r="F40" s="64">
        <v>3.83</v>
      </c>
      <c r="G40" s="64">
        <v>90.38</v>
      </c>
      <c r="H40" s="64">
        <v>45.47</v>
      </c>
      <c r="I40" s="64">
        <v>1.5</v>
      </c>
      <c r="J40" s="64">
        <v>0.66</v>
      </c>
      <c r="K40" s="64">
        <v>340.83</v>
      </c>
      <c r="L40" s="64">
        <v>23.26</v>
      </c>
      <c r="M40" s="64">
        <v>54.73</v>
      </c>
      <c r="N40" s="64">
        <v>279.5</v>
      </c>
      <c r="O40" s="64">
        <v>0</v>
      </c>
      <c r="P40" s="64">
        <v>1.19</v>
      </c>
      <c r="Q40" s="64">
        <v>6.94</v>
      </c>
      <c r="R40" s="198"/>
      <c r="S40" s="198"/>
      <c r="T40" s="198"/>
      <c r="U40" s="198"/>
    </row>
    <row r="41" spans="1:21" s="12" customFormat="1" x14ac:dyDescent="0.25">
      <c r="A41" s="215" t="s">
        <v>2298</v>
      </c>
      <c r="B41" s="64">
        <v>24.01</v>
      </c>
      <c r="C41" s="64">
        <v>44.2</v>
      </c>
      <c r="D41" s="64">
        <v>44.3</v>
      </c>
      <c r="E41" s="64">
        <v>2.2799999999999998</v>
      </c>
      <c r="F41" s="64">
        <v>3.73</v>
      </c>
      <c r="G41" s="64">
        <v>90.42</v>
      </c>
      <c r="H41" s="64">
        <v>45.23</v>
      </c>
      <c r="I41" s="64">
        <v>1.46</v>
      </c>
      <c r="J41" s="64">
        <v>0.63</v>
      </c>
      <c r="K41" s="64">
        <v>336.93</v>
      </c>
      <c r="L41" s="64">
        <v>24.32</v>
      </c>
      <c r="M41" s="64">
        <v>51.07</v>
      </c>
      <c r="N41" s="64">
        <v>321.89999999999998</v>
      </c>
      <c r="O41" s="64">
        <v>0</v>
      </c>
      <c r="P41" s="64">
        <v>1.18</v>
      </c>
      <c r="Q41" s="64">
        <v>6.93</v>
      </c>
      <c r="R41" s="198"/>
      <c r="S41" s="198"/>
      <c r="T41" s="198"/>
      <c r="U41" s="198"/>
    </row>
    <row r="42" spans="1:21" s="12" customFormat="1" x14ac:dyDescent="0.25">
      <c r="A42" s="215" t="s">
        <v>2299</v>
      </c>
      <c r="B42" s="64">
        <v>23.23</v>
      </c>
      <c r="C42" s="64">
        <v>43.84</v>
      </c>
      <c r="D42" s="64">
        <v>43.47</v>
      </c>
      <c r="E42" s="64">
        <v>2.21</v>
      </c>
      <c r="F42" s="64">
        <v>3.78</v>
      </c>
      <c r="G42" s="64">
        <v>90.46</v>
      </c>
      <c r="H42" s="64">
        <v>45.17</v>
      </c>
      <c r="I42" s="64">
        <v>1.49</v>
      </c>
      <c r="J42" s="64">
        <v>0.3</v>
      </c>
      <c r="K42" s="64">
        <v>19.7</v>
      </c>
      <c r="L42" s="64">
        <v>24.53</v>
      </c>
      <c r="M42" s="64">
        <v>50.94</v>
      </c>
      <c r="N42" s="64">
        <v>369.8</v>
      </c>
      <c r="O42" s="64">
        <v>0</v>
      </c>
      <c r="P42" s="64">
        <v>1.18</v>
      </c>
      <c r="Q42" s="64">
        <v>6.98</v>
      </c>
      <c r="R42" s="198"/>
      <c r="S42" s="198"/>
      <c r="T42" s="198"/>
      <c r="U42" s="198"/>
    </row>
    <row r="43" spans="1:21" s="12" customFormat="1" x14ac:dyDescent="0.25">
      <c r="A43" s="215" t="s">
        <v>2300</v>
      </c>
      <c r="B43" s="64">
        <v>22.54</v>
      </c>
      <c r="C43" s="64">
        <v>43.19</v>
      </c>
      <c r="D43" s="64">
        <v>42.56</v>
      </c>
      <c r="E43" s="64">
        <v>2.2000000000000002</v>
      </c>
      <c r="F43" s="64">
        <v>3.77</v>
      </c>
      <c r="G43" s="64">
        <v>90.46</v>
      </c>
      <c r="H43" s="64">
        <v>45.17</v>
      </c>
      <c r="I43" s="64">
        <v>1.54</v>
      </c>
      <c r="J43" s="64">
        <v>0.27</v>
      </c>
      <c r="K43" s="64">
        <v>337.34</v>
      </c>
      <c r="L43" s="64">
        <v>24.45</v>
      </c>
      <c r="M43" s="64">
        <v>50.54</v>
      </c>
      <c r="N43" s="64">
        <v>408.5</v>
      </c>
      <c r="O43" s="64">
        <v>0</v>
      </c>
      <c r="P43" s="64">
        <v>1.17</v>
      </c>
      <c r="Q43" s="64">
        <v>6.93</v>
      </c>
      <c r="R43" s="198"/>
      <c r="S43" s="198"/>
      <c r="T43" s="198"/>
      <c r="U43" s="198"/>
    </row>
    <row r="44" spans="1:21" s="12" customFormat="1" x14ac:dyDescent="0.25">
      <c r="A44" s="215" t="s">
        <v>2301</v>
      </c>
      <c r="B44" s="64">
        <v>21.3</v>
      </c>
      <c r="C44" s="64">
        <v>45.92</v>
      </c>
      <c r="D44" s="64">
        <v>43.07</v>
      </c>
      <c r="E44" s="64">
        <v>2.2599999999999998</v>
      </c>
      <c r="F44" s="64">
        <v>3.69</v>
      </c>
      <c r="G44" s="64">
        <v>90.46</v>
      </c>
      <c r="H44" s="64">
        <v>45.17</v>
      </c>
      <c r="I44" s="64">
        <v>1.6</v>
      </c>
      <c r="J44" s="64">
        <v>0.38</v>
      </c>
      <c r="K44" s="64">
        <v>68.400000000000006</v>
      </c>
      <c r="L44" s="64">
        <v>24.93</v>
      </c>
      <c r="M44" s="64">
        <v>49.66</v>
      </c>
      <c r="N44" s="64">
        <v>449.1</v>
      </c>
      <c r="O44" s="64">
        <v>0</v>
      </c>
      <c r="P44" s="64">
        <v>1.1599999999999999</v>
      </c>
      <c r="Q44" s="64">
        <v>6.88</v>
      </c>
      <c r="R44" s="198"/>
      <c r="S44" s="198"/>
      <c r="T44" s="198"/>
      <c r="U44" s="198"/>
    </row>
    <row r="45" spans="1:21" s="12" customFormat="1" x14ac:dyDescent="0.25">
      <c r="A45" s="215" t="s">
        <v>2302</v>
      </c>
      <c r="B45" s="64">
        <v>20.2</v>
      </c>
      <c r="C45" s="64">
        <v>48.72</v>
      </c>
      <c r="D45" s="64">
        <v>43.73</v>
      </c>
      <c r="E45" s="64">
        <v>2.2200000000000002</v>
      </c>
      <c r="F45" s="64">
        <v>3.53</v>
      </c>
      <c r="G45" s="64">
        <v>85.54</v>
      </c>
      <c r="H45" s="64">
        <v>42.93</v>
      </c>
      <c r="I45" s="64">
        <v>1.55</v>
      </c>
      <c r="J45" s="64">
        <v>0.18</v>
      </c>
      <c r="K45" s="64">
        <v>80.08</v>
      </c>
      <c r="L45" s="64">
        <v>24.25</v>
      </c>
      <c r="M45" s="64">
        <v>52.57</v>
      </c>
      <c r="N45" s="64">
        <v>487.2</v>
      </c>
      <c r="O45" s="64">
        <v>0</v>
      </c>
      <c r="P45" s="64">
        <v>1.1399999999999999</v>
      </c>
      <c r="Q45" s="64">
        <v>6.77</v>
      </c>
      <c r="R45" s="198"/>
      <c r="S45" s="198"/>
      <c r="T45" s="198"/>
      <c r="U45" s="198"/>
    </row>
    <row r="46" spans="1:21" s="12" customFormat="1" x14ac:dyDescent="0.25">
      <c r="A46" s="215" t="s">
        <v>2303</v>
      </c>
      <c r="B46" s="64">
        <v>18.64</v>
      </c>
      <c r="C46" s="64">
        <v>48.66</v>
      </c>
      <c r="D46" s="64">
        <v>42.45</v>
      </c>
      <c r="E46" s="64">
        <v>2.2200000000000002</v>
      </c>
      <c r="F46" s="64">
        <v>3.63</v>
      </c>
      <c r="G46" s="64">
        <v>82.26</v>
      </c>
      <c r="H46" s="64">
        <v>41.99</v>
      </c>
      <c r="I46" s="64">
        <v>1.49</v>
      </c>
      <c r="J46" s="64">
        <v>0.97</v>
      </c>
      <c r="K46" s="64">
        <v>107.69</v>
      </c>
      <c r="L46" s="64">
        <v>23.71</v>
      </c>
      <c r="M46" s="64">
        <v>54.29</v>
      </c>
      <c r="N46" s="64">
        <v>527.4</v>
      </c>
      <c r="O46" s="64">
        <v>0</v>
      </c>
      <c r="P46" s="64">
        <v>1.1200000000000001</v>
      </c>
      <c r="Q46" s="64">
        <v>6.69</v>
      </c>
      <c r="R46" s="198"/>
      <c r="S46" s="198"/>
      <c r="T46" s="198"/>
      <c r="U46" s="198"/>
    </row>
    <row r="47" spans="1:21" s="12" customFormat="1" x14ac:dyDescent="0.25">
      <c r="A47" s="215" t="s">
        <v>2304</v>
      </c>
      <c r="B47" s="64">
        <v>16.8</v>
      </c>
      <c r="C47" s="64">
        <v>46.83</v>
      </c>
      <c r="D47" s="64">
        <v>39.97</v>
      </c>
      <c r="E47" s="64">
        <v>2.15</v>
      </c>
      <c r="F47" s="64">
        <v>3.51</v>
      </c>
      <c r="G47" s="64">
        <v>82.26</v>
      </c>
      <c r="H47" s="64">
        <v>41.99</v>
      </c>
      <c r="I47" s="64">
        <v>1.51</v>
      </c>
      <c r="J47" s="64">
        <v>0.47</v>
      </c>
      <c r="K47" s="64">
        <v>337.85</v>
      </c>
      <c r="L47" s="64">
        <v>25.12</v>
      </c>
      <c r="M47" s="64">
        <v>49.9</v>
      </c>
      <c r="N47" s="64">
        <v>553.9</v>
      </c>
      <c r="O47" s="64">
        <v>0</v>
      </c>
      <c r="P47" s="64">
        <v>1.1100000000000001</v>
      </c>
      <c r="Q47" s="64">
        <v>6.62</v>
      </c>
      <c r="R47" s="198"/>
      <c r="S47" s="198"/>
      <c r="T47" s="198"/>
      <c r="U47" s="198"/>
    </row>
    <row r="48" spans="1:21" s="12" customFormat="1" x14ac:dyDescent="0.25">
      <c r="A48" s="215" t="s">
        <v>2305</v>
      </c>
      <c r="B48" s="64">
        <v>15.24</v>
      </c>
      <c r="C48" s="64">
        <v>47.05</v>
      </c>
      <c r="D48" s="64">
        <v>38.83</v>
      </c>
      <c r="E48" s="64">
        <v>2.15</v>
      </c>
      <c r="F48" s="64">
        <v>3.59</v>
      </c>
      <c r="G48" s="64">
        <v>82.26</v>
      </c>
      <c r="H48" s="64">
        <v>41.99</v>
      </c>
      <c r="I48" s="64">
        <v>1.55</v>
      </c>
      <c r="J48" s="64">
        <v>0.87</v>
      </c>
      <c r="K48" s="64">
        <v>105.42</v>
      </c>
      <c r="L48" s="64">
        <v>25.43</v>
      </c>
      <c r="M48" s="64">
        <v>47.78</v>
      </c>
      <c r="N48" s="64">
        <v>598.6</v>
      </c>
      <c r="O48" s="64">
        <v>0</v>
      </c>
      <c r="P48" s="64">
        <v>1.1000000000000001</v>
      </c>
      <c r="Q48" s="64">
        <v>6.48</v>
      </c>
      <c r="R48" s="198"/>
      <c r="S48" s="198"/>
      <c r="T48" s="198"/>
      <c r="U48" s="198"/>
    </row>
    <row r="49" spans="1:21" s="12" customFormat="1" x14ac:dyDescent="0.25">
      <c r="A49" s="215" t="s">
        <v>2306</v>
      </c>
      <c r="B49" s="64">
        <v>13.38</v>
      </c>
      <c r="C49" s="64">
        <v>49.65</v>
      </c>
      <c r="D49" s="64">
        <v>38.78</v>
      </c>
      <c r="E49" s="64">
        <v>2.23</v>
      </c>
      <c r="F49" s="64">
        <v>4</v>
      </c>
      <c r="G49" s="64">
        <v>79.040000000000006</v>
      </c>
      <c r="H49" s="64">
        <v>39.450000000000003</v>
      </c>
      <c r="I49" s="64">
        <v>1.55</v>
      </c>
      <c r="J49" s="64">
        <v>0.3</v>
      </c>
      <c r="K49" s="64">
        <v>82.04</v>
      </c>
      <c r="L49" s="64">
        <v>24.89</v>
      </c>
      <c r="M49" s="64">
        <v>48.09</v>
      </c>
      <c r="N49" s="64">
        <v>619.70000000000005</v>
      </c>
      <c r="O49" s="64">
        <v>0</v>
      </c>
      <c r="P49" s="64">
        <v>1.07</v>
      </c>
      <c r="Q49" s="64">
        <v>6.28</v>
      </c>
      <c r="R49" s="198"/>
      <c r="S49" s="198"/>
      <c r="T49" s="198"/>
      <c r="U49" s="198"/>
    </row>
    <row r="50" spans="1:21" s="12" customFormat="1" x14ac:dyDescent="0.25">
      <c r="A50" s="215" t="s">
        <v>2307</v>
      </c>
      <c r="B50" s="64">
        <v>11.64</v>
      </c>
      <c r="C50" s="64">
        <v>47.67</v>
      </c>
      <c r="D50" s="64">
        <v>36.29</v>
      </c>
      <c r="E50" s="64">
        <v>2.17</v>
      </c>
      <c r="F50" s="64">
        <v>4.37</v>
      </c>
      <c r="G50" s="64">
        <v>76.89</v>
      </c>
      <c r="H50" s="64">
        <v>38.83</v>
      </c>
      <c r="I50" s="64">
        <v>1.48</v>
      </c>
      <c r="J50" s="64">
        <v>1.35</v>
      </c>
      <c r="K50" s="64">
        <v>110.17</v>
      </c>
      <c r="L50" s="64">
        <v>24.61</v>
      </c>
      <c r="M50" s="64">
        <v>49.32</v>
      </c>
      <c r="N50" s="64">
        <v>642.6</v>
      </c>
      <c r="O50" s="64">
        <v>0</v>
      </c>
      <c r="P50" s="64">
        <v>1.03</v>
      </c>
      <c r="Q50" s="64">
        <v>6.2</v>
      </c>
      <c r="R50" s="198"/>
      <c r="S50" s="198"/>
      <c r="T50" s="198"/>
      <c r="U50" s="198"/>
    </row>
    <row r="51" spans="1:21" s="12" customFormat="1" x14ac:dyDescent="0.25">
      <c r="A51" s="215" t="s">
        <v>2308</v>
      </c>
      <c r="B51" s="64">
        <v>9.5500000000000007</v>
      </c>
      <c r="C51" s="64">
        <v>47.27</v>
      </c>
      <c r="D51" s="64">
        <v>34.39</v>
      </c>
      <c r="E51" s="64">
        <v>2.13</v>
      </c>
      <c r="F51" s="64">
        <v>4.59</v>
      </c>
      <c r="G51" s="64">
        <v>76.89</v>
      </c>
      <c r="H51" s="64">
        <v>38.83</v>
      </c>
      <c r="I51" s="64">
        <v>1.54</v>
      </c>
      <c r="J51" s="64">
        <v>1.34</v>
      </c>
      <c r="K51" s="64">
        <v>116.1</v>
      </c>
      <c r="L51" s="64">
        <v>25.28</v>
      </c>
      <c r="M51" s="64">
        <v>48.64</v>
      </c>
      <c r="N51" s="64">
        <v>660.7</v>
      </c>
      <c r="O51" s="64">
        <v>0</v>
      </c>
      <c r="P51" s="64">
        <v>0.99</v>
      </c>
      <c r="Q51" s="64">
        <v>6.02</v>
      </c>
      <c r="R51" s="198"/>
      <c r="S51" s="198"/>
      <c r="T51" s="198"/>
      <c r="U51" s="198"/>
    </row>
    <row r="52" spans="1:21" s="12" customFormat="1" x14ac:dyDescent="0.25">
      <c r="A52" s="215" t="s">
        <v>2309</v>
      </c>
      <c r="B52" s="64">
        <v>7.65</v>
      </c>
      <c r="C52" s="64">
        <v>46.24</v>
      </c>
      <c r="D52" s="64">
        <v>32.299999999999997</v>
      </c>
      <c r="E52" s="64">
        <v>2.11</v>
      </c>
      <c r="F52" s="64">
        <v>5.07</v>
      </c>
      <c r="G52" s="64">
        <v>76.89</v>
      </c>
      <c r="H52" s="64">
        <v>38.83</v>
      </c>
      <c r="I52" s="64">
        <v>1.52</v>
      </c>
      <c r="J52" s="64">
        <v>0.4</v>
      </c>
      <c r="K52" s="64">
        <v>106.8</v>
      </c>
      <c r="L52" s="64">
        <v>26.09</v>
      </c>
      <c r="M52" s="64">
        <v>46.22</v>
      </c>
      <c r="N52" s="64">
        <v>658.9</v>
      </c>
      <c r="O52" s="64">
        <v>0</v>
      </c>
      <c r="P52" s="64">
        <v>0.95</v>
      </c>
      <c r="Q52" s="64">
        <v>5.86</v>
      </c>
      <c r="R52" s="198"/>
      <c r="S52" s="198"/>
      <c r="T52" s="198"/>
      <c r="U52" s="198"/>
    </row>
    <row r="53" spans="1:21" s="12" customFormat="1" x14ac:dyDescent="0.25">
      <c r="A53" s="215" t="s">
        <v>2310</v>
      </c>
      <c r="B53" s="64">
        <v>6.41</v>
      </c>
      <c r="C53" s="64">
        <v>48.24</v>
      </c>
      <c r="D53" s="64">
        <v>32.409999999999997</v>
      </c>
      <c r="E53" s="64">
        <v>2.15</v>
      </c>
      <c r="F53" s="64">
        <v>5.22</v>
      </c>
      <c r="G53" s="64">
        <v>73.31</v>
      </c>
      <c r="H53" s="64">
        <v>36.5</v>
      </c>
      <c r="I53" s="64">
        <v>1.52</v>
      </c>
      <c r="J53" s="64">
        <v>0.59</v>
      </c>
      <c r="K53" s="64">
        <v>340.18</v>
      </c>
      <c r="L53" s="64">
        <v>28.34</v>
      </c>
      <c r="M53" s="64">
        <v>40.909999999999997</v>
      </c>
      <c r="N53" s="64">
        <v>659.6</v>
      </c>
      <c r="O53" s="64">
        <v>0</v>
      </c>
      <c r="P53" s="64">
        <v>0.95</v>
      </c>
      <c r="Q53" s="64">
        <v>5.76</v>
      </c>
      <c r="R53" s="198"/>
      <c r="S53" s="198"/>
      <c r="T53" s="198"/>
      <c r="U53" s="198"/>
    </row>
    <row r="54" spans="1:21" s="12" customFormat="1" x14ac:dyDescent="0.25">
      <c r="A54" s="215" t="s">
        <v>2311</v>
      </c>
      <c r="B54" s="64">
        <v>5.73</v>
      </c>
      <c r="C54" s="64">
        <v>46.3</v>
      </c>
      <c r="D54" s="64">
        <v>30.79</v>
      </c>
      <c r="E54" s="64">
        <v>2.21</v>
      </c>
      <c r="F54" s="64">
        <v>4.5599999999999996</v>
      </c>
      <c r="G54" s="64">
        <v>70.930000000000007</v>
      </c>
      <c r="H54" s="64">
        <v>35.93</v>
      </c>
      <c r="I54" s="64">
        <v>1.56</v>
      </c>
      <c r="J54" s="64">
        <v>0.87</v>
      </c>
      <c r="K54" s="64">
        <v>342.81</v>
      </c>
      <c r="L54" s="64">
        <v>29.56</v>
      </c>
      <c r="M54" s="64">
        <v>38.33</v>
      </c>
      <c r="N54" s="64">
        <v>671.8</v>
      </c>
      <c r="O54" s="64">
        <v>0</v>
      </c>
      <c r="P54" s="64">
        <v>0.94</v>
      </c>
      <c r="Q54" s="64">
        <v>5.68</v>
      </c>
      <c r="R54" s="198"/>
      <c r="S54" s="198"/>
      <c r="T54" s="198"/>
      <c r="U54" s="198"/>
    </row>
    <row r="55" spans="1:21" s="12" customFormat="1" x14ac:dyDescent="0.25">
      <c r="A55" s="215" t="s">
        <v>2312</v>
      </c>
      <c r="B55" s="64">
        <v>5.24</v>
      </c>
      <c r="C55" s="64">
        <v>45.99</v>
      </c>
      <c r="D55" s="64">
        <v>30.23</v>
      </c>
      <c r="E55" s="64">
        <v>2.38</v>
      </c>
      <c r="F55" s="64">
        <v>5.91</v>
      </c>
      <c r="G55" s="64">
        <v>70.930000000000007</v>
      </c>
      <c r="H55" s="64">
        <v>35.93</v>
      </c>
      <c r="I55" s="64">
        <v>1.6</v>
      </c>
      <c r="J55" s="64">
        <v>0.28000000000000003</v>
      </c>
      <c r="K55" s="64">
        <v>343.43</v>
      </c>
      <c r="L55" s="64">
        <v>29.15</v>
      </c>
      <c r="M55" s="64">
        <v>37.64</v>
      </c>
      <c r="N55" s="64">
        <v>653.5</v>
      </c>
      <c r="O55" s="64">
        <v>0</v>
      </c>
      <c r="P55" s="64">
        <v>0.93</v>
      </c>
      <c r="Q55" s="64">
        <v>5.62</v>
      </c>
      <c r="R55" s="198"/>
      <c r="S55" s="198"/>
      <c r="T55" s="198"/>
      <c r="U55" s="198"/>
    </row>
    <row r="56" spans="1:21" s="12" customFormat="1" x14ac:dyDescent="0.25">
      <c r="A56" s="215" t="s">
        <v>2313</v>
      </c>
      <c r="B56" s="64">
        <v>4.5999999999999996</v>
      </c>
      <c r="C56" s="64">
        <v>46.17</v>
      </c>
      <c r="D56" s="64">
        <v>29.81</v>
      </c>
      <c r="E56" s="64">
        <v>2.2000000000000002</v>
      </c>
      <c r="F56" s="64">
        <v>5.2</v>
      </c>
      <c r="G56" s="64">
        <v>70.930000000000007</v>
      </c>
      <c r="H56" s="64">
        <v>35.93</v>
      </c>
      <c r="I56" s="64">
        <v>1.52</v>
      </c>
      <c r="J56" s="64">
        <v>0.34</v>
      </c>
      <c r="K56" s="64">
        <v>48.84</v>
      </c>
      <c r="L56" s="64">
        <v>29.13</v>
      </c>
      <c r="M56" s="64">
        <v>37.17</v>
      </c>
      <c r="N56" s="64">
        <v>643.29999999999995</v>
      </c>
      <c r="O56" s="64">
        <v>0</v>
      </c>
      <c r="P56" s="64">
        <v>0.92</v>
      </c>
      <c r="Q56" s="64">
        <v>5.56</v>
      </c>
      <c r="R56" s="198"/>
      <c r="S56" s="198"/>
      <c r="T56" s="198"/>
      <c r="U56" s="198"/>
    </row>
    <row r="57" spans="1:21" s="12" customFormat="1" x14ac:dyDescent="0.25">
      <c r="A57" s="215" t="s">
        <v>2314</v>
      </c>
      <c r="B57" s="64">
        <v>4.38</v>
      </c>
      <c r="C57" s="64">
        <v>44.59</v>
      </c>
      <c r="D57" s="64">
        <v>28.77</v>
      </c>
      <c r="E57" s="64">
        <v>2.35</v>
      </c>
      <c r="F57" s="64">
        <v>6.21</v>
      </c>
      <c r="G57" s="64">
        <v>68.87</v>
      </c>
      <c r="H57" s="64">
        <v>36.26</v>
      </c>
      <c r="I57" s="64">
        <v>1.6</v>
      </c>
      <c r="J57" s="64">
        <v>0.67</v>
      </c>
      <c r="K57" s="64">
        <v>109.11</v>
      </c>
      <c r="L57" s="64">
        <v>26.68</v>
      </c>
      <c r="M57" s="64">
        <v>41.74</v>
      </c>
      <c r="N57" s="64">
        <v>642.20000000000005</v>
      </c>
      <c r="O57" s="64">
        <v>0</v>
      </c>
      <c r="P57" s="64">
        <v>0.9</v>
      </c>
      <c r="Q57" s="64">
        <v>5.56</v>
      </c>
      <c r="R57" s="198"/>
      <c r="S57" s="198"/>
      <c r="T57" s="198"/>
      <c r="U57" s="198"/>
    </row>
    <row r="58" spans="1:21" s="12" customFormat="1" x14ac:dyDescent="0.25">
      <c r="A58" s="215" t="s">
        <v>2315</v>
      </c>
      <c r="B58" s="64">
        <v>4.46</v>
      </c>
      <c r="C58" s="64">
        <v>42.87</v>
      </c>
      <c r="D58" s="64">
        <v>27.88</v>
      </c>
      <c r="E58" s="64">
        <v>2.46</v>
      </c>
      <c r="F58" s="64">
        <v>7.97</v>
      </c>
      <c r="G58" s="64">
        <v>67.489999999999995</v>
      </c>
      <c r="H58" s="64">
        <v>36.340000000000003</v>
      </c>
      <c r="I58" s="64">
        <v>1.55</v>
      </c>
      <c r="J58" s="64">
        <v>0.42</v>
      </c>
      <c r="K58" s="64">
        <v>67.739999999999995</v>
      </c>
      <c r="L58" s="64">
        <v>27.6</v>
      </c>
      <c r="M58" s="64">
        <v>39.020000000000003</v>
      </c>
      <c r="N58" s="64">
        <v>636.79999999999995</v>
      </c>
      <c r="O58" s="64">
        <v>0</v>
      </c>
      <c r="P58" s="64">
        <v>0.89</v>
      </c>
      <c r="Q58" s="64">
        <v>5.45</v>
      </c>
      <c r="R58" s="198"/>
      <c r="S58" s="198"/>
      <c r="T58" s="198"/>
      <c r="U58" s="198"/>
    </row>
    <row r="59" spans="1:21" s="12" customFormat="1" x14ac:dyDescent="0.25">
      <c r="A59" s="215" t="s">
        <v>2316</v>
      </c>
      <c r="B59" s="64">
        <v>4.1900000000000004</v>
      </c>
      <c r="C59" s="64">
        <v>42.67</v>
      </c>
      <c r="D59" s="64">
        <v>27.56</v>
      </c>
      <c r="E59" s="64">
        <v>2.54</v>
      </c>
      <c r="F59" s="64">
        <v>6.53</v>
      </c>
      <c r="G59" s="64">
        <v>67.489999999999995</v>
      </c>
      <c r="H59" s="64">
        <v>36.340000000000003</v>
      </c>
      <c r="I59" s="64">
        <v>1.44</v>
      </c>
      <c r="J59" s="64">
        <v>0.63</v>
      </c>
      <c r="K59" s="64">
        <v>106.1</v>
      </c>
      <c r="L59" s="64">
        <v>27.27</v>
      </c>
      <c r="M59" s="64">
        <v>40.32</v>
      </c>
      <c r="N59" s="64">
        <v>608.79999999999995</v>
      </c>
      <c r="O59" s="64">
        <v>0</v>
      </c>
      <c r="P59" s="64">
        <v>0.87</v>
      </c>
      <c r="Q59" s="64">
        <v>5.5</v>
      </c>
      <c r="R59" s="198"/>
      <c r="S59" s="198"/>
      <c r="T59" s="198"/>
      <c r="U59" s="198"/>
    </row>
    <row r="60" spans="1:21" s="12" customFormat="1" x14ac:dyDescent="0.25">
      <c r="A60" s="215" t="s">
        <v>2317</v>
      </c>
      <c r="B60" s="64">
        <v>3.97</v>
      </c>
      <c r="C60" s="64">
        <v>41.51</v>
      </c>
      <c r="D60" s="64">
        <v>26.74</v>
      </c>
      <c r="E60" s="64">
        <v>2.62</v>
      </c>
      <c r="F60" s="64">
        <v>9.19</v>
      </c>
      <c r="G60" s="64">
        <v>67.489999999999995</v>
      </c>
      <c r="H60" s="64">
        <v>36.340000000000003</v>
      </c>
      <c r="I60" s="64">
        <v>1.53</v>
      </c>
      <c r="J60" s="64">
        <v>0.28000000000000003</v>
      </c>
      <c r="K60" s="64">
        <v>144.25</v>
      </c>
      <c r="L60" s="64">
        <v>27.04</v>
      </c>
      <c r="M60" s="64">
        <v>39.630000000000003</v>
      </c>
      <c r="N60" s="64">
        <v>559.29999999999995</v>
      </c>
      <c r="O60" s="64">
        <v>0</v>
      </c>
      <c r="P60" s="64">
        <v>0.83</v>
      </c>
      <c r="Q60" s="64">
        <v>5.49</v>
      </c>
      <c r="R60" s="198"/>
      <c r="S60" s="198"/>
      <c r="T60" s="198"/>
      <c r="U60" s="198"/>
    </row>
    <row r="61" spans="1:21" s="12" customFormat="1" x14ac:dyDescent="0.25">
      <c r="A61" s="215" t="s">
        <v>2318</v>
      </c>
      <c r="B61" s="64">
        <v>4.13</v>
      </c>
      <c r="C61" s="64">
        <v>42.46</v>
      </c>
      <c r="D61" s="64">
        <v>27.39</v>
      </c>
      <c r="E61" s="64">
        <v>2.61</v>
      </c>
      <c r="F61" s="64">
        <v>6.82</v>
      </c>
      <c r="G61" s="64">
        <v>66.64</v>
      </c>
      <c r="H61" s="64">
        <v>35.86</v>
      </c>
      <c r="I61" s="64">
        <v>1.47</v>
      </c>
      <c r="J61" s="64">
        <v>0.2</v>
      </c>
      <c r="K61" s="64">
        <v>17.78</v>
      </c>
      <c r="L61" s="64">
        <v>28.91</v>
      </c>
      <c r="M61" s="64">
        <v>36.86</v>
      </c>
      <c r="N61" s="64">
        <v>539.70000000000005</v>
      </c>
      <c r="O61" s="64">
        <v>0</v>
      </c>
      <c r="P61" s="64">
        <v>0.83</v>
      </c>
      <c r="Q61" s="64">
        <v>5.38</v>
      </c>
      <c r="R61" s="198"/>
      <c r="S61" s="198"/>
      <c r="T61" s="198"/>
      <c r="U61" s="198"/>
    </row>
    <row r="62" spans="1:21" s="12" customFormat="1" x14ac:dyDescent="0.25">
      <c r="A62" s="215" t="s">
        <v>2319</v>
      </c>
      <c r="B62" s="64">
        <v>4.0999999999999996</v>
      </c>
      <c r="C62" s="64">
        <v>41.74</v>
      </c>
      <c r="D62" s="64">
        <v>26.97</v>
      </c>
      <c r="E62" s="64">
        <v>2.4700000000000002</v>
      </c>
      <c r="F62" s="64">
        <v>10.86</v>
      </c>
      <c r="G62" s="64">
        <v>66.08</v>
      </c>
      <c r="H62" s="64">
        <v>35.65</v>
      </c>
      <c r="I62" s="64">
        <v>1.48</v>
      </c>
      <c r="J62" s="64">
        <v>1.05</v>
      </c>
      <c r="K62" s="64">
        <v>118.08</v>
      </c>
      <c r="L62" s="64">
        <v>26.78</v>
      </c>
      <c r="M62" s="64">
        <v>40.68</v>
      </c>
      <c r="N62" s="64">
        <v>449.8</v>
      </c>
      <c r="O62" s="64">
        <v>0</v>
      </c>
      <c r="P62" s="64">
        <v>0.82</v>
      </c>
      <c r="Q62" s="64">
        <v>5.39</v>
      </c>
      <c r="R62" s="198"/>
      <c r="S62" s="198"/>
      <c r="T62" s="198"/>
      <c r="U62" s="198"/>
    </row>
    <row r="63" spans="1:21" s="12" customFormat="1" x14ac:dyDescent="0.25">
      <c r="A63" s="215" t="s">
        <v>2320</v>
      </c>
      <c r="B63" s="64">
        <v>4.8</v>
      </c>
      <c r="C63" s="64">
        <v>44.46</v>
      </c>
      <c r="D63" s="64">
        <v>29.03</v>
      </c>
      <c r="E63" s="64">
        <v>2.87</v>
      </c>
      <c r="F63" s="64">
        <v>15.22</v>
      </c>
      <c r="G63" s="64">
        <v>66.08</v>
      </c>
      <c r="H63" s="64">
        <v>35.65</v>
      </c>
      <c r="I63" s="64">
        <v>1.48</v>
      </c>
      <c r="J63" s="64">
        <v>0.28000000000000003</v>
      </c>
      <c r="K63" s="64">
        <v>336.77</v>
      </c>
      <c r="L63" s="64">
        <v>27.52</v>
      </c>
      <c r="M63" s="64">
        <v>39.22</v>
      </c>
      <c r="N63" s="64">
        <v>273.3</v>
      </c>
      <c r="O63" s="64">
        <v>0</v>
      </c>
      <c r="P63" s="64">
        <v>0.82</v>
      </c>
      <c r="Q63" s="64">
        <v>5.3</v>
      </c>
      <c r="R63" s="198"/>
      <c r="S63" s="198"/>
      <c r="T63" s="198"/>
      <c r="U63" s="198"/>
    </row>
    <row r="64" spans="1:21" s="12" customFormat="1" x14ac:dyDescent="0.25">
      <c r="A64" s="215" t="s">
        <v>2321</v>
      </c>
      <c r="B64" s="64">
        <v>5.05</v>
      </c>
      <c r="C64" s="64">
        <v>46.67</v>
      </c>
      <c r="D64" s="64">
        <v>30.45</v>
      </c>
      <c r="E64" s="64">
        <v>3.33</v>
      </c>
      <c r="F64" s="64">
        <v>11</v>
      </c>
      <c r="G64" s="64">
        <v>66.08</v>
      </c>
      <c r="H64" s="64">
        <v>35.65</v>
      </c>
      <c r="I64" s="64">
        <v>1.5</v>
      </c>
      <c r="J64" s="64">
        <v>0.15</v>
      </c>
      <c r="K64" s="64">
        <v>352.37</v>
      </c>
      <c r="L64" s="64">
        <v>27.84</v>
      </c>
      <c r="M64" s="64">
        <v>39.22</v>
      </c>
      <c r="N64" s="64">
        <v>250.5</v>
      </c>
      <c r="O64" s="64">
        <v>0</v>
      </c>
      <c r="P64" s="64">
        <v>0.81</v>
      </c>
      <c r="Q64" s="64">
        <v>5.23</v>
      </c>
      <c r="R64" s="198"/>
      <c r="S64" s="198"/>
      <c r="T64" s="198"/>
      <c r="U64" s="198"/>
    </row>
    <row r="65" spans="1:21" s="12" customFormat="1" x14ac:dyDescent="0.25">
      <c r="A65" s="215" t="s">
        <v>2322</v>
      </c>
      <c r="B65" s="64">
        <v>5.3</v>
      </c>
      <c r="C65" s="64">
        <v>42.55</v>
      </c>
      <c r="D65" s="64">
        <v>28.38</v>
      </c>
      <c r="E65" s="64">
        <v>3.56</v>
      </c>
      <c r="F65" s="64">
        <v>11.48</v>
      </c>
      <c r="G65" s="64">
        <v>67.06</v>
      </c>
      <c r="H65" s="64">
        <v>35.89</v>
      </c>
      <c r="I65" s="64">
        <v>1.61</v>
      </c>
      <c r="J65" s="64">
        <v>0.61</v>
      </c>
      <c r="K65" s="64">
        <v>115.01</v>
      </c>
      <c r="L65" s="64">
        <v>27.73</v>
      </c>
      <c r="M65" s="64">
        <v>39.04</v>
      </c>
      <c r="N65" s="64">
        <v>226.7</v>
      </c>
      <c r="O65" s="64">
        <v>0</v>
      </c>
      <c r="P65" s="64">
        <v>0.83</v>
      </c>
      <c r="Q65" s="64">
        <v>5.0999999999999996</v>
      </c>
      <c r="R65" s="198"/>
      <c r="S65" s="198"/>
      <c r="T65" s="198"/>
      <c r="U65" s="198"/>
    </row>
    <row r="66" spans="1:21" s="12" customFormat="1" x14ac:dyDescent="0.25">
      <c r="A66" s="215" t="s">
        <v>2323</v>
      </c>
      <c r="B66" s="64">
        <v>6.65</v>
      </c>
      <c r="C66" s="64">
        <v>47.41</v>
      </c>
      <c r="D66" s="64">
        <v>32.14</v>
      </c>
      <c r="E66" s="64">
        <v>3.96</v>
      </c>
      <c r="F66" s="64">
        <v>11.65</v>
      </c>
      <c r="G66" s="64">
        <v>67.72</v>
      </c>
      <c r="H66" s="64">
        <v>35.950000000000003</v>
      </c>
      <c r="I66" s="64">
        <v>1.55</v>
      </c>
      <c r="J66" s="64">
        <v>0.24</v>
      </c>
      <c r="K66" s="64">
        <v>322.49</v>
      </c>
      <c r="L66" s="64">
        <v>26.99</v>
      </c>
      <c r="M66" s="64">
        <v>40.729999999999997</v>
      </c>
      <c r="N66" s="64">
        <v>175.7</v>
      </c>
      <c r="O66" s="64">
        <v>0</v>
      </c>
      <c r="P66" s="64">
        <v>0.83</v>
      </c>
      <c r="Q66" s="64">
        <v>5.08</v>
      </c>
      <c r="R66" s="198"/>
      <c r="S66" s="198"/>
      <c r="T66" s="198"/>
      <c r="U66" s="198"/>
    </row>
    <row r="67" spans="1:21" s="12" customFormat="1" x14ac:dyDescent="0.25">
      <c r="A67" s="215" t="s">
        <v>2324</v>
      </c>
      <c r="B67" s="64">
        <v>6.37</v>
      </c>
      <c r="C67" s="64">
        <v>45.97</v>
      </c>
      <c r="D67" s="64">
        <v>31.12</v>
      </c>
      <c r="E67" s="64">
        <v>3.97</v>
      </c>
      <c r="F67" s="64">
        <v>14.19</v>
      </c>
      <c r="G67" s="64">
        <v>67.72</v>
      </c>
      <c r="H67" s="64">
        <v>35.950000000000003</v>
      </c>
      <c r="I67" s="64">
        <v>1.42</v>
      </c>
      <c r="J67" s="64">
        <v>0.64</v>
      </c>
      <c r="K67" s="64">
        <v>334.08</v>
      </c>
      <c r="L67" s="64">
        <v>27.95</v>
      </c>
      <c r="M67" s="64">
        <v>38.64</v>
      </c>
      <c r="N67" s="64">
        <v>169.4</v>
      </c>
      <c r="O67" s="64">
        <v>0</v>
      </c>
      <c r="P67" s="64">
        <v>0.83</v>
      </c>
      <c r="Q67" s="64">
        <v>5.07</v>
      </c>
      <c r="R67" s="198"/>
      <c r="S67" s="198"/>
      <c r="T67" s="198"/>
      <c r="U67" s="198"/>
    </row>
    <row r="68" spans="1:21" s="12" customFormat="1" x14ac:dyDescent="0.25">
      <c r="A68" s="215" t="s">
        <v>2325</v>
      </c>
      <c r="B68" s="64">
        <v>5.93</v>
      </c>
      <c r="C68" s="64">
        <v>44.24</v>
      </c>
      <c r="D68" s="64">
        <v>29.81</v>
      </c>
      <c r="E68" s="64">
        <v>3.87</v>
      </c>
      <c r="F68" s="64">
        <v>16.14</v>
      </c>
      <c r="G68" s="64">
        <v>67.72</v>
      </c>
      <c r="H68" s="64">
        <v>35.950000000000003</v>
      </c>
      <c r="I68" s="64">
        <v>1.52</v>
      </c>
      <c r="J68" s="64">
        <v>0.56999999999999995</v>
      </c>
      <c r="K68" s="64">
        <v>334.1</v>
      </c>
      <c r="L68" s="64">
        <v>27.98</v>
      </c>
      <c r="M68" s="64">
        <v>38.130000000000003</v>
      </c>
      <c r="N68" s="64">
        <v>150.9</v>
      </c>
      <c r="O68" s="64">
        <v>0</v>
      </c>
      <c r="P68" s="64">
        <v>0.82</v>
      </c>
      <c r="Q68" s="64">
        <v>5.01</v>
      </c>
      <c r="R68" s="198"/>
      <c r="S68" s="198"/>
      <c r="T68" s="198"/>
      <c r="U68" s="198"/>
    </row>
    <row r="69" spans="1:21" s="12" customFormat="1" x14ac:dyDescent="0.25">
      <c r="A69" s="215" t="s">
        <v>2326</v>
      </c>
      <c r="B69" s="64">
        <v>5.89</v>
      </c>
      <c r="C69" s="64">
        <v>46.49</v>
      </c>
      <c r="D69" s="64">
        <v>31.02</v>
      </c>
      <c r="E69" s="64">
        <v>4.0999999999999996</v>
      </c>
      <c r="F69" s="64">
        <v>12.12</v>
      </c>
      <c r="G69" s="64">
        <v>68.02</v>
      </c>
      <c r="H69" s="64">
        <v>33.17</v>
      </c>
      <c r="I69" s="64">
        <v>1.49</v>
      </c>
      <c r="J69" s="64">
        <v>0.66</v>
      </c>
      <c r="K69" s="64">
        <v>333.95</v>
      </c>
      <c r="L69" s="64">
        <v>27.7</v>
      </c>
      <c r="M69" s="64">
        <v>38.14</v>
      </c>
      <c r="N69" s="64">
        <v>139.1</v>
      </c>
      <c r="O69" s="64">
        <v>0</v>
      </c>
      <c r="P69" s="64">
        <v>0.82</v>
      </c>
      <c r="Q69" s="64">
        <v>5.28</v>
      </c>
      <c r="R69" s="198"/>
      <c r="S69" s="198"/>
      <c r="T69" s="198"/>
      <c r="U69" s="198"/>
    </row>
    <row r="70" spans="1:21" s="12" customFormat="1" x14ac:dyDescent="0.25">
      <c r="A70" s="215" t="s">
        <v>2327</v>
      </c>
      <c r="B70" s="64">
        <v>7.08</v>
      </c>
      <c r="C70" s="64">
        <v>44.85</v>
      </c>
      <c r="D70" s="64">
        <v>31.07</v>
      </c>
      <c r="E70" s="64">
        <v>3.78</v>
      </c>
      <c r="F70" s="64">
        <v>11.87</v>
      </c>
      <c r="G70" s="64">
        <v>68.22</v>
      </c>
      <c r="H70" s="64">
        <v>32.49</v>
      </c>
      <c r="I70" s="64">
        <v>1.41</v>
      </c>
      <c r="J70" s="64">
        <v>0.7</v>
      </c>
      <c r="K70" s="64">
        <v>330.42</v>
      </c>
      <c r="L70" s="64">
        <v>27.58</v>
      </c>
      <c r="M70" s="64">
        <v>39.4</v>
      </c>
      <c r="N70" s="64">
        <v>131.69999999999999</v>
      </c>
      <c r="O70" s="64">
        <v>0</v>
      </c>
      <c r="P70" s="64">
        <v>0.84</v>
      </c>
      <c r="Q70" s="64">
        <v>5.4</v>
      </c>
      <c r="R70" s="198"/>
      <c r="S70" s="198"/>
      <c r="T70" s="198"/>
      <c r="U70" s="198"/>
    </row>
    <row r="71" spans="1:21" s="12" customFormat="1" x14ac:dyDescent="0.25">
      <c r="A71" s="215" t="s">
        <v>2328</v>
      </c>
      <c r="B71" s="64">
        <v>6.31</v>
      </c>
      <c r="C71" s="64">
        <v>41.03</v>
      </c>
      <c r="D71" s="64">
        <v>28.35</v>
      </c>
      <c r="E71" s="64">
        <v>3.49</v>
      </c>
      <c r="F71" s="64">
        <v>13.32</v>
      </c>
      <c r="G71" s="64">
        <v>68.22</v>
      </c>
      <c r="H71" s="64">
        <v>32.49</v>
      </c>
      <c r="I71" s="64">
        <v>1.49</v>
      </c>
      <c r="J71" s="64">
        <v>0.56999999999999995</v>
      </c>
      <c r="K71" s="64">
        <v>327.52999999999997</v>
      </c>
      <c r="L71" s="64">
        <v>27.23</v>
      </c>
      <c r="M71" s="64">
        <v>39.97</v>
      </c>
      <c r="N71" s="64">
        <v>110.1</v>
      </c>
      <c r="O71" s="64">
        <v>0</v>
      </c>
      <c r="P71" s="64">
        <v>0.83</v>
      </c>
      <c r="Q71" s="64">
        <v>5.59</v>
      </c>
      <c r="R71" s="198"/>
      <c r="S71" s="198"/>
      <c r="T71" s="198"/>
      <c r="U71" s="198"/>
    </row>
    <row r="72" spans="1:21" s="12" customFormat="1" x14ac:dyDescent="0.25">
      <c r="A72" s="215" t="s">
        <v>2329</v>
      </c>
      <c r="B72" s="64">
        <v>7.19</v>
      </c>
      <c r="C72" s="64">
        <v>46.39</v>
      </c>
      <c r="D72" s="64">
        <v>32.01</v>
      </c>
      <c r="E72" s="64">
        <v>2.81</v>
      </c>
      <c r="F72" s="64">
        <v>15.34</v>
      </c>
      <c r="G72" s="64">
        <v>68.22</v>
      </c>
      <c r="H72" s="64">
        <v>32.49</v>
      </c>
      <c r="I72" s="64">
        <v>1.53</v>
      </c>
      <c r="J72" s="64">
        <v>0.5</v>
      </c>
      <c r="K72" s="64">
        <v>323.12</v>
      </c>
      <c r="L72" s="64">
        <v>26.74</v>
      </c>
      <c r="M72" s="64">
        <v>40.85</v>
      </c>
      <c r="N72" s="64">
        <v>88.8</v>
      </c>
      <c r="O72" s="64">
        <v>0</v>
      </c>
      <c r="P72" s="64">
        <v>0.85</v>
      </c>
      <c r="Q72" s="64">
        <v>4.6500000000000004</v>
      </c>
      <c r="R72" s="198"/>
      <c r="S72" s="198"/>
      <c r="T72" s="198"/>
      <c r="U72" s="198"/>
    </row>
    <row r="73" spans="1:21" s="12" customFormat="1" x14ac:dyDescent="0.25">
      <c r="A73" s="215" t="s">
        <v>2330</v>
      </c>
      <c r="B73" s="64">
        <v>5.14</v>
      </c>
      <c r="C73" s="64">
        <v>49.01</v>
      </c>
      <c r="D73" s="64">
        <v>31.81</v>
      </c>
      <c r="E73" s="64">
        <v>3.26</v>
      </c>
      <c r="F73" s="64">
        <v>10.87</v>
      </c>
      <c r="G73" s="64">
        <v>64.92</v>
      </c>
      <c r="H73" s="64">
        <v>34.1</v>
      </c>
      <c r="I73" s="64">
        <v>1.48</v>
      </c>
      <c r="J73" s="64">
        <v>0.51</v>
      </c>
      <c r="K73" s="64">
        <v>324.55</v>
      </c>
      <c r="L73" s="64">
        <v>26.21</v>
      </c>
      <c r="M73" s="64">
        <v>42.32</v>
      </c>
      <c r="N73" s="64">
        <v>73.2</v>
      </c>
      <c r="O73" s="64">
        <v>0</v>
      </c>
      <c r="P73" s="64">
        <v>0.86</v>
      </c>
      <c r="Q73" s="64">
        <v>4.41</v>
      </c>
      <c r="R73" s="198"/>
      <c r="S73" s="198"/>
      <c r="T73" s="198"/>
      <c r="U73" s="198"/>
    </row>
    <row r="74" spans="1:21" s="12" customFormat="1" x14ac:dyDescent="0.25">
      <c r="A74" s="215" t="s">
        <v>2331</v>
      </c>
      <c r="B74" s="64">
        <v>6.45</v>
      </c>
      <c r="C74" s="64">
        <v>46.65</v>
      </c>
      <c r="D74" s="64">
        <v>31.57</v>
      </c>
      <c r="E74" s="64">
        <v>3.28</v>
      </c>
      <c r="F74" s="64">
        <v>10.72</v>
      </c>
      <c r="G74" s="64">
        <v>62.72</v>
      </c>
      <c r="H74" s="64">
        <v>34.5</v>
      </c>
      <c r="I74" s="64">
        <v>1.58</v>
      </c>
      <c r="J74" s="64">
        <v>0.62</v>
      </c>
      <c r="K74" s="64">
        <v>327.42</v>
      </c>
      <c r="L74" s="64">
        <v>25.77</v>
      </c>
      <c r="M74" s="64">
        <v>43.39</v>
      </c>
      <c r="N74" s="64">
        <v>58</v>
      </c>
      <c r="O74" s="64">
        <v>0</v>
      </c>
      <c r="P74" s="64">
        <v>0.88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5" t="s">
        <v>2332</v>
      </c>
      <c r="B75" s="64">
        <v>5.34</v>
      </c>
      <c r="C75" s="64">
        <v>48.69</v>
      </c>
      <c r="D75" s="64">
        <v>31.79</v>
      </c>
      <c r="E75" s="64">
        <v>3.3</v>
      </c>
      <c r="F75" s="64">
        <v>17.2</v>
      </c>
      <c r="G75" s="64">
        <v>62.72</v>
      </c>
      <c r="H75" s="64">
        <v>34.5</v>
      </c>
      <c r="I75" s="64">
        <v>1.54</v>
      </c>
      <c r="J75" s="64">
        <v>0.56000000000000005</v>
      </c>
      <c r="K75" s="64">
        <v>325.22000000000003</v>
      </c>
      <c r="L75" s="64">
        <v>25.26</v>
      </c>
      <c r="M75" s="64">
        <v>44.98</v>
      </c>
      <c r="N75" s="64">
        <v>44.5</v>
      </c>
      <c r="O75" s="64">
        <v>0</v>
      </c>
      <c r="P75" s="64">
        <v>0.91</v>
      </c>
      <c r="Q75" s="64">
        <v>5.38</v>
      </c>
      <c r="R75" s="198"/>
      <c r="S75" s="198"/>
      <c r="T75" s="198"/>
      <c r="U75" s="198"/>
    </row>
    <row r="76" spans="1:21" s="12" customFormat="1" x14ac:dyDescent="0.25">
      <c r="A76" s="215" t="s">
        <v>2333</v>
      </c>
      <c r="B76" s="64">
        <v>7.21</v>
      </c>
      <c r="C76" s="64">
        <v>52.44</v>
      </c>
      <c r="D76" s="64">
        <v>35.36</v>
      </c>
      <c r="E76" s="64">
        <v>3.2</v>
      </c>
      <c r="F76" s="64">
        <v>11.6</v>
      </c>
      <c r="G76" s="64">
        <v>62.72</v>
      </c>
      <c r="H76" s="64">
        <v>34.5</v>
      </c>
      <c r="I76" s="64">
        <v>1.51</v>
      </c>
      <c r="J76" s="64">
        <v>0.47</v>
      </c>
      <c r="K76" s="64">
        <v>332.15</v>
      </c>
      <c r="L76" s="64">
        <v>24.75</v>
      </c>
      <c r="M76" s="64">
        <v>46.42</v>
      </c>
      <c r="N76" s="64">
        <v>35.1</v>
      </c>
      <c r="O76" s="64">
        <v>0</v>
      </c>
      <c r="P76" s="64">
        <v>0.99</v>
      </c>
      <c r="Q76" s="64">
        <v>5.32</v>
      </c>
      <c r="R76" s="198"/>
      <c r="S76" s="198"/>
      <c r="T76" s="198"/>
      <c r="U76" s="198"/>
    </row>
    <row r="77" spans="1:21" s="12" customFormat="1" x14ac:dyDescent="0.25">
      <c r="A77" s="215" t="s">
        <v>2334</v>
      </c>
      <c r="B77" s="64">
        <v>6.81</v>
      </c>
      <c r="C77" s="64">
        <v>50.47</v>
      </c>
      <c r="D77" s="64">
        <v>33.96</v>
      </c>
      <c r="E77" s="64">
        <v>3.21</v>
      </c>
      <c r="F77" s="64">
        <v>9.91</v>
      </c>
      <c r="G77" s="64">
        <v>63.04</v>
      </c>
      <c r="H77" s="64">
        <v>33.9</v>
      </c>
      <c r="I77" s="64">
        <v>1.46</v>
      </c>
      <c r="J77" s="64">
        <v>0.52</v>
      </c>
      <c r="K77" s="64">
        <v>352.21</v>
      </c>
      <c r="L77" s="64">
        <v>24.27</v>
      </c>
      <c r="M77" s="64">
        <v>48.32</v>
      </c>
      <c r="N77" s="64">
        <v>27.8</v>
      </c>
      <c r="O77" s="64">
        <v>0</v>
      </c>
      <c r="P77" s="64">
        <v>1</v>
      </c>
      <c r="Q77" s="64">
        <v>5.07</v>
      </c>
      <c r="R77" s="198"/>
      <c r="S77" s="198"/>
      <c r="T77" s="198"/>
      <c r="U77" s="198"/>
    </row>
    <row r="78" spans="1:21" s="12" customFormat="1" x14ac:dyDescent="0.25">
      <c r="A78" s="215" t="s">
        <v>2335</v>
      </c>
      <c r="B78" s="64">
        <v>11.91</v>
      </c>
      <c r="C78" s="64">
        <v>64.53</v>
      </c>
      <c r="D78" s="64">
        <v>45.81</v>
      </c>
      <c r="E78" s="64">
        <v>3.38</v>
      </c>
      <c r="F78" s="64">
        <v>11.47</v>
      </c>
      <c r="G78" s="64">
        <v>63.25</v>
      </c>
      <c r="H78" s="64">
        <v>33.65</v>
      </c>
      <c r="I78" s="64">
        <v>1.48</v>
      </c>
      <c r="J78" s="64">
        <v>0.28000000000000003</v>
      </c>
      <c r="K78" s="64">
        <v>351.12</v>
      </c>
      <c r="L78" s="64">
        <v>23.72</v>
      </c>
      <c r="M78" s="64">
        <v>52.52</v>
      </c>
      <c r="N78" s="64">
        <v>24.7</v>
      </c>
      <c r="O78" s="64">
        <v>0</v>
      </c>
      <c r="P78" s="64">
        <v>1.28</v>
      </c>
      <c r="Q78" s="64">
        <v>4.5</v>
      </c>
      <c r="R78" s="198"/>
      <c r="S78" s="198"/>
      <c r="T78" s="198"/>
      <c r="U78" s="198"/>
    </row>
    <row r="79" spans="1:21" s="12" customFormat="1" x14ac:dyDescent="0.25">
      <c r="A79" s="215" t="s">
        <v>2336</v>
      </c>
      <c r="B79" s="64">
        <v>12.93</v>
      </c>
      <c r="C79" s="64">
        <v>68.72</v>
      </c>
      <c r="D79" s="64">
        <v>48.94</v>
      </c>
      <c r="E79" s="64">
        <v>3.35</v>
      </c>
      <c r="F79" s="64">
        <v>7.64</v>
      </c>
      <c r="G79" s="64">
        <v>63.25</v>
      </c>
      <c r="H79" s="64">
        <v>33.65</v>
      </c>
      <c r="I79" s="64">
        <v>1.51</v>
      </c>
      <c r="J79" s="64">
        <v>7.0000000000000007E-2</v>
      </c>
      <c r="K79" s="64">
        <v>61.38</v>
      </c>
      <c r="L79" s="64">
        <v>22.85</v>
      </c>
      <c r="M79" s="64">
        <v>61.62</v>
      </c>
      <c r="N79" s="64">
        <v>24.3</v>
      </c>
      <c r="O79" s="64">
        <v>0</v>
      </c>
      <c r="P79" s="64">
        <v>1.39</v>
      </c>
      <c r="Q79" s="64">
        <v>3.95</v>
      </c>
      <c r="R79" s="198"/>
      <c r="S79" s="198"/>
      <c r="T79" s="198"/>
      <c r="U79" s="198"/>
    </row>
    <row r="80" spans="1:21" s="12" customFormat="1" x14ac:dyDescent="0.25">
      <c r="A80" s="215" t="s">
        <v>2337</v>
      </c>
      <c r="B80" s="64">
        <v>19.010000000000002</v>
      </c>
      <c r="C80" s="64">
        <v>75.13</v>
      </c>
      <c r="D80" s="64">
        <v>57.35</v>
      </c>
      <c r="E80" s="64">
        <v>3.44</v>
      </c>
      <c r="F80" s="64">
        <v>6.26</v>
      </c>
      <c r="G80" s="64">
        <v>63.25</v>
      </c>
      <c r="H80" s="64">
        <v>33.65</v>
      </c>
      <c r="I80" s="64">
        <v>1.59</v>
      </c>
      <c r="J80" s="64">
        <v>0.02</v>
      </c>
      <c r="K80" s="64">
        <v>334.11</v>
      </c>
      <c r="L80" s="64">
        <v>22.45</v>
      </c>
      <c r="M80" s="64">
        <v>67.040000000000006</v>
      </c>
      <c r="N80" s="64">
        <v>24.1</v>
      </c>
      <c r="O80" s="64">
        <v>0</v>
      </c>
      <c r="P80" s="64">
        <v>1.73</v>
      </c>
      <c r="Q80" s="64">
        <v>3.52</v>
      </c>
      <c r="R80" s="198"/>
      <c r="S80" s="198"/>
      <c r="T80" s="198"/>
      <c r="U80" s="198"/>
    </row>
    <row r="81" spans="1:26" s="12" customFormat="1" x14ac:dyDescent="0.25">
      <c r="A81" s="215" t="s">
        <v>2338</v>
      </c>
      <c r="B81" s="64">
        <v>26.08</v>
      </c>
      <c r="C81" s="64">
        <v>82.61</v>
      </c>
      <c r="D81" s="64">
        <v>67.150000000000006</v>
      </c>
      <c r="E81" s="64">
        <v>3.21</v>
      </c>
      <c r="F81" s="64">
        <v>3.84</v>
      </c>
      <c r="G81" s="64">
        <v>68.53</v>
      </c>
      <c r="H81" s="64">
        <v>34.14</v>
      </c>
      <c r="I81" s="64">
        <v>1.54</v>
      </c>
      <c r="J81" s="64">
        <v>0.05</v>
      </c>
      <c r="K81" s="64">
        <v>271.63</v>
      </c>
      <c r="L81" s="64">
        <v>21.99</v>
      </c>
      <c r="M81" s="64">
        <v>68.959999999999994</v>
      </c>
      <c r="N81" s="64">
        <v>24.1</v>
      </c>
      <c r="O81" s="64">
        <v>0</v>
      </c>
      <c r="P81" s="64">
        <v>1.98</v>
      </c>
      <c r="Q81" s="64">
        <v>3.07</v>
      </c>
      <c r="R81" s="198"/>
      <c r="S81" s="198"/>
      <c r="T81" s="198"/>
      <c r="U81" s="198"/>
    </row>
    <row r="82" spans="1:26" s="12" customFormat="1" x14ac:dyDescent="0.25">
      <c r="A82" s="215" t="s">
        <v>2339</v>
      </c>
      <c r="B82" s="64">
        <v>22.9</v>
      </c>
      <c r="C82" s="64">
        <v>74.930000000000007</v>
      </c>
      <c r="D82" s="64">
        <v>60.37</v>
      </c>
      <c r="E82" s="64">
        <v>3.21</v>
      </c>
      <c r="F82" s="64">
        <v>3.58</v>
      </c>
      <c r="G82" s="64">
        <v>72.040000000000006</v>
      </c>
      <c r="H82" s="64">
        <v>34.26</v>
      </c>
      <c r="I82" s="64">
        <v>1.5</v>
      </c>
      <c r="J82" s="64">
        <v>7.0000000000000007E-2</v>
      </c>
      <c r="K82" s="64">
        <v>94.02</v>
      </c>
      <c r="L82" s="64">
        <v>21.66</v>
      </c>
      <c r="M82" s="64">
        <v>62.86</v>
      </c>
      <c r="N82" s="64">
        <v>24.1</v>
      </c>
      <c r="O82" s="64">
        <v>0</v>
      </c>
      <c r="P82" s="64">
        <v>1.77</v>
      </c>
      <c r="Q82" s="64">
        <v>2.15</v>
      </c>
      <c r="R82" s="198"/>
      <c r="S82" s="198"/>
      <c r="T82" s="198"/>
      <c r="U82" s="198"/>
    </row>
    <row r="83" spans="1:26" s="12" customFormat="1" x14ac:dyDescent="0.25">
      <c r="A83" s="215" t="s">
        <v>2340</v>
      </c>
      <c r="B83" s="64">
        <v>16.690000000000001</v>
      </c>
      <c r="C83" s="64">
        <v>62</v>
      </c>
      <c r="D83" s="64">
        <v>48.24</v>
      </c>
      <c r="E83" s="64">
        <v>3.13</v>
      </c>
      <c r="F83" s="64">
        <v>4.75</v>
      </c>
      <c r="G83" s="64">
        <v>72.040000000000006</v>
      </c>
      <c r="H83" s="64">
        <v>34.26</v>
      </c>
      <c r="I83" s="64">
        <v>1.48</v>
      </c>
      <c r="J83" s="64">
        <v>0.12</v>
      </c>
      <c r="K83" s="64">
        <v>73.22</v>
      </c>
      <c r="L83" s="64">
        <v>22.03</v>
      </c>
      <c r="M83" s="64">
        <v>58.53</v>
      </c>
      <c r="N83" s="64">
        <v>23.4</v>
      </c>
      <c r="O83" s="64">
        <v>0</v>
      </c>
      <c r="P83" s="64">
        <v>1.6</v>
      </c>
      <c r="Q83" s="64">
        <v>3.44</v>
      </c>
      <c r="R83" s="198"/>
      <c r="S83" s="198"/>
      <c r="T83" s="198"/>
      <c r="U83" s="198"/>
    </row>
    <row r="84" spans="1:26" s="12" customFormat="1" x14ac:dyDescent="0.25">
      <c r="A84" s="215" t="s">
        <v>2341</v>
      </c>
      <c r="B84" s="64">
        <v>10.96</v>
      </c>
      <c r="C84" s="64">
        <v>72.08</v>
      </c>
      <c r="D84" s="64">
        <v>49.21</v>
      </c>
      <c r="E84" s="64">
        <v>3.35</v>
      </c>
      <c r="F84" s="64">
        <v>13.63</v>
      </c>
      <c r="G84" s="64">
        <v>72.040000000000006</v>
      </c>
      <c r="H84" s="64">
        <v>34.26</v>
      </c>
      <c r="I84" s="64">
        <v>1.52</v>
      </c>
      <c r="J84" s="64">
        <v>0.12</v>
      </c>
      <c r="K84" s="64">
        <v>42.93</v>
      </c>
      <c r="L84" s="64">
        <v>22.17</v>
      </c>
      <c r="M84" s="64">
        <v>56.08</v>
      </c>
      <c r="N84" s="64">
        <v>23.9</v>
      </c>
      <c r="O84" s="64">
        <v>0</v>
      </c>
      <c r="P84" s="64">
        <v>1.75</v>
      </c>
      <c r="Q84" s="64">
        <v>5.7</v>
      </c>
      <c r="R84" s="198"/>
      <c r="S84" s="198"/>
      <c r="T84" s="198"/>
      <c r="U84" s="198"/>
    </row>
    <row r="85" spans="1:26" s="12" customFormat="1" x14ac:dyDescent="0.25">
      <c r="A85" s="215" t="s">
        <v>2342</v>
      </c>
      <c r="B85" s="64">
        <v>28.21</v>
      </c>
      <c r="C85" s="64">
        <v>71.61</v>
      </c>
      <c r="D85" s="64">
        <v>62.79</v>
      </c>
      <c r="E85" s="64">
        <v>3.27</v>
      </c>
      <c r="F85" s="64">
        <v>4.79</v>
      </c>
      <c r="G85" s="64">
        <v>81.209999999999994</v>
      </c>
      <c r="H85" s="64">
        <v>40.630000000000003</v>
      </c>
      <c r="I85" s="64">
        <v>1.56</v>
      </c>
      <c r="J85" s="64">
        <v>0.1</v>
      </c>
      <c r="K85" s="64">
        <v>6.98</v>
      </c>
      <c r="L85" s="64">
        <v>21.91</v>
      </c>
      <c r="M85" s="64">
        <v>61.06</v>
      </c>
      <c r="N85" s="64">
        <v>24.1</v>
      </c>
      <c r="O85" s="64">
        <v>0</v>
      </c>
      <c r="P85" s="64">
        <v>2.3199999999999998</v>
      </c>
      <c r="Q85" s="64">
        <v>4.5</v>
      </c>
      <c r="R85" s="198"/>
      <c r="S85" s="198"/>
      <c r="T85" s="198"/>
      <c r="U85" s="198"/>
    </row>
    <row r="86" spans="1:26" s="12" customFormat="1" x14ac:dyDescent="0.25">
      <c r="A86" s="215" t="s">
        <v>2343</v>
      </c>
      <c r="B86" s="64">
        <v>17.86</v>
      </c>
      <c r="C86" s="64">
        <v>69.42</v>
      </c>
      <c r="D86" s="64">
        <v>53.28</v>
      </c>
      <c r="E86" s="64">
        <v>3.37</v>
      </c>
      <c r="F86" s="64">
        <v>4.93</v>
      </c>
      <c r="G86" s="64">
        <v>87.32</v>
      </c>
      <c r="H86" s="64">
        <v>42.19</v>
      </c>
      <c r="I86" s="64">
        <v>1.52</v>
      </c>
      <c r="J86" s="64">
        <v>0.19</v>
      </c>
      <c r="K86" s="64">
        <v>89.8</v>
      </c>
      <c r="L86" s="64">
        <v>21.85</v>
      </c>
      <c r="M86" s="64">
        <v>58.31</v>
      </c>
      <c r="N86" s="64">
        <v>23.8</v>
      </c>
      <c r="O86" s="64">
        <v>0</v>
      </c>
      <c r="P86" s="64">
        <v>1.97</v>
      </c>
      <c r="Q86" s="64">
        <v>4.1100000000000003</v>
      </c>
      <c r="R86" s="198"/>
      <c r="S86" s="198"/>
      <c r="T86" s="198"/>
      <c r="U86" s="198"/>
    </row>
    <row r="87" spans="1:26" s="12" customFormat="1" x14ac:dyDescent="0.25">
      <c r="A87" s="215" t="s">
        <v>2344</v>
      </c>
      <c r="B87" s="64">
        <v>16.52</v>
      </c>
      <c r="C87" s="64">
        <v>64.03</v>
      </c>
      <c r="D87" s="64">
        <v>49.23</v>
      </c>
      <c r="E87" s="64">
        <v>3.68</v>
      </c>
      <c r="F87" s="64">
        <v>7.13</v>
      </c>
      <c r="G87" s="64">
        <v>87.32</v>
      </c>
      <c r="H87" s="64">
        <v>42.19</v>
      </c>
      <c r="I87" s="64">
        <v>1.52</v>
      </c>
      <c r="J87" s="64">
        <v>0.1</v>
      </c>
      <c r="K87" s="64">
        <v>89.99</v>
      </c>
      <c r="L87" s="64">
        <v>21.79</v>
      </c>
      <c r="M87" s="64">
        <v>57.27</v>
      </c>
      <c r="N87" s="64">
        <v>24</v>
      </c>
      <c r="O87" s="64">
        <v>0</v>
      </c>
      <c r="P87" s="64">
        <v>1.99</v>
      </c>
      <c r="Q87" s="64">
        <v>5.38</v>
      </c>
      <c r="R87" s="198"/>
      <c r="S87" s="198"/>
      <c r="T87" s="198"/>
      <c r="U87" s="198"/>
    </row>
    <row r="88" spans="1:26" s="12" customFormat="1" x14ac:dyDescent="0.25">
      <c r="A88" s="215" t="s">
        <v>2345</v>
      </c>
      <c r="B88" s="64">
        <v>11.97</v>
      </c>
      <c r="C88" s="64">
        <v>61.79</v>
      </c>
      <c r="D88" s="64">
        <v>44.35</v>
      </c>
      <c r="E88" s="64">
        <v>2.87</v>
      </c>
      <c r="F88" s="64">
        <v>11.03</v>
      </c>
      <c r="G88" s="64">
        <v>87.32</v>
      </c>
      <c r="H88" s="64">
        <v>42.19</v>
      </c>
      <c r="I88" s="64">
        <v>1.46</v>
      </c>
      <c r="J88" s="64">
        <v>0.11</v>
      </c>
      <c r="K88" s="64">
        <v>99.08</v>
      </c>
      <c r="L88" s="64">
        <v>21.61</v>
      </c>
      <c r="M88" s="64">
        <v>57.15</v>
      </c>
      <c r="N88" s="64">
        <v>23.8</v>
      </c>
      <c r="O88" s="64">
        <v>0</v>
      </c>
      <c r="P88" s="64">
        <v>1.86</v>
      </c>
      <c r="Q88" s="64">
        <v>6.49</v>
      </c>
      <c r="R88" s="198"/>
      <c r="S88" s="198"/>
      <c r="T88" s="198"/>
      <c r="U88" s="198"/>
    </row>
    <row r="89" spans="1:26" s="12" customFormat="1" x14ac:dyDescent="0.25">
      <c r="A89" s="215" t="s">
        <v>2346</v>
      </c>
      <c r="B89" s="64">
        <v>15.95</v>
      </c>
      <c r="C89" s="64">
        <v>68.66</v>
      </c>
      <c r="D89" s="64">
        <v>51.33</v>
      </c>
      <c r="E89" s="64">
        <v>3.06</v>
      </c>
      <c r="F89" s="64">
        <v>6.49</v>
      </c>
      <c r="G89" s="64">
        <v>94.01</v>
      </c>
      <c r="H89" s="64">
        <v>44.06</v>
      </c>
      <c r="I89" s="64">
        <v>1.48</v>
      </c>
      <c r="J89" s="64">
        <v>0.18</v>
      </c>
      <c r="K89" s="64">
        <v>78.78</v>
      </c>
      <c r="L89" s="64">
        <v>21.58</v>
      </c>
      <c r="M89" s="64">
        <v>56.63</v>
      </c>
      <c r="N89" s="64">
        <v>23.9</v>
      </c>
      <c r="O89" s="64">
        <v>0</v>
      </c>
      <c r="P89" s="64">
        <v>2.0099999999999998</v>
      </c>
      <c r="Q89" s="64">
        <v>6.22</v>
      </c>
      <c r="R89" s="198"/>
      <c r="S89" s="198"/>
      <c r="T89" s="198"/>
      <c r="U89" s="198"/>
    </row>
    <row r="90" spans="1:26" s="12" customFormat="1" x14ac:dyDescent="0.25">
      <c r="A90" s="215" t="s">
        <v>2347</v>
      </c>
      <c r="B90" s="64">
        <v>16.54</v>
      </c>
      <c r="C90" s="64">
        <v>60.13</v>
      </c>
      <c r="D90" s="64">
        <v>47.09</v>
      </c>
      <c r="E90" s="64">
        <v>2.98</v>
      </c>
      <c r="F90" s="64">
        <v>6.73</v>
      </c>
      <c r="G90" s="64">
        <v>98.47</v>
      </c>
      <c r="H90" s="64">
        <v>44.52</v>
      </c>
      <c r="I90" s="64">
        <v>1.49</v>
      </c>
      <c r="J90" s="64">
        <v>0.2</v>
      </c>
      <c r="K90" s="64">
        <v>94.95</v>
      </c>
      <c r="L90" s="64">
        <v>21.34</v>
      </c>
      <c r="M90" s="64">
        <v>57.67</v>
      </c>
      <c r="N90" s="64">
        <v>24</v>
      </c>
      <c r="O90" s="64">
        <v>0</v>
      </c>
      <c r="P90" s="64">
        <v>1.91</v>
      </c>
      <c r="Q90" s="64">
        <v>5.99</v>
      </c>
      <c r="R90" s="198"/>
      <c r="S90" s="198"/>
      <c r="T90" s="198"/>
      <c r="U90" s="198"/>
    </row>
    <row r="91" spans="1:26" s="12" customFormat="1" x14ac:dyDescent="0.25">
      <c r="A91" s="215" t="s">
        <v>2348</v>
      </c>
      <c r="B91" s="64">
        <v>18.22</v>
      </c>
      <c r="C91" s="64">
        <v>63.19</v>
      </c>
      <c r="D91" s="64">
        <v>50.14</v>
      </c>
      <c r="E91" s="64">
        <v>2.95</v>
      </c>
      <c r="F91" s="64">
        <v>5.99</v>
      </c>
      <c r="G91" s="64">
        <v>98.47</v>
      </c>
      <c r="H91" s="64">
        <v>44.52</v>
      </c>
      <c r="I91" s="64">
        <v>1.43</v>
      </c>
      <c r="J91" s="64">
        <v>0.18</v>
      </c>
      <c r="K91" s="64">
        <v>339.85</v>
      </c>
      <c r="L91" s="64">
        <v>21.08</v>
      </c>
      <c r="M91" s="64">
        <v>59.43</v>
      </c>
      <c r="N91" s="64">
        <v>24.1</v>
      </c>
      <c r="O91" s="64">
        <v>0</v>
      </c>
      <c r="P91" s="64">
        <v>2.02</v>
      </c>
      <c r="Q91" s="64">
        <v>5.87</v>
      </c>
      <c r="R91" s="198"/>
      <c r="S91" s="198"/>
      <c r="T91" s="198"/>
      <c r="U91" s="198"/>
    </row>
    <row r="92" spans="1:26" s="12" customFormat="1" x14ac:dyDescent="0.25">
      <c r="A92" s="215" t="s">
        <v>2349</v>
      </c>
      <c r="B92" s="64">
        <v>17.75</v>
      </c>
      <c r="C92" s="64">
        <v>63.63</v>
      </c>
      <c r="D92" s="64">
        <v>50</v>
      </c>
      <c r="E92" s="64">
        <v>2.91</v>
      </c>
      <c r="F92" s="64">
        <v>5.99</v>
      </c>
      <c r="G92" s="64">
        <v>98.47</v>
      </c>
      <c r="H92" s="64">
        <v>44.52</v>
      </c>
      <c r="I92" s="64">
        <v>1.55</v>
      </c>
      <c r="J92" s="64">
        <v>0.11</v>
      </c>
      <c r="K92" s="64">
        <v>60.05</v>
      </c>
      <c r="L92" s="64">
        <v>20.78</v>
      </c>
      <c r="M92" s="64">
        <v>59.73</v>
      </c>
      <c r="N92" s="64">
        <v>24.2</v>
      </c>
      <c r="O92" s="64">
        <v>0</v>
      </c>
      <c r="P92" s="64">
        <v>2.0499999999999998</v>
      </c>
      <c r="Q92" s="64">
        <v>5.92</v>
      </c>
      <c r="R92" s="198"/>
      <c r="S92" s="198"/>
      <c r="T92" s="198"/>
      <c r="U92" s="198"/>
    </row>
    <row r="93" spans="1:26" s="12" customFormat="1" x14ac:dyDescent="0.25">
      <c r="A93" s="215" t="s">
        <v>2350</v>
      </c>
      <c r="B93" s="64">
        <v>18.579999999999998</v>
      </c>
      <c r="C93" s="64">
        <v>55.37</v>
      </c>
      <c r="D93" s="64">
        <v>46.11</v>
      </c>
      <c r="E93" s="64">
        <v>2.86</v>
      </c>
      <c r="F93" s="64">
        <v>7.13</v>
      </c>
      <c r="G93" s="64">
        <v>101.32</v>
      </c>
      <c r="H93" s="64">
        <v>43.05</v>
      </c>
      <c r="I93" s="64">
        <v>1.58</v>
      </c>
      <c r="J93" s="64">
        <v>0.14000000000000001</v>
      </c>
      <c r="K93" s="64">
        <v>53.75</v>
      </c>
      <c r="L93" s="64">
        <v>20.8</v>
      </c>
      <c r="M93" s="64">
        <v>58.72</v>
      </c>
      <c r="N93" s="64">
        <v>24</v>
      </c>
      <c r="O93" s="64">
        <v>0</v>
      </c>
      <c r="P93" s="64">
        <v>1.95</v>
      </c>
      <c r="Q93" s="64">
        <v>6.29</v>
      </c>
      <c r="R93" s="198"/>
      <c r="S93" s="198"/>
      <c r="T93" s="198"/>
      <c r="U93" s="198"/>
    </row>
    <row r="94" spans="1:26" s="12" customFormat="1" x14ac:dyDescent="0.25">
      <c r="A94" s="215" t="s">
        <v>2351</v>
      </c>
      <c r="B94" s="64">
        <v>17.010000000000002</v>
      </c>
      <c r="C94" s="64">
        <v>59.53</v>
      </c>
      <c r="D94" s="64">
        <v>47.14</v>
      </c>
      <c r="E94" s="64">
        <v>2.88</v>
      </c>
      <c r="F94" s="64">
        <v>6.55</v>
      </c>
      <c r="G94" s="64">
        <v>103.22</v>
      </c>
      <c r="H94" s="64">
        <v>42.42</v>
      </c>
      <c r="I94" s="64">
        <v>1.48</v>
      </c>
      <c r="J94" s="64">
        <v>0.05</v>
      </c>
      <c r="K94" s="64">
        <v>178.32</v>
      </c>
      <c r="L94" s="64">
        <v>20.76</v>
      </c>
      <c r="M94" s="64">
        <v>57.76</v>
      </c>
      <c r="N94" s="64">
        <v>24</v>
      </c>
      <c r="O94" s="64">
        <v>0</v>
      </c>
      <c r="P94" s="64">
        <v>1.96</v>
      </c>
      <c r="Q94" s="64">
        <v>6.38</v>
      </c>
      <c r="R94" s="198"/>
      <c r="S94" s="198"/>
      <c r="T94" s="198"/>
      <c r="U94" s="198"/>
    </row>
    <row r="95" spans="1:26" s="12" customFormat="1" x14ac:dyDescent="0.25">
      <c r="A95" s="215" t="s">
        <v>2352</v>
      </c>
      <c r="B95" s="64">
        <v>16.32</v>
      </c>
      <c r="C95" s="64">
        <v>56.33</v>
      </c>
      <c r="D95" s="64">
        <v>44.82</v>
      </c>
      <c r="E95" s="64">
        <v>2.79</v>
      </c>
      <c r="F95" s="64">
        <v>7</v>
      </c>
      <c r="G95" s="64">
        <v>103.22</v>
      </c>
      <c r="H95" s="64">
        <v>42.42</v>
      </c>
      <c r="I95" s="64">
        <v>1.56</v>
      </c>
      <c r="J95" s="64">
        <v>0.35</v>
      </c>
      <c r="K95" s="64">
        <v>183.52</v>
      </c>
      <c r="L95" s="64">
        <v>20.9</v>
      </c>
      <c r="M95" s="64">
        <v>57.46</v>
      </c>
      <c r="N95" s="64">
        <v>23.5</v>
      </c>
      <c r="O95" s="64">
        <v>0</v>
      </c>
      <c r="P95" s="64">
        <v>1.89</v>
      </c>
      <c r="Q95" s="64">
        <v>6.64</v>
      </c>
      <c r="R95" s="198"/>
      <c r="S95" s="198"/>
      <c r="T95" s="198"/>
      <c r="U95" s="198"/>
    </row>
    <row r="96" spans="1:26" s="12" customFormat="1" x14ac:dyDescent="0.25">
      <c r="A96" s="215" t="s">
        <v>2353</v>
      </c>
      <c r="B96" s="64">
        <v>15.39</v>
      </c>
      <c r="C96" s="64">
        <v>56.17</v>
      </c>
      <c r="D96" s="64">
        <v>43.99</v>
      </c>
      <c r="E96" s="64">
        <v>2.75</v>
      </c>
      <c r="F96" s="64">
        <v>6.97</v>
      </c>
      <c r="G96" s="64">
        <v>103.22</v>
      </c>
      <c r="H96" s="64">
        <v>42.42</v>
      </c>
      <c r="I96" s="64">
        <v>1.53</v>
      </c>
      <c r="J96" s="64">
        <v>0.1</v>
      </c>
      <c r="K96" s="64">
        <v>187.71</v>
      </c>
      <c r="L96" s="64">
        <v>20.77</v>
      </c>
      <c r="M96" s="64">
        <v>58.17</v>
      </c>
      <c r="N96" s="64">
        <v>24.3</v>
      </c>
      <c r="O96" s="64">
        <v>0</v>
      </c>
      <c r="P96" s="64">
        <v>1.83</v>
      </c>
      <c r="Q96" s="64">
        <v>6.71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2354</v>
      </c>
      <c r="B97" s="64">
        <v>14.28</v>
      </c>
      <c r="C97" s="64">
        <v>56.59</v>
      </c>
      <c r="D97" s="64">
        <v>43.33</v>
      </c>
      <c r="E97" s="64">
        <v>2.79</v>
      </c>
      <c r="F97" s="64">
        <v>6.6</v>
      </c>
      <c r="G97" s="64">
        <v>97.01</v>
      </c>
      <c r="H97" s="64">
        <v>41.07</v>
      </c>
      <c r="I97" s="64">
        <v>1.5</v>
      </c>
      <c r="J97" s="64">
        <v>0.1</v>
      </c>
      <c r="K97" s="64">
        <v>343.88</v>
      </c>
      <c r="L97" s="64">
        <v>20.350000000000001</v>
      </c>
      <c r="M97" s="64">
        <v>61.93</v>
      </c>
      <c r="N97" s="64">
        <v>24.6</v>
      </c>
      <c r="O97" s="64">
        <v>0</v>
      </c>
      <c r="P97" s="64">
        <v>1.83</v>
      </c>
      <c r="Q97" s="64">
        <v>6.68</v>
      </c>
      <c r="R97" s="198"/>
      <c r="S97" s="198"/>
      <c r="T97" s="198"/>
      <c r="U97" s="198"/>
    </row>
    <row r="98" spans="1:33" s="12" customFormat="1" x14ac:dyDescent="0.25">
      <c r="A98" s="215" t="s">
        <v>2355</v>
      </c>
      <c r="B98" s="64">
        <v>21.61</v>
      </c>
      <c r="C98" s="64">
        <v>51.2</v>
      </c>
      <c r="D98" s="64">
        <v>46.23</v>
      </c>
      <c r="E98" s="64">
        <v>2.64</v>
      </c>
      <c r="F98" s="64">
        <v>3.63</v>
      </c>
      <c r="G98" s="64">
        <v>92.88</v>
      </c>
      <c r="H98" s="64">
        <v>40.74</v>
      </c>
      <c r="I98" s="64">
        <v>1.47</v>
      </c>
      <c r="J98" s="64">
        <v>0.02</v>
      </c>
      <c r="K98" s="64">
        <v>145.47</v>
      </c>
      <c r="L98" s="64">
        <v>19.89</v>
      </c>
      <c r="M98" s="64">
        <v>61.96</v>
      </c>
      <c r="N98" s="64">
        <v>24.3</v>
      </c>
      <c r="O98" s="64">
        <v>0</v>
      </c>
      <c r="P98" s="64">
        <v>1.91</v>
      </c>
      <c r="Q98" s="64">
        <v>6.8</v>
      </c>
      <c r="R98" s="198"/>
      <c r="S98" s="198"/>
      <c r="T98" s="198"/>
      <c r="U98" s="198"/>
    </row>
    <row r="99" spans="1:33" s="12" customFormat="1" x14ac:dyDescent="0.25">
      <c r="A99" s="215" t="s">
        <v>2356</v>
      </c>
      <c r="B99" s="64">
        <v>20.27</v>
      </c>
      <c r="C99" s="64">
        <v>51.89</v>
      </c>
      <c r="D99" s="64">
        <v>45.54</v>
      </c>
      <c r="E99" s="64">
        <v>2.68</v>
      </c>
      <c r="F99" s="64">
        <v>5.18</v>
      </c>
      <c r="G99" s="64">
        <v>92.88</v>
      </c>
      <c r="H99" s="64">
        <v>40.74</v>
      </c>
      <c r="I99" s="64">
        <v>1.37</v>
      </c>
      <c r="J99" s="64">
        <v>0.2</v>
      </c>
      <c r="K99" s="64">
        <v>133.44999999999999</v>
      </c>
      <c r="L99" s="64">
        <v>20.38</v>
      </c>
      <c r="M99" s="64">
        <v>58.57</v>
      </c>
      <c r="N99" s="64">
        <v>23.6</v>
      </c>
      <c r="O99" s="64">
        <v>0</v>
      </c>
      <c r="P99" s="64">
        <v>1.83</v>
      </c>
      <c r="Q99" s="64">
        <v>6.84</v>
      </c>
      <c r="R99" s="198"/>
      <c r="S99" s="198"/>
      <c r="T99" s="198"/>
      <c r="U99" s="198"/>
    </row>
    <row r="100" spans="1:33" s="12" customFormat="1" x14ac:dyDescent="0.25">
      <c r="A100" s="215" t="s">
        <v>2357</v>
      </c>
      <c r="B100" s="64">
        <v>17.940000000000001</v>
      </c>
      <c r="C100" s="64">
        <v>51.91</v>
      </c>
      <c r="D100" s="64">
        <v>43.68</v>
      </c>
      <c r="E100" s="64">
        <v>2.54</v>
      </c>
      <c r="F100" s="64">
        <v>5.15</v>
      </c>
      <c r="G100" s="64">
        <v>92.88</v>
      </c>
      <c r="H100" s="64">
        <v>40.74</v>
      </c>
      <c r="I100" s="64">
        <v>1.58</v>
      </c>
      <c r="J100" s="64">
        <v>0.5</v>
      </c>
      <c r="K100" s="64">
        <v>110.3</v>
      </c>
      <c r="L100" s="64">
        <v>20.63</v>
      </c>
      <c r="M100" s="64">
        <v>57.04</v>
      </c>
      <c r="N100" s="64">
        <v>23.6</v>
      </c>
      <c r="O100" s="64">
        <v>0</v>
      </c>
      <c r="P100" s="64">
        <v>1.8</v>
      </c>
      <c r="Q100" s="64">
        <v>6.83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2358</v>
      </c>
      <c r="B101" s="64">
        <v>15.93</v>
      </c>
      <c r="C101" s="64">
        <v>50.83</v>
      </c>
      <c r="D101" s="64">
        <v>41.47</v>
      </c>
      <c r="E101" s="64">
        <v>2.5099999999999998</v>
      </c>
      <c r="F101" s="64">
        <v>3.71</v>
      </c>
      <c r="G101" s="64">
        <v>91.67</v>
      </c>
      <c r="H101" s="64">
        <v>41.6</v>
      </c>
      <c r="I101" s="64">
        <v>1.49</v>
      </c>
      <c r="J101" s="64">
        <v>0.17</v>
      </c>
      <c r="K101" s="64">
        <v>117.67</v>
      </c>
      <c r="L101" s="64">
        <v>20.37</v>
      </c>
      <c r="M101" s="64">
        <v>57.89</v>
      </c>
      <c r="N101" s="64">
        <v>24.3</v>
      </c>
      <c r="O101" s="64">
        <v>0</v>
      </c>
      <c r="P101" s="64">
        <v>1.73</v>
      </c>
      <c r="Q101" s="64">
        <v>6.77</v>
      </c>
      <c r="R101" s="198"/>
      <c r="S101" s="198"/>
      <c r="T101" s="198"/>
      <c r="U101" s="198"/>
    </row>
    <row r="102" spans="1:33" s="12" customFormat="1" x14ac:dyDescent="0.25">
      <c r="A102" s="215" t="s">
        <v>2359</v>
      </c>
      <c r="B102" s="64">
        <v>15.52</v>
      </c>
      <c r="C102" s="64">
        <v>50.3</v>
      </c>
      <c r="D102" s="64">
        <v>40.85</v>
      </c>
      <c r="E102" s="64">
        <v>2.52</v>
      </c>
      <c r="F102" s="64">
        <v>4.49</v>
      </c>
      <c r="G102" s="64">
        <v>90.87</v>
      </c>
      <c r="H102" s="64">
        <v>41.81</v>
      </c>
      <c r="I102" s="64">
        <v>1.52</v>
      </c>
      <c r="J102" s="64">
        <v>0.11</v>
      </c>
      <c r="K102" s="64">
        <v>304.89</v>
      </c>
      <c r="L102" s="64">
        <v>19.77</v>
      </c>
      <c r="M102" s="64">
        <v>62.39</v>
      </c>
      <c r="N102" s="64">
        <v>24.8</v>
      </c>
      <c r="O102" s="64">
        <v>0</v>
      </c>
      <c r="P102" s="64">
        <v>1.67</v>
      </c>
      <c r="Q102" s="64">
        <v>6.61</v>
      </c>
      <c r="R102" s="198"/>
      <c r="S102" s="198"/>
      <c r="T102" s="198"/>
      <c r="U102" s="198"/>
    </row>
    <row r="103" spans="1:33" s="12" customFormat="1" x14ac:dyDescent="0.25">
      <c r="A103" s="215" t="s">
        <v>2360</v>
      </c>
      <c r="B103" s="64">
        <v>14.24</v>
      </c>
      <c r="C103" s="64">
        <v>50.22</v>
      </c>
      <c r="D103" s="64">
        <v>39.79</v>
      </c>
      <c r="E103" s="64">
        <v>2.0299999999999998</v>
      </c>
      <c r="F103" s="64">
        <v>4.51</v>
      </c>
      <c r="G103" s="64">
        <v>90.87</v>
      </c>
      <c r="H103" s="64">
        <v>41.81</v>
      </c>
      <c r="I103" s="64">
        <v>1.51</v>
      </c>
      <c r="J103" s="64">
        <v>0.1</v>
      </c>
      <c r="K103" s="64">
        <v>306.73</v>
      </c>
      <c r="L103" s="64">
        <v>19.55</v>
      </c>
      <c r="M103" s="64">
        <v>62.03</v>
      </c>
      <c r="N103" s="64">
        <v>24.6</v>
      </c>
      <c r="O103" s="64">
        <v>0</v>
      </c>
      <c r="P103" s="64">
        <v>1.59</v>
      </c>
      <c r="Q103" s="64">
        <v>6.54</v>
      </c>
      <c r="R103" s="198"/>
      <c r="S103" s="198"/>
      <c r="T103" s="198"/>
      <c r="U103" s="198"/>
    </row>
    <row r="104" spans="1:33" s="12" customFormat="1" x14ac:dyDescent="0.25">
      <c r="A104" s="215" t="s">
        <v>2361</v>
      </c>
      <c r="B104" s="64">
        <v>13.15</v>
      </c>
      <c r="C104" s="64">
        <v>49.9</v>
      </c>
      <c r="D104" s="64">
        <v>38.729999999999997</v>
      </c>
      <c r="E104" s="64">
        <v>2.0299999999999998</v>
      </c>
      <c r="F104" s="64">
        <v>3.59</v>
      </c>
      <c r="G104" s="64">
        <v>90.87</v>
      </c>
      <c r="H104" s="64">
        <v>41.81</v>
      </c>
      <c r="I104" s="64">
        <v>1.53</v>
      </c>
      <c r="J104" s="64">
        <v>0.11</v>
      </c>
      <c r="K104" s="64">
        <v>286.05</v>
      </c>
      <c r="L104" s="64">
        <v>19.329999999999998</v>
      </c>
      <c r="M104" s="64">
        <v>63.43</v>
      </c>
      <c r="N104" s="64">
        <v>24.5</v>
      </c>
      <c r="O104" s="64">
        <v>0</v>
      </c>
      <c r="P104" s="64">
        <v>1.56</v>
      </c>
      <c r="Q104" s="64">
        <v>6.35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3.97</v>
      </c>
      <c r="C106" s="67">
        <f>MIN(C9:C104)</f>
        <v>39.619999999999997</v>
      </c>
      <c r="D106" s="67">
        <f t="shared" ref="D106:Q106" si="0">MIN(D9:D104)</f>
        <v>26.74</v>
      </c>
      <c r="E106" s="67">
        <f t="shared" si="0"/>
        <v>1.54</v>
      </c>
      <c r="F106" s="67">
        <f t="shared" si="0"/>
        <v>2.87</v>
      </c>
      <c r="G106" s="67">
        <f t="shared" si="0"/>
        <v>62.72</v>
      </c>
      <c r="H106" s="67">
        <f t="shared" si="0"/>
        <v>32.49</v>
      </c>
      <c r="I106" s="67">
        <f t="shared" si="0"/>
        <v>1.37</v>
      </c>
      <c r="J106" s="67">
        <f t="shared" si="0"/>
        <v>0.02</v>
      </c>
      <c r="K106" s="67">
        <f t="shared" si="0"/>
        <v>6.98</v>
      </c>
      <c r="L106" s="67">
        <f t="shared" si="0"/>
        <v>16.73</v>
      </c>
      <c r="M106" s="67">
        <f t="shared" si="0"/>
        <v>36.86</v>
      </c>
      <c r="N106" s="67">
        <f t="shared" si="0"/>
        <v>22.3</v>
      </c>
      <c r="O106" s="67">
        <f t="shared" si="0"/>
        <v>0</v>
      </c>
      <c r="P106" s="67">
        <f t="shared" si="0"/>
        <v>0.81</v>
      </c>
      <c r="Q106" s="67">
        <f t="shared" si="0"/>
        <v>2.15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54.35</v>
      </c>
      <c r="C107" s="66">
        <f t="shared" ref="C107:Q107" si="1">MAX(C9:C104)</f>
        <v>82.61</v>
      </c>
      <c r="D107" s="66">
        <f t="shared" si="1"/>
        <v>72.319999999999993</v>
      </c>
      <c r="E107" s="66">
        <f t="shared" si="1"/>
        <v>4.0999999999999996</v>
      </c>
      <c r="F107" s="66">
        <f t="shared" si="1"/>
        <v>17.2</v>
      </c>
      <c r="G107" s="66">
        <f t="shared" si="1"/>
        <v>111.13</v>
      </c>
      <c r="H107" s="66">
        <f t="shared" si="1"/>
        <v>52.77</v>
      </c>
      <c r="I107" s="66">
        <f t="shared" si="1"/>
        <v>1.64</v>
      </c>
      <c r="J107" s="66">
        <f t="shared" si="1"/>
        <v>1.35</v>
      </c>
      <c r="K107" s="66">
        <f t="shared" si="1"/>
        <v>354.94</v>
      </c>
      <c r="L107" s="66">
        <f t="shared" si="1"/>
        <v>29.56</v>
      </c>
      <c r="M107" s="66">
        <f t="shared" si="1"/>
        <v>95.98</v>
      </c>
      <c r="N107" s="66">
        <f t="shared" si="1"/>
        <v>671.8</v>
      </c>
      <c r="O107" s="66">
        <f t="shared" si="1"/>
        <v>0</v>
      </c>
      <c r="P107" s="66">
        <f t="shared" si="1"/>
        <v>2.38</v>
      </c>
      <c r="Q107" s="66">
        <f t="shared" si="1"/>
        <v>10.06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19.307916666666674</v>
      </c>
      <c r="C108" s="67">
        <f t="shared" ref="C108:Q108" si="2">AVERAGE(C9:C104)</f>
        <v>49.462604166666665</v>
      </c>
      <c r="D108" s="67">
        <f t="shared" si="2"/>
        <v>43.426458333333322</v>
      </c>
      <c r="E108" s="67">
        <f t="shared" si="2"/>
        <v>2.6854166666666668</v>
      </c>
      <c r="F108" s="67">
        <f t="shared" si="2"/>
        <v>6.103020833333332</v>
      </c>
      <c r="G108" s="67">
        <f t="shared" si="2"/>
        <v>83.751875000000055</v>
      </c>
      <c r="H108" s="67">
        <f t="shared" si="2"/>
        <v>40.237604166666671</v>
      </c>
      <c r="I108" s="67">
        <f t="shared" si="2"/>
        <v>1.5093750000000001</v>
      </c>
      <c r="J108" s="67">
        <f t="shared" si="2"/>
        <v>0.33531250000000018</v>
      </c>
      <c r="K108" s="67">
        <f t="shared" si="2"/>
        <v>207.82281250000003</v>
      </c>
      <c r="L108" s="67">
        <f t="shared" si="2"/>
        <v>22.084270833333331</v>
      </c>
      <c r="M108" s="67">
        <f t="shared" si="2"/>
        <v>61.162604166666682</v>
      </c>
      <c r="N108" s="67">
        <f t="shared" si="2"/>
        <v>171.97604166666656</v>
      </c>
      <c r="O108" s="67">
        <f t="shared" si="2"/>
        <v>0</v>
      </c>
      <c r="P108" s="67">
        <f t="shared" si="2"/>
        <v>1.4105208333333323</v>
      </c>
      <c r="Q108" s="67">
        <f t="shared" si="2"/>
        <v>6.3866666666666632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12.448905419367232</v>
      </c>
      <c r="C109" s="67">
        <f t="shared" ref="C109:Q109" si="3">STDEV(C9:C104)</f>
        <v>9.3715674411927825</v>
      </c>
      <c r="D109" s="67">
        <f t="shared" si="3"/>
        <v>10.801551153633568</v>
      </c>
      <c r="E109" s="67">
        <f t="shared" si="3"/>
        <v>0.52632972788560894</v>
      </c>
      <c r="F109" s="67">
        <f t="shared" si="3"/>
        <v>3.6272739132393519</v>
      </c>
      <c r="G109" s="67">
        <f t="shared" si="3"/>
        <v>14.116632989975923</v>
      </c>
      <c r="H109" s="67">
        <f t="shared" si="3"/>
        <v>5.3753661798970773</v>
      </c>
      <c r="I109" s="67">
        <f t="shared" si="3"/>
        <v>4.7811306744655939E-2</v>
      </c>
      <c r="J109" s="67">
        <f t="shared" si="3"/>
        <v>0.29590878084123695</v>
      </c>
      <c r="K109" s="67">
        <f t="shared" si="3"/>
        <v>122.47154195505453</v>
      </c>
      <c r="L109" s="67">
        <f t="shared" si="3"/>
        <v>3.9987157793186583</v>
      </c>
      <c r="M109" s="67">
        <f t="shared" si="3"/>
        <v>17.892425168491947</v>
      </c>
      <c r="N109" s="67">
        <f t="shared" si="3"/>
        <v>227.02276201426966</v>
      </c>
      <c r="O109" s="67">
        <f t="shared" si="3"/>
        <v>0</v>
      </c>
      <c r="P109" s="67">
        <f t="shared" si="3"/>
        <v>0.45355292104999817</v>
      </c>
      <c r="Q109" s="67">
        <f t="shared" si="3"/>
        <v>1.4861024025541607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215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2362</v>
      </c>
      <c r="B9" s="64">
        <v>11.67</v>
      </c>
      <c r="C9" s="64">
        <v>49.44</v>
      </c>
      <c r="D9" s="64">
        <v>37.29</v>
      </c>
      <c r="E9" s="64">
        <v>2.4900000000000002</v>
      </c>
      <c r="F9" s="64">
        <v>3.74</v>
      </c>
      <c r="G9" s="64">
        <v>86.99</v>
      </c>
      <c r="H9" s="64">
        <v>42.05</v>
      </c>
      <c r="I9" s="64">
        <v>1.45</v>
      </c>
      <c r="J9" s="64">
        <v>0.22</v>
      </c>
      <c r="K9" s="64">
        <v>199.17</v>
      </c>
      <c r="L9" s="64">
        <v>19.350000000000001</v>
      </c>
      <c r="M9" s="64">
        <v>62.87</v>
      </c>
      <c r="N9" s="64">
        <v>24.1</v>
      </c>
      <c r="O9" s="64">
        <v>0</v>
      </c>
      <c r="P9" s="64">
        <v>1.51</v>
      </c>
      <c r="Q9" s="64">
        <v>6.22</v>
      </c>
      <c r="S9" s="198"/>
      <c r="T9" s="198"/>
      <c r="U9" s="198"/>
    </row>
    <row r="10" spans="1:21" s="12" customFormat="1" x14ac:dyDescent="0.25">
      <c r="A10" s="215" t="s">
        <v>2363</v>
      </c>
      <c r="B10" s="64">
        <v>10.31</v>
      </c>
      <c r="C10" s="64">
        <v>47.88</v>
      </c>
      <c r="D10" s="64">
        <v>35.340000000000003</v>
      </c>
      <c r="E10" s="64">
        <v>2.5</v>
      </c>
      <c r="F10" s="64">
        <v>4.17</v>
      </c>
      <c r="G10" s="64">
        <v>84.41</v>
      </c>
      <c r="H10" s="64">
        <v>42.11</v>
      </c>
      <c r="I10" s="64">
        <v>1.53</v>
      </c>
      <c r="J10" s="64">
        <v>0.09</v>
      </c>
      <c r="K10" s="64">
        <v>234.31</v>
      </c>
      <c r="L10" s="64">
        <v>19.13</v>
      </c>
      <c r="M10" s="64">
        <v>65.72</v>
      </c>
      <c r="N10" s="64">
        <v>24.6</v>
      </c>
      <c r="O10" s="64">
        <v>0</v>
      </c>
      <c r="P10" s="64">
        <v>1.44</v>
      </c>
      <c r="Q10" s="64">
        <v>6.13</v>
      </c>
      <c r="S10" s="198"/>
      <c r="T10" s="198"/>
      <c r="U10" s="198"/>
    </row>
    <row r="11" spans="1:21" s="12" customFormat="1" x14ac:dyDescent="0.25">
      <c r="A11" s="215" t="s">
        <v>2364</v>
      </c>
      <c r="B11" s="64">
        <v>9.3699999999999992</v>
      </c>
      <c r="C11" s="64">
        <v>47.64</v>
      </c>
      <c r="D11" s="64">
        <v>34.450000000000003</v>
      </c>
      <c r="E11" s="64">
        <v>2.44</v>
      </c>
      <c r="F11" s="64">
        <v>3.73</v>
      </c>
      <c r="G11" s="64">
        <v>84.41</v>
      </c>
      <c r="H11" s="64">
        <v>42.11</v>
      </c>
      <c r="I11" s="64">
        <v>1.54</v>
      </c>
      <c r="J11" s="64">
        <v>0.31</v>
      </c>
      <c r="K11" s="64">
        <v>308.88</v>
      </c>
      <c r="L11" s="64">
        <v>18.489999999999998</v>
      </c>
      <c r="M11" s="64">
        <v>74.08</v>
      </c>
      <c r="N11" s="64">
        <v>25</v>
      </c>
      <c r="O11" s="64">
        <v>0</v>
      </c>
      <c r="P11" s="64">
        <v>1.4</v>
      </c>
      <c r="Q11" s="64">
        <v>6.01</v>
      </c>
      <c r="S11" s="198"/>
      <c r="T11" s="198"/>
      <c r="U11" s="198"/>
    </row>
    <row r="12" spans="1:21" s="12" customFormat="1" x14ac:dyDescent="0.25">
      <c r="A12" s="215" t="s">
        <v>2365</v>
      </c>
      <c r="B12" s="64">
        <v>8.4700000000000006</v>
      </c>
      <c r="C12" s="64">
        <v>46.57</v>
      </c>
      <c r="D12" s="64">
        <v>33.14</v>
      </c>
      <c r="E12" s="64">
        <v>2.46</v>
      </c>
      <c r="F12" s="64">
        <v>3.5</v>
      </c>
      <c r="G12" s="64">
        <v>84.41</v>
      </c>
      <c r="H12" s="64">
        <v>42.11</v>
      </c>
      <c r="I12" s="64">
        <v>1.44</v>
      </c>
      <c r="J12" s="64">
        <v>0.21</v>
      </c>
      <c r="K12" s="64">
        <v>22.87</v>
      </c>
      <c r="L12" s="64">
        <v>18.350000000000001</v>
      </c>
      <c r="M12" s="64">
        <v>73.23</v>
      </c>
      <c r="N12" s="64">
        <v>23.5</v>
      </c>
      <c r="O12" s="64">
        <v>0</v>
      </c>
      <c r="P12" s="64">
        <v>1.35</v>
      </c>
      <c r="Q12" s="64">
        <v>5.93</v>
      </c>
      <c r="S12" s="198"/>
      <c r="T12" s="198"/>
      <c r="U12" s="198"/>
    </row>
    <row r="13" spans="1:21" s="12" customFormat="1" x14ac:dyDescent="0.25">
      <c r="A13" s="215" t="s">
        <v>2366</v>
      </c>
      <c r="B13" s="64">
        <v>7.52</v>
      </c>
      <c r="C13" s="64">
        <v>46.3</v>
      </c>
      <c r="D13" s="64">
        <v>32.229999999999997</v>
      </c>
      <c r="E13" s="64">
        <v>2.4900000000000002</v>
      </c>
      <c r="F13" s="64">
        <v>3.49</v>
      </c>
      <c r="G13" s="64">
        <v>80.099999999999994</v>
      </c>
      <c r="H13" s="64">
        <v>40.15</v>
      </c>
      <c r="I13" s="64">
        <v>1.54</v>
      </c>
      <c r="J13" s="64">
        <v>0.52</v>
      </c>
      <c r="K13" s="64">
        <v>328.69</v>
      </c>
      <c r="L13" s="64">
        <v>18.5</v>
      </c>
      <c r="M13" s="64">
        <v>73.3</v>
      </c>
      <c r="N13" s="64">
        <v>24.5</v>
      </c>
      <c r="O13" s="64">
        <v>0</v>
      </c>
      <c r="P13" s="64">
        <v>1.25</v>
      </c>
      <c r="Q13" s="64">
        <v>5.83</v>
      </c>
      <c r="S13" s="198"/>
      <c r="T13" s="198"/>
      <c r="U13" s="198"/>
    </row>
    <row r="14" spans="1:21" s="12" customFormat="1" x14ac:dyDescent="0.25">
      <c r="A14" s="215" t="s">
        <v>2367</v>
      </c>
      <c r="B14" s="64">
        <v>6.93</v>
      </c>
      <c r="C14" s="64">
        <v>45.52</v>
      </c>
      <c r="D14" s="64">
        <v>31.33</v>
      </c>
      <c r="E14" s="64">
        <v>2.4500000000000002</v>
      </c>
      <c r="F14" s="64">
        <v>3.48</v>
      </c>
      <c r="G14" s="64">
        <v>77.23</v>
      </c>
      <c r="H14" s="64">
        <v>39.24</v>
      </c>
      <c r="I14" s="64">
        <v>1.52</v>
      </c>
      <c r="J14" s="64">
        <v>0.05</v>
      </c>
      <c r="K14" s="64">
        <v>51.3</v>
      </c>
      <c r="L14" s="64">
        <v>18.23</v>
      </c>
      <c r="M14" s="64">
        <v>74.17</v>
      </c>
      <c r="N14" s="64">
        <v>24.9</v>
      </c>
      <c r="O14" s="64">
        <v>0</v>
      </c>
      <c r="P14" s="64">
        <v>1.27</v>
      </c>
      <c r="Q14" s="64">
        <v>5.76</v>
      </c>
      <c r="S14" s="198"/>
      <c r="T14" s="198"/>
      <c r="U14" s="198"/>
    </row>
    <row r="15" spans="1:21" s="12" customFormat="1" x14ac:dyDescent="0.25">
      <c r="A15" s="215" t="s">
        <v>2368</v>
      </c>
      <c r="B15" s="64">
        <v>6.64</v>
      </c>
      <c r="C15" s="64">
        <v>43.73</v>
      </c>
      <c r="D15" s="64">
        <v>30.1</v>
      </c>
      <c r="E15" s="64">
        <v>2.34</v>
      </c>
      <c r="F15" s="64">
        <v>3.31</v>
      </c>
      <c r="G15" s="64">
        <v>77.23</v>
      </c>
      <c r="H15" s="64">
        <v>39.24</v>
      </c>
      <c r="I15" s="64">
        <v>1.5</v>
      </c>
      <c r="J15" s="64">
        <v>7.0000000000000007E-2</v>
      </c>
      <c r="K15" s="64">
        <v>65.11</v>
      </c>
      <c r="L15" s="64">
        <v>17.739999999999998</v>
      </c>
      <c r="M15" s="64">
        <v>78.55</v>
      </c>
      <c r="N15" s="64">
        <v>25.1</v>
      </c>
      <c r="O15" s="64">
        <v>0</v>
      </c>
      <c r="P15" s="64">
        <v>1.24</v>
      </c>
      <c r="Q15" s="64">
        <v>5.73</v>
      </c>
      <c r="S15" s="198"/>
      <c r="T15" s="198"/>
      <c r="U15" s="198"/>
    </row>
    <row r="16" spans="1:21" s="12" customFormat="1" x14ac:dyDescent="0.25">
      <c r="A16" s="215" t="s">
        <v>2369</v>
      </c>
      <c r="B16" s="64">
        <v>6.45</v>
      </c>
      <c r="C16" s="64">
        <v>42.9</v>
      </c>
      <c r="D16" s="64">
        <v>29.49</v>
      </c>
      <c r="E16" s="64">
        <v>2.33</v>
      </c>
      <c r="F16" s="64">
        <v>3.33</v>
      </c>
      <c r="G16" s="64">
        <v>77.23</v>
      </c>
      <c r="H16" s="64">
        <v>39.24</v>
      </c>
      <c r="I16" s="64">
        <v>1.57</v>
      </c>
      <c r="J16" s="64">
        <v>0.1</v>
      </c>
      <c r="K16" s="64">
        <v>316.88</v>
      </c>
      <c r="L16" s="64">
        <v>17.41</v>
      </c>
      <c r="M16" s="64">
        <v>82.29</v>
      </c>
      <c r="N16" s="64">
        <v>25</v>
      </c>
      <c r="O16" s="64">
        <v>0</v>
      </c>
      <c r="P16" s="64">
        <v>1.21</v>
      </c>
      <c r="Q16" s="64">
        <v>5.66</v>
      </c>
      <c r="S16" s="198"/>
      <c r="T16" s="198"/>
      <c r="U16" s="198"/>
    </row>
    <row r="17" spans="1:21" s="12" customFormat="1" x14ac:dyDescent="0.25">
      <c r="A17" s="215" t="s">
        <v>2370</v>
      </c>
      <c r="B17" s="64">
        <v>6.45</v>
      </c>
      <c r="C17" s="64">
        <v>43.3</v>
      </c>
      <c r="D17" s="64">
        <v>29.72</v>
      </c>
      <c r="E17" s="64">
        <v>2.35</v>
      </c>
      <c r="F17" s="64">
        <v>3.7</v>
      </c>
      <c r="G17" s="64">
        <v>78.87</v>
      </c>
      <c r="H17" s="64">
        <v>40.64</v>
      </c>
      <c r="I17" s="64">
        <v>1.52</v>
      </c>
      <c r="J17" s="64">
        <v>0.03</v>
      </c>
      <c r="K17" s="64">
        <v>79.19</v>
      </c>
      <c r="L17" s="64">
        <v>17.21</v>
      </c>
      <c r="M17" s="64">
        <v>83.98</v>
      </c>
      <c r="N17" s="64">
        <v>24.8</v>
      </c>
      <c r="O17" s="64">
        <v>0</v>
      </c>
      <c r="P17" s="64">
        <v>1.18</v>
      </c>
      <c r="Q17" s="64">
        <v>5.66</v>
      </c>
      <c r="S17" s="198"/>
      <c r="T17" s="198"/>
      <c r="U17" s="198"/>
    </row>
    <row r="18" spans="1:21" s="12" customFormat="1" x14ac:dyDescent="0.25">
      <c r="A18" s="215" t="s">
        <v>2371</v>
      </c>
      <c r="B18" s="64">
        <v>7.35</v>
      </c>
      <c r="C18" s="64">
        <v>42.84</v>
      </c>
      <c r="D18" s="64">
        <v>30.18</v>
      </c>
      <c r="E18" s="64">
        <v>2.34</v>
      </c>
      <c r="F18" s="64">
        <v>3.81</v>
      </c>
      <c r="G18" s="64">
        <v>79.959999999999994</v>
      </c>
      <c r="H18" s="64">
        <v>41.01</v>
      </c>
      <c r="I18" s="64">
        <v>1.53</v>
      </c>
      <c r="J18" s="64">
        <v>0.08</v>
      </c>
      <c r="K18" s="64">
        <v>285.08999999999997</v>
      </c>
      <c r="L18" s="64">
        <v>17.18</v>
      </c>
      <c r="M18" s="64">
        <v>83.46</v>
      </c>
      <c r="N18" s="64">
        <v>24.8</v>
      </c>
      <c r="O18" s="64">
        <v>0</v>
      </c>
      <c r="P18" s="64">
        <v>1.17</v>
      </c>
      <c r="Q18" s="64">
        <v>5.68</v>
      </c>
      <c r="S18" s="198"/>
      <c r="T18" s="198"/>
      <c r="U18" s="198"/>
    </row>
    <row r="19" spans="1:21" s="12" customFormat="1" x14ac:dyDescent="0.25">
      <c r="A19" s="215" t="s">
        <v>2372</v>
      </c>
      <c r="B19" s="64">
        <v>8.23</v>
      </c>
      <c r="C19" s="64">
        <v>43.18</v>
      </c>
      <c r="D19" s="64">
        <v>31.07</v>
      </c>
      <c r="E19" s="64">
        <v>2.38</v>
      </c>
      <c r="F19" s="64">
        <v>3.38</v>
      </c>
      <c r="G19" s="64">
        <v>79.959999999999994</v>
      </c>
      <c r="H19" s="64">
        <v>41.01</v>
      </c>
      <c r="I19" s="64">
        <v>1.5</v>
      </c>
      <c r="J19" s="64">
        <v>0.05</v>
      </c>
      <c r="K19" s="64">
        <v>50.51</v>
      </c>
      <c r="L19" s="64">
        <v>17.05</v>
      </c>
      <c r="M19" s="64">
        <v>84.01</v>
      </c>
      <c r="N19" s="64">
        <v>24.9</v>
      </c>
      <c r="O19" s="64">
        <v>0</v>
      </c>
      <c r="P19" s="64">
        <v>1.1499999999999999</v>
      </c>
      <c r="Q19" s="64">
        <v>5.72</v>
      </c>
      <c r="S19" s="198"/>
      <c r="T19" s="198"/>
      <c r="U19" s="198"/>
    </row>
    <row r="20" spans="1:21" s="12" customFormat="1" x14ac:dyDescent="0.25">
      <c r="A20" s="215" t="s">
        <v>2373</v>
      </c>
      <c r="B20" s="64">
        <v>8.67</v>
      </c>
      <c r="C20" s="64">
        <v>42.91</v>
      </c>
      <c r="D20" s="64">
        <v>31.28</v>
      </c>
      <c r="E20" s="64">
        <v>2.42</v>
      </c>
      <c r="F20" s="64">
        <v>3.77</v>
      </c>
      <c r="G20" s="64">
        <v>79.959999999999994</v>
      </c>
      <c r="H20" s="64">
        <v>41.01</v>
      </c>
      <c r="I20" s="64">
        <v>1.44</v>
      </c>
      <c r="J20" s="64">
        <v>0.16</v>
      </c>
      <c r="K20" s="64">
        <v>57.05</v>
      </c>
      <c r="L20" s="64">
        <v>17.3</v>
      </c>
      <c r="M20" s="64">
        <v>80.8</v>
      </c>
      <c r="N20" s="64">
        <v>24.4</v>
      </c>
      <c r="O20" s="64">
        <v>0</v>
      </c>
      <c r="P20" s="64">
        <v>1.1299999999999999</v>
      </c>
      <c r="Q20" s="64">
        <v>5.77</v>
      </c>
      <c r="S20" s="198"/>
      <c r="T20" s="198"/>
      <c r="U20" s="198"/>
    </row>
    <row r="21" spans="1:21" s="12" customFormat="1" x14ac:dyDescent="0.25">
      <c r="A21" s="215" t="s">
        <v>2374</v>
      </c>
      <c r="B21" s="64">
        <v>9.0399999999999991</v>
      </c>
      <c r="C21" s="64">
        <v>42.46</v>
      </c>
      <c r="D21" s="64">
        <v>31.33</v>
      </c>
      <c r="E21" s="64">
        <v>2.44</v>
      </c>
      <c r="F21" s="64">
        <v>3.47</v>
      </c>
      <c r="G21" s="64">
        <v>84.44</v>
      </c>
      <c r="H21" s="64">
        <v>46.59</v>
      </c>
      <c r="I21" s="64">
        <v>1.47</v>
      </c>
      <c r="J21" s="64">
        <v>0.48</v>
      </c>
      <c r="K21" s="64">
        <v>341.99</v>
      </c>
      <c r="L21" s="64">
        <v>17.440000000000001</v>
      </c>
      <c r="M21" s="64">
        <v>79.209999999999994</v>
      </c>
      <c r="N21" s="64">
        <v>24.3</v>
      </c>
      <c r="O21" s="64">
        <v>0</v>
      </c>
      <c r="P21" s="64">
        <v>1.1599999999999999</v>
      </c>
      <c r="Q21" s="64">
        <v>5.82</v>
      </c>
      <c r="S21" s="198"/>
      <c r="T21" s="198"/>
      <c r="U21" s="198"/>
    </row>
    <row r="22" spans="1:21" s="12" customFormat="1" x14ac:dyDescent="0.25">
      <c r="A22" s="215" t="s">
        <v>2375</v>
      </c>
      <c r="B22" s="64">
        <v>9.0399999999999991</v>
      </c>
      <c r="C22" s="64">
        <v>42.25</v>
      </c>
      <c r="D22" s="64">
        <v>31.22</v>
      </c>
      <c r="E22" s="64">
        <v>2.37</v>
      </c>
      <c r="F22" s="64">
        <v>3.55</v>
      </c>
      <c r="G22" s="64">
        <v>87.57</v>
      </c>
      <c r="H22" s="64">
        <v>48.07</v>
      </c>
      <c r="I22" s="64">
        <v>1.56</v>
      </c>
      <c r="J22" s="64">
        <v>0.14000000000000001</v>
      </c>
      <c r="K22" s="64">
        <v>3.74</v>
      </c>
      <c r="L22" s="64">
        <v>17.27</v>
      </c>
      <c r="M22" s="64">
        <v>79.05</v>
      </c>
      <c r="N22" s="64">
        <v>24.9</v>
      </c>
      <c r="O22" s="64">
        <v>0</v>
      </c>
      <c r="P22" s="64">
        <v>1.19</v>
      </c>
      <c r="Q22" s="64">
        <v>5.88</v>
      </c>
      <c r="S22" s="198"/>
      <c r="T22" s="198"/>
      <c r="U22" s="198"/>
    </row>
    <row r="23" spans="1:21" s="12" customFormat="1" x14ac:dyDescent="0.25">
      <c r="A23" s="215" t="s">
        <v>2376</v>
      </c>
      <c r="B23" s="64">
        <v>8.92</v>
      </c>
      <c r="C23" s="64">
        <v>41.93</v>
      </c>
      <c r="D23" s="64">
        <v>30.94</v>
      </c>
      <c r="E23" s="64">
        <v>2.0299999999999998</v>
      </c>
      <c r="F23" s="64">
        <v>4.13</v>
      </c>
      <c r="G23" s="64">
        <v>87.57</v>
      </c>
      <c r="H23" s="64">
        <v>48.07</v>
      </c>
      <c r="I23" s="64">
        <v>1.45</v>
      </c>
      <c r="J23" s="64">
        <v>0.12</v>
      </c>
      <c r="K23" s="64">
        <v>93.96</v>
      </c>
      <c r="L23" s="64">
        <v>17.05</v>
      </c>
      <c r="M23" s="64">
        <v>79.349999999999994</v>
      </c>
      <c r="N23" s="64">
        <v>25</v>
      </c>
      <c r="O23" s="64">
        <v>0</v>
      </c>
      <c r="P23" s="64">
        <v>1.19</v>
      </c>
      <c r="Q23" s="64">
        <v>5.89</v>
      </c>
      <c r="S23" s="198"/>
      <c r="T23" s="198"/>
      <c r="U23" s="198"/>
    </row>
    <row r="24" spans="1:21" s="12" customFormat="1" x14ac:dyDescent="0.25">
      <c r="A24" s="215" t="s">
        <v>2377</v>
      </c>
      <c r="B24" s="64">
        <v>8.81</v>
      </c>
      <c r="C24" s="64">
        <v>41.75</v>
      </c>
      <c r="D24" s="64">
        <v>30.75</v>
      </c>
      <c r="E24" s="64">
        <v>2.06</v>
      </c>
      <c r="F24" s="64">
        <v>3.64</v>
      </c>
      <c r="G24" s="64">
        <v>87.57</v>
      </c>
      <c r="H24" s="64">
        <v>48.07</v>
      </c>
      <c r="I24" s="64">
        <v>1.5</v>
      </c>
      <c r="J24" s="64">
        <v>0.32</v>
      </c>
      <c r="K24" s="64">
        <v>338.78</v>
      </c>
      <c r="L24" s="64">
        <v>16.91</v>
      </c>
      <c r="M24" s="64">
        <v>80.67</v>
      </c>
      <c r="N24" s="64">
        <v>24.8</v>
      </c>
      <c r="O24" s="64">
        <v>0</v>
      </c>
      <c r="P24" s="64">
        <v>1.17</v>
      </c>
      <c r="Q24" s="64">
        <v>5.86</v>
      </c>
      <c r="S24" s="198"/>
      <c r="T24" s="198"/>
      <c r="U24" s="198"/>
    </row>
    <row r="25" spans="1:21" s="12" customFormat="1" x14ac:dyDescent="0.25">
      <c r="A25" s="215" t="s">
        <v>2378</v>
      </c>
      <c r="B25" s="64">
        <v>8.6199999999999992</v>
      </c>
      <c r="C25" s="64">
        <v>41.82</v>
      </c>
      <c r="D25" s="64">
        <v>30.64</v>
      </c>
      <c r="E25" s="64">
        <v>2.4</v>
      </c>
      <c r="F25" s="64">
        <v>3.51</v>
      </c>
      <c r="G25" s="64">
        <v>95.24</v>
      </c>
      <c r="H25" s="64">
        <v>48.31</v>
      </c>
      <c r="I25" s="64">
        <v>1.48</v>
      </c>
      <c r="J25" s="64">
        <v>0.22</v>
      </c>
      <c r="K25" s="64">
        <v>335.46</v>
      </c>
      <c r="L25" s="64">
        <v>16.98</v>
      </c>
      <c r="M25" s="64">
        <v>79.290000000000006</v>
      </c>
      <c r="N25" s="64">
        <v>24.8</v>
      </c>
      <c r="O25" s="64">
        <v>0</v>
      </c>
      <c r="P25" s="64">
        <v>1.1399999999999999</v>
      </c>
      <c r="Q25" s="64">
        <v>5.83</v>
      </c>
      <c r="S25" s="198"/>
      <c r="T25" s="198"/>
      <c r="U25" s="198"/>
    </row>
    <row r="26" spans="1:21" s="12" customFormat="1" x14ac:dyDescent="0.25">
      <c r="A26" s="215" t="s">
        <v>2379</v>
      </c>
      <c r="B26" s="64">
        <v>8.41</v>
      </c>
      <c r="C26" s="64">
        <v>41.43</v>
      </c>
      <c r="D26" s="64">
        <v>30.26</v>
      </c>
      <c r="E26" s="64">
        <v>2.37</v>
      </c>
      <c r="F26" s="64">
        <v>3.69</v>
      </c>
      <c r="G26" s="64">
        <v>100.35</v>
      </c>
      <c r="H26" s="64">
        <v>48.38</v>
      </c>
      <c r="I26" s="64">
        <v>1.45</v>
      </c>
      <c r="J26" s="64">
        <v>0.21</v>
      </c>
      <c r="K26" s="64">
        <v>105.36</v>
      </c>
      <c r="L26" s="64">
        <v>16.940000000000001</v>
      </c>
      <c r="M26" s="64">
        <v>79.040000000000006</v>
      </c>
      <c r="N26" s="64">
        <v>25</v>
      </c>
      <c r="O26" s="64">
        <v>0</v>
      </c>
      <c r="P26" s="64">
        <v>1.1100000000000001</v>
      </c>
      <c r="Q26" s="64">
        <v>5.85</v>
      </c>
      <c r="S26" s="198"/>
      <c r="T26" s="198"/>
      <c r="U26" s="198"/>
    </row>
    <row r="27" spans="1:21" s="12" customFormat="1" x14ac:dyDescent="0.25">
      <c r="A27" s="215" t="s">
        <v>2380</v>
      </c>
      <c r="B27" s="64">
        <v>8.14</v>
      </c>
      <c r="C27" s="64">
        <v>41.37</v>
      </c>
      <c r="D27" s="64">
        <v>30</v>
      </c>
      <c r="E27" s="64">
        <v>2.39</v>
      </c>
      <c r="F27" s="64">
        <v>4.03</v>
      </c>
      <c r="G27" s="64">
        <v>100.35</v>
      </c>
      <c r="H27" s="64">
        <v>48.38</v>
      </c>
      <c r="I27" s="64">
        <v>1.52</v>
      </c>
      <c r="J27" s="64">
        <v>0.27</v>
      </c>
      <c r="K27" s="64">
        <v>104.78</v>
      </c>
      <c r="L27" s="64">
        <v>16.93</v>
      </c>
      <c r="M27" s="64">
        <v>79.05</v>
      </c>
      <c r="N27" s="64">
        <v>24.8</v>
      </c>
      <c r="O27" s="64">
        <v>0</v>
      </c>
      <c r="P27" s="64">
        <v>1.08</v>
      </c>
      <c r="Q27" s="64">
        <v>5.81</v>
      </c>
      <c r="S27" s="198"/>
      <c r="T27" s="198"/>
      <c r="U27" s="198"/>
    </row>
    <row r="28" spans="1:21" s="12" customFormat="1" x14ac:dyDescent="0.25">
      <c r="A28" s="215" t="s">
        <v>2381</v>
      </c>
      <c r="B28" s="64">
        <v>7.9</v>
      </c>
      <c r="C28" s="64">
        <v>41.16</v>
      </c>
      <c r="D28" s="64">
        <v>29.69</v>
      </c>
      <c r="E28" s="64">
        <v>2.39</v>
      </c>
      <c r="F28" s="64">
        <v>4.47</v>
      </c>
      <c r="G28" s="64">
        <v>100.35</v>
      </c>
      <c r="H28" s="64">
        <v>48.38</v>
      </c>
      <c r="I28" s="64">
        <v>1.43</v>
      </c>
      <c r="J28" s="64">
        <v>0.2</v>
      </c>
      <c r="K28" s="64">
        <v>92.8</v>
      </c>
      <c r="L28" s="64">
        <v>16.97</v>
      </c>
      <c r="M28" s="64">
        <v>78.44</v>
      </c>
      <c r="N28" s="64">
        <v>25</v>
      </c>
      <c r="O28" s="64">
        <v>0</v>
      </c>
      <c r="P28" s="64">
        <v>1.06</v>
      </c>
      <c r="Q28" s="64">
        <v>5.79</v>
      </c>
      <c r="S28" s="198"/>
      <c r="T28" s="198"/>
      <c r="U28" s="198"/>
    </row>
    <row r="29" spans="1:21" s="12" customFormat="1" x14ac:dyDescent="0.25">
      <c r="A29" s="215" t="s">
        <v>2382</v>
      </c>
      <c r="B29" s="64">
        <v>7.71</v>
      </c>
      <c r="C29" s="64">
        <v>41.08</v>
      </c>
      <c r="D29" s="64">
        <v>29.5</v>
      </c>
      <c r="E29" s="64">
        <v>2.41</v>
      </c>
      <c r="F29" s="64">
        <v>4.4000000000000004</v>
      </c>
      <c r="G29" s="64">
        <v>91.14</v>
      </c>
      <c r="H29" s="64">
        <v>47.17</v>
      </c>
      <c r="I29" s="64">
        <v>1.46</v>
      </c>
      <c r="J29" s="64">
        <v>0.06</v>
      </c>
      <c r="K29" s="64">
        <v>12.23</v>
      </c>
      <c r="L29" s="64">
        <v>16.98</v>
      </c>
      <c r="M29" s="64">
        <v>78.33</v>
      </c>
      <c r="N29" s="64">
        <v>24.9</v>
      </c>
      <c r="O29" s="64">
        <v>0</v>
      </c>
      <c r="P29" s="64">
        <v>1.03</v>
      </c>
      <c r="Q29" s="64">
        <v>5.79</v>
      </c>
      <c r="S29" s="198"/>
      <c r="T29" s="198"/>
      <c r="U29" s="198"/>
    </row>
    <row r="30" spans="1:21" s="12" customFormat="1" x14ac:dyDescent="0.25">
      <c r="A30" s="215" t="s">
        <v>2383</v>
      </c>
      <c r="B30" s="64">
        <v>7.52</v>
      </c>
      <c r="C30" s="64">
        <v>39.28</v>
      </c>
      <c r="D30" s="64">
        <v>28.35</v>
      </c>
      <c r="E30" s="64">
        <v>2.35</v>
      </c>
      <c r="F30" s="64">
        <v>3.94</v>
      </c>
      <c r="G30" s="64">
        <v>85.01</v>
      </c>
      <c r="H30" s="64">
        <v>46.59</v>
      </c>
      <c r="I30" s="64">
        <v>1.45</v>
      </c>
      <c r="J30" s="64">
        <v>0.26</v>
      </c>
      <c r="K30" s="64">
        <v>106.18</v>
      </c>
      <c r="L30" s="64">
        <v>16.940000000000001</v>
      </c>
      <c r="M30" s="64">
        <v>78.459999999999994</v>
      </c>
      <c r="N30" s="64">
        <v>24.9</v>
      </c>
      <c r="O30" s="64">
        <v>0</v>
      </c>
      <c r="P30" s="64">
        <v>1</v>
      </c>
      <c r="Q30" s="64">
        <v>5.79</v>
      </c>
      <c r="S30" s="198"/>
      <c r="T30" s="198"/>
      <c r="U30" s="198"/>
    </row>
    <row r="31" spans="1:21" s="12" customFormat="1" x14ac:dyDescent="0.25">
      <c r="A31" s="215" t="s">
        <v>2384</v>
      </c>
      <c r="B31" s="64">
        <v>7.06</v>
      </c>
      <c r="C31" s="64">
        <v>39.68</v>
      </c>
      <c r="D31" s="64">
        <v>28.21</v>
      </c>
      <c r="E31" s="64">
        <v>2.29</v>
      </c>
      <c r="F31" s="64">
        <v>3.81</v>
      </c>
      <c r="G31" s="64">
        <v>85.01</v>
      </c>
      <c r="H31" s="64">
        <v>46.59</v>
      </c>
      <c r="I31" s="64">
        <v>1.55</v>
      </c>
      <c r="J31" s="64">
        <v>0.26</v>
      </c>
      <c r="K31" s="64">
        <v>96.66</v>
      </c>
      <c r="L31" s="64">
        <v>16.96</v>
      </c>
      <c r="M31" s="64">
        <v>78.55</v>
      </c>
      <c r="N31" s="64">
        <v>25</v>
      </c>
      <c r="O31" s="64">
        <v>0</v>
      </c>
      <c r="P31" s="64">
        <v>0.98</v>
      </c>
      <c r="Q31" s="64">
        <v>5.69</v>
      </c>
      <c r="S31" s="198"/>
      <c r="T31" s="198"/>
      <c r="U31" s="198"/>
    </row>
    <row r="32" spans="1:21" s="12" customFormat="1" x14ac:dyDescent="0.25">
      <c r="A32" s="215" t="s">
        <v>2385</v>
      </c>
      <c r="B32" s="64">
        <v>6.62</v>
      </c>
      <c r="C32" s="64">
        <v>40.54</v>
      </c>
      <c r="D32" s="64">
        <v>28.33</v>
      </c>
      <c r="E32" s="64">
        <v>2.33</v>
      </c>
      <c r="F32" s="64">
        <v>3.54</v>
      </c>
      <c r="G32" s="64">
        <v>85.01</v>
      </c>
      <c r="H32" s="64">
        <v>46.59</v>
      </c>
      <c r="I32" s="64">
        <v>1.54</v>
      </c>
      <c r="J32" s="64">
        <v>0.16</v>
      </c>
      <c r="K32" s="64">
        <v>99.71</v>
      </c>
      <c r="L32" s="64">
        <v>16.920000000000002</v>
      </c>
      <c r="M32" s="64">
        <v>78.959999999999994</v>
      </c>
      <c r="N32" s="64">
        <v>25.4</v>
      </c>
      <c r="O32" s="64">
        <v>0</v>
      </c>
      <c r="P32" s="64">
        <v>0.95</v>
      </c>
      <c r="Q32" s="64">
        <v>5.62</v>
      </c>
      <c r="S32" s="198"/>
      <c r="T32" s="198"/>
      <c r="U32" s="198"/>
    </row>
    <row r="33" spans="1:21" s="12" customFormat="1" x14ac:dyDescent="0.25">
      <c r="A33" s="215" t="s">
        <v>2386</v>
      </c>
      <c r="B33" s="64">
        <v>6.29</v>
      </c>
      <c r="C33" s="64">
        <v>41.34</v>
      </c>
      <c r="D33" s="64">
        <v>28.5</v>
      </c>
      <c r="E33" s="64">
        <v>2.3199999999999998</v>
      </c>
      <c r="F33" s="64">
        <v>3.44</v>
      </c>
      <c r="G33" s="64">
        <v>76.08</v>
      </c>
      <c r="H33" s="64">
        <v>40.69</v>
      </c>
      <c r="I33" s="64">
        <v>1.56</v>
      </c>
      <c r="J33" s="64">
        <v>0.21</v>
      </c>
      <c r="K33" s="64">
        <v>94.12</v>
      </c>
      <c r="L33" s="64">
        <v>16.86</v>
      </c>
      <c r="M33" s="64">
        <v>79.72</v>
      </c>
      <c r="N33" s="64">
        <v>28</v>
      </c>
      <c r="O33" s="64">
        <v>0</v>
      </c>
      <c r="P33" s="64">
        <v>0.93</v>
      </c>
      <c r="Q33" s="64">
        <v>5.58</v>
      </c>
      <c r="S33" s="198"/>
      <c r="T33" s="198"/>
      <c r="U33" s="198"/>
    </row>
    <row r="34" spans="1:21" s="12" customFormat="1" x14ac:dyDescent="0.25">
      <c r="A34" s="215" t="s">
        <v>2387</v>
      </c>
      <c r="B34" s="64">
        <v>6.12</v>
      </c>
      <c r="C34" s="64">
        <v>40.86</v>
      </c>
      <c r="D34" s="64">
        <v>28.11</v>
      </c>
      <c r="E34" s="64">
        <v>2.27</v>
      </c>
      <c r="F34" s="64">
        <v>3.44</v>
      </c>
      <c r="G34" s="64">
        <v>69.849999999999994</v>
      </c>
      <c r="H34" s="64">
        <v>39.130000000000003</v>
      </c>
      <c r="I34" s="64">
        <v>1.52</v>
      </c>
      <c r="J34" s="64">
        <v>0.13</v>
      </c>
      <c r="K34" s="64">
        <v>95.63</v>
      </c>
      <c r="L34" s="64">
        <v>16.84</v>
      </c>
      <c r="M34" s="64">
        <v>80.53</v>
      </c>
      <c r="N34" s="64">
        <v>37.4</v>
      </c>
      <c r="O34" s="64">
        <v>0</v>
      </c>
      <c r="P34" s="64">
        <v>0.92</v>
      </c>
      <c r="Q34" s="64">
        <v>5.58</v>
      </c>
      <c r="S34" s="198"/>
      <c r="T34" s="198"/>
      <c r="U34" s="198"/>
    </row>
    <row r="35" spans="1:21" s="12" customFormat="1" x14ac:dyDescent="0.25">
      <c r="A35" s="215" t="s">
        <v>2388</v>
      </c>
      <c r="B35" s="64">
        <v>6.24</v>
      </c>
      <c r="C35" s="64">
        <v>40.65</v>
      </c>
      <c r="D35" s="64">
        <v>28.09</v>
      </c>
      <c r="E35" s="64">
        <v>2.3199999999999998</v>
      </c>
      <c r="F35" s="64">
        <v>3.37</v>
      </c>
      <c r="G35" s="64">
        <v>69.849999999999994</v>
      </c>
      <c r="H35" s="64">
        <v>39.130000000000003</v>
      </c>
      <c r="I35" s="64">
        <v>1.46</v>
      </c>
      <c r="J35" s="64">
        <v>0.1</v>
      </c>
      <c r="K35" s="64">
        <v>87.03</v>
      </c>
      <c r="L35" s="64">
        <v>17.010000000000002</v>
      </c>
      <c r="M35" s="64">
        <v>80.03</v>
      </c>
      <c r="N35" s="64">
        <v>52.8</v>
      </c>
      <c r="O35" s="64">
        <v>0</v>
      </c>
      <c r="P35" s="64">
        <v>0.91</v>
      </c>
      <c r="Q35" s="64">
        <v>5.58</v>
      </c>
      <c r="S35" s="198"/>
      <c r="T35" s="198"/>
      <c r="U35" s="198"/>
    </row>
    <row r="36" spans="1:21" s="12" customFormat="1" x14ac:dyDescent="0.25">
      <c r="A36" s="215" t="s">
        <v>2389</v>
      </c>
      <c r="B36" s="64">
        <v>6.82</v>
      </c>
      <c r="C36" s="64">
        <v>41.52</v>
      </c>
      <c r="D36" s="64">
        <v>29.03</v>
      </c>
      <c r="E36" s="64">
        <v>2.27</v>
      </c>
      <c r="F36" s="64">
        <v>3.36</v>
      </c>
      <c r="G36" s="64">
        <v>69.849999999999994</v>
      </c>
      <c r="H36" s="64">
        <v>39.130000000000003</v>
      </c>
      <c r="I36" s="64">
        <v>1.49</v>
      </c>
      <c r="J36" s="64">
        <v>0.2</v>
      </c>
      <c r="K36" s="64">
        <v>99.59</v>
      </c>
      <c r="L36" s="64">
        <v>17.32</v>
      </c>
      <c r="M36" s="64">
        <v>77.91</v>
      </c>
      <c r="N36" s="64">
        <v>71.3</v>
      </c>
      <c r="O36" s="64">
        <v>0</v>
      </c>
      <c r="P36" s="64">
        <v>0.91</v>
      </c>
      <c r="Q36" s="64">
        <v>5.61</v>
      </c>
      <c r="S36" s="198"/>
      <c r="T36" s="198"/>
      <c r="U36" s="198"/>
    </row>
    <row r="37" spans="1:21" s="12" customFormat="1" x14ac:dyDescent="0.25">
      <c r="A37" s="215" t="s">
        <v>2390</v>
      </c>
      <c r="B37" s="64">
        <v>7.3</v>
      </c>
      <c r="C37" s="64">
        <v>41.32</v>
      </c>
      <c r="D37" s="64">
        <v>29.3</v>
      </c>
      <c r="E37" s="64">
        <v>2.31</v>
      </c>
      <c r="F37" s="64">
        <v>3.43</v>
      </c>
      <c r="G37" s="64">
        <v>71.489999999999995</v>
      </c>
      <c r="H37" s="64">
        <v>42.19</v>
      </c>
      <c r="I37" s="64">
        <v>1.52</v>
      </c>
      <c r="J37" s="64">
        <v>7.0000000000000007E-2</v>
      </c>
      <c r="K37" s="64">
        <v>78.150000000000006</v>
      </c>
      <c r="L37" s="64">
        <v>17.64</v>
      </c>
      <c r="M37" s="64">
        <v>77.13</v>
      </c>
      <c r="N37" s="64">
        <v>98.9</v>
      </c>
      <c r="O37" s="64">
        <v>0</v>
      </c>
      <c r="P37" s="64">
        <v>0.89</v>
      </c>
      <c r="Q37" s="64">
        <v>5.67</v>
      </c>
      <c r="S37" s="198"/>
      <c r="T37" s="198"/>
      <c r="U37" s="198"/>
    </row>
    <row r="38" spans="1:21" s="12" customFormat="1" x14ac:dyDescent="0.25">
      <c r="A38" s="215" t="s">
        <v>2391</v>
      </c>
      <c r="B38" s="64">
        <v>7.55</v>
      </c>
      <c r="C38" s="64">
        <v>41.64</v>
      </c>
      <c r="D38" s="64">
        <v>29.68</v>
      </c>
      <c r="E38" s="64">
        <v>2.29</v>
      </c>
      <c r="F38" s="64">
        <v>3.4</v>
      </c>
      <c r="G38" s="64">
        <v>72.58</v>
      </c>
      <c r="H38" s="64">
        <v>42.94</v>
      </c>
      <c r="I38" s="64">
        <v>1.48</v>
      </c>
      <c r="J38" s="64">
        <v>0.2</v>
      </c>
      <c r="K38" s="64">
        <v>93.58</v>
      </c>
      <c r="L38" s="64">
        <v>18.29</v>
      </c>
      <c r="M38" s="64">
        <v>73.33</v>
      </c>
      <c r="N38" s="64">
        <v>152.80000000000001</v>
      </c>
      <c r="O38" s="64">
        <v>0</v>
      </c>
      <c r="P38" s="64">
        <v>0.94</v>
      </c>
      <c r="Q38" s="64">
        <v>5.67</v>
      </c>
      <c r="S38" s="198"/>
      <c r="T38" s="198"/>
      <c r="U38" s="198"/>
    </row>
    <row r="39" spans="1:21" s="12" customFormat="1" x14ac:dyDescent="0.25">
      <c r="A39" s="215" t="s">
        <v>2392</v>
      </c>
      <c r="B39" s="64">
        <v>7.97</v>
      </c>
      <c r="C39" s="64">
        <v>43.6</v>
      </c>
      <c r="D39" s="64">
        <v>31.1</v>
      </c>
      <c r="E39" s="64">
        <v>2.04</v>
      </c>
      <c r="F39" s="64">
        <v>3.42</v>
      </c>
      <c r="G39" s="64">
        <v>72.58</v>
      </c>
      <c r="H39" s="64">
        <v>42.94</v>
      </c>
      <c r="I39" s="64">
        <v>1.5</v>
      </c>
      <c r="J39" s="64">
        <v>0.31</v>
      </c>
      <c r="K39" s="64">
        <v>326.04000000000002</v>
      </c>
      <c r="L39" s="64">
        <v>19.68</v>
      </c>
      <c r="M39" s="64">
        <v>66.900000000000006</v>
      </c>
      <c r="N39" s="64">
        <v>200.3</v>
      </c>
      <c r="O39" s="64">
        <v>0</v>
      </c>
      <c r="P39" s="64">
        <v>0.95</v>
      </c>
      <c r="Q39" s="64">
        <v>5.63</v>
      </c>
      <c r="S39" s="198"/>
      <c r="T39" s="198"/>
      <c r="U39" s="198"/>
    </row>
    <row r="40" spans="1:21" s="12" customFormat="1" x14ac:dyDescent="0.25">
      <c r="A40" s="215" t="s">
        <v>2393</v>
      </c>
      <c r="B40" s="64">
        <v>9.4700000000000006</v>
      </c>
      <c r="C40" s="64">
        <v>44.08</v>
      </c>
      <c r="D40" s="64">
        <v>32.57</v>
      </c>
      <c r="E40" s="64">
        <v>1.95</v>
      </c>
      <c r="F40" s="64">
        <v>3.28</v>
      </c>
      <c r="G40" s="64">
        <v>72.58</v>
      </c>
      <c r="H40" s="64">
        <v>42.94</v>
      </c>
      <c r="I40" s="64">
        <v>1.49</v>
      </c>
      <c r="J40" s="64">
        <v>0.17</v>
      </c>
      <c r="K40" s="64">
        <v>84.86</v>
      </c>
      <c r="L40" s="64">
        <v>20.92</v>
      </c>
      <c r="M40" s="64">
        <v>63.77</v>
      </c>
      <c r="N40" s="64">
        <v>241.1</v>
      </c>
      <c r="O40" s="64">
        <v>0</v>
      </c>
      <c r="P40" s="64">
        <v>0.97</v>
      </c>
      <c r="Q40" s="64">
        <v>5.75</v>
      </c>
      <c r="S40" s="198"/>
      <c r="T40" s="198"/>
      <c r="U40" s="198"/>
    </row>
    <row r="41" spans="1:21" s="12" customFormat="1" x14ac:dyDescent="0.25">
      <c r="A41" s="215" t="s">
        <v>2394</v>
      </c>
      <c r="B41" s="64">
        <v>10.78</v>
      </c>
      <c r="C41" s="64">
        <v>45.05</v>
      </c>
      <c r="D41" s="64">
        <v>34.15</v>
      </c>
      <c r="E41" s="64">
        <v>2.38</v>
      </c>
      <c r="F41" s="64">
        <v>3.17</v>
      </c>
      <c r="G41" s="64">
        <v>76.22</v>
      </c>
      <c r="H41" s="64">
        <v>41.5</v>
      </c>
      <c r="I41" s="64">
        <v>1.48</v>
      </c>
      <c r="J41" s="64">
        <v>0.95</v>
      </c>
      <c r="K41" s="64">
        <v>110.58</v>
      </c>
      <c r="L41" s="64">
        <v>20.190000000000001</v>
      </c>
      <c r="M41" s="64">
        <v>66.03</v>
      </c>
      <c r="N41" s="64">
        <v>281.8</v>
      </c>
      <c r="O41" s="64">
        <v>0</v>
      </c>
      <c r="P41" s="64">
        <v>0.99</v>
      </c>
      <c r="Q41" s="64">
        <v>5.92</v>
      </c>
      <c r="S41" s="198"/>
      <c r="T41" s="198"/>
      <c r="U41" s="198"/>
    </row>
    <row r="42" spans="1:21" s="12" customFormat="1" x14ac:dyDescent="0.25">
      <c r="A42" s="215" t="s">
        <v>2395</v>
      </c>
      <c r="B42" s="64">
        <v>10.33</v>
      </c>
      <c r="C42" s="64">
        <v>43.56</v>
      </c>
      <c r="D42" s="64">
        <v>32.97</v>
      </c>
      <c r="E42" s="64">
        <v>2.31</v>
      </c>
      <c r="F42" s="64">
        <v>3.42</v>
      </c>
      <c r="G42" s="64">
        <v>79.2</v>
      </c>
      <c r="H42" s="64">
        <v>41.02</v>
      </c>
      <c r="I42" s="64">
        <v>1.55</v>
      </c>
      <c r="J42" s="64">
        <v>0.24</v>
      </c>
      <c r="K42" s="64">
        <v>73.17</v>
      </c>
      <c r="L42" s="64">
        <v>20.94</v>
      </c>
      <c r="M42" s="64">
        <v>62.95</v>
      </c>
      <c r="N42" s="64">
        <v>326.10000000000002</v>
      </c>
      <c r="O42" s="64">
        <v>0</v>
      </c>
      <c r="P42" s="64">
        <v>0.97</v>
      </c>
      <c r="Q42" s="64">
        <v>6.03</v>
      </c>
      <c r="S42" s="198"/>
      <c r="T42" s="198"/>
      <c r="U42" s="198"/>
    </row>
    <row r="43" spans="1:21" s="12" customFormat="1" x14ac:dyDescent="0.25">
      <c r="A43" s="215" t="s">
        <v>2396</v>
      </c>
      <c r="B43" s="64">
        <v>10.09</v>
      </c>
      <c r="C43" s="64">
        <v>44.61</v>
      </c>
      <c r="D43" s="64">
        <v>33.36</v>
      </c>
      <c r="E43" s="64">
        <v>2.33</v>
      </c>
      <c r="F43" s="64">
        <v>3.25</v>
      </c>
      <c r="G43" s="64">
        <v>79.2</v>
      </c>
      <c r="H43" s="64">
        <v>41.02</v>
      </c>
      <c r="I43" s="64">
        <v>1.51</v>
      </c>
      <c r="J43" s="64">
        <v>0.56999999999999995</v>
      </c>
      <c r="K43" s="64">
        <v>100.61</v>
      </c>
      <c r="L43" s="64">
        <v>22.31</v>
      </c>
      <c r="M43" s="64">
        <v>57.77</v>
      </c>
      <c r="N43" s="64">
        <v>379.8</v>
      </c>
      <c r="O43" s="64">
        <v>0</v>
      </c>
      <c r="P43" s="64">
        <v>0.99</v>
      </c>
      <c r="Q43" s="64">
        <v>5.97</v>
      </c>
      <c r="S43" s="198"/>
      <c r="T43" s="198"/>
      <c r="U43" s="198"/>
    </row>
    <row r="44" spans="1:21" s="12" customFormat="1" x14ac:dyDescent="0.25">
      <c r="A44" s="215" t="s">
        <v>2397</v>
      </c>
      <c r="B44" s="64">
        <v>9.5299999999999994</v>
      </c>
      <c r="C44" s="64">
        <v>45.28</v>
      </c>
      <c r="D44" s="64">
        <v>33.28</v>
      </c>
      <c r="E44" s="64">
        <v>2.35</v>
      </c>
      <c r="F44" s="64">
        <v>3.44</v>
      </c>
      <c r="G44" s="64">
        <v>79.2</v>
      </c>
      <c r="H44" s="64">
        <v>41.02</v>
      </c>
      <c r="I44" s="64">
        <v>1.46</v>
      </c>
      <c r="J44" s="64">
        <v>1.28</v>
      </c>
      <c r="K44" s="64">
        <v>109.24</v>
      </c>
      <c r="L44" s="64">
        <v>21.43</v>
      </c>
      <c r="M44" s="64">
        <v>60.86</v>
      </c>
      <c r="N44" s="64">
        <v>426.2</v>
      </c>
      <c r="O44" s="64">
        <v>0</v>
      </c>
      <c r="P44" s="64">
        <v>0.99</v>
      </c>
      <c r="Q44" s="64">
        <v>5.94</v>
      </c>
      <c r="S44" s="198"/>
      <c r="T44" s="198"/>
      <c r="U44" s="198"/>
    </row>
    <row r="45" spans="1:21" s="12" customFormat="1" x14ac:dyDescent="0.25">
      <c r="A45" s="215" t="s">
        <v>2398</v>
      </c>
      <c r="B45" s="64">
        <v>9.4499999999999993</v>
      </c>
      <c r="C45" s="64">
        <v>46.23</v>
      </c>
      <c r="D45" s="64">
        <v>33.74</v>
      </c>
      <c r="E45" s="64">
        <v>2.36</v>
      </c>
      <c r="F45" s="64">
        <v>3.5</v>
      </c>
      <c r="G45" s="64">
        <v>78.19</v>
      </c>
      <c r="H45" s="64">
        <v>40.299999999999997</v>
      </c>
      <c r="I45" s="64">
        <v>1.48</v>
      </c>
      <c r="J45" s="64">
        <v>0.3</v>
      </c>
      <c r="K45" s="64">
        <v>95.76</v>
      </c>
      <c r="L45" s="64">
        <v>22.71</v>
      </c>
      <c r="M45" s="64">
        <v>57.07</v>
      </c>
      <c r="N45" s="64">
        <v>455.7</v>
      </c>
      <c r="O45" s="64">
        <v>0</v>
      </c>
      <c r="P45" s="64">
        <v>0.98</v>
      </c>
      <c r="Q45" s="64">
        <v>5.83</v>
      </c>
      <c r="S45" s="198"/>
      <c r="T45" s="198"/>
      <c r="U45" s="198"/>
    </row>
    <row r="46" spans="1:21" s="12" customFormat="1" x14ac:dyDescent="0.25">
      <c r="A46" s="215" t="s">
        <v>2399</v>
      </c>
      <c r="B46" s="64">
        <v>8.6999999999999993</v>
      </c>
      <c r="C46" s="64">
        <v>45.03</v>
      </c>
      <c r="D46" s="64">
        <v>32.47</v>
      </c>
      <c r="E46" s="64">
        <v>2.38</v>
      </c>
      <c r="F46" s="64">
        <v>3.81</v>
      </c>
      <c r="G46" s="64">
        <v>77.510000000000005</v>
      </c>
      <c r="H46" s="64">
        <v>39.99</v>
      </c>
      <c r="I46" s="64">
        <v>1.48</v>
      </c>
      <c r="J46" s="64">
        <v>0.24</v>
      </c>
      <c r="K46" s="64">
        <v>60.84</v>
      </c>
      <c r="L46" s="64">
        <v>23.91</v>
      </c>
      <c r="M46" s="64">
        <v>54.08</v>
      </c>
      <c r="N46" s="64">
        <v>489.6</v>
      </c>
      <c r="O46" s="64">
        <v>0</v>
      </c>
      <c r="P46" s="64">
        <v>0.98</v>
      </c>
      <c r="Q46" s="64">
        <v>5.82</v>
      </c>
      <c r="S46" s="198"/>
      <c r="T46" s="198"/>
      <c r="U46" s="198"/>
    </row>
    <row r="47" spans="1:21" s="12" customFormat="1" x14ac:dyDescent="0.25">
      <c r="A47" s="215" t="s">
        <v>2400</v>
      </c>
      <c r="B47" s="64">
        <v>8.1999999999999993</v>
      </c>
      <c r="C47" s="64">
        <v>44.61</v>
      </c>
      <c r="D47" s="64">
        <v>31.84</v>
      </c>
      <c r="E47" s="64">
        <v>2.4</v>
      </c>
      <c r="F47" s="64">
        <v>4.16</v>
      </c>
      <c r="G47" s="64">
        <v>77.510000000000005</v>
      </c>
      <c r="H47" s="64">
        <v>39.99</v>
      </c>
      <c r="I47" s="64">
        <v>1.43</v>
      </c>
      <c r="J47" s="64">
        <v>0.42</v>
      </c>
      <c r="K47" s="64">
        <v>103.48</v>
      </c>
      <c r="L47" s="64">
        <v>24.59</v>
      </c>
      <c r="M47" s="64">
        <v>51.97</v>
      </c>
      <c r="N47" s="64">
        <v>513.70000000000005</v>
      </c>
      <c r="O47" s="64">
        <v>0</v>
      </c>
      <c r="P47" s="64">
        <v>0.98</v>
      </c>
      <c r="Q47" s="64">
        <v>5.84</v>
      </c>
      <c r="S47" s="198"/>
      <c r="T47" s="198"/>
      <c r="U47" s="198"/>
    </row>
    <row r="48" spans="1:21" s="12" customFormat="1" x14ac:dyDescent="0.25">
      <c r="A48" s="215" t="s">
        <v>2401</v>
      </c>
      <c r="B48" s="64">
        <v>7.67</v>
      </c>
      <c r="C48" s="64">
        <v>44.46</v>
      </c>
      <c r="D48" s="64">
        <v>31.33</v>
      </c>
      <c r="E48" s="64">
        <v>2.41</v>
      </c>
      <c r="F48" s="64">
        <v>4.8099999999999996</v>
      </c>
      <c r="G48" s="64">
        <v>77.510000000000005</v>
      </c>
      <c r="H48" s="64">
        <v>39.99</v>
      </c>
      <c r="I48" s="64">
        <v>1.52</v>
      </c>
      <c r="J48" s="64">
        <v>0.48</v>
      </c>
      <c r="K48" s="64">
        <v>102.02</v>
      </c>
      <c r="L48" s="64">
        <v>24.73</v>
      </c>
      <c r="M48" s="64">
        <v>50.3</v>
      </c>
      <c r="N48" s="64">
        <v>537.1</v>
      </c>
      <c r="O48" s="64">
        <v>0</v>
      </c>
      <c r="P48" s="64">
        <v>0.97</v>
      </c>
      <c r="Q48" s="64">
        <v>5.84</v>
      </c>
      <c r="S48" s="198"/>
      <c r="T48" s="198"/>
      <c r="U48" s="198"/>
    </row>
    <row r="49" spans="1:21" s="12" customFormat="1" x14ac:dyDescent="0.25">
      <c r="A49" s="215" t="s">
        <v>2402</v>
      </c>
      <c r="B49" s="64">
        <v>7.19</v>
      </c>
      <c r="C49" s="64">
        <v>44.57</v>
      </c>
      <c r="D49" s="64">
        <v>31.01</v>
      </c>
      <c r="E49" s="64">
        <v>2.39</v>
      </c>
      <c r="F49" s="64">
        <v>6.02</v>
      </c>
      <c r="G49" s="64">
        <v>83.29</v>
      </c>
      <c r="H49" s="64">
        <v>36.92</v>
      </c>
      <c r="I49" s="64">
        <v>1.46</v>
      </c>
      <c r="J49" s="64">
        <v>0.1</v>
      </c>
      <c r="K49" s="64">
        <v>23.26</v>
      </c>
      <c r="L49" s="64">
        <v>26.04</v>
      </c>
      <c r="M49" s="64">
        <v>47.08</v>
      </c>
      <c r="N49" s="64">
        <v>563.29999999999995</v>
      </c>
      <c r="O49" s="64">
        <v>0</v>
      </c>
      <c r="P49" s="64">
        <v>0.99</v>
      </c>
      <c r="Q49" s="64">
        <v>5.79</v>
      </c>
      <c r="S49" s="198"/>
      <c r="T49" s="198"/>
      <c r="U49" s="198"/>
    </row>
    <row r="50" spans="1:21" s="12" customFormat="1" x14ac:dyDescent="0.25">
      <c r="A50" s="215" t="s">
        <v>2403</v>
      </c>
      <c r="B50" s="64">
        <v>6.53</v>
      </c>
      <c r="C50" s="64">
        <v>45</v>
      </c>
      <c r="D50" s="64">
        <v>30.72</v>
      </c>
      <c r="E50" s="64">
        <v>2.48</v>
      </c>
      <c r="F50" s="64">
        <v>7.51</v>
      </c>
      <c r="G50" s="64">
        <v>87.14</v>
      </c>
      <c r="H50" s="64">
        <v>36.11</v>
      </c>
      <c r="I50" s="64">
        <v>1.46</v>
      </c>
      <c r="J50" s="64">
        <v>0.44</v>
      </c>
      <c r="K50" s="64">
        <v>126.14</v>
      </c>
      <c r="L50" s="64">
        <v>26.01</v>
      </c>
      <c r="M50" s="64">
        <v>47.43</v>
      </c>
      <c r="N50" s="64">
        <v>589.20000000000005</v>
      </c>
      <c r="O50" s="64">
        <v>0</v>
      </c>
      <c r="P50" s="64">
        <v>0.96</v>
      </c>
      <c r="Q50" s="64">
        <v>5.78</v>
      </c>
      <c r="S50" s="198"/>
      <c r="T50" s="198"/>
      <c r="U50" s="198"/>
    </row>
    <row r="51" spans="1:21" s="12" customFormat="1" x14ac:dyDescent="0.25">
      <c r="A51" s="215" t="s">
        <v>2404</v>
      </c>
      <c r="B51" s="64">
        <v>4</v>
      </c>
      <c r="C51" s="64">
        <v>45.41</v>
      </c>
      <c r="D51" s="64">
        <v>28.91</v>
      </c>
      <c r="E51" s="64">
        <v>2.48</v>
      </c>
      <c r="F51" s="64">
        <v>8.73</v>
      </c>
      <c r="G51" s="64">
        <v>87.14</v>
      </c>
      <c r="H51" s="64">
        <v>36.11</v>
      </c>
      <c r="I51" s="64">
        <v>1.56</v>
      </c>
      <c r="J51" s="64">
        <v>0.86</v>
      </c>
      <c r="K51" s="64">
        <v>107.15</v>
      </c>
      <c r="L51" s="64">
        <v>25.22</v>
      </c>
      <c r="M51" s="64">
        <v>48.88</v>
      </c>
      <c r="N51" s="64">
        <v>594.6</v>
      </c>
      <c r="O51" s="64">
        <v>0</v>
      </c>
      <c r="P51" s="64">
        <v>0.93</v>
      </c>
      <c r="Q51" s="64">
        <v>5.76</v>
      </c>
      <c r="S51" s="198"/>
      <c r="T51" s="198"/>
      <c r="U51" s="198"/>
    </row>
    <row r="52" spans="1:21" s="12" customFormat="1" x14ac:dyDescent="0.25">
      <c r="A52" s="215" t="s">
        <v>2405</v>
      </c>
      <c r="B52" s="64">
        <v>2.95</v>
      </c>
      <c r="C52" s="64">
        <v>43.79</v>
      </c>
      <c r="D52" s="64">
        <v>27.18</v>
      </c>
      <c r="E52" s="64">
        <v>2.52</v>
      </c>
      <c r="F52" s="64">
        <v>10.08</v>
      </c>
      <c r="G52" s="64">
        <v>87.14</v>
      </c>
      <c r="H52" s="64">
        <v>36.11</v>
      </c>
      <c r="I52" s="64">
        <v>1.42</v>
      </c>
      <c r="J52" s="64">
        <v>0.38</v>
      </c>
      <c r="K52" s="64">
        <v>106.91</v>
      </c>
      <c r="L52" s="64">
        <v>25.37</v>
      </c>
      <c r="M52" s="64">
        <v>47.57</v>
      </c>
      <c r="N52" s="64">
        <v>610.9</v>
      </c>
      <c r="O52" s="64">
        <v>0</v>
      </c>
      <c r="P52" s="64">
        <v>0.9</v>
      </c>
      <c r="Q52" s="64">
        <v>5.72</v>
      </c>
      <c r="S52" s="198"/>
      <c r="T52" s="198"/>
      <c r="U52" s="198"/>
    </row>
    <row r="53" spans="1:21" s="12" customFormat="1" x14ac:dyDescent="0.25">
      <c r="A53" s="215" t="s">
        <v>2406</v>
      </c>
      <c r="B53" s="64">
        <v>3.71</v>
      </c>
      <c r="C53" s="64">
        <v>46.37</v>
      </c>
      <c r="D53" s="64">
        <v>29.22</v>
      </c>
      <c r="E53" s="64">
        <v>2.64</v>
      </c>
      <c r="F53" s="64">
        <v>16.18</v>
      </c>
      <c r="G53" s="64">
        <v>83.89</v>
      </c>
      <c r="H53" s="64">
        <v>41.34</v>
      </c>
      <c r="I53" s="64">
        <v>1.57</v>
      </c>
      <c r="J53" s="64">
        <v>0.34</v>
      </c>
      <c r="K53" s="64">
        <v>95.97</v>
      </c>
      <c r="L53" s="64">
        <v>26.23</v>
      </c>
      <c r="M53" s="64">
        <v>44.59</v>
      </c>
      <c r="N53" s="64">
        <v>615.29999999999995</v>
      </c>
      <c r="O53" s="64">
        <v>0</v>
      </c>
      <c r="P53" s="64">
        <v>0.87</v>
      </c>
      <c r="Q53" s="64">
        <v>5.61</v>
      </c>
      <c r="S53" s="198"/>
      <c r="T53" s="198"/>
      <c r="U53" s="198"/>
    </row>
    <row r="54" spans="1:21" s="12" customFormat="1" x14ac:dyDescent="0.25">
      <c r="A54" s="215" t="s">
        <v>2407</v>
      </c>
      <c r="B54" s="64">
        <v>2.54</v>
      </c>
      <c r="C54" s="64">
        <v>44.06</v>
      </c>
      <c r="D54" s="64">
        <v>27</v>
      </c>
      <c r="E54" s="64">
        <v>2.72</v>
      </c>
      <c r="F54" s="64">
        <v>15.74</v>
      </c>
      <c r="G54" s="64">
        <v>81.709999999999994</v>
      </c>
      <c r="H54" s="64">
        <v>42.72</v>
      </c>
      <c r="I54" s="64">
        <v>1.44</v>
      </c>
      <c r="J54" s="64">
        <v>0.81</v>
      </c>
      <c r="K54" s="64">
        <v>124.86</v>
      </c>
      <c r="L54" s="64">
        <v>25.59</v>
      </c>
      <c r="M54" s="64">
        <v>43.62</v>
      </c>
      <c r="N54" s="64">
        <v>619.9</v>
      </c>
      <c r="O54" s="64">
        <v>0</v>
      </c>
      <c r="P54" s="64">
        <v>0.82</v>
      </c>
      <c r="Q54" s="64">
        <v>5.71</v>
      </c>
      <c r="S54" s="198"/>
      <c r="T54" s="198"/>
      <c r="U54" s="198"/>
    </row>
    <row r="55" spans="1:21" s="12" customFormat="1" x14ac:dyDescent="0.25">
      <c r="A55" s="215" t="s">
        <v>2408</v>
      </c>
      <c r="B55" s="64">
        <v>1.93</v>
      </c>
      <c r="C55" s="64">
        <v>40.11</v>
      </c>
      <c r="D55" s="64">
        <v>24.34</v>
      </c>
      <c r="E55" s="64">
        <v>2.78</v>
      </c>
      <c r="F55" s="64">
        <v>17.399999999999999</v>
      </c>
      <c r="G55" s="64">
        <v>81.709999999999994</v>
      </c>
      <c r="H55" s="64">
        <v>42.72</v>
      </c>
      <c r="I55" s="64">
        <v>1.63</v>
      </c>
      <c r="J55" s="64">
        <v>0.61</v>
      </c>
      <c r="K55" s="64">
        <v>100.18</v>
      </c>
      <c r="L55" s="64">
        <v>26.17</v>
      </c>
      <c r="M55" s="64">
        <v>42.47</v>
      </c>
      <c r="N55" s="64">
        <v>628.1</v>
      </c>
      <c r="O55" s="64">
        <v>0</v>
      </c>
      <c r="P55" s="64">
        <v>0.77</v>
      </c>
      <c r="Q55" s="64">
        <v>5.7</v>
      </c>
      <c r="S55" s="198"/>
      <c r="T55" s="198"/>
      <c r="U55" s="198"/>
    </row>
    <row r="56" spans="1:21" s="12" customFormat="1" x14ac:dyDescent="0.25">
      <c r="A56" s="215" t="s">
        <v>2409</v>
      </c>
      <c r="B56" s="64">
        <v>1.98</v>
      </c>
      <c r="C56" s="64">
        <v>40.86</v>
      </c>
      <c r="D56" s="64">
        <v>24.78</v>
      </c>
      <c r="E56" s="64">
        <v>2.48</v>
      </c>
      <c r="F56" s="64">
        <v>10.56</v>
      </c>
      <c r="G56" s="64">
        <v>81.709999999999994</v>
      </c>
      <c r="H56" s="64">
        <v>42.72</v>
      </c>
      <c r="I56" s="64">
        <v>1.46</v>
      </c>
      <c r="J56" s="64">
        <v>0.71</v>
      </c>
      <c r="K56" s="64">
        <v>107.38</v>
      </c>
      <c r="L56" s="64">
        <v>26.64</v>
      </c>
      <c r="M56" s="64">
        <v>41.19</v>
      </c>
      <c r="N56" s="64">
        <v>618.20000000000005</v>
      </c>
      <c r="O56" s="64">
        <v>0</v>
      </c>
      <c r="P56" s="64">
        <v>0.79</v>
      </c>
      <c r="Q56" s="64">
        <v>5.58</v>
      </c>
      <c r="S56" s="198"/>
      <c r="T56" s="198"/>
      <c r="U56" s="198"/>
    </row>
    <row r="57" spans="1:21" s="12" customFormat="1" x14ac:dyDescent="0.25">
      <c r="A57" s="215" t="s">
        <v>2410</v>
      </c>
      <c r="B57" s="64">
        <v>2.06</v>
      </c>
      <c r="C57" s="64">
        <v>41.27</v>
      </c>
      <c r="D57" s="64">
        <v>25.07</v>
      </c>
      <c r="E57" s="64">
        <v>2.63</v>
      </c>
      <c r="F57" s="64">
        <v>8.0399999999999991</v>
      </c>
      <c r="G57" s="64">
        <v>77.34</v>
      </c>
      <c r="H57" s="64">
        <v>42.4</v>
      </c>
      <c r="I57" s="64">
        <v>1.53</v>
      </c>
      <c r="J57" s="64">
        <v>0.33</v>
      </c>
      <c r="K57" s="64">
        <v>100.83</v>
      </c>
      <c r="L57" s="64">
        <v>26.25</v>
      </c>
      <c r="M57" s="64">
        <v>40.83</v>
      </c>
      <c r="N57" s="64">
        <v>569</v>
      </c>
      <c r="O57" s="64">
        <v>0</v>
      </c>
      <c r="P57" s="64">
        <v>0.76</v>
      </c>
      <c r="Q57" s="64">
        <v>5.49</v>
      </c>
      <c r="S57" s="198"/>
      <c r="T57" s="198"/>
      <c r="U57" s="198"/>
    </row>
    <row r="58" spans="1:21" s="12" customFormat="1" x14ac:dyDescent="0.25">
      <c r="A58" s="215" t="s">
        <v>2411</v>
      </c>
      <c r="B58" s="64">
        <v>3.33</v>
      </c>
      <c r="C58" s="64">
        <v>37.65</v>
      </c>
      <c r="D58" s="64">
        <v>24.1</v>
      </c>
      <c r="E58" s="64">
        <v>2.57</v>
      </c>
      <c r="F58" s="64">
        <v>13.44</v>
      </c>
      <c r="G58" s="64">
        <v>74.290000000000006</v>
      </c>
      <c r="H58" s="64">
        <v>42.32</v>
      </c>
      <c r="I58" s="64">
        <v>1.5</v>
      </c>
      <c r="J58" s="64">
        <v>0.17</v>
      </c>
      <c r="K58" s="64">
        <v>63.44</v>
      </c>
      <c r="L58" s="64">
        <v>27.65</v>
      </c>
      <c r="M58" s="64">
        <v>37.86</v>
      </c>
      <c r="N58" s="64">
        <v>544.1</v>
      </c>
      <c r="O58" s="64">
        <v>0</v>
      </c>
      <c r="P58" s="64">
        <v>0.76</v>
      </c>
      <c r="Q58" s="64">
        <v>5.57</v>
      </c>
      <c r="S58" s="198"/>
      <c r="T58" s="198"/>
      <c r="U58" s="198"/>
    </row>
    <row r="59" spans="1:21" s="12" customFormat="1" x14ac:dyDescent="0.25">
      <c r="A59" s="215" t="s">
        <v>2412</v>
      </c>
      <c r="B59" s="64">
        <v>2.29</v>
      </c>
      <c r="C59" s="64">
        <v>42.34</v>
      </c>
      <c r="D59" s="64">
        <v>25.85</v>
      </c>
      <c r="E59" s="64">
        <v>2.4500000000000002</v>
      </c>
      <c r="F59" s="64">
        <v>7.3</v>
      </c>
      <c r="G59" s="64">
        <v>74.290000000000006</v>
      </c>
      <c r="H59" s="64">
        <v>42.32</v>
      </c>
      <c r="I59" s="64">
        <v>1.6</v>
      </c>
      <c r="J59" s="64">
        <v>0.62</v>
      </c>
      <c r="K59" s="64">
        <v>130.63999999999999</v>
      </c>
      <c r="L59" s="64">
        <v>26.69</v>
      </c>
      <c r="M59" s="64">
        <v>39.619999999999997</v>
      </c>
      <c r="N59" s="64">
        <v>562.9</v>
      </c>
      <c r="O59" s="64">
        <v>0</v>
      </c>
      <c r="P59" s="64">
        <v>0.75</v>
      </c>
      <c r="Q59" s="64">
        <v>5.54</v>
      </c>
      <c r="S59" s="198"/>
      <c r="T59" s="198"/>
      <c r="U59" s="198"/>
    </row>
    <row r="60" spans="1:21" s="12" customFormat="1" x14ac:dyDescent="0.25">
      <c r="A60" s="215" t="s">
        <v>2413</v>
      </c>
      <c r="B60" s="64">
        <v>2</v>
      </c>
      <c r="C60" s="64">
        <v>42.44</v>
      </c>
      <c r="D60" s="64">
        <v>25.67</v>
      </c>
      <c r="E60" s="64">
        <v>2.4300000000000002</v>
      </c>
      <c r="F60" s="64">
        <v>14.31</v>
      </c>
      <c r="G60" s="64">
        <v>74.290000000000006</v>
      </c>
      <c r="H60" s="64">
        <v>42.32</v>
      </c>
      <c r="I60" s="64">
        <v>1.47</v>
      </c>
      <c r="J60" s="64">
        <v>0.24</v>
      </c>
      <c r="K60" s="64">
        <v>337.01</v>
      </c>
      <c r="L60" s="64">
        <v>28.36</v>
      </c>
      <c r="M60" s="64">
        <v>37.11</v>
      </c>
      <c r="N60" s="64">
        <v>543.79999999999995</v>
      </c>
      <c r="O60" s="64">
        <v>0</v>
      </c>
      <c r="P60" s="64">
        <v>0.71</v>
      </c>
      <c r="Q60" s="64">
        <v>5.46</v>
      </c>
      <c r="S60" s="198"/>
      <c r="T60" s="198"/>
      <c r="U60" s="198"/>
    </row>
    <row r="61" spans="1:21" s="12" customFormat="1" x14ac:dyDescent="0.25">
      <c r="A61" s="215" t="s">
        <v>2414</v>
      </c>
      <c r="B61" s="64">
        <v>1.99</v>
      </c>
      <c r="C61" s="64">
        <v>44.28</v>
      </c>
      <c r="D61" s="64">
        <v>26.68</v>
      </c>
      <c r="E61" s="64">
        <v>2.4900000000000002</v>
      </c>
      <c r="F61" s="64">
        <v>10.6</v>
      </c>
      <c r="G61" s="64">
        <v>69.819999999999993</v>
      </c>
      <c r="H61" s="64">
        <v>39.880000000000003</v>
      </c>
      <c r="I61" s="64">
        <v>1.53</v>
      </c>
      <c r="J61" s="64">
        <v>0.23</v>
      </c>
      <c r="K61" s="64">
        <v>47.81</v>
      </c>
      <c r="L61" s="64">
        <v>28.38</v>
      </c>
      <c r="M61" s="64">
        <v>37.549999999999997</v>
      </c>
      <c r="N61" s="64">
        <v>527.4</v>
      </c>
      <c r="O61" s="64">
        <v>0</v>
      </c>
      <c r="P61" s="64">
        <v>0.71</v>
      </c>
      <c r="Q61" s="64">
        <v>5.44</v>
      </c>
      <c r="S61" s="198"/>
      <c r="T61" s="198"/>
      <c r="U61" s="198"/>
    </row>
    <row r="62" spans="1:21" s="12" customFormat="1" x14ac:dyDescent="0.25">
      <c r="A62" s="215" t="s">
        <v>2415</v>
      </c>
      <c r="B62" s="64">
        <v>3.09</v>
      </c>
      <c r="C62" s="64">
        <v>44.13</v>
      </c>
      <c r="D62" s="64">
        <v>27.48</v>
      </c>
      <c r="E62" s="64">
        <v>2.56</v>
      </c>
      <c r="F62" s="64">
        <v>8.77</v>
      </c>
      <c r="G62" s="64">
        <v>66.69</v>
      </c>
      <c r="H62" s="64">
        <v>38.700000000000003</v>
      </c>
      <c r="I62" s="64">
        <v>1.52</v>
      </c>
      <c r="J62" s="64">
        <v>0.28999999999999998</v>
      </c>
      <c r="K62" s="64">
        <v>352.72</v>
      </c>
      <c r="L62" s="64">
        <v>28.01</v>
      </c>
      <c r="M62" s="64">
        <v>37.549999999999997</v>
      </c>
      <c r="N62" s="64">
        <v>477</v>
      </c>
      <c r="O62" s="64">
        <v>0</v>
      </c>
      <c r="P62" s="64">
        <v>0.73</v>
      </c>
      <c r="Q62" s="64">
        <v>5.4</v>
      </c>
      <c r="S62" s="198"/>
      <c r="T62" s="198"/>
      <c r="U62" s="198"/>
    </row>
    <row r="63" spans="1:21" s="12" customFormat="1" x14ac:dyDescent="0.25">
      <c r="A63" s="215" t="s">
        <v>2416</v>
      </c>
      <c r="B63" s="64">
        <v>3.03</v>
      </c>
      <c r="C63" s="64">
        <v>41.82</v>
      </c>
      <c r="D63" s="64">
        <v>26.15</v>
      </c>
      <c r="E63" s="64">
        <v>2.75</v>
      </c>
      <c r="F63" s="64">
        <v>10.16</v>
      </c>
      <c r="G63" s="64">
        <v>66.69</v>
      </c>
      <c r="H63" s="64">
        <v>38.700000000000003</v>
      </c>
      <c r="I63" s="64">
        <v>1.49</v>
      </c>
      <c r="J63" s="64">
        <v>0.31</v>
      </c>
      <c r="K63" s="64">
        <v>1.99</v>
      </c>
      <c r="L63" s="64">
        <v>27.72</v>
      </c>
      <c r="M63" s="64">
        <v>37.75</v>
      </c>
      <c r="N63" s="64">
        <v>296.7</v>
      </c>
      <c r="O63" s="64">
        <v>0</v>
      </c>
      <c r="P63" s="64">
        <v>0.74</v>
      </c>
      <c r="Q63" s="64">
        <v>5.48</v>
      </c>
      <c r="S63" s="198"/>
      <c r="T63" s="198"/>
      <c r="U63" s="198"/>
    </row>
    <row r="64" spans="1:21" s="12" customFormat="1" x14ac:dyDescent="0.25">
      <c r="A64" s="215" t="s">
        <v>2417</v>
      </c>
      <c r="B64" s="64">
        <v>3.32</v>
      </c>
      <c r="C64" s="64">
        <v>44.92</v>
      </c>
      <c r="D64" s="64">
        <v>28.1</v>
      </c>
      <c r="E64" s="64">
        <v>2.4500000000000002</v>
      </c>
      <c r="F64" s="64">
        <v>9.9600000000000009</v>
      </c>
      <c r="G64" s="64">
        <v>66.69</v>
      </c>
      <c r="H64" s="64">
        <v>38.700000000000003</v>
      </c>
      <c r="I64" s="64">
        <v>1.51</v>
      </c>
      <c r="J64" s="64">
        <v>0.2</v>
      </c>
      <c r="K64" s="64">
        <v>59.74</v>
      </c>
      <c r="L64" s="64">
        <v>28.04</v>
      </c>
      <c r="M64" s="64">
        <v>37.42</v>
      </c>
      <c r="N64" s="64">
        <v>242.5</v>
      </c>
      <c r="O64" s="64">
        <v>0</v>
      </c>
      <c r="P64" s="64">
        <v>0.75</v>
      </c>
      <c r="Q64" s="64">
        <v>5.45</v>
      </c>
      <c r="S64" s="198"/>
      <c r="T64" s="198"/>
      <c r="U64" s="198"/>
    </row>
    <row r="65" spans="1:21" s="12" customFormat="1" x14ac:dyDescent="0.25">
      <c r="A65" s="215" t="s">
        <v>2418</v>
      </c>
      <c r="B65" s="64">
        <v>2.99</v>
      </c>
      <c r="C65" s="64">
        <v>43.48</v>
      </c>
      <c r="D65" s="64">
        <v>27.04</v>
      </c>
      <c r="E65" s="64">
        <v>2.4700000000000002</v>
      </c>
      <c r="F65" s="64">
        <v>11.56</v>
      </c>
      <c r="G65" s="64">
        <v>63.59</v>
      </c>
      <c r="H65" s="64">
        <v>32.97</v>
      </c>
      <c r="I65" s="64">
        <v>1.54</v>
      </c>
      <c r="J65" s="64">
        <v>0.98</v>
      </c>
      <c r="K65" s="64">
        <v>105.36</v>
      </c>
      <c r="L65" s="64">
        <v>25.98</v>
      </c>
      <c r="M65" s="64">
        <v>40.159999999999997</v>
      </c>
      <c r="N65" s="64">
        <v>220</v>
      </c>
      <c r="O65" s="64">
        <v>0</v>
      </c>
      <c r="P65" s="64">
        <v>0.74</v>
      </c>
      <c r="Q65" s="64">
        <v>5.47</v>
      </c>
      <c r="S65" s="198"/>
      <c r="T65" s="198"/>
      <c r="U65" s="198"/>
    </row>
    <row r="66" spans="1:21" s="12" customFormat="1" x14ac:dyDescent="0.25">
      <c r="A66" s="215" t="s">
        <v>2419</v>
      </c>
      <c r="B66" s="64">
        <v>3.12</v>
      </c>
      <c r="C66" s="64">
        <v>45.02</v>
      </c>
      <c r="D66" s="64">
        <v>28</v>
      </c>
      <c r="E66" s="64">
        <v>2.5299999999999998</v>
      </c>
      <c r="F66" s="64">
        <v>12.59</v>
      </c>
      <c r="G66" s="64">
        <v>61.52</v>
      </c>
      <c r="H66" s="64">
        <v>31.57</v>
      </c>
      <c r="I66" s="64">
        <v>1.47</v>
      </c>
      <c r="J66" s="64">
        <v>0.17</v>
      </c>
      <c r="K66" s="64">
        <v>295.86</v>
      </c>
      <c r="L66" s="64">
        <v>26.72</v>
      </c>
      <c r="M66" s="64">
        <v>38.1</v>
      </c>
      <c r="N66" s="64">
        <v>194.9</v>
      </c>
      <c r="O66" s="64">
        <v>0</v>
      </c>
      <c r="P66" s="64">
        <v>0.75</v>
      </c>
      <c r="Q66" s="64">
        <v>5.4</v>
      </c>
      <c r="S66" s="198"/>
      <c r="T66" s="198"/>
      <c r="U66" s="198"/>
    </row>
    <row r="67" spans="1:21" s="12" customFormat="1" x14ac:dyDescent="0.25">
      <c r="A67" s="215" t="s">
        <v>2420</v>
      </c>
      <c r="B67" s="64">
        <v>2.8</v>
      </c>
      <c r="C67" s="64">
        <v>40.31</v>
      </c>
      <c r="D67" s="64">
        <v>25.14</v>
      </c>
      <c r="E67" s="64">
        <v>2.62</v>
      </c>
      <c r="F67" s="64">
        <v>19.350000000000001</v>
      </c>
      <c r="G67" s="64">
        <v>61.52</v>
      </c>
      <c r="H67" s="64">
        <v>31.57</v>
      </c>
      <c r="I67" s="64">
        <v>1.53</v>
      </c>
      <c r="J67" s="64">
        <v>0.44</v>
      </c>
      <c r="K67" s="64">
        <v>327.10000000000002</v>
      </c>
      <c r="L67" s="64">
        <v>27.29</v>
      </c>
      <c r="M67" s="64">
        <v>37.82</v>
      </c>
      <c r="N67" s="64">
        <v>195.8</v>
      </c>
      <c r="O67" s="64">
        <v>0</v>
      </c>
      <c r="P67" s="64">
        <v>0.75</v>
      </c>
      <c r="Q67" s="64">
        <v>5.49</v>
      </c>
      <c r="S67" s="198"/>
      <c r="T67" s="198"/>
      <c r="U67" s="198"/>
    </row>
    <row r="68" spans="1:21" s="12" customFormat="1" x14ac:dyDescent="0.25">
      <c r="A68" s="215" t="s">
        <v>2421</v>
      </c>
      <c r="B68" s="64">
        <v>2.91</v>
      </c>
      <c r="C68" s="64">
        <v>39.69</v>
      </c>
      <c r="D68" s="64">
        <v>24.88</v>
      </c>
      <c r="E68" s="64">
        <v>2.88</v>
      </c>
      <c r="F68" s="64">
        <v>27.42</v>
      </c>
      <c r="G68" s="64">
        <v>61.52</v>
      </c>
      <c r="H68" s="64">
        <v>31.57</v>
      </c>
      <c r="I68" s="64">
        <v>1.52</v>
      </c>
      <c r="J68" s="64">
        <v>0.05</v>
      </c>
      <c r="K68" s="64">
        <v>34.979999999999997</v>
      </c>
      <c r="L68" s="64">
        <v>26.71</v>
      </c>
      <c r="M68" s="64">
        <v>38.11</v>
      </c>
      <c r="N68" s="64">
        <v>158.6</v>
      </c>
      <c r="O68" s="64">
        <v>0</v>
      </c>
      <c r="P68" s="64">
        <v>0.71</v>
      </c>
      <c r="Q68" s="64">
        <v>5.78</v>
      </c>
      <c r="S68" s="198"/>
      <c r="T68" s="198"/>
      <c r="U68" s="198"/>
    </row>
    <row r="69" spans="1:21" s="12" customFormat="1" x14ac:dyDescent="0.25">
      <c r="A69" s="215" t="s">
        <v>2422</v>
      </c>
      <c r="B69" s="64">
        <v>3.22</v>
      </c>
      <c r="C69" s="64">
        <v>39.72</v>
      </c>
      <c r="D69" s="64">
        <v>25.15</v>
      </c>
      <c r="E69" s="64">
        <v>2.98</v>
      </c>
      <c r="F69" s="64">
        <v>27.14</v>
      </c>
      <c r="G69" s="64">
        <v>53.44</v>
      </c>
      <c r="H69" s="64">
        <v>33.700000000000003</v>
      </c>
      <c r="I69" s="64">
        <v>1.51</v>
      </c>
      <c r="J69" s="64">
        <v>0.09</v>
      </c>
      <c r="K69" s="64">
        <v>356.81</v>
      </c>
      <c r="L69" s="64">
        <v>26.5</v>
      </c>
      <c r="M69" s="64">
        <v>38.94</v>
      </c>
      <c r="N69" s="64">
        <v>140.80000000000001</v>
      </c>
      <c r="O69" s="64">
        <v>0</v>
      </c>
      <c r="P69" s="64">
        <v>0.7</v>
      </c>
      <c r="Q69" s="64">
        <v>5.65</v>
      </c>
      <c r="S69" s="198"/>
      <c r="T69" s="198"/>
      <c r="U69" s="198"/>
    </row>
    <row r="70" spans="1:21" s="12" customFormat="1" x14ac:dyDescent="0.25">
      <c r="A70" s="215" t="s">
        <v>2423</v>
      </c>
      <c r="B70" s="64">
        <v>4.45</v>
      </c>
      <c r="C70" s="64">
        <v>51.67</v>
      </c>
      <c r="D70" s="64">
        <v>32.729999999999997</v>
      </c>
      <c r="E70" s="64">
        <v>3</v>
      </c>
      <c r="F70" s="64">
        <v>18.39</v>
      </c>
      <c r="G70" s="64">
        <v>48.06</v>
      </c>
      <c r="H70" s="64">
        <v>34.22</v>
      </c>
      <c r="I70" s="64">
        <v>1.56</v>
      </c>
      <c r="J70" s="64">
        <v>0.25</v>
      </c>
      <c r="K70" s="64">
        <v>321.58999999999997</v>
      </c>
      <c r="L70" s="64">
        <v>26.67</v>
      </c>
      <c r="M70" s="64">
        <v>38.04</v>
      </c>
      <c r="N70" s="64">
        <v>120.8</v>
      </c>
      <c r="O70" s="64">
        <v>0</v>
      </c>
      <c r="P70" s="64">
        <v>0.85</v>
      </c>
      <c r="Q70" s="64">
        <v>5.28</v>
      </c>
      <c r="S70" s="198"/>
      <c r="T70" s="198"/>
      <c r="U70" s="198"/>
    </row>
    <row r="71" spans="1:21" s="12" customFormat="1" x14ac:dyDescent="0.25">
      <c r="A71" s="215" t="s">
        <v>2424</v>
      </c>
      <c r="B71" s="64">
        <v>4.45</v>
      </c>
      <c r="C71" s="64">
        <v>50.98</v>
      </c>
      <c r="D71" s="64">
        <v>32.35</v>
      </c>
      <c r="E71" s="64">
        <v>3.07</v>
      </c>
      <c r="F71" s="64">
        <v>17.059999999999999</v>
      </c>
      <c r="G71" s="64">
        <v>48.06</v>
      </c>
      <c r="H71" s="64">
        <v>34.22</v>
      </c>
      <c r="I71" s="64">
        <v>1.48</v>
      </c>
      <c r="J71" s="64">
        <v>0.09</v>
      </c>
      <c r="K71" s="64">
        <v>313.99</v>
      </c>
      <c r="L71" s="64">
        <v>26.35</v>
      </c>
      <c r="M71" s="64">
        <v>38.31</v>
      </c>
      <c r="N71" s="64">
        <v>105</v>
      </c>
      <c r="O71" s="64">
        <v>0</v>
      </c>
      <c r="P71" s="64">
        <v>0.91</v>
      </c>
      <c r="Q71" s="64">
        <v>4.8499999999999996</v>
      </c>
      <c r="S71" s="198"/>
      <c r="T71" s="198"/>
      <c r="U71" s="198"/>
    </row>
    <row r="72" spans="1:21" s="12" customFormat="1" x14ac:dyDescent="0.25">
      <c r="A72" s="215" t="s">
        <v>2425</v>
      </c>
      <c r="B72" s="64">
        <v>3.43</v>
      </c>
      <c r="C72" s="64">
        <v>45.02</v>
      </c>
      <c r="D72" s="64">
        <v>28.24</v>
      </c>
      <c r="E72" s="64">
        <v>2.67</v>
      </c>
      <c r="F72" s="64">
        <v>23.18</v>
      </c>
      <c r="G72" s="64">
        <v>48.06</v>
      </c>
      <c r="H72" s="64">
        <v>34.22</v>
      </c>
      <c r="I72" s="64">
        <v>1.49</v>
      </c>
      <c r="J72" s="64">
        <v>0.13</v>
      </c>
      <c r="K72" s="64">
        <v>135.22</v>
      </c>
      <c r="L72" s="64">
        <v>25.54</v>
      </c>
      <c r="M72" s="64">
        <v>39.33</v>
      </c>
      <c r="N72" s="64">
        <v>92</v>
      </c>
      <c r="O72" s="64">
        <v>0</v>
      </c>
      <c r="P72" s="64">
        <v>0.78</v>
      </c>
      <c r="Q72" s="64">
        <v>5.51</v>
      </c>
      <c r="S72" s="198"/>
      <c r="T72" s="198"/>
      <c r="U72" s="198"/>
    </row>
    <row r="73" spans="1:21" s="12" customFormat="1" x14ac:dyDescent="0.25">
      <c r="A73" s="215" t="s">
        <v>2426</v>
      </c>
      <c r="B73" s="64">
        <v>3.13</v>
      </c>
      <c r="C73" s="64">
        <v>49.08</v>
      </c>
      <c r="D73" s="64">
        <v>30.24</v>
      </c>
      <c r="E73" s="64">
        <v>3.49</v>
      </c>
      <c r="F73" s="64">
        <v>37.01</v>
      </c>
      <c r="G73" s="64">
        <v>60.52</v>
      </c>
      <c r="H73" s="64">
        <v>35.700000000000003</v>
      </c>
      <c r="I73" s="64">
        <v>1.54</v>
      </c>
      <c r="J73" s="64">
        <v>0.09</v>
      </c>
      <c r="K73" s="64">
        <v>105.91</v>
      </c>
      <c r="L73" s="64">
        <v>25.24</v>
      </c>
      <c r="M73" s="64">
        <v>40.450000000000003</v>
      </c>
      <c r="N73" s="64">
        <v>74.7</v>
      </c>
      <c r="O73" s="64">
        <v>0</v>
      </c>
      <c r="P73" s="64">
        <v>0.77</v>
      </c>
      <c r="Q73" s="64">
        <v>5.79</v>
      </c>
      <c r="S73" s="198"/>
      <c r="T73" s="198"/>
      <c r="U73" s="198"/>
    </row>
    <row r="74" spans="1:21" s="12" customFormat="1" x14ac:dyDescent="0.25">
      <c r="A74" s="215" t="s">
        <v>2427</v>
      </c>
      <c r="B74" s="64">
        <v>3.59</v>
      </c>
      <c r="C74" s="64">
        <v>43.75</v>
      </c>
      <c r="D74" s="64">
        <v>27.67</v>
      </c>
      <c r="E74" s="64">
        <v>3.57</v>
      </c>
      <c r="F74" s="64">
        <v>30.37</v>
      </c>
      <c r="G74" s="64">
        <v>68.819999999999993</v>
      </c>
      <c r="H74" s="64">
        <v>36.07</v>
      </c>
      <c r="I74" s="64">
        <v>1.51</v>
      </c>
      <c r="J74" s="64">
        <v>0.1</v>
      </c>
      <c r="K74" s="64">
        <v>83.01</v>
      </c>
      <c r="L74" s="64">
        <v>24.86</v>
      </c>
      <c r="M74" s="64">
        <v>43.47</v>
      </c>
      <c r="N74" s="64">
        <v>60.2</v>
      </c>
      <c r="O74" s="64">
        <v>0</v>
      </c>
      <c r="P74" s="64">
        <v>0.79</v>
      </c>
      <c r="Q74" s="64">
        <v>5.67</v>
      </c>
      <c r="S74" s="198"/>
      <c r="T74" s="198"/>
      <c r="U74" s="198"/>
    </row>
    <row r="75" spans="1:21" s="12" customFormat="1" x14ac:dyDescent="0.25">
      <c r="A75" s="215" t="s">
        <v>2428</v>
      </c>
      <c r="B75" s="64">
        <v>3.56</v>
      </c>
      <c r="C75" s="64">
        <v>46.53</v>
      </c>
      <c r="D75" s="64">
        <v>29.18</v>
      </c>
      <c r="E75" s="64">
        <v>3.62</v>
      </c>
      <c r="F75" s="64">
        <v>32.99</v>
      </c>
      <c r="G75" s="64">
        <v>68.819999999999993</v>
      </c>
      <c r="H75" s="64">
        <v>36.07</v>
      </c>
      <c r="I75" s="64">
        <v>1.52</v>
      </c>
      <c r="J75" s="64">
        <v>7.0000000000000007E-2</v>
      </c>
      <c r="K75" s="64">
        <v>278.98</v>
      </c>
      <c r="L75" s="64">
        <v>24.37</v>
      </c>
      <c r="M75" s="64">
        <v>44.69</v>
      </c>
      <c r="N75" s="64">
        <v>47.9</v>
      </c>
      <c r="O75" s="64">
        <v>0</v>
      </c>
      <c r="P75" s="64">
        <v>0.76</v>
      </c>
      <c r="Q75" s="64">
        <v>5.72</v>
      </c>
      <c r="S75" s="198"/>
      <c r="T75" s="198"/>
      <c r="U75" s="198"/>
    </row>
    <row r="76" spans="1:21" s="12" customFormat="1" x14ac:dyDescent="0.25">
      <c r="A76" s="215" t="s">
        <v>2429</v>
      </c>
      <c r="B76" s="64">
        <v>3.82</v>
      </c>
      <c r="C76" s="64">
        <v>61.49</v>
      </c>
      <c r="D76" s="64">
        <v>37.64</v>
      </c>
      <c r="E76" s="64">
        <v>3.5</v>
      </c>
      <c r="F76" s="64">
        <v>22.15</v>
      </c>
      <c r="G76" s="64">
        <v>68.819999999999993</v>
      </c>
      <c r="H76" s="64">
        <v>36.07</v>
      </c>
      <c r="I76" s="64">
        <v>1.35</v>
      </c>
      <c r="J76" s="64">
        <v>0.1</v>
      </c>
      <c r="K76" s="64">
        <v>95.3</v>
      </c>
      <c r="L76" s="64">
        <v>23.77</v>
      </c>
      <c r="M76" s="64">
        <v>46.78</v>
      </c>
      <c r="N76" s="64">
        <v>36.9</v>
      </c>
      <c r="O76" s="64">
        <v>0</v>
      </c>
      <c r="P76" s="64">
        <v>0.89</v>
      </c>
      <c r="Q76" s="64">
        <v>5.09</v>
      </c>
      <c r="S76" s="198"/>
      <c r="T76" s="198"/>
      <c r="U76" s="198"/>
    </row>
    <row r="77" spans="1:21" s="12" customFormat="1" x14ac:dyDescent="0.25">
      <c r="A77" s="215" t="s">
        <v>2430</v>
      </c>
      <c r="B77" s="64">
        <v>2.99</v>
      </c>
      <c r="C77" s="64">
        <v>83.79</v>
      </c>
      <c r="D77" s="64">
        <v>49.29</v>
      </c>
      <c r="E77" s="64">
        <v>4.87</v>
      </c>
      <c r="F77" s="64">
        <v>33.619999999999997</v>
      </c>
      <c r="G77" s="64">
        <v>59.85</v>
      </c>
      <c r="H77" s="64">
        <v>33.96</v>
      </c>
      <c r="I77" s="64">
        <v>1.5</v>
      </c>
      <c r="J77" s="64">
        <v>0.08</v>
      </c>
      <c r="K77" s="64">
        <v>112.41</v>
      </c>
      <c r="L77" s="64">
        <v>23.47</v>
      </c>
      <c r="M77" s="64">
        <v>47.63</v>
      </c>
      <c r="N77" s="64">
        <v>29.4</v>
      </c>
      <c r="O77" s="64">
        <v>0</v>
      </c>
      <c r="P77" s="64">
        <v>0.96</v>
      </c>
      <c r="Q77" s="64">
        <v>4.1500000000000004</v>
      </c>
      <c r="S77" s="198"/>
      <c r="T77" s="198"/>
      <c r="U77" s="198"/>
    </row>
    <row r="78" spans="1:21" s="12" customFormat="1" x14ac:dyDescent="0.25">
      <c r="A78" s="215" t="s">
        <v>2431</v>
      </c>
      <c r="B78" s="64">
        <v>3.2</v>
      </c>
      <c r="C78" s="64">
        <v>66.040000000000006</v>
      </c>
      <c r="D78" s="64">
        <v>39.659999999999997</v>
      </c>
      <c r="E78" s="64">
        <v>3.97</v>
      </c>
      <c r="F78" s="64">
        <v>15.12</v>
      </c>
      <c r="G78" s="64">
        <v>53.87</v>
      </c>
      <c r="H78" s="64">
        <v>33.04</v>
      </c>
      <c r="I78" s="64">
        <v>1.51</v>
      </c>
      <c r="J78" s="64">
        <v>0</v>
      </c>
      <c r="K78" s="64">
        <v>82.58</v>
      </c>
      <c r="L78" s="64">
        <v>22.95</v>
      </c>
      <c r="M78" s="64">
        <v>51.11</v>
      </c>
      <c r="N78" s="64">
        <v>26.7</v>
      </c>
      <c r="O78" s="64">
        <v>0</v>
      </c>
      <c r="P78" s="64">
        <v>0.98</v>
      </c>
      <c r="Q78" s="64">
        <v>4.67</v>
      </c>
      <c r="S78" s="198"/>
      <c r="T78" s="198"/>
      <c r="U78" s="198"/>
    </row>
    <row r="79" spans="1:21" s="12" customFormat="1" x14ac:dyDescent="0.25">
      <c r="A79" s="215" t="s">
        <v>2432</v>
      </c>
      <c r="B79" s="64">
        <v>10.08</v>
      </c>
      <c r="C79" s="64">
        <v>75.25</v>
      </c>
      <c r="D79" s="64">
        <v>50.26</v>
      </c>
      <c r="E79" s="64">
        <v>3.59</v>
      </c>
      <c r="F79" s="64">
        <v>7.34</v>
      </c>
      <c r="G79" s="64">
        <v>53.87</v>
      </c>
      <c r="H79" s="64">
        <v>33.04</v>
      </c>
      <c r="I79" s="64">
        <v>1.55</v>
      </c>
      <c r="J79" s="64">
        <v>0.11</v>
      </c>
      <c r="K79" s="64">
        <v>311.01</v>
      </c>
      <c r="L79" s="64">
        <v>22.36</v>
      </c>
      <c r="M79" s="64">
        <v>55.86</v>
      </c>
      <c r="N79" s="64">
        <v>26.3</v>
      </c>
      <c r="O79" s="64">
        <v>0</v>
      </c>
      <c r="P79" s="64">
        <v>1.1100000000000001</v>
      </c>
      <c r="Q79" s="64">
        <v>3.95</v>
      </c>
      <c r="S79" s="198"/>
      <c r="T79" s="198"/>
      <c r="U79" s="198"/>
    </row>
    <row r="80" spans="1:21" s="12" customFormat="1" x14ac:dyDescent="0.25">
      <c r="A80" s="215" t="s">
        <v>2433</v>
      </c>
      <c r="B80" s="64">
        <v>23.84</v>
      </c>
      <c r="C80" s="64">
        <v>76.3</v>
      </c>
      <c r="D80" s="64">
        <v>61.87</v>
      </c>
      <c r="E80" s="64">
        <v>3.34</v>
      </c>
      <c r="F80" s="64">
        <v>4.03</v>
      </c>
      <c r="G80" s="64">
        <v>53.87</v>
      </c>
      <c r="H80" s="64">
        <v>33.04</v>
      </c>
      <c r="I80" s="64">
        <v>1.48</v>
      </c>
      <c r="J80" s="64">
        <v>0.18</v>
      </c>
      <c r="K80" s="64">
        <v>1.93</v>
      </c>
      <c r="L80" s="64">
        <v>21.91</v>
      </c>
      <c r="M80" s="64">
        <v>65.34</v>
      </c>
      <c r="N80" s="64">
        <v>26.4</v>
      </c>
      <c r="O80" s="64">
        <v>0</v>
      </c>
      <c r="P80" s="64">
        <v>1.81</v>
      </c>
      <c r="Q80" s="64">
        <v>2.73</v>
      </c>
      <c r="S80" s="198"/>
      <c r="T80" s="198"/>
      <c r="U80" s="198"/>
    </row>
    <row r="81" spans="1:26" s="12" customFormat="1" x14ac:dyDescent="0.25">
      <c r="A81" s="215" t="s">
        <v>2434</v>
      </c>
      <c r="B81" s="64">
        <v>15.27</v>
      </c>
      <c r="C81" s="64">
        <v>71.22</v>
      </c>
      <c r="D81" s="64">
        <v>52.19</v>
      </c>
      <c r="E81" s="64">
        <v>3.21</v>
      </c>
      <c r="F81" s="64">
        <v>5.14</v>
      </c>
      <c r="G81" s="64">
        <v>115.84</v>
      </c>
      <c r="H81" s="64">
        <v>39.72</v>
      </c>
      <c r="I81" s="64">
        <v>1.54</v>
      </c>
      <c r="J81" s="64">
        <v>0.04</v>
      </c>
      <c r="K81" s="64">
        <v>343.42</v>
      </c>
      <c r="L81" s="64">
        <v>21.36</v>
      </c>
      <c r="M81" s="64">
        <v>62.55</v>
      </c>
      <c r="N81" s="64">
        <v>26.2</v>
      </c>
      <c r="O81" s="64">
        <v>0</v>
      </c>
      <c r="P81" s="64">
        <v>1.6</v>
      </c>
      <c r="Q81" s="64">
        <v>3.48</v>
      </c>
      <c r="S81" s="198"/>
      <c r="T81" s="198"/>
      <c r="U81" s="198"/>
    </row>
    <row r="82" spans="1:26" s="12" customFormat="1" x14ac:dyDescent="0.25">
      <c r="A82" s="215" t="s">
        <v>2435</v>
      </c>
      <c r="B82" s="64">
        <v>15.39</v>
      </c>
      <c r="C82" s="64">
        <v>75.92</v>
      </c>
      <c r="D82" s="64">
        <v>54.89</v>
      </c>
      <c r="E82" s="64">
        <v>3.2</v>
      </c>
      <c r="F82" s="64">
        <v>6.2</v>
      </c>
      <c r="G82" s="64">
        <v>157.15</v>
      </c>
      <c r="H82" s="64">
        <v>41.35</v>
      </c>
      <c r="I82" s="64">
        <v>1.48</v>
      </c>
      <c r="J82" s="64">
        <v>0.12</v>
      </c>
      <c r="K82" s="64">
        <v>71.73</v>
      </c>
      <c r="L82" s="64">
        <v>21.61</v>
      </c>
      <c r="M82" s="64">
        <v>58.06</v>
      </c>
      <c r="N82" s="64">
        <v>25.6</v>
      </c>
      <c r="O82" s="64">
        <v>0</v>
      </c>
      <c r="P82" s="64">
        <v>1.74</v>
      </c>
      <c r="Q82" s="64">
        <v>4.29</v>
      </c>
      <c r="S82" s="198"/>
      <c r="T82" s="198"/>
      <c r="U82" s="198"/>
    </row>
    <row r="83" spans="1:26" s="12" customFormat="1" x14ac:dyDescent="0.25">
      <c r="A83" s="215" t="s">
        <v>2436</v>
      </c>
      <c r="B83" s="64">
        <v>10.73</v>
      </c>
      <c r="C83" s="64">
        <v>67.150000000000006</v>
      </c>
      <c r="D83" s="64">
        <v>46.31</v>
      </c>
      <c r="E83" s="64">
        <v>3.17</v>
      </c>
      <c r="F83" s="64">
        <v>12.2</v>
      </c>
      <c r="G83" s="64">
        <v>157.15</v>
      </c>
      <c r="H83" s="64">
        <v>41.35</v>
      </c>
      <c r="I83" s="64">
        <v>1.49</v>
      </c>
      <c r="J83" s="64">
        <v>0.15</v>
      </c>
      <c r="K83" s="64">
        <v>72.53</v>
      </c>
      <c r="L83" s="64">
        <v>21.91</v>
      </c>
      <c r="M83" s="64">
        <v>54.74</v>
      </c>
      <c r="N83" s="64">
        <v>25.9</v>
      </c>
      <c r="O83" s="64">
        <v>0</v>
      </c>
      <c r="P83" s="64">
        <v>1.46</v>
      </c>
      <c r="Q83" s="64">
        <v>5.48</v>
      </c>
      <c r="S83" s="198"/>
      <c r="T83" s="198"/>
      <c r="U83" s="198"/>
    </row>
    <row r="84" spans="1:26" s="12" customFormat="1" x14ac:dyDescent="0.25">
      <c r="A84" s="215" t="s">
        <v>2437</v>
      </c>
      <c r="B84" s="64">
        <v>11.44</v>
      </c>
      <c r="C84" s="64">
        <v>72.760000000000005</v>
      </c>
      <c r="D84" s="64">
        <v>49.97</v>
      </c>
      <c r="E84" s="64">
        <v>3.16</v>
      </c>
      <c r="F84" s="64">
        <v>7.64</v>
      </c>
      <c r="G84" s="64">
        <v>157.15</v>
      </c>
      <c r="H84" s="64">
        <v>41.35</v>
      </c>
      <c r="I84" s="64">
        <v>1.52</v>
      </c>
      <c r="J84" s="64">
        <v>0.23</v>
      </c>
      <c r="K84" s="64">
        <v>83.13</v>
      </c>
      <c r="L84" s="64">
        <v>21.87</v>
      </c>
      <c r="M84" s="64">
        <v>56.08</v>
      </c>
      <c r="N84" s="64">
        <v>25.8</v>
      </c>
      <c r="O84" s="64">
        <v>0</v>
      </c>
      <c r="P84" s="64">
        <v>1.73</v>
      </c>
      <c r="Q84" s="64">
        <v>5.48</v>
      </c>
      <c r="S84" s="198"/>
      <c r="T84" s="198"/>
      <c r="U84" s="198"/>
    </row>
    <row r="85" spans="1:26" s="12" customFormat="1" x14ac:dyDescent="0.25">
      <c r="A85" s="215" t="s">
        <v>2438</v>
      </c>
      <c r="B85" s="64">
        <v>19.73</v>
      </c>
      <c r="C85" s="64">
        <v>84.73</v>
      </c>
      <c r="D85" s="64">
        <v>63.23</v>
      </c>
      <c r="E85" s="64">
        <v>3.1</v>
      </c>
      <c r="F85" s="64">
        <v>5.46</v>
      </c>
      <c r="G85" s="64">
        <v>137.04</v>
      </c>
      <c r="H85" s="64">
        <v>51.46</v>
      </c>
      <c r="I85" s="64">
        <v>1.51</v>
      </c>
      <c r="J85" s="64">
        <v>0.12</v>
      </c>
      <c r="K85" s="64">
        <v>343.96</v>
      </c>
      <c r="L85" s="64">
        <v>21.7</v>
      </c>
      <c r="M85" s="64">
        <v>56.91</v>
      </c>
      <c r="N85" s="64">
        <v>25.9</v>
      </c>
      <c r="O85" s="64">
        <v>0</v>
      </c>
      <c r="P85" s="64">
        <v>2.15</v>
      </c>
      <c r="Q85" s="64">
        <v>3.7</v>
      </c>
      <c r="S85" s="198"/>
      <c r="T85" s="198"/>
      <c r="U85" s="198"/>
    </row>
    <row r="86" spans="1:26" s="12" customFormat="1" x14ac:dyDescent="0.25">
      <c r="A86" s="215" t="s">
        <v>2439</v>
      </c>
      <c r="B86" s="64">
        <v>17.2</v>
      </c>
      <c r="C86" s="64">
        <v>63.17</v>
      </c>
      <c r="D86" s="64">
        <v>49.3</v>
      </c>
      <c r="E86" s="64">
        <v>2.87</v>
      </c>
      <c r="F86" s="64">
        <v>7.47</v>
      </c>
      <c r="G86" s="64">
        <v>123.63</v>
      </c>
      <c r="H86" s="64">
        <v>53.94</v>
      </c>
      <c r="I86" s="64">
        <v>1.47</v>
      </c>
      <c r="J86" s="64">
        <v>0.61</v>
      </c>
      <c r="K86" s="64">
        <v>346.09</v>
      </c>
      <c r="L86" s="64">
        <v>21.77</v>
      </c>
      <c r="M86" s="64">
        <v>54.53</v>
      </c>
      <c r="N86" s="64">
        <v>25.1</v>
      </c>
      <c r="O86" s="64">
        <v>0</v>
      </c>
      <c r="P86" s="64">
        <v>1.67</v>
      </c>
      <c r="Q86" s="64">
        <v>5.52</v>
      </c>
      <c r="S86" s="198"/>
      <c r="T86" s="198"/>
      <c r="U86" s="198"/>
    </row>
    <row r="87" spans="1:26" s="12" customFormat="1" x14ac:dyDescent="0.25">
      <c r="A87" s="215" t="s">
        <v>2440</v>
      </c>
      <c r="B87" s="64">
        <v>16.55</v>
      </c>
      <c r="C87" s="64">
        <v>62.87</v>
      </c>
      <c r="D87" s="64">
        <v>48.62</v>
      </c>
      <c r="E87" s="64">
        <v>2.81</v>
      </c>
      <c r="F87" s="64">
        <v>5.48</v>
      </c>
      <c r="G87" s="64">
        <v>123.63</v>
      </c>
      <c r="H87" s="64">
        <v>53.94</v>
      </c>
      <c r="I87" s="64">
        <v>1.48</v>
      </c>
      <c r="J87" s="64">
        <v>0.46</v>
      </c>
      <c r="K87" s="64">
        <v>344.35</v>
      </c>
      <c r="L87" s="64">
        <v>21.71</v>
      </c>
      <c r="M87" s="64">
        <v>55.02</v>
      </c>
      <c r="N87" s="64">
        <v>25.9</v>
      </c>
      <c r="O87" s="64">
        <v>0</v>
      </c>
      <c r="P87" s="64">
        <v>1.76</v>
      </c>
      <c r="Q87" s="64">
        <v>5.92</v>
      </c>
      <c r="S87" s="198"/>
      <c r="T87" s="198"/>
      <c r="U87" s="198"/>
    </row>
    <row r="88" spans="1:26" s="12" customFormat="1" x14ac:dyDescent="0.25">
      <c r="A88" s="215" t="s">
        <v>2441</v>
      </c>
      <c r="B88" s="64">
        <v>16.760000000000002</v>
      </c>
      <c r="C88" s="64">
        <v>64.47</v>
      </c>
      <c r="D88" s="64">
        <v>49.66</v>
      </c>
      <c r="E88" s="64">
        <v>2.48</v>
      </c>
      <c r="F88" s="64">
        <v>5.8</v>
      </c>
      <c r="G88" s="64">
        <v>123.63</v>
      </c>
      <c r="H88" s="64">
        <v>53.94</v>
      </c>
      <c r="I88" s="64">
        <v>1.54</v>
      </c>
      <c r="J88" s="64">
        <v>0.26</v>
      </c>
      <c r="K88" s="64">
        <v>340.21</v>
      </c>
      <c r="L88" s="64">
        <v>21.52</v>
      </c>
      <c r="M88" s="64">
        <v>55.76</v>
      </c>
      <c r="N88" s="64">
        <v>26.2</v>
      </c>
      <c r="O88" s="64">
        <v>0</v>
      </c>
      <c r="P88" s="64">
        <v>1.79</v>
      </c>
      <c r="Q88" s="64">
        <v>6.54</v>
      </c>
      <c r="S88" s="198"/>
      <c r="T88" s="198"/>
      <c r="U88" s="198"/>
    </row>
    <row r="89" spans="1:26" s="12" customFormat="1" x14ac:dyDescent="0.25">
      <c r="A89" s="215" t="s">
        <v>2442</v>
      </c>
      <c r="B89" s="64">
        <v>16.78</v>
      </c>
      <c r="C89" s="64">
        <v>72.19</v>
      </c>
      <c r="D89" s="64">
        <v>53.95</v>
      </c>
      <c r="E89" s="64">
        <v>2.78</v>
      </c>
      <c r="F89" s="64">
        <v>5.98</v>
      </c>
      <c r="G89" s="64">
        <v>134.09</v>
      </c>
      <c r="H89" s="64">
        <v>62.11</v>
      </c>
      <c r="I89" s="64">
        <v>1.45</v>
      </c>
      <c r="J89" s="64">
        <v>0.11</v>
      </c>
      <c r="K89" s="64">
        <v>69.290000000000006</v>
      </c>
      <c r="L89" s="64">
        <v>21.2</v>
      </c>
      <c r="M89" s="64">
        <v>56.44</v>
      </c>
      <c r="N89" s="64">
        <v>26.2</v>
      </c>
      <c r="O89" s="64">
        <v>0</v>
      </c>
      <c r="P89" s="64">
        <v>1.91</v>
      </c>
      <c r="Q89" s="64">
        <v>6.46</v>
      </c>
      <c r="S89" s="198"/>
      <c r="T89" s="198"/>
      <c r="U89" s="198"/>
    </row>
    <row r="90" spans="1:26" s="12" customFormat="1" x14ac:dyDescent="0.25">
      <c r="A90" s="215" t="s">
        <v>2443</v>
      </c>
      <c r="B90" s="64">
        <v>15.17</v>
      </c>
      <c r="C90" s="64">
        <v>65.430000000000007</v>
      </c>
      <c r="D90" s="64">
        <v>48.92</v>
      </c>
      <c r="E90" s="64">
        <v>2.74</v>
      </c>
      <c r="F90" s="64">
        <v>6.66</v>
      </c>
      <c r="G90" s="64">
        <v>141.06</v>
      </c>
      <c r="H90" s="64">
        <v>64.08</v>
      </c>
      <c r="I90" s="64">
        <v>1.53</v>
      </c>
      <c r="J90" s="64">
        <v>0.28000000000000003</v>
      </c>
      <c r="K90" s="64">
        <v>92.19</v>
      </c>
      <c r="L90" s="64">
        <v>21.08</v>
      </c>
      <c r="M90" s="64">
        <v>56.96</v>
      </c>
      <c r="N90" s="64">
        <v>26.1</v>
      </c>
      <c r="O90" s="64">
        <v>0</v>
      </c>
      <c r="P90" s="64">
        <v>1.82</v>
      </c>
      <c r="Q90" s="64">
        <v>6.77</v>
      </c>
      <c r="S90" s="198"/>
      <c r="T90" s="198"/>
      <c r="U90" s="198"/>
    </row>
    <row r="91" spans="1:26" s="12" customFormat="1" x14ac:dyDescent="0.25">
      <c r="A91" s="215" t="s">
        <v>2444</v>
      </c>
      <c r="B91" s="64">
        <v>14.38</v>
      </c>
      <c r="C91" s="64">
        <v>63.5</v>
      </c>
      <c r="D91" s="64">
        <v>47.22</v>
      </c>
      <c r="E91" s="64">
        <v>2.72</v>
      </c>
      <c r="F91" s="64">
        <v>6.24</v>
      </c>
      <c r="G91" s="64">
        <v>141.06</v>
      </c>
      <c r="H91" s="64">
        <v>64.08</v>
      </c>
      <c r="I91" s="64">
        <v>1.51</v>
      </c>
      <c r="J91" s="64">
        <v>0.14000000000000001</v>
      </c>
      <c r="K91" s="64">
        <v>85.28</v>
      </c>
      <c r="L91" s="64">
        <v>20.99</v>
      </c>
      <c r="M91" s="64">
        <v>56.61</v>
      </c>
      <c r="N91" s="64">
        <v>26.1</v>
      </c>
      <c r="O91" s="64">
        <v>0</v>
      </c>
      <c r="P91" s="64">
        <v>1.79</v>
      </c>
      <c r="Q91" s="64">
        <v>6.79</v>
      </c>
      <c r="S91" s="198"/>
      <c r="T91" s="198"/>
      <c r="U91" s="198"/>
    </row>
    <row r="92" spans="1:26" s="12" customFormat="1" x14ac:dyDescent="0.25">
      <c r="A92" s="215" t="s">
        <v>2445</v>
      </c>
      <c r="B92" s="64">
        <v>13.19</v>
      </c>
      <c r="C92" s="64">
        <v>61.85</v>
      </c>
      <c r="D92" s="64">
        <v>45.36</v>
      </c>
      <c r="E92" s="64">
        <v>2.72</v>
      </c>
      <c r="F92" s="64">
        <v>7.99</v>
      </c>
      <c r="G92" s="64">
        <v>141.06</v>
      </c>
      <c r="H92" s="64">
        <v>64.08</v>
      </c>
      <c r="I92" s="64">
        <v>1.56</v>
      </c>
      <c r="J92" s="64">
        <v>0.13</v>
      </c>
      <c r="K92" s="64">
        <v>86.78</v>
      </c>
      <c r="L92" s="64">
        <v>20.9</v>
      </c>
      <c r="M92" s="64">
        <v>56.07</v>
      </c>
      <c r="N92" s="64">
        <v>26</v>
      </c>
      <c r="O92" s="64">
        <v>0</v>
      </c>
      <c r="P92" s="64">
        <v>1.72</v>
      </c>
      <c r="Q92" s="64">
        <v>6.75</v>
      </c>
      <c r="S92" s="198"/>
      <c r="T92" s="198"/>
      <c r="U92" s="198"/>
    </row>
    <row r="93" spans="1:26" s="12" customFormat="1" x14ac:dyDescent="0.25">
      <c r="A93" s="215" t="s">
        <v>2446</v>
      </c>
      <c r="B93" s="64">
        <v>12.59</v>
      </c>
      <c r="C93" s="64">
        <v>62.58</v>
      </c>
      <c r="D93" s="64">
        <v>45.28</v>
      </c>
      <c r="E93" s="64">
        <v>2.71</v>
      </c>
      <c r="F93" s="64">
        <v>8.4700000000000006</v>
      </c>
      <c r="G93" s="64">
        <v>151.47</v>
      </c>
      <c r="H93" s="64">
        <v>79.25</v>
      </c>
      <c r="I93" s="64">
        <v>1.56</v>
      </c>
      <c r="J93" s="64">
        <v>0.17</v>
      </c>
      <c r="K93" s="64">
        <v>74.22</v>
      </c>
      <c r="L93" s="64">
        <v>20.74</v>
      </c>
      <c r="M93" s="64">
        <v>56.29</v>
      </c>
      <c r="N93" s="64">
        <v>26.2</v>
      </c>
      <c r="O93" s="64">
        <v>0</v>
      </c>
      <c r="P93" s="64">
        <v>1.7</v>
      </c>
      <c r="Q93" s="64">
        <v>6.67</v>
      </c>
      <c r="S93" s="198"/>
      <c r="T93" s="198"/>
      <c r="U93" s="198"/>
    </row>
    <row r="94" spans="1:26" s="12" customFormat="1" x14ac:dyDescent="0.25">
      <c r="A94" s="215" t="s">
        <v>2447</v>
      </c>
      <c r="B94" s="64">
        <v>11.56</v>
      </c>
      <c r="C94" s="64">
        <v>60.12</v>
      </c>
      <c r="D94" s="64">
        <v>43.1</v>
      </c>
      <c r="E94" s="64">
        <v>2.74</v>
      </c>
      <c r="F94" s="64">
        <v>6.62</v>
      </c>
      <c r="G94" s="64">
        <v>158.41</v>
      </c>
      <c r="H94" s="64">
        <v>85.83</v>
      </c>
      <c r="I94" s="64">
        <v>1.5</v>
      </c>
      <c r="J94" s="64">
        <v>0.18</v>
      </c>
      <c r="K94" s="64">
        <v>82.68</v>
      </c>
      <c r="L94" s="64">
        <v>20.5</v>
      </c>
      <c r="M94" s="64">
        <v>57.81</v>
      </c>
      <c r="N94" s="64">
        <v>26.3</v>
      </c>
      <c r="O94" s="64">
        <v>0</v>
      </c>
      <c r="P94" s="64">
        <v>1.7</v>
      </c>
      <c r="Q94" s="64">
        <v>6.63</v>
      </c>
      <c r="S94" s="198"/>
      <c r="T94" s="198"/>
      <c r="U94" s="198"/>
    </row>
    <row r="95" spans="1:26" s="12" customFormat="1" x14ac:dyDescent="0.25">
      <c r="A95" s="215" t="s">
        <v>2448</v>
      </c>
      <c r="B95" s="64">
        <v>10.91</v>
      </c>
      <c r="C95" s="64">
        <v>58.58</v>
      </c>
      <c r="D95" s="64">
        <v>41.73</v>
      </c>
      <c r="E95" s="64">
        <v>2.75</v>
      </c>
      <c r="F95" s="64">
        <v>7.07</v>
      </c>
      <c r="G95" s="64">
        <v>158.41</v>
      </c>
      <c r="H95" s="64">
        <v>85.83</v>
      </c>
      <c r="I95" s="64">
        <v>1.43</v>
      </c>
      <c r="J95" s="64">
        <v>0.32</v>
      </c>
      <c r="K95" s="64">
        <v>108.49</v>
      </c>
      <c r="L95" s="64">
        <v>20.43</v>
      </c>
      <c r="M95" s="64">
        <v>58.07</v>
      </c>
      <c r="N95" s="64">
        <v>25.9</v>
      </c>
      <c r="O95" s="64">
        <v>0</v>
      </c>
      <c r="P95" s="64">
        <v>1.67</v>
      </c>
      <c r="Q95" s="64">
        <v>6.53</v>
      </c>
      <c r="S95" s="198"/>
      <c r="T95" s="198"/>
      <c r="U95" s="198"/>
    </row>
    <row r="96" spans="1:26" s="12" customFormat="1" x14ac:dyDescent="0.25">
      <c r="A96" s="215" t="s">
        <v>2449</v>
      </c>
      <c r="B96" s="64">
        <v>9.91</v>
      </c>
      <c r="C96" s="64">
        <v>56.67</v>
      </c>
      <c r="D96" s="64">
        <v>39.869999999999997</v>
      </c>
      <c r="E96" s="64">
        <v>2.8</v>
      </c>
      <c r="F96" s="64">
        <v>7.05</v>
      </c>
      <c r="G96" s="64">
        <v>158.41</v>
      </c>
      <c r="H96" s="64">
        <v>85.83</v>
      </c>
      <c r="I96" s="64">
        <v>1.48</v>
      </c>
      <c r="J96" s="64">
        <v>0.22</v>
      </c>
      <c r="K96" s="64">
        <v>96.08</v>
      </c>
      <c r="L96" s="64">
        <v>20.48</v>
      </c>
      <c r="M96" s="64">
        <v>57.22</v>
      </c>
      <c r="N96" s="64">
        <v>26.1</v>
      </c>
      <c r="O96" s="64">
        <v>0</v>
      </c>
      <c r="P96" s="64">
        <v>1.61</v>
      </c>
      <c r="Q96" s="64">
        <v>6.49</v>
      </c>
      <c r="S96" s="198"/>
      <c r="T96" s="198"/>
      <c r="U96" s="198"/>
      <c r="Z96" s="109"/>
    </row>
    <row r="97" spans="1:33" s="12" customFormat="1" x14ac:dyDescent="0.25">
      <c r="A97" s="215" t="s">
        <v>2450</v>
      </c>
      <c r="B97" s="64">
        <v>9.6300000000000008</v>
      </c>
      <c r="C97" s="64">
        <v>63.73</v>
      </c>
      <c r="D97" s="64">
        <v>43.54</v>
      </c>
      <c r="E97" s="64">
        <v>2.74</v>
      </c>
      <c r="F97" s="64">
        <v>7.21</v>
      </c>
      <c r="G97" s="64">
        <v>178.61</v>
      </c>
      <c r="H97" s="64">
        <v>108.7</v>
      </c>
      <c r="I97" s="64">
        <v>1.48</v>
      </c>
      <c r="J97" s="64">
        <v>0.16</v>
      </c>
      <c r="K97" s="64">
        <v>119.17</v>
      </c>
      <c r="L97" s="64">
        <v>20.34</v>
      </c>
      <c r="M97" s="64">
        <v>57.64</v>
      </c>
      <c r="N97" s="64">
        <v>26.2</v>
      </c>
      <c r="O97" s="64">
        <v>0</v>
      </c>
      <c r="P97" s="64">
        <v>1.59</v>
      </c>
      <c r="Q97" s="64">
        <v>6.23</v>
      </c>
      <c r="S97" s="198"/>
      <c r="T97" s="198"/>
      <c r="U97" s="198"/>
    </row>
    <row r="98" spans="1:33" s="12" customFormat="1" x14ac:dyDescent="0.25">
      <c r="A98" s="215" t="s">
        <v>2451</v>
      </c>
      <c r="B98" s="64">
        <v>9.1</v>
      </c>
      <c r="C98" s="64">
        <v>58.84</v>
      </c>
      <c r="D98" s="64">
        <v>40.42</v>
      </c>
      <c r="E98" s="64">
        <v>2.72</v>
      </c>
      <c r="F98" s="64">
        <v>5.81</v>
      </c>
      <c r="G98" s="64">
        <v>192.08</v>
      </c>
      <c r="H98" s="64">
        <v>114.31</v>
      </c>
      <c r="I98" s="64">
        <v>1.54</v>
      </c>
      <c r="J98" s="64">
        <v>0.06</v>
      </c>
      <c r="K98" s="64">
        <v>26.08</v>
      </c>
      <c r="L98" s="64">
        <v>20.12</v>
      </c>
      <c r="M98" s="64">
        <v>60</v>
      </c>
      <c r="N98" s="64">
        <v>26.4</v>
      </c>
      <c r="O98" s="64">
        <v>0</v>
      </c>
      <c r="P98" s="64">
        <v>1.61</v>
      </c>
      <c r="Q98" s="64">
        <v>6.24</v>
      </c>
      <c r="S98" s="198"/>
      <c r="T98" s="198"/>
      <c r="U98" s="198"/>
    </row>
    <row r="99" spans="1:33" s="12" customFormat="1" x14ac:dyDescent="0.25">
      <c r="A99" s="215" t="s">
        <v>2452</v>
      </c>
      <c r="B99" s="64">
        <v>14.99</v>
      </c>
      <c r="C99" s="64">
        <v>61.69</v>
      </c>
      <c r="D99" s="64">
        <v>46.71</v>
      </c>
      <c r="E99" s="64">
        <v>2.69</v>
      </c>
      <c r="F99" s="64">
        <v>3.81</v>
      </c>
      <c r="G99" s="64">
        <v>192.08</v>
      </c>
      <c r="H99" s="64">
        <v>114.31</v>
      </c>
      <c r="I99" s="64">
        <v>1.53</v>
      </c>
      <c r="J99" s="64">
        <v>7.0000000000000007E-2</v>
      </c>
      <c r="K99" s="64">
        <v>166.41</v>
      </c>
      <c r="L99" s="64">
        <v>20</v>
      </c>
      <c r="M99" s="64">
        <v>60.56</v>
      </c>
      <c r="N99" s="64">
        <v>26.2</v>
      </c>
      <c r="O99" s="64">
        <v>0</v>
      </c>
      <c r="P99" s="64">
        <v>1.64</v>
      </c>
      <c r="Q99" s="64">
        <v>6.05</v>
      </c>
      <c r="S99" s="198"/>
      <c r="T99" s="198"/>
      <c r="U99" s="198"/>
    </row>
    <row r="100" spans="1:33" s="12" customFormat="1" x14ac:dyDescent="0.25">
      <c r="A100" s="215" t="s">
        <v>2453</v>
      </c>
      <c r="B100" s="64">
        <v>16.600000000000001</v>
      </c>
      <c r="C100" s="64">
        <v>62.04</v>
      </c>
      <c r="D100" s="64">
        <v>48.19</v>
      </c>
      <c r="E100" s="64">
        <v>2.75</v>
      </c>
      <c r="F100" s="64">
        <v>3.58</v>
      </c>
      <c r="G100" s="64">
        <v>192.08</v>
      </c>
      <c r="H100" s="64">
        <v>114.31</v>
      </c>
      <c r="I100" s="64">
        <v>1.48</v>
      </c>
      <c r="J100" s="64">
        <v>0.11</v>
      </c>
      <c r="K100" s="64">
        <v>275.91000000000003</v>
      </c>
      <c r="L100" s="64">
        <v>19.760000000000002</v>
      </c>
      <c r="M100" s="64">
        <v>62.4</v>
      </c>
      <c r="N100" s="64">
        <v>26.6</v>
      </c>
      <c r="O100" s="64">
        <v>0</v>
      </c>
      <c r="P100" s="64">
        <v>1.67</v>
      </c>
      <c r="Q100" s="64">
        <v>4.6500000000000004</v>
      </c>
      <c r="S100" s="198"/>
      <c r="T100" s="198"/>
      <c r="U100" s="198"/>
      <c r="AB100" s="110"/>
      <c r="AG100" s="109"/>
    </row>
    <row r="101" spans="1:33" s="12" customFormat="1" x14ac:dyDescent="0.25">
      <c r="A101" s="215" t="s">
        <v>2454</v>
      </c>
      <c r="B101" s="64">
        <v>12.24</v>
      </c>
      <c r="C101" s="64">
        <v>59.84</v>
      </c>
      <c r="D101" s="64">
        <v>43.49</v>
      </c>
      <c r="E101" s="64">
        <v>2.77</v>
      </c>
      <c r="F101" s="64">
        <v>4.03</v>
      </c>
      <c r="G101" s="64">
        <v>201.99</v>
      </c>
      <c r="H101" s="64">
        <v>131.24</v>
      </c>
      <c r="I101" s="64">
        <v>1.53</v>
      </c>
      <c r="J101" s="64">
        <v>0.22</v>
      </c>
      <c r="K101" s="64">
        <v>111.05</v>
      </c>
      <c r="L101" s="64">
        <v>19.670000000000002</v>
      </c>
      <c r="M101" s="64">
        <v>62.07</v>
      </c>
      <c r="N101" s="64">
        <v>26.2</v>
      </c>
      <c r="O101" s="64">
        <v>0</v>
      </c>
      <c r="P101" s="64">
        <v>1.56</v>
      </c>
      <c r="Q101" s="64">
        <v>5.47</v>
      </c>
      <c r="S101" s="198"/>
      <c r="T101" s="198"/>
      <c r="U101" s="198"/>
    </row>
    <row r="102" spans="1:33" s="12" customFormat="1" x14ac:dyDescent="0.25">
      <c r="A102" s="215" t="s">
        <v>2455</v>
      </c>
      <c r="B102" s="64">
        <v>12.42</v>
      </c>
      <c r="C102" s="64">
        <v>56.2</v>
      </c>
      <c r="D102" s="64">
        <v>41.62</v>
      </c>
      <c r="E102" s="64">
        <v>2.81</v>
      </c>
      <c r="F102" s="64">
        <v>5.05</v>
      </c>
      <c r="G102" s="64">
        <v>208.59</v>
      </c>
      <c r="H102" s="64">
        <v>135.38999999999999</v>
      </c>
      <c r="I102" s="64">
        <v>1.52</v>
      </c>
      <c r="J102" s="64">
        <v>0.1</v>
      </c>
      <c r="K102" s="64">
        <v>99.13</v>
      </c>
      <c r="L102" s="64">
        <v>19.59</v>
      </c>
      <c r="M102" s="64">
        <v>62.56</v>
      </c>
      <c r="N102" s="64">
        <v>26.4</v>
      </c>
      <c r="O102" s="64">
        <v>0</v>
      </c>
      <c r="P102" s="64">
        <v>1.56</v>
      </c>
      <c r="Q102" s="64">
        <v>6.35</v>
      </c>
      <c r="S102" s="198"/>
      <c r="T102" s="198"/>
      <c r="U102" s="198"/>
    </row>
    <row r="103" spans="1:33" s="12" customFormat="1" x14ac:dyDescent="0.25">
      <c r="A103" s="215" t="s">
        <v>2456</v>
      </c>
      <c r="B103" s="64">
        <v>12.37</v>
      </c>
      <c r="C103" s="64">
        <v>53.3</v>
      </c>
      <c r="D103" s="64">
        <v>39.979999999999997</v>
      </c>
      <c r="E103" s="64">
        <v>2.79</v>
      </c>
      <c r="F103" s="64">
        <v>6.08</v>
      </c>
      <c r="G103" s="64">
        <v>208.59</v>
      </c>
      <c r="H103" s="64">
        <v>135.38999999999999</v>
      </c>
      <c r="I103" s="64">
        <v>1.52</v>
      </c>
      <c r="J103" s="64">
        <v>0.33</v>
      </c>
      <c r="K103" s="64">
        <v>100.63</v>
      </c>
      <c r="L103" s="64">
        <v>19.61</v>
      </c>
      <c r="M103" s="64">
        <v>60.96</v>
      </c>
      <c r="N103" s="64">
        <v>26</v>
      </c>
      <c r="O103" s="64">
        <v>0</v>
      </c>
      <c r="P103" s="64">
        <v>1.51</v>
      </c>
      <c r="Q103" s="64">
        <v>6.57</v>
      </c>
      <c r="S103" s="198"/>
      <c r="T103" s="198"/>
      <c r="U103" s="198"/>
    </row>
    <row r="104" spans="1:33" s="12" customFormat="1" x14ac:dyDescent="0.25">
      <c r="A104" s="215" t="s">
        <v>2457</v>
      </c>
      <c r="B104" s="64">
        <v>12.02</v>
      </c>
      <c r="C104" s="64">
        <v>51.57</v>
      </c>
      <c r="D104" s="64">
        <v>38.74</v>
      </c>
      <c r="E104" s="64">
        <v>2.4700000000000002</v>
      </c>
      <c r="F104" s="64">
        <v>5.52</v>
      </c>
      <c r="G104" s="64">
        <v>208.59</v>
      </c>
      <c r="H104" s="64">
        <v>135.38999999999999</v>
      </c>
      <c r="I104" s="64">
        <v>1.53</v>
      </c>
      <c r="J104" s="64">
        <v>0.1</v>
      </c>
      <c r="K104" s="64">
        <v>81.7</v>
      </c>
      <c r="L104" s="64">
        <v>19.54</v>
      </c>
      <c r="M104" s="64">
        <v>62.66</v>
      </c>
      <c r="N104" s="64">
        <v>26.5</v>
      </c>
      <c r="O104" s="64">
        <v>0</v>
      </c>
      <c r="P104" s="64">
        <v>1.49</v>
      </c>
      <c r="Q104" s="64">
        <v>6.6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1.93</v>
      </c>
      <c r="C106" s="67">
        <f>MIN(C9:C104)</f>
        <v>37.65</v>
      </c>
      <c r="D106" s="67">
        <f t="shared" ref="D106:Q106" si="0">MIN(D9:D104)</f>
        <v>24.1</v>
      </c>
      <c r="E106" s="67">
        <f t="shared" si="0"/>
        <v>1.95</v>
      </c>
      <c r="F106" s="67">
        <f t="shared" si="0"/>
        <v>3.17</v>
      </c>
      <c r="G106" s="67">
        <f t="shared" si="0"/>
        <v>48.06</v>
      </c>
      <c r="H106" s="67">
        <f t="shared" si="0"/>
        <v>31.57</v>
      </c>
      <c r="I106" s="67">
        <f t="shared" si="0"/>
        <v>1.35</v>
      </c>
      <c r="J106" s="67">
        <f t="shared" si="0"/>
        <v>0</v>
      </c>
      <c r="K106" s="67">
        <f t="shared" si="0"/>
        <v>1.93</v>
      </c>
      <c r="L106" s="67">
        <f t="shared" si="0"/>
        <v>16.84</v>
      </c>
      <c r="M106" s="67">
        <f t="shared" si="0"/>
        <v>37.11</v>
      </c>
      <c r="N106" s="67">
        <f t="shared" si="0"/>
        <v>23.5</v>
      </c>
      <c r="O106" s="67">
        <f t="shared" si="0"/>
        <v>0</v>
      </c>
      <c r="P106" s="67">
        <f t="shared" si="0"/>
        <v>0.7</v>
      </c>
      <c r="Q106" s="67">
        <f t="shared" si="0"/>
        <v>2.73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23.84</v>
      </c>
      <c r="C107" s="66">
        <f t="shared" ref="C107:Q107" si="1">MAX(C9:C104)</f>
        <v>84.73</v>
      </c>
      <c r="D107" s="66">
        <f t="shared" si="1"/>
        <v>63.23</v>
      </c>
      <c r="E107" s="66">
        <f t="shared" si="1"/>
        <v>4.87</v>
      </c>
      <c r="F107" s="66">
        <f t="shared" si="1"/>
        <v>37.01</v>
      </c>
      <c r="G107" s="66">
        <f t="shared" si="1"/>
        <v>208.59</v>
      </c>
      <c r="H107" s="66">
        <f t="shared" si="1"/>
        <v>135.38999999999999</v>
      </c>
      <c r="I107" s="66">
        <f t="shared" si="1"/>
        <v>1.63</v>
      </c>
      <c r="J107" s="66">
        <f t="shared" si="1"/>
        <v>1.28</v>
      </c>
      <c r="K107" s="66">
        <f t="shared" si="1"/>
        <v>356.81</v>
      </c>
      <c r="L107" s="66">
        <f t="shared" si="1"/>
        <v>28.38</v>
      </c>
      <c r="M107" s="66">
        <f t="shared" si="1"/>
        <v>84.01</v>
      </c>
      <c r="N107" s="66">
        <f t="shared" si="1"/>
        <v>628.1</v>
      </c>
      <c r="O107" s="66">
        <f t="shared" si="1"/>
        <v>0</v>
      </c>
      <c r="P107" s="66">
        <f t="shared" si="1"/>
        <v>2.15</v>
      </c>
      <c r="Q107" s="66">
        <f t="shared" si="1"/>
        <v>6.79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8.2167708333333298</v>
      </c>
      <c r="C108" s="67">
        <f t="shared" ref="C108:Q108" si="2">AVERAGE(C9:C104)</f>
        <v>50.087083333333318</v>
      </c>
      <c r="D108" s="67">
        <f t="shared" si="2"/>
        <v>34.877604166666657</v>
      </c>
      <c r="E108" s="67">
        <f t="shared" si="2"/>
        <v>2.6479166666666667</v>
      </c>
      <c r="F108" s="67">
        <f t="shared" si="2"/>
        <v>8.4684375000000021</v>
      </c>
      <c r="G108" s="67">
        <f t="shared" si="2"/>
        <v>96.870937500000011</v>
      </c>
      <c r="H108" s="67">
        <f t="shared" si="2"/>
        <v>50.55552083333334</v>
      </c>
      <c r="I108" s="67">
        <f t="shared" si="2"/>
        <v>1.5027083333333335</v>
      </c>
      <c r="J108" s="67">
        <f t="shared" si="2"/>
        <v>0.25750000000000001</v>
      </c>
      <c r="K108" s="67">
        <f t="shared" si="2"/>
        <v>144.93729166666662</v>
      </c>
      <c r="L108" s="67">
        <f t="shared" si="2"/>
        <v>21.594374999999996</v>
      </c>
      <c r="M108" s="67">
        <f t="shared" si="2"/>
        <v>59.331666666666671</v>
      </c>
      <c r="N108" s="67">
        <f t="shared" si="2"/>
        <v>163.25312500000004</v>
      </c>
      <c r="O108" s="67">
        <f t="shared" si="2"/>
        <v>0</v>
      </c>
      <c r="P108" s="67">
        <f t="shared" si="2"/>
        <v>1.1591666666666669</v>
      </c>
      <c r="Q108" s="67">
        <f t="shared" si="2"/>
        <v>5.6700000000000008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4.5445837038904582</v>
      </c>
      <c r="C109" s="67">
        <f t="shared" ref="C109:Q109" si="3">STDEV(C9:C104)</f>
        <v>11.242116575081459</v>
      </c>
      <c r="D109" s="67">
        <f t="shared" si="3"/>
        <v>9.0018976648250675</v>
      </c>
      <c r="E109" s="67">
        <f t="shared" si="3"/>
        <v>0.43842761310143913</v>
      </c>
      <c r="F109" s="67">
        <f t="shared" si="3"/>
        <v>7.5451649667187501</v>
      </c>
      <c r="G109" s="67">
        <f t="shared" si="3"/>
        <v>41.312006998810091</v>
      </c>
      <c r="H109" s="67">
        <f t="shared" si="3"/>
        <v>24.819098455562965</v>
      </c>
      <c r="I109" s="67">
        <f t="shared" si="3"/>
        <v>4.3151609512378251E-2</v>
      </c>
      <c r="J109" s="67">
        <f t="shared" si="3"/>
        <v>0.22763775470782752</v>
      </c>
      <c r="K109" s="67">
        <f t="shared" si="3"/>
        <v>107.4970587257763</v>
      </c>
      <c r="L109" s="67">
        <f t="shared" si="3"/>
        <v>3.6557800845121959</v>
      </c>
      <c r="M109" s="67">
        <f t="shared" si="3"/>
        <v>14.948745602481814</v>
      </c>
      <c r="N109" s="67">
        <f t="shared" si="3"/>
        <v>209.27411988415926</v>
      </c>
      <c r="O109" s="67">
        <f t="shared" si="3"/>
        <v>0</v>
      </c>
      <c r="P109" s="67">
        <f t="shared" si="3"/>
        <v>0.36467336983479753</v>
      </c>
      <c r="Q109" s="67">
        <f t="shared" si="3"/>
        <v>0.65888422431611415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2458</v>
      </c>
      <c r="B9" s="64">
        <v>11.31</v>
      </c>
      <c r="C9" s="64">
        <v>50.89</v>
      </c>
      <c r="D9" s="64">
        <v>37.799999999999997</v>
      </c>
      <c r="E9" s="64">
        <v>2.71</v>
      </c>
      <c r="F9" s="64">
        <v>6.71</v>
      </c>
      <c r="G9" s="64">
        <v>154.44999999999999</v>
      </c>
      <c r="H9" s="64">
        <v>75.040000000000006</v>
      </c>
      <c r="I9" s="64">
        <v>1.49</v>
      </c>
      <c r="J9" s="64">
        <v>0.14000000000000001</v>
      </c>
      <c r="K9" s="64">
        <v>288.29000000000002</v>
      </c>
      <c r="L9" s="64">
        <v>18.84</v>
      </c>
      <c r="M9" s="64">
        <v>68.3</v>
      </c>
      <c r="N9" s="64">
        <v>27.1</v>
      </c>
      <c r="O9" s="64">
        <v>0</v>
      </c>
      <c r="P9" s="64">
        <v>1.44</v>
      </c>
      <c r="Q9" s="64">
        <v>6.56</v>
      </c>
      <c r="R9" s="198"/>
      <c r="S9" s="198"/>
      <c r="T9" s="198"/>
      <c r="U9" s="198"/>
    </row>
    <row r="10" spans="1:21" s="12" customFormat="1" x14ac:dyDescent="0.25">
      <c r="A10" s="215" t="s">
        <v>2459</v>
      </c>
      <c r="B10" s="64">
        <v>11.19</v>
      </c>
      <c r="C10" s="64">
        <v>50.19</v>
      </c>
      <c r="D10" s="64">
        <v>37.32</v>
      </c>
      <c r="E10" s="64">
        <v>2.72</v>
      </c>
      <c r="F10" s="64">
        <v>4.74</v>
      </c>
      <c r="G10" s="64">
        <v>118.35</v>
      </c>
      <c r="H10" s="64">
        <v>60.52</v>
      </c>
      <c r="I10" s="64">
        <v>1.5</v>
      </c>
      <c r="J10" s="64">
        <v>0.13</v>
      </c>
      <c r="K10" s="64">
        <v>257.01</v>
      </c>
      <c r="L10" s="64">
        <v>18.53</v>
      </c>
      <c r="M10" s="64">
        <v>69.66</v>
      </c>
      <c r="N10" s="64">
        <v>26.7</v>
      </c>
      <c r="O10" s="64">
        <v>0</v>
      </c>
      <c r="P10" s="64">
        <v>1.44</v>
      </c>
      <c r="Q10" s="64">
        <v>6.5</v>
      </c>
      <c r="R10" s="198"/>
      <c r="S10" s="198"/>
      <c r="T10" s="198"/>
      <c r="U10" s="198"/>
    </row>
    <row r="11" spans="1:21" s="12" customFormat="1" x14ac:dyDescent="0.25">
      <c r="A11" s="215" t="s">
        <v>2460</v>
      </c>
      <c r="B11" s="64">
        <v>10.78</v>
      </c>
      <c r="C11" s="64">
        <v>49.11</v>
      </c>
      <c r="D11" s="64">
        <v>36.4</v>
      </c>
      <c r="E11" s="64">
        <v>2.68</v>
      </c>
      <c r="F11" s="64">
        <v>5.58</v>
      </c>
      <c r="G11" s="64">
        <v>118.35</v>
      </c>
      <c r="H11" s="64">
        <v>60.52</v>
      </c>
      <c r="I11" s="64">
        <v>1.6</v>
      </c>
      <c r="J11" s="64">
        <v>0.16</v>
      </c>
      <c r="K11" s="64">
        <v>243.91</v>
      </c>
      <c r="L11" s="64">
        <v>18.91</v>
      </c>
      <c r="M11" s="64">
        <v>67.48</v>
      </c>
      <c r="N11" s="64">
        <v>26.4</v>
      </c>
      <c r="O11" s="64">
        <v>0</v>
      </c>
      <c r="P11" s="64">
        <v>1.38</v>
      </c>
      <c r="Q11" s="64">
        <v>6.47</v>
      </c>
      <c r="R11" s="198"/>
      <c r="S11" s="198"/>
      <c r="T11" s="198"/>
      <c r="U11" s="198"/>
    </row>
    <row r="12" spans="1:21" s="12" customFormat="1" x14ac:dyDescent="0.25">
      <c r="A12" s="215" t="s">
        <v>2461</v>
      </c>
      <c r="B12" s="64">
        <v>10.51</v>
      </c>
      <c r="C12" s="64">
        <v>48.07</v>
      </c>
      <c r="D12" s="64">
        <v>35.6</v>
      </c>
      <c r="E12" s="64">
        <v>2.65</v>
      </c>
      <c r="F12" s="64">
        <v>4.87</v>
      </c>
      <c r="G12" s="64">
        <v>118.35</v>
      </c>
      <c r="H12" s="64">
        <v>60.52</v>
      </c>
      <c r="I12" s="64">
        <v>1.6</v>
      </c>
      <c r="J12" s="64">
        <v>0.35</v>
      </c>
      <c r="K12" s="64">
        <v>190.68</v>
      </c>
      <c r="L12" s="64">
        <v>19.04</v>
      </c>
      <c r="M12" s="64">
        <v>67.03</v>
      </c>
      <c r="N12" s="64">
        <v>26</v>
      </c>
      <c r="O12" s="64">
        <v>0</v>
      </c>
      <c r="P12" s="64">
        <v>1.37</v>
      </c>
      <c r="Q12" s="64">
        <v>6.42</v>
      </c>
      <c r="R12" s="198"/>
      <c r="S12" s="198"/>
      <c r="T12" s="198"/>
      <c r="U12" s="198"/>
    </row>
    <row r="13" spans="1:21" s="12" customFormat="1" x14ac:dyDescent="0.25">
      <c r="A13" s="215" t="s">
        <v>2462</v>
      </c>
      <c r="B13" s="64">
        <v>10.28</v>
      </c>
      <c r="C13" s="64">
        <v>47.58</v>
      </c>
      <c r="D13" s="64">
        <v>35.15</v>
      </c>
      <c r="E13" s="64">
        <v>2.64</v>
      </c>
      <c r="F13" s="64">
        <v>4.5199999999999996</v>
      </c>
      <c r="G13" s="64">
        <v>88.26</v>
      </c>
      <c r="H13" s="64">
        <v>55.24</v>
      </c>
      <c r="I13" s="64">
        <v>1.51</v>
      </c>
      <c r="J13" s="64">
        <v>0.23</v>
      </c>
      <c r="K13" s="64">
        <v>122.46</v>
      </c>
      <c r="L13" s="64">
        <v>18.97</v>
      </c>
      <c r="M13" s="64">
        <v>68.349999999999994</v>
      </c>
      <c r="N13" s="64">
        <v>26.5</v>
      </c>
      <c r="O13" s="64">
        <v>0</v>
      </c>
      <c r="P13" s="64">
        <v>1.22</v>
      </c>
      <c r="Q13" s="64">
        <v>6.32</v>
      </c>
      <c r="R13" s="198"/>
      <c r="S13" s="198"/>
      <c r="T13" s="198"/>
      <c r="U13" s="198"/>
    </row>
    <row r="14" spans="1:21" s="12" customFormat="1" x14ac:dyDescent="0.25">
      <c r="A14" s="215" t="s">
        <v>2463</v>
      </c>
      <c r="B14" s="64">
        <v>9.65</v>
      </c>
      <c r="C14" s="64">
        <v>46.2</v>
      </c>
      <c r="D14" s="64">
        <v>33.880000000000003</v>
      </c>
      <c r="E14" s="64">
        <v>2.57</v>
      </c>
      <c r="F14" s="64">
        <v>5.08</v>
      </c>
      <c r="G14" s="64">
        <v>68.209999999999994</v>
      </c>
      <c r="H14" s="64">
        <v>52.77</v>
      </c>
      <c r="I14" s="64">
        <v>1.44</v>
      </c>
      <c r="J14" s="64">
        <v>0.61</v>
      </c>
      <c r="K14" s="64">
        <v>107.36</v>
      </c>
      <c r="L14" s="64">
        <v>19.059999999999999</v>
      </c>
      <c r="M14" s="64">
        <v>68.5</v>
      </c>
      <c r="N14" s="64">
        <v>26.4</v>
      </c>
      <c r="O14" s="64">
        <v>0</v>
      </c>
      <c r="P14" s="64">
        <v>1.24</v>
      </c>
      <c r="Q14" s="64">
        <v>6.3</v>
      </c>
      <c r="R14" s="198"/>
      <c r="S14" s="198"/>
      <c r="T14" s="198"/>
      <c r="U14" s="198"/>
    </row>
    <row r="15" spans="1:21" s="12" customFormat="1" x14ac:dyDescent="0.25">
      <c r="A15" s="215" t="s">
        <v>2464</v>
      </c>
      <c r="B15" s="64">
        <v>8.85</v>
      </c>
      <c r="C15" s="64">
        <v>45.14</v>
      </c>
      <c r="D15" s="64">
        <v>32.659999999999997</v>
      </c>
      <c r="E15" s="64">
        <v>2.58</v>
      </c>
      <c r="F15" s="64">
        <v>6.46</v>
      </c>
      <c r="G15" s="64">
        <v>68.209999999999994</v>
      </c>
      <c r="H15" s="64">
        <v>52.77</v>
      </c>
      <c r="I15" s="64">
        <v>1.56</v>
      </c>
      <c r="J15" s="64">
        <v>0.44</v>
      </c>
      <c r="K15" s="64">
        <v>108.38</v>
      </c>
      <c r="L15" s="64">
        <v>19.2</v>
      </c>
      <c r="M15" s="64">
        <v>66.3</v>
      </c>
      <c r="N15" s="64">
        <v>26.4</v>
      </c>
      <c r="O15" s="64">
        <v>0</v>
      </c>
      <c r="P15" s="64">
        <v>1.18</v>
      </c>
      <c r="Q15" s="64">
        <v>6.25</v>
      </c>
      <c r="R15" s="198"/>
      <c r="S15" s="198"/>
      <c r="T15" s="198"/>
      <c r="U15" s="198"/>
    </row>
    <row r="16" spans="1:21" s="12" customFormat="1" x14ac:dyDescent="0.25">
      <c r="A16" s="215" t="s">
        <v>2465</v>
      </c>
      <c r="B16" s="64">
        <v>8.31</v>
      </c>
      <c r="C16" s="64">
        <v>44.57</v>
      </c>
      <c r="D16" s="64">
        <v>31.91</v>
      </c>
      <c r="E16" s="64">
        <v>2.58</v>
      </c>
      <c r="F16" s="64">
        <v>6.06</v>
      </c>
      <c r="G16" s="64">
        <v>68.209999999999994</v>
      </c>
      <c r="H16" s="64">
        <v>52.77</v>
      </c>
      <c r="I16" s="64">
        <v>1.52</v>
      </c>
      <c r="J16" s="64">
        <v>0.56000000000000005</v>
      </c>
      <c r="K16" s="64">
        <v>109.68</v>
      </c>
      <c r="L16" s="64">
        <v>19.3</v>
      </c>
      <c r="M16" s="64">
        <v>64.98</v>
      </c>
      <c r="N16" s="64">
        <v>26.4</v>
      </c>
      <c r="O16" s="64">
        <v>0</v>
      </c>
      <c r="P16" s="64">
        <v>1.18</v>
      </c>
      <c r="Q16" s="64">
        <v>6.19</v>
      </c>
      <c r="R16" s="198"/>
      <c r="S16" s="198"/>
      <c r="T16" s="198"/>
      <c r="U16" s="198"/>
    </row>
    <row r="17" spans="1:21" s="12" customFormat="1" x14ac:dyDescent="0.25">
      <c r="A17" s="215" t="s">
        <v>2466</v>
      </c>
      <c r="B17" s="64">
        <v>7.64</v>
      </c>
      <c r="C17" s="64">
        <v>42.88</v>
      </c>
      <c r="D17" s="64">
        <v>30.44</v>
      </c>
      <c r="E17" s="64">
        <v>2.56</v>
      </c>
      <c r="F17" s="64">
        <v>5.12</v>
      </c>
      <c r="G17" s="64">
        <v>63.92</v>
      </c>
      <c r="H17" s="64">
        <v>43.82</v>
      </c>
      <c r="I17" s="64">
        <v>1.49</v>
      </c>
      <c r="J17" s="64">
        <v>7.0000000000000007E-2</v>
      </c>
      <c r="K17" s="64">
        <v>27.4</v>
      </c>
      <c r="L17" s="64">
        <v>19.010000000000002</v>
      </c>
      <c r="M17" s="64">
        <v>67.41</v>
      </c>
      <c r="N17" s="64">
        <v>27</v>
      </c>
      <c r="O17" s="64">
        <v>0</v>
      </c>
      <c r="P17" s="64">
        <v>1.1499999999999999</v>
      </c>
      <c r="Q17" s="64">
        <v>6.16</v>
      </c>
      <c r="R17" s="198"/>
      <c r="S17" s="198"/>
      <c r="T17" s="198"/>
      <c r="U17" s="198"/>
    </row>
    <row r="18" spans="1:21" s="12" customFormat="1" x14ac:dyDescent="0.25">
      <c r="A18" s="215" t="s">
        <v>2467</v>
      </c>
      <c r="B18" s="64">
        <v>6.82</v>
      </c>
      <c r="C18" s="64">
        <v>42.66</v>
      </c>
      <c r="D18" s="64">
        <v>29.66</v>
      </c>
      <c r="E18" s="64">
        <v>2.4500000000000002</v>
      </c>
      <c r="F18" s="64">
        <v>4.5</v>
      </c>
      <c r="G18" s="64">
        <v>61.06</v>
      </c>
      <c r="H18" s="64">
        <v>41.45</v>
      </c>
      <c r="I18" s="64">
        <v>1.5</v>
      </c>
      <c r="J18" s="64">
        <v>0.35</v>
      </c>
      <c r="K18" s="64">
        <v>330.24</v>
      </c>
      <c r="L18" s="64">
        <v>18.59</v>
      </c>
      <c r="M18" s="64">
        <v>72.61</v>
      </c>
      <c r="N18" s="64">
        <v>27.1</v>
      </c>
      <c r="O18" s="64">
        <v>0</v>
      </c>
      <c r="P18" s="64">
        <v>1.1100000000000001</v>
      </c>
      <c r="Q18" s="64">
        <v>6.04</v>
      </c>
      <c r="R18" s="198"/>
      <c r="S18" s="198"/>
      <c r="T18" s="198"/>
      <c r="U18" s="198"/>
    </row>
    <row r="19" spans="1:21" s="12" customFormat="1" x14ac:dyDescent="0.25">
      <c r="A19" s="215" t="s">
        <v>2468</v>
      </c>
      <c r="B19" s="64">
        <v>6.07</v>
      </c>
      <c r="C19" s="64">
        <v>42.59</v>
      </c>
      <c r="D19" s="64">
        <v>29.02</v>
      </c>
      <c r="E19" s="64">
        <v>2.4300000000000002</v>
      </c>
      <c r="F19" s="64">
        <v>3.93</v>
      </c>
      <c r="G19" s="64">
        <v>61.06</v>
      </c>
      <c r="H19" s="64">
        <v>41.45</v>
      </c>
      <c r="I19" s="64">
        <v>1.52</v>
      </c>
      <c r="J19" s="64">
        <v>0.1</v>
      </c>
      <c r="K19" s="64">
        <v>9.57</v>
      </c>
      <c r="L19" s="64">
        <v>18.350000000000001</v>
      </c>
      <c r="M19" s="64">
        <v>73.459999999999994</v>
      </c>
      <c r="N19" s="64">
        <v>27.1</v>
      </c>
      <c r="O19" s="64">
        <v>0</v>
      </c>
      <c r="P19" s="64">
        <v>1.06</v>
      </c>
      <c r="Q19" s="64">
        <v>5.93</v>
      </c>
      <c r="R19" s="198"/>
      <c r="S19" s="198"/>
      <c r="T19" s="198"/>
      <c r="U19" s="198"/>
    </row>
    <row r="20" spans="1:21" s="12" customFormat="1" x14ac:dyDescent="0.25">
      <c r="A20" s="215" t="s">
        <v>2469</v>
      </c>
      <c r="B20" s="64">
        <v>5.4</v>
      </c>
      <c r="C20" s="64">
        <v>42.58</v>
      </c>
      <c r="D20" s="64">
        <v>28.48</v>
      </c>
      <c r="E20" s="64">
        <v>2.41</v>
      </c>
      <c r="F20" s="64">
        <v>4.0999999999999996</v>
      </c>
      <c r="G20" s="64">
        <v>61.06</v>
      </c>
      <c r="H20" s="64">
        <v>41.45</v>
      </c>
      <c r="I20" s="64">
        <v>1.48</v>
      </c>
      <c r="J20" s="64">
        <v>0.12</v>
      </c>
      <c r="K20" s="64">
        <v>312.13</v>
      </c>
      <c r="L20" s="64">
        <v>18.190000000000001</v>
      </c>
      <c r="M20" s="64">
        <v>73.010000000000005</v>
      </c>
      <c r="N20" s="64">
        <v>27</v>
      </c>
      <c r="O20" s="64">
        <v>0</v>
      </c>
      <c r="P20" s="64">
        <v>1.03</v>
      </c>
      <c r="Q20" s="64">
        <v>5.82</v>
      </c>
      <c r="R20" s="198"/>
      <c r="S20" s="198"/>
      <c r="T20" s="198"/>
      <c r="U20" s="198"/>
    </row>
    <row r="21" spans="1:21" s="12" customFormat="1" x14ac:dyDescent="0.25">
      <c r="A21" s="215" t="s">
        <v>2470</v>
      </c>
      <c r="B21" s="64">
        <v>4.87</v>
      </c>
      <c r="C21" s="64">
        <v>42.33</v>
      </c>
      <c r="D21" s="64">
        <v>27.91</v>
      </c>
      <c r="E21" s="64">
        <v>2.36</v>
      </c>
      <c r="F21" s="64">
        <v>4.03</v>
      </c>
      <c r="G21" s="64">
        <v>62</v>
      </c>
      <c r="H21" s="64">
        <v>30.42</v>
      </c>
      <c r="I21" s="64">
        <v>1.51</v>
      </c>
      <c r="J21" s="64">
        <v>0.09</v>
      </c>
      <c r="K21" s="64">
        <v>293.43</v>
      </c>
      <c r="L21" s="64">
        <v>17.75</v>
      </c>
      <c r="M21" s="64">
        <v>77.2</v>
      </c>
      <c r="N21" s="64">
        <v>27.2</v>
      </c>
      <c r="O21" s="64">
        <v>0</v>
      </c>
      <c r="P21" s="64">
        <v>1</v>
      </c>
      <c r="Q21" s="64">
        <v>5.72</v>
      </c>
      <c r="R21" s="198"/>
      <c r="S21" s="198"/>
      <c r="T21" s="198"/>
      <c r="U21" s="198"/>
    </row>
    <row r="22" spans="1:21" s="12" customFormat="1" x14ac:dyDescent="0.25">
      <c r="A22" s="215" t="s">
        <v>2471</v>
      </c>
      <c r="B22" s="64">
        <v>4.53</v>
      </c>
      <c r="C22" s="64">
        <v>41.69</v>
      </c>
      <c r="D22" s="64">
        <v>27.29</v>
      </c>
      <c r="E22" s="64">
        <v>2.39</v>
      </c>
      <c r="F22" s="64">
        <v>4.63</v>
      </c>
      <c r="G22" s="64">
        <v>62.66</v>
      </c>
      <c r="H22" s="64">
        <v>27.5</v>
      </c>
      <c r="I22" s="64">
        <v>1.46</v>
      </c>
      <c r="J22" s="64">
        <v>0.06</v>
      </c>
      <c r="K22" s="64">
        <v>57.84</v>
      </c>
      <c r="L22" s="64">
        <v>17.73</v>
      </c>
      <c r="M22" s="64">
        <v>75.5</v>
      </c>
      <c r="N22" s="64">
        <v>26.7</v>
      </c>
      <c r="O22" s="64">
        <v>0</v>
      </c>
      <c r="P22" s="64">
        <v>0.95</v>
      </c>
      <c r="Q22" s="64">
        <v>5.67</v>
      </c>
      <c r="R22" s="198"/>
      <c r="S22" s="198"/>
      <c r="T22" s="198"/>
      <c r="U22" s="198"/>
    </row>
    <row r="23" spans="1:21" s="12" customFormat="1" x14ac:dyDescent="0.25">
      <c r="A23" s="215" t="s">
        <v>2472</v>
      </c>
      <c r="B23" s="64">
        <v>4.2300000000000004</v>
      </c>
      <c r="C23" s="64">
        <v>41.01</v>
      </c>
      <c r="D23" s="64">
        <v>26.67</v>
      </c>
      <c r="E23" s="64">
        <v>2.31</v>
      </c>
      <c r="F23" s="64">
        <v>4.55</v>
      </c>
      <c r="G23" s="64">
        <v>62.66</v>
      </c>
      <c r="H23" s="64">
        <v>27.5</v>
      </c>
      <c r="I23" s="64">
        <v>1.52</v>
      </c>
      <c r="J23" s="64">
        <v>0.13</v>
      </c>
      <c r="K23" s="64">
        <v>61.16</v>
      </c>
      <c r="L23" s="64">
        <v>17.91</v>
      </c>
      <c r="M23" s="64">
        <v>74.599999999999994</v>
      </c>
      <c r="N23" s="64">
        <v>26.8</v>
      </c>
      <c r="O23" s="64">
        <v>0</v>
      </c>
      <c r="P23" s="64">
        <v>0.93</v>
      </c>
      <c r="Q23" s="64">
        <v>5.65</v>
      </c>
      <c r="R23" s="198"/>
      <c r="S23" s="198"/>
      <c r="T23" s="198"/>
      <c r="U23" s="198"/>
    </row>
    <row r="24" spans="1:21" s="12" customFormat="1" x14ac:dyDescent="0.25">
      <c r="A24" s="215" t="s">
        <v>2473</v>
      </c>
      <c r="B24" s="64">
        <v>4.04</v>
      </c>
      <c r="C24" s="64">
        <v>40.89</v>
      </c>
      <c r="D24" s="64">
        <v>26.46</v>
      </c>
      <c r="E24" s="64">
        <v>2.1800000000000002</v>
      </c>
      <c r="F24" s="64">
        <v>4.5</v>
      </c>
      <c r="G24" s="64">
        <v>62.66</v>
      </c>
      <c r="H24" s="64">
        <v>27.5</v>
      </c>
      <c r="I24" s="64">
        <v>1.45</v>
      </c>
      <c r="J24" s="64">
        <v>0.08</v>
      </c>
      <c r="K24" s="64">
        <v>340.65</v>
      </c>
      <c r="L24" s="64">
        <v>17.84</v>
      </c>
      <c r="M24" s="64">
        <v>74.94</v>
      </c>
      <c r="N24" s="64">
        <v>26.9</v>
      </c>
      <c r="O24" s="64">
        <v>0</v>
      </c>
      <c r="P24" s="64">
        <v>0.9</v>
      </c>
      <c r="Q24" s="64">
        <v>5.58</v>
      </c>
      <c r="R24" s="198"/>
      <c r="S24" s="198"/>
      <c r="T24" s="198"/>
      <c r="U24" s="198"/>
    </row>
    <row r="25" spans="1:21" s="12" customFormat="1" x14ac:dyDescent="0.25">
      <c r="A25" s="215" t="s">
        <v>2474</v>
      </c>
      <c r="B25" s="64">
        <v>3.93</v>
      </c>
      <c r="C25" s="64">
        <v>40.86</v>
      </c>
      <c r="D25" s="64">
        <v>26.35</v>
      </c>
      <c r="E25" s="64">
        <v>2.25</v>
      </c>
      <c r="F25" s="64">
        <v>4.1900000000000004</v>
      </c>
      <c r="G25" s="64">
        <v>63.98</v>
      </c>
      <c r="H25" s="64">
        <v>41.45</v>
      </c>
      <c r="I25" s="64">
        <v>1.48</v>
      </c>
      <c r="J25" s="64">
        <v>0.18</v>
      </c>
      <c r="K25" s="64">
        <v>86.85</v>
      </c>
      <c r="L25" s="64">
        <v>17.72</v>
      </c>
      <c r="M25" s="64">
        <v>76.61</v>
      </c>
      <c r="N25" s="64">
        <v>26.9</v>
      </c>
      <c r="O25" s="64">
        <v>0</v>
      </c>
      <c r="P25" s="64">
        <v>0.88</v>
      </c>
      <c r="Q25" s="64">
        <v>5.56</v>
      </c>
      <c r="R25" s="198"/>
      <c r="S25" s="198"/>
      <c r="T25" s="198"/>
      <c r="U25" s="198"/>
    </row>
    <row r="26" spans="1:21" s="12" customFormat="1" x14ac:dyDescent="0.25">
      <c r="A26" s="215" t="s">
        <v>2475</v>
      </c>
      <c r="B26" s="64">
        <v>3.96</v>
      </c>
      <c r="C26" s="64">
        <v>40.92</v>
      </c>
      <c r="D26" s="64">
        <v>26.4</v>
      </c>
      <c r="E26" s="64">
        <v>2.2799999999999998</v>
      </c>
      <c r="F26" s="64">
        <v>3.65</v>
      </c>
      <c r="G26" s="64">
        <v>64.849999999999994</v>
      </c>
      <c r="H26" s="64">
        <v>44.87</v>
      </c>
      <c r="I26" s="64">
        <v>1.49</v>
      </c>
      <c r="J26" s="64">
        <v>0.18</v>
      </c>
      <c r="K26" s="64">
        <v>353.87</v>
      </c>
      <c r="L26" s="64">
        <v>17.579999999999998</v>
      </c>
      <c r="M26" s="64">
        <v>78.72</v>
      </c>
      <c r="N26" s="64">
        <v>27.1</v>
      </c>
      <c r="O26" s="64">
        <v>0</v>
      </c>
      <c r="P26" s="64">
        <v>0.87</v>
      </c>
      <c r="Q26" s="64">
        <v>5.53</v>
      </c>
      <c r="R26" s="198"/>
      <c r="S26" s="198"/>
      <c r="T26" s="198"/>
      <c r="U26" s="198"/>
    </row>
    <row r="27" spans="1:21" s="12" customFormat="1" x14ac:dyDescent="0.25">
      <c r="A27" s="215" t="s">
        <v>2476</v>
      </c>
      <c r="B27" s="64">
        <v>4.2699999999999996</v>
      </c>
      <c r="C27" s="64">
        <v>40.85</v>
      </c>
      <c r="D27" s="64">
        <v>26.62</v>
      </c>
      <c r="E27" s="64">
        <v>2.2599999999999998</v>
      </c>
      <c r="F27" s="64">
        <v>3.44</v>
      </c>
      <c r="G27" s="64">
        <v>64.849999999999994</v>
      </c>
      <c r="H27" s="64">
        <v>44.87</v>
      </c>
      <c r="I27" s="64">
        <v>1.5</v>
      </c>
      <c r="J27" s="64">
        <v>0.38</v>
      </c>
      <c r="K27" s="64">
        <v>342.14</v>
      </c>
      <c r="L27" s="64">
        <v>17.46</v>
      </c>
      <c r="M27" s="64">
        <v>80.25</v>
      </c>
      <c r="N27" s="64">
        <v>27</v>
      </c>
      <c r="O27" s="64">
        <v>0</v>
      </c>
      <c r="P27" s="64">
        <v>0.87</v>
      </c>
      <c r="Q27" s="64">
        <v>5.57</v>
      </c>
      <c r="R27" s="198"/>
      <c r="S27" s="198"/>
      <c r="T27" s="198"/>
      <c r="U27" s="198"/>
    </row>
    <row r="28" spans="1:21" s="12" customFormat="1" x14ac:dyDescent="0.25">
      <c r="A28" s="215" t="s">
        <v>2477</v>
      </c>
      <c r="B28" s="64">
        <v>4.9000000000000004</v>
      </c>
      <c r="C28" s="64">
        <v>40.78</v>
      </c>
      <c r="D28" s="64">
        <v>27.09</v>
      </c>
      <c r="E28" s="64">
        <v>2.2400000000000002</v>
      </c>
      <c r="F28" s="64">
        <v>3.52</v>
      </c>
      <c r="G28" s="64">
        <v>64.849999999999994</v>
      </c>
      <c r="H28" s="64">
        <v>44.87</v>
      </c>
      <c r="I28" s="64">
        <v>1.5</v>
      </c>
      <c r="J28" s="64">
        <v>0.57999999999999996</v>
      </c>
      <c r="K28" s="64">
        <v>343.09</v>
      </c>
      <c r="L28" s="64">
        <v>17.420000000000002</v>
      </c>
      <c r="M28" s="64">
        <v>80.48</v>
      </c>
      <c r="N28" s="64">
        <v>26.9</v>
      </c>
      <c r="O28" s="64">
        <v>0</v>
      </c>
      <c r="P28" s="64">
        <v>0.86</v>
      </c>
      <c r="Q28" s="64">
        <v>5.59</v>
      </c>
      <c r="R28" s="198"/>
      <c r="S28" s="198"/>
      <c r="T28" s="198"/>
      <c r="U28" s="198"/>
    </row>
    <row r="29" spans="1:21" s="12" customFormat="1" x14ac:dyDescent="0.25">
      <c r="A29" s="215" t="s">
        <v>2478</v>
      </c>
      <c r="B29" s="64">
        <v>5.87</v>
      </c>
      <c r="C29" s="64">
        <v>41.14</v>
      </c>
      <c r="D29" s="64">
        <v>28.06</v>
      </c>
      <c r="E29" s="64">
        <v>2.2400000000000002</v>
      </c>
      <c r="F29" s="64">
        <v>3.46</v>
      </c>
      <c r="G29" s="64">
        <v>79.39</v>
      </c>
      <c r="H29" s="64">
        <v>45.13</v>
      </c>
      <c r="I29" s="64">
        <v>1.52</v>
      </c>
      <c r="J29" s="64">
        <v>0.44</v>
      </c>
      <c r="K29" s="64">
        <v>340.64</v>
      </c>
      <c r="L29" s="64">
        <v>17.329999999999998</v>
      </c>
      <c r="M29" s="64">
        <v>81.540000000000006</v>
      </c>
      <c r="N29" s="64">
        <v>27.1</v>
      </c>
      <c r="O29" s="64">
        <v>0</v>
      </c>
      <c r="P29" s="64">
        <v>0.87</v>
      </c>
      <c r="Q29" s="64">
        <v>5.6</v>
      </c>
      <c r="R29" s="198"/>
      <c r="S29" s="198"/>
      <c r="T29" s="198"/>
      <c r="U29" s="198"/>
    </row>
    <row r="30" spans="1:21" s="12" customFormat="1" x14ac:dyDescent="0.25">
      <c r="A30" s="215" t="s">
        <v>2479</v>
      </c>
      <c r="B30" s="64">
        <v>6.42</v>
      </c>
      <c r="C30" s="64">
        <v>42.1</v>
      </c>
      <c r="D30" s="64">
        <v>29.02</v>
      </c>
      <c r="E30" s="64">
        <v>2.17</v>
      </c>
      <c r="F30" s="64">
        <v>3.37</v>
      </c>
      <c r="G30" s="64">
        <v>89.08</v>
      </c>
      <c r="H30" s="64">
        <v>45.24</v>
      </c>
      <c r="I30" s="64">
        <v>1.48</v>
      </c>
      <c r="J30" s="64">
        <v>0.27</v>
      </c>
      <c r="K30" s="64">
        <v>354.33</v>
      </c>
      <c r="L30" s="64">
        <v>17.190000000000001</v>
      </c>
      <c r="M30" s="64">
        <v>82.14</v>
      </c>
      <c r="N30" s="64">
        <v>27.2</v>
      </c>
      <c r="O30" s="64">
        <v>0</v>
      </c>
      <c r="P30" s="64">
        <v>0.9</v>
      </c>
      <c r="Q30" s="64">
        <v>5.73</v>
      </c>
      <c r="R30" s="198"/>
      <c r="S30" s="198"/>
      <c r="T30" s="198"/>
      <c r="U30" s="198"/>
    </row>
    <row r="31" spans="1:21" s="12" customFormat="1" x14ac:dyDescent="0.25">
      <c r="A31" s="215" t="s">
        <v>2480</v>
      </c>
      <c r="B31" s="64">
        <v>6.72</v>
      </c>
      <c r="C31" s="64">
        <v>42.11</v>
      </c>
      <c r="D31" s="64">
        <v>29.27</v>
      </c>
      <c r="E31" s="64">
        <v>2.21</v>
      </c>
      <c r="F31" s="64">
        <v>3.29</v>
      </c>
      <c r="G31" s="64">
        <v>89.08</v>
      </c>
      <c r="H31" s="64">
        <v>45.24</v>
      </c>
      <c r="I31" s="64">
        <v>1.58</v>
      </c>
      <c r="J31" s="64">
        <v>0.26</v>
      </c>
      <c r="K31" s="64">
        <v>5.1100000000000003</v>
      </c>
      <c r="L31" s="64">
        <v>17.2</v>
      </c>
      <c r="M31" s="64">
        <v>79.2</v>
      </c>
      <c r="N31" s="64">
        <v>27.2</v>
      </c>
      <c r="O31" s="64">
        <v>0</v>
      </c>
      <c r="P31" s="64">
        <v>0.95</v>
      </c>
      <c r="Q31" s="64">
        <v>5.75</v>
      </c>
      <c r="R31" s="198"/>
      <c r="S31" s="198"/>
      <c r="T31" s="198"/>
      <c r="U31" s="198"/>
    </row>
    <row r="32" spans="1:21" s="12" customFormat="1" x14ac:dyDescent="0.25">
      <c r="A32" s="215" t="s">
        <v>2481</v>
      </c>
      <c r="B32" s="64">
        <v>6.93</v>
      </c>
      <c r="C32" s="64">
        <v>41.92</v>
      </c>
      <c r="D32" s="64">
        <v>29.34</v>
      </c>
      <c r="E32" s="64">
        <v>2.2400000000000002</v>
      </c>
      <c r="F32" s="64">
        <v>3.55</v>
      </c>
      <c r="G32" s="64">
        <v>89.08</v>
      </c>
      <c r="H32" s="64">
        <v>45.24</v>
      </c>
      <c r="I32" s="64">
        <v>1.41</v>
      </c>
      <c r="J32" s="64">
        <v>0.56000000000000005</v>
      </c>
      <c r="K32" s="64">
        <v>344.16</v>
      </c>
      <c r="L32" s="64">
        <v>17.45</v>
      </c>
      <c r="M32" s="64">
        <v>77.31</v>
      </c>
      <c r="N32" s="64">
        <v>27.7</v>
      </c>
      <c r="O32" s="64">
        <v>0</v>
      </c>
      <c r="P32" s="64">
        <v>0.95</v>
      </c>
      <c r="Q32" s="64">
        <v>5.79</v>
      </c>
      <c r="R32" s="198"/>
      <c r="S32" s="198"/>
      <c r="T32" s="198"/>
      <c r="U32" s="198"/>
    </row>
    <row r="33" spans="1:21" s="12" customFormat="1" x14ac:dyDescent="0.25">
      <c r="A33" s="215" t="s">
        <v>2482</v>
      </c>
      <c r="B33" s="64">
        <v>7.19</v>
      </c>
      <c r="C33" s="64">
        <v>42.75</v>
      </c>
      <c r="D33" s="64">
        <v>30</v>
      </c>
      <c r="E33" s="64">
        <v>2.25</v>
      </c>
      <c r="F33" s="64">
        <v>3.8</v>
      </c>
      <c r="G33" s="64">
        <v>100.74</v>
      </c>
      <c r="H33" s="64">
        <v>46.39</v>
      </c>
      <c r="I33" s="64">
        <v>1.47</v>
      </c>
      <c r="J33" s="64">
        <v>0.4</v>
      </c>
      <c r="K33" s="64">
        <v>342.88</v>
      </c>
      <c r="L33" s="64">
        <v>17.52</v>
      </c>
      <c r="M33" s="64">
        <v>76.760000000000005</v>
      </c>
      <c r="N33" s="64">
        <v>29</v>
      </c>
      <c r="O33" s="64">
        <v>0</v>
      </c>
      <c r="P33" s="64">
        <v>0.94</v>
      </c>
      <c r="Q33" s="64">
        <v>5.82</v>
      </c>
      <c r="R33" s="198"/>
      <c r="S33" s="198"/>
      <c r="T33" s="198"/>
      <c r="U33" s="198"/>
    </row>
    <row r="34" spans="1:21" s="12" customFormat="1" x14ac:dyDescent="0.25">
      <c r="A34" s="215" t="s">
        <v>2483</v>
      </c>
      <c r="B34" s="64">
        <v>7.4</v>
      </c>
      <c r="C34" s="64">
        <v>42.87</v>
      </c>
      <c r="D34" s="64">
        <v>30.23</v>
      </c>
      <c r="E34" s="64">
        <v>2.2599999999999998</v>
      </c>
      <c r="F34" s="64">
        <v>4.37</v>
      </c>
      <c r="G34" s="64">
        <v>108.51</v>
      </c>
      <c r="H34" s="64">
        <v>46.67</v>
      </c>
      <c r="I34" s="64">
        <v>1.44</v>
      </c>
      <c r="J34" s="64">
        <v>0.54</v>
      </c>
      <c r="K34" s="64">
        <v>343.27</v>
      </c>
      <c r="L34" s="64">
        <v>17.559999999999999</v>
      </c>
      <c r="M34" s="64">
        <v>76.400000000000006</v>
      </c>
      <c r="N34" s="64">
        <v>35.5</v>
      </c>
      <c r="O34" s="64">
        <v>0</v>
      </c>
      <c r="P34" s="64">
        <v>0.93</v>
      </c>
      <c r="Q34" s="64">
        <v>5.89</v>
      </c>
      <c r="R34" s="198"/>
      <c r="S34" s="198"/>
      <c r="T34" s="198"/>
      <c r="U34" s="198"/>
    </row>
    <row r="35" spans="1:21" s="12" customFormat="1" x14ac:dyDescent="0.25">
      <c r="A35" s="215" t="s">
        <v>2484</v>
      </c>
      <c r="B35" s="64">
        <v>7.81</v>
      </c>
      <c r="C35" s="64">
        <v>43.42</v>
      </c>
      <c r="D35" s="64">
        <v>30.87</v>
      </c>
      <c r="E35" s="64">
        <v>2.2400000000000002</v>
      </c>
      <c r="F35" s="64">
        <v>4.4800000000000004</v>
      </c>
      <c r="G35" s="64">
        <v>108.51</v>
      </c>
      <c r="H35" s="64">
        <v>46.67</v>
      </c>
      <c r="I35" s="64">
        <v>1.54</v>
      </c>
      <c r="J35" s="64">
        <v>0.77</v>
      </c>
      <c r="K35" s="64">
        <v>346.49</v>
      </c>
      <c r="L35" s="64">
        <v>17.53</v>
      </c>
      <c r="M35" s="64">
        <v>76.510000000000005</v>
      </c>
      <c r="N35" s="64">
        <v>43</v>
      </c>
      <c r="O35" s="64">
        <v>0</v>
      </c>
      <c r="P35" s="64">
        <v>0.94</v>
      </c>
      <c r="Q35" s="64">
        <v>5.9</v>
      </c>
      <c r="R35" s="198"/>
      <c r="S35" s="198"/>
      <c r="T35" s="198"/>
      <c r="U35" s="198"/>
    </row>
    <row r="36" spans="1:21" s="12" customFormat="1" x14ac:dyDescent="0.25">
      <c r="A36" s="215" t="s">
        <v>2485</v>
      </c>
      <c r="B36" s="64">
        <v>8.58</v>
      </c>
      <c r="C36" s="64">
        <v>44.46</v>
      </c>
      <c r="D36" s="64">
        <v>32.06</v>
      </c>
      <c r="E36" s="64">
        <v>2.2400000000000002</v>
      </c>
      <c r="F36" s="64">
        <v>3.75</v>
      </c>
      <c r="G36" s="64">
        <v>108.51</v>
      </c>
      <c r="H36" s="64">
        <v>46.67</v>
      </c>
      <c r="I36" s="64">
        <v>1.51</v>
      </c>
      <c r="J36" s="64">
        <v>0.52</v>
      </c>
      <c r="K36" s="64">
        <v>346.43</v>
      </c>
      <c r="L36" s="64">
        <v>17.68</v>
      </c>
      <c r="M36" s="64">
        <v>76.650000000000006</v>
      </c>
      <c r="N36" s="64">
        <v>73.400000000000006</v>
      </c>
      <c r="O36" s="64">
        <v>0</v>
      </c>
      <c r="P36" s="64">
        <v>0.93</v>
      </c>
      <c r="Q36" s="64">
        <v>5.92</v>
      </c>
      <c r="R36" s="198"/>
      <c r="S36" s="198"/>
      <c r="T36" s="198"/>
      <c r="U36" s="198"/>
    </row>
    <row r="37" spans="1:21" s="12" customFormat="1" x14ac:dyDescent="0.25">
      <c r="A37" s="215" t="s">
        <v>2486</v>
      </c>
      <c r="B37" s="64">
        <v>9.08</v>
      </c>
      <c r="C37" s="64">
        <v>45.02</v>
      </c>
      <c r="D37" s="64">
        <v>32.770000000000003</v>
      </c>
      <c r="E37" s="64">
        <v>2.25</v>
      </c>
      <c r="F37" s="64">
        <v>3.62</v>
      </c>
      <c r="G37" s="64">
        <v>99.72</v>
      </c>
      <c r="H37" s="64">
        <v>43.72</v>
      </c>
      <c r="I37" s="64">
        <v>1.47</v>
      </c>
      <c r="J37" s="64">
        <v>0.28000000000000003</v>
      </c>
      <c r="K37" s="64">
        <v>349.76</v>
      </c>
      <c r="L37" s="64">
        <v>18.02</v>
      </c>
      <c r="M37" s="64">
        <v>75.290000000000006</v>
      </c>
      <c r="N37" s="64">
        <v>86.4</v>
      </c>
      <c r="O37" s="64">
        <v>0</v>
      </c>
      <c r="P37" s="64">
        <v>0.95</v>
      </c>
      <c r="Q37" s="64">
        <v>5.93</v>
      </c>
      <c r="R37" s="198"/>
      <c r="S37" s="198"/>
      <c r="T37" s="198"/>
      <c r="U37" s="198"/>
    </row>
    <row r="38" spans="1:21" s="12" customFormat="1" x14ac:dyDescent="0.25">
      <c r="A38" s="215" t="s">
        <v>2487</v>
      </c>
      <c r="B38" s="64">
        <v>9.91</v>
      </c>
      <c r="C38" s="64">
        <v>45.25</v>
      </c>
      <c r="D38" s="64">
        <v>33.56</v>
      </c>
      <c r="E38" s="64">
        <v>2.27</v>
      </c>
      <c r="F38" s="64">
        <v>3.8</v>
      </c>
      <c r="G38" s="64">
        <v>93.58</v>
      </c>
      <c r="H38" s="64">
        <v>42.94</v>
      </c>
      <c r="I38" s="64">
        <v>1.48</v>
      </c>
      <c r="J38" s="64">
        <v>0.4</v>
      </c>
      <c r="K38" s="64">
        <v>353.13</v>
      </c>
      <c r="L38" s="64">
        <v>18.559999999999999</v>
      </c>
      <c r="M38" s="64">
        <v>72.849999999999994</v>
      </c>
      <c r="N38" s="64">
        <v>117.8</v>
      </c>
      <c r="O38" s="64">
        <v>0</v>
      </c>
      <c r="P38" s="64">
        <v>1</v>
      </c>
      <c r="Q38" s="64">
        <v>5.98</v>
      </c>
      <c r="R38" s="198"/>
      <c r="S38" s="198"/>
      <c r="T38" s="198"/>
      <c r="U38" s="198"/>
    </row>
    <row r="39" spans="1:21" s="12" customFormat="1" x14ac:dyDescent="0.25">
      <c r="A39" s="215" t="s">
        <v>2488</v>
      </c>
      <c r="B39" s="64">
        <v>11.38</v>
      </c>
      <c r="C39" s="64">
        <v>47.18</v>
      </c>
      <c r="D39" s="64">
        <v>35.81</v>
      </c>
      <c r="E39" s="64">
        <v>2.2400000000000002</v>
      </c>
      <c r="F39" s="64">
        <v>3.72</v>
      </c>
      <c r="G39" s="64">
        <v>93.58</v>
      </c>
      <c r="H39" s="64">
        <v>42.94</v>
      </c>
      <c r="I39" s="64">
        <v>1.5</v>
      </c>
      <c r="J39" s="64">
        <v>0.38</v>
      </c>
      <c r="K39" s="64">
        <v>356.52</v>
      </c>
      <c r="L39" s="64">
        <v>18.84</v>
      </c>
      <c r="M39" s="64">
        <v>70.84</v>
      </c>
      <c r="N39" s="64">
        <v>162.6</v>
      </c>
      <c r="O39" s="64">
        <v>0</v>
      </c>
      <c r="P39" s="64">
        <v>1.02</v>
      </c>
      <c r="Q39" s="64">
        <v>6.06</v>
      </c>
      <c r="R39" s="198"/>
      <c r="S39" s="198"/>
      <c r="T39" s="198"/>
      <c r="U39" s="198"/>
    </row>
    <row r="40" spans="1:21" s="12" customFormat="1" x14ac:dyDescent="0.25">
      <c r="A40" s="215" t="s">
        <v>2489</v>
      </c>
      <c r="B40" s="64">
        <v>11.7</v>
      </c>
      <c r="C40" s="64">
        <v>47.45</v>
      </c>
      <c r="D40" s="64">
        <v>36.21</v>
      </c>
      <c r="E40" s="64">
        <v>2.23</v>
      </c>
      <c r="F40" s="64">
        <v>3.64</v>
      </c>
      <c r="G40" s="64">
        <v>93.58</v>
      </c>
      <c r="H40" s="64">
        <v>42.94</v>
      </c>
      <c r="I40" s="64">
        <v>1.5</v>
      </c>
      <c r="J40" s="64">
        <v>0.73</v>
      </c>
      <c r="K40" s="64">
        <v>340.03</v>
      </c>
      <c r="L40" s="64">
        <v>20.34</v>
      </c>
      <c r="M40" s="64">
        <v>63.08</v>
      </c>
      <c r="N40" s="64">
        <v>216.4</v>
      </c>
      <c r="O40" s="64">
        <v>0</v>
      </c>
      <c r="P40" s="64">
        <v>1.02</v>
      </c>
      <c r="Q40" s="64">
        <v>6.16</v>
      </c>
      <c r="R40" s="198"/>
      <c r="S40" s="198"/>
      <c r="T40" s="198"/>
      <c r="U40" s="198"/>
    </row>
    <row r="41" spans="1:21" s="12" customFormat="1" x14ac:dyDescent="0.25">
      <c r="A41" s="215" t="s">
        <v>2490</v>
      </c>
      <c r="B41" s="64">
        <v>12.05</v>
      </c>
      <c r="C41" s="64">
        <v>48.38</v>
      </c>
      <c r="D41" s="64">
        <v>37</v>
      </c>
      <c r="E41" s="64">
        <v>2.39</v>
      </c>
      <c r="F41" s="64">
        <v>3.7</v>
      </c>
      <c r="G41" s="64">
        <v>99.71</v>
      </c>
      <c r="H41" s="64">
        <v>50.41</v>
      </c>
      <c r="I41" s="64">
        <v>1.53</v>
      </c>
      <c r="J41" s="64">
        <v>0.52</v>
      </c>
      <c r="K41" s="64">
        <v>324.73</v>
      </c>
      <c r="L41" s="64">
        <v>20.94</v>
      </c>
      <c r="M41" s="64">
        <v>60.92</v>
      </c>
      <c r="N41" s="64">
        <v>209.1</v>
      </c>
      <c r="O41" s="64">
        <v>0</v>
      </c>
      <c r="P41" s="64">
        <v>1.02</v>
      </c>
      <c r="Q41" s="64">
        <v>6.2</v>
      </c>
      <c r="R41" s="198"/>
      <c r="S41" s="198"/>
      <c r="T41" s="198"/>
      <c r="U41" s="198"/>
    </row>
    <row r="42" spans="1:21" s="12" customFormat="1" x14ac:dyDescent="0.25">
      <c r="A42" s="215" t="s">
        <v>2491</v>
      </c>
      <c r="B42" s="64">
        <v>11.86</v>
      </c>
      <c r="C42" s="64">
        <v>48.57</v>
      </c>
      <c r="D42" s="64">
        <v>36.96</v>
      </c>
      <c r="E42" s="64">
        <v>2.41</v>
      </c>
      <c r="F42" s="64">
        <v>4.25</v>
      </c>
      <c r="G42" s="64">
        <v>103.8</v>
      </c>
      <c r="H42" s="64">
        <v>52.39</v>
      </c>
      <c r="I42" s="64">
        <v>1.47</v>
      </c>
      <c r="J42" s="64">
        <v>0.22</v>
      </c>
      <c r="K42" s="64">
        <v>342.08</v>
      </c>
      <c r="L42" s="64">
        <v>20.94</v>
      </c>
      <c r="M42" s="64">
        <v>61.17</v>
      </c>
      <c r="N42" s="64">
        <v>256.5</v>
      </c>
      <c r="O42" s="64">
        <v>0</v>
      </c>
      <c r="P42" s="64">
        <v>1.04</v>
      </c>
      <c r="Q42" s="64">
        <v>6.23</v>
      </c>
      <c r="R42" s="198"/>
      <c r="S42" s="198"/>
      <c r="T42" s="198"/>
      <c r="U42" s="198"/>
    </row>
    <row r="43" spans="1:21" s="12" customFormat="1" x14ac:dyDescent="0.25">
      <c r="A43" s="215" t="s">
        <v>2492</v>
      </c>
      <c r="B43" s="64">
        <v>11.6</v>
      </c>
      <c r="C43" s="64">
        <v>48.14</v>
      </c>
      <c r="D43" s="64">
        <v>36.520000000000003</v>
      </c>
      <c r="E43" s="64">
        <v>2.37</v>
      </c>
      <c r="F43" s="64">
        <v>3.79</v>
      </c>
      <c r="G43" s="64">
        <v>103.8</v>
      </c>
      <c r="H43" s="64">
        <v>52.39</v>
      </c>
      <c r="I43" s="64">
        <v>1.5</v>
      </c>
      <c r="J43" s="64">
        <v>0.18</v>
      </c>
      <c r="K43" s="64">
        <v>336.21</v>
      </c>
      <c r="L43" s="64">
        <v>21.26</v>
      </c>
      <c r="M43" s="64">
        <v>61.43</v>
      </c>
      <c r="N43" s="64">
        <v>274.39999999999998</v>
      </c>
      <c r="O43" s="64">
        <v>0</v>
      </c>
      <c r="P43" s="64">
        <v>1.04</v>
      </c>
      <c r="Q43" s="64">
        <v>6.31</v>
      </c>
      <c r="R43" s="198"/>
      <c r="S43" s="198"/>
      <c r="T43" s="198"/>
      <c r="U43" s="198"/>
    </row>
    <row r="44" spans="1:21" s="12" customFormat="1" x14ac:dyDescent="0.25">
      <c r="A44" s="215" t="s">
        <v>2493</v>
      </c>
      <c r="B44" s="64">
        <v>12.02</v>
      </c>
      <c r="C44" s="64">
        <v>50.25</v>
      </c>
      <c r="D44" s="64">
        <v>38.020000000000003</v>
      </c>
      <c r="E44" s="64">
        <v>2.33</v>
      </c>
      <c r="F44" s="64">
        <v>4.37</v>
      </c>
      <c r="G44" s="64">
        <v>103.8</v>
      </c>
      <c r="H44" s="64">
        <v>52.39</v>
      </c>
      <c r="I44" s="64">
        <v>1.48</v>
      </c>
      <c r="J44" s="64">
        <v>0.47</v>
      </c>
      <c r="K44" s="64">
        <v>319.77999999999997</v>
      </c>
      <c r="L44" s="64">
        <v>22.52</v>
      </c>
      <c r="M44" s="64">
        <v>56.37</v>
      </c>
      <c r="N44" s="64">
        <v>408.8</v>
      </c>
      <c r="O44" s="64">
        <v>0</v>
      </c>
      <c r="P44" s="64">
        <v>1.04</v>
      </c>
      <c r="Q44" s="64">
        <v>6.25</v>
      </c>
      <c r="R44" s="198"/>
      <c r="S44" s="198"/>
      <c r="T44" s="198"/>
      <c r="U44" s="198"/>
    </row>
    <row r="45" spans="1:21" s="12" customFormat="1" x14ac:dyDescent="0.25">
      <c r="A45" s="215" t="s">
        <v>2494</v>
      </c>
      <c r="B45" s="64">
        <v>12.19</v>
      </c>
      <c r="C45" s="64">
        <v>47.99</v>
      </c>
      <c r="D45" s="64">
        <v>36.909999999999997</v>
      </c>
      <c r="E45" s="64">
        <v>2.35</v>
      </c>
      <c r="F45" s="64">
        <v>4.2300000000000004</v>
      </c>
      <c r="G45" s="64">
        <v>102.42</v>
      </c>
      <c r="H45" s="64">
        <v>49.3</v>
      </c>
      <c r="I45" s="64">
        <v>1.47</v>
      </c>
      <c r="J45" s="64">
        <v>0.55000000000000004</v>
      </c>
      <c r="K45" s="64">
        <v>341.95</v>
      </c>
      <c r="L45" s="64">
        <v>23.66</v>
      </c>
      <c r="M45" s="64">
        <v>53.45</v>
      </c>
      <c r="N45" s="64">
        <v>391</v>
      </c>
      <c r="O45" s="64">
        <v>0</v>
      </c>
      <c r="P45" s="64">
        <v>1.04</v>
      </c>
      <c r="Q45" s="64">
        <v>6.32</v>
      </c>
      <c r="R45" s="198"/>
      <c r="S45" s="198"/>
      <c r="T45" s="198"/>
      <c r="U45" s="198"/>
    </row>
    <row r="46" spans="1:21" s="12" customFormat="1" x14ac:dyDescent="0.25">
      <c r="A46" s="215" t="s">
        <v>2495</v>
      </c>
      <c r="B46" s="64">
        <v>11.47</v>
      </c>
      <c r="C46" s="64">
        <v>49.17</v>
      </c>
      <c r="D46" s="64">
        <v>36.979999999999997</v>
      </c>
      <c r="E46" s="64">
        <v>2.3199999999999998</v>
      </c>
      <c r="F46" s="64">
        <v>3.96</v>
      </c>
      <c r="G46" s="64">
        <v>101.5</v>
      </c>
      <c r="H46" s="64">
        <v>48</v>
      </c>
      <c r="I46" s="64">
        <v>1.53</v>
      </c>
      <c r="J46" s="64">
        <v>0.75</v>
      </c>
      <c r="K46" s="64">
        <v>343.64</v>
      </c>
      <c r="L46" s="64">
        <v>25.01</v>
      </c>
      <c r="M46" s="64">
        <v>50.14</v>
      </c>
      <c r="N46" s="64">
        <v>456.4</v>
      </c>
      <c r="O46" s="64">
        <v>0</v>
      </c>
      <c r="P46" s="64">
        <v>1.06</v>
      </c>
      <c r="Q46" s="64">
        <v>6.31</v>
      </c>
      <c r="R46" s="198"/>
      <c r="S46" s="198"/>
      <c r="T46" s="198"/>
      <c r="U46" s="198"/>
    </row>
    <row r="47" spans="1:21" s="12" customFormat="1" x14ac:dyDescent="0.25">
      <c r="A47" s="215" t="s">
        <v>2496</v>
      </c>
      <c r="B47" s="64">
        <v>10.41</v>
      </c>
      <c r="C47" s="64">
        <v>49.7</v>
      </c>
      <c r="D47" s="64">
        <v>36.43</v>
      </c>
      <c r="E47" s="64">
        <v>2.36</v>
      </c>
      <c r="F47" s="64">
        <v>5.22</v>
      </c>
      <c r="G47" s="64">
        <v>101.5</v>
      </c>
      <c r="H47" s="64">
        <v>48</v>
      </c>
      <c r="I47" s="64">
        <v>1.48</v>
      </c>
      <c r="J47" s="64">
        <v>0.6</v>
      </c>
      <c r="K47" s="64">
        <v>342.1</v>
      </c>
      <c r="L47" s="64">
        <v>25.24</v>
      </c>
      <c r="M47" s="64">
        <v>49.44</v>
      </c>
      <c r="N47" s="64">
        <v>476.5</v>
      </c>
      <c r="O47" s="64">
        <v>0</v>
      </c>
      <c r="P47" s="64">
        <v>1.07</v>
      </c>
      <c r="Q47" s="64">
        <v>6.34</v>
      </c>
      <c r="R47" s="198"/>
      <c r="S47" s="198"/>
      <c r="T47" s="198"/>
      <c r="U47" s="198"/>
    </row>
    <row r="48" spans="1:21" s="12" customFormat="1" x14ac:dyDescent="0.25">
      <c r="A48" s="215" t="s">
        <v>2497</v>
      </c>
      <c r="B48" s="64">
        <v>9.3699999999999992</v>
      </c>
      <c r="C48" s="64">
        <v>50.09</v>
      </c>
      <c r="D48" s="64">
        <v>35.81</v>
      </c>
      <c r="E48" s="64">
        <v>2.33</v>
      </c>
      <c r="F48" s="64">
        <v>4.41</v>
      </c>
      <c r="G48" s="64">
        <v>101.5</v>
      </c>
      <c r="H48" s="64">
        <v>48</v>
      </c>
      <c r="I48" s="64">
        <v>1.55</v>
      </c>
      <c r="J48" s="64">
        <v>0.65</v>
      </c>
      <c r="K48" s="64">
        <v>345.89</v>
      </c>
      <c r="L48" s="64">
        <v>25.73</v>
      </c>
      <c r="M48" s="64">
        <v>48.34</v>
      </c>
      <c r="N48" s="64">
        <v>479.7</v>
      </c>
      <c r="O48" s="64">
        <v>0</v>
      </c>
      <c r="P48" s="64">
        <v>1.08</v>
      </c>
      <c r="Q48" s="64">
        <v>6.27</v>
      </c>
      <c r="R48" s="198"/>
      <c r="S48" s="198"/>
      <c r="T48" s="198"/>
      <c r="U48" s="198"/>
    </row>
    <row r="49" spans="1:21" s="12" customFormat="1" x14ac:dyDescent="0.25">
      <c r="A49" s="215" t="s">
        <v>2498</v>
      </c>
      <c r="B49" s="64">
        <v>8.56</v>
      </c>
      <c r="C49" s="64">
        <v>50.99</v>
      </c>
      <c r="D49" s="64">
        <v>35.65</v>
      </c>
      <c r="E49" s="64">
        <v>2.35</v>
      </c>
      <c r="F49" s="64">
        <v>4.45</v>
      </c>
      <c r="G49" s="64">
        <v>99.07</v>
      </c>
      <c r="H49" s="64">
        <v>46.47</v>
      </c>
      <c r="I49" s="64">
        <v>1.54</v>
      </c>
      <c r="J49" s="64">
        <v>0.26</v>
      </c>
      <c r="K49" s="64">
        <v>35.1</v>
      </c>
      <c r="L49" s="64">
        <v>25.39</v>
      </c>
      <c r="M49" s="64">
        <v>50.34</v>
      </c>
      <c r="N49" s="64">
        <v>523.6</v>
      </c>
      <c r="O49" s="64">
        <v>0</v>
      </c>
      <c r="P49" s="64">
        <v>1.08</v>
      </c>
      <c r="Q49" s="64">
        <v>6.15</v>
      </c>
      <c r="R49" s="198"/>
      <c r="S49" s="198"/>
      <c r="T49" s="198"/>
      <c r="U49" s="198"/>
    </row>
    <row r="50" spans="1:21" s="12" customFormat="1" x14ac:dyDescent="0.25">
      <c r="A50" s="215" t="s">
        <v>2499</v>
      </c>
      <c r="B50" s="64">
        <v>7.47</v>
      </c>
      <c r="C50" s="64">
        <v>50.44</v>
      </c>
      <c r="D50" s="64">
        <v>34.47</v>
      </c>
      <c r="E50" s="64">
        <v>2.41</v>
      </c>
      <c r="F50" s="64">
        <v>5.51</v>
      </c>
      <c r="G50" s="64">
        <v>97.46</v>
      </c>
      <c r="H50" s="64">
        <v>46.09</v>
      </c>
      <c r="I50" s="64">
        <v>1.5</v>
      </c>
      <c r="J50" s="64">
        <v>0.44</v>
      </c>
      <c r="K50" s="64">
        <v>81.19</v>
      </c>
      <c r="L50" s="64">
        <v>24.24</v>
      </c>
      <c r="M50" s="64">
        <v>54.66</v>
      </c>
      <c r="N50" s="64">
        <v>526.4</v>
      </c>
      <c r="O50" s="64">
        <v>0</v>
      </c>
      <c r="P50" s="64">
        <v>1.0900000000000001</v>
      </c>
      <c r="Q50" s="64">
        <v>6.09</v>
      </c>
      <c r="R50" s="198"/>
      <c r="S50" s="198"/>
      <c r="T50" s="198"/>
      <c r="U50" s="198"/>
    </row>
    <row r="51" spans="1:21" s="12" customFormat="1" x14ac:dyDescent="0.25">
      <c r="A51" s="215" t="s">
        <v>2500</v>
      </c>
      <c r="B51" s="64">
        <v>6</v>
      </c>
      <c r="C51" s="64">
        <v>54.67</v>
      </c>
      <c r="D51" s="64">
        <v>35.630000000000003</v>
      </c>
      <c r="E51" s="64">
        <v>2.38</v>
      </c>
      <c r="F51" s="64">
        <v>9.2200000000000006</v>
      </c>
      <c r="G51" s="64">
        <v>97.46</v>
      </c>
      <c r="H51" s="64">
        <v>46.09</v>
      </c>
      <c r="I51" s="64">
        <v>1.51</v>
      </c>
      <c r="J51" s="64">
        <v>0.31</v>
      </c>
      <c r="K51" s="64">
        <v>0.8</v>
      </c>
      <c r="L51" s="64">
        <v>25.91</v>
      </c>
      <c r="M51" s="64">
        <v>48.4</v>
      </c>
      <c r="N51" s="64">
        <v>546.5</v>
      </c>
      <c r="O51" s="64">
        <v>0</v>
      </c>
      <c r="P51" s="64">
        <v>1.08</v>
      </c>
      <c r="Q51" s="64">
        <v>5.99</v>
      </c>
      <c r="R51" s="198"/>
      <c r="S51" s="198"/>
      <c r="T51" s="198"/>
      <c r="U51" s="198"/>
    </row>
    <row r="52" spans="1:21" s="12" customFormat="1" x14ac:dyDescent="0.25">
      <c r="A52" s="215" t="s">
        <v>2501</v>
      </c>
      <c r="B52" s="64">
        <v>3.48</v>
      </c>
      <c r="C52" s="64">
        <v>52.95</v>
      </c>
      <c r="D52" s="64">
        <v>32.659999999999997</v>
      </c>
      <c r="E52" s="64">
        <v>2.34</v>
      </c>
      <c r="F52" s="64">
        <v>7.46</v>
      </c>
      <c r="G52" s="64">
        <v>97.46</v>
      </c>
      <c r="H52" s="64">
        <v>46.09</v>
      </c>
      <c r="I52" s="64">
        <v>1.5</v>
      </c>
      <c r="J52" s="64">
        <v>0.95</v>
      </c>
      <c r="K52" s="64">
        <v>111.01</v>
      </c>
      <c r="L52" s="64">
        <v>24.96</v>
      </c>
      <c r="M52" s="64">
        <v>51.05</v>
      </c>
      <c r="N52" s="64">
        <v>572.4</v>
      </c>
      <c r="O52" s="64">
        <v>0</v>
      </c>
      <c r="P52" s="64">
        <v>1.08</v>
      </c>
      <c r="Q52" s="64">
        <v>5.95</v>
      </c>
      <c r="R52" s="198"/>
      <c r="S52" s="198"/>
      <c r="T52" s="198"/>
      <c r="U52" s="198"/>
    </row>
    <row r="53" spans="1:21" s="12" customFormat="1" x14ac:dyDescent="0.25">
      <c r="A53" s="215" t="s">
        <v>2502</v>
      </c>
      <c r="B53" s="64">
        <v>2.9</v>
      </c>
      <c r="C53" s="64">
        <v>50.28</v>
      </c>
      <c r="D53" s="64">
        <v>30.72</v>
      </c>
      <c r="E53" s="64">
        <v>2.4500000000000002</v>
      </c>
      <c r="F53" s="64">
        <v>6.94</v>
      </c>
      <c r="G53" s="64">
        <v>87.9</v>
      </c>
      <c r="H53" s="64">
        <v>44.1</v>
      </c>
      <c r="I53" s="64">
        <v>1.5</v>
      </c>
      <c r="J53" s="64">
        <v>0.62</v>
      </c>
      <c r="K53" s="64">
        <v>90.59</v>
      </c>
      <c r="L53" s="64">
        <v>24.66</v>
      </c>
      <c r="M53" s="64">
        <v>51.24</v>
      </c>
      <c r="N53" s="64">
        <v>570.1</v>
      </c>
      <c r="O53" s="64">
        <v>0</v>
      </c>
      <c r="P53" s="64">
        <v>1.06</v>
      </c>
      <c r="Q53" s="64">
        <v>5.93</v>
      </c>
      <c r="R53" s="198"/>
      <c r="S53" s="198"/>
      <c r="T53" s="198"/>
      <c r="U53" s="198"/>
    </row>
    <row r="54" spans="1:21" s="12" customFormat="1" x14ac:dyDescent="0.25">
      <c r="A54" s="215" t="s">
        <v>2503</v>
      </c>
      <c r="B54" s="64">
        <v>3.12</v>
      </c>
      <c r="C54" s="64">
        <v>48.08</v>
      </c>
      <c r="D54" s="64">
        <v>29.68</v>
      </c>
      <c r="E54" s="64">
        <v>2.4300000000000002</v>
      </c>
      <c r="F54" s="64">
        <v>7.03</v>
      </c>
      <c r="G54" s="64">
        <v>81.52</v>
      </c>
      <c r="H54" s="64">
        <v>43.61</v>
      </c>
      <c r="I54" s="64">
        <v>1.48</v>
      </c>
      <c r="J54" s="64">
        <v>0.23</v>
      </c>
      <c r="K54" s="64">
        <v>32.04</v>
      </c>
      <c r="L54" s="64">
        <v>25.82</v>
      </c>
      <c r="M54" s="64">
        <v>46.07</v>
      </c>
      <c r="N54" s="64">
        <v>576</v>
      </c>
      <c r="O54" s="64">
        <v>0</v>
      </c>
      <c r="P54" s="64">
        <v>1.04</v>
      </c>
      <c r="Q54" s="64">
        <v>5.86</v>
      </c>
      <c r="R54" s="198"/>
      <c r="S54" s="198"/>
      <c r="T54" s="198"/>
      <c r="U54" s="198"/>
    </row>
    <row r="55" spans="1:21" s="12" customFormat="1" x14ac:dyDescent="0.25">
      <c r="A55" s="215" t="s">
        <v>2504</v>
      </c>
      <c r="B55" s="64">
        <v>3.15</v>
      </c>
      <c r="C55" s="64">
        <v>46.96</v>
      </c>
      <c r="D55" s="64">
        <v>29.09</v>
      </c>
      <c r="E55" s="64">
        <v>2.38</v>
      </c>
      <c r="F55" s="64">
        <v>7.17</v>
      </c>
      <c r="G55" s="64">
        <v>81.52</v>
      </c>
      <c r="H55" s="64">
        <v>43.61</v>
      </c>
      <c r="I55" s="64">
        <v>1.47</v>
      </c>
      <c r="J55" s="64">
        <v>0.31</v>
      </c>
      <c r="K55" s="64">
        <v>41.07</v>
      </c>
      <c r="L55" s="64">
        <v>26.53</v>
      </c>
      <c r="M55" s="64">
        <v>42.49</v>
      </c>
      <c r="N55" s="64">
        <v>570</v>
      </c>
      <c r="O55" s="64">
        <v>0</v>
      </c>
      <c r="P55" s="64">
        <v>1.04</v>
      </c>
      <c r="Q55" s="64">
        <v>5.83</v>
      </c>
      <c r="R55" s="198"/>
      <c r="S55" s="198"/>
      <c r="T55" s="198"/>
      <c r="U55" s="198"/>
    </row>
    <row r="56" spans="1:21" s="12" customFormat="1" x14ac:dyDescent="0.25">
      <c r="A56" s="215" t="s">
        <v>2505</v>
      </c>
      <c r="B56" s="64">
        <v>3.5</v>
      </c>
      <c r="C56" s="64">
        <v>45.61</v>
      </c>
      <c r="D56" s="64">
        <v>28.62</v>
      </c>
      <c r="E56" s="64">
        <v>2.16</v>
      </c>
      <c r="F56" s="64">
        <v>8.14</v>
      </c>
      <c r="G56" s="64">
        <v>81.52</v>
      </c>
      <c r="H56" s="64">
        <v>43.61</v>
      </c>
      <c r="I56" s="64">
        <v>1.53</v>
      </c>
      <c r="J56" s="64">
        <v>0.24</v>
      </c>
      <c r="K56" s="64">
        <v>33.79</v>
      </c>
      <c r="L56" s="64">
        <v>27.19</v>
      </c>
      <c r="M56" s="64">
        <v>40.61</v>
      </c>
      <c r="N56" s="64">
        <v>558</v>
      </c>
      <c r="O56" s="64">
        <v>0</v>
      </c>
      <c r="P56" s="64">
        <v>1.02</v>
      </c>
      <c r="Q56" s="64">
        <v>5.82</v>
      </c>
      <c r="R56" s="198"/>
      <c r="S56" s="198"/>
      <c r="T56" s="198"/>
      <c r="U56" s="198"/>
    </row>
    <row r="57" spans="1:21" s="12" customFormat="1" x14ac:dyDescent="0.25">
      <c r="A57" s="215" t="s">
        <v>2506</v>
      </c>
      <c r="B57" s="64">
        <v>3.3</v>
      </c>
      <c r="C57" s="64">
        <v>47.85</v>
      </c>
      <c r="D57" s="64">
        <v>29.7</v>
      </c>
      <c r="E57" s="64">
        <v>2.38</v>
      </c>
      <c r="F57" s="64">
        <v>7.1</v>
      </c>
      <c r="G57" s="64">
        <v>81.56</v>
      </c>
      <c r="H57" s="64">
        <v>44.84</v>
      </c>
      <c r="I57" s="64">
        <v>1.56</v>
      </c>
      <c r="J57" s="64">
        <v>0.49</v>
      </c>
      <c r="K57" s="64">
        <v>341.56</v>
      </c>
      <c r="L57" s="64">
        <v>27.17</v>
      </c>
      <c r="M57" s="64">
        <v>39.49</v>
      </c>
      <c r="N57" s="64">
        <v>532.6</v>
      </c>
      <c r="O57" s="64">
        <v>0</v>
      </c>
      <c r="P57" s="64">
        <v>1.01</v>
      </c>
      <c r="Q57" s="64">
        <v>5.73</v>
      </c>
      <c r="R57" s="198"/>
      <c r="S57" s="198"/>
      <c r="T57" s="198"/>
      <c r="U57" s="198"/>
    </row>
    <row r="58" spans="1:21" s="12" customFormat="1" x14ac:dyDescent="0.25">
      <c r="A58" s="215" t="s">
        <v>2507</v>
      </c>
      <c r="B58" s="64">
        <v>3.33</v>
      </c>
      <c r="C58" s="64">
        <v>47.93</v>
      </c>
      <c r="D58" s="64">
        <v>29.77</v>
      </c>
      <c r="E58" s="64">
        <v>2.2799999999999998</v>
      </c>
      <c r="F58" s="64">
        <v>6.46</v>
      </c>
      <c r="G58" s="64">
        <v>81.58</v>
      </c>
      <c r="H58" s="64">
        <v>45.14</v>
      </c>
      <c r="I58" s="64">
        <v>1.49</v>
      </c>
      <c r="J58" s="64">
        <v>0.25</v>
      </c>
      <c r="K58" s="64">
        <v>35.1</v>
      </c>
      <c r="L58" s="64">
        <v>27.82</v>
      </c>
      <c r="M58" s="64">
        <v>37.21</v>
      </c>
      <c r="N58" s="64">
        <v>511.4</v>
      </c>
      <c r="O58" s="64">
        <v>0</v>
      </c>
      <c r="P58" s="64">
        <v>1</v>
      </c>
      <c r="Q58" s="64">
        <v>5.76</v>
      </c>
      <c r="R58" s="198"/>
      <c r="S58" s="198"/>
      <c r="T58" s="198"/>
      <c r="U58" s="198"/>
    </row>
    <row r="59" spans="1:21" s="12" customFormat="1" x14ac:dyDescent="0.25">
      <c r="A59" s="215" t="s">
        <v>2508</v>
      </c>
      <c r="B59" s="64">
        <v>3.46</v>
      </c>
      <c r="C59" s="64">
        <v>47.69</v>
      </c>
      <c r="D59" s="64">
        <v>29.74</v>
      </c>
      <c r="E59" s="64">
        <v>2.3199999999999998</v>
      </c>
      <c r="F59" s="64">
        <v>7.82</v>
      </c>
      <c r="G59" s="64">
        <v>81.58</v>
      </c>
      <c r="H59" s="64">
        <v>45.14</v>
      </c>
      <c r="I59" s="64">
        <v>1.53</v>
      </c>
      <c r="J59" s="64">
        <v>0.68</v>
      </c>
      <c r="K59" s="64">
        <v>351.03</v>
      </c>
      <c r="L59" s="64">
        <v>27.09</v>
      </c>
      <c r="M59" s="64">
        <v>38.01</v>
      </c>
      <c r="N59" s="64">
        <v>533.70000000000005</v>
      </c>
      <c r="O59" s="64">
        <v>0</v>
      </c>
      <c r="P59" s="64">
        <v>0.98</v>
      </c>
      <c r="Q59" s="64">
        <v>5.73</v>
      </c>
      <c r="R59" s="198"/>
      <c r="S59" s="198"/>
      <c r="T59" s="198"/>
      <c r="U59" s="198"/>
    </row>
    <row r="60" spans="1:21" s="12" customFormat="1" x14ac:dyDescent="0.25">
      <c r="A60" s="215" t="s">
        <v>2509</v>
      </c>
      <c r="B60" s="64">
        <v>3.7</v>
      </c>
      <c r="C60" s="64">
        <v>48.36</v>
      </c>
      <c r="D60" s="64">
        <v>30.3</v>
      </c>
      <c r="E60" s="64">
        <v>2.34</v>
      </c>
      <c r="F60" s="64">
        <v>7.83</v>
      </c>
      <c r="G60" s="64">
        <v>81.58</v>
      </c>
      <c r="H60" s="64">
        <v>45.14</v>
      </c>
      <c r="I60" s="64">
        <v>1.49</v>
      </c>
      <c r="J60" s="64">
        <v>0.65</v>
      </c>
      <c r="K60" s="64">
        <v>102.58</v>
      </c>
      <c r="L60" s="64">
        <v>26.93</v>
      </c>
      <c r="M60" s="64">
        <v>38.35</v>
      </c>
      <c r="N60" s="64">
        <v>504.2</v>
      </c>
      <c r="O60" s="64">
        <v>0</v>
      </c>
      <c r="P60" s="64">
        <v>0.97</v>
      </c>
      <c r="Q60" s="64">
        <v>5.66</v>
      </c>
      <c r="R60" s="198"/>
      <c r="S60" s="198"/>
      <c r="T60" s="198"/>
      <c r="U60" s="198"/>
    </row>
    <row r="61" spans="1:21" s="12" customFormat="1" x14ac:dyDescent="0.25">
      <c r="A61" s="215" t="s">
        <v>2510</v>
      </c>
      <c r="B61" s="64">
        <v>3.06</v>
      </c>
      <c r="C61" s="64">
        <v>47.05</v>
      </c>
      <c r="D61" s="64">
        <v>29.07</v>
      </c>
      <c r="E61" s="64">
        <v>2.4500000000000002</v>
      </c>
      <c r="F61" s="64">
        <v>11.89</v>
      </c>
      <c r="G61" s="64">
        <v>70.849999999999994</v>
      </c>
      <c r="H61" s="64">
        <v>42.14</v>
      </c>
      <c r="I61" s="64">
        <v>1.52</v>
      </c>
      <c r="J61" s="64">
        <v>0.5</v>
      </c>
      <c r="K61" s="64">
        <v>106.33</v>
      </c>
      <c r="L61" s="64">
        <v>25.95</v>
      </c>
      <c r="M61" s="64">
        <v>39.729999999999997</v>
      </c>
      <c r="N61" s="64">
        <v>516.9</v>
      </c>
      <c r="O61" s="64">
        <v>0</v>
      </c>
      <c r="P61" s="64">
        <v>0.79</v>
      </c>
      <c r="Q61" s="64">
        <v>5.72</v>
      </c>
      <c r="R61" s="198"/>
      <c r="S61" s="198"/>
      <c r="T61" s="198"/>
      <c r="U61" s="198"/>
    </row>
    <row r="62" spans="1:21" s="12" customFormat="1" x14ac:dyDescent="0.25">
      <c r="A62" s="215" t="s">
        <v>2511</v>
      </c>
      <c r="B62" s="64">
        <v>2.91</v>
      </c>
      <c r="C62" s="64">
        <v>46.03</v>
      </c>
      <c r="D62" s="64">
        <v>28.38</v>
      </c>
      <c r="E62" s="64">
        <v>2.48</v>
      </c>
      <c r="F62" s="64">
        <v>9.81</v>
      </c>
      <c r="G62" s="64">
        <v>63.69</v>
      </c>
      <c r="H62" s="64">
        <v>40.840000000000003</v>
      </c>
      <c r="I62" s="64">
        <v>1.54</v>
      </c>
      <c r="J62" s="64">
        <v>0.82</v>
      </c>
      <c r="K62" s="64">
        <v>100.37</v>
      </c>
      <c r="L62" s="64">
        <v>26.44</v>
      </c>
      <c r="M62" s="64">
        <v>39.65</v>
      </c>
      <c r="N62" s="64">
        <v>451.1</v>
      </c>
      <c r="O62" s="64">
        <v>0</v>
      </c>
      <c r="P62" s="64">
        <v>0.85</v>
      </c>
      <c r="Q62" s="64">
        <v>5.73</v>
      </c>
      <c r="R62" s="198"/>
      <c r="S62" s="198"/>
      <c r="T62" s="198"/>
      <c r="U62" s="198"/>
    </row>
    <row r="63" spans="1:21" s="12" customFormat="1" x14ac:dyDescent="0.25">
      <c r="A63" s="215" t="s">
        <v>2512</v>
      </c>
      <c r="B63" s="64">
        <v>2.97</v>
      </c>
      <c r="C63" s="64">
        <v>44.33</v>
      </c>
      <c r="D63" s="64">
        <v>27.49</v>
      </c>
      <c r="E63" s="64">
        <v>2.6</v>
      </c>
      <c r="F63" s="64">
        <v>9.68</v>
      </c>
      <c r="G63" s="64">
        <v>63.69</v>
      </c>
      <c r="H63" s="64">
        <v>40.840000000000003</v>
      </c>
      <c r="I63" s="64">
        <v>1.56</v>
      </c>
      <c r="J63" s="64">
        <v>0.85</v>
      </c>
      <c r="K63" s="64">
        <v>125.1</v>
      </c>
      <c r="L63" s="64">
        <v>25.51</v>
      </c>
      <c r="M63" s="64">
        <v>40.44</v>
      </c>
      <c r="N63" s="64">
        <v>336.8</v>
      </c>
      <c r="O63" s="64">
        <v>0</v>
      </c>
      <c r="P63" s="64">
        <v>0.82</v>
      </c>
      <c r="Q63" s="64">
        <v>5.75</v>
      </c>
      <c r="R63" s="198"/>
      <c r="S63" s="198"/>
      <c r="T63" s="198"/>
      <c r="U63" s="198"/>
    </row>
    <row r="64" spans="1:21" s="12" customFormat="1" x14ac:dyDescent="0.25">
      <c r="A64" s="215" t="s">
        <v>2513</v>
      </c>
      <c r="B64" s="64">
        <v>3.73</v>
      </c>
      <c r="C64" s="64">
        <v>46.78</v>
      </c>
      <c r="D64" s="64">
        <v>29.45</v>
      </c>
      <c r="E64" s="64">
        <v>2.56</v>
      </c>
      <c r="F64" s="64">
        <v>10.029999999999999</v>
      </c>
      <c r="G64" s="64">
        <v>63.69</v>
      </c>
      <c r="H64" s="64">
        <v>40.840000000000003</v>
      </c>
      <c r="I64" s="64">
        <v>1.44</v>
      </c>
      <c r="J64" s="64">
        <v>0.93</v>
      </c>
      <c r="K64" s="64">
        <v>109.57</v>
      </c>
      <c r="L64" s="64">
        <v>25.68</v>
      </c>
      <c r="M64" s="64">
        <v>40.5</v>
      </c>
      <c r="N64" s="64">
        <v>264.89999999999998</v>
      </c>
      <c r="O64" s="64">
        <v>0</v>
      </c>
      <c r="P64" s="64">
        <v>0.84</v>
      </c>
      <c r="Q64" s="64">
        <v>5.59</v>
      </c>
      <c r="R64" s="198"/>
      <c r="S64" s="198"/>
      <c r="T64" s="198"/>
      <c r="U64" s="198"/>
    </row>
    <row r="65" spans="1:21" s="12" customFormat="1" x14ac:dyDescent="0.25">
      <c r="A65" s="215" t="s">
        <v>2514</v>
      </c>
      <c r="B65" s="64">
        <v>3.3</v>
      </c>
      <c r="C65" s="64">
        <v>40.1</v>
      </c>
      <c r="D65" s="64">
        <v>25.42</v>
      </c>
      <c r="E65" s="64">
        <v>2.72</v>
      </c>
      <c r="F65" s="64">
        <v>19.13</v>
      </c>
      <c r="G65" s="64">
        <v>57.01</v>
      </c>
      <c r="H65" s="64">
        <v>33.479999999999997</v>
      </c>
      <c r="I65" s="64">
        <v>1.49</v>
      </c>
      <c r="J65" s="64">
        <v>0.73</v>
      </c>
      <c r="K65" s="64">
        <v>112.26</v>
      </c>
      <c r="L65" s="64">
        <v>25.51</v>
      </c>
      <c r="M65" s="64">
        <v>40.93</v>
      </c>
      <c r="N65" s="64">
        <v>234.4</v>
      </c>
      <c r="O65" s="64">
        <v>0</v>
      </c>
      <c r="P65" s="64">
        <v>0.75</v>
      </c>
      <c r="Q65" s="64">
        <v>5.66</v>
      </c>
      <c r="R65" s="198"/>
      <c r="S65" s="198"/>
      <c r="T65" s="198"/>
      <c r="U65" s="198"/>
    </row>
    <row r="66" spans="1:21" s="12" customFormat="1" x14ac:dyDescent="0.25">
      <c r="A66" s="215" t="s">
        <v>2515</v>
      </c>
      <c r="B66" s="64">
        <v>3.49</v>
      </c>
      <c r="C66" s="64">
        <v>46.06</v>
      </c>
      <c r="D66" s="64">
        <v>28.86</v>
      </c>
      <c r="E66" s="64">
        <v>2.73</v>
      </c>
      <c r="F66" s="64">
        <v>13.67</v>
      </c>
      <c r="G66" s="64">
        <v>52.56</v>
      </c>
      <c r="H66" s="64">
        <v>31.67</v>
      </c>
      <c r="I66" s="64">
        <v>1.53</v>
      </c>
      <c r="J66" s="64">
        <v>0.28000000000000003</v>
      </c>
      <c r="K66" s="64">
        <v>56.26</v>
      </c>
      <c r="L66" s="64">
        <v>25.79</v>
      </c>
      <c r="M66" s="64">
        <v>40.9</v>
      </c>
      <c r="N66" s="64">
        <v>200.1</v>
      </c>
      <c r="O66" s="64">
        <v>0</v>
      </c>
      <c r="P66" s="64">
        <v>0.81</v>
      </c>
      <c r="Q66" s="64">
        <v>5.73</v>
      </c>
      <c r="R66" s="198"/>
      <c r="S66" s="198"/>
      <c r="T66" s="198"/>
      <c r="U66" s="198"/>
    </row>
    <row r="67" spans="1:21" s="12" customFormat="1" x14ac:dyDescent="0.25">
      <c r="A67" s="215" t="s">
        <v>2516</v>
      </c>
      <c r="B67" s="64">
        <v>5.38</v>
      </c>
      <c r="C67" s="64">
        <v>44.23</v>
      </c>
      <c r="D67" s="64">
        <v>29.37</v>
      </c>
      <c r="E67" s="64">
        <v>2.8</v>
      </c>
      <c r="F67" s="64">
        <v>11.89</v>
      </c>
      <c r="G67" s="64">
        <v>52.56</v>
      </c>
      <c r="H67" s="64">
        <v>31.67</v>
      </c>
      <c r="I67" s="64">
        <v>1.56</v>
      </c>
      <c r="J67" s="64">
        <v>0.48</v>
      </c>
      <c r="K67" s="64">
        <v>352.04</v>
      </c>
      <c r="L67" s="64">
        <v>26.24</v>
      </c>
      <c r="M67" s="64">
        <v>39.92</v>
      </c>
      <c r="N67" s="64">
        <v>211.3</v>
      </c>
      <c r="O67" s="64">
        <v>0</v>
      </c>
      <c r="P67" s="64">
        <v>0.8</v>
      </c>
      <c r="Q67" s="64">
        <v>5.12</v>
      </c>
      <c r="R67" s="198"/>
      <c r="S67" s="198"/>
      <c r="T67" s="198"/>
      <c r="U67" s="198"/>
    </row>
    <row r="68" spans="1:21" s="12" customFormat="1" x14ac:dyDescent="0.25">
      <c r="A68" s="215" t="s">
        <v>2517</v>
      </c>
      <c r="B68" s="64">
        <v>4.6500000000000004</v>
      </c>
      <c r="C68" s="64">
        <v>48.86</v>
      </c>
      <c r="D68" s="64">
        <v>31.34</v>
      </c>
      <c r="E68" s="64">
        <v>2.94</v>
      </c>
      <c r="F68" s="64">
        <v>14.56</v>
      </c>
      <c r="G68" s="64">
        <v>52.56</v>
      </c>
      <c r="H68" s="64">
        <v>31.67</v>
      </c>
      <c r="I68" s="64">
        <v>1.5</v>
      </c>
      <c r="J68" s="64">
        <v>0.34</v>
      </c>
      <c r="K68" s="64">
        <v>61.11</v>
      </c>
      <c r="L68" s="64">
        <v>25.91</v>
      </c>
      <c r="M68" s="64">
        <v>40.42</v>
      </c>
      <c r="N68" s="64">
        <v>151</v>
      </c>
      <c r="O68" s="64">
        <v>0</v>
      </c>
      <c r="P68" s="64">
        <v>0.83</v>
      </c>
      <c r="Q68" s="64">
        <v>5.24</v>
      </c>
      <c r="R68" s="198"/>
      <c r="S68" s="198"/>
      <c r="T68" s="198"/>
      <c r="U68" s="198"/>
    </row>
    <row r="69" spans="1:21" s="12" customFormat="1" x14ac:dyDescent="0.25">
      <c r="A69" s="215" t="s">
        <v>2518</v>
      </c>
      <c r="B69" s="64">
        <v>3.82</v>
      </c>
      <c r="C69" s="64">
        <v>43.64</v>
      </c>
      <c r="D69" s="64">
        <v>27.8</v>
      </c>
      <c r="E69" s="64">
        <v>2.99</v>
      </c>
      <c r="F69" s="64">
        <v>25.19</v>
      </c>
      <c r="G69" s="64">
        <v>62.79</v>
      </c>
      <c r="H69" s="64">
        <v>38.630000000000003</v>
      </c>
      <c r="I69" s="64">
        <v>1.49</v>
      </c>
      <c r="J69" s="64">
        <v>0.46</v>
      </c>
      <c r="K69" s="64">
        <v>115.93</v>
      </c>
      <c r="L69" s="64">
        <v>25.13</v>
      </c>
      <c r="M69" s="64">
        <v>41.41</v>
      </c>
      <c r="N69" s="64">
        <v>149.5</v>
      </c>
      <c r="O69" s="64">
        <v>0</v>
      </c>
      <c r="P69" s="64">
        <v>0.73</v>
      </c>
      <c r="Q69" s="64">
        <v>5.67</v>
      </c>
      <c r="R69" s="198"/>
      <c r="S69" s="198"/>
      <c r="T69" s="198"/>
      <c r="U69" s="198"/>
    </row>
    <row r="70" spans="1:21" s="12" customFormat="1" x14ac:dyDescent="0.25">
      <c r="A70" s="215" t="s">
        <v>2519</v>
      </c>
      <c r="B70" s="64">
        <v>3.63</v>
      </c>
      <c r="C70" s="64">
        <v>42.89</v>
      </c>
      <c r="D70" s="64">
        <v>27.23</v>
      </c>
      <c r="E70" s="64">
        <v>3.28</v>
      </c>
      <c r="F70" s="64">
        <v>24.19</v>
      </c>
      <c r="G70" s="64">
        <v>69.61</v>
      </c>
      <c r="H70" s="64">
        <v>40.33</v>
      </c>
      <c r="I70" s="64">
        <v>1.52</v>
      </c>
      <c r="J70" s="64">
        <v>0.57999999999999996</v>
      </c>
      <c r="K70" s="64">
        <v>113.55</v>
      </c>
      <c r="L70" s="64">
        <v>24.86</v>
      </c>
      <c r="M70" s="64">
        <v>42.53</v>
      </c>
      <c r="N70" s="64">
        <v>140.9</v>
      </c>
      <c r="O70" s="64">
        <v>0</v>
      </c>
      <c r="P70" s="64">
        <v>0.73</v>
      </c>
      <c r="Q70" s="64">
        <v>6.02</v>
      </c>
      <c r="R70" s="198"/>
      <c r="S70" s="198"/>
      <c r="T70" s="198"/>
      <c r="U70" s="198"/>
    </row>
    <row r="71" spans="1:21" s="12" customFormat="1" x14ac:dyDescent="0.25">
      <c r="A71" s="215" t="s">
        <v>2520</v>
      </c>
      <c r="B71" s="64">
        <v>5.22</v>
      </c>
      <c r="C71" s="64">
        <v>52.16</v>
      </c>
      <c r="D71" s="64">
        <v>33.619999999999997</v>
      </c>
      <c r="E71" s="64">
        <v>3.34</v>
      </c>
      <c r="F71" s="64">
        <v>20.36</v>
      </c>
      <c r="G71" s="64">
        <v>69.61</v>
      </c>
      <c r="H71" s="64">
        <v>40.33</v>
      </c>
      <c r="I71" s="64">
        <v>1.55</v>
      </c>
      <c r="J71" s="64">
        <v>0.43</v>
      </c>
      <c r="K71" s="64">
        <v>344.34</v>
      </c>
      <c r="L71" s="64">
        <v>25.47</v>
      </c>
      <c r="M71" s="64">
        <v>40.82</v>
      </c>
      <c r="N71" s="64">
        <v>116.3</v>
      </c>
      <c r="O71" s="64">
        <v>0</v>
      </c>
      <c r="P71" s="64">
        <v>0.8</v>
      </c>
      <c r="Q71" s="64">
        <v>5.63</v>
      </c>
      <c r="R71" s="198"/>
      <c r="S71" s="198"/>
      <c r="T71" s="198"/>
      <c r="U71" s="198"/>
    </row>
    <row r="72" spans="1:21" s="12" customFormat="1" x14ac:dyDescent="0.25">
      <c r="A72" s="215" t="s">
        <v>2521</v>
      </c>
      <c r="B72" s="64">
        <v>4.5</v>
      </c>
      <c r="C72" s="64">
        <v>53.37</v>
      </c>
      <c r="D72" s="64">
        <v>33.71</v>
      </c>
      <c r="E72" s="64">
        <v>2.81</v>
      </c>
      <c r="F72" s="64">
        <v>16.899999999999999</v>
      </c>
      <c r="G72" s="64">
        <v>69.61</v>
      </c>
      <c r="H72" s="64">
        <v>40.33</v>
      </c>
      <c r="I72" s="64">
        <v>1.5</v>
      </c>
      <c r="J72" s="64">
        <v>0.25</v>
      </c>
      <c r="K72" s="64">
        <v>40.21</v>
      </c>
      <c r="L72" s="64">
        <v>25.38</v>
      </c>
      <c r="M72" s="64">
        <v>40.950000000000003</v>
      </c>
      <c r="N72" s="64">
        <v>98.4</v>
      </c>
      <c r="O72" s="64">
        <v>0</v>
      </c>
      <c r="P72" s="64">
        <v>0.87</v>
      </c>
      <c r="Q72" s="64">
        <v>5.04</v>
      </c>
      <c r="R72" s="198"/>
      <c r="S72" s="198"/>
      <c r="T72" s="198"/>
      <c r="U72" s="198"/>
    </row>
    <row r="73" spans="1:21" s="12" customFormat="1" x14ac:dyDescent="0.25">
      <c r="A73" s="215" t="s">
        <v>2522</v>
      </c>
      <c r="B73" s="64">
        <v>6.29</v>
      </c>
      <c r="C73" s="64">
        <v>56.26</v>
      </c>
      <c r="D73" s="64">
        <v>36.74</v>
      </c>
      <c r="E73" s="64">
        <v>3.27</v>
      </c>
      <c r="F73" s="64">
        <v>23.11</v>
      </c>
      <c r="G73" s="64">
        <v>71.790000000000006</v>
      </c>
      <c r="H73" s="64">
        <v>45.34</v>
      </c>
      <c r="I73" s="64">
        <v>1.51</v>
      </c>
      <c r="J73" s="64">
        <v>0.22</v>
      </c>
      <c r="K73" s="64">
        <v>85.09</v>
      </c>
      <c r="L73" s="64">
        <v>24.76</v>
      </c>
      <c r="M73" s="64">
        <v>42.71</v>
      </c>
      <c r="N73" s="64">
        <v>81.8</v>
      </c>
      <c r="O73" s="64">
        <v>0</v>
      </c>
      <c r="P73" s="64">
        <v>0.83</v>
      </c>
      <c r="Q73" s="64">
        <v>5.16</v>
      </c>
      <c r="R73" s="198"/>
      <c r="S73" s="198"/>
      <c r="T73" s="198"/>
      <c r="U73" s="198"/>
    </row>
    <row r="74" spans="1:21" s="12" customFormat="1" x14ac:dyDescent="0.25">
      <c r="A74" s="215" t="s">
        <v>2523</v>
      </c>
      <c r="B74" s="64">
        <v>4.26</v>
      </c>
      <c r="C74" s="64">
        <v>54.06</v>
      </c>
      <c r="D74" s="64">
        <v>33.9</v>
      </c>
      <c r="E74" s="64">
        <v>3.37</v>
      </c>
      <c r="F74" s="64">
        <v>24.71</v>
      </c>
      <c r="G74" s="64">
        <v>73.25</v>
      </c>
      <c r="H74" s="64">
        <v>46.57</v>
      </c>
      <c r="I74" s="64">
        <v>1.44</v>
      </c>
      <c r="J74" s="64">
        <v>0.19</v>
      </c>
      <c r="K74" s="64">
        <v>64.42</v>
      </c>
      <c r="L74" s="64">
        <v>24.42</v>
      </c>
      <c r="M74" s="64">
        <v>44.23</v>
      </c>
      <c r="N74" s="64">
        <v>56.5</v>
      </c>
      <c r="O74" s="64">
        <v>0</v>
      </c>
      <c r="P74" s="64">
        <v>0.85</v>
      </c>
      <c r="Q74" s="64">
        <v>4.68</v>
      </c>
      <c r="R74" s="198"/>
      <c r="S74" s="198"/>
      <c r="T74" s="198"/>
      <c r="U74" s="198"/>
    </row>
    <row r="75" spans="1:21" s="12" customFormat="1" x14ac:dyDescent="0.25">
      <c r="A75" s="215" t="s">
        <v>2524</v>
      </c>
      <c r="B75" s="64">
        <v>4.5999999999999996</v>
      </c>
      <c r="C75" s="64">
        <v>54.59</v>
      </c>
      <c r="D75" s="64">
        <v>34.46</v>
      </c>
      <c r="E75" s="64">
        <v>3.34</v>
      </c>
      <c r="F75" s="64">
        <v>19.579999999999998</v>
      </c>
      <c r="G75" s="64">
        <v>73.25</v>
      </c>
      <c r="H75" s="64">
        <v>46.57</v>
      </c>
      <c r="I75" s="64">
        <v>1.53</v>
      </c>
      <c r="J75" s="64">
        <v>0.22</v>
      </c>
      <c r="K75" s="64">
        <v>91.71</v>
      </c>
      <c r="L75" s="64">
        <v>23.97</v>
      </c>
      <c r="M75" s="64">
        <v>45.59</v>
      </c>
      <c r="N75" s="64">
        <v>52.5</v>
      </c>
      <c r="O75" s="64">
        <v>0</v>
      </c>
      <c r="P75" s="64">
        <v>0.91</v>
      </c>
      <c r="Q75" s="64">
        <v>5.63</v>
      </c>
      <c r="R75" s="198"/>
      <c r="S75" s="198"/>
      <c r="T75" s="198"/>
      <c r="U75" s="198"/>
    </row>
    <row r="76" spans="1:21" s="12" customFormat="1" x14ac:dyDescent="0.25">
      <c r="A76" s="215" t="s">
        <v>2525</v>
      </c>
      <c r="B76" s="64">
        <v>3.89</v>
      </c>
      <c r="C76" s="64">
        <v>62.39</v>
      </c>
      <c r="D76" s="64">
        <v>38.200000000000003</v>
      </c>
      <c r="E76" s="64">
        <v>3.66</v>
      </c>
      <c r="F76" s="64">
        <v>18.399999999999999</v>
      </c>
      <c r="G76" s="64">
        <v>73.25</v>
      </c>
      <c r="H76" s="64">
        <v>46.57</v>
      </c>
      <c r="I76" s="64">
        <v>1.61</v>
      </c>
      <c r="J76" s="64">
        <v>0.16</v>
      </c>
      <c r="K76" s="64">
        <v>98.99</v>
      </c>
      <c r="L76" s="64">
        <v>23.75</v>
      </c>
      <c r="M76" s="64">
        <v>46.88</v>
      </c>
      <c r="N76" s="64">
        <v>39.9</v>
      </c>
      <c r="O76" s="64">
        <v>0</v>
      </c>
      <c r="P76" s="64">
        <v>0.97</v>
      </c>
      <c r="Q76" s="64">
        <v>5.31</v>
      </c>
      <c r="R76" s="198"/>
      <c r="S76" s="198"/>
      <c r="T76" s="198"/>
      <c r="U76" s="198"/>
    </row>
    <row r="77" spans="1:21" s="12" customFormat="1" x14ac:dyDescent="0.25">
      <c r="A77" s="215" t="s">
        <v>2526</v>
      </c>
      <c r="B77" s="64">
        <v>3.41</v>
      </c>
      <c r="C77" s="64">
        <v>57.55</v>
      </c>
      <c r="D77" s="64">
        <v>35.14</v>
      </c>
      <c r="E77" s="64">
        <v>3.65</v>
      </c>
      <c r="F77" s="64">
        <v>28.17</v>
      </c>
      <c r="G77" s="64">
        <v>77.010000000000005</v>
      </c>
      <c r="H77" s="64">
        <v>44.59</v>
      </c>
      <c r="I77" s="64">
        <v>1.44</v>
      </c>
      <c r="J77" s="64">
        <v>0.2</v>
      </c>
      <c r="K77" s="64">
        <v>89.89</v>
      </c>
      <c r="L77" s="64">
        <v>23.39</v>
      </c>
      <c r="M77" s="64">
        <v>47.9</v>
      </c>
      <c r="N77" s="64">
        <v>30.5</v>
      </c>
      <c r="O77" s="64">
        <v>0</v>
      </c>
      <c r="P77" s="64">
        <v>0.96</v>
      </c>
      <c r="Q77" s="64">
        <v>5.73</v>
      </c>
      <c r="R77" s="198"/>
      <c r="S77" s="198"/>
      <c r="T77" s="198"/>
      <c r="U77" s="198"/>
    </row>
    <row r="78" spans="1:21" s="12" customFormat="1" x14ac:dyDescent="0.25">
      <c r="A78" s="215" t="s">
        <v>2527</v>
      </c>
      <c r="B78" s="64">
        <v>5.0599999999999996</v>
      </c>
      <c r="C78" s="64">
        <v>68.31</v>
      </c>
      <c r="D78" s="64">
        <v>42.4</v>
      </c>
      <c r="E78" s="64">
        <v>3.79</v>
      </c>
      <c r="F78" s="64">
        <v>15.86</v>
      </c>
      <c r="G78" s="64">
        <v>79.52</v>
      </c>
      <c r="H78" s="64">
        <v>43.76</v>
      </c>
      <c r="I78" s="64">
        <v>1.53</v>
      </c>
      <c r="J78" s="64">
        <v>0.13</v>
      </c>
      <c r="K78" s="64">
        <v>73.09</v>
      </c>
      <c r="L78" s="64">
        <v>23.13</v>
      </c>
      <c r="M78" s="64">
        <v>48.34</v>
      </c>
      <c r="N78" s="64">
        <v>28.1</v>
      </c>
      <c r="O78" s="64">
        <v>0</v>
      </c>
      <c r="P78" s="64">
        <v>1.19</v>
      </c>
      <c r="Q78" s="64">
        <v>5.27</v>
      </c>
      <c r="R78" s="198"/>
      <c r="S78" s="198"/>
      <c r="T78" s="198"/>
      <c r="U78" s="198"/>
    </row>
    <row r="79" spans="1:21" s="12" customFormat="1" x14ac:dyDescent="0.25">
      <c r="A79" s="215" t="s">
        <v>2528</v>
      </c>
      <c r="B79" s="64">
        <v>5.91</v>
      </c>
      <c r="C79" s="64">
        <v>63.98</v>
      </c>
      <c r="D79" s="64">
        <v>40.69</v>
      </c>
      <c r="E79" s="64">
        <v>3.8</v>
      </c>
      <c r="F79" s="64">
        <v>11.61</v>
      </c>
      <c r="G79" s="64">
        <v>79.52</v>
      </c>
      <c r="H79" s="64">
        <v>43.76</v>
      </c>
      <c r="I79" s="64">
        <v>1.52</v>
      </c>
      <c r="J79" s="64">
        <v>0.13</v>
      </c>
      <c r="K79" s="64">
        <v>73.59</v>
      </c>
      <c r="L79" s="64">
        <v>22.76</v>
      </c>
      <c r="M79" s="64">
        <v>50.48</v>
      </c>
      <c r="N79" s="64">
        <v>27.7</v>
      </c>
      <c r="O79" s="64">
        <v>0</v>
      </c>
      <c r="P79" s="64">
        <v>1.17</v>
      </c>
      <c r="Q79" s="64">
        <v>5.0199999999999996</v>
      </c>
      <c r="R79" s="198"/>
      <c r="S79" s="198"/>
      <c r="T79" s="198"/>
      <c r="U79" s="198"/>
    </row>
    <row r="80" spans="1:21" s="12" customFormat="1" x14ac:dyDescent="0.25">
      <c r="A80" s="215" t="s">
        <v>2529</v>
      </c>
      <c r="B80" s="64">
        <v>4.24</v>
      </c>
      <c r="C80" s="64">
        <v>74.959999999999994</v>
      </c>
      <c r="D80" s="64">
        <v>45.41</v>
      </c>
      <c r="E80" s="64">
        <v>3.65</v>
      </c>
      <c r="F80" s="64">
        <v>12.94</v>
      </c>
      <c r="G80" s="64">
        <v>79.52</v>
      </c>
      <c r="H80" s="64">
        <v>43.76</v>
      </c>
      <c r="I80" s="64">
        <v>1.57</v>
      </c>
      <c r="J80" s="64">
        <v>0.16</v>
      </c>
      <c r="K80" s="64">
        <v>85.27</v>
      </c>
      <c r="L80" s="64">
        <v>22.54</v>
      </c>
      <c r="M80" s="64">
        <v>51.52</v>
      </c>
      <c r="N80" s="64">
        <v>27.5</v>
      </c>
      <c r="O80" s="64">
        <v>0</v>
      </c>
      <c r="P80" s="64">
        <v>1.4</v>
      </c>
      <c r="Q80" s="64">
        <v>4.5199999999999996</v>
      </c>
      <c r="R80" s="198"/>
      <c r="S80" s="198"/>
      <c r="T80" s="198"/>
      <c r="U80" s="198"/>
    </row>
    <row r="81" spans="1:26" s="12" customFormat="1" x14ac:dyDescent="0.25">
      <c r="A81" s="215" t="s">
        <v>2530</v>
      </c>
      <c r="B81" s="64">
        <v>5.14</v>
      </c>
      <c r="C81" s="64">
        <v>74.91</v>
      </c>
      <c r="D81" s="64">
        <v>46.11</v>
      </c>
      <c r="E81" s="64">
        <v>3.66</v>
      </c>
      <c r="F81" s="64">
        <v>10.76</v>
      </c>
      <c r="G81" s="64">
        <v>92.73</v>
      </c>
      <c r="H81" s="64">
        <v>77.22</v>
      </c>
      <c r="I81" s="64">
        <v>1.53</v>
      </c>
      <c r="J81" s="64">
        <v>0.23</v>
      </c>
      <c r="K81" s="64">
        <v>92.78</v>
      </c>
      <c r="L81" s="64">
        <v>22.58</v>
      </c>
      <c r="M81" s="64">
        <v>51.93</v>
      </c>
      <c r="N81" s="64">
        <v>27.5</v>
      </c>
      <c r="O81" s="64">
        <v>0</v>
      </c>
      <c r="P81" s="64">
        <v>1.28</v>
      </c>
      <c r="Q81" s="64">
        <v>5.0999999999999996</v>
      </c>
      <c r="R81" s="198"/>
      <c r="S81" s="198"/>
      <c r="T81" s="198"/>
      <c r="U81" s="198"/>
    </row>
    <row r="82" spans="1:26" s="12" customFormat="1" x14ac:dyDescent="0.25">
      <c r="A82" s="215" t="s">
        <v>2531</v>
      </c>
      <c r="B82" s="64">
        <v>4.87</v>
      </c>
      <c r="C82" s="64">
        <v>69.260000000000005</v>
      </c>
      <c r="D82" s="64">
        <v>42.78</v>
      </c>
      <c r="E82" s="64">
        <v>3.64</v>
      </c>
      <c r="F82" s="64">
        <v>10.58</v>
      </c>
      <c r="G82" s="64">
        <v>101.54</v>
      </c>
      <c r="H82" s="64">
        <v>85.43</v>
      </c>
      <c r="I82" s="64">
        <v>1.49</v>
      </c>
      <c r="J82" s="64">
        <v>0.17</v>
      </c>
      <c r="K82" s="64">
        <v>105.95</v>
      </c>
      <c r="L82" s="64">
        <v>22.63</v>
      </c>
      <c r="M82" s="64">
        <v>52.03</v>
      </c>
      <c r="N82" s="64">
        <v>27.6</v>
      </c>
      <c r="O82" s="64">
        <v>0</v>
      </c>
      <c r="P82" s="64">
        <v>1.27</v>
      </c>
      <c r="Q82" s="64">
        <v>5.45</v>
      </c>
      <c r="R82" s="198"/>
      <c r="S82" s="198"/>
      <c r="T82" s="198"/>
      <c r="U82" s="198"/>
    </row>
    <row r="83" spans="1:26" s="12" customFormat="1" x14ac:dyDescent="0.25">
      <c r="A83" s="215" t="s">
        <v>2532</v>
      </c>
      <c r="B83" s="64">
        <v>5.2</v>
      </c>
      <c r="C83" s="64">
        <v>71.430000000000007</v>
      </c>
      <c r="D83" s="64">
        <v>44.24</v>
      </c>
      <c r="E83" s="64">
        <v>3.57</v>
      </c>
      <c r="F83" s="64">
        <v>10.039999999999999</v>
      </c>
      <c r="G83" s="64">
        <v>101.54</v>
      </c>
      <c r="H83" s="64">
        <v>85.43</v>
      </c>
      <c r="I83" s="64">
        <v>1.54</v>
      </c>
      <c r="J83" s="64">
        <v>0.24</v>
      </c>
      <c r="K83" s="64">
        <v>95.49</v>
      </c>
      <c r="L83" s="64">
        <v>22.51</v>
      </c>
      <c r="M83" s="64">
        <v>52.03</v>
      </c>
      <c r="N83" s="64">
        <v>27.8</v>
      </c>
      <c r="O83" s="64">
        <v>0</v>
      </c>
      <c r="P83" s="64">
        <v>1.35</v>
      </c>
      <c r="Q83" s="64">
        <v>5.48</v>
      </c>
      <c r="R83" s="198"/>
      <c r="S83" s="198"/>
      <c r="T83" s="198"/>
      <c r="U83" s="198"/>
    </row>
    <row r="84" spans="1:26" s="12" customFormat="1" x14ac:dyDescent="0.25">
      <c r="A84" s="215" t="s">
        <v>2533</v>
      </c>
      <c r="B84" s="64">
        <v>5.71</v>
      </c>
      <c r="C84" s="64">
        <v>64.48</v>
      </c>
      <c r="D84" s="64">
        <v>40.81</v>
      </c>
      <c r="E84" s="64">
        <v>3.31</v>
      </c>
      <c r="F84" s="64">
        <v>8.61</v>
      </c>
      <c r="G84" s="64">
        <v>101.54</v>
      </c>
      <c r="H84" s="64">
        <v>85.43</v>
      </c>
      <c r="I84" s="64">
        <v>1.5</v>
      </c>
      <c r="J84" s="64">
        <v>0.21</v>
      </c>
      <c r="K84" s="64">
        <v>85.36</v>
      </c>
      <c r="L84" s="64">
        <v>22.33</v>
      </c>
      <c r="M84" s="64">
        <v>51.67</v>
      </c>
      <c r="N84" s="64">
        <v>27.7</v>
      </c>
      <c r="O84" s="64">
        <v>0</v>
      </c>
      <c r="P84" s="64">
        <v>1.26</v>
      </c>
      <c r="Q84" s="64">
        <v>5.75</v>
      </c>
      <c r="R84" s="198"/>
      <c r="S84" s="198"/>
      <c r="T84" s="198"/>
      <c r="U84" s="198"/>
    </row>
    <row r="85" spans="1:26" s="12" customFormat="1" x14ac:dyDescent="0.25">
      <c r="A85" s="215" t="s">
        <v>2534</v>
      </c>
      <c r="B85" s="64">
        <v>5.9</v>
      </c>
      <c r="C85" s="64">
        <v>66.819999999999993</v>
      </c>
      <c r="D85" s="64">
        <v>42.26</v>
      </c>
      <c r="E85" s="64">
        <v>3.41</v>
      </c>
      <c r="F85" s="64">
        <v>10.09</v>
      </c>
      <c r="G85" s="64">
        <v>99.98</v>
      </c>
      <c r="H85" s="64">
        <v>69.31</v>
      </c>
      <c r="I85" s="64">
        <v>1.44</v>
      </c>
      <c r="J85" s="64">
        <v>0.24</v>
      </c>
      <c r="K85" s="64">
        <v>92.55</v>
      </c>
      <c r="L85" s="64">
        <v>22.18</v>
      </c>
      <c r="M85" s="64">
        <v>52.5</v>
      </c>
      <c r="N85" s="64">
        <v>27.7</v>
      </c>
      <c r="O85" s="64">
        <v>0</v>
      </c>
      <c r="P85" s="64">
        <v>1.26</v>
      </c>
      <c r="Q85" s="64">
        <v>5.4</v>
      </c>
      <c r="R85" s="198"/>
      <c r="S85" s="198"/>
      <c r="T85" s="198"/>
      <c r="U85" s="198"/>
    </row>
    <row r="86" spans="1:26" s="12" customFormat="1" x14ac:dyDescent="0.25">
      <c r="A86" s="215" t="s">
        <v>2535</v>
      </c>
      <c r="B86" s="64">
        <v>5.28</v>
      </c>
      <c r="C86" s="64">
        <v>63.88</v>
      </c>
      <c r="D86" s="64">
        <v>40.14</v>
      </c>
      <c r="E86" s="64">
        <v>3.42</v>
      </c>
      <c r="F86" s="64">
        <v>9.25</v>
      </c>
      <c r="G86" s="64">
        <v>98.94</v>
      </c>
      <c r="H86" s="64">
        <v>65.36</v>
      </c>
      <c r="I86" s="64">
        <v>1.44</v>
      </c>
      <c r="J86" s="64">
        <v>0.12</v>
      </c>
      <c r="K86" s="64">
        <v>77.81</v>
      </c>
      <c r="L86" s="64">
        <v>22.03</v>
      </c>
      <c r="M86" s="64">
        <v>53.54</v>
      </c>
      <c r="N86" s="64">
        <v>27.7</v>
      </c>
      <c r="O86" s="64">
        <v>0</v>
      </c>
      <c r="P86" s="64">
        <v>1.37</v>
      </c>
      <c r="Q86" s="64">
        <v>5.71</v>
      </c>
      <c r="R86" s="198"/>
      <c r="S86" s="198"/>
      <c r="T86" s="198"/>
      <c r="U86" s="198"/>
    </row>
    <row r="87" spans="1:26" s="12" customFormat="1" x14ac:dyDescent="0.25">
      <c r="A87" s="215" t="s">
        <v>2536</v>
      </c>
      <c r="B87" s="64">
        <v>5.54</v>
      </c>
      <c r="C87" s="64">
        <v>62.14</v>
      </c>
      <c r="D87" s="64">
        <v>39.380000000000003</v>
      </c>
      <c r="E87" s="64">
        <v>3.16</v>
      </c>
      <c r="F87" s="64">
        <v>8.42</v>
      </c>
      <c r="G87" s="64">
        <v>98.94</v>
      </c>
      <c r="H87" s="64">
        <v>65.36</v>
      </c>
      <c r="I87" s="64">
        <v>1.48</v>
      </c>
      <c r="J87" s="64">
        <v>0.12</v>
      </c>
      <c r="K87" s="64">
        <v>95.09</v>
      </c>
      <c r="L87" s="64">
        <v>21.89</v>
      </c>
      <c r="M87" s="64">
        <v>54.36</v>
      </c>
      <c r="N87" s="64">
        <v>27.7</v>
      </c>
      <c r="O87" s="64">
        <v>0</v>
      </c>
      <c r="P87" s="64">
        <v>1.34</v>
      </c>
      <c r="Q87" s="64">
        <v>5.82</v>
      </c>
      <c r="R87" s="198"/>
      <c r="S87" s="198"/>
      <c r="T87" s="198"/>
      <c r="U87" s="198"/>
    </row>
    <row r="88" spans="1:26" s="12" customFormat="1" x14ac:dyDescent="0.25">
      <c r="A88" s="215" t="s">
        <v>2537</v>
      </c>
      <c r="B88" s="64">
        <v>5.12</v>
      </c>
      <c r="C88" s="64">
        <v>59.44</v>
      </c>
      <c r="D88" s="64">
        <v>37.56</v>
      </c>
      <c r="E88" s="64">
        <v>3.1</v>
      </c>
      <c r="F88" s="64">
        <v>12.44</v>
      </c>
      <c r="G88" s="64">
        <v>98.94</v>
      </c>
      <c r="H88" s="64">
        <v>65.36</v>
      </c>
      <c r="I88" s="64">
        <v>1.44</v>
      </c>
      <c r="J88" s="64">
        <v>0.14000000000000001</v>
      </c>
      <c r="K88" s="64">
        <v>115.06</v>
      </c>
      <c r="L88" s="64">
        <v>21.69</v>
      </c>
      <c r="M88" s="64">
        <v>55.4</v>
      </c>
      <c r="N88" s="64">
        <v>27.7</v>
      </c>
      <c r="O88" s="64">
        <v>0</v>
      </c>
      <c r="P88" s="64">
        <v>1.35</v>
      </c>
      <c r="Q88" s="64">
        <v>5.94</v>
      </c>
      <c r="R88" s="198"/>
      <c r="S88" s="198"/>
      <c r="T88" s="198"/>
      <c r="U88" s="198"/>
    </row>
    <row r="89" spans="1:26" s="12" customFormat="1" x14ac:dyDescent="0.25">
      <c r="A89" s="215" t="s">
        <v>2538</v>
      </c>
      <c r="B89" s="64">
        <v>5.05</v>
      </c>
      <c r="C89" s="64">
        <v>62.5</v>
      </c>
      <c r="D89" s="64">
        <v>39.19</v>
      </c>
      <c r="E89" s="64">
        <v>3.8</v>
      </c>
      <c r="F89" s="64">
        <v>8.7200000000000006</v>
      </c>
      <c r="G89" s="64">
        <v>100.51</v>
      </c>
      <c r="H89" s="64">
        <v>60.82</v>
      </c>
      <c r="I89" s="64">
        <v>1.47</v>
      </c>
      <c r="J89" s="64">
        <v>0.2</v>
      </c>
      <c r="K89" s="64">
        <v>79.62</v>
      </c>
      <c r="L89" s="64">
        <v>21.68</v>
      </c>
      <c r="M89" s="64">
        <v>55.63</v>
      </c>
      <c r="N89" s="64">
        <v>27.7</v>
      </c>
      <c r="O89" s="64">
        <v>0</v>
      </c>
      <c r="P89" s="64">
        <v>1.43</v>
      </c>
      <c r="Q89" s="64">
        <v>5.81</v>
      </c>
      <c r="R89" s="198"/>
      <c r="S89" s="198"/>
      <c r="T89" s="198"/>
      <c r="U89" s="198"/>
    </row>
    <row r="90" spans="1:26" s="12" customFormat="1" x14ac:dyDescent="0.25">
      <c r="A90" s="215" t="s">
        <v>2539</v>
      </c>
      <c r="B90" s="64">
        <v>6.67</v>
      </c>
      <c r="C90" s="64">
        <v>67.03</v>
      </c>
      <c r="D90" s="64">
        <v>42.99</v>
      </c>
      <c r="E90" s="64">
        <v>3.8</v>
      </c>
      <c r="F90" s="64">
        <v>8.58</v>
      </c>
      <c r="G90" s="64">
        <v>101.56</v>
      </c>
      <c r="H90" s="64">
        <v>59.71</v>
      </c>
      <c r="I90" s="64">
        <v>1.56</v>
      </c>
      <c r="J90" s="64">
        <v>7.0000000000000007E-2</v>
      </c>
      <c r="K90" s="64">
        <v>84.41</v>
      </c>
      <c r="L90" s="64">
        <v>21.63</v>
      </c>
      <c r="M90" s="64">
        <v>55.97</v>
      </c>
      <c r="N90" s="64">
        <v>27.7</v>
      </c>
      <c r="O90" s="64">
        <v>0</v>
      </c>
      <c r="P90" s="64">
        <v>1.47</v>
      </c>
      <c r="Q90" s="64">
        <v>5.52</v>
      </c>
      <c r="R90" s="198"/>
      <c r="S90" s="198"/>
      <c r="T90" s="198"/>
      <c r="U90" s="198"/>
    </row>
    <row r="91" spans="1:26" s="12" customFormat="1" x14ac:dyDescent="0.25">
      <c r="A91" s="215" t="s">
        <v>2540</v>
      </c>
      <c r="B91" s="64">
        <v>8.44</v>
      </c>
      <c r="C91" s="64">
        <v>66.89</v>
      </c>
      <c r="D91" s="64">
        <v>44.33</v>
      </c>
      <c r="E91" s="64">
        <v>3.74</v>
      </c>
      <c r="F91" s="64">
        <v>5.9</v>
      </c>
      <c r="G91" s="64">
        <v>101.56</v>
      </c>
      <c r="H91" s="64">
        <v>59.71</v>
      </c>
      <c r="I91" s="64">
        <v>1.46</v>
      </c>
      <c r="J91" s="64">
        <v>0.16</v>
      </c>
      <c r="K91" s="64">
        <v>77.930000000000007</v>
      </c>
      <c r="L91" s="64">
        <v>21.44</v>
      </c>
      <c r="M91" s="64">
        <v>57.28</v>
      </c>
      <c r="N91" s="64">
        <v>27.8</v>
      </c>
      <c r="O91" s="64">
        <v>0</v>
      </c>
      <c r="P91" s="64">
        <v>1.57</v>
      </c>
      <c r="Q91" s="64">
        <v>5.39</v>
      </c>
      <c r="R91" s="198"/>
      <c r="S91" s="198"/>
      <c r="T91" s="198"/>
      <c r="U91" s="198"/>
    </row>
    <row r="92" spans="1:26" s="12" customFormat="1" x14ac:dyDescent="0.25">
      <c r="A92" s="215" t="s">
        <v>2541</v>
      </c>
      <c r="B92" s="64">
        <v>9.4600000000000009</v>
      </c>
      <c r="C92" s="64">
        <v>66.290000000000006</v>
      </c>
      <c r="D92" s="64">
        <v>44.82</v>
      </c>
      <c r="E92" s="64">
        <v>3.59</v>
      </c>
      <c r="F92" s="64">
        <v>7.05</v>
      </c>
      <c r="G92" s="64">
        <v>101.56</v>
      </c>
      <c r="H92" s="64">
        <v>59.71</v>
      </c>
      <c r="I92" s="64">
        <v>1.49</v>
      </c>
      <c r="J92" s="64">
        <v>7.0000000000000007E-2</v>
      </c>
      <c r="K92" s="64">
        <v>56.17</v>
      </c>
      <c r="L92" s="64">
        <v>21.21</v>
      </c>
      <c r="M92" s="64">
        <v>59.4</v>
      </c>
      <c r="N92" s="64">
        <v>27.9</v>
      </c>
      <c r="O92" s="64">
        <v>0</v>
      </c>
      <c r="P92" s="64">
        <v>1.57</v>
      </c>
      <c r="Q92" s="64">
        <v>5.51</v>
      </c>
      <c r="R92" s="198"/>
      <c r="S92" s="198"/>
      <c r="T92" s="198"/>
      <c r="U92" s="198"/>
    </row>
    <row r="93" spans="1:26" s="12" customFormat="1" x14ac:dyDescent="0.25">
      <c r="A93" s="215" t="s">
        <v>2542</v>
      </c>
      <c r="B93" s="64">
        <v>8.9700000000000006</v>
      </c>
      <c r="C93" s="64">
        <v>63.1</v>
      </c>
      <c r="D93" s="64">
        <v>42.66</v>
      </c>
      <c r="E93" s="64">
        <v>3.6</v>
      </c>
      <c r="F93" s="64">
        <v>6.08</v>
      </c>
      <c r="G93" s="64">
        <v>110.79</v>
      </c>
      <c r="H93" s="64">
        <v>51.39</v>
      </c>
      <c r="I93" s="64">
        <v>1.53</v>
      </c>
      <c r="J93" s="64">
        <v>0.11</v>
      </c>
      <c r="K93" s="64">
        <v>139.71</v>
      </c>
      <c r="L93" s="64">
        <v>20.9</v>
      </c>
      <c r="M93" s="64">
        <v>61.11</v>
      </c>
      <c r="N93" s="64">
        <v>27.7</v>
      </c>
      <c r="O93" s="64">
        <v>0</v>
      </c>
      <c r="P93" s="64">
        <v>1.62</v>
      </c>
      <c r="Q93" s="64">
        <v>5.12</v>
      </c>
      <c r="R93" s="198"/>
      <c r="S93" s="198"/>
      <c r="T93" s="198"/>
      <c r="U93" s="198"/>
    </row>
    <row r="94" spans="1:26" s="12" customFormat="1" x14ac:dyDescent="0.25">
      <c r="A94" s="215" t="s">
        <v>2543</v>
      </c>
      <c r="B94" s="64">
        <v>8.3000000000000007</v>
      </c>
      <c r="C94" s="64">
        <v>65.5</v>
      </c>
      <c r="D94" s="64">
        <v>43.45</v>
      </c>
      <c r="E94" s="64">
        <v>3.44</v>
      </c>
      <c r="F94" s="64">
        <v>7.55</v>
      </c>
      <c r="G94" s="64">
        <v>116.94</v>
      </c>
      <c r="H94" s="64">
        <v>47.79</v>
      </c>
      <c r="I94" s="64">
        <v>1.5</v>
      </c>
      <c r="J94" s="64">
        <v>0.25</v>
      </c>
      <c r="K94" s="64">
        <v>116.09</v>
      </c>
      <c r="L94" s="64">
        <v>21.11</v>
      </c>
      <c r="M94" s="64">
        <v>58.99</v>
      </c>
      <c r="N94" s="64">
        <v>27.1</v>
      </c>
      <c r="O94" s="64">
        <v>0</v>
      </c>
      <c r="P94" s="64">
        <v>1.49</v>
      </c>
      <c r="Q94" s="64">
        <v>5.65</v>
      </c>
      <c r="R94" s="198"/>
      <c r="S94" s="198"/>
      <c r="T94" s="198"/>
      <c r="U94" s="198"/>
    </row>
    <row r="95" spans="1:26" s="12" customFormat="1" x14ac:dyDescent="0.25">
      <c r="A95" s="215" t="s">
        <v>2544</v>
      </c>
      <c r="B95" s="64">
        <v>8.23</v>
      </c>
      <c r="C95" s="64">
        <v>63.39</v>
      </c>
      <c r="D95" s="64">
        <v>42.23</v>
      </c>
      <c r="E95" s="64">
        <v>3.39</v>
      </c>
      <c r="F95" s="64">
        <v>9.66</v>
      </c>
      <c r="G95" s="64">
        <v>116.94</v>
      </c>
      <c r="H95" s="64">
        <v>47.79</v>
      </c>
      <c r="I95" s="64">
        <v>1.48</v>
      </c>
      <c r="J95" s="64">
        <v>0.08</v>
      </c>
      <c r="K95" s="64">
        <v>120.84</v>
      </c>
      <c r="L95" s="64">
        <v>21.01</v>
      </c>
      <c r="M95" s="64">
        <v>60.08</v>
      </c>
      <c r="N95" s="64">
        <v>27.7</v>
      </c>
      <c r="O95" s="64">
        <v>0</v>
      </c>
      <c r="P95" s="64">
        <v>1.42</v>
      </c>
      <c r="Q95" s="64">
        <v>5.97</v>
      </c>
      <c r="R95" s="198"/>
      <c r="S95" s="198"/>
      <c r="T95" s="198"/>
      <c r="U95" s="198"/>
    </row>
    <row r="96" spans="1:26" s="12" customFormat="1" x14ac:dyDescent="0.25">
      <c r="A96" s="215" t="s">
        <v>2545</v>
      </c>
      <c r="B96" s="64">
        <v>11.81</v>
      </c>
      <c r="C96" s="64">
        <v>58.9</v>
      </c>
      <c r="D96" s="64">
        <v>42.62</v>
      </c>
      <c r="E96" s="64">
        <v>3.36</v>
      </c>
      <c r="F96" s="64">
        <v>6.72</v>
      </c>
      <c r="G96" s="64">
        <v>116.94</v>
      </c>
      <c r="H96" s="64">
        <v>47.79</v>
      </c>
      <c r="I96" s="64">
        <v>1.49</v>
      </c>
      <c r="J96" s="64">
        <v>0.19</v>
      </c>
      <c r="K96" s="64">
        <v>337.49</v>
      </c>
      <c r="L96" s="64">
        <v>20.66</v>
      </c>
      <c r="M96" s="64">
        <v>66.12</v>
      </c>
      <c r="N96" s="64">
        <v>27.9</v>
      </c>
      <c r="O96" s="64">
        <v>0</v>
      </c>
      <c r="P96" s="64">
        <v>1.56</v>
      </c>
      <c r="Q96" s="64">
        <v>5.95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2546</v>
      </c>
      <c r="B97" s="64">
        <v>10.08</v>
      </c>
      <c r="C97" s="64">
        <v>61.23</v>
      </c>
      <c r="D97" s="64">
        <v>42.52</v>
      </c>
      <c r="E97" s="64">
        <v>3.25</v>
      </c>
      <c r="F97" s="64">
        <v>8.4700000000000006</v>
      </c>
      <c r="G97" s="64">
        <v>111.49</v>
      </c>
      <c r="H97" s="64">
        <v>50.42</v>
      </c>
      <c r="I97" s="64">
        <v>1.58</v>
      </c>
      <c r="J97" s="64">
        <v>0.05</v>
      </c>
      <c r="K97" s="64">
        <v>232.01</v>
      </c>
      <c r="L97" s="64">
        <v>20.54</v>
      </c>
      <c r="M97" s="64">
        <v>62.49</v>
      </c>
      <c r="N97" s="64">
        <v>27.6</v>
      </c>
      <c r="O97" s="64">
        <v>0</v>
      </c>
      <c r="P97" s="64">
        <v>1.48</v>
      </c>
      <c r="Q97" s="64">
        <v>6.13</v>
      </c>
      <c r="R97" s="198"/>
      <c r="S97" s="198"/>
      <c r="T97" s="198"/>
      <c r="U97" s="198"/>
    </row>
    <row r="98" spans="1:33" s="12" customFormat="1" x14ac:dyDescent="0.25">
      <c r="A98" s="215" t="s">
        <v>2547</v>
      </c>
      <c r="B98" s="64">
        <v>10.68</v>
      </c>
      <c r="C98" s="64">
        <v>60.78</v>
      </c>
      <c r="D98" s="64">
        <v>42.75</v>
      </c>
      <c r="E98" s="64">
        <v>3.23</v>
      </c>
      <c r="F98" s="64">
        <v>7.33</v>
      </c>
      <c r="G98" s="64">
        <v>107.86</v>
      </c>
      <c r="H98" s="64">
        <v>51.06</v>
      </c>
      <c r="I98" s="64">
        <v>1.47</v>
      </c>
      <c r="J98" s="64">
        <v>0.08</v>
      </c>
      <c r="K98" s="64">
        <v>46.95</v>
      </c>
      <c r="L98" s="64">
        <v>20.74</v>
      </c>
      <c r="M98" s="64">
        <v>60.83</v>
      </c>
      <c r="N98" s="64">
        <v>27.5</v>
      </c>
      <c r="O98" s="64">
        <v>0</v>
      </c>
      <c r="P98" s="64">
        <v>1.47</v>
      </c>
      <c r="Q98" s="64">
        <v>6.24</v>
      </c>
      <c r="R98" s="198"/>
      <c r="S98" s="198"/>
      <c r="T98" s="198"/>
      <c r="U98" s="198"/>
    </row>
    <row r="99" spans="1:33" s="12" customFormat="1" x14ac:dyDescent="0.25">
      <c r="A99" s="215" t="s">
        <v>2548</v>
      </c>
      <c r="B99" s="64">
        <v>10.88</v>
      </c>
      <c r="C99" s="64">
        <v>60.41</v>
      </c>
      <c r="D99" s="64">
        <v>42.71</v>
      </c>
      <c r="E99" s="64">
        <v>3.2</v>
      </c>
      <c r="F99" s="64">
        <v>8.83</v>
      </c>
      <c r="G99" s="64">
        <v>107.86</v>
      </c>
      <c r="H99" s="64">
        <v>51.06</v>
      </c>
      <c r="I99" s="64">
        <v>1.47</v>
      </c>
      <c r="J99" s="64">
        <v>0.05</v>
      </c>
      <c r="K99" s="64">
        <v>65.13</v>
      </c>
      <c r="L99" s="64">
        <v>20.72</v>
      </c>
      <c r="M99" s="64">
        <v>61.45</v>
      </c>
      <c r="N99" s="64">
        <v>27.8</v>
      </c>
      <c r="O99" s="64">
        <v>0</v>
      </c>
      <c r="P99" s="64">
        <v>1.44</v>
      </c>
      <c r="Q99" s="64">
        <v>6.19</v>
      </c>
      <c r="R99" s="198"/>
      <c r="S99" s="198"/>
      <c r="T99" s="198"/>
      <c r="U99" s="198"/>
    </row>
    <row r="100" spans="1:33" s="12" customFormat="1" x14ac:dyDescent="0.25">
      <c r="A100" s="215" t="s">
        <v>2549</v>
      </c>
      <c r="B100" s="64">
        <v>10.87</v>
      </c>
      <c r="C100" s="64">
        <v>54.96</v>
      </c>
      <c r="D100" s="64">
        <v>39.69</v>
      </c>
      <c r="E100" s="64">
        <v>3.07</v>
      </c>
      <c r="F100" s="64">
        <v>5.3</v>
      </c>
      <c r="G100" s="64">
        <v>107.86</v>
      </c>
      <c r="H100" s="64">
        <v>51.06</v>
      </c>
      <c r="I100" s="64">
        <v>1.55</v>
      </c>
      <c r="J100" s="64">
        <v>0.11</v>
      </c>
      <c r="K100" s="64">
        <v>87.46</v>
      </c>
      <c r="L100" s="64">
        <v>20.53</v>
      </c>
      <c r="M100" s="64">
        <v>62.28</v>
      </c>
      <c r="N100" s="64">
        <v>27.7</v>
      </c>
      <c r="O100" s="64">
        <v>0</v>
      </c>
      <c r="P100" s="64">
        <v>1.48</v>
      </c>
      <c r="Q100" s="64">
        <v>6.48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2550</v>
      </c>
      <c r="B101" s="64">
        <v>10.32</v>
      </c>
      <c r="C101" s="64">
        <v>54.45</v>
      </c>
      <c r="D101" s="64">
        <v>38.97</v>
      </c>
      <c r="E101" s="64">
        <v>2.99</v>
      </c>
      <c r="F101" s="64">
        <v>6.3</v>
      </c>
      <c r="G101" s="64">
        <v>108.92</v>
      </c>
      <c r="H101" s="64">
        <v>40.26</v>
      </c>
      <c r="I101" s="64">
        <v>1.6</v>
      </c>
      <c r="J101" s="64">
        <v>0.37</v>
      </c>
      <c r="K101" s="64">
        <v>102.91</v>
      </c>
      <c r="L101" s="64">
        <v>20.36</v>
      </c>
      <c r="M101" s="64">
        <v>63.53</v>
      </c>
      <c r="N101" s="64">
        <v>27.2</v>
      </c>
      <c r="O101" s="64">
        <v>0</v>
      </c>
      <c r="P101" s="64">
        <v>1.41</v>
      </c>
      <c r="Q101" s="64">
        <v>6.51</v>
      </c>
      <c r="R101" s="198"/>
      <c r="S101" s="198"/>
      <c r="T101" s="198"/>
      <c r="U101" s="198"/>
    </row>
    <row r="102" spans="1:33" s="12" customFormat="1" x14ac:dyDescent="0.25">
      <c r="A102" s="215" t="s">
        <v>2551</v>
      </c>
      <c r="B102" s="64">
        <v>9.36</v>
      </c>
      <c r="C102" s="64">
        <v>53.31</v>
      </c>
      <c r="D102" s="64">
        <v>37.57</v>
      </c>
      <c r="E102" s="64">
        <v>2.89</v>
      </c>
      <c r="F102" s="64">
        <v>7.41</v>
      </c>
      <c r="G102" s="64">
        <v>109.63</v>
      </c>
      <c r="H102" s="64">
        <v>37.659999999999997</v>
      </c>
      <c r="I102" s="64">
        <v>1.56</v>
      </c>
      <c r="J102" s="64">
        <v>0.3</v>
      </c>
      <c r="K102" s="64">
        <v>112.98</v>
      </c>
      <c r="L102" s="64">
        <v>20.58</v>
      </c>
      <c r="M102" s="64">
        <v>63.3</v>
      </c>
      <c r="N102" s="64">
        <v>27.3</v>
      </c>
      <c r="O102" s="64">
        <v>0</v>
      </c>
      <c r="P102" s="64">
        <v>1.37</v>
      </c>
      <c r="Q102" s="64">
        <v>6.48</v>
      </c>
      <c r="R102" s="198"/>
      <c r="S102" s="198"/>
      <c r="T102" s="198"/>
      <c r="U102" s="198"/>
    </row>
    <row r="103" spans="1:33" s="12" customFormat="1" x14ac:dyDescent="0.25">
      <c r="A103" s="215" t="s">
        <v>2552</v>
      </c>
      <c r="B103" s="64">
        <v>9.27</v>
      </c>
      <c r="C103" s="64">
        <v>58.64</v>
      </c>
      <c r="D103" s="64">
        <v>40.44</v>
      </c>
      <c r="E103" s="64">
        <v>2.84</v>
      </c>
      <c r="F103" s="64">
        <v>5.96</v>
      </c>
      <c r="G103" s="64">
        <v>109.63</v>
      </c>
      <c r="H103" s="64">
        <v>37.659999999999997</v>
      </c>
      <c r="I103" s="64">
        <v>1.52</v>
      </c>
      <c r="J103" s="64">
        <v>0.06</v>
      </c>
      <c r="K103" s="64">
        <v>101.58</v>
      </c>
      <c r="L103" s="64">
        <v>20.46</v>
      </c>
      <c r="M103" s="64">
        <v>64.72</v>
      </c>
      <c r="N103" s="64">
        <v>27.9</v>
      </c>
      <c r="O103" s="64">
        <v>0</v>
      </c>
      <c r="P103" s="64">
        <v>1.37</v>
      </c>
      <c r="Q103" s="64">
        <v>6.34</v>
      </c>
      <c r="R103" s="198"/>
      <c r="S103" s="198"/>
      <c r="T103" s="198"/>
      <c r="U103" s="198"/>
    </row>
    <row r="104" spans="1:33" s="12" customFormat="1" x14ac:dyDescent="0.25">
      <c r="A104" s="215" t="s">
        <v>2553</v>
      </c>
      <c r="B104" s="64">
        <v>8.4700000000000006</v>
      </c>
      <c r="C104" s="64">
        <v>53.79</v>
      </c>
      <c r="D104" s="64">
        <v>37.119999999999997</v>
      </c>
      <c r="E104" s="64">
        <v>2.4500000000000002</v>
      </c>
      <c r="F104" s="64">
        <v>6.87</v>
      </c>
      <c r="G104" s="64">
        <v>109.63</v>
      </c>
      <c r="H104" s="64">
        <v>37.659999999999997</v>
      </c>
      <c r="I104" s="64">
        <v>1.46</v>
      </c>
      <c r="J104" s="64">
        <v>0.9</v>
      </c>
      <c r="K104" s="64">
        <v>102.21</v>
      </c>
      <c r="L104" s="64">
        <v>20.53</v>
      </c>
      <c r="M104" s="64">
        <v>63.75</v>
      </c>
      <c r="N104" s="64">
        <v>27.1</v>
      </c>
      <c r="O104" s="64">
        <v>0</v>
      </c>
      <c r="P104" s="64">
        <v>1.32</v>
      </c>
      <c r="Q104" s="64">
        <v>6.3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</v>
      </c>
      <c r="C106" s="67">
        <f>MIN(C9:C104)</f>
        <v>40.1</v>
      </c>
      <c r="D106" s="67">
        <f t="shared" ref="D106:Q106" si="0">MIN(D9:D104)</f>
        <v>25.42</v>
      </c>
      <c r="E106" s="67">
        <f t="shared" si="0"/>
        <v>2.16</v>
      </c>
      <c r="F106" s="67">
        <f t="shared" si="0"/>
        <v>3.29</v>
      </c>
      <c r="G106" s="67">
        <f t="shared" si="0"/>
        <v>52.56</v>
      </c>
      <c r="H106" s="67">
        <f t="shared" si="0"/>
        <v>27.5</v>
      </c>
      <c r="I106" s="67">
        <f t="shared" si="0"/>
        <v>1.41</v>
      </c>
      <c r="J106" s="67">
        <f t="shared" si="0"/>
        <v>0.05</v>
      </c>
      <c r="K106" s="67">
        <f t="shared" si="0"/>
        <v>0.8</v>
      </c>
      <c r="L106" s="67">
        <f t="shared" si="0"/>
        <v>17.190000000000001</v>
      </c>
      <c r="M106" s="67">
        <f t="shared" si="0"/>
        <v>37.21</v>
      </c>
      <c r="N106" s="67">
        <f t="shared" si="0"/>
        <v>26</v>
      </c>
      <c r="O106" s="67">
        <f t="shared" si="0"/>
        <v>0</v>
      </c>
      <c r="P106" s="67">
        <f t="shared" si="0"/>
        <v>0.73</v>
      </c>
      <c r="Q106" s="67">
        <f t="shared" si="0"/>
        <v>4.5199999999999996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12.19</v>
      </c>
      <c r="C107" s="66">
        <f t="shared" ref="C107:Q107" si="1">MAX(C9:C104)</f>
        <v>74.959999999999994</v>
      </c>
      <c r="D107" s="66">
        <f t="shared" si="1"/>
        <v>46.11</v>
      </c>
      <c r="E107" s="66">
        <f t="shared" si="1"/>
        <v>3.8</v>
      </c>
      <c r="F107" s="66">
        <f t="shared" si="1"/>
        <v>28.17</v>
      </c>
      <c r="G107" s="66">
        <f t="shared" si="1"/>
        <v>154.44999999999999</v>
      </c>
      <c r="H107" s="66">
        <f t="shared" si="1"/>
        <v>85.43</v>
      </c>
      <c r="I107" s="66">
        <f t="shared" si="1"/>
        <v>1.61</v>
      </c>
      <c r="J107" s="66">
        <f t="shared" si="1"/>
        <v>0.95</v>
      </c>
      <c r="K107" s="66">
        <f t="shared" si="1"/>
        <v>356.52</v>
      </c>
      <c r="L107" s="66">
        <f t="shared" si="1"/>
        <v>27.82</v>
      </c>
      <c r="M107" s="66">
        <f t="shared" si="1"/>
        <v>82.14</v>
      </c>
      <c r="N107" s="66">
        <f t="shared" si="1"/>
        <v>576</v>
      </c>
      <c r="O107" s="66">
        <f t="shared" si="1"/>
        <v>0</v>
      </c>
      <c r="P107" s="66">
        <f t="shared" si="1"/>
        <v>1.62</v>
      </c>
      <c r="Q107" s="66">
        <f t="shared" si="1"/>
        <v>6.56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6.8480208333333357</v>
      </c>
      <c r="C108" s="67">
        <f t="shared" ref="C108:Q108" si="2">AVERAGE(C9:C104)</f>
        <v>51.486354166666679</v>
      </c>
      <c r="D108" s="67">
        <f t="shared" si="2"/>
        <v>34.551979166666662</v>
      </c>
      <c r="E108" s="67">
        <f t="shared" si="2"/>
        <v>2.763645833333332</v>
      </c>
      <c r="F108" s="67">
        <f t="shared" si="2"/>
        <v>8.2988541666666666</v>
      </c>
      <c r="G108" s="67">
        <f t="shared" si="2"/>
        <v>88.216354166666648</v>
      </c>
      <c r="H108" s="67">
        <f t="shared" si="2"/>
        <v>48.042083333333373</v>
      </c>
      <c r="I108" s="67">
        <f t="shared" si="2"/>
        <v>1.505520833333333</v>
      </c>
      <c r="J108" s="67">
        <f t="shared" si="2"/>
        <v>0.33791666666666664</v>
      </c>
      <c r="K108" s="67">
        <f t="shared" si="2"/>
        <v>173.78989583333336</v>
      </c>
      <c r="L108" s="67">
        <f t="shared" si="2"/>
        <v>21.772500000000012</v>
      </c>
      <c r="M108" s="67">
        <f t="shared" si="2"/>
        <v>58.32687499999998</v>
      </c>
      <c r="N108" s="67">
        <f t="shared" si="2"/>
        <v>153.80520833333335</v>
      </c>
      <c r="O108" s="67">
        <f t="shared" si="2"/>
        <v>0</v>
      </c>
      <c r="P108" s="67">
        <f t="shared" si="2"/>
        <v>1.1057291666666664</v>
      </c>
      <c r="Q108" s="67">
        <f t="shared" si="2"/>
        <v>5.8286458333333337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2.909731627990765</v>
      </c>
      <c r="C109" s="67">
        <f t="shared" ref="C109:Q109" si="3">STDEV(C9:C104)</f>
        <v>8.948402870702818</v>
      </c>
      <c r="D109" s="67">
        <f t="shared" si="3"/>
        <v>5.6226417502979231</v>
      </c>
      <c r="E109" s="67">
        <f t="shared" si="3"/>
        <v>0.52107605221598041</v>
      </c>
      <c r="F109" s="67">
        <f t="shared" si="3"/>
        <v>5.5687764638944337</v>
      </c>
      <c r="G109" s="67">
        <f t="shared" si="3"/>
        <v>20.009996139813474</v>
      </c>
      <c r="H109" s="67">
        <f t="shared" si="3"/>
        <v>11.419970312125182</v>
      </c>
      <c r="I109" s="67">
        <f t="shared" si="3"/>
        <v>4.106143770822776E-2</v>
      </c>
      <c r="J109" s="67">
        <f t="shared" si="3"/>
        <v>0.2314663402455456</v>
      </c>
      <c r="K109" s="67">
        <f t="shared" si="3"/>
        <v>124.07939300043915</v>
      </c>
      <c r="L109" s="67">
        <f t="shared" si="3"/>
        <v>3.153681891644065</v>
      </c>
      <c r="M109" s="67">
        <f t="shared" si="3"/>
        <v>13.162588636178796</v>
      </c>
      <c r="N109" s="67">
        <f t="shared" si="3"/>
        <v>191.76038906586777</v>
      </c>
      <c r="O109" s="67">
        <f t="shared" si="3"/>
        <v>0</v>
      </c>
      <c r="P109" s="67">
        <f t="shared" si="3"/>
        <v>0.23296145961653703</v>
      </c>
      <c r="Q109" s="67">
        <f t="shared" si="3"/>
        <v>0.40926280269121285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2554</v>
      </c>
      <c r="B9" s="64">
        <v>7.43</v>
      </c>
      <c r="C9" s="64">
        <v>50.96</v>
      </c>
      <c r="D9" s="64">
        <v>34.729999999999997</v>
      </c>
      <c r="E9" s="64">
        <v>2.79</v>
      </c>
      <c r="F9" s="64">
        <v>7.73</v>
      </c>
      <c r="G9" s="64">
        <v>100.78</v>
      </c>
      <c r="H9" s="64">
        <v>48.17</v>
      </c>
      <c r="I9" s="64">
        <v>1.5</v>
      </c>
      <c r="J9" s="64">
        <v>0.43</v>
      </c>
      <c r="K9" s="64">
        <v>106.21</v>
      </c>
      <c r="L9" s="64">
        <v>20.5</v>
      </c>
      <c r="M9" s="64">
        <v>64.239999999999995</v>
      </c>
      <c r="N9" s="64">
        <v>27.8</v>
      </c>
      <c r="O9" s="64">
        <v>0</v>
      </c>
      <c r="P9" s="64">
        <v>1.28</v>
      </c>
      <c r="Q9" s="64">
        <v>6.24</v>
      </c>
      <c r="R9" s="198"/>
      <c r="S9" s="198"/>
      <c r="T9" s="198"/>
      <c r="U9" s="198"/>
    </row>
    <row r="10" spans="1:21" s="12" customFormat="1" x14ac:dyDescent="0.25">
      <c r="A10" s="215" t="s">
        <v>2555</v>
      </c>
      <c r="B10" s="64">
        <v>6.47</v>
      </c>
      <c r="C10" s="64">
        <v>49.4</v>
      </c>
      <c r="D10" s="64">
        <v>33.090000000000003</v>
      </c>
      <c r="E10" s="64">
        <v>2.75</v>
      </c>
      <c r="F10" s="64">
        <v>5.24</v>
      </c>
      <c r="G10" s="64">
        <v>94.88</v>
      </c>
      <c r="H10" s="64">
        <v>50.75</v>
      </c>
      <c r="I10" s="64">
        <v>1.48</v>
      </c>
      <c r="J10" s="64">
        <v>0.63</v>
      </c>
      <c r="K10" s="64">
        <v>93.32</v>
      </c>
      <c r="L10" s="64">
        <v>20.34</v>
      </c>
      <c r="M10" s="64">
        <v>64.62</v>
      </c>
      <c r="N10" s="64">
        <v>27.7</v>
      </c>
      <c r="O10" s="64">
        <v>0</v>
      </c>
      <c r="P10" s="64">
        <v>1.26</v>
      </c>
      <c r="Q10" s="64">
        <v>6.15</v>
      </c>
      <c r="R10" s="198"/>
      <c r="S10" s="198"/>
      <c r="T10" s="198"/>
      <c r="U10" s="198"/>
    </row>
    <row r="11" spans="1:21" s="12" customFormat="1" x14ac:dyDescent="0.25">
      <c r="A11" s="215" t="s">
        <v>2556</v>
      </c>
      <c r="B11" s="64">
        <v>5.69</v>
      </c>
      <c r="C11" s="64">
        <v>48.16</v>
      </c>
      <c r="D11" s="64">
        <v>31.79</v>
      </c>
      <c r="E11" s="64">
        <v>2.71</v>
      </c>
      <c r="F11" s="64">
        <v>4.8499999999999996</v>
      </c>
      <c r="G11" s="64">
        <v>94.88</v>
      </c>
      <c r="H11" s="64">
        <v>50.75</v>
      </c>
      <c r="I11" s="64">
        <v>1.53</v>
      </c>
      <c r="J11" s="64">
        <v>0.7</v>
      </c>
      <c r="K11" s="64">
        <v>94.65</v>
      </c>
      <c r="L11" s="64">
        <v>20.25</v>
      </c>
      <c r="M11" s="64">
        <v>65.02</v>
      </c>
      <c r="N11" s="64">
        <v>27.6</v>
      </c>
      <c r="O11" s="64">
        <v>0</v>
      </c>
      <c r="P11" s="64">
        <v>1.23</v>
      </c>
      <c r="Q11" s="64">
        <v>6.02</v>
      </c>
      <c r="R11" s="198"/>
      <c r="S11" s="198"/>
      <c r="T11" s="198"/>
      <c r="U11" s="198"/>
    </row>
    <row r="12" spans="1:21" s="12" customFormat="1" x14ac:dyDescent="0.25">
      <c r="A12" s="215" t="s">
        <v>2557</v>
      </c>
      <c r="B12" s="64">
        <v>4.97</v>
      </c>
      <c r="C12" s="64">
        <v>47.12</v>
      </c>
      <c r="D12" s="64">
        <v>30.63</v>
      </c>
      <c r="E12" s="64">
        <v>2.62</v>
      </c>
      <c r="F12" s="64">
        <v>4.76</v>
      </c>
      <c r="G12" s="64">
        <v>94.88</v>
      </c>
      <c r="H12" s="64">
        <v>50.75</v>
      </c>
      <c r="I12" s="64">
        <v>1.62</v>
      </c>
      <c r="J12" s="64">
        <v>0.77</v>
      </c>
      <c r="K12" s="64">
        <v>93.98</v>
      </c>
      <c r="L12" s="64">
        <v>20.22</v>
      </c>
      <c r="M12" s="64">
        <v>64.7</v>
      </c>
      <c r="N12" s="64">
        <v>27.6</v>
      </c>
      <c r="O12" s="64">
        <v>0</v>
      </c>
      <c r="P12" s="64">
        <v>1.19</v>
      </c>
      <c r="Q12" s="64">
        <v>5.92</v>
      </c>
      <c r="R12" s="198"/>
      <c r="S12" s="198"/>
      <c r="T12" s="198"/>
      <c r="U12" s="198"/>
    </row>
    <row r="13" spans="1:21" s="12" customFormat="1" x14ac:dyDescent="0.25">
      <c r="A13" s="215" t="s">
        <v>2558</v>
      </c>
      <c r="B13" s="64">
        <v>4.33</v>
      </c>
      <c r="C13" s="64">
        <v>45.77</v>
      </c>
      <c r="D13" s="64">
        <v>29.38</v>
      </c>
      <c r="E13" s="64">
        <v>2.71</v>
      </c>
      <c r="F13" s="64">
        <v>6.24</v>
      </c>
      <c r="G13" s="64">
        <v>89.05</v>
      </c>
      <c r="H13" s="64">
        <v>54.26</v>
      </c>
      <c r="I13" s="64">
        <v>1.52</v>
      </c>
      <c r="J13" s="64">
        <v>0.8</v>
      </c>
      <c r="K13" s="64">
        <v>96.47</v>
      </c>
      <c r="L13" s="64">
        <v>20.170000000000002</v>
      </c>
      <c r="M13" s="64">
        <v>63.9</v>
      </c>
      <c r="N13" s="64">
        <v>27.5</v>
      </c>
      <c r="O13" s="64">
        <v>0</v>
      </c>
      <c r="P13" s="64">
        <v>1.1200000000000001</v>
      </c>
      <c r="Q13" s="64">
        <v>5.85</v>
      </c>
      <c r="R13" s="198"/>
      <c r="S13" s="198"/>
      <c r="T13" s="198"/>
      <c r="U13" s="198"/>
    </row>
    <row r="14" spans="1:21" s="12" customFormat="1" x14ac:dyDescent="0.25">
      <c r="A14" s="215" t="s">
        <v>2559</v>
      </c>
      <c r="B14" s="64">
        <v>3.89</v>
      </c>
      <c r="C14" s="64">
        <v>44.31</v>
      </c>
      <c r="D14" s="64">
        <v>28.22</v>
      </c>
      <c r="E14" s="64">
        <v>2.67</v>
      </c>
      <c r="F14" s="64">
        <v>4.1900000000000004</v>
      </c>
      <c r="G14" s="64">
        <v>85.16</v>
      </c>
      <c r="H14" s="64">
        <v>55.95</v>
      </c>
      <c r="I14" s="64">
        <v>1.46</v>
      </c>
      <c r="J14" s="64">
        <v>0.56999999999999995</v>
      </c>
      <c r="K14" s="64">
        <v>90.18</v>
      </c>
      <c r="L14" s="64">
        <v>20.13</v>
      </c>
      <c r="M14" s="64">
        <v>64.099999999999994</v>
      </c>
      <c r="N14" s="64">
        <v>27.8</v>
      </c>
      <c r="O14" s="64">
        <v>0</v>
      </c>
      <c r="P14" s="64">
        <v>1.1100000000000001</v>
      </c>
      <c r="Q14" s="64">
        <v>5.78</v>
      </c>
      <c r="R14" s="198"/>
      <c r="S14" s="198"/>
      <c r="T14" s="198"/>
      <c r="U14" s="198"/>
    </row>
    <row r="15" spans="1:21" s="12" customFormat="1" x14ac:dyDescent="0.25">
      <c r="A15" s="215" t="s">
        <v>2560</v>
      </c>
      <c r="B15" s="64">
        <v>3.51</v>
      </c>
      <c r="C15" s="64">
        <v>43.39</v>
      </c>
      <c r="D15" s="64">
        <v>27.41</v>
      </c>
      <c r="E15" s="64">
        <v>2.65</v>
      </c>
      <c r="F15" s="64">
        <v>6.11</v>
      </c>
      <c r="G15" s="64">
        <v>85.16</v>
      </c>
      <c r="H15" s="64">
        <v>55.95</v>
      </c>
      <c r="I15" s="64">
        <v>1.5</v>
      </c>
      <c r="J15" s="64">
        <v>0.03</v>
      </c>
      <c r="K15" s="64">
        <v>94.49</v>
      </c>
      <c r="L15" s="64">
        <v>19.72</v>
      </c>
      <c r="M15" s="64">
        <v>66.430000000000007</v>
      </c>
      <c r="N15" s="64">
        <v>28.1</v>
      </c>
      <c r="O15" s="64">
        <v>0</v>
      </c>
      <c r="P15" s="64">
        <v>1.07</v>
      </c>
      <c r="Q15" s="64">
        <v>5.72</v>
      </c>
      <c r="R15" s="198"/>
      <c r="S15" s="198"/>
      <c r="T15" s="198"/>
      <c r="U15" s="198"/>
    </row>
    <row r="16" spans="1:21" s="12" customFormat="1" x14ac:dyDescent="0.25">
      <c r="A16" s="215" t="s">
        <v>2561</v>
      </c>
      <c r="B16" s="64">
        <v>3.31</v>
      </c>
      <c r="C16" s="64">
        <v>42.47</v>
      </c>
      <c r="D16" s="64">
        <v>26.74</v>
      </c>
      <c r="E16" s="64">
        <v>2.66</v>
      </c>
      <c r="F16" s="64">
        <v>5.19</v>
      </c>
      <c r="G16" s="64">
        <v>85.16</v>
      </c>
      <c r="H16" s="64">
        <v>55.95</v>
      </c>
      <c r="I16" s="64">
        <v>1.47</v>
      </c>
      <c r="J16" s="64">
        <v>0.17</v>
      </c>
      <c r="K16" s="64">
        <v>310.42</v>
      </c>
      <c r="L16" s="64">
        <v>19.22</v>
      </c>
      <c r="M16" s="64">
        <v>74.989999999999995</v>
      </c>
      <c r="N16" s="64">
        <v>28.5</v>
      </c>
      <c r="O16" s="64">
        <v>0</v>
      </c>
      <c r="P16" s="64">
        <v>1.05</v>
      </c>
      <c r="Q16" s="64">
        <v>5.65</v>
      </c>
      <c r="R16" s="198"/>
      <c r="S16" s="198"/>
      <c r="T16" s="198"/>
      <c r="U16" s="198"/>
    </row>
    <row r="17" spans="1:21" s="12" customFormat="1" x14ac:dyDescent="0.25">
      <c r="A17" s="215" t="s">
        <v>2562</v>
      </c>
      <c r="B17" s="64">
        <v>3.28</v>
      </c>
      <c r="C17" s="64">
        <v>41.79</v>
      </c>
      <c r="D17" s="64">
        <v>26.34</v>
      </c>
      <c r="E17" s="64">
        <v>2.65</v>
      </c>
      <c r="F17" s="64">
        <v>4.83</v>
      </c>
      <c r="G17" s="64">
        <v>83.26</v>
      </c>
      <c r="H17" s="64">
        <v>49.7</v>
      </c>
      <c r="I17" s="64">
        <v>1.52</v>
      </c>
      <c r="J17" s="64">
        <v>7.0000000000000007E-2</v>
      </c>
      <c r="K17" s="64">
        <v>328.48</v>
      </c>
      <c r="L17" s="64">
        <v>18.53</v>
      </c>
      <c r="M17" s="64">
        <v>77.66</v>
      </c>
      <c r="N17" s="64">
        <v>28.2</v>
      </c>
      <c r="O17" s="64">
        <v>0</v>
      </c>
      <c r="P17" s="64">
        <v>1.01</v>
      </c>
      <c r="Q17" s="64">
        <v>5.61</v>
      </c>
      <c r="R17" s="198"/>
      <c r="S17" s="198"/>
      <c r="T17" s="198"/>
      <c r="U17" s="198"/>
    </row>
    <row r="18" spans="1:21" s="12" customFormat="1" x14ac:dyDescent="0.25">
      <c r="A18" s="215" t="s">
        <v>2563</v>
      </c>
      <c r="B18" s="64">
        <v>3.36</v>
      </c>
      <c r="C18" s="64">
        <v>41.32</v>
      </c>
      <c r="D18" s="64">
        <v>26.14</v>
      </c>
      <c r="E18" s="64">
        <v>2.62</v>
      </c>
      <c r="F18" s="64">
        <v>5.26</v>
      </c>
      <c r="G18" s="64">
        <v>82</v>
      </c>
      <c r="H18" s="64">
        <v>48.04</v>
      </c>
      <c r="I18" s="64">
        <v>1.4</v>
      </c>
      <c r="J18" s="64">
        <v>0.03</v>
      </c>
      <c r="K18" s="64">
        <v>150.76</v>
      </c>
      <c r="L18" s="64">
        <v>18.239999999999998</v>
      </c>
      <c r="M18" s="64">
        <v>78.209999999999994</v>
      </c>
      <c r="N18" s="64">
        <v>27.9</v>
      </c>
      <c r="O18" s="64">
        <v>0</v>
      </c>
      <c r="P18" s="64">
        <v>0.99</v>
      </c>
      <c r="Q18" s="64">
        <v>5.63</v>
      </c>
      <c r="R18" s="198"/>
      <c r="S18" s="198"/>
      <c r="T18" s="198"/>
      <c r="U18" s="198"/>
    </row>
    <row r="19" spans="1:21" s="12" customFormat="1" x14ac:dyDescent="0.25">
      <c r="A19" s="215" t="s">
        <v>2564</v>
      </c>
      <c r="B19" s="64">
        <v>3.54</v>
      </c>
      <c r="C19" s="64">
        <v>41.34</v>
      </c>
      <c r="D19" s="64">
        <v>26.3</v>
      </c>
      <c r="E19" s="64">
        <v>2.62</v>
      </c>
      <c r="F19" s="64">
        <v>4.96</v>
      </c>
      <c r="G19" s="64">
        <v>82</v>
      </c>
      <c r="H19" s="64">
        <v>48.04</v>
      </c>
      <c r="I19" s="64">
        <v>1.4</v>
      </c>
      <c r="J19" s="64">
        <v>0.14000000000000001</v>
      </c>
      <c r="K19" s="64">
        <v>290.86</v>
      </c>
      <c r="L19" s="64">
        <v>18.05</v>
      </c>
      <c r="M19" s="64">
        <v>81.349999999999994</v>
      </c>
      <c r="N19" s="64">
        <v>27.9</v>
      </c>
      <c r="O19" s="64">
        <v>0</v>
      </c>
      <c r="P19" s="64">
        <v>0.97</v>
      </c>
      <c r="Q19" s="64">
        <v>5.61</v>
      </c>
      <c r="R19" s="198"/>
      <c r="S19" s="198"/>
      <c r="T19" s="198"/>
      <c r="U19" s="198"/>
    </row>
    <row r="20" spans="1:21" s="12" customFormat="1" x14ac:dyDescent="0.25">
      <c r="A20" s="215" t="s">
        <v>2565</v>
      </c>
      <c r="B20" s="64">
        <v>4.0999999999999996</v>
      </c>
      <c r="C20" s="64">
        <v>41.64</v>
      </c>
      <c r="D20" s="64">
        <v>26.92</v>
      </c>
      <c r="E20" s="64">
        <v>2.64</v>
      </c>
      <c r="F20" s="64">
        <v>4.33</v>
      </c>
      <c r="G20" s="64">
        <v>82</v>
      </c>
      <c r="H20" s="64">
        <v>48.04</v>
      </c>
      <c r="I20" s="64">
        <v>1.5</v>
      </c>
      <c r="J20" s="64">
        <v>0.04</v>
      </c>
      <c r="K20" s="64">
        <v>311.26</v>
      </c>
      <c r="L20" s="64">
        <v>17.739999999999998</v>
      </c>
      <c r="M20" s="64">
        <v>84.72</v>
      </c>
      <c r="N20" s="64">
        <v>27.9</v>
      </c>
      <c r="O20" s="64">
        <v>0</v>
      </c>
      <c r="P20" s="64">
        <v>0.97</v>
      </c>
      <c r="Q20" s="64">
        <v>5.6</v>
      </c>
      <c r="R20" s="198"/>
      <c r="S20" s="198"/>
      <c r="T20" s="198"/>
      <c r="U20" s="198"/>
    </row>
    <row r="21" spans="1:21" s="12" customFormat="1" x14ac:dyDescent="0.25">
      <c r="A21" s="215" t="s">
        <v>2566</v>
      </c>
      <c r="B21" s="64">
        <v>4.55</v>
      </c>
      <c r="C21" s="64">
        <v>41.78</v>
      </c>
      <c r="D21" s="64">
        <v>27.35</v>
      </c>
      <c r="E21" s="64">
        <v>2.64</v>
      </c>
      <c r="F21" s="64">
        <v>5.55</v>
      </c>
      <c r="G21" s="64">
        <v>83.73</v>
      </c>
      <c r="H21" s="64">
        <v>53.11</v>
      </c>
      <c r="I21" s="64">
        <v>1.44</v>
      </c>
      <c r="J21" s="64">
        <v>0.09</v>
      </c>
      <c r="K21" s="64">
        <v>349.3</v>
      </c>
      <c r="L21" s="64">
        <v>18.12</v>
      </c>
      <c r="M21" s="64">
        <v>80.36</v>
      </c>
      <c r="N21" s="64">
        <v>27.4</v>
      </c>
      <c r="O21" s="64">
        <v>0</v>
      </c>
      <c r="P21" s="64">
        <v>0.94</v>
      </c>
      <c r="Q21" s="64">
        <v>5.68</v>
      </c>
      <c r="R21" s="198"/>
      <c r="S21" s="198"/>
      <c r="T21" s="198"/>
      <c r="U21" s="198"/>
    </row>
    <row r="22" spans="1:21" s="12" customFormat="1" x14ac:dyDescent="0.25">
      <c r="A22" s="215" t="s">
        <v>2567</v>
      </c>
      <c r="B22" s="64">
        <v>4.7300000000000004</v>
      </c>
      <c r="C22" s="64">
        <v>41.63</v>
      </c>
      <c r="D22" s="64">
        <v>27.42</v>
      </c>
      <c r="E22" s="64">
        <v>2.67</v>
      </c>
      <c r="F22" s="64">
        <v>5.32</v>
      </c>
      <c r="G22" s="64">
        <v>84.88</v>
      </c>
      <c r="H22" s="64">
        <v>54.44</v>
      </c>
      <c r="I22" s="64">
        <v>1.55</v>
      </c>
      <c r="J22" s="64">
        <v>0.22</v>
      </c>
      <c r="K22" s="64">
        <v>336.33</v>
      </c>
      <c r="L22" s="64">
        <v>18.7</v>
      </c>
      <c r="M22" s="64">
        <v>78.14</v>
      </c>
      <c r="N22" s="64">
        <v>27.7</v>
      </c>
      <c r="O22" s="64">
        <v>0</v>
      </c>
      <c r="P22" s="64">
        <v>0.93</v>
      </c>
      <c r="Q22" s="64">
        <v>5.74</v>
      </c>
      <c r="R22" s="198"/>
      <c r="S22" s="198"/>
      <c r="T22" s="198"/>
      <c r="U22" s="198"/>
    </row>
    <row r="23" spans="1:21" s="12" customFormat="1" x14ac:dyDescent="0.25">
      <c r="A23" s="215" t="s">
        <v>2568</v>
      </c>
      <c r="B23" s="64">
        <v>5.03</v>
      </c>
      <c r="C23" s="64">
        <v>41.93</v>
      </c>
      <c r="D23" s="64">
        <v>27.82</v>
      </c>
      <c r="E23" s="64">
        <v>2.63</v>
      </c>
      <c r="F23" s="64">
        <v>5.01</v>
      </c>
      <c r="G23" s="64">
        <v>84.88</v>
      </c>
      <c r="H23" s="64">
        <v>54.44</v>
      </c>
      <c r="I23" s="64">
        <v>1.56</v>
      </c>
      <c r="J23" s="64">
        <v>0.23</v>
      </c>
      <c r="K23" s="64">
        <v>349.46</v>
      </c>
      <c r="L23" s="64">
        <v>18.82</v>
      </c>
      <c r="M23" s="64">
        <v>77.81</v>
      </c>
      <c r="N23" s="64">
        <v>28</v>
      </c>
      <c r="O23" s="64">
        <v>0</v>
      </c>
      <c r="P23" s="64">
        <v>0.93</v>
      </c>
      <c r="Q23" s="64">
        <v>5.69</v>
      </c>
      <c r="R23" s="198"/>
      <c r="S23" s="198"/>
      <c r="T23" s="198"/>
      <c r="U23" s="198"/>
    </row>
    <row r="24" spans="1:21" s="12" customFormat="1" x14ac:dyDescent="0.25">
      <c r="A24" s="215" t="s">
        <v>2569</v>
      </c>
      <c r="B24" s="64">
        <v>5.47</v>
      </c>
      <c r="C24" s="64">
        <v>42.23</v>
      </c>
      <c r="D24" s="64">
        <v>28.34</v>
      </c>
      <c r="E24" s="64">
        <v>2.52</v>
      </c>
      <c r="F24" s="64">
        <v>4.1399999999999997</v>
      </c>
      <c r="G24" s="64">
        <v>84.88</v>
      </c>
      <c r="H24" s="64">
        <v>54.44</v>
      </c>
      <c r="I24" s="64">
        <v>1.44</v>
      </c>
      <c r="J24" s="64">
        <v>0.83</v>
      </c>
      <c r="K24" s="64">
        <v>346.51</v>
      </c>
      <c r="L24" s="64">
        <v>18.940000000000001</v>
      </c>
      <c r="M24" s="64">
        <v>77.150000000000006</v>
      </c>
      <c r="N24" s="64">
        <v>27.9</v>
      </c>
      <c r="O24" s="64">
        <v>0</v>
      </c>
      <c r="P24" s="64">
        <v>0.92</v>
      </c>
      <c r="Q24" s="64">
        <v>5.74</v>
      </c>
      <c r="R24" s="198"/>
      <c r="S24" s="198"/>
      <c r="T24" s="198"/>
      <c r="U24" s="198"/>
    </row>
    <row r="25" spans="1:21" s="12" customFormat="1" x14ac:dyDescent="0.25">
      <c r="A25" s="215" t="s">
        <v>2570</v>
      </c>
      <c r="B25" s="64">
        <v>5.79</v>
      </c>
      <c r="C25" s="64">
        <v>42.79</v>
      </c>
      <c r="D25" s="64">
        <v>28.9</v>
      </c>
      <c r="E25" s="64">
        <v>2.73</v>
      </c>
      <c r="F25" s="64">
        <v>3.84</v>
      </c>
      <c r="G25" s="64">
        <v>90.29</v>
      </c>
      <c r="H25" s="64">
        <v>52.19</v>
      </c>
      <c r="I25" s="64">
        <v>1.57</v>
      </c>
      <c r="J25" s="64">
        <v>0.46</v>
      </c>
      <c r="K25" s="64">
        <v>344.86</v>
      </c>
      <c r="L25" s="64">
        <v>18.7</v>
      </c>
      <c r="M25" s="64">
        <v>78.02</v>
      </c>
      <c r="N25" s="64">
        <v>28.2</v>
      </c>
      <c r="O25" s="64">
        <v>0</v>
      </c>
      <c r="P25" s="64">
        <v>0.95</v>
      </c>
      <c r="Q25" s="64">
        <v>5.79</v>
      </c>
      <c r="R25" s="198"/>
      <c r="S25" s="198"/>
      <c r="T25" s="198"/>
      <c r="U25" s="198"/>
    </row>
    <row r="26" spans="1:21" s="12" customFormat="1" x14ac:dyDescent="0.25">
      <c r="A26" s="215" t="s">
        <v>2571</v>
      </c>
      <c r="B26" s="64">
        <v>6.46</v>
      </c>
      <c r="C26" s="64">
        <v>43.72</v>
      </c>
      <c r="D26" s="64">
        <v>29.95</v>
      </c>
      <c r="E26" s="64">
        <v>2.64</v>
      </c>
      <c r="F26" s="64">
        <v>3.33</v>
      </c>
      <c r="G26" s="64">
        <v>94.07</v>
      </c>
      <c r="H26" s="64">
        <v>51.59</v>
      </c>
      <c r="I26" s="64">
        <v>1.46</v>
      </c>
      <c r="J26" s="64">
        <v>0.38</v>
      </c>
      <c r="K26" s="64">
        <v>335.26</v>
      </c>
      <c r="L26" s="64">
        <v>18.100000000000001</v>
      </c>
      <c r="M26" s="64">
        <v>80.45</v>
      </c>
      <c r="N26" s="64">
        <v>28.2</v>
      </c>
      <c r="O26" s="64">
        <v>0</v>
      </c>
      <c r="P26" s="64">
        <v>1.07</v>
      </c>
      <c r="Q26" s="64">
        <v>5.87</v>
      </c>
      <c r="R26" s="198"/>
      <c r="S26" s="198"/>
      <c r="T26" s="198"/>
      <c r="U26" s="198"/>
    </row>
    <row r="27" spans="1:21" s="12" customFormat="1" x14ac:dyDescent="0.25">
      <c r="A27" s="215" t="s">
        <v>2572</v>
      </c>
      <c r="B27" s="64">
        <v>7.48</v>
      </c>
      <c r="C27" s="64">
        <v>43.96</v>
      </c>
      <c r="D27" s="64">
        <v>30.9</v>
      </c>
      <c r="E27" s="64">
        <v>2.62</v>
      </c>
      <c r="F27" s="64">
        <v>3.45</v>
      </c>
      <c r="G27" s="64">
        <v>94.07</v>
      </c>
      <c r="H27" s="64">
        <v>51.59</v>
      </c>
      <c r="I27" s="64">
        <v>1.5</v>
      </c>
      <c r="J27" s="64">
        <v>0.32</v>
      </c>
      <c r="K27" s="64">
        <v>349.71</v>
      </c>
      <c r="L27" s="64">
        <v>17.809999999999999</v>
      </c>
      <c r="M27" s="64">
        <v>80.150000000000006</v>
      </c>
      <c r="N27" s="64">
        <v>28</v>
      </c>
      <c r="O27" s="64">
        <v>0</v>
      </c>
      <c r="P27" s="64">
        <v>1.17</v>
      </c>
      <c r="Q27" s="64">
        <v>5.87</v>
      </c>
      <c r="R27" s="198"/>
      <c r="S27" s="198"/>
      <c r="T27" s="198"/>
      <c r="U27" s="198"/>
    </row>
    <row r="28" spans="1:21" s="12" customFormat="1" x14ac:dyDescent="0.25">
      <c r="A28" s="215" t="s">
        <v>2573</v>
      </c>
      <c r="B28" s="64">
        <v>7.59</v>
      </c>
      <c r="C28" s="64">
        <v>43.8</v>
      </c>
      <c r="D28" s="64">
        <v>30.9</v>
      </c>
      <c r="E28" s="64">
        <v>2.61</v>
      </c>
      <c r="F28" s="64">
        <v>3.57</v>
      </c>
      <c r="G28" s="64">
        <v>94.07</v>
      </c>
      <c r="H28" s="64">
        <v>51.59</v>
      </c>
      <c r="I28" s="64">
        <v>1.58</v>
      </c>
      <c r="J28" s="64">
        <v>0.13</v>
      </c>
      <c r="K28" s="64">
        <v>94.56</v>
      </c>
      <c r="L28" s="64">
        <v>17.510000000000002</v>
      </c>
      <c r="M28" s="64">
        <v>79.72</v>
      </c>
      <c r="N28" s="64">
        <v>28</v>
      </c>
      <c r="O28" s="64">
        <v>0</v>
      </c>
      <c r="P28" s="64">
        <v>1.17</v>
      </c>
      <c r="Q28" s="64">
        <v>5.91</v>
      </c>
      <c r="R28" s="198"/>
      <c r="S28" s="198"/>
      <c r="T28" s="198"/>
      <c r="U28" s="198"/>
    </row>
    <row r="29" spans="1:21" s="12" customFormat="1" x14ac:dyDescent="0.25">
      <c r="A29" s="215" t="s">
        <v>2574</v>
      </c>
      <c r="B29" s="64">
        <v>7.66</v>
      </c>
      <c r="C29" s="64">
        <v>43.63</v>
      </c>
      <c r="D29" s="64">
        <v>30.87</v>
      </c>
      <c r="E29" s="64">
        <v>2.64</v>
      </c>
      <c r="F29" s="64">
        <v>3.67</v>
      </c>
      <c r="G29" s="64">
        <v>106.36</v>
      </c>
      <c r="H29" s="64">
        <v>49.14</v>
      </c>
      <c r="I29" s="64">
        <v>1.5</v>
      </c>
      <c r="J29" s="64">
        <v>7.0000000000000007E-2</v>
      </c>
      <c r="K29" s="64">
        <v>30.49</v>
      </c>
      <c r="L29" s="64">
        <v>17.32</v>
      </c>
      <c r="M29" s="64">
        <v>79.75</v>
      </c>
      <c r="N29" s="64">
        <v>27.8</v>
      </c>
      <c r="O29" s="64">
        <v>0</v>
      </c>
      <c r="P29" s="64">
        <v>1.1599999999999999</v>
      </c>
      <c r="Q29" s="64">
        <v>5.95</v>
      </c>
      <c r="R29" s="198"/>
      <c r="S29" s="198"/>
      <c r="T29" s="198"/>
      <c r="U29" s="198"/>
    </row>
    <row r="30" spans="1:21" s="12" customFormat="1" x14ac:dyDescent="0.25">
      <c r="A30" s="215" t="s">
        <v>2575</v>
      </c>
      <c r="B30" s="64">
        <v>7.87</v>
      </c>
      <c r="C30" s="64">
        <v>43.48</v>
      </c>
      <c r="D30" s="64">
        <v>30.95</v>
      </c>
      <c r="E30" s="64">
        <v>2.66</v>
      </c>
      <c r="F30" s="64">
        <v>3.75</v>
      </c>
      <c r="G30" s="64">
        <v>114.56</v>
      </c>
      <c r="H30" s="64">
        <v>47.96</v>
      </c>
      <c r="I30" s="64">
        <v>1.46</v>
      </c>
      <c r="J30" s="64">
        <v>0.03</v>
      </c>
      <c r="K30" s="64">
        <v>38.93</v>
      </c>
      <c r="L30" s="64">
        <v>17.350000000000001</v>
      </c>
      <c r="M30" s="64">
        <v>77.48</v>
      </c>
      <c r="N30" s="64">
        <v>27.6</v>
      </c>
      <c r="O30" s="64">
        <v>0</v>
      </c>
      <c r="P30" s="64">
        <v>1.1399999999999999</v>
      </c>
      <c r="Q30" s="64">
        <v>5.96</v>
      </c>
      <c r="R30" s="198"/>
      <c r="S30" s="198"/>
      <c r="T30" s="198"/>
      <c r="U30" s="198"/>
    </row>
    <row r="31" spans="1:21" s="12" customFormat="1" x14ac:dyDescent="0.25">
      <c r="A31" s="215" t="s">
        <v>2576</v>
      </c>
      <c r="B31" s="64">
        <v>7.89</v>
      </c>
      <c r="C31" s="64">
        <v>43.56</v>
      </c>
      <c r="D31" s="64">
        <v>31.01</v>
      </c>
      <c r="E31" s="64">
        <v>2.5299999999999998</v>
      </c>
      <c r="F31" s="64">
        <v>3.54</v>
      </c>
      <c r="G31" s="64">
        <v>114.56</v>
      </c>
      <c r="H31" s="64">
        <v>47.96</v>
      </c>
      <c r="I31" s="64">
        <v>1.47</v>
      </c>
      <c r="J31" s="64">
        <v>7.0000000000000007E-2</v>
      </c>
      <c r="K31" s="64">
        <v>330.44</v>
      </c>
      <c r="L31" s="64">
        <v>17.47</v>
      </c>
      <c r="M31" s="64">
        <v>74.91</v>
      </c>
      <c r="N31" s="64">
        <v>27.6</v>
      </c>
      <c r="O31" s="64">
        <v>0</v>
      </c>
      <c r="P31" s="64">
        <v>1.1200000000000001</v>
      </c>
      <c r="Q31" s="64">
        <v>6.03</v>
      </c>
      <c r="R31" s="198"/>
      <c r="S31" s="198"/>
      <c r="T31" s="198"/>
      <c r="U31" s="198"/>
    </row>
    <row r="32" spans="1:21" s="12" customFormat="1" x14ac:dyDescent="0.25">
      <c r="A32" s="215" t="s">
        <v>2577</v>
      </c>
      <c r="B32" s="64">
        <v>8.01</v>
      </c>
      <c r="C32" s="64">
        <v>43.22</v>
      </c>
      <c r="D32" s="64">
        <v>30.93</v>
      </c>
      <c r="E32" s="64">
        <v>2.65</v>
      </c>
      <c r="F32" s="64">
        <v>3.7</v>
      </c>
      <c r="G32" s="64">
        <v>114.56</v>
      </c>
      <c r="H32" s="64">
        <v>47.96</v>
      </c>
      <c r="I32" s="64">
        <v>1.56</v>
      </c>
      <c r="J32" s="64">
        <v>0.02</v>
      </c>
      <c r="K32" s="64">
        <v>316.99</v>
      </c>
      <c r="L32" s="64">
        <v>17.32</v>
      </c>
      <c r="M32" s="64">
        <v>75.94</v>
      </c>
      <c r="N32" s="64">
        <v>28</v>
      </c>
      <c r="O32" s="64">
        <v>0</v>
      </c>
      <c r="P32" s="64">
        <v>1.1000000000000001</v>
      </c>
      <c r="Q32" s="64">
        <v>6.03</v>
      </c>
      <c r="R32" s="198"/>
      <c r="S32" s="198"/>
      <c r="T32" s="198"/>
      <c r="U32" s="198"/>
    </row>
    <row r="33" spans="1:21" s="12" customFormat="1" x14ac:dyDescent="0.25">
      <c r="A33" s="215" t="s">
        <v>2578</v>
      </c>
      <c r="B33" s="64">
        <v>7.85</v>
      </c>
      <c r="C33" s="64">
        <v>42.63</v>
      </c>
      <c r="D33" s="64">
        <v>30.47</v>
      </c>
      <c r="E33" s="64">
        <v>2.54</v>
      </c>
      <c r="F33" s="64">
        <v>3.58</v>
      </c>
      <c r="G33" s="64">
        <v>105.17</v>
      </c>
      <c r="H33" s="64">
        <v>55.04</v>
      </c>
      <c r="I33" s="64">
        <v>1.49</v>
      </c>
      <c r="J33" s="64">
        <v>0.26</v>
      </c>
      <c r="K33" s="64">
        <v>100.76</v>
      </c>
      <c r="L33" s="64">
        <v>17.36</v>
      </c>
      <c r="M33" s="64">
        <v>75.209999999999994</v>
      </c>
      <c r="N33" s="64">
        <v>29</v>
      </c>
      <c r="O33" s="64">
        <v>0</v>
      </c>
      <c r="P33" s="64">
        <v>1.0900000000000001</v>
      </c>
      <c r="Q33" s="64">
        <v>6.04</v>
      </c>
      <c r="R33" s="198"/>
      <c r="S33" s="198"/>
      <c r="T33" s="198"/>
      <c r="U33" s="198"/>
    </row>
    <row r="34" spans="1:21" s="12" customFormat="1" x14ac:dyDescent="0.25">
      <c r="A34" s="215" t="s">
        <v>2579</v>
      </c>
      <c r="B34" s="64">
        <v>7.69</v>
      </c>
      <c r="C34" s="64">
        <v>42.63</v>
      </c>
      <c r="D34" s="64">
        <v>30.34</v>
      </c>
      <c r="E34" s="64">
        <v>2.48</v>
      </c>
      <c r="F34" s="64">
        <v>3.58</v>
      </c>
      <c r="G34" s="64">
        <v>98.91</v>
      </c>
      <c r="H34" s="64">
        <v>56.77</v>
      </c>
      <c r="I34" s="64">
        <v>1.54</v>
      </c>
      <c r="J34" s="64">
        <v>0.2</v>
      </c>
      <c r="K34" s="64">
        <v>87.13</v>
      </c>
      <c r="L34" s="64">
        <v>17.420000000000002</v>
      </c>
      <c r="M34" s="64">
        <v>74.33</v>
      </c>
      <c r="N34" s="64">
        <v>35.200000000000003</v>
      </c>
      <c r="O34" s="64">
        <v>0</v>
      </c>
      <c r="P34" s="64">
        <v>1.06</v>
      </c>
      <c r="Q34" s="64">
        <v>5.94</v>
      </c>
      <c r="R34" s="198"/>
      <c r="S34" s="198"/>
      <c r="T34" s="198"/>
      <c r="U34" s="198"/>
    </row>
    <row r="35" spans="1:21" s="12" customFormat="1" x14ac:dyDescent="0.25">
      <c r="A35" s="215" t="s">
        <v>2580</v>
      </c>
      <c r="B35" s="64">
        <v>7.65</v>
      </c>
      <c r="C35" s="64">
        <v>43.03</v>
      </c>
      <c r="D35" s="64">
        <v>30.53</v>
      </c>
      <c r="E35" s="64">
        <v>2.44</v>
      </c>
      <c r="F35" s="64">
        <v>3.53</v>
      </c>
      <c r="G35" s="64">
        <v>98.91</v>
      </c>
      <c r="H35" s="64">
        <v>56.77</v>
      </c>
      <c r="I35" s="64">
        <v>1.54</v>
      </c>
      <c r="J35" s="64">
        <v>0.25</v>
      </c>
      <c r="K35" s="64">
        <v>97.46</v>
      </c>
      <c r="L35" s="64">
        <v>17.7</v>
      </c>
      <c r="M35" s="64">
        <v>72.34</v>
      </c>
      <c r="N35" s="64">
        <v>51.4</v>
      </c>
      <c r="O35" s="64">
        <v>0</v>
      </c>
      <c r="P35" s="64">
        <v>1.05</v>
      </c>
      <c r="Q35" s="64">
        <v>5.91</v>
      </c>
      <c r="R35" s="198"/>
      <c r="S35" s="198"/>
      <c r="T35" s="198"/>
      <c r="U35" s="198"/>
    </row>
    <row r="36" spans="1:21" s="12" customFormat="1" x14ac:dyDescent="0.25">
      <c r="A36" s="215" t="s">
        <v>2581</v>
      </c>
      <c r="B36" s="64">
        <v>7.58</v>
      </c>
      <c r="C36" s="64">
        <v>42.81</v>
      </c>
      <c r="D36" s="64">
        <v>30.35</v>
      </c>
      <c r="E36" s="64">
        <v>2.4700000000000002</v>
      </c>
      <c r="F36" s="64">
        <v>3.38</v>
      </c>
      <c r="G36" s="64">
        <v>98.91</v>
      </c>
      <c r="H36" s="64">
        <v>56.77</v>
      </c>
      <c r="I36" s="64">
        <v>1.47</v>
      </c>
      <c r="J36" s="64">
        <v>0.2</v>
      </c>
      <c r="K36" s="64">
        <v>105.66</v>
      </c>
      <c r="L36" s="64">
        <v>17.989999999999998</v>
      </c>
      <c r="M36" s="64">
        <v>70.599999999999994</v>
      </c>
      <c r="N36" s="64">
        <v>71.3</v>
      </c>
      <c r="O36" s="64">
        <v>0</v>
      </c>
      <c r="P36" s="64">
        <v>1.03</v>
      </c>
      <c r="Q36" s="64">
        <v>5.9</v>
      </c>
      <c r="R36" s="198"/>
      <c r="S36" s="198"/>
      <c r="T36" s="198"/>
      <c r="U36" s="198"/>
    </row>
    <row r="37" spans="1:21" s="12" customFormat="1" x14ac:dyDescent="0.25">
      <c r="A37" s="215" t="s">
        <v>2582</v>
      </c>
      <c r="B37" s="64">
        <v>7.34</v>
      </c>
      <c r="C37" s="64">
        <v>43.08</v>
      </c>
      <c r="D37" s="64">
        <v>30.3</v>
      </c>
      <c r="E37" s="64">
        <v>2.42</v>
      </c>
      <c r="F37" s="64">
        <v>3.36</v>
      </c>
      <c r="G37" s="64">
        <v>92.57</v>
      </c>
      <c r="H37" s="64">
        <v>53.82</v>
      </c>
      <c r="I37" s="64">
        <v>1.48</v>
      </c>
      <c r="J37" s="64">
        <v>0.37</v>
      </c>
      <c r="K37" s="64">
        <v>102.34</v>
      </c>
      <c r="L37" s="64">
        <v>18.41</v>
      </c>
      <c r="M37" s="64">
        <v>69.010000000000005</v>
      </c>
      <c r="N37" s="64">
        <v>100</v>
      </c>
      <c r="O37" s="64">
        <v>0</v>
      </c>
      <c r="P37" s="64">
        <v>0.98</v>
      </c>
      <c r="Q37" s="64">
        <v>5.86</v>
      </c>
      <c r="R37" s="198"/>
      <c r="S37" s="198"/>
      <c r="T37" s="198"/>
      <c r="U37" s="198"/>
    </row>
    <row r="38" spans="1:21" s="12" customFormat="1" x14ac:dyDescent="0.25">
      <c r="A38" s="215" t="s">
        <v>2583</v>
      </c>
      <c r="B38" s="64">
        <v>7.21</v>
      </c>
      <c r="C38" s="64">
        <v>43.55</v>
      </c>
      <c r="D38" s="64">
        <v>30.46</v>
      </c>
      <c r="E38" s="64">
        <v>2.4500000000000002</v>
      </c>
      <c r="F38" s="64">
        <v>4.01</v>
      </c>
      <c r="G38" s="64">
        <v>88.35</v>
      </c>
      <c r="H38" s="64">
        <v>53.05</v>
      </c>
      <c r="I38" s="64">
        <v>1.52</v>
      </c>
      <c r="J38" s="64">
        <v>0.51</v>
      </c>
      <c r="K38" s="64">
        <v>108.06</v>
      </c>
      <c r="L38" s="64">
        <v>19.010000000000002</v>
      </c>
      <c r="M38" s="64">
        <v>66.05</v>
      </c>
      <c r="N38" s="64">
        <v>135.1</v>
      </c>
      <c r="O38" s="64">
        <v>0</v>
      </c>
      <c r="P38" s="64">
        <v>1</v>
      </c>
      <c r="Q38" s="64">
        <v>5.84</v>
      </c>
      <c r="R38" s="198"/>
      <c r="S38" s="198"/>
      <c r="T38" s="198"/>
      <c r="U38" s="198"/>
    </row>
    <row r="39" spans="1:21" s="12" customFormat="1" x14ac:dyDescent="0.25">
      <c r="A39" s="215" t="s">
        <v>2584</v>
      </c>
      <c r="B39" s="64">
        <v>6.91</v>
      </c>
      <c r="C39" s="64">
        <v>43.4</v>
      </c>
      <c r="D39" s="64">
        <v>30.14</v>
      </c>
      <c r="E39" s="64">
        <v>2.5299999999999998</v>
      </c>
      <c r="F39" s="64">
        <v>4.01</v>
      </c>
      <c r="G39" s="64">
        <v>88.35</v>
      </c>
      <c r="H39" s="64">
        <v>53.05</v>
      </c>
      <c r="I39" s="64">
        <v>1.52</v>
      </c>
      <c r="J39" s="64">
        <v>1.03</v>
      </c>
      <c r="K39" s="64">
        <v>109.05</v>
      </c>
      <c r="L39" s="64">
        <v>19.41</v>
      </c>
      <c r="M39" s="64">
        <v>62.58</v>
      </c>
      <c r="N39" s="64">
        <v>171.9</v>
      </c>
      <c r="O39" s="64">
        <v>0</v>
      </c>
      <c r="P39" s="64">
        <v>0.99</v>
      </c>
      <c r="Q39" s="64">
        <v>5.81</v>
      </c>
      <c r="R39" s="198"/>
      <c r="S39" s="198"/>
      <c r="T39" s="198"/>
      <c r="U39" s="198"/>
    </row>
    <row r="40" spans="1:21" s="12" customFormat="1" x14ac:dyDescent="0.25">
      <c r="A40" s="215" t="s">
        <v>2585</v>
      </c>
      <c r="B40" s="64">
        <v>6.43</v>
      </c>
      <c r="C40" s="64">
        <v>42.84</v>
      </c>
      <c r="D40" s="64">
        <v>29.45</v>
      </c>
      <c r="E40" s="64">
        <v>2.19</v>
      </c>
      <c r="F40" s="64">
        <v>4.01</v>
      </c>
      <c r="G40" s="64">
        <v>88.35</v>
      </c>
      <c r="H40" s="64">
        <v>53.05</v>
      </c>
      <c r="I40" s="64">
        <v>1.5</v>
      </c>
      <c r="J40" s="64">
        <v>0.74</v>
      </c>
      <c r="K40" s="64">
        <v>99.5</v>
      </c>
      <c r="L40" s="64">
        <v>19.739999999999998</v>
      </c>
      <c r="M40" s="64">
        <v>60.28</v>
      </c>
      <c r="N40" s="64">
        <v>209.8</v>
      </c>
      <c r="O40" s="64">
        <v>0</v>
      </c>
      <c r="P40" s="64">
        <v>0.97</v>
      </c>
      <c r="Q40" s="64">
        <v>5.78</v>
      </c>
      <c r="R40" s="198"/>
      <c r="S40" s="198"/>
      <c r="T40" s="198"/>
      <c r="U40" s="198"/>
    </row>
    <row r="41" spans="1:21" s="12" customFormat="1" x14ac:dyDescent="0.25">
      <c r="A41" s="215" t="s">
        <v>2586</v>
      </c>
      <c r="B41" s="64">
        <v>6.41</v>
      </c>
      <c r="C41" s="64">
        <v>42.86</v>
      </c>
      <c r="D41" s="64">
        <v>29.44</v>
      </c>
      <c r="E41" s="64">
        <v>2.33</v>
      </c>
      <c r="F41" s="64">
        <v>3.62</v>
      </c>
      <c r="G41" s="64">
        <v>89.29</v>
      </c>
      <c r="H41" s="64">
        <v>49.74</v>
      </c>
      <c r="I41" s="64">
        <v>1.47</v>
      </c>
      <c r="J41" s="64">
        <v>0.28999999999999998</v>
      </c>
      <c r="K41" s="64">
        <v>82.99</v>
      </c>
      <c r="L41" s="64">
        <v>20.43</v>
      </c>
      <c r="M41" s="64">
        <v>56.98</v>
      </c>
      <c r="N41" s="64">
        <v>275.39999999999998</v>
      </c>
      <c r="O41" s="64">
        <v>0</v>
      </c>
      <c r="P41" s="64">
        <v>0.97</v>
      </c>
      <c r="Q41" s="64">
        <v>5.74</v>
      </c>
      <c r="R41" s="198"/>
      <c r="S41" s="198"/>
      <c r="T41" s="198"/>
      <c r="U41" s="198"/>
    </row>
    <row r="42" spans="1:21" s="12" customFormat="1" x14ac:dyDescent="0.25">
      <c r="A42" s="215" t="s">
        <v>2587</v>
      </c>
      <c r="B42" s="64">
        <v>8.1999999999999993</v>
      </c>
      <c r="C42" s="64">
        <v>46.28</v>
      </c>
      <c r="D42" s="64">
        <v>32.76</v>
      </c>
      <c r="E42" s="64">
        <v>2.35</v>
      </c>
      <c r="F42" s="64">
        <v>3.6</v>
      </c>
      <c r="G42" s="64">
        <v>89.92</v>
      </c>
      <c r="H42" s="64">
        <v>48.87</v>
      </c>
      <c r="I42" s="64">
        <v>1.55</v>
      </c>
      <c r="J42" s="64">
        <v>0.08</v>
      </c>
      <c r="K42" s="64">
        <v>75.87</v>
      </c>
      <c r="L42" s="64">
        <v>21.38</v>
      </c>
      <c r="M42" s="64">
        <v>56.69</v>
      </c>
      <c r="N42" s="64">
        <v>294.8</v>
      </c>
      <c r="O42" s="64">
        <v>0</v>
      </c>
      <c r="P42" s="64">
        <v>0.97</v>
      </c>
      <c r="Q42" s="64">
        <v>5.76</v>
      </c>
      <c r="R42" s="198"/>
      <c r="S42" s="198"/>
      <c r="T42" s="198"/>
      <c r="U42" s="198"/>
    </row>
    <row r="43" spans="1:21" s="12" customFormat="1" x14ac:dyDescent="0.25">
      <c r="A43" s="215" t="s">
        <v>2588</v>
      </c>
      <c r="B43" s="64">
        <v>8.5399999999999991</v>
      </c>
      <c r="C43" s="64">
        <v>46.69</v>
      </c>
      <c r="D43" s="64">
        <v>33.270000000000003</v>
      </c>
      <c r="E43" s="64">
        <v>2.3199999999999998</v>
      </c>
      <c r="F43" s="64">
        <v>3.78</v>
      </c>
      <c r="G43" s="64">
        <v>89.92</v>
      </c>
      <c r="H43" s="64">
        <v>48.87</v>
      </c>
      <c r="I43" s="64">
        <v>1.45</v>
      </c>
      <c r="J43" s="64">
        <v>0.12</v>
      </c>
      <c r="K43" s="64">
        <v>91.55</v>
      </c>
      <c r="L43" s="64">
        <v>21.28</v>
      </c>
      <c r="M43" s="64">
        <v>59.56</v>
      </c>
      <c r="N43" s="64">
        <v>288.89999999999998</v>
      </c>
      <c r="O43" s="64">
        <v>0</v>
      </c>
      <c r="P43" s="64">
        <v>0.95</v>
      </c>
      <c r="Q43" s="64">
        <v>5.85</v>
      </c>
      <c r="R43" s="198"/>
      <c r="S43" s="198"/>
      <c r="T43" s="198"/>
      <c r="U43" s="198"/>
    </row>
    <row r="44" spans="1:21" s="12" customFormat="1" x14ac:dyDescent="0.25">
      <c r="A44" s="215" t="s">
        <v>2589</v>
      </c>
      <c r="B44" s="64">
        <v>8.5399999999999991</v>
      </c>
      <c r="C44" s="64">
        <v>46.94</v>
      </c>
      <c r="D44" s="64">
        <v>33.4</v>
      </c>
      <c r="E44" s="64">
        <v>2.35</v>
      </c>
      <c r="F44" s="64">
        <v>3.7</v>
      </c>
      <c r="G44" s="64">
        <v>89.92</v>
      </c>
      <c r="H44" s="64">
        <v>48.87</v>
      </c>
      <c r="I44" s="64">
        <v>1.5</v>
      </c>
      <c r="J44" s="64">
        <v>0.09</v>
      </c>
      <c r="K44" s="64">
        <v>92.81</v>
      </c>
      <c r="L44" s="64">
        <v>21.69</v>
      </c>
      <c r="M44" s="64">
        <v>61.57</v>
      </c>
      <c r="N44" s="64">
        <v>326.89999999999998</v>
      </c>
      <c r="O44" s="64">
        <v>0</v>
      </c>
      <c r="P44" s="64">
        <v>0.95</v>
      </c>
      <c r="Q44" s="64">
        <v>5.92</v>
      </c>
      <c r="R44" s="198"/>
      <c r="S44" s="198"/>
      <c r="T44" s="198"/>
      <c r="U44" s="198"/>
    </row>
    <row r="45" spans="1:21" s="12" customFormat="1" x14ac:dyDescent="0.25">
      <c r="A45" s="215" t="s">
        <v>2590</v>
      </c>
      <c r="B45" s="64">
        <v>8.5500000000000007</v>
      </c>
      <c r="C45" s="64">
        <v>47.58</v>
      </c>
      <c r="D45" s="64">
        <v>33.76</v>
      </c>
      <c r="E45" s="64">
        <v>2.31</v>
      </c>
      <c r="F45" s="64">
        <v>3.66</v>
      </c>
      <c r="G45" s="64">
        <v>89.59</v>
      </c>
      <c r="H45" s="64">
        <v>48.56</v>
      </c>
      <c r="I45" s="64">
        <v>1.48</v>
      </c>
      <c r="J45" s="64">
        <v>0.13</v>
      </c>
      <c r="K45" s="64">
        <v>3.27</v>
      </c>
      <c r="L45" s="64">
        <v>22.51</v>
      </c>
      <c r="M45" s="64">
        <v>60.04</v>
      </c>
      <c r="N45" s="64">
        <v>352.4</v>
      </c>
      <c r="O45" s="64">
        <v>0</v>
      </c>
      <c r="P45" s="64">
        <v>0.96</v>
      </c>
      <c r="Q45" s="64">
        <v>5.97</v>
      </c>
      <c r="R45" s="198"/>
      <c r="S45" s="198"/>
      <c r="T45" s="198"/>
      <c r="U45" s="198"/>
    </row>
    <row r="46" spans="1:21" s="12" customFormat="1" x14ac:dyDescent="0.25">
      <c r="A46" s="215" t="s">
        <v>2591</v>
      </c>
      <c r="B46" s="64">
        <v>8.57</v>
      </c>
      <c r="C46" s="64">
        <v>48.05</v>
      </c>
      <c r="D46" s="64">
        <v>34.03</v>
      </c>
      <c r="E46" s="64">
        <v>2.38</v>
      </c>
      <c r="F46" s="64">
        <v>4.1399999999999997</v>
      </c>
      <c r="G46" s="64">
        <v>89.37</v>
      </c>
      <c r="H46" s="64">
        <v>48.41</v>
      </c>
      <c r="I46" s="64">
        <v>1.47</v>
      </c>
      <c r="J46" s="64">
        <v>0.21</v>
      </c>
      <c r="K46" s="64">
        <v>105.72</v>
      </c>
      <c r="L46" s="64">
        <v>22.67</v>
      </c>
      <c r="M46" s="64">
        <v>58.99</v>
      </c>
      <c r="N46" s="64">
        <v>381.1</v>
      </c>
      <c r="O46" s="64">
        <v>0</v>
      </c>
      <c r="P46" s="64">
        <v>0.96</v>
      </c>
      <c r="Q46" s="64">
        <v>5.99</v>
      </c>
      <c r="R46" s="198"/>
      <c r="S46" s="198"/>
      <c r="T46" s="198"/>
      <c r="U46" s="198"/>
    </row>
    <row r="47" spans="1:21" s="12" customFormat="1" x14ac:dyDescent="0.25">
      <c r="A47" s="215" t="s">
        <v>2592</v>
      </c>
      <c r="B47" s="64">
        <v>8.16</v>
      </c>
      <c r="C47" s="64">
        <v>47.65</v>
      </c>
      <c r="D47" s="64">
        <v>33.479999999999997</v>
      </c>
      <c r="E47" s="64">
        <v>2.37</v>
      </c>
      <c r="F47" s="64">
        <v>4.03</v>
      </c>
      <c r="G47" s="64">
        <v>89.37</v>
      </c>
      <c r="H47" s="64">
        <v>48.41</v>
      </c>
      <c r="I47" s="64">
        <v>1.45</v>
      </c>
      <c r="J47" s="64">
        <v>0.68</v>
      </c>
      <c r="K47" s="64">
        <v>111.03</v>
      </c>
      <c r="L47" s="64">
        <v>22.9</v>
      </c>
      <c r="M47" s="64">
        <v>57.12</v>
      </c>
      <c r="N47" s="64">
        <v>441.9</v>
      </c>
      <c r="O47" s="64">
        <v>0</v>
      </c>
      <c r="P47" s="64">
        <v>0.96</v>
      </c>
      <c r="Q47" s="64">
        <v>6.03</v>
      </c>
      <c r="R47" s="198"/>
      <c r="S47" s="198"/>
      <c r="T47" s="198"/>
      <c r="U47" s="198"/>
    </row>
    <row r="48" spans="1:21" s="12" customFormat="1" x14ac:dyDescent="0.25">
      <c r="A48" s="215" t="s">
        <v>2593</v>
      </c>
      <c r="B48" s="64">
        <v>7.65</v>
      </c>
      <c r="C48" s="64">
        <v>46.73</v>
      </c>
      <c r="D48" s="64">
        <v>32.56</v>
      </c>
      <c r="E48" s="64">
        <v>2.37</v>
      </c>
      <c r="F48" s="64">
        <v>5.2</v>
      </c>
      <c r="G48" s="64">
        <v>89.37</v>
      </c>
      <c r="H48" s="64">
        <v>48.41</v>
      </c>
      <c r="I48" s="64">
        <v>1.48</v>
      </c>
      <c r="J48" s="64">
        <v>0.54</v>
      </c>
      <c r="K48" s="64">
        <v>108.24</v>
      </c>
      <c r="L48" s="64">
        <v>22.94</v>
      </c>
      <c r="M48" s="64">
        <v>58.06</v>
      </c>
      <c r="N48" s="64">
        <v>458.4</v>
      </c>
      <c r="O48" s="64">
        <v>0</v>
      </c>
      <c r="P48" s="64">
        <v>0.94</v>
      </c>
      <c r="Q48" s="64">
        <v>6</v>
      </c>
      <c r="R48" s="198"/>
      <c r="S48" s="198"/>
      <c r="T48" s="198"/>
      <c r="U48" s="198"/>
    </row>
    <row r="49" spans="1:21" s="12" customFormat="1" x14ac:dyDescent="0.25">
      <c r="A49" s="215" t="s">
        <v>2594</v>
      </c>
      <c r="B49" s="64">
        <v>7.18</v>
      </c>
      <c r="C49" s="64">
        <v>46.25</v>
      </c>
      <c r="D49" s="64">
        <v>31.93</v>
      </c>
      <c r="E49" s="64">
        <v>2.37</v>
      </c>
      <c r="F49" s="64">
        <v>4.68</v>
      </c>
      <c r="G49" s="64">
        <v>86.12</v>
      </c>
      <c r="H49" s="64">
        <v>48.22</v>
      </c>
      <c r="I49" s="64">
        <v>1.52</v>
      </c>
      <c r="J49" s="64">
        <v>0.76</v>
      </c>
      <c r="K49" s="64">
        <v>105.24</v>
      </c>
      <c r="L49" s="64">
        <v>23.28</v>
      </c>
      <c r="M49" s="64">
        <v>56.98</v>
      </c>
      <c r="N49" s="64">
        <v>521.5</v>
      </c>
      <c r="O49" s="64">
        <v>0</v>
      </c>
      <c r="P49" s="64">
        <v>0.92</v>
      </c>
      <c r="Q49" s="64">
        <v>5.96</v>
      </c>
      <c r="R49" s="198"/>
      <c r="S49" s="198"/>
      <c r="T49" s="198"/>
      <c r="U49" s="198"/>
    </row>
    <row r="50" spans="1:21" s="12" customFormat="1" x14ac:dyDescent="0.25">
      <c r="A50" s="215" t="s">
        <v>2595</v>
      </c>
      <c r="B50" s="64">
        <v>6.8</v>
      </c>
      <c r="C50" s="64">
        <v>45.56</v>
      </c>
      <c r="D50" s="64">
        <v>31.24</v>
      </c>
      <c r="E50" s="64">
        <v>2.38</v>
      </c>
      <c r="F50" s="64">
        <v>5.2</v>
      </c>
      <c r="G50" s="64">
        <v>83.95</v>
      </c>
      <c r="H50" s="64">
        <v>48.17</v>
      </c>
      <c r="I50" s="64">
        <v>1.49</v>
      </c>
      <c r="J50" s="64">
        <v>1.19</v>
      </c>
      <c r="K50" s="64">
        <v>109.42</v>
      </c>
      <c r="L50" s="64">
        <v>23.79</v>
      </c>
      <c r="M50" s="64">
        <v>54.49</v>
      </c>
      <c r="N50" s="64">
        <v>553.70000000000005</v>
      </c>
      <c r="O50" s="64">
        <v>0</v>
      </c>
      <c r="P50" s="64">
        <v>0.92</v>
      </c>
      <c r="Q50" s="64">
        <v>5.93</v>
      </c>
      <c r="R50" s="198"/>
      <c r="S50" s="198"/>
      <c r="T50" s="198"/>
      <c r="U50" s="198"/>
    </row>
    <row r="51" spans="1:21" s="12" customFormat="1" x14ac:dyDescent="0.25">
      <c r="A51" s="215" t="s">
        <v>2596</v>
      </c>
      <c r="B51" s="64">
        <v>6.34</v>
      </c>
      <c r="C51" s="64">
        <v>45.02</v>
      </c>
      <c r="D51" s="64">
        <v>30.58</v>
      </c>
      <c r="E51" s="64">
        <v>2.39</v>
      </c>
      <c r="F51" s="64">
        <v>5.77</v>
      </c>
      <c r="G51" s="64">
        <v>83.95</v>
      </c>
      <c r="H51" s="64">
        <v>48.17</v>
      </c>
      <c r="I51" s="64">
        <v>1.48</v>
      </c>
      <c r="J51" s="64">
        <v>0.54</v>
      </c>
      <c r="K51" s="64">
        <v>90.4</v>
      </c>
      <c r="L51" s="64">
        <v>24.41</v>
      </c>
      <c r="M51" s="64">
        <v>53.31</v>
      </c>
      <c r="N51" s="64">
        <v>561.6</v>
      </c>
      <c r="O51" s="64">
        <v>0</v>
      </c>
      <c r="P51" s="64">
        <v>0.91</v>
      </c>
      <c r="Q51" s="64">
        <v>5.88</v>
      </c>
      <c r="R51" s="198"/>
      <c r="S51" s="198"/>
      <c r="T51" s="198"/>
      <c r="U51" s="198"/>
    </row>
    <row r="52" spans="1:21" s="12" customFormat="1" x14ac:dyDescent="0.25">
      <c r="A52" s="215" t="s">
        <v>2597</v>
      </c>
      <c r="B52" s="64">
        <v>6.25</v>
      </c>
      <c r="C52" s="64">
        <v>45.42</v>
      </c>
      <c r="D52" s="64">
        <v>30.72</v>
      </c>
      <c r="E52" s="64">
        <v>2.42</v>
      </c>
      <c r="F52" s="64">
        <v>5.52</v>
      </c>
      <c r="G52" s="64">
        <v>83.95</v>
      </c>
      <c r="H52" s="64">
        <v>48.17</v>
      </c>
      <c r="I52" s="64">
        <v>1.51</v>
      </c>
      <c r="J52" s="64">
        <v>1.08</v>
      </c>
      <c r="K52" s="64">
        <v>116</v>
      </c>
      <c r="L52" s="64">
        <v>25.16</v>
      </c>
      <c r="M52" s="64">
        <v>52.24</v>
      </c>
      <c r="N52" s="64">
        <v>529.6</v>
      </c>
      <c r="O52" s="64">
        <v>0</v>
      </c>
      <c r="P52" s="64">
        <v>0.9</v>
      </c>
      <c r="Q52" s="64">
        <v>5.79</v>
      </c>
      <c r="R52" s="198"/>
      <c r="S52" s="198"/>
      <c r="T52" s="198"/>
      <c r="U52" s="198"/>
    </row>
    <row r="53" spans="1:21" s="12" customFormat="1" x14ac:dyDescent="0.25">
      <c r="A53" s="215" t="s">
        <v>2598</v>
      </c>
      <c r="B53" s="64">
        <v>5.66</v>
      </c>
      <c r="C53" s="64">
        <v>43.88</v>
      </c>
      <c r="D53" s="64">
        <v>29.4</v>
      </c>
      <c r="E53" s="64">
        <v>2.37</v>
      </c>
      <c r="F53" s="64">
        <v>8.68</v>
      </c>
      <c r="G53" s="64">
        <v>81.41</v>
      </c>
      <c r="H53" s="64">
        <v>42.18</v>
      </c>
      <c r="I53" s="64">
        <v>1.51</v>
      </c>
      <c r="J53" s="64">
        <v>0.93</v>
      </c>
      <c r="K53" s="64">
        <v>102.34</v>
      </c>
      <c r="L53" s="64">
        <v>24.57</v>
      </c>
      <c r="M53" s="64">
        <v>51.61</v>
      </c>
      <c r="N53" s="64">
        <v>549.29999999999995</v>
      </c>
      <c r="O53" s="64">
        <v>0</v>
      </c>
      <c r="P53" s="64">
        <v>0.88</v>
      </c>
      <c r="Q53" s="64">
        <v>5.8</v>
      </c>
      <c r="R53" s="198"/>
      <c r="S53" s="198"/>
      <c r="T53" s="198"/>
      <c r="U53" s="198"/>
    </row>
    <row r="54" spans="1:21" s="12" customFormat="1" x14ac:dyDescent="0.25">
      <c r="A54" s="215" t="s">
        <v>2599</v>
      </c>
      <c r="B54" s="64">
        <v>4.9800000000000004</v>
      </c>
      <c r="C54" s="64">
        <v>42.18</v>
      </c>
      <c r="D54" s="64">
        <v>27.91</v>
      </c>
      <c r="E54" s="64">
        <v>2.52</v>
      </c>
      <c r="F54" s="64">
        <v>5.18</v>
      </c>
      <c r="G54" s="64">
        <v>79.709999999999994</v>
      </c>
      <c r="H54" s="64">
        <v>40.71</v>
      </c>
      <c r="I54" s="64">
        <v>1.48</v>
      </c>
      <c r="J54" s="64">
        <v>1.37</v>
      </c>
      <c r="K54" s="64">
        <v>110.9</v>
      </c>
      <c r="L54" s="64">
        <v>24.53</v>
      </c>
      <c r="M54" s="64">
        <v>49.07</v>
      </c>
      <c r="N54" s="64">
        <v>605.70000000000005</v>
      </c>
      <c r="O54" s="64">
        <v>0</v>
      </c>
      <c r="P54" s="64">
        <v>0.86</v>
      </c>
      <c r="Q54" s="64">
        <v>5.86</v>
      </c>
      <c r="R54" s="198"/>
      <c r="S54" s="198"/>
      <c r="T54" s="198"/>
      <c r="U54" s="198"/>
    </row>
    <row r="55" spans="1:21" s="12" customFormat="1" x14ac:dyDescent="0.25">
      <c r="A55" s="215" t="s">
        <v>2600</v>
      </c>
      <c r="B55" s="64">
        <v>4.6100000000000003</v>
      </c>
      <c r="C55" s="64">
        <v>43.34</v>
      </c>
      <c r="D55" s="64">
        <v>28.26</v>
      </c>
      <c r="E55" s="64">
        <v>2.48</v>
      </c>
      <c r="F55" s="64">
        <v>7.15</v>
      </c>
      <c r="G55" s="64">
        <v>79.709999999999994</v>
      </c>
      <c r="H55" s="64">
        <v>40.71</v>
      </c>
      <c r="I55" s="64">
        <v>1.52</v>
      </c>
      <c r="J55" s="64">
        <v>0.84</v>
      </c>
      <c r="K55" s="64">
        <v>115.67</v>
      </c>
      <c r="L55" s="64">
        <v>25.31</v>
      </c>
      <c r="M55" s="64">
        <v>46.78</v>
      </c>
      <c r="N55" s="64">
        <v>611</v>
      </c>
      <c r="O55" s="64">
        <v>0</v>
      </c>
      <c r="P55" s="64">
        <v>0.84</v>
      </c>
      <c r="Q55" s="64">
        <v>5.76</v>
      </c>
      <c r="R55" s="198"/>
      <c r="S55" s="198"/>
      <c r="T55" s="198"/>
      <c r="U55" s="198"/>
    </row>
    <row r="56" spans="1:21" s="12" customFormat="1" x14ac:dyDescent="0.25">
      <c r="A56" s="215" t="s">
        <v>2601</v>
      </c>
      <c r="B56" s="64">
        <v>4.1399999999999997</v>
      </c>
      <c r="C56" s="64">
        <v>42.48</v>
      </c>
      <c r="D56" s="64">
        <v>27.41</v>
      </c>
      <c r="E56" s="64">
        <v>2.36</v>
      </c>
      <c r="F56" s="64">
        <v>7.12</v>
      </c>
      <c r="G56" s="64">
        <v>79.709999999999994</v>
      </c>
      <c r="H56" s="64">
        <v>40.71</v>
      </c>
      <c r="I56" s="64">
        <v>1.5</v>
      </c>
      <c r="J56" s="64">
        <v>0.81</v>
      </c>
      <c r="K56" s="64">
        <v>107.56</v>
      </c>
      <c r="L56" s="64">
        <v>25.41</v>
      </c>
      <c r="M56" s="64">
        <v>45.91</v>
      </c>
      <c r="N56" s="64">
        <v>557.20000000000005</v>
      </c>
      <c r="O56" s="64">
        <v>0</v>
      </c>
      <c r="P56" s="64">
        <v>0.83</v>
      </c>
      <c r="Q56" s="64">
        <v>5.77</v>
      </c>
      <c r="R56" s="198"/>
      <c r="S56" s="198"/>
      <c r="T56" s="198"/>
      <c r="U56" s="198"/>
    </row>
    <row r="57" spans="1:21" s="12" customFormat="1" x14ac:dyDescent="0.25">
      <c r="A57" s="215" t="s">
        <v>2602</v>
      </c>
      <c r="B57" s="64">
        <v>4.58</v>
      </c>
      <c r="C57" s="64">
        <v>42.27</v>
      </c>
      <c r="D57" s="64">
        <v>27.65</v>
      </c>
      <c r="E57" s="64">
        <v>2.4900000000000002</v>
      </c>
      <c r="F57" s="64">
        <v>6.85</v>
      </c>
      <c r="G57" s="64">
        <v>76.34</v>
      </c>
      <c r="H57" s="64">
        <v>38.43</v>
      </c>
      <c r="I57" s="64">
        <v>1.45</v>
      </c>
      <c r="J57" s="64">
        <v>0.95</v>
      </c>
      <c r="K57" s="64">
        <v>100.7</v>
      </c>
      <c r="L57" s="64">
        <v>25.7</v>
      </c>
      <c r="M57" s="64">
        <v>43.87</v>
      </c>
      <c r="N57" s="64">
        <v>632.79999999999995</v>
      </c>
      <c r="O57" s="64">
        <v>0</v>
      </c>
      <c r="P57" s="64">
        <v>0.81</v>
      </c>
      <c r="Q57" s="64">
        <v>5.5</v>
      </c>
      <c r="R57" s="198"/>
      <c r="S57" s="198"/>
      <c r="T57" s="198"/>
      <c r="U57" s="198"/>
    </row>
    <row r="58" spans="1:21" s="12" customFormat="1" x14ac:dyDescent="0.25">
      <c r="A58" s="215" t="s">
        <v>2603</v>
      </c>
      <c r="B58" s="64">
        <v>3.77</v>
      </c>
      <c r="C58" s="64">
        <v>41.98</v>
      </c>
      <c r="D58" s="64">
        <v>26.84</v>
      </c>
      <c r="E58" s="64">
        <v>2.5</v>
      </c>
      <c r="F58" s="64">
        <v>7.22</v>
      </c>
      <c r="G58" s="64">
        <v>74.09</v>
      </c>
      <c r="H58" s="64">
        <v>37.869999999999997</v>
      </c>
      <c r="I58" s="64">
        <v>1.55</v>
      </c>
      <c r="J58" s="64">
        <v>0.48</v>
      </c>
      <c r="K58" s="64">
        <v>101.56</v>
      </c>
      <c r="L58" s="64">
        <v>26.03</v>
      </c>
      <c r="M58" s="64">
        <v>40.99</v>
      </c>
      <c r="N58" s="64">
        <v>605.79999999999995</v>
      </c>
      <c r="O58" s="64">
        <v>0</v>
      </c>
      <c r="P58" s="64">
        <v>0.8</v>
      </c>
      <c r="Q58" s="64">
        <v>5.57</v>
      </c>
      <c r="R58" s="198"/>
      <c r="S58" s="198"/>
      <c r="T58" s="198"/>
      <c r="U58" s="198"/>
    </row>
    <row r="59" spans="1:21" s="12" customFormat="1" x14ac:dyDescent="0.25">
      <c r="A59" s="215" t="s">
        <v>2604</v>
      </c>
      <c r="B59" s="64">
        <v>3.77</v>
      </c>
      <c r="C59" s="64">
        <v>41.29</v>
      </c>
      <c r="D59" s="64">
        <v>26.46</v>
      </c>
      <c r="E59" s="64">
        <v>2.5299999999999998</v>
      </c>
      <c r="F59" s="64">
        <v>8.06</v>
      </c>
      <c r="G59" s="64">
        <v>74.09</v>
      </c>
      <c r="H59" s="64">
        <v>37.869999999999997</v>
      </c>
      <c r="I59" s="64">
        <v>1.45</v>
      </c>
      <c r="J59" s="64">
        <v>0.28000000000000003</v>
      </c>
      <c r="K59" s="64">
        <v>53.62</v>
      </c>
      <c r="L59" s="64">
        <v>27.35</v>
      </c>
      <c r="M59" s="64">
        <v>36.520000000000003</v>
      </c>
      <c r="N59" s="64">
        <v>573</v>
      </c>
      <c r="O59" s="64">
        <v>0</v>
      </c>
      <c r="P59" s="64">
        <v>0.79</v>
      </c>
      <c r="Q59" s="64">
        <v>5.6</v>
      </c>
      <c r="R59" s="198"/>
      <c r="S59" s="198"/>
      <c r="T59" s="198"/>
      <c r="U59" s="198"/>
    </row>
    <row r="60" spans="1:21" s="12" customFormat="1" x14ac:dyDescent="0.25">
      <c r="A60" s="215" t="s">
        <v>2605</v>
      </c>
      <c r="B60" s="64">
        <v>4.3099999999999996</v>
      </c>
      <c r="C60" s="64">
        <v>40.53</v>
      </c>
      <c r="D60" s="64">
        <v>26.47</v>
      </c>
      <c r="E60" s="64">
        <v>2.4700000000000002</v>
      </c>
      <c r="F60" s="64">
        <v>6.01</v>
      </c>
      <c r="G60" s="64">
        <v>74.09</v>
      </c>
      <c r="H60" s="64">
        <v>37.869999999999997</v>
      </c>
      <c r="I60" s="64">
        <v>1.51</v>
      </c>
      <c r="J60" s="64">
        <v>0.71</v>
      </c>
      <c r="K60" s="64">
        <v>127.14</v>
      </c>
      <c r="L60" s="64">
        <v>26.51</v>
      </c>
      <c r="M60" s="64">
        <v>37.159999999999997</v>
      </c>
      <c r="N60" s="64">
        <v>536</v>
      </c>
      <c r="O60" s="64">
        <v>0</v>
      </c>
      <c r="P60" s="64">
        <v>0.78</v>
      </c>
      <c r="Q60" s="64">
        <v>5.65</v>
      </c>
      <c r="R60" s="198"/>
      <c r="S60" s="198"/>
      <c r="T60" s="198"/>
      <c r="U60" s="198"/>
    </row>
    <row r="61" spans="1:21" s="12" customFormat="1" x14ac:dyDescent="0.25">
      <c r="A61" s="215" t="s">
        <v>2606</v>
      </c>
      <c r="B61" s="64">
        <v>3.57</v>
      </c>
      <c r="C61" s="64">
        <v>41.7</v>
      </c>
      <c r="D61" s="64">
        <v>26.52</v>
      </c>
      <c r="E61" s="64">
        <v>2.4900000000000002</v>
      </c>
      <c r="F61" s="64">
        <v>9.15</v>
      </c>
      <c r="G61" s="64">
        <v>69.41</v>
      </c>
      <c r="H61" s="64">
        <v>30.95</v>
      </c>
      <c r="I61" s="64">
        <v>1.5</v>
      </c>
      <c r="J61" s="64">
        <v>0.62</v>
      </c>
      <c r="K61" s="64">
        <v>337.93</v>
      </c>
      <c r="L61" s="64">
        <v>27.32</v>
      </c>
      <c r="M61" s="64">
        <v>36.42</v>
      </c>
      <c r="N61" s="64">
        <v>499.8</v>
      </c>
      <c r="O61" s="64">
        <v>0</v>
      </c>
      <c r="P61" s="64">
        <v>0.72</v>
      </c>
      <c r="Q61" s="64">
        <v>5.65</v>
      </c>
      <c r="R61" s="198"/>
      <c r="S61" s="198"/>
      <c r="T61" s="198"/>
      <c r="U61" s="198"/>
    </row>
    <row r="62" spans="1:21" s="12" customFormat="1" x14ac:dyDescent="0.25">
      <c r="A62" s="215" t="s">
        <v>2607</v>
      </c>
      <c r="B62" s="64">
        <v>3.43</v>
      </c>
      <c r="C62" s="64">
        <v>43.38</v>
      </c>
      <c r="D62" s="64">
        <v>27.34</v>
      </c>
      <c r="E62" s="64">
        <v>2.5099999999999998</v>
      </c>
      <c r="F62" s="64">
        <v>9.3000000000000007</v>
      </c>
      <c r="G62" s="64">
        <v>66.290000000000006</v>
      </c>
      <c r="H62" s="64">
        <v>27.96</v>
      </c>
      <c r="I62" s="64">
        <v>1.47</v>
      </c>
      <c r="J62" s="64">
        <v>0.71</v>
      </c>
      <c r="K62" s="64">
        <v>132.83000000000001</v>
      </c>
      <c r="L62" s="64">
        <v>26.78</v>
      </c>
      <c r="M62" s="64">
        <v>36.99</v>
      </c>
      <c r="N62" s="64">
        <v>442.2</v>
      </c>
      <c r="O62" s="64">
        <v>0</v>
      </c>
      <c r="P62" s="64">
        <v>0.75</v>
      </c>
      <c r="Q62" s="64">
        <v>5.6</v>
      </c>
      <c r="R62" s="198"/>
      <c r="S62" s="198"/>
      <c r="T62" s="198"/>
      <c r="U62" s="198"/>
    </row>
    <row r="63" spans="1:21" s="12" customFormat="1" x14ac:dyDescent="0.25">
      <c r="A63" s="215" t="s">
        <v>2608</v>
      </c>
      <c r="B63" s="64">
        <v>3.56</v>
      </c>
      <c r="C63" s="64">
        <v>46.16</v>
      </c>
      <c r="D63" s="64">
        <v>28.97</v>
      </c>
      <c r="E63" s="64">
        <v>2.4300000000000002</v>
      </c>
      <c r="F63" s="64">
        <v>8.84</v>
      </c>
      <c r="G63" s="64">
        <v>66.290000000000006</v>
      </c>
      <c r="H63" s="64">
        <v>27.96</v>
      </c>
      <c r="I63" s="64">
        <v>1.58</v>
      </c>
      <c r="J63" s="64">
        <v>0.64</v>
      </c>
      <c r="K63" s="64">
        <v>104.86</v>
      </c>
      <c r="L63" s="64">
        <v>27.07</v>
      </c>
      <c r="M63" s="64">
        <v>36.880000000000003</v>
      </c>
      <c r="N63" s="64">
        <v>332.8</v>
      </c>
      <c r="O63" s="64">
        <v>0</v>
      </c>
      <c r="P63" s="64">
        <v>0.77</v>
      </c>
      <c r="Q63" s="64">
        <v>5.53</v>
      </c>
      <c r="R63" s="198"/>
      <c r="S63" s="198"/>
      <c r="T63" s="198"/>
      <c r="U63" s="198"/>
    </row>
    <row r="64" spans="1:21" s="12" customFormat="1" x14ac:dyDescent="0.25">
      <c r="A64" s="215" t="s">
        <v>2609</v>
      </c>
      <c r="B64" s="64">
        <v>3.31</v>
      </c>
      <c r="C64" s="64">
        <v>44.74</v>
      </c>
      <c r="D64" s="64">
        <v>27.99</v>
      </c>
      <c r="E64" s="64">
        <v>2.5</v>
      </c>
      <c r="F64" s="64">
        <v>10.45</v>
      </c>
      <c r="G64" s="64">
        <v>66.290000000000006</v>
      </c>
      <c r="H64" s="64">
        <v>27.96</v>
      </c>
      <c r="I64" s="64">
        <v>1.52</v>
      </c>
      <c r="J64" s="64">
        <v>0.28000000000000003</v>
      </c>
      <c r="K64" s="64">
        <v>14.09</v>
      </c>
      <c r="L64" s="64">
        <v>26.74</v>
      </c>
      <c r="M64" s="64">
        <v>37.6</v>
      </c>
      <c r="N64" s="64">
        <v>254.3</v>
      </c>
      <c r="O64" s="64">
        <v>0</v>
      </c>
      <c r="P64" s="64">
        <v>0.77</v>
      </c>
      <c r="Q64" s="64">
        <v>5.48</v>
      </c>
      <c r="R64" s="198"/>
      <c r="S64" s="198"/>
      <c r="T64" s="198"/>
      <c r="U64" s="198"/>
    </row>
    <row r="65" spans="1:21" s="12" customFormat="1" x14ac:dyDescent="0.25">
      <c r="A65" s="215" t="s">
        <v>2610</v>
      </c>
      <c r="B65" s="64">
        <v>3.69</v>
      </c>
      <c r="C65" s="64">
        <v>42.62</v>
      </c>
      <c r="D65" s="64">
        <v>27.12</v>
      </c>
      <c r="E65" s="64">
        <v>2.67</v>
      </c>
      <c r="F65" s="64">
        <v>16.77</v>
      </c>
      <c r="G65" s="64">
        <v>65.98</v>
      </c>
      <c r="H65" s="64">
        <v>43.43</v>
      </c>
      <c r="I65" s="64">
        <v>1.55</v>
      </c>
      <c r="J65" s="64">
        <v>0.21</v>
      </c>
      <c r="K65" s="64">
        <v>11.06</v>
      </c>
      <c r="L65" s="64">
        <v>26.93</v>
      </c>
      <c r="M65" s="64">
        <v>36.340000000000003</v>
      </c>
      <c r="N65" s="64">
        <v>215.2</v>
      </c>
      <c r="O65" s="64">
        <v>0</v>
      </c>
      <c r="P65" s="64">
        <v>0.77</v>
      </c>
      <c r="Q65" s="64">
        <v>5.5</v>
      </c>
      <c r="R65" s="198"/>
      <c r="S65" s="198"/>
      <c r="T65" s="198"/>
      <c r="U65" s="198"/>
    </row>
    <row r="66" spans="1:21" s="12" customFormat="1" x14ac:dyDescent="0.25">
      <c r="A66" s="215" t="s">
        <v>2611</v>
      </c>
      <c r="B66" s="64">
        <v>3.34</v>
      </c>
      <c r="C66" s="64">
        <v>44.23</v>
      </c>
      <c r="D66" s="64">
        <v>27.74</v>
      </c>
      <c r="E66" s="64">
        <v>2.62</v>
      </c>
      <c r="F66" s="64">
        <v>6.25</v>
      </c>
      <c r="G66" s="64">
        <v>65.77</v>
      </c>
      <c r="H66" s="64">
        <v>47.23</v>
      </c>
      <c r="I66" s="64">
        <v>1.53</v>
      </c>
      <c r="J66" s="64">
        <v>0.96</v>
      </c>
      <c r="K66" s="64">
        <v>110.32</v>
      </c>
      <c r="L66" s="64">
        <v>26.3</v>
      </c>
      <c r="M66" s="64">
        <v>36.880000000000003</v>
      </c>
      <c r="N66" s="64">
        <v>191.8</v>
      </c>
      <c r="O66" s="64">
        <v>0</v>
      </c>
      <c r="P66" s="64">
        <v>0.8</v>
      </c>
      <c r="Q66" s="64">
        <v>5.49</v>
      </c>
      <c r="R66" s="198"/>
      <c r="S66" s="198"/>
      <c r="T66" s="198"/>
      <c r="U66" s="198"/>
    </row>
    <row r="67" spans="1:21" s="12" customFormat="1" x14ac:dyDescent="0.25">
      <c r="A67" s="215" t="s">
        <v>2612</v>
      </c>
      <c r="B67" s="64">
        <v>2.72</v>
      </c>
      <c r="C67" s="64">
        <v>40.57</v>
      </c>
      <c r="D67" s="64">
        <v>25.22</v>
      </c>
      <c r="E67" s="64">
        <v>2.88</v>
      </c>
      <c r="F67" s="64">
        <v>24.38</v>
      </c>
      <c r="G67" s="64">
        <v>65.77</v>
      </c>
      <c r="H67" s="64">
        <v>47.23</v>
      </c>
      <c r="I67" s="64">
        <v>1.43</v>
      </c>
      <c r="J67" s="64">
        <v>0.27</v>
      </c>
      <c r="K67" s="64">
        <v>101.31</v>
      </c>
      <c r="L67" s="64">
        <v>25.91</v>
      </c>
      <c r="M67" s="64">
        <v>37.44</v>
      </c>
      <c r="N67" s="64">
        <v>191</v>
      </c>
      <c r="O67" s="64">
        <v>0</v>
      </c>
      <c r="P67" s="64">
        <v>0.75</v>
      </c>
      <c r="Q67" s="64">
        <v>5.46</v>
      </c>
      <c r="R67" s="198"/>
      <c r="S67" s="198"/>
      <c r="T67" s="198"/>
      <c r="U67" s="198"/>
    </row>
    <row r="68" spans="1:21" s="12" customFormat="1" x14ac:dyDescent="0.25">
      <c r="A68" s="215" t="s">
        <v>2613</v>
      </c>
      <c r="B68" s="64">
        <v>3.15</v>
      </c>
      <c r="C68" s="64">
        <v>45.18</v>
      </c>
      <c r="D68" s="64">
        <v>28.1</v>
      </c>
      <c r="E68" s="64">
        <v>2.97</v>
      </c>
      <c r="F68" s="64">
        <v>18.66</v>
      </c>
      <c r="G68" s="64">
        <v>65.77</v>
      </c>
      <c r="H68" s="64">
        <v>47.23</v>
      </c>
      <c r="I68" s="64">
        <v>1.46</v>
      </c>
      <c r="J68" s="64">
        <v>0.27</v>
      </c>
      <c r="K68" s="64">
        <v>348.52</v>
      </c>
      <c r="L68" s="64">
        <v>26.49</v>
      </c>
      <c r="M68" s="64">
        <v>36.299999999999997</v>
      </c>
      <c r="N68" s="64">
        <v>158.80000000000001</v>
      </c>
      <c r="O68" s="64">
        <v>0</v>
      </c>
      <c r="P68" s="64">
        <v>0.8</v>
      </c>
      <c r="Q68" s="64">
        <v>5.48</v>
      </c>
      <c r="R68" s="198"/>
      <c r="S68" s="198"/>
      <c r="T68" s="198"/>
      <c r="U68" s="198"/>
    </row>
    <row r="69" spans="1:21" s="12" customFormat="1" x14ac:dyDescent="0.25">
      <c r="A69" s="215" t="s">
        <v>2614</v>
      </c>
      <c r="B69" s="64">
        <v>4.75</v>
      </c>
      <c r="C69" s="64">
        <v>47.76</v>
      </c>
      <c r="D69" s="64">
        <v>30.81</v>
      </c>
      <c r="E69" s="64">
        <v>3.24</v>
      </c>
      <c r="F69" s="64">
        <v>19.78</v>
      </c>
      <c r="G69" s="64">
        <v>65.650000000000006</v>
      </c>
      <c r="H69" s="64">
        <v>35.97</v>
      </c>
      <c r="I69" s="64">
        <v>1.52</v>
      </c>
      <c r="J69" s="64">
        <v>0.21</v>
      </c>
      <c r="K69" s="64">
        <v>30.68</v>
      </c>
      <c r="L69" s="64">
        <v>26.63</v>
      </c>
      <c r="M69" s="64">
        <v>35.85</v>
      </c>
      <c r="N69" s="64">
        <v>142.19999999999999</v>
      </c>
      <c r="O69" s="64">
        <v>0</v>
      </c>
      <c r="P69" s="64">
        <v>0.88</v>
      </c>
      <c r="Q69" s="64">
        <v>5.26</v>
      </c>
      <c r="R69" s="198"/>
      <c r="S69" s="198"/>
      <c r="T69" s="198"/>
      <c r="U69" s="198"/>
    </row>
    <row r="70" spans="1:21" s="12" customFormat="1" x14ac:dyDescent="0.25">
      <c r="A70" s="215" t="s">
        <v>2615</v>
      </c>
      <c r="B70" s="64">
        <v>3.52</v>
      </c>
      <c r="C70" s="64">
        <v>44.46</v>
      </c>
      <c r="D70" s="64">
        <v>28</v>
      </c>
      <c r="E70" s="64">
        <v>3.23</v>
      </c>
      <c r="F70" s="64">
        <v>16.420000000000002</v>
      </c>
      <c r="G70" s="64">
        <v>65.569999999999993</v>
      </c>
      <c r="H70" s="64">
        <v>33.21</v>
      </c>
      <c r="I70" s="64">
        <v>1.57</v>
      </c>
      <c r="J70" s="64">
        <v>0.35</v>
      </c>
      <c r="K70" s="64">
        <v>349.4</v>
      </c>
      <c r="L70" s="64">
        <v>26.29</v>
      </c>
      <c r="M70" s="64">
        <v>36.06</v>
      </c>
      <c r="N70" s="64">
        <v>124.9</v>
      </c>
      <c r="O70" s="64">
        <v>0</v>
      </c>
      <c r="P70" s="64">
        <v>0.86</v>
      </c>
      <c r="Q70" s="64">
        <v>5.1100000000000003</v>
      </c>
      <c r="R70" s="198"/>
      <c r="S70" s="198"/>
      <c r="T70" s="198"/>
      <c r="U70" s="198"/>
    </row>
    <row r="71" spans="1:21" s="12" customFormat="1" x14ac:dyDescent="0.25">
      <c r="A71" s="215" t="s">
        <v>2616</v>
      </c>
      <c r="B71" s="64">
        <v>3.43</v>
      </c>
      <c r="C71" s="64">
        <v>44.52</v>
      </c>
      <c r="D71" s="64">
        <v>27.96</v>
      </c>
      <c r="E71" s="64">
        <v>3.36</v>
      </c>
      <c r="F71" s="64">
        <v>24.08</v>
      </c>
      <c r="G71" s="64">
        <v>65.569999999999993</v>
      </c>
      <c r="H71" s="64">
        <v>33.21</v>
      </c>
      <c r="I71" s="64">
        <v>1.47</v>
      </c>
      <c r="J71" s="64">
        <v>0.59</v>
      </c>
      <c r="K71" s="64">
        <v>100.8</v>
      </c>
      <c r="L71" s="64">
        <v>25.64</v>
      </c>
      <c r="M71" s="64">
        <v>36.520000000000003</v>
      </c>
      <c r="N71" s="64">
        <v>110.1</v>
      </c>
      <c r="O71" s="64">
        <v>0</v>
      </c>
      <c r="P71" s="64">
        <v>0.8</v>
      </c>
      <c r="Q71" s="64">
        <v>5.44</v>
      </c>
      <c r="R71" s="198"/>
      <c r="S71" s="198"/>
      <c r="T71" s="198"/>
      <c r="U71" s="198"/>
    </row>
    <row r="72" spans="1:21" s="12" customFormat="1" x14ac:dyDescent="0.25">
      <c r="A72" s="215" t="s">
        <v>2617</v>
      </c>
      <c r="B72" s="64">
        <v>3.79</v>
      </c>
      <c r="C72" s="64">
        <v>49.75</v>
      </c>
      <c r="D72" s="64">
        <v>31.14</v>
      </c>
      <c r="E72" s="64">
        <v>3.2</v>
      </c>
      <c r="F72" s="64">
        <v>27.21</v>
      </c>
      <c r="G72" s="64">
        <v>65.569999999999993</v>
      </c>
      <c r="H72" s="64">
        <v>33.21</v>
      </c>
      <c r="I72" s="64">
        <v>1.52</v>
      </c>
      <c r="J72" s="64">
        <v>0.19</v>
      </c>
      <c r="K72" s="64">
        <v>29.06</v>
      </c>
      <c r="L72" s="64">
        <v>25.45</v>
      </c>
      <c r="M72" s="64">
        <v>38.130000000000003</v>
      </c>
      <c r="N72" s="64">
        <v>94.7</v>
      </c>
      <c r="O72" s="64">
        <v>0</v>
      </c>
      <c r="P72" s="64">
        <v>0.89</v>
      </c>
      <c r="Q72" s="64">
        <v>5.51</v>
      </c>
      <c r="R72" s="198"/>
      <c r="S72" s="198"/>
      <c r="T72" s="198"/>
      <c r="U72" s="198"/>
    </row>
    <row r="73" spans="1:21" s="12" customFormat="1" x14ac:dyDescent="0.25">
      <c r="A73" s="215" t="s">
        <v>2618</v>
      </c>
      <c r="B73" s="64">
        <v>6.01</v>
      </c>
      <c r="C73" s="64">
        <v>57.45</v>
      </c>
      <c r="D73" s="64">
        <v>37.18</v>
      </c>
      <c r="E73" s="64">
        <v>3.81</v>
      </c>
      <c r="F73" s="64">
        <v>17</v>
      </c>
      <c r="G73" s="64">
        <v>67.27</v>
      </c>
      <c r="H73" s="64">
        <v>44.82</v>
      </c>
      <c r="I73" s="64">
        <v>1.52</v>
      </c>
      <c r="J73" s="64">
        <v>0.28000000000000003</v>
      </c>
      <c r="K73" s="64">
        <v>336.16</v>
      </c>
      <c r="L73" s="64">
        <v>25.47</v>
      </c>
      <c r="M73" s="64">
        <v>39.200000000000003</v>
      </c>
      <c r="N73" s="64">
        <v>79.7</v>
      </c>
      <c r="O73" s="64">
        <v>0</v>
      </c>
      <c r="P73" s="64">
        <v>1.07</v>
      </c>
      <c r="Q73" s="64">
        <v>4.6399999999999997</v>
      </c>
      <c r="R73" s="198"/>
      <c r="S73" s="198"/>
      <c r="T73" s="198"/>
      <c r="U73" s="198"/>
    </row>
    <row r="74" spans="1:21" s="12" customFormat="1" x14ac:dyDescent="0.25">
      <c r="A74" s="215" t="s">
        <v>2619</v>
      </c>
      <c r="B74" s="64">
        <v>4.88</v>
      </c>
      <c r="C74" s="64">
        <v>51.69</v>
      </c>
      <c r="D74" s="64">
        <v>33.090000000000003</v>
      </c>
      <c r="E74" s="64">
        <v>3.49</v>
      </c>
      <c r="F74" s="64">
        <v>9.83</v>
      </c>
      <c r="G74" s="64">
        <v>68.45</v>
      </c>
      <c r="H74" s="64">
        <v>47.62</v>
      </c>
      <c r="I74" s="64">
        <v>1.57</v>
      </c>
      <c r="J74" s="64">
        <v>0.7</v>
      </c>
      <c r="K74" s="64">
        <v>341.83</v>
      </c>
      <c r="L74" s="64">
        <v>25.22</v>
      </c>
      <c r="M74" s="64">
        <v>36.92</v>
      </c>
      <c r="N74" s="64">
        <v>66.099999999999994</v>
      </c>
      <c r="O74" s="64">
        <v>0</v>
      </c>
      <c r="P74" s="64">
        <v>0.94</v>
      </c>
      <c r="Q74" s="64">
        <v>5.05</v>
      </c>
      <c r="R74" s="198"/>
      <c r="S74" s="198"/>
      <c r="T74" s="198"/>
      <c r="U74" s="198"/>
    </row>
    <row r="75" spans="1:21" s="12" customFormat="1" x14ac:dyDescent="0.25">
      <c r="A75" s="215" t="s">
        <v>2620</v>
      </c>
      <c r="B75" s="64">
        <v>5.2</v>
      </c>
      <c r="C75" s="64">
        <v>50.27</v>
      </c>
      <c r="D75" s="64">
        <v>32.56</v>
      </c>
      <c r="E75" s="64">
        <v>3.4</v>
      </c>
      <c r="F75" s="64">
        <v>12.23</v>
      </c>
      <c r="G75" s="64">
        <v>68.45</v>
      </c>
      <c r="H75" s="64">
        <v>47.62</v>
      </c>
      <c r="I75" s="64">
        <v>1.57</v>
      </c>
      <c r="J75" s="64">
        <v>0.98</v>
      </c>
      <c r="K75" s="64">
        <v>343.8</v>
      </c>
      <c r="L75" s="64">
        <v>24.78</v>
      </c>
      <c r="M75" s="64">
        <v>35.64</v>
      </c>
      <c r="N75" s="64">
        <v>52.6</v>
      </c>
      <c r="O75" s="64">
        <v>0</v>
      </c>
      <c r="P75" s="64">
        <v>0.99</v>
      </c>
      <c r="Q75" s="64">
        <v>5.49</v>
      </c>
      <c r="R75" s="198"/>
      <c r="S75" s="198"/>
      <c r="T75" s="198"/>
      <c r="U75" s="198"/>
    </row>
    <row r="76" spans="1:21" s="12" customFormat="1" x14ac:dyDescent="0.25">
      <c r="A76" s="215" t="s">
        <v>2621</v>
      </c>
      <c r="B76" s="64">
        <v>9.4</v>
      </c>
      <c r="C76" s="64">
        <v>58.6</v>
      </c>
      <c r="D76" s="64">
        <v>40.520000000000003</v>
      </c>
      <c r="E76" s="64">
        <v>3.41</v>
      </c>
      <c r="F76" s="64">
        <v>8.19</v>
      </c>
      <c r="G76" s="64">
        <v>68.45</v>
      </c>
      <c r="H76" s="64">
        <v>47.62</v>
      </c>
      <c r="I76" s="64">
        <v>1.47</v>
      </c>
      <c r="J76" s="64">
        <v>0.73</v>
      </c>
      <c r="K76" s="64">
        <v>348.6</v>
      </c>
      <c r="L76" s="64">
        <v>24.3</v>
      </c>
      <c r="M76" s="64">
        <v>35.22</v>
      </c>
      <c r="N76" s="64">
        <v>40.799999999999997</v>
      </c>
      <c r="O76" s="64">
        <v>0</v>
      </c>
      <c r="P76" s="64">
        <v>1.04</v>
      </c>
      <c r="Q76" s="64">
        <v>5.48</v>
      </c>
      <c r="R76" s="198"/>
      <c r="S76" s="198"/>
      <c r="T76" s="198"/>
      <c r="U76" s="198"/>
    </row>
    <row r="77" spans="1:21" s="12" customFormat="1" x14ac:dyDescent="0.25">
      <c r="A77" s="215" t="s">
        <v>2622</v>
      </c>
      <c r="B77" s="64">
        <v>8.34</v>
      </c>
      <c r="C77" s="64">
        <v>54.98</v>
      </c>
      <c r="D77" s="64">
        <v>37.68</v>
      </c>
      <c r="E77" s="64">
        <v>3.54</v>
      </c>
      <c r="F77" s="64">
        <v>11.05</v>
      </c>
      <c r="G77" s="64">
        <v>75.22</v>
      </c>
      <c r="H77" s="64">
        <v>49.41</v>
      </c>
      <c r="I77" s="64">
        <v>1.56</v>
      </c>
      <c r="J77" s="64">
        <v>0.55000000000000004</v>
      </c>
      <c r="K77" s="64">
        <v>344.9</v>
      </c>
      <c r="L77" s="64">
        <v>23.85</v>
      </c>
      <c r="M77" s="64">
        <v>36.83</v>
      </c>
      <c r="N77" s="64">
        <v>32.799999999999997</v>
      </c>
      <c r="O77" s="64">
        <v>0</v>
      </c>
      <c r="P77" s="64">
        <v>1.17</v>
      </c>
      <c r="Q77" s="64">
        <v>4.49</v>
      </c>
      <c r="R77" s="198"/>
      <c r="S77" s="198"/>
      <c r="T77" s="198"/>
      <c r="U77" s="198"/>
    </row>
    <row r="78" spans="1:21" s="12" customFormat="1" x14ac:dyDescent="0.25">
      <c r="A78" s="215" t="s">
        <v>2623</v>
      </c>
      <c r="B78" s="64">
        <v>11.32</v>
      </c>
      <c r="C78" s="64">
        <v>57.7</v>
      </c>
      <c r="D78" s="64">
        <v>41.56</v>
      </c>
      <c r="E78" s="64">
        <v>3.36</v>
      </c>
      <c r="F78" s="64">
        <v>10.27</v>
      </c>
      <c r="G78" s="64">
        <v>79.73</v>
      </c>
      <c r="H78" s="64">
        <v>50.18</v>
      </c>
      <c r="I78" s="64">
        <v>1.53</v>
      </c>
      <c r="J78" s="64">
        <v>0.44</v>
      </c>
      <c r="K78" s="64">
        <v>346.22</v>
      </c>
      <c r="L78" s="64">
        <v>23.37</v>
      </c>
      <c r="M78" s="64">
        <v>39.86</v>
      </c>
      <c r="N78" s="64">
        <v>29.9</v>
      </c>
      <c r="O78" s="64">
        <v>0</v>
      </c>
      <c r="P78" s="64">
        <v>1.21</v>
      </c>
      <c r="Q78" s="64">
        <v>5.18</v>
      </c>
      <c r="R78" s="198"/>
      <c r="S78" s="198"/>
      <c r="T78" s="198"/>
      <c r="U78" s="198"/>
    </row>
    <row r="79" spans="1:21" s="12" customFormat="1" x14ac:dyDescent="0.25">
      <c r="A79" s="215" t="s">
        <v>2624</v>
      </c>
      <c r="B79" s="64">
        <v>21.17</v>
      </c>
      <c r="C79" s="64">
        <v>70.62</v>
      </c>
      <c r="D79" s="64">
        <v>56.6</v>
      </c>
      <c r="E79" s="64">
        <v>3.44</v>
      </c>
      <c r="F79" s="64">
        <v>7.39</v>
      </c>
      <c r="G79" s="64">
        <v>79.73</v>
      </c>
      <c r="H79" s="64">
        <v>50.18</v>
      </c>
      <c r="I79" s="64">
        <v>1.45</v>
      </c>
      <c r="J79" s="64">
        <v>0.28999999999999998</v>
      </c>
      <c r="K79" s="64">
        <v>344.84</v>
      </c>
      <c r="L79" s="64">
        <v>22.75</v>
      </c>
      <c r="M79" s="64">
        <v>43.22</v>
      </c>
      <c r="N79" s="64">
        <v>29.5</v>
      </c>
      <c r="O79" s="64">
        <v>0</v>
      </c>
      <c r="P79" s="64">
        <v>1.47</v>
      </c>
      <c r="Q79" s="64">
        <v>3.86</v>
      </c>
      <c r="R79" s="198"/>
      <c r="S79" s="198"/>
      <c r="T79" s="198"/>
      <c r="U79" s="198"/>
    </row>
    <row r="80" spans="1:21" s="12" customFormat="1" x14ac:dyDescent="0.25">
      <c r="A80" s="215" t="s">
        <v>2625</v>
      </c>
      <c r="B80" s="64">
        <v>20.16</v>
      </c>
      <c r="C80" s="64">
        <v>70.38</v>
      </c>
      <c r="D80" s="64">
        <v>55.66</v>
      </c>
      <c r="E80" s="64">
        <v>3.41</v>
      </c>
      <c r="F80" s="64">
        <v>6.25</v>
      </c>
      <c r="G80" s="64">
        <v>79.73</v>
      </c>
      <c r="H80" s="64">
        <v>50.18</v>
      </c>
      <c r="I80" s="64">
        <v>1.58</v>
      </c>
      <c r="J80" s="64">
        <v>0.22</v>
      </c>
      <c r="K80" s="64">
        <v>344.58</v>
      </c>
      <c r="L80" s="64">
        <v>22.34</v>
      </c>
      <c r="M80" s="64">
        <v>45</v>
      </c>
      <c r="N80" s="64">
        <v>29.3</v>
      </c>
      <c r="O80" s="64">
        <v>0</v>
      </c>
      <c r="P80" s="64">
        <v>1.58</v>
      </c>
      <c r="Q80" s="64">
        <v>2.97</v>
      </c>
      <c r="R80" s="198"/>
      <c r="S80" s="198"/>
      <c r="T80" s="198"/>
      <c r="U80" s="198"/>
    </row>
    <row r="81" spans="1:26" s="12" customFormat="1" x14ac:dyDescent="0.25">
      <c r="A81" s="215" t="s">
        <v>2626</v>
      </c>
      <c r="B81" s="64">
        <v>14.27</v>
      </c>
      <c r="C81" s="64">
        <v>63.77</v>
      </c>
      <c r="D81" s="64">
        <v>47.28</v>
      </c>
      <c r="E81" s="64">
        <v>3.45</v>
      </c>
      <c r="F81" s="64">
        <v>5.88</v>
      </c>
      <c r="G81" s="64">
        <v>86.84</v>
      </c>
      <c r="H81" s="64">
        <v>62.39</v>
      </c>
      <c r="I81" s="64">
        <v>1.52</v>
      </c>
      <c r="J81" s="64">
        <v>0.19</v>
      </c>
      <c r="K81" s="64">
        <v>68.47</v>
      </c>
      <c r="L81" s="64">
        <v>22.17</v>
      </c>
      <c r="M81" s="64">
        <v>44.86</v>
      </c>
      <c r="N81" s="64">
        <v>29.1</v>
      </c>
      <c r="O81" s="64">
        <v>0</v>
      </c>
      <c r="P81" s="64">
        <v>1.48</v>
      </c>
      <c r="Q81" s="64">
        <v>3.43</v>
      </c>
      <c r="R81" s="198"/>
      <c r="S81" s="198"/>
      <c r="T81" s="198"/>
      <c r="U81" s="198"/>
    </row>
    <row r="82" spans="1:26" s="12" customFormat="1" x14ac:dyDescent="0.25">
      <c r="A82" s="215" t="s">
        <v>2627</v>
      </c>
      <c r="B82" s="64">
        <v>16.89</v>
      </c>
      <c r="C82" s="64">
        <v>67.84</v>
      </c>
      <c r="D82" s="64">
        <v>51.63</v>
      </c>
      <c r="E82" s="64">
        <v>3.42</v>
      </c>
      <c r="F82" s="64">
        <v>7.2</v>
      </c>
      <c r="G82" s="64">
        <v>91.58</v>
      </c>
      <c r="H82" s="64">
        <v>65.39</v>
      </c>
      <c r="I82" s="64">
        <v>1.48</v>
      </c>
      <c r="J82" s="64">
        <v>0.14000000000000001</v>
      </c>
      <c r="K82" s="64">
        <v>72.209999999999994</v>
      </c>
      <c r="L82" s="64">
        <v>21.99</v>
      </c>
      <c r="M82" s="64">
        <v>45.49</v>
      </c>
      <c r="N82" s="64">
        <v>29.3</v>
      </c>
      <c r="O82" s="64">
        <v>0</v>
      </c>
      <c r="P82" s="64">
        <v>1.62</v>
      </c>
      <c r="Q82" s="64">
        <v>4.3600000000000003</v>
      </c>
      <c r="R82" s="198"/>
      <c r="S82" s="198"/>
      <c r="T82" s="198"/>
      <c r="U82" s="198"/>
    </row>
    <row r="83" spans="1:26" s="12" customFormat="1" x14ac:dyDescent="0.25">
      <c r="A83" s="215" t="s">
        <v>2628</v>
      </c>
      <c r="B83" s="64">
        <v>11.68</v>
      </c>
      <c r="C83" s="64">
        <v>61.22</v>
      </c>
      <c r="D83" s="64">
        <v>43.8</v>
      </c>
      <c r="E83" s="64">
        <v>3.29</v>
      </c>
      <c r="F83" s="64">
        <v>8.48</v>
      </c>
      <c r="G83" s="64">
        <v>91.58</v>
      </c>
      <c r="H83" s="64">
        <v>65.39</v>
      </c>
      <c r="I83" s="64">
        <v>1.49</v>
      </c>
      <c r="J83" s="64">
        <v>0.25</v>
      </c>
      <c r="K83" s="64">
        <v>93.03</v>
      </c>
      <c r="L83" s="64">
        <v>21.76</v>
      </c>
      <c r="M83" s="64">
        <v>46.77</v>
      </c>
      <c r="N83" s="64">
        <v>29</v>
      </c>
      <c r="O83" s="64">
        <v>0</v>
      </c>
      <c r="P83" s="64">
        <v>1.49</v>
      </c>
      <c r="Q83" s="64">
        <v>5.76</v>
      </c>
      <c r="R83" s="198"/>
      <c r="S83" s="198"/>
      <c r="T83" s="198"/>
      <c r="U83" s="198"/>
    </row>
    <row r="84" spans="1:26" s="12" customFormat="1" x14ac:dyDescent="0.25">
      <c r="A84" s="215" t="s">
        <v>2629</v>
      </c>
      <c r="B84" s="64">
        <v>12.52</v>
      </c>
      <c r="C84" s="64">
        <v>59.66</v>
      </c>
      <c r="D84" s="64">
        <v>43.62</v>
      </c>
      <c r="E84" s="64">
        <v>3.17</v>
      </c>
      <c r="F84" s="64">
        <v>10.39</v>
      </c>
      <c r="G84" s="64">
        <v>91.58</v>
      </c>
      <c r="H84" s="64">
        <v>65.39</v>
      </c>
      <c r="I84" s="64">
        <v>1.44</v>
      </c>
      <c r="J84" s="64">
        <v>0.23</v>
      </c>
      <c r="K84" s="64">
        <v>92.77</v>
      </c>
      <c r="L84" s="64">
        <v>21.58</v>
      </c>
      <c r="M84" s="64">
        <v>46.86</v>
      </c>
      <c r="N84" s="64">
        <v>29.1</v>
      </c>
      <c r="O84" s="64">
        <v>0</v>
      </c>
      <c r="P84" s="64">
        <v>1.45</v>
      </c>
      <c r="Q84" s="64">
        <v>6.22</v>
      </c>
      <c r="R84" s="198"/>
      <c r="S84" s="198"/>
      <c r="T84" s="198"/>
      <c r="U84" s="198"/>
    </row>
    <row r="85" spans="1:26" s="12" customFormat="1" x14ac:dyDescent="0.25">
      <c r="A85" s="215" t="s">
        <v>2630</v>
      </c>
      <c r="B85" s="64">
        <v>11.18</v>
      </c>
      <c r="C85" s="64">
        <v>56.76</v>
      </c>
      <c r="D85" s="64">
        <v>40.93</v>
      </c>
      <c r="E85" s="64">
        <v>3.09</v>
      </c>
      <c r="F85" s="64">
        <v>11.42</v>
      </c>
      <c r="G85" s="64">
        <v>100.57</v>
      </c>
      <c r="H85" s="64">
        <v>55.79</v>
      </c>
      <c r="I85" s="64">
        <v>1.54</v>
      </c>
      <c r="J85" s="64">
        <v>0.23</v>
      </c>
      <c r="K85" s="64">
        <v>91.68</v>
      </c>
      <c r="L85" s="64">
        <v>21.36</v>
      </c>
      <c r="M85" s="64">
        <v>47.93</v>
      </c>
      <c r="N85" s="64">
        <v>29</v>
      </c>
      <c r="O85" s="64">
        <v>0</v>
      </c>
      <c r="P85" s="64">
        <v>1.32</v>
      </c>
      <c r="Q85" s="64">
        <v>6.45</v>
      </c>
      <c r="R85" s="198"/>
      <c r="S85" s="198"/>
      <c r="T85" s="198"/>
      <c r="U85" s="198"/>
    </row>
    <row r="86" spans="1:26" s="12" customFormat="1" x14ac:dyDescent="0.25">
      <c r="A86" s="215" t="s">
        <v>2631</v>
      </c>
      <c r="B86" s="64">
        <v>11.54</v>
      </c>
      <c r="C86" s="64">
        <v>55.1</v>
      </c>
      <c r="D86" s="64">
        <v>40.31</v>
      </c>
      <c r="E86" s="64">
        <v>3</v>
      </c>
      <c r="F86" s="64">
        <v>8.14</v>
      </c>
      <c r="G86" s="64">
        <v>106.56</v>
      </c>
      <c r="H86" s="64">
        <v>53.48</v>
      </c>
      <c r="I86" s="64">
        <v>1.5</v>
      </c>
      <c r="J86" s="64">
        <v>0.16</v>
      </c>
      <c r="K86" s="64">
        <v>81.17</v>
      </c>
      <c r="L86" s="64">
        <v>21.24</v>
      </c>
      <c r="M86" s="64">
        <v>48.46</v>
      </c>
      <c r="N86" s="64">
        <v>29.1</v>
      </c>
      <c r="O86" s="64">
        <v>0</v>
      </c>
      <c r="P86" s="64">
        <v>1.39</v>
      </c>
      <c r="Q86" s="64">
        <v>6.48</v>
      </c>
      <c r="R86" s="198"/>
      <c r="S86" s="198"/>
      <c r="T86" s="198"/>
      <c r="U86" s="198"/>
    </row>
    <row r="87" spans="1:26" s="12" customFormat="1" x14ac:dyDescent="0.25">
      <c r="A87" s="215" t="s">
        <v>2632</v>
      </c>
      <c r="B87" s="64">
        <v>11.68</v>
      </c>
      <c r="C87" s="64">
        <v>55.48</v>
      </c>
      <c r="D87" s="64">
        <v>40.630000000000003</v>
      </c>
      <c r="E87" s="64">
        <v>2.96</v>
      </c>
      <c r="F87" s="64">
        <v>7.2</v>
      </c>
      <c r="G87" s="64">
        <v>106.56</v>
      </c>
      <c r="H87" s="64">
        <v>53.48</v>
      </c>
      <c r="I87" s="64">
        <v>1.42</v>
      </c>
      <c r="J87" s="64">
        <v>0.16</v>
      </c>
      <c r="K87" s="64">
        <v>97.22</v>
      </c>
      <c r="L87" s="64">
        <v>21.07</v>
      </c>
      <c r="M87" s="64">
        <v>49.14</v>
      </c>
      <c r="N87" s="64">
        <v>29.2</v>
      </c>
      <c r="O87" s="64">
        <v>0</v>
      </c>
      <c r="P87" s="64">
        <v>1.39</v>
      </c>
      <c r="Q87" s="64">
        <v>6.37</v>
      </c>
      <c r="R87" s="198"/>
      <c r="S87" s="198"/>
      <c r="T87" s="198"/>
      <c r="U87" s="198"/>
    </row>
    <row r="88" spans="1:26" s="12" customFormat="1" x14ac:dyDescent="0.25">
      <c r="A88" s="215" t="s">
        <v>2633</v>
      </c>
      <c r="B88" s="64">
        <v>11.2</v>
      </c>
      <c r="C88" s="64">
        <v>55.69</v>
      </c>
      <c r="D88" s="64">
        <v>40.36</v>
      </c>
      <c r="E88" s="64">
        <v>2.52</v>
      </c>
      <c r="F88" s="64">
        <v>6.43</v>
      </c>
      <c r="G88" s="64">
        <v>106.56</v>
      </c>
      <c r="H88" s="64">
        <v>53.48</v>
      </c>
      <c r="I88" s="64">
        <v>1.47</v>
      </c>
      <c r="J88" s="64">
        <v>0.2</v>
      </c>
      <c r="K88" s="64">
        <v>75.19</v>
      </c>
      <c r="L88" s="64">
        <v>20.88</v>
      </c>
      <c r="M88" s="64">
        <v>49.72</v>
      </c>
      <c r="N88" s="64">
        <v>29.1</v>
      </c>
      <c r="O88" s="64">
        <v>0</v>
      </c>
      <c r="P88" s="64">
        <v>1.42</v>
      </c>
      <c r="Q88" s="64">
        <v>6.36</v>
      </c>
      <c r="R88" s="198"/>
      <c r="S88" s="198"/>
      <c r="T88" s="198"/>
      <c r="U88" s="198"/>
    </row>
    <row r="89" spans="1:26" s="12" customFormat="1" x14ac:dyDescent="0.25">
      <c r="A89" s="215" t="s">
        <v>2634</v>
      </c>
      <c r="B89" s="64">
        <v>9.98</v>
      </c>
      <c r="C89" s="64">
        <v>55.13</v>
      </c>
      <c r="D89" s="64">
        <v>39.07</v>
      </c>
      <c r="E89" s="64">
        <v>2.72</v>
      </c>
      <c r="F89" s="64">
        <v>8.3000000000000007</v>
      </c>
      <c r="G89" s="64">
        <v>103.44</v>
      </c>
      <c r="H89" s="64">
        <v>51.8</v>
      </c>
      <c r="I89" s="64">
        <v>1.43</v>
      </c>
      <c r="J89" s="64">
        <v>0.21</v>
      </c>
      <c r="K89" s="64">
        <v>87.12</v>
      </c>
      <c r="L89" s="64">
        <v>20.85</v>
      </c>
      <c r="M89" s="64">
        <v>49.94</v>
      </c>
      <c r="N89" s="64">
        <v>29</v>
      </c>
      <c r="O89" s="64">
        <v>0</v>
      </c>
      <c r="P89" s="64">
        <v>1.4</v>
      </c>
      <c r="Q89" s="64">
        <v>6.36</v>
      </c>
      <c r="R89" s="198"/>
      <c r="S89" s="198"/>
      <c r="T89" s="198"/>
      <c r="U89" s="198"/>
    </row>
    <row r="90" spans="1:26" s="12" customFormat="1" x14ac:dyDescent="0.25">
      <c r="A90" s="215" t="s">
        <v>2635</v>
      </c>
      <c r="B90" s="64">
        <v>8.86</v>
      </c>
      <c r="C90" s="64">
        <v>54.7</v>
      </c>
      <c r="D90" s="64">
        <v>37.94</v>
      </c>
      <c r="E90" s="64">
        <v>2.64</v>
      </c>
      <c r="F90" s="64">
        <v>10.08</v>
      </c>
      <c r="G90" s="64">
        <v>101.36</v>
      </c>
      <c r="H90" s="64">
        <v>51.39</v>
      </c>
      <c r="I90" s="64">
        <v>1.47</v>
      </c>
      <c r="J90" s="64">
        <v>0.21</v>
      </c>
      <c r="K90" s="64">
        <v>101.6</v>
      </c>
      <c r="L90" s="64">
        <v>20.76</v>
      </c>
      <c r="M90" s="64">
        <v>51.02</v>
      </c>
      <c r="N90" s="64">
        <v>29.1</v>
      </c>
      <c r="O90" s="64">
        <v>0</v>
      </c>
      <c r="P90" s="64">
        <v>1.4</v>
      </c>
      <c r="Q90" s="64">
        <v>6.29</v>
      </c>
      <c r="R90" s="198"/>
      <c r="S90" s="198"/>
      <c r="T90" s="198"/>
      <c r="U90" s="198"/>
    </row>
    <row r="91" spans="1:26" s="12" customFormat="1" x14ac:dyDescent="0.25">
      <c r="A91" s="215" t="s">
        <v>2636</v>
      </c>
      <c r="B91" s="64">
        <v>7.69</v>
      </c>
      <c r="C91" s="64">
        <v>54.99</v>
      </c>
      <c r="D91" s="64">
        <v>37.159999999999997</v>
      </c>
      <c r="E91" s="64">
        <v>2.66</v>
      </c>
      <c r="F91" s="64">
        <v>7.27</v>
      </c>
      <c r="G91" s="64">
        <v>101.36</v>
      </c>
      <c r="H91" s="64">
        <v>51.39</v>
      </c>
      <c r="I91" s="64">
        <v>1.45</v>
      </c>
      <c r="J91" s="64">
        <v>0.22</v>
      </c>
      <c r="K91" s="64">
        <v>100.96</v>
      </c>
      <c r="L91" s="64">
        <v>20.67</v>
      </c>
      <c r="M91" s="64">
        <v>51.61</v>
      </c>
      <c r="N91" s="64">
        <v>29.1</v>
      </c>
      <c r="O91" s="64">
        <v>0</v>
      </c>
      <c r="P91" s="64">
        <v>1.4</v>
      </c>
      <c r="Q91" s="64">
        <v>6.13</v>
      </c>
      <c r="R91" s="198"/>
      <c r="S91" s="198"/>
      <c r="T91" s="198"/>
      <c r="U91" s="198"/>
    </row>
    <row r="92" spans="1:26" s="12" customFormat="1" x14ac:dyDescent="0.25">
      <c r="A92" s="215" t="s">
        <v>2637</v>
      </c>
      <c r="B92" s="64">
        <v>6.89</v>
      </c>
      <c r="C92" s="64">
        <v>54.33</v>
      </c>
      <c r="D92" s="64">
        <v>36.159999999999997</v>
      </c>
      <c r="E92" s="64">
        <v>2.63</v>
      </c>
      <c r="F92" s="64">
        <v>6.58</v>
      </c>
      <c r="G92" s="64">
        <v>101.36</v>
      </c>
      <c r="H92" s="64">
        <v>51.39</v>
      </c>
      <c r="I92" s="64">
        <v>1.48</v>
      </c>
      <c r="J92" s="64">
        <v>0.59</v>
      </c>
      <c r="K92" s="64">
        <v>106.72</v>
      </c>
      <c r="L92" s="64">
        <v>20.63</v>
      </c>
      <c r="M92" s="64">
        <v>52.22</v>
      </c>
      <c r="N92" s="64">
        <v>28.9</v>
      </c>
      <c r="O92" s="64">
        <v>0</v>
      </c>
      <c r="P92" s="64">
        <v>1.38</v>
      </c>
      <c r="Q92" s="64">
        <v>6.04</v>
      </c>
      <c r="R92" s="198"/>
      <c r="S92" s="198"/>
      <c r="T92" s="198"/>
      <c r="U92" s="198"/>
    </row>
    <row r="93" spans="1:26" s="12" customFormat="1" x14ac:dyDescent="0.25">
      <c r="A93" s="215" t="s">
        <v>2638</v>
      </c>
      <c r="B93" s="64">
        <v>6.11</v>
      </c>
      <c r="C93" s="64">
        <v>53.68</v>
      </c>
      <c r="D93" s="64">
        <v>35.17</v>
      </c>
      <c r="E93" s="64">
        <v>2.57</v>
      </c>
      <c r="F93" s="64">
        <v>6.42</v>
      </c>
      <c r="G93" s="64">
        <v>98.52</v>
      </c>
      <c r="H93" s="64">
        <v>52.21</v>
      </c>
      <c r="I93" s="64">
        <v>1.44</v>
      </c>
      <c r="J93" s="64">
        <v>0.65</v>
      </c>
      <c r="K93" s="64">
        <v>113.56</v>
      </c>
      <c r="L93" s="64">
        <v>20.54</v>
      </c>
      <c r="M93" s="64">
        <v>53.14</v>
      </c>
      <c r="N93" s="64">
        <v>28.8</v>
      </c>
      <c r="O93" s="64">
        <v>0</v>
      </c>
      <c r="P93" s="64">
        <v>1.38</v>
      </c>
      <c r="Q93" s="64">
        <v>5.97</v>
      </c>
      <c r="R93" s="198"/>
      <c r="S93" s="198"/>
      <c r="T93" s="198"/>
      <c r="U93" s="198"/>
    </row>
    <row r="94" spans="1:26" s="12" customFormat="1" x14ac:dyDescent="0.25">
      <c r="A94" s="215" t="s">
        <v>2639</v>
      </c>
      <c r="B94" s="64">
        <v>5.56</v>
      </c>
      <c r="C94" s="64">
        <v>52.31</v>
      </c>
      <c r="D94" s="64">
        <v>33.97</v>
      </c>
      <c r="E94" s="64">
        <v>2.59</v>
      </c>
      <c r="F94" s="64">
        <v>6.93</v>
      </c>
      <c r="G94" s="64">
        <v>96.63</v>
      </c>
      <c r="H94" s="64">
        <v>52.56</v>
      </c>
      <c r="I94" s="64">
        <v>1.53</v>
      </c>
      <c r="J94" s="64">
        <v>0.72</v>
      </c>
      <c r="K94" s="64">
        <v>108.92</v>
      </c>
      <c r="L94" s="64">
        <v>20.5</v>
      </c>
      <c r="M94" s="64">
        <v>53.45</v>
      </c>
      <c r="N94" s="64">
        <v>29.1</v>
      </c>
      <c r="O94" s="64">
        <v>0</v>
      </c>
      <c r="P94" s="64">
        <v>1.34</v>
      </c>
      <c r="Q94" s="64">
        <v>5.88</v>
      </c>
      <c r="R94" s="198"/>
      <c r="S94" s="198"/>
      <c r="T94" s="198"/>
      <c r="U94" s="198"/>
    </row>
    <row r="95" spans="1:26" s="12" customFormat="1" x14ac:dyDescent="0.25">
      <c r="A95" s="215" t="s">
        <v>2640</v>
      </c>
      <c r="B95" s="64">
        <v>5.04</v>
      </c>
      <c r="C95" s="64">
        <v>51.25</v>
      </c>
      <c r="D95" s="64">
        <v>32.97</v>
      </c>
      <c r="E95" s="64">
        <v>2.59</v>
      </c>
      <c r="F95" s="64">
        <v>6.07</v>
      </c>
      <c r="G95" s="64">
        <v>96.63</v>
      </c>
      <c r="H95" s="64">
        <v>52.56</v>
      </c>
      <c r="I95" s="64">
        <v>1.49</v>
      </c>
      <c r="J95" s="64">
        <v>0.62</v>
      </c>
      <c r="K95" s="64">
        <v>110.3</v>
      </c>
      <c r="L95" s="64">
        <v>20.350000000000001</v>
      </c>
      <c r="M95" s="64">
        <v>53.6</v>
      </c>
      <c r="N95" s="64">
        <v>29.2</v>
      </c>
      <c r="O95" s="64">
        <v>0</v>
      </c>
      <c r="P95" s="64">
        <v>1.34</v>
      </c>
      <c r="Q95" s="64">
        <v>5.82</v>
      </c>
      <c r="R95" s="198"/>
      <c r="S95" s="198"/>
      <c r="T95" s="198"/>
      <c r="U95" s="198"/>
    </row>
    <row r="96" spans="1:26" s="12" customFormat="1" x14ac:dyDescent="0.25">
      <c r="A96" s="215" t="s">
        <v>2641</v>
      </c>
      <c r="B96" s="64">
        <v>4.5999999999999996</v>
      </c>
      <c r="C96" s="64">
        <v>50.33</v>
      </c>
      <c r="D96" s="64">
        <v>32.11</v>
      </c>
      <c r="E96" s="64">
        <v>2.5299999999999998</v>
      </c>
      <c r="F96" s="64">
        <v>4.9800000000000004</v>
      </c>
      <c r="G96" s="64">
        <v>96.63</v>
      </c>
      <c r="H96" s="64">
        <v>52.56</v>
      </c>
      <c r="I96" s="64">
        <v>1.47</v>
      </c>
      <c r="J96" s="64">
        <v>0.68</v>
      </c>
      <c r="K96" s="64">
        <v>113.13</v>
      </c>
      <c r="L96" s="64">
        <v>20.3</v>
      </c>
      <c r="M96" s="64">
        <v>53.41</v>
      </c>
      <c r="N96" s="64">
        <v>29.1</v>
      </c>
      <c r="O96" s="64">
        <v>0</v>
      </c>
      <c r="P96" s="64">
        <v>1.31</v>
      </c>
      <c r="Q96" s="64">
        <v>5.77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2642</v>
      </c>
      <c r="B97" s="64">
        <v>4.2699999999999996</v>
      </c>
      <c r="C97" s="64">
        <v>49.92</v>
      </c>
      <c r="D97" s="64">
        <v>31.62</v>
      </c>
      <c r="E97" s="64">
        <v>2.58</v>
      </c>
      <c r="F97" s="64">
        <v>6.06</v>
      </c>
      <c r="G97" s="64">
        <v>96.69</v>
      </c>
      <c r="H97" s="64">
        <v>52.29</v>
      </c>
      <c r="I97" s="64">
        <v>1.56</v>
      </c>
      <c r="J97" s="64">
        <v>0.21</v>
      </c>
      <c r="K97" s="64">
        <v>95</v>
      </c>
      <c r="L97" s="64">
        <v>20.12</v>
      </c>
      <c r="M97" s="64">
        <v>53.64</v>
      </c>
      <c r="N97" s="64">
        <v>29.5</v>
      </c>
      <c r="O97" s="64">
        <v>0</v>
      </c>
      <c r="P97" s="64">
        <v>1.29</v>
      </c>
      <c r="Q97" s="64">
        <v>5.72</v>
      </c>
      <c r="R97" s="198"/>
      <c r="S97" s="198"/>
      <c r="T97" s="198"/>
      <c r="U97" s="198"/>
    </row>
    <row r="98" spans="1:33" s="12" customFormat="1" x14ac:dyDescent="0.25">
      <c r="A98" s="215" t="s">
        <v>2643</v>
      </c>
      <c r="B98" s="64">
        <v>4.2699999999999996</v>
      </c>
      <c r="C98" s="64">
        <v>50.45</v>
      </c>
      <c r="D98" s="64">
        <v>31.91</v>
      </c>
      <c r="E98" s="64">
        <v>2.54</v>
      </c>
      <c r="F98" s="64">
        <v>5.46</v>
      </c>
      <c r="G98" s="64">
        <v>96.73</v>
      </c>
      <c r="H98" s="64">
        <v>52.23</v>
      </c>
      <c r="I98" s="64">
        <v>1.47</v>
      </c>
      <c r="J98" s="64">
        <v>0.2</v>
      </c>
      <c r="K98" s="64">
        <v>96.94</v>
      </c>
      <c r="L98" s="64">
        <v>19.89</v>
      </c>
      <c r="M98" s="64">
        <v>54.26</v>
      </c>
      <c r="N98" s="64">
        <v>29.6</v>
      </c>
      <c r="O98" s="64">
        <v>0</v>
      </c>
      <c r="P98" s="64">
        <v>1.28</v>
      </c>
      <c r="Q98" s="64">
        <v>5.63</v>
      </c>
      <c r="R98" s="198"/>
      <c r="S98" s="198"/>
      <c r="T98" s="198"/>
      <c r="U98" s="198"/>
    </row>
    <row r="99" spans="1:33" s="12" customFormat="1" x14ac:dyDescent="0.25">
      <c r="A99" s="215" t="s">
        <v>2644</v>
      </c>
      <c r="B99" s="64">
        <v>6.1</v>
      </c>
      <c r="C99" s="64">
        <v>53.04</v>
      </c>
      <c r="D99" s="64">
        <v>34.81</v>
      </c>
      <c r="E99" s="64">
        <v>2.5</v>
      </c>
      <c r="F99" s="64">
        <v>4.28</v>
      </c>
      <c r="G99" s="64">
        <v>96.73</v>
      </c>
      <c r="H99" s="64">
        <v>52.23</v>
      </c>
      <c r="I99" s="64">
        <v>1.49</v>
      </c>
      <c r="J99" s="64">
        <v>0.15</v>
      </c>
      <c r="K99" s="64">
        <v>38.340000000000003</v>
      </c>
      <c r="L99" s="64">
        <v>19.61</v>
      </c>
      <c r="M99" s="64">
        <v>55.41</v>
      </c>
      <c r="N99" s="64">
        <v>29.6</v>
      </c>
      <c r="O99" s="64">
        <v>0</v>
      </c>
      <c r="P99" s="64">
        <v>1.27</v>
      </c>
      <c r="Q99" s="64">
        <v>5.57</v>
      </c>
      <c r="R99" s="198"/>
      <c r="S99" s="198"/>
      <c r="T99" s="198"/>
      <c r="U99" s="198"/>
    </row>
    <row r="100" spans="1:33" s="12" customFormat="1" x14ac:dyDescent="0.25">
      <c r="A100" s="215" t="s">
        <v>2645</v>
      </c>
      <c r="B100" s="64">
        <v>6.43</v>
      </c>
      <c r="C100" s="64">
        <v>53.31</v>
      </c>
      <c r="D100" s="64">
        <v>35.22</v>
      </c>
      <c r="E100" s="64">
        <v>2.5099999999999998</v>
      </c>
      <c r="F100" s="64">
        <v>5.17</v>
      </c>
      <c r="G100" s="64">
        <v>96.73</v>
      </c>
      <c r="H100" s="64">
        <v>52.23</v>
      </c>
      <c r="I100" s="64">
        <v>1.56</v>
      </c>
      <c r="J100" s="64">
        <v>0.13</v>
      </c>
      <c r="K100" s="64">
        <v>77.599999999999994</v>
      </c>
      <c r="L100" s="64">
        <v>19.54</v>
      </c>
      <c r="M100" s="64">
        <v>55.98</v>
      </c>
      <c r="N100" s="64">
        <v>29.3</v>
      </c>
      <c r="O100" s="64">
        <v>0</v>
      </c>
      <c r="P100" s="64">
        <v>1.26</v>
      </c>
      <c r="Q100" s="64">
        <v>5.62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2646</v>
      </c>
      <c r="B101" s="64">
        <v>6.11</v>
      </c>
      <c r="C101" s="64">
        <v>52.16</v>
      </c>
      <c r="D101" s="64">
        <v>34.340000000000003</v>
      </c>
      <c r="E101" s="64">
        <v>2.5</v>
      </c>
      <c r="F101" s="64">
        <v>6.64</v>
      </c>
      <c r="G101" s="64">
        <v>95.75</v>
      </c>
      <c r="H101" s="64">
        <v>52.5</v>
      </c>
      <c r="I101" s="64">
        <v>1.49</v>
      </c>
      <c r="J101" s="64">
        <v>0.39</v>
      </c>
      <c r="K101" s="64">
        <v>107.57</v>
      </c>
      <c r="L101" s="64">
        <v>19.55</v>
      </c>
      <c r="M101" s="64">
        <v>56.54</v>
      </c>
      <c r="N101" s="64">
        <v>29.1</v>
      </c>
      <c r="O101" s="64">
        <v>0</v>
      </c>
      <c r="P101" s="64">
        <v>1.23</v>
      </c>
      <c r="Q101" s="64">
        <v>5.72</v>
      </c>
      <c r="R101" s="198"/>
      <c r="S101" s="198"/>
      <c r="T101" s="198"/>
      <c r="U101" s="198"/>
    </row>
    <row r="102" spans="1:33" s="12" customFormat="1" x14ac:dyDescent="0.25">
      <c r="A102" s="215" t="s">
        <v>2647</v>
      </c>
      <c r="B102" s="64">
        <v>5.38</v>
      </c>
      <c r="C102" s="64">
        <v>50.9</v>
      </c>
      <c r="D102" s="64">
        <v>33.06</v>
      </c>
      <c r="E102" s="64">
        <v>2.5</v>
      </c>
      <c r="F102" s="64">
        <v>5.08</v>
      </c>
      <c r="G102" s="64">
        <v>95.1</v>
      </c>
      <c r="H102" s="64">
        <v>52.57</v>
      </c>
      <c r="I102" s="64">
        <v>1.45</v>
      </c>
      <c r="J102" s="64">
        <v>0.57999999999999996</v>
      </c>
      <c r="K102" s="64">
        <v>107.94</v>
      </c>
      <c r="L102" s="64">
        <v>19.61</v>
      </c>
      <c r="M102" s="64">
        <v>57.05</v>
      </c>
      <c r="N102" s="64">
        <v>29.1</v>
      </c>
      <c r="O102" s="64">
        <v>0</v>
      </c>
      <c r="P102" s="64">
        <v>1.22</v>
      </c>
      <c r="Q102" s="64">
        <v>5.8</v>
      </c>
      <c r="R102" s="198"/>
      <c r="S102" s="198"/>
      <c r="T102" s="198"/>
      <c r="U102" s="198"/>
    </row>
    <row r="103" spans="1:33" s="12" customFormat="1" x14ac:dyDescent="0.25">
      <c r="A103" s="215" t="s">
        <v>2648</v>
      </c>
      <c r="B103" s="64">
        <v>4.9400000000000004</v>
      </c>
      <c r="C103" s="64">
        <v>49.53</v>
      </c>
      <c r="D103" s="64">
        <v>31.94</v>
      </c>
      <c r="E103" s="64">
        <v>2.5499999999999998</v>
      </c>
      <c r="F103" s="64">
        <v>6.65</v>
      </c>
      <c r="G103" s="64">
        <v>95.1</v>
      </c>
      <c r="H103" s="64">
        <v>52.57</v>
      </c>
      <c r="I103" s="64">
        <v>1.49</v>
      </c>
      <c r="J103" s="64">
        <v>0.28999999999999998</v>
      </c>
      <c r="K103" s="64">
        <v>103.15</v>
      </c>
      <c r="L103" s="64">
        <v>19.32</v>
      </c>
      <c r="M103" s="64">
        <v>58.45</v>
      </c>
      <c r="N103" s="64">
        <v>29.6</v>
      </c>
      <c r="O103" s="64">
        <v>0</v>
      </c>
      <c r="P103" s="64">
        <v>1.17</v>
      </c>
      <c r="Q103" s="64">
        <v>5.78</v>
      </c>
      <c r="R103" s="198"/>
      <c r="S103" s="198"/>
      <c r="T103" s="198"/>
      <c r="U103" s="198"/>
    </row>
    <row r="104" spans="1:33" s="12" customFormat="1" x14ac:dyDescent="0.25">
      <c r="A104" s="215" t="s">
        <v>2649</v>
      </c>
      <c r="B104" s="64">
        <v>4.6399999999999997</v>
      </c>
      <c r="C104" s="64">
        <v>47.8</v>
      </c>
      <c r="D104" s="64">
        <v>30.75</v>
      </c>
      <c r="E104" s="64">
        <v>2.4900000000000002</v>
      </c>
      <c r="F104" s="64">
        <v>5.92</v>
      </c>
      <c r="G104" s="64">
        <v>95.1</v>
      </c>
      <c r="H104" s="64">
        <v>52.57</v>
      </c>
      <c r="I104" s="64">
        <v>1.53</v>
      </c>
      <c r="J104" s="64">
        <v>0.4</v>
      </c>
      <c r="K104" s="64">
        <v>99.93</v>
      </c>
      <c r="L104" s="64">
        <v>19.22</v>
      </c>
      <c r="M104" s="64">
        <v>59.72</v>
      </c>
      <c r="N104" s="64">
        <v>29.5</v>
      </c>
      <c r="O104" s="64">
        <v>0</v>
      </c>
      <c r="P104" s="64">
        <v>1.1399999999999999</v>
      </c>
      <c r="Q104" s="64">
        <v>5.81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2.72</v>
      </c>
      <c r="C106" s="67">
        <f>MIN(C9:C104)</f>
        <v>40.53</v>
      </c>
      <c r="D106" s="67">
        <f t="shared" ref="D106:Q106" si="0">MIN(D9:D104)</f>
        <v>25.22</v>
      </c>
      <c r="E106" s="67">
        <f t="shared" si="0"/>
        <v>2.19</v>
      </c>
      <c r="F106" s="67">
        <f t="shared" si="0"/>
        <v>3.33</v>
      </c>
      <c r="G106" s="67">
        <f t="shared" si="0"/>
        <v>65.569999999999993</v>
      </c>
      <c r="H106" s="67">
        <f t="shared" si="0"/>
        <v>27.96</v>
      </c>
      <c r="I106" s="67">
        <f t="shared" si="0"/>
        <v>1.4</v>
      </c>
      <c r="J106" s="67">
        <f t="shared" si="0"/>
        <v>0.02</v>
      </c>
      <c r="K106" s="67">
        <f t="shared" si="0"/>
        <v>3.27</v>
      </c>
      <c r="L106" s="67">
        <f t="shared" si="0"/>
        <v>17.32</v>
      </c>
      <c r="M106" s="67">
        <f t="shared" si="0"/>
        <v>35.22</v>
      </c>
      <c r="N106" s="67">
        <f t="shared" si="0"/>
        <v>27.4</v>
      </c>
      <c r="O106" s="67">
        <f t="shared" si="0"/>
        <v>0</v>
      </c>
      <c r="P106" s="67">
        <f t="shared" si="0"/>
        <v>0.72</v>
      </c>
      <c r="Q106" s="67">
        <f t="shared" si="0"/>
        <v>2.97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21.17</v>
      </c>
      <c r="C107" s="66">
        <f t="shared" ref="C107:Q107" si="1">MAX(C9:C104)</f>
        <v>70.62</v>
      </c>
      <c r="D107" s="66">
        <f t="shared" si="1"/>
        <v>56.6</v>
      </c>
      <c r="E107" s="66">
        <f t="shared" si="1"/>
        <v>3.81</v>
      </c>
      <c r="F107" s="66">
        <f t="shared" si="1"/>
        <v>27.21</v>
      </c>
      <c r="G107" s="66">
        <f t="shared" si="1"/>
        <v>114.56</v>
      </c>
      <c r="H107" s="66">
        <f t="shared" si="1"/>
        <v>65.39</v>
      </c>
      <c r="I107" s="66">
        <f t="shared" si="1"/>
        <v>1.62</v>
      </c>
      <c r="J107" s="66">
        <f t="shared" si="1"/>
        <v>1.37</v>
      </c>
      <c r="K107" s="66">
        <f t="shared" si="1"/>
        <v>349.71</v>
      </c>
      <c r="L107" s="66">
        <f t="shared" si="1"/>
        <v>27.35</v>
      </c>
      <c r="M107" s="66">
        <f t="shared" si="1"/>
        <v>84.72</v>
      </c>
      <c r="N107" s="66">
        <f t="shared" si="1"/>
        <v>632.79999999999995</v>
      </c>
      <c r="O107" s="66">
        <f t="shared" si="1"/>
        <v>0</v>
      </c>
      <c r="P107" s="66">
        <f t="shared" si="1"/>
        <v>1.62</v>
      </c>
      <c r="Q107" s="66">
        <f t="shared" si="1"/>
        <v>6.48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6.7151041666666655</v>
      </c>
      <c r="C108" s="67">
        <f t="shared" ref="C108:Q108" si="2">AVERAGE(C9:C104)</f>
        <v>47.983958333333327</v>
      </c>
      <c r="D108" s="67">
        <f t="shared" si="2"/>
        <v>32.512083333333329</v>
      </c>
      <c r="E108" s="67">
        <f t="shared" si="2"/>
        <v>2.6996874999999996</v>
      </c>
      <c r="F108" s="67">
        <f t="shared" si="2"/>
        <v>7.2054166666666646</v>
      </c>
      <c r="G108" s="67">
        <f t="shared" si="2"/>
        <v>87.293333333333294</v>
      </c>
      <c r="H108" s="67">
        <f t="shared" si="2"/>
        <v>48.992916666666623</v>
      </c>
      <c r="I108" s="67">
        <f t="shared" si="2"/>
        <v>1.4989583333333334</v>
      </c>
      <c r="J108" s="67">
        <f t="shared" si="2"/>
        <v>0.41843750000000002</v>
      </c>
      <c r="K108" s="67">
        <f t="shared" si="2"/>
        <v>152.79395833333331</v>
      </c>
      <c r="L108" s="67">
        <f t="shared" si="2"/>
        <v>21.638541666666654</v>
      </c>
      <c r="M108" s="67">
        <f t="shared" si="2"/>
        <v>56.043020833333337</v>
      </c>
      <c r="N108" s="67">
        <f t="shared" si="2"/>
        <v>155.71458333333334</v>
      </c>
      <c r="O108" s="67">
        <f t="shared" si="2"/>
        <v>0</v>
      </c>
      <c r="P108" s="67">
        <f t="shared" si="2"/>
        <v>1.0762500000000006</v>
      </c>
      <c r="Q108" s="67">
        <f t="shared" si="2"/>
        <v>5.6818750000000016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3.3615760698287995</v>
      </c>
      <c r="C109" s="67">
        <f t="shared" ref="C109:Q109" si="3">STDEV(C9:C104)</f>
        <v>6.6622178193100128</v>
      </c>
      <c r="D109" s="67">
        <f t="shared" si="3"/>
        <v>6.0266570844901688</v>
      </c>
      <c r="E109" s="67">
        <f t="shared" si="3"/>
        <v>0.34884305964597312</v>
      </c>
      <c r="F109" s="67">
        <f t="shared" si="3"/>
        <v>4.6827384962820071</v>
      </c>
      <c r="G109" s="67">
        <f t="shared" si="3"/>
        <v>12.681453068549761</v>
      </c>
      <c r="H109" s="67">
        <f t="shared" si="3"/>
        <v>7.4356880425870537</v>
      </c>
      <c r="I109" s="67">
        <f t="shared" si="3"/>
        <v>4.4044933197257559E-2</v>
      </c>
      <c r="J109" s="67">
        <f t="shared" si="3"/>
        <v>0.30347922195414762</v>
      </c>
      <c r="K109" s="67">
        <f t="shared" si="3"/>
        <v>109.82719955964477</v>
      </c>
      <c r="L109" s="67">
        <f t="shared" si="3"/>
        <v>3.035744590590383</v>
      </c>
      <c r="M109" s="67">
        <f t="shared" si="3"/>
        <v>14.482584541063</v>
      </c>
      <c r="N109" s="67">
        <f t="shared" si="3"/>
        <v>194.72244699580745</v>
      </c>
      <c r="O109" s="67">
        <f t="shared" si="3"/>
        <v>0</v>
      </c>
      <c r="P109" s="67">
        <f t="shared" si="3"/>
        <v>0.21872958551358812</v>
      </c>
      <c r="Q109" s="67">
        <f t="shared" si="3"/>
        <v>0.54140618568200416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2650</v>
      </c>
      <c r="B9" s="64">
        <v>4.5999999999999996</v>
      </c>
      <c r="C9" s="64">
        <v>46.92</v>
      </c>
      <c r="D9" s="64">
        <v>30.23</v>
      </c>
      <c r="E9" s="64">
        <v>2.5499999999999998</v>
      </c>
      <c r="F9" s="64">
        <v>4.8099999999999996</v>
      </c>
      <c r="G9" s="64">
        <v>91.65</v>
      </c>
      <c r="H9" s="64">
        <v>48.26</v>
      </c>
      <c r="I9" s="64">
        <v>1.5</v>
      </c>
      <c r="J9" s="64">
        <v>0.41</v>
      </c>
      <c r="K9" s="64">
        <v>105.55</v>
      </c>
      <c r="L9" s="64">
        <v>18.899999999999999</v>
      </c>
      <c r="M9" s="64">
        <v>62.11</v>
      </c>
      <c r="N9" s="64">
        <v>29.7</v>
      </c>
      <c r="O9" s="64">
        <v>0</v>
      </c>
      <c r="P9" s="64">
        <v>1.1299999999999999</v>
      </c>
      <c r="Q9" s="64">
        <v>5.8</v>
      </c>
      <c r="R9" s="198"/>
      <c r="S9" s="198"/>
      <c r="T9" s="198"/>
      <c r="U9" s="198"/>
    </row>
    <row r="10" spans="1:21" s="12" customFormat="1" x14ac:dyDescent="0.25">
      <c r="A10" s="215" t="s">
        <v>2651</v>
      </c>
      <c r="B10" s="64">
        <v>4.4800000000000004</v>
      </c>
      <c r="C10" s="64">
        <v>46.09</v>
      </c>
      <c r="D10" s="64">
        <v>29.67</v>
      </c>
      <c r="E10" s="64">
        <v>2.58</v>
      </c>
      <c r="F10" s="64">
        <v>6.28</v>
      </c>
      <c r="G10" s="64">
        <v>89.35</v>
      </c>
      <c r="H10" s="64">
        <v>47.21</v>
      </c>
      <c r="I10" s="64">
        <v>1.52</v>
      </c>
      <c r="J10" s="64">
        <v>0.27</v>
      </c>
      <c r="K10" s="64">
        <v>87.07</v>
      </c>
      <c r="L10" s="64">
        <v>18.760000000000002</v>
      </c>
      <c r="M10" s="64">
        <v>63.94</v>
      </c>
      <c r="N10" s="64">
        <v>29.7</v>
      </c>
      <c r="O10" s="64">
        <v>0</v>
      </c>
      <c r="P10" s="64">
        <v>1.1000000000000001</v>
      </c>
      <c r="Q10" s="64">
        <v>5.79</v>
      </c>
      <c r="R10" s="198"/>
      <c r="S10" s="198"/>
      <c r="T10" s="198"/>
      <c r="U10" s="198"/>
    </row>
    <row r="11" spans="1:21" s="12" customFormat="1" x14ac:dyDescent="0.25">
      <c r="A11" s="215" t="s">
        <v>2652</v>
      </c>
      <c r="B11" s="64">
        <v>4.45</v>
      </c>
      <c r="C11" s="64">
        <v>45.49</v>
      </c>
      <c r="D11" s="64">
        <v>29.32</v>
      </c>
      <c r="E11" s="64">
        <v>2.57</v>
      </c>
      <c r="F11" s="64">
        <v>5.35</v>
      </c>
      <c r="G11" s="64">
        <v>89.35</v>
      </c>
      <c r="H11" s="64">
        <v>47.21</v>
      </c>
      <c r="I11" s="64">
        <v>1.58</v>
      </c>
      <c r="J11" s="64">
        <v>0.13</v>
      </c>
      <c r="K11" s="64">
        <v>60.48</v>
      </c>
      <c r="L11" s="64">
        <v>18.57</v>
      </c>
      <c r="M11" s="64">
        <v>65.75</v>
      </c>
      <c r="N11" s="64">
        <v>29.7</v>
      </c>
      <c r="O11" s="64">
        <v>0</v>
      </c>
      <c r="P11" s="64">
        <v>1.07</v>
      </c>
      <c r="Q11" s="64">
        <v>5.78</v>
      </c>
      <c r="R11" s="198"/>
      <c r="S11" s="198"/>
      <c r="T11" s="198"/>
      <c r="U11" s="198"/>
    </row>
    <row r="12" spans="1:21" s="12" customFormat="1" x14ac:dyDescent="0.25">
      <c r="A12" s="215" t="s">
        <v>2653</v>
      </c>
      <c r="B12" s="64">
        <v>4.4400000000000004</v>
      </c>
      <c r="C12" s="64">
        <v>45.26</v>
      </c>
      <c r="D12" s="64">
        <v>29.19</v>
      </c>
      <c r="E12" s="64">
        <v>2.52</v>
      </c>
      <c r="F12" s="64">
        <v>5.98</v>
      </c>
      <c r="G12" s="64">
        <v>89.35</v>
      </c>
      <c r="H12" s="64">
        <v>47.21</v>
      </c>
      <c r="I12" s="64">
        <v>1.56</v>
      </c>
      <c r="J12" s="64">
        <v>0.09</v>
      </c>
      <c r="K12" s="64">
        <v>358.02</v>
      </c>
      <c r="L12" s="64">
        <v>18.440000000000001</v>
      </c>
      <c r="M12" s="64">
        <v>66.66</v>
      </c>
      <c r="N12" s="64">
        <v>29.9</v>
      </c>
      <c r="O12" s="64">
        <v>0</v>
      </c>
      <c r="P12" s="64">
        <v>1.06</v>
      </c>
      <c r="Q12" s="64">
        <v>5.71</v>
      </c>
      <c r="R12" s="198"/>
      <c r="S12" s="198"/>
      <c r="T12" s="198"/>
      <c r="U12" s="198"/>
    </row>
    <row r="13" spans="1:21" s="12" customFormat="1" x14ac:dyDescent="0.25">
      <c r="A13" s="215" t="s">
        <v>2654</v>
      </c>
      <c r="B13" s="64">
        <v>4.5599999999999996</v>
      </c>
      <c r="C13" s="64">
        <v>45.42</v>
      </c>
      <c r="D13" s="64">
        <v>29.37</v>
      </c>
      <c r="E13" s="64">
        <v>2.5099999999999998</v>
      </c>
      <c r="F13" s="64">
        <v>5.14</v>
      </c>
      <c r="G13" s="64">
        <v>85.96</v>
      </c>
      <c r="H13" s="64">
        <v>43.53</v>
      </c>
      <c r="I13" s="64">
        <v>1.47</v>
      </c>
      <c r="J13" s="64">
        <v>0.12</v>
      </c>
      <c r="K13" s="64">
        <v>309.93</v>
      </c>
      <c r="L13" s="64">
        <v>18.05</v>
      </c>
      <c r="M13" s="64">
        <v>70.319999999999993</v>
      </c>
      <c r="N13" s="64">
        <v>30.3</v>
      </c>
      <c r="O13" s="64">
        <v>0</v>
      </c>
      <c r="P13" s="64">
        <v>1.04</v>
      </c>
      <c r="Q13" s="64">
        <v>5.69</v>
      </c>
      <c r="R13" s="198"/>
      <c r="S13" s="198"/>
      <c r="T13" s="198"/>
      <c r="U13" s="198"/>
    </row>
    <row r="14" spans="1:21" s="12" customFormat="1" x14ac:dyDescent="0.25">
      <c r="A14" s="215" t="s">
        <v>2655</v>
      </c>
      <c r="B14" s="64">
        <v>5.09</v>
      </c>
      <c r="C14" s="64">
        <v>45.91</v>
      </c>
      <c r="D14" s="64">
        <v>30.06</v>
      </c>
      <c r="E14" s="64">
        <v>2.54</v>
      </c>
      <c r="F14" s="64">
        <v>4.3899999999999997</v>
      </c>
      <c r="G14" s="64">
        <v>83.6</v>
      </c>
      <c r="H14" s="64">
        <v>41.81</v>
      </c>
      <c r="I14" s="64">
        <v>1.49</v>
      </c>
      <c r="J14" s="64">
        <v>0.05</v>
      </c>
      <c r="K14" s="64">
        <v>331.51</v>
      </c>
      <c r="L14" s="64">
        <v>17.37</v>
      </c>
      <c r="M14" s="64">
        <v>76.13</v>
      </c>
      <c r="N14" s="64">
        <v>30.3</v>
      </c>
      <c r="O14" s="64">
        <v>0</v>
      </c>
      <c r="P14" s="64">
        <v>1.07</v>
      </c>
      <c r="Q14" s="64">
        <v>5.68</v>
      </c>
      <c r="R14" s="198"/>
      <c r="S14" s="198"/>
      <c r="T14" s="198"/>
      <c r="U14" s="198"/>
    </row>
    <row r="15" spans="1:21" s="12" customFormat="1" x14ac:dyDescent="0.25">
      <c r="A15" s="215" t="s">
        <v>2656</v>
      </c>
      <c r="B15" s="64">
        <v>6.8</v>
      </c>
      <c r="C15" s="64">
        <v>46.13</v>
      </c>
      <c r="D15" s="64">
        <v>31.56</v>
      </c>
      <c r="E15" s="64">
        <v>2.4700000000000002</v>
      </c>
      <c r="F15" s="64">
        <v>3.77</v>
      </c>
      <c r="G15" s="64">
        <v>83.6</v>
      </c>
      <c r="H15" s="64">
        <v>41.81</v>
      </c>
      <c r="I15" s="64">
        <v>1.52</v>
      </c>
      <c r="J15" s="64">
        <v>7.0000000000000007E-2</v>
      </c>
      <c r="K15" s="64">
        <v>261.32</v>
      </c>
      <c r="L15" s="64">
        <v>17.010000000000002</v>
      </c>
      <c r="M15" s="64">
        <v>77.94</v>
      </c>
      <c r="N15" s="64">
        <v>30.1</v>
      </c>
      <c r="O15" s="64">
        <v>0</v>
      </c>
      <c r="P15" s="64">
        <v>1.06</v>
      </c>
      <c r="Q15" s="64">
        <v>5.69</v>
      </c>
      <c r="R15" s="198"/>
      <c r="S15" s="198"/>
      <c r="T15" s="198"/>
      <c r="U15" s="198"/>
    </row>
    <row r="16" spans="1:21" s="12" customFormat="1" x14ac:dyDescent="0.25">
      <c r="A16" s="215" t="s">
        <v>2657</v>
      </c>
      <c r="B16" s="64">
        <v>6.13</v>
      </c>
      <c r="C16" s="64">
        <v>46.25</v>
      </c>
      <c r="D16" s="64">
        <v>31.09</v>
      </c>
      <c r="E16" s="64">
        <v>2.57</v>
      </c>
      <c r="F16" s="64">
        <v>4.49</v>
      </c>
      <c r="G16" s="64">
        <v>83.6</v>
      </c>
      <c r="H16" s="64">
        <v>41.81</v>
      </c>
      <c r="I16" s="64">
        <v>1.53</v>
      </c>
      <c r="J16" s="64">
        <v>0.08</v>
      </c>
      <c r="K16" s="64">
        <v>276.32</v>
      </c>
      <c r="L16" s="64">
        <v>16.850000000000001</v>
      </c>
      <c r="M16" s="64">
        <v>78.92</v>
      </c>
      <c r="N16" s="64">
        <v>30.3</v>
      </c>
      <c r="O16" s="64">
        <v>0</v>
      </c>
      <c r="P16" s="64">
        <v>1.03</v>
      </c>
      <c r="Q16" s="64">
        <v>5.8</v>
      </c>
      <c r="R16" s="198"/>
      <c r="S16" s="198"/>
      <c r="T16" s="198"/>
      <c r="U16" s="198"/>
    </row>
    <row r="17" spans="1:21" s="12" customFormat="1" x14ac:dyDescent="0.25">
      <c r="A17" s="215" t="s">
        <v>2658</v>
      </c>
      <c r="B17" s="64">
        <v>6.45</v>
      </c>
      <c r="C17" s="64">
        <v>45.91</v>
      </c>
      <c r="D17" s="64">
        <v>31.15</v>
      </c>
      <c r="E17" s="64">
        <v>2.4500000000000002</v>
      </c>
      <c r="F17" s="64">
        <v>4.4400000000000004</v>
      </c>
      <c r="G17" s="64">
        <v>84.77</v>
      </c>
      <c r="H17" s="64">
        <v>40.98</v>
      </c>
      <c r="I17" s="64">
        <v>1.5</v>
      </c>
      <c r="J17" s="64">
        <v>0.26</v>
      </c>
      <c r="K17" s="64">
        <v>329.94</v>
      </c>
      <c r="L17" s="64">
        <v>16.399999999999999</v>
      </c>
      <c r="M17" s="64">
        <v>83.71</v>
      </c>
      <c r="N17" s="64">
        <v>29.9</v>
      </c>
      <c r="O17" s="64">
        <v>0</v>
      </c>
      <c r="P17" s="64">
        <v>1.02</v>
      </c>
      <c r="Q17" s="64">
        <v>5.86</v>
      </c>
      <c r="R17" s="198"/>
      <c r="S17" s="198"/>
      <c r="T17" s="198"/>
      <c r="U17" s="198"/>
    </row>
    <row r="18" spans="1:21" s="12" customFormat="1" x14ac:dyDescent="0.25">
      <c r="A18" s="215" t="s">
        <v>2659</v>
      </c>
      <c r="B18" s="64">
        <v>6.92</v>
      </c>
      <c r="C18" s="64">
        <v>45.61</v>
      </c>
      <c r="D18" s="64">
        <v>31.37</v>
      </c>
      <c r="E18" s="64">
        <v>2.44</v>
      </c>
      <c r="F18" s="64">
        <v>4.3499999999999996</v>
      </c>
      <c r="G18" s="64">
        <v>85.56</v>
      </c>
      <c r="H18" s="64">
        <v>40.76</v>
      </c>
      <c r="I18" s="64">
        <v>1.46</v>
      </c>
      <c r="J18" s="64">
        <v>0.49</v>
      </c>
      <c r="K18" s="64">
        <v>333.63</v>
      </c>
      <c r="L18" s="64">
        <v>16.45</v>
      </c>
      <c r="M18" s="64">
        <v>81.489999999999995</v>
      </c>
      <c r="N18" s="64">
        <v>29.3</v>
      </c>
      <c r="O18" s="64">
        <v>0</v>
      </c>
      <c r="P18" s="64">
        <v>1.01</v>
      </c>
      <c r="Q18" s="64">
        <v>5.89</v>
      </c>
      <c r="R18" s="198"/>
      <c r="S18" s="198"/>
      <c r="T18" s="198"/>
      <c r="U18" s="198"/>
    </row>
    <row r="19" spans="1:21" s="12" customFormat="1" x14ac:dyDescent="0.25">
      <c r="A19" s="215" t="s">
        <v>2660</v>
      </c>
      <c r="B19" s="64">
        <v>7.18</v>
      </c>
      <c r="C19" s="64">
        <v>45.38</v>
      </c>
      <c r="D19" s="64">
        <v>31.45</v>
      </c>
      <c r="E19" s="64">
        <v>2.44</v>
      </c>
      <c r="F19" s="64">
        <v>4.16</v>
      </c>
      <c r="G19" s="64">
        <v>85.56</v>
      </c>
      <c r="H19" s="64">
        <v>40.76</v>
      </c>
      <c r="I19" s="64">
        <v>1.4</v>
      </c>
      <c r="J19" s="64">
        <v>0.43</v>
      </c>
      <c r="K19" s="64">
        <v>340.8</v>
      </c>
      <c r="L19" s="64">
        <v>16.440000000000001</v>
      </c>
      <c r="M19" s="64">
        <v>80.7</v>
      </c>
      <c r="N19" s="64">
        <v>29.8</v>
      </c>
      <c r="O19" s="64">
        <v>0</v>
      </c>
      <c r="P19" s="64">
        <v>1.01</v>
      </c>
      <c r="Q19" s="64">
        <v>5.93</v>
      </c>
      <c r="R19" s="198"/>
      <c r="S19" s="198"/>
      <c r="T19" s="198"/>
      <c r="U19" s="198"/>
    </row>
    <row r="20" spans="1:21" s="12" customFormat="1" x14ac:dyDescent="0.25">
      <c r="A20" s="215" t="s">
        <v>2661</v>
      </c>
      <c r="B20" s="64">
        <v>7.4</v>
      </c>
      <c r="C20" s="64">
        <v>44.34</v>
      </c>
      <c r="D20" s="64">
        <v>31.05</v>
      </c>
      <c r="E20" s="64">
        <v>2.42</v>
      </c>
      <c r="F20" s="64">
        <v>3.6</v>
      </c>
      <c r="G20" s="64">
        <v>85.56</v>
      </c>
      <c r="H20" s="64">
        <v>40.76</v>
      </c>
      <c r="I20" s="64">
        <v>1.49</v>
      </c>
      <c r="J20" s="64">
        <v>0.37</v>
      </c>
      <c r="K20" s="64">
        <v>349.24</v>
      </c>
      <c r="L20" s="64">
        <v>16.43</v>
      </c>
      <c r="M20" s="64">
        <v>80.790000000000006</v>
      </c>
      <c r="N20" s="64">
        <v>29.9</v>
      </c>
      <c r="O20" s="64">
        <v>0</v>
      </c>
      <c r="P20" s="64">
        <v>1.02</v>
      </c>
      <c r="Q20" s="64">
        <v>5.98</v>
      </c>
      <c r="R20" s="198"/>
      <c r="S20" s="198"/>
      <c r="T20" s="198"/>
      <c r="U20" s="198"/>
    </row>
    <row r="21" spans="1:21" s="12" customFormat="1" x14ac:dyDescent="0.25">
      <c r="A21" s="215" t="s">
        <v>2662</v>
      </c>
      <c r="B21" s="64">
        <v>7.59</v>
      </c>
      <c r="C21" s="64">
        <v>44.83</v>
      </c>
      <c r="D21" s="64">
        <v>31.48</v>
      </c>
      <c r="E21" s="64">
        <v>2.34</v>
      </c>
      <c r="F21" s="64">
        <v>3.38</v>
      </c>
      <c r="G21" s="64">
        <v>94.18</v>
      </c>
      <c r="H21" s="64">
        <v>48.65</v>
      </c>
      <c r="I21" s="64">
        <v>1.55</v>
      </c>
      <c r="J21" s="64">
        <v>0.34</v>
      </c>
      <c r="K21" s="64">
        <v>340.87</v>
      </c>
      <c r="L21" s="64">
        <v>16.41</v>
      </c>
      <c r="M21" s="64">
        <v>81.02</v>
      </c>
      <c r="N21" s="64">
        <v>29.8</v>
      </c>
      <c r="O21" s="64">
        <v>0</v>
      </c>
      <c r="P21" s="64">
        <v>1.05</v>
      </c>
      <c r="Q21" s="64">
        <v>5.97</v>
      </c>
      <c r="R21" s="198"/>
      <c r="S21" s="198"/>
      <c r="T21" s="198"/>
      <c r="U21" s="198"/>
    </row>
    <row r="22" spans="1:21" s="12" customFormat="1" x14ac:dyDescent="0.25">
      <c r="A22" s="215" t="s">
        <v>2663</v>
      </c>
      <c r="B22" s="64">
        <v>7.69</v>
      </c>
      <c r="C22" s="64">
        <v>45.03</v>
      </c>
      <c r="D22" s="64">
        <v>31.66</v>
      </c>
      <c r="E22" s="64">
        <v>2.34</v>
      </c>
      <c r="F22" s="64">
        <v>3.61</v>
      </c>
      <c r="G22" s="64">
        <v>100.19</v>
      </c>
      <c r="H22" s="64">
        <v>50.73</v>
      </c>
      <c r="I22" s="64">
        <v>1.53</v>
      </c>
      <c r="J22" s="64">
        <v>0.44</v>
      </c>
      <c r="K22" s="64">
        <v>345.99</v>
      </c>
      <c r="L22" s="64">
        <v>16.52</v>
      </c>
      <c r="M22" s="64">
        <v>79.239999999999995</v>
      </c>
      <c r="N22" s="64">
        <v>29.6</v>
      </c>
      <c r="O22" s="64">
        <v>0</v>
      </c>
      <c r="P22" s="64">
        <v>1.07</v>
      </c>
      <c r="Q22" s="64">
        <v>5.96</v>
      </c>
      <c r="R22" s="198"/>
      <c r="S22" s="198"/>
      <c r="T22" s="198"/>
      <c r="U22" s="198"/>
    </row>
    <row r="23" spans="1:21" s="12" customFormat="1" x14ac:dyDescent="0.25">
      <c r="A23" s="215" t="s">
        <v>2664</v>
      </c>
      <c r="B23" s="64">
        <v>7.74</v>
      </c>
      <c r="C23" s="64">
        <v>45.13</v>
      </c>
      <c r="D23" s="64">
        <v>31.76</v>
      </c>
      <c r="E23" s="64">
        <v>2.35</v>
      </c>
      <c r="F23" s="64">
        <v>3.63</v>
      </c>
      <c r="G23" s="64">
        <v>100.19</v>
      </c>
      <c r="H23" s="64">
        <v>50.73</v>
      </c>
      <c r="I23" s="64">
        <v>1.52</v>
      </c>
      <c r="J23" s="64">
        <v>0.64</v>
      </c>
      <c r="K23" s="64">
        <v>346.38</v>
      </c>
      <c r="L23" s="64">
        <v>16.7</v>
      </c>
      <c r="M23" s="64">
        <v>77.8</v>
      </c>
      <c r="N23" s="64">
        <v>29.4</v>
      </c>
      <c r="O23" s="64">
        <v>0</v>
      </c>
      <c r="P23" s="64">
        <v>1.08</v>
      </c>
      <c r="Q23" s="64">
        <v>5.91</v>
      </c>
      <c r="R23" s="198"/>
      <c r="S23" s="198"/>
      <c r="T23" s="198"/>
      <c r="U23" s="198"/>
    </row>
    <row r="24" spans="1:21" s="12" customFormat="1" x14ac:dyDescent="0.25">
      <c r="A24" s="215" t="s">
        <v>2665</v>
      </c>
      <c r="B24" s="64">
        <v>8.2200000000000006</v>
      </c>
      <c r="C24" s="64">
        <v>45.73</v>
      </c>
      <c r="D24" s="64">
        <v>32.479999999999997</v>
      </c>
      <c r="E24" s="64">
        <v>2.17</v>
      </c>
      <c r="F24" s="64">
        <v>3.42</v>
      </c>
      <c r="G24" s="64">
        <v>100.19</v>
      </c>
      <c r="H24" s="64">
        <v>50.73</v>
      </c>
      <c r="I24" s="64">
        <v>1.58</v>
      </c>
      <c r="J24" s="64">
        <v>0.22</v>
      </c>
      <c r="K24" s="64">
        <v>350.32</v>
      </c>
      <c r="L24" s="64">
        <v>16.52</v>
      </c>
      <c r="M24" s="64">
        <v>79.319999999999993</v>
      </c>
      <c r="N24" s="64">
        <v>30</v>
      </c>
      <c r="O24" s="64">
        <v>0</v>
      </c>
      <c r="P24" s="64">
        <v>1.1399999999999999</v>
      </c>
      <c r="Q24" s="64">
        <v>5.95</v>
      </c>
      <c r="R24" s="198"/>
      <c r="S24" s="198"/>
      <c r="T24" s="198"/>
      <c r="U24" s="198"/>
    </row>
    <row r="25" spans="1:21" s="12" customFormat="1" x14ac:dyDescent="0.25">
      <c r="A25" s="215" t="s">
        <v>2666</v>
      </c>
      <c r="B25" s="64">
        <v>8.4700000000000006</v>
      </c>
      <c r="C25" s="64">
        <v>46.06</v>
      </c>
      <c r="D25" s="64">
        <v>32.86</v>
      </c>
      <c r="E25" s="64">
        <v>2.2400000000000002</v>
      </c>
      <c r="F25" s="64">
        <v>3.39</v>
      </c>
      <c r="G25" s="64">
        <v>112.68</v>
      </c>
      <c r="H25" s="64">
        <v>59.46</v>
      </c>
      <c r="I25" s="64">
        <v>1.53</v>
      </c>
      <c r="J25" s="64">
        <v>0.41</v>
      </c>
      <c r="K25" s="64">
        <v>346.46</v>
      </c>
      <c r="L25" s="64">
        <v>16.46</v>
      </c>
      <c r="M25" s="64">
        <v>78.61</v>
      </c>
      <c r="N25" s="64">
        <v>29.8</v>
      </c>
      <c r="O25" s="64">
        <v>0</v>
      </c>
      <c r="P25" s="64">
        <v>1.17</v>
      </c>
      <c r="Q25" s="64">
        <v>5.99</v>
      </c>
      <c r="R25" s="198"/>
      <c r="S25" s="198"/>
      <c r="T25" s="198"/>
      <c r="U25" s="198"/>
    </row>
    <row r="26" spans="1:21" s="12" customFormat="1" x14ac:dyDescent="0.25">
      <c r="A26" s="215" t="s">
        <v>2667</v>
      </c>
      <c r="B26" s="64">
        <v>8.65</v>
      </c>
      <c r="C26" s="64">
        <v>45.94</v>
      </c>
      <c r="D26" s="64">
        <v>32.94</v>
      </c>
      <c r="E26" s="64">
        <v>2.2799999999999998</v>
      </c>
      <c r="F26" s="64">
        <v>3.25</v>
      </c>
      <c r="G26" s="64">
        <v>121.01</v>
      </c>
      <c r="H26" s="64">
        <v>61.76</v>
      </c>
      <c r="I26" s="64">
        <v>1.48</v>
      </c>
      <c r="J26" s="64">
        <v>0.4</v>
      </c>
      <c r="K26" s="64">
        <v>336.86</v>
      </c>
      <c r="L26" s="64">
        <v>16.47</v>
      </c>
      <c r="M26" s="64">
        <v>78.040000000000006</v>
      </c>
      <c r="N26" s="64">
        <v>30</v>
      </c>
      <c r="O26" s="64">
        <v>0</v>
      </c>
      <c r="P26" s="64">
        <v>1.19</v>
      </c>
      <c r="Q26" s="64">
        <v>6</v>
      </c>
      <c r="R26" s="198"/>
      <c r="S26" s="198"/>
      <c r="T26" s="198"/>
      <c r="U26" s="198"/>
    </row>
    <row r="27" spans="1:21" s="12" customFormat="1" x14ac:dyDescent="0.25">
      <c r="A27" s="215" t="s">
        <v>2668</v>
      </c>
      <c r="B27" s="64">
        <v>8.94</v>
      </c>
      <c r="C27" s="64">
        <v>46.25</v>
      </c>
      <c r="D27" s="64">
        <v>33.340000000000003</v>
      </c>
      <c r="E27" s="64">
        <v>2.2599999999999998</v>
      </c>
      <c r="F27" s="64">
        <v>3.17</v>
      </c>
      <c r="G27" s="64">
        <v>121.01</v>
      </c>
      <c r="H27" s="64">
        <v>61.76</v>
      </c>
      <c r="I27" s="64">
        <v>1.44</v>
      </c>
      <c r="J27" s="64">
        <v>0.59</v>
      </c>
      <c r="K27" s="64">
        <v>343.29</v>
      </c>
      <c r="L27" s="64">
        <v>16.25</v>
      </c>
      <c r="M27" s="64">
        <v>78.38</v>
      </c>
      <c r="N27" s="64">
        <v>30</v>
      </c>
      <c r="O27" s="64">
        <v>0</v>
      </c>
      <c r="P27" s="64">
        <v>1.2</v>
      </c>
      <c r="Q27" s="64">
        <v>6.03</v>
      </c>
      <c r="R27" s="198"/>
      <c r="S27" s="198"/>
      <c r="T27" s="198"/>
      <c r="U27" s="198"/>
    </row>
    <row r="28" spans="1:21" s="12" customFormat="1" x14ac:dyDescent="0.25">
      <c r="A28" s="215" t="s">
        <v>2669</v>
      </c>
      <c r="B28" s="64">
        <v>9.2200000000000006</v>
      </c>
      <c r="C28" s="64">
        <v>46.29</v>
      </c>
      <c r="D28" s="64">
        <v>33.58</v>
      </c>
      <c r="E28" s="64">
        <v>2.2799999999999998</v>
      </c>
      <c r="F28" s="64">
        <v>3.31</v>
      </c>
      <c r="G28" s="64">
        <v>121.01</v>
      </c>
      <c r="H28" s="64">
        <v>61.76</v>
      </c>
      <c r="I28" s="64">
        <v>1.49</v>
      </c>
      <c r="J28" s="64">
        <v>0.15</v>
      </c>
      <c r="K28" s="64">
        <v>333.36</v>
      </c>
      <c r="L28" s="64">
        <v>16.22</v>
      </c>
      <c r="M28" s="64">
        <v>77.95</v>
      </c>
      <c r="N28" s="64">
        <v>30</v>
      </c>
      <c r="O28" s="64">
        <v>0</v>
      </c>
      <c r="P28" s="64">
        <v>1.19</v>
      </c>
      <c r="Q28" s="64">
        <v>6.03</v>
      </c>
      <c r="R28" s="198"/>
      <c r="S28" s="198"/>
      <c r="T28" s="198"/>
      <c r="U28" s="198"/>
    </row>
    <row r="29" spans="1:21" s="12" customFormat="1" x14ac:dyDescent="0.25">
      <c r="A29" s="215" t="s">
        <v>2670</v>
      </c>
      <c r="B29" s="64">
        <v>9.1199999999999992</v>
      </c>
      <c r="C29" s="64">
        <v>46.07</v>
      </c>
      <c r="D29" s="64">
        <v>33.39</v>
      </c>
      <c r="E29" s="64">
        <v>2.34</v>
      </c>
      <c r="F29" s="64">
        <v>3.19</v>
      </c>
      <c r="G29" s="64">
        <v>122.5</v>
      </c>
      <c r="H29" s="64">
        <v>59.26</v>
      </c>
      <c r="I29" s="64">
        <v>1.51</v>
      </c>
      <c r="J29" s="64">
        <v>0.41</v>
      </c>
      <c r="K29" s="64">
        <v>105.13</v>
      </c>
      <c r="L29" s="64">
        <v>16.14</v>
      </c>
      <c r="M29" s="64">
        <v>78.34</v>
      </c>
      <c r="N29" s="64">
        <v>29.9</v>
      </c>
      <c r="O29" s="64">
        <v>0</v>
      </c>
      <c r="P29" s="64">
        <v>1.17</v>
      </c>
      <c r="Q29" s="64">
        <v>6.01</v>
      </c>
      <c r="R29" s="198"/>
      <c r="S29" s="198"/>
      <c r="T29" s="198"/>
      <c r="U29" s="198"/>
    </row>
    <row r="30" spans="1:21" s="12" customFormat="1" x14ac:dyDescent="0.25">
      <c r="A30" s="215" t="s">
        <v>2671</v>
      </c>
      <c r="B30" s="64">
        <v>8.77</v>
      </c>
      <c r="C30" s="64">
        <v>45.44</v>
      </c>
      <c r="D30" s="64">
        <v>32.75</v>
      </c>
      <c r="E30" s="64">
        <v>2.31</v>
      </c>
      <c r="F30" s="64">
        <v>3.32</v>
      </c>
      <c r="G30" s="64">
        <v>123.49</v>
      </c>
      <c r="H30" s="64">
        <v>58.1</v>
      </c>
      <c r="I30" s="64">
        <v>1.52</v>
      </c>
      <c r="J30" s="64">
        <v>0.28999999999999998</v>
      </c>
      <c r="K30" s="64">
        <v>104.25</v>
      </c>
      <c r="L30" s="64">
        <v>16.07</v>
      </c>
      <c r="M30" s="64">
        <v>79.92</v>
      </c>
      <c r="N30" s="64">
        <v>29.9</v>
      </c>
      <c r="O30" s="64">
        <v>0</v>
      </c>
      <c r="P30" s="64">
        <v>1.1499999999999999</v>
      </c>
      <c r="Q30" s="64">
        <v>6.01</v>
      </c>
      <c r="R30" s="198"/>
      <c r="S30" s="198"/>
      <c r="T30" s="198"/>
      <c r="U30" s="198"/>
    </row>
    <row r="31" spans="1:21" s="12" customFormat="1" x14ac:dyDescent="0.25">
      <c r="A31" s="215" t="s">
        <v>2672</v>
      </c>
      <c r="B31" s="64">
        <v>8.2799999999999994</v>
      </c>
      <c r="C31" s="64">
        <v>44.45</v>
      </c>
      <c r="D31" s="64">
        <v>31.82</v>
      </c>
      <c r="E31" s="64">
        <v>2.2400000000000002</v>
      </c>
      <c r="F31" s="64">
        <v>3.26</v>
      </c>
      <c r="G31" s="64">
        <v>123.49</v>
      </c>
      <c r="H31" s="64">
        <v>58.1</v>
      </c>
      <c r="I31" s="64">
        <v>1.53</v>
      </c>
      <c r="J31" s="64">
        <v>0.47</v>
      </c>
      <c r="K31" s="64">
        <v>104.6</v>
      </c>
      <c r="L31" s="64">
        <v>16.350000000000001</v>
      </c>
      <c r="M31" s="64">
        <v>79.58</v>
      </c>
      <c r="N31" s="64">
        <v>29.5</v>
      </c>
      <c r="O31" s="64">
        <v>0</v>
      </c>
      <c r="P31" s="64">
        <v>1.1200000000000001</v>
      </c>
      <c r="Q31" s="64">
        <v>5.99</v>
      </c>
      <c r="R31" s="198"/>
      <c r="S31" s="198"/>
      <c r="T31" s="198"/>
      <c r="U31" s="198"/>
    </row>
    <row r="32" spans="1:21" s="12" customFormat="1" x14ac:dyDescent="0.25">
      <c r="A32" s="215" t="s">
        <v>2673</v>
      </c>
      <c r="B32" s="64">
        <v>7.65</v>
      </c>
      <c r="C32" s="64">
        <v>44.14</v>
      </c>
      <c r="D32" s="64">
        <v>31.14</v>
      </c>
      <c r="E32" s="64">
        <v>2.23</v>
      </c>
      <c r="F32" s="64">
        <v>3.49</v>
      </c>
      <c r="G32" s="64">
        <v>123.49</v>
      </c>
      <c r="H32" s="64">
        <v>58.1</v>
      </c>
      <c r="I32" s="64">
        <v>1.49</v>
      </c>
      <c r="J32" s="64">
        <v>0.7</v>
      </c>
      <c r="K32" s="64">
        <v>114.44</v>
      </c>
      <c r="L32" s="64">
        <v>16.47</v>
      </c>
      <c r="M32" s="64">
        <v>79.45</v>
      </c>
      <c r="N32" s="64">
        <v>29.9</v>
      </c>
      <c r="O32" s="64">
        <v>0</v>
      </c>
      <c r="P32" s="64">
        <v>1.1000000000000001</v>
      </c>
      <c r="Q32" s="64">
        <v>5.96</v>
      </c>
      <c r="R32" s="198"/>
      <c r="S32" s="198"/>
      <c r="T32" s="198"/>
      <c r="U32" s="198"/>
    </row>
    <row r="33" spans="1:21" s="12" customFormat="1" x14ac:dyDescent="0.25">
      <c r="A33" s="215" t="s">
        <v>2674</v>
      </c>
      <c r="B33" s="64">
        <v>7.11</v>
      </c>
      <c r="C33" s="64">
        <v>43.86</v>
      </c>
      <c r="D33" s="64">
        <v>30.55</v>
      </c>
      <c r="E33" s="64">
        <v>2.3199999999999998</v>
      </c>
      <c r="F33" s="64">
        <v>3.34</v>
      </c>
      <c r="G33" s="64">
        <v>113.81</v>
      </c>
      <c r="H33" s="64">
        <v>52.3</v>
      </c>
      <c r="I33" s="64">
        <v>1.49</v>
      </c>
      <c r="J33" s="64">
        <v>0.83</v>
      </c>
      <c r="K33" s="64">
        <v>117.5</v>
      </c>
      <c r="L33" s="64">
        <v>16.600000000000001</v>
      </c>
      <c r="M33" s="64">
        <v>78.680000000000007</v>
      </c>
      <c r="N33" s="64">
        <v>31.9</v>
      </c>
      <c r="O33" s="64">
        <v>0</v>
      </c>
      <c r="P33" s="64">
        <v>1.08</v>
      </c>
      <c r="Q33" s="64">
        <v>5.88</v>
      </c>
      <c r="R33" s="198"/>
      <c r="S33" s="198"/>
      <c r="T33" s="198"/>
      <c r="U33" s="198"/>
    </row>
    <row r="34" spans="1:21" s="12" customFormat="1" x14ac:dyDescent="0.25">
      <c r="A34" s="215" t="s">
        <v>2675</v>
      </c>
      <c r="B34" s="64">
        <v>6.59</v>
      </c>
      <c r="C34" s="64">
        <v>43.47</v>
      </c>
      <c r="D34" s="64">
        <v>29.92</v>
      </c>
      <c r="E34" s="64">
        <v>2.2799999999999998</v>
      </c>
      <c r="F34" s="64">
        <v>3.33</v>
      </c>
      <c r="G34" s="64">
        <v>107.36</v>
      </c>
      <c r="H34" s="64">
        <v>50.77</v>
      </c>
      <c r="I34" s="64">
        <v>1.49</v>
      </c>
      <c r="J34" s="64">
        <v>0.97</v>
      </c>
      <c r="K34" s="64">
        <v>110.6</v>
      </c>
      <c r="L34" s="64">
        <v>16.5</v>
      </c>
      <c r="M34" s="64">
        <v>78.569999999999993</v>
      </c>
      <c r="N34" s="64">
        <v>40.6</v>
      </c>
      <c r="O34" s="64">
        <v>0</v>
      </c>
      <c r="P34" s="64">
        <v>1.05</v>
      </c>
      <c r="Q34" s="64">
        <v>5.8</v>
      </c>
      <c r="R34" s="198"/>
      <c r="S34" s="198"/>
      <c r="T34" s="198"/>
      <c r="U34" s="198"/>
    </row>
    <row r="35" spans="1:21" s="12" customFormat="1" x14ac:dyDescent="0.25">
      <c r="A35" s="215" t="s">
        <v>2676</v>
      </c>
      <c r="B35" s="64">
        <v>6.23</v>
      </c>
      <c r="C35" s="64">
        <v>42.62</v>
      </c>
      <c r="D35" s="64">
        <v>29.16</v>
      </c>
      <c r="E35" s="64">
        <v>2.25</v>
      </c>
      <c r="F35" s="64">
        <v>3.7</v>
      </c>
      <c r="G35" s="64">
        <v>107.36</v>
      </c>
      <c r="H35" s="64">
        <v>50.77</v>
      </c>
      <c r="I35" s="64">
        <v>1.51</v>
      </c>
      <c r="J35" s="64">
        <v>0.6</v>
      </c>
      <c r="K35" s="64">
        <v>103.57</v>
      </c>
      <c r="L35" s="64">
        <v>16.510000000000002</v>
      </c>
      <c r="M35" s="64">
        <v>78.09</v>
      </c>
      <c r="N35" s="64">
        <v>55.8</v>
      </c>
      <c r="O35" s="64">
        <v>0</v>
      </c>
      <c r="P35" s="64">
        <v>1.03</v>
      </c>
      <c r="Q35" s="64">
        <v>5.8</v>
      </c>
      <c r="R35" s="198"/>
      <c r="S35" s="198"/>
      <c r="T35" s="198"/>
      <c r="U35" s="198"/>
    </row>
    <row r="36" spans="1:21" s="12" customFormat="1" x14ac:dyDescent="0.25">
      <c r="A36" s="215" t="s">
        <v>2677</v>
      </c>
      <c r="B36" s="64">
        <v>6.1</v>
      </c>
      <c r="C36" s="64">
        <v>42.92</v>
      </c>
      <c r="D36" s="64">
        <v>29.22</v>
      </c>
      <c r="E36" s="64">
        <v>2.2400000000000002</v>
      </c>
      <c r="F36" s="64">
        <v>4.2</v>
      </c>
      <c r="G36" s="64">
        <v>107.36</v>
      </c>
      <c r="H36" s="64">
        <v>50.77</v>
      </c>
      <c r="I36" s="64">
        <v>1.56</v>
      </c>
      <c r="J36" s="64">
        <v>0.1</v>
      </c>
      <c r="K36" s="64">
        <v>54.13</v>
      </c>
      <c r="L36" s="64">
        <v>16.66</v>
      </c>
      <c r="M36" s="64">
        <v>78.349999999999994</v>
      </c>
      <c r="N36" s="64">
        <v>74.3</v>
      </c>
      <c r="O36" s="64">
        <v>0</v>
      </c>
      <c r="P36" s="64">
        <v>1.01</v>
      </c>
      <c r="Q36" s="64">
        <v>5.8</v>
      </c>
      <c r="R36" s="198"/>
      <c r="S36" s="198"/>
      <c r="T36" s="198"/>
      <c r="U36" s="198"/>
    </row>
    <row r="37" spans="1:21" s="12" customFormat="1" x14ac:dyDescent="0.25">
      <c r="A37" s="215" t="s">
        <v>2678</v>
      </c>
      <c r="B37" s="64">
        <v>6.75</v>
      </c>
      <c r="C37" s="64">
        <v>44.14</v>
      </c>
      <c r="D37" s="64">
        <v>30.42</v>
      </c>
      <c r="E37" s="64">
        <v>2.31</v>
      </c>
      <c r="F37" s="64">
        <v>4.0999999999999996</v>
      </c>
      <c r="G37" s="64">
        <v>98.13</v>
      </c>
      <c r="H37" s="64">
        <v>48.4</v>
      </c>
      <c r="I37" s="64">
        <v>1.52</v>
      </c>
      <c r="J37" s="64">
        <v>0.24</v>
      </c>
      <c r="K37" s="64">
        <v>95.15</v>
      </c>
      <c r="L37" s="64">
        <v>17.07</v>
      </c>
      <c r="M37" s="64">
        <v>77.349999999999994</v>
      </c>
      <c r="N37" s="64">
        <v>98.4</v>
      </c>
      <c r="O37" s="64">
        <v>0</v>
      </c>
      <c r="P37" s="64">
        <v>1</v>
      </c>
      <c r="Q37" s="64">
        <v>5.81</v>
      </c>
      <c r="R37" s="198"/>
      <c r="S37" s="198"/>
      <c r="T37" s="198"/>
      <c r="U37" s="198"/>
    </row>
    <row r="38" spans="1:21" s="12" customFormat="1" x14ac:dyDescent="0.25">
      <c r="A38" s="215" t="s">
        <v>2679</v>
      </c>
      <c r="B38" s="64">
        <v>7.74</v>
      </c>
      <c r="C38" s="64">
        <v>44.89</v>
      </c>
      <c r="D38" s="64">
        <v>31.62</v>
      </c>
      <c r="E38" s="64">
        <v>2.23</v>
      </c>
      <c r="F38" s="64">
        <v>3.65</v>
      </c>
      <c r="G38" s="64">
        <v>91.98</v>
      </c>
      <c r="H38" s="64">
        <v>47.78</v>
      </c>
      <c r="I38" s="64">
        <v>1.49</v>
      </c>
      <c r="J38" s="64">
        <v>0.18</v>
      </c>
      <c r="K38" s="64">
        <v>95.61</v>
      </c>
      <c r="L38" s="64">
        <v>17.52</v>
      </c>
      <c r="M38" s="64">
        <v>75.67</v>
      </c>
      <c r="N38" s="64">
        <v>148.80000000000001</v>
      </c>
      <c r="O38" s="64">
        <v>0</v>
      </c>
      <c r="P38" s="64">
        <v>1.02</v>
      </c>
      <c r="Q38" s="64">
        <v>5.91</v>
      </c>
      <c r="R38" s="198"/>
      <c r="S38" s="198"/>
      <c r="T38" s="198"/>
      <c r="U38" s="198"/>
    </row>
    <row r="39" spans="1:21" s="12" customFormat="1" x14ac:dyDescent="0.25">
      <c r="A39" s="215" t="s">
        <v>2680</v>
      </c>
      <c r="B39" s="64">
        <v>8.0399999999999991</v>
      </c>
      <c r="C39" s="64">
        <v>45.53</v>
      </c>
      <c r="D39" s="64">
        <v>32.22</v>
      </c>
      <c r="E39" s="64">
        <v>2.1800000000000002</v>
      </c>
      <c r="F39" s="64">
        <v>3.7</v>
      </c>
      <c r="G39" s="64">
        <v>91.98</v>
      </c>
      <c r="H39" s="64">
        <v>47.78</v>
      </c>
      <c r="I39" s="64">
        <v>1.56</v>
      </c>
      <c r="J39" s="64">
        <v>0.26</v>
      </c>
      <c r="K39" s="64">
        <v>103.18</v>
      </c>
      <c r="L39" s="64">
        <v>18.43</v>
      </c>
      <c r="M39" s="64">
        <v>73.150000000000006</v>
      </c>
      <c r="N39" s="64">
        <v>195.8</v>
      </c>
      <c r="O39" s="64">
        <v>0</v>
      </c>
      <c r="P39" s="64">
        <v>1.02</v>
      </c>
      <c r="Q39" s="64">
        <v>6</v>
      </c>
      <c r="R39" s="198"/>
      <c r="S39" s="198"/>
      <c r="T39" s="198"/>
      <c r="U39" s="198"/>
    </row>
    <row r="40" spans="1:21" s="12" customFormat="1" x14ac:dyDescent="0.25">
      <c r="A40" s="215" t="s">
        <v>2681</v>
      </c>
      <c r="B40" s="64">
        <v>8.49</v>
      </c>
      <c r="C40" s="64">
        <v>46.44</v>
      </c>
      <c r="D40" s="64">
        <v>33.090000000000003</v>
      </c>
      <c r="E40" s="64">
        <v>2.2400000000000002</v>
      </c>
      <c r="F40" s="64">
        <v>3.51</v>
      </c>
      <c r="G40" s="64">
        <v>91.98</v>
      </c>
      <c r="H40" s="64">
        <v>47.78</v>
      </c>
      <c r="I40" s="64">
        <v>1.46</v>
      </c>
      <c r="J40" s="64">
        <v>0.43</v>
      </c>
      <c r="K40" s="64">
        <v>85.24</v>
      </c>
      <c r="L40" s="64">
        <v>19.62</v>
      </c>
      <c r="M40" s="64">
        <v>67.72</v>
      </c>
      <c r="N40" s="64">
        <v>239.8</v>
      </c>
      <c r="O40" s="64">
        <v>0</v>
      </c>
      <c r="P40" s="64">
        <v>1.02</v>
      </c>
      <c r="Q40" s="64">
        <v>6.04</v>
      </c>
      <c r="R40" s="198"/>
      <c r="S40" s="198"/>
      <c r="T40" s="198"/>
      <c r="U40" s="198"/>
    </row>
    <row r="41" spans="1:21" s="12" customFormat="1" x14ac:dyDescent="0.25">
      <c r="A41" s="215" t="s">
        <v>2682</v>
      </c>
      <c r="B41" s="64">
        <v>8.84</v>
      </c>
      <c r="C41" s="64">
        <v>46.73</v>
      </c>
      <c r="D41" s="64">
        <v>33.53</v>
      </c>
      <c r="E41" s="64">
        <v>2.35</v>
      </c>
      <c r="F41" s="64">
        <v>3.58</v>
      </c>
      <c r="G41" s="64">
        <v>92.19</v>
      </c>
      <c r="H41" s="64">
        <v>50.76</v>
      </c>
      <c r="I41" s="64">
        <v>1.58</v>
      </c>
      <c r="J41" s="64">
        <v>0.43</v>
      </c>
      <c r="K41" s="64">
        <v>103.3</v>
      </c>
      <c r="L41" s="64">
        <v>19.649999999999999</v>
      </c>
      <c r="M41" s="64">
        <v>69.209999999999994</v>
      </c>
      <c r="N41" s="64">
        <v>286.10000000000002</v>
      </c>
      <c r="O41" s="64">
        <v>0</v>
      </c>
      <c r="P41" s="64">
        <v>1.03</v>
      </c>
      <c r="Q41" s="64">
        <v>6.1</v>
      </c>
      <c r="R41" s="198"/>
      <c r="S41" s="198"/>
      <c r="T41" s="198"/>
      <c r="U41" s="198"/>
    </row>
    <row r="42" spans="1:21" s="12" customFormat="1" x14ac:dyDescent="0.25">
      <c r="A42" s="215" t="s">
        <v>2683</v>
      </c>
      <c r="B42" s="64">
        <v>8.81</v>
      </c>
      <c r="C42" s="64">
        <v>46.8</v>
      </c>
      <c r="D42" s="64">
        <v>33.54</v>
      </c>
      <c r="E42" s="64">
        <v>2.37</v>
      </c>
      <c r="F42" s="64">
        <v>3.51</v>
      </c>
      <c r="G42" s="64">
        <v>92.32</v>
      </c>
      <c r="H42" s="64">
        <v>51.55</v>
      </c>
      <c r="I42" s="64">
        <v>1.48</v>
      </c>
      <c r="J42" s="64">
        <v>0.44</v>
      </c>
      <c r="K42" s="64">
        <v>111.77</v>
      </c>
      <c r="L42" s="64">
        <v>20.23</v>
      </c>
      <c r="M42" s="64">
        <v>69.94</v>
      </c>
      <c r="N42" s="64">
        <v>329.5</v>
      </c>
      <c r="O42" s="64">
        <v>0</v>
      </c>
      <c r="P42" s="64">
        <v>1.01</v>
      </c>
      <c r="Q42" s="64">
        <v>6.12</v>
      </c>
      <c r="R42" s="198"/>
      <c r="S42" s="198"/>
      <c r="T42" s="198"/>
      <c r="U42" s="198"/>
    </row>
    <row r="43" spans="1:21" s="12" customFormat="1" x14ac:dyDescent="0.25">
      <c r="A43" s="215" t="s">
        <v>2684</v>
      </c>
      <c r="B43" s="64">
        <v>8.52</v>
      </c>
      <c r="C43" s="64">
        <v>46.47</v>
      </c>
      <c r="D43" s="64">
        <v>33.130000000000003</v>
      </c>
      <c r="E43" s="64">
        <v>2.34</v>
      </c>
      <c r="F43" s="64">
        <v>3.45</v>
      </c>
      <c r="G43" s="64">
        <v>92.32</v>
      </c>
      <c r="H43" s="64">
        <v>51.55</v>
      </c>
      <c r="I43" s="64">
        <v>1.45</v>
      </c>
      <c r="J43" s="64">
        <v>0.05</v>
      </c>
      <c r="K43" s="64">
        <v>6.32</v>
      </c>
      <c r="L43" s="64">
        <v>20.85</v>
      </c>
      <c r="M43" s="64">
        <v>71.03</v>
      </c>
      <c r="N43" s="64">
        <v>371.8</v>
      </c>
      <c r="O43" s="64">
        <v>0</v>
      </c>
      <c r="P43" s="64">
        <v>1.01</v>
      </c>
      <c r="Q43" s="64">
        <v>6.14</v>
      </c>
      <c r="R43" s="198"/>
      <c r="S43" s="198"/>
      <c r="T43" s="198"/>
      <c r="U43" s="198"/>
    </row>
    <row r="44" spans="1:21" s="12" customFormat="1" x14ac:dyDescent="0.25">
      <c r="A44" s="215" t="s">
        <v>2685</v>
      </c>
      <c r="B44" s="64">
        <v>8.2799999999999994</v>
      </c>
      <c r="C44" s="64">
        <v>46.74</v>
      </c>
      <c r="D44" s="64">
        <v>33.090000000000003</v>
      </c>
      <c r="E44" s="64">
        <v>2.37</v>
      </c>
      <c r="F44" s="64">
        <v>3.57</v>
      </c>
      <c r="G44" s="64">
        <v>92.32</v>
      </c>
      <c r="H44" s="64">
        <v>51.55</v>
      </c>
      <c r="I44" s="64">
        <v>1.49</v>
      </c>
      <c r="J44" s="64">
        <v>0.4</v>
      </c>
      <c r="K44" s="64">
        <v>332.31</v>
      </c>
      <c r="L44" s="64">
        <v>21.77</v>
      </c>
      <c r="M44" s="64">
        <v>70.73</v>
      </c>
      <c r="N44" s="64">
        <v>416.1</v>
      </c>
      <c r="O44" s="64">
        <v>0</v>
      </c>
      <c r="P44" s="64">
        <v>1.01</v>
      </c>
      <c r="Q44" s="64">
        <v>6.15</v>
      </c>
      <c r="R44" s="198"/>
      <c r="S44" s="198"/>
      <c r="T44" s="198"/>
      <c r="U44" s="198"/>
    </row>
    <row r="45" spans="1:21" s="12" customFormat="1" x14ac:dyDescent="0.25">
      <c r="A45" s="215" t="s">
        <v>2686</v>
      </c>
      <c r="B45" s="64">
        <v>8.4499999999999993</v>
      </c>
      <c r="C45" s="64">
        <v>47.71</v>
      </c>
      <c r="D45" s="64">
        <v>33.75</v>
      </c>
      <c r="E45" s="64">
        <v>2.35</v>
      </c>
      <c r="F45" s="64">
        <v>3.6</v>
      </c>
      <c r="G45" s="64">
        <v>89.69</v>
      </c>
      <c r="H45" s="64">
        <v>49.39</v>
      </c>
      <c r="I45" s="64">
        <v>1.52</v>
      </c>
      <c r="J45" s="64">
        <v>0.32</v>
      </c>
      <c r="K45" s="64">
        <v>101.82</v>
      </c>
      <c r="L45" s="64">
        <v>21.95</v>
      </c>
      <c r="M45" s="64">
        <v>66.88</v>
      </c>
      <c r="N45" s="64">
        <v>443.7</v>
      </c>
      <c r="O45" s="64">
        <v>0</v>
      </c>
      <c r="P45" s="64">
        <v>1.01</v>
      </c>
      <c r="Q45" s="64">
        <v>6.13</v>
      </c>
      <c r="R45" s="198"/>
      <c r="S45" s="198"/>
      <c r="T45" s="198"/>
      <c r="U45" s="198"/>
    </row>
    <row r="46" spans="1:21" s="12" customFormat="1" x14ac:dyDescent="0.25">
      <c r="A46" s="215" t="s">
        <v>2687</v>
      </c>
      <c r="B46" s="64">
        <v>8.35</v>
      </c>
      <c r="C46" s="64">
        <v>47.78</v>
      </c>
      <c r="D46" s="64">
        <v>33.71</v>
      </c>
      <c r="E46" s="64">
        <v>2.39</v>
      </c>
      <c r="F46" s="64">
        <v>4.38</v>
      </c>
      <c r="G46" s="64">
        <v>87.94</v>
      </c>
      <c r="H46" s="64">
        <v>48.37</v>
      </c>
      <c r="I46" s="64">
        <v>1.59</v>
      </c>
      <c r="J46" s="64">
        <v>0.55000000000000004</v>
      </c>
      <c r="K46" s="64">
        <v>112.76</v>
      </c>
      <c r="L46" s="64">
        <v>22.3</v>
      </c>
      <c r="M46" s="64">
        <v>63.98</v>
      </c>
      <c r="N46" s="64">
        <v>501.6</v>
      </c>
      <c r="O46" s="64">
        <v>0</v>
      </c>
      <c r="P46" s="64">
        <v>1</v>
      </c>
      <c r="Q46" s="64">
        <v>6.18</v>
      </c>
      <c r="R46" s="198"/>
      <c r="S46" s="198"/>
      <c r="T46" s="198"/>
      <c r="U46" s="198"/>
    </row>
    <row r="47" spans="1:21" s="12" customFormat="1" x14ac:dyDescent="0.25">
      <c r="A47" s="215" t="s">
        <v>2688</v>
      </c>
      <c r="B47" s="64">
        <v>8.0500000000000007</v>
      </c>
      <c r="C47" s="64">
        <v>47.28</v>
      </c>
      <c r="D47" s="64">
        <v>33.200000000000003</v>
      </c>
      <c r="E47" s="64">
        <v>2.37</v>
      </c>
      <c r="F47" s="64">
        <v>4.58</v>
      </c>
      <c r="G47" s="64">
        <v>87.94</v>
      </c>
      <c r="H47" s="64">
        <v>48.37</v>
      </c>
      <c r="I47" s="64">
        <v>1.47</v>
      </c>
      <c r="J47" s="64">
        <v>0.64</v>
      </c>
      <c r="K47" s="64">
        <v>114.48</v>
      </c>
      <c r="L47" s="64">
        <v>23.15</v>
      </c>
      <c r="M47" s="64">
        <v>60.95</v>
      </c>
      <c r="N47" s="64">
        <v>528.4</v>
      </c>
      <c r="O47" s="64">
        <v>0</v>
      </c>
      <c r="P47" s="64">
        <v>1.01</v>
      </c>
      <c r="Q47" s="64">
        <v>6.21</v>
      </c>
      <c r="R47" s="198"/>
      <c r="S47" s="198"/>
      <c r="T47" s="198"/>
      <c r="U47" s="198"/>
    </row>
    <row r="48" spans="1:21" s="12" customFormat="1" x14ac:dyDescent="0.25">
      <c r="A48" s="215" t="s">
        <v>2689</v>
      </c>
      <c r="B48" s="64">
        <v>7.31</v>
      </c>
      <c r="C48" s="64">
        <v>46.59</v>
      </c>
      <c r="D48" s="64">
        <v>32.22</v>
      </c>
      <c r="E48" s="64">
        <v>2.35</v>
      </c>
      <c r="F48" s="64">
        <v>4.72</v>
      </c>
      <c r="G48" s="64">
        <v>87.94</v>
      </c>
      <c r="H48" s="64">
        <v>48.37</v>
      </c>
      <c r="I48" s="64">
        <v>1.52</v>
      </c>
      <c r="J48" s="64">
        <v>0.24</v>
      </c>
      <c r="K48" s="64">
        <v>64.290000000000006</v>
      </c>
      <c r="L48" s="64">
        <v>23.41</v>
      </c>
      <c r="M48" s="64">
        <v>60.75</v>
      </c>
      <c r="N48" s="64">
        <v>549.70000000000005</v>
      </c>
      <c r="O48" s="64">
        <v>0</v>
      </c>
      <c r="P48" s="64">
        <v>1</v>
      </c>
      <c r="Q48" s="64">
        <v>6.2</v>
      </c>
      <c r="R48" s="198"/>
      <c r="S48" s="198"/>
      <c r="T48" s="198"/>
      <c r="U48" s="198"/>
    </row>
    <row r="49" spans="1:21" s="12" customFormat="1" x14ac:dyDescent="0.25">
      <c r="A49" s="215" t="s">
        <v>2690</v>
      </c>
      <c r="B49" s="64">
        <v>6.41</v>
      </c>
      <c r="C49" s="64">
        <v>48.21</v>
      </c>
      <c r="D49" s="64">
        <v>32.4</v>
      </c>
      <c r="E49" s="64">
        <v>2.4</v>
      </c>
      <c r="F49" s="64">
        <v>5.08</v>
      </c>
      <c r="G49" s="64">
        <v>87.32</v>
      </c>
      <c r="H49" s="64">
        <v>47.04</v>
      </c>
      <c r="I49" s="64">
        <v>1.48</v>
      </c>
      <c r="J49" s="64">
        <v>0.74</v>
      </c>
      <c r="K49" s="64">
        <v>117.71</v>
      </c>
      <c r="L49" s="64">
        <v>23.71</v>
      </c>
      <c r="M49" s="64">
        <v>59.75</v>
      </c>
      <c r="N49" s="64">
        <v>570.5</v>
      </c>
      <c r="O49" s="64">
        <v>0</v>
      </c>
      <c r="P49" s="64">
        <v>1</v>
      </c>
      <c r="Q49" s="64">
        <v>6.1</v>
      </c>
      <c r="R49" s="198"/>
      <c r="S49" s="198"/>
      <c r="T49" s="198"/>
      <c r="U49" s="198"/>
    </row>
    <row r="50" spans="1:21" s="12" customFormat="1" x14ac:dyDescent="0.25">
      <c r="A50" s="215" t="s">
        <v>2691</v>
      </c>
      <c r="B50" s="64">
        <v>5.49</v>
      </c>
      <c r="C50" s="64">
        <v>48.12</v>
      </c>
      <c r="D50" s="64">
        <v>31.61</v>
      </c>
      <c r="E50" s="64">
        <v>2.36</v>
      </c>
      <c r="F50" s="64">
        <v>5</v>
      </c>
      <c r="G50" s="64">
        <v>86.89</v>
      </c>
      <c r="H50" s="64">
        <v>46.71</v>
      </c>
      <c r="I50" s="64">
        <v>1.46</v>
      </c>
      <c r="J50" s="64">
        <v>0.79</v>
      </c>
      <c r="K50" s="64">
        <v>109.68</v>
      </c>
      <c r="L50" s="64">
        <v>23.66</v>
      </c>
      <c r="M50" s="64">
        <v>59.75</v>
      </c>
      <c r="N50" s="64">
        <v>588.1</v>
      </c>
      <c r="O50" s="64">
        <v>0</v>
      </c>
      <c r="P50" s="64">
        <v>0.99</v>
      </c>
      <c r="Q50" s="64">
        <v>6.04</v>
      </c>
      <c r="R50" s="198"/>
      <c r="S50" s="198"/>
      <c r="T50" s="198"/>
      <c r="U50" s="198"/>
    </row>
    <row r="51" spans="1:21" s="12" customFormat="1" x14ac:dyDescent="0.25">
      <c r="A51" s="215" t="s">
        <v>2692</v>
      </c>
      <c r="B51" s="64">
        <v>4.8099999999999996</v>
      </c>
      <c r="C51" s="64">
        <v>48.23</v>
      </c>
      <c r="D51" s="64">
        <v>31.12</v>
      </c>
      <c r="E51" s="64">
        <v>2.33</v>
      </c>
      <c r="F51" s="64">
        <v>4.4800000000000004</v>
      </c>
      <c r="G51" s="64">
        <v>86.89</v>
      </c>
      <c r="H51" s="64">
        <v>46.71</v>
      </c>
      <c r="I51" s="64">
        <v>1.52</v>
      </c>
      <c r="J51" s="64">
        <v>0.38</v>
      </c>
      <c r="K51" s="64">
        <v>101.11</v>
      </c>
      <c r="L51" s="64">
        <v>24.9</v>
      </c>
      <c r="M51" s="64">
        <v>55.26</v>
      </c>
      <c r="N51" s="64">
        <v>595.70000000000005</v>
      </c>
      <c r="O51" s="64">
        <v>0</v>
      </c>
      <c r="P51" s="64">
        <v>1</v>
      </c>
      <c r="Q51" s="64">
        <v>5.98</v>
      </c>
      <c r="R51" s="198"/>
      <c r="S51" s="198"/>
      <c r="T51" s="198"/>
      <c r="U51" s="198"/>
    </row>
    <row r="52" spans="1:21" s="12" customFormat="1" x14ac:dyDescent="0.25">
      <c r="A52" s="215" t="s">
        <v>2693</v>
      </c>
      <c r="B52" s="64">
        <v>4.21</v>
      </c>
      <c r="C52" s="64">
        <v>48.4</v>
      </c>
      <c r="D52" s="64">
        <v>30.73</v>
      </c>
      <c r="E52" s="64">
        <v>2.33</v>
      </c>
      <c r="F52" s="64">
        <v>4.45</v>
      </c>
      <c r="G52" s="64">
        <v>86.89</v>
      </c>
      <c r="H52" s="64">
        <v>46.71</v>
      </c>
      <c r="I52" s="64">
        <v>1.54</v>
      </c>
      <c r="J52" s="64">
        <v>0.86</v>
      </c>
      <c r="K52" s="64">
        <v>121.74</v>
      </c>
      <c r="L52" s="64">
        <v>24.76</v>
      </c>
      <c r="M52" s="64">
        <v>54.11</v>
      </c>
      <c r="N52" s="64">
        <v>602.4</v>
      </c>
      <c r="O52" s="64">
        <v>0</v>
      </c>
      <c r="P52" s="64">
        <v>0.99</v>
      </c>
      <c r="Q52" s="64">
        <v>5.93</v>
      </c>
      <c r="R52" s="198"/>
      <c r="S52" s="198"/>
      <c r="T52" s="198"/>
      <c r="U52" s="198"/>
    </row>
    <row r="53" spans="1:21" s="12" customFormat="1" x14ac:dyDescent="0.25">
      <c r="A53" s="215" t="s">
        <v>2694</v>
      </c>
      <c r="B53" s="64">
        <v>3.78</v>
      </c>
      <c r="C53" s="64">
        <v>48.17</v>
      </c>
      <c r="D53" s="64">
        <v>30.27</v>
      </c>
      <c r="E53" s="64">
        <v>2.42</v>
      </c>
      <c r="F53" s="64">
        <v>5.78</v>
      </c>
      <c r="G53" s="64">
        <v>83.94</v>
      </c>
      <c r="H53" s="64">
        <v>48.16</v>
      </c>
      <c r="I53" s="64">
        <v>1.49</v>
      </c>
      <c r="J53" s="64">
        <v>0.66</v>
      </c>
      <c r="K53" s="64">
        <v>106.33</v>
      </c>
      <c r="L53" s="64">
        <v>24.85</v>
      </c>
      <c r="M53" s="64">
        <v>52.32</v>
      </c>
      <c r="N53" s="64">
        <v>642.4</v>
      </c>
      <c r="O53" s="64">
        <v>0</v>
      </c>
      <c r="P53" s="64">
        <v>0.98</v>
      </c>
      <c r="Q53" s="64">
        <v>5.9</v>
      </c>
      <c r="R53" s="198"/>
      <c r="S53" s="198"/>
      <c r="T53" s="198"/>
      <c r="U53" s="198"/>
    </row>
    <row r="54" spans="1:21" s="12" customFormat="1" x14ac:dyDescent="0.25">
      <c r="A54" s="215" t="s">
        <v>2695</v>
      </c>
      <c r="B54" s="64">
        <v>3.33</v>
      </c>
      <c r="C54" s="64">
        <v>47.98</v>
      </c>
      <c r="D54" s="64">
        <v>29.8</v>
      </c>
      <c r="E54" s="64">
        <v>2.36</v>
      </c>
      <c r="F54" s="64">
        <v>5.03</v>
      </c>
      <c r="G54" s="64">
        <v>81.97</v>
      </c>
      <c r="H54" s="64">
        <v>48.52</v>
      </c>
      <c r="I54" s="64">
        <v>1.52</v>
      </c>
      <c r="J54" s="64">
        <v>0.61</v>
      </c>
      <c r="K54" s="64">
        <v>92.34</v>
      </c>
      <c r="L54" s="64">
        <v>25.3</v>
      </c>
      <c r="M54" s="64">
        <v>48.72</v>
      </c>
      <c r="N54" s="64">
        <v>640.79999999999995</v>
      </c>
      <c r="O54" s="64">
        <v>0</v>
      </c>
      <c r="P54" s="64">
        <v>0.96</v>
      </c>
      <c r="Q54" s="64">
        <v>5.8</v>
      </c>
      <c r="R54" s="198"/>
      <c r="S54" s="198"/>
      <c r="T54" s="198"/>
      <c r="U54" s="198"/>
    </row>
    <row r="55" spans="1:21" s="12" customFormat="1" x14ac:dyDescent="0.25">
      <c r="A55" s="215" t="s">
        <v>2696</v>
      </c>
      <c r="B55" s="64">
        <v>3.26</v>
      </c>
      <c r="C55" s="64">
        <v>47.49</v>
      </c>
      <c r="D55" s="64">
        <v>29.47</v>
      </c>
      <c r="E55" s="64">
        <v>2.36</v>
      </c>
      <c r="F55" s="64">
        <v>5.57</v>
      </c>
      <c r="G55" s="64">
        <v>81.97</v>
      </c>
      <c r="H55" s="64">
        <v>48.52</v>
      </c>
      <c r="I55" s="64">
        <v>1.5</v>
      </c>
      <c r="J55" s="64">
        <v>0.56999999999999995</v>
      </c>
      <c r="K55" s="64">
        <v>123.79</v>
      </c>
      <c r="L55" s="64">
        <v>25.44</v>
      </c>
      <c r="M55" s="64">
        <v>47.79</v>
      </c>
      <c r="N55" s="64">
        <v>611.70000000000005</v>
      </c>
      <c r="O55" s="64">
        <v>0</v>
      </c>
      <c r="P55" s="64">
        <v>0.95</v>
      </c>
      <c r="Q55" s="64">
        <v>5.77</v>
      </c>
      <c r="R55" s="198"/>
      <c r="S55" s="198"/>
      <c r="T55" s="198"/>
      <c r="U55" s="198"/>
    </row>
    <row r="56" spans="1:21" s="12" customFormat="1" x14ac:dyDescent="0.25">
      <c r="A56" s="215" t="s">
        <v>2697</v>
      </c>
      <c r="B56" s="64">
        <v>3.17</v>
      </c>
      <c r="C56" s="64">
        <v>47.08</v>
      </c>
      <c r="D56" s="64">
        <v>29.17</v>
      </c>
      <c r="E56" s="64">
        <v>2.21</v>
      </c>
      <c r="F56" s="64">
        <v>6.64</v>
      </c>
      <c r="G56" s="64">
        <v>81.97</v>
      </c>
      <c r="H56" s="64">
        <v>48.52</v>
      </c>
      <c r="I56" s="64">
        <v>1.48</v>
      </c>
      <c r="J56" s="64">
        <v>0.27</v>
      </c>
      <c r="K56" s="64">
        <v>132.6</v>
      </c>
      <c r="L56" s="64">
        <v>26.3</v>
      </c>
      <c r="M56" s="64">
        <v>43.03</v>
      </c>
      <c r="N56" s="64">
        <v>675.8</v>
      </c>
      <c r="O56" s="64">
        <v>0</v>
      </c>
      <c r="P56" s="64">
        <v>0.95</v>
      </c>
      <c r="Q56" s="64">
        <v>5.72</v>
      </c>
      <c r="R56" s="198"/>
      <c r="S56" s="198"/>
      <c r="T56" s="198"/>
      <c r="U56" s="198"/>
    </row>
    <row r="57" spans="1:21" s="12" customFormat="1" x14ac:dyDescent="0.25">
      <c r="A57" s="215" t="s">
        <v>2698</v>
      </c>
      <c r="B57" s="64">
        <v>2.93</v>
      </c>
      <c r="C57" s="64">
        <v>47.23</v>
      </c>
      <c r="D57" s="64">
        <v>29.06</v>
      </c>
      <c r="E57" s="64">
        <v>2.25</v>
      </c>
      <c r="F57" s="64">
        <v>7.03</v>
      </c>
      <c r="G57" s="64">
        <v>80.83</v>
      </c>
      <c r="H57" s="64">
        <v>45.25</v>
      </c>
      <c r="I57" s="64">
        <v>1.51</v>
      </c>
      <c r="J57" s="64">
        <v>0.74</v>
      </c>
      <c r="K57" s="64">
        <v>106.63</v>
      </c>
      <c r="L57" s="64">
        <v>26.44</v>
      </c>
      <c r="M57" s="64">
        <v>40.9</v>
      </c>
      <c r="N57" s="64">
        <v>641.4</v>
      </c>
      <c r="O57" s="64">
        <v>0</v>
      </c>
      <c r="P57" s="64">
        <v>0.93</v>
      </c>
      <c r="Q57" s="64">
        <v>5.71</v>
      </c>
      <c r="R57" s="198"/>
      <c r="S57" s="198"/>
      <c r="T57" s="198"/>
      <c r="U57" s="198"/>
    </row>
    <row r="58" spans="1:21" s="12" customFormat="1" x14ac:dyDescent="0.25">
      <c r="A58" s="215" t="s">
        <v>2699</v>
      </c>
      <c r="B58" s="64">
        <v>2.68</v>
      </c>
      <c r="C58" s="64">
        <v>44.99</v>
      </c>
      <c r="D58" s="64">
        <v>27.62</v>
      </c>
      <c r="E58" s="64">
        <v>2.2799999999999998</v>
      </c>
      <c r="F58" s="64">
        <v>7.21</v>
      </c>
      <c r="G58" s="64">
        <v>80.069999999999993</v>
      </c>
      <c r="H58" s="64">
        <v>44.39</v>
      </c>
      <c r="I58" s="64">
        <v>1.57</v>
      </c>
      <c r="J58" s="64">
        <v>0.6</v>
      </c>
      <c r="K58" s="64">
        <v>135.83000000000001</v>
      </c>
      <c r="L58" s="64">
        <v>26.21</v>
      </c>
      <c r="M58" s="64">
        <v>37.72</v>
      </c>
      <c r="N58" s="64">
        <v>674.2</v>
      </c>
      <c r="O58" s="64">
        <v>0</v>
      </c>
      <c r="P58" s="64">
        <v>0.91</v>
      </c>
      <c r="Q58" s="64">
        <v>5.71</v>
      </c>
      <c r="R58" s="198"/>
      <c r="S58" s="198"/>
      <c r="T58" s="198"/>
      <c r="U58" s="198"/>
    </row>
    <row r="59" spans="1:21" s="12" customFormat="1" x14ac:dyDescent="0.25">
      <c r="A59" s="215" t="s">
        <v>2700</v>
      </c>
      <c r="B59" s="64">
        <v>2.66</v>
      </c>
      <c r="C59" s="64">
        <v>44.42</v>
      </c>
      <c r="D59" s="64">
        <v>27.3</v>
      </c>
      <c r="E59" s="64">
        <v>2.2999999999999998</v>
      </c>
      <c r="F59" s="64">
        <v>6.55</v>
      </c>
      <c r="G59" s="64">
        <v>80.069999999999993</v>
      </c>
      <c r="H59" s="64">
        <v>44.39</v>
      </c>
      <c r="I59" s="64">
        <v>1.39</v>
      </c>
      <c r="J59" s="64">
        <v>0.28000000000000003</v>
      </c>
      <c r="K59" s="64">
        <v>67.58</v>
      </c>
      <c r="L59" s="64">
        <v>26.8</v>
      </c>
      <c r="M59" s="64">
        <v>36.57</v>
      </c>
      <c r="N59" s="64">
        <v>589.79999999999995</v>
      </c>
      <c r="O59" s="64">
        <v>0</v>
      </c>
      <c r="P59" s="64">
        <v>0.9</v>
      </c>
      <c r="Q59" s="64">
        <v>5.64</v>
      </c>
      <c r="R59" s="198"/>
      <c r="S59" s="198"/>
      <c r="T59" s="198"/>
      <c r="U59" s="198"/>
    </row>
    <row r="60" spans="1:21" s="12" customFormat="1" x14ac:dyDescent="0.25">
      <c r="A60" s="215" t="s">
        <v>2701</v>
      </c>
      <c r="B60" s="64">
        <v>2.86</v>
      </c>
      <c r="C60" s="64">
        <v>44.37</v>
      </c>
      <c r="D60" s="64">
        <v>27.43</v>
      </c>
      <c r="E60" s="64">
        <v>2.34</v>
      </c>
      <c r="F60" s="64">
        <v>8.23</v>
      </c>
      <c r="G60" s="64">
        <v>80.069999999999993</v>
      </c>
      <c r="H60" s="64">
        <v>44.39</v>
      </c>
      <c r="I60" s="64">
        <v>1.51</v>
      </c>
      <c r="J60" s="64">
        <v>0.64</v>
      </c>
      <c r="K60" s="64">
        <v>343.3</v>
      </c>
      <c r="L60" s="64">
        <v>28.1</v>
      </c>
      <c r="M60" s="64">
        <v>31.99</v>
      </c>
      <c r="N60" s="64">
        <v>592.29999999999995</v>
      </c>
      <c r="O60" s="64">
        <v>0</v>
      </c>
      <c r="P60" s="64">
        <v>0.89</v>
      </c>
      <c r="Q60" s="64">
        <v>5.63</v>
      </c>
      <c r="R60" s="198"/>
      <c r="S60" s="198"/>
      <c r="T60" s="198"/>
      <c r="U60" s="198"/>
    </row>
    <row r="61" spans="1:21" s="12" customFormat="1" x14ac:dyDescent="0.25">
      <c r="A61" s="215" t="s">
        <v>2702</v>
      </c>
      <c r="B61" s="64">
        <v>2.95</v>
      </c>
      <c r="C61" s="64">
        <v>44.76</v>
      </c>
      <c r="D61" s="64">
        <v>27.71</v>
      </c>
      <c r="E61" s="64">
        <v>2.3199999999999998</v>
      </c>
      <c r="F61" s="64">
        <v>7.87</v>
      </c>
      <c r="G61" s="64">
        <v>71.44</v>
      </c>
      <c r="H61" s="64">
        <v>44.22</v>
      </c>
      <c r="I61" s="64">
        <v>1.45</v>
      </c>
      <c r="J61" s="64">
        <v>0.59</v>
      </c>
      <c r="K61" s="64">
        <v>339.71</v>
      </c>
      <c r="L61" s="64">
        <v>28.42</v>
      </c>
      <c r="M61" s="64">
        <v>31.52</v>
      </c>
      <c r="N61" s="64">
        <v>579.1</v>
      </c>
      <c r="O61" s="64">
        <v>0</v>
      </c>
      <c r="P61" s="64">
        <v>0.87</v>
      </c>
      <c r="Q61" s="64">
        <v>5.6</v>
      </c>
      <c r="R61" s="198"/>
      <c r="S61" s="198"/>
      <c r="T61" s="198"/>
      <c r="U61" s="198"/>
    </row>
    <row r="62" spans="1:21" s="12" customFormat="1" x14ac:dyDescent="0.25">
      <c r="A62" s="215" t="s">
        <v>2703</v>
      </c>
      <c r="B62" s="64">
        <v>2.8</v>
      </c>
      <c r="C62" s="64">
        <v>43.77</v>
      </c>
      <c r="D62" s="64">
        <v>27.05</v>
      </c>
      <c r="E62" s="64">
        <v>2.35</v>
      </c>
      <c r="F62" s="64">
        <v>12.48</v>
      </c>
      <c r="G62" s="64">
        <v>65.7</v>
      </c>
      <c r="H62" s="64">
        <v>44.14</v>
      </c>
      <c r="I62" s="64">
        <v>1.56</v>
      </c>
      <c r="J62" s="64">
        <v>0.28999999999999998</v>
      </c>
      <c r="K62" s="64">
        <v>98.65</v>
      </c>
      <c r="L62" s="64">
        <v>26.72</v>
      </c>
      <c r="M62" s="64">
        <v>34.14</v>
      </c>
      <c r="N62" s="64">
        <v>476.5</v>
      </c>
      <c r="O62" s="64">
        <v>0</v>
      </c>
      <c r="P62" s="64">
        <v>0.87</v>
      </c>
      <c r="Q62" s="64">
        <v>5.62</v>
      </c>
      <c r="R62" s="198"/>
      <c r="S62" s="198"/>
      <c r="T62" s="198"/>
      <c r="U62" s="198"/>
    </row>
    <row r="63" spans="1:21" s="12" customFormat="1" x14ac:dyDescent="0.25">
      <c r="A63" s="215" t="s">
        <v>2704</v>
      </c>
      <c r="B63" s="64">
        <v>3.79</v>
      </c>
      <c r="C63" s="64">
        <v>44.28</v>
      </c>
      <c r="D63" s="64">
        <v>28.12</v>
      </c>
      <c r="E63" s="64">
        <v>2.42</v>
      </c>
      <c r="F63" s="64">
        <v>8.7899999999999991</v>
      </c>
      <c r="G63" s="64">
        <v>65.7</v>
      </c>
      <c r="H63" s="64">
        <v>44.14</v>
      </c>
      <c r="I63" s="64">
        <v>1.51</v>
      </c>
      <c r="J63" s="64">
        <v>0.66</v>
      </c>
      <c r="K63" s="64">
        <v>103.47</v>
      </c>
      <c r="L63" s="64">
        <v>26.11</v>
      </c>
      <c r="M63" s="64">
        <v>35.1</v>
      </c>
      <c r="N63" s="64">
        <v>363.2</v>
      </c>
      <c r="O63" s="64">
        <v>0</v>
      </c>
      <c r="P63" s="64">
        <v>0.87</v>
      </c>
      <c r="Q63" s="64">
        <v>5.68</v>
      </c>
      <c r="R63" s="198"/>
      <c r="S63" s="198"/>
      <c r="T63" s="198"/>
      <c r="U63" s="198"/>
    </row>
    <row r="64" spans="1:21" s="12" customFormat="1" x14ac:dyDescent="0.25">
      <c r="A64" s="215" t="s">
        <v>2705</v>
      </c>
      <c r="B64" s="64">
        <v>3.78</v>
      </c>
      <c r="C64" s="64">
        <v>45.63</v>
      </c>
      <c r="D64" s="64">
        <v>28.86</v>
      </c>
      <c r="E64" s="64">
        <v>2.44</v>
      </c>
      <c r="F64" s="64">
        <v>10.39</v>
      </c>
      <c r="G64" s="64">
        <v>65.7</v>
      </c>
      <c r="H64" s="64">
        <v>44.14</v>
      </c>
      <c r="I64" s="64">
        <v>1.45</v>
      </c>
      <c r="J64" s="64">
        <v>0.5</v>
      </c>
      <c r="K64" s="64">
        <v>359.15</v>
      </c>
      <c r="L64" s="64">
        <v>27.13</v>
      </c>
      <c r="M64" s="64">
        <v>32.76</v>
      </c>
      <c r="N64" s="64">
        <v>296.39999999999998</v>
      </c>
      <c r="O64" s="64">
        <v>0</v>
      </c>
      <c r="P64" s="64">
        <v>0.87</v>
      </c>
      <c r="Q64" s="64">
        <v>5.51</v>
      </c>
      <c r="R64" s="198"/>
      <c r="S64" s="198"/>
      <c r="T64" s="198"/>
      <c r="U64" s="198"/>
    </row>
    <row r="65" spans="1:21" s="12" customFormat="1" x14ac:dyDescent="0.25">
      <c r="A65" s="215" t="s">
        <v>2706</v>
      </c>
      <c r="B65" s="64">
        <v>3.36</v>
      </c>
      <c r="C65" s="64">
        <v>42.33</v>
      </c>
      <c r="D65" s="64">
        <v>26.71</v>
      </c>
      <c r="E65" s="64">
        <v>2.57</v>
      </c>
      <c r="F65" s="64">
        <v>7.76</v>
      </c>
      <c r="G65" s="64">
        <v>61.96</v>
      </c>
      <c r="H65" s="64">
        <v>38.57</v>
      </c>
      <c r="I65" s="64">
        <v>1.55</v>
      </c>
      <c r="J65" s="64">
        <v>0.05</v>
      </c>
      <c r="K65" s="64">
        <v>8.1</v>
      </c>
      <c r="L65" s="64">
        <v>26.18</v>
      </c>
      <c r="M65" s="64">
        <v>32.799999999999997</v>
      </c>
      <c r="N65" s="64">
        <v>211.3</v>
      </c>
      <c r="O65" s="64">
        <v>0</v>
      </c>
      <c r="P65" s="64">
        <v>0.85</v>
      </c>
      <c r="Q65" s="64">
        <v>5.58</v>
      </c>
      <c r="R65" s="198"/>
      <c r="S65" s="198"/>
      <c r="T65" s="198"/>
      <c r="U65" s="198"/>
    </row>
    <row r="66" spans="1:21" s="12" customFormat="1" x14ac:dyDescent="0.25">
      <c r="A66" s="215" t="s">
        <v>2707</v>
      </c>
      <c r="B66" s="64">
        <v>3.22</v>
      </c>
      <c r="C66" s="64">
        <v>41.99</v>
      </c>
      <c r="D66" s="64">
        <v>26.4</v>
      </c>
      <c r="E66" s="64">
        <v>2.59</v>
      </c>
      <c r="F66" s="64">
        <v>17.05</v>
      </c>
      <c r="G66" s="64">
        <v>59.46</v>
      </c>
      <c r="H66" s="64">
        <v>37.21</v>
      </c>
      <c r="I66" s="64">
        <v>1.52</v>
      </c>
      <c r="J66" s="64">
        <v>0.23</v>
      </c>
      <c r="K66" s="64">
        <v>113.85</v>
      </c>
      <c r="L66" s="64">
        <v>25.27</v>
      </c>
      <c r="M66" s="64">
        <v>36.89</v>
      </c>
      <c r="N66" s="64">
        <v>198.1</v>
      </c>
      <c r="O66" s="64">
        <v>0</v>
      </c>
      <c r="P66" s="64">
        <v>0.81</v>
      </c>
      <c r="Q66" s="64">
        <v>5.66</v>
      </c>
      <c r="R66" s="198"/>
      <c r="S66" s="198"/>
      <c r="T66" s="198"/>
      <c r="U66" s="198"/>
    </row>
    <row r="67" spans="1:21" s="12" customFormat="1" x14ac:dyDescent="0.25">
      <c r="A67" s="215" t="s">
        <v>2708</v>
      </c>
      <c r="B67" s="64">
        <v>3.03</v>
      </c>
      <c r="C67" s="64">
        <v>39.200000000000003</v>
      </c>
      <c r="D67" s="64">
        <v>24.71</v>
      </c>
      <c r="E67" s="64">
        <v>2.64</v>
      </c>
      <c r="F67" s="64">
        <v>13.07</v>
      </c>
      <c r="G67" s="64">
        <v>59.46</v>
      </c>
      <c r="H67" s="64">
        <v>37.21</v>
      </c>
      <c r="I67" s="64">
        <v>1.51</v>
      </c>
      <c r="J67" s="64">
        <v>0.47</v>
      </c>
      <c r="K67" s="64">
        <v>115.18</v>
      </c>
      <c r="L67" s="64">
        <v>24.72</v>
      </c>
      <c r="M67" s="64">
        <v>38.04</v>
      </c>
      <c r="N67" s="64">
        <v>197.7</v>
      </c>
      <c r="O67" s="64">
        <v>0</v>
      </c>
      <c r="P67" s="64">
        <v>0.79</v>
      </c>
      <c r="Q67" s="64">
        <v>5.71</v>
      </c>
      <c r="R67" s="198"/>
      <c r="S67" s="198"/>
      <c r="T67" s="198"/>
      <c r="U67" s="198"/>
    </row>
    <row r="68" spans="1:21" s="12" customFormat="1" x14ac:dyDescent="0.25">
      <c r="A68" s="215" t="s">
        <v>2709</v>
      </c>
      <c r="B68" s="64">
        <v>3.6</v>
      </c>
      <c r="C68" s="64">
        <v>41.66</v>
      </c>
      <c r="D68" s="64">
        <v>26.53</v>
      </c>
      <c r="E68" s="64">
        <v>2.74</v>
      </c>
      <c r="F68" s="64">
        <v>15.2</v>
      </c>
      <c r="G68" s="64">
        <v>59.46</v>
      </c>
      <c r="H68" s="64">
        <v>37.21</v>
      </c>
      <c r="I68" s="64">
        <v>1.52</v>
      </c>
      <c r="J68" s="64">
        <v>0.11</v>
      </c>
      <c r="K68" s="64">
        <v>291.89999999999998</v>
      </c>
      <c r="L68" s="64">
        <v>24.65</v>
      </c>
      <c r="M68" s="64">
        <v>39.67</v>
      </c>
      <c r="N68" s="64">
        <v>175.1</v>
      </c>
      <c r="O68" s="64">
        <v>0</v>
      </c>
      <c r="P68" s="64">
        <v>0.78</v>
      </c>
      <c r="Q68" s="64">
        <v>5.69</v>
      </c>
      <c r="R68" s="198"/>
      <c r="S68" s="198"/>
      <c r="T68" s="198"/>
      <c r="U68" s="198"/>
    </row>
    <row r="69" spans="1:21" s="12" customFormat="1" x14ac:dyDescent="0.25">
      <c r="A69" s="215" t="s">
        <v>2710</v>
      </c>
      <c r="B69" s="64">
        <v>5.24</v>
      </c>
      <c r="C69" s="64">
        <v>47.33</v>
      </c>
      <c r="D69" s="64">
        <v>30.96</v>
      </c>
      <c r="E69" s="64">
        <v>2.82</v>
      </c>
      <c r="F69" s="64">
        <v>10.91</v>
      </c>
      <c r="G69" s="64">
        <v>59.24</v>
      </c>
      <c r="H69" s="64">
        <v>34.47</v>
      </c>
      <c r="I69" s="64">
        <v>1.42</v>
      </c>
      <c r="J69" s="64">
        <v>0.44</v>
      </c>
      <c r="K69" s="64">
        <v>327.79</v>
      </c>
      <c r="L69" s="64">
        <v>24.89</v>
      </c>
      <c r="M69" s="64">
        <v>45.09</v>
      </c>
      <c r="N69" s="64">
        <v>153.19999999999999</v>
      </c>
      <c r="O69" s="64">
        <v>0</v>
      </c>
      <c r="P69" s="64">
        <v>0.85</v>
      </c>
      <c r="Q69" s="64">
        <v>5.43</v>
      </c>
      <c r="R69" s="198"/>
      <c r="S69" s="198"/>
      <c r="T69" s="198"/>
      <c r="U69" s="198"/>
    </row>
    <row r="70" spans="1:21" s="12" customFormat="1" x14ac:dyDescent="0.25">
      <c r="A70" s="215" t="s">
        <v>2711</v>
      </c>
      <c r="B70" s="64">
        <v>4.8</v>
      </c>
      <c r="C70" s="64">
        <v>44.69</v>
      </c>
      <c r="D70" s="64">
        <v>29.16</v>
      </c>
      <c r="E70" s="64">
        <v>2.75</v>
      </c>
      <c r="F70" s="64">
        <v>7.69</v>
      </c>
      <c r="G70" s="64">
        <v>59.09</v>
      </c>
      <c r="H70" s="64">
        <v>33.79</v>
      </c>
      <c r="I70" s="64">
        <v>1.52</v>
      </c>
      <c r="J70" s="64">
        <v>0.57999999999999996</v>
      </c>
      <c r="K70" s="64">
        <v>333.86</v>
      </c>
      <c r="L70" s="64">
        <v>24.47</v>
      </c>
      <c r="M70" s="64">
        <v>44.06</v>
      </c>
      <c r="N70" s="64">
        <v>145.30000000000001</v>
      </c>
      <c r="O70" s="64">
        <v>0</v>
      </c>
      <c r="P70" s="64">
        <v>0.85</v>
      </c>
      <c r="Q70" s="64">
        <v>5.45</v>
      </c>
      <c r="R70" s="198"/>
      <c r="S70" s="198"/>
      <c r="T70" s="198"/>
      <c r="U70" s="198"/>
    </row>
    <row r="71" spans="1:21" s="12" customFormat="1" x14ac:dyDescent="0.25">
      <c r="A71" s="215" t="s">
        <v>2712</v>
      </c>
      <c r="B71" s="64">
        <v>5.08</v>
      </c>
      <c r="C71" s="64">
        <v>48.23</v>
      </c>
      <c r="D71" s="64">
        <v>31.34</v>
      </c>
      <c r="E71" s="64">
        <v>2.79</v>
      </c>
      <c r="F71" s="64">
        <v>14.07</v>
      </c>
      <c r="G71" s="64">
        <v>59.09</v>
      </c>
      <c r="H71" s="64">
        <v>33.79</v>
      </c>
      <c r="I71" s="64">
        <v>1.48</v>
      </c>
      <c r="J71" s="64">
        <v>0.3</v>
      </c>
      <c r="K71" s="64">
        <v>82.15</v>
      </c>
      <c r="L71" s="64">
        <v>24.34</v>
      </c>
      <c r="M71" s="64">
        <v>39.130000000000003</v>
      </c>
      <c r="N71" s="64">
        <v>127.7</v>
      </c>
      <c r="O71" s="64">
        <v>0</v>
      </c>
      <c r="P71" s="64">
        <v>0.84</v>
      </c>
      <c r="Q71" s="64">
        <v>5.56</v>
      </c>
      <c r="R71" s="198"/>
      <c r="S71" s="198"/>
      <c r="T71" s="198"/>
      <c r="U71" s="198"/>
    </row>
    <row r="72" spans="1:21" s="12" customFormat="1" x14ac:dyDescent="0.25">
      <c r="A72" s="215" t="s">
        <v>2713</v>
      </c>
      <c r="B72" s="64">
        <v>4.25</v>
      </c>
      <c r="C72" s="64">
        <v>45.43</v>
      </c>
      <c r="D72" s="64">
        <v>29.13</v>
      </c>
      <c r="E72" s="64">
        <v>2.58</v>
      </c>
      <c r="F72" s="64">
        <v>12.22</v>
      </c>
      <c r="G72" s="64">
        <v>59.09</v>
      </c>
      <c r="H72" s="64">
        <v>33.79</v>
      </c>
      <c r="I72" s="64">
        <v>1.54</v>
      </c>
      <c r="J72" s="64">
        <v>0.61</v>
      </c>
      <c r="K72" s="64">
        <v>103.89</v>
      </c>
      <c r="L72" s="64">
        <v>24.33</v>
      </c>
      <c r="M72" s="64">
        <v>36.090000000000003</v>
      </c>
      <c r="N72" s="64">
        <v>133.1</v>
      </c>
      <c r="O72" s="64">
        <v>0</v>
      </c>
      <c r="P72" s="64">
        <v>0.81</v>
      </c>
      <c r="Q72" s="64">
        <v>5.78</v>
      </c>
      <c r="R72" s="198"/>
      <c r="S72" s="198"/>
      <c r="T72" s="198"/>
      <c r="U72" s="198"/>
    </row>
    <row r="73" spans="1:21" s="12" customFormat="1" x14ac:dyDescent="0.25">
      <c r="A73" s="215" t="s">
        <v>2714</v>
      </c>
      <c r="B73" s="64">
        <v>4.22</v>
      </c>
      <c r="C73" s="64">
        <v>47.25</v>
      </c>
      <c r="D73" s="64">
        <v>30.11</v>
      </c>
      <c r="E73" s="64">
        <v>3.03</v>
      </c>
      <c r="F73" s="64">
        <v>13.55</v>
      </c>
      <c r="G73" s="64">
        <v>59.74</v>
      </c>
      <c r="H73" s="64">
        <v>37.35</v>
      </c>
      <c r="I73" s="64">
        <v>1.55</v>
      </c>
      <c r="J73" s="64">
        <v>0.16</v>
      </c>
      <c r="K73" s="64">
        <v>80.94</v>
      </c>
      <c r="L73" s="64">
        <v>24.28</v>
      </c>
      <c r="M73" s="64">
        <v>36.75</v>
      </c>
      <c r="N73" s="64">
        <v>89.7</v>
      </c>
      <c r="O73" s="64">
        <v>0</v>
      </c>
      <c r="P73" s="64">
        <v>0.86</v>
      </c>
      <c r="Q73" s="64">
        <v>5.72</v>
      </c>
      <c r="R73" s="198"/>
      <c r="S73" s="198"/>
      <c r="T73" s="198"/>
      <c r="U73" s="198"/>
    </row>
    <row r="74" spans="1:21" s="12" customFormat="1" x14ac:dyDescent="0.25">
      <c r="A74" s="215" t="s">
        <v>2715</v>
      </c>
      <c r="B74" s="64">
        <v>4.95</v>
      </c>
      <c r="C74" s="64">
        <v>54.92</v>
      </c>
      <c r="D74" s="64">
        <v>34.93</v>
      </c>
      <c r="E74" s="64">
        <v>3.27</v>
      </c>
      <c r="F74" s="64">
        <v>12.88</v>
      </c>
      <c r="G74" s="64">
        <v>60.18</v>
      </c>
      <c r="H74" s="64">
        <v>38.22</v>
      </c>
      <c r="I74" s="64">
        <v>1.51</v>
      </c>
      <c r="J74" s="64">
        <v>0.11</v>
      </c>
      <c r="K74" s="64">
        <v>316.88</v>
      </c>
      <c r="L74" s="64">
        <v>23.83</v>
      </c>
      <c r="M74" s="64">
        <v>37.450000000000003</v>
      </c>
      <c r="N74" s="64">
        <v>64</v>
      </c>
      <c r="O74" s="64">
        <v>0</v>
      </c>
      <c r="P74" s="64">
        <v>0.91</v>
      </c>
      <c r="Q74" s="64">
        <v>5.51</v>
      </c>
      <c r="R74" s="198"/>
      <c r="S74" s="198"/>
      <c r="T74" s="198"/>
      <c r="U74" s="198"/>
    </row>
    <row r="75" spans="1:21" s="12" customFormat="1" x14ac:dyDescent="0.25">
      <c r="A75" s="215" t="s">
        <v>2716</v>
      </c>
      <c r="B75" s="64">
        <v>5.12</v>
      </c>
      <c r="C75" s="64">
        <v>52.72</v>
      </c>
      <c r="D75" s="64">
        <v>33.85</v>
      </c>
      <c r="E75" s="64">
        <v>3.33</v>
      </c>
      <c r="F75" s="64">
        <v>15.22</v>
      </c>
      <c r="G75" s="64">
        <v>60.18</v>
      </c>
      <c r="H75" s="64">
        <v>38.22</v>
      </c>
      <c r="I75" s="64">
        <v>1.49</v>
      </c>
      <c r="J75" s="64">
        <v>0.06</v>
      </c>
      <c r="K75" s="64">
        <v>17.7</v>
      </c>
      <c r="L75" s="64">
        <v>23.4</v>
      </c>
      <c r="M75" s="64">
        <v>38.159999999999997</v>
      </c>
      <c r="N75" s="64">
        <v>53</v>
      </c>
      <c r="O75" s="64">
        <v>0</v>
      </c>
      <c r="P75" s="64">
        <v>0.89</v>
      </c>
      <c r="Q75" s="64">
        <v>5.54</v>
      </c>
      <c r="R75" s="198"/>
      <c r="S75" s="198"/>
      <c r="T75" s="198"/>
      <c r="U75" s="198"/>
    </row>
    <row r="76" spans="1:21" s="12" customFormat="1" x14ac:dyDescent="0.25">
      <c r="A76" s="215" t="s">
        <v>2717</v>
      </c>
      <c r="B76" s="64">
        <v>5.58</v>
      </c>
      <c r="C76" s="64">
        <v>60.1</v>
      </c>
      <c r="D76" s="64">
        <v>38.29</v>
      </c>
      <c r="E76" s="64">
        <v>3.33</v>
      </c>
      <c r="F76" s="64">
        <v>11.65</v>
      </c>
      <c r="G76" s="64">
        <v>60.18</v>
      </c>
      <c r="H76" s="64">
        <v>38.22</v>
      </c>
      <c r="I76" s="64">
        <v>1.53</v>
      </c>
      <c r="J76" s="64">
        <v>0.11</v>
      </c>
      <c r="K76" s="64">
        <v>82.24</v>
      </c>
      <c r="L76" s="64">
        <v>22.91</v>
      </c>
      <c r="M76" s="64">
        <v>39.53</v>
      </c>
      <c r="N76" s="64">
        <v>40.200000000000003</v>
      </c>
      <c r="O76" s="64">
        <v>0</v>
      </c>
      <c r="P76" s="64">
        <v>0.99</v>
      </c>
      <c r="Q76" s="64">
        <v>5.1100000000000003</v>
      </c>
      <c r="R76" s="198"/>
      <c r="S76" s="198"/>
      <c r="T76" s="198"/>
      <c r="U76" s="198"/>
    </row>
    <row r="77" spans="1:21" s="12" customFormat="1" x14ac:dyDescent="0.25">
      <c r="A77" s="215" t="s">
        <v>2718</v>
      </c>
      <c r="B77" s="64">
        <v>7.49</v>
      </c>
      <c r="C77" s="64">
        <v>70.209999999999994</v>
      </c>
      <c r="D77" s="64">
        <v>45.4</v>
      </c>
      <c r="E77" s="64">
        <v>3.33</v>
      </c>
      <c r="F77" s="64">
        <v>10.53</v>
      </c>
      <c r="G77" s="64">
        <v>62.77</v>
      </c>
      <c r="H77" s="64">
        <v>37.85</v>
      </c>
      <c r="I77" s="64">
        <v>1.43</v>
      </c>
      <c r="J77" s="64">
        <v>0.11</v>
      </c>
      <c r="K77" s="64">
        <v>3.55</v>
      </c>
      <c r="L77" s="64">
        <v>22.35</v>
      </c>
      <c r="M77" s="64">
        <v>42.45</v>
      </c>
      <c r="N77" s="64">
        <v>32.5</v>
      </c>
      <c r="O77" s="64">
        <v>0</v>
      </c>
      <c r="P77" s="64">
        <v>1.21</v>
      </c>
      <c r="Q77" s="64">
        <v>4.8899999999999997</v>
      </c>
      <c r="R77" s="198"/>
      <c r="S77" s="198"/>
      <c r="T77" s="198"/>
      <c r="U77" s="198"/>
    </row>
    <row r="78" spans="1:21" s="12" customFormat="1" x14ac:dyDescent="0.25">
      <c r="A78" s="215" t="s">
        <v>2719</v>
      </c>
      <c r="B78" s="64">
        <v>10.15</v>
      </c>
      <c r="C78" s="64">
        <v>60.74</v>
      </c>
      <c r="D78" s="64">
        <v>42.31</v>
      </c>
      <c r="E78" s="64">
        <v>3.11</v>
      </c>
      <c r="F78" s="64">
        <v>6.36</v>
      </c>
      <c r="G78" s="64">
        <v>64.5</v>
      </c>
      <c r="H78" s="64">
        <v>37.68</v>
      </c>
      <c r="I78" s="64">
        <v>1.45</v>
      </c>
      <c r="J78" s="64">
        <v>0.4</v>
      </c>
      <c r="K78" s="64">
        <v>343.53</v>
      </c>
      <c r="L78" s="64">
        <v>22.05</v>
      </c>
      <c r="M78" s="64">
        <v>44.51</v>
      </c>
      <c r="N78" s="64">
        <v>29.4</v>
      </c>
      <c r="O78" s="64">
        <v>0</v>
      </c>
      <c r="P78" s="64">
        <v>1.1399999999999999</v>
      </c>
      <c r="Q78" s="64">
        <v>5.07</v>
      </c>
      <c r="R78" s="198"/>
      <c r="S78" s="198"/>
      <c r="T78" s="198"/>
      <c r="U78" s="198"/>
    </row>
    <row r="79" spans="1:21" s="12" customFormat="1" x14ac:dyDescent="0.25">
      <c r="A79" s="215" t="s">
        <v>2720</v>
      </c>
      <c r="B79" s="64">
        <v>21.46</v>
      </c>
      <c r="C79" s="64">
        <v>77.77</v>
      </c>
      <c r="D79" s="64">
        <v>60.77</v>
      </c>
      <c r="E79" s="64">
        <v>3.11</v>
      </c>
      <c r="F79" s="64">
        <v>8.1199999999999992</v>
      </c>
      <c r="G79" s="64">
        <v>64.5</v>
      </c>
      <c r="H79" s="64">
        <v>37.68</v>
      </c>
      <c r="I79" s="64">
        <v>1.44</v>
      </c>
      <c r="J79" s="64">
        <v>0.08</v>
      </c>
      <c r="K79" s="64">
        <v>1.1599999999999999</v>
      </c>
      <c r="L79" s="64">
        <v>21.73</v>
      </c>
      <c r="M79" s="64">
        <v>45.33</v>
      </c>
      <c r="N79" s="64">
        <v>29.4</v>
      </c>
      <c r="O79" s="64">
        <v>0</v>
      </c>
      <c r="P79" s="64">
        <v>1.38</v>
      </c>
      <c r="Q79" s="64">
        <v>4.6500000000000004</v>
      </c>
      <c r="R79" s="198"/>
      <c r="S79" s="198"/>
      <c r="T79" s="198"/>
      <c r="U79" s="198"/>
    </row>
    <row r="80" spans="1:21" s="12" customFormat="1" x14ac:dyDescent="0.25">
      <c r="A80" s="215" t="s">
        <v>2721</v>
      </c>
      <c r="B80" s="64">
        <v>12.4</v>
      </c>
      <c r="C80" s="64">
        <v>65.34</v>
      </c>
      <c r="D80" s="64">
        <v>46.65</v>
      </c>
      <c r="E80" s="64">
        <v>3.07</v>
      </c>
      <c r="F80" s="64">
        <v>8</v>
      </c>
      <c r="G80" s="64">
        <v>64.5</v>
      </c>
      <c r="H80" s="64">
        <v>37.68</v>
      </c>
      <c r="I80" s="64">
        <v>1.55</v>
      </c>
      <c r="J80" s="64">
        <v>0.32</v>
      </c>
      <c r="K80" s="64">
        <v>346.55</v>
      </c>
      <c r="L80" s="64">
        <v>21.48</v>
      </c>
      <c r="M80" s="64">
        <v>46.73</v>
      </c>
      <c r="N80" s="64">
        <v>29.2</v>
      </c>
      <c r="O80" s="64">
        <v>0</v>
      </c>
      <c r="P80" s="64">
        <v>1.41</v>
      </c>
      <c r="Q80" s="64">
        <v>5.73</v>
      </c>
      <c r="R80" s="198"/>
      <c r="S80" s="198"/>
      <c r="T80" s="198"/>
      <c r="U80" s="198"/>
    </row>
    <row r="81" spans="1:26" s="12" customFormat="1" x14ac:dyDescent="0.25">
      <c r="A81" s="215" t="s">
        <v>2722</v>
      </c>
      <c r="B81" s="64">
        <v>11.07</v>
      </c>
      <c r="C81" s="64">
        <v>69.27</v>
      </c>
      <c r="D81" s="64">
        <v>47.75</v>
      </c>
      <c r="E81" s="64">
        <v>2.95</v>
      </c>
      <c r="F81" s="64">
        <v>8.76</v>
      </c>
      <c r="G81" s="64">
        <v>72.989999999999995</v>
      </c>
      <c r="H81" s="64">
        <v>43.36</v>
      </c>
      <c r="I81" s="64">
        <v>1.57</v>
      </c>
      <c r="J81" s="64">
        <v>0.1</v>
      </c>
      <c r="K81" s="64">
        <v>24.18</v>
      </c>
      <c r="L81" s="64">
        <v>21.28</v>
      </c>
      <c r="M81" s="64">
        <v>46.7</v>
      </c>
      <c r="N81" s="64">
        <v>29.2</v>
      </c>
      <c r="O81" s="64">
        <v>0</v>
      </c>
      <c r="P81" s="64">
        <v>1.41</v>
      </c>
      <c r="Q81" s="64">
        <v>6.15</v>
      </c>
      <c r="R81" s="198"/>
      <c r="S81" s="198"/>
      <c r="T81" s="198"/>
      <c r="U81" s="198"/>
    </row>
    <row r="82" spans="1:26" s="12" customFormat="1" x14ac:dyDescent="0.25">
      <c r="A82" s="215" t="s">
        <v>2723</v>
      </c>
      <c r="B82" s="64">
        <v>11.86</v>
      </c>
      <c r="C82" s="64">
        <v>73.989999999999995</v>
      </c>
      <c r="D82" s="64">
        <v>50.99</v>
      </c>
      <c r="E82" s="64">
        <v>2.98</v>
      </c>
      <c r="F82" s="64">
        <v>7.4</v>
      </c>
      <c r="G82" s="64">
        <v>78.650000000000006</v>
      </c>
      <c r="H82" s="64">
        <v>44.72</v>
      </c>
      <c r="I82" s="64">
        <v>1.53</v>
      </c>
      <c r="J82" s="64">
        <v>0.12</v>
      </c>
      <c r="K82" s="64">
        <v>41.54</v>
      </c>
      <c r="L82" s="64">
        <v>20.99</v>
      </c>
      <c r="M82" s="64">
        <v>48.1</v>
      </c>
      <c r="N82" s="64">
        <v>29.6</v>
      </c>
      <c r="O82" s="64">
        <v>0</v>
      </c>
      <c r="P82" s="64">
        <v>1.55</v>
      </c>
      <c r="Q82" s="64">
        <v>6.02</v>
      </c>
      <c r="R82" s="198"/>
      <c r="S82" s="198"/>
      <c r="T82" s="198"/>
      <c r="U82" s="198"/>
    </row>
    <row r="83" spans="1:26" s="12" customFormat="1" x14ac:dyDescent="0.25">
      <c r="A83" s="215" t="s">
        <v>2724</v>
      </c>
      <c r="B83" s="64">
        <v>14.99</v>
      </c>
      <c r="C83" s="64">
        <v>74.64</v>
      </c>
      <c r="D83" s="64">
        <v>53.86</v>
      </c>
      <c r="E83" s="64">
        <v>2.9</v>
      </c>
      <c r="F83" s="64">
        <v>6.43</v>
      </c>
      <c r="G83" s="64">
        <v>78.650000000000006</v>
      </c>
      <c r="H83" s="64">
        <v>44.72</v>
      </c>
      <c r="I83" s="64">
        <v>1.46</v>
      </c>
      <c r="J83" s="64">
        <v>0.18</v>
      </c>
      <c r="K83" s="64">
        <v>337.3</v>
      </c>
      <c r="L83" s="64">
        <v>20.64</v>
      </c>
      <c r="M83" s="64">
        <v>50.31</v>
      </c>
      <c r="N83" s="64">
        <v>29.8</v>
      </c>
      <c r="O83" s="64">
        <v>0</v>
      </c>
      <c r="P83" s="64">
        <v>1.65</v>
      </c>
      <c r="Q83" s="64">
        <v>5.66</v>
      </c>
      <c r="R83" s="198"/>
      <c r="S83" s="198"/>
      <c r="T83" s="198"/>
      <c r="U83" s="198"/>
    </row>
    <row r="84" spans="1:26" s="12" customFormat="1" x14ac:dyDescent="0.25">
      <c r="A84" s="215" t="s">
        <v>2725</v>
      </c>
      <c r="B84" s="64">
        <v>13.45</v>
      </c>
      <c r="C84" s="64">
        <v>70.72</v>
      </c>
      <c r="D84" s="64">
        <v>50.46</v>
      </c>
      <c r="E84" s="64">
        <v>2.81</v>
      </c>
      <c r="F84" s="64">
        <v>7.84</v>
      </c>
      <c r="G84" s="64">
        <v>78.650000000000006</v>
      </c>
      <c r="H84" s="64">
        <v>44.72</v>
      </c>
      <c r="I84" s="64">
        <v>1.51</v>
      </c>
      <c r="J84" s="64">
        <v>0.09</v>
      </c>
      <c r="K84" s="64">
        <v>55.66</v>
      </c>
      <c r="L84" s="64">
        <v>20.399999999999999</v>
      </c>
      <c r="M84" s="64">
        <v>49.91</v>
      </c>
      <c r="N84" s="64">
        <v>29.8</v>
      </c>
      <c r="O84" s="64">
        <v>0</v>
      </c>
      <c r="P84" s="64">
        <v>1.7</v>
      </c>
      <c r="Q84" s="64">
        <v>6.08</v>
      </c>
      <c r="R84" s="198"/>
      <c r="S84" s="198"/>
      <c r="T84" s="198"/>
      <c r="U84" s="198"/>
    </row>
    <row r="85" spans="1:26" s="12" customFormat="1" x14ac:dyDescent="0.25">
      <c r="A85" s="215" t="s">
        <v>2726</v>
      </c>
      <c r="B85" s="64">
        <v>14.11</v>
      </c>
      <c r="C85" s="64">
        <v>70.06</v>
      </c>
      <c r="D85" s="64">
        <v>50.62</v>
      </c>
      <c r="E85" s="64">
        <v>2.79</v>
      </c>
      <c r="F85" s="64">
        <v>5.79</v>
      </c>
      <c r="G85" s="64">
        <v>86.64</v>
      </c>
      <c r="H85" s="64">
        <v>47.61</v>
      </c>
      <c r="I85" s="64">
        <v>1.47</v>
      </c>
      <c r="J85" s="64">
        <v>0.22</v>
      </c>
      <c r="K85" s="64">
        <v>95.92</v>
      </c>
      <c r="L85" s="64">
        <v>20.51</v>
      </c>
      <c r="M85" s="64">
        <v>49.94</v>
      </c>
      <c r="N85" s="64">
        <v>29.4</v>
      </c>
      <c r="O85" s="64">
        <v>0</v>
      </c>
      <c r="P85" s="64">
        <v>1.66</v>
      </c>
      <c r="Q85" s="64">
        <v>6.35</v>
      </c>
      <c r="R85" s="198"/>
      <c r="S85" s="198"/>
      <c r="T85" s="198"/>
      <c r="U85" s="198"/>
    </row>
    <row r="86" spans="1:26" s="12" customFormat="1" x14ac:dyDescent="0.25">
      <c r="A86" s="215" t="s">
        <v>2727</v>
      </c>
      <c r="B86" s="64">
        <v>12.34</v>
      </c>
      <c r="C86" s="64">
        <v>71.67</v>
      </c>
      <c r="D86" s="64">
        <v>50.09</v>
      </c>
      <c r="E86" s="64">
        <v>2.75</v>
      </c>
      <c r="F86" s="64">
        <v>6.38</v>
      </c>
      <c r="G86" s="64">
        <v>91.97</v>
      </c>
      <c r="H86" s="64">
        <v>48.31</v>
      </c>
      <c r="I86" s="64">
        <v>1.53</v>
      </c>
      <c r="J86" s="64">
        <v>0.17</v>
      </c>
      <c r="K86" s="64">
        <v>67.14</v>
      </c>
      <c r="L86" s="64">
        <v>20.32</v>
      </c>
      <c r="M86" s="64">
        <v>49.9</v>
      </c>
      <c r="N86" s="64">
        <v>30</v>
      </c>
      <c r="O86" s="64">
        <v>0</v>
      </c>
      <c r="P86" s="64">
        <v>1.66</v>
      </c>
      <c r="Q86" s="64">
        <v>6.05</v>
      </c>
      <c r="R86" s="198"/>
      <c r="S86" s="198"/>
      <c r="T86" s="198"/>
      <c r="U86" s="198"/>
    </row>
    <row r="87" spans="1:26" s="12" customFormat="1" x14ac:dyDescent="0.25">
      <c r="A87" s="215" t="s">
        <v>2728</v>
      </c>
      <c r="B87" s="64">
        <v>12.41</v>
      </c>
      <c r="C87" s="64">
        <v>66.59</v>
      </c>
      <c r="D87" s="64">
        <v>47.35</v>
      </c>
      <c r="E87" s="64">
        <v>2.4900000000000002</v>
      </c>
      <c r="F87" s="64">
        <v>6.59</v>
      </c>
      <c r="G87" s="64">
        <v>91.97</v>
      </c>
      <c r="H87" s="64">
        <v>48.31</v>
      </c>
      <c r="I87" s="64">
        <v>1.49</v>
      </c>
      <c r="J87" s="64">
        <v>0.22</v>
      </c>
      <c r="K87" s="64">
        <v>70.569999999999993</v>
      </c>
      <c r="L87" s="64">
        <v>20.12</v>
      </c>
      <c r="M87" s="64">
        <v>50.63</v>
      </c>
      <c r="N87" s="64">
        <v>30.2</v>
      </c>
      <c r="O87" s="64">
        <v>0</v>
      </c>
      <c r="P87" s="64">
        <v>1.68</v>
      </c>
      <c r="Q87" s="64">
        <v>6.22</v>
      </c>
      <c r="R87" s="198"/>
      <c r="S87" s="198"/>
      <c r="T87" s="198"/>
      <c r="U87" s="198"/>
    </row>
    <row r="88" spans="1:26" s="12" customFormat="1" x14ac:dyDescent="0.25">
      <c r="A88" s="215" t="s">
        <v>2729</v>
      </c>
      <c r="B88" s="64">
        <v>10.66</v>
      </c>
      <c r="C88" s="64">
        <v>64.19</v>
      </c>
      <c r="D88" s="64">
        <v>44.62</v>
      </c>
      <c r="E88" s="64">
        <v>2.14</v>
      </c>
      <c r="F88" s="64">
        <v>6.4</v>
      </c>
      <c r="G88" s="64">
        <v>91.97</v>
      </c>
      <c r="H88" s="64">
        <v>48.31</v>
      </c>
      <c r="I88" s="64">
        <v>1.49</v>
      </c>
      <c r="J88" s="64">
        <v>0.23</v>
      </c>
      <c r="K88" s="64">
        <v>87.11</v>
      </c>
      <c r="L88" s="64">
        <v>19.920000000000002</v>
      </c>
      <c r="M88" s="64">
        <v>51.34</v>
      </c>
      <c r="N88" s="64">
        <v>30.2</v>
      </c>
      <c r="O88" s="64">
        <v>0</v>
      </c>
      <c r="P88" s="64">
        <v>1.66</v>
      </c>
      <c r="Q88" s="64">
        <v>6.49</v>
      </c>
      <c r="R88" s="198"/>
      <c r="S88" s="198"/>
      <c r="T88" s="198"/>
      <c r="U88" s="198"/>
    </row>
    <row r="89" spans="1:26" s="12" customFormat="1" x14ac:dyDescent="0.25">
      <c r="A89" s="215" t="s">
        <v>2730</v>
      </c>
      <c r="B89" s="64">
        <v>9.7799999999999994</v>
      </c>
      <c r="C89" s="64">
        <v>65.48</v>
      </c>
      <c r="D89" s="64">
        <v>44.63</v>
      </c>
      <c r="E89" s="64">
        <v>2.63</v>
      </c>
      <c r="F89" s="64">
        <v>5.75</v>
      </c>
      <c r="G89" s="64">
        <v>97.73</v>
      </c>
      <c r="H89" s="64">
        <v>50.3</v>
      </c>
      <c r="I89" s="64">
        <v>1.5</v>
      </c>
      <c r="J89" s="64">
        <v>0.19</v>
      </c>
      <c r="K89" s="64">
        <v>77.849999999999994</v>
      </c>
      <c r="L89" s="64">
        <v>19.71</v>
      </c>
      <c r="M89" s="64">
        <v>52.23</v>
      </c>
      <c r="N89" s="64">
        <v>30.4</v>
      </c>
      <c r="O89" s="64">
        <v>0</v>
      </c>
      <c r="P89" s="64">
        <v>1.69</v>
      </c>
      <c r="Q89" s="64">
        <v>6.4</v>
      </c>
      <c r="R89" s="198"/>
      <c r="S89" s="198"/>
      <c r="T89" s="198"/>
      <c r="U89" s="198"/>
    </row>
    <row r="90" spans="1:26" s="12" customFormat="1" x14ac:dyDescent="0.25">
      <c r="A90" s="215" t="s">
        <v>2731</v>
      </c>
      <c r="B90" s="64">
        <v>9.8699999999999992</v>
      </c>
      <c r="C90" s="64">
        <v>63.96</v>
      </c>
      <c r="D90" s="64">
        <v>43.86</v>
      </c>
      <c r="E90" s="64">
        <v>2.6</v>
      </c>
      <c r="F90" s="64">
        <v>4.99</v>
      </c>
      <c r="G90" s="64">
        <v>101.57</v>
      </c>
      <c r="H90" s="64">
        <v>50.79</v>
      </c>
      <c r="I90" s="64">
        <v>1.48</v>
      </c>
      <c r="J90" s="64">
        <v>0.06</v>
      </c>
      <c r="K90" s="64">
        <v>21.8</v>
      </c>
      <c r="L90" s="64">
        <v>19.5</v>
      </c>
      <c r="M90" s="64">
        <v>54.12</v>
      </c>
      <c r="N90" s="64">
        <v>30.5</v>
      </c>
      <c r="O90" s="64">
        <v>0</v>
      </c>
      <c r="P90" s="64">
        <v>1.73</v>
      </c>
      <c r="Q90" s="64">
        <v>6.3</v>
      </c>
      <c r="R90" s="198"/>
      <c r="S90" s="198"/>
      <c r="T90" s="198"/>
      <c r="U90" s="198"/>
    </row>
    <row r="91" spans="1:26" s="12" customFormat="1" x14ac:dyDescent="0.25">
      <c r="A91" s="215" t="s">
        <v>2732</v>
      </c>
      <c r="B91" s="64">
        <v>15.61</v>
      </c>
      <c r="C91" s="64">
        <v>63.33</v>
      </c>
      <c r="D91" s="64">
        <v>48.11</v>
      </c>
      <c r="E91" s="64">
        <v>2.65</v>
      </c>
      <c r="F91" s="64">
        <v>4.07</v>
      </c>
      <c r="G91" s="64">
        <v>101.57</v>
      </c>
      <c r="H91" s="64">
        <v>50.79</v>
      </c>
      <c r="I91" s="64">
        <v>1.55</v>
      </c>
      <c r="J91" s="64">
        <v>0.08</v>
      </c>
      <c r="K91" s="64">
        <v>333.91</v>
      </c>
      <c r="L91" s="64">
        <v>19.190000000000001</v>
      </c>
      <c r="M91" s="64">
        <v>56.09</v>
      </c>
      <c r="N91" s="64">
        <v>30.7</v>
      </c>
      <c r="O91" s="64">
        <v>0</v>
      </c>
      <c r="P91" s="64">
        <v>1.81</v>
      </c>
      <c r="Q91" s="64">
        <v>5.33</v>
      </c>
      <c r="R91" s="198"/>
      <c r="S91" s="198"/>
      <c r="T91" s="198"/>
      <c r="U91" s="198"/>
    </row>
    <row r="92" spans="1:26" s="12" customFormat="1" x14ac:dyDescent="0.25">
      <c r="A92" s="215" t="s">
        <v>2733</v>
      </c>
      <c r="B92" s="64">
        <v>12.6</v>
      </c>
      <c r="C92" s="64">
        <v>65.91</v>
      </c>
      <c r="D92" s="64">
        <v>47.13</v>
      </c>
      <c r="E92" s="64">
        <v>2.67</v>
      </c>
      <c r="F92" s="64">
        <v>5.87</v>
      </c>
      <c r="G92" s="64">
        <v>101.57</v>
      </c>
      <c r="H92" s="64">
        <v>50.79</v>
      </c>
      <c r="I92" s="64">
        <v>1.51</v>
      </c>
      <c r="J92" s="64">
        <v>0.13</v>
      </c>
      <c r="K92" s="64">
        <v>9.57</v>
      </c>
      <c r="L92" s="64">
        <v>19.14</v>
      </c>
      <c r="M92" s="64">
        <v>55.29</v>
      </c>
      <c r="N92" s="64">
        <v>30.4</v>
      </c>
      <c r="O92" s="64">
        <v>0</v>
      </c>
      <c r="P92" s="64">
        <v>1.85</v>
      </c>
      <c r="Q92" s="64">
        <v>5.59</v>
      </c>
      <c r="R92" s="198"/>
      <c r="S92" s="198"/>
      <c r="T92" s="198"/>
      <c r="U92" s="198"/>
    </row>
    <row r="93" spans="1:26" s="12" customFormat="1" x14ac:dyDescent="0.25">
      <c r="A93" s="215" t="s">
        <v>2734</v>
      </c>
      <c r="B93" s="64">
        <v>14.01</v>
      </c>
      <c r="C93" s="64">
        <v>59.86</v>
      </c>
      <c r="D93" s="64">
        <v>44.91</v>
      </c>
      <c r="E93" s="64">
        <v>2.66</v>
      </c>
      <c r="F93" s="64">
        <v>6</v>
      </c>
      <c r="G93" s="64">
        <v>102.41</v>
      </c>
      <c r="H93" s="64">
        <v>51.35</v>
      </c>
      <c r="I93" s="64">
        <v>1.56</v>
      </c>
      <c r="J93" s="64">
        <v>0.53</v>
      </c>
      <c r="K93" s="64">
        <v>347.67</v>
      </c>
      <c r="L93" s="64">
        <v>19.23</v>
      </c>
      <c r="M93" s="64">
        <v>55.29</v>
      </c>
      <c r="N93" s="64">
        <v>30</v>
      </c>
      <c r="O93" s="64">
        <v>0</v>
      </c>
      <c r="P93" s="64">
        <v>1.81</v>
      </c>
      <c r="Q93" s="64">
        <v>6.01</v>
      </c>
      <c r="R93" s="198"/>
      <c r="S93" s="198"/>
      <c r="T93" s="198"/>
      <c r="U93" s="198"/>
    </row>
    <row r="94" spans="1:26" s="12" customFormat="1" x14ac:dyDescent="0.25">
      <c r="A94" s="215" t="s">
        <v>2735</v>
      </c>
      <c r="B94" s="64">
        <v>13.63</v>
      </c>
      <c r="C94" s="64">
        <v>63.3</v>
      </c>
      <c r="D94" s="64">
        <v>46.51</v>
      </c>
      <c r="E94" s="64">
        <v>2.63</v>
      </c>
      <c r="F94" s="64">
        <v>5.6</v>
      </c>
      <c r="G94" s="64">
        <v>102.96</v>
      </c>
      <c r="H94" s="64">
        <v>51.59</v>
      </c>
      <c r="I94" s="64">
        <v>1.46</v>
      </c>
      <c r="J94" s="64">
        <v>0.17</v>
      </c>
      <c r="K94" s="64">
        <v>86.1</v>
      </c>
      <c r="L94" s="64">
        <v>19.170000000000002</v>
      </c>
      <c r="M94" s="64">
        <v>54.46</v>
      </c>
      <c r="N94" s="64">
        <v>30.8</v>
      </c>
      <c r="O94" s="64">
        <v>0</v>
      </c>
      <c r="P94" s="64">
        <v>1.81</v>
      </c>
      <c r="Q94" s="64">
        <v>6.31</v>
      </c>
      <c r="R94" s="198"/>
      <c r="S94" s="198"/>
      <c r="T94" s="198"/>
      <c r="U94" s="198"/>
    </row>
    <row r="95" spans="1:26" s="12" customFormat="1" x14ac:dyDescent="0.25">
      <c r="A95" s="215" t="s">
        <v>2736</v>
      </c>
      <c r="B95" s="64">
        <v>12.26</v>
      </c>
      <c r="C95" s="64">
        <v>60.88</v>
      </c>
      <c r="D95" s="64">
        <v>44.07</v>
      </c>
      <c r="E95" s="64">
        <v>2.62</v>
      </c>
      <c r="F95" s="64">
        <v>7.64</v>
      </c>
      <c r="G95" s="64">
        <v>102.96</v>
      </c>
      <c r="H95" s="64">
        <v>51.59</v>
      </c>
      <c r="I95" s="64">
        <v>1.47</v>
      </c>
      <c r="J95" s="64">
        <v>0.26</v>
      </c>
      <c r="K95" s="64">
        <v>105.88</v>
      </c>
      <c r="L95" s="64">
        <v>18.920000000000002</v>
      </c>
      <c r="M95" s="64">
        <v>55.33</v>
      </c>
      <c r="N95" s="64">
        <v>30.8</v>
      </c>
      <c r="O95" s="64">
        <v>0</v>
      </c>
      <c r="P95" s="64">
        <v>1.75</v>
      </c>
      <c r="Q95" s="64">
        <v>6.65</v>
      </c>
      <c r="R95" s="198"/>
      <c r="S95" s="198"/>
      <c r="T95" s="198"/>
      <c r="U95" s="198"/>
    </row>
    <row r="96" spans="1:26" s="12" customFormat="1" x14ac:dyDescent="0.25">
      <c r="A96" s="215" t="s">
        <v>2737</v>
      </c>
      <c r="B96" s="64">
        <v>11.93</v>
      </c>
      <c r="C96" s="64">
        <v>58.11</v>
      </c>
      <c r="D96" s="64">
        <v>42.29</v>
      </c>
      <c r="E96" s="64">
        <v>2.57</v>
      </c>
      <c r="F96" s="64">
        <v>4.58</v>
      </c>
      <c r="G96" s="64">
        <v>102.96</v>
      </c>
      <c r="H96" s="64">
        <v>51.59</v>
      </c>
      <c r="I96" s="64">
        <v>1.46</v>
      </c>
      <c r="J96" s="64">
        <v>0.26</v>
      </c>
      <c r="K96" s="64">
        <v>104.36</v>
      </c>
      <c r="L96" s="64">
        <v>18.78</v>
      </c>
      <c r="M96" s="64">
        <v>56.6</v>
      </c>
      <c r="N96" s="64">
        <v>30.9</v>
      </c>
      <c r="O96" s="64">
        <v>0</v>
      </c>
      <c r="P96" s="64">
        <v>1.76</v>
      </c>
      <c r="Q96" s="64">
        <v>6.7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2738</v>
      </c>
      <c r="B97" s="64">
        <v>11.88</v>
      </c>
      <c r="C97" s="64">
        <v>57.93</v>
      </c>
      <c r="D97" s="64">
        <v>42.14</v>
      </c>
      <c r="E97" s="64">
        <v>2.5</v>
      </c>
      <c r="F97" s="64">
        <v>4.43</v>
      </c>
      <c r="G97" s="64">
        <v>99.65</v>
      </c>
      <c r="H97" s="64">
        <v>50.09</v>
      </c>
      <c r="I97" s="64">
        <v>1.47</v>
      </c>
      <c r="J97" s="64">
        <v>0.17</v>
      </c>
      <c r="K97" s="64">
        <v>100.28</v>
      </c>
      <c r="L97" s="64">
        <v>18.52</v>
      </c>
      <c r="M97" s="64">
        <v>56.73</v>
      </c>
      <c r="N97" s="64">
        <v>31.2</v>
      </c>
      <c r="O97" s="64">
        <v>0</v>
      </c>
      <c r="P97" s="64">
        <v>1.72</v>
      </c>
      <c r="Q97" s="64">
        <v>6.59</v>
      </c>
      <c r="R97" s="198"/>
      <c r="S97" s="198"/>
      <c r="T97" s="198"/>
      <c r="U97" s="198"/>
    </row>
    <row r="98" spans="1:33" s="12" customFormat="1" x14ac:dyDescent="0.25">
      <c r="A98" s="215" t="s">
        <v>2739</v>
      </c>
      <c r="B98" s="64">
        <v>11.33</v>
      </c>
      <c r="C98" s="64">
        <v>56.1</v>
      </c>
      <c r="D98" s="64">
        <v>40.69</v>
      </c>
      <c r="E98" s="64">
        <v>2.5099999999999998</v>
      </c>
      <c r="F98" s="64">
        <v>4.75</v>
      </c>
      <c r="G98" s="64">
        <v>97.44</v>
      </c>
      <c r="H98" s="64">
        <v>49.72</v>
      </c>
      <c r="I98" s="64">
        <v>1.42</v>
      </c>
      <c r="J98" s="64">
        <v>0.18</v>
      </c>
      <c r="K98" s="64">
        <v>99.58</v>
      </c>
      <c r="L98" s="64">
        <v>18.5</v>
      </c>
      <c r="M98" s="64">
        <v>57.47</v>
      </c>
      <c r="N98" s="64">
        <v>31.2</v>
      </c>
      <c r="O98" s="64">
        <v>0</v>
      </c>
      <c r="P98" s="64">
        <v>1.69</v>
      </c>
      <c r="Q98" s="64">
        <v>6.58</v>
      </c>
      <c r="R98" s="198"/>
      <c r="S98" s="198"/>
      <c r="T98" s="198"/>
      <c r="U98" s="198"/>
    </row>
    <row r="99" spans="1:33" s="12" customFormat="1" x14ac:dyDescent="0.25">
      <c r="A99" s="215" t="s">
        <v>2740</v>
      </c>
      <c r="B99" s="64">
        <v>11.23</v>
      </c>
      <c r="C99" s="64">
        <v>55.9</v>
      </c>
      <c r="D99" s="64">
        <v>40.5</v>
      </c>
      <c r="E99" s="64">
        <v>2.4500000000000002</v>
      </c>
      <c r="F99" s="64">
        <v>5.12</v>
      </c>
      <c r="G99" s="64">
        <v>97.44</v>
      </c>
      <c r="H99" s="64">
        <v>49.72</v>
      </c>
      <c r="I99" s="64">
        <v>1.52</v>
      </c>
      <c r="J99" s="64">
        <v>0.49</v>
      </c>
      <c r="K99" s="64">
        <v>103.43</v>
      </c>
      <c r="L99" s="64">
        <v>18.600000000000001</v>
      </c>
      <c r="M99" s="64">
        <v>57.3</v>
      </c>
      <c r="N99" s="64">
        <v>30.9</v>
      </c>
      <c r="O99" s="64">
        <v>0</v>
      </c>
      <c r="P99" s="64">
        <v>1.64</v>
      </c>
      <c r="Q99" s="64">
        <v>6.5</v>
      </c>
      <c r="R99" s="198"/>
      <c r="S99" s="198"/>
      <c r="T99" s="198"/>
      <c r="U99" s="198"/>
    </row>
    <row r="100" spans="1:33" s="12" customFormat="1" x14ac:dyDescent="0.25">
      <c r="A100" s="215" t="s">
        <v>2741</v>
      </c>
      <c r="B100" s="64">
        <v>10.26</v>
      </c>
      <c r="C100" s="64">
        <v>53.67</v>
      </c>
      <c r="D100" s="64">
        <v>38.49</v>
      </c>
      <c r="E100" s="64">
        <v>2.4700000000000002</v>
      </c>
      <c r="F100" s="64">
        <v>5.0599999999999996</v>
      </c>
      <c r="G100" s="64">
        <v>97.44</v>
      </c>
      <c r="H100" s="64">
        <v>49.72</v>
      </c>
      <c r="I100" s="64">
        <v>1.5</v>
      </c>
      <c r="J100" s="64">
        <v>0.37</v>
      </c>
      <c r="K100" s="64">
        <v>111.24</v>
      </c>
      <c r="L100" s="64">
        <v>18.63</v>
      </c>
      <c r="M100" s="64">
        <v>57.58</v>
      </c>
      <c r="N100" s="64">
        <v>31.4</v>
      </c>
      <c r="O100" s="64">
        <v>0</v>
      </c>
      <c r="P100" s="64">
        <v>1.63</v>
      </c>
      <c r="Q100" s="64">
        <v>6.57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2742</v>
      </c>
      <c r="B101" s="64">
        <v>9.7100000000000009</v>
      </c>
      <c r="C101" s="64">
        <v>53.78</v>
      </c>
      <c r="D101" s="64">
        <v>38.11</v>
      </c>
      <c r="E101" s="64">
        <v>2.46</v>
      </c>
      <c r="F101" s="64">
        <v>5.25</v>
      </c>
      <c r="G101" s="64">
        <v>94.05</v>
      </c>
      <c r="H101" s="64">
        <v>47.66</v>
      </c>
      <c r="I101" s="64">
        <v>1.59</v>
      </c>
      <c r="J101" s="64">
        <v>0.71</v>
      </c>
      <c r="K101" s="64">
        <v>102.74</v>
      </c>
      <c r="L101" s="64">
        <v>18.46</v>
      </c>
      <c r="M101" s="64">
        <v>59.12</v>
      </c>
      <c r="N101" s="64">
        <v>31.4</v>
      </c>
      <c r="O101" s="64">
        <v>0</v>
      </c>
      <c r="P101" s="64">
        <v>1.58</v>
      </c>
      <c r="Q101" s="64">
        <v>6.47</v>
      </c>
      <c r="R101" s="198"/>
      <c r="S101" s="198"/>
      <c r="T101" s="198"/>
      <c r="U101" s="198"/>
    </row>
    <row r="102" spans="1:33" s="12" customFormat="1" x14ac:dyDescent="0.25">
      <c r="A102" s="215" t="s">
        <v>2743</v>
      </c>
      <c r="B102" s="64">
        <v>8.8800000000000008</v>
      </c>
      <c r="C102" s="64">
        <v>53</v>
      </c>
      <c r="D102" s="64">
        <v>37.020000000000003</v>
      </c>
      <c r="E102" s="64">
        <v>2.4</v>
      </c>
      <c r="F102" s="64">
        <v>5.04</v>
      </c>
      <c r="G102" s="64">
        <v>91.79</v>
      </c>
      <c r="H102" s="64">
        <v>47.16</v>
      </c>
      <c r="I102" s="64">
        <v>1.45</v>
      </c>
      <c r="J102" s="64">
        <v>0.35</v>
      </c>
      <c r="K102" s="64">
        <v>100.28</v>
      </c>
      <c r="L102" s="64">
        <v>18.34</v>
      </c>
      <c r="M102" s="64">
        <v>60.95</v>
      </c>
      <c r="N102" s="64">
        <v>31.9</v>
      </c>
      <c r="O102" s="64">
        <v>0</v>
      </c>
      <c r="P102" s="64">
        <v>1.54</v>
      </c>
      <c r="Q102" s="64">
        <v>6.42</v>
      </c>
      <c r="R102" s="198"/>
      <c r="S102" s="198"/>
      <c r="T102" s="198"/>
      <c r="U102" s="198"/>
    </row>
    <row r="103" spans="1:33" s="12" customFormat="1" x14ac:dyDescent="0.25">
      <c r="A103" s="215" t="s">
        <v>2744</v>
      </c>
      <c r="B103" s="64">
        <v>8.14</v>
      </c>
      <c r="C103" s="64">
        <v>51.96</v>
      </c>
      <c r="D103" s="64">
        <v>35.85</v>
      </c>
      <c r="E103" s="64">
        <v>2.39</v>
      </c>
      <c r="F103" s="64">
        <v>4.8</v>
      </c>
      <c r="G103" s="64">
        <v>91.79</v>
      </c>
      <c r="H103" s="64">
        <v>47.16</v>
      </c>
      <c r="I103" s="64">
        <v>1.5</v>
      </c>
      <c r="J103" s="64">
        <v>0.74</v>
      </c>
      <c r="K103" s="64">
        <v>107.54</v>
      </c>
      <c r="L103" s="64">
        <v>18.260000000000002</v>
      </c>
      <c r="M103" s="64">
        <v>62.94</v>
      </c>
      <c r="N103" s="64">
        <v>31.9</v>
      </c>
      <c r="O103" s="64">
        <v>0</v>
      </c>
      <c r="P103" s="64">
        <v>1.49</v>
      </c>
      <c r="Q103" s="64">
        <v>6.35</v>
      </c>
      <c r="R103" s="198"/>
      <c r="S103" s="198"/>
      <c r="T103" s="198"/>
      <c r="U103" s="198"/>
    </row>
    <row r="104" spans="1:33" s="12" customFormat="1" x14ac:dyDescent="0.25">
      <c r="A104" s="215" t="s">
        <v>2745</v>
      </c>
      <c r="B104" s="64">
        <v>7.34</v>
      </c>
      <c r="C104" s="64">
        <v>50.79</v>
      </c>
      <c r="D104" s="64">
        <v>34.56</v>
      </c>
      <c r="E104" s="64">
        <v>2.17</v>
      </c>
      <c r="F104" s="64">
        <v>4.0599999999999996</v>
      </c>
      <c r="G104" s="64">
        <v>91.79</v>
      </c>
      <c r="H104" s="64">
        <v>47.16</v>
      </c>
      <c r="I104" s="64">
        <v>1.52</v>
      </c>
      <c r="J104" s="64">
        <v>0.67</v>
      </c>
      <c r="K104" s="64">
        <v>111.43</v>
      </c>
      <c r="L104" s="64">
        <v>18.36</v>
      </c>
      <c r="M104" s="64">
        <v>63.64</v>
      </c>
      <c r="N104" s="64">
        <v>31.9</v>
      </c>
      <c r="O104" s="64">
        <v>0</v>
      </c>
      <c r="P104" s="64">
        <v>1.45</v>
      </c>
      <c r="Q104" s="64">
        <v>6.24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2.66</v>
      </c>
      <c r="C106" s="67">
        <f>MIN(C9:C104)</f>
        <v>39.200000000000003</v>
      </c>
      <c r="D106" s="67">
        <f t="shared" ref="D106:Q106" si="0">MIN(D9:D104)</f>
        <v>24.71</v>
      </c>
      <c r="E106" s="67">
        <f t="shared" si="0"/>
        <v>2.14</v>
      </c>
      <c r="F106" s="67">
        <f t="shared" si="0"/>
        <v>3.17</v>
      </c>
      <c r="G106" s="67">
        <f t="shared" si="0"/>
        <v>59.09</v>
      </c>
      <c r="H106" s="67">
        <f t="shared" si="0"/>
        <v>33.79</v>
      </c>
      <c r="I106" s="67">
        <f t="shared" si="0"/>
        <v>1.39</v>
      </c>
      <c r="J106" s="67">
        <f t="shared" si="0"/>
        <v>0.05</v>
      </c>
      <c r="K106" s="67">
        <f t="shared" si="0"/>
        <v>1.1599999999999999</v>
      </c>
      <c r="L106" s="67">
        <f t="shared" si="0"/>
        <v>16.07</v>
      </c>
      <c r="M106" s="67">
        <f t="shared" si="0"/>
        <v>31.52</v>
      </c>
      <c r="N106" s="67">
        <f t="shared" si="0"/>
        <v>29.2</v>
      </c>
      <c r="O106" s="67">
        <f t="shared" si="0"/>
        <v>0</v>
      </c>
      <c r="P106" s="67">
        <f t="shared" si="0"/>
        <v>0.78</v>
      </c>
      <c r="Q106" s="67">
        <f t="shared" si="0"/>
        <v>4.6500000000000004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21.46</v>
      </c>
      <c r="C107" s="66">
        <f t="shared" ref="C107:Q107" si="1">MAX(C9:C104)</f>
        <v>77.77</v>
      </c>
      <c r="D107" s="66">
        <f t="shared" si="1"/>
        <v>60.77</v>
      </c>
      <c r="E107" s="66">
        <f t="shared" si="1"/>
        <v>3.33</v>
      </c>
      <c r="F107" s="66">
        <f t="shared" si="1"/>
        <v>17.05</v>
      </c>
      <c r="G107" s="66">
        <f t="shared" si="1"/>
        <v>123.49</v>
      </c>
      <c r="H107" s="66">
        <f t="shared" si="1"/>
        <v>61.76</v>
      </c>
      <c r="I107" s="66">
        <f t="shared" si="1"/>
        <v>1.59</v>
      </c>
      <c r="J107" s="66">
        <f t="shared" si="1"/>
        <v>0.97</v>
      </c>
      <c r="K107" s="66">
        <f t="shared" si="1"/>
        <v>359.15</v>
      </c>
      <c r="L107" s="66">
        <f t="shared" si="1"/>
        <v>28.42</v>
      </c>
      <c r="M107" s="66">
        <f t="shared" si="1"/>
        <v>83.71</v>
      </c>
      <c r="N107" s="66">
        <f t="shared" si="1"/>
        <v>675.8</v>
      </c>
      <c r="O107" s="66">
        <f t="shared" si="1"/>
        <v>0</v>
      </c>
      <c r="P107" s="66">
        <f t="shared" si="1"/>
        <v>1.85</v>
      </c>
      <c r="Q107" s="66">
        <f t="shared" si="1"/>
        <v>6.7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7.6532291666666667</v>
      </c>
      <c r="C108" s="67">
        <f t="shared" ref="C108:Q108" si="2">AVERAGE(C9:C104)</f>
        <v>51.064270833333318</v>
      </c>
      <c r="D108" s="67">
        <f t="shared" si="2"/>
        <v>34.965208333333337</v>
      </c>
      <c r="E108" s="67">
        <f t="shared" si="2"/>
        <v>2.5114583333333331</v>
      </c>
      <c r="F108" s="67">
        <f t="shared" si="2"/>
        <v>6.1620833333333316</v>
      </c>
      <c r="G108" s="67">
        <f t="shared" si="2"/>
        <v>87.722812500000018</v>
      </c>
      <c r="H108" s="67">
        <f t="shared" si="2"/>
        <v>46.767083333333296</v>
      </c>
      <c r="I108" s="67">
        <f t="shared" si="2"/>
        <v>1.5034375000000004</v>
      </c>
      <c r="J108" s="67">
        <f t="shared" si="2"/>
        <v>0.35958333333333337</v>
      </c>
      <c r="K108" s="67">
        <f t="shared" si="2"/>
        <v>164.16416666666666</v>
      </c>
      <c r="L108" s="67">
        <f t="shared" si="2"/>
        <v>20.621770833333336</v>
      </c>
      <c r="M108" s="67">
        <f t="shared" si="2"/>
        <v>58.679583333333319</v>
      </c>
      <c r="N108" s="67">
        <f t="shared" si="2"/>
        <v>173.04895833333342</v>
      </c>
      <c r="O108" s="67">
        <f t="shared" si="2"/>
        <v>0</v>
      </c>
      <c r="P108" s="67">
        <f t="shared" si="2"/>
        <v>1.1747916666666665</v>
      </c>
      <c r="Q108" s="67">
        <f t="shared" si="2"/>
        <v>5.9076041666666663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3.5441264961361099</v>
      </c>
      <c r="C109" s="67">
        <f t="shared" ref="C109:Q109" si="3">STDEV(C9:C104)</f>
        <v>9.0848494753098397</v>
      </c>
      <c r="D109" s="67">
        <f t="shared" si="3"/>
        <v>7.4278983326611776</v>
      </c>
      <c r="E109" s="67">
        <f t="shared" si="3"/>
        <v>0.27782985769093965</v>
      </c>
      <c r="F109" s="67">
        <f t="shared" si="3"/>
        <v>3.1671138834713868</v>
      </c>
      <c r="G109" s="67">
        <f t="shared" si="3"/>
        <v>17.168359189792536</v>
      </c>
      <c r="H109" s="67">
        <f t="shared" si="3"/>
        <v>6.2849643329672089</v>
      </c>
      <c r="I109" s="67">
        <f t="shared" si="3"/>
        <v>4.2023254840247971E-2</v>
      </c>
      <c r="J109" s="67">
        <f t="shared" si="3"/>
        <v>0.22705397766154595</v>
      </c>
      <c r="K109" s="67">
        <f t="shared" si="3"/>
        <v>118.38897890265824</v>
      </c>
      <c r="L109" s="67">
        <f t="shared" si="3"/>
        <v>3.5329602899109456</v>
      </c>
      <c r="M109" s="67">
        <f t="shared" si="3"/>
        <v>15.633688382980585</v>
      </c>
      <c r="N109" s="67">
        <f t="shared" si="3"/>
        <v>217.21214126906668</v>
      </c>
      <c r="O109" s="67">
        <f t="shared" si="3"/>
        <v>0</v>
      </c>
      <c r="P109" s="67">
        <f t="shared" si="3"/>
        <v>0.30821721379117256</v>
      </c>
      <c r="Q109" s="67">
        <f t="shared" si="3"/>
        <v>0.36088413300689792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8" sqref="G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2746</v>
      </c>
      <c r="B9" s="64">
        <v>6.4</v>
      </c>
      <c r="C9" s="64">
        <v>49.59</v>
      </c>
      <c r="D9" s="64">
        <v>33.14</v>
      </c>
      <c r="E9" s="64">
        <v>2.29</v>
      </c>
      <c r="F9" s="64">
        <v>3.71</v>
      </c>
      <c r="G9" s="64">
        <v>89.92</v>
      </c>
      <c r="H9" s="64">
        <v>48.22</v>
      </c>
      <c r="I9" s="64">
        <v>1.5</v>
      </c>
      <c r="J9" s="64">
        <v>0.56999999999999995</v>
      </c>
      <c r="K9" s="64">
        <v>106.05</v>
      </c>
      <c r="L9" s="64">
        <v>18.440000000000001</v>
      </c>
      <c r="M9" s="64">
        <v>64.47</v>
      </c>
      <c r="N9" s="64">
        <v>32</v>
      </c>
      <c r="O9" s="64">
        <v>0</v>
      </c>
      <c r="P9" s="64">
        <v>1.4</v>
      </c>
      <c r="Q9" s="64">
        <v>6.14</v>
      </c>
      <c r="R9" s="198"/>
      <c r="S9" s="198"/>
      <c r="T9" s="198"/>
      <c r="U9" s="198"/>
    </row>
    <row r="10" spans="1:21" s="12" customFormat="1" x14ac:dyDescent="0.25">
      <c r="A10" s="215" t="s">
        <v>2747</v>
      </c>
      <c r="B10" s="64">
        <v>5.51</v>
      </c>
      <c r="C10" s="64">
        <v>48.45</v>
      </c>
      <c r="D10" s="64">
        <v>31.8</v>
      </c>
      <c r="E10" s="64">
        <v>2.3199999999999998</v>
      </c>
      <c r="F10" s="64">
        <v>3.73</v>
      </c>
      <c r="G10" s="64">
        <v>88.67</v>
      </c>
      <c r="H10" s="64">
        <v>48.47</v>
      </c>
      <c r="I10" s="64">
        <v>1.46</v>
      </c>
      <c r="J10" s="64">
        <v>0.68</v>
      </c>
      <c r="K10" s="64">
        <v>116.28</v>
      </c>
      <c r="L10" s="64">
        <v>18.39</v>
      </c>
      <c r="M10" s="64">
        <v>65.790000000000006</v>
      </c>
      <c r="N10" s="64">
        <v>32.200000000000003</v>
      </c>
      <c r="O10" s="64">
        <v>0</v>
      </c>
      <c r="P10" s="64">
        <v>1.34</v>
      </c>
      <c r="Q10" s="64">
        <v>6.03</v>
      </c>
      <c r="R10" s="198"/>
      <c r="S10" s="198"/>
      <c r="T10" s="198"/>
      <c r="U10" s="198"/>
    </row>
    <row r="11" spans="1:21" s="12" customFormat="1" x14ac:dyDescent="0.25">
      <c r="A11" s="215" t="s">
        <v>2748</v>
      </c>
      <c r="B11" s="64">
        <v>4.8</v>
      </c>
      <c r="C11" s="64">
        <v>47.56</v>
      </c>
      <c r="D11" s="64">
        <v>30.74</v>
      </c>
      <c r="E11" s="64">
        <v>2.27</v>
      </c>
      <c r="F11" s="64">
        <v>3.64</v>
      </c>
      <c r="G11" s="64">
        <v>88.67</v>
      </c>
      <c r="H11" s="64">
        <v>48.47</v>
      </c>
      <c r="I11" s="64">
        <v>1.52</v>
      </c>
      <c r="J11" s="64">
        <v>1.26</v>
      </c>
      <c r="K11" s="64">
        <v>112.96</v>
      </c>
      <c r="L11" s="64">
        <v>18.510000000000002</v>
      </c>
      <c r="M11" s="64">
        <v>65.88</v>
      </c>
      <c r="N11" s="64">
        <v>31.9</v>
      </c>
      <c r="O11" s="64">
        <v>0</v>
      </c>
      <c r="P11" s="64">
        <v>1.31</v>
      </c>
      <c r="Q11" s="64">
        <v>5.91</v>
      </c>
      <c r="R11" s="198"/>
      <c r="S11" s="198"/>
      <c r="T11" s="198"/>
      <c r="U11" s="198"/>
    </row>
    <row r="12" spans="1:21" s="12" customFormat="1" x14ac:dyDescent="0.25">
      <c r="A12" s="215" t="s">
        <v>2749</v>
      </c>
      <c r="B12" s="64">
        <v>4.2300000000000004</v>
      </c>
      <c r="C12" s="64">
        <v>46.38</v>
      </c>
      <c r="D12" s="64">
        <v>29.63</v>
      </c>
      <c r="E12" s="64">
        <v>2.2999999999999998</v>
      </c>
      <c r="F12" s="64">
        <v>3.72</v>
      </c>
      <c r="G12" s="64">
        <v>88.67</v>
      </c>
      <c r="H12" s="64">
        <v>48.47</v>
      </c>
      <c r="I12" s="64">
        <v>1.51</v>
      </c>
      <c r="J12" s="64">
        <v>0.93</v>
      </c>
      <c r="K12" s="64">
        <v>110.78</v>
      </c>
      <c r="L12" s="64">
        <v>18.47</v>
      </c>
      <c r="M12" s="64">
        <v>66.900000000000006</v>
      </c>
      <c r="N12" s="64">
        <v>32.4</v>
      </c>
      <c r="O12" s="64">
        <v>0</v>
      </c>
      <c r="P12" s="64">
        <v>1.27</v>
      </c>
      <c r="Q12" s="64">
        <v>5.84</v>
      </c>
      <c r="R12" s="198"/>
      <c r="S12" s="198"/>
      <c r="T12" s="198"/>
      <c r="U12" s="198"/>
    </row>
    <row r="13" spans="1:21" s="12" customFormat="1" x14ac:dyDescent="0.25">
      <c r="A13" s="215" t="s">
        <v>2750</v>
      </c>
      <c r="B13" s="64">
        <v>3.79</v>
      </c>
      <c r="C13" s="64">
        <v>45.42</v>
      </c>
      <c r="D13" s="64">
        <v>28.75</v>
      </c>
      <c r="E13" s="64">
        <v>2.3199999999999998</v>
      </c>
      <c r="F13" s="64">
        <v>3.71</v>
      </c>
      <c r="G13" s="64">
        <v>83.05</v>
      </c>
      <c r="H13" s="64">
        <v>37.03</v>
      </c>
      <c r="I13" s="64">
        <v>1.54</v>
      </c>
      <c r="J13" s="64">
        <v>0.97</v>
      </c>
      <c r="K13" s="64">
        <v>113.7</v>
      </c>
      <c r="L13" s="64">
        <v>18.39</v>
      </c>
      <c r="M13" s="64">
        <v>67.41</v>
      </c>
      <c r="N13" s="64">
        <v>32.200000000000003</v>
      </c>
      <c r="O13" s="64">
        <v>0</v>
      </c>
      <c r="P13" s="64">
        <v>1.1499999999999999</v>
      </c>
      <c r="Q13" s="64">
        <v>5.78</v>
      </c>
      <c r="R13" s="198"/>
      <c r="S13" s="198"/>
      <c r="T13" s="198"/>
      <c r="U13" s="198"/>
    </row>
    <row r="14" spans="1:21" s="12" customFormat="1" x14ac:dyDescent="0.25">
      <c r="A14" s="215" t="s">
        <v>2751</v>
      </c>
      <c r="B14" s="64">
        <v>3.5</v>
      </c>
      <c r="C14" s="64">
        <v>44.44</v>
      </c>
      <c r="D14" s="64">
        <v>27.97</v>
      </c>
      <c r="E14" s="64">
        <v>2.27</v>
      </c>
      <c r="F14" s="64">
        <v>3.93</v>
      </c>
      <c r="G14" s="64">
        <v>79.13</v>
      </c>
      <c r="H14" s="64">
        <v>31.51</v>
      </c>
      <c r="I14" s="64">
        <v>1.47</v>
      </c>
      <c r="J14" s="64">
        <v>1.28</v>
      </c>
      <c r="K14" s="64">
        <v>119.93</v>
      </c>
      <c r="L14" s="64">
        <v>18.55</v>
      </c>
      <c r="M14" s="64">
        <v>66.25</v>
      </c>
      <c r="N14" s="64">
        <v>32</v>
      </c>
      <c r="O14" s="64">
        <v>0</v>
      </c>
      <c r="P14" s="64">
        <v>1.17</v>
      </c>
      <c r="Q14" s="64">
        <v>5.73</v>
      </c>
      <c r="R14" s="198"/>
      <c r="S14" s="198"/>
      <c r="T14" s="198"/>
      <c r="U14" s="198"/>
    </row>
    <row r="15" spans="1:21" s="12" customFormat="1" x14ac:dyDescent="0.25">
      <c r="A15" s="215" t="s">
        <v>2752</v>
      </c>
      <c r="B15" s="64">
        <v>3.24</v>
      </c>
      <c r="C15" s="64">
        <v>43.16</v>
      </c>
      <c r="D15" s="64">
        <v>27.06</v>
      </c>
      <c r="E15" s="64">
        <v>2.25</v>
      </c>
      <c r="F15" s="64">
        <v>4.0599999999999996</v>
      </c>
      <c r="G15" s="64">
        <v>79.13</v>
      </c>
      <c r="H15" s="64">
        <v>31.51</v>
      </c>
      <c r="I15" s="64">
        <v>1.49</v>
      </c>
      <c r="J15" s="64">
        <v>0.83</v>
      </c>
      <c r="K15" s="64">
        <v>112.54</v>
      </c>
      <c r="L15" s="64">
        <v>18.28</v>
      </c>
      <c r="M15" s="64">
        <v>68.66</v>
      </c>
      <c r="N15" s="64">
        <v>32.799999999999997</v>
      </c>
      <c r="O15" s="64">
        <v>0</v>
      </c>
      <c r="P15" s="64">
        <v>1.1399999999999999</v>
      </c>
      <c r="Q15" s="64">
        <v>5.69</v>
      </c>
      <c r="R15" s="198"/>
      <c r="S15" s="198"/>
      <c r="T15" s="198"/>
      <c r="U15" s="198"/>
    </row>
    <row r="16" spans="1:21" s="12" customFormat="1" x14ac:dyDescent="0.25">
      <c r="A16" s="215" t="s">
        <v>2753</v>
      </c>
      <c r="B16" s="64">
        <v>3.08</v>
      </c>
      <c r="C16" s="64">
        <v>42.69</v>
      </c>
      <c r="D16" s="64">
        <v>26.68</v>
      </c>
      <c r="E16" s="64">
        <v>2.2200000000000002</v>
      </c>
      <c r="F16" s="64">
        <v>3.81</v>
      </c>
      <c r="G16" s="64">
        <v>79.13</v>
      </c>
      <c r="H16" s="64">
        <v>31.51</v>
      </c>
      <c r="I16" s="64">
        <v>1.41</v>
      </c>
      <c r="J16" s="64">
        <v>0.75</v>
      </c>
      <c r="K16" s="64">
        <v>114.7</v>
      </c>
      <c r="L16" s="64">
        <v>18.010000000000002</v>
      </c>
      <c r="M16" s="64">
        <v>70.540000000000006</v>
      </c>
      <c r="N16" s="64">
        <v>32.799999999999997</v>
      </c>
      <c r="O16" s="64">
        <v>0</v>
      </c>
      <c r="P16" s="64">
        <v>1.1000000000000001</v>
      </c>
      <c r="Q16" s="64">
        <v>5.62</v>
      </c>
      <c r="R16" s="198"/>
      <c r="S16" s="198"/>
      <c r="T16" s="198"/>
      <c r="U16" s="198"/>
    </row>
    <row r="17" spans="1:21" s="12" customFormat="1" x14ac:dyDescent="0.25">
      <c r="A17" s="215" t="s">
        <v>2754</v>
      </c>
      <c r="B17" s="64">
        <v>3.05</v>
      </c>
      <c r="C17" s="64">
        <v>42.08</v>
      </c>
      <c r="D17" s="64">
        <v>26.32</v>
      </c>
      <c r="E17" s="64">
        <v>2.23</v>
      </c>
      <c r="F17" s="64">
        <v>3.83</v>
      </c>
      <c r="G17" s="64">
        <v>73.239999999999995</v>
      </c>
      <c r="H17" s="64">
        <v>30.93</v>
      </c>
      <c r="I17" s="64">
        <v>1.54</v>
      </c>
      <c r="J17" s="64">
        <v>1.29</v>
      </c>
      <c r="K17" s="64">
        <v>109.13</v>
      </c>
      <c r="L17" s="64">
        <v>18.13</v>
      </c>
      <c r="M17" s="64">
        <v>69.319999999999993</v>
      </c>
      <c r="N17" s="64">
        <v>32.299999999999997</v>
      </c>
      <c r="O17" s="64">
        <v>0</v>
      </c>
      <c r="P17" s="64">
        <v>1.06</v>
      </c>
      <c r="Q17" s="64">
        <v>5.63</v>
      </c>
      <c r="R17" s="198"/>
      <c r="S17" s="198"/>
      <c r="T17" s="198"/>
      <c r="U17" s="198"/>
    </row>
    <row r="18" spans="1:21" s="12" customFormat="1" x14ac:dyDescent="0.25">
      <c r="A18" s="215" t="s">
        <v>2755</v>
      </c>
      <c r="B18" s="64">
        <v>3</v>
      </c>
      <c r="C18" s="64">
        <v>41.46</v>
      </c>
      <c r="D18" s="64">
        <v>25.93</v>
      </c>
      <c r="E18" s="64">
        <v>2.2200000000000002</v>
      </c>
      <c r="F18" s="64">
        <v>4.01</v>
      </c>
      <c r="G18" s="64">
        <v>69.12</v>
      </c>
      <c r="H18" s="64">
        <v>30.79</v>
      </c>
      <c r="I18" s="64">
        <v>1.45</v>
      </c>
      <c r="J18" s="64">
        <v>1.45</v>
      </c>
      <c r="K18" s="64">
        <v>107.47</v>
      </c>
      <c r="L18" s="64">
        <v>18.059999999999999</v>
      </c>
      <c r="M18" s="64">
        <v>69.680000000000007</v>
      </c>
      <c r="N18" s="64">
        <v>32.799999999999997</v>
      </c>
      <c r="O18" s="64">
        <v>0</v>
      </c>
      <c r="P18" s="64">
        <v>1.04</v>
      </c>
      <c r="Q18" s="64">
        <v>5.61</v>
      </c>
      <c r="R18" s="198"/>
      <c r="S18" s="198"/>
      <c r="T18" s="198"/>
      <c r="U18" s="198"/>
    </row>
    <row r="19" spans="1:21" s="12" customFormat="1" x14ac:dyDescent="0.25">
      <c r="A19" s="215" t="s">
        <v>2756</v>
      </c>
      <c r="B19" s="64">
        <v>2.93</v>
      </c>
      <c r="C19" s="64">
        <v>40.869999999999997</v>
      </c>
      <c r="D19" s="64">
        <v>25.55</v>
      </c>
      <c r="E19" s="64">
        <v>2.25</v>
      </c>
      <c r="F19" s="64">
        <v>3.92</v>
      </c>
      <c r="G19" s="64">
        <v>69.12</v>
      </c>
      <c r="H19" s="64">
        <v>30.79</v>
      </c>
      <c r="I19" s="64">
        <v>1.5</v>
      </c>
      <c r="J19" s="64">
        <v>1.51</v>
      </c>
      <c r="K19" s="64">
        <v>112.53</v>
      </c>
      <c r="L19" s="64">
        <v>17.809999999999999</v>
      </c>
      <c r="M19" s="64">
        <v>71.02</v>
      </c>
      <c r="N19" s="64">
        <v>33.1</v>
      </c>
      <c r="O19" s="64">
        <v>0</v>
      </c>
      <c r="P19" s="64">
        <v>1</v>
      </c>
      <c r="Q19" s="64">
        <v>5.6</v>
      </c>
      <c r="R19" s="198"/>
      <c r="S19" s="198"/>
      <c r="T19" s="198"/>
      <c r="U19" s="198"/>
    </row>
    <row r="20" spans="1:21" s="12" customFormat="1" x14ac:dyDescent="0.25">
      <c r="A20" s="215" t="s">
        <v>2757</v>
      </c>
      <c r="B20" s="64">
        <v>3.05</v>
      </c>
      <c r="C20" s="64">
        <v>39.229999999999997</v>
      </c>
      <c r="D20" s="64">
        <v>24.74</v>
      </c>
      <c r="E20" s="64">
        <v>2.2200000000000002</v>
      </c>
      <c r="F20" s="64">
        <v>3.77</v>
      </c>
      <c r="G20" s="64">
        <v>69.12</v>
      </c>
      <c r="H20" s="64">
        <v>30.79</v>
      </c>
      <c r="I20" s="64">
        <v>1.53</v>
      </c>
      <c r="J20" s="64">
        <v>1.02</v>
      </c>
      <c r="K20" s="64">
        <v>114.41</v>
      </c>
      <c r="L20" s="64">
        <v>17.760000000000002</v>
      </c>
      <c r="M20" s="64">
        <v>71.89</v>
      </c>
      <c r="N20" s="64">
        <v>33.1</v>
      </c>
      <c r="O20" s="64">
        <v>0</v>
      </c>
      <c r="P20" s="64">
        <v>0.97</v>
      </c>
      <c r="Q20" s="64">
        <v>5.58</v>
      </c>
      <c r="R20" s="198"/>
      <c r="S20" s="198"/>
      <c r="T20" s="198"/>
      <c r="U20" s="198"/>
    </row>
    <row r="21" spans="1:21" s="12" customFormat="1" x14ac:dyDescent="0.25">
      <c r="A21" s="215" t="s">
        <v>2758</v>
      </c>
      <c r="B21" s="64">
        <v>6.89</v>
      </c>
      <c r="C21" s="64">
        <v>33.71</v>
      </c>
      <c r="D21" s="64">
        <v>24.78</v>
      </c>
      <c r="E21" s="64">
        <v>2.23</v>
      </c>
      <c r="F21" s="64">
        <v>3.8</v>
      </c>
      <c r="G21" s="64">
        <v>68.38</v>
      </c>
      <c r="H21" s="64">
        <v>33.94</v>
      </c>
      <c r="I21" s="64">
        <v>1.52</v>
      </c>
      <c r="J21" s="64">
        <v>0.97</v>
      </c>
      <c r="K21" s="64">
        <v>107.89</v>
      </c>
      <c r="L21" s="64">
        <v>17.649999999999999</v>
      </c>
      <c r="M21" s="64">
        <v>72.77</v>
      </c>
      <c r="N21" s="64">
        <v>33</v>
      </c>
      <c r="O21" s="64">
        <v>0</v>
      </c>
      <c r="P21" s="64">
        <v>0.94</v>
      </c>
      <c r="Q21" s="64">
        <v>5.57</v>
      </c>
      <c r="R21" s="198"/>
      <c r="S21" s="198"/>
      <c r="T21" s="198"/>
      <c r="U21" s="198"/>
    </row>
    <row r="22" spans="1:21" s="12" customFormat="1" x14ac:dyDescent="0.25">
      <c r="A22" s="215" t="s">
        <v>2759</v>
      </c>
      <c r="B22" s="64">
        <v>6.59</v>
      </c>
      <c r="C22" s="64">
        <v>30.52</v>
      </c>
      <c r="D22" s="64">
        <v>22.78</v>
      </c>
      <c r="E22" s="64">
        <v>2.2400000000000002</v>
      </c>
      <c r="F22" s="64">
        <v>3.66</v>
      </c>
      <c r="G22" s="64">
        <v>67.88</v>
      </c>
      <c r="H22" s="64">
        <v>34.78</v>
      </c>
      <c r="I22" s="64">
        <v>1.46</v>
      </c>
      <c r="J22" s="64">
        <v>1.69</v>
      </c>
      <c r="K22" s="64">
        <v>113.38</v>
      </c>
      <c r="L22" s="64">
        <v>17.72</v>
      </c>
      <c r="M22" s="64">
        <v>70.33</v>
      </c>
      <c r="N22" s="64">
        <v>33</v>
      </c>
      <c r="O22" s="64">
        <v>0</v>
      </c>
      <c r="P22" s="64">
        <v>0.92</v>
      </c>
      <c r="Q22" s="64">
        <v>5.56</v>
      </c>
      <c r="R22" s="198"/>
      <c r="S22" s="198"/>
      <c r="T22" s="198"/>
      <c r="U22" s="198"/>
    </row>
    <row r="23" spans="1:21" s="12" customFormat="1" x14ac:dyDescent="0.25">
      <c r="A23" s="215" t="s">
        <v>2760</v>
      </c>
      <c r="B23" s="64">
        <v>6.99</v>
      </c>
      <c r="C23" s="64">
        <v>29.24</v>
      </c>
      <c r="D23" s="64">
        <v>22.39</v>
      </c>
      <c r="E23" s="64">
        <v>2.54</v>
      </c>
      <c r="F23" s="64">
        <v>3.68</v>
      </c>
      <c r="G23" s="64">
        <v>67.88</v>
      </c>
      <c r="H23" s="64">
        <v>34.78</v>
      </c>
      <c r="I23" s="64">
        <v>1.54</v>
      </c>
      <c r="J23" s="64">
        <v>1.28</v>
      </c>
      <c r="K23" s="64">
        <v>114.75</v>
      </c>
      <c r="L23" s="64">
        <v>17.7</v>
      </c>
      <c r="M23" s="64">
        <v>70.7</v>
      </c>
      <c r="N23" s="64">
        <v>33.299999999999997</v>
      </c>
      <c r="O23" s="64">
        <v>0</v>
      </c>
      <c r="P23" s="64">
        <v>0.89</v>
      </c>
      <c r="Q23" s="64">
        <v>5.56</v>
      </c>
      <c r="R23" s="198"/>
      <c r="S23" s="198"/>
      <c r="T23" s="198"/>
      <c r="U23" s="198"/>
    </row>
    <row r="24" spans="1:21" s="12" customFormat="1" x14ac:dyDescent="0.25">
      <c r="A24" s="215" t="s">
        <v>2761</v>
      </c>
      <c r="B24" s="64">
        <v>6.34</v>
      </c>
      <c r="C24" s="64">
        <v>34.18</v>
      </c>
      <c r="D24" s="64">
        <v>24.6</v>
      </c>
      <c r="E24" s="64">
        <v>2.2999999999999998</v>
      </c>
      <c r="F24" s="64">
        <v>3.72</v>
      </c>
      <c r="G24" s="64">
        <v>67.88</v>
      </c>
      <c r="H24" s="64">
        <v>34.78</v>
      </c>
      <c r="I24" s="64">
        <v>1.52</v>
      </c>
      <c r="J24" s="64">
        <v>0.56999999999999995</v>
      </c>
      <c r="K24" s="64">
        <v>107.56</v>
      </c>
      <c r="L24" s="64">
        <v>17.68</v>
      </c>
      <c r="M24" s="64">
        <v>71.180000000000007</v>
      </c>
      <c r="N24" s="64">
        <v>33.6</v>
      </c>
      <c r="O24" s="64">
        <v>0</v>
      </c>
      <c r="P24" s="64">
        <v>0.87</v>
      </c>
      <c r="Q24" s="64">
        <v>5.6</v>
      </c>
      <c r="R24" s="198"/>
      <c r="S24" s="198"/>
      <c r="T24" s="198"/>
      <c r="U24" s="198"/>
    </row>
    <row r="25" spans="1:21" s="12" customFormat="1" x14ac:dyDescent="0.25">
      <c r="A25" s="215" t="s">
        <v>2762</v>
      </c>
      <c r="B25" s="64">
        <v>5.26</v>
      </c>
      <c r="C25" s="64">
        <v>38.78</v>
      </c>
      <c r="D25" s="64">
        <v>26.27</v>
      </c>
      <c r="E25" s="64">
        <v>2.33</v>
      </c>
      <c r="F25" s="64">
        <v>3.53</v>
      </c>
      <c r="G25" s="64">
        <v>65.150000000000006</v>
      </c>
      <c r="H25" s="64">
        <v>35.06</v>
      </c>
      <c r="I25" s="64">
        <v>1.46</v>
      </c>
      <c r="J25" s="64">
        <v>0.37</v>
      </c>
      <c r="K25" s="64">
        <v>96.27</v>
      </c>
      <c r="L25" s="64">
        <v>17.54</v>
      </c>
      <c r="M25" s="64">
        <v>71.98</v>
      </c>
      <c r="N25" s="64">
        <v>33.6</v>
      </c>
      <c r="O25" s="64">
        <v>0</v>
      </c>
      <c r="P25" s="64">
        <v>0.85</v>
      </c>
      <c r="Q25" s="64">
        <v>5.63</v>
      </c>
      <c r="R25" s="198"/>
      <c r="S25" s="198"/>
      <c r="T25" s="198"/>
      <c r="U25" s="198"/>
    </row>
    <row r="26" spans="1:21" s="12" customFormat="1" x14ac:dyDescent="0.25">
      <c r="A26" s="215" t="s">
        <v>2763</v>
      </c>
      <c r="B26" s="64">
        <v>4.75</v>
      </c>
      <c r="C26" s="64">
        <v>42.14</v>
      </c>
      <c r="D26" s="64">
        <v>27.72</v>
      </c>
      <c r="E26" s="64">
        <v>2.35</v>
      </c>
      <c r="F26" s="64">
        <v>3.61</v>
      </c>
      <c r="G26" s="64">
        <v>63.25</v>
      </c>
      <c r="H26" s="64">
        <v>35.14</v>
      </c>
      <c r="I26" s="64">
        <v>1.59</v>
      </c>
      <c r="J26" s="64">
        <v>0.51</v>
      </c>
      <c r="K26" s="64">
        <v>107.62</v>
      </c>
      <c r="L26" s="64">
        <v>17.39</v>
      </c>
      <c r="M26" s="64">
        <v>72.92</v>
      </c>
      <c r="N26" s="64">
        <v>33.5</v>
      </c>
      <c r="O26" s="64">
        <v>0</v>
      </c>
      <c r="P26" s="64">
        <v>0.84</v>
      </c>
      <c r="Q26" s="64">
        <v>5.64</v>
      </c>
      <c r="R26" s="198"/>
      <c r="S26" s="198"/>
      <c r="T26" s="198"/>
      <c r="U26" s="198"/>
    </row>
    <row r="27" spans="1:21" s="12" customFormat="1" x14ac:dyDescent="0.25">
      <c r="A27" s="215" t="s">
        <v>2764</v>
      </c>
      <c r="B27" s="64">
        <v>4.2</v>
      </c>
      <c r="C27" s="64">
        <v>39.17</v>
      </c>
      <c r="D27" s="64">
        <v>25.63</v>
      </c>
      <c r="E27" s="64">
        <v>2.36</v>
      </c>
      <c r="F27" s="64">
        <v>3.8</v>
      </c>
      <c r="G27" s="64">
        <v>63.25</v>
      </c>
      <c r="H27" s="64">
        <v>35.14</v>
      </c>
      <c r="I27" s="64">
        <v>1.51</v>
      </c>
      <c r="J27" s="64">
        <v>0.21</v>
      </c>
      <c r="K27" s="64">
        <v>110.32</v>
      </c>
      <c r="L27" s="64">
        <v>17.510000000000002</v>
      </c>
      <c r="M27" s="64">
        <v>72.06</v>
      </c>
      <c r="N27" s="64">
        <v>33.799999999999997</v>
      </c>
      <c r="O27" s="64">
        <v>0</v>
      </c>
      <c r="P27" s="64">
        <v>0.83</v>
      </c>
      <c r="Q27" s="64">
        <v>5.64</v>
      </c>
      <c r="R27" s="198"/>
      <c r="S27" s="198"/>
      <c r="T27" s="198"/>
      <c r="U27" s="198"/>
    </row>
    <row r="28" spans="1:21" s="12" customFormat="1" x14ac:dyDescent="0.25">
      <c r="A28" s="215" t="s">
        <v>2765</v>
      </c>
      <c r="B28" s="64">
        <v>3.81</v>
      </c>
      <c r="C28" s="64">
        <v>41.98</v>
      </c>
      <c r="D28" s="64">
        <v>26.87</v>
      </c>
      <c r="E28" s="64">
        <v>2.36</v>
      </c>
      <c r="F28" s="64">
        <v>3.68</v>
      </c>
      <c r="G28" s="64">
        <v>63.25</v>
      </c>
      <c r="H28" s="64">
        <v>35.14</v>
      </c>
      <c r="I28" s="64">
        <v>1.51</v>
      </c>
      <c r="J28" s="64">
        <v>0.15</v>
      </c>
      <c r="K28" s="64">
        <v>106.17</v>
      </c>
      <c r="L28" s="64">
        <v>17.62</v>
      </c>
      <c r="M28" s="64">
        <v>71.180000000000007</v>
      </c>
      <c r="N28" s="64">
        <v>34</v>
      </c>
      <c r="O28" s="64">
        <v>0</v>
      </c>
      <c r="P28" s="64">
        <v>0.81</v>
      </c>
      <c r="Q28" s="64">
        <v>5.68</v>
      </c>
      <c r="R28" s="198"/>
      <c r="S28" s="198"/>
      <c r="T28" s="198"/>
      <c r="U28" s="198"/>
    </row>
    <row r="29" spans="1:21" s="12" customFormat="1" x14ac:dyDescent="0.25">
      <c r="A29" s="215" t="s">
        <v>2766</v>
      </c>
      <c r="B29" s="64">
        <v>8.74</v>
      </c>
      <c r="C29" s="64">
        <v>57.92</v>
      </c>
      <c r="D29" s="64">
        <v>39.619999999999997</v>
      </c>
      <c r="E29" s="64">
        <v>2.2799999999999998</v>
      </c>
      <c r="F29" s="64">
        <v>3.4</v>
      </c>
      <c r="G29" s="64">
        <v>63.97</v>
      </c>
      <c r="H29" s="64">
        <v>37.61</v>
      </c>
      <c r="I29" s="64">
        <v>1.51</v>
      </c>
      <c r="J29" s="64">
        <v>0.08</v>
      </c>
      <c r="K29" s="64">
        <v>10.27</v>
      </c>
      <c r="L29" s="64">
        <v>17.28</v>
      </c>
      <c r="M29" s="64">
        <v>74.099999999999994</v>
      </c>
      <c r="N29" s="64">
        <v>34.5</v>
      </c>
      <c r="O29" s="64">
        <v>0</v>
      </c>
      <c r="P29" s="64">
        <v>0.82</v>
      </c>
      <c r="Q29" s="64">
        <v>5.68</v>
      </c>
      <c r="R29" s="198"/>
      <c r="S29" s="198"/>
      <c r="T29" s="198"/>
      <c r="U29" s="198"/>
    </row>
    <row r="30" spans="1:21" s="12" customFormat="1" x14ac:dyDescent="0.25">
      <c r="A30" s="215" t="s">
        <v>2767</v>
      </c>
      <c r="B30" s="64">
        <v>5.65</v>
      </c>
      <c r="C30" s="64">
        <v>50.16</v>
      </c>
      <c r="D30" s="64">
        <v>32.86</v>
      </c>
      <c r="E30" s="64">
        <v>2.31</v>
      </c>
      <c r="F30" s="64">
        <v>3.74</v>
      </c>
      <c r="G30" s="64">
        <v>64.45</v>
      </c>
      <c r="H30" s="64">
        <v>38.68</v>
      </c>
      <c r="I30" s="64">
        <v>1.51</v>
      </c>
      <c r="J30" s="64">
        <v>0.13</v>
      </c>
      <c r="K30" s="64">
        <v>31.58</v>
      </c>
      <c r="L30" s="64">
        <v>16.91</v>
      </c>
      <c r="M30" s="64">
        <v>76.47</v>
      </c>
      <c r="N30" s="64">
        <v>34.4</v>
      </c>
      <c r="O30" s="64">
        <v>0</v>
      </c>
      <c r="P30" s="64">
        <v>0.82</v>
      </c>
      <c r="Q30" s="64">
        <v>5.76</v>
      </c>
      <c r="R30" s="198"/>
      <c r="S30" s="198"/>
      <c r="T30" s="198"/>
      <c r="U30" s="198"/>
    </row>
    <row r="31" spans="1:21" s="12" customFormat="1" x14ac:dyDescent="0.25">
      <c r="A31" s="215" t="s">
        <v>2768</v>
      </c>
      <c r="B31" s="64">
        <v>4.88</v>
      </c>
      <c r="C31" s="64">
        <v>48.1</v>
      </c>
      <c r="D31" s="64">
        <v>31.11</v>
      </c>
      <c r="E31" s="64">
        <v>2.34</v>
      </c>
      <c r="F31" s="64">
        <v>3.87</v>
      </c>
      <c r="G31" s="64">
        <v>64.45</v>
      </c>
      <c r="H31" s="64">
        <v>38.68</v>
      </c>
      <c r="I31" s="64">
        <v>1.47</v>
      </c>
      <c r="J31" s="64">
        <v>0.17</v>
      </c>
      <c r="K31" s="64">
        <v>114.14</v>
      </c>
      <c r="L31" s="64">
        <v>16.670000000000002</v>
      </c>
      <c r="M31" s="64">
        <v>77.37</v>
      </c>
      <c r="N31" s="64">
        <v>34.200000000000003</v>
      </c>
      <c r="O31" s="64">
        <v>0</v>
      </c>
      <c r="P31" s="64">
        <v>0.81</v>
      </c>
      <c r="Q31" s="64">
        <v>5.79</v>
      </c>
      <c r="R31" s="198"/>
      <c r="S31" s="198"/>
      <c r="T31" s="198"/>
      <c r="U31" s="198"/>
    </row>
    <row r="32" spans="1:21" s="12" customFormat="1" x14ac:dyDescent="0.25">
      <c r="A32" s="215" t="s">
        <v>2769</v>
      </c>
      <c r="B32" s="64">
        <v>12.1</v>
      </c>
      <c r="C32" s="64">
        <v>56.61</v>
      </c>
      <c r="D32" s="64">
        <v>41.59</v>
      </c>
      <c r="E32" s="64">
        <v>2.35</v>
      </c>
      <c r="F32" s="64">
        <v>3.89</v>
      </c>
      <c r="G32" s="64">
        <v>64.45</v>
      </c>
      <c r="H32" s="64">
        <v>38.68</v>
      </c>
      <c r="I32" s="64">
        <v>1.51</v>
      </c>
      <c r="J32" s="64">
        <v>0.12</v>
      </c>
      <c r="K32" s="64">
        <v>89.58</v>
      </c>
      <c r="L32" s="64">
        <v>16.61</v>
      </c>
      <c r="M32" s="64">
        <v>77.98</v>
      </c>
      <c r="N32" s="64">
        <v>34.6</v>
      </c>
      <c r="O32" s="64">
        <v>0</v>
      </c>
      <c r="P32" s="64">
        <v>0.81</v>
      </c>
      <c r="Q32" s="64">
        <v>5.79</v>
      </c>
      <c r="R32" s="198"/>
      <c r="S32" s="198"/>
      <c r="T32" s="198"/>
      <c r="U32" s="198"/>
    </row>
    <row r="33" spans="1:21" s="12" customFormat="1" x14ac:dyDescent="0.25">
      <c r="A33" s="215" t="s">
        <v>2770</v>
      </c>
      <c r="B33" s="64">
        <v>14.83</v>
      </c>
      <c r="C33" s="64">
        <v>66.12</v>
      </c>
      <c r="D33" s="64">
        <v>49.03</v>
      </c>
      <c r="E33" s="64">
        <v>2.39</v>
      </c>
      <c r="F33" s="64">
        <v>3.77</v>
      </c>
      <c r="G33" s="64">
        <v>65.92</v>
      </c>
      <c r="H33" s="64">
        <v>36.840000000000003</v>
      </c>
      <c r="I33" s="64">
        <v>1.51</v>
      </c>
      <c r="J33" s="64">
        <v>0.09</v>
      </c>
      <c r="K33" s="64">
        <v>15.73</v>
      </c>
      <c r="L33" s="64">
        <v>16.440000000000001</v>
      </c>
      <c r="M33" s="64">
        <v>79.55</v>
      </c>
      <c r="N33" s="64">
        <v>36.4</v>
      </c>
      <c r="O33" s="64">
        <v>0</v>
      </c>
      <c r="P33" s="64">
        <v>0.81</v>
      </c>
      <c r="Q33" s="64">
        <v>5.84</v>
      </c>
      <c r="R33" s="198"/>
      <c r="S33" s="198"/>
      <c r="T33" s="198"/>
      <c r="U33" s="198"/>
    </row>
    <row r="34" spans="1:21" s="12" customFormat="1" x14ac:dyDescent="0.25">
      <c r="A34" s="215" t="s">
        <v>2771</v>
      </c>
      <c r="B34" s="64">
        <v>15.22</v>
      </c>
      <c r="C34" s="64">
        <v>70.86</v>
      </c>
      <c r="D34" s="64">
        <v>51.96</v>
      </c>
      <c r="E34" s="64">
        <v>2.2999999999999998</v>
      </c>
      <c r="F34" s="64">
        <v>3.48</v>
      </c>
      <c r="G34" s="64">
        <v>66.900000000000006</v>
      </c>
      <c r="H34" s="64">
        <v>36.4</v>
      </c>
      <c r="I34" s="64">
        <v>1.54</v>
      </c>
      <c r="J34" s="64">
        <v>0.12</v>
      </c>
      <c r="K34" s="64">
        <v>352.21</v>
      </c>
      <c r="L34" s="64">
        <v>16.309999999999999</v>
      </c>
      <c r="M34" s="64">
        <v>81.87</v>
      </c>
      <c r="N34" s="64">
        <v>48.7</v>
      </c>
      <c r="O34" s="64">
        <v>0</v>
      </c>
      <c r="P34" s="64">
        <v>0.84</v>
      </c>
      <c r="Q34" s="64">
        <v>5.9</v>
      </c>
      <c r="R34" s="198"/>
      <c r="S34" s="198"/>
      <c r="T34" s="198"/>
      <c r="U34" s="198"/>
    </row>
    <row r="35" spans="1:21" s="12" customFormat="1" x14ac:dyDescent="0.25">
      <c r="A35" s="215" t="s">
        <v>2772</v>
      </c>
      <c r="B35" s="64">
        <v>7.71</v>
      </c>
      <c r="C35" s="64">
        <v>45.44</v>
      </c>
      <c r="D35" s="64">
        <v>31.91</v>
      </c>
      <c r="E35" s="64">
        <v>2.2799999999999998</v>
      </c>
      <c r="F35" s="64">
        <v>3.47</v>
      </c>
      <c r="G35" s="64">
        <v>66.900000000000006</v>
      </c>
      <c r="H35" s="64">
        <v>36.4</v>
      </c>
      <c r="I35" s="64">
        <v>1.55</v>
      </c>
      <c r="J35" s="64">
        <v>0.24</v>
      </c>
      <c r="K35" s="64">
        <v>106.02</v>
      </c>
      <c r="L35" s="64">
        <v>16.41</v>
      </c>
      <c r="M35" s="64">
        <v>80.930000000000007</v>
      </c>
      <c r="N35" s="64">
        <v>68.7</v>
      </c>
      <c r="O35" s="64">
        <v>0</v>
      </c>
      <c r="P35" s="64">
        <v>0.84</v>
      </c>
      <c r="Q35" s="64">
        <v>6.03</v>
      </c>
      <c r="R35" s="198"/>
      <c r="S35" s="198"/>
      <c r="T35" s="198"/>
      <c r="U35" s="198"/>
    </row>
    <row r="36" spans="1:21" s="12" customFormat="1" x14ac:dyDescent="0.25">
      <c r="A36" s="215" t="s">
        <v>2773</v>
      </c>
      <c r="B36" s="64">
        <v>13.82</v>
      </c>
      <c r="C36" s="64">
        <v>61.41</v>
      </c>
      <c r="D36" s="64">
        <v>45.61</v>
      </c>
      <c r="E36" s="64">
        <v>2.2799999999999998</v>
      </c>
      <c r="F36" s="64">
        <v>3.47</v>
      </c>
      <c r="G36" s="64">
        <v>66.900000000000006</v>
      </c>
      <c r="H36" s="64">
        <v>36.4</v>
      </c>
      <c r="I36" s="64">
        <v>1.45</v>
      </c>
      <c r="J36" s="64">
        <v>0.4</v>
      </c>
      <c r="K36" s="64">
        <v>336</v>
      </c>
      <c r="L36" s="64">
        <v>16.77</v>
      </c>
      <c r="M36" s="64">
        <v>79.03</v>
      </c>
      <c r="N36" s="64">
        <v>83.8</v>
      </c>
      <c r="O36" s="64">
        <v>0</v>
      </c>
      <c r="P36" s="64">
        <v>0.85</v>
      </c>
      <c r="Q36" s="64">
        <v>6.06</v>
      </c>
      <c r="R36" s="198"/>
      <c r="S36" s="198"/>
      <c r="T36" s="198"/>
      <c r="U36" s="198"/>
    </row>
    <row r="37" spans="1:21" s="12" customFormat="1" x14ac:dyDescent="0.25">
      <c r="A37" s="215" t="s">
        <v>2774</v>
      </c>
      <c r="B37" s="64">
        <v>10.82</v>
      </c>
      <c r="C37" s="64">
        <v>64.64</v>
      </c>
      <c r="D37" s="64">
        <v>45</v>
      </c>
      <c r="E37" s="64">
        <v>2.33</v>
      </c>
      <c r="F37" s="64">
        <v>3.33</v>
      </c>
      <c r="G37" s="64">
        <v>69.459999999999994</v>
      </c>
      <c r="H37" s="64">
        <v>41.6</v>
      </c>
      <c r="I37" s="64">
        <v>1.52</v>
      </c>
      <c r="J37" s="64">
        <v>0.63</v>
      </c>
      <c r="K37" s="64">
        <v>343.39</v>
      </c>
      <c r="L37" s="64">
        <v>17.32</v>
      </c>
      <c r="M37" s="64">
        <v>75.650000000000006</v>
      </c>
      <c r="N37" s="64">
        <v>103.4</v>
      </c>
      <c r="O37" s="64">
        <v>0</v>
      </c>
      <c r="P37" s="64">
        <v>0.84</v>
      </c>
      <c r="Q37" s="64">
        <v>6.06</v>
      </c>
      <c r="R37" s="198"/>
      <c r="S37" s="198"/>
      <c r="T37" s="198"/>
      <c r="U37" s="198"/>
    </row>
    <row r="38" spans="1:21" s="12" customFormat="1" x14ac:dyDescent="0.25">
      <c r="A38" s="215" t="s">
        <v>2775</v>
      </c>
      <c r="B38" s="64">
        <v>15.19</v>
      </c>
      <c r="C38" s="64">
        <v>68.42</v>
      </c>
      <c r="D38" s="64">
        <v>50.58</v>
      </c>
      <c r="E38" s="64">
        <v>2.2999999999999998</v>
      </c>
      <c r="F38" s="64">
        <v>3.38</v>
      </c>
      <c r="G38" s="64">
        <v>71.16</v>
      </c>
      <c r="H38" s="64">
        <v>42.88</v>
      </c>
      <c r="I38" s="64">
        <v>1.52</v>
      </c>
      <c r="J38" s="64">
        <v>0.37</v>
      </c>
      <c r="K38" s="64">
        <v>3.2</v>
      </c>
      <c r="L38" s="64">
        <v>17.89</v>
      </c>
      <c r="M38" s="64">
        <v>71.66</v>
      </c>
      <c r="N38" s="64">
        <v>159.69999999999999</v>
      </c>
      <c r="O38" s="64">
        <v>0</v>
      </c>
      <c r="P38" s="64">
        <v>0.9</v>
      </c>
      <c r="Q38" s="64">
        <v>6.08</v>
      </c>
      <c r="R38" s="198"/>
      <c r="S38" s="198"/>
      <c r="T38" s="198"/>
      <c r="U38" s="198"/>
    </row>
    <row r="39" spans="1:21" s="12" customFormat="1" x14ac:dyDescent="0.25">
      <c r="A39" s="215" t="s">
        <v>2776</v>
      </c>
      <c r="B39" s="64">
        <v>12.54</v>
      </c>
      <c r="C39" s="64">
        <v>68.39</v>
      </c>
      <c r="D39" s="64">
        <v>48.44</v>
      </c>
      <c r="E39" s="64">
        <v>2.0099999999999998</v>
      </c>
      <c r="F39" s="64">
        <v>3.26</v>
      </c>
      <c r="G39" s="64">
        <v>71.16</v>
      </c>
      <c r="H39" s="64">
        <v>42.88</v>
      </c>
      <c r="I39" s="64">
        <v>1.51</v>
      </c>
      <c r="J39" s="64">
        <v>0.26</v>
      </c>
      <c r="K39" s="64">
        <v>358.96</v>
      </c>
      <c r="L39" s="64">
        <v>18.760000000000002</v>
      </c>
      <c r="M39" s="64">
        <v>68.36</v>
      </c>
      <c r="N39" s="64">
        <v>217.7</v>
      </c>
      <c r="O39" s="64">
        <v>0</v>
      </c>
      <c r="P39" s="64">
        <v>0.92</v>
      </c>
      <c r="Q39" s="64">
        <v>6.12</v>
      </c>
      <c r="R39" s="198"/>
      <c r="S39" s="198"/>
      <c r="T39" s="198"/>
      <c r="U39" s="198"/>
    </row>
    <row r="40" spans="1:21" s="12" customFormat="1" x14ac:dyDescent="0.25">
      <c r="A40" s="215" t="s">
        <v>2777</v>
      </c>
      <c r="B40" s="64">
        <v>15.11</v>
      </c>
      <c r="C40" s="64">
        <v>76.41</v>
      </c>
      <c r="D40" s="64">
        <v>54.93</v>
      </c>
      <c r="E40" s="64">
        <v>2.02</v>
      </c>
      <c r="F40" s="64">
        <v>3.18</v>
      </c>
      <c r="G40" s="64">
        <v>71.16</v>
      </c>
      <c r="H40" s="64">
        <v>42.88</v>
      </c>
      <c r="I40" s="64">
        <v>1.46</v>
      </c>
      <c r="J40" s="64">
        <v>0.67</v>
      </c>
      <c r="K40" s="64">
        <v>344.09</v>
      </c>
      <c r="L40" s="64">
        <v>20.059999999999999</v>
      </c>
      <c r="M40" s="64">
        <v>62.29</v>
      </c>
      <c r="N40" s="64">
        <v>197.8</v>
      </c>
      <c r="O40" s="64">
        <v>0</v>
      </c>
      <c r="P40" s="64">
        <v>0.94</v>
      </c>
      <c r="Q40" s="64">
        <v>6.15</v>
      </c>
      <c r="R40" s="198"/>
      <c r="S40" s="198"/>
      <c r="T40" s="198"/>
      <c r="U40" s="198"/>
    </row>
    <row r="41" spans="1:21" s="12" customFormat="1" x14ac:dyDescent="0.25">
      <c r="A41" s="215" t="s">
        <v>2778</v>
      </c>
      <c r="B41" s="64">
        <v>16.809999999999999</v>
      </c>
      <c r="C41" s="64">
        <v>69.739999999999995</v>
      </c>
      <c r="D41" s="64">
        <v>52.62</v>
      </c>
      <c r="E41" s="64">
        <v>2.31</v>
      </c>
      <c r="F41" s="64">
        <v>3.12</v>
      </c>
      <c r="G41" s="64">
        <v>78.5</v>
      </c>
      <c r="H41" s="64">
        <v>44.46</v>
      </c>
      <c r="I41" s="64">
        <v>1.5</v>
      </c>
      <c r="J41" s="64">
        <v>0.25</v>
      </c>
      <c r="K41" s="64">
        <v>27.69</v>
      </c>
      <c r="L41" s="64">
        <v>20.39</v>
      </c>
      <c r="M41" s="64">
        <v>60.97</v>
      </c>
      <c r="N41" s="64">
        <v>199</v>
      </c>
      <c r="O41" s="64">
        <v>0</v>
      </c>
      <c r="P41" s="64">
        <v>0.98</v>
      </c>
      <c r="Q41" s="64">
        <v>6.22</v>
      </c>
      <c r="R41" s="198"/>
      <c r="S41" s="198"/>
      <c r="T41" s="198"/>
      <c r="U41" s="198"/>
    </row>
    <row r="42" spans="1:21" s="12" customFormat="1" x14ac:dyDescent="0.25">
      <c r="A42" s="215" t="s">
        <v>2779</v>
      </c>
      <c r="B42" s="64">
        <v>15.28</v>
      </c>
      <c r="C42" s="64">
        <v>70.150000000000006</v>
      </c>
      <c r="D42" s="64">
        <v>51.62</v>
      </c>
      <c r="E42" s="64">
        <v>2.2999999999999998</v>
      </c>
      <c r="F42" s="64">
        <v>3.09</v>
      </c>
      <c r="G42" s="64">
        <v>83.4</v>
      </c>
      <c r="H42" s="64">
        <v>44.84</v>
      </c>
      <c r="I42" s="64">
        <v>1.5</v>
      </c>
      <c r="J42" s="64">
        <v>0.5</v>
      </c>
      <c r="K42" s="64">
        <v>352.82</v>
      </c>
      <c r="L42" s="64">
        <v>19.66</v>
      </c>
      <c r="M42" s="64">
        <v>65</v>
      </c>
      <c r="N42" s="64">
        <v>201.7</v>
      </c>
      <c r="O42" s="64">
        <v>0</v>
      </c>
      <c r="P42" s="64">
        <v>1</v>
      </c>
      <c r="Q42" s="64">
        <v>6.32</v>
      </c>
      <c r="R42" s="198"/>
      <c r="S42" s="198"/>
      <c r="T42" s="198"/>
      <c r="U42" s="198"/>
    </row>
    <row r="43" spans="1:21" s="12" customFormat="1" x14ac:dyDescent="0.25">
      <c r="A43" s="215" t="s">
        <v>2780</v>
      </c>
      <c r="B43" s="64">
        <v>14.12</v>
      </c>
      <c r="C43" s="64">
        <v>71.61</v>
      </c>
      <c r="D43" s="64">
        <v>51.49</v>
      </c>
      <c r="E43" s="64">
        <v>2.33</v>
      </c>
      <c r="F43" s="64">
        <v>3.23</v>
      </c>
      <c r="G43" s="64">
        <v>83.4</v>
      </c>
      <c r="H43" s="64">
        <v>44.84</v>
      </c>
      <c r="I43" s="64">
        <v>1.38</v>
      </c>
      <c r="J43" s="64">
        <v>0.25</v>
      </c>
      <c r="K43" s="64">
        <v>13.4</v>
      </c>
      <c r="L43" s="64">
        <v>20.28</v>
      </c>
      <c r="M43" s="64">
        <v>62</v>
      </c>
      <c r="N43" s="64">
        <v>196.7</v>
      </c>
      <c r="O43" s="64">
        <v>0</v>
      </c>
      <c r="P43" s="64">
        <v>1.02</v>
      </c>
      <c r="Q43" s="64">
        <v>6.37</v>
      </c>
      <c r="R43" s="198"/>
      <c r="S43" s="198"/>
      <c r="T43" s="198"/>
      <c r="U43" s="198"/>
    </row>
    <row r="44" spans="1:21" s="12" customFormat="1" x14ac:dyDescent="0.25">
      <c r="A44" s="215" t="s">
        <v>2781</v>
      </c>
      <c r="B44" s="64">
        <v>18.13</v>
      </c>
      <c r="C44" s="64">
        <v>89.45</v>
      </c>
      <c r="D44" s="64">
        <v>64.55</v>
      </c>
      <c r="E44" s="64">
        <v>2.2799999999999998</v>
      </c>
      <c r="F44" s="64">
        <v>3.51</v>
      </c>
      <c r="G44" s="64">
        <v>83.4</v>
      </c>
      <c r="H44" s="64">
        <v>44.84</v>
      </c>
      <c r="I44" s="64">
        <v>1.45</v>
      </c>
      <c r="J44" s="64">
        <v>0.54</v>
      </c>
      <c r="K44" s="64">
        <v>341.82</v>
      </c>
      <c r="L44" s="64">
        <v>20.23</v>
      </c>
      <c r="M44" s="64">
        <v>61.94</v>
      </c>
      <c r="N44" s="64">
        <v>187.7</v>
      </c>
      <c r="O44" s="64">
        <v>0</v>
      </c>
      <c r="P44" s="64">
        <v>1.04</v>
      </c>
      <c r="Q44" s="64">
        <v>6.4</v>
      </c>
      <c r="R44" s="198"/>
      <c r="S44" s="198"/>
      <c r="T44" s="198"/>
      <c r="U44" s="198"/>
    </row>
    <row r="45" spans="1:21" s="12" customFormat="1" x14ac:dyDescent="0.25">
      <c r="A45" s="215" t="s">
        <v>2782</v>
      </c>
      <c r="B45" s="64">
        <v>15.76</v>
      </c>
      <c r="C45" s="64">
        <v>85.61</v>
      </c>
      <c r="D45" s="64">
        <v>60.53</v>
      </c>
      <c r="E45" s="64">
        <v>2.37</v>
      </c>
      <c r="F45" s="64">
        <v>3.14</v>
      </c>
      <c r="G45" s="64">
        <v>87.34</v>
      </c>
      <c r="H45" s="64">
        <v>45.75</v>
      </c>
      <c r="I45" s="64">
        <v>1.49</v>
      </c>
      <c r="J45" s="64">
        <v>0.55000000000000004</v>
      </c>
      <c r="K45" s="64">
        <v>343.18</v>
      </c>
      <c r="L45" s="64">
        <v>20.82</v>
      </c>
      <c r="M45" s="64">
        <v>59.68</v>
      </c>
      <c r="N45" s="64">
        <v>186.2</v>
      </c>
      <c r="O45" s="64">
        <v>0</v>
      </c>
      <c r="P45" s="64">
        <v>1.07</v>
      </c>
      <c r="Q45" s="64">
        <v>6.45</v>
      </c>
      <c r="R45" s="198"/>
      <c r="S45" s="198"/>
      <c r="T45" s="198"/>
      <c r="U45" s="198"/>
    </row>
    <row r="46" spans="1:21" s="12" customFormat="1" x14ac:dyDescent="0.25">
      <c r="A46" s="215" t="s">
        <v>2783</v>
      </c>
      <c r="B46" s="64">
        <v>12.01</v>
      </c>
      <c r="C46" s="64">
        <v>76.069999999999993</v>
      </c>
      <c r="D46" s="64">
        <v>52.26</v>
      </c>
      <c r="E46" s="64">
        <v>2.38</v>
      </c>
      <c r="F46" s="64">
        <v>3.22</v>
      </c>
      <c r="G46" s="64">
        <v>89.97</v>
      </c>
      <c r="H46" s="64">
        <v>46.14</v>
      </c>
      <c r="I46" s="64">
        <v>1.48</v>
      </c>
      <c r="J46" s="64">
        <v>0.64</v>
      </c>
      <c r="K46" s="64">
        <v>339.24</v>
      </c>
      <c r="L46" s="64">
        <v>21.19</v>
      </c>
      <c r="M46" s="64">
        <v>59.82</v>
      </c>
      <c r="N46" s="64">
        <v>267.2</v>
      </c>
      <c r="O46" s="64">
        <v>0</v>
      </c>
      <c r="P46" s="64">
        <v>1.0900000000000001</v>
      </c>
      <c r="Q46" s="64">
        <v>6.5</v>
      </c>
      <c r="R46" s="198"/>
      <c r="S46" s="198"/>
      <c r="T46" s="198"/>
      <c r="U46" s="198"/>
    </row>
    <row r="47" spans="1:21" s="12" customFormat="1" x14ac:dyDescent="0.25">
      <c r="A47" s="215" t="s">
        <v>2784</v>
      </c>
      <c r="B47" s="64">
        <v>12.43</v>
      </c>
      <c r="C47" s="64">
        <v>79.98</v>
      </c>
      <c r="D47" s="64">
        <v>54.76</v>
      </c>
      <c r="E47" s="64">
        <v>2.37</v>
      </c>
      <c r="F47" s="64">
        <v>3.24</v>
      </c>
      <c r="G47" s="64">
        <v>89.97</v>
      </c>
      <c r="H47" s="64">
        <v>46.14</v>
      </c>
      <c r="I47" s="64">
        <v>1.52</v>
      </c>
      <c r="J47" s="64">
        <v>0.53</v>
      </c>
      <c r="K47" s="64">
        <v>340.6</v>
      </c>
      <c r="L47" s="64">
        <v>22.52</v>
      </c>
      <c r="M47" s="64">
        <v>55.39</v>
      </c>
      <c r="N47" s="64">
        <v>299.8</v>
      </c>
      <c r="O47" s="64">
        <v>0</v>
      </c>
      <c r="P47" s="64">
        <v>1.1200000000000001</v>
      </c>
      <c r="Q47" s="64">
        <v>6.54</v>
      </c>
      <c r="R47" s="198"/>
      <c r="S47" s="198"/>
      <c r="T47" s="198"/>
      <c r="U47" s="198"/>
    </row>
    <row r="48" spans="1:21" s="12" customFormat="1" x14ac:dyDescent="0.25">
      <c r="A48" s="215" t="s">
        <v>2785</v>
      </c>
      <c r="B48" s="64">
        <v>12.75</v>
      </c>
      <c r="C48" s="64">
        <v>80.41</v>
      </c>
      <c r="D48" s="64">
        <v>55.25</v>
      </c>
      <c r="E48" s="64">
        <v>2.27</v>
      </c>
      <c r="F48" s="64">
        <v>3.3</v>
      </c>
      <c r="G48" s="64">
        <v>89.97</v>
      </c>
      <c r="H48" s="64">
        <v>46.14</v>
      </c>
      <c r="I48" s="64">
        <v>1.46</v>
      </c>
      <c r="J48" s="64">
        <v>0.39</v>
      </c>
      <c r="K48" s="64">
        <v>356.73</v>
      </c>
      <c r="L48" s="64">
        <v>22.27</v>
      </c>
      <c r="M48" s="64">
        <v>56.06</v>
      </c>
      <c r="N48" s="64">
        <v>316.10000000000002</v>
      </c>
      <c r="O48" s="64">
        <v>0</v>
      </c>
      <c r="P48" s="64">
        <v>1.1399999999999999</v>
      </c>
      <c r="Q48" s="64">
        <v>6.54</v>
      </c>
      <c r="R48" s="198"/>
      <c r="S48" s="198"/>
      <c r="T48" s="198"/>
      <c r="U48" s="198"/>
    </row>
    <row r="49" spans="1:21" s="12" customFormat="1" x14ac:dyDescent="0.25">
      <c r="A49" s="215" t="s">
        <v>2786</v>
      </c>
      <c r="B49" s="64">
        <v>14.11</v>
      </c>
      <c r="C49" s="64">
        <v>96.51</v>
      </c>
      <c r="D49" s="64">
        <v>65.22</v>
      </c>
      <c r="E49" s="64">
        <v>2.33</v>
      </c>
      <c r="F49" s="64">
        <v>3.38</v>
      </c>
      <c r="G49" s="64">
        <v>89.93</v>
      </c>
      <c r="H49" s="64">
        <v>46</v>
      </c>
      <c r="I49" s="64">
        <v>1.52</v>
      </c>
      <c r="J49" s="64">
        <v>0.62</v>
      </c>
      <c r="K49" s="64">
        <v>338.52</v>
      </c>
      <c r="L49" s="64">
        <v>22.76</v>
      </c>
      <c r="M49" s="64">
        <v>53.78</v>
      </c>
      <c r="N49" s="64">
        <v>293</v>
      </c>
      <c r="O49" s="64">
        <v>0</v>
      </c>
      <c r="P49" s="64">
        <v>1.17</v>
      </c>
      <c r="Q49" s="64">
        <v>6.55</v>
      </c>
      <c r="R49" s="198"/>
      <c r="S49" s="198"/>
      <c r="T49" s="198"/>
      <c r="U49" s="198"/>
    </row>
    <row r="50" spans="1:21" s="12" customFormat="1" x14ac:dyDescent="0.25">
      <c r="A50" s="215" t="s">
        <v>2787</v>
      </c>
      <c r="B50" s="64">
        <v>10.71</v>
      </c>
      <c r="C50" s="64">
        <v>95.3</v>
      </c>
      <c r="D50" s="64">
        <v>61.83</v>
      </c>
      <c r="E50" s="64">
        <v>2.38</v>
      </c>
      <c r="F50" s="64">
        <v>3.08</v>
      </c>
      <c r="G50" s="64">
        <v>89.91</v>
      </c>
      <c r="H50" s="64">
        <v>45.96</v>
      </c>
      <c r="I50" s="64">
        <v>1.57</v>
      </c>
      <c r="J50" s="64">
        <v>0.76</v>
      </c>
      <c r="K50" s="64">
        <v>339.76</v>
      </c>
      <c r="L50" s="64">
        <v>23.3</v>
      </c>
      <c r="M50" s="64">
        <v>52.96</v>
      </c>
      <c r="N50" s="64">
        <v>255.6</v>
      </c>
      <c r="O50" s="64">
        <v>0</v>
      </c>
      <c r="P50" s="64">
        <v>1.19</v>
      </c>
      <c r="Q50" s="64">
        <v>6.55</v>
      </c>
      <c r="R50" s="198"/>
      <c r="S50" s="198"/>
      <c r="T50" s="198"/>
      <c r="U50" s="198"/>
    </row>
    <row r="51" spans="1:21" s="12" customFormat="1" x14ac:dyDescent="0.25">
      <c r="A51" s="215" t="s">
        <v>2788</v>
      </c>
      <c r="B51" s="64">
        <v>26.58</v>
      </c>
      <c r="C51" s="64">
        <v>103.89</v>
      </c>
      <c r="D51" s="64">
        <v>79.290000000000006</v>
      </c>
      <c r="E51" s="64">
        <v>2.39</v>
      </c>
      <c r="F51" s="64">
        <v>3.5</v>
      </c>
      <c r="G51" s="64">
        <v>89.91</v>
      </c>
      <c r="H51" s="64">
        <v>45.96</v>
      </c>
      <c r="I51" s="64">
        <v>1.47</v>
      </c>
      <c r="J51" s="64">
        <v>0.93</v>
      </c>
      <c r="K51" s="64">
        <v>339.95</v>
      </c>
      <c r="L51" s="64">
        <v>23.14</v>
      </c>
      <c r="M51" s="64">
        <v>57.11</v>
      </c>
      <c r="N51" s="64">
        <v>240.8</v>
      </c>
      <c r="O51" s="64">
        <v>0</v>
      </c>
      <c r="P51" s="64">
        <v>1.37</v>
      </c>
      <c r="Q51" s="64">
        <v>6.78</v>
      </c>
      <c r="R51" s="198"/>
      <c r="S51" s="198"/>
      <c r="T51" s="198"/>
      <c r="U51" s="198"/>
    </row>
    <row r="52" spans="1:21" s="12" customFormat="1" x14ac:dyDescent="0.25">
      <c r="A52" s="215" t="s">
        <v>2789</v>
      </c>
      <c r="B52" s="64">
        <v>22.83</v>
      </c>
      <c r="C52" s="64">
        <v>103.82</v>
      </c>
      <c r="D52" s="64">
        <v>76.25</v>
      </c>
      <c r="E52" s="64">
        <v>2.39</v>
      </c>
      <c r="F52" s="64">
        <v>3.75</v>
      </c>
      <c r="G52" s="64">
        <v>89.91</v>
      </c>
      <c r="H52" s="64">
        <v>45.96</v>
      </c>
      <c r="I52" s="64">
        <v>1.45</v>
      </c>
      <c r="J52" s="64">
        <v>1.3</v>
      </c>
      <c r="K52" s="64">
        <v>345.47</v>
      </c>
      <c r="L52" s="64">
        <v>23.07</v>
      </c>
      <c r="M52" s="64">
        <v>56.08</v>
      </c>
      <c r="N52" s="64">
        <v>259</v>
      </c>
      <c r="O52" s="64">
        <v>0</v>
      </c>
      <c r="P52" s="64">
        <v>1.45</v>
      </c>
      <c r="Q52" s="64">
        <v>7.05</v>
      </c>
      <c r="R52" s="198"/>
      <c r="S52" s="198"/>
      <c r="T52" s="198"/>
      <c r="U52" s="198"/>
    </row>
    <row r="53" spans="1:21" s="12" customFormat="1" x14ac:dyDescent="0.25">
      <c r="A53" s="215" t="s">
        <v>2790</v>
      </c>
      <c r="B53" s="64">
        <v>15.49</v>
      </c>
      <c r="C53" s="64">
        <v>102.43</v>
      </c>
      <c r="D53" s="64">
        <v>69.599999999999994</v>
      </c>
      <c r="E53" s="64">
        <v>2.42</v>
      </c>
      <c r="F53" s="64">
        <v>3.58</v>
      </c>
      <c r="G53" s="64">
        <v>103.08</v>
      </c>
      <c r="H53" s="64">
        <v>48.71</v>
      </c>
      <c r="I53" s="64">
        <v>1.48</v>
      </c>
      <c r="J53" s="64">
        <v>0.91</v>
      </c>
      <c r="K53" s="64">
        <v>341.67</v>
      </c>
      <c r="L53" s="64">
        <v>23.12</v>
      </c>
      <c r="M53" s="64">
        <v>55.51</v>
      </c>
      <c r="N53" s="64">
        <v>275.7</v>
      </c>
      <c r="O53" s="64">
        <v>0</v>
      </c>
      <c r="P53" s="64">
        <v>1.5</v>
      </c>
      <c r="Q53" s="64">
        <v>7.24</v>
      </c>
      <c r="R53" s="198"/>
      <c r="S53" s="198"/>
      <c r="T53" s="198"/>
      <c r="U53" s="198"/>
    </row>
    <row r="54" spans="1:21" s="12" customFormat="1" x14ac:dyDescent="0.25">
      <c r="A54" s="215" t="s">
        <v>2791</v>
      </c>
      <c r="B54" s="64">
        <v>17.149999999999999</v>
      </c>
      <c r="C54" s="64">
        <v>100.55</v>
      </c>
      <c r="D54" s="64">
        <v>69.89</v>
      </c>
      <c r="E54" s="64">
        <v>2.39</v>
      </c>
      <c r="F54" s="64">
        <v>3.6</v>
      </c>
      <c r="G54" s="64">
        <v>111.86</v>
      </c>
      <c r="H54" s="64">
        <v>49.38</v>
      </c>
      <c r="I54" s="64">
        <v>1.48</v>
      </c>
      <c r="J54" s="64">
        <v>1.17</v>
      </c>
      <c r="K54" s="64">
        <v>340.04</v>
      </c>
      <c r="L54" s="64">
        <v>23.29</v>
      </c>
      <c r="M54" s="64">
        <v>55.48</v>
      </c>
      <c r="N54" s="64">
        <v>261.3</v>
      </c>
      <c r="O54" s="64">
        <v>0</v>
      </c>
      <c r="P54" s="64">
        <v>1.53</v>
      </c>
      <c r="Q54" s="64">
        <v>7.25</v>
      </c>
      <c r="R54" s="198"/>
      <c r="S54" s="198"/>
      <c r="T54" s="198"/>
      <c r="U54" s="198"/>
    </row>
    <row r="55" spans="1:21" s="12" customFormat="1" x14ac:dyDescent="0.25">
      <c r="A55" s="215" t="s">
        <v>2792</v>
      </c>
      <c r="B55" s="64">
        <v>20.059999999999999</v>
      </c>
      <c r="C55" s="64">
        <v>112.17</v>
      </c>
      <c r="D55" s="64">
        <v>78.64</v>
      </c>
      <c r="E55" s="64">
        <v>2.36</v>
      </c>
      <c r="F55" s="64">
        <v>3.52</v>
      </c>
      <c r="G55" s="64">
        <v>111.86</v>
      </c>
      <c r="H55" s="64">
        <v>49.38</v>
      </c>
      <c r="I55" s="64">
        <v>1.56</v>
      </c>
      <c r="J55" s="64">
        <v>0.77</v>
      </c>
      <c r="K55" s="64">
        <v>343.87</v>
      </c>
      <c r="L55" s="64">
        <v>23.21</v>
      </c>
      <c r="M55" s="64">
        <v>55.87</v>
      </c>
      <c r="N55" s="64">
        <v>222.6</v>
      </c>
      <c r="O55" s="64">
        <v>0</v>
      </c>
      <c r="P55" s="64">
        <v>1.56</v>
      </c>
      <c r="Q55" s="64">
        <v>7.32</v>
      </c>
      <c r="R55" s="198"/>
      <c r="S55" s="198"/>
      <c r="T55" s="198"/>
      <c r="U55" s="198"/>
    </row>
    <row r="56" spans="1:21" s="12" customFormat="1" x14ac:dyDescent="0.25">
      <c r="A56" s="215" t="s">
        <v>2793</v>
      </c>
      <c r="B56" s="64">
        <v>19.2</v>
      </c>
      <c r="C56" s="64">
        <v>114.17</v>
      </c>
      <c r="D56" s="64">
        <v>79.05</v>
      </c>
      <c r="E56" s="64">
        <v>2.25</v>
      </c>
      <c r="F56" s="64">
        <v>3.34</v>
      </c>
      <c r="G56" s="64">
        <v>111.86</v>
      </c>
      <c r="H56" s="64">
        <v>49.38</v>
      </c>
      <c r="I56" s="64">
        <v>1.45</v>
      </c>
      <c r="J56" s="64">
        <v>0.77</v>
      </c>
      <c r="K56" s="64">
        <v>343.32</v>
      </c>
      <c r="L56" s="64">
        <v>23.01</v>
      </c>
      <c r="M56" s="64">
        <v>56.2</v>
      </c>
      <c r="N56" s="64">
        <v>205</v>
      </c>
      <c r="O56" s="64">
        <v>0</v>
      </c>
      <c r="P56" s="64">
        <v>1.6</v>
      </c>
      <c r="Q56" s="64">
        <v>7.3</v>
      </c>
      <c r="R56" s="198"/>
      <c r="S56" s="198"/>
      <c r="T56" s="198"/>
      <c r="U56" s="198"/>
    </row>
    <row r="57" spans="1:21" s="12" customFormat="1" x14ac:dyDescent="0.25">
      <c r="A57" s="215" t="s">
        <v>2794</v>
      </c>
      <c r="B57" s="64">
        <v>13.72</v>
      </c>
      <c r="C57" s="64">
        <v>90.09</v>
      </c>
      <c r="D57" s="64">
        <v>61.37</v>
      </c>
      <c r="E57" s="64">
        <v>2.27</v>
      </c>
      <c r="F57" s="64">
        <v>3.12</v>
      </c>
      <c r="G57" s="64">
        <v>125.89</v>
      </c>
      <c r="H57" s="64">
        <v>60.03</v>
      </c>
      <c r="I57" s="64">
        <v>1.54</v>
      </c>
      <c r="J57" s="64">
        <v>0.28999999999999998</v>
      </c>
      <c r="K57" s="64">
        <v>90.79</v>
      </c>
      <c r="L57" s="64">
        <v>21.91</v>
      </c>
      <c r="M57" s="64">
        <v>59.1</v>
      </c>
      <c r="N57" s="64">
        <v>171.8</v>
      </c>
      <c r="O57" s="64">
        <v>0</v>
      </c>
      <c r="P57" s="64">
        <v>1.63</v>
      </c>
      <c r="Q57" s="64">
        <v>7.33</v>
      </c>
      <c r="R57" s="198"/>
      <c r="S57" s="198"/>
      <c r="T57" s="198"/>
      <c r="U57" s="198"/>
    </row>
    <row r="58" spans="1:21" s="12" customFormat="1" x14ac:dyDescent="0.25">
      <c r="A58" s="215" t="s">
        <v>2795</v>
      </c>
      <c r="B58" s="64">
        <v>9.36</v>
      </c>
      <c r="C58" s="64">
        <v>66.27</v>
      </c>
      <c r="D58" s="64">
        <v>44.73</v>
      </c>
      <c r="E58" s="64">
        <v>2.2799999999999998</v>
      </c>
      <c r="F58" s="64">
        <v>3.32</v>
      </c>
      <c r="G58" s="64">
        <v>135.24</v>
      </c>
      <c r="H58" s="64">
        <v>62.6</v>
      </c>
      <c r="I58" s="64">
        <v>1.49</v>
      </c>
      <c r="J58" s="64">
        <v>0.8</v>
      </c>
      <c r="K58" s="64">
        <v>107.03</v>
      </c>
      <c r="L58" s="64">
        <v>21.11</v>
      </c>
      <c r="M58" s="64">
        <v>60.55</v>
      </c>
      <c r="N58" s="64">
        <v>172.2</v>
      </c>
      <c r="O58" s="64">
        <v>0</v>
      </c>
      <c r="P58" s="64">
        <v>1.61</v>
      </c>
      <c r="Q58" s="64">
        <v>7.27</v>
      </c>
      <c r="R58" s="198"/>
      <c r="S58" s="198"/>
      <c r="T58" s="198"/>
      <c r="U58" s="198"/>
    </row>
    <row r="59" spans="1:21" s="12" customFormat="1" x14ac:dyDescent="0.25">
      <c r="A59" s="215" t="s">
        <v>2796</v>
      </c>
      <c r="B59" s="64">
        <v>7.02</v>
      </c>
      <c r="C59" s="64">
        <v>63.29</v>
      </c>
      <c r="D59" s="64">
        <v>41.2</v>
      </c>
      <c r="E59" s="64">
        <v>2.2999999999999998</v>
      </c>
      <c r="F59" s="64">
        <v>3.62</v>
      </c>
      <c r="G59" s="64">
        <v>135.24</v>
      </c>
      <c r="H59" s="64">
        <v>62.6</v>
      </c>
      <c r="I59" s="64">
        <v>1.52</v>
      </c>
      <c r="J59" s="64">
        <v>0.68</v>
      </c>
      <c r="K59" s="64">
        <v>116.35</v>
      </c>
      <c r="L59" s="64">
        <v>20.96</v>
      </c>
      <c r="M59" s="64">
        <v>61.78</v>
      </c>
      <c r="N59" s="64">
        <v>178.3</v>
      </c>
      <c r="O59" s="64">
        <v>0</v>
      </c>
      <c r="P59" s="64">
        <v>1.57</v>
      </c>
      <c r="Q59" s="64">
        <v>7.19</v>
      </c>
      <c r="R59" s="198"/>
      <c r="S59" s="198"/>
      <c r="T59" s="198"/>
      <c r="U59" s="198"/>
    </row>
    <row r="60" spans="1:21" s="12" customFormat="1" x14ac:dyDescent="0.25">
      <c r="A60" s="215" t="s">
        <v>2797</v>
      </c>
      <c r="B60" s="64">
        <v>5.6</v>
      </c>
      <c r="C60" s="64">
        <v>49.19</v>
      </c>
      <c r="D60" s="64">
        <v>32.29</v>
      </c>
      <c r="E60" s="64">
        <v>2.34</v>
      </c>
      <c r="F60" s="64">
        <v>3.55</v>
      </c>
      <c r="G60" s="64">
        <v>135.24</v>
      </c>
      <c r="H60" s="64">
        <v>62.6</v>
      </c>
      <c r="I60" s="64">
        <v>1.49</v>
      </c>
      <c r="J60" s="64">
        <v>0.87</v>
      </c>
      <c r="K60" s="64">
        <v>106.41</v>
      </c>
      <c r="L60" s="64">
        <v>21.13</v>
      </c>
      <c r="M60" s="64">
        <v>60.76</v>
      </c>
      <c r="N60" s="64">
        <v>275.60000000000002</v>
      </c>
      <c r="O60" s="64">
        <v>0</v>
      </c>
      <c r="P60" s="64">
        <v>1.53</v>
      </c>
      <c r="Q60" s="64">
        <v>7.07</v>
      </c>
      <c r="R60" s="198"/>
      <c r="S60" s="198"/>
      <c r="T60" s="198"/>
      <c r="U60" s="198"/>
    </row>
    <row r="61" spans="1:21" s="12" customFormat="1" x14ac:dyDescent="0.25">
      <c r="A61" s="215" t="s">
        <v>2798</v>
      </c>
      <c r="B61" s="64">
        <v>7.3</v>
      </c>
      <c r="C61" s="64">
        <v>71.22</v>
      </c>
      <c r="D61" s="64">
        <v>45.81</v>
      </c>
      <c r="E61" s="64">
        <v>2.2400000000000002</v>
      </c>
      <c r="F61" s="64">
        <v>3.44</v>
      </c>
      <c r="G61" s="64">
        <v>121.65</v>
      </c>
      <c r="H61" s="64">
        <v>56.34</v>
      </c>
      <c r="I61" s="64">
        <v>1.49</v>
      </c>
      <c r="J61" s="64">
        <v>0.36</v>
      </c>
      <c r="K61" s="64">
        <v>5.96</v>
      </c>
      <c r="L61" s="64">
        <v>22.49</v>
      </c>
      <c r="M61" s="64">
        <v>56.02</v>
      </c>
      <c r="N61" s="64">
        <v>401.4</v>
      </c>
      <c r="O61" s="64">
        <v>0</v>
      </c>
      <c r="P61" s="64">
        <v>1.43</v>
      </c>
      <c r="Q61" s="64">
        <v>6.89</v>
      </c>
      <c r="R61" s="198"/>
      <c r="S61" s="198"/>
      <c r="T61" s="198"/>
      <c r="U61" s="198"/>
    </row>
    <row r="62" spans="1:21" s="12" customFormat="1" x14ac:dyDescent="0.25">
      <c r="A62" s="215" t="s">
        <v>2799</v>
      </c>
      <c r="B62" s="64">
        <v>4.4800000000000004</v>
      </c>
      <c r="C62" s="64">
        <v>55.44</v>
      </c>
      <c r="D62" s="64">
        <v>34.840000000000003</v>
      </c>
      <c r="E62" s="64">
        <v>2.25</v>
      </c>
      <c r="F62" s="64">
        <v>3.47</v>
      </c>
      <c r="G62" s="64">
        <v>112.59</v>
      </c>
      <c r="H62" s="64">
        <v>53.62</v>
      </c>
      <c r="I62" s="64">
        <v>1.5</v>
      </c>
      <c r="J62" s="64">
        <v>0.35</v>
      </c>
      <c r="K62" s="64">
        <v>103.12</v>
      </c>
      <c r="L62" s="64">
        <v>23.2</v>
      </c>
      <c r="M62" s="64">
        <v>51.99</v>
      </c>
      <c r="N62" s="64">
        <v>329.8</v>
      </c>
      <c r="O62" s="64">
        <v>0</v>
      </c>
      <c r="P62" s="64">
        <v>1.47</v>
      </c>
      <c r="Q62" s="64">
        <v>6.77</v>
      </c>
      <c r="R62" s="198"/>
      <c r="S62" s="198"/>
      <c r="T62" s="198"/>
      <c r="U62" s="198"/>
    </row>
    <row r="63" spans="1:21" s="12" customFormat="1" x14ac:dyDescent="0.25">
      <c r="A63" s="215" t="s">
        <v>2800</v>
      </c>
      <c r="B63" s="64">
        <v>5.38</v>
      </c>
      <c r="C63" s="64">
        <v>47.22</v>
      </c>
      <c r="D63" s="64">
        <v>31.02</v>
      </c>
      <c r="E63" s="64">
        <v>2.4500000000000002</v>
      </c>
      <c r="F63" s="64">
        <v>4.29</v>
      </c>
      <c r="G63" s="64">
        <v>112.59</v>
      </c>
      <c r="H63" s="64">
        <v>53.62</v>
      </c>
      <c r="I63" s="64">
        <v>1.48</v>
      </c>
      <c r="J63" s="64">
        <v>1.1200000000000001</v>
      </c>
      <c r="K63" s="64">
        <v>118.53</v>
      </c>
      <c r="L63" s="64">
        <v>22.46</v>
      </c>
      <c r="M63" s="64">
        <v>53.1</v>
      </c>
      <c r="N63" s="64">
        <v>282.8</v>
      </c>
      <c r="O63" s="64">
        <v>0</v>
      </c>
      <c r="P63" s="64">
        <v>1.41</v>
      </c>
      <c r="Q63" s="64">
        <v>6.76</v>
      </c>
      <c r="R63" s="198"/>
      <c r="S63" s="198"/>
      <c r="T63" s="198"/>
      <c r="U63" s="198"/>
    </row>
    <row r="64" spans="1:21" s="12" customFormat="1" x14ac:dyDescent="0.25">
      <c r="A64" s="215" t="s">
        <v>2801</v>
      </c>
      <c r="B64" s="64">
        <v>4.3</v>
      </c>
      <c r="C64" s="64">
        <v>41.83</v>
      </c>
      <c r="D64" s="64">
        <v>27.18</v>
      </c>
      <c r="E64" s="64">
        <v>2.34</v>
      </c>
      <c r="F64" s="64">
        <v>7.11</v>
      </c>
      <c r="G64" s="64">
        <v>112.59</v>
      </c>
      <c r="H64" s="64">
        <v>53.62</v>
      </c>
      <c r="I64" s="64">
        <v>1.49</v>
      </c>
      <c r="J64" s="64">
        <v>1.24</v>
      </c>
      <c r="K64" s="64">
        <v>115.26</v>
      </c>
      <c r="L64" s="64">
        <v>22.19</v>
      </c>
      <c r="M64" s="64">
        <v>50.55</v>
      </c>
      <c r="N64" s="64">
        <v>203.8</v>
      </c>
      <c r="O64" s="64">
        <v>0</v>
      </c>
      <c r="P64" s="64">
        <v>1.29</v>
      </c>
      <c r="Q64" s="64">
        <v>6.56</v>
      </c>
      <c r="R64" s="198"/>
      <c r="S64" s="198"/>
      <c r="T64" s="198"/>
      <c r="U64" s="198"/>
    </row>
    <row r="65" spans="1:21" s="12" customFormat="1" x14ac:dyDescent="0.25">
      <c r="A65" s="215" t="s">
        <v>2802</v>
      </c>
      <c r="B65" s="64">
        <v>4.4000000000000004</v>
      </c>
      <c r="C65" s="64">
        <v>50.18</v>
      </c>
      <c r="D65" s="64">
        <v>31.87</v>
      </c>
      <c r="E65" s="64">
        <v>2.23</v>
      </c>
      <c r="F65" s="64">
        <v>7.47</v>
      </c>
      <c r="G65" s="64">
        <v>100.64</v>
      </c>
      <c r="H65" s="64">
        <v>52.43</v>
      </c>
      <c r="I65" s="64">
        <v>1.47</v>
      </c>
      <c r="J65" s="64">
        <v>0.11</v>
      </c>
      <c r="K65" s="64">
        <v>44.19</v>
      </c>
      <c r="L65" s="64">
        <v>22.61</v>
      </c>
      <c r="M65" s="64">
        <v>47.69</v>
      </c>
      <c r="N65" s="64">
        <v>206.1</v>
      </c>
      <c r="O65" s="64">
        <v>0</v>
      </c>
      <c r="P65" s="64">
        <v>1.17</v>
      </c>
      <c r="Q65" s="64">
        <v>6.26</v>
      </c>
      <c r="R65" s="198"/>
      <c r="S65" s="198"/>
      <c r="T65" s="198"/>
      <c r="U65" s="198"/>
    </row>
    <row r="66" spans="1:21" s="12" customFormat="1" x14ac:dyDescent="0.25">
      <c r="A66" s="215" t="s">
        <v>2803</v>
      </c>
      <c r="B66" s="64">
        <v>3.5</v>
      </c>
      <c r="C66" s="64">
        <v>43.13</v>
      </c>
      <c r="D66" s="64">
        <v>27.26</v>
      </c>
      <c r="E66" s="64">
        <v>2.37</v>
      </c>
      <c r="F66" s="64">
        <v>4.99</v>
      </c>
      <c r="G66" s="64">
        <v>92.67</v>
      </c>
      <c r="H66" s="64">
        <v>52.14</v>
      </c>
      <c r="I66" s="64">
        <v>1.56</v>
      </c>
      <c r="J66" s="64">
        <v>0.8</v>
      </c>
      <c r="K66" s="64">
        <v>109.81</v>
      </c>
      <c r="L66" s="64">
        <v>22.48</v>
      </c>
      <c r="M66" s="64">
        <v>48.86</v>
      </c>
      <c r="N66" s="64">
        <v>153.69999999999999</v>
      </c>
      <c r="O66" s="64">
        <v>0</v>
      </c>
      <c r="P66" s="64">
        <v>1.17</v>
      </c>
      <c r="Q66" s="64">
        <v>6.11</v>
      </c>
      <c r="R66" s="198"/>
      <c r="S66" s="198"/>
      <c r="T66" s="198"/>
      <c r="U66" s="198"/>
    </row>
    <row r="67" spans="1:21" s="12" customFormat="1" x14ac:dyDescent="0.25">
      <c r="A67" s="215" t="s">
        <v>2804</v>
      </c>
      <c r="B67" s="64">
        <v>3.49</v>
      </c>
      <c r="C67" s="64">
        <v>41.88</v>
      </c>
      <c r="D67" s="64">
        <v>26.56</v>
      </c>
      <c r="E67" s="64">
        <v>2.31</v>
      </c>
      <c r="F67" s="64">
        <v>4.0999999999999996</v>
      </c>
      <c r="G67" s="64">
        <v>92.67</v>
      </c>
      <c r="H67" s="64">
        <v>52.14</v>
      </c>
      <c r="I67" s="64">
        <v>1.54</v>
      </c>
      <c r="J67" s="64">
        <v>0.83</v>
      </c>
      <c r="K67" s="64">
        <v>106.46</v>
      </c>
      <c r="L67" s="64">
        <v>22</v>
      </c>
      <c r="M67" s="64">
        <v>49.71</v>
      </c>
      <c r="N67" s="64">
        <v>111.7</v>
      </c>
      <c r="O67" s="64">
        <v>0</v>
      </c>
      <c r="P67" s="64">
        <v>1.1399999999999999</v>
      </c>
      <c r="Q67" s="64">
        <v>6.09</v>
      </c>
      <c r="R67" s="198"/>
      <c r="S67" s="198"/>
      <c r="T67" s="198"/>
      <c r="U67" s="198"/>
    </row>
    <row r="68" spans="1:21" s="12" customFormat="1" x14ac:dyDescent="0.25">
      <c r="A68" s="215" t="s">
        <v>2805</v>
      </c>
      <c r="B68" s="64">
        <v>3.76</v>
      </c>
      <c r="C68" s="64">
        <v>42.14</v>
      </c>
      <c r="D68" s="64">
        <v>26.91</v>
      </c>
      <c r="E68" s="64">
        <v>2.27</v>
      </c>
      <c r="F68" s="64">
        <v>3.77</v>
      </c>
      <c r="G68" s="64">
        <v>92.67</v>
      </c>
      <c r="H68" s="64">
        <v>52.14</v>
      </c>
      <c r="I68" s="64">
        <v>1.49</v>
      </c>
      <c r="J68" s="64">
        <v>0.52</v>
      </c>
      <c r="K68" s="64">
        <v>100.23</v>
      </c>
      <c r="L68" s="64">
        <v>21.96</v>
      </c>
      <c r="M68" s="64">
        <v>49.24</v>
      </c>
      <c r="N68" s="64">
        <v>130.6</v>
      </c>
      <c r="O68" s="64">
        <v>0</v>
      </c>
      <c r="P68" s="64">
        <v>1.1200000000000001</v>
      </c>
      <c r="Q68" s="64">
        <v>6.04</v>
      </c>
      <c r="R68" s="198"/>
      <c r="S68" s="198"/>
      <c r="T68" s="198"/>
      <c r="U68" s="198"/>
    </row>
    <row r="69" spans="1:21" s="12" customFormat="1" x14ac:dyDescent="0.25">
      <c r="A69" s="215" t="s">
        <v>2806</v>
      </c>
      <c r="B69" s="64">
        <v>4.92</v>
      </c>
      <c r="C69" s="64">
        <v>49.55</v>
      </c>
      <c r="D69" s="64">
        <v>31.94</v>
      </c>
      <c r="E69" s="64">
        <v>2.2599999999999998</v>
      </c>
      <c r="F69" s="64">
        <v>3.91</v>
      </c>
      <c r="G69" s="64">
        <v>84.56</v>
      </c>
      <c r="H69" s="64">
        <v>46.4</v>
      </c>
      <c r="I69" s="64">
        <v>1.51</v>
      </c>
      <c r="J69" s="64">
        <v>0.64</v>
      </c>
      <c r="K69" s="64">
        <v>117.26</v>
      </c>
      <c r="L69" s="64">
        <v>22.01</v>
      </c>
      <c r="M69" s="64">
        <v>48.6</v>
      </c>
      <c r="N69" s="64">
        <v>113.2</v>
      </c>
      <c r="O69" s="64">
        <v>0</v>
      </c>
      <c r="P69" s="64">
        <v>1.1100000000000001</v>
      </c>
      <c r="Q69" s="64">
        <v>5.98</v>
      </c>
      <c r="R69" s="198"/>
      <c r="S69" s="198"/>
      <c r="T69" s="198"/>
      <c r="U69" s="198"/>
    </row>
    <row r="70" spans="1:21" s="12" customFormat="1" x14ac:dyDescent="0.25">
      <c r="A70" s="215" t="s">
        <v>2807</v>
      </c>
      <c r="B70" s="64">
        <v>5.36</v>
      </c>
      <c r="C70" s="64">
        <v>51.84</v>
      </c>
      <c r="D70" s="64">
        <v>33.549999999999997</v>
      </c>
      <c r="E70" s="64">
        <v>2.29</v>
      </c>
      <c r="F70" s="64">
        <v>9.1300000000000008</v>
      </c>
      <c r="G70" s="64">
        <v>79.16</v>
      </c>
      <c r="H70" s="64">
        <v>45.02</v>
      </c>
      <c r="I70" s="64">
        <v>1.52</v>
      </c>
      <c r="J70" s="64">
        <v>0.28999999999999998</v>
      </c>
      <c r="K70" s="64">
        <v>94.85</v>
      </c>
      <c r="L70" s="64">
        <v>21.98</v>
      </c>
      <c r="M70" s="64">
        <v>48.82</v>
      </c>
      <c r="N70" s="64">
        <v>107</v>
      </c>
      <c r="O70" s="64">
        <v>0</v>
      </c>
      <c r="P70" s="64">
        <v>1.03</v>
      </c>
      <c r="Q70" s="64">
        <v>5.98</v>
      </c>
      <c r="R70" s="198"/>
      <c r="S70" s="198"/>
      <c r="T70" s="198"/>
      <c r="U70" s="198"/>
    </row>
    <row r="71" spans="1:21" s="12" customFormat="1" x14ac:dyDescent="0.25">
      <c r="A71" s="215" t="s">
        <v>2808</v>
      </c>
      <c r="B71" s="64">
        <v>19.100000000000001</v>
      </c>
      <c r="C71" s="64">
        <v>98.82</v>
      </c>
      <c r="D71" s="64">
        <v>70.5</v>
      </c>
      <c r="E71" s="64">
        <v>2.19</v>
      </c>
      <c r="F71" s="64">
        <v>7.28</v>
      </c>
      <c r="G71" s="64">
        <v>79.16</v>
      </c>
      <c r="H71" s="64">
        <v>45.02</v>
      </c>
      <c r="I71" s="64">
        <v>1.53</v>
      </c>
      <c r="J71" s="64">
        <v>0.3</v>
      </c>
      <c r="K71" s="64">
        <v>359.99</v>
      </c>
      <c r="L71" s="64">
        <v>22.3</v>
      </c>
      <c r="M71" s="64">
        <v>47.92</v>
      </c>
      <c r="N71" s="64">
        <v>115.1</v>
      </c>
      <c r="O71" s="64">
        <v>0</v>
      </c>
      <c r="P71" s="64">
        <v>1.04</v>
      </c>
      <c r="Q71" s="64">
        <v>5.95</v>
      </c>
      <c r="R71" s="198"/>
      <c r="S71" s="198"/>
      <c r="T71" s="198"/>
      <c r="U71" s="198"/>
    </row>
    <row r="72" spans="1:21" s="12" customFormat="1" x14ac:dyDescent="0.25">
      <c r="A72" s="215" t="s">
        <v>2809</v>
      </c>
      <c r="B72" s="64">
        <v>8.8000000000000007</v>
      </c>
      <c r="C72" s="64">
        <v>69.900000000000006</v>
      </c>
      <c r="D72" s="64">
        <v>46.28</v>
      </c>
      <c r="E72" s="64">
        <v>2.11</v>
      </c>
      <c r="F72" s="64">
        <v>4.7300000000000004</v>
      </c>
      <c r="G72" s="64">
        <v>79.16</v>
      </c>
      <c r="H72" s="64">
        <v>45.02</v>
      </c>
      <c r="I72" s="64">
        <v>1.49</v>
      </c>
      <c r="J72" s="64">
        <v>0.18</v>
      </c>
      <c r="K72" s="64">
        <v>29.51</v>
      </c>
      <c r="L72" s="64">
        <v>22.23</v>
      </c>
      <c r="M72" s="64">
        <v>47.89</v>
      </c>
      <c r="N72" s="64">
        <v>97.5</v>
      </c>
      <c r="O72" s="64">
        <v>0</v>
      </c>
      <c r="P72" s="64">
        <v>1.0900000000000001</v>
      </c>
      <c r="Q72" s="64">
        <v>6.1</v>
      </c>
      <c r="R72" s="198"/>
      <c r="S72" s="198"/>
      <c r="T72" s="198"/>
      <c r="U72" s="198"/>
    </row>
    <row r="73" spans="1:21" s="12" customFormat="1" x14ac:dyDescent="0.25">
      <c r="A73" s="215" t="s">
        <v>2810</v>
      </c>
      <c r="B73" s="64">
        <v>6</v>
      </c>
      <c r="C73" s="64">
        <v>66.040000000000006</v>
      </c>
      <c r="D73" s="64">
        <v>41.9</v>
      </c>
      <c r="E73" s="64">
        <v>2.19</v>
      </c>
      <c r="F73" s="64">
        <v>4.0199999999999996</v>
      </c>
      <c r="G73" s="64">
        <v>78</v>
      </c>
      <c r="H73" s="64">
        <v>45.11</v>
      </c>
      <c r="I73" s="64">
        <v>1.53</v>
      </c>
      <c r="J73" s="64">
        <v>0.23</v>
      </c>
      <c r="K73" s="64">
        <v>327.45</v>
      </c>
      <c r="L73" s="64">
        <v>22.15</v>
      </c>
      <c r="M73" s="64">
        <v>47.65</v>
      </c>
      <c r="N73" s="64">
        <v>115.4</v>
      </c>
      <c r="O73" s="64">
        <v>0</v>
      </c>
      <c r="P73" s="64">
        <v>1.1000000000000001</v>
      </c>
      <c r="Q73" s="64">
        <v>6.19</v>
      </c>
      <c r="R73" s="198"/>
      <c r="S73" s="198"/>
      <c r="T73" s="198"/>
      <c r="U73" s="198"/>
    </row>
    <row r="74" spans="1:21" s="12" customFormat="1" x14ac:dyDescent="0.25">
      <c r="A74" s="215" t="s">
        <v>2811</v>
      </c>
      <c r="B74" s="64">
        <v>6.57</v>
      </c>
      <c r="C74" s="64">
        <v>51.68</v>
      </c>
      <c r="D74" s="64">
        <v>34.44</v>
      </c>
      <c r="E74" s="64">
        <v>2.11</v>
      </c>
      <c r="F74" s="64">
        <v>3.92</v>
      </c>
      <c r="G74" s="64">
        <v>77.22</v>
      </c>
      <c r="H74" s="64">
        <v>45.13</v>
      </c>
      <c r="I74" s="64">
        <v>1.57</v>
      </c>
      <c r="J74" s="64">
        <v>0.59</v>
      </c>
      <c r="K74" s="64">
        <v>101.69</v>
      </c>
      <c r="L74" s="64">
        <v>21.96</v>
      </c>
      <c r="M74" s="64">
        <v>47.81</v>
      </c>
      <c r="N74" s="64">
        <v>85.9</v>
      </c>
      <c r="O74" s="64">
        <v>0</v>
      </c>
      <c r="P74" s="64">
        <v>1.1100000000000001</v>
      </c>
      <c r="Q74" s="64">
        <v>6.23</v>
      </c>
      <c r="R74" s="198"/>
      <c r="S74" s="198"/>
      <c r="T74" s="198"/>
      <c r="U74" s="198"/>
    </row>
    <row r="75" spans="1:21" s="12" customFormat="1" x14ac:dyDescent="0.25">
      <c r="A75" s="215" t="s">
        <v>2812</v>
      </c>
      <c r="B75" s="64">
        <v>5.47</v>
      </c>
      <c r="C75" s="64">
        <v>52.73</v>
      </c>
      <c r="D75" s="64">
        <v>34.130000000000003</v>
      </c>
      <c r="E75" s="64">
        <v>2.1800000000000002</v>
      </c>
      <c r="F75" s="64">
        <v>4.33</v>
      </c>
      <c r="G75" s="64">
        <v>77.22</v>
      </c>
      <c r="H75" s="64">
        <v>45.13</v>
      </c>
      <c r="I75" s="64">
        <v>1.48</v>
      </c>
      <c r="J75" s="64">
        <v>0.15</v>
      </c>
      <c r="K75" s="64">
        <v>64.25</v>
      </c>
      <c r="L75" s="64">
        <v>21.37</v>
      </c>
      <c r="M75" s="64">
        <v>49.92</v>
      </c>
      <c r="N75" s="64">
        <v>52.6</v>
      </c>
      <c r="O75" s="64">
        <v>0</v>
      </c>
      <c r="P75" s="64">
        <v>1.1000000000000001</v>
      </c>
      <c r="Q75" s="64">
        <v>6.28</v>
      </c>
      <c r="R75" s="198"/>
      <c r="S75" s="198"/>
      <c r="T75" s="198"/>
      <c r="U75" s="198"/>
    </row>
    <row r="76" spans="1:21" s="12" customFormat="1" x14ac:dyDescent="0.25">
      <c r="A76" s="215" t="s">
        <v>2813</v>
      </c>
      <c r="B76" s="64">
        <v>8.08</v>
      </c>
      <c r="C76" s="64">
        <v>67.41</v>
      </c>
      <c r="D76" s="64">
        <v>44.33</v>
      </c>
      <c r="E76" s="64">
        <v>2.1800000000000002</v>
      </c>
      <c r="F76" s="64">
        <v>4.18</v>
      </c>
      <c r="G76" s="64">
        <v>77.22</v>
      </c>
      <c r="H76" s="64">
        <v>45.13</v>
      </c>
      <c r="I76" s="64">
        <v>1.49</v>
      </c>
      <c r="J76" s="64">
        <v>0.08</v>
      </c>
      <c r="K76" s="64">
        <v>40.36</v>
      </c>
      <c r="L76" s="64">
        <v>21.06</v>
      </c>
      <c r="M76" s="64">
        <v>53.02</v>
      </c>
      <c r="N76" s="64">
        <v>40.5</v>
      </c>
      <c r="O76" s="64">
        <v>0</v>
      </c>
      <c r="P76" s="64">
        <v>1.1399999999999999</v>
      </c>
      <c r="Q76" s="64">
        <v>6.27</v>
      </c>
      <c r="R76" s="198"/>
      <c r="S76" s="198"/>
      <c r="T76" s="198"/>
      <c r="U76" s="198"/>
    </row>
    <row r="77" spans="1:21" s="12" customFormat="1" x14ac:dyDescent="0.25">
      <c r="A77" s="215" t="s">
        <v>2814</v>
      </c>
      <c r="B77" s="64">
        <v>6.78</v>
      </c>
      <c r="C77" s="64">
        <v>72.27</v>
      </c>
      <c r="D77" s="64">
        <v>45.97</v>
      </c>
      <c r="E77" s="64">
        <v>2.2000000000000002</v>
      </c>
      <c r="F77" s="64">
        <v>3.63</v>
      </c>
      <c r="G77" s="64">
        <v>68.03</v>
      </c>
      <c r="H77" s="64">
        <v>44.1</v>
      </c>
      <c r="I77" s="64">
        <v>1.56</v>
      </c>
      <c r="J77" s="64">
        <v>0.16</v>
      </c>
      <c r="K77" s="64">
        <v>69.94</v>
      </c>
      <c r="L77" s="64">
        <v>20.72</v>
      </c>
      <c r="M77" s="64">
        <v>59.74</v>
      </c>
      <c r="N77" s="64">
        <v>35.200000000000003</v>
      </c>
      <c r="O77" s="64">
        <v>0</v>
      </c>
      <c r="P77" s="64">
        <v>1.21</v>
      </c>
      <c r="Q77" s="64">
        <v>6.1</v>
      </c>
      <c r="R77" s="198"/>
      <c r="S77" s="198"/>
      <c r="T77" s="198"/>
      <c r="U77" s="198"/>
    </row>
    <row r="78" spans="1:21" s="12" customFormat="1" x14ac:dyDescent="0.25">
      <c r="A78" s="215" t="s">
        <v>2815</v>
      </c>
      <c r="B78" s="64">
        <v>18.899999999999999</v>
      </c>
      <c r="C78" s="64">
        <v>96.27</v>
      </c>
      <c r="D78" s="64">
        <v>68.930000000000007</v>
      </c>
      <c r="E78" s="64">
        <v>2.15</v>
      </c>
      <c r="F78" s="64">
        <v>3.44</v>
      </c>
      <c r="G78" s="64">
        <v>61.9</v>
      </c>
      <c r="H78" s="64">
        <v>43.65</v>
      </c>
      <c r="I78" s="64">
        <v>1.48</v>
      </c>
      <c r="J78" s="64">
        <v>0.09</v>
      </c>
      <c r="K78" s="64">
        <v>311.66000000000003</v>
      </c>
      <c r="L78" s="64">
        <v>20.32</v>
      </c>
      <c r="M78" s="64">
        <v>68.37</v>
      </c>
      <c r="N78" s="64">
        <v>33.4</v>
      </c>
      <c r="O78" s="64">
        <v>0</v>
      </c>
      <c r="P78" s="64">
        <v>1.38</v>
      </c>
      <c r="Q78" s="64">
        <v>6.28</v>
      </c>
      <c r="R78" s="198"/>
      <c r="S78" s="198"/>
      <c r="T78" s="198"/>
      <c r="U78" s="198"/>
    </row>
    <row r="79" spans="1:21" s="12" customFormat="1" x14ac:dyDescent="0.25">
      <c r="A79" s="215" t="s">
        <v>2816</v>
      </c>
      <c r="B79" s="64">
        <v>40.75</v>
      </c>
      <c r="C79" s="64">
        <v>121.43</v>
      </c>
      <c r="D79" s="64">
        <v>100.34</v>
      </c>
      <c r="E79" s="64">
        <v>2.17</v>
      </c>
      <c r="F79" s="64">
        <v>3.22</v>
      </c>
      <c r="G79" s="64">
        <v>61.9</v>
      </c>
      <c r="H79" s="64">
        <v>43.65</v>
      </c>
      <c r="I79" s="64">
        <v>1.46</v>
      </c>
      <c r="J79" s="64">
        <v>0.3</v>
      </c>
      <c r="K79" s="64">
        <v>341.74</v>
      </c>
      <c r="L79" s="64">
        <v>20.329999999999998</v>
      </c>
      <c r="M79" s="64">
        <v>58.48</v>
      </c>
      <c r="N79" s="64">
        <v>33.200000000000003</v>
      </c>
      <c r="O79" s="64">
        <v>0</v>
      </c>
      <c r="P79" s="64">
        <v>1.4</v>
      </c>
      <c r="Q79" s="64">
        <v>6.35</v>
      </c>
      <c r="R79" s="198"/>
      <c r="S79" s="198"/>
      <c r="T79" s="198"/>
      <c r="U79" s="198"/>
    </row>
    <row r="80" spans="1:21" s="12" customFormat="1" x14ac:dyDescent="0.25">
      <c r="A80" s="215" t="s">
        <v>2817</v>
      </c>
      <c r="B80" s="64">
        <v>36.97</v>
      </c>
      <c r="C80" s="64">
        <v>122.09</v>
      </c>
      <c r="D80" s="64">
        <v>97.67</v>
      </c>
      <c r="E80" s="64">
        <v>2.12</v>
      </c>
      <c r="F80" s="64">
        <v>3.22</v>
      </c>
      <c r="G80" s="64">
        <v>61.9</v>
      </c>
      <c r="H80" s="64">
        <v>43.65</v>
      </c>
      <c r="I80" s="64">
        <v>1.47</v>
      </c>
      <c r="J80" s="64">
        <v>0.35</v>
      </c>
      <c r="K80" s="64">
        <v>340.68</v>
      </c>
      <c r="L80" s="64">
        <v>20.56</v>
      </c>
      <c r="M80" s="64">
        <v>55.09</v>
      </c>
      <c r="N80" s="64">
        <v>33.4</v>
      </c>
      <c r="O80" s="64">
        <v>0</v>
      </c>
      <c r="P80" s="64">
        <v>1.43</v>
      </c>
      <c r="Q80" s="64">
        <v>6.49</v>
      </c>
      <c r="R80" s="198"/>
      <c r="S80" s="198"/>
      <c r="T80" s="198"/>
      <c r="U80" s="198"/>
    </row>
    <row r="81" spans="1:26" s="12" customFormat="1" x14ac:dyDescent="0.25">
      <c r="A81" s="215" t="s">
        <v>2818</v>
      </c>
      <c r="B81" s="64">
        <v>32.840000000000003</v>
      </c>
      <c r="C81" s="64">
        <v>111.4</v>
      </c>
      <c r="D81" s="64">
        <v>88.46</v>
      </c>
      <c r="E81" s="64">
        <v>2.08</v>
      </c>
      <c r="F81" s="64">
        <v>3.37</v>
      </c>
      <c r="G81" s="64">
        <v>111.55</v>
      </c>
      <c r="H81" s="64">
        <v>46.55</v>
      </c>
      <c r="I81" s="64">
        <v>1.61</v>
      </c>
      <c r="J81" s="64">
        <v>0.24</v>
      </c>
      <c r="K81" s="64">
        <v>341.15</v>
      </c>
      <c r="L81" s="64">
        <v>20.52</v>
      </c>
      <c r="M81" s="64">
        <v>55.22</v>
      </c>
      <c r="N81" s="64">
        <v>33.799999999999997</v>
      </c>
      <c r="O81" s="64">
        <v>0</v>
      </c>
      <c r="P81" s="64">
        <v>1.47</v>
      </c>
      <c r="Q81" s="64">
        <v>6.61</v>
      </c>
      <c r="R81" s="198"/>
      <c r="S81" s="198"/>
      <c r="T81" s="198"/>
      <c r="U81" s="198"/>
    </row>
    <row r="82" spans="1:26" s="12" customFormat="1" x14ac:dyDescent="0.25">
      <c r="A82" s="215" t="s">
        <v>2819</v>
      </c>
      <c r="B82" s="64">
        <v>19.78</v>
      </c>
      <c r="C82" s="64">
        <v>96.86</v>
      </c>
      <c r="D82" s="64">
        <v>69.959999999999994</v>
      </c>
      <c r="E82" s="64">
        <v>2.12</v>
      </c>
      <c r="F82" s="64">
        <v>3.18</v>
      </c>
      <c r="G82" s="64">
        <v>144.65</v>
      </c>
      <c r="H82" s="64">
        <v>47.25</v>
      </c>
      <c r="I82" s="64">
        <v>1.49</v>
      </c>
      <c r="J82" s="64">
        <v>0.22</v>
      </c>
      <c r="K82" s="64">
        <v>92.69</v>
      </c>
      <c r="L82" s="64">
        <v>20.3</v>
      </c>
      <c r="M82" s="64">
        <v>57.96</v>
      </c>
      <c r="N82" s="64">
        <v>34.200000000000003</v>
      </c>
      <c r="O82" s="64">
        <v>0</v>
      </c>
      <c r="P82" s="64">
        <v>1.49</v>
      </c>
      <c r="Q82" s="64">
        <v>6.72</v>
      </c>
      <c r="R82" s="198"/>
      <c r="S82" s="198"/>
      <c r="T82" s="198"/>
      <c r="U82" s="198"/>
    </row>
    <row r="83" spans="1:26" s="12" customFormat="1" x14ac:dyDescent="0.25">
      <c r="A83" s="215" t="s">
        <v>2820</v>
      </c>
      <c r="B83" s="64">
        <v>12.7</v>
      </c>
      <c r="C83" s="64">
        <v>79.97</v>
      </c>
      <c r="D83" s="64">
        <v>54.96</v>
      </c>
      <c r="E83" s="64">
        <v>2.17</v>
      </c>
      <c r="F83" s="64">
        <v>3.22</v>
      </c>
      <c r="G83" s="64">
        <v>144.65</v>
      </c>
      <c r="H83" s="64">
        <v>47.25</v>
      </c>
      <c r="I83" s="64">
        <v>1.59</v>
      </c>
      <c r="J83" s="64">
        <v>0.12</v>
      </c>
      <c r="K83" s="64">
        <v>346</v>
      </c>
      <c r="L83" s="64">
        <v>20.100000000000001</v>
      </c>
      <c r="M83" s="64">
        <v>56.77</v>
      </c>
      <c r="N83" s="64">
        <v>34.200000000000003</v>
      </c>
      <c r="O83" s="64">
        <v>0</v>
      </c>
      <c r="P83" s="64">
        <v>1.48</v>
      </c>
      <c r="Q83" s="64">
        <v>6.81</v>
      </c>
      <c r="R83" s="198"/>
      <c r="S83" s="198"/>
      <c r="T83" s="198"/>
      <c r="U83" s="198"/>
    </row>
    <row r="84" spans="1:26" s="12" customFormat="1" x14ac:dyDescent="0.25">
      <c r="A84" s="215" t="s">
        <v>2821</v>
      </c>
      <c r="B84" s="64">
        <v>17.510000000000002</v>
      </c>
      <c r="C84" s="64">
        <v>79.08</v>
      </c>
      <c r="D84" s="64">
        <v>58.33</v>
      </c>
      <c r="E84" s="64">
        <v>2.17</v>
      </c>
      <c r="F84" s="64">
        <v>3.23</v>
      </c>
      <c r="G84" s="64">
        <v>144.65</v>
      </c>
      <c r="H84" s="64">
        <v>47.25</v>
      </c>
      <c r="I84" s="64">
        <v>1.51</v>
      </c>
      <c r="J84" s="64">
        <v>0.3</v>
      </c>
      <c r="K84" s="64">
        <v>95.59</v>
      </c>
      <c r="L84" s="64">
        <v>19.93</v>
      </c>
      <c r="M84" s="64">
        <v>58.58</v>
      </c>
      <c r="N84" s="64">
        <v>34.5</v>
      </c>
      <c r="O84" s="64">
        <v>0</v>
      </c>
      <c r="P84" s="64">
        <v>1.5</v>
      </c>
      <c r="Q84" s="64">
        <v>6.82</v>
      </c>
      <c r="R84" s="198"/>
      <c r="S84" s="198"/>
      <c r="T84" s="198"/>
      <c r="U84" s="198"/>
    </row>
    <row r="85" spans="1:26" s="12" customFormat="1" x14ac:dyDescent="0.25">
      <c r="A85" s="215" t="s">
        <v>2822</v>
      </c>
      <c r="B85" s="64">
        <v>18.059999999999999</v>
      </c>
      <c r="C85" s="64">
        <v>95.86</v>
      </c>
      <c r="D85" s="64">
        <v>68.03</v>
      </c>
      <c r="E85" s="64">
        <v>2.12</v>
      </c>
      <c r="F85" s="64">
        <v>3.37</v>
      </c>
      <c r="G85" s="64">
        <v>129.88999999999999</v>
      </c>
      <c r="H85" s="64">
        <v>50.16</v>
      </c>
      <c r="I85" s="64">
        <v>1.43</v>
      </c>
      <c r="J85" s="64">
        <v>0.6</v>
      </c>
      <c r="K85" s="64">
        <v>341.06</v>
      </c>
      <c r="L85" s="64">
        <v>19.989999999999998</v>
      </c>
      <c r="M85" s="64">
        <v>59.57</v>
      </c>
      <c r="N85" s="64">
        <v>34.5</v>
      </c>
      <c r="O85" s="64">
        <v>0</v>
      </c>
      <c r="P85" s="64">
        <v>1.38</v>
      </c>
      <c r="Q85" s="64">
        <v>6.83</v>
      </c>
      <c r="R85" s="198"/>
      <c r="S85" s="198"/>
      <c r="T85" s="198"/>
      <c r="U85" s="198"/>
    </row>
    <row r="86" spans="1:26" s="12" customFormat="1" x14ac:dyDescent="0.25">
      <c r="A86" s="215" t="s">
        <v>2823</v>
      </c>
      <c r="B86" s="64">
        <v>30.76</v>
      </c>
      <c r="C86" s="64">
        <v>108.07</v>
      </c>
      <c r="D86" s="64">
        <v>84.96</v>
      </c>
      <c r="E86" s="64">
        <v>2.14</v>
      </c>
      <c r="F86" s="64">
        <v>3.31</v>
      </c>
      <c r="G86" s="64">
        <v>120.05</v>
      </c>
      <c r="H86" s="64">
        <v>50.86</v>
      </c>
      <c r="I86" s="64">
        <v>1.52</v>
      </c>
      <c r="J86" s="64">
        <v>0.23</v>
      </c>
      <c r="K86" s="64">
        <v>351.76</v>
      </c>
      <c r="L86" s="64">
        <v>20.04</v>
      </c>
      <c r="M86" s="64">
        <v>59.7</v>
      </c>
      <c r="N86" s="64">
        <v>35.1</v>
      </c>
      <c r="O86" s="64">
        <v>0</v>
      </c>
      <c r="P86" s="64">
        <v>1.49</v>
      </c>
      <c r="Q86" s="64">
        <v>6.9</v>
      </c>
      <c r="R86" s="198"/>
      <c r="S86" s="198"/>
      <c r="T86" s="198"/>
      <c r="U86" s="198"/>
    </row>
    <row r="87" spans="1:26" s="12" customFormat="1" x14ac:dyDescent="0.25">
      <c r="A87" s="215" t="s">
        <v>2824</v>
      </c>
      <c r="B87" s="64">
        <v>17.329999999999998</v>
      </c>
      <c r="C87" s="64">
        <v>99.97</v>
      </c>
      <c r="D87" s="64">
        <v>69.709999999999994</v>
      </c>
      <c r="E87" s="64">
        <v>2.12</v>
      </c>
      <c r="F87" s="64">
        <v>3.37</v>
      </c>
      <c r="G87" s="64">
        <v>120.05</v>
      </c>
      <c r="H87" s="64">
        <v>50.86</v>
      </c>
      <c r="I87" s="64">
        <v>1.5</v>
      </c>
      <c r="J87" s="64">
        <v>0.55000000000000004</v>
      </c>
      <c r="K87" s="64">
        <v>339.48</v>
      </c>
      <c r="L87" s="64">
        <v>19.95</v>
      </c>
      <c r="M87" s="64">
        <v>59.84</v>
      </c>
      <c r="N87" s="64">
        <v>35.4</v>
      </c>
      <c r="O87" s="64">
        <v>0</v>
      </c>
      <c r="P87" s="64">
        <v>1.54</v>
      </c>
      <c r="Q87" s="64">
        <v>6.96</v>
      </c>
      <c r="R87" s="198"/>
      <c r="S87" s="198"/>
      <c r="T87" s="198"/>
      <c r="U87" s="198"/>
    </row>
    <row r="88" spans="1:26" s="12" customFormat="1" x14ac:dyDescent="0.25">
      <c r="A88" s="215" t="s">
        <v>2825</v>
      </c>
      <c r="B88" s="64">
        <v>24.42</v>
      </c>
      <c r="C88" s="64">
        <v>103.62</v>
      </c>
      <c r="D88" s="64">
        <v>77.42</v>
      </c>
      <c r="E88" s="64">
        <v>2.16</v>
      </c>
      <c r="F88" s="64">
        <v>3.38</v>
      </c>
      <c r="G88" s="64">
        <v>120.05</v>
      </c>
      <c r="H88" s="64">
        <v>50.86</v>
      </c>
      <c r="I88" s="64">
        <v>1.47</v>
      </c>
      <c r="J88" s="64">
        <v>0.78</v>
      </c>
      <c r="K88" s="64">
        <v>343.66</v>
      </c>
      <c r="L88" s="64">
        <v>19.93</v>
      </c>
      <c r="M88" s="64">
        <v>60.79</v>
      </c>
      <c r="N88" s="64">
        <v>35.700000000000003</v>
      </c>
      <c r="O88" s="64">
        <v>0</v>
      </c>
      <c r="P88" s="64">
        <v>1.57</v>
      </c>
      <c r="Q88" s="64">
        <v>7.01</v>
      </c>
      <c r="R88" s="198"/>
      <c r="S88" s="198"/>
      <c r="T88" s="198"/>
      <c r="U88" s="198"/>
    </row>
    <row r="89" spans="1:26" s="12" customFormat="1" x14ac:dyDescent="0.25">
      <c r="A89" s="215" t="s">
        <v>2826</v>
      </c>
      <c r="B89" s="64">
        <v>13.37</v>
      </c>
      <c r="C89" s="64">
        <v>81.27</v>
      </c>
      <c r="D89" s="64">
        <v>56.22</v>
      </c>
      <c r="E89" s="64">
        <v>2.2000000000000002</v>
      </c>
      <c r="F89" s="64">
        <v>3.3</v>
      </c>
      <c r="G89" s="64">
        <v>125.79</v>
      </c>
      <c r="H89" s="64">
        <v>56.38</v>
      </c>
      <c r="I89" s="64">
        <v>1.52</v>
      </c>
      <c r="J89" s="64">
        <v>0.96</v>
      </c>
      <c r="K89" s="64">
        <v>343.86</v>
      </c>
      <c r="L89" s="64">
        <v>19.739999999999998</v>
      </c>
      <c r="M89" s="64">
        <v>62.88</v>
      </c>
      <c r="N89" s="64">
        <v>36.1</v>
      </c>
      <c r="O89" s="64">
        <v>0</v>
      </c>
      <c r="P89" s="64">
        <v>1.62</v>
      </c>
      <c r="Q89" s="64">
        <v>7.05</v>
      </c>
      <c r="R89" s="198"/>
      <c r="S89" s="198"/>
      <c r="T89" s="198"/>
      <c r="U89" s="198"/>
    </row>
    <row r="90" spans="1:26" s="12" customFormat="1" x14ac:dyDescent="0.25">
      <c r="A90" s="215" t="s">
        <v>2827</v>
      </c>
      <c r="B90" s="64">
        <v>10.89</v>
      </c>
      <c r="C90" s="64">
        <v>69.45</v>
      </c>
      <c r="D90" s="64">
        <v>47.71</v>
      </c>
      <c r="E90" s="64">
        <v>2.25</v>
      </c>
      <c r="F90" s="64">
        <v>3.23</v>
      </c>
      <c r="G90" s="64">
        <v>129.62</v>
      </c>
      <c r="H90" s="64">
        <v>57.73</v>
      </c>
      <c r="I90" s="64">
        <v>1.55</v>
      </c>
      <c r="J90" s="64">
        <v>0.73</v>
      </c>
      <c r="K90" s="64">
        <v>342.24</v>
      </c>
      <c r="L90" s="64">
        <v>19.579999999999998</v>
      </c>
      <c r="M90" s="64">
        <v>64.08</v>
      </c>
      <c r="N90" s="64">
        <v>36.6</v>
      </c>
      <c r="O90" s="64">
        <v>0</v>
      </c>
      <c r="P90" s="64">
        <v>1.65</v>
      </c>
      <c r="Q90" s="64">
        <v>7.15</v>
      </c>
      <c r="R90" s="198"/>
      <c r="S90" s="198"/>
      <c r="T90" s="198"/>
      <c r="U90" s="198"/>
    </row>
    <row r="91" spans="1:26" s="12" customFormat="1" x14ac:dyDescent="0.25">
      <c r="A91" s="215" t="s">
        <v>2828</v>
      </c>
      <c r="B91" s="64">
        <v>18.600000000000001</v>
      </c>
      <c r="C91" s="64">
        <v>80.12</v>
      </c>
      <c r="D91" s="64">
        <v>59.78</v>
      </c>
      <c r="E91" s="64">
        <v>2.2799999999999998</v>
      </c>
      <c r="F91" s="64">
        <v>3.41</v>
      </c>
      <c r="G91" s="64">
        <v>129.62</v>
      </c>
      <c r="H91" s="64">
        <v>57.73</v>
      </c>
      <c r="I91" s="64">
        <v>1.47</v>
      </c>
      <c r="J91" s="64">
        <v>0.3</v>
      </c>
      <c r="K91" s="64">
        <v>337.4</v>
      </c>
      <c r="L91" s="64">
        <v>19.52</v>
      </c>
      <c r="M91" s="64">
        <v>65.63</v>
      </c>
      <c r="N91" s="64">
        <v>36.9</v>
      </c>
      <c r="O91" s="64">
        <v>0</v>
      </c>
      <c r="P91" s="64">
        <v>1.68</v>
      </c>
      <c r="Q91" s="64">
        <v>7.2</v>
      </c>
      <c r="R91" s="198"/>
      <c r="S91" s="198"/>
      <c r="T91" s="198"/>
      <c r="U91" s="198"/>
    </row>
    <row r="92" spans="1:26" s="12" customFormat="1" x14ac:dyDescent="0.25">
      <c r="A92" s="215" t="s">
        <v>2829</v>
      </c>
      <c r="B92" s="64">
        <v>29.84</v>
      </c>
      <c r="C92" s="64">
        <v>75.03</v>
      </c>
      <c r="D92" s="64">
        <v>65.989999999999995</v>
      </c>
      <c r="E92" s="64">
        <v>2.2400000000000002</v>
      </c>
      <c r="F92" s="64">
        <v>3.27</v>
      </c>
      <c r="G92" s="64">
        <v>129.62</v>
      </c>
      <c r="H92" s="64">
        <v>57.73</v>
      </c>
      <c r="I92" s="64">
        <v>1.54</v>
      </c>
      <c r="J92" s="64">
        <v>0.12</v>
      </c>
      <c r="K92" s="64">
        <v>328.23</v>
      </c>
      <c r="L92" s="64">
        <v>19.36</v>
      </c>
      <c r="M92" s="64">
        <v>67.180000000000007</v>
      </c>
      <c r="N92" s="64">
        <v>37</v>
      </c>
      <c r="O92" s="64">
        <v>0</v>
      </c>
      <c r="P92" s="64">
        <v>1.76</v>
      </c>
      <c r="Q92" s="64">
        <v>7.16</v>
      </c>
      <c r="R92" s="198"/>
      <c r="S92" s="198"/>
      <c r="T92" s="198"/>
      <c r="U92" s="198"/>
    </row>
    <row r="93" spans="1:26" s="12" customFormat="1" x14ac:dyDescent="0.25">
      <c r="A93" s="215" t="s">
        <v>2830</v>
      </c>
      <c r="B93" s="64">
        <v>43.42</v>
      </c>
      <c r="C93" s="64">
        <v>87.7</v>
      </c>
      <c r="D93" s="64">
        <v>83.87</v>
      </c>
      <c r="E93" s="64">
        <v>2.2000000000000002</v>
      </c>
      <c r="F93" s="64">
        <v>3.12</v>
      </c>
      <c r="G93" s="64">
        <v>142.43</v>
      </c>
      <c r="H93" s="64">
        <v>62.86</v>
      </c>
      <c r="I93" s="64">
        <v>1.53</v>
      </c>
      <c r="J93" s="64">
        <v>0.26</v>
      </c>
      <c r="K93" s="64">
        <v>328.79</v>
      </c>
      <c r="L93" s="64">
        <v>19.34</v>
      </c>
      <c r="M93" s="64">
        <v>66.709999999999994</v>
      </c>
      <c r="N93" s="64">
        <v>37.200000000000003</v>
      </c>
      <c r="O93" s="64">
        <v>0</v>
      </c>
      <c r="P93" s="64">
        <v>1.83</v>
      </c>
      <c r="Q93" s="64">
        <v>7.17</v>
      </c>
      <c r="R93" s="198"/>
      <c r="S93" s="198"/>
      <c r="T93" s="198"/>
      <c r="U93" s="198"/>
    </row>
    <row r="94" spans="1:26" s="12" customFormat="1" x14ac:dyDescent="0.25">
      <c r="A94" s="215" t="s">
        <v>2831</v>
      </c>
      <c r="B94" s="64">
        <v>17.809999999999999</v>
      </c>
      <c r="C94" s="64">
        <v>80.83</v>
      </c>
      <c r="D94" s="64">
        <v>59.53</v>
      </c>
      <c r="E94" s="64">
        <v>2.2200000000000002</v>
      </c>
      <c r="F94" s="64">
        <v>3.32</v>
      </c>
      <c r="G94" s="64">
        <v>150.97</v>
      </c>
      <c r="H94" s="64">
        <v>65.010000000000005</v>
      </c>
      <c r="I94" s="64">
        <v>1.53</v>
      </c>
      <c r="J94" s="64">
        <v>0.34</v>
      </c>
      <c r="K94" s="64">
        <v>332.72</v>
      </c>
      <c r="L94" s="64">
        <v>19.36</v>
      </c>
      <c r="M94" s="64">
        <v>64.239999999999995</v>
      </c>
      <c r="N94" s="64">
        <v>37.299999999999997</v>
      </c>
      <c r="O94" s="64">
        <v>0</v>
      </c>
      <c r="P94" s="64">
        <v>1.87</v>
      </c>
      <c r="Q94" s="64">
        <v>7.28</v>
      </c>
      <c r="R94" s="198"/>
      <c r="S94" s="198"/>
      <c r="T94" s="198"/>
      <c r="U94" s="198"/>
    </row>
    <row r="95" spans="1:26" s="12" customFormat="1" x14ac:dyDescent="0.25">
      <c r="A95" s="215" t="s">
        <v>2832</v>
      </c>
      <c r="B95" s="64">
        <v>16.11</v>
      </c>
      <c r="C95" s="64">
        <v>75.459999999999994</v>
      </c>
      <c r="D95" s="64">
        <v>55.21</v>
      </c>
      <c r="E95" s="64">
        <v>2.2200000000000002</v>
      </c>
      <c r="F95" s="64">
        <v>3.22</v>
      </c>
      <c r="G95" s="64">
        <v>150.97</v>
      </c>
      <c r="H95" s="64">
        <v>65.010000000000005</v>
      </c>
      <c r="I95" s="64">
        <v>1.45</v>
      </c>
      <c r="J95" s="64">
        <v>0.54</v>
      </c>
      <c r="K95" s="64">
        <v>343.16</v>
      </c>
      <c r="L95" s="64">
        <v>19.32</v>
      </c>
      <c r="M95" s="64">
        <v>63.48</v>
      </c>
      <c r="N95" s="64">
        <v>37.700000000000003</v>
      </c>
      <c r="O95" s="64">
        <v>0</v>
      </c>
      <c r="P95" s="64">
        <v>1.87</v>
      </c>
      <c r="Q95" s="64">
        <v>7.28</v>
      </c>
      <c r="R95" s="198"/>
      <c r="S95" s="198"/>
      <c r="T95" s="198"/>
      <c r="U95" s="198"/>
    </row>
    <row r="96" spans="1:26" s="12" customFormat="1" x14ac:dyDescent="0.25">
      <c r="A96" s="215" t="s">
        <v>2833</v>
      </c>
      <c r="B96" s="64">
        <v>15.56</v>
      </c>
      <c r="C96" s="64">
        <v>71.55</v>
      </c>
      <c r="D96" s="64">
        <v>52.61</v>
      </c>
      <c r="E96" s="64">
        <v>2.16</v>
      </c>
      <c r="F96" s="64">
        <v>3.34</v>
      </c>
      <c r="G96" s="64">
        <v>150.97</v>
      </c>
      <c r="H96" s="64">
        <v>65.010000000000005</v>
      </c>
      <c r="I96" s="64">
        <v>1.46</v>
      </c>
      <c r="J96" s="64">
        <v>0.48</v>
      </c>
      <c r="K96" s="64">
        <v>331.69</v>
      </c>
      <c r="L96" s="64">
        <v>19.3</v>
      </c>
      <c r="M96" s="64">
        <v>63.95</v>
      </c>
      <c r="N96" s="64">
        <v>38.1</v>
      </c>
      <c r="O96" s="64">
        <v>0</v>
      </c>
      <c r="P96" s="64">
        <v>1.89</v>
      </c>
      <c r="Q96" s="64">
        <v>7.25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2834</v>
      </c>
      <c r="B97" s="64">
        <v>15.69</v>
      </c>
      <c r="C97" s="64">
        <v>83.21</v>
      </c>
      <c r="D97" s="64">
        <v>59.15</v>
      </c>
      <c r="E97" s="64">
        <v>2.2000000000000002</v>
      </c>
      <c r="F97" s="64">
        <v>3.34</v>
      </c>
      <c r="G97" s="64">
        <v>132.02000000000001</v>
      </c>
      <c r="H97" s="64">
        <v>66.05</v>
      </c>
      <c r="I97" s="64">
        <v>1.4</v>
      </c>
      <c r="J97" s="64">
        <v>0.39</v>
      </c>
      <c r="K97" s="64">
        <v>332</v>
      </c>
      <c r="L97" s="64">
        <v>19.21</v>
      </c>
      <c r="M97" s="64">
        <v>64.349999999999994</v>
      </c>
      <c r="N97" s="64">
        <v>38.4</v>
      </c>
      <c r="O97" s="64">
        <v>0</v>
      </c>
      <c r="P97" s="64">
        <v>1.89</v>
      </c>
      <c r="Q97" s="64">
        <v>7.17</v>
      </c>
      <c r="R97" s="198"/>
      <c r="S97" s="198"/>
      <c r="T97" s="198"/>
      <c r="U97" s="198"/>
    </row>
    <row r="98" spans="1:33" s="12" customFormat="1" x14ac:dyDescent="0.25">
      <c r="A98" s="215" t="s">
        <v>2835</v>
      </c>
      <c r="B98" s="64">
        <v>17.11</v>
      </c>
      <c r="C98" s="64">
        <v>74.62</v>
      </c>
      <c r="D98" s="64">
        <v>55.55</v>
      </c>
      <c r="E98" s="64">
        <v>2.2000000000000002</v>
      </c>
      <c r="F98" s="64">
        <v>3.37</v>
      </c>
      <c r="G98" s="64">
        <v>119.38</v>
      </c>
      <c r="H98" s="64">
        <v>66.3</v>
      </c>
      <c r="I98" s="64">
        <v>1.48</v>
      </c>
      <c r="J98" s="64">
        <v>0.3</v>
      </c>
      <c r="K98" s="64">
        <v>332.36</v>
      </c>
      <c r="L98" s="64">
        <v>19.170000000000002</v>
      </c>
      <c r="M98" s="64">
        <v>64.25</v>
      </c>
      <c r="N98" s="64">
        <v>38.700000000000003</v>
      </c>
      <c r="O98" s="64">
        <v>0</v>
      </c>
      <c r="P98" s="64">
        <v>1.86</v>
      </c>
      <c r="Q98" s="64">
        <v>7.12</v>
      </c>
      <c r="R98" s="198"/>
      <c r="S98" s="198"/>
      <c r="T98" s="198"/>
      <c r="U98" s="198"/>
    </row>
    <row r="99" spans="1:33" s="12" customFormat="1" x14ac:dyDescent="0.25">
      <c r="A99" s="215" t="s">
        <v>2836</v>
      </c>
      <c r="B99" s="64">
        <v>15.71</v>
      </c>
      <c r="C99" s="64">
        <v>59.15</v>
      </c>
      <c r="D99" s="64">
        <v>45.89</v>
      </c>
      <c r="E99" s="64">
        <v>2.21</v>
      </c>
      <c r="F99" s="64">
        <v>3.17</v>
      </c>
      <c r="G99" s="64">
        <v>119.38</v>
      </c>
      <c r="H99" s="64">
        <v>66.3</v>
      </c>
      <c r="I99" s="64">
        <v>1.51</v>
      </c>
      <c r="J99" s="64">
        <v>0.28000000000000003</v>
      </c>
      <c r="K99" s="64">
        <v>98.5</v>
      </c>
      <c r="L99" s="64">
        <v>18.91</v>
      </c>
      <c r="M99" s="64">
        <v>64.5</v>
      </c>
      <c r="N99" s="64">
        <v>38.9</v>
      </c>
      <c r="O99" s="64">
        <v>0</v>
      </c>
      <c r="P99" s="64">
        <v>1.83</v>
      </c>
      <c r="Q99" s="64">
        <v>7.12</v>
      </c>
      <c r="R99" s="198"/>
      <c r="S99" s="198"/>
      <c r="T99" s="198"/>
      <c r="U99" s="198"/>
    </row>
    <row r="100" spans="1:33" s="12" customFormat="1" x14ac:dyDescent="0.25">
      <c r="A100" s="215" t="s">
        <v>2837</v>
      </c>
      <c r="B100" s="64">
        <v>10.97</v>
      </c>
      <c r="C100" s="64">
        <v>53.99</v>
      </c>
      <c r="D100" s="64">
        <v>39.24</v>
      </c>
      <c r="E100" s="64">
        <v>2.2000000000000002</v>
      </c>
      <c r="F100" s="64">
        <v>3.08</v>
      </c>
      <c r="G100" s="64">
        <v>119.38</v>
      </c>
      <c r="H100" s="64">
        <v>66.3</v>
      </c>
      <c r="I100" s="64">
        <v>1.46</v>
      </c>
      <c r="J100" s="64">
        <v>0.34</v>
      </c>
      <c r="K100" s="64">
        <v>95.81</v>
      </c>
      <c r="L100" s="64">
        <v>18.690000000000001</v>
      </c>
      <c r="M100" s="64">
        <v>64.81</v>
      </c>
      <c r="N100" s="64">
        <v>39.200000000000003</v>
      </c>
      <c r="O100" s="64">
        <v>0</v>
      </c>
      <c r="P100" s="64">
        <v>1.78</v>
      </c>
      <c r="Q100" s="64">
        <v>7.07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2838</v>
      </c>
      <c r="B101" s="64">
        <v>10.06</v>
      </c>
      <c r="C101" s="64">
        <v>52.6</v>
      </c>
      <c r="D101" s="64">
        <v>37.74</v>
      </c>
      <c r="E101" s="64">
        <v>2.2799999999999998</v>
      </c>
      <c r="F101" s="64">
        <v>3.13</v>
      </c>
      <c r="G101" s="64">
        <v>111.1</v>
      </c>
      <c r="H101" s="64">
        <v>62.98</v>
      </c>
      <c r="I101" s="64">
        <v>1.61</v>
      </c>
      <c r="J101" s="64">
        <v>0.17</v>
      </c>
      <c r="K101" s="64">
        <v>87.67</v>
      </c>
      <c r="L101" s="64">
        <v>18.489999999999998</v>
      </c>
      <c r="M101" s="64">
        <v>65.239999999999995</v>
      </c>
      <c r="N101" s="64">
        <v>39.1</v>
      </c>
      <c r="O101" s="64">
        <v>0</v>
      </c>
      <c r="P101" s="64">
        <v>1.74</v>
      </c>
      <c r="Q101" s="64">
        <v>6.9</v>
      </c>
      <c r="R101" s="198"/>
      <c r="S101" s="198"/>
      <c r="T101" s="198"/>
      <c r="U101" s="198"/>
    </row>
    <row r="102" spans="1:33" s="12" customFormat="1" x14ac:dyDescent="0.25">
      <c r="A102" s="215" t="s">
        <v>2839</v>
      </c>
      <c r="B102" s="64">
        <v>8.89</v>
      </c>
      <c r="C102" s="64">
        <v>53.21</v>
      </c>
      <c r="D102" s="64">
        <v>37.15</v>
      </c>
      <c r="E102" s="64">
        <v>2.2000000000000002</v>
      </c>
      <c r="F102" s="64">
        <v>3.22</v>
      </c>
      <c r="G102" s="64">
        <v>105.58</v>
      </c>
      <c r="H102" s="64">
        <v>62.18</v>
      </c>
      <c r="I102" s="64">
        <v>1.55</v>
      </c>
      <c r="J102" s="64">
        <v>0.13</v>
      </c>
      <c r="K102" s="64">
        <v>75.94</v>
      </c>
      <c r="L102" s="64">
        <v>18.28</v>
      </c>
      <c r="M102" s="64">
        <v>65.989999999999995</v>
      </c>
      <c r="N102" s="64">
        <v>39.299999999999997</v>
      </c>
      <c r="O102" s="64">
        <v>0</v>
      </c>
      <c r="P102" s="64">
        <v>1.69</v>
      </c>
      <c r="Q102" s="64">
        <v>6.77</v>
      </c>
      <c r="R102" s="198"/>
      <c r="S102" s="198"/>
      <c r="T102" s="198"/>
      <c r="U102" s="198"/>
    </row>
    <row r="103" spans="1:33" s="12" customFormat="1" x14ac:dyDescent="0.25">
      <c r="A103" s="215" t="s">
        <v>2840</v>
      </c>
      <c r="B103" s="64">
        <v>9.92</v>
      </c>
      <c r="C103" s="64">
        <v>53.46</v>
      </c>
      <c r="D103" s="64">
        <v>38.1</v>
      </c>
      <c r="E103" s="64">
        <v>2.19</v>
      </c>
      <c r="F103" s="64">
        <v>3.2</v>
      </c>
      <c r="G103" s="64">
        <v>105.58</v>
      </c>
      <c r="H103" s="64">
        <v>62.18</v>
      </c>
      <c r="I103" s="64">
        <v>1.54</v>
      </c>
      <c r="J103" s="64">
        <v>0.05</v>
      </c>
      <c r="K103" s="64">
        <v>5.34</v>
      </c>
      <c r="L103" s="64">
        <v>18.059999999999999</v>
      </c>
      <c r="M103" s="64">
        <v>67.69</v>
      </c>
      <c r="N103" s="64">
        <v>39.700000000000003</v>
      </c>
      <c r="O103" s="64">
        <v>0</v>
      </c>
      <c r="P103" s="64">
        <v>1.64</v>
      </c>
      <c r="Q103" s="64">
        <v>6.69</v>
      </c>
      <c r="R103" s="198"/>
      <c r="S103" s="198"/>
      <c r="T103" s="198"/>
      <c r="U103" s="198"/>
    </row>
    <row r="104" spans="1:33" s="12" customFormat="1" x14ac:dyDescent="0.25">
      <c r="A104" s="215" t="s">
        <v>2841</v>
      </c>
      <c r="B104" s="64">
        <v>8.16</v>
      </c>
      <c r="C104" s="64">
        <v>59.01</v>
      </c>
      <c r="D104" s="64">
        <v>39.76</v>
      </c>
      <c r="E104" s="64">
        <v>2.15</v>
      </c>
      <c r="F104" s="64">
        <v>3.41</v>
      </c>
      <c r="G104" s="64">
        <v>105.58</v>
      </c>
      <c r="H104" s="64">
        <v>62.18</v>
      </c>
      <c r="I104" s="64">
        <v>1.56</v>
      </c>
      <c r="J104" s="64">
        <v>0.16</v>
      </c>
      <c r="K104" s="64">
        <v>314.98</v>
      </c>
      <c r="L104" s="64">
        <v>17.89</v>
      </c>
      <c r="M104" s="64">
        <v>68.430000000000007</v>
      </c>
      <c r="N104" s="64">
        <v>39.799999999999997</v>
      </c>
      <c r="O104" s="64">
        <v>0</v>
      </c>
      <c r="P104" s="64">
        <v>1.61</v>
      </c>
      <c r="Q104" s="64">
        <v>6.58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2.93</v>
      </c>
      <c r="C106" s="67">
        <f>MIN(C9:C104)</f>
        <v>29.24</v>
      </c>
      <c r="D106" s="67">
        <f t="shared" ref="D106:Q106" si="0">MIN(D9:D104)</f>
        <v>22.39</v>
      </c>
      <c r="E106" s="67">
        <f t="shared" si="0"/>
        <v>2.0099999999999998</v>
      </c>
      <c r="F106" s="67">
        <f t="shared" si="0"/>
        <v>3.08</v>
      </c>
      <c r="G106" s="67">
        <f t="shared" si="0"/>
        <v>61.9</v>
      </c>
      <c r="H106" s="67">
        <f t="shared" si="0"/>
        <v>30.79</v>
      </c>
      <c r="I106" s="67">
        <f t="shared" si="0"/>
        <v>1.38</v>
      </c>
      <c r="J106" s="67">
        <f t="shared" si="0"/>
        <v>0.05</v>
      </c>
      <c r="K106" s="67">
        <f t="shared" si="0"/>
        <v>3.2</v>
      </c>
      <c r="L106" s="67">
        <f t="shared" si="0"/>
        <v>16.309999999999999</v>
      </c>
      <c r="M106" s="67">
        <f t="shared" si="0"/>
        <v>47.65</v>
      </c>
      <c r="N106" s="67">
        <f t="shared" si="0"/>
        <v>31.9</v>
      </c>
      <c r="O106" s="67">
        <f t="shared" si="0"/>
        <v>0</v>
      </c>
      <c r="P106" s="67">
        <f t="shared" si="0"/>
        <v>0.81</v>
      </c>
      <c r="Q106" s="67">
        <f t="shared" si="0"/>
        <v>5.56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43.42</v>
      </c>
      <c r="C107" s="66">
        <f t="shared" ref="C107:Q107" si="1">MAX(C9:C104)</f>
        <v>122.09</v>
      </c>
      <c r="D107" s="66">
        <f t="shared" si="1"/>
        <v>100.34</v>
      </c>
      <c r="E107" s="66">
        <f t="shared" si="1"/>
        <v>2.54</v>
      </c>
      <c r="F107" s="66">
        <f t="shared" si="1"/>
        <v>9.1300000000000008</v>
      </c>
      <c r="G107" s="66">
        <f t="shared" si="1"/>
        <v>150.97</v>
      </c>
      <c r="H107" s="66">
        <f t="shared" si="1"/>
        <v>66.3</v>
      </c>
      <c r="I107" s="66">
        <f t="shared" si="1"/>
        <v>1.61</v>
      </c>
      <c r="J107" s="66">
        <f t="shared" si="1"/>
        <v>1.69</v>
      </c>
      <c r="K107" s="66">
        <f t="shared" si="1"/>
        <v>359.99</v>
      </c>
      <c r="L107" s="66">
        <f t="shared" si="1"/>
        <v>23.3</v>
      </c>
      <c r="M107" s="66">
        <f t="shared" si="1"/>
        <v>81.87</v>
      </c>
      <c r="N107" s="66">
        <f t="shared" si="1"/>
        <v>401.4</v>
      </c>
      <c r="O107" s="66">
        <f t="shared" si="1"/>
        <v>0</v>
      </c>
      <c r="P107" s="66">
        <f t="shared" si="1"/>
        <v>1.89</v>
      </c>
      <c r="Q107" s="66">
        <f t="shared" si="1"/>
        <v>7.33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12.155833333333332</v>
      </c>
      <c r="C108" s="67">
        <f t="shared" ref="C108:Q108" si="2">AVERAGE(C9:C104)</f>
        <v>67.445729166666666</v>
      </c>
      <c r="D108" s="67">
        <f t="shared" si="2"/>
        <v>47.616562499999993</v>
      </c>
      <c r="E108" s="67">
        <f t="shared" si="2"/>
        <v>2.2589583333333327</v>
      </c>
      <c r="F108" s="67">
        <f t="shared" si="2"/>
        <v>3.7185416666666691</v>
      </c>
      <c r="G108" s="67">
        <f t="shared" si="2"/>
        <v>94.725833333333313</v>
      </c>
      <c r="H108" s="67">
        <f t="shared" si="2"/>
        <v>47.342916666666696</v>
      </c>
      <c r="I108" s="67">
        <f t="shared" si="2"/>
        <v>1.5029166666666669</v>
      </c>
      <c r="J108" s="67">
        <f t="shared" si="2"/>
        <v>0.54552083333333312</v>
      </c>
      <c r="K108" s="67">
        <f t="shared" si="2"/>
        <v>195.55510416666667</v>
      </c>
      <c r="L108" s="67">
        <f t="shared" si="2"/>
        <v>19.85177083333333</v>
      </c>
      <c r="M108" s="67">
        <f t="shared" si="2"/>
        <v>62.651458333333345</v>
      </c>
      <c r="N108" s="67">
        <f t="shared" si="2"/>
        <v>103.60729166666674</v>
      </c>
      <c r="O108" s="67">
        <f t="shared" si="2"/>
        <v>0</v>
      </c>
      <c r="P108" s="67">
        <f t="shared" si="2"/>
        <v>1.2681250000000002</v>
      </c>
      <c r="Q108" s="67">
        <f t="shared" si="2"/>
        <v>6.404583333333334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8.4712679305330223</v>
      </c>
      <c r="C109" s="67">
        <f t="shared" ref="C109:Q109" si="3">STDEV(C9:C104)</f>
        <v>23.247702444250329</v>
      </c>
      <c r="D109" s="67">
        <f t="shared" si="3"/>
        <v>18.845768299436685</v>
      </c>
      <c r="E109" s="67">
        <f t="shared" si="3"/>
        <v>9.2537095454135104E-2</v>
      </c>
      <c r="F109" s="67">
        <f t="shared" si="3"/>
        <v>0.92884419311728939</v>
      </c>
      <c r="G109" s="67">
        <f t="shared" si="3"/>
        <v>26.325418241958424</v>
      </c>
      <c r="H109" s="67">
        <f t="shared" si="3"/>
        <v>9.9185282138944793</v>
      </c>
      <c r="I109" s="67">
        <f t="shared" si="3"/>
        <v>4.2225376921234875E-2</v>
      </c>
      <c r="J109" s="67">
        <f t="shared" si="3"/>
        <v>0.3849863149766477</v>
      </c>
      <c r="K109" s="67">
        <f t="shared" si="3"/>
        <v>128.73558224020999</v>
      </c>
      <c r="L109" s="67">
        <f t="shared" si="3"/>
        <v>2.00773503954965</v>
      </c>
      <c r="M109" s="67">
        <f t="shared" si="3"/>
        <v>8.6259168823610377</v>
      </c>
      <c r="N109" s="67">
        <f t="shared" si="3"/>
        <v>95.129957918840347</v>
      </c>
      <c r="O109" s="67">
        <f t="shared" si="3"/>
        <v>0</v>
      </c>
      <c r="P109" s="67">
        <f t="shared" si="3"/>
        <v>0.32255334116194823</v>
      </c>
      <c r="Q109" s="67">
        <f t="shared" si="3"/>
        <v>0.56711999410997527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5" t="s">
        <v>2842</v>
      </c>
      <c r="B9" s="64">
        <v>7.91</v>
      </c>
      <c r="C9" s="64">
        <v>56.06</v>
      </c>
      <c r="D9" s="64">
        <v>37.93</v>
      </c>
      <c r="E9" s="64">
        <v>2.2000000000000002</v>
      </c>
      <c r="F9" s="64">
        <v>3.34</v>
      </c>
      <c r="G9" s="64">
        <v>90.63</v>
      </c>
      <c r="H9" s="64">
        <v>58.38</v>
      </c>
      <c r="I9" s="64">
        <v>1.48</v>
      </c>
      <c r="J9" s="64">
        <v>0.37</v>
      </c>
      <c r="K9" s="64">
        <v>98.17</v>
      </c>
      <c r="L9" s="64">
        <v>17.829999999999998</v>
      </c>
      <c r="M9" s="64">
        <v>67.77</v>
      </c>
      <c r="N9" s="64">
        <v>39.700000000000003</v>
      </c>
      <c r="O9" s="64">
        <v>0</v>
      </c>
      <c r="P9" s="64">
        <v>1.57</v>
      </c>
      <c r="Q9" s="64">
        <v>6.52</v>
      </c>
      <c r="R9" s="198"/>
      <c r="S9" s="198"/>
      <c r="T9" s="198"/>
      <c r="U9" s="198"/>
    </row>
    <row r="10" spans="1:21" s="12" customFormat="1" x14ac:dyDescent="0.25">
      <c r="A10" s="215" t="s">
        <v>2843</v>
      </c>
      <c r="B10" s="64">
        <v>7.87</v>
      </c>
      <c r="C10" s="64">
        <v>45.39</v>
      </c>
      <c r="D10" s="64">
        <v>32.01</v>
      </c>
      <c r="E10" s="64">
        <v>2.21</v>
      </c>
      <c r="F10" s="64">
        <v>3.1</v>
      </c>
      <c r="G10" s="64">
        <v>80.66</v>
      </c>
      <c r="H10" s="64">
        <v>57.45</v>
      </c>
      <c r="I10" s="64">
        <v>1.54</v>
      </c>
      <c r="J10" s="64">
        <v>0.1</v>
      </c>
      <c r="K10" s="64">
        <v>108.43</v>
      </c>
      <c r="L10" s="64">
        <v>17.940000000000001</v>
      </c>
      <c r="M10" s="64">
        <v>67.349999999999994</v>
      </c>
      <c r="N10" s="64">
        <v>40</v>
      </c>
      <c r="O10" s="64">
        <v>0</v>
      </c>
      <c r="P10" s="64">
        <v>1.51</v>
      </c>
      <c r="Q10" s="64">
        <v>6.48</v>
      </c>
      <c r="R10" s="198"/>
      <c r="S10" s="198"/>
      <c r="T10" s="198"/>
      <c r="U10" s="198"/>
    </row>
    <row r="11" spans="1:21" s="12" customFormat="1" x14ac:dyDescent="0.25">
      <c r="A11" s="215" t="s">
        <v>2844</v>
      </c>
      <c r="B11" s="64">
        <v>5.32</v>
      </c>
      <c r="C11" s="64">
        <v>42.3</v>
      </c>
      <c r="D11" s="64">
        <v>28.26</v>
      </c>
      <c r="E11" s="64">
        <v>2.21</v>
      </c>
      <c r="F11" s="64">
        <v>3.31</v>
      </c>
      <c r="G11" s="64">
        <v>80.66</v>
      </c>
      <c r="H11" s="64">
        <v>57.45</v>
      </c>
      <c r="I11" s="64">
        <v>1.46</v>
      </c>
      <c r="J11" s="64">
        <v>7.0000000000000007E-2</v>
      </c>
      <c r="K11" s="64">
        <v>36.51</v>
      </c>
      <c r="L11" s="64">
        <v>17.829999999999998</v>
      </c>
      <c r="M11" s="64">
        <v>67.33</v>
      </c>
      <c r="N11" s="64">
        <v>40.5</v>
      </c>
      <c r="O11" s="64">
        <v>0</v>
      </c>
      <c r="P11" s="64">
        <v>1.48</v>
      </c>
      <c r="Q11" s="64">
        <v>6.42</v>
      </c>
      <c r="R11" s="198"/>
      <c r="S11" s="198"/>
      <c r="T11" s="198"/>
      <c r="U11" s="198"/>
    </row>
    <row r="12" spans="1:21" s="12" customFormat="1" x14ac:dyDescent="0.25">
      <c r="A12" s="215" t="s">
        <v>2845</v>
      </c>
      <c r="B12" s="64">
        <v>4.41</v>
      </c>
      <c r="C12" s="64">
        <v>39.119999999999997</v>
      </c>
      <c r="D12" s="64">
        <v>25.77</v>
      </c>
      <c r="E12" s="64">
        <v>2.19</v>
      </c>
      <c r="F12" s="64">
        <v>3.15</v>
      </c>
      <c r="G12" s="64">
        <v>80.66</v>
      </c>
      <c r="H12" s="64">
        <v>57.45</v>
      </c>
      <c r="I12" s="64">
        <v>1.51</v>
      </c>
      <c r="J12" s="64">
        <v>0.28000000000000003</v>
      </c>
      <c r="K12" s="64">
        <v>95.31</v>
      </c>
      <c r="L12" s="64">
        <v>17.64</v>
      </c>
      <c r="M12" s="64">
        <v>68.14</v>
      </c>
      <c r="N12" s="64">
        <v>40.5</v>
      </c>
      <c r="O12" s="64">
        <v>0</v>
      </c>
      <c r="P12" s="64">
        <v>1.42</v>
      </c>
      <c r="Q12" s="64">
        <v>6.37</v>
      </c>
      <c r="R12" s="198"/>
      <c r="S12" s="198"/>
      <c r="T12" s="198"/>
      <c r="U12" s="198"/>
    </row>
    <row r="13" spans="1:21" s="12" customFormat="1" x14ac:dyDescent="0.25">
      <c r="A13" s="215" t="s">
        <v>2846</v>
      </c>
      <c r="B13" s="64">
        <v>3.97</v>
      </c>
      <c r="C13" s="64">
        <v>35.1</v>
      </c>
      <c r="D13" s="64">
        <v>23.2</v>
      </c>
      <c r="E13" s="64">
        <v>2.2200000000000002</v>
      </c>
      <c r="F13" s="64">
        <v>3.19</v>
      </c>
      <c r="G13" s="64">
        <v>77.44</v>
      </c>
      <c r="H13" s="64">
        <v>55.07</v>
      </c>
      <c r="I13" s="64">
        <v>1.57</v>
      </c>
      <c r="J13" s="64">
        <v>0.39</v>
      </c>
      <c r="K13" s="64">
        <v>100.17</v>
      </c>
      <c r="L13" s="64">
        <v>17.600000000000001</v>
      </c>
      <c r="M13" s="64">
        <v>68.05</v>
      </c>
      <c r="N13" s="64">
        <v>40.4</v>
      </c>
      <c r="O13" s="64">
        <v>0</v>
      </c>
      <c r="P13" s="64">
        <v>1.33</v>
      </c>
      <c r="Q13" s="64">
        <v>6.29</v>
      </c>
      <c r="R13" s="198"/>
      <c r="S13" s="198"/>
      <c r="T13" s="198"/>
      <c r="U13" s="198"/>
    </row>
    <row r="14" spans="1:21" s="12" customFormat="1" x14ac:dyDescent="0.25">
      <c r="A14" s="215" t="s">
        <v>2847</v>
      </c>
      <c r="B14" s="64">
        <v>3.91</v>
      </c>
      <c r="C14" s="64">
        <v>34.67</v>
      </c>
      <c r="D14" s="64">
        <v>22.92</v>
      </c>
      <c r="E14" s="64">
        <v>2.2400000000000002</v>
      </c>
      <c r="F14" s="64">
        <v>3.39</v>
      </c>
      <c r="G14" s="64">
        <v>75.290000000000006</v>
      </c>
      <c r="H14" s="64">
        <v>53.95</v>
      </c>
      <c r="I14" s="64">
        <v>1.49</v>
      </c>
      <c r="J14" s="64">
        <v>0.16</v>
      </c>
      <c r="K14" s="64">
        <v>90.16</v>
      </c>
      <c r="L14" s="64">
        <v>17.53</v>
      </c>
      <c r="M14" s="64">
        <v>68.91</v>
      </c>
      <c r="N14" s="64">
        <v>41</v>
      </c>
      <c r="O14" s="64">
        <v>0</v>
      </c>
      <c r="P14" s="64">
        <v>1.36</v>
      </c>
      <c r="Q14" s="64">
        <v>6.23</v>
      </c>
      <c r="R14" s="198"/>
      <c r="S14" s="198"/>
      <c r="T14" s="198"/>
      <c r="U14" s="198"/>
    </row>
    <row r="15" spans="1:21" s="12" customFormat="1" x14ac:dyDescent="0.25">
      <c r="A15" s="215" t="s">
        <v>2848</v>
      </c>
      <c r="B15" s="64">
        <v>4.18</v>
      </c>
      <c r="C15" s="64">
        <v>37.270000000000003</v>
      </c>
      <c r="D15" s="64">
        <v>24.57</v>
      </c>
      <c r="E15" s="64">
        <v>2.2200000000000002</v>
      </c>
      <c r="F15" s="64">
        <v>3.47</v>
      </c>
      <c r="G15" s="64">
        <v>75.290000000000006</v>
      </c>
      <c r="H15" s="64">
        <v>53.95</v>
      </c>
      <c r="I15" s="64">
        <v>1.55</v>
      </c>
      <c r="J15" s="64">
        <v>0.2</v>
      </c>
      <c r="K15" s="64">
        <v>101.72</v>
      </c>
      <c r="L15" s="64">
        <v>17.43</v>
      </c>
      <c r="M15" s="64">
        <v>69.72</v>
      </c>
      <c r="N15" s="64">
        <v>41.3</v>
      </c>
      <c r="O15" s="64">
        <v>0</v>
      </c>
      <c r="P15" s="64">
        <v>1.32</v>
      </c>
      <c r="Q15" s="64">
        <v>6.24</v>
      </c>
      <c r="R15" s="198"/>
      <c r="S15" s="198"/>
      <c r="T15" s="198"/>
      <c r="U15" s="198"/>
    </row>
    <row r="16" spans="1:21" s="12" customFormat="1" x14ac:dyDescent="0.25">
      <c r="A16" s="215" t="s">
        <v>2849</v>
      </c>
      <c r="B16" s="64">
        <v>4.12</v>
      </c>
      <c r="C16" s="64">
        <v>38.51</v>
      </c>
      <c r="D16" s="64">
        <v>25.21</v>
      </c>
      <c r="E16" s="64">
        <v>2.23</v>
      </c>
      <c r="F16" s="64">
        <v>3.16</v>
      </c>
      <c r="G16" s="64">
        <v>75.290000000000006</v>
      </c>
      <c r="H16" s="64">
        <v>53.95</v>
      </c>
      <c r="I16" s="64">
        <v>1.46</v>
      </c>
      <c r="J16" s="64">
        <v>0.3</v>
      </c>
      <c r="K16" s="64">
        <v>112.61</v>
      </c>
      <c r="L16" s="64">
        <v>17.39</v>
      </c>
      <c r="M16" s="64">
        <v>70.209999999999994</v>
      </c>
      <c r="N16" s="64">
        <v>41.4</v>
      </c>
      <c r="O16" s="64">
        <v>0</v>
      </c>
      <c r="P16" s="64">
        <v>1.28</v>
      </c>
      <c r="Q16" s="64">
        <v>6.21</v>
      </c>
      <c r="R16" s="198"/>
      <c r="S16" s="198"/>
      <c r="T16" s="198"/>
      <c r="U16" s="198"/>
    </row>
    <row r="17" spans="1:21" s="12" customFormat="1" x14ac:dyDescent="0.25">
      <c r="A17" s="215" t="s">
        <v>2850</v>
      </c>
      <c r="B17" s="64">
        <v>4.29</v>
      </c>
      <c r="C17" s="64">
        <v>40.229999999999997</v>
      </c>
      <c r="D17" s="64">
        <v>26.29</v>
      </c>
      <c r="E17" s="64">
        <v>2.27</v>
      </c>
      <c r="F17" s="64">
        <v>3.2</v>
      </c>
      <c r="G17" s="64">
        <v>75.7</v>
      </c>
      <c r="H17" s="64">
        <v>45.93</v>
      </c>
      <c r="I17" s="64">
        <v>1.47</v>
      </c>
      <c r="J17" s="64">
        <v>0.17</v>
      </c>
      <c r="K17" s="64">
        <v>93.05</v>
      </c>
      <c r="L17" s="64">
        <v>17.18</v>
      </c>
      <c r="M17" s="64">
        <v>71.03</v>
      </c>
      <c r="N17" s="64">
        <v>41.5</v>
      </c>
      <c r="O17" s="64">
        <v>0</v>
      </c>
      <c r="P17" s="64">
        <v>1.24</v>
      </c>
      <c r="Q17" s="64">
        <v>6.16</v>
      </c>
      <c r="R17" s="198"/>
      <c r="S17" s="198"/>
      <c r="T17" s="198"/>
      <c r="U17" s="198"/>
    </row>
    <row r="18" spans="1:21" s="12" customFormat="1" x14ac:dyDescent="0.25">
      <c r="A18" s="215" t="s">
        <v>2851</v>
      </c>
      <c r="B18" s="64">
        <v>4.33</v>
      </c>
      <c r="C18" s="64">
        <v>40.5</v>
      </c>
      <c r="D18" s="64">
        <v>26.47</v>
      </c>
      <c r="E18" s="64">
        <v>2.2200000000000002</v>
      </c>
      <c r="F18" s="64">
        <v>3.37</v>
      </c>
      <c r="G18" s="64">
        <v>75.97</v>
      </c>
      <c r="H18" s="64">
        <v>43.96</v>
      </c>
      <c r="I18" s="64">
        <v>1.55</v>
      </c>
      <c r="J18" s="64">
        <v>0.17</v>
      </c>
      <c r="K18" s="64">
        <v>86.32</v>
      </c>
      <c r="L18" s="64">
        <v>17.05</v>
      </c>
      <c r="M18" s="64">
        <v>71.959999999999994</v>
      </c>
      <c r="N18" s="64">
        <v>41.5</v>
      </c>
      <c r="O18" s="64">
        <v>0</v>
      </c>
      <c r="P18" s="64">
        <v>1.21</v>
      </c>
      <c r="Q18" s="64">
        <v>6.15</v>
      </c>
      <c r="R18" s="198"/>
      <c r="S18" s="198"/>
      <c r="T18" s="198"/>
      <c r="U18" s="198"/>
    </row>
    <row r="19" spans="1:21" s="12" customFormat="1" x14ac:dyDescent="0.25">
      <c r="A19" s="215" t="s">
        <v>2852</v>
      </c>
      <c r="B19" s="64">
        <v>4</v>
      </c>
      <c r="C19" s="64">
        <v>38.979999999999997</v>
      </c>
      <c r="D19" s="64">
        <v>25.36</v>
      </c>
      <c r="E19" s="64">
        <v>2.21</v>
      </c>
      <c r="F19" s="64">
        <v>3.4</v>
      </c>
      <c r="G19" s="64">
        <v>75.97</v>
      </c>
      <c r="H19" s="64">
        <v>43.96</v>
      </c>
      <c r="I19" s="64">
        <v>1.5</v>
      </c>
      <c r="J19" s="64">
        <v>7.0000000000000007E-2</v>
      </c>
      <c r="K19" s="64">
        <v>75.819999999999993</v>
      </c>
      <c r="L19" s="64">
        <v>16.98</v>
      </c>
      <c r="M19" s="64">
        <v>73.27</v>
      </c>
      <c r="N19" s="64">
        <v>41.9</v>
      </c>
      <c r="O19" s="64">
        <v>0</v>
      </c>
      <c r="P19" s="64">
        <v>1.18</v>
      </c>
      <c r="Q19" s="64">
        <v>6.14</v>
      </c>
      <c r="R19" s="198"/>
      <c r="S19" s="198"/>
      <c r="T19" s="198"/>
      <c r="U19" s="198"/>
    </row>
    <row r="20" spans="1:21" s="12" customFormat="1" x14ac:dyDescent="0.25">
      <c r="A20" s="215" t="s">
        <v>2853</v>
      </c>
      <c r="B20" s="64">
        <v>4.32</v>
      </c>
      <c r="C20" s="64">
        <v>37.53</v>
      </c>
      <c r="D20" s="64">
        <v>24.82</v>
      </c>
      <c r="E20" s="64">
        <v>2.17</v>
      </c>
      <c r="F20" s="64">
        <v>3.44</v>
      </c>
      <c r="G20" s="64">
        <v>75.97</v>
      </c>
      <c r="H20" s="64">
        <v>43.96</v>
      </c>
      <c r="I20" s="64">
        <v>1.65</v>
      </c>
      <c r="J20" s="64">
        <v>0.54</v>
      </c>
      <c r="K20" s="64">
        <v>108.15</v>
      </c>
      <c r="L20" s="64">
        <v>17.05</v>
      </c>
      <c r="M20" s="64">
        <v>73.33</v>
      </c>
      <c r="N20" s="64">
        <v>42</v>
      </c>
      <c r="O20" s="64">
        <v>0</v>
      </c>
      <c r="P20" s="64">
        <v>1.1599999999999999</v>
      </c>
      <c r="Q20" s="64">
        <v>6.13</v>
      </c>
      <c r="R20" s="198"/>
      <c r="S20" s="198"/>
      <c r="T20" s="198"/>
      <c r="U20" s="198"/>
    </row>
    <row r="21" spans="1:21" s="12" customFormat="1" x14ac:dyDescent="0.25">
      <c r="A21" s="215" t="s">
        <v>2854</v>
      </c>
      <c r="B21" s="64">
        <v>3.98</v>
      </c>
      <c r="C21" s="64">
        <v>33.130000000000003</v>
      </c>
      <c r="D21" s="64">
        <v>22.12</v>
      </c>
      <c r="E21" s="64">
        <v>2.2400000000000002</v>
      </c>
      <c r="F21" s="64">
        <v>3.3</v>
      </c>
      <c r="G21" s="64">
        <v>73.290000000000006</v>
      </c>
      <c r="H21" s="64">
        <v>43.6</v>
      </c>
      <c r="I21" s="64">
        <v>1.48</v>
      </c>
      <c r="J21" s="64">
        <v>0.4</v>
      </c>
      <c r="K21" s="64">
        <v>102.77</v>
      </c>
      <c r="L21" s="64">
        <v>17.2</v>
      </c>
      <c r="M21" s="64">
        <v>72.75</v>
      </c>
      <c r="N21" s="64">
        <v>42.2</v>
      </c>
      <c r="O21" s="64">
        <v>0</v>
      </c>
      <c r="P21" s="64">
        <v>1.1200000000000001</v>
      </c>
      <c r="Q21" s="64">
        <v>6.1</v>
      </c>
      <c r="R21" s="198"/>
      <c r="S21" s="198"/>
      <c r="T21" s="198"/>
      <c r="U21" s="198"/>
    </row>
    <row r="22" spans="1:21" s="12" customFormat="1" x14ac:dyDescent="0.25">
      <c r="A22" s="215" t="s">
        <v>2855</v>
      </c>
      <c r="B22" s="64">
        <v>3.92</v>
      </c>
      <c r="C22" s="64">
        <v>33.61</v>
      </c>
      <c r="D22" s="64">
        <v>22.34</v>
      </c>
      <c r="E22" s="64">
        <v>2.2400000000000002</v>
      </c>
      <c r="F22" s="64">
        <v>3.45</v>
      </c>
      <c r="G22" s="64">
        <v>71.41</v>
      </c>
      <c r="H22" s="64">
        <v>43.51</v>
      </c>
      <c r="I22" s="64">
        <v>1.47</v>
      </c>
      <c r="J22" s="64">
        <v>7.0000000000000007E-2</v>
      </c>
      <c r="K22" s="64">
        <v>7.1</v>
      </c>
      <c r="L22" s="64">
        <v>16.96</v>
      </c>
      <c r="M22" s="64">
        <v>74.37</v>
      </c>
      <c r="N22" s="64">
        <v>43</v>
      </c>
      <c r="O22" s="64">
        <v>0</v>
      </c>
      <c r="P22" s="64">
        <v>1.1100000000000001</v>
      </c>
      <c r="Q22" s="64">
        <v>6.09</v>
      </c>
      <c r="R22" s="198"/>
      <c r="S22" s="198"/>
      <c r="T22" s="198"/>
      <c r="U22" s="198"/>
    </row>
    <row r="23" spans="1:21" s="12" customFormat="1" x14ac:dyDescent="0.25">
      <c r="A23" s="215" t="s">
        <v>2856</v>
      </c>
      <c r="B23" s="64">
        <v>5.41</v>
      </c>
      <c r="C23" s="64">
        <v>37.090000000000003</v>
      </c>
      <c r="D23" s="64">
        <v>25.45</v>
      </c>
      <c r="E23" s="64">
        <v>2.2400000000000002</v>
      </c>
      <c r="F23" s="64">
        <v>3.5</v>
      </c>
      <c r="G23" s="64">
        <v>71.41</v>
      </c>
      <c r="H23" s="64">
        <v>43.51</v>
      </c>
      <c r="I23" s="64">
        <v>1.45</v>
      </c>
      <c r="J23" s="64">
        <v>0.18</v>
      </c>
      <c r="K23" s="64">
        <v>70.58</v>
      </c>
      <c r="L23" s="64">
        <v>16.77</v>
      </c>
      <c r="M23" s="64">
        <v>75.38</v>
      </c>
      <c r="N23" s="64">
        <v>43.4</v>
      </c>
      <c r="O23" s="64">
        <v>0</v>
      </c>
      <c r="P23" s="64">
        <v>1.07</v>
      </c>
      <c r="Q23" s="64">
        <v>6.13</v>
      </c>
      <c r="R23" s="198"/>
      <c r="S23" s="198"/>
      <c r="T23" s="198"/>
      <c r="U23" s="198"/>
    </row>
    <row r="24" spans="1:21" s="12" customFormat="1" x14ac:dyDescent="0.25">
      <c r="A24" s="215" t="s">
        <v>2857</v>
      </c>
      <c r="B24" s="64">
        <v>7.19</v>
      </c>
      <c r="C24" s="64">
        <v>38.46</v>
      </c>
      <c r="D24" s="64">
        <v>27.63</v>
      </c>
      <c r="E24" s="64">
        <v>2.2599999999999998</v>
      </c>
      <c r="F24" s="64">
        <v>3.43</v>
      </c>
      <c r="G24" s="64">
        <v>71.41</v>
      </c>
      <c r="H24" s="64">
        <v>43.51</v>
      </c>
      <c r="I24" s="64">
        <v>1.54</v>
      </c>
      <c r="J24" s="64">
        <v>0.12</v>
      </c>
      <c r="K24" s="64">
        <v>68.47</v>
      </c>
      <c r="L24" s="64">
        <v>16.7</v>
      </c>
      <c r="M24" s="64">
        <v>76.069999999999993</v>
      </c>
      <c r="N24" s="64">
        <v>43.6</v>
      </c>
      <c r="O24" s="64">
        <v>0</v>
      </c>
      <c r="P24" s="64">
        <v>1.05</v>
      </c>
      <c r="Q24" s="64">
        <v>6.05</v>
      </c>
      <c r="R24" s="198"/>
      <c r="S24" s="198"/>
      <c r="T24" s="198"/>
      <c r="U24" s="198"/>
    </row>
    <row r="25" spans="1:21" s="12" customFormat="1" x14ac:dyDescent="0.25">
      <c r="A25" s="215" t="s">
        <v>2858</v>
      </c>
      <c r="B25" s="64">
        <v>7.76</v>
      </c>
      <c r="C25" s="64">
        <v>41.55</v>
      </c>
      <c r="D25" s="64">
        <v>29.8</v>
      </c>
      <c r="E25" s="64">
        <v>2.3199999999999998</v>
      </c>
      <c r="F25" s="64">
        <v>3.24</v>
      </c>
      <c r="G25" s="64">
        <v>70.900000000000006</v>
      </c>
      <c r="H25" s="64">
        <v>43.25</v>
      </c>
      <c r="I25" s="64">
        <v>1.51</v>
      </c>
      <c r="J25" s="64">
        <v>0.19</v>
      </c>
      <c r="K25" s="64">
        <v>102.06</v>
      </c>
      <c r="L25" s="64">
        <v>16.649999999999999</v>
      </c>
      <c r="M25" s="64">
        <v>77.25</v>
      </c>
      <c r="N25" s="64">
        <v>43.9</v>
      </c>
      <c r="O25" s="64">
        <v>0</v>
      </c>
      <c r="P25" s="64">
        <v>1.03</v>
      </c>
      <c r="Q25" s="64">
        <v>6.01</v>
      </c>
      <c r="R25" s="198"/>
      <c r="S25" s="198"/>
      <c r="T25" s="198"/>
      <c r="U25" s="198"/>
    </row>
    <row r="26" spans="1:21" s="12" customFormat="1" x14ac:dyDescent="0.25">
      <c r="A26" s="215" t="s">
        <v>2859</v>
      </c>
      <c r="B26" s="64">
        <v>10.17</v>
      </c>
      <c r="C26" s="64">
        <v>36.22</v>
      </c>
      <c r="D26" s="64">
        <v>28.79</v>
      </c>
      <c r="E26" s="64">
        <v>2.29</v>
      </c>
      <c r="F26" s="64">
        <v>3.34</v>
      </c>
      <c r="G26" s="64">
        <v>70.55</v>
      </c>
      <c r="H26" s="64">
        <v>43.18</v>
      </c>
      <c r="I26" s="64">
        <v>1.53</v>
      </c>
      <c r="J26" s="64">
        <v>0.13</v>
      </c>
      <c r="K26" s="64">
        <v>108.73</v>
      </c>
      <c r="L26" s="64">
        <v>16.86</v>
      </c>
      <c r="M26" s="64">
        <v>76.819999999999993</v>
      </c>
      <c r="N26" s="64">
        <v>43.8</v>
      </c>
      <c r="O26" s="64">
        <v>0</v>
      </c>
      <c r="P26" s="64">
        <v>1.01</v>
      </c>
      <c r="Q26" s="64">
        <v>5.99</v>
      </c>
      <c r="R26" s="198"/>
      <c r="S26" s="198"/>
      <c r="T26" s="198"/>
      <c r="U26" s="198"/>
    </row>
    <row r="27" spans="1:21" s="12" customFormat="1" x14ac:dyDescent="0.25">
      <c r="A27" s="215" t="s">
        <v>2860</v>
      </c>
      <c r="B27" s="64">
        <v>8.3000000000000007</v>
      </c>
      <c r="C27" s="64">
        <v>44.34</v>
      </c>
      <c r="D27" s="64">
        <v>31.77</v>
      </c>
      <c r="E27" s="64">
        <v>2.27</v>
      </c>
      <c r="F27" s="64">
        <v>3.15</v>
      </c>
      <c r="G27" s="64">
        <v>70.55</v>
      </c>
      <c r="H27" s="64">
        <v>43.18</v>
      </c>
      <c r="I27" s="64">
        <v>1.46</v>
      </c>
      <c r="J27" s="64">
        <v>0.12</v>
      </c>
      <c r="K27" s="64">
        <v>338.07</v>
      </c>
      <c r="L27" s="64">
        <v>16.86</v>
      </c>
      <c r="M27" s="64">
        <v>76.599999999999994</v>
      </c>
      <c r="N27" s="64">
        <v>44.3</v>
      </c>
      <c r="O27" s="64">
        <v>0</v>
      </c>
      <c r="P27" s="64">
        <v>0.99</v>
      </c>
      <c r="Q27" s="64">
        <v>5.94</v>
      </c>
      <c r="R27" s="198"/>
      <c r="S27" s="198"/>
      <c r="T27" s="198"/>
      <c r="U27" s="198"/>
    </row>
    <row r="28" spans="1:21" s="12" customFormat="1" x14ac:dyDescent="0.25">
      <c r="A28" s="215" t="s">
        <v>2861</v>
      </c>
      <c r="B28" s="64">
        <v>12.19</v>
      </c>
      <c r="C28" s="64">
        <v>50.49</v>
      </c>
      <c r="D28" s="64">
        <v>38.28</v>
      </c>
      <c r="E28" s="64">
        <v>2.34</v>
      </c>
      <c r="F28" s="64">
        <v>3.34</v>
      </c>
      <c r="G28" s="64">
        <v>70.55</v>
      </c>
      <c r="H28" s="64">
        <v>43.18</v>
      </c>
      <c r="I28" s="64">
        <v>1.45</v>
      </c>
      <c r="J28" s="64">
        <v>0.38</v>
      </c>
      <c r="K28" s="64">
        <v>339.54</v>
      </c>
      <c r="L28" s="64">
        <v>16.64</v>
      </c>
      <c r="M28" s="64">
        <v>78.14</v>
      </c>
      <c r="N28" s="64">
        <v>44.2</v>
      </c>
      <c r="O28" s="64">
        <v>0</v>
      </c>
      <c r="P28" s="64">
        <v>0.97</v>
      </c>
      <c r="Q28" s="64">
        <v>5.94</v>
      </c>
      <c r="R28" s="198"/>
      <c r="S28" s="198"/>
      <c r="T28" s="198"/>
      <c r="U28" s="198"/>
    </row>
    <row r="29" spans="1:21" s="12" customFormat="1" x14ac:dyDescent="0.25">
      <c r="A29" s="215" t="s">
        <v>2862</v>
      </c>
      <c r="B29" s="64">
        <v>7.88</v>
      </c>
      <c r="C29" s="64">
        <v>47.32</v>
      </c>
      <c r="D29" s="64">
        <v>33.08</v>
      </c>
      <c r="E29" s="64">
        <v>2.35</v>
      </c>
      <c r="F29" s="64">
        <v>3.25</v>
      </c>
      <c r="G29" s="64">
        <v>71.22</v>
      </c>
      <c r="H29" s="64">
        <v>43.54</v>
      </c>
      <c r="I29" s="64">
        <v>1.54</v>
      </c>
      <c r="J29" s="64">
        <v>0.14000000000000001</v>
      </c>
      <c r="K29" s="64">
        <v>68.040000000000006</v>
      </c>
      <c r="L29" s="64">
        <v>16.43</v>
      </c>
      <c r="M29" s="64">
        <v>78.7</v>
      </c>
      <c r="N29" s="64">
        <v>44.6</v>
      </c>
      <c r="O29" s="64">
        <v>0</v>
      </c>
      <c r="P29" s="64">
        <v>0.97</v>
      </c>
      <c r="Q29" s="64">
        <v>5.92</v>
      </c>
      <c r="R29" s="198"/>
      <c r="S29" s="198"/>
      <c r="T29" s="198"/>
      <c r="U29" s="198"/>
    </row>
    <row r="30" spans="1:21" s="12" customFormat="1" x14ac:dyDescent="0.25">
      <c r="A30" s="215" t="s">
        <v>2863</v>
      </c>
      <c r="B30" s="64">
        <v>11.62</v>
      </c>
      <c r="C30" s="64">
        <v>43.37</v>
      </c>
      <c r="D30" s="64">
        <v>33.9</v>
      </c>
      <c r="E30" s="64">
        <v>2.2999999999999998</v>
      </c>
      <c r="F30" s="64">
        <v>3.22</v>
      </c>
      <c r="G30" s="64">
        <v>71.69</v>
      </c>
      <c r="H30" s="64">
        <v>43.7</v>
      </c>
      <c r="I30" s="64">
        <v>1.53</v>
      </c>
      <c r="J30" s="64">
        <v>0.15</v>
      </c>
      <c r="K30" s="64">
        <v>80.38</v>
      </c>
      <c r="L30" s="64">
        <v>16.329999999999998</v>
      </c>
      <c r="M30" s="64">
        <v>79.13</v>
      </c>
      <c r="N30" s="64">
        <v>45.2</v>
      </c>
      <c r="O30" s="64">
        <v>0</v>
      </c>
      <c r="P30" s="64">
        <v>0.95</v>
      </c>
      <c r="Q30" s="64">
        <v>5.95</v>
      </c>
      <c r="R30" s="198"/>
      <c r="S30" s="198"/>
      <c r="T30" s="198"/>
      <c r="U30" s="198"/>
    </row>
    <row r="31" spans="1:21" s="12" customFormat="1" x14ac:dyDescent="0.25">
      <c r="A31" s="215" t="s">
        <v>2864</v>
      </c>
      <c r="B31" s="64">
        <v>10.76</v>
      </c>
      <c r="C31" s="64">
        <v>48.04</v>
      </c>
      <c r="D31" s="64">
        <v>35.79</v>
      </c>
      <c r="E31" s="64">
        <v>2.3199999999999998</v>
      </c>
      <c r="F31" s="64">
        <v>3.11</v>
      </c>
      <c r="G31" s="64">
        <v>71.69</v>
      </c>
      <c r="H31" s="64">
        <v>43.7</v>
      </c>
      <c r="I31" s="64">
        <v>1.45</v>
      </c>
      <c r="J31" s="64">
        <v>0.2</v>
      </c>
      <c r="K31" s="64">
        <v>100.06</v>
      </c>
      <c r="L31" s="64">
        <v>16.309999999999999</v>
      </c>
      <c r="M31" s="64">
        <v>79.150000000000006</v>
      </c>
      <c r="N31" s="64">
        <v>48</v>
      </c>
      <c r="O31" s="64">
        <v>0</v>
      </c>
      <c r="P31" s="64">
        <v>0.94</v>
      </c>
      <c r="Q31" s="64">
        <v>6</v>
      </c>
      <c r="R31" s="198"/>
      <c r="S31" s="198"/>
      <c r="T31" s="198"/>
      <c r="U31" s="198"/>
    </row>
    <row r="32" spans="1:21" s="12" customFormat="1" x14ac:dyDescent="0.25">
      <c r="A32" s="215" t="s">
        <v>2865</v>
      </c>
      <c r="B32" s="64">
        <v>7.08</v>
      </c>
      <c r="C32" s="64">
        <v>38.1</v>
      </c>
      <c r="D32" s="64">
        <v>27.36</v>
      </c>
      <c r="E32" s="64">
        <v>2.2599999999999998</v>
      </c>
      <c r="F32" s="64">
        <v>3.24</v>
      </c>
      <c r="G32" s="64">
        <v>71.69</v>
      </c>
      <c r="H32" s="64">
        <v>43.7</v>
      </c>
      <c r="I32" s="64">
        <v>1.51</v>
      </c>
      <c r="J32" s="64">
        <v>0.39</v>
      </c>
      <c r="K32" s="64">
        <v>99.16</v>
      </c>
      <c r="L32" s="64">
        <v>16.45</v>
      </c>
      <c r="M32" s="64">
        <v>78.66</v>
      </c>
      <c r="N32" s="64">
        <v>49.4</v>
      </c>
      <c r="O32" s="64">
        <v>0</v>
      </c>
      <c r="P32" s="64">
        <v>0.93</v>
      </c>
      <c r="Q32" s="64">
        <v>6.02</v>
      </c>
      <c r="R32" s="198"/>
      <c r="S32" s="198"/>
      <c r="T32" s="198"/>
      <c r="U32" s="198"/>
    </row>
    <row r="33" spans="1:21" s="12" customFormat="1" x14ac:dyDescent="0.25">
      <c r="A33" s="215" t="s">
        <v>2866</v>
      </c>
      <c r="B33" s="64">
        <v>14.32</v>
      </c>
      <c r="C33" s="64">
        <v>52.67</v>
      </c>
      <c r="D33" s="64">
        <v>41.2</v>
      </c>
      <c r="E33" s="64">
        <v>2.29</v>
      </c>
      <c r="F33" s="64">
        <v>3.48</v>
      </c>
      <c r="G33" s="64">
        <v>66.47</v>
      </c>
      <c r="H33" s="64">
        <v>45.06</v>
      </c>
      <c r="I33" s="64">
        <v>1.47</v>
      </c>
      <c r="J33" s="64">
        <v>0.34</v>
      </c>
      <c r="K33" s="64">
        <v>331.03</v>
      </c>
      <c r="L33" s="64">
        <v>16.46</v>
      </c>
      <c r="M33" s="64">
        <v>79.97</v>
      </c>
      <c r="N33" s="64">
        <v>53.5</v>
      </c>
      <c r="O33" s="64">
        <v>0</v>
      </c>
      <c r="P33" s="64">
        <v>0.92</v>
      </c>
      <c r="Q33" s="64">
        <v>6</v>
      </c>
      <c r="R33" s="198"/>
      <c r="S33" s="198"/>
      <c r="T33" s="198"/>
      <c r="U33" s="198"/>
    </row>
    <row r="34" spans="1:21" s="12" customFormat="1" x14ac:dyDescent="0.25">
      <c r="A34" s="215" t="s">
        <v>2867</v>
      </c>
      <c r="B34" s="64">
        <v>14.76</v>
      </c>
      <c r="C34" s="64">
        <v>53.04</v>
      </c>
      <c r="D34" s="64">
        <v>41.75</v>
      </c>
      <c r="E34" s="64">
        <v>2.29</v>
      </c>
      <c r="F34" s="64">
        <v>3.16</v>
      </c>
      <c r="G34" s="64">
        <v>62.98</v>
      </c>
      <c r="H34" s="64">
        <v>45.39</v>
      </c>
      <c r="I34" s="64">
        <v>1.48</v>
      </c>
      <c r="J34" s="64">
        <v>0.57999999999999996</v>
      </c>
      <c r="K34" s="64">
        <v>340.24</v>
      </c>
      <c r="L34" s="64">
        <v>16.350000000000001</v>
      </c>
      <c r="M34" s="64">
        <v>81.28</v>
      </c>
      <c r="N34" s="64">
        <v>66.599999999999994</v>
      </c>
      <c r="O34" s="64">
        <v>0</v>
      </c>
      <c r="P34" s="64">
        <v>0.92</v>
      </c>
      <c r="Q34" s="64">
        <v>5.99</v>
      </c>
      <c r="R34" s="198"/>
      <c r="S34" s="198"/>
      <c r="T34" s="198"/>
      <c r="U34" s="198"/>
    </row>
    <row r="35" spans="1:21" s="12" customFormat="1" x14ac:dyDescent="0.25">
      <c r="A35" s="215" t="s">
        <v>2868</v>
      </c>
      <c r="B35" s="64">
        <v>14.53</v>
      </c>
      <c r="C35" s="64">
        <v>56.44</v>
      </c>
      <c r="D35" s="64">
        <v>43.45</v>
      </c>
      <c r="E35" s="64">
        <v>2.2599999999999998</v>
      </c>
      <c r="F35" s="64">
        <v>3.12</v>
      </c>
      <c r="G35" s="64">
        <v>62.98</v>
      </c>
      <c r="H35" s="64">
        <v>45.39</v>
      </c>
      <c r="I35" s="64">
        <v>1.47</v>
      </c>
      <c r="J35" s="64">
        <v>0.52</v>
      </c>
      <c r="K35" s="64">
        <v>338.79</v>
      </c>
      <c r="L35" s="64">
        <v>16.55</v>
      </c>
      <c r="M35" s="64">
        <v>79.680000000000007</v>
      </c>
      <c r="N35" s="64">
        <v>90.2</v>
      </c>
      <c r="O35" s="64">
        <v>0</v>
      </c>
      <c r="P35" s="64">
        <v>0.94</v>
      </c>
      <c r="Q35" s="64">
        <v>6.05</v>
      </c>
      <c r="R35" s="198"/>
      <c r="S35" s="198"/>
      <c r="T35" s="198"/>
      <c r="U35" s="198"/>
    </row>
    <row r="36" spans="1:21" s="12" customFormat="1" x14ac:dyDescent="0.25">
      <c r="A36" s="215" t="s">
        <v>2869</v>
      </c>
      <c r="B36" s="64">
        <v>21.93</v>
      </c>
      <c r="C36" s="64">
        <v>60.52</v>
      </c>
      <c r="D36" s="64">
        <v>51.63</v>
      </c>
      <c r="E36" s="64">
        <v>2.25</v>
      </c>
      <c r="F36" s="64">
        <v>2.77</v>
      </c>
      <c r="G36" s="64">
        <v>62.98</v>
      </c>
      <c r="H36" s="64">
        <v>45.39</v>
      </c>
      <c r="I36" s="64">
        <v>1.43</v>
      </c>
      <c r="J36" s="64">
        <v>0.36</v>
      </c>
      <c r="K36" s="64">
        <v>347.81</v>
      </c>
      <c r="L36" s="64">
        <v>16.690000000000001</v>
      </c>
      <c r="M36" s="64">
        <v>77.95</v>
      </c>
      <c r="N36" s="64">
        <v>115</v>
      </c>
      <c r="O36" s="64">
        <v>0</v>
      </c>
      <c r="P36" s="64">
        <v>0.95</v>
      </c>
      <c r="Q36" s="64">
        <v>6.11</v>
      </c>
      <c r="R36" s="198"/>
      <c r="S36" s="198"/>
      <c r="T36" s="198"/>
      <c r="U36" s="198"/>
    </row>
    <row r="37" spans="1:21" s="12" customFormat="1" x14ac:dyDescent="0.25">
      <c r="A37" s="215" t="s">
        <v>2870</v>
      </c>
      <c r="B37" s="64">
        <v>18.16</v>
      </c>
      <c r="C37" s="64">
        <v>68.19</v>
      </c>
      <c r="D37" s="64">
        <v>52.84</v>
      </c>
      <c r="E37" s="64">
        <v>2.3199999999999998</v>
      </c>
      <c r="F37" s="64">
        <v>2.79</v>
      </c>
      <c r="G37" s="64">
        <v>70.430000000000007</v>
      </c>
      <c r="H37" s="64">
        <v>40.049999999999997</v>
      </c>
      <c r="I37" s="64">
        <v>1.51</v>
      </c>
      <c r="J37" s="64">
        <v>0.34</v>
      </c>
      <c r="K37" s="64">
        <v>336.8</v>
      </c>
      <c r="L37" s="64">
        <v>17.149999999999999</v>
      </c>
      <c r="M37" s="64">
        <v>75.319999999999993</v>
      </c>
      <c r="N37" s="64">
        <v>137.4</v>
      </c>
      <c r="O37" s="64">
        <v>0</v>
      </c>
      <c r="P37" s="64">
        <v>1.01</v>
      </c>
      <c r="Q37" s="64">
        <v>6.19</v>
      </c>
      <c r="R37" s="198"/>
      <c r="S37" s="198"/>
      <c r="T37" s="198"/>
      <c r="U37" s="198"/>
    </row>
    <row r="38" spans="1:21" s="12" customFormat="1" x14ac:dyDescent="0.25">
      <c r="A38" s="215" t="s">
        <v>2871</v>
      </c>
      <c r="B38" s="64">
        <v>18.899999999999999</v>
      </c>
      <c r="C38" s="64">
        <v>70.209999999999994</v>
      </c>
      <c r="D38" s="64">
        <v>54.55</v>
      </c>
      <c r="E38" s="64">
        <v>2.2599999999999998</v>
      </c>
      <c r="F38" s="64">
        <v>2.88</v>
      </c>
      <c r="G38" s="64">
        <v>75.400000000000006</v>
      </c>
      <c r="H38" s="64">
        <v>38.729999999999997</v>
      </c>
      <c r="I38" s="64">
        <v>1.49</v>
      </c>
      <c r="J38" s="64">
        <v>0.26</v>
      </c>
      <c r="K38" s="64">
        <v>342.04</v>
      </c>
      <c r="L38" s="64">
        <v>17.57</v>
      </c>
      <c r="M38" s="64">
        <v>72.83</v>
      </c>
      <c r="N38" s="64">
        <v>158</v>
      </c>
      <c r="O38" s="64">
        <v>0</v>
      </c>
      <c r="P38" s="64">
        <v>1.07</v>
      </c>
      <c r="Q38" s="64">
        <v>6.26</v>
      </c>
      <c r="R38" s="198"/>
      <c r="S38" s="198"/>
      <c r="T38" s="198"/>
      <c r="U38" s="198"/>
    </row>
    <row r="39" spans="1:21" s="12" customFormat="1" x14ac:dyDescent="0.25">
      <c r="A39" s="215" t="s">
        <v>2872</v>
      </c>
      <c r="B39" s="64">
        <v>22.39</v>
      </c>
      <c r="C39" s="64">
        <v>77.290000000000006</v>
      </c>
      <c r="D39" s="64">
        <v>61.26</v>
      </c>
      <c r="E39" s="64">
        <v>2.2999999999999998</v>
      </c>
      <c r="F39" s="64">
        <v>3.2</v>
      </c>
      <c r="G39" s="64">
        <v>75.400000000000006</v>
      </c>
      <c r="H39" s="64">
        <v>38.729999999999997</v>
      </c>
      <c r="I39" s="64">
        <v>1.56</v>
      </c>
      <c r="J39" s="64">
        <v>0.63</v>
      </c>
      <c r="K39" s="64">
        <v>339.75</v>
      </c>
      <c r="L39" s="64">
        <v>18.760000000000002</v>
      </c>
      <c r="M39" s="64">
        <v>67.069999999999993</v>
      </c>
      <c r="N39" s="64">
        <v>249</v>
      </c>
      <c r="O39" s="64">
        <v>0</v>
      </c>
      <c r="P39" s="64">
        <v>1.1000000000000001</v>
      </c>
      <c r="Q39" s="64">
        <v>6.37</v>
      </c>
      <c r="R39" s="198"/>
      <c r="S39" s="198"/>
      <c r="T39" s="198"/>
      <c r="U39" s="198"/>
    </row>
    <row r="40" spans="1:21" s="12" customFormat="1" x14ac:dyDescent="0.25">
      <c r="A40" s="215" t="s">
        <v>2873</v>
      </c>
      <c r="B40" s="64">
        <v>16.690000000000001</v>
      </c>
      <c r="C40" s="64">
        <v>72.709999999999994</v>
      </c>
      <c r="D40" s="64">
        <v>54.16</v>
      </c>
      <c r="E40" s="64">
        <v>2.2000000000000002</v>
      </c>
      <c r="F40" s="64">
        <v>3.2</v>
      </c>
      <c r="G40" s="64">
        <v>75.400000000000006</v>
      </c>
      <c r="H40" s="64">
        <v>38.729999999999997</v>
      </c>
      <c r="I40" s="64">
        <v>1.61</v>
      </c>
      <c r="J40" s="64">
        <v>0.59</v>
      </c>
      <c r="K40" s="64">
        <v>345.86</v>
      </c>
      <c r="L40" s="64">
        <v>20.13</v>
      </c>
      <c r="M40" s="64">
        <v>62.01</v>
      </c>
      <c r="N40" s="64">
        <v>300.3</v>
      </c>
      <c r="O40" s="64">
        <v>0</v>
      </c>
      <c r="P40" s="64">
        <v>1.1100000000000001</v>
      </c>
      <c r="Q40" s="64">
        <v>6.49</v>
      </c>
      <c r="R40" s="198"/>
      <c r="S40" s="198"/>
      <c r="T40" s="198"/>
      <c r="U40" s="198"/>
    </row>
    <row r="41" spans="1:21" s="12" customFormat="1" x14ac:dyDescent="0.25">
      <c r="A41" s="215" t="s">
        <v>2874</v>
      </c>
      <c r="B41" s="64">
        <v>20.62</v>
      </c>
      <c r="C41" s="64">
        <v>78.5</v>
      </c>
      <c r="D41" s="64">
        <v>60.5</v>
      </c>
      <c r="E41" s="64">
        <v>2.33</v>
      </c>
      <c r="F41" s="64">
        <v>3.13</v>
      </c>
      <c r="G41" s="64">
        <v>102.27</v>
      </c>
      <c r="H41" s="64">
        <v>40.369999999999997</v>
      </c>
      <c r="I41" s="64">
        <v>1.52</v>
      </c>
      <c r="J41" s="64">
        <v>0.93</v>
      </c>
      <c r="K41" s="64">
        <v>341.56</v>
      </c>
      <c r="L41" s="64">
        <v>21.81</v>
      </c>
      <c r="M41" s="64">
        <v>55.62</v>
      </c>
      <c r="N41" s="64">
        <v>300.60000000000002</v>
      </c>
      <c r="O41" s="64">
        <v>0</v>
      </c>
      <c r="P41" s="64">
        <v>1.1200000000000001</v>
      </c>
      <c r="Q41" s="64">
        <v>6.5</v>
      </c>
      <c r="R41" s="198"/>
      <c r="S41" s="198"/>
      <c r="T41" s="198"/>
      <c r="U41" s="198"/>
    </row>
    <row r="42" spans="1:21" s="12" customFormat="1" x14ac:dyDescent="0.25">
      <c r="A42" s="215" t="s">
        <v>2875</v>
      </c>
      <c r="B42" s="64">
        <v>18.510000000000002</v>
      </c>
      <c r="C42" s="64">
        <v>77.27</v>
      </c>
      <c r="D42" s="64">
        <v>58.14</v>
      </c>
      <c r="E42" s="64">
        <v>2.34</v>
      </c>
      <c r="F42" s="64">
        <v>3.17</v>
      </c>
      <c r="G42" s="64">
        <v>120.18</v>
      </c>
      <c r="H42" s="64">
        <v>40.76</v>
      </c>
      <c r="I42" s="64">
        <v>1.5</v>
      </c>
      <c r="J42" s="64">
        <v>0.36</v>
      </c>
      <c r="K42" s="64">
        <v>30.9</v>
      </c>
      <c r="L42" s="64">
        <v>22.17</v>
      </c>
      <c r="M42" s="64">
        <v>54.44</v>
      </c>
      <c r="N42" s="64">
        <v>353.9</v>
      </c>
      <c r="O42" s="64">
        <v>0</v>
      </c>
      <c r="P42" s="64">
        <v>1.1399999999999999</v>
      </c>
      <c r="Q42" s="64">
        <v>6.56</v>
      </c>
      <c r="R42" s="198"/>
      <c r="S42" s="198"/>
      <c r="T42" s="198"/>
      <c r="U42" s="198"/>
    </row>
    <row r="43" spans="1:21" s="12" customFormat="1" x14ac:dyDescent="0.25">
      <c r="A43" s="215" t="s">
        <v>2876</v>
      </c>
      <c r="B43" s="64">
        <v>10.98</v>
      </c>
      <c r="C43" s="64">
        <v>63.32</v>
      </c>
      <c r="D43" s="64">
        <v>44.4</v>
      </c>
      <c r="E43" s="64">
        <v>2.3199999999999998</v>
      </c>
      <c r="F43" s="64">
        <v>3.18</v>
      </c>
      <c r="G43" s="64">
        <v>120.18</v>
      </c>
      <c r="H43" s="64">
        <v>40.76</v>
      </c>
      <c r="I43" s="64">
        <v>1.55</v>
      </c>
      <c r="J43" s="64">
        <v>0.39</v>
      </c>
      <c r="K43" s="64">
        <v>77.290000000000006</v>
      </c>
      <c r="L43" s="64">
        <v>21.19</v>
      </c>
      <c r="M43" s="64">
        <v>56.64</v>
      </c>
      <c r="N43" s="64">
        <v>365.1</v>
      </c>
      <c r="O43" s="64">
        <v>0</v>
      </c>
      <c r="P43" s="64">
        <v>1.1399999999999999</v>
      </c>
      <c r="Q43" s="64">
        <v>6.67</v>
      </c>
      <c r="R43" s="198"/>
      <c r="S43" s="198"/>
      <c r="T43" s="198"/>
      <c r="U43" s="198"/>
    </row>
    <row r="44" spans="1:21" s="12" customFormat="1" x14ac:dyDescent="0.25">
      <c r="A44" s="215" t="s">
        <v>2877</v>
      </c>
      <c r="B44" s="64">
        <v>14.53</v>
      </c>
      <c r="C44" s="64">
        <v>84.66</v>
      </c>
      <c r="D44" s="64">
        <v>59.02</v>
      </c>
      <c r="E44" s="64">
        <v>2.33</v>
      </c>
      <c r="F44" s="64">
        <v>3.24</v>
      </c>
      <c r="G44" s="64">
        <v>120.18</v>
      </c>
      <c r="H44" s="64">
        <v>40.76</v>
      </c>
      <c r="I44" s="64">
        <v>1.48</v>
      </c>
      <c r="J44" s="64">
        <v>0.97</v>
      </c>
      <c r="K44" s="64">
        <v>341.18</v>
      </c>
      <c r="L44" s="64">
        <v>22.89</v>
      </c>
      <c r="M44" s="64">
        <v>49.86</v>
      </c>
      <c r="N44" s="64">
        <v>368</v>
      </c>
      <c r="O44" s="64">
        <v>0</v>
      </c>
      <c r="P44" s="64">
        <v>1.1399999999999999</v>
      </c>
      <c r="Q44" s="64">
        <v>6.68</v>
      </c>
      <c r="R44" s="198"/>
      <c r="S44" s="198"/>
      <c r="T44" s="198"/>
      <c r="U44" s="198"/>
    </row>
    <row r="45" spans="1:21" s="12" customFormat="1" x14ac:dyDescent="0.25">
      <c r="A45" s="215" t="s">
        <v>2878</v>
      </c>
      <c r="B45" s="64">
        <v>11.6</v>
      </c>
      <c r="C45" s="64">
        <v>66.45</v>
      </c>
      <c r="D45" s="64">
        <v>46.62</v>
      </c>
      <c r="E45" s="64">
        <v>2.31</v>
      </c>
      <c r="F45" s="64">
        <v>3.29</v>
      </c>
      <c r="G45" s="64">
        <v>104.22</v>
      </c>
      <c r="H45" s="64">
        <v>46.66</v>
      </c>
      <c r="I45" s="64">
        <v>1.49</v>
      </c>
      <c r="J45" s="64">
        <v>0.48</v>
      </c>
      <c r="K45" s="64">
        <v>88.04</v>
      </c>
      <c r="L45" s="64">
        <v>22.57</v>
      </c>
      <c r="M45" s="64">
        <v>50.43</v>
      </c>
      <c r="N45" s="64">
        <v>378.7</v>
      </c>
      <c r="O45" s="64">
        <v>0</v>
      </c>
      <c r="P45" s="64">
        <v>1.1499999999999999</v>
      </c>
      <c r="Q45" s="64">
        <v>6.69</v>
      </c>
      <c r="R45" s="198"/>
      <c r="S45" s="198"/>
      <c r="T45" s="198"/>
      <c r="U45" s="198"/>
    </row>
    <row r="46" spans="1:21" s="12" customFormat="1" x14ac:dyDescent="0.25">
      <c r="A46" s="215" t="s">
        <v>2879</v>
      </c>
      <c r="B46" s="64">
        <v>11.65</v>
      </c>
      <c r="C46" s="64">
        <v>68.73</v>
      </c>
      <c r="D46" s="64">
        <v>47.92</v>
      </c>
      <c r="E46" s="64">
        <v>2.2999999999999998</v>
      </c>
      <c r="F46" s="64">
        <v>3.11</v>
      </c>
      <c r="G46" s="64">
        <v>93.58</v>
      </c>
      <c r="H46" s="64">
        <v>49.42</v>
      </c>
      <c r="I46" s="64">
        <v>1.47</v>
      </c>
      <c r="J46" s="64">
        <v>0.68</v>
      </c>
      <c r="K46" s="64">
        <v>347.49</v>
      </c>
      <c r="L46" s="64">
        <v>22.33</v>
      </c>
      <c r="M46" s="64">
        <v>52.75</v>
      </c>
      <c r="N46" s="64">
        <v>318.3</v>
      </c>
      <c r="O46" s="64">
        <v>0</v>
      </c>
      <c r="P46" s="64">
        <v>1.1499999999999999</v>
      </c>
      <c r="Q46" s="64">
        <v>6.73</v>
      </c>
      <c r="R46" s="198"/>
      <c r="S46" s="198"/>
      <c r="T46" s="198"/>
      <c r="U46" s="198"/>
    </row>
    <row r="47" spans="1:21" s="12" customFormat="1" x14ac:dyDescent="0.25">
      <c r="A47" s="215" t="s">
        <v>2880</v>
      </c>
      <c r="B47" s="64">
        <v>14.66</v>
      </c>
      <c r="C47" s="64">
        <v>80.31</v>
      </c>
      <c r="D47" s="64">
        <v>56.72</v>
      </c>
      <c r="E47" s="64">
        <v>2.34</v>
      </c>
      <c r="F47" s="64">
        <v>3.24</v>
      </c>
      <c r="G47" s="64">
        <v>93.58</v>
      </c>
      <c r="H47" s="64">
        <v>49.42</v>
      </c>
      <c r="I47" s="64">
        <v>1.51</v>
      </c>
      <c r="J47" s="64">
        <v>0.77</v>
      </c>
      <c r="K47" s="64">
        <v>347.78</v>
      </c>
      <c r="L47" s="64">
        <v>23.11</v>
      </c>
      <c r="M47" s="64">
        <v>51.19</v>
      </c>
      <c r="N47" s="64">
        <v>285.10000000000002</v>
      </c>
      <c r="O47" s="64">
        <v>0</v>
      </c>
      <c r="P47" s="64">
        <v>1.17</v>
      </c>
      <c r="Q47" s="64">
        <v>6.71</v>
      </c>
      <c r="R47" s="198"/>
      <c r="S47" s="198"/>
      <c r="T47" s="198"/>
      <c r="U47" s="198"/>
    </row>
    <row r="48" spans="1:21" s="12" customFormat="1" x14ac:dyDescent="0.25">
      <c r="A48" s="215" t="s">
        <v>2881</v>
      </c>
      <c r="B48" s="64">
        <v>14.71</v>
      </c>
      <c r="C48" s="64">
        <v>83.64</v>
      </c>
      <c r="D48" s="64">
        <v>58.61</v>
      </c>
      <c r="E48" s="64">
        <v>2.35</v>
      </c>
      <c r="F48" s="64">
        <v>3.48</v>
      </c>
      <c r="G48" s="64">
        <v>93.58</v>
      </c>
      <c r="H48" s="64">
        <v>49.42</v>
      </c>
      <c r="I48" s="64">
        <v>1.46</v>
      </c>
      <c r="J48" s="64">
        <v>1.1000000000000001</v>
      </c>
      <c r="K48" s="64">
        <v>340.48</v>
      </c>
      <c r="L48" s="64">
        <v>23.05</v>
      </c>
      <c r="M48" s="64">
        <v>51.36</v>
      </c>
      <c r="N48" s="64">
        <v>347.2</v>
      </c>
      <c r="O48" s="64">
        <v>0</v>
      </c>
      <c r="P48" s="64">
        <v>1.17</v>
      </c>
      <c r="Q48" s="64">
        <v>6.67</v>
      </c>
      <c r="R48" s="198"/>
      <c r="S48" s="198"/>
      <c r="T48" s="198"/>
      <c r="U48" s="198"/>
    </row>
    <row r="49" spans="1:21" s="12" customFormat="1" x14ac:dyDescent="0.25">
      <c r="A49" s="215" t="s">
        <v>2882</v>
      </c>
      <c r="B49" s="64">
        <v>10.73</v>
      </c>
      <c r="C49" s="64">
        <v>72.83</v>
      </c>
      <c r="D49" s="64">
        <v>49.44</v>
      </c>
      <c r="E49" s="64">
        <v>2.35</v>
      </c>
      <c r="F49" s="64">
        <v>3.37</v>
      </c>
      <c r="G49" s="64">
        <v>94.7</v>
      </c>
      <c r="H49" s="64">
        <v>64.23</v>
      </c>
      <c r="I49" s="64">
        <v>1.49</v>
      </c>
      <c r="J49" s="64">
        <v>0.71</v>
      </c>
      <c r="K49" s="64">
        <v>341.59</v>
      </c>
      <c r="L49" s="64">
        <v>23.63</v>
      </c>
      <c r="M49" s="64">
        <v>49.62</v>
      </c>
      <c r="N49" s="64">
        <v>369.5</v>
      </c>
      <c r="O49" s="64">
        <v>0</v>
      </c>
      <c r="P49" s="64">
        <v>1.18</v>
      </c>
      <c r="Q49" s="64">
        <v>6.68</v>
      </c>
      <c r="R49" s="198"/>
      <c r="S49" s="198"/>
      <c r="T49" s="198"/>
      <c r="U49" s="198"/>
    </row>
    <row r="50" spans="1:21" s="12" customFormat="1" x14ac:dyDescent="0.25">
      <c r="A50" s="215" t="s">
        <v>2883</v>
      </c>
      <c r="B50" s="64">
        <v>11.49</v>
      </c>
      <c r="C50" s="64">
        <v>71</v>
      </c>
      <c r="D50" s="64">
        <v>49.04</v>
      </c>
      <c r="E50" s="64">
        <v>2.34</v>
      </c>
      <c r="F50" s="64">
        <v>3.32</v>
      </c>
      <c r="G50" s="64">
        <v>95.45</v>
      </c>
      <c r="H50" s="64">
        <v>67.86</v>
      </c>
      <c r="I50" s="64">
        <v>1.54</v>
      </c>
      <c r="J50" s="64">
        <v>1.0900000000000001</v>
      </c>
      <c r="K50" s="64">
        <v>341.42</v>
      </c>
      <c r="L50" s="64">
        <v>23.77</v>
      </c>
      <c r="M50" s="64">
        <v>49.46</v>
      </c>
      <c r="N50" s="64">
        <v>268.5</v>
      </c>
      <c r="O50" s="64">
        <v>0</v>
      </c>
      <c r="P50" s="64">
        <v>1.19</v>
      </c>
      <c r="Q50" s="64">
        <v>6.76</v>
      </c>
      <c r="R50" s="198"/>
      <c r="S50" s="198"/>
      <c r="T50" s="198"/>
      <c r="U50" s="198"/>
    </row>
    <row r="51" spans="1:21" s="12" customFormat="1" x14ac:dyDescent="0.25">
      <c r="A51" s="215" t="s">
        <v>2884</v>
      </c>
      <c r="B51" s="64">
        <v>7.87</v>
      </c>
      <c r="C51" s="64">
        <v>71.81</v>
      </c>
      <c r="D51" s="64">
        <v>46.59</v>
      </c>
      <c r="E51" s="64">
        <v>2.34</v>
      </c>
      <c r="F51" s="64">
        <v>3.32</v>
      </c>
      <c r="G51" s="64">
        <v>95.45</v>
      </c>
      <c r="H51" s="64">
        <v>67.86</v>
      </c>
      <c r="I51" s="64">
        <v>1.49</v>
      </c>
      <c r="J51" s="64">
        <v>1.06</v>
      </c>
      <c r="K51" s="64">
        <v>342.78</v>
      </c>
      <c r="L51" s="64">
        <v>23.59</v>
      </c>
      <c r="M51" s="64">
        <v>50.26</v>
      </c>
      <c r="N51" s="64">
        <v>263</v>
      </c>
      <c r="O51" s="64">
        <v>0</v>
      </c>
      <c r="P51" s="64">
        <v>1.21</v>
      </c>
      <c r="Q51" s="64">
        <v>6.8</v>
      </c>
      <c r="R51" s="198"/>
      <c r="S51" s="198"/>
      <c r="T51" s="198"/>
      <c r="U51" s="198"/>
    </row>
    <row r="52" spans="1:21" s="12" customFormat="1" x14ac:dyDescent="0.25">
      <c r="A52" s="215" t="s">
        <v>2885</v>
      </c>
      <c r="B52" s="64">
        <v>13.23</v>
      </c>
      <c r="C52" s="64">
        <v>82.8</v>
      </c>
      <c r="D52" s="64">
        <v>56.95</v>
      </c>
      <c r="E52" s="64">
        <v>2.36</v>
      </c>
      <c r="F52" s="64">
        <v>3.13</v>
      </c>
      <c r="G52" s="64">
        <v>95.45</v>
      </c>
      <c r="H52" s="64">
        <v>67.86</v>
      </c>
      <c r="I52" s="64">
        <v>1.51</v>
      </c>
      <c r="J52" s="64">
        <v>0.86</v>
      </c>
      <c r="K52" s="64">
        <v>347.21</v>
      </c>
      <c r="L52" s="64">
        <v>23.37</v>
      </c>
      <c r="M52" s="64">
        <v>50.56</v>
      </c>
      <c r="N52" s="64">
        <v>275.2</v>
      </c>
      <c r="O52" s="64">
        <v>0</v>
      </c>
      <c r="P52" s="64">
        <v>1.23</v>
      </c>
      <c r="Q52" s="64">
        <v>6.73</v>
      </c>
      <c r="R52" s="198"/>
      <c r="S52" s="198"/>
      <c r="T52" s="198"/>
      <c r="U52" s="198"/>
    </row>
    <row r="53" spans="1:21" s="12" customFormat="1" x14ac:dyDescent="0.25">
      <c r="A53" s="215" t="s">
        <v>2886</v>
      </c>
      <c r="B53" s="64">
        <v>10.71</v>
      </c>
      <c r="C53" s="64">
        <v>88.02</v>
      </c>
      <c r="D53" s="64">
        <v>57.81</v>
      </c>
      <c r="E53" s="64">
        <v>2.2999999999999998</v>
      </c>
      <c r="F53" s="64">
        <v>3.28</v>
      </c>
      <c r="G53" s="64">
        <v>90.42</v>
      </c>
      <c r="H53" s="64">
        <v>58.11</v>
      </c>
      <c r="I53" s="64">
        <v>1.48</v>
      </c>
      <c r="J53" s="64">
        <v>0.57999999999999996</v>
      </c>
      <c r="K53" s="64">
        <v>338.7</v>
      </c>
      <c r="L53" s="64">
        <v>23.21</v>
      </c>
      <c r="M53" s="64">
        <v>48.56</v>
      </c>
      <c r="N53" s="64">
        <v>267.2</v>
      </c>
      <c r="O53" s="64">
        <v>0</v>
      </c>
      <c r="P53" s="64">
        <v>1.25</v>
      </c>
      <c r="Q53" s="64">
        <v>6.66</v>
      </c>
      <c r="R53" s="198"/>
      <c r="S53" s="198"/>
      <c r="T53" s="198"/>
      <c r="U53" s="198"/>
    </row>
    <row r="54" spans="1:21" s="12" customFormat="1" x14ac:dyDescent="0.25">
      <c r="A54" s="215" t="s">
        <v>2887</v>
      </c>
      <c r="B54" s="64">
        <v>11.94</v>
      </c>
      <c r="C54" s="64">
        <v>86.66</v>
      </c>
      <c r="D54" s="64">
        <v>58.04</v>
      </c>
      <c r="E54" s="64">
        <v>2.3199999999999998</v>
      </c>
      <c r="F54" s="64">
        <v>3.27</v>
      </c>
      <c r="G54" s="64">
        <v>87.06</v>
      </c>
      <c r="H54" s="64">
        <v>55.72</v>
      </c>
      <c r="I54" s="64">
        <v>1.49</v>
      </c>
      <c r="J54" s="64">
        <v>0.73</v>
      </c>
      <c r="K54" s="64">
        <v>336.15</v>
      </c>
      <c r="L54" s="64">
        <v>23.68</v>
      </c>
      <c r="M54" s="64">
        <v>45.75</v>
      </c>
      <c r="N54" s="64">
        <v>307.39999999999998</v>
      </c>
      <c r="O54" s="64">
        <v>0</v>
      </c>
      <c r="P54" s="64">
        <v>1.26</v>
      </c>
      <c r="Q54" s="64">
        <v>6.64</v>
      </c>
      <c r="R54" s="198"/>
      <c r="S54" s="198"/>
      <c r="T54" s="198"/>
      <c r="U54" s="198"/>
    </row>
    <row r="55" spans="1:21" s="12" customFormat="1" x14ac:dyDescent="0.25">
      <c r="A55" s="215" t="s">
        <v>2888</v>
      </c>
      <c r="B55" s="64">
        <v>15.61</v>
      </c>
      <c r="C55" s="64">
        <v>98.52</v>
      </c>
      <c r="D55" s="64">
        <v>67.540000000000006</v>
      </c>
      <c r="E55" s="64">
        <v>2.31</v>
      </c>
      <c r="F55" s="64">
        <v>3.62</v>
      </c>
      <c r="G55" s="64">
        <v>87.06</v>
      </c>
      <c r="H55" s="64">
        <v>55.72</v>
      </c>
      <c r="I55" s="64">
        <v>1.55</v>
      </c>
      <c r="J55" s="64">
        <v>0.85</v>
      </c>
      <c r="K55" s="64">
        <v>344.06</v>
      </c>
      <c r="L55" s="64">
        <v>24.05</v>
      </c>
      <c r="M55" s="64">
        <v>44.94</v>
      </c>
      <c r="N55" s="64">
        <v>293.2</v>
      </c>
      <c r="O55" s="64">
        <v>0</v>
      </c>
      <c r="P55" s="64">
        <v>1.26</v>
      </c>
      <c r="Q55" s="64">
        <v>6.63</v>
      </c>
      <c r="R55" s="198"/>
      <c r="S55" s="198"/>
      <c r="T55" s="198"/>
      <c r="U55" s="198"/>
    </row>
    <row r="56" spans="1:21" s="12" customFormat="1" x14ac:dyDescent="0.25">
      <c r="A56" s="215" t="s">
        <v>2889</v>
      </c>
      <c r="B56" s="64">
        <v>14.14</v>
      </c>
      <c r="C56" s="64">
        <v>93.19</v>
      </c>
      <c r="D56" s="64">
        <v>63.41</v>
      </c>
      <c r="E56" s="64">
        <v>2.17</v>
      </c>
      <c r="F56" s="64">
        <v>3.4</v>
      </c>
      <c r="G56" s="64">
        <v>87.06</v>
      </c>
      <c r="H56" s="64">
        <v>55.72</v>
      </c>
      <c r="I56" s="64">
        <v>1.53</v>
      </c>
      <c r="J56" s="64">
        <v>1.77</v>
      </c>
      <c r="K56" s="64">
        <v>343.05</v>
      </c>
      <c r="L56" s="64">
        <v>24.15</v>
      </c>
      <c r="M56" s="64">
        <v>45.71</v>
      </c>
      <c r="N56" s="64">
        <v>252.9</v>
      </c>
      <c r="O56" s="64">
        <v>0</v>
      </c>
      <c r="P56" s="64">
        <v>1.27</v>
      </c>
      <c r="Q56" s="64">
        <v>6.61</v>
      </c>
      <c r="R56" s="198"/>
      <c r="S56" s="198"/>
      <c r="T56" s="198"/>
      <c r="U56" s="198"/>
    </row>
    <row r="57" spans="1:21" s="12" customFormat="1" x14ac:dyDescent="0.25">
      <c r="A57" s="215" t="s">
        <v>2890</v>
      </c>
      <c r="B57" s="64">
        <v>12.77</v>
      </c>
      <c r="C57" s="64">
        <v>80.58</v>
      </c>
      <c r="D57" s="64">
        <v>55.35</v>
      </c>
      <c r="E57" s="64">
        <v>2.2799999999999998</v>
      </c>
      <c r="F57" s="64">
        <v>3.66</v>
      </c>
      <c r="G57" s="64">
        <v>92.51</v>
      </c>
      <c r="H57" s="64">
        <v>55.4</v>
      </c>
      <c r="I57" s="64">
        <v>1.46</v>
      </c>
      <c r="J57" s="64">
        <v>2.08</v>
      </c>
      <c r="K57" s="64">
        <v>339.65</v>
      </c>
      <c r="L57" s="64">
        <v>23.4</v>
      </c>
      <c r="M57" s="64">
        <v>51.14</v>
      </c>
      <c r="N57" s="64">
        <v>166.2</v>
      </c>
      <c r="O57" s="64">
        <v>0</v>
      </c>
      <c r="P57" s="64">
        <v>1.29</v>
      </c>
      <c r="Q57" s="64">
        <v>6.63</v>
      </c>
      <c r="R57" s="198"/>
      <c r="S57" s="198"/>
      <c r="T57" s="198"/>
      <c r="U57" s="198"/>
    </row>
    <row r="58" spans="1:21" s="12" customFormat="1" x14ac:dyDescent="0.25">
      <c r="A58" s="215" t="s">
        <v>2891</v>
      </c>
      <c r="B58" s="64">
        <v>7.91</v>
      </c>
      <c r="C58" s="64">
        <v>61.78</v>
      </c>
      <c r="D58" s="64">
        <v>41.08</v>
      </c>
      <c r="E58" s="64">
        <v>2.2400000000000002</v>
      </c>
      <c r="F58" s="64">
        <v>3.75</v>
      </c>
      <c r="G58" s="64">
        <v>96.21</v>
      </c>
      <c r="H58" s="64">
        <v>55.32</v>
      </c>
      <c r="I58" s="64">
        <v>1.45</v>
      </c>
      <c r="J58" s="64">
        <v>1.98</v>
      </c>
      <c r="K58" s="64">
        <v>341.83</v>
      </c>
      <c r="L58" s="64">
        <v>22.53</v>
      </c>
      <c r="M58" s="64">
        <v>54.89</v>
      </c>
      <c r="N58" s="64">
        <v>224.6</v>
      </c>
      <c r="O58" s="64">
        <v>0</v>
      </c>
      <c r="P58" s="64">
        <v>1.29</v>
      </c>
      <c r="Q58" s="64">
        <v>6.68</v>
      </c>
      <c r="R58" s="198"/>
      <c r="S58" s="198"/>
      <c r="T58" s="198"/>
      <c r="U58" s="198"/>
    </row>
    <row r="59" spans="1:21" s="12" customFormat="1" x14ac:dyDescent="0.25">
      <c r="A59" s="215" t="s">
        <v>2892</v>
      </c>
      <c r="B59" s="64">
        <v>9.77</v>
      </c>
      <c r="C59" s="64">
        <v>66.42</v>
      </c>
      <c r="D59" s="64">
        <v>45.13</v>
      </c>
      <c r="E59" s="64">
        <v>2.25</v>
      </c>
      <c r="F59" s="64">
        <v>3.91</v>
      </c>
      <c r="G59" s="64">
        <v>96.21</v>
      </c>
      <c r="H59" s="64">
        <v>55.32</v>
      </c>
      <c r="I59" s="64">
        <v>1.42</v>
      </c>
      <c r="J59" s="64">
        <v>2.04</v>
      </c>
      <c r="K59" s="64">
        <v>345.11</v>
      </c>
      <c r="L59" s="64">
        <v>22.38</v>
      </c>
      <c r="M59" s="64">
        <v>53.86</v>
      </c>
      <c r="N59" s="64">
        <v>206.7</v>
      </c>
      <c r="O59" s="64">
        <v>0</v>
      </c>
      <c r="P59" s="64">
        <v>1.29</v>
      </c>
      <c r="Q59" s="64">
        <v>6.67</v>
      </c>
      <c r="R59" s="198"/>
      <c r="S59" s="198"/>
      <c r="T59" s="198"/>
      <c r="U59" s="198"/>
    </row>
    <row r="60" spans="1:21" s="12" customFormat="1" x14ac:dyDescent="0.25">
      <c r="A60" s="215" t="s">
        <v>2893</v>
      </c>
      <c r="B60" s="64">
        <v>8.33</v>
      </c>
      <c r="C60" s="64">
        <v>63.2</v>
      </c>
      <c r="D60" s="64">
        <v>42.21</v>
      </c>
      <c r="E60" s="64">
        <v>2.23</v>
      </c>
      <c r="F60" s="64">
        <v>3.84</v>
      </c>
      <c r="G60" s="64">
        <v>96.21</v>
      </c>
      <c r="H60" s="64">
        <v>55.32</v>
      </c>
      <c r="I60" s="64">
        <v>1.54</v>
      </c>
      <c r="J60" s="64">
        <v>2.46</v>
      </c>
      <c r="K60" s="64">
        <v>344.56</v>
      </c>
      <c r="L60" s="64">
        <v>21.68</v>
      </c>
      <c r="M60" s="64">
        <v>55.23</v>
      </c>
      <c r="N60" s="64">
        <v>197.5</v>
      </c>
      <c r="O60" s="64">
        <v>0</v>
      </c>
      <c r="P60" s="64">
        <v>1.27</v>
      </c>
      <c r="Q60" s="64">
        <v>6.58</v>
      </c>
      <c r="R60" s="198"/>
      <c r="S60" s="198"/>
      <c r="T60" s="198"/>
      <c r="U60" s="198"/>
    </row>
    <row r="61" spans="1:21" s="12" customFormat="1" x14ac:dyDescent="0.25">
      <c r="A61" s="215" t="s">
        <v>2894</v>
      </c>
      <c r="B61" s="64">
        <v>7.35</v>
      </c>
      <c r="C61" s="64">
        <v>55.41</v>
      </c>
      <c r="D61" s="64">
        <v>37.119999999999997</v>
      </c>
      <c r="E61" s="64">
        <v>2.2799999999999998</v>
      </c>
      <c r="F61" s="64">
        <v>3.97</v>
      </c>
      <c r="G61" s="64">
        <v>106.2</v>
      </c>
      <c r="H61" s="64">
        <v>58.34</v>
      </c>
      <c r="I61" s="64">
        <v>1.48</v>
      </c>
      <c r="J61" s="64">
        <v>2.86</v>
      </c>
      <c r="K61" s="64">
        <v>337.05</v>
      </c>
      <c r="L61" s="64">
        <v>21.25</v>
      </c>
      <c r="M61" s="64">
        <v>54.91</v>
      </c>
      <c r="N61" s="64">
        <v>180.5</v>
      </c>
      <c r="O61" s="64">
        <v>0</v>
      </c>
      <c r="P61" s="64">
        <v>1.2</v>
      </c>
      <c r="Q61" s="64">
        <v>6.53</v>
      </c>
      <c r="R61" s="198"/>
      <c r="S61" s="198"/>
      <c r="T61" s="198"/>
      <c r="U61" s="198"/>
    </row>
    <row r="62" spans="1:21" s="12" customFormat="1" x14ac:dyDescent="0.25">
      <c r="A62" s="215" t="s">
        <v>2895</v>
      </c>
      <c r="B62" s="64">
        <v>9.68</v>
      </c>
      <c r="C62" s="64">
        <v>68.37</v>
      </c>
      <c r="D62" s="64">
        <v>46.14</v>
      </c>
      <c r="E62" s="64">
        <v>2.25</v>
      </c>
      <c r="F62" s="64">
        <v>4.5</v>
      </c>
      <c r="G62" s="64">
        <v>112.87</v>
      </c>
      <c r="H62" s="64">
        <v>59.65</v>
      </c>
      <c r="I62" s="64">
        <v>1.5</v>
      </c>
      <c r="J62" s="64">
        <v>2.21</v>
      </c>
      <c r="K62" s="64">
        <v>343.31</v>
      </c>
      <c r="L62" s="64">
        <v>20.96</v>
      </c>
      <c r="M62" s="64">
        <v>55.01</v>
      </c>
      <c r="N62" s="64">
        <v>134.80000000000001</v>
      </c>
      <c r="O62" s="64">
        <v>0</v>
      </c>
      <c r="P62" s="64">
        <v>1.24</v>
      </c>
      <c r="Q62" s="64">
        <v>6.42</v>
      </c>
      <c r="R62" s="198"/>
      <c r="S62" s="198"/>
      <c r="T62" s="198"/>
      <c r="U62" s="198"/>
    </row>
    <row r="63" spans="1:21" s="12" customFormat="1" x14ac:dyDescent="0.25">
      <c r="A63" s="215" t="s">
        <v>2896</v>
      </c>
      <c r="B63" s="64">
        <v>7.75</v>
      </c>
      <c r="C63" s="64">
        <v>57.05</v>
      </c>
      <c r="D63" s="64">
        <v>38.35</v>
      </c>
      <c r="E63" s="64">
        <v>3.54</v>
      </c>
      <c r="F63" s="64">
        <v>4.21</v>
      </c>
      <c r="G63" s="64">
        <v>112.87</v>
      </c>
      <c r="H63" s="64">
        <v>59.65</v>
      </c>
      <c r="I63" s="64">
        <v>1.57</v>
      </c>
      <c r="J63" s="64">
        <v>2.58</v>
      </c>
      <c r="K63" s="64">
        <v>342.51</v>
      </c>
      <c r="L63" s="64">
        <v>21.01</v>
      </c>
      <c r="M63" s="64">
        <v>55.37</v>
      </c>
      <c r="N63" s="64">
        <v>176.7</v>
      </c>
      <c r="O63" s="64">
        <v>0</v>
      </c>
      <c r="P63" s="64">
        <v>1.24</v>
      </c>
      <c r="Q63" s="64">
        <v>6.36</v>
      </c>
      <c r="R63" s="198"/>
      <c r="S63" s="198"/>
      <c r="T63" s="198"/>
      <c r="U63" s="198"/>
    </row>
    <row r="64" spans="1:21" s="12" customFormat="1" x14ac:dyDescent="0.25">
      <c r="A64" s="215" t="s">
        <v>2897</v>
      </c>
      <c r="B64" s="64">
        <v>7.18</v>
      </c>
      <c r="C64" s="64">
        <v>52.15</v>
      </c>
      <c r="D64" s="64">
        <v>35.19</v>
      </c>
      <c r="E64" s="64">
        <v>2.29</v>
      </c>
      <c r="F64" s="64">
        <v>4.62</v>
      </c>
      <c r="G64" s="64">
        <v>112.87</v>
      </c>
      <c r="H64" s="64">
        <v>59.65</v>
      </c>
      <c r="I64" s="64">
        <v>1.55</v>
      </c>
      <c r="J64" s="64">
        <v>2.5</v>
      </c>
      <c r="K64" s="64">
        <v>338.5</v>
      </c>
      <c r="L64" s="64">
        <v>20.53</v>
      </c>
      <c r="M64" s="64">
        <v>59.88</v>
      </c>
      <c r="N64" s="64">
        <v>132.30000000000001</v>
      </c>
      <c r="O64" s="64">
        <v>0</v>
      </c>
      <c r="P64" s="64">
        <v>1.25</v>
      </c>
      <c r="Q64" s="64">
        <v>6.34</v>
      </c>
      <c r="R64" s="198"/>
      <c r="S64" s="198"/>
      <c r="T64" s="198"/>
      <c r="U64" s="198"/>
    </row>
    <row r="65" spans="1:21" s="12" customFormat="1" x14ac:dyDescent="0.25">
      <c r="A65" s="215" t="s">
        <v>2898</v>
      </c>
      <c r="B65" s="64">
        <v>8.09</v>
      </c>
      <c r="C65" s="64">
        <v>48.77</v>
      </c>
      <c r="D65" s="64">
        <v>34.049999999999997</v>
      </c>
      <c r="E65" s="64">
        <v>2.2200000000000002</v>
      </c>
      <c r="F65" s="64">
        <v>4.51</v>
      </c>
      <c r="G65" s="64">
        <v>115.21</v>
      </c>
      <c r="H65" s="64">
        <v>62.21</v>
      </c>
      <c r="I65" s="64">
        <v>1.53</v>
      </c>
      <c r="J65" s="64">
        <v>2.2599999999999998</v>
      </c>
      <c r="K65" s="64">
        <v>339.12</v>
      </c>
      <c r="L65" s="64">
        <v>19.809999999999999</v>
      </c>
      <c r="M65" s="64">
        <v>65.78</v>
      </c>
      <c r="N65" s="64">
        <v>96.1</v>
      </c>
      <c r="O65" s="64">
        <v>0</v>
      </c>
      <c r="P65" s="64">
        <v>1.23</v>
      </c>
      <c r="Q65" s="64">
        <v>6.28</v>
      </c>
      <c r="R65" s="198"/>
      <c r="S65" s="198"/>
      <c r="T65" s="198"/>
      <c r="U65" s="198"/>
    </row>
    <row r="66" spans="1:21" s="12" customFormat="1" x14ac:dyDescent="0.25">
      <c r="A66" s="215" t="s">
        <v>2899</v>
      </c>
      <c r="B66" s="64">
        <v>12.36</v>
      </c>
      <c r="C66" s="64">
        <v>57.98</v>
      </c>
      <c r="D66" s="64">
        <v>42.56</v>
      </c>
      <c r="E66" s="64">
        <v>2.23</v>
      </c>
      <c r="F66" s="64">
        <v>4.05</v>
      </c>
      <c r="G66" s="64">
        <v>116.77</v>
      </c>
      <c r="H66" s="64">
        <v>62.84</v>
      </c>
      <c r="I66" s="64">
        <v>1.51</v>
      </c>
      <c r="J66" s="64">
        <v>2.02</v>
      </c>
      <c r="K66" s="64">
        <v>342.63</v>
      </c>
      <c r="L66" s="64">
        <v>19.36</v>
      </c>
      <c r="M66" s="64">
        <v>70.48</v>
      </c>
      <c r="N66" s="64">
        <v>63.6</v>
      </c>
      <c r="O66" s="64">
        <v>0</v>
      </c>
      <c r="P66" s="64">
        <v>1.21</v>
      </c>
      <c r="Q66" s="64">
        <v>6.28</v>
      </c>
      <c r="R66" s="198"/>
      <c r="S66" s="198"/>
      <c r="T66" s="198"/>
      <c r="U66" s="198"/>
    </row>
    <row r="67" spans="1:21" s="12" customFormat="1" x14ac:dyDescent="0.25">
      <c r="A67" s="215" t="s">
        <v>2900</v>
      </c>
      <c r="B67" s="64">
        <v>13.82</v>
      </c>
      <c r="C67" s="64">
        <v>49.87</v>
      </c>
      <c r="D67" s="64">
        <v>39.25</v>
      </c>
      <c r="E67" s="64">
        <v>2.19</v>
      </c>
      <c r="F67" s="64">
        <v>4.08</v>
      </c>
      <c r="G67" s="64">
        <v>116.77</v>
      </c>
      <c r="H67" s="64">
        <v>62.84</v>
      </c>
      <c r="I67" s="64">
        <v>1.55</v>
      </c>
      <c r="J67" s="64">
        <v>2.2599999999999998</v>
      </c>
      <c r="K67" s="64">
        <v>341.83</v>
      </c>
      <c r="L67" s="64">
        <v>18.989999999999998</v>
      </c>
      <c r="M67" s="64">
        <v>74.81</v>
      </c>
      <c r="N67" s="64">
        <v>55.3</v>
      </c>
      <c r="O67" s="64">
        <v>0</v>
      </c>
      <c r="P67" s="64">
        <v>1.19</v>
      </c>
      <c r="Q67" s="64">
        <v>6.29</v>
      </c>
      <c r="R67" s="198"/>
      <c r="S67" s="198"/>
      <c r="T67" s="198"/>
      <c r="U67" s="198"/>
    </row>
    <row r="68" spans="1:21" s="12" customFormat="1" x14ac:dyDescent="0.25">
      <c r="A68" s="215" t="s">
        <v>2901</v>
      </c>
      <c r="B68" s="64">
        <v>12.86</v>
      </c>
      <c r="C68" s="64">
        <v>51.76</v>
      </c>
      <c r="D68" s="64">
        <v>39.53</v>
      </c>
      <c r="E68" s="64">
        <v>2.25</v>
      </c>
      <c r="F68" s="64">
        <v>3.73</v>
      </c>
      <c r="G68" s="64">
        <v>116.77</v>
      </c>
      <c r="H68" s="64">
        <v>62.84</v>
      </c>
      <c r="I68" s="64">
        <v>1.44</v>
      </c>
      <c r="J68" s="64">
        <v>1.78</v>
      </c>
      <c r="K68" s="64">
        <v>341.87</v>
      </c>
      <c r="L68" s="64">
        <v>18.45</v>
      </c>
      <c r="M68" s="64">
        <v>81.88</v>
      </c>
      <c r="N68" s="64">
        <v>49.2</v>
      </c>
      <c r="O68" s="64">
        <v>0</v>
      </c>
      <c r="P68" s="64">
        <v>1.1399999999999999</v>
      </c>
      <c r="Q68" s="64">
        <v>6.32</v>
      </c>
      <c r="R68" s="198"/>
      <c r="S68" s="198"/>
      <c r="T68" s="198"/>
      <c r="U68" s="198"/>
    </row>
    <row r="69" spans="1:21" s="12" customFormat="1" x14ac:dyDescent="0.25">
      <c r="A69" s="215" t="s">
        <v>2902</v>
      </c>
      <c r="B69" s="64">
        <v>15.96</v>
      </c>
      <c r="C69" s="64">
        <v>55.98</v>
      </c>
      <c r="D69" s="64">
        <v>44.34</v>
      </c>
      <c r="E69" s="64">
        <v>2.2400000000000002</v>
      </c>
      <c r="F69" s="64">
        <v>3.61</v>
      </c>
      <c r="G69" s="64">
        <v>98.28</v>
      </c>
      <c r="H69" s="64">
        <v>52.59</v>
      </c>
      <c r="I69" s="64">
        <v>1.47</v>
      </c>
      <c r="J69" s="64">
        <v>1.74</v>
      </c>
      <c r="K69" s="64">
        <v>339.35</v>
      </c>
      <c r="L69" s="64">
        <v>17.93</v>
      </c>
      <c r="M69" s="64">
        <v>89.8</v>
      </c>
      <c r="N69" s="64">
        <v>55.7</v>
      </c>
      <c r="O69" s="64">
        <v>0</v>
      </c>
      <c r="P69" s="64">
        <v>1.1200000000000001</v>
      </c>
      <c r="Q69" s="64">
        <v>6.35</v>
      </c>
      <c r="R69" s="198"/>
      <c r="S69" s="198"/>
      <c r="T69" s="198"/>
      <c r="U69" s="198"/>
    </row>
    <row r="70" spans="1:21" s="12" customFormat="1" x14ac:dyDescent="0.25">
      <c r="A70" s="215" t="s">
        <v>2903</v>
      </c>
      <c r="B70" s="64">
        <v>25.65</v>
      </c>
      <c r="C70" s="64">
        <v>60.66</v>
      </c>
      <c r="D70" s="64">
        <v>54.7</v>
      </c>
      <c r="E70" s="64">
        <v>2.19</v>
      </c>
      <c r="F70" s="64">
        <v>3.4</v>
      </c>
      <c r="G70" s="64">
        <v>85.96</v>
      </c>
      <c r="H70" s="64">
        <v>49.88</v>
      </c>
      <c r="I70" s="64">
        <v>1.44</v>
      </c>
      <c r="J70" s="64">
        <v>1.06</v>
      </c>
      <c r="K70" s="64">
        <v>342.95</v>
      </c>
      <c r="L70" s="64">
        <v>17.260000000000002</v>
      </c>
      <c r="M70" s="64">
        <v>97.35</v>
      </c>
      <c r="N70" s="64">
        <v>64.5</v>
      </c>
      <c r="O70" s="64">
        <v>0.2</v>
      </c>
      <c r="P70" s="64">
        <v>1.0900000000000001</v>
      </c>
      <c r="Q70" s="64">
        <v>6.44</v>
      </c>
      <c r="R70" s="198"/>
      <c r="S70" s="198"/>
      <c r="T70" s="198"/>
      <c r="U70" s="198"/>
    </row>
    <row r="71" spans="1:21" s="12" customFormat="1" x14ac:dyDescent="0.25">
      <c r="A71" s="215" t="s">
        <v>2904</v>
      </c>
      <c r="B71" s="64">
        <v>32.44</v>
      </c>
      <c r="C71" s="64">
        <v>62.39</v>
      </c>
      <c r="D71" s="64">
        <v>61.09</v>
      </c>
      <c r="E71" s="64">
        <v>2.2599999999999998</v>
      </c>
      <c r="F71" s="64">
        <v>3.22</v>
      </c>
      <c r="G71" s="64">
        <v>85.96</v>
      </c>
      <c r="H71" s="64">
        <v>49.88</v>
      </c>
      <c r="I71" s="64">
        <v>1.55</v>
      </c>
      <c r="J71" s="64">
        <v>0.61</v>
      </c>
      <c r="K71" s="64">
        <v>337.42</v>
      </c>
      <c r="L71" s="64">
        <v>16.88</v>
      </c>
      <c r="M71" s="64">
        <v>98.93</v>
      </c>
      <c r="N71" s="64">
        <v>61.4</v>
      </c>
      <c r="O71" s="64">
        <v>0.2</v>
      </c>
      <c r="P71" s="64">
        <v>1.07</v>
      </c>
      <c r="Q71" s="64">
        <v>6.48</v>
      </c>
      <c r="R71" s="198"/>
      <c r="S71" s="198"/>
      <c r="T71" s="198"/>
      <c r="U71" s="198"/>
    </row>
    <row r="72" spans="1:21" s="12" customFormat="1" x14ac:dyDescent="0.25">
      <c r="A72" s="215" t="s">
        <v>2905</v>
      </c>
      <c r="B72" s="64">
        <v>21.37</v>
      </c>
      <c r="C72" s="64">
        <v>55.85</v>
      </c>
      <c r="D72" s="64">
        <v>48.61</v>
      </c>
      <c r="E72" s="64">
        <v>2.13</v>
      </c>
      <c r="F72" s="64">
        <v>3.06</v>
      </c>
      <c r="G72" s="64">
        <v>85.96</v>
      </c>
      <c r="H72" s="64">
        <v>49.88</v>
      </c>
      <c r="I72" s="64">
        <v>1.54</v>
      </c>
      <c r="J72" s="64">
        <v>0.57999999999999996</v>
      </c>
      <c r="K72" s="64">
        <v>335.56</v>
      </c>
      <c r="L72" s="64">
        <v>16.670000000000002</v>
      </c>
      <c r="M72" s="64">
        <v>98.94</v>
      </c>
      <c r="N72" s="64">
        <v>54.1</v>
      </c>
      <c r="O72" s="64">
        <v>0.4</v>
      </c>
      <c r="P72" s="64">
        <v>1.06</v>
      </c>
      <c r="Q72" s="64">
        <v>6.63</v>
      </c>
      <c r="R72" s="198"/>
      <c r="S72" s="198"/>
      <c r="T72" s="198"/>
      <c r="U72" s="198"/>
    </row>
    <row r="73" spans="1:21" s="12" customFormat="1" x14ac:dyDescent="0.25">
      <c r="A73" s="215" t="s">
        <v>2906</v>
      </c>
      <c r="B73" s="64">
        <v>20.350000000000001</v>
      </c>
      <c r="C73" s="64">
        <v>59.23</v>
      </c>
      <c r="D73" s="64">
        <v>49.65</v>
      </c>
      <c r="E73" s="64">
        <v>2.2599999999999998</v>
      </c>
      <c r="F73" s="64">
        <v>3.12</v>
      </c>
      <c r="G73" s="64">
        <v>69.8</v>
      </c>
      <c r="H73" s="64">
        <v>40.19</v>
      </c>
      <c r="I73" s="64">
        <v>1.48</v>
      </c>
      <c r="J73" s="64">
        <v>0.92</v>
      </c>
      <c r="K73" s="64">
        <v>338.46</v>
      </c>
      <c r="L73" s="64">
        <v>16.47</v>
      </c>
      <c r="M73" s="64">
        <v>98.97</v>
      </c>
      <c r="N73" s="64">
        <v>57.3</v>
      </c>
      <c r="O73" s="64">
        <v>0</v>
      </c>
      <c r="P73" s="64">
        <v>1.06</v>
      </c>
      <c r="Q73" s="64">
        <v>6.73</v>
      </c>
      <c r="R73" s="198"/>
      <c r="S73" s="198"/>
      <c r="T73" s="198"/>
      <c r="U73" s="198"/>
    </row>
    <row r="74" spans="1:21" s="12" customFormat="1" x14ac:dyDescent="0.25">
      <c r="A74" s="215" t="s">
        <v>2907</v>
      </c>
      <c r="B74" s="64">
        <v>28.88</v>
      </c>
      <c r="C74" s="64">
        <v>61.13</v>
      </c>
      <c r="D74" s="64">
        <v>57.54</v>
      </c>
      <c r="E74" s="64">
        <v>2.29</v>
      </c>
      <c r="F74" s="64">
        <v>3.06</v>
      </c>
      <c r="G74" s="64">
        <v>59.02</v>
      </c>
      <c r="H74" s="64">
        <v>37.81</v>
      </c>
      <c r="I74" s="64">
        <v>1.52</v>
      </c>
      <c r="J74" s="64">
        <v>0.16</v>
      </c>
      <c r="K74" s="64">
        <v>75.75</v>
      </c>
      <c r="L74" s="64">
        <v>16.329999999999998</v>
      </c>
      <c r="M74" s="64">
        <v>98.98</v>
      </c>
      <c r="N74" s="64">
        <v>54.7</v>
      </c>
      <c r="O74" s="64">
        <v>0.2</v>
      </c>
      <c r="P74" s="64">
        <v>1.06</v>
      </c>
      <c r="Q74" s="64">
        <v>6.84</v>
      </c>
      <c r="R74" s="198"/>
      <c r="S74" s="198"/>
      <c r="T74" s="198"/>
      <c r="U74" s="198"/>
    </row>
    <row r="75" spans="1:21" s="12" customFormat="1" x14ac:dyDescent="0.25">
      <c r="A75" s="215" t="s">
        <v>2908</v>
      </c>
      <c r="B75" s="64">
        <v>57.67</v>
      </c>
      <c r="C75" s="64">
        <v>64.39</v>
      </c>
      <c r="D75" s="64">
        <v>82.42</v>
      </c>
      <c r="E75" s="64">
        <v>2.29</v>
      </c>
      <c r="F75" s="64">
        <v>3.26</v>
      </c>
      <c r="G75" s="64">
        <v>59.02</v>
      </c>
      <c r="H75" s="64">
        <v>37.81</v>
      </c>
      <c r="I75" s="64">
        <v>1.49</v>
      </c>
      <c r="J75" s="64">
        <v>0.24</v>
      </c>
      <c r="K75" s="64">
        <v>91.03</v>
      </c>
      <c r="L75" s="64">
        <v>16.190000000000001</v>
      </c>
      <c r="M75" s="64">
        <v>98.98</v>
      </c>
      <c r="N75" s="64">
        <v>46.3</v>
      </c>
      <c r="O75" s="64">
        <v>0</v>
      </c>
      <c r="P75" s="64">
        <v>1.06</v>
      </c>
      <c r="Q75" s="64">
        <v>6.95</v>
      </c>
      <c r="R75" s="198"/>
      <c r="S75" s="198"/>
      <c r="T75" s="198"/>
      <c r="U75" s="198"/>
    </row>
    <row r="76" spans="1:21" s="12" customFormat="1" x14ac:dyDescent="0.25">
      <c r="A76" s="215" t="s">
        <v>2909</v>
      </c>
      <c r="B76" s="64">
        <v>36.39</v>
      </c>
      <c r="C76" s="64">
        <v>58.61</v>
      </c>
      <c r="D76" s="64">
        <v>62.17</v>
      </c>
      <c r="E76" s="64">
        <v>2.2999999999999998</v>
      </c>
      <c r="F76" s="64">
        <v>3.23</v>
      </c>
      <c r="G76" s="64">
        <v>59.02</v>
      </c>
      <c r="H76" s="64">
        <v>37.81</v>
      </c>
      <c r="I76" s="64">
        <v>1.52</v>
      </c>
      <c r="J76" s="64">
        <v>0.15</v>
      </c>
      <c r="K76" s="64">
        <v>40.85</v>
      </c>
      <c r="L76" s="64">
        <v>16.11</v>
      </c>
      <c r="M76" s="64">
        <v>98.98</v>
      </c>
      <c r="N76" s="64">
        <v>43.3</v>
      </c>
      <c r="O76" s="64">
        <v>0.2</v>
      </c>
      <c r="P76" s="64">
        <v>1.07</v>
      </c>
      <c r="Q76" s="64">
        <v>7.01</v>
      </c>
      <c r="R76" s="198"/>
      <c r="S76" s="198"/>
      <c r="T76" s="198"/>
      <c r="U76" s="198"/>
    </row>
    <row r="77" spans="1:21" s="12" customFormat="1" x14ac:dyDescent="0.25">
      <c r="A77" s="215" t="s">
        <v>2910</v>
      </c>
      <c r="B77" s="64">
        <v>30.16</v>
      </c>
      <c r="C77" s="64">
        <v>52.94</v>
      </c>
      <c r="D77" s="64">
        <v>54.05</v>
      </c>
      <c r="E77" s="64">
        <v>2.33</v>
      </c>
      <c r="F77" s="64">
        <v>3.16</v>
      </c>
      <c r="G77" s="64">
        <v>51.18</v>
      </c>
      <c r="H77" s="64">
        <v>47.67</v>
      </c>
      <c r="I77" s="64">
        <v>1.53</v>
      </c>
      <c r="J77" s="64">
        <v>1.01</v>
      </c>
      <c r="K77" s="64">
        <v>106.75</v>
      </c>
      <c r="L77" s="64">
        <v>15.97</v>
      </c>
      <c r="M77" s="64">
        <v>98.98</v>
      </c>
      <c r="N77" s="64">
        <v>39.799999999999997</v>
      </c>
      <c r="O77" s="64">
        <v>0</v>
      </c>
      <c r="P77" s="64">
        <v>1.06</v>
      </c>
      <c r="Q77" s="64">
        <v>7.15</v>
      </c>
      <c r="R77" s="198"/>
      <c r="S77" s="198"/>
      <c r="T77" s="198"/>
      <c r="U77" s="198"/>
    </row>
    <row r="78" spans="1:21" s="12" customFormat="1" x14ac:dyDescent="0.25">
      <c r="A78" s="215" t="s">
        <v>2911</v>
      </c>
      <c r="B78" s="64">
        <v>17.350000000000001</v>
      </c>
      <c r="C78" s="64">
        <v>39.22</v>
      </c>
      <c r="D78" s="64">
        <v>36.200000000000003</v>
      </c>
      <c r="E78" s="64">
        <v>2.2599999999999998</v>
      </c>
      <c r="F78" s="64">
        <v>3.43</v>
      </c>
      <c r="G78" s="64">
        <v>45.95</v>
      </c>
      <c r="H78" s="64">
        <v>51.95</v>
      </c>
      <c r="I78" s="64">
        <v>1.42</v>
      </c>
      <c r="J78" s="64">
        <v>0.85</v>
      </c>
      <c r="K78" s="64">
        <v>104.83</v>
      </c>
      <c r="L78" s="64">
        <v>16.04</v>
      </c>
      <c r="M78" s="64">
        <v>98.98</v>
      </c>
      <c r="N78" s="64">
        <v>39.4</v>
      </c>
      <c r="O78" s="64">
        <v>0</v>
      </c>
      <c r="P78" s="64">
        <v>1.04</v>
      </c>
      <c r="Q78" s="64">
        <v>7.28</v>
      </c>
      <c r="R78" s="198"/>
      <c r="S78" s="198"/>
      <c r="T78" s="198"/>
      <c r="U78" s="198"/>
    </row>
    <row r="79" spans="1:21" s="12" customFormat="1" x14ac:dyDescent="0.25">
      <c r="A79" s="215" t="s">
        <v>2912</v>
      </c>
      <c r="B79" s="64">
        <v>24.32</v>
      </c>
      <c r="C79" s="64">
        <v>47.1</v>
      </c>
      <c r="D79" s="64">
        <v>46.14</v>
      </c>
      <c r="E79" s="64">
        <v>2.34</v>
      </c>
      <c r="F79" s="64">
        <v>2.91</v>
      </c>
      <c r="G79" s="64">
        <v>45.95</v>
      </c>
      <c r="H79" s="64">
        <v>51.95</v>
      </c>
      <c r="I79" s="64">
        <v>1.45</v>
      </c>
      <c r="J79" s="64">
        <v>0.68</v>
      </c>
      <c r="K79" s="64">
        <v>106.61</v>
      </c>
      <c r="L79" s="64">
        <v>16.05</v>
      </c>
      <c r="M79" s="64">
        <v>98.98</v>
      </c>
      <c r="N79" s="64">
        <v>39.4</v>
      </c>
      <c r="O79" s="64">
        <v>0</v>
      </c>
      <c r="P79" s="64">
        <v>1.03</v>
      </c>
      <c r="Q79" s="64">
        <v>7.3</v>
      </c>
      <c r="R79" s="198"/>
      <c r="S79" s="198"/>
      <c r="T79" s="198"/>
      <c r="U79" s="198"/>
    </row>
    <row r="80" spans="1:21" s="12" customFormat="1" x14ac:dyDescent="0.25">
      <c r="A80" s="215" t="s">
        <v>2913</v>
      </c>
      <c r="B80" s="64">
        <v>16.16</v>
      </c>
      <c r="C80" s="64">
        <v>39.06</v>
      </c>
      <c r="D80" s="64">
        <v>35.17</v>
      </c>
      <c r="E80" s="64">
        <v>2.3199999999999998</v>
      </c>
      <c r="F80" s="64">
        <v>2.81</v>
      </c>
      <c r="G80" s="64">
        <v>45.95</v>
      </c>
      <c r="H80" s="64">
        <v>51.95</v>
      </c>
      <c r="I80" s="64">
        <v>1.53</v>
      </c>
      <c r="J80" s="64">
        <v>0.53</v>
      </c>
      <c r="K80" s="64">
        <v>116.83</v>
      </c>
      <c r="L80" s="64">
        <v>16</v>
      </c>
      <c r="M80" s="64">
        <v>98.98</v>
      </c>
      <c r="N80" s="64">
        <v>39.4</v>
      </c>
      <c r="O80" s="64">
        <v>0</v>
      </c>
      <c r="P80" s="64">
        <v>1.02</v>
      </c>
      <c r="Q80" s="64">
        <v>7.26</v>
      </c>
      <c r="R80" s="198"/>
      <c r="S80" s="198"/>
      <c r="T80" s="198"/>
      <c r="U80" s="198"/>
    </row>
    <row r="81" spans="1:26" s="12" customFormat="1" x14ac:dyDescent="0.25">
      <c r="A81" s="215" t="s">
        <v>2914</v>
      </c>
      <c r="B81" s="64">
        <v>14.74</v>
      </c>
      <c r="C81" s="64">
        <v>36.21</v>
      </c>
      <c r="D81" s="64">
        <v>32.450000000000003</v>
      </c>
      <c r="E81" s="64">
        <v>2.33</v>
      </c>
      <c r="F81" s="64">
        <v>3.03</v>
      </c>
      <c r="G81" s="64">
        <v>40.72</v>
      </c>
      <c r="H81" s="64">
        <v>35.56</v>
      </c>
      <c r="I81" s="64">
        <v>1.46</v>
      </c>
      <c r="J81" s="64">
        <v>1.3</v>
      </c>
      <c r="K81" s="64">
        <v>108.84</v>
      </c>
      <c r="L81" s="64">
        <v>16.07</v>
      </c>
      <c r="M81" s="64">
        <v>98.98</v>
      </c>
      <c r="N81" s="64">
        <v>39.299999999999997</v>
      </c>
      <c r="O81" s="64">
        <v>0</v>
      </c>
      <c r="P81" s="64">
        <v>1</v>
      </c>
      <c r="Q81" s="64">
        <v>7.16</v>
      </c>
      <c r="R81" s="198"/>
      <c r="S81" s="198"/>
      <c r="T81" s="198"/>
      <c r="U81" s="198"/>
    </row>
    <row r="82" spans="1:26" s="12" customFormat="1" x14ac:dyDescent="0.25">
      <c r="A82" s="215" t="s">
        <v>2915</v>
      </c>
      <c r="B82" s="64">
        <v>15.56</v>
      </c>
      <c r="C82" s="64">
        <v>37.5</v>
      </c>
      <c r="D82" s="64">
        <v>33.82</v>
      </c>
      <c r="E82" s="64">
        <v>2.31</v>
      </c>
      <c r="F82" s="64">
        <v>3.12</v>
      </c>
      <c r="G82" s="64">
        <v>37.229999999999997</v>
      </c>
      <c r="H82" s="64">
        <v>31.54</v>
      </c>
      <c r="I82" s="64">
        <v>1.45</v>
      </c>
      <c r="J82" s="64">
        <v>1.5</v>
      </c>
      <c r="K82" s="64">
        <v>111.1</v>
      </c>
      <c r="L82" s="64">
        <v>16.170000000000002</v>
      </c>
      <c r="M82" s="64">
        <v>98.96</v>
      </c>
      <c r="N82" s="64">
        <v>39.299999999999997</v>
      </c>
      <c r="O82" s="64">
        <v>0</v>
      </c>
      <c r="P82" s="64">
        <v>0.98</v>
      </c>
      <c r="Q82" s="64">
        <v>7.14</v>
      </c>
      <c r="R82" s="198"/>
      <c r="S82" s="198"/>
      <c r="T82" s="198"/>
      <c r="U82" s="198"/>
    </row>
    <row r="83" spans="1:26" s="12" customFormat="1" x14ac:dyDescent="0.25">
      <c r="A83" s="215" t="s">
        <v>2916</v>
      </c>
      <c r="B83" s="64">
        <v>14.31</v>
      </c>
      <c r="C83" s="64">
        <v>43.86</v>
      </c>
      <c r="D83" s="64">
        <v>36.33</v>
      </c>
      <c r="E83" s="64">
        <v>2.35</v>
      </c>
      <c r="F83" s="64">
        <v>3.17</v>
      </c>
      <c r="G83" s="64">
        <v>37.229999999999997</v>
      </c>
      <c r="H83" s="64">
        <v>31.54</v>
      </c>
      <c r="I83" s="64">
        <v>1.52</v>
      </c>
      <c r="J83" s="64">
        <v>0.76</v>
      </c>
      <c r="K83" s="64">
        <v>103.65</v>
      </c>
      <c r="L83" s="64">
        <v>16.25</v>
      </c>
      <c r="M83" s="64">
        <v>98.95</v>
      </c>
      <c r="N83" s="64">
        <v>39.6</v>
      </c>
      <c r="O83" s="64">
        <v>0.2</v>
      </c>
      <c r="P83" s="64">
        <v>0.95</v>
      </c>
      <c r="Q83" s="64">
        <v>7.04</v>
      </c>
      <c r="R83" s="198"/>
      <c r="S83" s="198"/>
      <c r="T83" s="198"/>
      <c r="U83" s="198"/>
    </row>
    <row r="84" spans="1:26" s="12" customFormat="1" x14ac:dyDescent="0.25">
      <c r="A84" s="215" t="s">
        <v>2917</v>
      </c>
      <c r="B84" s="64">
        <v>18.079999999999998</v>
      </c>
      <c r="C84" s="64">
        <v>43.29</v>
      </c>
      <c r="D84" s="64">
        <v>39.03</v>
      </c>
      <c r="E84" s="64">
        <v>2.35</v>
      </c>
      <c r="F84" s="64">
        <v>3.3</v>
      </c>
      <c r="G84" s="64">
        <v>37.229999999999997</v>
      </c>
      <c r="H84" s="64">
        <v>31.54</v>
      </c>
      <c r="I84" s="64">
        <v>1.53</v>
      </c>
      <c r="J84" s="64">
        <v>0.39</v>
      </c>
      <c r="K84" s="64">
        <v>101.53</v>
      </c>
      <c r="L84" s="64">
        <v>16.2</v>
      </c>
      <c r="M84" s="64">
        <v>98.98</v>
      </c>
      <c r="N84" s="64">
        <v>39.799999999999997</v>
      </c>
      <c r="O84" s="64">
        <v>0</v>
      </c>
      <c r="P84" s="64">
        <v>0.96</v>
      </c>
      <c r="Q84" s="64">
        <v>7</v>
      </c>
      <c r="R84" s="198"/>
      <c r="S84" s="198"/>
      <c r="T84" s="198"/>
      <c r="U84" s="198"/>
    </row>
    <row r="85" spans="1:26" s="12" customFormat="1" x14ac:dyDescent="0.25">
      <c r="A85" s="215" t="s">
        <v>2918</v>
      </c>
      <c r="B85" s="64">
        <v>48.05</v>
      </c>
      <c r="C85" s="64">
        <v>57.9</v>
      </c>
      <c r="D85" s="64">
        <v>71.14</v>
      </c>
      <c r="E85" s="64">
        <v>2.2799999999999998</v>
      </c>
      <c r="F85" s="64">
        <v>3.38</v>
      </c>
      <c r="G85" s="64">
        <v>34.950000000000003</v>
      </c>
      <c r="H85" s="64">
        <v>25.67</v>
      </c>
      <c r="I85" s="64">
        <v>1.56</v>
      </c>
      <c r="J85" s="64">
        <v>0.23</v>
      </c>
      <c r="K85" s="64">
        <v>83.34</v>
      </c>
      <c r="L85" s="64">
        <v>16.170000000000002</v>
      </c>
      <c r="M85" s="64">
        <v>98.74</v>
      </c>
      <c r="N85" s="64">
        <v>39.9</v>
      </c>
      <c r="O85" s="64">
        <v>0</v>
      </c>
      <c r="P85" s="64">
        <v>0.94</v>
      </c>
      <c r="Q85" s="64">
        <v>6.96</v>
      </c>
      <c r="R85" s="198"/>
      <c r="S85" s="198"/>
      <c r="T85" s="198"/>
      <c r="U85" s="198"/>
    </row>
    <row r="86" spans="1:26" s="12" customFormat="1" x14ac:dyDescent="0.25">
      <c r="A86" s="215" t="s">
        <v>2919</v>
      </c>
      <c r="B86" s="64">
        <v>28.4</v>
      </c>
      <c r="C86" s="64">
        <v>44.25</v>
      </c>
      <c r="D86" s="64">
        <v>47.84</v>
      </c>
      <c r="E86" s="64">
        <v>2.31</v>
      </c>
      <c r="F86" s="64">
        <v>2.89</v>
      </c>
      <c r="G86" s="64">
        <v>33.42</v>
      </c>
      <c r="H86" s="64">
        <v>24.23</v>
      </c>
      <c r="I86" s="64">
        <v>1.51</v>
      </c>
      <c r="J86" s="64">
        <v>0.32</v>
      </c>
      <c r="K86" s="64">
        <v>101.94</v>
      </c>
      <c r="L86" s="64">
        <v>16.16</v>
      </c>
      <c r="M86" s="64">
        <v>97.83</v>
      </c>
      <c r="N86" s="64">
        <v>39.9</v>
      </c>
      <c r="O86" s="64">
        <v>0.2</v>
      </c>
      <c r="P86" s="64">
        <v>0.99</v>
      </c>
      <c r="Q86" s="64">
        <v>7.02</v>
      </c>
      <c r="R86" s="198"/>
      <c r="S86" s="198"/>
      <c r="T86" s="198"/>
      <c r="U86" s="198"/>
    </row>
    <row r="87" spans="1:26" s="12" customFormat="1" x14ac:dyDescent="0.25">
      <c r="A87" s="215" t="s">
        <v>2920</v>
      </c>
      <c r="B87" s="64">
        <v>23.78</v>
      </c>
      <c r="C87" s="64">
        <v>49.41</v>
      </c>
      <c r="D87" s="64">
        <v>46.99</v>
      </c>
      <c r="E87" s="64">
        <v>2.3199999999999998</v>
      </c>
      <c r="F87" s="64">
        <v>2.95</v>
      </c>
      <c r="G87" s="64">
        <v>33.42</v>
      </c>
      <c r="H87" s="64">
        <v>24.23</v>
      </c>
      <c r="I87" s="64">
        <v>1.53</v>
      </c>
      <c r="J87" s="64">
        <v>0.28999999999999998</v>
      </c>
      <c r="K87" s="64">
        <v>87.31</v>
      </c>
      <c r="L87" s="64">
        <v>16.100000000000001</v>
      </c>
      <c r="M87" s="64">
        <v>97.9</v>
      </c>
      <c r="N87" s="64">
        <v>40.1</v>
      </c>
      <c r="O87" s="64">
        <v>0</v>
      </c>
      <c r="P87" s="64">
        <v>1.01</v>
      </c>
      <c r="Q87" s="64">
        <v>7.07</v>
      </c>
      <c r="R87" s="198"/>
      <c r="S87" s="198"/>
      <c r="T87" s="198"/>
      <c r="U87" s="198"/>
    </row>
    <row r="88" spans="1:26" s="12" customFormat="1" x14ac:dyDescent="0.25">
      <c r="A88" s="215" t="s">
        <v>2921</v>
      </c>
      <c r="B88" s="64">
        <v>45.3</v>
      </c>
      <c r="C88" s="64">
        <v>57.5</v>
      </c>
      <c r="D88" s="64">
        <v>68.7</v>
      </c>
      <c r="E88" s="64">
        <v>2.09</v>
      </c>
      <c r="F88" s="64">
        <v>2.44</v>
      </c>
      <c r="G88" s="64">
        <v>33.42</v>
      </c>
      <c r="H88" s="64">
        <v>24.23</v>
      </c>
      <c r="I88" s="64">
        <v>1.52</v>
      </c>
      <c r="J88" s="64">
        <v>0.39</v>
      </c>
      <c r="K88" s="64">
        <v>344.01</v>
      </c>
      <c r="L88" s="64">
        <v>16.32</v>
      </c>
      <c r="M88" s="64">
        <v>97.94</v>
      </c>
      <c r="N88" s="64">
        <v>40.200000000000003</v>
      </c>
      <c r="O88" s="64">
        <v>0</v>
      </c>
      <c r="P88" s="64">
        <v>1.04</v>
      </c>
      <c r="Q88" s="64">
        <v>7.16</v>
      </c>
      <c r="R88" s="198"/>
      <c r="S88" s="198"/>
      <c r="T88" s="198"/>
      <c r="U88" s="198"/>
    </row>
    <row r="89" spans="1:26" s="12" customFormat="1" x14ac:dyDescent="0.25">
      <c r="A89" s="215" t="s">
        <v>2922</v>
      </c>
      <c r="B89" s="64">
        <v>60.63</v>
      </c>
      <c r="C89" s="64">
        <v>58.69</v>
      </c>
      <c r="D89" s="64">
        <v>81.66</v>
      </c>
      <c r="E89" s="64">
        <v>2.23</v>
      </c>
      <c r="F89" s="64">
        <v>2.79</v>
      </c>
      <c r="G89" s="64">
        <v>30.63</v>
      </c>
      <c r="H89" s="64">
        <v>23.59</v>
      </c>
      <c r="I89" s="64">
        <v>1.51</v>
      </c>
      <c r="J89" s="64">
        <v>0.08</v>
      </c>
      <c r="K89" s="64">
        <v>20.04</v>
      </c>
      <c r="L89" s="64">
        <v>16.23</v>
      </c>
      <c r="M89" s="64">
        <v>97.96</v>
      </c>
      <c r="N89" s="64">
        <v>40</v>
      </c>
      <c r="O89" s="64">
        <v>0</v>
      </c>
      <c r="P89" s="64">
        <v>1.1100000000000001</v>
      </c>
      <c r="Q89" s="64">
        <v>7.32</v>
      </c>
      <c r="R89" s="198"/>
      <c r="S89" s="198"/>
      <c r="T89" s="198"/>
      <c r="U89" s="198"/>
    </row>
    <row r="90" spans="1:26" s="12" customFormat="1" x14ac:dyDescent="0.25">
      <c r="A90" s="215" t="s">
        <v>2923</v>
      </c>
      <c r="B90" s="64">
        <v>49.08</v>
      </c>
      <c r="C90" s="64">
        <v>51.59</v>
      </c>
      <c r="D90" s="64">
        <v>68.48</v>
      </c>
      <c r="E90" s="64">
        <v>2.1800000000000002</v>
      </c>
      <c r="F90" s="64">
        <v>2.88</v>
      </c>
      <c r="G90" s="64">
        <v>28.78</v>
      </c>
      <c r="H90" s="64">
        <v>23.44</v>
      </c>
      <c r="I90" s="64">
        <v>1.5</v>
      </c>
      <c r="J90" s="64">
        <v>0.09</v>
      </c>
      <c r="K90" s="64">
        <v>347.43</v>
      </c>
      <c r="L90" s="64">
        <v>16.010000000000002</v>
      </c>
      <c r="M90" s="64">
        <v>97.96</v>
      </c>
      <c r="N90" s="64">
        <v>40</v>
      </c>
      <c r="O90" s="64">
        <v>0</v>
      </c>
      <c r="P90" s="64">
        <v>1.19</v>
      </c>
      <c r="Q90" s="64">
        <v>7.54</v>
      </c>
      <c r="R90" s="198"/>
      <c r="S90" s="198"/>
      <c r="T90" s="198"/>
      <c r="U90" s="198"/>
    </row>
    <row r="91" spans="1:26" s="12" customFormat="1" x14ac:dyDescent="0.25">
      <c r="A91" s="215" t="s">
        <v>2924</v>
      </c>
      <c r="B91" s="64">
        <v>55.1</v>
      </c>
      <c r="C91" s="64">
        <v>53.42</v>
      </c>
      <c r="D91" s="64">
        <v>74.31</v>
      </c>
      <c r="E91" s="64">
        <v>2.2799999999999998</v>
      </c>
      <c r="F91" s="64">
        <v>3.24</v>
      </c>
      <c r="G91" s="64">
        <v>28.78</v>
      </c>
      <c r="H91" s="64">
        <v>23.44</v>
      </c>
      <c r="I91" s="64">
        <v>1.44</v>
      </c>
      <c r="J91" s="64">
        <v>0.08</v>
      </c>
      <c r="K91" s="64">
        <v>55.58</v>
      </c>
      <c r="L91" s="64">
        <v>15.88</v>
      </c>
      <c r="M91" s="64">
        <v>97.98</v>
      </c>
      <c r="N91" s="64">
        <v>39.9</v>
      </c>
      <c r="O91" s="64">
        <v>0</v>
      </c>
      <c r="P91" s="64">
        <v>1.24</v>
      </c>
      <c r="Q91" s="64">
        <v>7.71</v>
      </c>
      <c r="R91" s="198"/>
      <c r="S91" s="198"/>
      <c r="T91" s="198"/>
      <c r="U91" s="198"/>
    </row>
    <row r="92" spans="1:26" s="12" customFormat="1" x14ac:dyDescent="0.25">
      <c r="A92" s="215" t="s">
        <v>2925</v>
      </c>
      <c r="B92" s="64">
        <v>37.700000000000003</v>
      </c>
      <c r="C92" s="64">
        <v>47.74</v>
      </c>
      <c r="D92" s="64">
        <v>57.22</v>
      </c>
      <c r="E92" s="64">
        <v>2.2599999999999998</v>
      </c>
      <c r="F92" s="64">
        <v>3.07</v>
      </c>
      <c r="G92" s="64">
        <v>28.78</v>
      </c>
      <c r="H92" s="64">
        <v>23.44</v>
      </c>
      <c r="I92" s="64">
        <v>1.47</v>
      </c>
      <c r="J92" s="64">
        <v>0.1</v>
      </c>
      <c r="K92" s="64">
        <v>300.68</v>
      </c>
      <c r="L92" s="64">
        <v>15.8</v>
      </c>
      <c r="M92" s="64">
        <v>97.98</v>
      </c>
      <c r="N92" s="64">
        <v>40.1</v>
      </c>
      <c r="O92" s="64">
        <v>0</v>
      </c>
      <c r="P92" s="64">
        <v>1.25</v>
      </c>
      <c r="Q92" s="64">
        <v>7.9</v>
      </c>
      <c r="R92" s="198"/>
      <c r="S92" s="198"/>
      <c r="T92" s="198"/>
      <c r="U92" s="198"/>
    </row>
    <row r="93" spans="1:26" s="12" customFormat="1" x14ac:dyDescent="0.25">
      <c r="A93" s="215" t="s">
        <v>2926</v>
      </c>
      <c r="B93" s="64">
        <v>79.02</v>
      </c>
      <c r="C93" s="64">
        <v>56.82</v>
      </c>
      <c r="D93" s="64">
        <v>95.37</v>
      </c>
      <c r="E93" s="64">
        <v>2.2999999999999998</v>
      </c>
      <c r="F93" s="64">
        <v>2.9</v>
      </c>
      <c r="G93" s="64">
        <v>31.75</v>
      </c>
      <c r="H93" s="64">
        <v>24.92</v>
      </c>
      <c r="I93" s="64">
        <v>1.47</v>
      </c>
      <c r="J93" s="64">
        <v>0.09</v>
      </c>
      <c r="K93" s="64">
        <v>348.51</v>
      </c>
      <c r="L93" s="64">
        <v>15.84</v>
      </c>
      <c r="M93" s="64">
        <v>98.01</v>
      </c>
      <c r="N93" s="64">
        <v>39.700000000000003</v>
      </c>
      <c r="O93" s="64">
        <v>0</v>
      </c>
      <c r="P93" s="64">
        <v>1.3</v>
      </c>
      <c r="Q93" s="64">
        <v>7.99</v>
      </c>
      <c r="R93" s="198"/>
      <c r="S93" s="198"/>
      <c r="T93" s="198"/>
      <c r="U93" s="198"/>
    </row>
    <row r="94" spans="1:26" s="12" customFormat="1" x14ac:dyDescent="0.25">
      <c r="A94" s="215" t="s">
        <v>2927</v>
      </c>
      <c r="B94" s="64">
        <v>62.5</v>
      </c>
      <c r="C94" s="64">
        <v>53.66</v>
      </c>
      <c r="D94" s="64">
        <v>80.38</v>
      </c>
      <c r="E94" s="64">
        <v>2.2400000000000002</v>
      </c>
      <c r="F94" s="64">
        <v>3.46</v>
      </c>
      <c r="G94" s="64">
        <v>33.729999999999997</v>
      </c>
      <c r="H94" s="64">
        <v>25.54</v>
      </c>
      <c r="I94" s="64">
        <v>1.46</v>
      </c>
      <c r="J94" s="64">
        <v>0.15</v>
      </c>
      <c r="K94" s="64">
        <v>314.16000000000003</v>
      </c>
      <c r="L94" s="64">
        <v>15.63</v>
      </c>
      <c r="M94" s="64">
        <v>98.03</v>
      </c>
      <c r="N94" s="64">
        <v>39.9</v>
      </c>
      <c r="O94" s="64">
        <v>0</v>
      </c>
      <c r="P94" s="64">
        <v>1.33</v>
      </c>
      <c r="Q94" s="64">
        <v>8.1199999999999992</v>
      </c>
      <c r="R94" s="198"/>
      <c r="S94" s="198"/>
      <c r="T94" s="198"/>
      <c r="U94" s="198"/>
    </row>
    <row r="95" spans="1:26" s="12" customFormat="1" x14ac:dyDescent="0.25">
      <c r="A95" s="215" t="s">
        <v>2928</v>
      </c>
      <c r="B95" s="64">
        <v>82.88</v>
      </c>
      <c r="C95" s="64">
        <v>52.67</v>
      </c>
      <c r="D95" s="64">
        <v>96.17</v>
      </c>
      <c r="E95" s="64">
        <v>2.34</v>
      </c>
      <c r="F95" s="64">
        <v>3.27</v>
      </c>
      <c r="G95" s="64">
        <v>33.729999999999997</v>
      </c>
      <c r="H95" s="64">
        <v>25.54</v>
      </c>
      <c r="I95" s="64">
        <v>1.46</v>
      </c>
      <c r="J95" s="64">
        <v>0.11</v>
      </c>
      <c r="K95" s="64">
        <v>40.44</v>
      </c>
      <c r="L95" s="64">
        <v>15.6</v>
      </c>
      <c r="M95" s="64">
        <v>98.04</v>
      </c>
      <c r="N95" s="64">
        <v>40</v>
      </c>
      <c r="O95" s="64">
        <v>0</v>
      </c>
      <c r="P95" s="64">
        <v>1.36</v>
      </c>
      <c r="Q95" s="64">
        <v>8.31</v>
      </c>
      <c r="R95" s="198"/>
      <c r="S95" s="198"/>
      <c r="T95" s="198"/>
      <c r="U95" s="198"/>
    </row>
    <row r="96" spans="1:26" s="12" customFormat="1" x14ac:dyDescent="0.25">
      <c r="A96" s="215" t="s">
        <v>2929</v>
      </c>
      <c r="B96" s="64">
        <v>67.23</v>
      </c>
      <c r="C96" s="64">
        <v>56.97</v>
      </c>
      <c r="D96" s="64">
        <v>86</v>
      </c>
      <c r="E96" s="64">
        <v>2.31</v>
      </c>
      <c r="F96" s="64">
        <v>3.11</v>
      </c>
      <c r="G96" s="64">
        <v>33.729999999999997</v>
      </c>
      <c r="H96" s="64">
        <v>25.54</v>
      </c>
      <c r="I96" s="64">
        <v>1.4</v>
      </c>
      <c r="J96" s="64">
        <v>0.05</v>
      </c>
      <c r="K96" s="64">
        <v>85.6</v>
      </c>
      <c r="L96" s="64">
        <v>15.5</v>
      </c>
      <c r="M96" s="64">
        <v>98.05</v>
      </c>
      <c r="N96" s="64">
        <v>40.1</v>
      </c>
      <c r="O96" s="64">
        <v>0</v>
      </c>
      <c r="P96" s="64">
        <v>1.39</v>
      </c>
      <c r="Q96" s="64">
        <v>8.56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2930</v>
      </c>
      <c r="B97" s="64">
        <v>42.04</v>
      </c>
      <c r="C97" s="64">
        <v>53.18</v>
      </c>
      <c r="D97" s="64">
        <v>63.71</v>
      </c>
      <c r="E97" s="64">
        <v>2.31</v>
      </c>
      <c r="F97" s="64">
        <v>3.09</v>
      </c>
      <c r="G97" s="64">
        <v>35.049999999999997</v>
      </c>
      <c r="H97" s="64">
        <v>21.71</v>
      </c>
      <c r="I97" s="64">
        <v>1.53</v>
      </c>
      <c r="J97" s="64">
        <v>0.14000000000000001</v>
      </c>
      <c r="K97" s="64">
        <v>289.18</v>
      </c>
      <c r="L97" s="64">
        <v>15.61</v>
      </c>
      <c r="M97" s="64">
        <v>98.05</v>
      </c>
      <c r="N97" s="64">
        <v>39.9</v>
      </c>
      <c r="O97" s="64">
        <v>0</v>
      </c>
      <c r="P97" s="64">
        <v>1.39</v>
      </c>
      <c r="Q97" s="64">
        <v>8.7899999999999991</v>
      </c>
      <c r="R97" s="198"/>
      <c r="S97" s="198"/>
      <c r="T97" s="198"/>
      <c r="U97" s="198"/>
    </row>
    <row r="98" spans="1:33" s="12" customFormat="1" x14ac:dyDescent="0.25">
      <c r="A98" s="215" t="s">
        <v>2931</v>
      </c>
      <c r="B98" s="64">
        <v>62.51</v>
      </c>
      <c r="C98" s="64">
        <v>54.45</v>
      </c>
      <c r="D98" s="64">
        <v>80.819999999999993</v>
      </c>
      <c r="E98" s="64">
        <v>2.29</v>
      </c>
      <c r="F98" s="64">
        <v>3.16</v>
      </c>
      <c r="G98" s="64">
        <v>35.93</v>
      </c>
      <c r="H98" s="64">
        <v>20.78</v>
      </c>
      <c r="I98" s="64">
        <v>1.42</v>
      </c>
      <c r="J98" s="64">
        <v>0.4</v>
      </c>
      <c r="K98" s="64">
        <v>338.74</v>
      </c>
      <c r="L98" s="64">
        <v>15.69</v>
      </c>
      <c r="M98" s="64">
        <v>98.05</v>
      </c>
      <c r="N98" s="64">
        <v>39.9</v>
      </c>
      <c r="O98" s="64">
        <v>0</v>
      </c>
      <c r="P98" s="64">
        <v>1.4</v>
      </c>
      <c r="Q98" s="64">
        <v>8.8699999999999992</v>
      </c>
      <c r="R98" s="198"/>
      <c r="S98" s="198"/>
      <c r="T98" s="198"/>
      <c r="U98" s="198"/>
    </row>
    <row r="99" spans="1:33" s="12" customFormat="1" x14ac:dyDescent="0.25">
      <c r="A99" s="215" t="s">
        <v>2932</v>
      </c>
      <c r="B99" s="64">
        <v>54.08</v>
      </c>
      <c r="C99" s="64">
        <v>54.67</v>
      </c>
      <c r="D99" s="64">
        <v>74.180000000000007</v>
      </c>
      <c r="E99" s="64">
        <v>2.37</v>
      </c>
      <c r="F99" s="64">
        <v>3.06</v>
      </c>
      <c r="G99" s="64">
        <v>35.93</v>
      </c>
      <c r="H99" s="64">
        <v>20.78</v>
      </c>
      <c r="I99" s="64">
        <v>1.51</v>
      </c>
      <c r="J99" s="64">
        <v>0.81</v>
      </c>
      <c r="K99" s="64">
        <v>335.74</v>
      </c>
      <c r="L99" s="64">
        <v>15.88</v>
      </c>
      <c r="M99" s="64">
        <v>98.05</v>
      </c>
      <c r="N99" s="64">
        <v>40.200000000000003</v>
      </c>
      <c r="O99" s="64">
        <v>0</v>
      </c>
      <c r="P99" s="64">
        <v>1.42</v>
      </c>
      <c r="Q99" s="64">
        <v>8.99</v>
      </c>
      <c r="R99" s="198"/>
      <c r="S99" s="198"/>
      <c r="T99" s="198"/>
      <c r="U99" s="198"/>
    </row>
    <row r="100" spans="1:33" s="12" customFormat="1" x14ac:dyDescent="0.25">
      <c r="A100" s="215" t="s">
        <v>2933</v>
      </c>
      <c r="B100" s="64">
        <v>42.69</v>
      </c>
      <c r="C100" s="64">
        <v>53.2</v>
      </c>
      <c r="D100" s="64">
        <v>64.239999999999995</v>
      </c>
      <c r="E100" s="64">
        <v>2.37</v>
      </c>
      <c r="F100" s="64">
        <v>3.22</v>
      </c>
      <c r="G100" s="64">
        <v>35.93</v>
      </c>
      <c r="H100" s="64">
        <v>20.78</v>
      </c>
      <c r="I100" s="64">
        <v>1.47</v>
      </c>
      <c r="J100" s="64">
        <v>0.72</v>
      </c>
      <c r="K100" s="64">
        <v>330.45</v>
      </c>
      <c r="L100" s="64">
        <v>15.9</v>
      </c>
      <c r="M100" s="64">
        <v>98.05</v>
      </c>
      <c r="N100" s="64">
        <v>40.9</v>
      </c>
      <c r="O100" s="64">
        <v>0</v>
      </c>
      <c r="P100" s="64">
        <v>1.41</v>
      </c>
      <c r="Q100" s="64">
        <v>9.1300000000000008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2934</v>
      </c>
      <c r="B101" s="64">
        <v>31.74</v>
      </c>
      <c r="C101" s="64">
        <v>53.36</v>
      </c>
      <c r="D101" s="64">
        <v>55.55</v>
      </c>
      <c r="E101" s="64">
        <v>2.34</v>
      </c>
      <c r="F101" s="64">
        <v>2.99</v>
      </c>
      <c r="G101" s="64">
        <v>36.9</v>
      </c>
      <c r="H101" s="64">
        <v>29.98</v>
      </c>
      <c r="I101" s="64">
        <v>1.56</v>
      </c>
      <c r="J101" s="64">
        <v>0.91</v>
      </c>
      <c r="K101" s="64">
        <v>340.21</v>
      </c>
      <c r="L101" s="64">
        <v>15.79</v>
      </c>
      <c r="M101" s="64">
        <v>98.05</v>
      </c>
      <c r="N101" s="64">
        <v>40.6</v>
      </c>
      <c r="O101" s="64">
        <v>0</v>
      </c>
      <c r="P101" s="64">
        <v>1.4</v>
      </c>
      <c r="Q101" s="64">
        <v>9.17</v>
      </c>
      <c r="R101" s="198"/>
      <c r="S101" s="198"/>
      <c r="T101" s="198"/>
      <c r="U101" s="198"/>
    </row>
    <row r="102" spans="1:33" s="12" customFormat="1" x14ac:dyDescent="0.25">
      <c r="A102" s="215" t="s">
        <v>2935</v>
      </c>
      <c r="B102" s="64">
        <v>25.3</v>
      </c>
      <c r="C102" s="64">
        <v>50.19</v>
      </c>
      <c r="D102" s="64">
        <v>48.63</v>
      </c>
      <c r="E102" s="64">
        <v>2.41</v>
      </c>
      <c r="F102" s="64">
        <v>3.46</v>
      </c>
      <c r="G102" s="64">
        <v>37.549999999999997</v>
      </c>
      <c r="H102" s="64">
        <v>32.24</v>
      </c>
      <c r="I102" s="64">
        <v>1.52</v>
      </c>
      <c r="J102" s="64">
        <v>0.24</v>
      </c>
      <c r="K102" s="64">
        <v>328.45</v>
      </c>
      <c r="L102" s="64">
        <v>15.74</v>
      </c>
      <c r="M102" s="64">
        <v>98.05</v>
      </c>
      <c r="N102" s="64">
        <v>40.6</v>
      </c>
      <c r="O102" s="64">
        <v>0</v>
      </c>
      <c r="P102" s="64">
        <v>1.38</v>
      </c>
      <c r="Q102" s="64">
        <v>9.2100000000000009</v>
      </c>
      <c r="R102" s="198"/>
      <c r="S102" s="198"/>
      <c r="T102" s="198"/>
      <c r="U102" s="198"/>
    </row>
    <row r="103" spans="1:33" s="12" customFormat="1" x14ac:dyDescent="0.25">
      <c r="A103" s="215" t="s">
        <v>2936</v>
      </c>
      <c r="B103" s="64">
        <v>41.31</v>
      </c>
      <c r="C103" s="64">
        <v>51.34</v>
      </c>
      <c r="D103" s="64">
        <v>62.11</v>
      </c>
      <c r="E103" s="64">
        <v>2.42</v>
      </c>
      <c r="F103" s="64">
        <v>3.23</v>
      </c>
      <c r="G103" s="64">
        <v>37.549999999999997</v>
      </c>
      <c r="H103" s="64">
        <v>32.24</v>
      </c>
      <c r="I103" s="64">
        <v>1.49</v>
      </c>
      <c r="J103" s="64">
        <v>0.37</v>
      </c>
      <c r="K103" s="64">
        <v>330.47</v>
      </c>
      <c r="L103" s="64">
        <v>15.75</v>
      </c>
      <c r="M103" s="64">
        <v>98.05</v>
      </c>
      <c r="N103" s="64">
        <v>40.6</v>
      </c>
      <c r="O103" s="64">
        <v>0</v>
      </c>
      <c r="P103" s="64">
        <v>1.38</v>
      </c>
      <c r="Q103" s="64">
        <v>9.1300000000000008</v>
      </c>
      <c r="R103" s="198"/>
      <c r="S103" s="198"/>
      <c r="T103" s="198"/>
      <c r="U103" s="198"/>
    </row>
    <row r="104" spans="1:33" s="12" customFormat="1" x14ac:dyDescent="0.25">
      <c r="A104" s="215" t="s">
        <v>2937</v>
      </c>
      <c r="B104" s="64">
        <v>39.5</v>
      </c>
      <c r="C104" s="64">
        <v>49.45</v>
      </c>
      <c r="D104" s="64">
        <v>59.61</v>
      </c>
      <c r="E104" s="64">
        <v>2.2200000000000002</v>
      </c>
      <c r="F104" s="64">
        <v>3.1</v>
      </c>
      <c r="G104" s="64">
        <v>37.549999999999997</v>
      </c>
      <c r="H104" s="64">
        <v>32.24</v>
      </c>
      <c r="I104" s="64">
        <v>1.46</v>
      </c>
      <c r="J104" s="64">
        <v>0.28000000000000003</v>
      </c>
      <c r="K104" s="64">
        <v>324.77</v>
      </c>
      <c r="L104" s="64">
        <v>15.76</v>
      </c>
      <c r="M104" s="64">
        <v>98.05</v>
      </c>
      <c r="N104" s="64">
        <v>40.700000000000003</v>
      </c>
      <c r="O104" s="64">
        <v>0</v>
      </c>
      <c r="P104" s="64">
        <v>1.38</v>
      </c>
      <c r="Q104" s="64">
        <v>9.09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3.91</v>
      </c>
      <c r="C106" s="67">
        <f>MIN(C9:C104)</f>
        <v>33.130000000000003</v>
      </c>
      <c r="D106" s="67">
        <f t="shared" ref="D106:Q106" si="0">MIN(D9:D104)</f>
        <v>22.12</v>
      </c>
      <c r="E106" s="67">
        <f t="shared" si="0"/>
        <v>2.09</v>
      </c>
      <c r="F106" s="67">
        <f t="shared" si="0"/>
        <v>2.44</v>
      </c>
      <c r="G106" s="67">
        <f t="shared" si="0"/>
        <v>28.78</v>
      </c>
      <c r="H106" s="67">
        <f t="shared" si="0"/>
        <v>20.78</v>
      </c>
      <c r="I106" s="67">
        <f t="shared" si="0"/>
        <v>1.4</v>
      </c>
      <c r="J106" s="67">
        <f t="shared" si="0"/>
        <v>0.05</v>
      </c>
      <c r="K106" s="67">
        <f t="shared" si="0"/>
        <v>7.1</v>
      </c>
      <c r="L106" s="67">
        <f t="shared" si="0"/>
        <v>15.5</v>
      </c>
      <c r="M106" s="67">
        <f t="shared" si="0"/>
        <v>44.94</v>
      </c>
      <c r="N106" s="67">
        <f t="shared" si="0"/>
        <v>39.299999999999997</v>
      </c>
      <c r="O106" s="67">
        <f t="shared" si="0"/>
        <v>0</v>
      </c>
      <c r="P106" s="67">
        <f t="shared" si="0"/>
        <v>0.92</v>
      </c>
      <c r="Q106" s="67">
        <f t="shared" si="0"/>
        <v>5.92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82.88</v>
      </c>
      <c r="C107" s="66">
        <f t="shared" ref="C107:Q107" si="1">MAX(C9:C104)</f>
        <v>98.52</v>
      </c>
      <c r="D107" s="66">
        <f t="shared" si="1"/>
        <v>96.17</v>
      </c>
      <c r="E107" s="66">
        <f t="shared" si="1"/>
        <v>3.54</v>
      </c>
      <c r="F107" s="66">
        <f t="shared" si="1"/>
        <v>4.62</v>
      </c>
      <c r="G107" s="66">
        <f t="shared" si="1"/>
        <v>120.18</v>
      </c>
      <c r="H107" s="66">
        <f t="shared" si="1"/>
        <v>67.86</v>
      </c>
      <c r="I107" s="66">
        <f t="shared" si="1"/>
        <v>1.65</v>
      </c>
      <c r="J107" s="66">
        <f t="shared" si="1"/>
        <v>2.86</v>
      </c>
      <c r="K107" s="66">
        <f t="shared" si="1"/>
        <v>348.51</v>
      </c>
      <c r="L107" s="66">
        <f t="shared" si="1"/>
        <v>24.15</v>
      </c>
      <c r="M107" s="66">
        <f t="shared" si="1"/>
        <v>98.98</v>
      </c>
      <c r="N107" s="66">
        <f t="shared" si="1"/>
        <v>378.7</v>
      </c>
      <c r="O107" s="66">
        <f t="shared" si="1"/>
        <v>0.4</v>
      </c>
      <c r="P107" s="66">
        <f t="shared" si="1"/>
        <v>1.57</v>
      </c>
      <c r="Q107" s="66">
        <f t="shared" si="1"/>
        <v>9.2100000000000009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20.788020833333331</v>
      </c>
      <c r="C108" s="67">
        <f t="shared" ref="C108:Q108" si="2">AVERAGE(C9:C104)</f>
        <v>55.70187499999998</v>
      </c>
      <c r="D108" s="67">
        <f t="shared" si="2"/>
        <v>48.057187499999998</v>
      </c>
      <c r="E108" s="67">
        <f t="shared" si="2"/>
        <v>2.2913541666666664</v>
      </c>
      <c r="F108" s="67">
        <f t="shared" si="2"/>
        <v>3.3088541666666669</v>
      </c>
      <c r="G108" s="67">
        <f t="shared" si="2"/>
        <v>71.268645833333323</v>
      </c>
      <c r="H108" s="67">
        <f t="shared" si="2"/>
        <v>44.152395833333344</v>
      </c>
      <c r="I108" s="67">
        <f t="shared" si="2"/>
        <v>1.4991666666666668</v>
      </c>
      <c r="J108" s="67">
        <f t="shared" si="2"/>
        <v>0.70416666666666661</v>
      </c>
      <c r="K108" s="67">
        <f t="shared" si="2"/>
        <v>224.68656250000001</v>
      </c>
      <c r="L108" s="67">
        <f t="shared" si="2"/>
        <v>18.209791666666668</v>
      </c>
      <c r="M108" s="67">
        <f t="shared" si="2"/>
        <v>77.397187499999959</v>
      </c>
      <c r="N108" s="67">
        <f t="shared" si="2"/>
        <v>108.86562499999997</v>
      </c>
      <c r="O108" s="67">
        <f t="shared" si="2"/>
        <v>1.6666666666666666E-2</v>
      </c>
      <c r="P108" s="67">
        <f t="shared" si="2"/>
        <v>1.1669791666666667</v>
      </c>
      <c r="Q108" s="67">
        <f t="shared" si="2"/>
        <v>6.8316666666666643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18.063482651896084</v>
      </c>
      <c r="C109" s="67">
        <f t="shared" ref="C109:Q109" si="3">STDEV(C9:C104)</f>
        <v>14.840745357398983</v>
      </c>
      <c r="D109" s="67">
        <f t="shared" si="3"/>
        <v>17.275652334587161</v>
      </c>
      <c r="E109" s="67">
        <f t="shared" si="3"/>
        <v>0.14172337616242842</v>
      </c>
      <c r="F109" s="67">
        <f t="shared" si="3"/>
        <v>0.36378672118257405</v>
      </c>
      <c r="G109" s="67">
        <f t="shared" si="3"/>
        <v>26.910161047838685</v>
      </c>
      <c r="H109" s="67">
        <f t="shared" si="3"/>
        <v>12.712286865763154</v>
      </c>
      <c r="I109" s="67">
        <f t="shared" si="3"/>
        <v>4.3496319666856915E-2</v>
      </c>
      <c r="J109" s="67">
        <f t="shared" si="3"/>
        <v>0.69869000228874445</v>
      </c>
      <c r="K109" s="67">
        <f t="shared" si="3"/>
        <v>128.03770529215311</v>
      </c>
      <c r="L109" s="67">
        <f t="shared" si="3"/>
        <v>2.7404563504591524</v>
      </c>
      <c r="M109" s="67">
        <f t="shared" si="3"/>
        <v>18.589102166995662</v>
      </c>
      <c r="N109" s="67">
        <f t="shared" si="3"/>
        <v>106.53789523784724</v>
      </c>
      <c r="O109" s="67">
        <f t="shared" si="3"/>
        <v>6.2688312797550313E-2</v>
      </c>
      <c r="P109" s="67">
        <f t="shared" si="3"/>
        <v>0.15415043774229334</v>
      </c>
      <c r="Q109" s="67">
        <f t="shared" si="3"/>
        <v>0.85969231542046709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2938</v>
      </c>
      <c r="B9" s="64">
        <v>33.46</v>
      </c>
      <c r="C9" s="64">
        <v>50.25</v>
      </c>
      <c r="D9" s="64">
        <v>55.21</v>
      </c>
      <c r="E9" s="64">
        <v>2.27</v>
      </c>
      <c r="F9" s="64">
        <v>2.91</v>
      </c>
      <c r="G9" s="64">
        <v>48.15</v>
      </c>
      <c r="H9" s="64">
        <v>38.42</v>
      </c>
      <c r="I9" s="64">
        <v>1.46</v>
      </c>
      <c r="J9" s="64">
        <v>0.61</v>
      </c>
      <c r="K9" s="64">
        <v>334.3</v>
      </c>
      <c r="L9" s="64">
        <v>15.79</v>
      </c>
      <c r="M9" s="64">
        <v>98.05</v>
      </c>
      <c r="N9" s="64">
        <v>41.2</v>
      </c>
      <c r="O9" s="64">
        <v>0</v>
      </c>
      <c r="P9" s="64">
        <v>1.37</v>
      </c>
      <c r="Q9" s="64">
        <v>9.1199999999999992</v>
      </c>
      <c r="R9" s="198"/>
      <c r="S9" s="198"/>
      <c r="T9" s="198"/>
      <c r="U9" s="198"/>
    </row>
    <row r="10" spans="1:21" s="12" customFormat="1" x14ac:dyDescent="0.25">
      <c r="A10" s="215" t="s">
        <v>2939</v>
      </c>
      <c r="B10" s="64">
        <v>24.75</v>
      </c>
      <c r="C10" s="64">
        <v>47.59</v>
      </c>
      <c r="D10" s="64">
        <v>46.76</v>
      </c>
      <c r="E10" s="64">
        <v>2.3199999999999998</v>
      </c>
      <c r="F10" s="64">
        <v>2.4700000000000002</v>
      </c>
      <c r="G10" s="64">
        <v>55.21</v>
      </c>
      <c r="H10" s="64">
        <v>39.909999999999997</v>
      </c>
      <c r="I10" s="64">
        <v>1.63</v>
      </c>
      <c r="J10" s="64">
        <v>0.52</v>
      </c>
      <c r="K10" s="64">
        <v>337.44</v>
      </c>
      <c r="L10" s="64">
        <v>15.69</v>
      </c>
      <c r="M10" s="64">
        <v>98.05</v>
      </c>
      <c r="N10" s="64">
        <v>41.4</v>
      </c>
      <c r="O10" s="64">
        <v>0</v>
      </c>
      <c r="P10" s="64">
        <v>1.35</v>
      </c>
      <c r="Q10" s="64">
        <v>9.2200000000000006</v>
      </c>
      <c r="R10" s="198"/>
      <c r="S10" s="198"/>
      <c r="T10" s="198"/>
      <c r="U10" s="198"/>
    </row>
    <row r="11" spans="1:21" s="12" customFormat="1" x14ac:dyDescent="0.25">
      <c r="A11" s="215" t="s">
        <v>2940</v>
      </c>
      <c r="B11" s="64">
        <v>30.04</v>
      </c>
      <c r="C11" s="64">
        <v>44.89</v>
      </c>
      <c r="D11" s="64">
        <v>49.51</v>
      </c>
      <c r="E11" s="64">
        <v>2.25</v>
      </c>
      <c r="F11" s="64">
        <v>2.96</v>
      </c>
      <c r="G11" s="64">
        <v>55.21</v>
      </c>
      <c r="H11" s="64">
        <v>39.909999999999997</v>
      </c>
      <c r="I11" s="64">
        <v>1.56</v>
      </c>
      <c r="J11" s="64">
        <v>0.14000000000000001</v>
      </c>
      <c r="K11" s="64">
        <v>332.64</v>
      </c>
      <c r="L11" s="64">
        <v>15.57</v>
      </c>
      <c r="M11" s="64">
        <v>98.05</v>
      </c>
      <c r="N11" s="64">
        <v>41.3</v>
      </c>
      <c r="O11" s="64">
        <v>0</v>
      </c>
      <c r="P11" s="64">
        <v>1.33</v>
      </c>
      <c r="Q11" s="64">
        <v>9.11</v>
      </c>
      <c r="R11" s="198"/>
      <c r="S11" s="198"/>
      <c r="T11" s="198"/>
      <c r="U11" s="198"/>
    </row>
    <row r="12" spans="1:21" s="12" customFormat="1" x14ac:dyDescent="0.25">
      <c r="A12" s="215" t="s">
        <v>2941</v>
      </c>
      <c r="B12" s="64">
        <v>26.99</v>
      </c>
      <c r="C12" s="64">
        <v>47.2</v>
      </c>
      <c r="D12" s="64">
        <v>48.34</v>
      </c>
      <c r="E12" s="64">
        <v>2.2400000000000002</v>
      </c>
      <c r="F12" s="64">
        <v>3.14</v>
      </c>
      <c r="G12" s="64">
        <v>55.21</v>
      </c>
      <c r="H12" s="64">
        <v>39.909999999999997</v>
      </c>
      <c r="I12" s="64">
        <v>1.51</v>
      </c>
      <c r="J12" s="64">
        <v>0.57999999999999996</v>
      </c>
      <c r="K12" s="64">
        <v>330.45</v>
      </c>
      <c r="L12" s="64">
        <v>15.56</v>
      </c>
      <c r="M12" s="64">
        <v>98.05</v>
      </c>
      <c r="N12" s="64">
        <v>41.1</v>
      </c>
      <c r="O12" s="64">
        <v>0</v>
      </c>
      <c r="P12" s="64">
        <v>1.32</v>
      </c>
      <c r="Q12" s="64">
        <v>8.9700000000000006</v>
      </c>
      <c r="R12" s="198"/>
      <c r="S12" s="198"/>
      <c r="T12" s="198"/>
      <c r="U12" s="198"/>
    </row>
    <row r="13" spans="1:21" s="12" customFormat="1" x14ac:dyDescent="0.25">
      <c r="A13" s="215" t="s">
        <v>2942</v>
      </c>
      <c r="B13" s="64">
        <v>29.04</v>
      </c>
      <c r="C13" s="64">
        <v>48.7</v>
      </c>
      <c r="D13" s="64">
        <v>50.81</v>
      </c>
      <c r="E13" s="64">
        <v>2.2599999999999998</v>
      </c>
      <c r="F13" s="64">
        <v>2.82</v>
      </c>
      <c r="G13" s="64">
        <v>68.33</v>
      </c>
      <c r="H13" s="64">
        <v>49.9</v>
      </c>
      <c r="I13" s="64">
        <v>1.38</v>
      </c>
      <c r="J13" s="64">
        <v>0.57999999999999996</v>
      </c>
      <c r="K13" s="64">
        <v>344.2</v>
      </c>
      <c r="L13" s="64">
        <v>15.62</v>
      </c>
      <c r="M13" s="64">
        <v>98.05</v>
      </c>
      <c r="N13" s="64">
        <v>41.1</v>
      </c>
      <c r="O13" s="64">
        <v>0</v>
      </c>
      <c r="P13" s="64">
        <v>1.1299999999999999</v>
      </c>
      <c r="Q13" s="64">
        <v>8.83</v>
      </c>
      <c r="R13" s="198"/>
      <c r="S13" s="198"/>
      <c r="T13" s="198"/>
      <c r="U13" s="198"/>
    </row>
    <row r="14" spans="1:21" s="12" customFormat="1" x14ac:dyDescent="0.25">
      <c r="A14" s="215" t="s">
        <v>2943</v>
      </c>
      <c r="B14" s="64">
        <v>30.58</v>
      </c>
      <c r="C14" s="64">
        <v>46.57</v>
      </c>
      <c r="D14" s="64">
        <v>50.87</v>
      </c>
      <c r="E14" s="64">
        <v>2.29</v>
      </c>
      <c r="F14" s="64">
        <v>3.11</v>
      </c>
      <c r="G14" s="64">
        <v>77.08</v>
      </c>
      <c r="H14" s="64">
        <v>54.72</v>
      </c>
      <c r="I14" s="64">
        <v>1.47</v>
      </c>
      <c r="J14" s="64">
        <v>0.86</v>
      </c>
      <c r="K14" s="64">
        <v>344.33</v>
      </c>
      <c r="L14" s="64">
        <v>15.63</v>
      </c>
      <c r="M14" s="64">
        <v>98.05</v>
      </c>
      <c r="N14" s="64">
        <v>41.2</v>
      </c>
      <c r="O14" s="64">
        <v>0</v>
      </c>
      <c r="P14" s="64">
        <v>1.18</v>
      </c>
      <c r="Q14" s="64">
        <v>8.7799999999999994</v>
      </c>
      <c r="R14" s="198"/>
      <c r="S14" s="198"/>
      <c r="T14" s="198"/>
      <c r="U14" s="198"/>
    </row>
    <row r="15" spans="1:21" s="12" customFormat="1" x14ac:dyDescent="0.25">
      <c r="A15" s="215" t="s">
        <v>2944</v>
      </c>
      <c r="B15" s="64">
        <v>32.46</v>
      </c>
      <c r="C15" s="64">
        <v>48.17</v>
      </c>
      <c r="D15" s="64">
        <v>53.26</v>
      </c>
      <c r="E15" s="64">
        <v>2.2599999999999998</v>
      </c>
      <c r="F15" s="64">
        <v>2.75</v>
      </c>
      <c r="G15" s="64">
        <v>77.08</v>
      </c>
      <c r="H15" s="64">
        <v>54.72</v>
      </c>
      <c r="I15" s="64">
        <v>1.46</v>
      </c>
      <c r="J15" s="64">
        <v>1.02</v>
      </c>
      <c r="K15" s="64">
        <v>348.48</v>
      </c>
      <c r="L15" s="64">
        <v>15.65</v>
      </c>
      <c r="M15" s="64">
        <v>98.06</v>
      </c>
      <c r="N15" s="64">
        <v>41.4</v>
      </c>
      <c r="O15" s="64">
        <v>0</v>
      </c>
      <c r="P15" s="64">
        <v>1.21</v>
      </c>
      <c r="Q15" s="64">
        <v>8.76</v>
      </c>
      <c r="R15" s="198"/>
      <c r="S15" s="198"/>
      <c r="T15" s="198"/>
      <c r="U15" s="198"/>
    </row>
    <row r="16" spans="1:21" s="12" customFormat="1" x14ac:dyDescent="0.25">
      <c r="A16" s="215" t="s">
        <v>2945</v>
      </c>
      <c r="B16" s="64">
        <v>45.03</v>
      </c>
      <c r="C16" s="64">
        <v>53.49</v>
      </c>
      <c r="D16" s="64">
        <v>66.27</v>
      </c>
      <c r="E16" s="64">
        <v>2.2799999999999998</v>
      </c>
      <c r="F16" s="64">
        <v>3.04</v>
      </c>
      <c r="G16" s="64">
        <v>77.08</v>
      </c>
      <c r="H16" s="64">
        <v>54.72</v>
      </c>
      <c r="I16" s="64">
        <v>1.48</v>
      </c>
      <c r="J16" s="64">
        <v>1.32</v>
      </c>
      <c r="K16" s="64">
        <v>343.47</v>
      </c>
      <c r="L16" s="64">
        <v>15.63</v>
      </c>
      <c r="M16" s="64">
        <v>98.06</v>
      </c>
      <c r="N16" s="64">
        <v>41.6</v>
      </c>
      <c r="O16" s="64">
        <v>0</v>
      </c>
      <c r="P16" s="64">
        <v>1.21</v>
      </c>
      <c r="Q16" s="64">
        <v>8.76</v>
      </c>
      <c r="R16" s="198"/>
      <c r="S16" s="198"/>
      <c r="T16" s="198"/>
      <c r="U16" s="198"/>
    </row>
    <row r="17" spans="1:21" s="12" customFormat="1" x14ac:dyDescent="0.25">
      <c r="A17" s="215" t="s">
        <v>2946</v>
      </c>
      <c r="B17" s="64">
        <v>38.76</v>
      </c>
      <c r="C17" s="64">
        <v>54.71</v>
      </c>
      <c r="D17" s="64">
        <v>61.92</v>
      </c>
      <c r="E17" s="64">
        <v>2.2799999999999998</v>
      </c>
      <c r="F17" s="64">
        <v>3.25</v>
      </c>
      <c r="G17" s="64">
        <v>131.41</v>
      </c>
      <c r="H17" s="64">
        <v>73.239999999999995</v>
      </c>
      <c r="I17" s="64">
        <v>1.42</v>
      </c>
      <c r="J17" s="64">
        <v>0.95</v>
      </c>
      <c r="K17" s="64">
        <v>344.56</v>
      </c>
      <c r="L17" s="64">
        <v>15.57</v>
      </c>
      <c r="M17" s="64">
        <v>98.06</v>
      </c>
      <c r="N17" s="64">
        <v>41.7</v>
      </c>
      <c r="O17" s="64">
        <v>0</v>
      </c>
      <c r="P17" s="64">
        <v>1.22</v>
      </c>
      <c r="Q17" s="64">
        <v>8.8000000000000007</v>
      </c>
      <c r="R17" s="198"/>
      <c r="S17" s="198"/>
      <c r="T17" s="198"/>
      <c r="U17" s="198"/>
    </row>
    <row r="18" spans="1:21" s="12" customFormat="1" x14ac:dyDescent="0.25">
      <c r="A18" s="215" t="s">
        <v>2947</v>
      </c>
      <c r="B18" s="64">
        <v>10.46</v>
      </c>
      <c r="C18" s="64">
        <v>45.72</v>
      </c>
      <c r="D18" s="64">
        <v>34.270000000000003</v>
      </c>
      <c r="E18" s="64">
        <v>2.2799999999999998</v>
      </c>
      <c r="F18" s="64">
        <v>2.94</v>
      </c>
      <c r="G18" s="64">
        <v>167.63</v>
      </c>
      <c r="H18" s="64">
        <v>77.78</v>
      </c>
      <c r="I18" s="64">
        <v>1.39</v>
      </c>
      <c r="J18" s="64">
        <v>1.34</v>
      </c>
      <c r="K18" s="64">
        <v>343.73</v>
      </c>
      <c r="L18" s="64">
        <v>15.5</v>
      </c>
      <c r="M18" s="64">
        <v>98.07</v>
      </c>
      <c r="N18" s="64">
        <v>41.8</v>
      </c>
      <c r="O18" s="64">
        <v>0</v>
      </c>
      <c r="P18" s="64">
        <v>1.17</v>
      </c>
      <c r="Q18" s="64">
        <v>8.86</v>
      </c>
      <c r="R18" s="198"/>
      <c r="S18" s="198"/>
      <c r="T18" s="198"/>
      <c r="U18" s="198"/>
    </row>
    <row r="19" spans="1:21" s="12" customFormat="1" x14ac:dyDescent="0.25">
      <c r="A19" s="215" t="s">
        <v>2948</v>
      </c>
      <c r="B19" s="64">
        <v>15.15</v>
      </c>
      <c r="C19" s="64">
        <v>52.92</v>
      </c>
      <c r="D19" s="64">
        <v>42</v>
      </c>
      <c r="E19" s="64">
        <v>2.3199999999999998</v>
      </c>
      <c r="F19" s="64">
        <v>2.75</v>
      </c>
      <c r="G19" s="64">
        <v>167.63</v>
      </c>
      <c r="H19" s="64">
        <v>77.78</v>
      </c>
      <c r="I19" s="64">
        <v>1.46</v>
      </c>
      <c r="J19" s="64">
        <v>0.97</v>
      </c>
      <c r="K19" s="64">
        <v>347.38</v>
      </c>
      <c r="L19" s="64">
        <v>15.5</v>
      </c>
      <c r="M19" s="64">
        <v>98.07</v>
      </c>
      <c r="N19" s="64">
        <v>41.8</v>
      </c>
      <c r="O19" s="64">
        <v>0</v>
      </c>
      <c r="P19" s="64">
        <v>1.1299999999999999</v>
      </c>
      <c r="Q19" s="64">
        <v>8.81</v>
      </c>
      <c r="R19" s="198"/>
      <c r="S19" s="198"/>
      <c r="T19" s="198"/>
      <c r="U19" s="198"/>
    </row>
    <row r="20" spans="1:21" s="12" customFormat="1" x14ac:dyDescent="0.25">
      <c r="A20" s="215" t="s">
        <v>2949</v>
      </c>
      <c r="B20" s="64">
        <v>22.32</v>
      </c>
      <c r="C20" s="64">
        <v>50.68</v>
      </c>
      <c r="D20" s="64">
        <v>46.51</v>
      </c>
      <c r="E20" s="64">
        <v>2.2200000000000002</v>
      </c>
      <c r="F20" s="64">
        <v>3.01</v>
      </c>
      <c r="G20" s="64">
        <v>167.63</v>
      </c>
      <c r="H20" s="64">
        <v>77.78</v>
      </c>
      <c r="I20" s="64">
        <v>1.45</v>
      </c>
      <c r="J20" s="64">
        <v>0.88</v>
      </c>
      <c r="K20" s="64">
        <v>347.91</v>
      </c>
      <c r="L20" s="64">
        <v>15.5</v>
      </c>
      <c r="M20" s="64">
        <v>98.08</v>
      </c>
      <c r="N20" s="64">
        <v>41.9</v>
      </c>
      <c r="O20" s="64">
        <v>0</v>
      </c>
      <c r="P20" s="64">
        <v>1.1000000000000001</v>
      </c>
      <c r="Q20" s="64">
        <v>8.65</v>
      </c>
      <c r="R20" s="198"/>
      <c r="S20" s="198"/>
      <c r="T20" s="198"/>
      <c r="U20" s="198"/>
    </row>
    <row r="21" spans="1:21" s="12" customFormat="1" x14ac:dyDescent="0.25">
      <c r="A21" s="215" t="s">
        <v>2950</v>
      </c>
      <c r="B21" s="64">
        <v>33.97</v>
      </c>
      <c r="C21" s="64">
        <v>45.62</v>
      </c>
      <c r="D21" s="64">
        <v>53.07</v>
      </c>
      <c r="E21" s="64">
        <v>2.2400000000000002</v>
      </c>
      <c r="F21" s="64">
        <v>3.49</v>
      </c>
      <c r="G21" s="64">
        <v>125</v>
      </c>
      <c r="H21" s="64">
        <v>63.83</v>
      </c>
      <c r="I21" s="64">
        <v>1.53</v>
      </c>
      <c r="J21" s="64">
        <v>0.39</v>
      </c>
      <c r="K21" s="64">
        <v>351.71</v>
      </c>
      <c r="L21" s="64">
        <v>15.5</v>
      </c>
      <c r="M21" s="64">
        <v>98.08</v>
      </c>
      <c r="N21" s="64">
        <v>41.5</v>
      </c>
      <c r="O21" s="64">
        <v>0</v>
      </c>
      <c r="P21" s="64">
        <v>1.08</v>
      </c>
      <c r="Q21" s="64">
        <v>8.5299999999999994</v>
      </c>
      <c r="R21" s="198"/>
      <c r="S21" s="198"/>
      <c r="T21" s="198"/>
      <c r="U21" s="198"/>
    </row>
    <row r="22" spans="1:21" s="12" customFormat="1" x14ac:dyDescent="0.25">
      <c r="A22" s="215" t="s">
        <v>2951</v>
      </c>
      <c r="B22" s="64">
        <v>43.09</v>
      </c>
      <c r="C22" s="64">
        <v>43.25</v>
      </c>
      <c r="D22" s="64">
        <v>59.07</v>
      </c>
      <c r="E22" s="64">
        <v>2.2400000000000002</v>
      </c>
      <c r="F22" s="64">
        <v>2.96</v>
      </c>
      <c r="G22" s="64">
        <v>96.57</v>
      </c>
      <c r="H22" s="64">
        <v>60.14</v>
      </c>
      <c r="I22" s="64">
        <v>1.52</v>
      </c>
      <c r="J22" s="64">
        <v>0.15</v>
      </c>
      <c r="K22" s="64">
        <v>13.16</v>
      </c>
      <c r="L22" s="64">
        <v>15.4</v>
      </c>
      <c r="M22" s="64">
        <v>98.08</v>
      </c>
      <c r="N22" s="64">
        <v>41.8</v>
      </c>
      <c r="O22" s="64">
        <v>0</v>
      </c>
      <c r="P22" s="64">
        <v>1.07</v>
      </c>
      <c r="Q22" s="64">
        <v>8.51</v>
      </c>
      <c r="R22" s="198"/>
      <c r="S22" s="198"/>
      <c r="T22" s="198"/>
      <c r="U22" s="198"/>
    </row>
    <row r="23" spans="1:21" s="12" customFormat="1" x14ac:dyDescent="0.25">
      <c r="A23" s="215" t="s">
        <v>2952</v>
      </c>
      <c r="B23" s="64">
        <v>45.54</v>
      </c>
      <c r="C23" s="64">
        <v>45.84</v>
      </c>
      <c r="D23" s="64">
        <v>62.46</v>
      </c>
      <c r="E23" s="64">
        <v>2.2799999999999998</v>
      </c>
      <c r="F23" s="64">
        <v>2.9</v>
      </c>
      <c r="G23" s="64">
        <v>96.57</v>
      </c>
      <c r="H23" s="64">
        <v>60.14</v>
      </c>
      <c r="I23" s="64">
        <v>1.61</v>
      </c>
      <c r="J23" s="64">
        <v>0.37</v>
      </c>
      <c r="K23" s="64">
        <v>346.81</v>
      </c>
      <c r="L23" s="64">
        <v>15.37</v>
      </c>
      <c r="M23" s="64">
        <v>98.08</v>
      </c>
      <c r="N23" s="64">
        <v>41.8</v>
      </c>
      <c r="O23" s="64">
        <v>0</v>
      </c>
      <c r="P23" s="64">
        <v>1.08</v>
      </c>
      <c r="Q23" s="64">
        <v>8.52</v>
      </c>
      <c r="R23" s="198"/>
      <c r="S23" s="198"/>
      <c r="T23" s="198"/>
      <c r="U23" s="198"/>
    </row>
    <row r="24" spans="1:21" s="12" customFormat="1" x14ac:dyDescent="0.25">
      <c r="A24" s="215" t="s">
        <v>2953</v>
      </c>
      <c r="B24" s="64">
        <v>41.75</v>
      </c>
      <c r="C24" s="64">
        <v>52.61</v>
      </c>
      <c r="D24" s="64">
        <v>63.16</v>
      </c>
      <c r="E24" s="64">
        <v>2.2000000000000002</v>
      </c>
      <c r="F24" s="64">
        <v>2.74</v>
      </c>
      <c r="G24" s="64">
        <v>96.57</v>
      </c>
      <c r="H24" s="64">
        <v>60.14</v>
      </c>
      <c r="I24" s="64">
        <v>1.48</v>
      </c>
      <c r="J24" s="64">
        <v>0.72</v>
      </c>
      <c r="K24" s="64">
        <v>344.25</v>
      </c>
      <c r="L24" s="64">
        <v>15.33</v>
      </c>
      <c r="M24" s="64">
        <v>98.08</v>
      </c>
      <c r="N24" s="64">
        <v>42.1</v>
      </c>
      <c r="O24" s="64">
        <v>0</v>
      </c>
      <c r="P24" s="64">
        <v>1.0900000000000001</v>
      </c>
      <c r="Q24" s="64">
        <v>8.6</v>
      </c>
      <c r="R24" s="198"/>
      <c r="S24" s="198"/>
      <c r="T24" s="198"/>
      <c r="U24" s="198"/>
    </row>
    <row r="25" spans="1:21" s="12" customFormat="1" x14ac:dyDescent="0.25">
      <c r="A25" s="215" t="s">
        <v>2954</v>
      </c>
      <c r="B25" s="64">
        <v>33.909999999999997</v>
      </c>
      <c r="C25" s="64">
        <v>53.47</v>
      </c>
      <c r="D25" s="64">
        <v>57.35</v>
      </c>
      <c r="E25" s="64">
        <v>2.29</v>
      </c>
      <c r="F25" s="64">
        <v>2.72</v>
      </c>
      <c r="G25" s="64">
        <v>110.92</v>
      </c>
      <c r="H25" s="64">
        <v>62.1</v>
      </c>
      <c r="I25" s="64">
        <v>1.52</v>
      </c>
      <c r="J25" s="64">
        <v>0.66</v>
      </c>
      <c r="K25" s="64">
        <v>347.05</v>
      </c>
      <c r="L25" s="64">
        <v>15.27</v>
      </c>
      <c r="M25" s="64">
        <v>98.08</v>
      </c>
      <c r="N25" s="64">
        <v>41.9</v>
      </c>
      <c r="O25" s="64">
        <v>0</v>
      </c>
      <c r="P25" s="64">
        <v>1.1000000000000001</v>
      </c>
      <c r="Q25" s="64">
        <v>8.59</v>
      </c>
      <c r="R25" s="198"/>
      <c r="S25" s="198"/>
      <c r="T25" s="198"/>
      <c r="U25" s="198"/>
    </row>
    <row r="26" spans="1:21" s="12" customFormat="1" x14ac:dyDescent="0.25">
      <c r="A26" s="215" t="s">
        <v>2955</v>
      </c>
      <c r="B26" s="64">
        <v>37.35</v>
      </c>
      <c r="C26" s="64">
        <v>52.28</v>
      </c>
      <c r="D26" s="64">
        <v>59.45</v>
      </c>
      <c r="E26" s="64">
        <v>2.33</v>
      </c>
      <c r="F26" s="64">
        <v>2.84</v>
      </c>
      <c r="G26" s="64">
        <v>120.48</v>
      </c>
      <c r="H26" s="64">
        <v>62.62</v>
      </c>
      <c r="I26" s="64">
        <v>1.44</v>
      </c>
      <c r="J26" s="64">
        <v>0.19</v>
      </c>
      <c r="K26" s="64">
        <v>356.17</v>
      </c>
      <c r="L26" s="64">
        <v>15.24</v>
      </c>
      <c r="M26" s="64">
        <v>98.08</v>
      </c>
      <c r="N26" s="64">
        <v>41.6</v>
      </c>
      <c r="O26" s="64">
        <v>0</v>
      </c>
      <c r="P26" s="64">
        <v>1.1200000000000001</v>
      </c>
      <c r="Q26" s="64">
        <v>8.67</v>
      </c>
      <c r="R26" s="198"/>
      <c r="S26" s="198"/>
      <c r="T26" s="198"/>
      <c r="U26" s="198"/>
    </row>
    <row r="27" spans="1:21" s="12" customFormat="1" x14ac:dyDescent="0.25">
      <c r="A27" s="215" t="s">
        <v>2956</v>
      </c>
      <c r="B27" s="64">
        <v>31.12</v>
      </c>
      <c r="C27" s="64">
        <v>49.87</v>
      </c>
      <c r="D27" s="64">
        <v>53.12</v>
      </c>
      <c r="E27" s="64">
        <v>2.29</v>
      </c>
      <c r="F27" s="64">
        <v>2.84</v>
      </c>
      <c r="G27" s="64">
        <v>120.48</v>
      </c>
      <c r="H27" s="64">
        <v>62.62</v>
      </c>
      <c r="I27" s="64">
        <v>1.56</v>
      </c>
      <c r="J27" s="64">
        <v>0.38</v>
      </c>
      <c r="K27" s="64">
        <v>338.82</v>
      </c>
      <c r="L27" s="64">
        <v>15.21</v>
      </c>
      <c r="M27" s="64">
        <v>98.1</v>
      </c>
      <c r="N27" s="64">
        <v>41.7</v>
      </c>
      <c r="O27" s="64">
        <v>0</v>
      </c>
      <c r="P27" s="64">
        <v>1.1399999999999999</v>
      </c>
      <c r="Q27" s="64">
        <v>8.7200000000000006</v>
      </c>
      <c r="R27" s="198"/>
      <c r="S27" s="198"/>
      <c r="T27" s="198"/>
      <c r="U27" s="198"/>
    </row>
    <row r="28" spans="1:21" s="12" customFormat="1" x14ac:dyDescent="0.25">
      <c r="A28" s="215" t="s">
        <v>2957</v>
      </c>
      <c r="B28" s="64">
        <v>34.18</v>
      </c>
      <c r="C28" s="64">
        <v>51.12</v>
      </c>
      <c r="D28" s="64">
        <v>56.27</v>
      </c>
      <c r="E28" s="64">
        <v>2.21</v>
      </c>
      <c r="F28" s="64">
        <v>3.05</v>
      </c>
      <c r="G28" s="64">
        <v>120.48</v>
      </c>
      <c r="H28" s="64">
        <v>62.62</v>
      </c>
      <c r="I28" s="64">
        <v>1.44</v>
      </c>
      <c r="J28" s="64">
        <v>0.85</v>
      </c>
      <c r="K28" s="64">
        <v>347.51</v>
      </c>
      <c r="L28" s="64">
        <v>15.24</v>
      </c>
      <c r="M28" s="64">
        <v>98.1</v>
      </c>
      <c r="N28" s="64">
        <v>42.1</v>
      </c>
      <c r="O28" s="64">
        <v>0</v>
      </c>
      <c r="P28" s="64">
        <v>1.1299999999999999</v>
      </c>
      <c r="Q28" s="64">
        <v>8.73</v>
      </c>
      <c r="R28" s="198"/>
      <c r="S28" s="198"/>
      <c r="T28" s="198"/>
      <c r="U28" s="198"/>
    </row>
    <row r="29" spans="1:21" s="12" customFormat="1" x14ac:dyDescent="0.25">
      <c r="A29" s="215" t="s">
        <v>2958</v>
      </c>
      <c r="B29" s="64">
        <v>48.11</v>
      </c>
      <c r="C29" s="64">
        <v>52.53</v>
      </c>
      <c r="D29" s="64">
        <v>68.22</v>
      </c>
      <c r="E29" s="64">
        <v>2.2999999999999998</v>
      </c>
      <c r="F29" s="64">
        <v>3.19</v>
      </c>
      <c r="G29" s="64">
        <v>103.88</v>
      </c>
      <c r="H29" s="64">
        <v>53.35</v>
      </c>
      <c r="I29" s="64">
        <v>1.51</v>
      </c>
      <c r="J29" s="64">
        <v>0.68</v>
      </c>
      <c r="K29" s="64">
        <v>346.73</v>
      </c>
      <c r="L29" s="64">
        <v>15.27</v>
      </c>
      <c r="M29" s="64">
        <v>98.1</v>
      </c>
      <c r="N29" s="64">
        <v>42</v>
      </c>
      <c r="O29" s="64">
        <v>0</v>
      </c>
      <c r="P29" s="64">
        <v>1.1100000000000001</v>
      </c>
      <c r="Q29" s="64">
        <v>8.73</v>
      </c>
      <c r="R29" s="198"/>
      <c r="S29" s="198"/>
      <c r="T29" s="198"/>
      <c r="U29" s="198"/>
    </row>
    <row r="30" spans="1:21" s="12" customFormat="1" x14ac:dyDescent="0.25">
      <c r="A30" s="215" t="s">
        <v>2959</v>
      </c>
      <c r="B30" s="64">
        <v>33.65</v>
      </c>
      <c r="C30" s="64">
        <v>51.77</v>
      </c>
      <c r="D30" s="64">
        <v>56.2</v>
      </c>
      <c r="E30" s="64">
        <v>2.2999999999999998</v>
      </c>
      <c r="F30" s="64">
        <v>3.14</v>
      </c>
      <c r="G30" s="64">
        <v>92.82</v>
      </c>
      <c r="H30" s="64">
        <v>49.33</v>
      </c>
      <c r="I30" s="64">
        <v>1.56</v>
      </c>
      <c r="J30" s="64">
        <v>0.99</v>
      </c>
      <c r="K30" s="64">
        <v>346.5</v>
      </c>
      <c r="L30" s="64">
        <v>15.28</v>
      </c>
      <c r="M30" s="64">
        <v>98.1</v>
      </c>
      <c r="N30" s="64">
        <v>42.2</v>
      </c>
      <c r="O30" s="64">
        <v>0</v>
      </c>
      <c r="P30" s="64">
        <v>1.1000000000000001</v>
      </c>
      <c r="Q30" s="64">
        <v>8.7899999999999991</v>
      </c>
      <c r="R30" s="198"/>
      <c r="S30" s="198"/>
      <c r="T30" s="198"/>
      <c r="U30" s="198"/>
    </row>
    <row r="31" spans="1:21" s="12" customFormat="1" x14ac:dyDescent="0.25">
      <c r="A31" s="215" t="s">
        <v>2960</v>
      </c>
      <c r="B31" s="64">
        <v>29.12</v>
      </c>
      <c r="C31" s="64">
        <v>51.62</v>
      </c>
      <c r="D31" s="64">
        <v>52.49</v>
      </c>
      <c r="E31" s="64">
        <v>2.31</v>
      </c>
      <c r="F31" s="64">
        <v>3.16</v>
      </c>
      <c r="G31" s="64">
        <v>92.82</v>
      </c>
      <c r="H31" s="64">
        <v>49.33</v>
      </c>
      <c r="I31" s="64">
        <v>1.43</v>
      </c>
      <c r="J31" s="64">
        <v>0.82</v>
      </c>
      <c r="K31" s="64">
        <v>345.15</v>
      </c>
      <c r="L31" s="64">
        <v>15.25</v>
      </c>
      <c r="M31" s="64">
        <v>98.1</v>
      </c>
      <c r="N31" s="64">
        <v>42.4</v>
      </c>
      <c r="O31" s="64">
        <v>0</v>
      </c>
      <c r="P31" s="64">
        <v>1.07</v>
      </c>
      <c r="Q31" s="64">
        <v>8.84</v>
      </c>
      <c r="R31" s="198"/>
      <c r="S31" s="198"/>
      <c r="T31" s="198"/>
      <c r="U31" s="198"/>
    </row>
    <row r="32" spans="1:21" s="12" customFormat="1" x14ac:dyDescent="0.25">
      <c r="A32" s="215" t="s">
        <v>2961</v>
      </c>
      <c r="B32" s="64">
        <v>27.08</v>
      </c>
      <c r="C32" s="64">
        <v>53.63</v>
      </c>
      <c r="D32" s="64">
        <v>51.96</v>
      </c>
      <c r="E32" s="64">
        <v>2.29</v>
      </c>
      <c r="F32" s="64">
        <v>3.01</v>
      </c>
      <c r="G32" s="64">
        <v>92.82</v>
      </c>
      <c r="H32" s="64">
        <v>49.33</v>
      </c>
      <c r="I32" s="64">
        <v>1.5</v>
      </c>
      <c r="J32" s="64">
        <v>1.02</v>
      </c>
      <c r="K32" s="64">
        <v>345.87</v>
      </c>
      <c r="L32" s="64">
        <v>15.17</v>
      </c>
      <c r="M32" s="64">
        <v>98.1</v>
      </c>
      <c r="N32" s="64">
        <v>42.5</v>
      </c>
      <c r="O32" s="64">
        <v>0</v>
      </c>
      <c r="P32" s="64">
        <v>1.04</v>
      </c>
      <c r="Q32" s="64">
        <v>8.83</v>
      </c>
      <c r="R32" s="198"/>
      <c r="S32" s="198"/>
      <c r="T32" s="198"/>
      <c r="U32" s="198"/>
    </row>
    <row r="33" spans="1:21" s="12" customFormat="1" x14ac:dyDescent="0.25">
      <c r="A33" s="215" t="s">
        <v>2962</v>
      </c>
      <c r="B33" s="64">
        <v>34.270000000000003</v>
      </c>
      <c r="C33" s="64">
        <v>54.3</v>
      </c>
      <c r="D33" s="64">
        <v>58.09</v>
      </c>
      <c r="E33" s="64">
        <v>2.2799999999999998</v>
      </c>
      <c r="F33" s="64">
        <v>3.19</v>
      </c>
      <c r="G33" s="64">
        <v>76.66</v>
      </c>
      <c r="H33" s="64">
        <v>38.32</v>
      </c>
      <c r="I33" s="64">
        <v>1.49</v>
      </c>
      <c r="J33" s="64">
        <v>0.41</v>
      </c>
      <c r="K33" s="64">
        <v>345.47</v>
      </c>
      <c r="L33" s="64">
        <v>15.17</v>
      </c>
      <c r="M33" s="64">
        <v>98.1</v>
      </c>
      <c r="N33" s="64">
        <v>43.1</v>
      </c>
      <c r="O33" s="64">
        <v>0</v>
      </c>
      <c r="P33" s="64">
        <v>1.02</v>
      </c>
      <c r="Q33" s="64">
        <v>8.82</v>
      </c>
      <c r="R33" s="198"/>
      <c r="S33" s="198"/>
      <c r="T33" s="198"/>
      <c r="U33" s="198"/>
    </row>
    <row r="34" spans="1:21" s="12" customFormat="1" x14ac:dyDescent="0.25">
      <c r="A34" s="215" t="s">
        <v>2963</v>
      </c>
      <c r="B34" s="64">
        <v>24.98</v>
      </c>
      <c r="C34" s="64">
        <v>47.84</v>
      </c>
      <c r="D34" s="64">
        <v>47.08</v>
      </c>
      <c r="E34" s="64">
        <v>2.2799999999999998</v>
      </c>
      <c r="F34" s="64">
        <v>2.99</v>
      </c>
      <c r="G34" s="64">
        <v>65.88</v>
      </c>
      <c r="H34" s="64">
        <v>35.61</v>
      </c>
      <c r="I34" s="64">
        <v>1.48</v>
      </c>
      <c r="J34" s="64">
        <v>0.33</v>
      </c>
      <c r="K34" s="64">
        <v>100.46</v>
      </c>
      <c r="L34" s="64">
        <v>15</v>
      </c>
      <c r="M34" s="64">
        <v>98.1</v>
      </c>
      <c r="N34" s="64">
        <v>47.1</v>
      </c>
      <c r="O34" s="64">
        <v>0</v>
      </c>
      <c r="P34" s="64">
        <v>1.01</v>
      </c>
      <c r="Q34" s="64">
        <v>8.83</v>
      </c>
      <c r="R34" s="198"/>
      <c r="S34" s="198"/>
      <c r="T34" s="198"/>
      <c r="U34" s="198"/>
    </row>
    <row r="35" spans="1:21" s="12" customFormat="1" x14ac:dyDescent="0.25">
      <c r="A35" s="215" t="s">
        <v>2964</v>
      </c>
      <c r="B35" s="64">
        <v>40.11</v>
      </c>
      <c r="C35" s="64">
        <v>48.05</v>
      </c>
      <c r="D35" s="64">
        <v>59.33</v>
      </c>
      <c r="E35" s="64">
        <v>2.2999999999999998</v>
      </c>
      <c r="F35" s="64">
        <v>3.42</v>
      </c>
      <c r="G35" s="64">
        <v>65.88</v>
      </c>
      <c r="H35" s="64">
        <v>35.61</v>
      </c>
      <c r="I35" s="64">
        <v>1.46</v>
      </c>
      <c r="J35" s="64">
        <v>0.23</v>
      </c>
      <c r="K35" s="64">
        <v>343.66</v>
      </c>
      <c r="L35" s="64">
        <v>15.07</v>
      </c>
      <c r="M35" s="64">
        <v>98.1</v>
      </c>
      <c r="N35" s="64">
        <v>65.400000000000006</v>
      </c>
      <c r="O35" s="64">
        <v>0</v>
      </c>
      <c r="P35" s="64">
        <v>0.99</v>
      </c>
      <c r="Q35" s="64">
        <v>8.83</v>
      </c>
      <c r="R35" s="198"/>
      <c r="S35" s="198"/>
      <c r="T35" s="198"/>
      <c r="U35" s="198"/>
    </row>
    <row r="36" spans="1:21" s="12" customFormat="1" x14ac:dyDescent="0.25">
      <c r="A36" s="215" t="s">
        <v>2965</v>
      </c>
      <c r="B36" s="64">
        <v>39.03</v>
      </c>
      <c r="C36" s="64">
        <v>45.57</v>
      </c>
      <c r="D36" s="64">
        <v>57.09</v>
      </c>
      <c r="E36" s="64">
        <v>2.31</v>
      </c>
      <c r="F36" s="64">
        <v>3.11</v>
      </c>
      <c r="G36" s="64">
        <v>65.88</v>
      </c>
      <c r="H36" s="64">
        <v>35.61</v>
      </c>
      <c r="I36" s="64">
        <v>1.58</v>
      </c>
      <c r="J36" s="64">
        <v>0.28000000000000003</v>
      </c>
      <c r="K36" s="64">
        <v>92.4</v>
      </c>
      <c r="L36" s="64">
        <v>15.17</v>
      </c>
      <c r="M36" s="64">
        <v>98.1</v>
      </c>
      <c r="N36" s="64">
        <v>90.1</v>
      </c>
      <c r="O36" s="64">
        <v>0</v>
      </c>
      <c r="P36" s="64">
        <v>0.97</v>
      </c>
      <c r="Q36" s="64">
        <v>8.75</v>
      </c>
      <c r="R36" s="198"/>
      <c r="S36" s="198"/>
      <c r="T36" s="198"/>
      <c r="U36" s="198"/>
    </row>
    <row r="37" spans="1:21" s="12" customFormat="1" x14ac:dyDescent="0.25">
      <c r="A37" s="215" t="s">
        <v>2966</v>
      </c>
      <c r="B37" s="64">
        <v>40.200000000000003</v>
      </c>
      <c r="C37" s="64">
        <v>46.08</v>
      </c>
      <c r="D37" s="64">
        <v>58.31</v>
      </c>
      <c r="E37" s="64">
        <v>2.2799999999999998</v>
      </c>
      <c r="F37" s="64">
        <v>3.05</v>
      </c>
      <c r="G37" s="64">
        <v>57.36</v>
      </c>
      <c r="H37" s="64">
        <v>36.06</v>
      </c>
      <c r="I37" s="64">
        <v>1.48</v>
      </c>
      <c r="J37" s="64">
        <v>0.11</v>
      </c>
      <c r="K37" s="64">
        <v>21.4</v>
      </c>
      <c r="L37" s="64">
        <v>15.35</v>
      </c>
      <c r="M37" s="64">
        <v>98.06</v>
      </c>
      <c r="N37" s="64">
        <v>139.30000000000001</v>
      </c>
      <c r="O37" s="64">
        <v>0</v>
      </c>
      <c r="P37" s="64">
        <v>0.97</v>
      </c>
      <c r="Q37" s="64">
        <v>8.7200000000000006</v>
      </c>
      <c r="R37" s="198"/>
      <c r="S37" s="198"/>
      <c r="T37" s="198"/>
      <c r="U37" s="198"/>
    </row>
    <row r="38" spans="1:21" s="12" customFormat="1" x14ac:dyDescent="0.25">
      <c r="A38" s="215" t="s">
        <v>2967</v>
      </c>
      <c r="B38" s="64">
        <v>40.25</v>
      </c>
      <c r="C38" s="64">
        <v>44.3</v>
      </c>
      <c r="D38" s="64">
        <v>57.37</v>
      </c>
      <c r="E38" s="64">
        <v>2.2799999999999998</v>
      </c>
      <c r="F38" s="64">
        <v>3.15</v>
      </c>
      <c r="G38" s="64">
        <v>51.68</v>
      </c>
      <c r="H38" s="64">
        <v>36.18</v>
      </c>
      <c r="I38" s="64">
        <v>1.5</v>
      </c>
      <c r="J38" s="64">
        <v>0.49</v>
      </c>
      <c r="K38" s="64">
        <v>356.73</v>
      </c>
      <c r="L38" s="64">
        <v>16.04</v>
      </c>
      <c r="M38" s="64">
        <v>98.05</v>
      </c>
      <c r="N38" s="64">
        <v>195.1</v>
      </c>
      <c r="O38" s="64">
        <v>0</v>
      </c>
      <c r="P38" s="64">
        <v>0.99</v>
      </c>
      <c r="Q38" s="64">
        <v>8.76</v>
      </c>
      <c r="R38" s="198"/>
      <c r="S38" s="198"/>
      <c r="T38" s="198"/>
      <c r="U38" s="198"/>
    </row>
    <row r="39" spans="1:21" s="12" customFormat="1" x14ac:dyDescent="0.25">
      <c r="A39" s="215" t="s">
        <v>2968</v>
      </c>
      <c r="B39" s="64">
        <v>50.84</v>
      </c>
      <c r="C39" s="64">
        <v>48.09</v>
      </c>
      <c r="D39" s="64">
        <v>67.959999999999994</v>
      </c>
      <c r="E39" s="64">
        <v>2.29</v>
      </c>
      <c r="F39" s="64">
        <v>3.1</v>
      </c>
      <c r="G39" s="64">
        <v>51.68</v>
      </c>
      <c r="H39" s="64">
        <v>36.18</v>
      </c>
      <c r="I39" s="64">
        <v>1.57</v>
      </c>
      <c r="J39" s="64">
        <v>0.5</v>
      </c>
      <c r="K39" s="64">
        <v>334</v>
      </c>
      <c r="L39" s="64">
        <v>17.02</v>
      </c>
      <c r="M39" s="64">
        <v>97.68</v>
      </c>
      <c r="N39" s="64">
        <v>219.5</v>
      </c>
      <c r="O39" s="64">
        <v>0</v>
      </c>
      <c r="P39" s="64">
        <v>1</v>
      </c>
      <c r="Q39" s="64">
        <v>8.74</v>
      </c>
      <c r="R39" s="198"/>
      <c r="S39" s="198"/>
      <c r="T39" s="198"/>
      <c r="U39" s="198"/>
    </row>
    <row r="40" spans="1:21" s="12" customFormat="1" x14ac:dyDescent="0.25">
      <c r="A40" s="215" t="s">
        <v>2969</v>
      </c>
      <c r="B40" s="64">
        <v>37.159999999999997</v>
      </c>
      <c r="C40" s="64">
        <v>46.68</v>
      </c>
      <c r="D40" s="64">
        <v>56.21</v>
      </c>
      <c r="E40" s="64">
        <v>2.13</v>
      </c>
      <c r="F40" s="64">
        <v>3.24</v>
      </c>
      <c r="G40" s="64">
        <v>51.68</v>
      </c>
      <c r="H40" s="64">
        <v>36.18</v>
      </c>
      <c r="I40" s="64">
        <v>1.49</v>
      </c>
      <c r="J40" s="64">
        <v>0.82</v>
      </c>
      <c r="K40" s="64">
        <v>343.62</v>
      </c>
      <c r="L40" s="64">
        <v>18.23</v>
      </c>
      <c r="M40" s="64">
        <v>92.63</v>
      </c>
      <c r="N40" s="64">
        <v>269.39999999999998</v>
      </c>
      <c r="O40" s="64">
        <v>0</v>
      </c>
      <c r="P40" s="64">
        <v>1</v>
      </c>
      <c r="Q40" s="64">
        <v>8.81</v>
      </c>
      <c r="R40" s="198"/>
      <c r="S40" s="198"/>
      <c r="T40" s="198"/>
      <c r="U40" s="198"/>
    </row>
    <row r="41" spans="1:21" s="12" customFormat="1" x14ac:dyDescent="0.25">
      <c r="A41" s="215" t="s">
        <v>2970</v>
      </c>
      <c r="B41" s="64">
        <v>42.36</v>
      </c>
      <c r="C41" s="64">
        <v>50</v>
      </c>
      <c r="D41" s="64">
        <v>62.21</v>
      </c>
      <c r="E41" s="64">
        <v>2.2200000000000002</v>
      </c>
      <c r="F41" s="64">
        <v>3.12</v>
      </c>
      <c r="G41" s="64">
        <v>61.46</v>
      </c>
      <c r="H41" s="64">
        <v>34.94</v>
      </c>
      <c r="I41" s="64">
        <v>1.47</v>
      </c>
      <c r="J41" s="64">
        <v>0.84</v>
      </c>
      <c r="K41" s="64">
        <v>343.26</v>
      </c>
      <c r="L41" s="64">
        <v>19.39</v>
      </c>
      <c r="M41" s="64">
        <v>86.42</v>
      </c>
      <c r="N41" s="64">
        <v>278.60000000000002</v>
      </c>
      <c r="O41" s="64">
        <v>0</v>
      </c>
      <c r="P41" s="64">
        <v>0.99</v>
      </c>
      <c r="Q41" s="64">
        <v>8.83</v>
      </c>
      <c r="R41" s="198"/>
      <c r="S41" s="198"/>
      <c r="T41" s="198"/>
      <c r="U41" s="198"/>
    </row>
    <row r="42" spans="1:21" s="12" customFormat="1" x14ac:dyDescent="0.25">
      <c r="A42" s="215" t="s">
        <v>2971</v>
      </c>
      <c r="B42" s="64">
        <v>43.73</v>
      </c>
      <c r="C42" s="64">
        <v>49.89</v>
      </c>
      <c r="D42" s="64">
        <v>63.25</v>
      </c>
      <c r="E42" s="64">
        <v>2.21</v>
      </c>
      <c r="F42" s="64">
        <v>3.07</v>
      </c>
      <c r="G42" s="64">
        <v>67.97</v>
      </c>
      <c r="H42" s="64">
        <v>34.64</v>
      </c>
      <c r="I42" s="64">
        <v>1.48</v>
      </c>
      <c r="J42" s="64">
        <v>0.51</v>
      </c>
      <c r="K42" s="64">
        <v>78.84</v>
      </c>
      <c r="L42" s="64">
        <v>18.440000000000001</v>
      </c>
      <c r="M42" s="64">
        <v>90.03</v>
      </c>
      <c r="N42" s="64">
        <v>246.4</v>
      </c>
      <c r="O42" s="64">
        <v>0</v>
      </c>
      <c r="P42" s="64">
        <v>1</v>
      </c>
      <c r="Q42" s="64">
        <v>8.84</v>
      </c>
      <c r="R42" s="198"/>
      <c r="S42" s="198"/>
      <c r="T42" s="198"/>
      <c r="U42" s="198"/>
    </row>
    <row r="43" spans="1:21" s="12" customFormat="1" x14ac:dyDescent="0.25">
      <c r="A43" s="215" t="s">
        <v>2972</v>
      </c>
      <c r="B43" s="64">
        <v>37.43</v>
      </c>
      <c r="C43" s="64">
        <v>49.33</v>
      </c>
      <c r="D43" s="64">
        <v>57.89</v>
      </c>
      <c r="E43" s="64">
        <v>2.2200000000000002</v>
      </c>
      <c r="F43" s="64">
        <v>3.05</v>
      </c>
      <c r="G43" s="64">
        <v>67.97</v>
      </c>
      <c r="H43" s="64">
        <v>34.64</v>
      </c>
      <c r="I43" s="64">
        <v>1.42</v>
      </c>
      <c r="J43" s="64">
        <v>0.56999999999999995</v>
      </c>
      <c r="K43" s="64">
        <v>340.09</v>
      </c>
      <c r="L43" s="64">
        <v>18.46</v>
      </c>
      <c r="M43" s="64">
        <v>91.34</v>
      </c>
      <c r="N43" s="64">
        <v>316.10000000000002</v>
      </c>
      <c r="O43" s="64">
        <v>0</v>
      </c>
      <c r="P43" s="64">
        <v>1</v>
      </c>
      <c r="Q43" s="64">
        <v>8.8699999999999992</v>
      </c>
      <c r="R43" s="198"/>
      <c r="S43" s="198"/>
      <c r="T43" s="198"/>
      <c r="U43" s="198"/>
    </row>
    <row r="44" spans="1:21" s="12" customFormat="1" x14ac:dyDescent="0.25">
      <c r="A44" s="215" t="s">
        <v>2973</v>
      </c>
      <c r="B44" s="64">
        <v>43.66</v>
      </c>
      <c r="C44" s="64">
        <v>56.17</v>
      </c>
      <c r="D44" s="64">
        <v>66.66</v>
      </c>
      <c r="E44" s="64">
        <v>2.2599999999999998</v>
      </c>
      <c r="F44" s="64">
        <v>3</v>
      </c>
      <c r="G44" s="64">
        <v>67.97</v>
      </c>
      <c r="H44" s="64">
        <v>34.64</v>
      </c>
      <c r="I44" s="64">
        <v>1.45</v>
      </c>
      <c r="J44" s="64">
        <v>0.23</v>
      </c>
      <c r="K44" s="64">
        <v>38.729999999999997</v>
      </c>
      <c r="L44" s="64">
        <v>19.510000000000002</v>
      </c>
      <c r="M44" s="64">
        <v>84.83</v>
      </c>
      <c r="N44" s="64">
        <v>372.2</v>
      </c>
      <c r="O44" s="64">
        <v>0</v>
      </c>
      <c r="P44" s="64">
        <v>1</v>
      </c>
      <c r="Q44" s="64">
        <v>8.86</v>
      </c>
      <c r="R44" s="198"/>
      <c r="S44" s="198"/>
      <c r="T44" s="198"/>
      <c r="U44" s="198"/>
    </row>
    <row r="45" spans="1:21" s="12" customFormat="1" x14ac:dyDescent="0.25">
      <c r="A45" s="215" t="s">
        <v>2974</v>
      </c>
      <c r="B45" s="64">
        <v>54.78</v>
      </c>
      <c r="C45" s="64">
        <v>67.02</v>
      </c>
      <c r="D45" s="64">
        <v>81.569999999999993</v>
      </c>
      <c r="E45" s="64">
        <v>2.21</v>
      </c>
      <c r="F45" s="64">
        <v>2.99</v>
      </c>
      <c r="G45" s="64">
        <v>69.319999999999993</v>
      </c>
      <c r="H45" s="64">
        <v>31.55</v>
      </c>
      <c r="I45" s="64">
        <v>1.46</v>
      </c>
      <c r="J45" s="64">
        <v>1</v>
      </c>
      <c r="K45" s="64">
        <v>341.76</v>
      </c>
      <c r="L45" s="64">
        <v>20.92</v>
      </c>
      <c r="M45" s="64">
        <v>78.209999999999994</v>
      </c>
      <c r="N45" s="64">
        <v>333.5</v>
      </c>
      <c r="O45" s="64">
        <v>0</v>
      </c>
      <c r="P45" s="64">
        <v>0.99</v>
      </c>
      <c r="Q45" s="64">
        <v>8.85</v>
      </c>
      <c r="R45" s="198"/>
      <c r="S45" s="198"/>
      <c r="T45" s="198"/>
      <c r="U45" s="198"/>
    </row>
    <row r="46" spans="1:21" s="12" customFormat="1" x14ac:dyDescent="0.25">
      <c r="A46" s="215" t="s">
        <v>2975</v>
      </c>
      <c r="B46" s="64">
        <v>33.06</v>
      </c>
      <c r="C46" s="64">
        <v>62.63</v>
      </c>
      <c r="D46" s="64">
        <v>61.73</v>
      </c>
      <c r="E46" s="64">
        <v>2.29</v>
      </c>
      <c r="F46" s="64">
        <v>3.23</v>
      </c>
      <c r="G46" s="64">
        <v>70.209999999999994</v>
      </c>
      <c r="H46" s="64">
        <v>30.21</v>
      </c>
      <c r="I46" s="64">
        <v>1.52</v>
      </c>
      <c r="J46" s="64">
        <v>1.04</v>
      </c>
      <c r="K46" s="64">
        <v>344.9</v>
      </c>
      <c r="L46" s="64">
        <v>21.41</v>
      </c>
      <c r="M46" s="64">
        <v>74.98</v>
      </c>
      <c r="N46" s="64">
        <v>369.8</v>
      </c>
      <c r="O46" s="64">
        <v>0</v>
      </c>
      <c r="P46" s="64">
        <v>1</v>
      </c>
      <c r="Q46" s="64">
        <v>8.91</v>
      </c>
      <c r="R46" s="198"/>
      <c r="S46" s="198"/>
      <c r="T46" s="198"/>
      <c r="U46" s="198"/>
    </row>
    <row r="47" spans="1:21" s="12" customFormat="1" x14ac:dyDescent="0.25">
      <c r="A47" s="215" t="s">
        <v>2976</v>
      </c>
      <c r="B47" s="64">
        <v>39.590000000000003</v>
      </c>
      <c r="C47" s="64">
        <v>66.180000000000007</v>
      </c>
      <c r="D47" s="64">
        <v>68.92</v>
      </c>
      <c r="E47" s="64">
        <v>2.2400000000000002</v>
      </c>
      <c r="F47" s="64">
        <v>3.03</v>
      </c>
      <c r="G47" s="64">
        <v>70.209999999999994</v>
      </c>
      <c r="H47" s="64">
        <v>30.21</v>
      </c>
      <c r="I47" s="64">
        <v>1.54</v>
      </c>
      <c r="J47" s="64">
        <v>0.82</v>
      </c>
      <c r="K47" s="64">
        <v>339.86</v>
      </c>
      <c r="L47" s="64">
        <v>22.71</v>
      </c>
      <c r="M47" s="64">
        <v>70.010000000000005</v>
      </c>
      <c r="N47" s="64">
        <v>591.29999999999995</v>
      </c>
      <c r="O47" s="64">
        <v>0</v>
      </c>
      <c r="P47" s="64">
        <v>1</v>
      </c>
      <c r="Q47" s="64">
        <v>8.9499999999999993</v>
      </c>
      <c r="R47" s="198"/>
      <c r="S47" s="198"/>
      <c r="T47" s="198"/>
      <c r="U47" s="198"/>
    </row>
    <row r="48" spans="1:21" s="12" customFormat="1" x14ac:dyDescent="0.25">
      <c r="A48" s="215" t="s">
        <v>2977</v>
      </c>
      <c r="B48" s="64">
        <v>31.66</v>
      </c>
      <c r="C48" s="64">
        <v>62.81</v>
      </c>
      <c r="D48" s="64">
        <v>60.7</v>
      </c>
      <c r="E48" s="64">
        <v>2.2200000000000002</v>
      </c>
      <c r="F48" s="64">
        <v>3.16</v>
      </c>
      <c r="G48" s="64">
        <v>70.209999999999994</v>
      </c>
      <c r="H48" s="64">
        <v>30.21</v>
      </c>
      <c r="I48" s="64">
        <v>1.56</v>
      </c>
      <c r="J48" s="64">
        <v>1.05</v>
      </c>
      <c r="K48" s="64">
        <v>345.35</v>
      </c>
      <c r="L48" s="64">
        <v>23.55</v>
      </c>
      <c r="M48" s="64">
        <v>65.13</v>
      </c>
      <c r="N48" s="64">
        <v>544</v>
      </c>
      <c r="O48" s="64">
        <v>0</v>
      </c>
      <c r="P48" s="64">
        <v>1</v>
      </c>
      <c r="Q48" s="64">
        <v>8.92</v>
      </c>
      <c r="R48" s="198"/>
      <c r="S48" s="198"/>
      <c r="T48" s="198"/>
      <c r="U48" s="198"/>
    </row>
    <row r="49" spans="1:21" s="12" customFormat="1" x14ac:dyDescent="0.25">
      <c r="A49" s="215" t="s">
        <v>2978</v>
      </c>
      <c r="B49" s="64">
        <v>26.41</v>
      </c>
      <c r="C49" s="64">
        <v>57.71</v>
      </c>
      <c r="D49" s="64">
        <v>53.68</v>
      </c>
      <c r="E49" s="64">
        <v>2.2200000000000002</v>
      </c>
      <c r="F49" s="64">
        <v>3.05</v>
      </c>
      <c r="G49" s="64">
        <v>63.59</v>
      </c>
      <c r="H49" s="64">
        <v>26.13</v>
      </c>
      <c r="I49" s="64">
        <v>1.47</v>
      </c>
      <c r="J49" s="64">
        <v>0.49</v>
      </c>
      <c r="K49" s="64">
        <v>17.91</v>
      </c>
      <c r="L49" s="64">
        <v>23.74</v>
      </c>
      <c r="M49" s="64">
        <v>64.17</v>
      </c>
      <c r="N49" s="64">
        <v>622.79999999999995</v>
      </c>
      <c r="O49" s="64">
        <v>0</v>
      </c>
      <c r="P49" s="64">
        <v>1</v>
      </c>
      <c r="Q49" s="64">
        <v>8.91</v>
      </c>
      <c r="R49" s="198"/>
      <c r="S49" s="198"/>
      <c r="T49" s="198"/>
      <c r="U49" s="198"/>
    </row>
    <row r="50" spans="1:21" s="12" customFormat="1" x14ac:dyDescent="0.25">
      <c r="A50" s="215" t="s">
        <v>2979</v>
      </c>
      <c r="B50" s="64">
        <v>26.41</v>
      </c>
      <c r="C50" s="64">
        <v>50.58</v>
      </c>
      <c r="D50" s="64">
        <v>49.74</v>
      </c>
      <c r="E50" s="64">
        <v>2.2200000000000002</v>
      </c>
      <c r="F50" s="64">
        <v>2.96</v>
      </c>
      <c r="G50" s="64">
        <v>59.17</v>
      </c>
      <c r="H50" s="64">
        <v>25.05</v>
      </c>
      <c r="I50" s="64">
        <v>1.58</v>
      </c>
      <c r="J50" s="64">
        <v>0.63</v>
      </c>
      <c r="K50" s="64">
        <v>103.36</v>
      </c>
      <c r="L50" s="64">
        <v>22.32</v>
      </c>
      <c r="M50" s="64">
        <v>69.59</v>
      </c>
      <c r="N50" s="64">
        <v>650.20000000000005</v>
      </c>
      <c r="O50" s="64">
        <v>0</v>
      </c>
      <c r="P50" s="64">
        <v>0.99</v>
      </c>
      <c r="Q50" s="64">
        <v>8.85</v>
      </c>
      <c r="R50" s="198"/>
      <c r="S50" s="198"/>
      <c r="T50" s="198"/>
      <c r="U50" s="198"/>
    </row>
    <row r="51" spans="1:21" s="12" customFormat="1" x14ac:dyDescent="0.25">
      <c r="A51" s="215" t="s">
        <v>2980</v>
      </c>
      <c r="B51" s="64">
        <v>33.020000000000003</v>
      </c>
      <c r="C51" s="64">
        <v>60.69</v>
      </c>
      <c r="D51" s="64">
        <v>60.62</v>
      </c>
      <c r="E51" s="64">
        <v>2.2000000000000002</v>
      </c>
      <c r="F51" s="64">
        <v>2.84</v>
      </c>
      <c r="G51" s="64">
        <v>59.17</v>
      </c>
      <c r="H51" s="64">
        <v>25.05</v>
      </c>
      <c r="I51" s="64">
        <v>1.51</v>
      </c>
      <c r="J51" s="64">
        <v>0.33</v>
      </c>
      <c r="K51" s="64">
        <v>16.309999999999999</v>
      </c>
      <c r="L51" s="64">
        <v>23.72</v>
      </c>
      <c r="M51" s="64">
        <v>64.5</v>
      </c>
      <c r="N51" s="64">
        <v>665.3</v>
      </c>
      <c r="O51" s="64">
        <v>0</v>
      </c>
      <c r="P51" s="64">
        <v>0.98</v>
      </c>
      <c r="Q51" s="64">
        <v>8.7100000000000009</v>
      </c>
      <c r="R51" s="198"/>
      <c r="S51" s="198"/>
      <c r="T51" s="198"/>
      <c r="U51" s="198"/>
    </row>
    <row r="52" spans="1:21" s="12" customFormat="1" x14ac:dyDescent="0.25">
      <c r="A52" s="215" t="s">
        <v>2981</v>
      </c>
      <c r="B52" s="64">
        <v>26.91</v>
      </c>
      <c r="C52" s="64">
        <v>65.48</v>
      </c>
      <c r="D52" s="64">
        <v>58.36</v>
      </c>
      <c r="E52" s="64">
        <v>2.0099999999999998</v>
      </c>
      <c r="F52" s="64">
        <v>2.79</v>
      </c>
      <c r="G52" s="64">
        <v>59.17</v>
      </c>
      <c r="H52" s="64">
        <v>25.05</v>
      </c>
      <c r="I52" s="64">
        <v>1.44</v>
      </c>
      <c r="J52" s="64">
        <v>0.22</v>
      </c>
      <c r="K52" s="64">
        <v>42.37</v>
      </c>
      <c r="L52" s="64">
        <v>24.19</v>
      </c>
      <c r="M52" s="64">
        <v>61.63</v>
      </c>
      <c r="N52" s="64">
        <v>684.3</v>
      </c>
      <c r="O52" s="64">
        <v>0</v>
      </c>
      <c r="P52" s="64">
        <v>0.96</v>
      </c>
      <c r="Q52" s="64">
        <v>8.5500000000000007</v>
      </c>
      <c r="R52" s="198"/>
      <c r="S52" s="198"/>
      <c r="T52" s="198"/>
      <c r="U52" s="198"/>
    </row>
    <row r="53" spans="1:21" s="12" customFormat="1" x14ac:dyDescent="0.25">
      <c r="A53" s="215" t="s">
        <v>2982</v>
      </c>
      <c r="B53" s="64">
        <v>21.94</v>
      </c>
      <c r="C53" s="64">
        <v>66.709999999999994</v>
      </c>
      <c r="D53" s="64">
        <v>55.06</v>
      </c>
      <c r="E53" s="64">
        <v>1.99</v>
      </c>
      <c r="F53" s="64">
        <v>3.06</v>
      </c>
      <c r="G53" s="64">
        <v>59.17</v>
      </c>
      <c r="H53" s="64">
        <v>25.05</v>
      </c>
      <c r="I53" s="64">
        <v>1.54</v>
      </c>
      <c r="J53" s="64">
        <v>0.77</v>
      </c>
      <c r="K53" s="64">
        <v>343.21</v>
      </c>
      <c r="L53" s="64">
        <v>25.5</v>
      </c>
      <c r="M53" s="64">
        <v>56</v>
      </c>
      <c r="N53" s="64">
        <v>694</v>
      </c>
      <c r="O53" s="64">
        <v>0</v>
      </c>
      <c r="P53" s="64">
        <v>0.94</v>
      </c>
      <c r="Q53" s="64">
        <v>8.32</v>
      </c>
      <c r="R53" s="198"/>
      <c r="S53" s="198"/>
      <c r="T53" s="198"/>
      <c r="U53" s="198"/>
    </row>
    <row r="54" spans="1:21" s="12" customFormat="1" x14ac:dyDescent="0.25">
      <c r="A54" s="215" t="s">
        <v>2983</v>
      </c>
      <c r="B54" s="64">
        <v>16.14</v>
      </c>
      <c r="C54" s="64">
        <v>64.650000000000006</v>
      </c>
      <c r="D54" s="64">
        <v>49.27</v>
      </c>
      <c r="E54" s="64">
        <v>2.27</v>
      </c>
      <c r="F54" s="64">
        <v>3.17</v>
      </c>
      <c r="G54" s="64">
        <v>30.9</v>
      </c>
      <c r="H54" s="64">
        <v>13.08</v>
      </c>
      <c r="I54" s="64">
        <v>1.52</v>
      </c>
      <c r="J54" s="64">
        <v>0.9</v>
      </c>
      <c r="K54" s="64">
        <v>335.21</v>
      </c>
      <c r="L54" s="64">
        <v>26.22</v>
      </c>
      <c r="M54" s="64">
        <v>51.86</v>
      </c>
      <c r="N54" s="64">
        <v>684.1</v>
      </c>
      <c r="O54" s="64">
        <v>0</v>
      </c>
      <c r="P54" s="64">
        <v>0.93</v>
      </c>
      <c r="Q54" s="64">
        <v>8.16</v>
      </c>
      <c r="R54" s="198"/>
      <c r="S54" s="198"/>
      <c r="T54" s="198"/>
      <c r="U54" s="198"/>
    </row>
    <row r="55" spans="1:21" s="12" customFormat="1" x14ac:dyDescent="0.25">
      <c r="A55" s="215" t="s">
        <v>2984</v>
      </c>
      <c r="B55" s="64">
        <v>17.55</v>
      </c>
      <c r="C55" s="64">
        <v>68.319999999999993</v>
      </c>
      <c r="D55" s="64">
        <v>52.42</v>
      </c>
      <c r="E55" s="64">
        <v>1.23</v>
      </c>
      <c r="F55" s="64">
        <v>3.39</v>
      </c>
      <c r="G55" s="216" t="s">
        <v>40</v>
      </c>
      <c r="H55" s="216" t="s">
        <v>40</v>
      </c>
      <c r="I55" s="64">
        <v>1.49</v>
      </c>
      <c r="J55" s="64">
        <v>0.69</v>
      </c>
      <c r="K55" s="64">
        <v>347.82</v>
      </c>
      <c r="L55" s="64">
        <v>26.83</v>
      </c>
      <c r="M55" s="64">
        <v>49.91</v>
      </c>
      <c r="N55" s="64">
        <v>692</v>
      </c>
      <c r="O55" s="64">
        <v>0</v>
      </c>
      <c r="P55" s="64">
        <v>0.92</v>
      </c>
      <c r="Q55" s="64">
        <v>8.1300000000000008</v>
      </c>
      <c r="R55" s="198"/>
      <c r="S55" s="198"/>
      <c r="T55" s="198"/>
      <c r="U55" s="198"/>
    </row>
    <row r="56" spans="1:21" s="12" customFormat="1" x14ac:dyDescent="0.25">
      <c r="A56" s="215" t="s">
        <v>2985</v>
      </c>
      <c r="B56" s="64">
        <v>16.420000000000002</v>
      </c>
      <c r="C56" s="64">
        <v>59.74</v>
      </c>
      <c r="D56" s="64">
        <v>46.78</v>
      </c>
      <c r="E56" s="64">
        <v>1.96</v>
      </c>
      <c r="F56" s="64">
        <v>3.33</v>
      </c>
      <c r="G56" s="216" t="s">
        <v>40</v>
      </c>
      <c r="H56" s="216" t="s">
        <v>40</v>
      </c>
      <c r="I56" s="64">
        <v>1.41</v>
      </c>
      <c r="J56" s="64">
        <v>0.41</v>
      </c>
      <c r="K56" s="64">
        <v>30.43</v>
      </c>
      <c r="L56" s="64">
        <v>26.08</v>
      </c>
      <c r="M56" s="64">
        <v>50.38</v>
      </c>
      <c r="N56" s="64">
        <v>689.3</v>
      </c>
      <c r="O56" s="64">
        <v>0</v>
      </c>
      <c r="P56" s="64">
        <v>0.92</v>
      </c>
      <c r="Q56" s="64">
        <v>8.06</v>
      </c>
      <c r="R56" s="198"/>
      <c r="S56" s="198"/>
      <c r="T56" s="198"/>
      <c r="U56" s="198"/>
    </row>
    <row r="57" spans="1:21" s="12" customFormat="1" x14ac:dyDescent="0.25">
      <c r="A57" s="215" t="s">
        <v>2986</v>
      </c>
      <c r="B57" s="64">
        <v>17.16</v>
      </c>
      <c r="C57" s="64">
        <v>54.97</v>
      </c>
      <c r="D57" s="64">
        <v>44.74</v>
      </c>
      <c r="E57" s="64">
        <v>2.25</v>
      </c>
      <c r="F57" s="64">
        <v>3.3</v>
      </c>
      <c r="G57" s="216" t="s">
        <v>40</v>
      </c>
      <c r="H57" s="216" t="s">
        <v>40</v>
      </c>
      <c r="I57" s="64">
        <v>1.52</v>
      </c>
      <c r="J57" s="64">
        <v>0.99</v>
      </c>
      <c r="K57" s="64">
        <v>106.93</v>
      </c>
      <c r="L57" s="64">
        <v>24.69</v>
      </c>
      <c r="M57" s="64">
        <v>52.12</v>
      </c>
      <c r="N57" s="64">
        <v>683.5</v>
      </c>
      <c r="O57" s="64">
        <v>0</v>
      </c>
      <c r="P57" s="64">
        <v>0.9</v>
      </c>
      <c r="Q57" s="64">
        <v>7.96</v>
      </c>
      <c r="R57" s="198"/>
      <c r="S57" s="198"/>
      <c r="T57" s="198"/>
      <c r="U57" s="198"/>
    </row>
    <row r="58" spans="1:21" s="12" customFormat="1" x14ac:dyDescent="0.25">
      <c r="A58" s="215" t="s">
        <v>2987</v>
      </c>
      <c r="B58" s="64">
        <v>15.24</v>
      </c>
      <c r="C58" s="64">
        <v>55.17</v>
      </c>
      <c r="D58" s="64">
        <v>43.31</v>
      </c>
      <c r="E58" s="64">
        <v>2.25</v>
      </c>
      <c r="F58" s="64">
        <v>3.47</v>
      </c>
      <c r="G58" s="64">
        <v>25.68</v>
      </c>
      <c r="H58" s="64">
        <v>12.6</v>
      </c>
      <c r="I58" s="64">
        <v>1.48</v>
      </c>
      <c r="J58" s="64">
        <v>0.94</v>
      </c>
      <c r="K58" s="64">
        <v>108.25</v>
      </c>
      <c r="L58" s="64">
        <v>24.48</v>
      </c>
      <c r="M58" s="64">
        <v>52.62</v>
      </c>
      <c r="N58" s="64">
        <v>669.7</v>
      </c>
      <c r="O58" s="64">
        <v>0</v>
      </c>
      <c r="P58" s="64">
        <v>0.89</v>
      </c>
      <c r="Q58" s="64">
        <v>7.83</v>
      </c>
      <c r="R58" s="198"/>
      <c r="S58" s="198"/>
      <c r="T58" s="198"/>
      <c r="U58" s="198"/>
    </row>
    <row r="59" spans="1:21" s="12" customFormat="1" x14ac:dyDescent="0.25">
      <c r="A59" s="215" t="s">
        <v>2988</v>
      </c>
      <c r="B59" s="64">
        <v>16.03</v>
      </c>
      <c r="C59" s="64">
        <v>58.71</v>
      </c>
      <c r="D59" s="64">
        <v>45.9</v>
      </c>
      <c r="E59" s="64">
        <v>2.2599999999999998</v>
      </c>
      <c r="F59" s="64">
        <v>3.49</v>
      </c>
      <c r="G59" s="64">
        <v>52.52</v>
      </c>
      <c r="H59" s="64">
        <v>19.190000000000001</v>
      </c>
      <c r="I59" s="64">
        <v>1.48</v>
      </c>
      <c r="J59" s="64">
        <v>0.48</v>
      </c>
      <c r="K59" s="64">
        <v>64.790000000000006</v>
      </c>
      <c r="L59" s="64">
        <v>25.22</v>
      </c>
      <c r="M59" s="64">
        <v>50.32</v>
      </c>
      <c r="N59" s="64">
        <v>643.20000000000005</v>
      </c>
      <c r="O59" s="64">
        <v>0</v>
      </c>
      <c r="P59" s="64">
        <v>0.86</v>
      </c>
      <c r="Q59" s="64">
        <v>7.67</v>
      </c>
      <c r="R59" s="198"/>
      <c r="S59" s="198"/>
      <c r="T59" s="198"/>
      <c r="U59" s="198"/>
    </row>
    <row r="60" spans="1:21" s="12" customFormat="1" x14ac:dyDescent="0.25">
      <c r="A60" s="215" t="s">
        <v>2989</v>
      </c>
      <c r="B60" s="216" t="s">
        <v>40</v>
      </c>
      <c r="C60" s="216" t="s">
        <v>40</v>
      </c>
      <c r="D60" s="216" t="s">
        <v>40</v>
      </c>
      <c r="E60" s="64">
        <v>2.25</v>
      </c>
      <c r="F60" s="64">
        <v>4.3099999999999996</v>
      </c>
      <c r="G60" s="64">
        <v>52.52</v>
      </c>
      <c r="H60" s="64">
        <v>19.190000000000001</v>
      </c>
      <c r="I60" s="64">
        <v>1.51</v>
      </c>
      <c r="J60" s="64">
        <v>0.42</v>
      </c>
      <c r="K60" s="64">
        <v>11.43</v>
      </c>
      <c r="L60" s="64">
        <v>27.27</v>
      </c>
      <c r="M60" s="64">
        <v>44.56</v>
      </c>
      <c r="N60" s="64">
        <v>627.20000000000005</v>
      </c>
      <c r="O60" s="64">
        <v>0</v>
      </c>
      <c r="P60" s="64">
        <v>0.85</v>
      </c>
      <c r="Q60" s="64">
        <v>7.56</v>
      </c>
      <c r="R60" s="198"/>
      <c r="S60" s="198"/>
      <c r="T60" s="198"/>
      <c r="U60" s="198"/>
    </row>
    <row r="61" spans="1:21" s="12" customFormat="1" x14ac:dyDescent="0.25">
      <c r="A61" s="215" t="s">
        <v>2990</v>
      </c>
      <c r="B61" s="216" t="s">
        <v>40</v>
      </c>
      <c r="C61" s="216" t="s">
        <v>40</v>
      </c>
      <c r="D61" s="216" t="s">
        <v>40</v>
      </c>
      <c r="E61" s="64">
        <v>2.2200000000000002</v>
      </c>
      <c r="F61" s="64">
        <v>3.62</v>
      </c>
      <c r="G61" s="64">
        <v>96.14</v>
      </c>
      <c r="H61" s="64">
        <v>19.190000000000001</v>
      </c>
      <c r="I61" s="64">
        <v>1.51</v>
      </c>
      <c r="J61" s="64">
        <v>0.62</v>
      </c>
      <c r="K61" s="64">
        <v>94.31</v>
      </c>
      <c r="L61" s="64">
        <v>25.6</v>
      </c>
      <c r="M61" s="64">
        <v>49.11</v>
      </c>
      <c r="N61" s="64">
        <v>507.3</v>
      </c>
      <c r="O61" s="64">
        <v>0</v>
      </c>
      <c r="P61" s="64">
        <v>0.84</v>
      </c>
      <c r="Q61" s="217" t="s">
        <v>42</v>
      </c>
      <c r="R61" s="198"/>
      <c r="S61" s="198"/>
      <c r="T61" s="198"/>
      <c r="U61" s="198"/>
    </row>
    <row r="62" spans="1:21" s="12" customFormat="1" x14ac:dyDescent="0.25">
      <c r="A62" s="215" t="s">
        <v>2991</v>
      </c>
      <c r="B62" s="218" t="s">
        <v>32</v>
      </c>
      <c r="C62" s="218" t="s">
        <v>32</v>
      </c>
      <c r="D62" s="218" t="s">
        <v>32</v>
      </c>
      <c r="E62" s="218" t="s">
        <v>32</v>
      </c>
      <c r="F62" s="218" t="s">
        <v>32</v>
      </c>
      <c r="G62" s="218" t="s">
        <v>32</v>
      </c>
      <c r="H62" s="218" t="s">
        <v>32</v>
      </c>
      <c r="I62" s="218" t="s">
        <v>32</v>
      </c>
      <c r="J62" s="218" t="s">
        <v>32</v>
      </c>
      <c r="K62" s="218" t="s">
        <v>32</v>
      </c>
      <c r="L62" s="218" t="s">
        <v>32</v>
      </c>
      <c r="M62" s="218" t="s">
        <v>32</v>
      </c>
      <c r="N62" s="218" t="s">
        <v>32</v>
      </c>
      <c r="O62" s="218" t="s">
        <v>32</v>
      </c>
      <c r="P62" s="218" t="s">
        <v>32</v>
      </c>
      <c r="Q62" s="218" t="s">
        <v>32</v>
      </c>
      <c r="R62" s="198"/>
      <c r="S62" s="198"/>
      <c r="T62" s="198"/>
      <c r="U62" s="198"/>
    </row>
    <row r="63" spans="1:21" s="12" customFormat="1" x14ac:dyDescent="0.25">
      <c r="A63" s="215" t="s">
        <v>2992</v>
      </c>
      <c r="B63" s="218" t="s">
        <v>32</v>
      </c>
      <c r="C63" s="218" t="s">
        <v>32</v>
      </c>
      <c r="D63" s="218" t="s">
        <v>32</v>
      </c>
      <c r="E63" s="218" t="s">
        <v>32</v>
      </c>
      <c r="F63" s="218" t="s">
        <v>32</v>
      </c>
      <c r="G63" s="218" t="s">
        <v>32</v>
      </c>
      <c r="H63" s="218" t="s">
        <v>32</v>
      </c>
      <c r="I63" s="218" t="s">
        <v>32</v>
      </c>
      <c r="J63" s="218" t="s">
        <v>32</v>
      </c>
      <c r="K63" s="218" t="s">
        <v>32</v>
      </c>
      <c r="L63" s="218" t="s">
        <v>32</v>
      </c>
      <c r="M63" s="218" t="s">
        <v>32</v>
      </c>
      <c r="N63" s="218" t="s">
        <v>32</v>
      </c>
      <c r="O63" s="218" t="s">
        <v>32</v>
      </c>
      <c r="P63" s="218" t="s">
        <v>32</v>
      </c>
      <c r="Q63" s="218" t="s">
        <v>32</v>
      </c>
      <c r="R63" s="198"/>
      <c r="S63" s="198"/>
      <c r="T63" s="198"/>
      <c r="U63" s="198"/>
    </row>
    <row r="64" spans="1:21" s="12" customFormat="1" x14ac:dyDescent="0.25">
      <c r="A64" s="215" t="s">
        <v>2993</v>
      </c>
      <c r="B64" s="218" t="s">
        <v>32</v>
      </c>
      <c r="C64" s="218" t="s">
        <v>32</v>
      </c>
      <c r="D64" s="218" t="s">
        <v>32</v>
      </c>
      <c r="E64" s="218" t="s">
        <v>32</v>
      </c>
      <c r="F64" s="218" t="s">
        <v>32</v>
      </c>
      <c r="G64" s="218" t="s">
        <v>32</v>
      </c>
      <c r="H64" s="218" t="s">
        <v>32</v>
      </c>
      <c r="I64" s="218" t="s">
        <v>32</v>
      </c>
      <c r="J64" s="218" t="s">
        <v>32</v>
      </c>
      <c r="K64" s="218" t="s">
        <v>32</v>
      </c>
      <c r="L64" s="218" t="s">
        <v>32</v>
      </c>
      <c r="M64" s="218" t="s">
        <v>32</v>
      </c>
      <c r="N64" s="218" t="s">
        <v>32</v>
      </c>
      <c r="O64" s="218" t="s">
        <v>32</v>
      </c>
      <c r="P64" s="218" t="s">
        <v>32</v>
      </c>
      <c r="Q64" s="218" t="s">
        <v>32</v>
      </c>
      <c r="R64" s="198"/>
      <c r="S64" s="198"/>
      <c r="T64" s="198"/>
      <c r="U64" s="198"/>
    </row>
    <row r="65" spans="1:21" s="12" customFormat="1" x14ac:dyDescent="0.25">
      <c r="A65" s="215" t="s">
        <v>2994</v>
      </c>
      <c r="B65" s="218" t="s">
        <v>32</v>
      </c>
      <c r="C65" s="218" t="s">
        <v>32</v>
      </c>
      <c r="D65" s="218" t="s">
        <v>32</v>
      </c>
      <c r="E65" s="218" t="s">
        <v>32</v>
      </c>
      <c r="F65" s="218" t="s">
        <v>32</v>
      </c>
      <c r="G65" s="218" t="s">
        <v>32</v>
      </c>
      <c r="H65" s="218" t="s">
        <v>32</v>
      </c>
      <c r="I65" s="218" t="s">
        <v>32</v>
      </c>
      <c r="J65" s="218" t="s">
        <v>32</v>
      </c>
      <c r="K65" s="218" t="s">
        <v>32</v>
      </c>
      <c r="L65" s="218" t="s">
        <v>32</v>
      </c>
      <c r="M65" s="218" t="s">
        <v>32</v>
      </c>
      <c r="N65" s="218" t="s">
        <v>32</v>
      </c>
      <c r="O65" s="218" t="s">
        <v>32</v>
      </c>
      <c r="P65" s="218" t="s">
        <v>32</v>
      </c>
      <c r="Q65" s="218" t="s">
        <v>32</v>
      </c>
      <c r="R65" s="198"/>
      <c r="S65" s="198"/>
      <c r="T65" s="198"/>
      <c r="U65" s="198"/>
    </row>
    <row r="66" spans="1:21" s="12" customFormat="1" x14ac:dyDescent="0.25">
      <c r="A66" s="215" t="s">
        <v>2995</v>
      </c>
      <c r="B66" s="218" t="s">
        <v>32</v>
      </c>
      <c r="C66" s="218" t="s">
        <v>32</v>
      </c>
      <c r="D66" s="218" t="s">
        <v>32</v>
      </c>
      <c r="E66" s="218" t="s">
        <v>32</v>
      </c>
      <c r="F66" s="218" t="s">
        <v>32</v>
      </c>
      <c r="G66" s="218" t="s">
        <v>32</v>
      </c>
      <c r="H66" s="218" t="s">
        <v>32</v>
      </c>
      <c r="I66" s="218" t="s">
        <v>32</v>
      </c>
      <c r="J66" s="218" t="s">
        <v>32</v>
      </c>
      <c r="K66" s="218" t="s">
        <v>32</v>
      </c>
      <c r="L66" s="218" t="s">
        <v>32</v>
      </c>
      <c r="M66" s="218" t="s">
        <v>32</v>
      </c>
      <c r="N66" s="218" t="s">
        <v>32</v>
      </c>
      <c r="O66" s="218" t="s">
        <v>32</v>
      </c>
      <c r="P66" s="218" t="s">
        <v>32</v>
      </c>
      <c r="Q66" s="218" t="s">
        <v>32</v>
      </c>
      <c r="R66" s="198"/>
      <c r="S66" s="198"/>
      <c r="T66" s="198"/>
      <c r="U66" s="198"/>
    </row>
    <row r="67" spans="1:21" s="12" customFormat="1" x14ac:dyDescent="0.25">
      <c r="A67" s="215" t="s">
        <v>2996</v>
      </c>
      <c r="B67" s="218" t="s">
        <v>32</v>
      </c>
      <c r="C67" s="218" t="s">
        <v>32</v>
      </c>
      <c r="D67" s="218" t="s">
        <v>32</v>
      </c>
      <c r="E67" s="218" t="s">
        <v>32</v>
      </c>
      <c r="F67" s="218" t="s">
        <v>32</v>
      </c>
      <c r="G67" s="218" t="s">
        <v>32</v>
      </c>
      <c r="H67" s="218" t="s">
        <v>32</v>
      </c>
      <c r="I67" s="218" t="s">
        <v>32</v>
      </c>
      <c r="J67" s="218" t="s">
        <v>32</v>
      </c>
      <c r="K67" s="218" t="s">
        <v>32</v>
      </c>
      <c r="L67" s="218" t="s">
        <v>32</v>
      </c>
      <c r="M67" s="218" t="s">
        <v>32</v>
      </c>
      <c r="N67" s="218" t="s">
        <v>32</v>
      </c>
      <c r="O67" s="218" t="s">
        <v>32</v>
      </c>
      <c r="P67" s="218" t="s">
        <v>32</v>
      </c>
      <c r="Q67" s="218" t="s">
        <v>32</v>
      </c>
      <c r="R67" s="198"/>
      <c r="S67" s="198"/>
      <c r="T67" s="198"/>
      <c r="U67" s="198"/>
    </row>
    <row r="68" spans="1:21" s="12" customFormat="1" x14ac:dyDescent="0.25">
      <c r="A68" s="215" t="s">
        <v>2997</v>
      </c>
      <c r="B68" s="218" t="s">
        <v>32</v>
      </c>
      <c r="C68" s="218" t="s">
        <v>32</v>
      </c>
      <c r="D68" s="218" t="s">
        <v>32</v>
      </c>
      <c r="E68" s="218" t="s">
        <v>32</v>
      </c>
      <c r="F68" s="218" t="s">
        <v>32</v>
      </c>
      <c r="G68" s="218" t="s">
        <v>32</v>
      </c>
      <c r="H68" s="218" t="s">
        <v>32</v>
      </c>
      <c r="I68" s="218" t="s">
        <v>32</v>
      </c>
      <c r="J68" s="218" t="s">
        <v>32</v>
      </c>
      <c r="K68" s="218" t="s">
        <v>32</v>
      </c>
      <c r="L68" s="218" t="s">
        <v>32</v>
      </c>
      <c r="M68" s="218" t="s">
        <v>32</v>
      </c>
      <c r="N68" s="218" t="s">
        <v>32</v>
      </c>
      <c r="O68" s="218" t="s">
        <v>32</v>
      </c>
      <c r="P68" s="218" t="s">
        <v>32</v>
      </c>
      <c r="Q68" s="218" t="s">
        <v>32</v>
      </c>
      <c r="R68" s="198"/>
      <c r="S68" s="198"/>
      <c r="T68" s="198"/>
      <c r="U68" s="198"/>
    </row>
    <row r="69" spans="1:21" s="12" customFormat="1" x14ac:dyDescent="0.25">
      <c r="A69" s="215" t="s">
        <v>2998</v>
      </c>
      <c r="B69" s="218" t="s">
        <v>32</v>
      </c>
      <c r="C69" s="218" t="s">
        <v>32</v>
      </c>
      <c r="D69" s="218" t="s">
        <v>32</v>
      </c>
      <c r="E69" s="218" t="s">
        <v>32</v>
      </c>
      <c r="F69" s="218" t="s">
        <v>32</v>
      </c>
      <c r="G69" s="218" t="s">
        <v>32</v>
      </c>
      <c r="H69" s="218" t="s">
        <v>32</v>
      </c>
      <c r="I69" s="218" t="s">
        <v>32</v>
      </c>
      <c r="J69" s="218" t="s">
        <v>32</v>
      </c>
      <c r="K69" s="218" t="s">
        <v>32</v>
      </c>
      <c r="L69" s="218" t="s">
        <v>32</v>
      </c>
      <c r="M69" s="218" t="s">
        <v>32</v>
      </c>
      <c r="N69" s="218" t="s">
        <v>32</v>
      </c>
      <c r="O69" s="218" t="s">
        <v>32</v>
      </c>
      <c r="P69" s="218" t="s">
        <v>32</v>
      </c>
      <c r="Q69" s="218" t="s">
        <v>32</v>
      </c>
      <c r="R69" s="198"/>
      <c r="S69" s="198"/>
      <c r="T69" s="198"/>
      <c r="U69" s="198"/>
    </row>
    <row r="70" spans="1:21" s="12" customFormat="1" x14ac:dyDescent="0.25">
      <c r="A70" s="215" t="s">
        <v>2999</v>
      </c>
      <c r="B70" s="218" t="s">
        <v>32</v>
      </c>
      <c r="C70" s="218" t="s">
        <v>32</v>
      </c>
      <c r="D70" s="218" t="s">
        <v>32</v>
      </c>
      <c r="E70" s="218" t="s">
        <v>32</v>
      </c>
      <c r="F70" s="218" t="s">
        <v>32</v>
      </c>
      <c r="G70" s="218" t="s">
        <v>32</v>
      </c>
      <c r="H70" s="218" t="s">
        <v>32</v>
      </c>
      <c r="I70" s="218" t="s">
        <v>32</v>
      </c>
      <c r="J70" s="218" t="s">
        <v>32</v>
      </c>
      <c r="K70" s="218" t="s">
        <v>32</v>
      </c>
      <c r="L70" s="218" t="s">
        <v>32</v>
      </c>
      <c r="M70" s="218" t="s">
        <v>32</v>
      </c>
      <c r="N70" s="218" t="s">
        <v>32</v>
      </c>
      <c r="O70" s="218" t="s">
        <v>32</v>
      </c>
      <c r="P70" s="218" t="s">
        <v>32</v>
      </c>
      <c r="Q70" s="218" t="s">
        <v>32</v>
      </c>
      <c r="R70" s="198"/>
      <c r="S70" s="198"/>
      <c r="T70" s="198"/>
      <c r="U70" s="198"/>
    </row>
    <row r="71" spans="1:21" s="12" customFormat="1" x14ac:dyDescent="0.25">
      <c r="A71" s="215" t="s">
        <v>3000</v>
      </c>
      <c r="B71" s="218" t="s">
        <v>32</v>
      </c>
      <c r="C71" s="218" t="s">
        <v>32</v>
      </c>
      <c r="D71" s="218" t="s">
        <v>32</v>
      </c>
      <c r="E71" s="218" t="s">
        <v>32</v>
      </c>
      <c r="F71" s="218" t="s">
        <v>32</v>
      </c>
      <c r="G71" s="218" t="s">
        <v>32</v>
      </c>
      <c r="H71" s="218" t="s">
        <v>32</v>
      </c>
      <c r="I71" s="218" t="s">
        <v>32</v>
      </c>
      <c r="J71" s="218" t="s">
        <v>32</v>
      </c>
      <c r="K71" s="218" t="s">
        <v>32</v>
      </c>
      <c r="L71" s="218" t="s">
        <v>32</v>
      </c>
      <c r="M71" s="218" t="s">
        <v>32</v>
      </c>
      <c r="N71" s="218" t="s">
        <v>32</v>
      </c>
      <c r="O71" s="218" t="s">
        <v>32</v>
      </c>
      <c r="P71" s="218" t="s">
        <v>32</v>
      </c>
      <c r="Q71" s="218" t="s">
        <v>32</v>
      </c>
      <c r="R71" s="198"/>
      <c r="S71" s="198"/>
      <c r="T71" s="198"/>
      <c r="U71" s="198"/>
    </row>
    <row r="72" spans="1:21" s="12" customFormat="1" x14ac:dyDescent="0.25">
      <c r="A72" s="215" t="s">
        <v>3001</v>
      </c>
      <c r="B72" s="219" t="s">
        <v>49</v>
      </c>
      <c r="C72" s="219" t="s">
        <v>49</v>
      </c>
      <c r="D72" s="219" t="s">
        <v>49</v>
      </c>
      <c r="E72" s="219" t="s">
        <v>49</v>
      </c>
      <c r="F72" s="64">
        <v>6.75</v>
      </c>
      <c r="G72" s="64">
        <v>51.56</v>
      </c>
      <c r="H72" s="64">
        <v>19.16</v>
      </c>
      <c r="I72" s="64">
        <v>1.43</v>
      </c>
      <c r="J72" s="64">
        <v>0.11</v>
      </c>
      <c r="K72" s="64">
        <v>317.08</v>
      </c>
      <c r="L72" s="64">
        <v>24.91</v>
      </c>
      <c r="M72" s="64">
        <v>48.26</v>
      </c>
      <c r="N72" s="64">
        <v>87.2</v>
      </c>
      <c r="O72" s="64">
        <v>0</v>
      </c>
      <c r="P72" s="64">
        <v>0.1</v>
      </c>
      <c r="Q72" s="219" t="s">
        <v>49</v>
      </c>
      <c r="R72" s="198"/>
      <c r="S72" s="198"/>
      <c r="T72" s="198"/>
      <c r="U72" s="198"/>
    </row>
    <row r="73" spans="1:21" s="12" customFormat="1" x14ac:dyDescent="0.25">
      <c r="A73" s="215" t="s">
        <v>3002</v>
      </c>
      <c r="B73" s="219" t="s">
        <v>49</v>
      </c>
      <c r="C73" s="219" t="s">
        <v>49</v>
      </c>
      <c r="D73" s="219" t="s">
        <v>49</v>
      </c>
      <c r="E73" s="64">
        <v>2.75</v>
      </c>
      <c r="F73" s="64">
        <v>4.29</v>
      </c>
      <c r="G73" s="64">
        <v>36.159999999999997</v>
      </c>
      <c r="H73" s="64">
        <v>18.7</v>
      </c>
      <c r="I73" s="64">
        <v>1.46</v>
      </c>
      <c r="J73" s="64">
        <v>0.34</v>
      </c>
      <c r="K73" s="64">
        <v>341.48</v>
      </c>
      <c r="L73" s="64">
        <v>24.89</v>
      </c>
      <c r="M73" s="64">
        <v>48.19</v>
      </c>
      <c r="N73" s="64">
        <v>77.3</v>
      </c>
      <c r="O73" s="64">
        <v>0</v>
      </c>
      <c r="P73" s="64">
        <v>0.91</v>
      </c>
      <c r="Q73" s="219" t="s">
        <v>49</v>
      </c>
      <c r="R73" s="198"/>
      <c r="S73" s="198"/>
      <c r="T73" s="198"/>
      <c r="U73" s="198"/>
    </row>
    <row r="74" spans="1:21" s="12" customFormat="1" x14ac:dyDescent="0.25">
      <c r="A74" s="215" t="s">
        <v>3003</v>
      </c>
      <c r="B74" s="64">
        <v>12.23</v>
      </c>
      <c r="C74" s="64">
        <v>78.64</v>
      </c>
      <c r="D74" s="64">
        <v>53.86</v>
      </c>
      <c r="E74" s="64">
        <v>1.27</v>
      </c>
      <c r="F74" s="64">
        <v>4.66</v>
      </c>
      <c r="G74" s="64">
        <v>86.28</v>
      </c>
      <c r="H74" s="64">
        <v>15.06</v>
      </c>
      <c r="I74" s="64">
        <v>1.48</v>
      </c>
      <c r="J74" s="64">
        <v>0.31</v>
      </c>
      <c r="K74" s="64">
        <v>346.88</v>
      </c>
      <c r="L74" s="64">
        <v>24.87</v>
      </c>
      <c r="M74" s="64">
        <v>47.91</v>
      </c>
      <c r="N74" s="64">
        <v>62.3</v>
      </c>
      <c r="O74" s="64">
        <v>0</v>
      </c>
      <c r="P74" s="64">
        <v>0.91</v>
      </c>
      <c r="Q74" s="219" t="s">
        <v>49</v>
      </c>
      <c r="R74" s="198"/>
      <c r="S74" s="198"/>
      <c r="T74" s="198"/>
      <c r="U74" s="198"/>
    </row>
    <row r="75" spans="1:21" s="12" customFormat="1" x14ac:dyDescent="0.25">
      <c r="A75" s="215" t="s">
        <v>3004</v>
      </c>
      <c r="B75" s="64">
        <v>15.4</v>
      </c>
      <c r="C75" s="64">
        <v>64.69</v>
      </c>
      <c r="D75" s="64">
        <v>48.69</v>
      </c>
      <c r="E75" s="64">
        <v>0.19</v>
      </c>
      <c r="F75" s="64">
        <v>3.11</v>
      </c>
      <c r="G75" s="64">
        <v>138.68</v>
      </c>
      <c r="H75" s="64">
        <v>12.16</v>
      </c>
      <c r="I75" s="64">
        <v>1.45</v>
      </c>
      <c r="J75" s="64">
        <v>0.21</v>
      </c>
      <c r="K75" s="64">
        <v>343.32</v>
      </c>
      <c r="L75" s="64">
        <v>24.47</v>
      </c>
      <c r="M75" s="64">
        <v>50.5</v>
      </c>
      <c r="N75" s="64">
        <v>48.8</v>
      </c>
      <c r="O75" s="64">
        <v>0</v>
      </c>
      <c r="P75" s="64">
        <v>0.96</v>
      </c>
      <c r="Q75" s="64">
        <v>6.87</v>
      </c>
      <c r="R75" s="198"/>
      <c r="S75" s="198"/>
      <c r="T75" s="198"/>
      <c r="U75" s="198"/>
    </row>
    <row r="76" spans="1:21" s="12" customFormat="1" x14ac:dyDescent="0.25">
      <c r="A76" s="215" t="s">
        <v>3005</v>
      </c>
      <c r="B76" s="64">
        <v>19.03</v>
      </c>
      <c r="C76" s="64">
        <v>57.71</v>
      </c>
      <c r="D76" s="64">
        <v>47.76</v>
      </c>
      <c r="E76" s="220" t="s">
        <v>36</v>
      </c>
      <c r="F76" s="64">
        <v>3.77</v>
      </c>
      <c r="G76" s="64">
        <v>138.68</v>
      </c>
      <c r="H76" s="64">
        <v>12.16</v>
      </c>
      <c r="I76" s="64">
        <v>1.58</v>
      </c>
      <c r="J76" s="64">
        <v>0.11</v>
      </c>
      <c r="K76" s="64">
        <v>346.33</v>
      </c>
      <c r="L76" s="64">
        <v>23.81</v>
      </c>
      <c r="M76" s="64">
        <v>52.99</v>
      </c>
      <c r="N76" s="64">
        <v>35.5</v>
      </c>
      <c r="O76" s="64">
        <v>0</v>
      </c>
      <c r="P76" s="64">
        <v>1.07</v>
      </c>
      <c r="Q76" s="64">
        <v>5.84</v>
      </c>
      <c r="R76" s="198"/>
      <c r="S76" s="198"/>
      <c r="T76" s="198"/>
      <c r="U76" s="198"/>
    </row>
    <row r="77" spans="1:21" s="12" customFormat="1" x14ac:dyDescent="0.25">
      <c r="A77" s="215" t="s">
        <v>3006</v>
      </c>
      <c r="B77" s="64">
        <v>20.37</v>
      </c>
      <c r="C77" s="64">
        <v>55.26</v>
      </c>
      <c r="D77" s="64">
        <v>47.47</v>
      </c>
      <c r="E77" s="220" t="s">
        <v>36</v>
      </c>
      <c r="F77" s="64">
        <v>3.6</v>
      </c>
      <c r="G77" s="64">
        <v>138.68</v>
      </c>
      <c r="H77" s="64">
        <v>12.16</v>
      </c>
      <c r="I77" s="64">
        <v>1.45</v>
      </c>
      <c r="J77" s="64">
        <v>0.08</v>
      </c>
      <c r="K77" s="64">
        <v>327.19</v>
      </c>
      <c r="L77" s="64">
        <v>23.03</v>
      </c>
      <c r="M77" s="64">
        <v>59.93</v>
      </c>
      <c r="N77" s="64">
        <v>28.1</v>
      </c>
      <c r="O77" s="64">
        <v>0</v>
      </c>
      <c r="P77" s="64">
        <v>1.1299999999999999</v>
      </c>
      <c r="Q77" s="64">
        <v>5.89</v>
      </c>
      <c r="R77" s="198"/>
      <c r="S77" s="198"/>
      <c r="T77" s="198"/>
      <c r="U77" s="198"/>
    </row>
    <row r="78" spans="1:21" s="12" customFormat="1" x14ac:dyDescent="0.25">
      <c r="A78" s="215" t="s">
        <v>3007</v>
      </c>
      <c r="B78" s="64">
        <v>20.9</v>
      </c>
      <c r="C78" s="64">
        <v>52.56</v>
      </c>
      <c r="D78" s="64">
        <v>46.42</v>
      </c>
      <c r="E78" s="220" t="s">
        <v>36</v>
      </c>
      <c r="F78" s="64">
        <v>3.06</v>
      </c>
      <c r="G78" s="64">
        <v>141.54</v>
      </c>
      <c r="H78" s="64">
        <v>21.56</v>
      </c>
      <c r="I78" s="64">
        <v>1.5</v>
      </c>
      <c r="J78" s="64">
        <v>0.13</v>
      </c>
      <c r="K78" s="64">
        <v>73.87</v>
      </c>
      <c r="L78" s="64">
        <v>22.28</v>
      </c>
      <c r="M78" s="64">
        <v>64.47</v>
      </c>
      <c r="N78" s="64">
        <v>25.1</v>
      </c>
      <c r="O78" s="64">
        <v>0</v>
      </c>
      <c r="P78" s="64">
        <v>1.21</v>
      </c>
      <c r="Q78" s="64">
        <v>6.19</v>
      </c>
      <c r="R78" s="198"/>
      <c r="S78" s="198"/>
      <c r="T78" s="198"/>
      <c r="U78" s="198"/>
    </row>
    <row r="79" spans="1:21" s="12" customFormat="1" x14ac:dyDescent="0.25">
      <c r="A79" s="215" t="s">
        <v>3008</v>
      </c>
      <c r="B79" s="64">
        <v>23.87</v>
      </c>
      <c r="C79" s="64">
        <v>56.84</v>
      </c>
      <c r="D79" s="64">
        <v>51.16</v>
      </c>
      <c r="E79" s="220" t="s">
        <v>36</v>
      </c>
      <c r="F79" s="64">
        <v>3.28</v>
      </c>
      <c r="G79" s="64">
        <v>144.53</v>
      </c>
      <c r="H79" s="64">
        <v>26.6</v>
      </c>
      <c r="I79" s="64">
        <v>1.52</v>
      </c>
      <c r="J79" s="64">
        <v>0.13</v>
      </c>
      <c r="K79" s="64">
        <v>73.42</v>
      </c>
      <c r="L79" s="64">
        <v>22</v>
      </c>
      <c r="M79" s="64">
        <v>66.3</v>
      </c>
      <c r="N79" s="64">
        <v>24.6</v>
      </c>
      <c r="O79" s="64">
        <v>0</v>
      </c>
      <c r="P79" s="64">
        <v>1.24</v>
      </c>
      <c r="Q79" s="64">
        <v>6.31</v>
      </c>
      <c r="R79" s="198"/>
      <c r="S79" s="198"/>
      <c r="T79" s="198"/>
      <c r="U79" s="198"/>
    </row>
    <row r="80" spans="1:21" s="12" customFormat="1" x14ac:dyDescent="0.25">
      <c r="A80" s="215" t="s">
        <v>3009</v>
      </c>
      <c r="B80" s="64">
        <v>27.38</v>
      </c>
      <c r="C80" s="64">
        <v>56.8</v>
      </c>
      <c r="D80" s="64">
        <v>53.95</v>
      </c>
      <c r="E80" s="220" t="s">
        <v>36</v>
      </c>
      <c r="F80" s="64">
        <v>3.27</v>
      </c>
      <c r="G80" s="64">
        <v>144.53</v>
      </c>
      <c r="H80" s="64">
        <v>26.6</v>
      </c>
      <c r="I80" s="64">
        <v>1.52</v>
      </c>
      <c r="J80" s="64">
        <v>0.13</v>
      </c>
      <c r="K80" s="64">
        <v>77.959999999999994</v>
      </c>
      <c r="L80" s="64">
        <v>21.92</v>
      </c>
      <c r="M80" s="64">
        <v>60.84</v>
      </c>
      <c r="N80" s="64">
        <v>24.5</v>
      </c>
      <c r="O80" s="64">
        <v>0</v>
      </c>
      <c r="P80" s="64">
        <v>1.33</v>
      </c>
      <c r="Q80" s="64">
        <v>6.35</v>
      </c>
      <c r="R80" s="198"/>
      <c r="S80" s="198"/>
      <c r="T80" s="198"/>
      <c r="U80" s="198"/>
    </row>
    <row r="81" spans="1:26" s="12" customFormat="1" x14ac:dyDescent="0.25">
      <c r="A81" s="215" t="s">
        <v>3010</v>
      </c>
      <c r="B81" s="64">
        <v>28.46</v>
      </c>
      <c r="C81" s="64">
        <v>57.09</v>
      </c>
      <c r="D81" s="64">
        <v>54.97</v>
      </c>
      <c r="E81" s="220" t="s">
        <v>36</v>
      </c>
      <c r="F81" s="64">
        <v>3.32</v>
      </c>
      <c r="G81" s="64">
        <v>144.53</v>
      </c>
      <c r="H81" s="64">
        <v>26.6</v>
      </c>
      <c r="I81" s="64">
        <v>1.49</v>
      </c>
      <c r="J81" s="64">
        <v>0.2</v>
      </c>
      <c r="K81" s="64">
        <v>99.57</v>
      </c>
      <c r="L81" s="64">
        <v>21.97</v>
      </c>
      <c r="M81" s="64">
        <v>60.41</v>
      </c>
      <c r="N81" s="64">
        <v>24.4</v>
      </c>
      <c r="O81" s="64">
        <v>0</v>
      </c>
      <c r="P81" s="64">
        <v>1.4</v>
      </c>
      <c r="Q81" s="64">
        <v>6.51</v>
      </c>
      <c r="R81" s="198"/>
      <c r="S81" s="198"/>
      <c r="T81" s="198"/>
      <c r="U81" s="198"/>
    </row>
    <row r="82" spans="1:26" s="12" customFormat="1" x14ac:dyDescent="0.25">
      <c r="A82" s="215" t="s">
        <v>3011</v>
      </c>
      <c r="B82" s="64">
        <v>26.99</v>
      </c>
      <c r="C82" s="64">
        <v>60.67</v>
      </c>
      <c r="D82" s="64">
        <v>55.77</v>
      </c>
      <c r="E82" s="220" t="s">
        <v>36</v>
      </c>
      <c r="F82" s="64">
        <v>3.24</v>
      </c>
      <c r="G82" s="64">
        <v>125.97</v>
      </c>
      <c r="H82" s="64">
        <v>32.44</v>
      </c>
      <c r="I82" s="64">
        <v>1.53</v>
      </c>
      <c r="J82" s="64">
        <v>0.14000000000000001</v>
      </c>
      <c r="K82" s="64">
        <v>91.22</v>
      </c>
      <c r="L82" s="64">
        <v>22</v>
      </c>
      <c r="M82" s="64">
        <v>58.69</v>
      </c>
      <c r="N82" s="64">
        <v>24.5</v>
      </c>
      <c r="O82" s="64">
        <v>0</v>
      </c>
      <c r="P82" s="64">
        <v>1.43</v>
      </c>
      <c r="Q82" s="64">
        <v>6.59</v>
      </c>
      <c r="R82" s="198"/>
      <c r="S82" s="198"/>
      <c r="T82" s="198"/>
      <c r="U82" s="198"/>
    </row>
    <row r="83" spans="1:26" s="12" customFormat="1" x14ac:dyDescent="0.25">
      <c r="A83" s="215" t="s">
        <v>3012</v>
      </c>
      <c r="B83" s="64">
        <v>27.78</v>
      </c>
      <c r="C83" s="64">
        <v>57.45</v>
      </c>
      <c r="D83" s="64">
        <v>54.63</v>
      </c>
      <c r="E83" s="220" t="s">
        <v>36</v>
      </c>
      <c r="F83" s="64">
        <v>3.4</v>
      </c>
      <c r="G83" s="64">
        <v>106.56</v>
      </c>
      <c r="H83" s="64">
        <v>35.57</v>
      </c>
      <c r="I83" s="64">
        <v>1.54</v>
      </c>
      <c r="J83" s="64">
        <v>0.18</v>
      </c>
      <c r="K83" s="64">
        <v>88.43</v>
      </c>
      <c r="L83" s="64">
        <v>21.75</v>
      </c>
      <c r="M83" s="64">
        <v>59.51</v>
      </c>
      <c r="N83" s="64">
        <v>24.5</v>
      </c>
      <c r="O83" s="64">
        <v>0</v>
      </c>
      <c r="P83" s="64">
        <v>1.47</v>
      </c>
      <c r="Q83" s="64">
        <v>6.67</v>
      </c>
      <c r="R83" s="198"/>
      <c r="S83" s="198"/>
      <c r="T83" s="198"/>
      <c r="U83" s="198"/>
    </row>
    <row r="84" spans="1:26" s="12" customFormat="1" x14ac:dyDescent="0.25">
      <c r="A84" s="215" t="s">
        <v>3013</v>
      </c>
      <c r="B84" s="64">
        <v>50.98</v>
      </c>
      <c r="C84" s="64">
        <v>77.099999999999994</v>
      </c>
      <c r="D84" s="64">
        <v>84.08</v>
      </c>
      <c r="E84" s="220" t="s">
        <v>36</v>
      </c>
      <c r="F84" s="64">
        <v>3.1</v>
      </c>
      <c r="G84" s="64">
        <v>106.56</v>
      </c>
      <c r="H84" s="64">
        <v>35.57</v>
      </c>
      <c r="I84" s="64">
        <v>1.52</v>
      </c>
      <c r="J84" s="64">
        <v>0.22</v>
      </c>
      <c r="K84" s="64">
        <v>349.6</v>
      </c>
      <c r="L84" s="64">
        <v>21.56</v>
      </c>
      <c r="M84" s="64">
        <v>61.72</v>
      </c>
      <c r="N84" s="64">
        <v>24.5</v>
      </c>
      <c r="O84" s="64">
        <v>0</v>
      </c>
      <c r="P84" s="64">
        <v>1.47</v>
      </c>
      <c r="Q84" s="64">
        <v>6.71</v>
      </c>
      <c r="R84" s="198"/>
      <c r="S84" s="198"/>
      <c r="T84" s="198"/>
      <c r="U84" s="198"/>
    </row>
    <row r="85" spans="1:26" s="12" customFormat="1" x14ac:dyDescent="0.25">
      <c r="A85" s="215" t="s">
        <v>3014</v>
      </c>
      <c r="B85" s="64">
        <v>51.04</v>
      </c>
      <c r="C85" s="64">
        <v>73.430000000000007</v>
      </c>
      <c r="D85" s="64">
        <v>82.1</v>
      </c>
      <c r="E85" s="220" t="s">
        <v>36</v>
      </c>
      <c r="F85" s="64">
        <v>2.96</v>
      </c>
      <c r="G85" s="64">
        <v>106.56</v>
      </c>
      <c r="H85" s="64">
        <v>35.57</v>
      </c>
      <c r="I85" s="64">
        <v>1.46</v>
      </c>
      <c r="J85" s="64">
        <v>0.26</v>
      </c>
      <c r="K85" s="64">
        <v>336.68</v>
      </c>
      <c r="L85" s="64">
        <v>21.55</v>
      </c>
      <c r="M85" s="64">
        <v>63.7</v>
      </c>
      <c r="N85" s="64">
        <v>24.3</v>
      </c>
      <c r="O85" s="64">
        <v>0</v>
      </c>
      <c r="P85" s="64">
        <v>1.81</v>
      </c>
      <c r="Q85" s="64">
        <v>6.71</v>
      </c>
      <c r="R85" s="198"/>
      <c r="S85" s="198"/>
      <c r="T85" s="198"/>
      <c r="U85" s="198"/>
    </row>
    <row r="86" spans="1:26" s="12" customFormat="1" x14ac:dyDescent="0.25">
      <c r="A86" s="215" t="s">
        <v>3015</v>
      </c>
      <c r="B86" s="64">
        <v>49.3</v>
      </c>
      <c r="C86" s="64">
        <v>60.67</v>
      </c>
      <c r="D86" s="64">
        <v>73.66</v>
      </c>
      <c r="E86" s="220" t="s">
        <v>36</v>
      </c>
      <c r="F86" s="64">
        <v>3.19</v>
      </c>
      <c r="G86" s="64">
        <v>108.85</v>
      </c>
      <c r="H86" s="64">
        <v>40.729999999999997</v>
      </c>
      <c r="I86" s="64">
        <v>1.48</v>
      </c>
      <c r="J86" s="64">
        <v>0.04</v>
      </c>
      <c r="K86" s="64">
        <v>27.48</v>
      </c>
      <c r="L86" s="64">
        <v>21.43</v>
      </c>
      <c r="M86" s="64">
        <v>65.31</v>
      </c>
      <c r="N86" s="64">
        <v>24.4</v>
      </c>
      <c r="O86" s="64">
        <v>0</v>
      </c>
      <c r="P86" s="64">
        <v>1.95</v>
      </c>
      <c r="Q86" s="64">
        <v>6.9</v>
      </c>
      <c r="R86" s="198"/>
      <c r="S86" s="198"/>
      <c r="T86" s="198"/>
      <c r="U86" s="198"/>
    </row>
    <row r="87" spans="1:26" s="12" customFormat="1" x14ac:dyDescent="0.25">
      <c r="A87" s="215" t="s">
        <v>3016</v>
      </c>
      <c r="B87" s="64">
        <v>48.74</v>
      </c>
      <c r="C87" s="64">
        <v>70.88</v>
      </c>
      <c r="D87" s="64">
        <v>78.849999999999994</v>
      </c>
      <c r="E87" s="220" t="s">
        <v>36</v>
      </c>
      <c r="F87" s="64">
        <v>3.01</v>
      </c>
      <c r="G87" s="64">
        <v>111.24</v>
      </c>
      <c r="H87" s="64">
        <v>46.39</v>
      </c>
      <c r="I87" s="64">
        <v>1.46</v>
      </c>
      <c r="J87" s="64">
        <v>0.03</v>
      </c>
      <c r="K87" s="64">
        <v>17.57</v>
      </c>
      <c r="L87" s="64">
        <v>21.23</v>
      </c>
      <c r="M87" s="64">
        <v>67.819999999999993</v>
      </c>
      <c r="N87" s="64">
        <v>24.6</v>
      </c>
      <c r="O87" s="64">
        <v>0</v>
      </c>
      <c r="P87" s="64">
        <v>1.99</v>
      </c>
      <c r="Q87" s="64">
        <v>7.09</v>
      </c>
      <c r="R87" s="198"/>
      <c r="S87" s="198"/>
      <c r="T87" s="198"/>
      <c r="U87" s="198"/>
    </row>
    <row r="88" spans="1:26" s="12" customFormat="1" x14ac:dyDescent="0.25">
      <c r="A88" s="215" t="s">
        <v>3017</v>
      </c>
      <c r="B88" s="64">
        <v>45.72</v>
      </c>
      <c r="C88" s="64">
        <v>78.33</v>
      </c>
      <c r="D88" s="64">
        <v>80.540000000000006</v>
      </c>
      <c r="E88" s="64">
        <v>2.17</v>
      </c>
      <c r="F88" s="64">
        <v>3.17</v>
      </c>
      <c r="G88" s="64">
        <v>111.24</v>
      </c>
      <c r="H88" s="64">
        <v>46.39</v>
      </c>
      <c r="I88" s="64">
        <v>1.6</v>
      </c>
      <c r="J88" s="64">
        <v>0.03</v>
      </c>
      <c r="K88" s="64">
        <v>36.96</v>
      </c>
      <c r="L88" s="64">
        <v>21.06</v>
      </c>
      <c r="M88" s="64">
        <v>69.73</v>
      </c>
      <c r="N88" s="64">
        <v>24.5</v>
      </c>
      <c r="O88" s="64">
        <v>0</v>
      </c>
      <c r="P88" s="64">
        <v>1.98</v>
      </c>
      <c r="Q88" s="64">
        <v>7.19</v>
      </c>
      <c r="R88" s="198"/>
      <c r="S88" s="198"/>
      <c r="T88" s="198"/>
      <c r="U88" s="198"/>
    </row>
    <row r="89" spans="1:26" s="12" customFormat="1" x14ac:dyDescent="0.25">
      <c r="A89" s="215" t="s">
        <v>3018</v>
      </c>
      <c r="B89" s="64">
        <v>43.83</v>
      </c>
      <c r="C89" s="64">
        <v>78.290000000000006</v>
      </c>
      <c r="D89" s="64">
        <v>79</v>
      </c>
      <c r="E89" s="64">
        <v>2.27</v>
      </c>
      <c r="F89" s="64">
        <v>3.35</v>
      </c>
      <c r="G89" s="64">
        <v>111.24</v>
      </c>
      <c r="H89" s="64">
        <v>46.39</v>
      </c>
      <c r="I89" s="64">
        <v>1.53</v>
      </c>
      <c r="J89" s="64">
        <v>0.06</v>
      </c>
      <c r="K89" s="64">
        <v>86.96</v>
      </c>
      <c r="L89" s="64">
        <v>20.79</v>
      </c>
      <c r="M89" s="64">
        <v>71.72</v>
      </c>
      <c r="N89" s="64">
        <v>24.5</v>
      </c>
      <c r="O89" s="64">
        <v>0</v>
      </c>
      <c r="P89" s="64">
        <v>1.96</v>
      </c>
      <c r="Q89" s="64">
        <v>7.2</v>
      </c>
      <c r="R89" s="198"/>
      <c r="S89" s="198"/>
      <c r="T89" s="198"/>
      <c r="U89" s="198"/>
    </row>
    <row r="90" spans="1:26" s="12" customFormat="1" x14ac:dyDescent="0.25">
      <c r="A90" s="215" t="s">
        <v>3019</v>
      </c>
      <c r="B90" s="64">
        <v>43.64</v>
      </c>
      <c r="C90" s="64">
        <v>70.69</v>
      </c>
      <c r="D90" s="64">
        <v>74.650000000000006</v>
      </c>
      <c r="E90" s="64">
        <v>2.38</v>
      </c>
      <c r="F90" s="64">
        <v>3.2</v>
      </c>
      <c r="G90" s="64">
        <v>98.55</v>
      </c>
      <c r="H90" s="64">
        <v>42.4</v>
      </c>
      <c r="I90" s="64">
        <v>1.52</v>
      </c>
      <c r="J90" s="64">
        <v>0.05</v>
      </c>
      <c r="K90" s="64">
        <v>58.04</v>
      </c>
      <c r="L90" s="64">
        <v>20.5</v>
      </c>
      <c r="M90" s="64">
        <v>73.709999999999994</v>
      </c>
      <c r="N90" s="64">
        <v>24.4</v>
      </c>
      <c r="O90" s="64">
        <v>0</v>
      </c>
      <c r="P90" s="64">
        <v>1.96</v>
      </c>
      <c r="Q90" s="64">
        <v>7.24</v>
      </c>
      <c r="R90" s="198"/>
      <c r="S90" s="198"/>
      <c r="T90" s="198"/>
      <c r="U90" s="198"/>
    </row>
    <row r="91" spans="1:26" s="12" customFormat="1" x14ac:dyDescent="0.25">
      <c r="A91" s="215" t="s">
        <v>3020</v>
      </c>
      <c r="B91" s="64">
        <v>61.1</v>
      </c>
      <c r="C91" s="64">
        <v>74.150000000000006</v>
      </c>
      <c r="D91" s="64">
        <v>90.57</v>
      </c>
      <c r="E91" s="64">
        <v>2.33</v>
      </c>
      <c r="F91" s="64">
        <v>3.17</v>
      </c>
      <c r="G91" s="64">
        <v>85.28</v>
      </c>
      <c r="H91" s="64">
        <v>40.28</v>
      </c>
      <c r="I91" s="64">
        <v>1.5</v>
      </c>
      <c r="J91" s="64">
        <v>0.01</v>
      </c>
      <c r="K91" s="64">
        <v>7.0000000000000007E-2</v>
      </c>
      <c r="L91" s="64">
        <v>20.37</v>
      </c>
      <c r="M91" s="64">
        <v>75.34</v>
      </c>
      <c r="N91" s="64">
        <v>24.2</v>
      </c>
      <c r="O91" s="64">
        <v>0</v>
      </c>
      <c r="P91" s="64">
        <v>1.97</v>
      </c>
      <c r="Q91" s="64">
        <v>7.3</v>
      </c>
      <c r="R91" s="198"/>
      <c r="S91" s="198"/>
      <c r="T91" s="198"/>
      <c r="U91" s="198"/>
    </row>
    <row r="92" spans="1:26" s="12" customFormat="1" x14ac:dyDescent="0.25">
      <c r="A92" s="215" t="s">
        <v>3021</v>
      </c>
      <c r="B92" s="64">
        <v>62.4</v>
      </c>
      <c r="C92" s="64">
        <v>68.66</v>
      </c>
      <c r="D92" s="64">
        <v>88.58</v>
      </c>
      <c r="E92" s="64">
        <v>2.31</v>
      </c>
      <c r="F92" s="64">
        <v>3.18</v>
      </c>
      <c r="G92" s="64">
        <v>85.28</v>
      </c>
      <c r="H92" s="64">
        <v>40.28</v>
      </c>
      <c r="I92" s="64">
        <v>1.43</v>
      </c>
      <c r="J92" s="64">
        <v>0.24</v>
      </c>
      <c r="K92" s="64">
        <v>312.3</v>
      </c>
      <c r="L92" s="64">
        <v>20.23</v>
      </c>
      <c r="M92" s="64">
        <v>76.930000000000007</v>
      </c>
      <c r="N92" s="64">
        <v>24.1</v>
      </c>
      <c r="O92" s="64">
        <v>0</v>
      </c>
      <c r="P92" s="64">
        <v>1.98</v>
      </c>
      <c r="Q92" s="64">
        <v>7.37</v>
      </c>
      <c r="R92" s="198"/>
      <c r="S92" s="198"/>
      <c r="T92" s="198"/>
      <c r="U92" s="198"/>
    </row>
    <row r="93" spans="1:26" s="12" customFormat="1" x14ac:dyDescent="0.25">
      <c r="A93" s="215" t="s">
        <v>3022</v>
      </c>
      <c r="B93" s="64">
        <v>41.59</v>
      </c>
      <c r="C93" s="64">
        <v>61.87</v>
      </c>
      <c r="D93" s="64">
        <v>68.150000000000006</v>
      </c>
      <c r="E93" s="64">
        <v>2.3199999999999998</v>
      </c>
      <c r="F93" s="64">
        <v>3.19</v>
      </c>
      <c r="G93" s="64">
        <v>85.28</v>
      </c>
      <c r="H93" s="64">
        <v>40.28</v>
      </c>
      <c r="I93" s="64">
        <v>1.49</v>
      </c>
      <c r="J93" s="64">
        <v>0.06</v>
      </c>
      <c r="K93" s="64">
        <v>340.25</v>
      </c>
      <c r="L93" s="64">
        <v>20.22</v>
      </c>
      <c r="M93" s="64">
        <v>77.02</v>
      </c>
      <c r="N93" s="64">
        <v>24.2</v>
      </c>
      <c r="O93" s="64">
        <v>0</v>
      </c>
      <c r="P93" s="64">
        <v>1.93</v>
      </c>
      <c r="Q93" s="64">
        <v>7.43</v>
      </c>
      <c r="R93" s="198"/>
      <c r="S93" s="198"/>
      <c r="T93" s="198"/>
      <c r="U93" s="198"/>
    </row>
    <row r="94" spans="1:26" s="12" customFormat="1" x14ac:dyDescent="0.25">
      <c r="A94" s="215" t="s">
        <v>3023</v>
      </c>
      <c r="B94" s="64">
        <v>53.79</v>
      </c>
      <c r="C94" s="64">
        <v>65.92</v>
      </c>
      <c r="D94" s="64">
        <v>80.16</v>
      </c>
      <c r="E94" s="64">
        <v>2.3199999999999998</v>
      </c>
      <c r="F94" s="64">
        <v>3.1</v>
      </c>
      <c r="G94" s="64">
        <v>83.44</v>
      </c>
      <c r="H94" s="64">
        <v>39.6</v>
      </c>
      <c r="I94" s="64">
        <v>1.52</v>
      </c>
      <c r="J94" s="64">
        <v>0.13</v>
      </c>
      <c r="K94" s="64">
        <v>84.63</v>
      </c>
      <c r="L94" s="64">
        <v>20.079999999999998</v>
      </c>
      <c r="M94" s="64">
        <v>77.95</v>
      </c>
      <c r="N94" s="64">
        <v>24.3</v>
      </c>
      <c r="O94" s="64">
        <v>0</v>
      </c>
      <c r="P94" s="64">
        <v>1.91</v>
      </c>
      <c r="Q94" s="64">
        <v>7.48</v>
      </c>
      <c r="R94" s="198"/>
      <c r="S94" s="198"/>
      <c r="T94" s="198"/>
      <c r="U94" s="198"/>
    </row>
    <row r="95" spans="1:26" s="12" customFormat="1" x14ac:dyDescent="0.25">
      <c r="A95" s="215" t="s">
        <v>3024</v>
      </c>
      <c r="B95" s="64">
        <v>73.73</v>
      </c>
      <c r="C95" s="64">
        <v>68.260000000000005</v>
      </c>
      <c r="D95" s="64">
        <v>97.44</v>
      </c>
      <c r="E95" s="64">
        <v>2.3199999999999998</v>
      </c>
      <c r="F95" s="64">
        <v>3.11</v>
      </c>
      <c r="G95" s="64">
        <v>81.510000000000005</v>
      </c>
      <c r="H95" s="64">
        <v>39.24</v>
      </c>
      <c r="I95" s="64">
        <v>1.49</v>
      </c>
      <c r="J95" s="64">
        <v>0.12</v>
      </c>
      <c r="K95" s="64">
        <v>90.2</v>
      </c>
      <c r="L95" s="64">
        <v>19.91</v>
      </c>
      <c r="M95" s="64">
        <v>78.900000000000006</v>
      </c>
      <c r="N95" s="64">
        <v>24.3</v>
      </c>
      <c r="O95" s="64">
        <v>0</v>
      </c>
      <c r="P95" s="64">
        <v>1.86</v>
      </c>
      <c r="Q95" s="64">
        <v>7.44</v>
      </c>
      <c r="R95" s="198"/>
      <c r="S95" s="198"/>
      <c r="T95" s="198"/>
      <c r="U95" s="198"/>
    </row>
    <row r="96" spans="1:26" s="12" customFormat="1" x14ac:dyDescent="0.25">
      <c r="A96" s="215" t="s">
        <v>3025</v>
      </c>
      <c r="B96" s="64">
        <v>52.25</v>
      </c>
      <c r="C96" s="64">
        <v>64.38</v>
      </c>
      <c r="D96" s="64">
        <v>78.08</v>
      </c>
      <c r="E96" s="64">
        <v>2.2400000000000002</v>
      </c>
      <c r="F96" s="64">
        <v>3.14</v>
      </c>
      <c r="G96" s="64">
        <v>81.510000000000005</v>
      </c>
      <c r="H96" s="64">
        <v>39.24</v>
      </c>
      <c r="I96" s="64">
        <v>1.48</v>
      </c>
      <c r="J96" s="64">
        <v>0.01</v>
      </c>
      <c r="K96" s="64">
        <v>151.38999999999999</v>
      </c>
      <c r="L96" s="64">
        <v>19.850000000000001</v>
      </c>
      <c r="M96" s="64">
        <v>79.44</v>
      </c>
      <c r="N96" s="64">
        <v>24.2</v>
      </c>
      <c r="O96" s="64">
        <v>0</v>
      </c>
      <c r="P96" s="64">
        <v>1.85</v>
      </c>
      <c r="Q96" s="64">
        <v>7.58</v>
      </c>
      <c r="R96" s="198"/>
      <c r="S96" s="198"/>
      <c r="T96" s="198"/>
      <c r="U96" s="198"/>
      <c r="Z96" s="109"/>
    </row>
    <row r="97" spans="1:33" s="12" customFormat="1" x14ac:dyDescent="0.25">
      <c r="A97" s="215" t="s">
        <v>3026</v>
      </c>
      <c r="B97" s="64">
        <v>48.76</v>
      </c>
      <c r="C97" s="64">
        <v>59.84</v>
      </c>
      <c r="D97" s="64">
        <v>72.77</v>
      </c>
      <c r="E97" s="64">
        <v>2.27</v>
      </c>
      <c r="F97" s="64">
        <v>3.26</v>
      </c>
      <c r="G97" s="64">
        <v>81.510000000000005</v>
      </c>
      <c r="H97" s="64">
        <v>39.24</v>
      </c>
      <c r="I97" s="64">
        <v>1.53</v>
      </c>
      <c r="J97" s="64">
        <v>0.02</v>
      </c>
      <c r="K97" s="64">
        <v>166.36</v>
      </c>
      <c r="L97" s="64">
        <v>19.920000000000002</v>
      </c>
      <c r="M97" s="64">
        <v>78.8</v>
      </c>
      <c r="N97" s="64">
        <v>24.4</v>
      </c>
      <c r="O97" s="64">
        <v>0</v>
      </c>
      <c r="P97" s="64">
        <v>1.82</v>
      </c>
      <c r="Q97" s="64">
        <v>7.66</v>
      </c>
      <c r="R97" s="198"/>
      <c r="S97" s="198"/>
      <c r="T97" s="198"/>
      <c r="U97" s="198"/>
    </row>
    <row r="98" spans="1:33" s="12" customFormat="1" x14ac:dyDescent="0.25">
      <c r="A98" s="215" t="s">
        <v>3027</v>
      </c>
      <c r="B98" s="64">
        <v>36.26</v>
      </c>
      <c r="C98" s="64">
        <v>59.05</v>
      </c>
      <c r="D98" s="64">
        <v>62.31</v>
      </c>
      <c r="E98" s="64">
        <v>2.27</v>
      </c>
      <c r="F98" s="64">
        <v>3.24</v>
      </c>
      <c r="G98" s="64">
        <v>76.3</v>
      </c>
      <c r="H98" s="64">
        <v>38.42</v>
      </c>
      <c r="I98" s="64">
        <v>1.49</v>
      </c>
      <c r="J98" s="64">
        <v>0.43</v>
      </c>
      <c r="K98" s="64">
        <v>102.53</v>
      </c>
      <c r="L98" s="64">
        <v>19.940000000000001</v>
      </c>
      <c r="M98" s="64">
        <v>77.81</v>
      </c>
      <c r="N98" s="64">
        <v>24.4</v>
      </c>
      <c r="O98" s="64">
        <v>0</v>
      </c>
      <c r="P98" s="64">
        <v>1.74</v>
      </c>
      <c r="Q98" s="64">
        <v>7.64</v>
      </c>
      <c r="R98" s="198"/>
      <c r="S98" s="198"/>
      <c r="T98" s="198"/>
      <c r="U98" s="198"/>
    </row>
    <row r="99" spans="1:33" s="12" customFormat="1" x14ac:dyDescent="0.25">
      <c r="A99" s="215" t="s">
        <v>3028</v>
      </c>
      <c r="B99" s="64">
        <v>25.97</v>
      </c>
      <c r="C99" s="64">
        <v>53.35</v>
      </c>
      <c r="D99" s="64">
        <v>50.92</v>
      </c>
      <c r="E99" s="64">
        <v>2.29</v>
      </c>
      <c r="F99" s="64">
        <v>3.11</v>
      </c>
      <c r="G99" s="64">
        <v>70.849999999999994</v>
      </c>
      <c r="H99" s="64">
        <v>37.99</v>
      </c>
      <c r="I99" s="64">
        <v>1.52</v>
      </c>
      <c r="J99" s="64">
        <v>0.37</v>
      </c>
      <c r="K99" s="64">
        <v>101.42</v>
      </c>
      <c r="L99" s="64">
        <v>19.87</v>
      </c>
      <c r="M99" s="64">
        <v>77.16</v>
      </c>
      <c r="N99" s="64">
        <v>24.3</v>
      </c>
      <c r="O99" s="64">
        <v>0</v>
      </c>
      <c r="P99" s="64">
        <v>1.7</v>
      </c>
      <c r="Q99" s="64">
        <v>7.67</v>
      </c>
      <c r="R99" s="198"/>
      <c r="S99" s="198"/>
      <c r="T99" s="198"/>
      <c r="U99" s="198"/>
    </row>
    <row r="100" spans="1:33" s="12" customFormat="1" x14ac:dyDescent="0.25">
      <c r="A100" s="215" t="s">
        <v>3029</v>
      </c>
      <c r="B100" s="64">
        <v>28.59</v>
      </c>
      <c r="C100" s="64">
        <v>53.51</v>
      </c>
      <c r="D100" s="64">
        <v>53.1</v>
      </c>
      <c r="E100" s="64">
        <v>2.31</v>
      </c>
      <c r="F100" s="64">
        <v>3.11</v>
      </c>
      <c r="G100" s="64">
        <v>70.849999999999994</v>
      </c>
      <c r="H100" s="64">
        <v>37.99</v>
      </c>
      <c r="I100" s="64">
        <v>1.52</v>
      </c>
      <c r="J100" s="64">
        <v>0.35</v>
      </c>
      <c r="K100" s="64">
        <v>101.53</v>
      </c>
      <c r="L100" s="64">
        <v>19.7</v>
      </c>
      <c r="M100" s="64">
        <v>77.38</v>
      </c>
      <c r="N100" s="64">
        <v>24.3</v>
      </c>
      <c r="O100" s="64">
        <v>0</v>
      </c>
      <c r="P100" s="64">
        <v>1.69</v>
      </c>
      <c r="Q100" s="64">
        <v>7.6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3030</v>
      </c>
      <c r="B101" s="64">
        <v>33.700000000000003</v>
      </c>
      <c r="C101" s="64">
        <v>46.16</v>
      </c>
      <c r="D101" s="64">
        <v>53.15</v>
      </c>
      <c r="E101" s="64">
        <v>2.2799999999999998</v>
      </c>
      <c r="F101" s="64">
        <v>3.3</v>
      </c>
      <c r="G101" s="64">
        <v>70.849999999999994</v>
      </c>
      <c r="H101" s="64">
        <v>37.99</v>
      </c>
      <c r="I101" s="64">
        <v>1.5</v>
      </c>
      <c r="J101" s="64">
        <v>0.45</v>
      </c>
      <c r="K101" s="64">
        <v>100.33</v>
      </c>
      <c r="L101" s="64">
        <v>19.59</v>
      </c>
      <c r="M101" s="64">
        <v>77.260000000000005</v>
      </c>
      <c r="N101" s="64">
        <v>24.1</v>
      </c>
      <c r="O101" s="64">
        <v>0</v>
      </c>
      <c r="P101" s="64">
        <v>1.62</v>
      </c>
      <c r="Q101" s="64">
        <v>7.59</v>
      </c>
      <c r="R101" s="198"/>
      <c r="S101" s="198"/>
      <c r="T101" s="198"/>
      <c r="U101" s="198"/>
    </row>
    <row r="102" spans="1:33" s="12" customFormat="1" x14ac:dyDescent="0.25">
      <c r="A102" s="215" t="s">
        <v>3031</v>
      </c>
      <c r="B102" s="64">
        <v>29.77</v>
      </c>
      <c r="C102" s="64">
        <v>45.28</v>
      </c>
      <c r="D102" s="64">
        <v>49.51</v>
      </c>
      <c r="E102" s="64">
        <v>2.29</v>
      </c>
      <c r="F102" s="64">
        <v>3.08</v>
      </c>
      <c r="G102" s="64">
        <v>63.84</v>
      </c>
      <c r="H102" s="64">
        <v>35.33</v>
      </c>
      <c r="I102" s="64">
        <v>1.54</v>
      </c>
      <c r="J102" s="64">
        <v>0.49</v>
      </c>
      <c r="K102" s="64">
        <v>107.96</v>
      </c>
      <c r="L102" s="64">
        <v>19.53</v>
      </c>
      <c r="M102" s="64">
        <v>77.55</v>
      </c>
      <c r="N102" s="64">
        <v>24.1</v>
      </c>
      <c r="O102" s="64">
        <v>0</v>
      </c>
      <c r="P102" s="64">
        <v>1.56</v>
      </c>
      <c r="Q102" s="64">
        <v>7.45</v>
      </c>
      <c r="R102" s="198"/>
      <c r="S102" s="198"/>
      <c r="T102" s="198"/>
      <c r="U102" s="198"/>
    </row>
    <row r="103" spans="1:33" s="12" customFormat="1" x14ac:dyDescent="0.25">
      <c r="A103" s="215" t="s">
        <v>3032</v>
      </c>
      <c r="B103" s="64">
        <v>27.51</v>
      </c>
      <c r="C103" s="64">
        <v>46.96</v>
      </c>
      <c r="D103" s="64">
        <v>48.63</v>
      </c>
      <c r="E103" s="64">
        <v>2.21</v>
      </c>
      <c r="F103" s="64">
        <v>3.04</v>
      </c>
      <c r="G103" s="64">
        <v>56.51</v>
      </c>
      <c r="H103" s="64">
        <v>32.28</v>
      </c>
      <c r="I103" s="64">
        <v>1.47</v>
      </c>
      <c r="J103" s="64">
        <v>0.32</v>
      </c>
      <c r="K103" s="64">
        <v>98.71</v>
      </c>
      <c r="L103" s="64">
        <v>19.399999999999999</v>
      </c>
      <c r="M103" s="64">
        <v>78.14</v>
      </c>
      <c r="N103" s="64">
        <v>24.3</v>
      </c>
      <c r="O103" s="64">
        <v>0</v>
      </c>
      <c r="P103" s="64">
        <v>1.5</v>
      </c>
      <c r="Q103" s="64">
        <v>7.35</v>
      </c>
      <c r="R103" s="198"/>
      <c r="S103" s="198"/>
      <c r="T103" s="198"/>
      <c r="U103" s="198"/>
    </row>
    <row r="104" spans="1:33" s="12" customFormat="1" x14ac:dyDescent="0.25">
      <c r="A104" s="215" t="s">
        <v>3033</v>
      </c>
      <c r="B104" s="64">
        <v>29.9</v>
      </c>
      <c r="C104" s="64">
        <v>45.19</v>
      </c>
      <c r="D104" s="64">
        <v>49.56</v>
      </c>
      <c r="E104" s="64">
        <v>2.16</v>
      </c>
      <c r="F104" s="64">
        <v>3.05</v>
      </c>
      <c r="G104" s="64">
        <v>56.51</v>
      </c>
      <c r="H104" s="64">
        <v>32.28</v>
      </c>
      <c r="I104" s="64">
        <v>1.5</v>
      </c>
      <c r="J104" s="64">
        <v>0.19</v>
      </c>
      <c r="K104" s="64">
        <v>83.58</v>
      </c>
      <c r="L104" s="64">
        <v>19.13</v>
      </c>
      <c r="M104" s="64">
        <v>79.39</v>
      </c>
      <c r="N104" s="64">
        <v>24.4</v>
      </c>
      <c r="O104" s="64">
        <v>0</v>
      </c>
      <c r="P104" s="64">
        <v>1.44</v>
      </c>
      <c r="Q104" s="64">
        <v>7.2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10.46</v>
      </c>
      <c r="C106" s="67">
        <f>MIN(C9:C104)</f>
        <v>43.25</v>
      </c>
      <c r="D106" s="67">
        <f t="shared" ref="D106:Q106" si="0">MIN(D9:D104)</f>
        <v>34.270000000000003</v>
      </c>
      <c r="E106" s="67">
        <f t="shared" si="0"/>
        <v>0.19</v>
      </c>
      <c r="F106" s="67">
        <f t="shared" si="0"/>
        <v>2.4700000000000002</v>
      </c>
      <c r="G106" s="67">
        <f t="shared" si="0"/>
        <v>25.68</v>
      </c>
      <c r="H106" s="67">
        <f t="shared" si="0"/>
        <v>12.16</v>
      </c>
      <c r="I106" s="67">
        <f t="shared" si="0"/>
        <v>1.38</v>
      </c>
      <c r="J106" s="67">
        <f t="shared" si="0"/>
        <v>0.01</v>
      </c>
      <c r="K106" s="67">
        <f t="shared" si="0"/>
        <v>7.0000000000000007E-2</v>
      </c>
      <c r="L106" s="67">
        <f t="shared" si="0"/>
        <v>15</v>
      </c>
      <c r="M106" s="67">
        <f t="shared" si="0"/>
        <v>44.56</v>
      </c>
      <c r="N106" s="67">
        <f t="shared" si="0"/>
        <v>24.1</v>
      </c>
      <c r="O106" s="67">
        <f t="shared" si="0"/>
        <v>0</v>
      </c>
      <c r="P106" s="67">
        <f t="shared" si="0"/>
        <v>0.1</v>
      </c>
      <c r="Q106" s="67">
        <f t="shared" si="0"/>
        <v>5.84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73.73</v>
      </c>
      <c r="C107" s="66">
        <f t="shared" ref="C107:Q107" si="1">MAX(C9:C104)</f>
        <v>78.64</v>
      </c>
      <c r="D107" s="66">
        <f t="shared" si="1"/>
        <v>97.44</v>
      </c>
      <c r="E107" s="66">
        <f t="shared" si="1"/>
        <v>2.75</v>
      </c>
      <c r="F107" s="66">
        <f t="shared" si="1"/>
        <v>6.75</v>
      </c>
      <c r="G107" s="66">
        <f t="shared" si="1"/>
        <v>167.63</v>
      </c>
      <c r="H107" s="66">
        <f t="shared" si="1"/>
        <v>77.78</v>
      </c>
      <c r="I107" s="66">
        <f t="shared" si="1"/>
        <v>1.63</v>
      </c>
      <c r="J107" s="66">
        <f t="shared" si="1"/>
        <v>1.34</v>
      </c>
      <c r="K107" s="66">
        <f t="shared" si="1"/>
        <v>356.73</v>
      </c>
      <c r="L107" s="66">
        <f t="shared" si="1"/>
        <v>27.27</v>
      </c>
      <c r="M107" s="66">
        <f t="shared" si="1"/>
        <v>98.1</v>
      </c>
      <c r="N107" s="66">
        <f t="shared" si="1"/>
        <v>694</v>
      </c>
      <c r="O107" s="66">
        <f t="shared" si="1"/>
        <v>0</v>
      </c>
      <c r="P107" s="66">
        <f t="shared" si="1"/>
        <v>1.99</v>
      </c>
      <c r="Q107" s="66">
        <f t="shared" si="1"/>
        <v>9.2200000000000006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34.21012195121952</v>
      </c>
      <c r="C108" s="67">
        <f t="shared" ref="C108:Q108" si="2">AVERAGE(C9:C104)</f>
        <v>56.364024390243905</v>
      </c>
      <c r="D108" s="67">
        <f t="shared" si="2"/>
        <v>59.186463414634147</v>
      </c>
      <c r="E108" s="67">
        <f t="shared" si="2"/>
        <v>2.2034246575342467</v>
      </c>
      <c r="F108" s="67">
        <f t="shared" si="2"/>
        <v>3.2055813953488372</v>
      </c>
      <c r="G108" s="67">
        <f t="shared" si="2"/>
        <v>86.850240963855455</v>
      </c>
      <c r="H108" s="67">
        <f t="shared" si="2"/>
        <v>38.763373493975884</v>
      </c>
      <c r="I108" s="67">
        <f t="shared" si="2"/>
        <v>1.4962790697674415</v>
      </c>
      <c r="J108" s="67">
        <f t="shared" si="2"/>
        <v>0.46581395348837218</v>
      </c>
      <c r="K108" s="67">
        <f t="shared" si="2"/>
        <v>220.26488372093019</v>
      </c>
      <c r="L108" s="67">
        <f t="shared" si="2"/>
        <v>19.672093023255815</v>
      </c>
      <c r="M108" s="67">
        <f t="shared" si="2"/>
        <v>78.268604651162789</v>
      </c>
      <c r="N108" s="67">
        <f t="shared" si="2"/>
        <v>170.14534883720927</v>
      </c>
      <c r="O108" s="67">
        <f t="shared" si="2"/>
        <v>0</v>
      </c>
      <c r="P108" s="67">
        <f t="shared" si="2"/>
        <v>1.2396511627906979</v>
      </c>
      <c r="Q108" s="67">
        <f t="shared" si="2"/>
        <v>8.0701219512195159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12.513749918468907</v>
      </c>
      <c r="C109" s="67">
        <f t="shared" ref="C109:Q109" si="3">STDEV(C9:C104)</f>
        <v>9.2042491341148693</v>
      </c>
      <c r="D109" s="67">
        <f t="shared" si="3"/>
        <v>12.352063992265215</v>
      </c>
      <c r="E109" s="67">
        <f t="shared" si="3"/>
        <v>0.30486435589401423</v>
      </c>
      <c r="F109" s="67">
        <f t="shared" si="3"/>
        <v>0.50215208535489164</v>
      </c>
      <c r="G109" s="67">
        <f t="shared" si="3"/>
        <v>32.736739299160831</v>
      </c>
      <c r="H109" s="67">
        <f t="shared" si="3"/>
        <v>15.549357784331328</v>
      </c>
      <c r="I109" s="67">
        <f t="shared" si="3"/>
        <v>4.7971719895295861E-2</v>
      </c>
      <c r="J109" s="67">
        <f t="shared" si="3"/>
        <v>0.34104153659834807</v>
      </c>
      <c r="K109" s="67">
        <f t="shared" si="3"/>
        <v>137.29748349301869</v>
      </c>
      <c r="L109" s="67">
        <f t="shared" si="3"/>
        <v>3.711279188470487</v>
      </c>
      <c r="M109" s="67">
        <f t="shared" si="3"/>
        <v>18.062806124434712</v>
      </c>
      <c r="N109" s="67">
        <f t="shared" si="3"/>
        <v>234.1530623869161</v>
      </c>
      <c r="O109" s="67">
        <f t="shared" si="3"/>
        <v>0</v>
      </c>
      <c r="P109" s="67">
        <f t="shared" si="3"/>
        <v>0.36906383211458405</v>
      </c>
      <c r="Q109" s="67">
        <f t="shared" si="3"/>
        <v>0.89870894216203601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COUNT(B9:B104)+14</f>
        <v>96</v>
      </c>
      <c r="C110" s="66">
        <f>COUNT(C9:C104)+14</f>
        <v>96</v>
      </c>
      <c r="D110" s="66">
        <f>COUNT(D9:D104)+14</f>
        <v>96</v>
      </c>
      <c r="E110" s="66">
        <f>COUNT(E9:E104)+23</f>
        <v>96</v>
      </c>
      <c r="F110" s="66">
        <f>COUNT(F9:F104)+10</f>
        <v>96</v>
      </c>
      <c r="G110" s="66">
        <f>COUNT(G9:G104)+13</f>
        <v>96</v>
      </c>
      <c r="H110" s="66">
        <f>COUNT(H9:H104)+13</f>
        <v>96</v>
      </c>
      <c r="I110" s="66">
        <f>COUNT(I9:I104)+10</f>
        <v>96</v>
      </c>
      <c r="J110" s="66">
        <f t="shared" ref="J110:P110" si="4">COUNT(J9:J104)+10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5" t="s">
        <v>3034</v>
      </c>
      <c r="B9" s="64">
        <v>24.12</v>
      </c>
      <c r="C9" s="64">
        <v>45.49</v>
      </c>
      <c r="D9" s="64">
        <v>45.09</v>
      </c>
      <c r="E9" s="64">
        <v>2.27</v>
      </c>
      <c r="F9" s="64">
        <v>3.1</v>
      </c>
      <c r="G9" s="64">
        <v>56.51</v>
      </c>
      <c r="H9" s="64">
        <v>32.28</v>
      </c>
      <c r="I9" s="64">
        <v>1.49</v>
      </c>
      <c r="J9" s="64">
        <v>0.31</v>
      </c>
      <c r="K9" s="64">
        <v>102.31</v>
      </c>
      <c r="L9" s="64">
        <v>18.98</v>
      </c>
      <c r="M9" s="64">
        <v>80.36</v>
      </c>
      <c r="N9" s="64">
        <v>24.1</v>
      </c>
      <c r="O9" s="64">
        <v>0</v>
      </c>
      <c r="P9" s="64">
        <v>1.39</v>
      </c>
      <c r="Q9" s="64">
        <v>7.04</v>
      </c>
      <c r="R9" s="198"/>
      <c r="S9" s="198"/>
      <c r="T9" s="198"/>
      <c r="U9" s="198"/>
    </row>
    <row r="10" spans="1:21" s="12" customFormat="1" x14ac:dyDescent="0.25">
      <c r="A10" s="215" t="s">
        <v>3035</v>
      </c>
      <c r="B10" s="64">
        <v>20.55</v>
      </c>
      <c r="C10" s="64">
        <v>45.1</v>
      </c>
      <c r="D10" s="64">
        <v>42.02</v>
      </c>
      <c r="E10" s="64">
        <v>2.2999999999999998</v>
      </c>
      <c r="F10" s="64">
        <v>3.18</v>
      </c>
      <c r="G10" s="64">
        <v>51.56</v>
      </c>
      <c r="H10" s="64">
        <v>28.32</v>
      </c>
      <c r="I10" s="64">
        <v>1.51</v>
      </c>
      <c r="J10" s="64">
        <v>0.12</v>
      </c>
      <c r="K10" s="64">
        <v>130.96</v>
      </c>
      <c r="L10" s="64">
        <v>18.88</v>
      </c>
      <c r="M10" s="64">
        <v>81.05</v>
      </c>
      <c r="N10" s="64">
        <v>24.2</v>
      </c>
      <c r="O10" s="64">
        <v>0</v>
      </c>
      <c r="P10" s="64">
        <v>1.33</v>
      </c>
      <c r="Q10" s="64">
        <v>6.92</v>
      </c>
      <c r="R10" s="198"/>
      <c r="S10" s="198"/>
      <c r="T10" s="198"/>
      <c r="U10" s="198"/>
    </row>
    <row r="11" spans="1:21" s="12" customFormat="1" x14ac:dyDescent="0.25">
      <c r="A11" s="215" t="s">
        <v>3036</v>
      </c>
      <c r="B11" s="64">
        <v>20.97</v>
      </c>
      <c r="C11" s="64">
        <v>47.22</v>
      </c>
      <c r="D11" s="64">
        <v>43.52</v>
      </c>
      <c r="E11" s="64">
        <v>2.29</v>
      </c>
      <c r="F11" s="64">
        <v>3.03</v>
      </c>
      <c r="G11" s="64">
        <v>46.4</v>
      </c>
      <c r="H11" s="64">
        <v>26.25</v>
      </c>
      <c r="I11" s="64">
        <v>1.54</v>
      </c>
      <c r="J11" s="64">
        <v>0.06</v>
      </c>
      <c r="K11" s="64">
        <v>9.57</v>
      </c>
      <c r="L11" s="64">
        <v>18.64</v>
      </c>
      <c r="M11" s="64">
        <v>82.17</v>
      </c>
      <c r="N11" s="64">
        <v>24.4</v>
      </c>
      <c r="O11" s="64">
        <v>0</v>
      </c>
      <c r="P11" s="64">
        <v>1.27</v>
      </c>
      <c r="Q11" s="64">
        <v>6.77</v>
      </c>
      <c r="R11" s="198"/>
      <c r="S11" s="198"/>
      <c r="T11" s="198"/>
      <c r="U11" s="198"/>
    </row>
    <row r="12" spans="1:21" s="12" customFormat="1" x14ac:dyDescent="0.25">
      <c r="A12" s="215" t="s">
        <v>3037</v>
      </c>
      <c r="B12" s="64">
        <v>21.29</v>
      </c>
      <c r="C12" s="64">
        <v>44.28</v>
      </c>
      <c r="D12" s="64">
        <v>42.16</v>
      </c>
      <c r="E12" s="64">
        <v>2.39</v>
      </c>
      <c r="F12" s="64">
        <v>2.96</v>
      </c>
      <c r="G12" s="64">
        <v>46.4</v>
      </c>
      <c r="H12" s="64">
        <v>26.25</v>
      </c>
      <c r="I12" s="64">
        <v>1.46</v>
      </c>
      <c r="J12" s="64">
        <v>0.12</v>
      </c>
      <c r="K12" s="64">
        <v>93.84</v>
      </c>
      <c r="L12" s="64">
        <v>18.46</v>
      </c>
      <c r="M12" s="64">
        <v>83.13</v>
      </c>
      <c r="N12" s="64">
        <v>24.2</v>
      </c>
      <c r="O12" s="64">
        <v>0</v>
      </c>
      <c r="P12" s="64">
        <v>1.23</v>
      </c>
      <c r="Q12" s="64">
        <v>6.65</v>
      </c>
      <c r="R12" s="198"/>
      <c r="S12" s="198"/>
      <c r="T12" s="198"/>
      <c r="U12" s="198"/>
    </row>
    <row r="13" spans="1:21" s="12" customFormat="1" x14ac:dyDescent="0.25">
      <c r="A13" s="215" t="s">
        <v>3038</v>
      </c>
      <c r="B13" s="64">
        <v>20.149999999999999</v>
      </c>
      <c r="C13" s="64">
        <v>42.98</v>
      </c>
      <c r="D13" s="64">
        <v>40.520000000000003</v>
      </c>
      <c r="E13" s="64">
        <v>2.27</v>
      </c>
      <c r="F13" s="64">
        <v>3.03</v>
      </c>
      <c r="G13" s="64">
        <v>46.4</v>
      </c>
      <c r="H13" s="64">
        <v>26.25</v>
      </c>
      <c r="I13" s="64">
        <v>1.45</v>
      </c>
      <c r="J13" s="64">
        <v>0.1</v>
      </c>
      <c r="K13" s="64">
        <v>63.29</v>
      </c>
      <c r="L13" s="64">
        <v>18.46</v>
      </c>
      <c r="M13" s="64">
        <v>83.83</v>
      </c>
      <c r="N13" s="64">
        <v>24.5</v>
      </c>
      <c r="O13" s="64">
        <v>0</v>
      </c>
      <c r="P13" s="64">
        <v>1.1299999999999999</v>
      </c>
      <c r="Q13" s="64">
        <v>6.56</v>
      </c>
      <c r="R13" s="198"/>
      <c r="S13" s="198"/>
      <c r="T13" s="198"/>
      <c r="U13" s="198"/>
    </row>
    <row r="14" spans="1:21" s="12" customFormat="1" x14ac:dyDescent="0.25">
      <c r="A14" s="215" t="s">
        <v>3039</v>
      </c>
      <c r="B14" s="64">
        <v>20.46</v>
      </c>
      <c r="C14" s="64">
        <v>44.77</v>
      </c>
      <c r="D14" s="64">
        <v>41.76</v>
      </c>
      <c r="E14" s="64">
        <v>2.2400000000000002</v>
      </c>
      <c r="F14" s="64">
        <v>3.08</v>
      </c>
      <c r="G14" s="64">
        <v>48.97</v>
      </c>
      <c r="H14" s="64">
        <v>26.43</v>
      </c>
      <c r="I14" s="64">
        <v>1.45</v>
      </c>
      <c r="J14" s="64">
        <v>0.05</v>
      </c>
      <c r="K14" s="64">
        <v>24.52</v>
      </c>
      <c r="L14" s="64">
        <v>18.23</v>
      </c>
      <c r="M14" s="64">
        <v>85.67</v>
      </c>
      <c r="N14" s="64">
        <v>24.4</v>
      </c>
      <c r="O14" s="64">
        <v>0</v>
      </c>
      <c r="P14" s="64">
        <v>1.1399999999999999</v>
      </c>
      <c r="Q14" s="64">
        <v>6.41</v>
      </c>
      <c r="R14" s="198"/>
      <c r="S14" s="198"/>
      <c r="T14" s="198"/>
      <c r="U14" s="198"/>
    </row>
    <row r="15" spans="1:21" s="12" customFormat="1" x14ac:dyDescent="0.25">
      <c r="A15" s="215" t="s">
        <v>3040</v>
      </c>
      <c r="B15" s="64">
        <v>20.72</v>
      </c>
      <c r="C15" s="64">
        <v>44.13</v>
      </c>
      <c r="D15" s="64">
        <v>41.61</v>
      </c>
      <c r="E15" s="64">
        <v>2.2999999999999998</v>
      </c>
      <c r="F15" s="64">
        <v>3.01</v>
      </c>
      <c r="G15" s="64">
        <v>51.65</v>
      </c>
      <c r="H15" s="64">
        <v>26.52</v>
      </c>
      <c r="I15" s="64">
        <v>1.52</v>
      </c>
      <c r="J15" s="64">
        <v>0.12</v>
      </c>
      <c r="K15" s="64">
        <v>67.209999999999994</v>
      </c>
      <c r="L15" s="64">
        <v>18.25</v>
      </c>
      <c r="M15" s="64">
        <v>84.8</v>
      </c>
      <c r="N15" s="64">
        <v>24.3</v>
      </c>
      <c r="O15" s="64">
        <v>0</v>
      </c>
      <c r="P15" s="64">
        <v>1.1000000000000001</v>
      </c>
      <c r="Q15" s="64">
        <v>6.31</v>
      </c>
      <c r="R15" s="198"/>
      <c r="S15" s="198"/>
      <c r="T15" s="198"/>
      <c r="U15" s="198"/>
    </row>
    <row r="16" spans="1:21" s="12" customFormat="1" x14ac:dyDescent="0.25">
      <c r="A16" s="215" t="s">
        <v>3041</v>
      </c>
      <c r="B16" s="64">
        <v>18.93</v>
      </c>
      <c r="C16" s="64">
        <v>41.1</v>
      </c>
      <c r="D16" s="64">
        <v>38.51</v>
      </c>
      <c r="E16" s="64">
        <v>2.29</v>
      </c>
      <c r="F16" s="64">
        <v>2.93</v>
      </c>
      <c r="G16" s="64">
        <v>51.65</v>
      </c>
      <c r="H16" s="64">
        <v>26.52</v>
      </c>
      <c r="I16" s="64">
        <v>1.49</v>
      </c>
      <c r="J16" s="64">
        <v>0.4</v>
      </c>
      <c r="K16" s="64">
        <v>104.99</v>
      </c>
      <c r="L16" s="64">
        <v>18.32</v>
      </c>
      <c r="M16" s="64">
        <v>84.73</v>
      </c>
      <c r="N16" s="64">
        <v>24</v>
      </c>
      <c r="O16" s="64">
        <v>0</v>
      </c>
      <c r="P16" s="64">
        <v>1.05</v>
      </c>
      <c r="Q16" s="64">
        <v>6.22</v>
      </c>
      <c r="R16" s="198"/>
      <c r="S16" s="198"/>
      <c r="T16" s="198"/>
      <c r="U16" s="198"/>
    </row>
    <row r="17" spans="1:21" s="12" customFormat="1" x14ac:dyDescent="0.25">
      <c r="A17" s="215" t="s">
        <v>3042</v>
      </c>
      <c r="B17" s="64">
        <v>16.96</v>
      </c>
      <c r="C17" s="64">
        <v>39.71</v>
      </c>
      <c r="D17" s="64">
        <v>36.159999999999997</v>
      </c>
      <c r="E17" s="64">
        <v>2.31</v>
      </c>
      <c r="F17" s="64">
        <v>2.96</v>
      </c>
      <c r="G17" s="64">
        <v>51.65</v>
      </c>
      <c r="H17" s="64">
        <v>26.52</v>
      </c>
      <c r="I17" s="64">
        <v>1.49</v>
      </c>
      <c r="J17" s="64">
        <v>0.43</v>
      </c>
      <c r="K17" s="64">
        <v>109.81</v>
      </c>
      <c r="L17" s="64">
        <v>18.510000000000002</v>
      </c>
      <c r="M17" s="64">
        <v>82.16</v>
      </c>
      <c r="N17" s="64">
        <v>24.1</v>
      </c>
      <c r="O17" s="64">
        <v>0</v>
      </c>
      <c r="P17" s="64">
        <v>1.02</v>
      </c>
      <c r="Q17" s="64">
        <v>6.18</v>
      </c>
      <c r="R17" s="198"/>
      <c r="S17" s="198"/>
      <c r="T17" s="198"/>
      <c r="U17" s="198"/>
    </row>
    <row r="18" spans="1:21" s="12" customFormat="1" x14ac:dyDescent="0.25">
      <c r="A18" s="215" t="s">
        <v>3043</v>
      </c>
      <c r="B18" s="64">
        <v>13.05</v>
      </c>
      <c r="C18" s="64">
        <v>40.46</v>
      </c>
      <c r="D18" s="64">
        <v>33.44</v>
      </c>
      <c r="E18" s="64">
        <v>2.25</v>
      </c>
      <c r="F18" s="64">
        <v>2.94</v>
      </c>
      <c r="G18" s="64">
        <v>52.21</v>
      </c>
      <c r="H18" s="64">
        <v>26.87</v>
      </c>
      <c r="I18" s="64">
        <v>1.5</v>
      </c>
      <c r="J18" s="64">
        <v>0.09</v>
      </c>
      <c r="K18" s="64">
        <v>345.88</v>
      </c>
      <c r="L18" s="64">
        <v>18.5</v>
      </c>
      <c r="M18" s="64">
        <v>82.12</v>
      </c>
      <c r="N18" s="64">
        <v>24.6</v>
      </c>
      <c r="O18" s="64">
        <v>0</v>
      </c>
      <c r="P18" s="64">
        <v>0.99</v>
      </c>
      <c r="Q18" s="64">
        <v>6.07</v>
      </c>
      <c r="R18" s="198"/>
      <c r="S18" s="198"/>
      <c r="T18" s="198"/>
      <c r="U18" s="198"/>
    </row>
    <row r="19" spans="1:21" s="12" customFormat="1" x14ac:dyDescent="0.25">
      <c r="A19" s="215" t="s">
        <v>3044</v>
      </c>
      <c r="B19" s="64">
        <v>16.03</v>
      </c>
      <c r="C19" s="64">
        <v>39.22</v>
      </c>
      <c r="D19" s="64">
        <v>35.14</v>
      </c>
      <c r="E19" s="64">
        <v>2.2400000000000002</v>
      </c>
      <c r="F19" s="64">
        <v>2.94</v>
      </c>
      <c r="G19" s="64">
        <v>52.79</v>
      </c>
      <c r="H19" s="64">
        <v>27.06</v>
      </c>
      <c r="I19" s="64">
        <v>1.46</v>
      </c>
      <c r="J19" s="64">
        <v>0.1</v>
      </c>
      <c r="K19" s="64">
        <v>305.88</v>
      </c>
      <c r="L19" s="64">
        <v>17.899999999999999</v>
      </c>
      <c r="M19" s="64">
        <v>87.69</v>
      </c>
      <c r="N19" s="64">
        <v>24.8</v>
      </c>
      <c r="O19" s="64">
        <v>0</v>
      </c>
      <c r="P19" s="64">
        <v>0.95</v>
      </c>
      <c r="Q19" s="64">
        <v>5.95</v>
      </c>
      <c r="R19" s="198"/>
      <c r="S19" s="198"/>
      <c r="T19" s="198"/>
      <c r="U19" s="198"/>
    </row>
    <row r="20" spans="1:21" s="12" customFormat="1" x14ac:dyDescent="0.25">
      <c r="A20" s="215" t="s">
        <v>3045</v>
      </c>
      <c r="B20" s="64">
        <v>21.13</v>
      </c>
      <c r="C20" s="64">
        <v>40.85</v>
      </c>
      <c r="D20" s="64">
        <v>40.14</v>
      </c>
      <c r="E20" s="64">
        <v>2.29</v>
      </c>
      <c r="F20" s="64">
        <v>2.91</v>
      </c>
      <c r="G20" s="64">
        <v>52.79</v>
      </c>
      <c r="H20" s="64">
        <v>27.06</v>
      </c>
      <c r="I20" s="64">
        <v>1.48</v>
      </c>
      <c r="J20" s="64">
        <v>0.02</v>
      </c>
      <c r="K20" s="64">
        <v>25.55</v>
      </c>
      <c r="L20" s="64">
        <v>17.41</v>
      </c>
      <c r="M20" s="64">
        <v>90.39</v>
      </c>
      <c r="N20" s="64">
        <v>24.5</v>
      </c>
      <c r="O20" s="64">
        <v>0</v>
      </c>
      <c r="P20" s="64">
        <v>0.92</v>
      </c>
      <c r="Q20" s="64">
        <v>5.93</v>
      </c>
      <c r="R20" s="198"/>
      <c r="S20" s="198"/>
      <c r="T20" s="198"/>
      <c r="U20" s="198"/>
    </row>
    <row r="21" spans="1:21" s="12" customFormat="1" x14ac:dyDescent="0.25">
      <c r="A21" s="215" t="s">
        <v>3046</v>
      </c>
      <c r="B21" s="64">
        <v>16.059999999999999</v>
      </c>
      <c r="C21" s="64">
        <v>37.35</v>
      </c>
      <c r="D21" s="64">
        <v>34.14</v>
      </c>
      <c r="E21" s="64">
        <v>2.25</v>
      </c>
      <c r="F21" s="64">
        <v>3.1</v>
      </c>
      <c r="G21" s="64">
        <v>52.79</v>
      </c>
      <c r="H21" s="64">
        <v>27.06</v>
      </c>
      <c r="I21" s="64">
        <v>1.57</v>
      </c>
      <c r="J21" s="64">
        <v>0.12</v>
      </c>
      <c r="K21" s="64">
        <v>61.16</v>
      </c>
      <c r="L21" s="64">
        <v>17.25</v>
      </c>
      <c r="M21" s="64">
        <v>92.63</v>
      </c>
      <c r="N21" s="64">
        <v>24.2</v>
      </c>
      <c r="O21" s="64">
        <v>0</v>
      </c>
      <c r="P21" s="64">
        <v>0.9</v>
      </c>
      <c r="Q21" s="64">
        <v>5.88</v>
      </c>
      <c r="R21" s="198"/>
      <c r="S21" s="198"/>
      <c r="T21" s="198"/>
      <c r="U21" s="198"/>
    </row>
    <row r="22" spans="1:21" s="12" customFormat="1" x14ac:dyDescent="0.25">
      <c r="A22" s="215" t="s">
        <v>3047</v>
      </c>
      <c r="B22" s="64">
        <v>19.84</v>
      </c>
      <c r="C22" s="64">
        <v>40.11</v>
      </c>
      <c r="D22" s="64">
        <v>38.700000000000003</v>
      </c>
      <c r="E22" s="64">
        <v>2.34</v>
      </c>
      <c r="F22" s="64">
        <v>3.1</v>
      </c>
      <c r="G22" s="64">
        <v>53.11</v>
      </c>
      <c r="H22" s="64">
        <v>27.25</v>
      </c>
      <c r="I22" s="64">
        <v>1.45</v>
      </c>
      <c r="J22" s="64">
        <v>0.05</v>
      </c>
      <c r="K22" s="64">
        <v>128.74</v>
      </c>
      <c r="L22" s="64">
        <v>17.239999999999998</v>
      </c>
      <c r="M22" s="64">
        <v>93.35</v>
      </c>
      <c r="N22" s="64">
        <v>24.3</v>
      </c>
      <c r="O22" s="64">
        <v>0</v>
      </c>
      <c r="P22" s="64">
        <v>0.88</v>
      </c>
      <c r="Q22" s="64">
        <v>5.81</v>
      </c>
      <c r="R22" s="198"/>
      <c r="S22" s="198"/>
      <c r="T22" s="198"/>
      <c r="U22" s="198"/>
    </row>
    <row r="23" spans="1:21" s="12" customFormat="1" x14ac:dyDescent="0.25">
      <c r="A23" s="215" t="s">
        <v>3048</v>
      </c>
      <c r="B23" s="64">
        <v>17.55</v>
      </c>
      <c r="C23" s="64">
        <v>38.4</v>
      </c>
      <c r="D23" s="64">
        <v>35.909999999999997</v>
      </c>
      <c r="E23" s="64">
        <v>2.23</v>
      </c>
      <c r="F23" s="64">
        <v>3.16</v>
      </c>
      <c r="G23" s="64">
        <v>53.45</v>
      </c>
      <c r="H23" s="64">
        <v>27.46</v>
      </c>
      <c r="I23" s="64">
        <v>1.48</v>
      </c>
      <c r="J23" s="64">
        <v>0.12</v>
      </c>
      <c r="K23" s="64">
        <v>75.34</v>
      </c>
      <c r="L23" s="64">
        <v>17.13</v>
      </c>
      <c r="M23" s="64">
        <v>94.08</v>
      </c>
      <c r="N23" s="64">
        <v>24.1</v>
      </c>
      <c r="O23" s="64">
        <v>0</v>
      </c>
      <c r="P23" s="64">
        <v>0.86</v>
      </c>
      <c r="Q23" s="64">
        <v>5.8</v>
      </c>
      <c r="R23" s="198"/>
      <c r="S23" s="198"/>
      <c r="T23" s="198"/>
      <c r="U23" s="198"/>
    </row>
    <row r="24" spans="1:21" s="12" customFormat="1" x14ac:dyDescent="0.25">
      <c r="A24" s="215" t="s">
        <v>3049</v>
      </c>
      <c r="B24" s="64">
        <v>17.54</v>
      </c>
      <c r="C24" s="64">
        <v>38.1</v>
      </c>
      <c r="D24" s="64">
        <v>35.74</v>
      </c>
      <c r="E24" s="64">
        <v>2.11</v>
      </c>
      <c r="F24" s="64">
        <v>3.2</v>
      </c>
      <c r="G24" s="64">
        <v>53.45</v>
      </c>
      <c r="H24" s="64">
        <v>27.46</v>
      </c>
      <c r="I24" s="64">
        <v>1.54</v>
      </c>
      <c r="J24" s="64">
        <v>0.16</v>
      </c>
      <c r="K24" s="64">
        <v>343.92</v>
      </c>
      <c r="L24" s="64">
        <v>17.079999999999998</v>
      </c>
      <c r="M24" s="64">
        <v>94.14</v>
      </c>
      <c r="N24" s="64">
        <v>24.2</v>
      </c>
      <c r="O24" s="64">
        <v>0</v>
      </c>
      <c r="P24" s="64">
        <v>0.85</v>
      </c>
      <c r="Q24" s="64">
        <v>5.85</v>
      </c>
      <c r="R24" s="198"/>
      <c r="S24" s="198"/>
      <c r="T24" s="198"/>
      <c r="U24" s="198"/>
    </row>
    <row r="25" spans="1:21" s="12" customFormat="1" x14ac:dyDescent="0.25">
      <c r="A25" s="215" t="s">
        <v>3050</v>
      </c>
      <c r="B25" s="64">
        <v>14.68</v>
      </c>
      <c r="C25" s="64">
        <v>39.6</v>
      </c>
      <c r="D25" s="64">
        <v>34.270000000000003</v>
      </c>
      <c r="E25" s="64">
        <v>2.17</v>
      </c>
      <c r="F25" s="64">
        <v>3.22</v>
      </c>
      <c r="G25" s="64">
        <v>53.45</v>
      </c>
      <c r="H25" s="64">
        <v>27.46</v>
      </c>
      <c r="I25" s="64">
        <v>1.47</v>
      </c>
      <c r="J25" s="64">
        <v>0.24</v>
      </c>
      <c r="K25" s="64">
        <v>341.38</v>
      </c>
      <c r="L25" s="64">
        <v>17.02</v>
      </c>
      <c r="M25" s="64">
        <v>94.37</v>
      </c>
      <c r="N25" s="64">
        <v>24.1</v>
      </c>
      <c r="O25" s="64">
        <v>0</v>
      </c>
      <c r="P25" s="64">
        <v>0.84</v>
      </c>
      <c r="Q25" s="64">
        <v>5.84</v>
      </c>
      <c r="R25" s="198"/>
      <c r="S25" s="198"/>
      <c r="T25" s="198"/>
      <c r="U25" s="198"/>
    </row>
    <row r="26" spans="1:21" s="12" customFormat="1" x14ac:dyDescent="0.25">
      <c r="A26" s="215" t="s">
        <v>3051</v>
      </c>
      <c r="B26" s="64">
        <v>17.14</v>
      </c>
      <c r="C26" s="64">
        <v>38.93</v>
      </c>
      <c r="D26" s="64">
        <v>35.869999999999997</v>
      </c>
      <c r="E26" s="64">
        <v>2.27</v>
      </c>
      <c r="F26" s="64">
        <v>3.25</v>
      </c>
      <c r="G26" s="64">
        <v>50.13</v>
      </c>
      <c r="H26" s="64">
        <v>26.44</v>
      </c>
      <c r="I26" s="64">
        <v>1.53</v>
      </c>
      <c r="J26" s="64">
        <v>0.11</v>
      </c>
      <c r="K26" s="64">
        <v>109.06</v>
      </c>
      <c r="L26" s="64">
        <v>16.989999999999998</v>
      </c>
      <c r="M26" s="64">
        <v>93.94</v>
      </c>
      <c r="N26" s="64">
        <v>24</v>
      </c>
      <c r="O26" s="64">
        <v>0</v>
      </c>
      <c r="P26" s="64">
        <v>0.82</v>
      </c>
      <c r="Q26" s="64">
        <v>5.78</v>
      </c>
      <c r="R26" s="198"/>
      <c r="S26" s="198"/>
      <c r="T26" s="198"/>
      <c r="U26" s="198"/>
    </row>
    <row r="27" spans="1:21" s="12" customFormat="1" x14ac:dyDescent="0.25">
      <c r="A27" s="215" t="s">
        <v>3052</v>
      </c>
      <c r="B27" s="64">
        <v>31.76</v>
      </c>
      <c r="C27" s="64">
        <v>41.92</v>
      </c>
      <c r="D27" s="64">
        <v>49.25</v>
      </c>
      <c r="E27" s="64">
        <v>2.2400000000000002</v>
      </c>
      <c r="F27" s="64">
        <v>3.3</v>
      </c>
      <c r="G27" s="64">
        <v>46.67</v>
      </c>
      <c r="H27" s="64">
        <v>25.91</v>
      </c>
      <c r="I27" s="64">
        <v>1.54</v>
      </c>
      <c r="J27" s="64">
        <v>7.0000000000000007E-2</v>
      </c>
      <c r="K27" s="64">
        <v>46.68</v>
      </c>
      <c r="L27" s="64">
        <v>17.079999999999998</v>
      </c>
      <c r="M27" s="64">
        <v>93.38</v>
      </c>
      <c r="N27" s="64">
        <v>24.2</v>
      </c>
      <c r="O27" s="64">
        <v>0</v>
      </c>
      <c r="P27" s="64">
        <v>0.8</v>
      </c>
      <c r="Q27" s="64">
        <v>5.79</v>
      </c>
      <c r="R27" s="198"/>
      <c r="S27" s="198"/>
      <c r="T27" s="198"/>
      <c r="U27" s="198"/>
    </row>
    <row r="28" spans="1:21" s="12" customFormat="1" x14ac:dyDescent="0.25">
      <c r="A28" s="215" t="s">
        <v>3053</v>
      </c>
      <c r="B28" s="64">
        <v>43.1</v>
      </c>
      <c r="C28" s="64">
        <v>42.58</v>
      </c>
      <c r="D28" s="64">
        <v>58.71</v>
      </c>
      <c r="E28" s="64">
        <v>2.2599999999999998</v>
      </c>
      <c r="F28" s="64">
        <v>3.24</v>
      </c>
      <c r="G28" s="64">
        <v>46.67</v>
      </c>
      <c r="H28" s="64">
        <v>25.91</v>
      </c>
      <c r="I28" s="64">
        <v>1.51</v>
      </c>
      <c r="J28" s="64">
        <v>0.03</v>
      </c>
      <c r="K28" s="64">
        <v>339.08</v>
      </c>
      <c r="L28" s="64">
        <v>16.78</v>
      </c>
      <c r="M28" s="64">
        <v>96.76</v>
      </c>
      <c r="N28" s="64">
        <v>24.5</v>
      </c>
      <c r="O28" s="64">
        <v>0</v>
      </c>
      <c r="P28" s="64">
        <v>0.8</v>
      </c>
      <c r="Q28" s="64">
        <v>5.85</v>
      </c>
      <c r="R28" s="198"/>
      <c r="S28" s="198"/>
      <c r="T28" s="198"/>
      <c r="U28" s="198"/>
    </row>
    <row r="29" spans="1:21" s="12" customFormat="1" x14ac:dyDescent="0.25">
      <c r="A29" s="215" t="s">
        <v>3054</v>
      </c>
      <c r="B29" s="64">
        <v>27.41</v>
      </c>
      <c r="C29" s="64">
        <v>39.770000000000003</v>
      </c>
      <c r="D29" s="64">
        <v>44.57</v>
      </c>
      <c r="E29" s="64">
        <v>2.27</v>
      </c>
      <c r="F29" s="64">
        <v>3.18</v>
      </c>
      <c r="G29" s="64">
        <v>46.67</v>
      </c>
      <c r="H29" s="64">
        <v>25.91</v>
      </c>
      <c r="I29" s="64">
        <v>1.45</v>
      </c>
      <c r="J29" s="64">
        <v>0.11</v>
      </c>
      <c r="K29" s="64">
        <v>50.03</v>
      </c>
      <c r="L29" s="64">
        <v>16.670000000000002</v>
      </c>
      <c r="M29" s="64">
        <v>97.05</v>
      </c>
      <c r="N29" s="64">
        <v>24</v>
      </c>
      <c r="O29" s="64">
        <v>0</v>
      </c>
      <c r="P29" s="64">
        <v>0.79</v>
      </c>
      <c r="Q29" s="64">
        <v>5.94</v>
      </c>
      <c r="R29" s="198"/>
      <c r="S29" s="198"/>
      <c r="T29" s="198"/>
      <c r="U29" s="198"/>
    </row>
    <row r="30" spans="1:21" s="12" customFormat="1" x14ac:dyDescent="0.25">
      <c r="A30" s="215" t="s">
        <v>3055</v>
      </c>
      <c r="B30" s="64">
        <v>40.590000000000003</v>
      </c>
      <c r="C30" s="64">
        <v>40.15</v>
      </c>
      <c r="D30" s="64">
        <v>55.35</v>
      </c>
      <c r="E30" s="64">
        <v>2.2599999999999998</v>
      </c>
      <c r="F30" s="64">
        <v>3.13</v>
      </c>
      <c r="G30" s="64">
        <v>48.77</v>
      </c>
      <c r="H30" s="64">
        <v>26.81</v>
      </c>
      <c r="I30" s="64">
        <v>1.5</v>
      </c>
      <c r="J30" s="64">
        <v>0.14000000000000001</v>
      </c>
      <c r="K30" s="64">
        <v>141.99</v>
      </c>
      <c r="L30" s="64">
        <v>16.559999999999999</v>
      </c>
      <c r="M30" s="64">
        <v>98</v>
      </c>
      <c r="N30" s="64">
        <v>24.2</v>
      </c>
      <c r="O30" s="64">
        <v>0</v>
      </c>
      <c r="P30" s="64">
        <v>0.78</v>
      </c>
      <c r="Q30" s="64">
        <v>6.01</v>
      </c>
      <c r="R30" s="198"/>
      <c r="S30" s="198"/>
      <c r="T30" s="198"/>
      <c r="U30" s="198"/>
    </row>
    <row r="31" spans="1:21" s="12" customFormat="1" x14ac:dyDescent="0.25">
      <c r="A31" s="215" t="s">
        <v>3056</v>
      </c>
      <c r="B31" s="64">
        <v>50.05</v>
      </c>
      <c r="C31" s="64">
        <v>47.27</v>
      </c>
      <c r="D31" s="64">
        <v>66.87</v>
      </c>
      <c r="E31" s="64">
        <v>2.27</v>
      </c>
      <c r="F31" s="64">
        <v>3.22</v>
      </c>
      <c r="G31" s="64">
        <v>50.96</v>
      </c>
      <c r="H31" s="64">
        <v>27.28</v>
      </c>
      <c r="I31" s="64">
        <v>1.46</v>
      </c>
      <c r="J31" s="64">
        <v>0.66</v>
      </c>
      <c r="K31" s="64">
        <v>118.98</v>
      </c>
      <c r="L31" s="64">
        <v>16.82</v>
      </c>
      <c r="M31" s="64">
        <v>95.46</v>
      </c>
      <c r="N31" s="64">
        <v>23.4</v>
      </c>
      <c r="O31" s="64">
        <v>0</v>
      </c>
      <c r="P31" s="64">
        <v>0.77</v>
      </c>
      <c r="Q31" s="64">
        <v>6.11</v>
      </c>
      <c r="R31" s="198"/>
      <c r="S31" s="198"/>
      <c r="T31" s="198"/>
      <c r="U31" s="198"/>
    </row>
    <row r="32" spans="1:21" s="12" customFormat="1" x14ac:dyDescent="0.25">
      <c r="A32" s="215" t="s">
        <v>3057</v>
      </c>
      <c r="B32" s="64">
        <v>19.95</v>
      </c>
      <c r="C32" s="64">
        <v>39.14</v>
      </c>
      <c r="D32" s="64">
        <v>38.24</v>
      </c>
      <c r="E32" s="64">
        <v>2.31</v>
      </c>
      <c r="F32" s="64">
        <v>3.33</v>
      </c>
      <c r="G32" s="64">
        <v>50.96</v>
      </c>
      <c r="H32" s="64">
        <v>27.28</v>
      </c>
      <c r="I32" s="64">
        <v>1.55</v>
      </c>
      <c r="J32" s="64">
        <v>1</v>
      </c>
      <c r="K32" s="64">
        <v>100.37</v>
      </c>
      <c r="L32" s="64">
        <v>17.43</v>
      </c>
      <c r="M32" s="64">
        <v>89.45</v>
      </c>
      <c r="N32" s="64">
        <v>23.2</v>
      </c>
      <c r="O32" s="64">
        <v>0</v>
      </c>
      <c r="P32" s="64">
        <v>0.76</v>
      </c>
      <c r="Q32" s="64">
        <v>6.17</v>
      </c>
      <c r="R32" s="198"/>
      <c r="S32" s="198"/>
      <c r="T32" s="198"/>
      <c r="U32" s="198"/>
    </row>
    <row r="33" spans="1:21" s="12" customFormat="1" x14ac:dyDescent="0.25">
      <c r="A33" s="215" t="s">
        <v>3058</v>
      </c>
      <c r="B33" s="64">
        <v>40.049999999999997</v>
      </c>
      <c r="C33" s="64">
        <v>47.78</v>
      </c>
      <c r="D33" s="64">
        <v>59.13</v>
      </c>
      <c r="E33" s="64">
        <v>2.29</v>
      </c>
      <c r="F33" s="64">
        <v>3.3</v>
      </c>
      <c r="G33" s="64">
        <v>50.96</v>
      </c>
      <c r="H33" s="64">
        <v>27.28</v>
      </c>
      <c r="I33" s="64">
        <v>1.49</v>
      </c>
      <c r="J33" s="64">
        <v>0.16</v>
      </c>
      <c r="K33" s="64">
        <v>9.2100000000000009</v>
      </c>
      <c r="L33" s="64">
        <v>17.41</v>
      </c>
      <c r="M33" s="64">
        <v>90.82</v>
      </c>
      <c r="N33" s="64">
        <v>26.4</v>
      </c>
      <c r="O33" s="64">
        <v>0</v>
      </c>
      <c r="P33" s="64">
        <v>0.76</v>
      </c>
      <c r="Q33" s="64">
        <v>6.2</v>
      </c>
      <c r="R33" s="198"/>
      <c r="S33" s="198"/>
      <c r="T33" s="198"/>
      <c r="U33" s="198"/>
    </row>
    <row r="34" spans="1:21" s="12" customFormat="1" x14ac:dyDescent="0.25">
      <c r="A34" s="215" t="s">
        <v>3059</v>
      </c>
      <c r="B34" s="64">
        <v>54.99</v>
      </c>
      <c r="C34" s="64">
        <v>52.53</v>
      </c>
      <c r="D34" s="64">
        <v>73.73</v>
      </c>
      <c r="E34" s="64">
        <v>2.31</v>
      </c>
      <c r="F34" s="64">
        <v>3.15</v>
      </c>
      <c r="G34" s="64">
        <v>54.04</v>
      </c>
      <c r="H34" s="64">
        <v>28.27</v>
      </c>
      <c r="I34" s="64">
        <v>1.54</v>
      </c>
      <c r="J34" s="64">
        <v>0.15</v>
      </c>
      <c r="K34" s="64">
        <v>351.41</v>
      </c>
      <c r="L34" s="64">
        <v>16.739999999999998</v>
      </c>
      <c r="M34" s="64">
        <v>96.37</v>
      </c>
      <c r="N34" s="64">
        <v>34.200000000000003</v>
      </c>
      <c r="O34" s="64">
        <v>0</v>
      </c>
      <c r="P34" s="64">
        <v>0.77</v>
      </c>
      <c r="Q34" s="64">
        <v>6.28</v>
      </c>
      <c r="R34" s="198"/>
      <c r="S34" s="198"/>
      <c r="T34" s="198"/>
      <c r="U34" s="198"/>
    </row>
    <row r="35" spans="1:21" s="12" customFormat="1" x14ac:dyDescent="0.25">
      <c r="A35" s="215" t="s">
        <v>3060</v>
      </c>
      <c r="B35" s="64">
        <v>51.26</v>
      </c>
      <c r="C35" s="64">
        <v>53.48</v>
      </c>
      <c r="D35" s="64">
        <v>71.27</v>
      </c>
      <c r="E35" s="64">
        <v>2.33</v>
      </c>
      <c r="F35" s="64">
        <v>2.94</v>
      </c>
      <c r="G35" s="64">
        <v>57.25</v>
      </c>
      <c r="H35" s="64">
        <v>28.78</v>
      </c>
      <c r="I35" s="64">
        <v>1.46</v>
      </c>
      <c r="J35" s="64">
        <v>0.13</v>
      </c>
      <c r="K35" s="64">
        <v>332.28</v>
      </c>
      <c r="L35" s="64">
        <v>16.59</v>
      </c>
      <c r="M35" s="64">
        <v>97.66</v>
      </c>
      <c r="N35" s="64">
        <v>49.8</v>
      </c>
      <c r="O35" s="64">
        <v>0</v>
      </c>
      <c r="P35" s="64">
        <v>0.78</v>
      </c>
      <c r="Q35" s="64">
        <v>6.41</v>
      </c>
      <c r="R35" s="198"/>
      <c r="S35" s="198"/>
      <c r="T35" s="198"/>
      <c r="U35" s="198"/>
    </row>
    <row r="36" spans="1:21" s="12" customFormat="1" x14ac:dyDescent="0.25">
      <c r="A36" s="215" t="s">
        <v>3061</v>
      </c>
      <c r="B36" s="64">
        <v>46.2</v>
      </c>
      <c r="C36" s="64">
        <v>54.33</v>
      </c>
      <c r="D36" s="64">
        <v>67.680000000000007</v>
      </c>
      <c r="E36" s="64">
        <v>2.2799999999999998</v>
      </c>
      <c r="F36" s="64">
        <v>2.97</v>
      </c>
      <c r="G36" s="64">
        <v>57.25</v>
      </c>
      <c r="H36" s="64">
        <v>28.78</v>
      </c>
      <c r="I36" s="64">
        <v>1.51</v>
      </c>
      <c r="J36" s="64">
        <v>0.95</v>
      </c>
      <c r="K36" s="64">
        <v>345.11</v>
      </c>
      <c r="L36" s="64">
        <v>17.14</v>
      </c>
      <c r="M36" s="64">
        <v>96.73</v>
      </c>
      <c r="N36" s="64">
        <v>67.5</v>
      </c>
      <c r="O36" s="64">
        <v>0</v>
      </c>
      <c r="P36" s="64">
        <v>0.82</v>
      </c>
      <c r="Q36" s="64">
        <v>6.61</v>
      </c>
      <c r="R36" s="198"/>
      <c r="S36" s="198"/>
      <c r="T36" s="198"/>
      <c r="U36" s="198"/>
    </row>
    <row r="37" spans="1:21" s="12" customFormat="1" x14ac:dyDescent="0.25">
      <c r="A37" s="215" t="s">
        <v>3062</v>
      </c>
      <c r="B37" s="64">
        <v>50.3</v>
      </c>
      <c r="C37" s="64">
        <v>54.37</v>
      </c>
      <c r="D37" s="64">
        <v>70.989999999999995</v>
      </c>
      <c r="E37" s="64">
        <v>2.23</v>
      </c>
      <c r="F37" s="64">
        <v>3.13</v>
      </c>
      <c r="G37" s="64">
        <v>57.25</v>
      </c>
      <c r="H37" s="64">
        <v>28.78</v>
      </c>
      <c r="I37" s="64">
        <v>1.51</v>
      </c>
      <c r="J37" s="64">
        <v>1.37</v>
      </c>
      <c r="K37" s="64">
        <v>344.55</v>
      </c>
      <c r="L37" s="64">
        <v>17.63</v>
      </c>
      <c r="M37" s="64">
        <v>94.95</v>
      </c>
      <c r="N37" s="64">
        <v>91</v>
      </c>
      <c r="O37" s="64">
        <v>0</v>
      </c>
      <c r="P37" s="64">
        <v>0.94</v>
      </c>
      <c r="Q37" s="64">
        <v>6.76</v>
      </c>
      <c r="R37" s="198"/>
      <c r="S37" s="198"/>
      <c r="T37" s="198"/>
      <c r="U37" s="198"/>
    </row>
    <row r="38" spans="1:21" s="12" customFormat="1" x14ac:dyDescent="0.25">
      <c r="A38" s="215" t="s">
        <v>3063</v>
      </c>
      <c r="B38" s="64">
        <v>37.39</v>
      </c>
      <c r="C38" s="64">
        <v>51.45</v>
      </c>
      <c r="D38" s="64">
        <v>59.02</v>
      </c>
      <c r="E38" s="64">
        <v>2.29</v>
      </c>
      <c r="F38" s="64">
        <v>2.88</v>
      </c>
      <c r="G38" s="64">
        <v>82.69</v>
      </c>
      <c r="H38" s="64">
        <v>34.53</v>
      </c>
      <c r="I38" s="64">
        <v>1.44</v>
      </c>
      <c r="J38" s="64">
        <v>0.95</v>
      </c>
      <c r="K38" s="64">
        <v>346.45</v>
      </c>
      <c r="L38" s="64">
        <v>18.27</v>
      </c>
      <c r="M38" s="64">
        <v>91.42</v>
      </c>
      <c r="N38" s="64">
        <v>141.5</v>
      </c>
      <c r="O38" s="64">
        <v>0</v>
      </c>
      <c r="P38" s="64">
        <v>1.01</v>
      </c>
      <c r="Q38" s="64">
        <v>6.9</v>
      </c>
      <c r="R38" s="198"/>
      <c r="S38" s="198"/>
      <c r="T38" s="198"/>
      <c r="U38" s="198"/>
    </row>
    <row r="39" spans="1:21" s="12" customFormat="1" x14ac:dyDescent="0.25">
      <c r="A39" s="215" t="s">
        <v>3064</v>
      </c>
      <c r="B39" s="64">
        <v>52.2</v>
      </c>
      <c r="C39" s="64">
        <v>58.52</v>
      </c>
      <c r="D39" s="64">
        <v>74.8</v>
      </c>
      <c r="E39" s="64">
        <v>2.34</v>
      </c>
      <c r="F39" s="64">
        <v>2.94</v>
      </c>
      <c r="G39" s="64">
        <v>109.29</v>
      </c>
      <c r="H39" s="64">
        <v>40.83</v>
      </c>
      <c r="I39" s="64">
        <v>1.51</v>
      </c>
      <c r="J39" s="64">
        <v>0.84</v>
      </c>
      <c r="K39" s="64">
        <v>346.17</v>
      </c>
      <c r="L39" s="64">
        <v>19.829999999999998</v>
      </c>
      <c r="M39" s="64">
        <v>82.65</v>
      </c>
      <c r="N39" s="64">
        <v>194.4</v>
      </c>
      <c r="O39" s="64">
        <v>0</v>
      </c>
      <c r="P39" s="64">
        <v>1.01</v>
      </c>
      <c r="Q39" s="64">
        <v>7.01</v>
      </c>
      <c r="R39" s="198"/>
      <c r="S39" s="198"/>
      <c r="T39" s="198"/>
      <c r="U39" s="198"/>
    </row>
    <row r="40" spans="1:21" s="12" customFormat="1" x14ac:dyDescent="0.25">
      <c r="A40" s="215" t="s">
        <v>3065</v>
      </c>
      <c r="B40" s="64">
        <v>52.2</v>
      </c>
      <c r="C40" s="64">
        <v>58.52</v>
      </c>
      <c r="D40" s="64">
        <v>74.8</v>
      </c>
      <c r="E40" s="64">
        <v>2.34</v>
      </c>
      <c r="F40" s="64">
        <v>2.94</v>
      </c>
      <c r="G40" s="64">
        <v>109.29</v>
      </c>
      <c r="H40" s="64">
        <v>40.83</v>
      </c>
      <c r="I40" s="64">
        <v>1.51</v>
      </c>
      <c r="J40" s="64">
        <v>0.84</v>
      </c>
      <c r="K40" s="64">
        <v>346.17</v>
      </c>
      <c r="L40" s="64">
        <v>19.829999999999998</v>
      </c>
      <c r="M40" s="64">
        <v>82.65</v>
      </c>
      <c r="N40" s="64">
        <v>194.4</v>
      </c>
      <c r="O40" s="64">
        <v>0</v>
      </c>
      <c r="P40" s="64">
        <v>1.01</v>
      </c>
      <c r="Q40" s="64">
        <v>7.01</v>
      </c>
      <c r="R40" s="198"/>
      <c r="S40" s="198"/>
      <c r="T40" s="198"/>
      <c r="U40" s="198"/>
    </row>
    <row r="41" spans="1:21" s="12" customFormat="1" x14ac:dyDescent="0.25">
      <c r="A41" s="215" t="s">
        <v>3066</v>
      </c>
      <c r="B41" s="64">
        <v>52.2</v>
      </c>
      <c r="C41" s="64">
        <v>58.52</v>
      </c>
      <c r="D41" s="64">
        <v>74.8</v>
      </c>
      <c r="E41" s="64">
        <v>2.34</v>
      </c>
      <c r="F41" s="64">
        <v>2.94</v>
      </c>
      <c r="G41" s="64">
        <v>109.29</v>
      </c>
      <c r="H41" s="64">
        <v>40.83</v>
      </c>
      <c r="I41" s="64">
        <v>1.51</v>
      </c>
      <c r="J41" s="64">
        <v>0.84</v>
      </c>
      <c r="K41" s="64">
        <v>346.17</v>
      </c>
      <c r="L41" s="64">
        <v>19.829999999999998</v>
      </c>
      <c r="M41" s="64">
        <v>82.65</v>
      </c>
      <c r="N41" s="64">
        <v>194.4</v>
      </c>
      <c r="O41" s="64">
        <v>0</v>
      </c>
      <c r="P41" s="64">
        <v>1.01</v>
      </c>
      <c r="Q41" s="64">
        <v>7.01</v>
      </c>
      <c r="R41" s="198"/>
      <c r="S41" s="198"/>
      <c r="T41" s="198"/>
      <c r="U41" s="198"/>
    </row>
    <row r="42" spans="1:21" s="12" customFormat="1" x14ac:dyDescent="0.25">
      <c r="A42" s="215" t="s">
        <v>3067</v>
      </c>
      <c r="B42" s="64">
        <v>52.66</v>
      </c>
      <c r="C42" s="64">
        <v>68.7</v>
      </c>
      <c r="D42" s="64">
        <v>80.75</v>
      </c>
      <c r="E42" s="64">
        <v>2.1800000000000002</v>
      </c>
      <c r="F42" s="64">
        <v>2.99</v>
      </c>
      <c r="G42" s="64">
        <v>108.95</v>
      </c>
      <c r="H42" s="64">
        <v>41.05</v>
      </c>
      <c r="I42" s="64">
        <v>1.46</v>
      </c>
      <c r="J42" s="64">
        <v>0.42</v>
      </c>
      <c r="K42" s="64">
        <v>335.12</v>
      </c>
      <c r="L42" s="64">
        <v>21.99</v>
      </c>
      <c r="M42" s="64">
        <v>71.180000000000007</v>
      </c>
      <c r="N42" s="64">
        <v>262.2</v>
      </c>
      <c r="O42" s="64">
        <v>0</v>
      </c>
      <c r="P42" s="64">
        <v>1.08</v>
      </c>
      <c r="Q42" s="64">
        <v>7.21</v>
      </c>
      <c r="R42" s="198"/>
      <c r="S42" s="198"/>
      <c r="T42" s="198"/>
      <c r="U42" s="198"/>
    </row>
    <row r="43" spans="1:21" s="12" customFormat="1" x14ac:dyDescent="0.25">
      <c r="A43" s="215" t="s">
        <v>3068</v>
      </c>
      <c r="B43" s="64">
        <v>43.56</v>
      </c>
      <c r="C43" s="64">
        <v>72.98</v>
      </c>
      <c r="D43" s="64">
        <v>75.88</v>
      </c>
      <c r="E43" s="64">
        <v>2.1800000000000002</v>
      </c>
      <c r="F43" s="64">
        <v>3.26</v>
      </c>
      <c r="G43" s="64">
        <v>104.58</v>
      </c>
      <c r="H43" s="64">
        <v>43.84</v>
      </c>
      <c r="I43" s="64">
        <v>1.5</v>
      </c>
      <c r="J43" s="64">
        <v>0.36</v>
      </c>
      <c r="K43" s="64">
        <v>11.38</v>
      </c>
      <c r="L43" s="64">
        <v>23.8</v>
      </c>
      <c r="M43" s="64">
        <v>62.98</v>
      </c>
      <c r="N43" s="64">
        <v>384.7</v>
      </c>
      <c r="O43" s="64">
        <v>0</v>
      </c>
      <c r="P43" s="64">
        <v>1.17</v>
      </c>
      <c r="Q43" s="64">
        <v>0</v>
      </c>
      <c r="R43" s="198"/>
      <c r="S43" s="198"/>
      <c r="T43" s="198"/>
      <c r="U43" s="198"/>
    </row>
    <row r="44" spans="1:21" s="12" customFormat="1" x14ac:dyDescent="0.25">
      <c r="A44" s="215" t="s">
        <v>3069</v>
      </c>
      <c r="B44" s="64">
        <v>35.01</v>
      </c>
      <c r="C44" s="64">
        <v>77.91</v>
      </c>
      <c r="D44" s="64">
        <v>71.72</v>
      </c>
      <c r="E44" s="64">
        <v>2.2200000000000002</v>
      </c>
      <c r="F44" s="64">
        <v>3</v>
      </c>
      <c r="G44" s="64">
        <v>104.58</v>
      </c>
      <c r="H44" s="64">
        <v>43.84</v>
      </c>
      <c r="I44" s="64">
        <v>1.54</v>
      </c>
      <c r="J44" s="64">
        <v>0.53</v>
      </c>
      <c r="K44" s="64">
        <v>343.08</v>
      </c>
      <c r="L44" s="64">
        <v>24.71</v>
      </c>
      <c r="M44" s="64">
        <v>58.05</v>
      </c>
      <c r="N44" s="64">
        <v>423.6</v>
      </c>
      <c r="O44" s="64">
        <v>0</v>
      </c>
      <c r="P44" s="64">
        <v>1.21</v>
      </c>
      <c r="Q44" s="64">
        <v>7.58</v>
      </c>
      <c r="R44" s="198"/>
      <c r="S44" s="198"/>
      <c r="T44" s="198"/>
      <c r="U44" s="198"/>
    </row>
    <row r="45" spans="1:21" s="12" customFormat="1" x14ac:dyDescent="0.25">
      <c r="A45" s="215" t="s">
        <v>3070</v>
      </c>
      <c r="B45" s="64">
        <v>32.68</v>
      </c>
      <c r="C45" s="64">
        <v>53.2</v>
      </c>
      <c r="D45" s="64">
        <v>56.21</v>
      </c>
      <c r="E45" s="64">
        <v>2.19</v>
      </c>
      <c r="F45" s="64">
        <v>2.87</v>
      </c>
      <c r="G45" s="64">
        <v>104.58</v>
      </c>
      <c r="H45" s="64">
        <v>43.84</v>
      </c>
      <c r="I45" s="64">
        <v>1.46</v>
      </c>
      <c r="J45" s="64">
        <v>0.43</v>
      </c>
      <c r="K45" s="64">
        <v>104.07</v>
      </c>
      <c r="L45" s="64">
        <v>23.61</v>
      </c>
      <c r="M45" s="64">
        <v>63.61</v>
      </c>
      <c r="N45" s="64">
        <v>464.4</v>
      </c>
      <c r="O45" s="64">
        <v>0</v>
      </c>
      <c r="P45" s="64">
        <v>1.24</v>
      </c>
      <c r="Q45" s="64">
        <v>7.58</v>
      </c>
      <c r="R45" s="198"/>
      <c r="S45" s="198"/>
      <c r="T45" s="198"/>
      <c r="U45" s="198"/>
    </row>
    <row r="46" spans="1:21" s="12" customFormat="1" x14ac:dyDescent="0.25">
      <c r="A46" s="215" t="s">
        <v>3071</v>
      </c>
      <c r="B46" s="64">
        <v>28.74</v>
      </c>
      <c r="C46" s="64">
        <v>53.42</v>
      </c>
      <c r="D46" s="64">
        <v>53.17</v>
      </c>
      <c r="E46" s="64">
        <v>2.15</v>
      </c>
      <c r="F46" s="64">
        <v>3.03</v>
      </c>
      <c r="G46" s="64">
        <v>107.7</v>
      </c>
      <c r="H46" s="64">
        <v>46.32</v>
      </c>
      <c r="I46" s="64">
        <v>1.49</v>
      </c>
      <c r="J46" s="64">
        <v>0.16</v>
      </c>
      <c r="K46" s="64">
        <v>103.7</v>
      </c>
      <c r="L46" s="64">
        <v>24.59</v>
      </c>
      <c r="M46" s="64">
        <v>57.13</v>
      </c>
      <c r="N46" s="64">
        <v>512.70000000000005</v>
      </c>
      <c r="O46" s="64">
        <v>0</v>
      </c>
      <c r="P46" s="64">
        <v>1.23</v>
      </c>
      <c r="Q46" s="64">
        <v>7.53</v>
      </c>
      <c r="R46" s="198"/>
      <c r="S46" s="198"/>
      <c r="T46" s="198"/>
      <c r="U46" s="198"/>
    </row>
    <row r="47" spans="1:21" s="12" customFormat="1" x14ac:dyDescent="0.25">
      <c r="A47" s="215" t="s">
        <v>3072</v>
      </c>
      <c r="B47" s="64">
        <v>21.5</v>
      </c>
      <c r="C47" s="64">
        <v>80.400000000000006</v>
      </c>
      <c r="D47" s="64">
        <v>62.26</v>
      </c>
      <c r="E47" s="64">
        <v>2.21</v>
      </c>
      <c r="F47" s="64">
        <v>2.92</v>
      </c>
      <c r="G47" s="64">
        <v>110.96</v>
      </c>
      <c r="H47" s="64">
        <v>47.61</v>
      </c>
      <c r="I47" s="64">
        <v>1.49</v>
      </c>
      <c r="J47" s="64">
        <v>0.24</v>
      </c>
      <c r="K47" s="64">
        <v>57.19</v>
      </c>
      <c r="L47" s="64">
        <v>25.01</v>
      </c>
      <c r="M47" s="64">
        <v>57.27</v>
      </c>
      <c r="N47" s="64">
        <v>556.70000000000005</v>
      </c>
      <c r="O47" s="64">
        <v>0</v>
      </c>
      <c r="P47" s="64">
        <v>1.22</v>
      </c>
      <c r="Q47" s="64">
        <v>7.33</v>
      </c>
      <c r="R47" s="198"/>
      <c r="S47" s="198"/>
      <c r="T47" s="198"/>
      <c r="U47" s="198"/>
    </row>
    <row r="48" spans="1:21" s="12" customFormat="1" x14ac:dyDescent="0.25">
      <c r="A48" s="215" t="s">
        <v>3073</v>
      </c>
      <c r="B48" s="64">
        <v>14.64</v>
      </c>
      <c r="C48" s="64">
        <v>83.42</v>
      </c>
      <c r="D48" s="64">
        <v>58.43</v>
      </c>
      <c r="E48" s="64">
        <v>2.21</v>
      </c>
      <c r="F48" s="64">
        <v>3.13</v>
      </c>
      <c r="G48" s="64">
        <v>110.96</v>
      </c>
      <c r="H48" s="64">
        <v>47.61</v>
      </c>
      <c r="I48" s="64">
        <v>1.52</v>
      </c>
      <c r="J48" s="64">
        <v>0.51</v>
      </c>
      <c r="K48" s="64">
        <v>346.24</v>
      </c>
      <c r="L48" s="64">
        <v>26.67</v>
      </c>
      <c r="M48" s="64">
        <v>51.39</v>
      </c>
      <c r="N48" s="64">
        <v>582.29999999999995</v>
      </c>
      <c r="O48" s="64">
        <v>0</v>
      </c>
      <c r="P48" s="64">
        <v>1.22</v>
      </c>
      <c r="Q48" s="64">
        <v>7.19</v>
      </c>
      <c r="R48" s="198"/>
      <c r="S48" s="198"/>
      <c r="T48" s="198"/>
      <c r="U48" s="198"/>
    </row>
    <row r="49" spans="1:21" s="12" customFormat="1" x14ac:dyDescent="0.25">
      <c r="A49" s="215" t="s">
        <v>3074</v>
      </c>
      <c r="B49" s="64">
        <v>10.72</v>
      </c>
      <c r="C49" s="64">
        <v>79.459999999999994</v>
      </c>
      <c r="D49" s="64">
        <v>53.1</v>
      </c>
      <c r="E49" s="64">
        <v>2.2000000000000002</v>
      </c>
      <c r="F49" s="64">
        <v>3.3</v>
      </c>
      <c r="G49" s="64">
        <v>110.96</v>
      </c>
      <c r="H49" s="64">
        <v>47.61</v>
      </c>
      <c r="I49" s="64">
        <v>1.53</v>
      </c>
      <c r="J49" s="64">
        <v>0.74</v>
      </c>
      <c r="K49" s="64">
        <v>328.28</v>
      </c>
      <c r="L49" s="64">
        <v>29.34</v>
      </c>
      <c r="M49" s="64">
        <v>44.86</v>
      </c>
      <c r="N49" s="64">
        <v>596.6</v>
      </c>
      <c r="O49" s="64">
        <v>0</v>
      </c>
      <c r="P49" s="64">
        <v>1.25</v>
      </c>
      <c r="Q49" s="64">
        <v>7.09</v>
      </c>
      <c r="R49" s="198"/>
      <c r="S49" s="198"/>
      <c r="T49" s="198"/>
      <c r="U49" s="198"/>
    </row>
    <row r="50" spans="1:21" s="12" customFormat="1" x14ac:dyDescent="0.25">
      <c r="A50" s="215" t="s">
        <v>3075</v>
      </c>
      <c r="B50" s="64">
        <v>10.57</v>
      </c>
      <c r="C50" s="64">
        <v>77.95</v>
      </c>
      <c r="D50" s="64">
        <v>52.14</v>
      </c>
      <c r="E50" s="64">
        <v>2.21</v>
      </c>
      <c r="F50" s="64">
        <v>3.08</v>
      </c>
      <c r="G50" s="64">
        <v>100.65</v>
      </c>
      <c r="H50" s="64">
        <v>45.32</v>
      </c>
      <c r="I50" s="64">
        <v>1.54</v>
      </c>
      <c r="J50" s="64">
        <v>0.88</v>
      </c>
      <c r="K50" s="64">
        <v>334.55</v>
      </c>
      <c r="L50" s="64">
        <v>29.73</v>
      </c>
      <c r="M50" s="64">
        <v>44.07</v>
      </c>
      <c r="N50" s="64">
        <v>616.5</v>
      </c>
      <c r="O50" s="64">
        <v>0</v>
      </c>
      <c r="P50" s="64">
        <v>1.25</v>
      </c>
      <c r="Q50" s="64">
        <v>6.97</v>
      </c>
      <c r="R50" s="198"/>
      <c r="S50" s="198"/>
      <c r="T50" s="198"/>
      <c r="U50" s="198"/>
    </row>
    <row r="51" spans="1:21" s="12" customFormat="1" x14ac:dyDescent="0.25">
      <c r="A51" s="215" t="s">
        <v>3076</v>
      </c>
      <c r="B51" s="64">
        <v>9.36</v>
      </c>
      <c r="C51" s="64">
        <v>70.83</v>
      </c>
      <c r="D51" s="64">
        <v>47.24</v>
      </c>
      <c r="E51" s="64">
        <v>2.2599999999999998</v>
      </c>
      <c r="F51" s="64">
        <v>3.22</v>
      </c>
      <c r="G51" s="64">
        <v>89.87</v>
      </c>
      <c r="H51" s="64">
        <v>44.09</v>
      </c>
      <c r="I51" s="64">
        <v>1.5</v>
      </c>
      <c r="J51" s="64">
        <v>0.36</v>
      </c>
      <c r="K51" s="64">
        <v>332.62</v>
      </c>
      <c r="L51" s="64">
        <v>28.94</v>
      </c>
      <c r="M51" s="64">
        <v>46.31</v>
      </c>
      <c r="N51" s="64">
        <v>643.5</v>
      </c>
      <c r="O51" s="64">
        <v>0</v>
      </c>
      <c r="P51" s="64">
        <v>1.24</v>
      </c>
      <c r="Q51" s="64">
        <v>6.85</v>
      </c>
      <c r="R51" s="198"/>
      <c r="S51" s="198"/>
      <c r="T51" s="198"/>
      <c r="U51" s="198"/>
    </row>
    <row r="52" spans="1:21" s="12" customFormat="1" x14ac:dyDescent="0.25">
      <c r="A52" s="215" t="s">
        <v>3077</v>
      </c>
      <c r="B52" s="64">
        <v>13.64</v>
      </c>
      <c r="C52" s="64">
        <v>87.49</v>
      </c>
      <c r="D52" s="64">
        <v>59.86</v>
      </c>
      <c r="E52" s="64">
        <v>2.16</v>
      </c>
      <c r="F52" s="64">
        <v>3.45</v>
      </c>
      <c r="G52" s="64">
        <v>89.87</v>
      </c>
      <c r="H52" s="64">
        <v>44.09</v>
      </c>
      <c r="I52" s="64">
        <v>1.46</v>
      </c>
      <c r="J52" s="64">
        <v>0.59</v>
      </c>
      <c r="K52" s="64">
        <v>330.12</v>
      </c>
      <c r="L52" s="64">
        <v>29.97</v>
      </c>
      <c r="M52" s="64">
        <v>43.96</v>
      </c>
      <c r="N52" s="64">
        <v>669.5</v>
      </c>
      <c r="O52" s="64">
        <v>0</v>
      </c>
      <c r="P52" s="64">
        <v>1.25</v>
      </c>
      <c r="Q52" s="64">
        <v>6.73</v>
      </c>
      <c r="R52" s="198"/>
      <c r="S52" s="198"/>
      <c r="T52" s="198"/>
      <c r="U52" s="198"/>
    </row>
    <row r="53" spans="1:21" s="12" customFormat="1" x14ac:dyDescent="0.25">
      <c r="A53" s="215" t="s">
        <v>3078</v>
      </c>
      <c r="B53" s="64">
        <v>12.37</v>
      </c>
      <c r="C53" s="64">
        <v>65.599999999999994</v>
      </c>
      <c r="D53" s="64">
        <v>46.77</v>
      </c>
      <c r="E53" s="64">
        <v>2.1800000000000002</v>
      </c>
      <c r="F53" s="64">
        <v>3.33</v>
      </c>
      <c r="G53" s="64">
        <v>89.87</v>
      </c>
      <c r="H53" s="64">
        <v>44.09</v>
      </c>
      <c r="I53" s="64">
        <v>1.58</v>
      </c>
      <c r="J53" s="64">
        <v>0.24</v>
      </c>
      <c r="K53" s="64">
        <v>68.97</v>
      </c>
      <c r="L53" s="64">
        <v>28.13</v>
      </c>
      <c r="M53" s="64">
        <v>48.97</v>
      </c>
      <c r="N53" s="64">
        <v>669.7</v>
      </c>
      <c r="O53" s="64">
        <v>0</v>
      </c>
      <c r="P53" s="64">
        <v>1.25</v>
      </c>
      <c r="Q53" s="64">
        <v>6.62</v>
      </c>
      <c r="R53" s="198"/>
      <c r="S53" s="198"/>
      <c r="T53" s="198"/>
      <c r="U53" s="198"/>
    </row>
    <row r="54" spans="1:21" s="12" customFormat="1" x14ac:dyDescent="0.25">
      <c r="A54" s="215" t="s">
        <v>3079</v>
      </c>
      <c r="B54" s="64">
        <v>11.39</v>
      </c>
      <c r="C54" s="64">
        <v>54.63</v>
      </c>
      <c r="D54" s="64">
        <v>39.93</v>
      </c>
      <c r="E54" s="64">
        <v>2.13</v>
      </c>
      <c r="F54" s="64">
        <v>3.49</v>
      </c>
      <c r="G54" s="64">
        <v>83.77</v>
      </c>
      <c r="H54" s="64">
        <v>43.87</v>
      </c>
      <c r="I54" s="64">
        <v>1.53</v>
      </c>
      <c r="J54" s="64">
        <v>0.87</v>
      </c>
      <c r="K54" s="64">
        <v>124.07</v>
      </c>
      <c r="L54" s="64">
        <v>26.81</v>
      </c>
      <c r="M54" s="64">
        <v>51.11</v>
      </c>
      <c r="N54" s="64">
        <v>677.7</v>
      </c>
      <c r="O54" s="64">
        <v>0</v>
      </c>
      <c r="P54" s="64">
        <v>1.24</v>
      </c>
      <c r="Q54" s="64">
        <v>6.44</v>
      </c>
      <c r="R54" s="198"/>
      <c r="S54" s="198"/>
      <c r="T54" s="198"/>
      <c r="U54" s="198"/>
    </row>
    <row r="55" spans="1:21" s="12" customFormat="1" x14ac:dyDescent="0.25">
      <c r="A55" s="215" t="s">
        <v>3080</v>
      </c>
      <c r="B55" s="64">
        <v>5.89</v>
      </c>
      <c r="C55" s="64">
        <v>67.900000000000006</v>
      </c>
      <c r="D55" s="64">
        <v>42.84</v>
      </c>
      <c r="E55" s="64">
        <v>2.1800000000000002</v>
      </c>
      <c r="F55" s="64">
        <v>3.32</v>
      </c>
      <c r="G55" s="64">
        <v>77.400000000000006</v>
      </c>
      <c r="H55" s="64">
        <v>43.62</v>
      </c>
      <c r="I55" s="64">
        <v>1.53</v>
      </c>
      <c r="J55" s="64">
        <v>0.37</v>
      </c>
      <c r="K55" s="64">
        <v>345.7</v>
      </c>
      <c r="L55" s="64">
        <v>27.89</v>
      </c>
      <c r="M55" s="64">
        <v>49.1</v>
      </c>
      <c r="N55" s="64">
        <v>697.1</v>
      </c>
      <c r="O55" s="64">
        <v>0</v>
      </c>
      <c r="P55" s="64">
        <v>1.23</v>
      </c>
      <c r="Q55" s="64">
        <v>6.28</v>
      </c>
      <c r="R55" s="198"/>
      <c r="S55" s="198"/>
      <c r="T55" s="198"/>
      <c r="U55" s="198"/>
    </row>
    <row r="56" spans="1:21" s="12" customFormat="1" x14ac:dyDescent="0.25">
      <c r="A56" s="215" t="s">
        <v>3081</v>
      </c>
      <c r="B56" s="64">
        <v>7.01</v>
      </c>
      <c r="C56" s="64">
        <v>75.5</v>
      </c>
      <c r="D56" s="64">
        <v>47.94</v>
      </c>
      <c r="E56" s="64">
        <v>2.29</v>
      </c>
      <c r="F56" s="64">
        <v>3.31</v>
      </c>
      <c r="G56" s="64">
        <v>77.400000000000006</v>
      </c>
      <c r="H56" s="64">
        <v>43.62</v>
      </c>
      <c r="I56" s="64">
        <v>1.57</v>
      </c>
      <c r="J56" s="64">
        <v>0.51</v>
      </c>
      <c r="K56" s="64">
        <v>329.91</v>
      </c>
      <c r="L56" s="64">
        <v>30.58</v>
      </c>
      <c r="M56" s="64">
        <v>42.26</v>
      </c>
      <c r="N56" s="64">
        <v>685.4</v>
      </c>
      <c r="O56" s="64">
        <v>0</v>
      </c>
      <c r="P56" s="64">
        <v>1.24</v>
      </c>
      <c r="Q56" s="64">
        <v>6.12</v>
      </c>
      <c r="R56" s="198"/>
      <c r="S56" s="198"/>
      <c r="T56" s="198"/>
      <c r="U56" s="198"/>
    </row>
    <row r="57" spans="1:21" s="12" customFormat="1" x14ac:dyDescent="0.25">
      <c r="A57" s="215" t="s">
        <v>3082</v>
      </c>
      <c r="B57" s="64">
        <v>8.33</v>
      </c>
      <c r="C57" s="64">
        <v>56.63</v>
      </c>
      <c r="D57" s="64">
        <v>38.58</v>
      </c>
      <c r="E57" s="64">
        <v>2.25</v>
      </c>
      <c r="F57" s="64">
        <v>3.43</v>
      </c>
      <c r="G57" s="64">
        <v>77.400000000000006</v>
      </c>
      <c r="H57" s="64">
        <v>43.62</v>
      </c>
      <c r="I57" s="64">
        <v>1.52</v>
      </c>
      <c r="J57" s="64">
        <v>0.15</v>
      </c>
      <c r="K57" s="64">
        <v>356.58</v>
      </c>
      <c r="L57" s="64">
        <v>29.44</v>
      </c>
      <c r="M57" s="64">
        <v>43.88</v>
      </c>
      <c r="N57" s="64">
        <v>664.2</v>
      </c>
      <c r="O57" s="64">
        <v>0</v>
      </c>
      <c r="P57" s="64">
        <v>1.23</v>
      </c>
      <c r="Q57" s="64">
        <v>6</v>
      </c>
      <c r="R57" s="198"/>
      <c r="S57" s="198"/>
      <c r="T57" s="198"/>
      <c r="U57" s="198"/>
    </row>
    <row r="58" spans="1:21" s="12" customFormat="1" x14ac:dyDescent="0.25">
      <c r="A58" s="215" t="s">
        <v>3083</v>
      </c>
      <c r="B58" s="64">
        <v>8.75</v>
      </c>
      <c r="C58" s="64">
        <v>61.1</v>
      </c>
      <c r="D58" s="64">
        <v>41.38</v>
      </c>
      <c r="E58" s="64">
        <v>2.31</v>
      </c>
      <c r="F58" s="64">
        <v>3.56</v>
      </c>
      <c r="G58" s="64">
        <v>74.53</v>
      </c>
      <c r="H58" s="64">
        <v>43.03</v>
      </c>
      <c r="I58" s="64">
        <v>1.54</v>
      </c>
      <c r="J58" s="64">
        <v>0.57999999999999996</v>
      </c>
      <c r="K58" s="64">
        <v>116.35</v>
      </c>
      <c r="L58" s="64">
        <v>27.66</v>
      </c>
      <c r="M58" s="64">
        <v>47.8</v>
      </c>
      <c r="N58" s="64">
        <v>662</v>
      </c>
      <c r="O58" s="64">
        <v>0</v>
      </c>
      <c r="P58" s="64">
        <v>1.22</v>
      </c>
      <c r="Q58" s="64">
        <v>5.87</v>
      </c>
      <c r="R58" s="198"/>
      <c r="S58" s="198"/>
      <c r="T58" s="198"/>
      <c r="U58" s="198"/>
    </row>
    <row r="59" spans="1:21" s="12" customFormat="1" x14ac:dyDescent="0.25">
      <c r="A59" s="215" t="s">
        <v>3084</v>
      </c>
      <c r="B59" s="64">
        <v>6.71</v>
      </c>
      <c r="C59" s="64">
        <v>67.66</v>
      </c>
      <c r="D59" s="64">
        <v>43.37</v>
      </c>
      <c r="E59" s="64">
        <v>2.2200000000000002</v>
      </c>
      <c r="F59" s="64">
        <v>3.55</v>
      </c>
      <c r="G59" s="64">
        <v>71.52</v>
      </c>
      <c r="H59" s="64">
        <v>42.72</v>
      </c>
      <c r="I59" s="64">
        <v>1.48</v>
      </c>
      <c r="J59" s="64">
        <v>0.15</v>
      </c>
      <c r="K59" s="64">
        <v>37.03</v>
      </c>
      <c r="L59" s="64">
        <v>28.77</v>
      </c>
      <c r="M59" s="64">
        <v>44.62</v>
      </c>
      <c r="N59" s="64">
        <v>637.20000000000005</v>
      </c>
      <c r="O59" s="64">
        <v>0</v>
      </c>
      <c r="P59" s="64">
        <v>1.2</v>
      </c>
      <c r="Q59" s="64">
        <v>5.78</v>
      </c>
      <c r="R59" s="198"/>
      <c r="S59" s="198"/>
      <c r="T59" s="198"/>
      <c r="U59" s="198"/>
    </row>
    <row r="60" spans="1:21" s="12" customFormat="1" x14ac:dyDescent="0.25">
      <c r="A60" s="215" t="s">
        <v>3085</v>
      </c>
      <c r="B60" s="64">
        <v>8.49</v>
      </c>
      <c r="C60" s="64">
        <v>67.94</v>
      </c>
      <c r="D60" s="64">
        <v>44.95</v>
      </c>
      <c r="E60" s="64">
        <v>2.2599999999999998</v>
      </c>
      <c r="F60" s="64">
        <v>3.59</v>
      </c>
      <c r="G60" s="64">
        <v>71.52</v>
      </c>
      <c r="H60" s="64">
        <v>42.72</v>
      </c>
      <c r="I60" s="64">
        <v>1.44</v>
      </c>
      <c r="J60" s="64">
        <v>0.1</v>
      </c>
      <c r="K60" s="64">
        <v>57.74</v>
      </c>
      <c r="L60" s="64">
        <v>28.29</v>
      </c>
      <c r="M60" s="64">
        <v>46.28</v>
      </c>
      <c r="N60" s="64">
        <v>599.6</v>
      </c>
      <c r="O60" s="64">
        <v>0</v>
      </c>
      <c r="P60" s="64">
        <v>1.18</v>
      </c>
      <c r="Q60" s="64">
        <v>5.64</v>
      </c>
      <c r="R60" s="198"/>
      <c r="S60" s="198"/>
      <c r="T60" s="198"/>
      <c r="U60" s="198"/>
    </row>
    <row r="61" spans="1:21" s="12" customFormat="1" x14ac:dyDescent="0.25">
      <c r="A61" s="215" t="s">
        <v>3086</v>
      </c>
      <c r="B61" s="64">
        <v>5.83</v>
      </c>
      <c r="C61" s="64">
        <v>79.38</v>
      </c>
      <c r="D61" s="64">
        <v>49.13</v>
      </c>
      <c r="E61" s="64">
        <v>2.25</v>
      </c>
      <c r="F61" s="64">
        <v>3.81</v>
      </c>
      <c r="G61" s="64">
        <v>71.52</v>
      </c>
      <c r="H61" s="64">
        <v>42.72</v>
      </c>
      <c r="I61" s="64">
        <v>1.49</v>
      </c>
      <c r="J61" s="64">
        <v>0.8</v>
      </c>
      <c r="K61" s="64">
        <v>340.46</v>
      </c>
      <c r="L61" s="64">
        <v>30.49</v>
      </c>
      <c r="M61" s="64">
        <v>40.57</v>
      </c>
      <c r="N61" s="64">
        <v>582.1</v>
      </c>
      <c r="O61" s="64">
        <v>0</v>
      </c>
      <c r="P61" s="64">
        <v>1.1399999999999999</v>
      </c>
      <c r="Q61" s="64">
        <v>5.68</v>
      </c>
      <c r="R61" s="198"/>
      <c r="S61" s="198"/>
      <c r="T61" s="198"/>
      <c r="U61" s="198"/>
    </row>
    <row r="62" spans="1:21" s="12" customFormat="1" x14ac:dyDescent="0.25">
      <c r="A62" s="215" t="s">
        <v>3087</v>
      </c>
      <c r="B62" s="64">
        <v>7.67</v>
      </c>
      <c r="C62" s="64">
        <v>61.25</v>
      </c>
      <c r="D62" s="64">
        <v>40.6</v>
      </c>
      <c r="E62" s="64">
        <v>2.1800000000000002</v>
      </c>
      <c r="F62" s="64">
        <v>3.81</v>
      </c>
      <c r="G62" s="64">
        <v>70.5</v>
      </c>
      <c r="H62" s="64">
        <v>40.79</v>
      </c>
      <c r="I62" s="64">
        <v>1.46</v>
      </c>
      <c r="J62" s="64">
        <v>0.28999999999999998</v>
      </c>
      <c r="K62" s="64">
        <v>338.62</v>
      </c>
      <c r="L62" s="64">
        <v>30.76</v>
      </c>
      <c r="M62" s="64">
        <v>39.82</v>
      </c>
      <c r="N62" s="64">
        <v>513.79999999999995</v>
      </c>
      <c r="O62" s="64">
        <v>0</v>
      </c>
      <c r="P62" s="64">
        <v>1.17</v>
      </c>
      <c r="Q62" s="64">
        <v>5.54</v>
      </c>
      <c r="R62" s="198"/>
      <c r="S62" s="198"/>
      <c r="T62" s="198"/>
      <c r="U62" s="198"/>
    </row>
    <row r="63" spans="1:21" s="12" customFormat="1" x14ac:dyDescent="0.25">
      <c r="A63" s="215" t="s">
        <v>3088</v>
      </c>
      <c r="B63" s="64">
        <v>6.22</v>
      </c>
      <c r="C63" s="64">
        <v>64.09</v>
      </c>
      <c r="D63" s="64">
        <v>41.01</v>
      </c>
      <c r="E63" s="64">
        <v>2.39</v>
      </c>
      <c r="F63" s="64">
        <v>3.8</v>
      </c>
      <c r="G63" s="64">
        <v>69.42</v>
      </c>
      <c r="H63" s="64">
        <v>39.78</v>
      </c>
      <c r="I63" s="64">
        <v>1.52</v>
      </c>
      <c r="J63" s="64">
        <v>0.45</v>
      </c>
      <c r="K63" s="64">
        <v>331.02</v>
      </c>
      <c r="L63" s="64">
        <v>30.77</v>
      </c>
      <c r="M63" s="64">
        <v>40.25</v>
      </c>
      <c r="N63" s="64">
        <v>327.7</v>
      </c>
      <c r="O63" s="64">
        <v>0</v>
      </c>
      <c r="P63" s="64">
        <v>1.17</v>
      </c>
      <c r="Q63" s="64">
        <v>5.35</v>
      </c>
      <c r="R63" s="198"/>
      <c r="S63" s="198"/>
      <c r="T63" s="198"/>
      <c r="U63" s="198"/>
    </row>
    <row r="64" spans="1:21" s="12" customFormat="1" x14ac:dyDescent="0.25">
      <c r="A64" s="215" t="s">
        <v>3089</v>
      </c>
      <c r="B64" s="64">
        <v>7.27</v>
      </c>
      <c r="C64" s="64">
        <v>82.01</v>
      </c>
      <c r="D64" s="64">
        <v>51.74</v>
      </c>
      <c r="E64" s="64">
        <v>2.2400000000000002</v>
      </c>
      <c r="F64" s="64">
        <v>3.72</v>
      </c>
      <c r="G64" s="64">
        <v>69.42</v>
      </c>
      <c r="H64" s="64">
        <v>39.78</v>
      </c>
      <c r="I64" s="64">
        <v>1.49</v>
      </c>
      <c r="J64" s="64">
        <v>0.85</v>
      </c>
      <c r="K64" s="64">
        <v>339.95</v>
      </c>
      <c r="L64" s="64">
        <v>30.68</v>
      </c>
      <c r="M64" s="64">
        <v>39.1</v>
      </c>
      <c r="N64" s="64">
        <v>217.8</v>
      </c>
      <c r="O64" s="64">
        <v>0</v>
      </c>
      <c r="P64" s="64">
        <v>1.17</v>
      </c>
      <c r="Q64" s="64">
        <v>5.19</v>
      </c>
      <c r="R64" s="198"/>
      <c r="S64" s="198"/>
      <c r="T64" s="198"/>
      <c r="U64" s="198"/>
    </row>
    <row r="65" spans="1:21" s="12" customFormat="1" x14ac:dyDescent="0.25">
      <c r="A65" s="215" t="s">
        <v>3090</v>
      </c>
      <c r="B65" s="64">
        <v>5.82</v>
      </c>
      <c r="C65" s="64">
        <v>63.86</v>
      </c>
      <c r="D65" s="64">
        <v>40.56</v>
      </c>
      <c r="E65" s="64">
        <v>2.2599999999999998</v>
      </c>
      <c r="F65" s="64">
        <v>3.49</v>
      </c>
      <c r="G65" s="64">
        <v>69.42</v>
      </c>
      <c r="H65" s="64">
        <v>39.78</v>
      </c>
      <c r="I65" s="64">
        <v>1.52</v>
      </c>
      <c r="J65" s="64">
        <v>0.55000000000000004</v>
      </c>
      <c r="K65" s="64">
        <v>92.16</v>
      </c>
      <c r="L65" s="64">
        <v>29.12</v>
      </c>
      <c r="M65" s="64">
        <v>40.659999999999997</v>
      </c>
      <c r="N65" s="64">
        <v>187.8</v>
      </c>
      <c r="O65" s="64">
        <v>0</v>
      </c>
      <c r="P65" s="64">
        <v>1.1499999999999999</v>
      </c>
      <c r="Q65" s="64">
        <v>5.0599999999999996</v>
      </c>
      <c r="R65" s="198"/>
      <c r="S65" s="198"/>
      <c r="T65" s="198"/>
      <c r="U65" s="198"/>
    </row>
    <row r="66" spans="1:21" s="12" customFormat="1" x14ac:dyDescent="0.25">
      <c r="A66" s="215" t="s">
        <v>3091</v>
      </c>
      <c r="B66" s="64">
        <v>5.94</v>
      </c>
      <c r="C66" s="64">
        <v>55.58</v>
      </c>
      <c r="D66" s="64">
        <v>36.090000000000003</v>
      </c>
      <c r="E66" s="64">
        <v>2.2400000000000002</v>
      </c>
      <c r="F66" s="64">
        <v>3.59</v>
      </c>
      <c r="G66" s="64">
        <v>66.349999999999994</v>
      </c>
      <c r="H66" s="64">
        <v>37.43</v>
      </c>
      <c r="I66" s="64">
        <v>1.5</v>
      </c>
      <c r="J66" s="64">
        <v>0.55000000000000004</v>
      </c>
      <c r="K66" s="64">
        <v>102.85</v>
      </c>
      <c r="L66" s="64">
        <v>26.96</v>
      </c>
      <c r="M66" s="64">
        <v>44.35</v>
      </c>
      <c r="N66" s="64">
        <v>160.5</v>
      </c>
      <c r="O66" s="64">
        <v>0</v>
      </c>
      <c r="P66" s="64">
        <v>1.1100000000000001</v>
      </c>
      <c r="Q66" s="64">
        <v>4.9800000000000004</v>
      </c>
      <c r="R66" s="198"/>
      <c r="S66" s="198"/>
      <c r="T66" s="198"/>
      <c r="U66" s="198"/>
    </row>
    <row r="67" spans="1:21" s="12" customFormat="1" x14ac:dyDescent="0.25">
      <c r="A67" s="215" t="s">
        <v>3092</v>
      </c>
      <c r="B67" s="64">
        <v>5.82</v>
      </c>
      <c r="C67" s="64">
        <v>52.17</v>
      </c>
      <c r="D67" s="64">
        <v>34.1</v>
      </c>
      <c r="E67" s="64">
        <v>2.21</v>
      </c>
      <c r="F67" s="64">
        <v>3.64</v>
      </c>
      <c r="G67" s="64">
        <v>63.13</v>
      </c>
      <c r="H67" s="64">
        <v>36.17</v>
      </c>
      <c r="I67" s="64">
        <v>1.55</v>
      </c>
      <c r="J67" s="64">
        <v>0.44</v>
      </c>
      <c r="K67" s="64">
        <v>99.73</v>
      </c>
      <c r="L67" s="64">
        <v>27.07</v>
      </c>
      <c r="M67" s="64">
        <v>44.51</v>
      </c>
      <c r="N67" s="64">
        <v>175.6</v>
      </c>
      <c r="O67" s="64">
        <v>0</v>
      </c>
      <c r="P67" s="64">
        <v>1.08</v>
      </c>
      <c r="Q67" s="64">
        <v>4.88</v>
      </c>
      <c r="R67" s="198"/>
      <c r="S67" s="198"/>
      <c r="T67" s="198"/>
      <c r="U67" s="198"/>
    </row>
    <row r="68" spans="1:21" s="12" customFormat="1" x14ac:dyDescent="0.25">
      <c r="A68" s="215" t="s">
        <v>3093</v>
      </c>
      <c r="B68" s="64">
        <v>5.49</v>
      </c>
      <c r="C68" s="64">
        <v>51.77</v>
      </c>
      <c r="D68" s="64">
        <v>33.619999999999997</v>
      </c>
      <c r="E68" s="64">
        <v>2.25</v>
      </c>
      <c r="F68" s="64">
        <v>3.6</v>
      </c>
      <c r="G68" s="64">
        <v>63.13</v>
      </c>
      <c r="H68" s="64">
        <v>36.17</v>
      </c>
      <c r="I68" s="64">
        <v>1.56</v>
      </c>
      <c r="J68" s="64">
        <v>0.78</v>
      </c>
      <c r="K68" s="64">
        <v>107.45</v>
      </c>
      <c r="L68" s="64">
        <v>26.8</v>
      </c>
      <c r="M68" s="64">
        <v>44.71</v>
      </c>
      <c r="N68" s="64">
        <v>146.19999999999999</v>
      </c>
      <c r="O68" s="64">
        <v>0</v>
      </c>
      <c r="P68" s="64">
        <v>1.06</v>
      </c>
      <c r="Q68" s="64">
        <v>4.78</v>
      </c>
      <c r="R68" s="198"/>
      <c r="S68" s="198"/>
      <c r="T68" s="198"/>
      <c r="U68" s="198"/>
    </row>
    <row r="69" spans="1:21" s="12" customFormat="1" x14ac:dyDescent="0.25">
      <c r="A69" s="215" t="s">
        <v>3094</v>
      </c>
      <c r="B69" s="64">
        <v>4.32</v>
      </c>
      <c r="C69" s="64">
        <v>46.34</v>
      </c>
      <c r="D69" s="64">
        <v>29.68</v>
      </c>
      <c r="E69" s="64">
        <v>2.1800000000000002</v>
      </c>
      <c r="F69" s="64">
        <v>3.69</v>
      </c>
      <c r="G69" s="64">
        <v>63.13</v>
      </c>
      <c r="H69" s="64">
        <v>36.17</v>
      </c>
      <c r="I69" s="64">
        <v>1.48</v>
      </c>
      <c r="J69" s="64">
        <v>0.66</v>
      </c>
      <c r="K69" s="64">
        <v>113.24</v>
      </c>
      <c r="L69" s="64">
        <v>26.54</v>
      </c>
      <c r="M69" s="64">
        <v>45.72</v>
      </c>
      <c r="N69" s="64">
        <v>119</v>
      </c>
      <c r="O69" s="64">
        <v>0</v>
      </c>
      <c r="P69" s="64">
        <v>0.99</v>
      </c>
      <c r="Q69" s="64">
        <v>4.8499999999999996</v>
      </c>
      <c r="R69" s="198"/>
      <c r="S69" s="198"/>
      <c r="T69" s="198"/>
      <c r="U69" s="198"/>
    </row>
    <row r="70" spans="1:21" s="12" customFormat="1" x14ac:dyDescent="0.25">
      <c r="A70" s="215" t="s">
        <v>3095</v>
      </c>
      <c r="B70" s="64">
        <v>5.9</v>
      </c>
      <c r="C70" s="64">
        <v>51.02</v>
      </c>
      <c r="D70" s="64">
        <v>33.54</v>
      </c>
      <c r="E70" s="64">
        <v>2.17</v>
      </c>
      <c r="F70" s="64">
        <v>3.83</v>
      </c>
      <c r="G70" s="64">
        <v>58.28</v>
      </c>
      <c r="H70" s="64">
        <v>34.47</v>
      </c>
      <c r="I70" s="64">
        <v>1.5</v>
      </c>
      <c r="J70" s="64">
        <v>0.48</v>
      </c>
      <c r="K70" s="64">
        <v>79.930000000000007</v>
      </c>
      <c r="L70" s="64">
        <v>26.25</v>
      </c>
      <c r="M70" s="64">
        <v>44.8</v>
      </c>
      <c r="N70" s="64">
        <v>102.2</v>
      </c>
      <c r="O70" s="64">
        <v>0</v>
      </c>
      <c r="P70" s="64">
        <v>0.96</v>
      </c>
      <c r="Q70" s="64">
        <v>5.18</v>
      </c>
      <c r="R70" s="198"/>
      <c r="S70" s="198"/>
      <c r="T70" s="198"/>
      <c r="U70" s="198"/>
    </row>
    <row r="71" spans="1:21" s="12" customFormat="1" x14ac:dyDescent="0.25">
      <c r="A71" s="215" t="s">
        <v>3096</v>
      </c>
      <c r="B71" s="64">
        <v>4.7</v>
      </c>
      <c r="C71" s="64">
        <v>47.99</v>
      </c>
      <c r="D71" s="64">
        <v>30.9</v>
      </c>
      <c r="E71" s="64">
        <v>2.23</v>
      </c>
      <c r="F71" s="64">
        <v>3.74</v>
      </c>
      <c r="G71" s="64">
        <v>53.21</v>
      </c>
      <c r="H71" s="64">
        <v>32.61</v>
      </c>
      <c r="I71" s="64">
        <v>1.48</v>
      </c>
      <c r="J71" s="64">
        <v>0.3</v>
      </c>
      <c r="K71" s="64">
        <v>82.21</v>
      </c>
      <c r="L71" s="64">
        <v>26.3</v>
      </c>
      <c r="M71" s="64">
        <v>45.94</v>
      </c>
      <c r="N71" s="64">
        <v>88.8</v>
      </c>
      <c r="O71" s="64">
        <v>0</v>
      </c>
      <c r="P71" s="64">
        <v>0.97</v>
      </c>
      <c r="Q71" s="64">
        <v>5.2</v>
      </c>
      <c r="R71" s="198"/>
      <c r="S71" s="198"/>
      <c r="T71" s="198"/>
      <c r="U71" s="198"/>
    </row>
    <row r="72" spans="1:21" s="12" customFormat="1" x14ac:dyDescent="0.25">
      <c r="A72" s="215" t="s">
        <v>3097</v>
      </c>
      <c r="B72" s="64">
        <v>8.44</v>
      </c>
      <c r="C72" s="64">
        <v>55.01</v>
      </c>
      <c r="D72" s="64">
        <v>37.770000000000003</v>
      </c>
      <c r="E72" s="64">
        <v>2.21</v>
      </c>
      <c r="F72" s="64">
        <v>3.43</v>
      </c>
      <c r="G72" s="64">
        <v>53.21</v>
      </c>
      <c r="H72" s="64">
        <v>32.61</v>
      </c>
      <c r="I72" s="64">
        <v>1.46</v>
      </c>
      <c r="J72" s="64">
        <v>0.17</v>
      </c>
      <c r="K72" s="64">
        <v>357.04</v>
      </c>
      <c r="L72" s="64">
        <v>26.39</v>
      </c>
      <c r="M72" s="64">
        <v>46.42</v>
      </c>
      <c r="N72" s="64">
        <v>92.7</v>
      </c>
      <c r="O72" s="64">
        <v>0</v>
      </c>
      <c r="P72" s="64">
        <v>1.03</v>
      </c>
      <c r="Q72" s="64">
        <v>5.01</v>
      </c>
      <c r="R72" s="198"/>
      <c r="S72" s="198"/>
      <c r="T72" s="198"/>
      <c r="U72" s="198"/>
    </row>
    <row r="73" spans="1:21" s="12" customFormat="1" x14ac:dyDescent="0.25">
      <c r="A73" s="215" t="s">
        <v>3098</v>
      </c>
      <c r="B73" s="64">
        <v>7.99</v>
      </c>
      <c r="C73" s="64">
        <v>51.1</v>
      </c>
      <c r="D73" s="64">
        <v>35.25</v>
      </c>
      <c r="E73" s="64">
        <v>2.33</v>
      </c>
      <c r="F73" s="64">
        <v>2.84</v>
      </c>
      <c r="G73" s="64">
        <v>53.21</v>
      </c>
      <c r="H73" s="64">
        <v>32.61</v>
      </c>
      <c r="I73" s="64">
        <v>1.55</v>
      </c>
      <c r="J73" s="64">
        <v>0.1</v>
      </c>
      <c r="K73" s="64">
        <v>80.59</v>
      </c>
      <c r="L73" s="64">
        <v>26.22</v>
      </c>
      <c r="M73" s="64">
        <v>46.45</v>
      </c>
      <c r="N73" s="64">
        <v>79</v>
      </c>
      <c r="O73" s="64">
        <v>0</v>
      </c>
      <c r="P73" s="64">
        <v>1.03</v>
      </c>
      <c r="Q73" s="64">
        <v>4.82</v>
      </c>
      <c r="R73" s="198"/>
      <c r="S73" s="198"/>
      <c r="T73" s="198"/>
      <c r="U73" s="198"/>
    </row>
    <row r="74" spans="1:21" s="12" customFormat="1" x14ac:dyDescent="0.25">
      <c r="A74" s="215" t="s">
        <v>3099</v>
      </c>
      <c r="B74" s="64">
        <v>8.42</v>
      </c>
      <c r="C74" s="64">
        <v>50.97</v>
      </c>
      <c r="D74" s="64">
        <v>35.53</v>
      </c>
      <c r="E74" s="64">
        <v>2.34</v>
      </c>
      <c r="F74" s="64">
        <v>3.05</v>
      </c>
      <c r="G74" s="64">
        <v>58.34</v>
      </c>
      <c r="H74" s="64">
        <v>32.14</v>
      </c>
      <c r="I74" s="64">
        <v>1.51</v>
      </c>
      <c r="J74" s="64">
        <v>0.11</v>
      </c>
      <c r="K74" s="64">
        <v>64.86</v>
      </c>
      <c r="L74" s="64">
        <v>25.96</v>
      </c>
      <c r="M74" s="64">
        <v>46.76</v>
      </c>
      <c r="N74" s="64">
        <v>62.1</v>
      </c>
      <c r="O74" s="64">
        <v>0</v>
      </c>
      <c r="P74" s="64">
        <v>1.07</v>
      </c>
      <c r="Q74" s="64">
        <v>4.9400000000000004</v>
      </c>
      <c r="R74" s="198"/>
      <c r="S74" s="198"/>
      <c r="T74" s="198"/>
      <c r="U74" s="198"/>
    </row>
    <row r="75" spans="1:21" s="12" customFormat="1" x14ac:dyDescent="0.25">
      <c r="A75" s="215" t="s">
        <v>3100</v>
      </c>
      <c r="B75" s="64">
        <v>18.73</v>
      </c>
      <c r="C75" s="64">
        <v>81.16</v>
      </c>
      <c r="D75" s="64">
        <v>60.46</v>
      </c>
      <c r="E75" s="64">
        <v>2.29</v>
      </c>
      <c r="F75" s="64">
        <v>3.56</v>
      </c>
      <c r="G75" s="64">
        <v>63.7</v>
      </c>
      <c r="H75" s="64">
        <v>31.89</v>
      </c>
      <c r="I75" s="64">
        <v>1.46</v>
      </c>
      <c r="J75" s="64">
        <v>0.1</v>
      </c>
      <c r="K75" s="64">
        <v>353.28</v>
      </c>
      <c r="L75" s="64">
        <v>25.73</v>
      </c>
      <c r="M75" s="64">
        <v>48.44</v>
      </c>
      <c r="N75" s="64">
        <v>44.7</v>
      </c>
      <c r="O75" s="64">
        <v>0</v>
      </c>
      <c r="P75" s="64">
        <v>1.25</v>
      </c>
      <c r="Q75" s="64">
        <v>4.99</v>
      </c>
      <c r="R75" s="198"/>
      <c r="S75" s="198"/>
      <c r="T75" s="198"/>
      <c r="U75" s="198"/>
    </row>
    <row r="76" spans="1:21" s="12" customFormat="1" x14ac:dyDescent="0.25">
      <c r="A76" s="215" t="s">
        <v>3101</v>
      </c>
      <c r="B76" s="64">
        <v>42.21</v>
      </c>
      <c r="C76" s="64">
        <v>95.3</v>
      </c>
      <c r="D76" s="64">
        <v>87.09</v>
      </c>
      <c r="E76" s="64">
        <v>2.38</v>
      </c>
      <c r="F76" s="64">
        <v>3.15</v>
      </c>
      <c r="G76" s="64">
        <v>63.7</v>
      </c>
      <c r="H76" s="64">
        <v>31.89</v>
      </c>
      <c r="I76" s="64">
        <v>1.43</v>
      </c>
      <c r="J76" s="64">
        <v>0.19</v>
      </c>
      <c r="K76" s="64">
        <v>353.83</v>
      </c>
      <c r="L76" s="64">
        <v>25.46</v>
      </c>
      <c r="M76" s="64">
        <v>52.47</v>
      </c>
      <c r="N76" s="64">
        <v>31.4</v>
      </c>
      <c r="O76" s="64">
        <v>0</v>
      </c>
      <c r="P76" s="64">
        <v>1.33</v>
      </c>
      <c r="Q76" s="64">
        <v>5.04</v>
      </c>
      <c r="R76" s="198"/>
      <c r="S76" s="198"/>
      <c r="T76" s="198"/>
      <c r="U76" s="198"/>
    </row>
    <row r="77" spans="1:21" s="12" customFormat="1" x14ac:dyDescent="0.25">
      <c r="A77" s="215" t="s">
        <v>3102</v>
      </c>
      <c r="B77" s="64">
        <v>38.99</v>
      </c>
      <c r="C77" s="64">
        <v>73.14</v>
      </c>
      <c r="D77" s="64">
        <v>72.28</v>
      </c>
      <c r="E77" s="64">
        <v>2.4</v>
      </c>
      <c r="F77" s="64">
        <v>3.09</v>
      </c>
      <c r="G77" s="64">
        <v>63.7</v>
      </c>
      <c r="H77" s="64">
        <v>31.89</v>
      </c>
      <c r="I77" s="64">
        <v>1.56</v>
      </c>
      <c r="J77" s="64">
        <v>0.04</v>
      </c>
      <c r="K77" s="64">
        <v>346.49</v>
      </c>
      <c r="L77" s="64">
        <v>24.35</v>
      </c>
      <c r="M77" s="64">
        <v>60.7</v>
      </c>
      <c r="N77" s="64">
        <v>23.2</v>
      </c>
      <c r="O77" s="64">
        <v>0</v>
      </c>
      <c r="P77" s="64">
        <v>1.54</v>
      </c>
      <c r="Q77" s="64">
        <v>5.12</v>
      </c>
      <c r="R77" s="198"/>
      <c r="S77" s="198"/>
      <c r="T77" s="198"/>
      <c r="U77" s="198"/>
    </row>
    <row r="78" spans="1:21" s="12" customFormat="1" x14ac:dyDescent="0.25">
      <c r="A78" s="215" t="s">
        <v>3103</v>
      </c>
      <c r="B78" s="64">
        <v>54.5</v>
      </c>
      <c r="C78" s="64">
        <v>84.79</v>
      </c>
      <c r="D78" s="64">
        <v>91.15</v>
      </c>
      <c r="E78" s="64">
        <v>2.36</v>
      </c>
      <c r="F78" s="64">
        <v>3.43</v>
      </c>
      <c r="G78" s="64">
        <v>68.19</v>
      </c>
      <c r="H78" s="64">
        <v>37.15</v>
      </c>
      <c r="I78" s="64">
        <v>1.53</v>
      </c>
      <c r="J78" s="64">
        <v>0.21</v>
      </c>
      <c r="K78" s="64">
        <v>80.39</v>
      </c>
      <c r="L78" s="64">
        <v>24</v>
      </c>
      <c r="M78" s="64">
        <v>60.74</v>
      </c>
      <c r="N78" s="64">
        <v>20.3</v>
      </c>
      <c r="O78" s="64">
        <v>0</v>
      </c>
      <c r="P78" s="64">
        <v>1.86</v>
      </c>
      <c r="Q78" s="64">
        <v>5.29</v>
      </c>
      <c r="R78" s="198"/>
      <c r="S78" s="198"/>
      <c r="T78" s="198"/>
      <c r="U78" s="198"/>
    </row>
    <row r="79" spans="1:21" s="12" customFormat="1" x14ac:dyDescent="0.25">
      <c r="A79" s="215" t="s">
        <v>3104</v>
      </c>
      <c r="B79" s="64">
        <v>38.39</v>
      </c>
      <c r="C79" s="64">
        <v>79.97</v>
      </c>
      <c r="D79" s="64">
        <v>75.569999999999993</v>
      </c>
      <c r="E79" s="64">
        <v>2.39</v>
      </c>
      <c r="F79" s="64">
        <v>3.23</v>
      </c>
      <c r="G79" s="64">
        <v>72.88</v>
      </c>
      <c r="H79" s="64">
        <v>39.9</v>
      </c>
      <c r="I79" s="64">
        <v>1.51</v>
      </c>
      <c r="J79" s="64">
        <v>0.22</v>
      </c>
      <c r="K79" s="64">
        <v>77.760000000000005</v>
      </c>
      <c r="L79" s="64">
        <v>23.78</v>
      </c>
      <c r="M79" s="64">
        <v>61.43</v>
      </c>
      <c r="N79" s="64">
        <v>20</v>
      </c>
      <c r="O79" s="64">
        <v>0</v>
      </c>
      <c r="P79" s="64">
        <v>1.75</v>
      </c>
      <c r="Q79" s="64">
        <v>5.45</v>
      </c>
      <c r="R79" s="198"/>
      <c r="S79" s="198"/>
      <c r="T79" s="198"/>
      <c r="U79" s="198"/>
    </row>
    <row r="80" spans="1:21" s="12" customFormat="1" x14ac:dyDescent="0.25">
      <c r="A80" s="215" t="s">
        <v>3105</v>
      </c>
      <c r="B80" s="64">
        <v>31.07</v>
      </c>
      <c r="C80" s="64">
        <v>79.72</v>
      </c>
      <c r="D80" s="64">
        <v>69.56</v>
      </c>
      <c r="E80" s="64">
        <v>2.41</v>
      </c>
      <c r="F80" s="64">
        <v>3.41</v>
      </c>
      <c r="G80" s="64">
        <v>72.88</v>
      </c>
      <c r="H80" s="64">
        <v>39.9</v>
      </c>
      <c r="I80" s="64">
        <v>1.43</v>
      </c>
      <c r="J80" s="64">
        <v>0.15</v>
      </c>
      <c r="K80" s="64">
        <v>76.61</v>
      </c>
      <c r="L80" s="64">
        <v>23.62</v>
      </c>
      <c r="M80" s="64">
        <v>62.9</v>
      </c>
      <c r="N80" s="64">
        <v>19.899999999999999</v>
      </c>
      <c r="O80" s="64">
        <v>0</v>
      </c>
      <c r="P80" s="64">
        <v>1.69</v>
      </c>
      <c r="Q80" s="64">
        <v>5.68</v>
      </c>
      <c r="R80" s="198"/>
      <c r="S80" s="198"/>
      <c r="T80" s="198"/>
      <c r="U80" s="198"/>
    </row>
    <row r="81" spans="1:26" s="12" customFormat="1" x14ac:dyDescent="0.25">
      <c r="A81" s="215" t="s">
        <v>3106</v>
      </c>
      <c r="B81" s="64">
        <v>31.62</v>
      </c>
      <c r="C81" s="64">
        <v>83.83</v>
      </c>
      <c r="D81" s="64">
        <v>72.27</v>
      </c>
      <c r="E81" s="64">
        <v>2.4300000000000002</v>
      </c>
      <c r="F81" s="64">
        <v>3.46</v>
      </c>
      <c r="G81" s="64">
        <v>72.88</v>
      </c>
      <c r="H81" s="64">
        <v>39.9</v>
      </c>
      <c r="I81" s="64">
        <v>1.49</v>
      </c>
      <c r="J81" s="64">
        <v>0.18</v>
      </c>
      <c r="K81" s="64">
        <v>79.94</v>
      </c>
      <c r="L81" s="64">
        <v>23.65</v>
      </c>
      <c r="M81" s="64">
        <v>58.23</v>
      </c>
      <c r="N81" s="64">
        <v>19.8</v>
      </c>
      <c r="O81" s="64">
        <v>0</v>
      </c>
      <c r="P81" s="64">
        <v>1.61</v>
      </c>
      <c r="Q81" s="64">
        <v>5.83</v>
      </c>
      <c r="R81" s="198"/>
      <c r="S81" s="198"/>
      <c r="T81" s="198"/>
      <c r="U81" s="198"/>
    </row>
    <row r="82" spans="1:26" s="12" customFormat="1" x14ac:dyDescent="0.25">
      <c r="A82" s="215" t="s">
        <v>3107</v>
      </c>
      <c r="B82" s="64">
        <v>36.58</v>
      </c>
      <c r="C82" s="64">
        <v>83.97</v>
      </c>
      <c r="D82" s="64">
        <v>76.319999999999993</v>
      </c>
      <c r="E82" s="64">
        <v>2.48</v>
      </c>
      <c r="F82" s="64">
        <v>3.34</v>
      </c>
      <c r="G82" s="64">
        <v>81.819999999999993</v>
      </c>
      <c r="H82" s="64">
        <v>29.5</v>
      </c>
      <c r="I82" s="64">
        <v>1.44</v>
      </c>
      <c r="J82" s="64">
        <v>0.14000000000000001</v>
      </c>
      <c r="K82" s="64">
        <v>68.94</v>
      </c>
      <c r="L82" s="64">
        <v>23.7</v>
      </c>
      <c r="M82" s="64">
        <v>57.2</v>
      </c>
      <c r="N82" s="64">
        <v>19.600000000000001</v>
      </c>
      <c r="O82" s="64">
        <v>0</v>
      </c>
      <c r="P82" s="64">
        <v>1.69</v>
      </c>
      <c r="Q82" s="64">
        <v>5.95</v>
      </c>
      <c r="R82" s="198"/>
      <c r="S82" s="198"/>
      <c r="T82" s="198"/>
      <c r="U82" s="198"/>
    </row>
    <row r="83" spans="1:26" s="12" customFormat="1" x14ac:dyDescent="0.25">
      <c r="A83" s="215" t="s">
        <v>3108</v>
      </c>
      <c r="B83" s="64">
        <v>28.2</v>
      </c>
      <c r="C83" s="64">
        <v>81.41</v>
      </c>
      <c r="D83" s="64">
        <v>68.19</v>
      </c>
      <c r="E83" s="64">
        <v>2.38</v>
      </c>
      <c r="F83" s="64">
        <v>3.24</v>
      </c>
      <c r="G83" s="64">
        <v>91.16</v>
      </c>
      <c r="H83" s="64">
        <v>23.94</v>
      </c>
      <c r="I83" s="64">
        <v>1.53</v>
      </c>
      <c r="J83" s="64">
        <v>0.18</v>
      </c>
      <c r="K83" s="64">
        <v>78.17</v>
      </c>
      <c r="L83" s="64">
        <v>23.56</v>
      </c>
      <c r="M83" s="64">
        <v>58.15</v>
      </c>
      <c r="N83" s="64">
        <v>19.7</v>
      </c>
      <c r="O83" s="64">
        <v>0</v>
      </c>
      <c r="P83" s="64">
        <v>1.64</v>
      </c>
      <c r="Q83" s="64">
        <v>5.99</v>
      </c>
      <c r="R83" s="198"/>
      <c r="S83" s="198"/>
      <c r="T83" s="198"/>
      <c r="U83" s="198"/>
    </row>
    <row r="84" spans="1:26" s="12" customFormat="1" x14ac:dyDescent="0.25">
      <c r="A84" s="215" t="s">
        <v>3109</v>
      </c>
      <c r="B84" s="64">
        <v>23.62</v>
      </c>
      <c r="C84" s="64">
        <v>77.760000000000005</v>
      </c>
      <c r="D84" s="64">
        <v>62.5</v>
      </c>
      <c r="E84" s="64">
        <v>2.4300000000000002</v>
      </c>
      <c r="F84" s="64">
        <v>3.27</v>
      </c>
      <c r="G84" s="64">
        <v>91.16</v>
      </c>
      <c r="H84" s="64">
        <v>23.94</v>
      </c>
      <c r="I84" s="64">
        <v>1.52</v>
      </c>
      <c r="J84" s="64">
        <v>0.1</v>
      </c>
      <c r="K84" s="64">
        <v>81.02</v>
      </c>
      <c r="L84" s="64">
        <v>23.37</v>
      </c>
      <c r="M84" s="64">
        <v>59.65</v>
      </c>
      <c r="N84" s="64">
        <v>19.7</v>
      </c>
      <c r="O84" s="64">
        <v>0</v>
      </c>
      <c r="P84" s="64">
        <v>1.65</v>
      </c>
      <c r="Q84" s="64">
        <v>6.08</v>
      </c>
      <c r="R84" s="198"/>
      <c r="S84" s="198"/>
      <c r="T84" s="198"/>
      <c r="U84" s="198"/>
    </row>
    <row r="85" spans="1:26" s="12" customFormat="1" x14ac:dyDescent="0.25">
      <c r="A85" s="215" t="s">
        <v>3110</v>
      </c>
      <c r="B85" s="64">
        <v>20.09</v>
      </c>
      <c r="C85" s="64">
        <v>73.319999999999993</v>
      </c>
      <c r="D85" s="64">
        <v>57.22</v>
      </c>
      <c r="E85" s="64">
        <v>2.42</v>
      </c>
      <c r="F85" s="64">
        <v>3.36</v>
      </c>
      <c r="G85" s="64">
        <v>91.16</v>
      </c>
      <c r="H85" s="64">
        <v>23.94</v>
      </c>
      <c r="I85" s="64">
        <v>1.56</v>
      </c>
      <c r="J85" s="64">
        <v>0.27</v>
      </c>
      <c r="K85" s="64">
        <v>101.45</v>
      </c>
      <c r="L85" s="64">
        <v>23.33</v>
      </c>
      <c r="M85" s="64">
        <v>59.18</v>
      </c>
      <c r="N85" s="64">
        <v>19.600000000000001</v>
      </c>
      <c r="O85" s="64">
        <v>0</v>
      </c>
      <c r="P85" s="64">
        <v>1.45</v>
      </c>
      <c r="Q85" s="64">
        <v>6.14</v>
      </c>
      <c r="R85" s="198"/>
      <c r="S85" s="198"/>
      <c r="T85" s="198"/>
      <c r="U85" s="198"/>
    </row>
    <row r="86" spans="1:26" s="12" customFormat="1" x14ac:dyDescent="0.25">
      <c r="A86" s="215" t="s">
        <v>3111</v>
      </c>
      <c r="B86" s="64">
        <v>20.55</v>
      </c>
      <c r="C86" s="64">
        <v>79.38</v>
      </c>
      <c r="D86" s="64">
        <v>60.94</v>
      </c>
      <c r="E86" s="64">
        <v>2.42</v>
      </c>
      <c r="F86" s="64">
        <v>3.09</v>
      </c>
      <c r="G86" s="64">
        <v>91.9</v>
      </c>
      <c r="H86" s="64">
        <v>18.8</v>
      </c>
      <c r="I86" s="64">
        <v>1.46</v>
      </c>
      <c r="J86" s="64">
        <v>0.23</v>
      </c>
      <c r="K86" s="64">
        <v>100.33</v>
      </c>
      <c r="L86" s="64">
        <v>23.31</v>
      </c>
      <c r="M86" s="64">
        <v>59.05</v>
      </c>
      <c r="N86" s="64">
        <v>19.600000000000001</v>
      </c>
      <c r="O86" s="64">
        <v>0</v>
      </c>
      <c r="P86" s="64">
        <v>1.59</v>
      </c>
      <c r="Q86" s="64">
        <v>6.12</v>
      </c>
      <c r="R86" s="198"/>
      <c r="S86" s="198"/>
      <c r="T86" s="198"/>
      <c r="U86" s="198"/>
    </row>
    <row r="87" spans="1:26" s="12" customFormat="1" x14ac:dyDescent="0.25">
      <c r="A87" s="215" t="s">
        <v>3112</v>
      </c>
      <c r="B87" s="64">
        <v>19.46</v>
      </c>
      <c r="C87" s="64">
        <v>68.7</v>
      </c>
      <c r="D87" s="64">
        <v>54.17</v>
      </c>
      <c r="E87" s="64">
        <v>2.41</v>
      </c>
      <c r="F87" s="64">
        <v>3.14</v>
      </c>
      <c r="G87" s="64">
        <v>92.68</v>
      </c>
      <c r="H87" s="64">
        <v>13.17</v>
      </c>
      <c r="I87" s="64">
        <v>1.49</v>
      </c>
      <c r="J87" s="64">
        <v>0.4</v>
      </c>
      <c r="K87" s="64">
        <v>104.88</v>
      </c>
      <c r="L87" s="64">
        <v>23.29</v>
      </c>
      <c r="M87" s="64">
        <v>58.66</v>
      </c>
      <c r="N87" s="64">
        <v>19.399999999999999</v>
      </c>
      <c r="O87" s="64">
        <v>0</v>
      </c>
      <c r="P87" s="64">
        <v>1.48</v>
      </c>
      <c r="Q87" s="64">
        <v>6.15</v>
      </c>
      <c r="R87" s="198"/>
      <c r="S87" s="198"/>
      <c r="T87" s="198"/>
      <c r="U87" s="198"/>
    </row>
    <row r="88" spans="1:26" s="12" customFormat="1" x14ac:dyDescent="0.25">
      <c r="A88" s="215" t="s">
        <v>3113</v>
      </c>
      <c r="B88" s="64">
        <v>17.45</v>
      </c>
      <c r="C88" s="64">
        <v>59.92</v>
      </c>
      <c r="D88" s="64">
        <v>47.71</v>
      </c>
      <c r="E88" s="64">
        <v>2.13</v>
      </c>
      <c r="F88" s="64">
        <v>3.34</v>
      </c>
      <c r="G88" s="64">
        <v>92.68</v>
      </c>
      <c r="H88" s="64">
        <v>13.17</v>
      </c>
      <c r="I88" s="64">
        <v>1.48</v>
      </c>
      <c r="J88" s="64">
        <v>0.6</v>
      </c>
      <c r="K88" s="64">
        <v>99.9</v>
      </c>
      <c r="L88" s="64">
        <v>23.24</v>
      </c>
      <c r="M88" s="64">
        <v>58.22</v>
      </c>
      <c r="N88" s="64">
        <v>19.5</v>
      </c>
      <c r="O88" s="64">
        <v>0</v>
      </c>
      <c r="P88" s="64">
        <v>1.47</v>
      </c>
      <c r="Q88" s="64">
        <v>6.18</v>
      </c>
      <c r="R88" s="198"/>
      <c r="S88" s="198"/>
      <c r="T88" s="198"/>
      <c r="U88" s="198"/>
    </row>
    <row r="89" spans="1:26" s="12" customFormat="1" x14ac:dyDescent="0.25">
      <c r="A89" s="215" t="s">
        <v>3114</v>
      </c>
      <c r="B89" s="64">
        <v>18.5</v>
      </c>
      <c r="C89" s="64">
        <v>49.78</v>
      </c>
      <c r="D89" s="64">
        <v>42.96</v>
      </c>
      <c r="E89" s="64">
        <v>2.2599999999999998</v>
      </c>
      <c r="F89" s="64">
        <v>3.37</v>
      </c>
      <c r="G89" s="64">
        <v>92.68</v>
      </c>
      <c r="H89" s="64">
        <v>13.17</v>
      </c>
      <c r="I89" s="64">
        <v>1.51</v>
      </c>
      <c r="J89" s="64">
        <v>0.3</v>
      </c>
      <c r="K89" s="64">
        <v>100.95</v>
      </c>
      <c r="L89" s="64">
        <v>23.01</v>
      </c>
      <c r="M89" s="64">
        <v>59.58</v>
      </c>
      <c r="N89" s="64">
        <v>19.600000000000001</v>
      </c>
      <c r="O89" s="64">
        <v>0</v>
      </c>
      <c r="P89" s="64">
        <v>1.46</v>
      </c>
      <c r="Q89" s="64">
        <v>6.17</v>
      </c>
      <c r="R89" s="198"/>
      <c r="S89" s="198"/>
      <c r="T89" s="198"/>
      <c r="U89" s="198"/>
    </row>
    <row r="90" spans="1:26" s="12" customFormat="1" x14ac:dyDescent="0.25">
      <c r="A90" s="215" t="s">
        <v>3115</v>
      </c>
      <c r="B90" s="64">
        <v>17.57</v>
      </c>
      <c r="C90" s="64">
        <v>49.43</v>
      </c>
      <c r="D90" s="64">
        <v>42.01</v>
      </c>
      <c r="E90" s="64">
        <v>2.2200000000000002</v>
      </c>
      <c r="F90" s="64">
        <v>3.2</v>
      </c>
      <c r="G90" s="64">
        <v>87.58</v>
      </c>
      <c r="H90" s="64">
        <v>28.39</v>
      </c>
      <c r="I90" s="64">
        <v>1.55</v>
      </c>
      <c r="J90" s="64">
        <v>0.31</v>
      </c>
      <c r="K90" s="64">
        <v>105.13</v>
      </c>
      <c r="L90" s="64">
        <v>22.74</v>
      </c>
      <c r="M90" s="64">
        <v>61.43</v>
      </c>
      <c r="N90" s="64">
        <v>19.600000000000001</v>
      </c>
      <c r="O90" s="64">
        <v>0</v>
      </c>
      <c r="P90" s="64">
        <v>1.43</v>
      </c>
      <c r="Q90" s="64">
        <v>6.02</v>
      </c>
      <c r="R90" s="198"/>
      <c r="S90" s="198"/>
      <c r="T90" s="198"/>
      <c r="U90" s="198"/>
    </row>
    <row r="91" spans="1:26" s="12" customFormat="1" x14ac:dyDescent="0.25">
      <c r="A91" s="215" t="s">
        <v>3116</v>
      </c>
      <c r="B91" s="64">
        <v>16.260000000000002</v>
      </c>
      <c r="C91" s="64">
        <v>50.91</v>
      </c>
      <c r="D91" s="64">
        <v>41.78</v>
      </c>
      <c r="E91" s="64">
        <v>2.2799999999999998</v>
      </c>
      <c r="F91" s="64">
        <v>3.36</v>
      </c>
      <c r="G91" s="64">
        <v>82.26</v>
      </c>
      <c r="H91" s="64">
        <v>36.340000000000003</v>
      </c>
      <c r="I91" s="64">
        <v>1.51</v>
      </c>
      <c r="J91" s="64">
        <v>0.27</v>
      </c>
      <c r="K91" s="64">
        <v>100.66</v>
      </c>
      <c r="L91" s="64">
        <v>22.57</v>
      </c>
      <c r="M91" s="64">
        <v>62.63</v>
      </c>
      <c r="N91" s="64">
        <v>19.600000000000001</v>
      </c>
      <c r="O91" s="64">
        <v>0</v>
      </c>
      <c r="P91" s="64">
        <v>1.42</v>
      </c>
      <c r="Q91" s="64">
        <v>5.88</v>
      </c>
      <c r="R91" s="198"/>
      <c r="S91" s="198"/>
      <c r="T91" s="198"/>
      <c r="U91" s="198"/>
    </row>
    <row r="92" spans="1:26" s="12" customFormat="1" x14ac:dyDescent="0.25">
      <c r="A92" s="215" t="s">
        <v>3117</v>
      </c>
      <c r="B92" s="64">
        <v>15.37</v>
      </c>
      <c r="C92" s="64">
        <v>50.01</v>
      </c>
      <c r="D92" s="64">
        <v>40.57</v>
      </c>
      <c r="E92" s="64">
        <v>2.2799999999999998</v>
      </c>
      <c r="F92" s="64">
        <v>3.47</v>
      </c>
      <c r="G92" s="64">
        <v>82.26</v>
      </c>
      <c r="H92" s="64">
        <v>36.340000000000003</v>
      </c>
      <c r="I92" s="64">
        <v>1.44</v>
      </c>
      <c r="J92" s="64">
        <v>0.24</v>
      </c>
      <c r="K92" s="64">
        <v>103.61</v>
      </c>
      <c r="L92" s="64">
        <v>22.37</v>
      </c>
      <c r="M92" s="64">
        <v>63.77</v>
      </c>
      <c r="N92" s="64">
        <v>19.600000000000001</v>
      </c>
      <c r="O92" s="64">
        <v>0</v>
      </c>
      <c r="P92" s="64">
        <v>1.4</v>
      </c>
      <c r="Q92" s="64">
        <v>5.76</v>
      </c>
      <c r="R92" s="198"/>
      <c r="S92" s="198"/>
      <c r="T92" s="198"/>
      <c r="U92" s="198"/>
    </row>
    <row r="93" spans="1:26" s="12" customFormat="1" x14ac:dyDescent="0.25">
      <c r="A93" s="215" t="s">
        <v>3118</v>
      </c>
      <c r="B93" s="64">
        <v>13.98</v>
      </c>
      <c r="C93" s="64">
        <v>49.34</v>
      </c>
      <c r="D93" s="64">
        <v>39.090000000000003</v>
      </c>
      <c r="E93" s="64">
        <v>2.27</v>
      </c>
      <c r="F93" s="64">
        <v>3.36</v>
      </c>
      <c r="G93" s="64">
        <v>82.26</v>
      </c>
      <c r="H93" s="64">
        <v>36.340000000000003</v>
      </c>
      <c r="I93" s="64">
        <v>1.57</v>
      </c>
      <c r="J93" s="64">
        <v>0.62</v>
      </c>
      <c r="K93" s="64">
        <v>100.94</v>
      </c>
      <c r="L93" s="64">
        <v>22.27</v>
      </c>
      <c r="M93" s="64">
        <v>64.33</v>
      </c>
      <c r="N93" s="64">
        <v>19.399999999999999</v>
      </c>
      <c r="O93" s="64">
        <v>0</v>
      </c>
      <c r="P93" s="64">
        <v>1.38</v>
      </c>
      <c r="Q93" s="64">
        <v>5.64</v>
      </c>
      <c r="R93" s="198"/>
      <c r="S93" s="198"/>
      <c r="T93" s="198"/>
      <c r="U93" s="198"/>
    </row>
    <row r="94" spans="1:26" s="12" customFormat="1" x14ac:dyDescent="0.25">
      <c r="A94" s="215" t="s">
        <v>3119</v>
      </c>
      <c r="B94" s="64">
        <v>12.63</v>
      </c>
      <c r="C94" s="64">
        <v>48.76</v>
      </c>
      <c r="D94" s="64">
        <v>37.68</v>
      </c>
      <c r="E94" s="64">
        <v>2.29</v>
      </c>
      <c r="F94" s="64">
        <v>3.42</v>
      </c>
      <c r="G94" s="64">
        <v>80.75</v>
      </c>
      <c r="H94" s="64">
        <v>38.86</v>
      </c>
      <c r="I94" s="64">
        <v>1.5</v>
      </c>
      <c r="J94" s="64">
        <v>0.43</v>
      </c>
      <c r="K94" s="64">
        <v>119.9</v>
      </c>
      <c r="L94" s="64">
        <v>22.16</v>
      </c>
      <c r="M94" s="64">
        <v>65.069999999999993</v>
      </c>
      <c r="N94" s="64">
        <v>19.600000000000001</v>
      </c>
      <c r="O94" s="64">
        <v>0</v>
      </c>
      <c r="P94" s="64">
        <v>1.36</v>
      </c>
      <c r="Q94" s="64">
        <v>5.48</v>
      </c>
      <c r="R94" s="198"/>
      <c r="S94" s="198"/>
      <c r="T94" s="198"/>
      <c r="U94" s="198"/>
    </row>
    <row r="95" spans="1:26" s="12" customFormat="1" x14ac:dyDescent="0.25">
      <c r="A95" s="215" t="s">
        <v>3120</v>
      </c>
      <c r="B95" s="64">
        <v>11.97</v>
      </c>
      <c r="C95" s="64">
        <v>48.3</v>
      </c>
      <c r="D95" s="64">
        <v>36.9</v>
      </c>
      <c r="E95" s="64">
        <v>2.25</v>
      </c>
      <c r="F95" s="64">
        <v>3.43</v>
      </c>
      <c r="G95" s="64">
        <v>79.17</v>
      </c>
      <c r="H95" s="64">
        <v>40.17</v>
      </c>
      <c r="I95" s="64">
        <v>1.52</v>
      </c>
      <c r="J95" s="64">
        <v>0.56000000000000005</v>
      </c>
      <c r="K95" s="64">
        <v>118.85</v>
      </c>
      <c r="L95" s="64">
        <v>22.01</v>
      </c>
      <c r="M95" s="64">
        <v>65.3</v>
      </c>
      <c r="N95" s="64">
        <v>19.5</v>
      </c>
      <c r="O95" s="64">
        <v>0</v>
      </c>
      <c r="P95" s="64">
        <v>1.32</v>
      </c>
      <c r="Q95" s="64">
        <v>5.41</v>
      </c>
      <c r="R95" s="198"/>
      <c r="S95" s="198"/>
      <c r="T95" s="198"/>
      <c r="U95" s="198"/>
    </row>
    <row r="96" spans="1:26" s="12" customFormat="1" x14ac:dyDescent="0.25">
      <c r="A96" s="215" t="s">
        <v>3121</v>
      </c>
      <c r="B96" s="64">
        <v>12.13</v>
      </c>
      <c r="C96" s="64">
        <v>49.82</v>
      </c>
      <c r="D96" s="64">
        <v>37.869999999999997</v>
      </c>
      <c r="E96" s="64">
        <v>2.23</v>
      </c>
      <c r="F96" s="64">
        <v>3.15</v>
      </c>
      <c r="G96" s="64">
        <v>79.17</v>
      </c>
      <c r="H96" s="64">
        <v>40.17</v>
      </c>
      <c r="I96" s="64">
        <v>1.53</v>
      </c>
      <c r="J96" s="64">
        <v>0.25</v>
      </c>
      <c r="K96" s="64">
        <v>97.99</v>
      </c>
      <c r="L96" s="64">
        <v>21.85</v>
      </c>
      <c r="M96" s="64">
        <v>65.989999999999995</v>
      </c>
      <c r="N96" s="64">
        <v>19.7</v>
      </c>
      <c r="O96" s="64">
        <v>0</v>
      </c>
      <c r="P96" s="64">
        <v>1.29</v>
      </c>
      <c r="Q96" s="64">
        <v>5.34</v>
      </c>
      <c r="R96" s="198"/>
      <c r="S96" s="198"/>
      <c r="T96" s="214"/>
      <c r="U96" s="198"/>
      <c r="Z96" s="109"/>
    </row>
    <row r="97" spans="1:33" s="12" customFormat="1" x14ac:dyDescent="0.25">
      <c r="A97" s="215" t="s">
        <v>3122</v>
      </c>
      <c r="B97" s="64">
        <v>11.61</v>
      </c>
      <c r="C97" s="64">
        <v>50.87</v>
      </c>
      <c r="D97" s="64">
        <v>38.03</v>
      </c>
      <c r="E97" s="64">
        <v>2.2000000000000002</v>
      </c>
      <c r="F97" s="64">
        <v>3.17</v>
      </c>
      <c r="G97" s="64">
        <v>79.17</v>
      </c>
      <c r="H97" s="64">
        <v>40.17</v>
      </c>
      <c r="I97" s="64">
        <v>1.44</v>
      </c>
      <c r="J97" s="64">
        <v>0.17</v>
      </c>
      <c r="K97" s="64">
        <v>120.6</v>
      </c>
      <c r="L97" s="64">
        <v>21.52</v>
      </c>
      <c r="M97" s="64">
        <v>68.02</v>
      </c>
      <c r="N97" s="64">
        <v>19.600000000000001</v>
      </c>
      <c r="O97" s="64">
        <v>0</v>
      </c>
      <c r="P97" s="64">
        <v>1.28</v>
      </c>
      <c r="Q97" s="64">
        <v>5.25</v>
      </c>
      <c r="R97" s="198"/>
      <c r="S97" s="198"/>
      <c r="T97" s="198"/>
      <c r="U97" s="198"/>
    </row>
    <row r="98" spans="1:33" s="12" customFormat="1" x14ac:dyDescent="0.25">
      <c r="A98" s="215" t="s">
        <v>3123</v>
      </c>
      <c r="B98" s="64">
        <v>11.06</v>
      </c>
      <c r="C98" s="64">
        <v>49.09</v>
      </c>
      <c r="D98" s="64">
        <v>36.61</v>
      </c>
      <c r="E98" s="64">
        <v>2.2000000000000002</v>
      </c>
      <c r="F98" s="64">
        <v>3.19</v>
      </c>
      <c r="G98" s="64">
        <v>75.709999999999994</v>
      </c>
      <c r="H98" s="64">
        <v>37.159999999999997</v>
      </c>
      <c r="I98" s="64">
        <v>1.56</v>
      </c>
      <c r="J98" s="64">
        <v>0.37</v>
      </c>
      <c r="K98" s="64">
        <v>121.17</v>
      </c>
      <c r="L98" s="64">
        <v>21.29</v>
      </c>
      <c r="M98" s="64">
        <v>69.08</v>
      </c>
      <c r="N98" s="64">
        <v>19.399999999999999</v>
      </c>
      <c r="O98" s="64">
        <v>0</v>
      </c>
      <c r="P98" s="64">
        <v>1.25</v>
      </c>
      <c r="Q98" s="64">
        <v>5.21</v>
      </c>
      <c r="R98" s="198"/>
      <c r="S98" s="198"/>
      <c r="T98" s="198"/>
      <c r="U98" s="198"/>
    </row>
    <row r="99" spans="1:33" s="12" customFormat="1" x14ac:dyDescent="0.25">
      <c r="A99" s="215" t="s">
        <v>3124</v>
      </c>
      <c r="B99" s="64">
        <v>10.31</v>
      </c>
      <c r="C99" s="64">
        <v>46.13</v>
      </c>
      <c r="D99" s="64">
        <v>34.369999999999997</v>
      </c>
      <c r="E99" s="64">
        <v>2.21</v>
      </c>
      <c r="F99" s="64">
        <v>3.24</v>
      </c>
      <c r="G99" s="64">
        <v>72.09</v>
      </c>
      <c r="H99" s="64">
        <v>35.58</v>
      </c>
      <c r="I99" s="64">
        <v>1.53</v>
      </c>
      <c r="J99" s="64">
        <v>0.39</v>
      </c>
      <c r="K99" s="64">
        <v>108.98</v>
      </c>
      <c r="L99" s="64">
        <v>21.16</v>
      </c>
      <c r="M99" s="64">
        <v>69.14</v>
      </c>
      <c r="N99" s="64">
        <v>19.5</v>
      </c>
      <c r="O99" s="64">
        <v>0</v>
      </c>
      <c r="P99" s="64">
        <v>1.23</v>
      </c>
      <c r="Q99" s="64">
        <v>5.12</v>
      </c>
      <c r="R99" s="198"/>
      <c r="S99" s="198"/>
      <c r="T99" s="198"/>
      <c r="U99" s="198"/>
    </row>
    <row r="100" spans="1:33" s="12" customFormat="1" x14ac:dyDescent="0.25">
      <c r="A100" s="215" t="s">
        <v>3125</v>
      </c>
      <c r="B100" s="64">
        <v>11.47</v>
      </c>
      <c r="C100" s="64">
        <v>48.61</v>
      </c>
      <c r="D100" s="64">
        <v>36.67</v>
      </c>
      <c r="E100" s="64">
        <v>2.23</v>
      </c>
      <c r="F100" s="64">
        <v>3.21</v>
      </c>
      <c r="G100" s="64">
        <v>72.09</v>
      </c>
      <c r="H100" s="64">
        <v>35.58</v>
      </c>
      <c r="I100" s="64">
        <v>1.45</v>
      </c>
      <c r="J100" s="64">
        <v>0.4</v>
      </c>
      <c r="K100" s="64">
        <v>113.37</v>
      </c>
      <c r="L100" s="64">
        <v>20.95</v>
      </c>
      <c r="M100" s="64">
        <v>70.459999999999994</v>
      </c>
      <c r="N100" s="64">
        <v>19.5</v>
      </c>
      <c r="O100" s="64">
        <v>0</v>
      </c>
      <c r="P100" s="64">
        <v>1.2</v>
      </c>
      <c r="Q100" s="64">
        <v>5.03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5" t="s">
        <v>3126</v>
      </c>
      <c r="B101" s="64">
        <v>9.68</v>
      </c>
      <c r="C101" s="64">
        <v>45.5</v>
      </c>
      <c r="D101" s="64">
        <v>33.520000000000003</v>
      </c>
      <c r="E101" s="64">
        <v>2.19</v>
      </c>
      <c r="F101" s="64">
        <v>3.21</v>
      </c>
      <c r="G101" s="64">
        <v>72.09</v>
      </c>
      <c r="H101" s="64">
        <v>35.58</v>
      </c>
      <c r="I101" s="64">
        <v>1.49</v>
      </c>
      <c r="J101" s="64">
        <v>0.46</v>
      </c>
      <c r="K101" s="64">
        <v>108.83</v>
      </c>
      <c r="L101" s="64">
        <v>20.94</v>
      </c>
      <c r="M101" s="64">
        <v>70</v>
      </c>
      <c r="N101" s="64">
        <v>19.3</v>
      </c>
      <c r="O101" s="64">
        <v>0</v>
      </c>
      <c r="P101" s="64">
        <v>1.17</v>
      </c>
      <c r="Q101" s="64">
        <v>5.0199999999999996</v>
      </c>
      <c r="R101" s="198"/>
      <c r="S101" s="198"/>
      <c r="T101" s="198"/>
      <c r="U101" s="198"/>
    </row>
    <row r="102" spans="1:33" s="12" customFormat="1" x14ac:dyDescent="0.25">
      <c r="A102" s="215" t="s">
        <v>3127</v>
      </c>
      <c r="B102" s="64">
        <v>8.8000000000000007</v>
      </c>
      <c r="C102" s="64">
        <v>48.11</v>
      </c>
      <c r="D102" s="64">
        <v>34.25</v>
      </c>
      <c r="E102" s="64">
        <v>2.2000000000000002</v>
      </c>
      <c r="F102" s="64">
        <v>3.07</v>
      </c>
      <c r="G102" s="64">
        <v>69.72</v>
      </c>
      <c r="H102" s="64">
        <v>34.229999999999997</v>
      </c>
      <c r="I102" s="64">
        <v>1.56</v>
      </c>
      <c r="J102" s="64">
        <v>0.18</v>
      </c>
      <c r="K102" s="64">
        <v>73.739999999999995</v>
      </c>
      <c r="L102" s="64">
        <v>20.67</v>
      </c>
      <c r="M102" s="64">
        <v>71.58</v>
      </c>
      <c r="N102" s="64">
        <v>19.7</v>
      </c>
      <c r="O102" s="64">
        <v>0</v>
      </c>
      <c r="P102" s="64">
        <v>1.1399999999999999</v>
      </c>
      <c r="Q102" s="64">
        <v>4.9800000000000004</v>
      </c>
      <c r="R102" s="198"/>
      <c r="S102" s="198"/>
      <c r="T102" s="198"/>
      <c r="U102" s="198"/>
    </row>
    <row r="103" spans="1:33" s="12" customFormat="1" x14ac:dyDescent="0.25">
      <c r="A103" s="215" t="s">
        <v>3128</v>
      </c>
      <c r="B103" s="64">
        <v>8.4499999999999993</v>
      </c>
      <c r="C103" s="64">
        <v>55.42</v>
      </c>
      <c r="D103" s="64">
        <v>38.01</v>
      </c>
      <c r="E103" s="64">
        <v>2.29</v>
      </c>
      <c r="F103" s="64">
        <v>3.08</v>
      </c>
      <c r="G103" s="64">
        <v>67.25</v>
      </c>
      <c r="H103" s="64">
        <v>32.75</v>
      </c>
      <c r="I103" s="64">
        <v>1.53</v>
      </c>
      <c r="J103" s="64">
        <v>0.1</v>
      </c>
      <c r="K103" s="64">
        <v>62.87</v>
      </c>
      <c r="L103" s="64">
        <v>20.34</v>
      </c>
      <c r="M103" s="64">
        <v>73.599999999999994</v>
      </c>
      <c r="N103" s="64">
        <v>19.7</v>
      </c>
      <c r="O103" s="64">
        <v>0</v>
      </c>
      <c r="P103" s="64">
        <v>1.1200000000000001</v>
      </c>
      <c r="Q103" s="64">
        <v>4.95</v>
      </c>
      <c r="R103" s="198"/>
      <c r="S103" s="198"/>
      <c r="T103" s="198"/>
      <c r="U103" s="198"/>
    </row>
    <row r="104" spans="1:33" s="12" customFormat="1" x14ac:dyDescent="0.25">
      <c r="A104" s="215" t="s">
        <v>3129</v>
      </c>
      <c r="B104" s="64">
        <v>8.25</v>
      </c>
      <c r="C104" s="64">
        <v>50.72</v>
      </c>
      <c r="D104" s="64">
        <v>35.25</v>
      </c>
      <c r="E104" s="64">
        <v>2.17</v>
      </c>
      <c r="F104" s="64">
        <v>3.2</v>
      </c>
      <c r="G104" s="64">
        <v>67.25</v>
      </c>
      <c r="H104" s="64">
        <v>32.75</v>
      </c>
      <c r="I104" s="64">
        <v>1.56</v>
      </c>
      <c r="J104" s="64">
        <v>0.64</v>
      </c>
      <c r="K104" s="64">
        <v>124.18</v>
      </c>
      <c r="L104" s="64">
        <v>20.27</v>
      </c>
      <c r="M104" s="64">
        <v>73.61</v>
      </c>
      <c r="N104" s="64">
        <v>19.100000000000001</v>
      </c>
      <c r="O104" s="64">
        <v>0</v>
      </c>
      <c r="P104" s="64">
        <v>1.07</v>
      </c>
      <c r="Q104" s="64">
        <v>4.91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4.32</v>
      </c>
      <c r="C106" s="67">
        <f>MIN(C9:C104)</f>
        <v>37.35</v>
      </c>
      <c r="D106" s="67">
        <f t="shared" ref="D106:Q106" si="0">MIN(D9:D104)</f>
        <v>29.68</v>
      </c>
      <c r="E106" s="67">
        <f t="shared" si="0"/>
        <v>2.11</v>
      </c>
      <c r="F106" s="67">
        <f t="shared" si="0"/>
        <v>2.84</v>
      </c>
      <c r="G106" s="67">
        <f t="shared" si="0"/>
        <v>46.4</v>
      </c>
      <c r="H106" s="67">
        <f t="shared" si="0"/>
        <v>13.17</v>
      </c>
      <c r="I106" s="67">
        <f t="shared" si="0"/>
        <v>1.43</v>
      </c>
      <c r="J106" s="67">
        <f t="shared" si="0"/>
        <v>0.02</v>
      </c>
      <c r="K106" s="67">
        <f t="shared" si="0"/>
        <v>9.2100000000000009</v>
      </c>
      <c r="L106" s="67">
        <f t="shared" si="0"/>
        <v>16.559999999999999</v>
      </c>
      <c r="M106" s="67">
        <f t="shared" si="0"/>
        <v>39.1</v>
      </c>
      <c r="N106" s="67">
        <f t="shared" si="0"/>
        <v>19.100000000000001</v>
      </c>
      <c r="O106" s="67">
        <f t="shared" si="0"/>
        <v>0</v>
      </c>
      <c r="P106" s="67">
        <f t="shared" si="0"/>
        <v>0.76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54.99</v>
      </c>
      <c r="C107" s="66">
        <f t="shared" ref="C107:Q107" si="1">MAX(C9:C104)</f>
        <v>95.3</v>
      </c>
      <c r="D107" s="66">
        <f t="shared" si="1"/>
        <v>91.15</v>
      </c>
      <c r="E107" s="66">
        <f t="shared" si="1"/>
        <v>2.48</v>
      </c>
      <c r="F107" s="66">
        <f t="shared" si="1"/>
        <v>3.83</v>
      </c>
      <c r="G107" s="66">
        <f t="shared" si="1"/>
        <v>110.96</v>
      </c>
      <c r="H107" s="66">
        <f t="shared" si="1"/>
        <v>47.61</v>
      </c>
      <c r="I107" s="66">
        <f t="shared" si="1"/>
        <v>1.58</v>
      </c>
      <c r="J107" s="66">
        <f t="shared" si="1"/>
        <v>1.37</v>
      </c>
      <c r="K107" s="66">
        <f t="shared" si="1"/>
        <v>357.04</v>
      </c>
      <c r="L107" s="66">
        <f t="shared" si="1"/>
        <v>30.77</v>
      </c>
      <c r="M107" s="66">
        <f t="shared" si="1"/>
        <v>98</v>
      </c>
      <c r="N107" s="66">
        <f t="shared" si="1"/>
        <v>697.1</v>
      </c>
      <c r="O107" s="66">
        <f t="shared" si="1"/>
        <v>0</v>
      </c>
      <c r="P107" s="66">
        <f t="shared" si="1"/>
        <v>1.86</v>
      </c>
      <c r="Q107" s="66">
        <f t="shared" si="1"/>
        <v>7.58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21.230937500000003</v>
      </c>
      <c r="C108" s="67">
        <f t="shared" ref="C108:Q108" si="2">AVERAGE(C9:C104)</f>
        <v>57.464166666666664</v>
      </c>
      <c r="D108" s="67">
        <f t="shared" si="2"/>
        <v>49.384895833333331</v>
      </c>
      <c r="E108" s="67">
        <f t="shared" si="2"/>
        <v>2.2681249999999995</v>
      </c>
      <c r="F108" s="67">
        <f t="shared" si="2"/>
        <v>3.2479166666666672</v>
      </c>
      <c r="G108" s="67">
        <f t="shared" si="2"/>
        <v>71.923958333333346</v>
      </c>
      <c r="H108" s="67">
        <f t="shared" si="2"/>
        <v>33.914270833333326</v>
      </c>
      <c r="I108" s="67">
        <f t="shared" si="2"/>
        <v>1.5027083333333333</v>
      </c>
      <c r="J108" s="67">
        <f t="shared" si="2"/>
        <v>0.35812500000000008</v>
      </c>
      <c r="K108" s="67">
        <f t="shared" si="2"/>
        <v>169.64197916666674</v>
      </c>
      <c r="L108" s="67">
        <f t="shared" si="2"/>
        <v>22.652187499999997</v>
      </c>
      <c r="M108" s="67">
        <f t="shared" si="2"/>
        <v>66.980312500000011</v>
      </c>
      <c r="N108" s="67">
        <f t="shared" si="2"/>
        <v>167.3312500000001</v>
      </c>
      <c r="O108" s="67">
        <f t="shared" si="2"/>
        <v>0</v>
      </c>
      <c r="P108" s="67">
        <f t="shared" si="2"/>
        <v>1.1692708333333337</v>
      </c>
      <c r="Q108" s="67">
        <f t="shared" si="2"/>
        <v>5.9008333333333338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14.471865487586218</v>
      </c>
      <c r="C109" s="67">
        <f t="shared" ref="C109:Q109" si="3">STDEV(C9:C104)</f>
        <v>14.899778356999786</v>
      </c>
      <c r="D109" s="67">
        <f t="shared" si="3"/>
        <v>15.025948923168389</v>
      </c>
      <c r="E109" s="67">
        <f t="shared" si="3"/>
        <v>7.6932130034069263E-2</v>
      </c>
      <c r="F109" s="67">
        <f t="shared" si="3"/>
        <v>0.24222180642702654</v>
      </c>
      <c r="G109" s="67">
        <f t="shared" si="3"/>
        <v>19.162315291335823</v>
      </c>
      <c r="H109" s="67">
        <f t="shared" si="3"/>
        <v>7.9755029862556182</v>
      </c>
      <c r="I109" s="67">
        <f t="shared" si="3"/>
        <v>3.8043719079547296E-2</v>
      </c>
      <c r="J109" s="67">
        <f t="shared" si="3"/>
        <v>0.27828539875080555</v>
      </c>
      <c r="K109" s="67">
        <f t="shared" si="3"/>
        <v>121.87285409604273</v>
      </c>
      <c r="L109" s="67">
        <f t="shared" si="3"/>
        <v>4.34261192398868</v>
      </c>
      <c r="M109" s="67">
        <f t="shared" si="3"/>
        <v>18.687841104966367</v>
      </c>
      <c r="N109" s="67">
        <f t="shared" si="3"/>
        <v>230.40242109130892</v>
      </c>
      <c r="O109" s="67">
        <f t="shared" si="3"/>
        <v>0</v>
      </c>
      <c r="P109" s="67">
        <f t="shared" si="3"/>
        <v>0.24734482553572293</v>
      </c>
      <c r="Q109" s="67">
        <f t="shared" si="3"/>
        <v>0.94439361404321776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H37" sqref="H37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01-11-2023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01-11-2023 00:15</v>
      </c>
      <c r="B9" s="61">
        <f>'01'!B108</f>
        <v>8.6642708333333349</v>
      </c>
      <c r="C9" s="61">
        <f>'01'!C108</f>
        <v>30.185833333333335</v>
      </c>
      <c r="D9" s="61">
        <f>'01'!D108</f>
        <v>24.898958333333336</v>
      </c>
      <c r="E9" s="61">
        <f>'01'!E108</f>
        <v>1.4070833333333328</v>
      </c>
      <c r="F9" s="61">
        <f>'01'!F108</f>
        <v>4.674687500000001</v>
      </c>
      <c r="G9" s="99">
        <f>'01'!$G$108</f>
        <v>87.913958333333312</v>
      </c>
      <c r="H9" s="61">
        <f>'01'!H108</f>
        <v>44.364895833333343</v>
      </c>
      <c r="I9" s="61">
        <f>'01'!I108</f>
        <v>1.4984374999999996</v>
      </c>
      <c r="J9" s="61">
        <f>'01'!J108</f>
        <v>0.31593749999999998</v>
      </c>
      <c r="K9" s="61">
        <f>'01'!K108</f>
        <v>138.76979166666669</v>
      </c>
      <c r="L9" s="61">
        <f>'01'!L108</f>
        <v>22.575520833333332</v>
      </c>
      <c r="M9" s="61">
        <f>'01'!M108</f>
        <v>64.135937500000011</v>
      </c>
      <c r="N9" s="61">
        <f>'01'!N108</f>
        <v>68.627999999999986</v>
      </c>
      <c r="O9" s="61">
        <f>'01'!O108</f>
        <v>0</v>
      </c>
      <c r="P9" s="202">
        <f>'01'!P108</f>
        <v>0.91479166666666678</v>
      </c>
      <c r="Q9" s="61">
        <f>'01'!Q108</f>
        <v>4.8210416666666678</v>
      </c>
      <c r="R9" s="118"/>
      <c r="S9" s="118"/>
      <c r="T9" s="118"/>
      <c r="U9" s="118"/>
    </row>
    <row r="10" spans="1:21" x14ac:dyDescent="0.25">
      <c r="A10" s="94" t="str">
        <f>'02'!$B$2</f>
        <v>02-11-2023 00:15</v>
      </c>
      <c r="B10" s="61">
        <f>'02'!B108</f>
        <v>11.811354166666668</v>
      </c>
      <c r="C10" s="61">
        <f>'02'!C108</f>
        <v>31.313437500000003</v>
      </c>
      <c r="D10" s="61">
        <f>'02'!D108</f>
        <v>28.045729166666671</v>
      </c>
      <c r="E10" s="61">
        <f>'02'!E108</f>
        <v>1.8557291666666673</v>
      </c>
      <c r="F10" s="61">
        <f>'02'!F108</f>
        <v>3.8628125000000018</v>
      </c>
      <c r="G10" s="61">
        <f>'02'!G108</f>
        <v>108.94770833333348</v>
      </c>
      <c r="H10" s="61">
        <f>'02'!H108</f>
        <v>53.248750000000001</v>
      </c>
      <c r="I10" s="61">
        <f>'02'!I108</f>
        <v>1.4993749999999995</v>
      </c>
      <c r="J10" s="61">
        <f>'02'!J108</f>
        <v>0.36604166666666677</v>
      </c>
      <c r="K10" s="61">
        <f>'02'!K108</f>
        <v>197.20749999999998</v>
      </c>
      <c r="L10" s="61">
        <f>'02'!L108</f>
        <v>23.685208333333332</v>
      </c>
      <c r="M10" s="61">
        <f>'02'!M108</f>
        <v>72.30510416666668</v>
      </c>
      <c r="N10" s="61">
        <f>'02'!N108</f>
        <v>143.76041666666671</v>
      </c>
      <c r="O10" s="61">
        <f>'02'!O108</f>
        <v>0</v>
      </c>
      <c r="P10" s="202">
        <f>'02'!P108</f>
        <v>1.1975000000000002</v>
      </c>
      <c r="Q10" s="61">
        <f>'02'!Q108</f>
        <v>5.0922916666666662</v>
      </c>
      <c r="R10" s="118"/>
      <c r="S10" s="118"/>
      <c r="T10" s="118"/>
      <c r="U10" s="118"/>
    </row>
    <row r="11" spans="1:21" x14ac:dyDescent="0.25">
      <c r="A11" s="94" t="str">
        <f>'03'!$B$2</f>
        <v>03-11-2023 00:15</v>
      </c>
      <c r="B11" s="61">
        <f>'03'!B108</f>
        <v>16.987604166666671</v>
      </c>
      <c r="C11" s="61">
        <f>'03'!C108</f>
        <v>29.064374999999998</v>
      </c>
      <c r="D11" s="61">
        <f>'03'!D108</f>
        <v>30.954999999999995</v>
      </c>
      <c r="E11" s="61">
        <f>'03'!E108</f>
        <v>3.1286458333333318</v>
      </c>
      <c r="F11" s="61">
        <f>'03'!F108</f>
        <v>3.6659375000000001</v>
      </c>
      <c r="G11" s="61">
        <f>'03'!G108</f>
        <v>111.76614583333325</v>
      </c>
      <c r="H11" s="61">
        <f>'03'!H108</f>
        <v>56.886250000000011</v>
      </c>
      <c r="I11" s="61">
        <f>'03'!I108</f>
        <v>1.4984374999999996</v>
      </c>
      <c r="J11" s="61">
        <f>'03'!J108</f>
        <v>0.40062499999999984</v>
      </c>
      <c r="K11" s="61">
        <f>'03'!K108</f>
        <v>216.68156249999996</v>
      </c>
      <c r="L11" s="61">
        <f>'03'!L108</f>
        <v>24.027083333333326</v>
      </c>
      <c r="M11" s="61">
        <f>'03'!M108</f>
        <v>79.087916666666629</v>
      </c>
      <c r="N11" s="61">
        <f>'03'!N108</f>
        <v>155.21770833333335</v>
      </c>
      <c r="O11" s="61">
        <f>'03'!O108</f>
        <v>7.4999999999999997E-2</v>
      </c>
      <c r="P11" s="202">
        <f>'03'!P108</f>
        <v>1.2332291666666662</v>
      </c>
      <c r="Q11" s="61">
        <f>'03'!Q108</f>
        <v>5.401770833333333</v>
      </c>
      <c r="R11" s="118"/>
      <c r="S11" s="118"/>
      <c r="T11" s="118"/>
      <c r="U11" s="118"/>
    </row>
    <row r="12" spans="1:21" x14ac:dyDescent="0.25">
      <c r="A12" s="94" t="str">
        <f>'04'!$B$2</f>
        <v>04-11-2023 00:15</v>
      </c>
      <c r="B12" s="61">
        <f>'04'!B108</f>
        <v>13.923125000000001</v>
      </c>
      <c r="C12" s="61">
        <f>'04'!C108</f>
        <v>31.037499999999994</v>
      </c>
      <c r="D12" s="61">
        <f>'04'!D108</f>
        <v>29.586354166666663</v>
      </c>
      <c r="E12" s="61">
        <f>'04'!E108</f>
        <v>3.2759756097560975</v>
      </c>
      <c r="F12" s="61">
        <f>'04'!F108</f>
        <v>5.4583333333333313</v>
      </c>
      <c r="G12" s="61">
        <f>'04'!G108</f>
        <v>77.833913043478219</v>
      </c>
      <c r="H12" s="61">
        <f>'04'!H108</f>
        <v>37.712608695652172</v>
      </c>
      <c r="I12" s="61">
        <f>'04'!I108</f>
        <v>1.5025000000000006</v>
      </c>
      <c r="J12" s="61">
        <f>'04'!J108</f>
        <v>0.30989583333333331</v>
      </c>
      <c r="K12" s="61">
        <f>'04'!K108</f>
        <v>157.14739583333332</v>
      </c>
      <c r="L12" s="61">
        <f>'04'!L108</f>
        <v>23.662187499999991</v>
      </c>
      <c r="M12" s="61">
        <f>'04'!M108</f>
        <v>80.016562500000035</v>
      </c>
      <c r="N12" s="61">
        <f>'04'!N108</f>
        <v>177.78229166666668</v>
      </c>
      <c r="O12" s="61">
        <f>'04'!O108</f>
        <v>0</v>
      </c>
      <c r="P12" s="202">
        <f>'04'!P108</f>
        <v>0.92479166666666668</v>
      </c>
      <c r="Q12" s="61">
        <f>'04'!Q108</f>
        <v>4.7577083333333325</v>
      </c>
      <c r="R12" s="118"/>
      <c r="S12" s="118"/>
      <c r="T12" s="118"/>
      <c r="U12" s="118"/>
    </row>
    <row r="13" spans="1:21" x14ac:dyDescent="0.25">
      <c r="A13" s="94" t="str">
        <f>'05'!$B$2</f>
        <v>05-11-2023 00:15</v>
      </c>
      <c r="B13" s="61">
        <f>'05'!B108</f>
        <v>9.0236458333333314</v>
      </c>
      <c r="C13" s="61">
        <f>'05'!C108</f>
        <v>22.162500000000012</v>
      </c>
      <c r="D13" s="61">
        <f>'05'!D108</f>
        <v>20.759687500000002</v>
      </c>
      <c r="E13" s="61">
        <f>'05'!E108</f>
        <v>2.0295833333333326</v>
      </c>
      <c r="F13" s="61">
        <f>'05'!F108</f>
        <v>3.2146874999999988</v>
      </c>
      <c r="G13" s="61">
        <f>'05'!G108</f>
        <v>107.52916666666671</v>
      </c>
      <c r="H13" s="61">
        <f>'05'!H108</f>
        <v>55.590833333333336</v>
      </c>
      <c r="I13" s="61">
        <f>'05'!I108</f>
        <v>1.5022916666666672</v>
      </c>
      <c r="J13" s="61">
        <f>'05'!J108</f>
        <v>0.36593749999999997</v>
      </c>
      <c r="K13" s="61">
        <f>'05'!K108</f>
        <v>167.51489583333336</v>
      </c>
      <c r="L13" s="61">
        <f>'05'!L108</f>
        <v>22.834166666666672</v>
      </c>
      <c r="M13" s="61">
        <f>'05'!M108</f>
        <v>63.959166666666668</v>
      </c>
      <c r="N13" s="61">
        <f>'05'!N108</f>
        <v>195.42708333333329</v>
      </c>
      <c r="O13" s="61">
        <f>'05'!O108</f>
        <v>0</v>
      </c>
      <c r="P13" s="202">
        <f>'05'!P108</f>
        <v>0.81906249999999969</v>
      </c>
      <c r="Q13" s="61">
        <f>'05'!Q108</f>
        <v>5.197395833333327</v>
      </c>
      <c r="R13" s="118"/>
      <c r="S13" s="118"/>
      <c r="T13" s="118"/>
      <c r="U13" s="118"/>
    </row>
    <row r="14" spans="1:21" x14ac:dyDescent="0.25">
      <c r="A14" s="94" t="str">
        <f>'06'!$B$2</f>
        <v>06-11-2023 00:15</v>
      </c>
      <c r="B14" s="61">
        <f>'06'!B108</f>
        <v>32.371458333333344</v>
      </c>
      <c r="C14" s="61">
        <f>'06'!C108</f>
        <v>31.673749999999998</v>
      </c>
      <c r="D14" s="61">
        <f>'06'!D108</f>
        <v>58.996250000000003</v>
      </c>
      <c r="E14" s="61">
        <f>'06'!E108</f>
        <v>2.3262499999999999</v>
      </c>
      <c r="F14" s="61">
        <f>'06'!F108</f>
        <v>3.7883157894736827</v>
      </c>
      <c r="G14" s="61">
        <f>'06'!G108</f>
        <v>122.91249999999997</v>
      </c>
      <c r="H14" s="61">
        <f>'06'!H108</f>
        <v>54.10499999999999</v>
      </c>
      <c r="I14" s="61">
        <f>'06'!I108</f>
        <v>1.495104166666666</v>
      </c>
      <c r="J14" s="61">
        <f>'06'!J108</f>
        <v>0.31864583333333335</v>
      </c>
      <c r="K14" s="61">
        <f>'06'!K108</f>
        <v>201.28041666666664</v>
      </c>
      <c r="L14" s="61">
        <f>'06'!L108</f>
        <v>22.154583333333335</v>
      </c>
      <c r="M14" s="61">
        <f>'06'!M108</f>
        <v>57.797187500000007</v>
      </c>
      <c r="N14" s="61">
        <f>'06'!N108</f>
        <v>231.27812499999985</v>
      </c>
      <c r="O14" s="61">
        <f>'06'!O108</f>
        <v>0</v>
      </c>
      <c r="P14" s="202">
        <f>'06'!P108</f>
        <v>1.2465625</v>
      </c>
      <c r="Q14" s="61">
        <f>'06'!Q108</f>
        <v>5.2484374999999979</v>
      </c>
      <c r="R14" s="118"/>
      <c r="S14" s="118"/>
      <c r="T14" s="118"/>
      <c r="U14" s="118"/>
    </row>
    <row r="15" spans="1:21" x14ac:dyDescent="0.25">
      <c r="A15" s="94" t="str">
        <f>'07'!$B$2</f>
        <v>07-11-2023 00:15</v>
      </c>
      <c r="B15" s="61">
        <f>'07'!B108</f>
        <v>58.05447916666666</v>
      </c>
      <c r="C15" s="61">
        <f>'07'!C108</f>
        <v>39.434791666666676</v>
      </c>
      <c r="D15" s="61">
        <f>'07'!D108</f>
        <v>97.485833333333346</v>
      </c>
      <c r="E15" s="61">
        <f>'07'!E108</f>
        <v>1.3279166666666671</v>
      </c>
      <c r="F15" s="61">
        <f>'07'!F108</f>
        <v>3.3065263157894735</v>
      </c>
      <c r="G15" s="100">
        <f>'07'!$G$108</f>
        <v>174.75578947368416</v>
      </c>
      <c r="H15" s="61">
        <f>'07'!H108</f>
        <v>78.138421052631671</v>
      </c>
      <c r="I15" s="61">
        <f>'07'!I108</f>
        <v>1.5026041666666663</v>
      </c>
      <c r="J15" s="61">
        <f>'07'!J108</f>
        <v>0.25677083333333323</v>
      </c>
      <c r="K15" s="61">
        <f>'07'!K108</f>
        <v>249.01874999999993</v>
      </c>
      <c r="L15" s="61">
        <f>'07'!L108</f>
        <v>22.639791666666667</v>
      </c>
      <c r="M15" s="61">
        <f>'07'!M108</f>
        <v>58.322916666666679</v>
      </c>
      <c r="N15" s="61">
        <f>'07'!N108</f>
        <v>212.67812500000002</v>
      </c>
      <c r="O15" s="61">
        <f>'07'!O108</f>
        <v>0</v>
      </c>
      <c r="P15" s="202">
        <f>'07'!P108</f>
        <v>1.5536458333333334</v>
      </c>
      <c r="Q15" s="61">
        <f>'07'!Q108</f>
        <v>8.0221874999999994</v>
      </c>
      <c r="R15" s="118"/>
      <c r="S15" s="118"/>
      <c r="T15" s="118"/>
      <c r="U15" s="118"/>
    </row>
    <row r="16" spans="1:21" x14ac:dyDescent="0.25">
      <c r="A16" s="94" t="str">
        <f>'08'!$B$2</f>
        <v>08-11-2023 00:15</v>
      </c>
      <c r="B16" s="61">
        <f>'08'!B108</f>
        <v>60.919166666666676</v>
      </c>
      <c r="C16" s="61">
        <f>'08'!C108</f>
        <v>42.314999999999991</v>
      </c>
      <c r="D16" s="61">
        <f>'08'!D108</f>
        <v>103.23385416666663</v>
      </c>
      <c r="E16" s="61">
        <f>'08'!E108</f>
        <v>0.59791666666666654</v>
      </c>
      <c r="F16" s="61">
        <f>'08'!F108</f>
        <v>3.3441489361702135</v>
      </c>
      <c r="G16" s="100">
        <f>'08'!$G$108</f>
        <v>142.25524999999999</v>
      </c>
      <c r="H16" s="61">
        <f>'08'!H108</f>
        <v>55.916000000000011</v>
      </c>
      <c r="I16" s="61">
        <f>'08'!I108</f>
        <v>1.4961458333333335</v>
      </c>
      <c r="J16" s="61">
        <f>'08'!J108</f>
        <v>0.25979166666666675</v>
      </c>
      <c r="K16" s="61">
        <f>'08'!K108</f>
        <v>256.24697916666668</v>
      </c>
      <c r="L16" s="61">
        <f>'08'!L108</f>
        <v>21.978333333333342</v>
      </c>
      <c r="M16" s="61">
        <f>'08'!M108</f>
        <v>61.426562499999982</v>
      </c>
      <c r="N16" s="61">
        <f>'08'!N108</f>
        <v>196.87604166666674</v>
      </c>
      <c r="O16" s="61">
        <f>'08'!O108</f>
        <v>0</v>
      </c>
      <c r="P16" s="202">
        <f>'08'!P108</f>
        <v>1.4850000000000003</v>
      </c>
      <c r="Q16" s="61">
        <f>'08'!Q108</f>
        <v>8.1175000000000033</v>
      </c>
      <c r="R16" s="118"/>
      <c r="S16" s="118"/>
      <c r="T16" s="118"/>
      <c r="U16" s="118"/>
    </row>
    <row r="17" spans="1:21" x14ac:dyDescent="0.25">
      <c r="A17" s="94" t="str">
        <f>'09'!$B$2</f>
        <v>09-11-2023 00:15</v>
      </c>
      <c r="B17" s="61">
        <f>'09'!B108</f>
        <v>46.20624999999999</v>
      </c>
      <c r="C17" s="61">
        <f>'09'!C108</f>
        <v>40.430729166666666</v>
      </c>
      <c r="D17" s="61">
        <f>'09'!D108</f>
        <v>86.637291666666655</v>
      </c>
      <c r="E17" s="61">
        <f>'09'!E108</f>
        <v>0.69562500000000016</v>
      </c>
      <c r="F17" s="61">
        <f>'09'!F108</f>
        <v>7.0882291666666655</v>
      </c>
      <c r="G17" s="100">
        <f>'09'!$G$108</f>
        <v>136.81322916666662</v>
      </c>
      <c r="H17" s="61">
        <f>'09'!H108</f>
        <v>58.055312500000035</v>
      </c>
      <c r="I17" s="61">
        <f>'09'!I108</f>
        <v>1.5040624999999999</v>
      </c>
      <c r="J17" s="61">
        <f>'09'!J108</f>
        <v>0.26145833333333329</v>
      </c>
      <c r="K17" s="61">
        <f>'09'!K108</f>
        <v>202.03260416666663</v>
      </c>
      <c r="L17" s="61">
        <f>'09'!L108</f>
        <v>22.355625</v>
      </c>
      <c r="M17" s="61">
        <f>'09'!M108</f>
        <v>58.358958333333327</v>
      </c>
      <c r="N17" s="61">
        <f>'09'!N108</f>
        <v>201.64583333333337</v>
      </c>
      <c r="O17" s="61">
        <f>'09'!O108</f>
        <v>0</v>
      </c>
      <c r="P17" s="202">
        <f>'09'!P108</f>
        <v>1.4280208333333333</v>
      </c>
      <c r="Q17" s="61">
        <f>'09'!Q108</f>
        <v>6.6815624999999947</v>
      </c>
      <c r="R17" s="118"/>
      <c r="S17" s="118"/>
      <c r="T17" s="118"/>
      <c r="U17" s="118"/>
    </row>
    <row r="18" spans="1:21" x14ac:dyDescent="0.25">
      <c r="A18" s="94" t="str">
        <f>'10'!$B$2</f>
        <v>10-11-2023 00:15</v>
      </c>
      <c r="B18" s="61">
        <f>'10'!B108</f>
        <v>57.597291666666678</v>
      </c>
      <c r="C18" s="61">
        <f>'10'!C108</f>
        <v>45.792916666666663</v>
      </c>
      <c r="D18" s="61">
        <f>'10'!D108</f>
        <v>103.39020833333332</v>
      </c>
      <c r="E18" s="61">
        <f>'10'!E108</f>
        <v>0.9474999999999999</v>
      </c>
      <c r="F18" s="61">
        <f>'10'!F108</f>
        <v>6.5087500000000018</v>
      </c>
      <c r="G18" s="101">
        <f>'10'!$G$108</f>
        <v>134.85177083333326</v>
      </c>
      <c r="H18" s="61">
        <f>'10'!H108</f>
        <v>60.264791666666689</v>
      </c>
      <c r="I18" s="61">
        <f>'10'!I108</f>
        <v>1.4960416666666658</v>
      </c>
      <c r="J18" s="61">
        <f>'10'!J108</f>
        <v>0.2266666666666666</v>
      </c>
      <c r="K18" s="61">
        <f>'10'!K108</f>
        <v>202.85499999999999</v>
      </c>
      <c r="L18" s="61">
        <f>'10'!L108</f>
        <v>22.666458333333335</v>
      </c>
      <c r="M18" s="61">
        <f>'10'!M108</f>
        <v>61.51114583333333</v>
      </c>
      <c r="N18" s="61">
        <f>'10'!N108</f>
        <v>200.70416666666668</v>
      </c>
      <c r="O18" s="61">
        <f>'10'!O108</f>
        <v>0</v>
      </c>
      <c r="P18" s="202">
        <f>'10'!P108</f>
        <v>1.5334374999999998</v>
      </c>
      <c r="Q18" s="61">
        <f>'10'!Q108</f>
        <v>7.1897894736842076</v>
      </c>
      <c r="R18" s="118"/>
      <c r="S18" s="118"/>
      <c r="T18" s="118"/>
      <c r="U18" s="118"/>
    </row>
    <row r="19" spans="1:21" x14ac:dyDescent="0.25">
      <c r="A19" s="94" t="str">
        <f>'11'!$B$2</f>
        <v>11-11-2023 00:15</v>
      </c>
      <c r="B19" s="61">
        <f>'11'!B108</f>
        <v>34.451770833333335</v>
      </c>
      <c r="C19" s="61">
        <f>'11'!C108</f>
        <v>48.352916666666665</v>
      </c>
      <c r="D19" s="61">
        <f>'11'!D108</f>
        <v>82.804895833333319</v>
      </c>
      <c r="E19" s="61">
        <f>'11'!E108</f>
        <v>1.3203125</v>
      </c>
      <c r="F19" s="61">
        <f>'11'!F108</f>
        <v>9.4137499999999985</v>
      </c>
      <c r="G19" s="99">
        <f>'11'!$G$108</f>
        <v>144.79593750000001</v>
      </c>
      <c r="H19" s="61">
        <f>'11'!H108</f>
        <v>73.40395833333325</v>
      </c>
      <c r="I19" s="61">
        <f>'11'!I108</f>
        <v>1.5054166666666673</v>
      </c>
      <c r="J19" s="61">
        <f>'11'!J108</f>
        <v>0.17864583333333331</v>
      </c>
      <c r="K19" s="61">
        <f>'11'!K108</f>
        <v>234.56510416666666</v>
      </c>
      <c r="L19" s="61">
        <f>'11'!L108</f>
        <v>23.648437500000004</v>
      </c>
      <c r="M19" s="61">
        <f>'11'!M108</f>
        <v>61.973958333333321</v>
      </c>
      <c r="N19" s="61">
        <f>'11'!N108</f>
        <v>185.5072916666667</v>
      </c>
      <c r="O19" s="61">
        <f>'11'!O108</f>
        <v>0</v>
      </c>
      <c r="P19" s="202">
        <f>'11'!P108</f>
        <v>1.4961458333333333</v>
      </c>
      <c r="Q19" s="61">
        <f>'11'!Q108</f>
        <v>6.2902127659574445</v>
      </c>
      <c r="R19" s="118"/>
      <c r="S19" s="118"/>
      <c r="T19" s="118"/>
      <c r="U19" s="118"/>
    </row>
    <row r="20" spans="1:21" x14ac:dyDescent="0.25">
      <c r="A20" s="94" t="str">
        <f>'12'!$B$2</f>
        <v>12-11-2023 00:15</v>
      </c>
      <c r="B20" s="61">
        <f>'12'!B108</f>
        <v>23.917916666666681</v>
      </c>
      <c r="C20" s="61">
        <f>'12'!C108</f>
        <v>41.646874999999994</v>
      </c>
      <c r="D20" s="61">
        <f>'12'!D108</f>
        <v>65.563958333333304</v>
      </c>
      <c r="E20" s="61">
        <f>'12'!E108</f>
        <v>1.0626041666666668</v>
      </c>
      <c r="F20" s="61">
        <f>'12'!F108</f>
        <v>4.6729166666666684</v>
      </c>
      <c r="G20" s="101">
        <f>'12'!$G$108</f>
        <v>125.24954545454548</v>
      </c>
      <c r="H20" s="61">
        <f>'12'!H108</f>
        <v>67.471022727272711</v>
      </c>
      <c r="I20" s="61">
        <f>'12'!I108</f>
        <v>1.4957291666666659</v>
      </c>
      <c r="J20" s="61">
        <f>'12'!J108</f>
        <v>0.29177083333333326</v>
      </c>
      <c r="K20" s="61">
        <f>'12'!K108</f>
        <v>265.3359375</v>
      </c>
      <c r="L20" s="61">
        <f>'12'!L108</f>
        <v>23.987916666666667</v>
      </c>
      <c r="M20" s="61">
        <f>'12'!M108</f>
        <v>58.714062500000004</v>
      </c>
      <c r="N20" s="61">
        <f>'12'!N108</f>
        <v>190.56562500000004</v>
      </c>
      <c r="O20" s="61">
        <f>'12'!O108</f>
        <v>0</v>
      </c>
      <c r="P20" s="202">
        <f>'12'!P108</f>
        <v>1.3581250000000002</v>
      </c>
      <c r="Q20" s="61">
        <f>'12'!Q108</f>
        <v>5.4606249999999994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13-11-2023 00:15</v>
      </c>
      <c r="B21" s="91">
        <f>'13'!B108</f>
        <v>22.820104166666656</v>
      </c>
      <c r="C21" s="91">
        <f>'13'!C108</f>
        <v>36.961354166666673</v>
      </c>
      <c r="D21" s="91">
        <f>'13'!D108</f>
        <v>59.7815625</v>
      </c>
      <c r="E21" s="91">
        <f>'13'!E108</f>
        <v>1.6535416666666662</v>
      </c>
      <c r="F21" s="91">
        <f>'13'!F108</f>
        <v>6.4779166666666654</v>
      </c>
      <c r="G21" s="100">
        <f>'13'!$G$108</f>
        <v>118.78666666666665</v>
      </c>
      <c r="H21" s="91">
        <f>'13'!H108</f>
        <v>61.416190476190437</v>
      </c>
      <c r="I21" s="91">
        <f>'13'!I108</f>
        <v>1.4935416666666657</v>
      </c>
      <c r="J21" s="91">
        <f>'13'!J108</f>
        <v>0.25072916666666673</v>
      </c>
      <c r="K21" s="91">
        <f>'13'!K108</f>
        <v>188.44468749999996</v>
      </c>
      <c r="L21" s="91">
        <f>'13'!L108</f>
        <v>22.907187500000006</v>
      </c>
      <c r="M21" s="91">
        <f>'13'!M108</f>
        <v>61.192604166666648</v>
      </c>
      <c r="N21" s="91">
        <f>'13'!N108</f>
        <v>180.84895833333334</v>
      </c>
      <c r="O21" s="91">
        <f>'13'!O108</f>
        <v>0</v>
      </c>
      <c r="P21" s="203">
        <f>'13'!P108</f>
        <v>1.2744791666666673</v>
      </c>
      <c r="Q21" s="91">
        <f>'13'!Q108</f>
        <v>6.1443749999999939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14-11-2023 00:15</v>
      </c>
      <c r="B22" s="90">
        <f>'14'!B108</f>
        <v>5.092065217391303</v>
      </c>
      <c r="C22" s="90">
        <f>'14'!C108</f>
        <v>34.46720430107527</v>
      </c>
      <c r="D22" s="90">
        <f>'14'!D108</f>
        <v>30.548064516129021</v>
      </c>
      <c r="E22" s="90">
        <f>'14'!E108</f>
        <v>2.1457608695652173</v>
      </c>
      <c r="F22" s="90">
        <f>'14'!F108</f>
        <v>9.1744680851063833</v>
      </c>
      <c r="G22" s="100">
        <f>'14'!$G$108</f>
        <v>96.53459770114938</v>
      </c>
      <c r="H22" s="100">
        <f>'14'!$G$108</f>
        <v>96.53459770114938</v>
      </c>
      <c r="I22" s="90">
        <f>'14'!I108</f>
        <v>1.5</v>
      </c>
      <c r="J22" s="90">
        <f>'14'!J108</f>
        <v>0.34104166666666652</v>
      </c>
      <c r="K22" s="90">
        <f>'14'!K108</f>
        <v>161.05656250000001</v>
      </c>
      <c r="L22" s="90">
        <f>'14'!L108</f>
        <v>21.968958333333337</v>
      </c>
      <c r="M22" s="90">
        <f>'14'!M108</f>
        <v>64.414166666666645</v>
      </c>
      <c r="N22" s="90">
        <f>'14'!N108</f>
        <v>169.81874999999999</v>
      </c>
      <c r="O22" s="90">
        <f>'14'!O108</f>
        <v>0</v>
      </c>
      <c r="P22" s="204">
        <f>'14'!P108</f>
        <v>1.178421052631579</v>
      </c>
      <c r="Q22" s="90">
        <f>'14'!Q108</f>
        <v>4.8676041666666636</v>
      </c>
      <c r="R22" s="206"/>
      <c r="S22" s="206"/>
      <c r="T22" s="206"/>
      <c r="U22" s="206"/>
    </row>
    <row r="23" spans="1:21" x14ac:dyDescent="0.25">
      <c r="A23" s="94" t="str">
        <f>'15'!$B$2</f>
        <v>15-11-2023 00:15</v>
      </c>
      <c r="B23" s="61">
        <f>'15'!B108</f>
        <v>3.7714583333333347</v>
      </c>
      <c r="C23" s="61">
        <f>'15'!C108</f>
        <v>29.852708333333329</v>
      </c>
      <c r="D23" s="61">
        <f>'15'!D108</f>
        <v>20.145312499999992</v>
      </c>
      <c r="E23" s="61">
        <f>'15'!E108</f>
        <v>2.6052083333333327</v>
      </c>
      <c r="F23" s="61">
        <f>'15'!F108</f>
        <v>7.792812500000001</v>
      </c>
      <c r="G23" s="100">
        <f>'15'!$G$108</f>
        <v>73.431145833333275</v>
      </c>
      <c r="H23" s="61">
        <f>'15'!H108</f>
        <v>38.966562500000002</v>
      </c>
      <c r="I23" s="61">
        <f>'15'!I108</f>
        <v>1.4989583333333334</v>
      </c>
      <c r="J23" s="61">
        <f>'15'!J108</f>
        <v>0.62624999999999975</v>
      </c>
      <c r="K23" s="61">
        <f>'15'!K108</f>
        <v>169.17260416666662</v>
      </c>
      <c r="L23" s="61">
        <f>'15'!L108</f>
        <v>21.85958333333333</v>
      </c>
      <c r="M23" s="61">
        <f>'15'!M108</f>
        <v>64.337708333333339</v>
      </c>
      <c r="N23" s="61">
        <f>'15'!N108</f>
        <v>177.47291666666661</v>
      </c>
      <c r="O23" s="61">
        <f>'15'!O108</f>
        <v>0</v>
      </c>
      <c r="P23" s="202">
        <f>'15'!P108</f>
        <v>0.99312499999999992</v>
      </c>
      <c r="Q23" s="61">
        <f>'15'!Q108</f>
        <v>5.1962499999999903</v>
      </c>
      <c r="R23" s="118"/>
      <c r="S23" s="118"/>
      <c r="T23" s="118"/>
      <c r="U23" s="118"/>
    </row>
    <row r="24" spans="1:21" x14ac:dyDescent="0.25">
      <c r="A24" s="94" t="str">
        <f>'16'!$B$2</f>
        <v>16-11-2023 00:15</v>
      </c>
      <c r="B24" s="61">
        <f>'16'!B108</f>
        <v>6.4171874999999972</v>
      </c>
      <c r="C24" s="61">
        <f>'16'!C108</f>
        <v>33.38000000000001</v>
      </c>
      <c r="D24" s="61">
        <f>'16'!D108</f>
        <v>24.213749999999994</v>
      </c>
      <c r="E24" s="61">
        <f>'16'!E108</f>
        <v>2.5048958333333329</v>
      </c>
      <c r="F24" s="61">
        <f>'16'!F108</f>
        <v>6.8165624999999999</v>
      </c>
      <c r="G24" s="100">
        <f>'16'!$G$108</f>
        <v>68.148749999999993</v>
      </c>
      <c r="H24" s="61">
        <f>'16'!H108</f>
        <v>30.873750000000015</v>
      </c>
      <c r="I24" s="61">
        <f>'16'!I108</f>
        <v>1.505520833333333</v>
      </c>
      <c r="J24" s="61">
        <f>'16'!J108</f>
        <v>0.45864583333333342</v>
      </c>
      <c r="K24" s="61">
        <f>'16'!K108</f>
        <v>194.91499999999996</v>
      </c>
      <c r="L24" s="61">
        <f>'16'!L108</f>
        <v>21.459687500000001</v>
      </c>
      <c r="M24" s="61">
        <f>'16'!M108</f>
        <v>55.736458333333324</v>
      </c>
      <c r="N24" s="61">
        <f>'16'!N108</f>
        <v>200.51250000000005</v>
      </c>
      <c r="O24" s="61">
        <f>'16'!O108</f>
        <v>0</v>
      </c>
      <c r="P24" s="202">
        <f>'16'!P108</f>
        <v>1.0341666666666673</v>
      </c>
      <c r="Q24" s="61">
        <f>'16'!Q108</f>
        <v>5.0736458333333312</v>
      </c>
      <c r="R24" s="118"/>
      <c r="S24" s="118"/>
      <c r="T24" s="118"/>
      <c r="U24" s="118"/>
    </row>
    <row r="25" spans="1:21" x14ac:dyDescent="0.25">
      <c r="A25" s="94" t="str">
        <f>'17'!$B$2</f>
        <v>17-11-2023 00:15</v>
      </c>
      <c r="B25" s="61">
        <f>'17'!B108</f>
        <v>13.497395833333334</v>
      </c>
      <c r="C25" s="61">
        <f>'17'!C108</f>
        <v>42.391770833333325</v>
      </c>
      <c r="D25" s="61">
        <f>'17'!D108</f>
        <v>34.865416666666668</v>
      </c>
      <c r="E25" s="61">
        <f>'17'!E108</f>
        <v>2.6221874999999999</v>
      </c>
      <c r="F25" s="61">
        <f>'17'!F108</f>
        <v>8.0432291666666664</v>
      </c>
      <c r="G25" s="101">
        <f>'17'!$G$108</f>
        <v>57.712500000000055</v>
      </c>
      <c r="H25" s="61">
        <f>'17'!H108</f>
        <v>24.782916666666683</v>
      </c>
      <c r="I25" s="61">
        <f>'17'!I108</f>
        <v>1.5003124999999997</v>
      </c>
      <c r="J25" s="61">
        <f>'17'!J108</f>
        <v>0.41979166666666684</v>
      </c>
      <c r="K25" s="61">
        <f>'17'!K108</f>
        <v>222.65177083333319</v>
      </c>
      <c r="L25" s="61">
        <f>'17'!L108</f>
        <v>21.766874999999999</v>
      </c>
      <c r="M25" s="61">
        <f>'17'!M108</f>
        <v>58.356041666666698</v>
      </c>
      <c r="N25" s="61">
        <f>'17'!N108</f>
        <v>215.14687500000005</v>
      </c>
      <c r="O25" s="61">
        <f>'17'!O108</f>
        <v>0</v>
      </c>
      <c r="P25" s="202">
        <f>'17'!P108</f>
        <v>1.1854166666666666</v>
      </c>
      <c r="Q25" s="61">
        <f>'17'!Q108</f>
        <v>5.0401041666666631</v>
      </c>
      <c r="R25" s="118"/>
      <c r="S25" s="118"/>
      <c r="T25" s="118"/>
      <c r="U25" s="118"/>
    </row>
    <row r="26" spans="1:21" x14ac:dyDescent="0.25">
      <c r="A26" s="94" t="str">
        <f>'18'!$B$2</f>
        <v>18-11-2023 00:15</v>
      </c>
      <c r="B26" s="61">
        <f>'18'!B108</f>
        <v>34.098854166666669</v>
      </c>
      <c r="C26" s="61">
        <f>'18'!C108</f>
        <v>48.561874999999986</v>
      </c>
      <c r="D26" s="61">
        <f>'18'!D108</f>
        <v>54.791145833333324</v>
      </c>
      <c r="E26" s="61">
        <f>'18'!E108</f>
        <v>2.8613541666666671</v>
      </c>
      <c r="F26" s="61">
        <f>'18'!F108</f>
        <v>9.0806249999999995</v>
      </c>
      <c r="G26" s="99">
        <f>'18'!$G$108</f>
        <v>78.173541666666665</v>
      </c>
      <c r="H26" s="61">
        <f>'18'!H108</f>
        <v>31.716874999999987</v>
      </c>
      <c r="I26" s="61">
        <f>'18'!I108</f>
        <v>1.5019791666666682</v>
      </c>
      <c r="J26" s="61">
        <f>'18'!J108</f>
        <v>0.22833333333333336</v>
      </c>
      <c r="K26" s="61">
        <f>'18'!K108</f>
        <v>181.81104166666668</v>
      </c>
      <c r="L26" s="61">
        <f>'18'!L108</f>
        <v>22.055520833333329</v>
      </c>
      <c r="M26" s="61">
        <f>'18'!M108</f>
        <v>67.1640625</v>
      </c>
      <c r="N26" s="61">
        <f>'18'!N108</f>
        <v>213.38958333333332</v>
      </c>
      <c r="O26" s="61">
        <f>'18'!O108</f>
        <v>0</v>
      </c>
      <c r="P26" s="202">
        <f>'18'!P108</f>
        <v>1.6928124999999989</v>
      </c>
      <c r="Q26" s="61">
        <f>'18'!Q108</f>
        <v>7.081666666666667</v>
      </c>
      <c r="R26" s="118"/>
      <c r="S26" s="118"/>
      <c r="T26" s="118"/>
      <c r="U26" s="118"/>
    </row>
    <row r="27" spans="1:21" x14ac:dyDescent="0.25">
      <c r="A27" s="94" t="str">
        <f>'19'!$B$2</f>
        <v>19-11-2023 00:15</v>
      </c>
      <c r="B27" s="61">
        <f>'19'!B108</f>
        <v>12.809479166666668</v>
      </c>
      <c r="C27" s="61">
        <f>'19'!C108</f>
        <v>37.400833333333331</v>
      </c>
      <c r="D27" s="61">
        <f>'19'!D108</f>
        <v>31.559062499999996</v>
      </c>
      <c r="E27" s="61">
        <f>'19'!E108</f>
        <v>2.5093749999999995</v>
      </c>
      <c r="F27" s="61">
        <f>'19'!F108</f>
        <v>6.7418749999999976</v>
      </c>
      <c r="G27" s="61">
        <f>'19'!G108</f>
        <v>55.139375000000008</v>
      </c>
      <c r="H27" s="61">
        <f>'19'!H108</f>
        <v>29.480520833333344</v>
      </c>
      <c r="I27" s="61">
        <f>'19'!I108</f>
        <v>1.4961458333333335</v>
      </c>
      <c r="J27" s="61">
        <f>'19'!J108</f>
        <v>0.4459375000000001</v>
      </c>
      <c r="K27" s="61">
        <f>'19'!K108</f>
        <v>133.55114583333332</v>
      </c>
      <c r="L27" s="61">
        <f>'19'!L108</f>
        <v>22.537083333333353</v>
      </c>
      <c r="M27" s="61">
        <f>'19'!M108</f>
        <v>65.280312500000008</v>
      </c>
      <c r="N27" s="61">
        <f>'19'!N108</f>
        <v>194.40625000000003</v>
      </c>
      <c r="O27" s="61">
        <f>'19'!O108</f>
        <v>0</v>
      </c>
      <c r="P27" s="202">
        <f>'19'!P108</f>
        <v>1.1068750000000003</v>
      </c>
      <c r="Q27" s="61">
        <f>'19'!Q108</f>
        <v>5.0539583333333278</v>
      </c>
      <c r="R27" s="118"/>
      <c r="S27" s="118"/>
      <c r="T27" s="118"/>
      <c r="U27" s="118"/>
    </row>
    <row r="28" spans="1:21" x14ac:dyDescent="0.25">
      <c r="A28" s="94" t="str">
        <f>'20'!$B$2</f>
        <v>20-11-2023 00:15</v>
      </c>
      <c r="B28" s="61">
        <f>'20'!B108</f>
        <v>6.0379166666666642</v>
      </c>
      <c r="C28" s="61">
        <f>'20'!C108</f>
        <v>35.688229166666666</v>
      </c>
      <c r="D28" s="61">
        <f>'20'!D108</f>
        <v>25.183750000000007</v>
      </c>
      <c r="E28" s="61">
        <f>'20'!E108</f>
        <v>2.3435416666666664</v>
      </c>
      <c r="F28" s="61">
        <f>'20'!F108</f>
        <v>6.0969791666666646</v>
      </c>
      <c r="G28" s="61">
        <f>'20'!G108</f>
        <v>43.647083333333342</v>
      </c>
      <c r="H28" s="61">
        <f>'20'!H108</f>
        <v>22.215208333333333</v>
      </c>
      <c r="I28" s="61">
        <f>'20'!I108</f>
        <v>1.499583333333333</v>
      </c>
      <c r="J28" s="61">
        <f>'20'!J108</f>
        <v>0.76395833333333341</v>
      </c>
      <c r="K28" s="61">
        <f>'20'!K108</f>
        <v>134.41187499999992</v>
      </c>
      <c r="L28" s="61">
        <f>'20'!L108</f>
        <v>22.527083333333334</v>
      </c>
      <c r="M28" s="61">
        <f>'20'!M108</f>
        <v>61.515520833333362</v>
      </c>
      <c r="N28" s="61">
        <f>'20'!N108</f>
        <v>182.0354166666668</v>
      </c>
      <c r="O28" s="61">
        <f>'20'!O108</f>
        <v>0</v>
      </c>
      <c r="P28" s="202">
        <f>'20'!P108</f>
        <v>0.67052083333333312</v>
      </c>
      <c r="Q28" s="61">
        <f>'20'!Q108</f>
        <v>5.0889583333333333</v>
      </c>
      <c r="R28" s="118"/>
      <c r="S28" s="118"/>
      <c r="T28" s="118"/>
      <c r="U28" s="118"/>
    </row>
    <row r="29" spans="1:21" x14ac:dyDescent="0.25">
      <c r="A29" s="94" t="str">
        <f>'21'!$B$2</f>
        <v>21-11-2023 00:15</v>
      </c>
      <c r="B29" s="61">
        <f>'21'!B108</f>
        <v>17.395937500000002</v>
      </c>
      <c r="C29" s="61">
        <f>'21'!C108</f>
        <v>45.083229166666655</v>
      </c>
      <c r="D29" s="61">
        <f>'21'!D108</f>
        <v>39.476145833333334</v>
      </c>
      <c r="E29" s="61">
        <f>'21'!E108</f>
        <v>2.6398958333333331</v>
      </c>
      <c r="F29" s="61">
        <f>'21'!F108</f>
        <v>6.4995833333333337</v>
      </c>
      <c r="G29" s="61">
        <f>'21'!G108</f>
        <v>65.440729166666657</v>
      </c>
      <c r="H29" s="61">
        <f>'21'!H108</f>
        <v>28.301041666666649</v>
      </c>
      <c r="I29" s="61">
        <f>'21'!I108</f>
        <v>1.5020833333333332</v>
      </c>
      <c r="J29" s="61">
        <f>'21'!J108</f>
        <v>0.358510638297872</v>
      </c>
      <c r="K29" s="61">
        <f>'21'!K108</f>
        <v>201.00770833333334</v>
      </c>
      <c r="L29" s="61">
        <f>'21'!L108</f>
        <v>21.840729166666666</v>
      </c>
      <c r="M29" s="61">
        <f>'21'!M108</f>
        <v>65.126562499999991</v>
      </c>
      <c r="N29" s="61">
        <f>'21'!N108</f>
        <v>172.76874999999998</v>
      </c>
      <c r="O29" s="61">
        <f>'21'!O108</f>
        <v>0</v>
      </c>
      <c r="P29" s="202">
        <f>'21'!P108</f>
        <v>1.1812499999999999</v>
      </c>
      <c r="Q29" s="61">
        <f>'21'!Q108</f>
        <v>5.5064583333333319</v>
      </c>
      <c r="R29" s="118"/>
      <c r="S29" s="118"/>
      <c r="T29" s="118"/>
      <c r="U29" s="118"/>
    </row>
    <row r="30" spans="1:21" x14ac:dyDescent="0.25">
      <c r="A30" s="94" t="str">
        <f>'22'!$B$2</f>
        <v>22-11-2023 00:15</v>
      </c>
      <c r="B30" s="61">
        <f>'22'!B108</f>
        <v>19.307916666666674</v>
      </c>
      <c r="C30" s="61">
        <f>'22'!C108</f>
        <v>49.462604166666665</v>
      </c>
      <c r="D30" s="61">
        <f>'22'!D108</f>
        <v>43.426458333333322</v>
      </c>
      <c r="E30" s="61">
        <f>'22'!E108</f>
        <v>2.6854166666666668</v>
      </c>
      <c r="F30" s="61">
        <f>'22'!F108</f>
        <v>6.103020833333332</v>
      </c>
      <c r="G30" s="61">
        <f>'22'!G108</f>
        <v>83.751875000000055</v>
      </c>
      <c r="H30" s="61">
        <f>'22'!H108</f>
        <v>40.237604166666671</v>
      </c>
      <c r="I30" s="61">
        <f>'22'!I108</f>
        <v>1.5093750000000001</v>
      </c>
      <c r="J30" s="61">
        <f>'22'!J108</f>
        <v>0.33531250000000018</v>
      </c>
      <c r="K30" s="61">
        <f>'22'!K108</f>
        <v>207.82281250000003</v>
      </c>
      <c r="L30" s="61">
        <f>'22'!L108</f>
        <v>22.084270833333331</v>
      </c>
      <c r="M30" s="61">
        <f>'22'!M108</f>
        <v>61.162604166666682</v>
      </c>
      <c r="N30" s="61">
        <f>'22'!N108</f>
        <v>171.97604166666656</v>
      </c>
      <c r="O30" s="61">
        <f>'22'!O108</f>
        <v>0</v>
      </c>
      <c r="P30" s="202">
        <f>'22'!P108</f>
        <v>1.4105208333333323</v>
      </c>
      <c r="Q30" s="61">
        <f>'22'!Q108</f>
        <v>6.3866666666666632</v>
      </c>
      <c r="R30" s="118"/>
      <c r="S30" s="118"/>
      <c r="T30" s="118"/>
      <c r="U30" s="118"/>
    </row>
    <row r="31" spans="1:21" x14ac:dyDescent="0.25">
      <c r="A31" s="94" t="str">
        <f>'23'!$B$2</f>
        <v>23-11-2023 00:15</v>
      </c>
      <c r="B31" s="61">
        <f>'23'!B108</f>
        <v>8.2167708333333298</v>
      </c>
      <c r="C31" s="61">
        <f>'23'!C108</f>
        <v>50.087083333333318</v>
      </c>
      <c r="D31" s="61">
        <f>'23'!D108</f>
        <v>34.877604166666657</v>
      </c>
      <c r="E31" s="61">
        <f>'23'!E108</f>
        <v>2.6479166666666667</v>
      </c>
      <c r="F31" s="61">
        <f>'23'!F108</f>
        <v>8.4684375000000021</v>
      </c>
      <c r="G31" s="61">
        <f>'23'!G108</f>
        <v>96.870937500000011</v>
      </c>
      <c r="H31" s="61">
        <f>'23'!H108</f>
        <v>50.55552083333334</v>
      </c>
      <c r="I31" s="61">
        <f>'23'!I108</f>
        <v>1.5027083333333335</v>
      </c>
      <c r="J31" s="61">
        <f>'23'!J108</f>
        <v>0.25750000000000001</v>
      </c>
      <c r="K31" s="61">
        <f>'23'!K108</f>
        <v>144.93729166666662</v>
      </c>
      <c r="L31" s="61">
        <f>'23'!L108</f>
        <v>21.594374999999996</v>
      </c>
      <c r="M31" s="61">
        <f>'23'!M108</f>
        <v>59.331666666666671</v>
      </c>
      <c r="N31" s="61">
        <f>'23'!N108</f>
        <v>163.25312500000004</v>
      </c>
      <c r="O31" s="61">
        <f>'23'!O108</f>
        <v>0</v>
      </c>
      <c r="P31" s="202">
        <f>'23'!P108</f>
        <v>1.1591666666666669</v>
      </c>
      <c r="Q31" s="61">
        <f>'23'!Q108</f>
        <v>5.6700000000000008</v>
      </c>
      <c r="R31" s="118"/>
      <c r="S31" s="207"/>
      <c r="T31" s="118"/>
      <c r="U31" s="118"/>
    </row>
    <row r="32" spans="1:21" x14ac:dyDescent="0.25">
      <c r="A32" s="94" t="str">
        <f>'24'!$B$2</f>
        <v>24-11-2023 00:15</v>
      </c>
      <c r="B32" s="61">
        <f>'24'!B108</f>
        <v>6.8480208333333357</v>
      </c>
      <c r="C32" s="61">
        <f>'24'!C108</f>
        <v>51.486354166666679</v>
      </c>
      <c r="D32" s="61">
        <f>'24'!D108</f>
        <v>34.551979166666662</v>
      </c>
      <c r="E32" s="61">
        <f>'24'!E108</f>
        <v>2.763645833333332</v>
      </c>
      <c r="F32" s="61">
        <f>'24'!F108</f>
        <v>8.2988541666666666</v>
      </c>
      <c r="G32" s="61">
        <f>'24'!G108</f>
        <v>88.216354166666648</v>
      </c>
      <c r="H32" s="61">
        <f>'24'!H108</f>
        <v>48.042083333333373</v>
      </c>
      <c r="I32" s="61">
        <f>'24'!I108</f>
        <v>1.505520833333333</v>
      </c>
      <c r="J32" s="61">
        <f>'24'!J108</f>
        <v>0.33791666666666664</v>
      </c>
      <c r="K32" s="61">
        <f>'24'!K108</f>
        <v>173.78989583333336</v>
      </c>
      <c r="L32" s="61">
        <f>'24'!L108</f>
        <v>21.772500000000012</v>
      </c>
      <c r="M32" s="61">
        <f>'24'!M108</f>
        <v>58.32687499999998</v>
      </c>
      <c r="N32" s="61">
        <f>'24'!N108</f>
        <v>153.80520833333335</v>
      </c>
      <c r="O32" s="61">
        <f>'24'!O108</f>
        <v>0</v>
      </c>
      <c r="P32" s="202">
        <f>'24'!P108</f>
        <v>1.1057291666666664</v>
      </c>
      <c r="Q32" s="61">
        <f>'24'!Q108</f>
        <v>5.8286458333333337</v>
      </c>
      <c r="R32" s="118"/>
      <c r="S32" s="118"/>
      <c r="T32" s="118"/>
      <c r="U32" s="118"/>
    </row>
    <row r="33" spans="1:21" x14ac:dyDescent="0.25">
      <c r="A33" s="94" t="str">
        <f>'25'!$B$2</f>
        <v>25-11-2023 00:15</v>
      </c>
      <c r="B33" s="61">
        <f>'25'!B108</f>
        <v>6.7151041666666655</v>
      </c>
      <c r="C33" s="61">
        <f>'25'!C108</f>
        <v>47.983958333333327</v>
      </c>
      <c r="D33" s="61">
        <f>'25'!D108</f>
        <v>32.512083333333329</v>
      </c>
      <c r="E33" s="61">
        <f>'25'!E108</f>
        <v>2.6996874999999996</v>
      </c>
      <c r="F33" s="61">
        <f>'25'!F108</f>
        <v>7.2054166666666646</v>
      </c>
      <c r="G33" s="61">
        <f>'25'!G108</f>
        <v>87.293333333333294</v>
      </c>
      <c r="H33" s="61">
        <f>'25'!H108</f>
        <v>48.992916666666623</v>
      </c>
      <c r="I33" s="61">
        <f>'25'!I108</f>
        <v>1.4989583333333334</v>
      </c>
      <c r="J33" s="61">
        <f>'25'!J108</f>
        <v>0.41843750000000002</v>
      </c>
      <c r="K33" s="61">
        <f>'25'!K108</f>
        <v>152.79395833333331</v>
      </c>
      <c r="L33" s="61">
        <f>'25'!L108</f>
        <v>21.638541666666654</v>
      </c>
      <c r="M33" s="61">
        <f>'25'!M108</f>
        <v>56.043020833333337</v>
      </c>
      <c r="N33" s="61">
        <f>'25'!N108</f>
        <v>155.71458333333334</v>
      </c>
      <c r="O33" s="61">
        <f>'25'!O108</f>
        <v>0</v>
      </c>
      <c r="P33" s="202">
        <f>'25'!P108</f>
        <v>1.0762500000000006</v>
      </c>
      <c r="Q33" s="61">
        <f>'25'!Q108</f>
        <v>5.6818750000000016</v>
      </c>
      <c r="R33" s="118"/>
      <c r="S33" s="207"/>
      <c r="T33" s="118"/>
      <c r="U33" s="118"/>
    </row>
    <row r="34" spans="1:21" x14ac:dyDescent="0.25">
      <c r="A34" s="94" t="str">
        <f>'26'!$B$2</f>
        <v>26-11-2023 00:15</v>
      </c>
      <c r="B34" s="61">
        <f>'26'!B108</f>
        <v>7.6532291666666667</v>
      </c>
      <c r="C34" s="61">
        <f>'26'!C108</f>
        <v>51.064270833333318</v>
      </c>
      <c r="D34" s="61">
        <f>'26'!D108</f>
        <v>34.965208333333337</v>
      </c>
      <c r="E34" s="61">
        <f>'26'!E108</f>
        <v>2.5114583333333331</v>
      </c>
      <c r="F34" s="61">
        <f>'26'!F108</f>
        <v>6.1620833333333316</v>
      </c>
      <c r="G34" s="61">
        <f>'26'!G108</f>
        <v>87.722812500000018</v>
      </c>
      <c r="H34" s="61">
        <f>'26'!H108</f>
        <v>46.767083333333296</v>
      </c>
      <c r="I34" s="61">
        <f>'26'!I108</f>
        <v>1.5034375000000004</v>
      </c>
      <c r="J34" s="61">
        <f>'26'!J108</f>
        <v>0.35958333333333337</v>
      </c>
      <c r="K34" s="61">
        <f>'26'!K108</f>
        <v>164.16416666666666</v>
      </c>
      <c r="L34" s="61">
        <f>'26'!L108</f>
        <v>20.621770833333336</v>
      </c>
      <c r="M34" s="61">
        <f>'26'!M108</f>
        <v>58.679583333333319</v>
      </c>
      <c r="N34" s="61">
        <f>'26'!N108</f>
        <v>173.04895833333342</v>
      </c>
      <c r="O34" s="61">
        <f>'26'!O108</f>
        <v>0</v>
      </c>
      <c r="P34" s="202">
        <f>'26'!P108</f>
        <v>1.1747916666666665</v>
      </c>
      <c r="Q34" s="61">
        <f>'26'!Q108</f>
        <v>5.9076041666666663</v>
      </c>
      <c r="R34" s="118"/>
      <c r="S34" s="118"/>
      <c r="T34" s="118"/>
      <c r="U34" s="118"/>
    </row>
    <row r="35" spans="1:21" x14ac:dyDescent="0.25">
      <c r="A35" s="94" t="str">
        <f>'27'!$B$2</f>
        <v>27-11-2023 00:15</v>
      </c>
      <c r="B35" s="61">
        <f>'27'!B108</f>
        <v>12.155833333333332</v>
      </c>
      <c r="C35" s="61">
        <f>'27'!C108</f>
        <v>67.445729166666666</v>
      </c>
      <c r="D35" s="61">
        <f>'27'!D108</f>
        <v>47.616562499999993</v>
      </c>
      <c r="E35" s="61">
        <f>'27'!E108</f>
        <v>2.2589583333333327</v>
      </c>
      <c r="F35" s="61">
        <f>'27'!F108</f>
        <v>3.7185416666666691</v>
      </c>
      <c r="G35" s="61">
        <f>'27'!G108</f>
        <v>94.725833333333313</v>
      </c>
      <c r="H35" s="61">
        <f>'27'!H108</f>
        <v>47.342916666666696</v>
      </c>
      <c r="I35" s="61">
        <f>'27'!I108</f>
        <v>1.5029166666666669</v>
      </c>
      <c r="J35" s="61">
        <f>'27'!J108</f>
        <v>0.54552083333333312</v>
      </c>
      <c r="K35" s="61">
        <f>'27'!K108</f>
        <v>195.55510416666667</v>
      </c>
      <c r="L35" s="61">
        <f>'27'!L108</f>
        <v>19.85177083333333</v>
      </c>
      <c r="M35" s="61">
        <f>'27'!M108</f>
        <v>62.651458333333345</v>
      </c>
      <c r="N35" s="61">
        <f>'27'!N108</f>
        <v>103.60729166666674</v>
      </c>
      <c r="O35" s="61">
        <f>'27'!O108</f>
        <v>0</v>
      </c>
      <c r="P35" s="202">
        <f>'27'!P108</f>
        <v>1.2681250000000002</v>
      </c>
      <c r="Q35" s="61">
        <f>'27'!Q108</f>
        <v>6.404583333333334</v>
      </c>
      <c r="R35" s="118"/>
      <c r="S35" s="118"/>
      <c r="T35" s="118"/>
      <c r="U35" s="118"/>
    </row>
    <row r="36" spans="1:21" x14ac:dyDescent="0.25">
      <c r="A36" s="94" t="str">
        <f>'28'!$B$2</f>
        <v>28-11-2023 00:15</v>
      </c>
      <c r="B36" s="61">
        <f>'28'!B108</f>
        <v>20.788020833333331</v>
      </c>
      <c r="C36" s="61">
        <f>'28'!C108</f>
        <v>55.70187499999998</v>
      </c>
      <c r="D36" s="61">
        <f>'28'!D108</f>
        <v>48.057187499999998</v>
      </c>
      <c r="E36" s="61">
        <f>'28'!E108</f>
        <v>2.2913541666666664</v>
      </c>
      <c r="F36" s="61">
        <f>'28'!F108</f>
        <v>3.3088541666666669</v>
      </c>
      <c r="G36" s="61">
        <f>'28'!G108</f>
        <v>71.268645833333323</v>
      </c>
      <c r="H36" s="61">
        <f>'28'!H108</f>
        <v>44.152395833333344</v>
      </c>
      <c r="I36" s="61">
        <f>'28'!I108</f>
        <v>1.4991666666666668</v>
      </c>
      <c r="J36" s="61">
        <f>'28'!J108</f>
        <v>0.70416666666666661</v>
      </c>
      <c r="K36" s="61">
        <f>'28'!K108</f>
        <v>224.68656250000001</v>
      </c>
      <c r="L36" s="61">
        <f>'28'!L108</f>
        <v>18.209791666666668</v>
      </c>
      <c r="M36" s="61">
        <f>'28'!M108</f>
        <v>77.397187499999959</v>
      </c>
      <c r="N36" s="61">
        <f>'28'!N108</f>
        <v>108.86562499999997</v>
      </c>
      <c r="O36" s="61">
        <f>'28'!O108</f>
        <v>1.6666666666666666E-2</v>
      </c>
      <c r="P36" s="202">
        <f>'28'!P108</f>
        <v>1.1669791666666667</v>
      </c>
      <c r="Q36" s="61">
        <f>'28'!Q108</f>
        <v>6.8316666666666643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29-11-2023 00:15</v>
      </c>
      <c r="B37" s="61">
        <f>'29'!B108</f>
        <v>34.21012195121952</v>
      </c>
      <c r="C37" s="61">
        <f>'29'!C108</f>
        <v>56.364024390243905</v>
      </c>
      <c r="D37" s="61">
        <f>'29'!D108</f>
        <v>59.186463414634147</v>
      </c>
      <c r="E37" s="61">
        <f>'29'!E108</f>
        <v>2.2034246575342467</v>
      </c>
      <c r="F37" s="61">
        <f>'29'!F108</f>
        <v>3.2055813953488372</v>
      </c>
      <c r="G37" s="61">
        <f>'29'!G108</f>
        <v>86.850240963855455</v>
      </c>
      <c r="H37" s="61">
        <f>'29'!H108</f>
        <v>38.763373493975884</v>
      </c>
      <c r="I37" s="61">
        <f>'29'!I108</f>
        <v>1.4962790697674415</v>
      </c>
      <c r="J37" s="61">
        <f>'29'!J108</f>
        <v>0.46581395348837218</v>
      </c>
      <c r="K37" s="61">
        <f>'29'!K108</f>
        <v>220.26488372093019</v>
      </c>
      <c r="L37" s="61">
        <f>'29'!L108</f>
        <v>19.672093023255815</v>
      </c>
      <c r="M37" s="61">
        <f>'29'!M108</f>
        <v>78.268604651162789</v>
      </c>
      <c r="N37" s="61">
        <f>'29'!N108</f>
        <v>170.14534883720927</v>
      </c>
      <c r="O37" s="61">
        <f>'29'!O108</f>
        <v>0</v>
      </c>
      <c r="P37" s="202">
        <f>'29'!P108</f>
        <v>1.2396511627906979</v>
      </c>
      <c r="Q37" s="61">
        <f>'29'!Q108</f>
        <v>8.0701219512195159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30-11-2023 00:15</v>
      </c>
      <c r="B38" s="61">
        <f>'30'!B108</f>
        <v>21.230937500000003</v>
      </c>
      <c r="C38" s="61">
        <f>'30'!C108</f>
        <v>57.464166666666664</v>
      </c>
      <c r="D38" s="61">
        <f>'30'!D108</f>
        <v>49.384895833333331</v>
      </c>
      <c r="E38" s="61">
        <f>'30'!E108</f>
        <v>2.2681249999999995</v>
      </c>
      <c r="F38" s="61">
        <f>'30'!F108</f>
        <v>3.2479166666666672</v>
      </c>
      <c r="G38" s="61">
        <f>'30'!G108</f>
        <v>71.923958333333346</v>
      </c>
      <c r="H38" s="61">
        <f>'30'!H108</f>
        <v>33.914270833333326</v>
      </c>
      <c r="I38" s="61">
        <f>'30'!I108</f>
        <v>1.5027083333333333</v>
      </c>
      <c r="J38" s="61">
        <f>'30'!J108</f>
        <v>0.35812500000000008</v>
      </c>
      <c r="K38" s="61">
        <f>'30'!K108</f>
        <v>169.64197916666674</v>
      </c>
      <c r="L38" s="61">
        <f>'30'!L108</f>
        <v>22.652187499999997</v>
      </c>
      <c r="M38" s="61">
        <f>'30'!M108</f>
        <v>66.980312500000011</v>
      </c>
      <c r="N38" s="61">
        <f>'30'!N108</f>
        <v>167.3312500000001</v>
      </c>
      <c r="O38" s="61">
        <f>'30'!O108</f>
        <v>0</v>
      </c>
      <c r="P38" s="202">
        <f>'30'!P108</f>
        <v>1.1692708333333337</v>
      </c>
      <c r="Q38" s="61">
        <f>'30'!Q108</f>
        <v>5.9008333333333338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3.7714583333333347</v>
      </c>
      <c r="C40" s="16">
        <f t="shared" si="0"/>
        <v>22.162500000000012</v>
      </c>
      <c r="D40" s="16">
        <f t="shared" si="0"/>
        <v>20.145312499999992</v>
      </c>
      <c r="E40" s="16">
        <f t="shared" si="0"/>
        <v>0.59791666666666654</v>
      </c>
      <c r="F40" s="16">
        <f t="shared" si="0"/>
        <v>3.2055813953488372</v>
      </c>
      <c r="G40" s="16">
        <f t="shared" si="0"/>
        <v>43.647083333333342</v>
      </c>
      <c r="H40" s="16">
        <f t="shared" si="0"/>
        <v>22.215208333333333</v>
      </c>
      <c r="I40" s="16">
        <f t="shared" si="0"/>
        <v>1.4935416666666657</v>
      </c>
      <c r="J40" s="16">
        <f t="shared" si="0"/>
        <v>0.17864583333333331</v>
      </c>
      <c r="K40" s="16">
        <f t="shared" si="0"/>
        <v>133.55114583333332</v>
      </c>
      <c r="L40" s="16">
        <f t="shared" si="0"/>
        <v>18.209791666666668</v>
      </c>
      <c r="M40" s="16">
        <f t="shared" si="0"/>
        <v>55.736458333333324</v>
      </c>
      <c r="N40" s="16">
        <f t="shared" si="0"/>
        <v>68.627999999999986</v>
      </c>
      <c r="O40" s="16">
        <f t="shared" si="0"/>
        <v>0</v>
      </c>
      <c r="P40" s="16">
        <f t="shared" si="0"/>
        <v>0.67052083333333312</v>
      </c>
      <c r="Q40" s="16">
        <f t="shared" si="0"/>
        <v>4.7577083333333325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60.919166666666676</v>
      </c>
      <c r="C41" s="16">
        <f t="shared" si="1"/>
        <v>67.445729166666666</v>
      </c>
      <c r="D41" s="16">
        <f t="shared" si="1"/>
        <v>103.39020833333332</v>
      </c>
      <c r="E41" s="16">
        <f t="shared" si="1"/>
        <v>3.2759756097560975</v>
      </c>
      <c r="F41" s="16">
        <f t="shared" si="1"/>
        <v>9.4137499999999985</v>
      </c>
      <c r="G41" s="16">
        <f t="shared" si="1"/>
        <v>174.75578947368416</v>
      </c>
      <c r="H41" s="16">
        <f t="shared" si="1"/>
        <v>96.53459770114938</v>
      </c>
      <c r="I41" s="16">
        <f t="shared" si="1"/>
        <v>1.5093750000000001</v>
      </c>
      <c r="J41" s="16">
        <f t="shared" si="1"/>
        <v>0.76395833333333341</v>
      </c>
      <c r="K41" s="16">
        <f t="shared" si="1"/>
        <v>265.3359375</v>
      </c>
      <c r="L41" s="16">
        <f t="shared" si="1"/>
        <v>24.027083333333326</v>
      </c>
      <c r="M41" s="16">
        <f t="shared" si="1"/>
        <v>80.016562500000035</v>
      </c>
      <c r="N41" s="16">
        <f t="shared" si="1"/>
        <v>231.27812499999985</v>
      </c>
      <c r="O41" s="16">
        <f t="shared" si="1"/>
        <v>7.4999999999999997E-2</v>
      </c>
      <c r="P41" s="16">
        <f t="shared" si="1"/>
        <v>1.6928124999999989</v>
      </c>
      <c r="Q41" s="16">
        <f t="shared" si="1"/>
        <v>8.1175000000000033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21.099822905620364</v>
      </c>
      <c r="C42" s="16">
        <f t="shared" si="2"/>
        <v>42.141929845266198</v>
      </c>
      <c r="D42" s="16">
        <f t="shared" si="2"/>
        <v>47.91668912546988</v>
      </c>
      <c r="E42" s="16">
        <f t="shared" si="2"/>
        <v>2.1396963434507414</v>
      </c>
      <c r="F42" s="16">
        <f t="shared" si="2"/>
        <v>5.8480617673962874</v>
      </c>
      <c r="G42" s="16">
        <f t="shared" si="2"/>
        <v>96.708776499001516</v>
      </c>
      <c r="H42" s="16">
        <f t="shared" si="2"/>
        <v>48.607122416006845</v>
      </c>
      <c r="I42" s="16">
        <f t="shared" si="2"/>
        <v>1.5005113856589143</v>
      </c>
      <c r="J42" s="16">
        <f t="shared" si="2"/>
        <v>0.37425873639287471</v>
      </c>
      <c r="K42" s="16">
        <f t="shared" si="2"/>
        <v>190.97783292958653</v>
      </c>
      <c r="L42" s="16">
        <f t="shared" si="2"/>
        <v>22.10784407299742</v>
      </c>
      <c r="M42" s="16">
        <f t="shared" si="2"/>
        <v>63.985807655038762</v>
      </c>
      <c r="N42" s="16">
        <f t="shared" si="2"/>
        <v>174.4739380167959</v>
      </c>
      <c r="O42" s="16">
        <f t="shared" si="2"/>
        <v>3.0555555555555553E-3</v>
      </c>
      <c r="P42" s="16">
        <f t="shared" si="2"/>
        <v>1.2092621294029648</v>
      </c>
      <c r="Q42" s="16">
        <f t="shared" si="2"/>
        <v>5.9338513619175917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16.614511420326288</v>
      </c>
      <c r="C43" s="16">
        <f t="shared" si="3"/>
        <v>10.392792789720403</v>
      </c>
      <c r="D43" s="16">
        <f t="shared" si="3"/>
        <v>24.762846370316648</v>
      </c>
      <c r="E43" s="16">
        <f t="shared" si="3"/>
        <v>0.70786579341699651</v>
      </c>
      <c r="F43" s="16">
        <f t="shared" si="3"/>
        <v>2.0556681404121484</v>
      </c>
      <c r="G43" s="16">
        <f t="shared" si="3"/>
        <v>30.49725931527513</v>
      </c>
      <c r="H43" s="16">
        <f t="shared" si="3"/>
        <v>16.645606544162927</v>
      </c>
      <c r="I43" s="16">
        <f t="shared" si="3"/>
        <v>3.7136018617345127E-3</v>
      </c>
      <c r="J43" s="16">
        <f t="shared" si="3"/>
        <v>0.13784092672784026</v>
      </c>
      <c r="K43" s="16">
        <f t="shared" si="3"/>
        <v>35.705462628991022</v>
      </c>
      <c r="L43" s="16">
        <f t="shared" si="3"/>
        <v>1.2720714399930899</v>
      </c>
      <c r="M43" s="16">
        <f t="shared" si="3"/>
        <v>6.8867186670793741</v>
      </c>
      <c r="N43" s="16">
        <f t="shared" si="3"/>
        <v>34.565076249903981</v>
      </c>
      <c r="O43" s="16">
        <f t="shared" si="3"/>
        <v>1.392428439959729E-2</v>
      </c>
      <c r="P43" s="16">
        <f t="shared" si="3"/>
        <v>0.22536578571736443</v>
      </c>
      <c r="Q43" s="16">
        <f t="shared" si="3"/>
        <v>0.99023710958830957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opLeftCell="A52" zoomScale="85" zoomScaleNormal="85" workbookViewId="0">
      <selection activeCell="M28" sqref="M28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7" t="s">
        <v>242</v>
      </c>
      <c r="E1" s="227"/>
      <c r="F1" s="227"/>
      <c r="G1" s="227"/>
      <c r="H1" s="227"/>
      <c r="I1" s="227"/>
      <c r="J1" s="228"/>
    </row>
    <row r="2" spans="2:24" ht="22.5" customHeight="1" thickBot="1" x14ac:dyDescent="0.3">
      <c r="B2" s="54"/>
      <c r="C2" s="111" t="s">
        <v>0</v>
      </c>
      <c r="D2" s="112" t="s">
        <v>246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9" t="s">
        <v>1</v>
      </c>
      <c r="H5" s="229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45234.604166666664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202.34</v>
      </c>
      <c r="I8" s="60">
        <v>0</v>
      </c>
      <c r="J8" s="61">
        <f>F8/H8</f>
        <v>0.98843530690916281</v>
      </c>
      <c r="K8" s="61">
        <f>(H8-F8)*100/F8</f>
        <v>1.1700000000000017</v>
      </c>
      <c r="L8" s="60" t="s">
        <v>67</v>
      </c>
      <c r="M8" s="78" t="s">
        <v>216</v>
      </c>
      <c r="O8" s="63">
        <v>45234.497916666667</v>
      </c>
      <c r="P8" s="64" t="s">
        <v>70</v>
      </c>
      <c r="Q8" s="64">
        <v>4356.45</v>
      </c>
      <c r="R8" s="64">
        <v>3293.68</v>
      </c>
      <c r="S8" s="77" t="s">
        <v>245</v>
      </c>
      <c r="T8" s="77">
        <v>841.64</v>
      </c>
      <c r="U8" s="86">
        <v>0.88829999999999998</v>
      </c>
      <c r="V8" s="86">
        <v>0.88129999999999997</v>
      </c>
      <c r="W8" s="60" t="s">
        <v>67</v>
      </c>
      <c r="X8" s="78" t="s">
        <v>216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216</v>
      </c>
      <c r="O9" s="63">
        <v>45238.545138888891</v>
      </c>
      <c r="P9" s="64" t="s">
        <v>70</v>
      </c>
      <c r="Q9" s="64">
        <v>4378.0600000000004</v>
      </c>
      <c r="R9" s="64">
        <v>3328.92</v>
      </c>
      <c r="S9" s="77" t="s">
        <v>245</v>
      </c>
      <c r="T9" s="77">
        <v>820.16</v>
      </c>
      <c r="U9" s="86">
        <v>0.88129999999999997</v>
      </c>
      <c r="V9" s="86">
        <v>0.8972</v>
      </c>
      <c r="W9" s="60" t="s">
        <v>67</v>
      </c>
      <c r="X9" s="62" t="s">
        <v>728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216</v>
      </c>
      <c r="O10" s="63">
        <v>45244.540277777778</v>
      </c>
      <c r="P10" s="64" t="s">
        <v>70</v>
      </c>
      <c r="Q10" s="64">
        <v>4730.59</v>
      </c>
      <c r="R10" s="64">
        <v>3577.34</v>
      </c>
      <c r="S10" s="77" t="s">
        <v>245</v>
      </c>
      <c r="T10" s="77">
        <v>847.43</v>
      </c>
      <c r="U10" s="86">
        <v>0.8972</v>
      </c>
      <c r="V10" s="86">
        <v>0.88400000000000001</v>
      </c>
      <c r="W10" s="60" t="s">
        <v>67</v>
      </c>
      <c r="X10" s="62" t="s">
        <v>728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245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5" t="s">
        <v>25</v>
      </c>
      <c r="D21" s="225"/>
      <c r="E21" s="225"/>
      <c r="F21" s="225"/>
      <c r="G21" s="225"/>
      <c r="H21" s="225"/>
      <c r="I21" s="45">
        <f>COUNT(B8:B20)</f>
        <v>1</v>
      </c>
      <c r="J21" s="46"/>
      <c r="K21" s="46"/>
      <c r="L21" s="47"/>
      <c r="M21" s="48"/>
      <c r="O21" s="80"/>
      <c r="P21" s="224" t="s">
        <v>84</v>
      </c>
      <c r="Q21" s="224"/>
      <c r="R21" s="224"/>
      <c r="S21" s="224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6" t="s">
        <v>2</v>
      </c>
      <c r="H24" s="226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45235.57916666667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207</v>
      </c>
      <c r="I27" s="60">
        <v>0</v>
      </c>
      <c r="J27" s="61">
        <f>F27/H27</f>
        <v>0.96618357487922701</v>
      </c>
      <c r="K27" s="61">
        <f>(H27-F27)*100/F27</f>
        <v>3.5</v>
      </c>
      <c r="L27" s="60" t="s">
        <v>67</v>
      </c>
      <c r="M27" s="78" t="s">
        <v>216</v>
      </c>
      <c r="O27" s="63">
        <v>45234.497916666667</v>
      </c>
      <c r="P27" s="64" t="s">
        <v>71</v>
      </c>
      <c r="Q27" s="64">
        <v>6189.44</v>
      </c>
      <c r="R27" s="64">
        <v>4769.6400000000003</v>
      </c>
      <c r="S27" s="77" t="s">
        <v>244</v>
      </c>
      <c r="T27" s="77">
        <v>843.64</v>
      </c>
      <c r="U27" s="86">
        <v>0.96660000000000001</v>
      </c>
      <c r="V27" s="86">
        <v>0.97040000000000004</v>
      </c>
      <c r="W27" s="60" t="s">
        <v>67</v>
      </c>
      <c r="X27" s="78" t="s">
        <v>216</v>
      </c>
    </row>
    <row r="28" spans="2:24" s="24" customFormat="1" ht="15.75" x14ac:dyDescent="0.25">
      <c r="B28" s="63">
        <v>45244.556944444441</v>
      </c>
      <c r="C28" s="60" t="s">
        <v>68</v>
      </c>
      <c r="D28" s="60" t="s">
        <v>51</v>
      </c>
      <c r="E28" s="60">
        <v>0</v>
      </c>
      <c r="F28" s="60">
        <v>200</v>
      </c>
      <c r="G28" s="60">
        <v>0</v>
      </c>
      <c r="H28" s="61">
        <v>199.6</v>
      </c>
      <c r="I28" s="60">
        <v>0</v>
      </c>
      <c r="J28" s="61">
        <f t="shared" ref="J28:J33" si="2">F28/H28</f>
        <v>1.0020040080160322</v>
      </c>
      <c r="K28" s="61">
        <f t="shared" ref="K28:K33" si="3">(H28-F28)*100/F28</f>
        <v>-0.20000000000000284</v>
      </c>
      <c r="L28" s="60" t="s">
        <v>67</v>
      </c>
      <c r="M28" s="62" t="s">
        <v>728</v>
      </c>
      <c r="O28" s="63">
        <v>45238.545138888891</v>
      </c>
      <c r="P28" s="64" t="s">
        <v>71</v>
      </c>
      <c r="Q28" s="64">
        <v>6220.83</v>
      </c>
      <c r="R28" s="64">
        <v>4814.13</v>
      </c>
      <c r="S28" s="77" t="s">
        <v>244</v>
      </c>
      <c r="T28" s="77">
        <v>846.61</v>
      </c>
      <c r="U28" s="86">
        <v>0.97040000000000004</v>
      </c>
      <c r="V28" s="86">
        <v>0.97089999999999999</v>
      </c>
      <c r="W28" s="60" t="s">
        <v>67</v>
      </c>
      <c r="X28" s="62" t="s">
        <v>728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241</v>
      </c>
      <c r="O29" s="63">
        <v>45244.540277777778</v>
      </c>
      <c r="P29" s="64" t="s">
        <v>71</v>
      </c>
      <c r="Q29" s="64">
        <v>5984.58</v>
      </c>
      <c r="R29" s="64">
        <v>4610.2299999999996</v>
      </c>
      <c r="S29" s="77" t="s">
        <v>244</v>
      </c>
      <c r="T29" s="77">
        <v>856.9</v>
      </c>
      <c r="U29" s="86">
        <v>0.97089999999999999</v>
      </c>
      <c r="V29" s="86">
        <v>0.9597</v>
      </c>
      <c r="W29" s="60" t="s">
        <v>67</v>
      </c>
      <c r="X29" s="62" t="s">
        <v>728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244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4" t="s">
        <v>85</v>
      </c>
      <c r="Q40" s="224"/>
      <c r="R40" s="224"/>
      <c r="S40" s="224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5" t="s">
        <v>26</v>
      </c>
      <c r="E41" s="225"/>
      <c r="F41" s="225"/>
      <c r="G41" s="225"/>
      <c r="H41" s="225"/>
      <c r="I41" s="225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6" t="s">
        <v>23</v>
      </c>
      <c r="H44" s="226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5" t="s">
        <v>27</v>
      </c>
      <c r="E61" s="225"/>
      <c r="F61" s="225"/>
      <c r="G61" s="225"/>
      <c r="H61" s="225"/>
      <c r="I61" s="225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6" t="s">
        <v>3</v>
      </c>
      <c r="H64" s="226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45235.591666666667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4.9950000000000001</v>
      </c>
      <c r="I67" s="60">
        <v>0</v>
      </c>
      <c r="J67" s="61">
        <f>F67/H67</f>
        <v>1.0010010010010011</v>
      </c>
      <c r="K67" s="61">
        <f>(H67-F67)*100/F67</f>
        <v>-9.9999999999997868E-2</v>
      </c>
      <c r="L67" s="60" t="s">
        <v>67</v>
      </c>
      <c r="M67" s="78" t="s">
        <v>240</v>
      </c>
    </row>
    <row r="68" spans="2:13" ht="15.75" x14ac:dyDescent="0.25">
      <c r="B68" s="63">
        <v>45244.538888888892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4.9960000000000004</v>
      </c>
      <c r="I68" s="60">
        <v>0</v>
      </c>
      <c r="J68" s="61">
        <f t="shared" ref="J68:J73" si="4">F68/H68</f>
        <v>1.0008006405124099</v>
      </c>
      <c r="K68" s="61">
        <f t="shared" ref="K68:K73" si="5">(H68-F68)*100/F68</f>
        <v>-7.9999999999991189E-2</v>
      </c>
      <c r="L68" s="60" t="s">
        <v>67</v>
      </c>
      <c r="M68" s="62" t="s">
        <v>728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5" t="s">
        <v>28</v>
      </c>
      <c r="E81" s="225"/>
      <c r="F81" s="225"/>
      <c r="G81" s="225"/>
      <c r="H81" s="225"/>
      <c r="I81" s="225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6" t="s">
        <v>24</v>
      </c>
      <c r="H84" s="226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5" t="s">
        <v>29</v>
      </c>
      <c r="E101" s="225"/>
      <c r="F101" s="225"/>
      <c r="G101" s="225"/>
      <c r="H101" s="225"/>
      <c r="I101" s="225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9" t="s">
        <v>4</v>
      </c>
      <c r="H104" s="229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45244.544444444444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320.10000000000002</v>
      </c>
      <c r="I107" s="60">
        <f>G107-E107</f>
        <v>0</v>
      </c>
      <c r="J107" s="61">
        <f>F107/H107</f>
        <v>0.99968759762574189</v>
      </c>
      <c r="K107" s="61">
        <f>(H107-F107)*100/F107</f>
        <v>3.1250000000007105E-2</v>
      </c>
      <c r="L107" s="60" t="s">
        <v>67</v>
      </c>
      <c r="M107" s="62" t="s">
        <v>728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241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5" t="s">
        <v>69</v>
      </c>
      <c r="D119" s="225"/>
      <c r="E119" s="225"/>
      <c r="F119" s="225"/>
      <c r="G119" s="225"/>
      <c r="H119" s="225"/>
      <c r="I119" s="52">
        <f>COUNT(B107:B118)</f>
        <v>1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30" t="s">
        <v>243</v>
      </c>
      <c r="C2" s="230"/>
      <c r="D2" s="231">
        <v>45017</v>
      </c>
      <c r="E2" s="231"/>
    </row>
    <row r="3" spans="1:5" x14ac:dyDescent="0.25">
      <c r="B3" s="230" t="s">
        <v>21</v>
      </c>
      <c r="C3" s="230"/>
      <c r="D3" s="231"/>
      <c r="E3" s="231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2" t="s">
        <v>22</v>
      </c>
      <c r="C44" s="232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8" t="s">
        <v>220</v>
      </c>
      <c r="C2" s="248"/>
      <c r="D2" s="248"/>
      <c r="E2" s="248"/>
      <c r="F2" s="249">
        <v>44713</v>
      </c>
      <c r="G2" s="250"/>
      <c r="H2" s="250"/>
    </row>
    <row r="3" spans="2:24" s="12" customFormat="1" ht="15" customHeight="1" x14ac:dyDescent="0.25">
      <c r="B3" s="248"/>
      <c r="C3" s="248"/>
      <c r="D3" s="248"/>
      <c r="E3" s="248"/>
      <c r="F3" s="250"/>
      <c r="G3" s="250"/>
      <c r="H3" s="250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51" t="s">
        <v>4</v>
      </c>
      <c r="C12" s="253" t="s">
        <v>133</v>
      </c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127"/>
      <c r="U12" s="125"/>
    </row>
    <row r="13" spans="2:24" ht="15" customHeight="1" x14ac:dyDescent="0.25">
      <c r="B13" s="252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52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52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52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52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52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3" t="s">
        <v>2</v>
      </c>
      <c r="C25" s="246" t="s">
        <v>133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35"/>
      <c r="S25" s="188"/>
      <c r="T25" s="189"/>
    </row>
    <row r="26" spans="2:28" ht="15" customHeight="1" x14ac:dyDescent="0.3">
      <c r="B26" s="243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43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43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5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7" t="s">
        <v>3</v>
      </c>
      <c r="C36" s="239" t="s">
        <v>133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40"/>
    </row>
    <row r="37" spans="2:25" ht="15.75" customHeight="1" x14ac:dyDescent="0.25">
      <c r="B37" s="238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8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8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8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1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2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2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2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43" t="s">
        <v>184</v>
      </c>
      <c r="C61" s="246" t="s">
        <v>133</v>
      </c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35"/>
      <c r="S61" s="166"/>
      <c r="T61" s="167"/>
    </row>
    <row r="62" spans="2:20" ht="15.75" x14ac:dyDescent="0.3">
      <c r="B62" s="243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44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4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5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43" t="s">
        <v>201</v>
      </c>
      <c r="C69" s="246" t="s">
        <v>133</v>
      </c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35"/>
      <c r="S69" s="166"/>
      <c r="T69" s="167"/>
    </row>
    <row r="70" spans="2:20" ht="15.75" x14ac:dyDescent="0.3">
      <c r="B70" s="243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43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4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5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3" t="s">
        <v>24</v>
      </c>
      <c r="C77" s="235" t="s">
        <v>133</v>
      </c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177"/>
      <c r="S77" s="177"/>
      <c r="T77" s="178"/>
    </row>
    <row r="78" spans="2:20" x14ac:dyDescent="0.25">
      <c r="B78" s="234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34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4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34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34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4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2024-08-28T14:05:22Z</dcterms:modified>
</cp:coreProperties>
</file>