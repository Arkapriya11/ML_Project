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1" sheetId="39" r:id="rId34"/>
  </sheets>
  <definedNames/>
  <calcPr calcId="124519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<sst xmlns="http://schemas.openxmlformats.org/spreadsheetml/2006/main" count="3080" uniqueCount="806">
  <si>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</si>
  <si>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</si>
  <si>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</si>
  <si>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</si>
  <si>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</si>
  <si>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</si>
  <si>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</si>
  <si>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</si>
  <si>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</si>
  <si>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</si>
  <si>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</si>
  <si>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</si>
  <si>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</si>
  <si>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</si>
  <si>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</si>
  <si>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</si>
  <si>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</si>
  <si>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</si>
  <si>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</si>
  <si>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</si>
  <si>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</si>
  <si>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</si>
  <si>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</si>
  <si>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</si>
  <si>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</si>
  <si>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</si>
  <si>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</si>
  <si>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</si>
  <si>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</si>
  <si>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</si>
  <si>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</si>
  <si>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</si>
  <si>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</si>
  <si>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</si>
  <si>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</si>
  <si>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</si>
  <si>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</si>
  <si>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</si>
  <si>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</si>
  <si>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</si>
  <si>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</si>
  <si>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</si>
  <si>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</si>
  <si>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</si>
  <si>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</si>
  <si>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</si>
  <si>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</si>
  <si>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</si>
  <si>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</si>
  <si>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</si>
  <si>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</si>
  <si>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</si>
  <si>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</si>
  <si>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</si>
  <si>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</si>
  <si>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</si>
  <si>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</si>
  <si>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</si>
  <si>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</si>
  <si>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</si>
  <si>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</si>
  <si>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</si>
  <si>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01-10-2023 01:00</t>
  </si>
  <si>
    <t>01-10-2023 02:00</t>
  </si>
  <si>
    <t>01-10-2023 03:00</t>
  </si>
  <si>
    <t>01-10-2023 04:00</t>
  </si>
  <si>
    <t>01-10-2023 05:00</t>
  </si>
  <si>
    <t>01-10-2023 06:00</t>
  </si>
  <si>
    <t>01-10-2023 07:00</t>
  </si>
  <si>
    <t>01-10-2023 08:00</t>
  </si>
  <si>
    <t>01-10-2023 09:00</t>
  </si>
  <si>
    <t>01-10-2023 10:00</t>
  </si>
  <si>
    <t>01-10-2023 11:00</t>
  </si>
  <si>
    <t>01-10-2023 12:00</t>
  </si>
  <si>
    <t>01-10-2023 13:00</t>
  </si>
  <si>
    <t>01-10-2023 14:00</t>
  </si>
  <si>
    <t>01-10-2023 15:00</t>
  </si>
  <si>
    <t>01-10-2023 16:00</t>
  </si>
  <si>
    <t>01-10-2023 17:00</t>
  </si>
  <si>
    <t>01-10-2023 18:00</t>
  </si>
  <si>
    <t>01-10-2023 19:00</t>
  </si>
  <si>
    <t>01-10-2023 20:00</t>
  </si>
  <si>
    <t>01-10-2023 21:00</t>
  </si>
  <si>
    <t>01-10-2023 22:00</t>
  </si>
  <si>
    <t>01-10-2023 23:00</t>
  </si>
  <si>
    <t>01-10-2023 24:00</t>
  </si>
  <si>
    <t>02-10-2023 01:00</t>
  </si>
  <si>
    <t>02-10-2023 02:00</t>
  </si>
  <si>
    <t>02-10-2023 03:00</t>
  </si>
  <si>
    <t>02-10-2023 04:00</t>
  </si>
  <si>
    <t>02-10-2023 05:00</t>
  </si>
  <si>
    <t>02-10-2023 06:00</t>
  </si>
  <si>
    <t>02-10-2023 07:00</t>
  </si>
  <si>
    <t>02-10-2023 08:00</t>
  </si>
  <si>
    <t>02-10-2023 09:00</t>
  </si>
  <si>
    <t>02-10-2023 10:00</t>
  </si>
  <si>
    <t>02-10-2023 11:00</t>
  </si>
  <si>
    <t>02-10-2023 12:00</t>
  </si>
  <si>
    <t>02-10-2023 13:00</t>
  </si>
  <si>
    <t>02-10-2023 14:00</t>
  </si>
  <si>
    <t>02-10-2023 15:00</t>
  </si>
  <si>
    <t>02-10-2023 16:00</t>
  </si>
  <si>
    <t>02-10-2023 17:00</t>
  </si>
  <si>
    <t>02-10-2023 18:00</t>
  </si>
  <si>
    <t>02-10-2023 19:00</t>
  </si>
  <si>
    <t>02-10-2023 20:00</t>
  </si>
  <si>
    <t>02-10-2023 21:00</t>
  </si>
  <si>
    <t>02-10-2023 22:00</t>
  </si>
  <si>
    <t>02-10-2023 23:00</t>
  </si>
  <si>
    <t>02-10-2023 24:00</t>
  </si>
  <si>
    <t>03-10-2023 01:00</t>
  </si>
  <si>
    <t>03-10-2023 02:00</t>
  </si>
  <si>
    <t>03-10-2023 03:00</t>
  </si>
  <si>
    <t>03-10-2023 04:00</t>
  </si>
  <si>
    <t>03-10-2023 05:00</t>
  </si>
  <si>
    <t>03-10-2023 06:00</t>
  </si>
  <si>
    <t>03-10-2023 07:00</t>
  </si>
  <si>
    <t>03-10-2023 08:00</t>
  </si>
  <si>
    <t>03-10-2023 09:00</t>
  </si>
  <si>
    <t>03-10-2023 10:00</t>
  </si>
  <si>
    <t>03-10-2023 11:00</t>
  </si>
  <si>
    <t>03-10-2023 12:00</t>
  </si>
  <si>
    <t>03-10-2023 13:00</t>
  </si>
  <si>
    <t>03-10-2023 14:00</t>
  </si>
  <si>
    <t>03-10-2023 15:00</t>
  </si>
  <si>
    <t>03-10-2023 16:00</t>
  </si>
  <si>
    <t>03-10-2023 17:00</t>
  </si>
  <si>
    <t>03-10-2023 18:00</t>
  </si>
  <si>
    <t>03-10-2023 19:00</t>
  </si>
  <si>
    <t>03-10-2023 20:00</t>
  </si>
  <si>
    <t>03-10-2023 21:00</t>
  </si>
  <si>
    <t>03-10-2023 22:00</t>
  </si>
  <si>
    <t>03-10-2023 23:00</t>
  </si>
  <si>
    <t>03-10-2023 24:00</t>
  </si>
  <si>
    <t>04-10-2023 01:00</t>
  </si>
  <si>
    <t>04-10-2023 02:00</t>
  </si>
  <si>
    <t>04-10-2023 03:00</t>
  </si>
  <si>
    <t>04-10-2023 04:00</t>
  </si>
  <si>
    <t>04-10-2023 05:00</t>
  </si>
  <si>
    <t>04-10-2023 06:00</t>
  </si>
  <si>
    <t>04-10-2023 07:00</t>
  </si>
  <si>
    <t>04-10-2023 08:00</t>
  </si>
  <si>
    <t>04-10-2023 09:00</t>
  </si>
  <si>
    <t>04-10-2023 10:00</t>
  </si>
  <si>
    <t>04-10-2023 11:00</t>
  </si>
  <si>
    <t>04-10-2023 12:00</t>
  </si>
  <si>
    <t>04-10-2023 13:00</t>
  </si>
  <si>
    <t>04-10-2023 14:00</t>
  </si>
  <si>
    <t>04-10-2023 15:00</t>
  </si>
  <si>
    <t>04-10-2023 16:00</t>
  </si>
  <si>
    <t>04-10-2023 17:00</t>
  </si>
  <si>
    <t>04-10-2023 18:00</t>
  </si>
  <si>
    <t>04-10-2023 19:00</t>
  </si>
  <si>
    <t>04-10-2023 20:00</t>
  </si>
  <si>
    <t>04-10-2023 21:00</t>
  </si>
  <si>
    <t>04-10-2023 22:00</t>
  </si>
  <si>
    <t>04-10-2023 23:00</t>
  </si>
  <si>
    <t>04-10-2023 24:00</t>
  </si>
  <si>
    <t>05-10-2023 01:00</t>
  </si>
  <si>
    <t>05-10-2023 02:00</t>
  </si>
  <si>
    <t>05-10-2023 03:00</t>
  </si>
  <si>
    <t>05-10-2023 04:00</t>
  </si>
  <si>
    <t>05-10-2023 05:00</t>
  </si>
  <si>
    <t>05-10-2023 06:00</t>
  </si>
  <si>
    <t>05-10-2023 07:00</t>
  </si>
  <si>
    <t>05-10-2023 08:00</t>
  </si>
  <si>
    <t>05-10-2023 09:00</t>
  </si>
  <si>
    <t>05-10-2023 10:00</t>
  </si>
  <si>
    <t>05-10-2023 11:00</t>
  </si>
  <si>
    <t>05-10-2023 12:00</t>
  </si>
  <si>
    <t>05-10-2023 13:00</t>
  </si>
  <si>
    <t>05-10-2023 14:00</t>
  </si>
  <si>
    <t>05-10-2023 15:00</t>
  </si>
  <si>
    <t>05-10-2023 16:00</t>
  </si>
  <si>
    <t>05-10-2023 17:00</t>
  </si>
  <si>
    <t>05-10-2023 18:00</t>
  </si>
  <si>
    <t>05-10-2023 19:00</t>
  </si>
  <si>
    <t>05-10-2023 20:00</t>
  </si>
  <si>
    <t>05-10-2023 21:00</t>
  </si>
  <si>
    <t>05-10-2023 22:00</t>
  </si>
  <si>
    <t>05-10-2023 23:00</t>
  </si>
  <si>
    <t>05-10-2023 24:00</t>
  </si>
  <si>
    <t>06-10-2023 01:00</t>
  </si>
  <si>
    <t>06-10-2023 02:00</t>
  </si>
  <si>
    <t>06-10-2023 03:00</t>
  </si>
  <si>
    <t>06-10-2023 04:00</t>
  </si>
  <si>
    <t>06-10-2023 05:00</t>
  </si>
  <si>
    <t>06-10-2023 06:00</t>
  </si>
  <si>
    <t>06-10-2023 07:00</t>
  </si>
  <si>
    <t>06-10-2023 08:00</t>
  </si>
  <si>
    <t>06-10-2023 09:00</t>
  </si>
  <si>
    <t>06-10-2023 10:00</t>
  </si>
  <si>
    <t>06-10-2023 11:00</t>
  </si>
  <si>
    <t>06-10-2023 12:00</t>
  </si>
  <si>
    <t>06-10-2023 13:00</t>
  </si>
  <si>
    <t>06-10-2023 14:00</t>
  </si>
  <si>
    <t>06-10-2023 15:00</t>
  </si>
  <si>
    <t>06-10-2023 16:00</t>
  </si>
  <si>
    <t>06-10-2023 17:00</t>
  </si>
  <si>
    <t>06-10-2023 18:00</t>
  </si>
  <si>
    <t>06-10-2023 19:00</t>
  </si>
  <si>
    <t>06-10-2023 20:00</t>
  </si>
  <si>
    <t>06-10-2023 21:00</t>
  </si>
  <si>
    <t>06-10-2023 22:00</t>
  </si>
  <si>
    <t>06-10-2023 23:00</t>
  </si>
  <si>
    <t>06-10-2023 24:00</t>
  </si>
  <si>
    <t>07-10-2023 01:00</t>
  </si>
  <si>
    <t>07-10-2023 02:00</t>
  </si>
  <si>
    <t>07-10-2023 03:00</t>
  </si>
  <si>
    <t>07-10-2023 04:00</t>
  </si>
  <si>
    <t>07-10-2023 05:00</t>
  </si>
  <si>
    <t>07-10-2023 06:00</t>
  </si>
  <si>
    <t>07-10-2023 07:00</t>
  </si>
  <si>
    <t>07-10-2023 08:00</t>
  </si>
  <si>
    <t>07-10-2023 09:00</t>
  </si>
  <si>
    <t>07-10-2023 10:00</t>
  </si>
  <si>
    <t>07-10-2023 11:00</t>
  </si>
  <si>
    <t>07-10-2023 12:00</t>
  </si>
  <si>
    <t>07-10-2023 13:00</t>
  </si>
  <si>
    <t>07-10-2023 14:00</t>
  </si>
  <si>
    <t>07-10-2023 15:00</t>
  </si>
  <si>
    <t>07-10-2023 16:00</t>
  </si>
  <si>
    <t>07-10-2023 17:00</t>
  </si>
  <si>
    <t>07-10-2023 18:00</t>
  </si>
  <si>
    <t>07-10-2023 19:00</t>
  </si>
  <si>
    <t>07-10-2023 20:00</t>
  </si>
  <si>
    <t>07-10-2023 21:00</t>
  </si>
  <si>
    <t>07-10-2023 22:00</t>
  </si>
  <si>
    <t>07-10-2023 23:00</t>
  </si>
  <si>
    <t>07-10-2023 24:00</t>
  </si>
  <si>
    <t>08-10-2023 01:00</t>
  </si>
  <si>
    <t>08-10-2023 02:00</t>
  </si>
  <si>
    <t>08-10-2023 03:00</t>
  </si>
  <si>
    <t>08-10-2023 04:00</t>
  </si>
  <si>
    <t>08-10-2023 05:00</t>
  </si>
  <si>
    <t>08-10-2023 06:00</t>
  </si>
  <si>
    <t>08-10-2023 07:00</t>
  </si>
  <si>
    <t>08-10-2023 08:00</t>
  </si>
  <si>
    <t>08-10-2023 09:00</t>
  </si>
  <si>
    <t>08-10-2023 10:00</t>
  </si>
  <si>
    <t>08-10-2023 11:00</t>
  </si>
  <si>
    <t>08-10-2023 12:00</t>
  </si>
  <si>
    <t>08-10-2023 13:00</t>
  </si>
  <si>
    <t>08-10-2023 14:00</t>
  </si>
  <si>
    <t>08-10-2023 15:00</t>
  </si>
  <si>
    <t>08-10-2023 16:00</t>
  </si>
  <si>
    <t>08-10-2023 17:00</t>
  </si>
  <si>
    <t>08-10-2023 18:00</t>
  </si>
  <si>
    <t>08-10-2023 19:00</t>
  </si>
  <si>
    <t>08-10-2023 20:00</t>
  </si>
  <si>
    <t>08-10-2023 21:00</t>
  </si>
  <si>
    <t>08-10-2023 22:00</t>
  </si>
  <si>
    <t>08-10-2023 23:00</t>
  </si>
  <si>
    <t>08-10-2023 24:00</t>
  </si>
  <si>
    <t>09-10-2023 01:00</t>
  </si>
  <si>
    <t>09-10-2023 02:00</t>
  </si>
  <si>
    <t>09-10-2023 03:00</t>
  </si>
  <si>
    <t>09-10-2023 04:00</t>
  </si>
  <si>
    <t>09-10-2023 05:00</t>
  </si>
  <si>
    <t>09-10-2023 06:00</t>
  </si>
  <si>
    <t>09-10-2023 07:00</t>
  </si>
  <si>
    <t>09-10-2023 08:00</t>
  </si>
  <si>
    <t>09-10-2023 09:00</t>
  </si>
  <si>
    <t>09-10-2023 10:00</t>
  </si>
  <si>
    <t>09-10-2023 11:00</t>
  </si>
  <si>
    <t>09-10-2023 12:00</t>
  </si>
  <si>
    <t>09-10-2023 13:00</t>
  </si>
  <si>
    <t>09-10-2023 14:00</t>
  </si>
  <si>
    <t>09-10-2023 15:00</t>
  </si>
  <si>
    <t>09-10-2023 16:00</t>
  </si>
  <si>
    <t>09-10-2023 17:00</t>
  </si>
  <si>
    <t>09-10-2023 18:00</t>
  </si>
  <si>
    <t>09-10-2023 19:00</t>
  </si>
  <si>
    <t>09-10-2023 20:00</t>
  </si>
  <si>
    <t>09-10-2023 21:00</t>
  </si>
  <si>
    <t>09-10-2023 22:00</t>
  </si>
  <si>
    <t>09-10-2023 23:00</t>
  </si>
  <si>
    <t>09-10-2023 24:00</t>
  </si>
  <si>
    <t>10-10-2023 01:00</t>
  </si>
  <si>
    <t>10-10-2023 02:00</t>
  </si>
  <si>
    <t>10-10-2023 03:00</t>
  </si>
  <si>
    <t>10-10-2023 04:00</t>
  </si>
  <si>
    <t>10-10-2023 05:00</t>
  </si>
  <si>
    <t>10-10-2023 06:00</t>
  </si>
  <si>
    <t>10-10-2023 07:00</t>
  </si>
  <si>
    <t>10-10-2023 08:00</t>
  </si>
  <si>
    <t>10-10-2023 09:00</t>
  </si>
  <si>
    <t>10-10-2023 10:00</t>
  </si>
  <si>
    <t>10-10-2023 11:00</t>
  </si>
  <si>
    <t>10-10-2023 12:00</t>
  </si>
  <si>
    <t>10-10-2023 13:00</t>
  </si>
  <si>
    <t>10-10-2023 14:00</t>
  </si>
  <si>
    <t>10-10-2023 15:00</t>
  </si>
  <si>
    <t>10-10-2023 16:00</t>
  </si>
  <si>
    <t>10-10-2023 17:00</t>
  </si>
  <si>
    <t>10-10-2023 18:00</t>
  </si>
  <si>
    <t>10-10-2023 19:00</t>
  </si>
  <si>
    <t>10-10-2023 20:00</t>
  </si>
  <si>
    <t>10-10-2023 21:00</t>
  </si>
  <si>
    <t>10-10-2023 22:00</t>
  </si>
  <si>
    <t>10-10-2023 23:00</t>
  </si>
  <si>
    <t>10-10-2023 24:00</t>
  </si>
  <si>
    <t>11-10-2023 01:00</t>
  </si>
  <si>
    <t>11-10-2023 02:00</t>
  </si>
  <si>
    <t>11-10-2023 03:00</t>
  </si>
  <si>
    <t>11-10-2023 04:00</t>
  </si>
  <si>
    <t>11-10-2023 05:00</t>
  </si>
  <si>
    <t>11-10-2023 06:00</t>
  </si>
  <si>
    <t>11-10-2023 07:00</t>
  </si>
  <si>
    <t>11-10-2023 08:00</t>
  </si>
  <si>
    <t>11-10-2023 09:00</t>
  </si>
  <si>
    <t>11-10-2023 10:00</t>
  </si>
  <si>
    <t>11-10-2023 11:00</t>
  </si>
  <si>
    <t>11-10-2023 12:00</t>
  </si>
  <si>
    <t>11-10-2023 13:00</t>
  </si>
  <si>
    <t>11-10-2023 14:00</t>
  </si>
  <si>
    <t>11-10-2023 15:00</t>
  </si>
  <si>
    <t>11-10-2023 16:00</t>
  </si>
  <si>
    <t>11-10-2023 17:00</t>
  </si>
  <si>
    <t>11-10-2023 18:00</t>
  </si>
  <si>
    <t>11-10-2023 19:00</t>
  </si>
  <si>
    <t>11-10-2023 20:00</t>
  </si>
  <si>
    <t>11-10-2023 21:00</t>
  </si>
  <si>
    <t>11-10-2023 22:00</t>
  </si>
  <si>
    <t>11-10-2023 23:00</t>
  </si>
  <si>
    <t>11-10-2023 24:00</t>
  </si>
  <si>
    <t>12-10-2023 01:00</t>
  </si>
  <si>
    <t>12-10-2023 02:00</t>
  </si>
  <si>
    <t>12-10-2023 03:00</t>
  </si>
  <si>
    <t>12-10-2023 04:00</t>
  </si>
  <si>
    <t>12-10-2023 05:00</t>
  </si>
  <si>
    <t>12-10-2023 06:00</t>
  </si>
  <si>
    <t>12-10-2023 07:00</t>
  </si>
  <si>
    <t>12-10-2023 08:00</t>
  </si>
  <si>
    <t>12-10-2023 09:00</t>
  </si>
  <si>
    <t>12-10-2023 10:00</t>
  </si>
  <si>
    <t>12-10-2023 11:00</t>
  </si>
  <si>
    <t>12-10-2023 12:00</t>
  </si>
  <si>
    <t>12-10-2023 13:00</t>
  </si>
  <si>
    <t>12-10-2023 14:00</t>
  </si>
  <si>
    <t>12-10-2023 15:00</t>
  </si>
  <si>
    <t>12-10-2023 16:00</t>
  </si>
  <si>
    <t>12-10-2023 17:00</t>
  </si>
  <si>
    <t>12-10-2023 18:00</t>
  </si>
  <si>
    <t>12-10-2023 19:00</t>
  </si>
  <si>
    <t>12-10-2023 20:00</t>
  </si>
  <si>
    <t>12-10-2023 21:00</t>
  </si>
  <si>
    <t>12-10-2023 22:00</t>
  </si>
  <si>
    <t>12-10-2023 23:00</t>
  </si>
  <si>
    <t>12-10-2023 24:00</t>
  </si>
  <si>
    <t>13-10-2023 01:00</t>
  </si>
  <si>
    <t>13-10-2023 02:00</t>
  </si>
  <si>
    <t>13-10-2023 03:00</t>
  </si>
  <si>
    <t>13-10-2023 04:00</t>
  </si>
  <si>
    <t>13-10-2023 05:00</t>
  </si>
  <si>
    <t>13-10-2023 06:00</t>
  </si>
  <si>
    <t>13-10-2023 07:00</t>
  </si>
  <si>
    <t>13-10-2023 08:00</t>
  </si>
  <si>
    <t>13-10-2023 09:00</t>
  </si>
  <si>
    <t>13-10-2023 10:00</t>
  </si>
  <si>
    <t>13-10-2023 11:00</t>
  </si>
  <si>
    <t>13-10-2023 12:00</t>
  </si>
  <si>
    <t>13-10-2023 13:00</t>
  </si>
  <si>
    <t>13-10-2023 14:00</t>
  </si>
  <si>
    <t>13-10-2023 15:00</t>
  </si>
  <si>
    <t>13-10-2023 16:00</t>
  </si>
  <si>
    <t>13-10-2023 17:00</t>
  </si>
  <si>
    <t>13-10-2023 18:00</t>
  </si>
  <si>
    <t>13-10-2023 19:00</t>
  </si>
  <si>
    <t>13-10-2023 20:00</t>
  </si>
  <si>
    <t>13-10-2023 21:00</t>
  </si>
  <si>
    <t>13-10-2023 22:00</t>
  </si>
  <si>
    <t>13-10-2023 23:00</t>
  </si>
  <si>
    <t>13-10-2023 24:00</t>
  </si>
  <si>
    <t>14-10-2023 01:00</t>
  </si>
  <si>
    <t>14-10-2023 02:00</t>
  </si>
  <si>
    <t>14-10-2023 03:00</t>
  </si>
  <si>
    <t>14-10-2023 04:00</t>
  </si>
  <si>
    <t>14-10-2023 05:00</t>
  </si>
  <si>
    <t>14-10-2023 06:00</t>
  </si>
  <si>
    <t>14-10-2023 07:00</t>
  </si>
  <si>
    <t>14-10-2023 08:00</t>
  </si>
  <si>
    <t>14-10-2023 09:00</t>
  </si>
  <si>
    <t>14-10-2023 10:00</t>
  </si>
  <si>
    <t>14-10-2023 11:00</t>
  </si>
  <si>
    <t>14-10-2023 12:00</t>
  </si>
  <si>
    <t>14-10-2023 13:00</t>
  </si>
  <si>
    <t>14-10-2023 14:00</t>
  </si>
  <si>
    <t>14-10-2023 15:00</t>
  </si>
  <si>
    <t>14-10-2023 16:00</t>
  </si>
  <si>
    <t>14-10-2023 17:00</t>
  </si>
  <si>
    <t>14-10-2023 18:00</t>
  </si>
  <si>
    <t>14-10-2023 19:00</t>
  </si>
  <si>
    <t>14-10-2023 20:00</t>
  </si>
  <si>
    <t>14-10-2023 21:00</t>
  </si>
  <si>
    <t>14-10-2023 22:00</t>
  </si>
  <si>
    <t>14-10-2023 23:00</t>
  </si>
  <si>
    <t>14-10-2023 24:00</t>
  </si>
  <si>
    <t>15-10-2023 01:00</t>
  </si>
  <si>
    <t>15-10-2023 02:00</t>
  </si>
  <si>
    <t>15-10-2023 03:00</t>
  </si>
  <si>
    <t>15-10-2023 04:00</t>
  </si>
  <si>
    <t>15-10-2023 05:00</t>
  </si>
  <si>
    <t>15-10-2023 06:00</t>
  </si>
  <si>
    <t>15-10-2023 07:00</t>
  </si>
  <si>
    <t>15-10-2023 08:00</t>
  </si>
  <si>
    <t>15-10-2023 09:00</t>
  </si>
  <si>
    <t>15-10-2023 10:00</t>
  </si>
  <si>
    <t>15-10-2023 11:00</t>
  </si>
  <si>
    <t>15-10-2023 12:00</t>
  </si>
  <si>
    <t>15-10-2023 13:00</t>
  </si>
  <si>
    <t>15-10-2023 14:00</t>
  </si>
  <si>
    <t>15-10-2023 15:00</t>
  </si>
  <si>
    <t>15-10-2023 16:00</t>
  </si>
  <si>
    <t>15-10-2023 17:00</t>
  </si>
  <si>
    <t>15-10-2023 18:00</t>
  </si>
  <si>
    <t>15-10-2023 19:00</t>
  </si>
  <si>
    <t>15-10-2023 20:00</t>
  </si>
  <si>
    <t>15-10-2023 21:00</t>
  </si>
  <si>
    <t>15-10-2023 22:00</t>
  </si>
  <si>
    <t>15-10-2023 23:00</t>
  </si>
  <si>
    <t>15-10-2023 24:00</t>
  </si>
  <si>
    <t>16-10-2023 01:00</t>
  </si>
  <si>
    <t>16-10-2023 02:00</t>
  </si>
  <si>
    <t>16-10-2023 03:00</t>
  </si>
  <si>
    <t>16-10-2023 04:00</t>
  </si>
  <si>
    <t>16-10-2023 05:00</t>
  </si>
  <si>
    <t>16-10-2023 06:00</t>
  </si>
  <si>
    <t>16-10-2023 07:00</t>
  </si>
  <si>
    <t>16-10-2023 08:00</t>
  </si>
  <si>
    <t>16-10-2023 09:00</t>
  </si>
  <si>
    <t>16-10-2023 10:00</t>
  </si>
  <si>
    <t>16-10-2023 11:00</t>
  </si>
  <si>
    <t>16-10-2023 12:00</t>
  </si>
  <si>
    <t>16-10-2023 13:00</t>
  </si>
  <si>
    <t>16-10-2023 14:00</t>
  </si>
  <si>
    <t>16-10-2023 15:00</t>
  </si>
  <si>
    <t>16-10-2023 16:00</t>
  </si>
  <si>
    <t>16-10-2023 17:00</t>
  </si>
  <si>
    <t>16-10-2023 18:00</t>
  </si>
  <si>
    <t>16-10-2023 19:00</t>
  </si>
  <si>
    <t>16-10-2023 20:00</t>
  </si>
  <si>
    <t>16-10-2023 21:00</t>
  </si>
  <si>
    <t>16-10-2023 22:00</t>
  </si>
  <si>
    <t>16-10-2023 23:00</t>
  </si>
  <si>
    <t>16-10-2023 24:00</t>
  </si>
  <si>
    <t>17-10-2023 01:00</t>
  </si>
  <si>
    <t>17-10-2023 02:00</t>
  </si>
  <si>
    <t>17-10-2023 03:00</t>
  </si>
  <si>
    <t>17-10-2023 04:00</t>
  </si>
  <si>
    <t>17-10-2023 05:00</t>
  </si>
  <si>
    <t>17-10-2023 06:00</t>
  </si>
  <si>
    <t>17-10-2023 07:00</t>
  </si>
  <si>
    <t>17-10-2023 08:00</t>
  </si>
  <si>
    <t>17-10-2023 09:00</t>
  </si>
  <si>
    <t>17-10-2023 10:00</t>
  </si>
  <si>
    <t>17-10-2023 11:00</t>
  </si>
  <si>
    <t>17-10-2023 12:00</t>
  </si>
  <si>
    <t>17-10-2023 13:00</t>
  </si>
  <si>
    <t>17-10-2023 14:00</t>
  </si>
  <si>
    <t>17-10-2023 15:00</t>
  </si>
  <si>
    <t>17-10-2023 16:00</t>
  </si>
  <si>
    <t>17-10-2023 17:00</t>
  </si>
  <si>
    <t>17-10-2023 18:00</t>
  </si>
  <si>
    <t>17-10-2023 19:00</t>
  </si>
  <si>
    <t>17-10-2023 20:00</t>
  </si>
  <si>
    <t>17-10-2023 21:00</t>
  </si>
  <si>
    <t>17-10-2023 22:00</t>
  </si>
  <si>
    <t>17-10-2023 23:00</t>
  </si>
  <si>
    <t>17-10-2023 24:00</t>
  </si>
  <si>
    <t>18-10-2023 01:00</t>
  </si>
  <si>
    <t>18-10-2023 02:00</t>
  </si>
  <si>
    <t>18-10-2023 03:00</t>
  </si>
  <si>
    <t>18-10-2023 04:00</t>
  </si>
  <si>
    <t>18-10-2023 05:00</t>
  </si>
  <si>
    <t>18-10-2023 06:00</t>
  </si>
  <si>
    <t>18-10-2023 07:00</t>
  </si>
  <si>
    <t>18-10-2023 08:00</t>
  </si>
  <si>
    <t>18-10-2023 09:00</t>
  </si>
  <si>
    <t>18-10-2023 10:00</t>
  </si>
  <si>
    <t>18-10-2023 11:00</t>
  </si>
  <si>
    <t>18-10-2023 12:00</t>
  </si>
  <si>
    <t>18-10-2023 13:00</t>
  </si>
  <si>
    <t>18-10-2023 14:00</t>
  </si>
  <si>
    <t>18-10-2023 15:00</t>
  </si>
  <si>
    <t>18-10-2023 16:00</t>
  </si>
  <si>
    <t>18-10-2023 17:00</t>
  </si>
  <si>
    <t>18-10-2023 18:00</t>
  </si>
  <si>
    <t>18-10-2023 19:00</t>
  </si>
  <si>
    <t>18-10-2023 20:00</t>
  </si>
  <si>
    <t>18-10-2023 21:00</t>
  </si>
  <si>
    <t>18-10-2023 22:00</t>
  </si>
  <si>
    <t>18-10-2023 23:00</t>
  </si>
  <si>
    <t>18-10-2023 24:00</t>
  </si>
  <si>
    <t>19-10-2023 01:00</t>
  </si>
  <si>
    <t>19-10-2023 02:00</t>
  </si>
  <si>
    <t>19-10-2023 03:00</t>
  </si>
  <si>
    <t>19-10-2023 04:00</t>
  </si>
  <si>
    <t>19-10-2023 05:00</t>
  </si>
  <si>
    <t>19-10-2023 06:00</t>
  </si>
  <si>
    <t>19-10-2023 07:00</t>
  </si>
  <si>
    <t>19-10-2023 08:00</t>
  </si>
  <si>
    <t>19-10-2023 09:00</t>
  </si>
  <si>
    <t>19-10-2023 10:00</t>
  </si>
  <si>
    <t>19-10-2023 11:00</t>
  </si>
  <si>
    <t>19-10-2023 12:00</t>
  </si>
  <si>
    <t>19-10-2023 13:00</t>
  </si>
  <si>
    <t>19-10-2023 14:00</t>
  </si>
  <si>
    <t>19-10-2023 15:00</t>
  </si>
  <si>
    <t>19-10-2023 16:00</t>
  </si>
  <si>
    <t>19-10-2023 17:00</t>
  </si>
  <si>
    <t>19-10-2023 18:00</t>
  </si>
  <si>
    <t>19-10-2023 19:00</t>
  </si>
  <si>
    <t>19-10-2023 20:00</t>
  </si>
  <si>
    <t>19-10-2023 21:00</t>
  </si>
  <si>
    <t>19-10-2023 22:00</t>
  </si>
  <si>
    <t>19-10-2023 23:00</t>
  </si>
  <si>
    <t>19-10-2023 24:00</t>
  </si>
  <si>
    <t>20-10-2023 01:00</t>
  </si>
  <si>
    <t>20-10-2023 02:00</t>
  </si>
  <si>
    <t>20-10-2023 03:00</t>
  </si>
  <si>
    <t>20-10-2023 04:00</t>
  </si>
  <si>
    <t>20-10-2023 05:00</t>
  </si>
  <si>
    <t>20-10-2023 06:00</t>
  </si>
  <si>
    <t>20-10-2023 07:00</t>
  </si>
  <si>
    <t>20-10-2023 08:00</t>
  </si>
  <si>
    <t>20-10-2023 09:00</t>
  </si>
  <si>
    <t>20-10-2023 10:00</t>
  </si>
  <si>
    <t>20-10-2023 11:00</t>
  </si>
  <si>
    <t>20-10-2023 12:00</t>
  </si>
  <si>
    <t>20-10-2023 13:00</t>
  </si>
  <si>
    <t>20-10-2023 14:00</t>
  </si>
  <si>
    <t>20-10-2023 15:00</t>
  </si>
  <si>
    <t>20-10-2023 16:00</t>
  </si>
  <si>
    <t>20-10-2023 17:00</t>
  </si>
  <si>
    <t>20-10-2023 18:00</t>
  </si>
  <si>
    <t>20-10-2023 19:00</t>
  </si>
  <si>
    <t>20-10-2023 20:00</t>
  </si>
  <si>
    <t>20-10-2023 21:00</t>
  </si>
  <si>
    <t>20-10-2023 22:00</t>
  </si>
  <si>
    <t>20-10-2023 23:00</t>
  </si>
  <si>
    <t>20-10-2023 24:00</t>
  </si>
  <si>
    <t>21-10-2023 01:00</t>
  </si>
  <si>
    <t>21-10-2023 02:00</t>
  </si>
  <si>
    <t>21-10-2023 03:00</t>
  </si>
  <si>
    <t>21-10-2023 04:00</t>
  </si>
  <si>
    <t>21-10-2023 05:00</t>
  </si>
  <si>
    <t>21-10-2023 06:00</t>
  </si>
  <si>
    <t>21-10-2023 07:00</t>
  </si>
  <si>
    <t>21-10-2023 08:00</t>
  </si>
  <si>
    <t>21-10-2023 09:00</t>
  </si>
  <si>
    <t>21-10-2023 10:00</t>
  </si>
  <si>
    <t>21-10-2023 11:00</t>
  </si>
  <si>
    <t>21-10-2023 12:00</t>
  </si>
  <si>
    <t>21-10-2023 13:00</t>
  </si>
  <si>
    <t>21-10-2023 14:00</t>
  </si>
  <si>
    <t>21-10-2023 15:00</t>
  </si>
  <si>
    <t>21-10-2023 16:00</t>
  </si>
  <si>
    <t>21-10-2023 17:00</t>
  </si>
  <si>
    <t>21-10-2023 18:00</t>
  </si>
  <si>
    <t>21-10-2023 19:00</t>
  </si>
  <si>
    <t>21-10-2023 20:00</t>
  </si>
  <si>
    <t>21-10-2023 21:00</t>
  </si>
  <si>
    <t>21-10-2023 22:00</t>
  </si>
  <si>
    <t>21-10-2023 23:00</t>
  </si>
  <si>
    <t>21-10-2023 24:00</t>
  </si>
  <si>
    <t>22-10-2023 01:00</t>
  </si>
  <si>
    <t>22-10-2023 02:00</t>
  </si>
  <si>
    <t>22-10-2023 03:00</t>
  </si>
  <si>
    <t>22-10-2023 04:00</t>
  </si>
  <si>
    <t>22-10-2023 05:00</t>
  </si>
  <si>
    <t>22-10-2023 06:00</t>
  </si>
  <si>
    <t>22-10-2023 07:00</t>
  </si>
  <si>
    <t>22-10-2023 08:00</t>
  </si>
  <si>
    <t>22-10-2023 09:00</t>
  </si>
  <si>
    <t>22-10-2023 10:00</t>
  </si>
  <si>
    <t>22-10-2023 11:00</t>
  </si>
  <si>
    <t>22-10-2023 12:00</t>
  </si>
  <si>
    <t>22-10-2023 13:00</t>
  </si>
  <si>
    <t>22-10-2023 14:00</t>
  </si>
  <si>
    <t>22-10-2023 15:00</t>
  </si>
  <si>
    <t>22-10-2023 16:00</t>
  </si>
  <si>
    <t>22-10-2023 17:00</t>
  </si>
  <si>
    <t>22-10-2023 18:00</t>
  </si>
  <si>
    <t>22-10-2023 19:00</t>
  </si>
  <si>
    <t>22-10-2023 20:00</t>
  </si>
  <si>
    <t>22-10-2023 21:00</t>
  </si>
  <si>
    <t>22-10-2023 22:00</t>
  </si>
  <si>
    <t>22-10-2023 23:00</t>
  </si>
  <si>
    <t>22-10-2023 24:00</t>
  </si>
  <si>
    <t>23-10-2023 01:00</t>
  </si>
  <si>
    <t>23-10-2023 02:00</t>
  </si>
  <si>
    <t>23-10-2023 03:00</t>
  </si>
  <si>
    <t>23-10-2023 04:00</t>
  </si>
  <si>
    <t>23-10-2023 05:00</t>
  </si>
  <si>
    <t>23-10-2023 06:00</t>
  </si>
  <si>
    <t>23-10-2023 07:00</t>
  </si>
  <si>
    <t>23-10-2023 08:00</t>
  </si>
  <si>
    <t>23-10-2023 09:00</t>
  </si>
  <si>
    <t>23-10-2023 10:00</t>
  </si>
  <si>
    <t>23-10-2023 11:00</t>
  </si>
  <si>
    <t>23-10-2023 12:00</t>
  </si>
  <si>
    <t>23-10-2023 13:00</t>
  </si>
  <si>
    <t>23-10-2023 14:00</t>
  </si>
  <si>
    <t>23-10-2023 15:00</t>
  </si>
  <si>
    <t>23-10-2023 16:00</t>
  </si>
  <si>
    <t>23-10-2023 17:00</t>
  </si>
  <si>
    <t>23-10-2023 18:00</t>
  </si>
  <si>
    <t>23-10-2023 19:00</t>
  </si>
  <si>
    <t>23-10-2023 20:00</t>
  </si>
  <si>
    <t>23-10-2023 21:00</t>
  </si>
  <si>
    <t>23-10-2023 22:00</t>
  </si>
  <si>
    <t>23-10-2023 23:00</t>
  </si>
  <si>
    <t>23-10-2023 24:00</t>
  </si>
  <si>
    <t>24-10-2023 01:00</t>
  </si>
  <si>
    <t>24-10-2023 02:00</t>
  </si>
  <si>
    <t>24-10-2023 03:00</t>
  </si>
  <si>
    <t>24-10-2023 04:00</t>
  </si>
  <si>
    <t>24-10-2023 05:00</t>
  </si>
  <si>
    <t>24-10-2023 06:00</t>
  </si>
  <si>
    <t>24-10-2023 07:00</t>
  </si>
  <si>
    <t>24-10-2023 08:00</t>
  </si>
  <si>
    <t>24-10-2023 09:00</t>
  </si>
  <si>
    <t>24-10-2023 10:00</t>
  </si>
  <si>
    <t>24-10-2023 11:00</t>
  </si>
  <si>
    <t>24-10-2023 12:00</t>
  </si>
  <si>
    <t>24-10-2023 13:00</t>
  </si>
  <si>
    <t>24-10-2023 14:00</t>
  </si>
  <si>
    <t>24-10-2023 15:00</t>
  </si>
  <si>
    <t>24-10-2023 16:00</t>
  </si>
  <si>
    <t>24-10-2023 17:00</t>
  </si>
  <si>
    <t>24-10-2023 18:00</t>
  </si>
  <si>
    <t>24-10-2023 19:00</t>
  </si>
  <si>
    <t>24-10-2023 20:00</t>
  </si>
  <si>
    <t>24-10-2023 21:00</t>
  </si>
  <si>
    <t>24-10-2023 22:00</t>
  </si>
  <si>
    <t>24-10-2023 23:00</t>
  </si>
  <si>
    <t>24-10-2023 24:00</t>
  </si>
  <si>
    <t>25-10-2023 01:00</t>
  </si>
  <si>
    <t>25-10-2023 02:00</t>
  </si>
  <si>
    <t>25-10-2023 03:00</t>
  </si>
  <si>
    <t>25-10-2023 04:00</t>
  </si>
  <si>
    <t>25-10-2023 05:00</t>
  </si>
  <si>
    <t>25-10-2023 06:00</t>
  </si>
  <si>
    <t>25-10-2023 07:00</t>
  </si>
  <si>
    <t>25-10-2023 08:00</t>
  </si>
  <si>
    <t>25-10-2023 09:00</t>
  </si>
  <si>
    <t>25-10-2023 10:00</t>
  </si>
  <si>
    <t>25-10-2023 11:00</t>
  </si>
  <si>
    <t>25-10-2023 12:00</t>
  </si>
  <si>
    <t>25-10-2023 13:00</t>
  </si>
  <si>
    <t>25-10-2023 14:00</t>
  </si>
  <si>
    <t>25-10-2023 15:00</t>
  </si>
  <si>
    <t>25-10-2023 16:00</t>
  </si>
  <si>
    <t>25-10-2023 17:00</t>
  </si>
  <si>
    <t>25-10-2023 18:00</t>
  </si>
  <si>
    <t>25-10-2023 19:00</t>
  </si>
  <si>
    <t>25-10-2023 20:00</t>
  </si>
  <si>
    <t>25-10-2023 21:00</t>
  </si>
  <si>
    <t>25-10-2023 22:00</t>
  </si>
  <si>
    <t>25-10-2023 23:00</t>
  </si>
  <si>
    <t>25-10-2023 24:00</t>
  </si>
  <si>
    <t>26-10-2023 01:00</t>
  </si>
  <si>
    <t>26-10-2023 02:00</t>
  </si>
  <si>
    <t>26-10-2023 03:00</t>
  </si>
  <si>
    <t>26-10-2023 04:00</t>
  </si>
  <si>
    <t>26-10-2023 05:00</t>
  </si>
  <si>
    <t>26-10-2023 06:00</t>
  </si>
  <si>
    <t>26-10-2023 07:00</t>
  </si>
  <si>
    <t>26-10-2023 08:00</t>
  </si>
  <si>
    <t>26-10-2023 09:00</t>
  </si>
  <si>
    <t>26-10-2023 10:00</t>
  </si>
  <si>
    <t>26-10-2023 11:00</t>
  </si>
  <si>
    <t>26-10-2023 12:00</t>
  </si>
  <si>
    <t>26-10-2023 13:00</t>
  </si>
  <si>
    <t>26-10-2023 14:00</t>
  </si>
  <si>
    <t>26-10-2023 15:00</t>
  </si>
  <si>
    <t>26-10-2023 16:00</t>
  </si>
  <si>
    <t>26-10-2023 17:00</t>
  </si>
  <si>
    <t>26-10-2023 18:00</t>
  </si>
  <si>
    <t>26-10-2023 19:00</t>
  </si>
  <si>
    <t>26-10-2023 20:00</t>
  </si>
  <si>
    <t>26-10-2023 21:00</t>
  </si>
  <si>
    <t>26-10-2023 22:00</t>
  </si>
  <si>
    <t>26-10-2023 23:00</t>
  </si>
  <si>
    <t>26-10-2023 24:00</t>
  </si>
  <si>
    <t>27-10-2023 01:00</t>
  </si>
  <si>
    <t>27-10-2023 02:00</t>
  </si>
  <si>
    <t>27-10-2023 03:00</t>
  </si>
  <si>
    <t>27-10-2023 04:00</t>
  </si>
  <si>
    <t>27-10-2023 05:00</t>
  </si>
  <si>
    <t>27-10-2023 06:00</t>
  </si>
  <si>
    <t>27-10-2023 07:00</t>
  </si>
  <si>
    <t>27-10-2023 08:00</t>
  </si>
  <si>
    <t>27-10-2023 09:00</t>
  </si>
  <si>
    <t>27-10-2023 10:00</t>
  </si>
  <si>
    <t>27-10-2023 11:00</t>
  </si>
  <si>
    <t>27-10-2023 12:00</t>
  </si>
  <si>
    <t>27-10-2023 13:00</t>
  </si>
  <si>
    <t>27-10-2023 14:00</t>
  </si>
  <si>
    <t>27-10-2023 15:00</t>
  </si>
  <si>
    <t>27-10-2023 16:00</t>
  </si>
  <si>
    <t>27-10-2023 17:00</t>
  </si>
  <si>
    <t>27-10-2023 18:00</t>
  </si>
  <si>
    <t>27-10-2023 19:00</t>
  </si>
  <si>
    <t>27-10-2023 20:00</t>
  </si>
  <si>
    <t>27-10-2023 21:00</t>
  </si>
  <si>
    <t>27-10-2023 22:00</t>
  </si>
  <si>
    <t>27-10-2023 23:00</t>
  </si>
  <si>
    <t>27-10-2023 24:00</t>
  </si>
  <si>
    <t>28-10-2023 01:00</t>
  </si>
  <si>
    <t>28-10-2023 02:00</t>
  </si>
  <si>
    <t>28-10-2023 03:00</t>
  </si>
  <si>
    <t>28-10-2023 04:00</t>
  </si>
  <si>
    <t>28-10-2023 05:00</t>
  </si>
  <si>
    <t>28-10-2023 06:00</t>
  </si>
  <si>
    <t>28-10-2023 07:00</t>
  </si>
  <si>
    <t>28-10-2023 08:00</t>
  </si>
  <si>
    <t>28-10-2023 09:00</t>
  </si>
  <si>
    <t>28-10-2023 10:00</t>
  </si>
  <si>
    <t>28-10-2023 11:00</t>
  </si>
  <si>
    <t>28-10-2023 12:00</t>
  </si>
  <si>
    <t>28-10-2023 13:00</t>
  </si>
  <si>
    <t>28-10-2023 14:00</t>
  </si>
  <si>
    <t>28-10-2023 15:00</t>
  </si>
  <si>
    <t>28-10-2023 16:00</t>
  </si>
  <si>
    <t>28-10-2023 17:00</t>
  </si>
  <si>
    <t>28-10-2023 18:00</t>
  </si>
  <si>
    <t>28-10-2023 19:00</t>
  </si>
  <si>
    <t>28-10-2023 20:00</t>
  </si>
  <si>
    <t>28-10-2023 21:00</t>
  </si>
  <si>
    <t>28-10-2023 22:00</t>
  </si>
  <si>
    <t>28-10-2023 23:00</t>
  </si>
  <si>
    <t>28-10-2023 24:00</t>
  </si>
  <si>
    <t>29-10-2023 01:00</t>
  </si>
  <si>
    <t>29-10-2023 02:00</t>
  </si>
  <si>
    <t>29-10-2023 03:00</t>
  </si>
  <si>
    <t>29-10-2023 04:00</t>
  </si>
  <si>
    <t>29-10-2023 05:00</t>
  </si>
  <si>
    <t>29-10-2023 06:00</t>
  </si>
  <si>
    <t>29-10-2023 07:00</t>
  </si>
  <si>
    <t>29-10-2023 08:00</t>
  </si>
  <si>
    <t>29-10-2023 09:00</t>
  </si>
  <si>
    <t>29-10-2023 10:00</t>
  </si>
  <si>
    <t>29-10-2023 11:00</t>
  </si>
  <si>
    <t>29-10-2023 12:00</t>
  </si>
  <si>
    <t>29-10-2023 13:00</t>
  </si>
  <si>
    <t>29-10-2023 14:00</t>
  </si>
  <si>
    <t>29-10-2023 15:00</t>
  </si>
  <si>
    <t>29-10-2023 16:00</t>
  </si>
  <si>
    <t>29-10-2023 17:00</t>
  </si>
  <si>
    <t>29-10-2023 18:00</t>
  </si>
  <si>
    <t>29-10-2023 19:00</t>
  </si>
  <si>
    <t>29-10-2023 20:00</t>
  </si>
  <si>
    <t>29-10-2023 21:00</t>
  </si>
  <si>
    <t>29-10-2023 22:00</t>
  </si>
  <si>
    <t>29-10-2023 23:00</t>
  </si>
  <si>
    <t>29-10-2023 24:00</t>
  </si>
  <si>
    <t>30-10-2023 01:00</t>
  </si>
  <si>
    <t>30-10-2023 02:00</t>
  </si>
  <si>
    <t>30-10-2023 03:00</t>
  </si>
  <si>
    <t>30-10-2023 04:00</t>
  </si>
  <si>
    <t>30-10-2023 05:00</t>
  </si>
  <si>
    <t>30-10-2023 06:00</t>
  </si>
  <si>
    <t>30-10-2023 07:00</t>
  </si>
  <si>
    <t>30-10-2023 08:00</t>
  </si>
  <si>
    <t>30-10-2023 09:00</t>
  </si>
  <si>
    <t>30-10-2023 10:00</t>
  </si>
  <si>
    <t>30-10-2023 11:00</t>
  </si>
  <si>
    <t>30-10-2023 12:00</t>
  </si>
  <si>
    <t>30-10-2023 13:00</t>
  </si>
  <si>
    <t>30-10-2023 14:00</t>
  </si>
  <si>
    <t>30-10-2023 15:00</t>
  </si>
  <si>
    <t>30-10-2023 16:00</t>
  </si>
  <si>
    <t>30-10-2023 17:00</t>
  </si>
  <si>
    <t>30-10-2023 18:00</t>
  </si>
  <si>
    <t>30-10-2023 19:00</t>
  </si>
  <si>
    <t>30-10-2023 20:00</t>
  </si>
  <si>
    <t>30-10-2023 21:00</t>
  </si>
  <si>
    <t>30-10-2023 22:00</t>
  </si>
  <si>
    <t>30-10-2023 23:00</t>
  </si>
  <si>
    <t>30-10-2023 24:00</t>
  </si>
  <si>
    <t>31-10-2023 01:00</t>
  </si>
  <si>
    <t>31-10-2023 02:00</t>
  </si>
  <si>
    <t>31-10-2023 03:00</t>
  </si>
  <si>
    <t>31-10-2023 04:00</t>
  </si>
  <si>
    <t>31-10-2023 05:00</t>
  </si>
  <si>
    <t>31-10-2023 06:00</t>
  </si>
  <si>
    <t>31-10-2023 07:00</t>
  </si>
  <si>
    <t>31-10-2023 08:00</t>
  </si>
  <si>
    <t>31-10-2023 09:00</t>
  </si>
  <si>
    <t>31-10-2023 10:00</t>
  </si>
  <si>
    <t>31-10-2023 11:00</t>
  </si>
  <si>
    <t>31-10-2023 12:00</t>
  </si>
  <si>
    <t>31-10-2023 13:00</t>
  </si>
  <si>
    <t>31-10-2023 14:00</t>
  </si>
  <si>
    <t>31-10-2023 15:00</t>
  </si>
  <si>
    <t>31-10-2023 16:00</t>
  </si>
  <si>
    <t>31-10-2023 17:00</t>
  </si>
  <si>
    <t>31-10-2023 18:00</t>
  </si>
  <si>
    <t>31-10-2023 19:00</t>
  </si>
  <si>
    <t>31-10-2023 20:00</t>
  </si>
  <si>
    <t>31-10-2023 21:00</t>
  </si>
  <si>
    <t>31-10-2023 22:00</t>
  </si>
  <si>
    <t>31-10-2023 23:00</t>
  </si>
  <si>
    <t>31-10-2023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</si>
</sst>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5" fillId="9" borderId="0" xfId="0" applyFont="1" applyFill="1" applyAlignment="1">
      <alignment horizontal="left"/>
    </xf>
    <xf numFmtId="0" fontId="8" fillId="9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8" fillId="2" borderId="1" xfId="0" applyFont="1" applyFill="1" applyBorder="1" applyAlignment="1">
      <alignment horizontal="center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4" Type="http://schemas.openxmlformats.org/officeDocument/2006/relationships/worksheet" Target="worksheets/sheet32.xml" /><Relationship Id="rId13" Type="http://schemas.openxmlformats.org/officeDocument/2006/relationships/worksheet" Target="worksheets/sheet11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19" Type="http://schemas.openxmlformats.org/officeDocument/2006/relationships/worksheet" Target="worksheets/sheet17.xml" /><Relationship Id="rId1" Type="http://schemas.openxmlformats.org/officeDocument/2006/relationships/theme" Target="theme/theme1.xml" /><Relationship Id="rId32" Type="http://schemas.openxmlformats.org/officeDocument/2006/relationships/worksheet" Target="worksheets/sheet30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22" Type="http://schemas.openxmlformats.org/officeDocument/2006/relationships/worksheet" Target="worksheets/sheet20.xml" /><Relationship Id="rId16" Type="http://schemas.openxmlformats.org/officeDocument/2006/relationships/worksheet" Target="worksheets/sheet14.xml" /><Relationship Id="rId12" Type="http://schemas.openxmlformats.org/officeDocument/2006/relationships/worksheet" Target="worksheets/sheet10.xml" /><Relationship Id="rId29" Type="http://schemas.openxmlformats.org/officeDocument/2006/relationships/worksheet" Target="worksheets/sheet27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7" Type="http://schemas.openxmlformats.org/officeDocument/2006/relationships/worksheet" Target="worksheets/sheet5.xml" /><Relationship Id="rId23" Type="http://schemas.openxmlformats.org/officeDocument/2006/relationships/worksheet" Target="worksheets/sheet21.xml" /><Relationship Id="rId9" Type="http://schemas.openxmlformats.org/officeDocument/2006/relationships/worksheet" Target="worksheets/sheet7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24" Type="http://schemas.openxmlformats.org/officeDocument/2006/relationships/worksheet" Target="worksheets/sheet22.xml" /><Relationship Id="rId31" Type="http://schemas.openxmlformats.org/officeDocument/2006/relationships/worksheet" Target="worksheets/sheet29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21" Type="http://schemas.openxmlformats.org/officeDocument/2006/relationships/worksheet" Target="worksheets/sheet19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5" Type="http://schemas.openxmlformats.org/officeDocument/2006/relationships/sharedStrings" Target="sharedStrings.xml" /><Relationship Id="rId33" Type="http://schemas.openxmlformats.org/officeDocument/2006/relationships/worksheet" Target="worksheets/sheet31.xml" /><Relationship Id="rId20" Type="http://schemas.openxmlformats.org/officeDocument/2006/relationships/worksheet" Target="worksheets/sheet18.xml" /><Relationship Id="rId8" Type="http://schemas.openxmlformats.org/officeDocument/2006/relationships/worksheet" Target="worksheets/sheet6.xml" /><Relationship Id="rId26" Type="http://schemas.openxmlformats.org/officeDocument/2006/relationships/worksheet" Target="worksheets/sheet24.xml" /><Relationship Id="rId36" Type="http://schemas.openxmlformats.org/officeDocument/2006/relationships/calcChain" Target="calcChain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1ce392-4131-4ae9-9a75-3eb62fae5164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8.6300000000000008</v>
      </c>
      <c r="C9" s="54">
        <v>11.34</v>
      </c>
      <c r="D9" s="54">
        <v>14.47</v>
      </c>
      <c r="E9" s="54">
        <v>1.30</v>
      </c>
      <c r="F9" s="54">
        <v>1.19</v>
      </c>
      <c r="G9" s="54">
        <v>55.85</v>
      </c>
      <c r="H9" s="54">
        <v>18.239999999999998</v>
      </c>
      <c r="I9" s="54">
        <v>1.60</v>
      </c>
      <c r="J9" s="54">
        <v>0.26</v>
      </c>
      <c r="K9" s="54">
        <v>40.93</v>
      </c>
      <c r="L9" s="54">
        <v>22.64</v>
      </c>
      <c r="M9" s="54">
        <v>98.85</v>
      </c>
      <c r="N9" s="54">
        <v>9.1999999999999993</v>
      </c>
      <c r="O9" s="54">
        <v>0</v>
      </c>
      <c r="P9" s="54">
        <v>0.95</v>
      </c>
      <c r="Q9" s="54">
        <v>12.25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5.67</v>
      </c>
      <c r="C10" s="54">
        <v>9.86</v>
      </c>
      <c r="D10" s="54">
        <v>11.28</v>
      </c>
      <c r="E10" s="54">
        <v>0.98</v>
      </c>
      <c r="F10" s="54">
        <v>1.44</v>
      </c>
      <c r="G10" s="54">
        <v>48.51</v>
      </c>
      <c r="H10" s="54">
        <v>18.239999999999998</v>
      </c>
      <c r="I10" s="54">
        <v>1.59</v>
      </c>
      <c r="J10" s="54">
        <v>0.16</v>
      </c>
      <c r="K10" s="54">
        <v>61.55</v>
      </c>
      <c r="L10" s="54">
        <v>22.38</v>
      </c>
      <c r="M10" s="54">
        <v>98.85</v>
      </c>
      <c r="N10" s="54">
        <v>9.1999999999999993</v>
      </c>
      <c r="O10" s="54">
        <v>0</v>
      </c>
      <c r="P10" s="54">
        <v>0.81</v>
      </c>
      <c r="Q10" s="54">
        <v>11.96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4.47</v>
      </c>
      <c r="C11" s="54">
        <v>9.90</v>
      </c>
      <c r="D11" s="54">
        <v>10.28</v>
      </c>
      <c r="E11" s="54">
        <v>1.1399999999999999</v>
      </c>
      <c r="F11" s="54">
        <v>3.91</v>
      </c>
      <c r="G11" s="54">
        <v>38.90</v>
      </c>
      <c r="H11" s="54">
        <v>15.07</v>
      </c>
      <c r="I11" s="54">
        <v>1.52</v>
      </c>
      <c r="J11" s="54">
        <v>0.12</v>
      </c>
      <c r="K11" s="54">
        <v>357.38</v>
      </c>
      <c r="L11" s="54">
        <v>22.14</v>
      </c>
      <c r="M11" s="54">
        <v>98.90</v>
      </c>
      <c r="N11" s="54">
        <v>9.10</v>
      </c>
      <c r="O11" s="54">
        <v>0</v>
      </c>
      <c r="P11" s="54">
        <v>0.69</v>
      </c>
      <c r="Q11" s="54">
        <v>11.25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4.5</v>
      </c>
      <c r="C12" s="54">
        <v>8.33</v>
      </c>
      <c r="D12" s="54">
        <v>9.5</v>
      </c>
      <c r="E12" s="54">
        <v>1.25</v>
      </c>
      <c r="F12" s="54">
        <v>1.02</v>
      </c>
      <c r="G12" s="54">
        <v>34.93</v>
      </c>
      <c r="H12" s="54">
        <v>13.12</v>
      </c>
      <c r="I12" s="54">
        <v>1.53</v>
      </c>
      <c r="J12" s="54">
        <v>0.11</v>
      </c>
      <c r="K12" s="54">
        <v>358.46</v>
      </c>
      <c r="L12" s="54">
        <v>21.98</v>
      </c>
      <c r="M12" s="54">
        <v>98.90</v>
      </c>
      <c r="N12" s="54">
        <v>9.10</v>
      </c>
      <c r="O12" s="54">
        <v>0</v>
      </c>
      <c r="P12" s="54">
        <v>0.68</v>
      </c>
      <c r="Q12" s="54">
        <v>11.92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4.49</v>
      </c>
      <c r="C13" s="54">
        <v>9.7100000000000009</v>
      </c>
      <c r="D13" s="54">
        <v>9.9499999999999993</v>
      </c>
      <c r="E13" s="54">
        <v>1.33</v>
      </c>
      <c r="F13" s="54">
        <v>3.35</v>
      </c>
      <c r="G13" s="54">
        <v>34.93</v>
      </c>
      <c r="H13" s="54">
        <v>12.12</v>
      </c>
      <c r="I13" s="54">
        <v>1.55</v>
      </c>
      <c r="J13" s="54">
        <v>0.15</v>
      </c>
      <c r="K13" s="54">
        <v>356.25</v>
      </c>
      <c r="L13" s="54">
        <v>21.89</v>
      </c>
      <c r="M13" s="54">
        <v>98.90</v>
      </c>
      <c r="N13" s="54">
        <v>9.10</v>
      </c>
      <c r="O13" s="54">
        <v>0</v>
      </c>
      <c r="P13" s="54">
        <v>0.64</v>
      </c>
      <c r="Q13" s="54">
        <v>11.85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5.53</v>
      </c>
      <c r="C14" s="54">
        <v>11.73</v>
      </c>
      <c r="D14" s="54">
        <v>11.82</v>
      </c>
      <c r="E14" s="54">
        <v>1.36</v>
      </c>
      <c r="F14" s="54">
        <v>3.73</v>
      </c>
      <c r="G14" s="54">
        <v>32.33</v>
      </c>
      <c r="H14" s="54">
        <v>14.26</v>
      </c>
      <c r="I14" s="54">
        <v>1.55</v>
      </c>
      <c r="J14" s="54">
        <v>0.10</v>
      </c>
      <c r="K14" s="54">
        <v>186.70</v>
      </c>
      <c r="L14" s="54">
        <v>21.74</v>
      </c>
      <c r="M14" s="54">
        <v>98.90</v>
      </c>
      <c r="N14" s="54">
        <v>20</v>
      </c>
      <c r="O14" s="54">
        <v>0</v>
      </c>
      <c r="P14" s="54">
        <v>0.64</v>
      </c>
      <c r="Q14" s="54">
        <v>12.48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6.47</v>
      </c>
      <c r="C15" s="54">
        <v>8.5399999999999991</v>
      </c>
      <c r="D15" s="54">
        <v>11.15</v>
      </c>
      <c r="E15" s="54">
        <v>1.62</v>
      </c>
      <c r="F15" s="54">
        <v>0.67</v>
      </c>
      <c r="G15" s="54">
        <v>33.10</v>
      </c>
      <c r="H15" s="54">
        <v>14.26</v>
      </c>
      <c r="I15" s="54">
        <v>1.53</v>
      </c>
      <c r="J15" s="54">
        <v>0.19</v>
      </c>
      <c r="K15" s="54">
        <v>353.73</v>
      </c>
      <c r="L15" s="54">
        <v>22.86</v>
      </c>
      <c r="M15" s="54">
        <v>98.90</v>
      </c>
      <c r="N15" s="54">
        <v>178.60</v>
      </c>
      <c r="O15" s="54">
        <v>0</v>
      </c>
      <c r="P15" s="54">
        <v>0.62</v>
      </c>
      <c r="Q15" s="54">
        <v>12.83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8.56</v>
      </c>
      <c r="C16" s="54">
        <v>12.68</v>
      </c>
      <c r="D16" s="54">
        <v>15.16</v>
      </c>
      <c r="E16" s="54">
        <v>1.51</v>
      </c>
      <c r="F16" s="54">
        <v>0.70</v>
      </c>
      <c r="G16" s="54">
        <v>38.36</v>
      </c>
      <c r="H16" s="54">
        <v>12.31</v>
      </c>
      <c r="I16" s="54">
        <v>1.61</v>
      </c>
      <c r="J16" s="54">
        <v>0.30</v>
      </c>
      <c r="K16" s="54">
        <v>19.47</v>
      </c>
      <c r="L16" s="54">
        <v>25.40</v>
      </c>
      <c r="M16" s="54">
        <v>95.27</v>
      </c>
      <c r="N16" s="54">
        <v>309.89999999999998</v>
      </c>
      <c r="O16" s="54">
        <v>0</v>
      </c>
      <c r="P16" s="54">
        <v>0.67</v>
      </c>
      <c r="Q16" s="54">
        <v>12.62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8.36</v>
      </c>
      <c r="C17" s="54">
        <v>12.91</v>
      </c>
      <c r="D17" s="54">
        <v>15.12</v>
      </c>
      <c r="E17" s="54">
        <v>2.25</v>
      </c>
      <c r="F17" s="54">
        <v>1.07</v>
      </c>
      <c r="G17" s="54">
        <v>41.34</v>
      </c>
      <c r="H17" s="54">
        <v>13.82</v>
      </c>
      <c r="I17" s="54">
        <v>1.53</v>
      </c>
      <c r="J17" s="54">
        <v>0.25</v>
      </c>
      <c r="K17" s="54">
        <v>341.41</v>
      </c>
      <c r="L17" s="54">
        <v>27.84</v>
      </c>
      <c r="M17" s="54">
        <v>85.49</v>
      </c>
      <c r="N17" s="54">
        <v>560.10</v>
      </c>
      <c r="O17" s="54">
        <v>0</v>
      </c>
      <c r="P17" s="54">
        <v>0.78</v>
      </c>
      <c r="Q17" s="54">
        <v>11.80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6.93</v>
      </c>
      <c r="C18" s="54">
        <v>13.90</v>
      </c>
      <c r="D18" s="54">
        <v>13.93</v>
      </c>
      <c r="E18" s="54">
        <v>2.12</v>
      </c>
      <c r="F18" s="54">
        <v>1.39</v>
      </c>
      <c r="G18" s="54">
        <v>54.94</v>
      </c>
      <c r="H18" s="54">
        <v>17.420000000000002</v>
      </c>
      <c r="I18" s="54">
        <v>1.52</v>
      </c>
      <c r="J18" s="54">
        <v>0.22</v>
      </c>
      <c r="K18" s="54">
        <v>30.29</v>
      </c>
      <c r="L18" s="54">
        <v>28.93</v>
      </c>
      <c r="M18" s="54">
        <v>77.709999999999994</v>
      </c>
      <c r="N18" s="54">
        <v>646.90</v>
      </c>
      <c r="O18" s="54">
        <v>0</v>
      </c>
      <c r="P18" s="54">
        <v>1.1100000000000001</v>
      </c>
      <c r="Q18" s="54">
        <v>11.89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5.52</v>
      </c>
      <c r="C19" s="54">
        <v>15.66</v>
      </c>
      <c r="D19" s="54">
        <v>14.15</v>
      </c>
      <c r="E19" s="54">
        <v>2.06</v>
      </c>
      <c r="F19" s="54">
        <v>1.70</v>
      </c>
      <c r="G19" s="54">
        <v>72.739999999999995</v>
      </c>
      <c r="H19" s="54">
        <v>21.49</v>
      </c>
      <c r="I19" s="54">
        <v>1.51</v>
      </c>
      <c r="J19" s="54">
        <v>0.39</v>
      </c>
      <c r="K19" s="54">
        <v>72.78</v>
      </c>
      <c r="L19" s="54">
        <v>28.92</v>
      </c>
      <c r="M19" s="54">
        <v>73.05</v>
      </c>
      <c r="N19" s="54">
        <v>796.20</v>
      </c>
      <c r="O19" s="54">
        <v>0</v>
      </c>
      <c r="P19" s="54">
        <v>1.17</v>
      </c>
      <c r="Q19" s="54">
        <v>11.82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4.17</v>
      </c>
      <c r="C20" s="54">
        <v>15.25</v>
      </c>
      <c r="D20" s="54">
        <v>13.05</v>
      </c>
      <c r="E20" s="54">
        <v>2.27</v>
      </c>
      <c r="F20" s="54">
        <v>2.80</v>
      </c>
      <c r="G20" s="54">
        <v>72.739999999999995</v>
      </c>
      <c r="H20" s="54">
        <v>21.49</v>
      </c>
      <c r="I20" s="54">
        <v>1.55</v>
      </c>
      <c r="J20" s="54">
        <v>0.34</v>
      </c>
      <c r="K20" s="54">
        <v>20.02</v>
      </c>
      <c r="L20" s="54">
        <v>29.29</v>
      </c>
      <c r="M20" s="54">
        <v>70.67</v>
      </c>
      <c r="N20" s="54">
        <v>861.90</v>
      </c>
      <c r="O20" s="54">
        <v>0</v>
      </c>
      <c r="P20" s="54">
        <v>0.95</v>
      </c>
      <c r="Q20" s="54">
        <v>9.51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2.62</v>
      </c>
      <c r="C21" s="54">
        <v>12.67</v>
      </c>
      <c r="D21" s="54">
        <v>10.26</v>
      </c>
      <c r="E21" s="54">
        <v>2.06</v>
      </c>
      <c r="F21" s="54">
        <v>3.33</v>
      </c>
      <c r="G21" s="54">
        <v>51.17</v>
      </c>
      <c r="H21" s="54">
        <v>17.73</v>
      </c>
      <c r="I21" s="54">
        <v>1.57</v>
      </c>
      <c r="J21" s="54">
        <v>0.36</v>
      </c>
      <c r="K21" s="54">
        <v>27.55</v>
      </c>
      <c r="L21" s="54">
        <v>30.61</v>
      </c>
      <c r="M21" s="54">
        <v>66.94</v>
      </c>
      <c r="N21" s="54">
        <v>750.30</v>
      </c>
      <c r="O21" s="54">
        <v>0</v>
      </c>
      <c r="P21" s="54">
        <v>0.82</v>
      </c>
      <c r="Q21" s="54">
        <v>9.11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3.74</v>
      </c>
      <c r="C22" s="54">
        <v>16.899999999999999</v>
      </c>
      <c r="D22" s="54">
        <v>13.62</v>
      </c>
      <c r="E22" s="54">
        <v>2.54</v>
      </c>
      <c r="F22" s="54">
        <v>4.59</v>
      </c>
      <c r="G22" s="54">
        <v>53.20</v>
      </c>
      <c r="H22" s="54">
        <v>23</v>
      </c>
      <c r="I22" s="54">
        <v>1.56</v>
      </c>
      <c r="J22" s="54">
        <v>0.44</v>
      </c>
      <c r="K22" s="54">
        <v>355.97</v>
      </c>
      <c r="L22" s="54">
        <v>31.25</v>
      </c>
      <c r="M22" s="54">
        <v>65.819999999999993</v>
      </c>
      <c r="N22" s="54">
        <v>686.20</v>
      </c>
      <c r="O22" s="54">
        <v>0</v>
      </c>
      <c r="P22" s="54">
        <v>0.74</v>
      </c>
      <c r="Q22" s="54">
        <v>8.43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3.62</v>
      </c>
      <c r="C23" s="54">
        <v>16.05</v>
      </c>
      <c r="D23" s="54">
        <v>12.97</v>
      </c>
      <c r="E23" s="54">
        <v>2.37</v>
      </c>
      <c r="F23" s="54">
        <v>4.0999999999999996</v>
      </c>
      <c r="G23" s="54">
        <v>53.20</v>
      </c>
      <c r="H23" s="54">
        <v>23</v>
      </c>
      <c r="I23" s="54">
        <v>1.51</v>
      </c>
      <c r="J23" s="54">
        <v>0.68</v>
      </c>
      <c r="K23" s="54">
        <v>348.95</v>
      </c>
      <c r="L23" s="54">
        <v>30</v>
      </c>
      <c r="M23" s="54">
        <v>67.88</v>
      </c>
      <c r="N23" s="54">
        <v>339.10</v>
      </c>
      <c r="O23" s="54">
        <v>0</v>
      </c>
      <c r="P23" s="54">
        <v>0.66</v>
      </c>
      <c r="Q23" s="54">
        <v>8.33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3.93</v>
      </c>
      <c r="C24" s="54">
        <v>17.62</v>
      </c>
      <c r="D24" s="54">
        <v>13.89</v>
      </c>
      <c r="E24" s="54">
        <v>2.34</v>
      </c>
      <c r="F24" s="54">
        <v>2.36</v>
      </c>
      <c r="G24" s="54">
        <v>50.43</v>
      </c>
      <c r="H24" s="54">
        <v>20.34</v>
      </c>
      <c r="I24" s="54">
        <v>1.52</v>
      </c>
      <c r="J24" s="54">
        <v>0.38</v>
      </c>
      <c r="K24" s="54">
        <v>338.33</v>
      </c>
      <c r="L24" s="54">
        <v>28.45</v>
      </c>
      <c r="M24" s="54">
        <v>68.73</v>
      </c>
      <c r="N24" s="54">
        <v>152.90</v>
      </c>
      <c r="O24" s="54">
        <v>0</v>
      </c>
      <c r="P24" s="54">
        <v>0.70</v>
      </c>
      <c r="Q24" s="54">
        <v>9.4499999999999993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3.57</v>
      </c>
      <c r="C25" s="54">
        <v>18.89</v>
      </c>
      <c r="D25" s="54">
        <v>14.58</v>
      </c>
      <c r="E25" s="54">
        <v>2.31</v>
      </c>
      <c r="F25" s="54">
        <v>6.29</v>
      </c>
      <c r="G25" s="54">
        <v>60.95</v>
      </c>
      <c r="H25" s="54">
        <v>20.34</v>
      </c>
      <c r="I25" s="54">
        <v>1.56</v>
      </c>
      <c r="J25" s="54">
        <v>0.36</v>
      </c>
      <c r="K25" s="54">
        <v>346.47</v>
      </c>
      <c r="L25" s="54">
        <v>28.17</v>
      </c>
      <c r="M25" s="54">
        <v>73.92</v>
      </c>
      <c r="N25" s="54">
        <v>98.20</v>
      </c>
      <c r="O25" s="54">
        <v>0</v>
      </c>
      <c r="P25" s="54">
        <v>0.81</v>
      </c>
      <c r="Q25" s="54">
        <v>9.3000000000000007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4.34</v>
      </c>
      <c r="C26" s="54">
        <v>18.22</v>
      </c>
      <c r="D26" s="54">
        <v>14.20</v>
      </c>
      <c r="E26" s="54">
        <v>2.81</v>
      </c>
      <c r="F26" s="54">
        <v>3.49</v>
      </c>
      <c r="G26" s="54">
        <v>60.95</v>
      </c>
      <c r="H26" s="54">
        <v>19.95</v>
      </c>
      <c r="I26" s="54">
        <v>1.57</v>
      </c>
      <c r="J26" s="54">
        <v>0.44</v>
      </c>
      <c r="K26" s="54">
        <v>355.57</v>
      </c>
      <c r="L26" s="54">
        <v>27.54</v>
      </c>
      <c r="M26" s="54">
        <v>75.010000000000005</v>
      </c>
      <c r="N26" s="54">
        <v>42.80</v>
      </c>
      <c r="O26" s="54">
        <v>0</v>
      </c>
      <c r="P26" s="54">
        <v>0.78</v>
      </c>
      <c r="Q26" s="54">
        <v>8.40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4.93</v>
      </c>
      <c r="C27" s="54">
        <v>15.88</v>
      </c>
      <c r="D27" s="54">
        <v>14.01</v>
      </c>
      <c r="E27" s="54">
        <v>2.70</v>
      </c>
      <c r="F27" s="54">
        <v>1.65</v>
      </c>
      <c r="G27" s="54">
        <v>62.03</v>
      </c>
      <c r="H27" s="54">
        <v>19.829999999999998</v>
      </c>
      <c r="I27" s="54">
        <v>1.52</v>
      </c>
      <c r="J27" s="54">
        <v>1.89</v>
      </c>
      <c r="K27" s="54">
        <v>340.68</v>
      </c>
      <c r="L27" s="54">
        <v>26.20</v>
      </c>
      <c r="M27" s="54">
        <v>82.77</v>
      </c>
      <c r="N27" s="54">
        <v>11</v>
      </c>
      <c r="O27" s="54">
        <v>0</v>
      </c>
      <c r="P27" s="54">
        <v>0.80</v>
      </c>
      <c r="Q27" s="54">
        <v>9.14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15.49</v>
      </c>
      <c r="C28" s="54">
        <v>42.36</v>
      </c>
      <c r="D28" s="54">
        <v>37.090000000000003</v>
      </c>
      <c r="E28" s="54">
        <v>3.08</v>
      </c>
      <c r="F28" s="54">
        <v>7.16</v>
      </c>
      <c r="G28" s="54">
        <v>62.03</v>
      </c>
      <c r="H28" s="54">
        <v>19.72</v>
      </c>
      <c r="I28" s="54">
        <v>1.54</v>
      </c>
      <c r="J28" s="54">
        <v>0.77</v>
      </c>
      <c r="K28" s="54">
        <v>342.08</v>
      </c>
      <c r="L28" s="54">
        <v>23.47</v>
      </c>
      <c r="M28" s="54">
        <v>98.90</v>
      </c>
      <c r="N28" s="54">
        <v>9.40</v>
      </c>
      <c r="O28" s="54">
        <v>0</v>
      </c>
      <c r="P28" s="54">
        <v>1.1499999999999999</v>
      </c>
      <c r="Q28" s="54">
        <v>9.67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25.5</v>
      </c>
      <c r="C29" s="54">
        <v>50.73</v>
      </c>
      <c r="D29" s="54">
        <v>49.74</v>
      </c>
      <c r="E29" s="54">
        <v>1.59</v>
      </c>
      <c r="F29" s="54">
        <v>5.28</v>
      </c>
      <c r="G29" s="54">
        <v>58.54</v>
      </c>
      <c r="H29" s="54">
        <v>18.190000000000001</v>
      </c>
      <c r="I29" s="54">
        <v>1.54</v>
      </c>
      <c r="J29" s="54">
        <v>0.09</v>
      </c>
      <c r="K29" s="54">
        <v>290.52</v>
      </c>
      <c r="L29" s="54">
        <v>23.30</v>
      </c>
      <c r="M29" s="54">
        <v>98.91</v>
      </c>
      <c r="N29" s="54">
        <v>10</v>
      </c>
      <c r="O29" s="54">
        <v>0</v>
      </c>
      <c r="P29" s="54">
        <v>1.35</v>
      </c>
      <c r="Q29" s="54">
        <v>11.52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13.81</v>
      </c>
      <c r="C30" s="54">
        <v>27.95</v>
      </c>
      <c r="D30" s="54">
        <v>25.06</v>
      </c>
      <c r="E30" s="54">
        <v>1.20</v>
      </c>
      <c r="F30" s="54">
        <v>2.81</v>
      </c>
      <c r="G30" s="54">
        <v>58.54</v>
      </c>
      <c r="H30" s="54">
        <v>18.190000000000001</v>
      </c>
      <c r="I30" s="54">
        <v>1.52</v>
      </c>
      <c r="J30" s="54">
        <v>0.06</v>
      </c>
      <c r="K30" s="54">
        <v>267.72000000000003</v>
      </c>
      <c r="L30" s="54">
        <v>23.77</v>
      </c>
      <c r="M30" s="54">
        <v>98.90</v>
      </c>
      <c r="N30" s="54">
        <v>10.10</v>
      </c>
      <c r="O30" s="54">
        <v>0</v>
      </c>
      <c r="P30" s="54">
        <v>1.03</v>
      </c>
      <c r="Q30" s="54">
        <v>12.14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12.73</v>
      </c>
      <c r="C31" s="54">
        <v>37.81</v>
      </c>
      <c r="D31" s="54">
        <v>32.369999999999997</v>
      </c>
      <c r="E31" s="54">
        <v>1.26</v>
      </c>
      <c r="F31" s="54">
        <v>6.97</v>
      </c>
      <c r="G31" s="54">
        <v>48.62</v>
      </c>
      <c r="H31" s="54">
        <v>19.75</v>
      </c>
      <c r="I31" s="54">
        <v>1.54</v>
      </c>
      <c r="J31" s="54">
        <v>0.06</v>
      </c>
      <c r="K31" s="54">
        <v>356.28</v>
      </c>
      <c r="L31" s="54">
        <v>23.75</v>
      </c>
      <c r="M31" s="54">
        <v>98.87</v>
      </c>
      <c r="N31" s="54">
        <v>9.90</v>
      </c>
      <c r="O31" s="54">
        <v>0</v>
      </c>
      <c r="P31" s="54">
        <v>0.97</v>
      </c>
      <c r="Q31" s="54">
        <v>12.67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9.52</v>
      </c>
      <c r="C32" s="54">
        <v>29.54</v>
      </c>
      <c r="D32" s="54">
        <v>25.04</v>
      </c>
      <c r="E32" s="54">
        <v>1.22</v>
      </c>
      <c r="F32" s="54">
        <v>5</v>
      </c>
      <c r="G32" s="54">
        <v>47.51</v>
      </c>
      <c r="H32" s="54">
        <v>19.75</v>
      </c>
      <c r="I32" s="54">
        <v>1.52</v>
      </c>
      <c r="J32" s="54">
        <v>0.10</v>
      </c>
      <c r="K32" s="54">
        <v>305.68</v>
      </c>
      <c r="L32" s="54">
        <v>23.79</v>
      </c>
      <c r="M32" s="54">
        <v>98.87</v>
      </c>
      <c r="N32" s="54">
        <v>9.8000000000000007</v>
      </c>
      <c r="O32" s="54">
        <v>0</v>
      </c>
      <c r="P32" s="54">
        <v>0.92</v>
      </c>
      <c r="Q32" s="54">
        <v>13.42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2.6200000000000001</v>
      </c>
      <c r="C34" s="28">
        <f t="shared" si="0"/>
        <v>8.3300000000000001</v>
      </c>
      <c r="D34" s="28">
        <f t="shared" si="0"/>
        <v>9.5</v>
      </c>
      <c r="E34" s="28">
        <f t="shared" si="0"/>
        <v>0.97999999999999998</v>
      </c>
      <c r="F34" s="28">
        <f t="shared" si="0"/>
        <v>0.67000000000000004</v>
      </c>
      <c r="G34" s="28">
        <f t="shared" si="0"/>
        <v>32.329999999999998</v>
      </c>
      <c r="H34" s="28">
        <f t="shared" si="0"/>
        <v>12.119999999999999</v>
      </c>
      <c r="I34" s="28">
        <f t="shared" si="0"/>
        <v>1.51</v>
      </c>
      <c r="J34" s="28">
        <f t="shared" si="0"/>
        <v>0.059999999999999998</v>
      </c>
      <c r="K34" s="28">
        <f t="shared" si="0"/>
        <v>19.469999999999999</v>
      </c>
      <c r="L34" s="28">
        <f t="shared" si="0"/>
        <v>21.739999999999998</v>
      </c>
      <c r="M34" s="28">
        <f t="shared" si="0"/>
        <v>65.819999999999993</v>
      </c>
      <c r="N34" s="28">
        <f t="shared" si="0"/>
        <v>9.0999999999999996</v>
      </c>
      <c r="O34" s="28">
        <f t="shared" si="0"/>
        <v>0</v>
      </c>
      <c r="P34" s="28">
        <f t="shared" si="0"/>
        <v>0.62</v>
      </c>
      <c r="Q34" s="28">
        <f t="shared" si="0"/>
        <v>8.3300000000000001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25.5</v>
      </c>
      <c r="C35" s="29">
        <f t="shared" si="1"/>
        <v>50.729999999999997</v>
      </c>
      <c r="D35" s="29">
        <f t="shared" si="1"/>
        <v>49.740000000000002</v>
      </c>
      <c r="E35" s="29">
        <f t="shared" si="1"/>
        <v>3.0800000000000001</v>
      </c>
      <c r="F35" s="29">
        <f t="shared" si="1"/>
        <v>7.1600000000000001</v>
      </c>
      <c r="G35" s="29">
        <f t="shared" si="1"/>
        <v>72.739999999999995</v>
      </c>
      <c r="H35" s="29">
        <f t="shared" si="1"/>
        <v>23</v>
      </c>
      <c r="I35" s="29">
        <f t="shared" si="1"/>
        <v>1.6100000000000001</v>
      </c>
      <c r="J35" s="29">
        <f t="shared" si="1"/>
        <v>1.8899999999999999</v>
      </c>
      <c r="K35" s="29">
        <f t="shared" si="1"/>
        <v>358.45999999999998</v>
      </c>
      <c r="L35" s="29">
        <f t="shared" si="1"/>
        <v>31.25</v>
      </c>
      <c r="M35" s="29">
        <f t="shared" si="1"/>
        <v>98.909999999999997</v>
      </c>
      <c r="N35" s="29">
        <f t="shared" si="1"/>
        <v>861.89999999999998</v>
      </c>
      <c r="O35" s="29">
        <f t="shared" si="1"/>
        <v>0</v>
      </c>
      <c r="P35" s="29">
        <f t="shared" si="1"/>
        <v>1.3500000000000001</v>
      </c>
      <c r="Q35" s="29">
        <f t="shared" si="1"/>
        <v>13.42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7.3791666666666673</v>
      </c>
      <c r="C36" s="28">
        <f t="shared" si="2"/>
        <v>18.517916666666668</v>
      </c>
      <c r="D36" s="28">
        <f t="shared" si="2"/>
        <v>17.19541666666667</v>
      </c>
      <c r="E36" s="28">
        <f t="shared" si="2"/>
        <v>1.8612500000000001</v>
      </c>
      <c r="F36" s="28">
        <f t="shared" si="2"/>
        <v>3.1666666666666665</v>
      </c>
      <c r="G36" s="28">
        <f t="shared" si="2"/>
        <v>51.076666666666661</v>
      </c>
      <c r="H36" s="28">
        <f t="shared" si="2"/>
        <v>17.984583333333333</v>
      </c>
      <c r="I36" s="28">
        <f t="shared" si="2"/>
        <v>1.5441666666666667</v>
      </c>
      <c r="J36" s="28">
        <f t="shared" si="2"/>
        <v>0.34250000000000003</v>
      </c>
      <c r="K36" s="28">
        <f t="shared" si="2"/>
        <v>244.78208333333336</v>
      </c>
      <c r="L36" s="28">
        <f t="shared" si="2"/>
        <v>25.67958333333333</v>
      </c>
      <c r="M36" s="28">
        <f t="shared" si="2"/>
        <v>87.079583333333332</v>
      </c>
      <c r="N36" s="28">
        <f t="shared" si="2"/>
        <v>231.20833333333334</v>
      </c>
      <c r="O36" s="28">
        <f t="shared" si="2"/>
        <v>0</v>
      </c>
      <c r="P36" s="28">
        <f t="shared" si="2"/>
        <v>0.8516666666666669</v>
      </c>
      <c r="Q36" s="28">
        <f t="shared" si="2"/>
        <v>10.99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5.1521704305008704</v>
      </c>
      <c r="C37" s="28">
        <f t="shared" si="3" ref="C37:Q37">STDEV(C9:C32)</f>
        <v>11.176561258185409</v>
      </c>
      <c r="D37" s="28">
        <f t="shared" si="3"/>
        <v>9.862528549213831</v>
      </c>
      <c r="E37" s="28">
        <f t="shared" si="3"/>
        <v>0.61457877055540366</v>
      </c>
      <c r="F37" s="28">
        <f t="shared" si="3"/>
        <v>1.9633282891596335</v>
      </c>
      <c r="G37" s="28">
        <f t="shared" si="3"/>
        <v>11.718125190106747</v>
      </c>
      <c r="H37" s="28">
        <f t="shared" si="3"/>
        <v>3.2766273476491521</v>
      </c>
      <c r="I37" s="28">
        <f t="shared" si="3"/>
        <v>0.027962189792128507</v>
      </c>
      <c r="J37" s="28">
        <f t="shared" si="3"/>
        <v>0.37792626379965333</v>
      </c>
      <c r="K37" s="28">
        <f t="shared" si="3"/>
        <v>140.46534308687845</v>
      </c>
      <c r="L37" s="28">
        <f t="shared" si="3"/>
        <v>3.204061931723353</v>
      </c>
      <c r="M37" s="28">
        <f t="shared" si="3"/>
        <v>13.508380805735186</v>
      </c>
      <c r="N37" s="28">
        <f t="shared" si="3"/>
        <v>304.96218998236577</v>
      </c>
      <c r="O37" s="28">
        <f t="shared" si="3"/>
        <v>0</v>
      </c>
      <c r="P37" s="28">
        <f t="shared" si="3"/>
        <v>0.19745481963502728</v>
      </c>
      <c r="Q37" s="28">
        <f t="shared" si="3"/>
        <v>1.6339283151749404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98a3a5-c6fe-48e2-9acc-c013c28d709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9.26</v>
      </c>
      <c r="C9" s="54">
        <v>11.04</v>
      </c>
      <c r="D9" s="54">
        <v>14.48</v>
      </c>
      <c r="E9" s="54">
        <v>3.14</v>
      </c>
      <c r="F9" s="54">
        <v>1.63</v>
      </c>
      <c r="G9" s="54">
        <v>48.30</v>
      </c>
      <c r="H9" s="54">
        <v>17.850000000000001</v>
      </c>
      <c r="I9" s="54">
        <v>1.51</v>
      </c>
      <c r="J9" s="54">
        <v>0.14000000000000001</v>
      </c>
      <c r="K9" s="54">
        <v>35.090000000000003</v>
      </c>
      <c r="L9" s="54">
        <v>23.69</v>
      </c>
      <c r="M9" s="54">
        <v>98.85</v>
      </c>
      <c r="N9" s="54">
        <v>9.90</v>
      </c>
      <c r="O9" s="54">
        <v>0</v>
      </c>
      <c r="P9" s="54">
        <v>0.87</v>
      </c>
      <c r="Q9" s="54">
        <v>13.29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6.81</v>
      </c>
      <c r="C10" s="54">
        <v>11.43</v>
      </c>
      <c r="D10" s="54">
        <v>12.32</v>
      </c>
      <c r="E10" s="54">
        <v>3.25</v>
      </c>
      <c r="F10" s="54">
        <v>3.55</v>
      </c>
      <c r="G10" s="54">
        <v>48.30</v>
      </c>
      <c r="H10" s="54">
        <v>17.850000000000001</v>
      </c>
      <c r="I10" s="54">
        <v>1.53</v>
      </c>
      <c r="J10" s="54">
        <v>0.18</v>
      </c>
      <c r="K10" s="54">
        <v>28.69</v>
      </c>
      <c r="L10" s="54">
        <v>23.43</v>
      </c>
      <c r="M10" s="54">
        <v>98.87</v>
      </c>
      <c r="N10" s="54">
        <v>9.60</v>
      </c>
      <c r="O10" s="54">
        <v>0</v>
      </c>
      <c r="P10" s="54">
        <v>0.79</v>
      </c>
      <c r="Q10" s="54">
        <v>12.65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5.27</v>
      </c>
      <c r="C11" s="54">
        <v>12.41</v>
      </c>
      <c r="D11" s="54">
        <v>12.37</v>
      </c>
      <c r="E11" s="54">
        <v>2.95</v>
      </c>
      <c r="F11" s="54">
        <v>4.18</v>
      </c>
      <c r="G11" s="54">
        <v>44.08</v>
      </c>
      <c r="H11" s="54">
        <v>16.920000000000002</v>
      </c>
      <c r="I11" s="54">
        <v>1.52</v>
      </c>
      <c r="J11" s="54">
        <v>0.17</v>
      </c>
      <c r="K11" s="54">
        <v>41.08</v>
      </c>
      <c r="L11" s="54">
        <v>23.42</v>
      </c>
      <c r="M11" s="54">
        <v>98.87</v>
      </c>
      <c r="N11" s="54">
        <v>9.8000000000000007</v>
      </c>
      <c r="O11" s="54">
        <v>0</v>
      </c>
      <c r="P11" s="54">
        <v>0.74</v>
      </c>
      <c r="Q11" s="54">
        <v>12.54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4.5</v>
      </c>
      <c r="C12" s="54">
        <v>8.7200000000000006</v>
      </c>
      <c r="D12" s="54">
        <v>9.64</v>
      </c>
      <c r="E12" s="54">
        <v>3.09</v>
      </c>
      <c r="F12" s="54">
        <v>0.87</v>
      </c>
      <c r="G12" s="54">
        <v>46.44</v>
      </c>
      <c r="H12" s="54">
        <v>12.10</v>
      </c>
      <c r="I12" s="54">
        <v>1.54</v>
      </c>
      <c r="J12" s="54">
        <v>0.16</v>
      </c>
      <c r="K12" s="54">
        <v>33.49</v>
      </c>
      <c r="L12" s="54">
        <v>23.27</v>
      </c>
      <c r="M12" s="54">
        <v>98.90</v>
      </c>
      <c r="N12" s="54">
        <v>9.6999999999999993</v>
      </c>
      <c r="O12" s="54">
        <v>0</v>
      </c>
      <c r="P12" s="54">
        <v>0.70</v>
      </c>
      <c r="Q12" s="54">
        <v>11.17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6.01</v>
      </c>
      <c r="C13" s="54">
        <v>14.89</v>
      </c>
      <c r="D13" s="54">
        <v>14.33</v>
      </c>
      <c r="E13" s="54">
        <v>2.0099999999999998</v>
      </c>
      <c r="F13" s="54">
        <v>4.46</v>
      </c>
      <c r="G13" s="54">
        <v>46.44</v>
      </c>
      <c r="H13" s="54">
        <v>13.45</v>
      </c>
      <c r="I13" s="54">
        <v>1.57</v>
      </c>
      <c r="J13" s="54">
        <v>0.17</v>
      </c>
      <c r="K13" s="54">
        <v>359.84</v>
      </c>
      <c r="L13" s="54">
        <v>23.27</v>
      </c>
      <c r="M13" s="54">
        <v>98.88</v>
      </c>
      <c r="N13" s="54">
        <v>9.60</v>
      </c>
      <c r="O13" s="54">
        <v>0</v>
      </c>
      <c r="P13" s="54">
        <v>0.69</v>
      </c>
      <c r="Q13" s="54">
        <v>10.050000000000001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5.53</v>
      </c>
      <c r="C14" s="54">
        <v>14.07</v>
      </c>
      <c r="D14" s="54">
        <v>13.5</v>
      </c>
      <c r="E14" s="54">
        <v>1.83</v>
      </c>
      <c r="F14" s="54">
        <v>2.4900000000000002</v>
      </c>
      <c r="G14" s="54">
        <v>47.15</v>
      </c>
      <c r="H14" s="54">
        <v>15.91</v>
      </c>
      <c r="I14" s="54">
        <v>1.54</v>
      </c>
      <c r="J14" s="54">
        <v>0.17</v>
      </c>
      <c r="K14" s="54">
        <v>352.26</v>
      </c>
      <c r="L14" s="54">
        <v>23.23</v>
      </c>
      <c r="M14" s="54">
        <v>98.88</v>
      </c>
      <c r="N14" s="54">
        <v>14.10</v>
      </c>
      <c r="O14" s="54">
        <v>0</v>
      </c>
      <c r="P14" s="54">
        <v>0.69</v>
      </c>
      <c r="Q14" s="54">
        <v>10.87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6.42</v>
      </c>
      <c r="C15" s="54">
        <v>9.98</v>
      </c>
      <c r="D15" s="54">
        <v>11.92</v>
      </c>
      <c r="E15" s="54">
        <v>1.90</v>
      </c>
      <c r="F15" s="54">
        <v>0.63</v>
      </c>
      <c r="G15" s="54">
        <v>50.95</v>
      </c>
      <c r="H15" s="54">
        <v>15.91</v>
      </c>
      <c r="I15" s="54">
        <v>1.54</v>
      </c>
      <c r="J15" s="54">
        <v>0.20</v>
      </c>
      <c r="K15" s="54">
        <v>354.12</v>
      </c>
      <c r="L15" s="54">
        <v>23.85</v>
      </c>
      <c r="M15" s="54">
        <v>98.86</v>
      </c>
      <c r="N15" s="54">
        <v>91.60</v>
      </c>
      <c r="O15" s="54">
        <v>0</v>
      </c>
      <c r="P15" s="54">
        <v>0.69</v>
      </c>
      <c r="Q15" s="54">
        <v>11.08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7.54</v>
      </c>
      <c r="C16" s="54">
        <v>10.91</v>
      </c>
      <c r="D16" s="54">
        <v>13.13</v>
      </c>
      <c r="E16" s="54">
        <v>1.92</v>
      </c>
      <c r="F16" s="54">
        <v>0.59</v>
      </c>
      <c r="G16" s="54">
        <v>55.71</v>
      </c>
      <c r="H16" s="54">
        <v>20.04</v>
      </c>
      <c r="I16" s="54">
        <v>1.57</v>
      </c>
      <c r="J16" s="54">
        <v>0.27</v>
      </c>
      <c r="K16" s="54">
        <v>351.12</v>
      </c>
      <c r="L16" s="54">
        <v>25.30</v>
      </c>
      <c r="M16" s="54">
        <v>94.57</v>
      </c>
      <c r="N16" s="54">
        <v>159.10</v>
      </c>
      <c r="O16" s="54">
        <v>0</v>
      </c>
      <c r="P16" s="54">
        <v>0.69</v>
      </c>
      <c r="Q16" s="54">
        <v>10.71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7.86</v>
      </c>
      <c r="C17" s="54">
        <v>11.55</v>
      </c>
      <c r="D17" s="54">
        <v>13.86</v>
      </c>
      <c r="E17" s="54">
        <v>1.93</v>
      </c>
      <c r="F17" s="54">
        <v>1.03</v>
      </c>
      <c r="G17" s="54">
        <v>57.60</v>
      </c>
      <c r="H17" s="54">
        <v>25.62</v>
      </c>
      <c r="I17" s="54">
        <v>1.57</v>
      </c>
      <c r="J17" s="54">
        <v>0.42</v>
      </c>
      <c r="K17" s="54">
        <v>349</v>
      </c>
      <c r="L17" s="54">
        <v>28.81</v>
      </c>
      <c r="M17" s="54">
        <v>89.86</v>
      </c>
      <c r="N17" s="54">
        <v>499.70</v>
      </c>
      <c r="O17" s="54">
        <v>0</v>
      </c>
      <c r="P17" s="54">
        <v>0.70</v>
      </c>
      <c r="Q17" s="54">
        <v>10.73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7.44</v>
      </c>
      <c r="C18" s="54">
        <v>11.83</v>
      </c>
      <c r="D18" s="54">
        <v>13.61</v>
      </c>
      <c r="E18" s="54">
        <v>2.2000000000000002</v>
      </c>
      <c r="F18" s="54">
        <v>0.89</v>
      </c>
      <c r="G18" s="54">
        <v>57.60</v>
      </c>
      <c r="H18" s="54">
        <v>25.62</v>
      </c>
      <c r="I18" s="54">
        <v>1.51</v>
      </c>
      <c r="J18" s="54">
        <v>0.76</v>
      </c>
      <c r="K18" s="54">
        <v>339.59</v>
      </c>
      <c r="L18" s="54">
        <v>33.229999999999997</v>
      </c>
      <c r="M18" s="54">
        <v>67.099999999999994</v>
      </c>
      <c r="N18" s="54">
        <v>795.30</v>
      </c>
      <c r="O18" s="54">
        <v>0</v>
      </c>
      <c r="P18" s="54">
        <v>0.67</v>
      </c>
      <c r="Q18" s="54">
        <v>10.85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5.84</v>
      </c>
      <c r="C19" s="54">
        <v>12.19</v>
      </c>
      <c r="D19" s="54">
        <v>12.60</v>
      </c>
      <c r="E19" s="54">
        <v>1.78</v>
      </c>
      <c r="F19" s="54">
        <v>0.95</v>
      </c>
      <c r="G19" s="54">
        <v>56.63</v>
      </c>
      <c r="H19" s="54">
        <v>17.5</v>
      </c>
      <c r="I19" s="54">
        <v>1.54</v>
      </c>
      <c r="J19" s="54">
        <v>1.08</v>
      </c>
      <c r="K19" s="54">
        <v>327.62</v>
      </c>
      <c r="L19" s="54">
        <v>34.090000000000003</v>
      </c>
      <c r="M19" s="54">
        <v>55.98</v>
      </c>
      <c r="N19" s="54">
        <v>814.40</v>
      </c>
      <c r="O19" s="54">
        <v>0</v>
      </c>
      <c r="P19" s="54">
        <v>0.67</v>
      </c>
      <c r="Q19" s="55" t="s">
        <v>14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5.85</v>
      </c>
      <c r="C20" s="54">
        <v>13.19</v>
      </c>
      <c r="D20" s="54">
        <v>13.13</v>
      </c>
      <c r="E20" s="54">
        <v>2.16</v>
      </c>
      <c r="F20" s="54">
        <v>0.99</v>
      </c>
      <c r="G20" s="54">
        <v>52.05</v>
      </c>
      <c r="H20" s="54">
        <v>17.5</v>
      </c>
      <c r="I20" s="54">
        <v>1.55</v>
      </c>
      <c r="J20" s="54">
        <v>1.20</v>
      </c>
      <c r="K20" s="54">
        <v>331.40</v>
      </c>
      <c r="L20" s="54">
        <v>33.53</v>
      </c>
      <c r="M20" s="54">
        <v>56.15</v>
      </c>
      <c r="N20" s="54">
        <v>785.60</v>
      </c>
      <c r="O20" s="54">
        <v>0</v>
      </c>
      <c r="P20" s="54">
        <v>0.66</v>
      </c>
      <c r="Q20" s="55" t="s">
        <v>14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5.62</v>
      </c>
      <c r="C21" s="54">
        <v>13.52</v>
      </c>
      <c r="D21" s="54">
        <v>13.26</v>
      </c>
      <c r="E21" s="54">
        <v>1.70</v>
      </c>
      <c r="F21" s="54">
        <v>1.02</v>
      </c>
      <c r="G21" s="54">
        <v>44.51</v>
      </c>
      <c r="H21" s="54">
        <v>6.06</v>
      </c>
      <c r="I21" s="54">
        <v>1.53</v>
      </c>
      <c r="J21" s="54">
        <v>1.43</v>
      </c>
      <c r="K21" s="54">
        <v>327.57</v>
      </c>
      <c r="L21" s="54">
        <v>33.31</v>
      </c>
      <c r="M21" s="54">
        <v>58.16</v>
      </c>
      <c r="N21" s="54">
        <v>884.20</v>
      </c>
      <c r="O21" s="54">
        <v>0</v>
      </c>
      <c r="P21" s="54">
        <v>0.63</v>
      </c>
      <c r="Q21" s="55" t="s">
        <v>14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6.05</v>
      </c>
      <c r="C22" s="54">
        <v>13.35</v>
      </c>
      <c r="D22" s="54">
        <v>13.29</v>
      </c>
      <c r="E22" s="54">
        <v>1.73</v>
      </c>
      <c r="F22" s="54">
        <v>0.96</v>
      </c>
      <c r="G22" s="54">
        <v>44.39</v>
      </c>
      <c r="H22" s="54">
        <v>3.75</v>
      </c>
      <c r="I22" s="54">
        <v>1.51</v>
      </c>
      <c r="J22" s="54">
        <v>1.46</v>
      </c>
      <c r="K22" s="54">
        <v>341.06</v>
      </c>
      <c r="L22" s="54">
        <v>32.57</v>
      </c>
      <c r="M22" s="54">
        <v>58.20</v>
      </c>
      <c r="N22" s="54">
        <v>648.90</v>
      </c>
      <c r="O22" s="54">
        <v>0</v>
      </c>
      <c r="P22" s="54">
        <v>0.60</v>
      </c>
      <c r="Q22" s="55" t="s">
        <v>14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5.76</v>
      </c>
      <c r="C23" s="54">
        <v>13.97</v>
      </c>
      <c r="D23" s="54">
        <v>13.22</v>
      </c>
      <c r="E23" s="54">
        <v>1.51</v>
      </c>
      <c r="F23" s="54">
        <v>1.1299999999999999</v>
      </c>
      <c r="G23" s="54">
        <v>40.29</v>
      </c>
      <c r="H23" s="54">
        <v>9.93</v>
      </c>
      <c r="I23" s="54">
        <v>1.55</v>
      </c>
      <c r="J23" s="54">
        <v>0.85</v>
      </c>
      <c r="K23" s="54">
        <v>332.20</v>
      </c>
      <c r="L23" s="54">
        <v>31.10</v>
      </c>
      <c r="M23" s="54">
        <v>60.62</v>
      </c>
      <c r="N23" s="54">
        <v>239.10</v>
      </c>
      <c r="O23" s="54">
        <v>0</v>
      </c>
      <c r="P23" s="54">
        <v>0.57999999999999996</v>
      </c>
      <c r="Q23" s="55" t="s">
        <v>14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5.87</v>
      </c>
      <c r="C24" s="54">
        <v>13.80</v>
      </c>
      <c r="D24" s="54">
        <v>13.42</v>
      </c>
      <c r="E24" s="54">
        <v>1.33</v>
      </c>
      <c r="F24" s="54">
        <v>0.97</v>
      </c>
      <c r="G24" s="54">
        <v>38.81</v>
      </c>
      <c r="H24" s="54">
        <v>9.93</v>
      </c>
      <c r="I24" s="54">
        <v>1.54</v>
      </c>
      <c r="J24" s="54">
        <v>0.44</v>
      </c>
      <c r="K24" s="54">
        <v>349.55</v>
      </c>
      <c r="L24" s="54">
        <v>29.56</v>
      </c>
      <c r="M24" s="54">
        <v>77.12</v>
      </c>
      <c r="N24" s="54">
        <v>120.30</v>
      </c>
      <c r="O24" s="54">
        <v>0</v>
      </c>
      <c r="P24" s="54">
        <v>0.59</v>
      </c>
      <c r="Q24" s="55" t="s">
        <v>14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5.21</v>
      </c>
      <c r="C25" s="54">
        <v>13.82</v>
      </c>
      <c r="D25" s="54">
        <v>13.09</v>
      </c>
      <c r="E25" s="54">
        <v>1.0900000000000001</v>
      </c>
      <c r="F25" s="54">
        <v>0.77</v>
      </c>
      <c r="G25" s="54">
        <v>40.549999999999997</v>
      </c>
      <c r="H25" s="54">
        <v>12.13</v>
      </c>
      <c r="I25" s="54">
        <v>1.57</v>
      </c>
      <c r="J25" s="54">
        <v>0.32</v>
      </c>
      <c r="K25" s="54">
        <v>17.86</v>
      </c>
      <c r="L25" s="54">
        <v>27.31</v>
      </c>
      <c r="M25" s="54">
        <v>79.930000000000007</v>
      </c>
      <c r="N25" s="54">
        <v>76.20</v>
      </c>
      <c r="O25" s="54">
        <v>0</v>
      </c>
      <c r="P25" s="54">
        <v>0.62</v>
      </c>
      <c r="Q25" s="55" t="s">
        <v>14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6.28</v>
      </c>
      <c r="C26" s="54">
        <v>15.11</v>
      </c>
      <c r="D26" s="54">
        <v>14.33</v>
      </c>
      <c r="E26" s="54">
        <v>1.45</v>
      </c>
      <c r="F26" s="54">
        <v>0.77</v>
      </c>
      <c r="G26" s="54">
        <v>40.549999999999997</v>
      </c>
      <c r="H26" s="54">
        <v>12.13</v>
      </c>
      <c r="I26" s="54">
        <v>1.54</v>
      </c>
      <c r="J26" s="54">
        <v>0.66</v>
      </c>
      <c r="K26" s="54">
        <v>337.34</v>
      </c>
      <c r="L26" s="54">
        <v>26.35</v>
      </c>
      <c r="M26" s="54">
        <v>98.93</v>
      </c>
      <c r="N26" s="54">
        <v>33.299999999999997</v>
      </c>
      <c r="O26" s="54">
        <v>0</v>
      </c>
      <c r="P26" s="54">
        <v>0.87</v>
      </c>
      <c r="Q26" s="55" t="s">
        <v>14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11.48</v>
      </c>
      <c r="C27" s="54">
        <v>13.71</v>
      </c>
      <c r="D27" s="54">
        <v>18.07</v>
      </c>
      <c r="E27" s="54">
        <v>1.17</v>
      </c>
      <c r="F27" s="54">
        <v>0.55000000000000004</v>
      </c>
      <c r="G27" s="54">
        <v>42.57</v>
      </c>
      <c r="H27" s="54">
        <v>20.07</v>
      </c>
      <c r="I27" s="54">
        <v>1.55</v>
      </c>
      <c r="J27" s="54">
        <v>0.71</v>
      </c>
      <c r="K27" s="54">
        <v>344.76</v>
      </c>
      <c r="L27" s="54">
        <v>23.57</v>
      </c>
      <c r="M27" s="54">
        <v>98.93</v>
      </c>
      <c r="N27" s="54">
        <v>11.10</v>
      </c>
      <c r="O27" s="54">
        <v>0</v>
      </c>
      <c r="P27" s="54">
        <v>1.65</v>
      </c>
      <c r="Q27" s="55" t="s">
        <v>14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14.46</v>
      </c>
      <c r="C28" s="54">
        <v>13.43</v>
      </c>
      <c r="D28" s="54">
        <v>19.61</v>
      </c>
      <c r="E28" s="54">
        <v>1.54</v>
      </c>
      <c r="F28" s="54">
        <v>0.5</v>
      </c>
      <c r="G28" s="54">
        <v>42.57</v>
      </c>
      <c r="H28" s="54">
        <v>20.07</v>
      </c>
      <c r="I28" s="54">
        <v>1.54</v>
      </c>
      <c r="J28" s="54">
        <v>0.90</v>
      </c>
      <c r="K28" s="54">
        <v>337.66</v>
      </c>
      <c r="L28" s="54">
        <v>23.22</v>
      </c>
      <c r="M28" s="54">
        <v>98.90</v>
      </c>
      <c r="N28" s="54">
        <v>11.30</v>
      </c>
      <c r="O28" s="54">
        <v>0</v>
      </c>
      <c r="P28" s="54">
        <v>1.1100000000000001</v>
      </c>
      <c r="Q28" s="55" t="s">
        <v>14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17.53</v>
      </c>
      <c r="C29" s="54">
        <v>12.72</v>
      </c>
      <c r="D29" s="54">
        <v>22.30</v>
      </c>
      <c r="E29" s="54">
        <v>1.55</v>
      </c>
      <c r="F29" s="54">
        <v>0.78</v>
      </c>
      <c r="G29" s="54">
        <v>35.799999999999997</v>
      </c>
      <c r="H29" s="54">
        <v>15.39</v>
      </c>
      <c r="I29" s="54">
        <v>1.56</v>
      </c>
      <c r="J29" s="54">
        <v>0.18</v>
      </c>
      <c r="K29" s="54">
        <v>329.74</v>
      </c>
      <c r="L29" s="54">
        <v>23.35</v>
      </c>
      <c r="M29" s="54">
        <v>98.90</v>
      </c>
      <c r="N29" s="54">
        <v>10.5</v>
      </c>
      <c r="O29" s="54">
        <v>0</v>
      </c>
      <c r="P29" s="54">
        <v>1.01</v>
      </c>
      <c r="Q29" s="55" t="s">
        <v>14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19.02</v>
      </c>
      <c r="C30" s="54">
        <v>12.61</v>
      </c>
      <c r="D30" s="54">
        <v>23.45</v>
      </c>
      <c r="E30" s="54">
        <v>1.80</v>
      </c>
      <c r="F30" s="54">
        <v>0.48</v>
      </c>
      <c r="G30" s="54">
        <v>38.479999999999997</v>
      </c>
      <c r="H30" s="54">
        <v>11.87</v>
      </c>
      <c r="I30" s="54">
        <v>1.53</v>
      </c>
      <c r="J30" s="54">
        <v>0.35</v>
      </c>
      <c r="K30" s="54">
        <v>328.82</v>
      </c>
      <c r="L30" s="54">
        <v>23.43</v>
      </c>
      <c r="M30" s="54">
        <v>98.87</v>
      </c>
      <c r="N30" s="54">
        <v>10.40</v>
      </c>
      <c r="O30" s="54">
        <v>0</v>
      </c>
      <c r="P30" s="54">
        <v>0.98</v>
      </c>
      <c r="Q30" s="55" t="s">
        <v>14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19.43</v>
      </c>
      <c r="C31" s="54">
        <v>11.97</v>
      </c>
      <c r="D31" s="54">
        <v>23.26</v>
      </c>
      <c r="E31" s="54">
        <v>1.96</v>
      </c>
      <c r="F31" s="54">
        <v>0.57999999999999996</v>
      </c>
      <c r="G31" s="54">
        <v>46</v>
      </c>
      <c r="H31" s="54">
        <v>15.99</v>
      </c>
      <c r="I31" s="54">
        <v>1.51</v>
      </c>
      <c r="J31" s="54">
        <v>0.46</v>
      </c>
      <c r="K31" s="54">
        <v>336.03</v>
      </c>
      <c r="L31" s="54">
        <v>23.52</v>
      </c>
      <c r="M31" s="54">
        <v>98.88</v>
      </c>
      <c r="N31" s="54">
        <v>10.30</v>
      </c>
      <c r="O31" s="54">
        <v>0</v>
      </c>
      <c r="P31" s="54">
        <v>0.88</v>
      </c>
      <c r="Q31" s="55" t="s">
        <v>14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19.05</v>
      </c>
      <c r="C32" s="54">
        <v>11.08</v>
      </c>
      <c r="D32" s="54">
        <v>22.49</v>
      </c>
      <c r="E32" s="54">
        <v>1.90</v>
      </c>
      <c r="F32" s="54">
        <v>0.53</v>
      </c>
      <c r="G32" s="54">
        <v>48.83</v>
      </c>
      <c r="H32" s="54">
        <v>15.99</v>
      </c>
      <c r="I32" s="54">
        <v>1.51</v>
      </c>
      <c r="J32" s="54">
        <v>0.30</v>
      </c>
      <c r="K32" s="54">
        <v>333.98</v>
      </c>
      <c r="L32" s="54">
        <v>23.19</v>
      </c>
      <c r="M32" s="54">
        <v>98.88</v>
      </c>
      <c r="N32" s="54">
        <v>9.6999999999999993</v>
      </c>
      <c r="O32" s="54">
        <v>0</v>
      </c>
      <c r="P32" s="54">
        <v>0.87</v>
      </c>
      <c r="Q32" s="55" t="s">
        <v>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4.5</v>
      </c>
      <c r="C34" s="28">
        <f t="shared" si="0"/>
        <v>8.7200000000000006</v>
      </c>
      <c r="D34" s="28">
        <f t="shared" si="0"/>
        <v>9.6400000000000006</v>
      </c>
      <c r="E34" s="28">
        <f t="shared" si="0"/>
        <v>1.0900000000000001</v>
      </c>
      <c r="F34" s="28">
        <f t="shared" si="0"/>
        <v>0.47999999999999998</v>
      </c>
      <c r="G34" s="28">
        <f t="shared" si="0"/>
        <v>35.799999999999997</v>
      </c>
      <c r="H34" s="28">
        <f t="shared" si="0"/>
        <v>3.75</v>
      </c>
      <c r="I34" s="28">
        <f t="shared" si="0"/>
        <v>1.51</v>
      </c>
      <c r="J34" s="28">
        <f t="shared" si="0"/>
        <v>0.14000000000000001</v>
      </c>
      <c r="K34" s="28">
        <f t="shared" si="0"/>
        <v>17.859999999999999</v>
      </c>
      <c r="L34" s="28">
        <f t="shared" si="0"/>
        <v>23.190000000000001</v>
      </c>
      <c r="M34" s="28">
        <f t="shared" si="0"/>
        <v>55.979999999999997</v>
      </c>
      <c r="N34" s="28">
        <f t="shared" si="0"/>
        <v>9.5999999999999996</v>
      </c>
      <c r="O34" s="28">
        <f t="shared" si="0"/>
        <v>0</v>
      </c>
      <c r="P34" s="28">
        <f t="shared" si="0"/>
        <v>0.57999999999999996</v>
      </c>
      <c r="Q34" s="28">
        <f t="shared" si="0"/>
        <v>10.050000000000001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19.43</v>
      </c>
      <c r="C35" s="29">
        <f t="shared" si="1"/>
        <v>15.109999999999999</v>
      </c>
      <c r="D35" s="29">
        <f t="shared" si="1"/>
        <v>23.449999999999999</v>
      </c>
      <c r="E35" s="29">
        <f t="shared" si="1"/>
        <v>3.25</v>
      </c>
      <c r="F35" s="29">
        <f t="shared" si="1"/>
        <v>4.46</v>
      </c>
      <c r="G35" s="29">
        <f t="shared" si="1"/>
        <v>57.600000000000001</v>
      </c>
      <c r="H35" s="29">
        <f t="shared" si="1"/>
        <v>25.620000000000001</v>
      </c>
      <c r="I35" s="29">
        <f t="shared" si="1"/>
        <v>1.5700000000000001</v>
      </c>
      <c r="J35" s="29">
        <f t="shared" si="1"/>
        <v>1.46</v>
      </c>
      <c r="K35" s="29">
        <f t="shared" si="1"/>
        <v>359.83999999999997</v>
      </c>
      <c r="L35" s="29">
        <f t="shared" si="1"/>
        <v>34.090000000000003</v>
      </c>
      <c r="M35" s="29">
        <f t="shared" si="1"/>
        <v>98.930000000000007</v>
      </c>
      <c r="N35" s="29">
        <f t="shared" si="1"/>
        <v>884.20000000000005</v>
      </c>
      <c r="O35" s="29">
        <f t="shared" si="1"/>
        <v>0</v>
      </c>
      <c r="P35" s="29">
        <f t="shared" si="1"/>
        <v>1.6499999999999999</v>
      </c>
      <c r="Q35" s="29">
        <f t="shared" si="1"/>
        <v>13.289999999999999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8.920416666666668</v>
      </c>
      <c r="C36" s="28">
        <f t="shared" si="2"/>
        <v>12.554166666666669</v>
      </c>
      <c r="D36" s="28">
        <f t="shared" si="2"/>
        <v>15.194999999999999</v>
      </c>
      <c r="E36" s="28">
        <f t="shared" si="2"/>
        <v>1.9537499999999997</v>
      </c>
      <c r="F36" s="28">
        <f t="shared" si="2"/>
        <v>1.3041666666666665</v>
      </c>
      <c r="G36" s="28">
        <f t="shared" si="2"/>
        <v>46.441666666666663</v>
      </c>
      <c r="H36" s="28">
        <f t="shared" si="2"/>
        <v>15.399166666666668</v>
      </c>
      <c r="I36" s="28">
        <f t="shared" si="2"/>
        <v>1.5387500000000001</v>
      </c>
      <c r="J36" s="28">
        <f t="shared" si="2"/>
        <v>0.54083333333333339</v>
      </c>
      <c r="K36" s="28">
        <f t="shared" si="2"/>
        <v>275.82791666666662</v>
      </c>
      <c r="L36" s="28">
        <f t="shared" si="2"/>
        <v>26.650000000000006</v>
      </c>
      <c r="M36" s="28">
        <f t="shared" si="2"/>
        <v>86.753750000000039</v>
      </c>
      <c r="N36" s="28">
        <f t="shared" si="2"/>
        <v>219.73749999999998</v>
      </c>
      <c r="O36" s="28">
        <f t="shared" si="2"/>
        <v>0</v>
      </c>
      <c r="P36" s="28">
        <f t="shared" si="2"/>
        <v>0.7895833333333333</v>
      </c>
      <c r="Q36" s="28">
        <f t="shared" si="2"/>
        <v>11.394000000000002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4.9929493585556655</v>
      </c>
      <c r="C37" s="28">
        <f t="shared" si="3" ref="C37:Q37">STDEV(C9:C32)</f>
        <v>1.5511115696329487</v>
      </c>
      <c r="D37" s="28">
        <f t="shared" si="3"/>
        <v>3.9878522060617247</v>
      </c>
      <c r="E37" s="28">
        <f t="shared" si="3"/>
        <v>0.59719498308851271</v>
      </c>
      <c r="F37" s="28">
        <f t="shared" si="3"/>
        <v>1.1537233360870724</v>
      </c>
      <c r="G37" s="28">
        <f t="shared" si="3"/>
        <v>6.2186498371512622</v>
      </c>
      <c r="H37" s="28">
        <f t="shared" si="3"/>
        <v>5.2325701695925781</v>
      </c>
      <c r="I37" s="28">
        <f t="shared" si="3"/>
        <v>0.020283319340735666</v>
      </c>
      <c r="J37" s="28">
        <f t="shared" si="3"/>
        <v>0.41800683026109464</v>
      </c>
      <c r="K37" s="28">
        <f t="shared" si="3"/>
        <v>128.52455275428287</v>
      </c>
      <c r="L37" s="28">
        <f t="shared" si="3"/>
        <v>4.154081282828658</v>
      </c>
      <c r="M37" s="28">
        <f t="shared" si="3"/>
        <v>17.265801285249708</v>
      </c>
      <c r="N37" s="28">
        <f t="shared" si="3"/>
        <v>317.61806817034329</v>
      </c>
      <c r="O37" s="28">
        <f t="shared" si="3"/>
        <v>0</v>
      </c>
      <c r="P37" s="28">
        <f t="shared" si="3"/>
        <v>0.23152573651036476</v>
      </c>
      <c r="Q37" s="28">
        <f t="shared" si="3"/>
        <v>1.0498698332015441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COUNT(Q9:Q32)+14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f2ea384-a157-4c43-8806-f26d3cae71e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17.170000000000002</v>
      </c>
      <c r="C9" s="54">
        <v>10.69</v>
      </c>
      <c r="D9" s="54">
        <v>20.82</v>
      </c>
      <c r="E9" s="54">
        <v>2.29</v>
      </c>
      <c r="F9" s="54">
        <v>0.56999999999999995</v>
      </c>
      <c r="G9" s="54">
        <v>50.39</v>
      </c>
      <c r="H9" s="54">
        <v>12.44</v>
      </c>
      <c r="I9" s="54">
        <v>1.55</v>
      </c>
      <c r="J9" s="54">
        <v>0.42</v>
      </c>
      <c r="K9" s="54">
        <v>336.49</v>
      </c>
      <c r="L9" s="54">
        <v>23.05</v>
      </c>
      <c r="M9" s="54">
        <v>98.90</v>
      </c>
      <c r="N9" s="54">
        <v>9.10</v>
      </c>
      <c r="O9" s="54">
        <v>0</v>
      </c>
      <c r="P9" s="54">
        <v>0.77</v>
      </c>
      <c r="Q9" s="55" t="s">
        <v>14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15.04</v>
      </c>
      <c r="C10" s="54">
        <v>10.039999999999999</v>
      </c>
      <c r="D10" s="54">
        <v>18.89</v>
      </c>
      <c r="E10" s="54">
        <v>1.97</v>
      </c>
      <c r="F10" s="54">
        <v>0.56999999999999995</v>
      </c>
      <c r="G10" s="54">
        <v>50.39</v>
      </c>
      <c r="H10" s="54">
        <v>5.99</v>
      </c>
      <c r="I10" s="54">
        <v>1.51</v>
      </c>
      <c r="J10" s="54">
        <v>0.65</v>
      </c>
      <c r="K10" s="54">
        <v>325.57</v>
      </c>
      <c r="L10" s="54">
        <v>22.96</v>
      </c>
      <c r="M10" s="54">
        <v>98.90</v>
      </c>
      <c r="N10" s="54">
        <v>9.1999999999999993</v>
      </c>
      <c r="O10" s="54">
        <v>0</v>
      </c>
      <c r="P10" s="54">
        <v>0.59</v>
      </c>
      <c r="Q10" s="55" t="s">
        <v>14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13.49</v>
      </c>
      <c r="C11" s="54">
        <v>9.83</v>
      </c>
      <c r="D11" s="54">
        <v>17.12</v>
      </c>
      <c r="E11" s="54">
        <v>2.4900000000000002</v>
      </c>
      <c r="F11" s="54">
        <v>0.33</v>
      </c>
      <c r="G11" s="54">
        <v>43.71</v>
      </c>
      <c r="H11" s="54">
        <v>5.99</v>
      </c>
      <c r="I11" s="54">
        <v>1.54</v>
      </c>
      <c r="J11" s="54">
        <v>0.32</v>
      </c>
      <c r="K11" s="54">
        <v>335.94</v>
      </c>
      <c r="L11" s="54">
        <v>22.70</v>
      </c>
      <c r="M11" s="54">
        <v>98.74</v>
      </c>
      <c r="N11" s="54">
        <v>9.1999999999999993</v>
      </c>
      <c r="O11" s="54">
        <v>0</v>
      </c>
      <c r="P11" s="54">
        <v>0.60</v>
      </c>
      <c r="Q11" s="55" t="s">
        <v>14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12.02</v>
      </c>
      <c r="C12" s="54">
        <v>9.35</v>
      </c>
      <c r="D12" s="54">
        <v>16.09</v>
      </c>
      <c r="E12" s="54">
        <v>1.76</v>
      </c>
      <c r="F12" s="54">
        <v>0.22</v>
      </c>
      <c r="G12" s="54">
        <v>35.79</v>
      </c>
      <c r="H12" s="54">
        <v>10.75</v>
      </c>
      <c r="I12" s="54">
        <v>1.57</v>
      </c>
      <c r="J12" s="54">
        <v>0.25</v>
      </c>
      <c r="K12" s="54">
        <v>356.62</v>
      </c>
      <c r="L12" s="54">
        <v>22.63</v>
      </c>
      <c r="M12" s="54">
        <v>98.64</v>
      </c>
      <c r="N12" s="54">
        <v>9.1999999999999993</v>
      </c>
      <c r="O12" s="54">
        <v>0</v>
      </c>
      <c r="P12" s="54">
        <v>0.5</v>
      </c>
      <c r="Q12" s="55" t="s">
        <v>14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10.69</v>
      </c>
      <c r="C13" s="54">
        <v>8.84</v>
      </c>
      <c r="D13" s="54">
        <v>14.67</v>
      </c>
      <c r="E13" s="54">
        <v>1.43</v>
      </c>
      <c r="F13" s="54">
        <v>0.66</v>
      </c>
      <c r="G13" s="54">
        <v>29.20</v>
      </c>
      <c r="H13" s="54">
        <v>10.75</v>
      </c>
      <c r="I13" s="54">
        <v>1.5</v>
      </c>
      <c r="J13" s="54">
        <v>0.19</v>
      </c>
      <c r="K13" s="54">
        <v>353.83</v>
      </c>
      <c r="L13" s="54">
        <v>22.73</v>
      </c>
      <c r="M13" s="54">
        <v>98.68</v>
      </c>
      <c r="N13" s="54">
        <v>9.3000000000000007</v>
      </c>
      <c r="O13" s="54">
        <v>0</v>
      </c>
      <c r="P13" s="54">
        <v>0.44</v>
      </c>
      <c r="Q13" s="55" t="s">
        <v>14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9.6999999999999993</v>
      </c>
      <c r="C14" s="54">
        <v>9.60</v>
      </c>
      <c r="D14" s="54">
        <v>14.11</v>
      </c>
      <c r="E14" s="54">
        <v>1.77</v>
      </c>
      <c r="F14" s="54">
        <v>0.53</v>
      </c>
      <c r="G14" s="54">
        <v>29.20</v>
      </c>
      <c r="H14" s="54">
        <v>9.09</v>
      </c>
      <c r="I14" s="54">
        <v>1.52</v>
      </c>
      <c r="J14" s="54">
        <v>0.5</v>
      </c>
      <c r="K14" s="54">
        <v>343.58</v>
      </c>
      <c r="L14" s="54">
        <v>22.56</v>
      </c>
      <c r="M14" s="54">
        <v>98.75</v>
      </c>
      <c r="N14" s="54">
        <v>13</v>
      </c>
      <c r="O14" s="54">
        <v>0</v>
      </c>
      <c r="P14" s="54">
        <v>0.41</v>
      </c>
      <c r="Q14" s="55" t="s">
        <v>14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9.76</v>
      </c>
      <c r="C15" s="54">
        <v>9.86</v>
      </c>
      <c r="D15" s="54">
        <v>14.56</v>
      </c>
      <c r="E15" s="54">
        <v>1.5</v>
      </c>
      <c r="F15" s="54">
        <v>0.52</v>
      </c>
      <c r="G15" s="54">
        <v>26.33</v>
      </c>
      <c r="H15" s="54">
        <v>8.65</v>
      </c>
      <c r="I15" s="54">
        <v>1.52</v>
      </c>
      <c r="J15" s="54">
        <v>0.74</v>
      </c>
      <c r="K15" s="54">
        <v>320.22000000000003</v>
      </c>
      <c r="L15" s="54">
        <v>23.72</v>
      </c>
      <c r="M15" s="54">
        <v>98.85</v>
      </c>
      <c r="N15" s="54">
        <v>119</v>
      </c>
      <c r="O15" s="54">
        <v>0</v>
      </c>
      <c r="P15" s="54">
        <v>0.37</v>
      </c>
      <c r="Q15" s="55" t="s">
        <v>14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10.63</v>
      </c>
      <c r="C16" s="54">
        <v>10.07</v>
      </c>
      <c r="D16" s="54">
        <v>15.38</v>
      </c>
      <c r="E16" s="54">
        <v>1.88</v>
      </c>
      <c r="F16" s="54">
        <v>0.65</v>
      </c>
      <c r="G16" s="54">
        <v>27.23</v>
      </c>
      <c r="H16" s="54">
        <v>10.029999999999999</v>
      </c>
      <c r="I16" s="54">
        <v>1.56</v>
      </c>
      <c r="J16" s="54">
        <v>0.77</v>
      </c>
      <c r="K16" s="54">
        <v>330.73</v>
      </c>
      <c r="L16" s="54">
        <v>25.72</v>
      </c>
      <c r="M16" s="54">
        <v>87.08</v>
      </c>
      <c r="N16" s="54">
        <v>194.70</v>
      </c>
      <c r="O16" s="54">
        <v>0</v>
      </c>
      <c r="P16" s="54">
        <v>0.40</v>
      </c>
      <c r="Q16" s="55" t="s">
        <v>14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10.83</v>
      </c>
      <c r="C17" s="54">
        <v>11.42</v>
      </c>
      <c r="D17" s="54">
        <v>16.05</v>
      </c>
      <c r="E17" s="54">
        <v>2.2999999999999998</v>
      </c>
      <c r="F17" s="54">
        <v>0.36</v>
      </c>
      <c r="G17" s="54">
        <v>27.5</v>
      </c>
      <c r="H17" s="54">
        <v>10.029999999999999</v>
      </c>
      <c r="I17" s="54">
        <v>1.55</v>
      </c>
      <c r="J17" s="54">
        <v>0.53</v>
      </c>
      <c r="K17" s="54">
        <v>333.29</v>
      </c>
      <c r="L17" s="54">
        <v>26.64</v>
      </c>
      <c r="M17" s="54">
        <v>86.73</v>
      </c>
      <c r="N17" s="54">
        <v>371.10</v>
      </c>
      <c r="O17" s="54">
        <v>0</v>
      </c>
      <c r="P17" s="54">
        <v>0.43</v>
      </c>
      <c r="Q17" s="55" t="s">
        <v>14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10.42</v>
      </c>
      <c r="C18" s="54">
        <v>12.04</v>
      </c>
      <c r="D18" s="54">
        <v>16.04</v>
      </c>
      <c r="E18" s="54">
        <v>1.99</v>
      </c>
      <c r="F18" s="54">
        <v>0.71</v>
      </c>
      <c r="G18" s="54">
        <v>32.04</v>
      </c>
      <c r="H18" s="54">
        <v>9.58</v>
      </c>
      <c r="I18" s="54">
        <v>1.59</v>
      </c>
      <c r="J18" s="54">
        <v>1.52</v>
      </c>
      <c r="K18" s="54">
        <v>323.20999999999998</v>
      </c>
      <c r="L18" s="54">
        <v>31.66</v>
      </c>
      <c r="M18" s="54">
        <v>71.41</v>
      </c>
      <c r="N18" s="54">
        <v>861.10</v>
      </c>
      <c r="O18" s="54">
        <v>0</v>
      </c>
      <c r="P18" s="54">
        <v>0.45</v>
      </c>
      <c r="Q18" s="55" t="s">
        <v>14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8.99</v>
      </c>
      <c r="C19" s="54">
        <v>15.59</v>
      </c>
      <c r="D19" s="54">
        <v>15.43</v>
      </c>
      <c r="E19" s="54">
        <v>2.60</v>
      </c>
      <c r="F19" s="54">
        <v>1.1000000000000001</v>
      </c>
      <c r="G19" s="54">
        <v>33.67</v>
      </c>
      <c r="H19" s="54">
        <v>9.67</v>
      </c>
      <c r="I19" s="54">
        <v>1.51</v>
      </c>
      <c r="J19" s="54">
        <v>2.19</v>
      </c>
      <c r="K19" s="54">
        <v>322.16000000000003</v>
      </c>
      <c r="L19" s="54">
        <v>32.369999999999997</v>
      </c>
      <c r="M19" s="54">
        <v>64.709999999999994</v>
      </c>
      <c r="N19" s="54">
        <v>831.20</v>
      </c>
      <c r="O19" s="54">
        <v>0</v>
      </c>
      <c r="P19" s="54">
        <v>0.49</v>
      </c>
      <c r="Q19" s="55" t="s">
        <v>14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5.82</v>
      </c>
      <c r="C20" s="54">
        <v>17.45</v>
      </c>
      <c r="D20" s="54">
        <v>15.59</v>
      </c>
      <c r="E20" s="18" t="s">
        <v>12</v>
      </c>
      <c r="F20" s="54">
        <v>1.47</v>
      </c>
      <c r="G20" s="56" t="s">
        <v>12</v>
      </c>
      <c r="H20" s="56" t="s">
        <v>12</v>
      </c>
      <c r="I20" s="54">
        <v>1.53</v>
      </c>
      <c r="J20" s="54">
        <v>2.0099999999999998</v>
      </c>
      <c r="K20" s="54">
        <v>330.69</v>
      </c>
      <c r="L20" s="54">
        <v>32.15</v>
      </c>
      <c r="M20" s="54">
        <v>63.82</v>
      </c>
      <c r="N20" s="54">
        <v>762.80</v>
      </c>
      <c r="O20" s="54">
        <v>0</v>
      </c>
      <c r="P20" s="54">
        <v>0.46</v>
      </c>
      <c r="Q20" s="55" t="s">
        <v>14</v>
      </c>
      <c r="R20" s="43"/>
      <c r="S20" s="43"/>
      <c r="T20" s="43"/>
      <c r="U20" s="43"/>
    </row>
    <row r="21" spans="1:21" s="11" customFormat="1" ht="15">
      <c r="A21" s="53" t="s">
        <v>122</v>
      </c>
      <c r="B21" s="56" t="s">
        <v>12</v>
      </c>
      <c r="C21" s="56" t="s">
        <v>12</v>
      </c>
      <c r="D21" s="56" t="s">
        <v>12</v>
      </c>
      <c r="E21" s="54">
        <v>4.95</v>
      </c>
      <c r="F21" s="54">
        <v>1.70</v>
      </c>
      <c r="G21" s="56" t="s">
        <v>12</v>
      </c>
      <c r="H21" s="56" t="s">
        <v>12</v>
      </c>
      <c r="I21" s="54">
        <v>1.57</v>
      </c>
      <c r="J21" s="54">
        <v>2.40</v>
      </c>
      <c r="K21" s="54">
        <v>331.09</v>
      </c>
      <c r="L21" s="54">
        <v>31.67</v>
      </c>
      <c r="M21" s="54">
        <v>69.14</v>
      </c>
      <c r="N21" s="54">
        <v>734.10</v>
      </c>
      <c r="O21" s="54">
        <v>0</v>
      </c>
      <c r="P21" s="54">
        <v>0.46</v>
      </c>
      <c r="Q21" s="55" t="s">
        <v>14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7.54</v>
      </c>
      <c r="C22" s="54">
        <v>13.65</v>
      </c>
      <c r="D22" s="54">
        <v>12.83</v>
      </c>
      <c r="E22" s="54">
        <v>7.29</v>
      </c>
      <c r="F22" s="54">
        <v>1.93</v>
      </c>
      <c r="G22" s="56" t="s">
        <v>12</v>
      </c>
      <c r="H22" s="56" t="s">
        <v>12</v>
      </c>
      <c r="I22" s="54">
        <v>1.52</v>
      </c>
      <c r="J22" s="54">
        <v>3.08</v>
      </c>
      <c r="K22" s="54">
        <v>331.53</v>
      </c>
      <c r="L22" s="54">
        <v>30.79</v>
      </c>
      <c r="M22" s="54">
        <v>62.52</v>
      </c>
      <c r="N22" s="54">
        <v>461.70</v>
      </c>
      <c r="O22" s="54">
        <v>0</v>
      </c>
      <c r="P22" s="54">
        <v>0.41</v>
      </c>
      <c r="Q22" s="54">
        <v>7.79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4.5</v>
      </c>
      <c r="C23" s="54">
        <v>16.05</v>
      </c>
      <c r="D23" s="54">
        <v>13.58</v>
      </c>
      <c r="E23" s="54">
        <v>2.64</v>
      </c>
      <c r="F23" s="54">
        <v>2</v>
      </c>
      <c r="G23" s="56" t="s">
        <v>12</v>
      </c>
      <c r="H23" s="56" t="s">
        <v>12</v>
      </c>
      <c r="I23" s="54">
        <v>1.60</v>
      </c>
      <c r="J23" s="54">
        <v>3.25</v>
      </c>
      <c r="K23" s="54">
        <v>342.85</v>
      </c>
      <c r="L23" s="54">
        <v>29.41</v>
      </c>
      <c r="M23" s="54">
        <v>57.49</v>
      </c>
      <c r="N23" s="54">
        <v>284.39999999999998</v>
      </c>
      <c r="O23" s="54">
        <v>0</v>
      </c>
      <c r="P23" s="54">
        <v>0.42</v>
      </c>
      <c r="Q23" s="54">
        <v>7.10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6.52</v>
      </c>
      <c r="C24" s="54">
        <v>16.47</v>
      </c>
      <c r="D24" s="54">
        <v>15.61</v>
      </c>
      <c r="E24" s="54">
        <v>2.1800000000000002</v>
      </c>
      <c r="F24" s="54">
        <v>1.1200000000000001</v>
      </c>
      <c r="G24" s="54">
        <v>37.909999999999997</v>
      </c>
      <c r="H24" s="54">
        <v>10.130000000000001</v>
      </c>
      <c r="I24" s="54">
        <v>1.56</v>
      </c>
      <c r="J24" s="54">
        <v>2.67</v>
      </c>
      <c r="K24" s="54">
        <v>341.85</v>
      </c>
      <c r="L24" s="54">
        <v>28.08</v>
      </c>
      <c r="M24" s="54">
        <v>58.77</v>
      </c>
      <c r="N24" s="54">
        <v>196.70</v>
      </c>
      <c r="O24" s="54">
        <v>0</v>
      </c>
      <c r="P24" s="54">
        <v>0.41</v>
      </c>
      <c r="Q24" s="54">
        <v>9.6300000000000008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6.62</v>
      </c>
      <c r="C25" s="54">
        <v>19.100000000000001</v>
      </c>
      <c r="D25" s="54">
        <v>16.30</v>
      </c>
      <c r="E25" s="54">
        <v>0.90</v>
      </c>
      <c r="F25" s="54">
        <v>1.29</v>
      </c>
      <c r="G25" s="54">
        <v>40.369999999999997</v>
      </c>
      <c r="H25" s="54">
        <v>10.59</v>
      </c>
      <c r="I25" s="54">
        <v>1.51</v>
      </c>
      <c r="J25" s="54">
        <v>1.88</v>
      </c>
      <c r="K25" s="54">
        <v>338.43</v>
      </c>
      <c r="L25" s="54">
        <v>27.91</v>
      </c>
      <c r="M25" s="54">
        <v>56.62</v>
      </c>
      <c r="N25" s="54">
        <v>135.90</v>
      </c>
      <c r="O25" s="54">
        <v>0</v>
      </c>
      <c r="P25" s="54">
        <v>0.5</v>
      </c>
      <c r="Q25" s="54">
        <v>10.15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14.13</v>
      </c>
      <c r="C26" s="54">
        <v>21.52</v>
      </c>
      <c r="D26" s="54">
        <v>24.29</v>
      </c>
      <c r="E26" s="54">
        <v>1.26</v>
      </c>
      <c r="F26" s="54">
        <v>0.87</v>
      </c>
      <c r="G26" s="54">
        <v>40.369999999999997</v>
      </c>
      <c r="H26" s="54">
        <v>11.70</v>
      </c>
      <c r="I26" s="54">
        <v>1.52</v>
      </c>
      <c r="J26" s="54">
        <v>1.07</v>
      </c>
      <c r="K26" s="54">
        <v>341.26</v>
      </c>
      <c r="L26" s="54">
        <v>27.07</v>
      </c>
      <c r="M26" s="54">
        <v>60.32</v>
      </c>
      <c r="N26" s="54">
        <v>49.5</v>
      </c>
      <c r="O26" s="54">
        <v>0</v>
      </c>
      <c r="P26" s="54">
        <v>0.81</v>
      </c>
      <c r="Q26" s="54">
        <v>11.26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17.45</v>
      </c>
      <c r="C27" s="54">
        <v>20.55</v>
      </c>
      <c r="D27" s="54">
        <v>24.63</v>
      </c>
      <c r="E27" s="54">
        <v>0.92</v>
      </c>
      <c r="F27" s="54">
        <v>0.56999999999999995</v>
      </c>
      <c r="G27" s="54">
        <v>149.91</v>
      </c>
      <c r="H27" s="54">
        <v>22.12</v>
      </c>
      <c r="I27" s="54">
        <v>1.52</v>
      </c>
      <c r="J27" s="54">
        <v>0.74</v>
      </c>
      <c r="K27" s="54">
        <v>327.76</v>
      </c>
      <c r="L27" s="54">
        <v>25.94</v>
      </c>
      <c r="M27" s="54">
        <v>72.52</v>
      </c>
      <c r="N27" s="54">
        <v>9.40</v>
      </c>
      <c r="O27" s="54">
        <v>0</v>
      </c>
      <c r="P27" s="54">
        <v>1.42</v>
      </c>
      <c r="Q27" s="54">
        <v>11.91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22.99</v>
      </c>
      <c r="C28" s="54">
        <v>15.04</v>
      </c>
      <c r="D28" s="54">
        <v>27.31</v>
      </c>
      <c r="E28" s="54">
        <v>1.31</v>
      </c>
      <c r="F28" s="54">
        <v>0.42</v>
      </c>
      <c r="G28" s="54">
        <v>149.91</v>
      </c>
      <c r="H28" s="54">
        <v>28.23</v>
      </c>
      <c r="I28" s="54">
        <v>1.56</v>
      </c>
      <c r="J28" s="54">
        <v>0.24</v>
      </c>
      <c r="K28" s="54">
        <v>353.79</v>
      </c>
      <c r="L28" s="54">
        <v>24.94</v>
      </c>
      <c r="M28" s="54">
        <v>80.349999999999994</v>
      </c>
      <c r="N28" s="54">
        <v>9.10</v>
      </c>
      <c r="O28" s="54">
        <v>0</v>
      </c>
      <c r="P28" s="54">
        <v>1.38</v>
      </c>
      <c r="Q28" s="54">
        <v>12.40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26.39</v>
      </c>
      <c r="C29" s="54">
        <v>13.40</v>
      </c>
      <c r="D29" s="54">
        <v>29.78</v>
      </c>
      <c r="E29" s="54">
        <v>1.81</v>
      </c>
      <c r="F29" s="54">
        <v>0.63</v>
      </c>
      <c r="G29" s="54">
        <v>142.47</v>
      </c>
      <c r="H29" s="54">
        <v>28.23</v>
      </c>
      <c r="I29" s="54">
        <v>1.5</v>
      </c>
      <c r="J29" s="54">
        <v>0.27</v>
      </c>
      <c r="K29" s="54">
        <v>327.13</v>
      </c>
      <c r="L29" s="54">
        <v>24.58</v>
      </c>
      <c r="M29" s="54">
        <v>82.91</v>
      </c>
      <c r="N29" s="54">
        <v>8.90</v>
      </c>
      <c r="O29" s="54">
        <v>0</v>
      </c>
      <c r="P29" s="54">
        <v>1.29</v>
      </c>
      <c r="Q29" s="54">
        <v>12.10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29.65</v>
      </c>
      <c r="C30" s="54">
        <v>14.82</v>
      </c>
      <c r="D30" s="54">
        <v>33.22</v>
      </c>
      <c r="E30" s="54">
        <v>2.2799999999999998</v>
      </c>
      <c r="F30" s="54">
        <v>0.47</v>
      </c>
      <c r="G30" s="54">
        <v>98.05</v>
      </c>
      <c r="H30" s="54">
        <v>30.11</v>
      </c>
      <c r="I30" s="54">
        <v>1.54</v>
      </c>
      <c r="J30" s="54">
        <v>0.67</v>
      </c>
      <c r="K30" s="54">
        <v>325.81</v>
      </c>
      <c r="L30" s="54">
        <v>24.07</v>
      </c>
      <c r="M30" s="54">
        <v>79.61</v>
      </c>
      <c r="N30" s="54">
        <v>9.1999999999999993</v>
      </c>
      <c r="O30" s="54">
        <v>0</v>
      </c>
      <c r="P30" s="54">
        <v>1.24</v>
      </c>
      <c r="Q30" s="54">
        <v>12.90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29.62</v>
      </c>
      <c r="C31" s="54">
        <v>14.55</v>
      </c>
      <c r="D31" s="54">
        <v>33.07</v>
      </c>
      <c r="E31" s="54">
        <v>2.0499999999999998</v>
      </c>
      <c r="F31" s="54">
        <v>0.5</v>
      </c>
      <c r="G31" s="54">
        <v>98.05</v>
      </c>
      <c r="H31" s="54">
        <v>30.11</v>
      </c>
      <c r="I31" s="54">
        <v>1.54</v>
      </c>
      <c r="J31" s="54">
        <v>0.47</v>
      </c>
      <c r="K31" s="54">
        <v>326.24</v>
      </c>
      <c r="L31" s="54">
        <v>24.17</v>
      </c>
      <c r="M31" s="54">
        <v>73.239999999999995</v>
      </c>
      <c r="N31" s="54">
        <v>9.5</v>
      </c>
      <c r="O31" s="54">
        <v>0</v>
      </c>
      <c r="P31" s="54">
        <v>1.21</v>
      </c>
      <c r="Q31" s="54">
        <v>13.35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24.81</v>
      </c>
      <c r="C32" s="54">
        <v>13.94</v>
      </c>
      <c r="D32" s="54">
        <v>28.88</v>
      </c>
      <c r="E32" s="54">
        <v>1.84</v>
      </c>
      <c r="F32" s="54">
        <v>0.70</v>
      </c>
      <c r="G32" s="54">
        <v>96.40</v>
      </c>
      <c r="H32" s="54">
        <v>27.78</v>
      </c>
      <c r="I32" s="54">
        <v>1.58</v>
      </c>
      <c r="J32" s="54">
        <v>0.39</v>
      </c>
      <c r="K32" s="54">
        <v>343.04</v>
      </c>
      <c r="L32" s="54">
        <v>23.74</v>
      </c>
      <c r="M32" s="54">
        <v>76.33</v>
      </c>
      <c r="N32" s="54">
        <v>9.5</v>
      </c>
      <c r="O32" s="54">
        <v>0</v>
      </c>
      <c r="P32" s="54">
        <v>1.07</v>
      </c>
      <c r="Q32" s="54">
        <v>12.37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4.5</v>
      </c>
      <c r="C34" s="28">
        <f t="shared" si="0"/>
        <v>8.8399999999999999</v>
      </c>
      <c r="D34" s="28">
        <f t="shared" si="0"/>
        <v>12.83</v>
      </c>
      <c r="E34" s="28">
        <f t="shared" si="0"/>
        <v>0.90000000000000002</v>
      </c>
      <c r="F34" s="28">
        <f t="shared" si="0"/>
        <v>0.22</v>
      </c>
      <c r="G34" s="28">
        <f t="shared" si="0"/>
        <v>26.329999999999998</v>
      </c>
      <c r="H34" s="28">
        <f t="shared" si="0"/>
        <v>5.9900000000000002</v>
      </c>
      <c r="I34" s="28">
        <f t="shared" si="0"/>
        <v>1.5</v>
      </c>
      <c r="J34" s="28">
        <f t="shared" si="0"/>
        <v>0.19</v>
      </c>
      <c r="K34" s="28">
        <f t="shared" si="0"/>
        <v>320.22000000000003</v>
      </c>
      <c r="L34" s="28">
        <f t="shared" si="0"/>
        <v>22.559999999999999</v>
      </c>
      <c r="M34" s="28">
        <f t="shared" si="0"/>
        <v>56.619999999999997</v>
      </c>
      <c r="N34" s="28">
        <f t="shared" si="0"/>
        <v>8.9000000000000004</v>
      </c>
      <c r="O34" s="28">
        <f t="shared" si="0"/>
        <v>0</v>
      </c>
      <c r="P34" s="28">
        <f t="shared" si="0"/>
        <v>0.37</v>
      </c>
      <c r="Q34" s="28">
        <f t="shared" si="0"/>
        <v>7.0999999999999996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29.649999999999999</v>
      </c>
      <c r="C35" s="29">
        <f t="shared" si="1"/>
        <v>21.52</v>
      </c>
      <c r="D35" s="29">
        <f t="shared" si="1"/>
        <v>33.219999999999999</v>
      </c>
      <c r="E35" s="29">
        <f t="shared" si="1"/>
        <v>7.29</v>
      </c>
      <c r="F35" s="29">
        <f t="shared" si="1"/>
        <v>2</v>
      </c>
      <c r="G35" s="29">
        <f t="shared" si="1"/>
        <v>149.91</v>
      </c>
      <c r="H35" s="29">
        <f t="shared" si="1"/>
        <v>30.109999999999999</v>
      </c>
      <c r="I35" s="29">
        <f t="shared" si="1"/>
        <v>1.6000000000000001</v>
      </c>
      <c r="J35" s="29">
        <f t="shared" si="1"/>
        <v>3.25</v>
      </c>
      <c r="K35" s="29">
        <f t="shared" si="1"/>
        <v>356.62</v>
      </c>
      <c r="L35" s="29">
        <f t="shared" si="1"/>
        <v>32.369999999999997</v>
      </c>
      <c r="M35" s="29">
        <f t="shared" si="1"/>
        <v>98.900000000000006</v>
      </c>
      <c r="N35" s="29">
        <f t="shared" si="1"/>
        <v>861.10000000000002</v>
      </c>
      <c r="O35" s="29">
        <f t="shared" si="1"/>
        <v>0</v>
      </c>
      <c r="P35" s="29">
        <f t="shared" si="1"/>
        <v>1.4199999999999999</v>
      </c>
      <c r="Q35" s="29">
        <f t="shared" si="1"/>
        <v>13.35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14.12086956521739</v>
      </c>
      <c r="C36" s="28">
        <f t="shared" si="2"/>
        <v>13.646521739130435</v>
      </c>
      <c r="D36" s="28">
        <f t="shared" si="2"/>
        <v>19.750000000000004</v>
      </c>
      <c r="E36" s="28">
        <f t="shared" si="2"/>
        <v>2.235217391304348</v>
      </c>
      <c r="F36" s="28">
        <f t="shared" si="2"/>
        <v>0.82874999999999999</v>
      </c>
      <c r="G36" s="28">
        <f t="shared" si="2"/>
        <v>61.944500000000005</v>
      </c>
      <c r="H36" s="28">
        <f t="shared" si="2"/>
        <v>15.098500000000001</v>
      </c>
      <c r="I36" s="28">
        <f t="shared" si="2"/>
        <v>1.5404166666666665</v>
      </c>
      <c r="J36" s="28">
        <f t="shared" si="2"/>
        <v>1.1341666666666665</v>
      </c>
      <c r="K36" s="28">
        <f t="shared" si="2"/>
        <v>335.12958333333341</v>
      </c>
      <c r="L36" s="28">
        <f t="shared" si="2"/>
        <v>26.302500000000006</v>
      </c>
      <c r="M36" s="28">
        <f t="shared" si="2"/>
        <v>78.959583333333327</v>
      </c>
      <c r="N36" s="28">
        <f t="shared" si="2"/>
        <v>213.19999999999996</v>
      </c>
      <c r="O36" s="28">
        <f t="shared" si="2"/>
        <v>0</v>
      </c>
      <c r="P36" s="28">
        <f t="shared" si="2"/>
        <v>0.68874999999999986</v>
      </c>
      <c r="Q36" s="28">
        <f t="shared" si="2"/>
        <v>10.996363636363638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7.6367662796164035</v>
      </c>
      <c r="C37" s="28">
        <f t="shared" si="3" ref="C37:Q37">STDEV(C9:C32)</f>
        <v>3.7208437565785522</v>
      </c>
      <c r="D37" s="28">
        <f t="shared" si="3"/>
        <v>6.5666727426521581</v>
      </c>
      <c r="E37" s="28">
        <f t="shared" si="3"/>
        <v>1.3630476199418891</v>
      </c>
      <c r="F37" s="28">
        <f t="shared" si="3"/>
        <v>0.50590695570043998</v>
      </c>
      <c r="G37" s="28">
        <f t="shared" si="3"/>
        <v>43.55564927707276</v>
      </c>
      <c r="H37" s="28">
        <f t="shared" si="3"/>
        <v>8.772115675311893</v>
      </c>
      <c r="I37" s="28">
        <f t="shared" si="3"/>
        <v>0.028662832571371838</v>
      </c>
      <c r="J37" s="28">
        <f t="shared" si="3"/>
        <v>0.97496897014911366</v>
      </c>
      <c r="K37" s="28">
        <f t="shared" si="3"/>
        <v>10.277385253306155</v>
      </c>
      <c r="L37" s="28">
        <f t="shared" si="3"/>
        <v>3.4123066914510574</v>
      </c>
      <c r="M37" s="28">
        <f t="shared" si="3"/>
        <v>15.528905300079634</v>
      </c>
      <c r="N37" s="28">
        <f t="shared" si="3"/>
        <v>295.38506776895412</v>
      </c>
      <c r="O37" s="28">
        <f t="shared" si="3"/>
        <v>0</v>
      </c>
      <c r="P37" s="28">
        <f t="shared" si="3"/>
        <v>0.36268698325978987</v>
      </c>
      <c r="Q37" s="28">
        <f t="shared" si="3"/>
        <v>2.0781832100528281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>COUNT(E9:E32)+1</f>
        <v>24</v>
      </c>
      <c r="F38" s="32">
        <f t="shared" si="4" ref="F38:P38">COUNT(F9:F32)</f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276c3e-5025-42a7-8ac2-978357e14d1a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7" sqref="G67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19.760000000000002</v>
      </c>
      <c r="C9" s="54">
        <v>13.63</v>
      </c>
      <c r="D9" s="54">
        <v>24.45</v>
      </c>
      <c r="E9" s="54">
        <v>3.06</v>
      </c>
      <c r="F9" s="54">
        <v>0.39</v>
      </c>
      <c r="G9" s="54">
        <v>56.20</v>
      </c>
      <c r="H9" s="54">
        <v>18.510000000000002</v>
      </c>
      <c r="I9" s="54">
        <v>1.52</v>
      </c>
      <c r="J9" s="54">
        <v>0.64</v>
      </c>
      <c r="K9" s="54">
        <v>333.06</v>
      </c>
      <c r="L9" s="54">
        <v>23.03</v>
      </c>
      <c r="M9" s="54">
        <v>76.510000000000005</v>
      </c>
      <c r="N9" s="54">
        <v>9.10</v>
      </c>
      <c r="O9" s="54">
        <v>0</v>
      </c>
      <c r="P9" s="54">
        <v>0.92</v>
      </c>
      <c r="Q9" s="54">
        <v>12.25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15.60</v>
      </c>
      <c r="C10" s="54">
        <v>13.36</v>
      </c>
      <c r="D10" s="54">
        <v>21.17</v>
      </c>
      <c r="E10" s="54">
        <v>2.39</v>
      </c>
      <c r="F10" s="54">
        <v>0.41</v>
      </c>
      <c r="G10" s="54">
        <v>50.86</v>
      </c>
      <c r="H10" s="54">
        <v>16.95</v>
      </c>
      <c r="I10" s="54">
        <v>1.53</v>
      </c>
      <c r="J10" s="54">
        <v>0.65</v>
      </c>
      <c r="K10" s="54">
        <v>348.98</v>
      </c>
      <c r="L10" s="54">
        <v>23.11</v>
      </c>
      <c r="M10" s="54">
        <v>76.62</v>
      </c>
      <c r="N10" s="54">
        <v>9.1999999999999993</v>
      </c>
      <c r="O10" s="54">
        <v>0</v>
      </c>
      <c r="P10" s="54">
        <v>0.78</v>
      </c>
      <c r="Q10" s="54">
        <v>11.94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10.220000000000001</v>
      </c>
      <c r="C11" s="54">
        <v>12.14</v>
      </c>
      <c r="D11" s="54">
        <v>16.190000000000001</v>
      </c>
      <c r="E11" s="54">
        <v>2.48</v>
      </c>
      <c r="F11" s="54">
        <v>0.79</v>
      </c>
      <c r="G11" s="54">
        <v>41.41</v>
      </c>
      <c r="H11" s="54">
        <v>13.43</v>
      </c>
      <c r="I11" s="54">
        <v>1.58</v>
      </c>
      <c r="J11" s="54">
        <v>0.56999999999999995</v>
      </c>
      <c r="K11" s="54">
        <v>321.57</v>
      </c>
      <c r="L11" s="54">
        <v>22.98</v>
      </c>
      <c r="M11" s="54">
        <v>74.33</v>
      </c>
      <c r="N11" s="54">
        <v>9.3000000000000007</v>
      </c>
      <c r="O11" s="54">
        <v>0</v>
      </c>
      <c r="P11" s="54">
        <v>0.67</v>
      </c>
      <c r="Q11" s="54">
        <v>10.68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6.07</v>
      </c>
      <c r="C12" s="54">
        <v>11.30</v>
      </c>
      <c r="D12" s="54">
        <v>12.40</v>
      </c>
      <c r="E12" s="54">
        <v>2.4300000000000002</v>
      </c>
      <c r="F12" s="54">
        <v>0.61</v>
      </c>
      <c r="G12" s="54">
        <v>31.09</v>
      </c>
      <c r="H12" s="54">
        <v>13.36</v>
      </c>
      <c r="I12" s="54">
        <v>1.57</v>
      </c>
      <c r="J12" s="54">
        <v>0.57999999999999996</v>
      </c>
      <c r="K12" s="54">
        <v>343.12</v>
      </c>
      <c r="L12" s="54">
        <v>22.81</v>
      </c>
      <c r="M12" s="54">
        <v>73.28</v>
      </c>
      <c r="N12" s="54">
        <v>9.5</v>
      </c>
      <c r="O12" s="54">
        <v>0</v>
      </c>
      <c r="P12" s="54">
        <v>0.55000000000000004</v>
      </c>
      <c r="Q12" s="54">
        <v>9.93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4.3600000000000003</v>
      </c>
      <c r="C13" s="54">
        <v>10.99</v>
      </c>
      <c r="D13" s="54">
        <v>10.85</v>
      </c>
      <c r="E13" s="54">
        <v>3.45</v>
      </c>
      <c r="F13" s="54">
        <v>0.73</v>
      </c>
      <c r="G13" s="54">
        <v>37.06</v>
      </c>
      <c r="H13" s="54">
        <v>13.36</v>
      </c>
      <c r="I13" s="54">
        <v>1.54</v>
      </c>
      <c r="J13" s="54">
        <v>0.55000000000000004</v>
      </c>
      <c r="K13" s="54">
        <v>346.43</v>
      </c>
      <c r="L13" s="54">
        <v>22.17</v>
      </c>
      <c r="M13" s="54">
        <v>71.930000000000007</v>
      </c>
      <c r="N13" s="54">
        <v>9.10</v>
      </c>
      <c r="O13" s="54">
        <v>0</v>
      </c>
      <c r="P13" s="54">
        <v>0.49</v>
      </c>
      <c r="Q13" s="54">
        <v>9.73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3.53</v>
      </c>
      <c r="C14" s="54">
        <v>10.57</v>
      </c>
      <c r="D14" s="54">
        <v>9.9600000000000009</v>
      </c>
      <c r="E14" s="54">
        <v>3.58</v>
      </c>
      <c r="F14" s="54">
        <v>0.90</v>
      </c>
      <c r="G14" s="54">
        <v>38.270000000000003</v>
      </c>
      <c r="H14" s="54">
        <v>12.79</v>
      </c>
      <c r="I14" s="54">
        <v>1.48</v>
      </c>
      <c r="J14" s="54">
        <v>0.18</v>
      </c>
      <c r="K14" s="54">
        <v>348.12</v>
      </c>
      <c r="L14" s="54">
        <v>21.03</v>
      </c>
      <c r="M14" s="54">
        <v>72.09</v>
      </c>
      <c r="N14" s="54">
        <v>15.90</v>
      </c>
      <c r="O14" s="54">
        <v>0</v>
      </c>
      <c r="P14" s="54">
        <v>0.43</v>
      </c>
      <c r="Q14" s="54">
        <v>9.19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4.34</v>
      </c>
      <c r="C15" s="54">
        <v>12.22</v>
      </c>
      <c r="D15" s="54">
        <v>11.52</v>
      </c>
      <c r="E15" s="54">
        <v>3.37</v>
      </c>
      <c r="F15" s="54">
        <v>0.76</v>
      </c>
      <c r="G15" s="54">
        <v>53.88</v>
      </c>
      <c r="H15" s="54">
        <v>15.96</v>
      </c>
      <c r="I15" s="54">
        <v>1.58</v>
      </c>
      <c r="J15" s="54">
        <v>0.32</v>
      </c>
      <c r="K15" s="54">
        <v>356.56</v>
      </c>
      <c r="L15" s="54">
        <v>24.84</v>
      </c>
      <c r="M15" s="54">
        <v>69.87</v>
      </c>
      <c r="N15" s="54">
        <v>206.30</v>
      </c>
      <c r="O15" s="54">
        <v>0</v>
      </c>
      <c r="P15" s="54">
        <v>0.42</v>
      </c>
      <c r="Q15" s="54">
        <v>28.36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4.7699999999999996</v>
      </c>
      <c r="C16" s="54">
        <v>14.90</v>
      </c>
      <c r="D16" s="54">
        <v>13.11</v>
      </c>
      <c r="E16" s="54">
        <v>3.52</v>
      </c>
      <c r="F16" s="54">
        <v>0.95</v>
      </c>
      <c r="G16" s="54">
        <v>59.27</v>
      </c>
      <c r="H16" s="54">
        <v>18.93</v>
      </c>
      <c r="I16" s="54">
        <v>1.55</v>
      </c>
      <c r="J16" s="54">
        <v>0.49</v>
      </c>
      <c r="K16" s="54">
        <v>337.94</v>
      </c>
      <c r="L16" s="54">
        <v>29.09</v>
      </c>
      <c r="M16" s="54">
        <v>52.23</v>
      </c>
      <c r="N16" s="54">
        <v>448</v>
      </c>
      <c r="O16" s="54">
        <v>0</v>
      </c>
      <c r="P16" s="54">
        <v>0.49</v>
      </c>
      <c r="Q16" s="54">
        <v>11.63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4.2300000000000004</v>
      </c>
      <c r="C17" s="54">
        <v>16.22</v>
      </c>
      <c r="D17" s="54">
        <v>13.25</v>
      </c>
      <c r="E17" s="54">
        <v>0.92</v>
      </c>
      <c r="F17" s="54">
        <v>1.45</v>
      </c>
      <c r="G17" s="54">
        <v>79.69</v>
      </c>
      <c r="H17" s="54">
        <v>18.93</v>
      </c>
      <c r="I17" s="54">
        <v>1.55</v>
      </c>
      <c r="J17" s="54">
        <v>1.31</v>
      </c>
      <c r="K17" s="54">
        <v>334.41</v>
      </c>
      <c r="L17" s="54">
        <v>30.34</v>
      </c>
      <c r="M17" s="54">
        <v>50.33</v>
      </c>
      <c r="N17" s="54">
        <v>665.90</v>
      </c>
      <c r="O17" s="54">
        <v>0</v>
      </c>
      <c r="P17" s="54">
        <v>0.52</v>
      </c>
      <c r="Q17" s="54">
        <v>9.89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3.36</v>
      </c>
      <c r="C18" s="54">
        <v>16.29</v>
      </c>
      <c r="D18" s="54">
        <v>12.80</v>
      </c>
      <c r="E18" s="54">
        <v>1.05</v>
      </c>
      <c r="F18" s="54">
        <v>1.56</v>
      </c>
      <c r="G18" s="54">
        <v>79.69</v>
      </c>
      <c r="H18" s="54">
        <v>18.55</v>
      </c>
      <c r="I18" s="54">
        <v>1.53</v>
      </c>
      <c r="J18" s="54">
        <v>0.98</v>
      </c>
      <c r="K18" s="54">
        <v>331.86</v>
      </c>
      <c r="L18" s="54">
        <v>29.55</v>
      </c>
      <c r="M18" s="54">
        <v>51.21</v>
      </c>
      <c r="N18" s="54">
        <v>811.60</v>
      </c>
      <c r="O18" s="54">
        <v>0</v>
      </c>
      <c r="P18" s="54">
        <v>0.52</v>
      </c>
      <c r="Q18" s="54">
        <v>9.69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3.09</v>
      </c>
      <c r="C19" s="54">
        <v>18.21</v>
      </c>
      <c r="D19" s="54">
        <v>13.41</v>
      </c>
      <c r="E19" s="54">
        <v>0.76</v>
      </c>
      <c r="F19" s="54">
        <v>3.42</v>
      </c>
      <c r="G19" s="54">
        <v>59.34</v>
      </c>
      <c r="H19" s="54">
        <v>17.920000000000002</v>
      </c>
      <c r="I19" s="54">
        <v>1.57</v>
      </c>
      <c r="J19" s="54">
        <v>1.43</v>
      </c>
      <c r="K19" s="54">
        <v>326.10000000000002</v>
      </c>
      <c r="L19" s="54">
        <v>32.81</v>
      </c>
      <c r="M19" s="54">
        <v>47.49</v>
      </c>
      <c r="N19" s="54">
        <v>922.70</v>
      </c>
      <c r="O19" s="54">
        <v>0</v>
      </c>
      <c r="P19" s="54">
        <v>0.56999999999999995</v>
      </c>
      <c r="Q19" s="54">
        <v>9.48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6.91</v>
      </c>
      <c r="C20" s="54">
        <v>29.04</v>
      </c>
      <c r="D20" s="54">
        <v>22.15</v>
      </c>
      <c r="E20" s="54">
        <v>1.77</v>
      </c>
      <c r="F20" s="54">
        <v>3.35</v>
      </c>
      <c r="G20" s="54">
        <v>59.34</v>
      </c>
      <c r="H20" s="54">
        <v>19.95</v>
      </c>
      <c r="I20" s="54">
        <v>1.53</v>
      </c>
      <c r="J20" s="54">
        <v>1.46</v>
      </c>
      <c r="K20" s="54">
        <v>324.01</v>
      </c>
      <c r="L20" s="54">
        <v>33.01</v>
      </c>
      <c r="M20" s="54">
        <v>38.130000000000003</v>
      </c>
      <c r="N20" s="54">
        <v>944.80</v>
      </c>
      <c r="O20" s="54">
        <v>0</v>
      </c>
      <c r="P20" s="54">
        <v>1.05</v>
      </c>
      <c r="Q20" s="54">
        <v>11.11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3.67</v>
      </c>
      <c r="C21" s="54">
        <v>26.51</v>
      </c>
      <c r="D21" s="54">
        <v>18.87</v>
      </c>
      <c r="E21" s="54">
        <v>1.39</v>
      </c>
      <c r="F21" s="54">
        <v>2.5</v>
      </c>
      <c r="G21" s="54">
        <v>58.48</v>
      </c>
      <c r="H21" s="54">
        <v>24.12</v>
      </c>
      <c r="I21" s="54">
        <v>1.55</v>
      </c>
      <c r="J21" s="54">
        <v>1.1299999999999999</v>
      </c>
      <c r="K21" s="54">
        <v>326.43</v>
      </c>
      <c r="L21" s="54">
        <v>32.67</v>
      </c>
      <c r="M21" s="54">
        <v>39.14</v>
      </c>
      <c r="N21" s="54">
        <v>932.40</v>
      </c>
      <c r="O21" s="54">
        <v>0</v>
      </c>
      <c r="P21" s="54">
        <v>0.89</v>
      </c>
      <c r="Q21" s="54">
        <v>10.61</v>
      </c>
      <c r="R21" s="43"/>
      <c r="S21" s="43"/>
      <c r="T21" s="43"/>
      <c r="U21" s="43"/>
    </row>
    <row r="22" spans="1:21" s="11" customFormat="1" ht="15">
      <c r="A22" s="53" t="s">
        <v>147</v>
      </c>
      <c r="B22" s="54">
        <v>2.92</v>
      </c>
      <c r="C22" s="54">
        <v>19.07</v>
      </c>
      <c r="D22" s="54">
        <v>14.16</v>
      </c>
      <c r="E22" s="54">
        <v>1.95</v>
      </c>
      <c r="F22" s="54">
        <v>2.2200000000000002</v>
      </c>
      <c r="G22" s="54">
        <v>66.33</v>
      </c>
      <c r="H22" s="54">
        <v>24.12</v>
      </c>
      <c r="I22" s="54">
        <v>1.54</v>
      </c>
      <c r="J22" s="54">
        <v>1.48</v>
      </c>
      <c r="K22" s="54">
        <v>341.55</v>
      </c>
      <c r="L22" s="54">
        <v>32.380000000000003</v>
      </c>
      <c r="M22" s="54">
        <v>39.74</v>
      </c>
      <c r="N22" s="54">
        <v>789.80</v>
      </c>
      <c r="O22" s="54">
        <v>0</v>
      </c>
      <c r="P22" s="54">
        <v>0.69</v>
      </c>
      <c r="Q22" s="54">
        <v>9.56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2.78</v>
      </c>
      <c r="C23" s="54">
        <v>17.63</v>
      </c>
      <c r="D23" s="54">
        <v>13.25</v>
      </c>
      <c r="E23" s="54">
        <v>0.70</v>
      </c>
      <c r="F23" s="54">
        <v>2.4500000000000002</v>
      </c>
      <c r="G23" s="54">
        <v>66.33</v>
      </c>
      <c r="H23" s="54">
        <v>18.38</v>
      </c>
      <c r="I23" s="54">
        <v>1.60</v>
      </c>
      <c r="J23" s="54">
        <v>2.19</v>
      </c>
      <c r="K23" s="54">
        <v>326.45999999999998</v>
      </c>
      <c r="L23" s="54">
        <v>30.52</v>
      </c>
      <c r="M23" s="54">
        <v>36.58</v>
      </c>
      <c r="N23" s="54">
        <v>283.5</v>
      </c>
      <c r="O23" s="54">
        <v>0</v>
      </c>
      <c r="P23" s="54">
        <v>0.57999999999999996</v>
      </c>
      <c r="Q23" s="54">
        <v>9.7200000000000006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2.95</v>
      </c>
      <c r="C24" s="54">
        <v>18.079999999999998</v>
      </c>
      <c r="D24" s="54">
        <v>13.64</v>
      </c>
      <c r="E24" s="54">
        <v>0.80</v>
      </c>
      <c r="F24" s="54">
        <v>1.94</v>
      </c>
      <c r="G24" s="54">
        <v>62.05</v>
      </c>
      <c r="H24" s="54">
        <v>18.62</v>
      </c>
      <c r="I24" s="54">
        <v>1.54</v>
      </c>
      <c r="J24" s="54">
        <v>1.69</v>
      </c>
      <c r="K24" s="54">
        <v>326.77</v>
      </c>
      <c r="L24" s="54">
        <v>29.67</v>
      </c>
      <c r="M24" s="54">
        <v>37.14</v>
      </c>
      <c r="N24" s="54">
        <v>84.60</v>
      </c>
      <c r="O24" s="54">
        <v>0</v>
      </c>
      <c r="P24" s="54">
        <v>0.51</v>
      </c>
      <c r="Q24" s="54">
        <v>9.0299999999999994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3.12</v>
      </c>
      <c r="C25" s="54">
        <v>18.07</v>
      </c>
      <c r="D25" s="54">
        <v>13.77</v>
      </c>
      <c r="E25" s="54">
        <v>1.77</v>
      </c>
      <c r="F25" s="54">
        <v>1.61</v>
      </c>
      <c r="G25" s="54">
        <v>68.34</v>
      </c>
      <c r="H25" s="54">
        <v>20.93</v>
      </c>
      <c r="I25" s="54">
        <v>1.59</v>
      </c>
      <c r="J25" s="54">
        <v>1.48</v>
      </c>
      <c r="K25" s="54">
        <v>328.95</v>
      </c>
      <c r="L25" s="54">
        <v>28.75</v>
      </c>
      <c r="M25" s="54">
        <v>43.64</v>
      </c>
      <c r="N25" s="54">
        <v>60.5</v>
      </c>
      <c r="O25" s="54">
        <v>0</v>
      </c>
      <c r="P25" s="54">
        <v>0.52</v>
      </c>
      <c r="Q25" s="54">
        <v>10.02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4.9000000000000004</v>
      </c>
      <c r="C26" s="54">
        <v>18.78</v>
      </c>
      <c r="D26" s="54">
        <v>15.59</v>
      </c>
      <c r="E26" s="54">
        <v>1.42</v>
      </c>
      <c r="F26" s="54">
        <v>1.28</v>
      </c>
      <c r="G26" s="54">
        <v>68.34</v>
      </c>
      <c r="H26" s="54">
        <v>20.93</v>
      </c>
      <c r="I26" s="54">
        <v>1.55</v>
      </c>
      <c r="J26" s="54">
        <v>0.63</v>
      </c>
      <c r="K26" s="54">
        <v>331.13</v>
      </c>
      <c r="L26" s="54">
        <v>27.71</v>
      </c>
      <c r="M26" s="54">
        <v>46.92</v>
      </c>
      <c r="N26" s="54">
        <v>31.20</v>
      </c>
      <c r="O26" s="54">
        <v>0</v>
      </c>
      <c r="P26" s="54">
        <v>0.67</v>
      </c>
      <c r="Q26" s="54">
        <v>10.68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7.61</v>
      </c>
      <c r="C27" s="54">
        <v>55.89</v>
      </c>
      <c r="D27" s="54">
        <v>38.049999999999997</v>
      </c>
      <c r="E27" s="54">
        <v>1.36</v>
      </c>
      <c r="F27" s="54">
        <v>3.47</v>
      </c>
      <c r="G27" s="54">
        <v>64.150000000000006</v>
      </c>
      <c r="H27" s="54">
        <v>19.75</v>
      </c>
      <c r="I27" s="54">
        <v>1.51</v>
      </c>
      <c r="J27" s="54">
        <v>0.36</v>
      </c>
      <c r="K27" s="54">
        <v>336.15</v>
      </c>
      <c r="L27" s="54">
        <v>26.05</v>
      </c>
      <c r="M27" s="54">
        <v>51.79</v>
      </c>
      <c r="N27" s="54">
        <v>9.3000000000000007</v>
      </c>
      <c r="O27" s="54">
        <v>0</v>
      </c>
      <c r="P27" s="54">
        <v>1.21</v>
      </c>
      <c r="Q27" s="54">
        <v>11.98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5.55</v>
      </c>
      <c r="C28" s="54">
        <v>35.47</v>
      </c>
      <c r="D28" s="54">
        <v>25.21</v>
      </c>
      <c r="E28" s="54">
        <v>1.68</v>
      </c>
      <c r="F28" s="54">
        <v>1.08</v>
      </c>
      <c r="G28" s="54">
        <v>82.56</v>
      </c>
      <c r="H28" s="54">
        <v>19.93</v>
      </c>
      <c r="I28" s="54">
        <v>1.5</v>
      </c>
      <c r="J28" s="54">
        <v>0.55000000000000004</v>
      </c>
      <c r="K28" s="54">
        <v>332.71</v>
      </c>
      <c r="L28" s="54">
        <v>24.92</v>
      </c>
      <c r="M28" s="54">
        <v>51.27</v>
      </c>
      <c r="N28" s="54">
        <v>8.90</v>
      </c>
      <c r="O28" s="54">
        <v>0</v>
      </c>
      <c r="P28" s="54">
        <v>1.1200000000000001</v>
      </c>
      <c r="Q28" s="54">
        <v>11.54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6.95</v>
      </c>
      <c r="C29" s="54">
        <v>24.67</v>
      </c>
      <c r="D29" s="54">
        <v>19.09</v>
      </c>
      <c r="E29" s="54">
        <v>0.96</v>
      </c>
      <c r="F29" s="54">
        <v>0.61</v>
      </c>
      <c r="G29" s="54">
        <v>90.97</v>
      </c>
      <c r="H29" s="54">
        <v>20.20</v>
      </c>
      <c r="I29" s="54">
        <v>1.54</v>
      </c>
      <c r="J29" s="54">
        <v>0.24</v>
      </c>
      <c r="K29" s="54">
        <v>343.56</v>
      </c>
      <c r="L29" s="54">
        <v>24.18</v>
      </c>
      <c r="M29" s="54">
        <v>59.13</v>
      </c>
      <c r="N29" s="54">
        <v>9.1999999999999993</v>
      </c>
      <c r="O29" s="54">
        <v>0</v>
      </c>
      <c r="P29" s="54">
        <v>1.21</v>
      </c>
      <c r="Q29" s="54">
        <v>11.5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9.61</v>
      </c>
      <c r="C30" s="54">
        <v>19.82</v>
      </c>
      <c r="D30" s="54">
        <v>19.309999999999999</v>
      </c>
      <c r="E30" s="54">
        <v>1.49</v>
      </c>
      <c r="F30" s="54">
        <v>0.43</v>
      </c>
      <c r="G30" s="54">
        <v>102.88</v>
      </c>
      <c r="H30" s="54">
        <v>26.94</v>
      </c>
      <c r="I30" s="54">
        <v>1.5</v>
      </c>
      <c r="J30" s="54">
        <v>0.070000000000000007</v>
      </c>
      <c r="K30" s="54">
        <v>318.62</v>
      </c>
      <c r="L30" s="54">
        <v>23.14</v>
      </c>
      <c r="M30" s="54">
        <v>74.760000000000005</v>
      </c>
      <c r="N30" s="54">
        <v>8.8000000000000007</v>
      </c>
      <c r="O30" s="54">
        <v>0</v>
      </c>
      <c r="P30" s="54">
        <v>1.18</v>
      </c>
      <c r="Q30" s="54">
        <v>12.09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9.41</v>
      </c>
      <c r="C31" s="54">
        <v>18.52</v>
      </c>
      <c r="D31" s="54">
        <v>19</v>
      </c>
      <c r="E31" s="54">
        <v>1.03</v>
      </c>
      <c r="F31" s="54">
        <v>0.44</v>
      </c>
      <c r="G31" s="54">
        <v>102.88</v>
      </c>
      <c r="H31" s="54">
        <v>27.12</v>
      </c>
      <c r="I31" s="54">
        <v>1.58</v>
      </c>
      <c r="J31" s="54">
        <v>0.08</v>
      </c>
      <c r="K31" s="54">
        <v>331.06</v>
      </c>
      <c r="L31" s="54">
        <v>22.36</v>
      </c>
      <c r="M31" s="54">
        <v>79.400000000000006</v>
      </c>
      <c r="N31" s="54">
        <v>8.8000000000000007</v>
      </c>
      <c r="O31" s="54">
        <v>0</v>
      </c>
      <c r="P31" s="54">
        <v>1.18</v>
      </c>
      <c r="Q31" s="54">
        <v>12.18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8.99</v>
      </c>
      <c r="C32" s="54">
        <v>15.63</v>
      </c>
      <c r="D32" s="54">
        <v>17.13</v>
      </c>
      <c r="E32" s="54">
        <v>1.35</v>
      </c>
      <c r="F32" s="54">
        <v>0.62</v>
      </c>
      <c r="G32" s="54">
        <v>95.55</v>
      </c>
      <c r="H32" s="54">
        <v>30.98</v>
      </c>
      <c r="I32" s="54">
        <v>1.58</v>
      </c>
      <c r="J32" s="54">
        <v>0.14000000000000001</v>
      </c>
      <c r="K32" s="54">
        <v>352.56</v>
      </c>
      <c r="L32" s="54">
        <v>21.75</v>
      </c>
      <c r="M32" s="54">
        <v>83.68</v>
      </c>
      <c r="N32" s="54">
        <v>8.8000000000000007</v>
      </c>
      <c r="O32" s="54">
        <v>0</v>
      </c>
      <c r="P32" s="54">
        <v>1.26</v>
      </c>
      <c r="Q32" s="54">
        <v>13.29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2.7799999999999998</v>
      </c>
      <c r="C34" s="28">
        <f t="shared" si="0"/>
        <v>10.57</v>
      </c>
      <c r="D34" s="28">
        <f t="shared" si="0"/>
        <v>9.9600000000000009</v>
      </c>
      <c r="E34" s="28">
        <f t="shared" si="0"/>
        <v>0.69999999999999996</v>
      </c>
      <c r="F34" s="28">
        <f t="shared" si="0"/>
        <v>0.39000000000000001</v>
      </c>
      <c r="G34" s="28">
        <f t="shared" si="0"/>
        <v>31.09</v>
      </c>
      <c r="H34" s="28">
        <f t="shared" si="0"/>
        <v>12.789999999999999</v>
      </c>
      <c r="I34" s="28">
        <f t="shared" si="0"/>
        <v>1.48</v>
      </c>
      <c r="J34" s="28">
        <f t="shared" si="0"/>
        <v>0.070000000000000007</v>
      </c>
      <c r="K34" s="28">
        <f t="shared" si="0"/>
        <v>318.62</v>
      </c>
      <c r="L34" s="28">
        <f t="shared" si="0"/>
        <v>21.030000000000001</v>
      </c>
      <c r="M34" s="28">
        <f t="shared" si="0"/>
        <v>36.579999999999998</v>
      </c>
      <c r="N34" s="28">
        <f t="shared" si="0"/>
        <v>8.8000000000000007</v>
      </c>
      <c r="O34" s="28">
        <f t="shared" si="0"/>
        <v>0</v>
      </c>
      <c r="P34" s="28">
        <f t="shared" si="0"/>
        <v>0.41999999999999998</v>
      </c>
      <c r="Q34" s="28">
        <f t="shared" si="0"/>
        <v>9.0299999999999994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19.760000000000002</v>
      </c>
      <c r="C35" s="29">
        <f t="shared" si="1"/>
        <v>55.890000000000001</v>
      </c>
      <c r="D35" s="29">
        <f t="shared" si="1"/>
        <v>38.049999999999997</v>
      </c>
      <c r="E35" s="29">
        <f t="shared" si="1"/>
        <v>3.5800000000000001</v>
      </c>
      <c r="F35" s="29">
        <f t="shared" si="1"/>
        <v>3.4700000000000002</v>
      </c>
      <c r="G35" s="29">
        <f t="shared" si="1"/>
        <v>102.88</v>
      </c>
      <c r="H35" s="29">
        <f t="shared" si="1"/>
        <v>30.98</v>
      </c>
      <c r="I35" s="29">
        <f t="shared" si="1"/>
        <v>1.6000000000000001</v>
      </c>
      <c r="J35" s="29">
        <f t="shared" si="1"/>
        <v>2.1899999999999999</v>
      </c>
      <c r="K35" s="29">
        <f t="shared" si="1"/>
        <v>356.56</v>
      </c>
      <c r="L35" s="29">
        <f t="shared" si="1"/>
        <v>33.009999999999998</v>
      </c>
      <c r="M35" s="29">
        <f t="shared" si="1"/>
        <v>83.680000000000007</v>
      </c>
      <c r="N35" s="29">
        <f t="shared" si="1"/>
        <v>944.79999999999995</v>
      </c>
      <c r="O35" s="29">
        <f t="shared" si="1"/>
        <v>0</v>
      </c>
      <c r="P35" s="29">
        <f t="shared" si="1"/>
        <v>1.26</v>
      </c>
      <c r="Q35" s="29">
        <f t="shared" si="1"/>
        <v>28.359999999999999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6.4458333333333337</v>
      </c>
      <c r="C36" s="28">
        <f t="shared" si="2"/>
        <v>19.458749999999998</v>
      </c>
      <c r="D36" s="28">
        <f t="shared" si="2"/>
        <v>17.013749999999998</v>
      </c>
      <c r="E36" s="28">
        <f t="shared" si="2"/>
        <v>1.8616666666666672</v>
      </c>
      <c r="F36" s="28">
        <f t="shared" si="2"/>
        <v>1.4154166666666663</v>
      </c>
      <c r="G36" s="28">
        <f t="shared" si="2"/>
        <v>65.623333333333349</v>
      </c>
      <c r="H36" s="28">
        <f t="shared" si="2"/>
        <v>19.610833333333336</v>
      </c>
      <c r="I36" s="28">
        <f t="shared" si="2"/>
        <v>1.5462499999999999</v>
      </c>
      <c r="J36" s="28">
        <f t="shared" si="2"/>
        <v>0.79999999999999982</v>
      </c>
      <c r="K36" s="28">
        <f t="shared" si="2"/>
        <v>335.33791666666673</v>
      </c>
      <c r="L36" s="28">
        <f t="shared" si="2"/>
        <v>26.619583333333328</v>
      </c>
      <c r="M36" s="28">
        <f t="shared" si="2"/>
        <v>58.217083333333342</v>
      </c>
      <c r="N36" s="28">
        <f t="shared" si="2"/>
        <v>262.38333333333338</v>
      </c>
      <c r="O36" s="28">
        <f t="shared" si="2"/>
        <v>0</v>
      </c>
      <c r="P36" s="28">
        <f t="shared" si="2"/>
        <v>0.7679166666666668</v>
      </c>
      <c r="Q36" s="28">
        <f t="shared" si="2"/>
        <v>11.503333333333336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4.2137775231367804</v>
      </c>
      <c r="C37" s="28">
        <f t="shared" si="3" ref="C37:Q37">STDEV(C9:C32)</f>
        <v>9.8091130266484967</v>
      </c>
      <c r="D37" s="28">
        <f t="shared" si="3"/>
        <v>6.1570954561807625</v>
      </c>
      <c r="E37" s="28">
        <f t="shared" si="3"/>
        <v>0.95070530644892515</v>
      </c>
      <c r="F37" s="28">
        <f t="shared" si="3"/>
        <v>1.0006518708655212</v>
      </c>
      <c r="G37" s="28">
        <f t="shared" si="3"/>
        <v>19.765349712953746</v>
      </c>
      <c r="H37" s="28">
        <f t="shared" si="3"/>
        <v>4.5492091206261609</v>
      </c>
      <c r="I37" s="28">
        <f t="shared" si="3"/>
        <v>0.031041697062527698</v>
      </c>
      <c r="J37" s="28">
        <f t="shared" si="3"/>
        <v>0.58574367446342357</v>
      </c>
      <c r="K37" s="28">
        <f t="shared" si="3"/>
        <v>10.23597703718519</v>
      </c>
      <c r="L37" s="28">
        <f t="shared" si="3"/>
        <v>4.0541245547956981</v>
      </c>
      <c r="M37" s="28">
        <f t="shared" si="3"/>
        <v>15.826266960524713</v>
      </c>
      <c r="N37" s="28">
        <f t="shared" si="3"/>
        <v>362.57547540107959</v>
      </c>
      <c r="O37" s="28">
        <f t="shared" si="3"/>
        <v>0</v>
      </c>
      <c r="P37" s="28">
        <f t="shared" si="3"/>
        <v>0.29504574688278939</v>
      </c>
      <c r="Q37" s="28">
        <f t="shared" si="3"/>
        <v>3.77447798483061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55bbd4-3106-41c9-83e6-e38daf5fdc4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5" sqref="G65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7.72</v>
      </c>
      <c r="C9" s="54">
        <v>14.83</v>
      </c>
      <c r="D9" s="54">
        <v>15.47</v>
      </c>
      <c r="E9" s="54">
        <v>1.28</v>
      </c>
      <c r="F9" s="54">
        <v>0.48</v>
      </c>
      <c r="G9" s="54">
        <v>95.55</v>
      </c>
      <c r="H9" s="54">
        <v>31.73</v>
      </c>
      <c r="I9" s="54">
        <v>1.51</v>
      </c>
      <c r="J9" s="54">
        <v>0.19</v>
      </c>
      <c r="K9" s="54">
        <v>353.62</v>
      </c>
      <c r="L9" s="54">
        <v>21.52</v>
      </c>
      <c r="M9" s="54">
        <v>84.81</v>
      </c>
      <c r="N9" s="54">
        <v>8.6999999999999993</v>
      </c>
      <c r="O9" s="54">
        <v>0</v>
      </c>
      <c r="P9" s="54">
        <v>1.25</v>
      </c>
      <c r="Q9" s="54">
        <v>13.37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6.31</v>
      </c>
      <c r="C10" s="54">
        <v>14.71</v>
      </c>
      <c r="D10" s="54">
        <v>14.47</v>
      </c>
      <c r="E10" s="54">
        <v>1.47</v>
      </c>
      <c r="F10" s="54">
        <v>0.61</v>
      </c>
      <c r="G10" s="54">
        <v>93.07</v>
      </c>
      <c r="H10" s="54">
        <v>31.73</v>
      </c>
      <c r="I10" s="54">
        <v>1.55</v>
      </c>
      <c r="J10" s="54">
        <v>0.13</v>
      </c>
      <c r="K10" s="54">
        <v>346.14</v>
      </c>
      <c r="L10" s="54">
        <v>21.04</v>
      </c>
      <c r="M10" s="54">
        <v>87.15</v>
      </c>
      <c r="N10" s="54">
        <v>8.8000000000000007</v>
      </c>
      <c r="O10" s="54">
        <v>0</v>
      </c>
      <c r="P10" s="54">
        <v>1.1499999999999999</v>
      </c>
      <c r="Q10" s="54">
        <v>12.80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5.19</v>
      </c>
      <c r="C11" s="54">
        <v>13.16</v>
      </c>
      <c r="D11" s="54">
        <v>12.72</v>
      </c>
      <c r="E11" s="54">
        <v>1.31</v>
      </c>
      <c r="F11" s="54">
        <v>0.43</v>
      </c>
      <c r="G11" s="54">
        <v>84.03</v>
      </c>
      <c r="H11" s="54">
        <v>30</v>
      </c>
      <c r="I11" s="54">
        <v>1.51</v>
      </c>
      <c r="J11" s="54">
        <v>0.12</v>
      </c>
      <c r="K11" s="54">
        <v>20.93</v>
      </c>
      <c r="L11" s="54">
        <v>20.92</v>
      </c>
      <c r="M11" s="54">
        <v>90.38</v>
      </c>
      <c r="N11" s="54">
        <v>8.6999999999999993</v>
      </c>
      <c r="O11" s="54">
        <v>0</v>
      </c>
      <c r="P11" s="54">
        <v>1.0900000000000001</v>
      </c>
      <c r="Q11" s="54">
        <v>12.81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5.30</v>
      </c>
      <c r="C12" s="54">
        <v>13.61</v>
      </c>
      <c r="D12" s="54">
        <v>13.05</v>
      </c>
      <c r="E12" s="54">
        <v>1.25</v>
      </c>
      <c r="F12" s="54">
        <v>0.45</v>
      </c>
      <c r="G12" s="54">
        <v>84.03</v>
      </c>
      <c r="H12" s="54">
        <v>32.520000000000003</v>
      </c>
      <c r="I12" s="54">
        <v>1.52</v>
      </c>
      <c r="J12" s="54">
        <v>0.09</v>
      </c>
      <c r="K12" s="54">
        <v>338.47</v>
      </c>
      <c r="L12" s="54">
        <v>20.63</v>
      </c>
      <c r="M12" s="54">
        <v>95.87</v>
      </c>
      <c r="N12" s="54">
        <v>8.8000000000000007</v>
      </c>
      <c r="O12" s="54">
        <v>0</v>
      </c>
      <c r="P12" s="54">
        <v>1</v>
      </c>
      <c r="Q12" s="54">
        <v>12.44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5.30</v>
      </c>
      <c r="C13" s="54">
        <v>13.85</v>
      </c>
      <c r="D13" s="54">
        <v>13.16</v>
      </c>
      <c r="E13" s="54">
        <v>1.40</v>
      </c>
      <c r="F13" s="54">
        <v>0.56000000000000005</v>
      </c>
      <c r="G13" s="54">
        <v>81.72</v>
      </c>
      <c r="H13" s="54">
        <v>32.520000000000003</v>
      </c>
      <c r="I13" s="54">
        <v>1.55</v>
      </c>
      <c r="J13" s="54">
        <v>0.070000000000000007</v>
      </c>
      <c r="K13" s="54">
        <v>357.87</v>
      </c>
      <c r="L13" s="54">
        <v>20.239999999999998</v>
      </c>
      <c r="M13" s="54">
        <v>95.94</v>
      </c>
      <c r="N13" s="54">
        <v>8.8000000000000007</v>
      </c>
      <c r="O13" s="54">
        <v>0</v>
      </c>
      <c r="P13" s="54">
        <v>0.96</v>
      </c>
      <c r="Q13" s="54">
        <v>12.25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7</v>
      </c>
      <c r="C14" s="54">
        <v>12.78</v>
      </c>
      <c r="D14" s="54">
        <v>13.80</v>
      </c>
      <c r="E14" s="54">
        <v>1.5</v>
      </c>
      <c r="F14" s="54">
        <v>0.48</v>
      </c>
      <c r="G14" s="54">
        <v>80.23</v>
      </c>
      <c r="H14" s="54">
        <v>29.51</v>
      </c>
      <c r="I14" s="54">
        <v>1.52</v>
      </c>
      <c r="J14" s="54">
        <v>0.18</v>
      </c>
      <c r="K14" s="54">
        <v>352.95</v>
      </c>
      <c r="L14" s="54">
        <v>19.89</v>
      </c>
      <c r="M14" s="54">
        <v>95.15</v>
      </c>
      <c r="N14" s="54">
        <v>18</v>
      </c>
      <c r="O14" s="54">
        <v>0</v>
      </c>
      <c r="P14" s="54">
        <v>0.92</v>
      </c>
      <c r="Q14" s="54">
        <v>12.91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8.11</v>
      </c>
      <c r="C15" s="54">
        <v>14.04</v>
      </c>
      <c r="D15" s="54">
        <v>15.51</v>
      </c>
      <c r="E15" s="54">
        <v>2.08</v>
      </c>
      <c r="F15" s="54">
        <v>0.45</v>
      </c>
      <c r="G15" s="54">
        <v>79.28</v>
      </c>
      <c r="H15" s="54">
        <v>28.79</v>
      </c>
      <c r="I15" s="54">
        <v>1.51</v>
      </c>
      <c r="J15" s="54">
        <v>0.39</v>
      </c>
      <c r="K15" s="54">
        <v>340.07</v>
      </c>
      <c r="L15" s="54">
        <v>23.47</v>
      </c>
      <c r="M15" s="54">
        <v>88.87</v>
      </c>
      <c r="N15" s="54">
        <v>167.90</v>
      </c>
      <c r="O15" s="54">
        <v>0</v>
      </c>
      <c r="P15" s="54">
        <v>0.90</v>
      </c>
      <c r="Q15" s="54">
        <v>11.90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7.92</v>
      </c>
      <c r="C16" s="54">
        <v>15.42</v>
      </c>
      <c r="D16" s="54">
        <v>15.64</v>
      </c>
      <c r="E16" s="54">
        <v>1.26</v>
      </c>
      <c r="F16" s="54">
        <v>0.61</v>
      </c>
      <c r="G16" s="54">
        <v>80.099999999999994</v>
      </c>
      <c r="H16" s="54">
        <v>28.79</v>
      </c>
      <c r="I16" s="54">
        <v>1.51</v>
      </c>
      <c r="J16" s="54">
        <v>0.38</v>
      </c>
      <c r="K16" s="54">
        <v>346.40</v>
      </c>
      <c r="L16" s="54">
        <v>28.81</v>
      </c>
      <c r="M16" s="54">
        <v>64.61</v>
      </c>
      <c r="N16" s="54">
        <v>412.80</v>
      </c>
      <c r="O16" s="54">
        <v>0</v>
      </c>
      <c r="P16" s="54">
        <v>0.87</v>
      </c>
      <c r="Q16" s="54">
        <v>12.04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6.70</v>
      </c>
      <c r="C17" s="54">
        <v>16.23</v>
      </c>
      <c r="D17" s="54">
        <v>15.54</v>
      </c>
      <c r="E17" s="54">
        <v>2.02</v>
      </c>
      <c r="F17" s="54">
        <v>0.75</v>
      </c>
      <c r="G17" s="54">
        <v>88.30</v>
      </c>
      <c r="H17" s="54">
        <v>27.72</v>
      </c>
      <c r="I17" s="54">
        <v>1.55</v>
      </c>
      <c r="J17" s="54">
        <v>0.83</v>
      </c>
      <c r="K17" s="54">
        <v>323.37</v>
      </c>
      <c r="L17" s="54">
        <v>30.36</v>
      </c>
      <c r="M17" s="54">
        <v>54.28</v>
      </c>
      <c r="N17" s="54">
        <v>642</v>
      </c>
      <c r="O17" s="54">
        <v>0</v>
      </c>
      <c r="P17" s="54">
        <v>0.84</v>
      </c>
      <c r="Q17" s="54">
        <v>12.11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4.4800000000000004</v>
      </c>
      <c r="C18" s="54">
        <v>17.850000000000001</v>
      </c>
      <c r="D18" s="54">
        <v>13.87</v>
      </c>
      <c r="E18" s="54">
        <v>2.4500000000000002</v>
      </c>
      <c r="F18" s="54">
        <v>1.27</v>
      </c>
      <c r="G18" s="54">
        <v>88.30</v>
      </c>
      <c r="H18" s="54">
        <v>27.41</v>
      </c>
      <c r="I18" s="54">
        <v>1.54</v>
      </c>
      <c r="J18" s="54">
        <v>1.24</v>
      </c>
      <c r="K18" s="54">
        <v>326.36</v>
      </c>
      <c r="L18" s="54">
        <v>33.54</v>
      </c>
      <c r="M18" s="54">
        <v>39.85</v>
      </c>
      <c r="N18" s="54">
        <v>816.60</v>
      </c>
      <c r="O18" s="54">
        <v>0</v>
      </c>
      <c r="P18" s="54">
        <v>0.77</v>
      </c>
      <c r="Q18" s="54">
        <v>11.30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3.07</v>
      </c>
      <c r="C19" s="54">
        <v>18.190000000000001</v>
      </c>
      <c r="D19" s="54">
        <v>13.68</v>
      </c>
      <c r="E19" s="54">
        <v>2.0099999999999998</v>
      </c>
      <c r="F19" s="54">
        <v>1.5</v>
      </c>
      <c r="G19" s="54">
        <v>76.64</v>
      </c>
      <c r="H19" s="54">
        <v>27.41</v>
      </c>
      <c r="I19" s="54">
        <v>1.51</v>
      </c>
      <c r="J19" s="54">
        <v>1.39</v>
      </c>
      <c r="K19" s="54">
        <v>329.55</v>
      </c>
      <c r="L19" s="54">
        <v>34.549999999999997</v>
      </c>
      <c r="M19" s="54">
        <v>35.479999999999997</v>
      </c>
      <c r="N19" s="54">
        <v>913</v>
      </c>
      <c r="O19" s="54">
        <v>0</v>
      </c>
      <c r="P19" s="54">
        <v>0.74</v>
      </c>
      <c r="Q19" s="54">
        <v>11.11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2.85</v>
      </c>
      <c r="C20" s="54">
        <v>19.100000000000001</v>
      </c>
      <c r="D20" s="54">
        <v>14.04</v>
      </c>
      <c r="E20" s="54">
        <v>2.4300000000000002</v>
      </c>
      <c r="F20" s="54">
        <v>2.21</v>
      </c>
      <c r="G20" s="54">
        <v>75.12</v>
      </c>
      <c r="H20" s="54">
        <v>26.71</v>
      </c>
      <c r="I20" s="54">
        <v>1.56</v>
      </c>
      <c r="J20" s="54">
        <v>2.27</v>
      </c>
      <c r="K20" s="54">
        <v>336.38</v>
      </c>
      <c r="L20" s="54">
        <v>34.36</v>
      </c>
      <c r="M20" s="54">
        <v>31.30</v>
      </c>
      <c r="N20" s="54">
        <v>945</v>
      </c>
      <c r="O20" s="54">
        <v>0</v>
      </c>
      <c r="P20" s="54">
        <v>0.72</v>
      </c>
      <c r="Q20" s="54">
        <v>11.36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2.90</v>
      </c>
      <c r="C21" s="54">
        <v>19.489999999999998</v>
      </c>
      <c r="D21" s="54">
        <v>14.28</v>
      </c>
      <c r="E21" s="54">
        <v>1.62</v>
      </c>
      <c r="F21" s="54">
        <v>2.31</v>
      </c>
      <c r="G21" s="54">
        <v>75.12</v>
      </c>
      <c r="H21" s="54">
        <v>26.71</v>
      </c>
      <c r="I21" s="54">
        <v>1.49</v>
      </c>
      <c r="J21" s="54">
        <v>2.10</v>
      </c>
      <c r="K21" s="54">
        <v>330.36</v>
      </c>
      <c r="L21" s="54">
        <v>33.479999999999997</v>
      </c>
      <c r="M21" s="54">
        <v>33.67</v>
      </c>
      <c r="N21" s="54">
        <v>926.80</v>
      </c>
      <c r="O21" s="54">
        <v>0</v>
      </c>
      <c r="P21" s="54">
        <v>0.67</v>
      </c>
      <c r="Q21" s="54">
        <v>10.31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2.66</v>
      </c>
      <c r="C22" s="54">
        <v>18.829999999999998</v>
      </c>
      <c r="D22" s="54">
        <v>13.82</v>
      </c>
      <c r="E22" s="54">
        <v>4.9400000000000004</v>
      </c>
      <c r="F22" s="54">
        <v>2.4700000000000002</v>
      </c>
      <c r="G22" s="54">
        <v>70.53</v>
      </c>
      <c r="H22" s="54">
        <v>23.55</v>
      </c>
      <c r="I22" s="54">
        <v>1.54</v>
      </c>
      <c r="J22" s="54">
        <v>2</v>
      </c>
      <c r="K22" s="54">
        <v>335.79</v>
      </c>
      <c r="L22" s="54">
        <v>32.92</v>
      </c>
      <c r="M22" s="54">
        <v>34.21</v>
      </c>
      <c r="N22" s="54">
        <v>761.20</v>
      </c>
      <c r="O22" s="54">
        <v>0</v>
      </c>
      <c r="P22" s="54">
        <v>0.59</v>
      </c>
      <c r="Q22" s="54">
        <v>10.70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3.25</v>
      </c>
      <c r="C23" s="54">
        <v>18.97</v>
      </c>
      <c r="D23" s="54">
        <v>14.18</v>
      </c>
      <c r="E23" s="54">
        <v>1.28</v>
      </c>
      <c r="F23" s="54">
        <v>1.61</v>
      </c>
      <c r="G23" s="54">
        <v>66.540000000000006</v>
      </c>
      <c r="H23" s="54">
        <v>23.58</v>
      </c>
      <c r="I23" s="54">
        <v>1.55</v>
      </c>
      <c r="J23" s="54">
        <v>1.41</v>
      </c>
      <c r="K23" s="54">
        <v>337.64</v>
      </c>
      <c r="L23" s="54">
        <v>31.48</v>
      </c>
      <c r="M23" s="54">
        <v>37.81</v>
      </c>
      <c r="N23" s="54">
        <v>220.40</v>
      </c>
      <c r="O23" s="54">
        <v>0</v>
      </c>
      <c r="P23" s="54">
        <v>0.61</v>
      </c>
      <c r="Q23" s="54">
        <v>11.05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3.10</v>
      </c>
      <c r="C24" s="54">
        <v>18.05</v>
      </c>
      <c r="D24" s="54">
        <v>13.74</v>
      </c>
      <c r="E24" s="54">
        <v>1.64</v>
      </c>
      <c r="F24" s="54">
        <v>1.88</v>
      </c>
      <c r="G24" s="54">
        <v>67.19</v>
      </c>
      <c r="H24" s="54">
        <v>23.58</v>
      </c>
      <c r="I24" s="54">
        <v>1.52</v>
      </c>
      <c r="J24" s="54">
        <v>1.32</v>
      </c>
      <c r="K24" s="54">
        <v>334.92</v>
      </c>
      <c r="L24" s="54">
        <v>30.06</v>
      </c>
      <c r="M24" s="54">
        <v>40.72</v>
      </c>
      <c r="N24" s="54">
        <v>90.80</v>
      </c>
      <c r="O24" s="54">
        <v>0</v>
      </c>
      <c r="P24" s="54">
        <v>0.59</v>
      </c>
      <c r="Q24" s="54">
        <v>10.69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3.09</v>
      </c>
      <c r="C25" s="54">
        <v>18.12</v>
      </c>
      <c r="D25" s="54">
        <v>13.77</v>
      </c>
      <c r="E25" s="54">
        <v>1.61</v>
      </c>
      <c r="F25" s="54">
        <v>1.48</v>
      </c>
      <c r="G25" s="54">
        <v>67.19</v>
      </c>
      <c r="H25" s="54">
        <v>22.25</v>
      </c>
      <c r="I25" s="54">
        <v>1.55</v>
      </c>
      <c r="J25" s="54">
        <v>1.35</v>
      </c>
      <c r="K25" s="54">
        <v>333.05</v>
      </c>
      <c r="L25" s="54">
        <v>28.98</v>
      </c>
      <c r="M25" s="54">
        <v>44.49</v>
      </c>
      <c r="N25" s="54">
        <v>63.20</v>
      </c>
      <c r="O25" s="54">
        <v>0</v>
      </c>
      <c r="P25" s="54">
        <v>0.62</v>
      </c>
      <c r="Q25" s="54">
        <v>11.06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4.8499999999999996</v>
      </c>
      <c r="C26" s="54">
        <v>18.53</v>
      </c>
      <c r="D26" s="54">
        <v>14.96</v>
      </c>
      <c r="E26" s="54">
        <v>1.22</v>
      </c>
      <c r="F26" s="54">
        <v>0.81</v>
      </c>
      <c r="G26" s="54">
        <v>69.28</v>
      </c>
      <c r="H26" s="54">
        <v>22.23</v>
      </c>
      <c r="I26" s="54">
        <v>1.55</v>
      </c>
      <c r="J26" s="54">
        <v>0.47</v>
      </c>
      <c r="K26" s="54">
        <v>349.76</v>
      </c>
      <c r="L26" s="54">
        <v>27.40</v>
      </c>
      <c r="M26" s="54">
        <v>51.47</v>
      </c>
      <c r="N26" s="54">
        <v>18.899999999999999</v>
      </c>
      <c r="O26" s="54">
        <v>0</v>
      </c>
      <c r="P26" s="54">
        <v>0.96</v>
      </c>
      <c r="Q26" s="54">
        <v>11.09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4.87</v>
      </c>
      <c r="C27" s="54">
        <v>20.12</v>
      </c>
      <c r="D27" s="54">
        <v>16.18</v>
      </c>
      <c r="E27" s="54">
        <v>1.43</v>
      </c>
      <c r="F27" s="54">
        <v>0.95</v>
      </c>
      <c r="G27" s="54">
        <v>79.599999999999994</v>
      </c>
      <c r="H27" s="54">
        <v>25.20</v>
      </c>
      <c r="I27" s="54">
        <v>1.54</v>
      </c>
      <c r="J27" s="54">
        <v>0.28000000000000003</v>
      </c>
      <c r="K27" s="54">
        <v>27.35</v>
      </c>
      <c r="L27" s="54">
        <v>25.80</v>
      </c>
      <c r="M27" s="54">
        <v>63.44</v>
      </c>
      <c r="N27" s="54">
        <v>9.1999999999999993</v>
      </c>
      <c r="O27" s="54">
        <v>0</v>
      </c>
      <c r="P27" s="54">
        <v>0.80</v>
      </c>
      <c r="Q27" s="54">
        <v>11.03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4.78</v>
      </c>
      <c r="C28" s="54">
        <v>19.48</v>
      </c>
      <c r="D28" s="54">
        <v>15.86</v>
      </c>
      <c r="E28" s="54">
        <v>1.21</v>
      </c>
      <c r="F28" s="54">
        <v>0.75</v>
      </c>
      <c r="G28" s="54">
        <v>87.43</v>
      </c>
      <c r="H28" s="54">
        <v>25.21</v>
      </c>
      <c r="I28" s="54">
        <v>1.53</v>
      </c>
      <c r="J28" s="54">
        <v>0.15</v>
      </c>
      <c r="K28" s="54">
        <v>25.32</v>
      </c>
      <c r="L28" s="54">
        <v>24.57</v>
      </c>
      <c r="M28" s="54">
        <v>69.06</v>
      </c>
      <c r="N28" s="54">
        <v>8.90</v>
      </c>
      <c r="O28" s="54">
        <v>0</v>
      </c>
      <c r="P28" s="54">
        <v>0.91</v>
      </c>
      <c r="Q28" s="54">
        <v>11.63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5.45</v>
      </c>
      <c r="C29" s="54">
        <v>17.489999999999998</v>
      </c>
      <c r="D29" s="54">
        <v>14.52</v>
      </c>
      <c r="E29" s="54">
        <v>1.60</v>
      </c>
      <c r="F29" s="54">
        <v>0.49</v>
      </c>
      <c r="G29" s="54">
        <v>88.91</v>
      </c>
      <c r="H29" s="54">
        <v>27.81</v>
      </c>
      <c r="I29" s="54">
        <v>1.56</v>
      </c>
      <c r="J29" s="54">
        <v>0.17</v>
      </c>
      <c r="K29" s="54">
        <v>206.67</v>
      </c>
      <c r="L29" s="54">
        <v>23.89</v>
      </c>
      <c r="M29" s="54">
        <v>74.59</v>
      </c>
      <c r="N29" s="54">
        <v>8.8000000000000007</v>
      </c>
      <c r="O29" s="54">
        <v>0</v>
      </c>
      <c r="P29" s="54">
        <v>1.19</v>
      </c>
      <c r="Q29" s="54">
        <v>11.67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5.90</v>
      </c>
      <c r="C30" s="54">
        <v>16.20</v>
      </c>
      <c r="D30" s="54">
        <v>14.93</v>
      </c>
      <c r="E30" s="54">
        <v>2.04</v>
      </c>
      <c r="F30" s="54">
        <v>0.66</v>
      </c>
      <c r="G30" s="54">
        <v>90.99</v>
      </c>
      <c r="H30" s="54">
        <v>30.09</v>
      </c>
      <c r="I30" s="54">
        <v>1.56</v>
      </c>
      <c r="J30" s="54">
        <v>0.09</v>
      </c>
      <c r="K30" s="54">
        <v>347.23</v>
      </c>
      <c r="L30" s="54">
        <v>23.10</v>
      </c>
      <c r="M30" s="54">
        <v>78.05</v>
      </c>
      <c r="N30" s="54">
        <v>8.8000000000000007</v>
      </c>
      <c r="O30" s="54">
        <v>0</v>
      </c>
      <c r="P30" s="54">
        <v>1.07</v>
      </c>
      <c r="Q30" s="54">
        <v>11.97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7.01</v>
      </c>
      <c r="C31" s="54">
        <v>15.18</v>
      </c>
      <c r="D31" s="54">
        <v>14.83</v>
      </c>
      <c r="E31" s="54">
        <v>2.11</v>
      </c>
      <c r="F31" s="54">
        <v>0.5</v>
      </c>
      <c r="G31" s="54">
        <v>92.24</v>
      </c>
      <c r="H31" s="54">
        <v>30.76</v>
      </c>
      <c r="I31" s="54">
        <v>1.55</v>
      </c>
      <c r="J31" s="54">
        <v>0.09</v>
      </c>
      <c r="K31" s="54">
        <v>327.47000000000003</v>
      </c>
      <c r="L31" s="54">
        <v>22.75</v>
      </c>
      <c r="M31" s="54">
        <v>79.680000000000007</v>
      </c>
      <c r="N31" s="54">
        <v>8.8000000000000007</v>
      </c>
      <c r="O31" s="54">
        <v>0</v>
      </c>
      <c r="P31" s="54">
        <v>1.0900000000000001</v>
      </c>
      <c r="Q31" s="54">
        <v>12.25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7.97</v>
      </c>
      <c r="C32" s="54">
        <v>14.12</v>
      </c>
      <c r="D32" s="54">
        <v>15.05</v>
      </c>
      <c r="E32" s="54">
        <v>2.4900000000000002</v>
      </c>
      <c r="F32" s="54">
        <v>0.49</v>
      </c>
      <c r="G32" s="54">
        <v>92.43</v>
      </c>
      <c r="H32" s="54">
        <v>32.03</v>
      </c>
      <c r="I32" s="54">
        <v>1.51</v>
      </c>
      <c r="J32" s="54">
        <v>0.11</v>
      </c>
      <c r="K32" s="54">
        <v>332.75</v>
      </c>
      <c r="L32" s="54">
        <v>22.85</v>
      </c>
      <c r="M32" s="54">
        <v>82.31</v>
      </c>
      <c r="N32" s="54">
        <v>9</v>
      </c>
      <c r="O32" s="54">
        <v>0</v>
      </c>
      <c r="P32" s="54">
        <v>1.1000000000000001</v>
      </c>
      <c r="Q32" s="54">
        <v>12.73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2.6600000000000001</v>
      </c>
      <c r="C34" s="28">
        <f t="shared" si="0"/>
        <v>12.779999999999999</v>
      </c>
      <c r="D34" s="28">
        <f t="shared" si="0"/>
        <v>12.720000000000001</v>
      </c>
      <c r="E34" s="28">
        <f t="shared" si="0"/>
        <v>1.21</v>
      </c>
      <c r="F34" s="28">
        <f t="shared" si="0"/>
        <v>0.42999999999999999</v>
      </c>
      <c r="G34" s="28">
        <f t="shared" si="0"/>
        <v>66.540000000000006</v>
      </c>
      <c r="H34" s="28">
        <f t="shared" si="0"/>
        <v>22.23</v>
      </c>
      <c r="I34" s="28">
        <f t="shared" si="0"/>
        <v>1.49</v>
      </c>
      <c r="J34" s="28">
        <f t="shared" si="0"/>
        <v>0.070000000000000007</v>
      </c>
      <c r="K34" s="28">
        <f t="shared" si="0"/>
        <v>20.93</v>
      </c>
      <c r="L34" s="28">
        <f t="shared" si="0"/>
        <v>19.890000000000001</v>
      </c>
      <c r="M34" s="28">
        <f t="shared" si="0"/>
        <v>31.300000000000001</v>
      </c>
      <c r="N34" s="28">
        <f t="shared" si="0"/>
        <v>8.6999999999999993</v>
      </c>
      <c r="O34" s="28">
        <f t="shared" si="0"/>
        <v>0</v>
      </c>
      <c r="P34" s="28">
        <f t="shared" si="0"/>
        <v>0.58999999999999997</v>
      </c>
      <c r="Q34" s="28">
        <f t="shared" si="0"/>
        <v>10.31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8.1099999999999994</v>
      </c>
      <c r="C35" s="29">
        <f t="shared" si="1"/>
        <v>20.120000000000001</v>
      </c>
      <c r="D35" s="29">
        <f t="shared" si="1"/>
        <v>16.18</v>
      </c>
      <c r="E35" s="29">
        <f t="shared" si="1"/>
        <v>4.9400000000000004</v>
      </c>
      <c r="F35" s="29">
        <f t="shared" si="1"/>
        <v>2.4700000000000002</v>
      </c>
      <c r="G35" s="29">
        <f t="shared" si="1"/>
        <v>95.549999999999997</v>
      </c>
      <c r="H35" s="29">
        <f t="shared" si="1"/>
        <v>32.520000000000003</v>
      </c>
      <c r="I35" s="29">
        <f t="shared" si="1"/>
        <v>1.5600000000000001</v>
      </c>
      <c r="J35" s="29">
        <f t="shared" si="1"/>
        <v>2.27</v>
      </c>
      <c r="K35" s="29">
        <f t="shared" si="1"/>
        <v>357.87</v>
      </c>
      <c r="L35" s="29">
        <f t="shared" si="1"/>
        <v>34.549999999999997</v>
      </c>
      <c r="M35" s="29">
        <f t="shared" si="1"/>
        <v>95.939999999999998</v>
      </c>
      <c r="N35" s="29">
        <f t="shared" si="1"/>
        <v>945</v>
      </c>
      <c r="O35" s="29">
        <f t="shared" si="1"/>
        <v>0</v>
      </c>
      <c r="P35" s="29">
        <f t="shared" si="1"/>
        <v>1.25</v>
      </c>
      <c r="Q35" s="29">
        <f t="shared" si="1"/>
        <v>13.369999999999999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5.2408333333333337</v>
      </c>
      <c r="C36" s="28">
        <f t="shared" si="2"/>
        <v>16.597916666666666</v>
      </c>
      <c r="D36" s="28">
        <f t="shared" si="2"/>
        <v>14.461250000000001</v>
      </c>
      <c r="E36" s="28">
        <f t="shared" si="2"/>
        <v>1.8187500000000003</v>
      </c>
      <c r="F36" s="28">
        <f t="shared" si="2"/>
        <v>1.0083333333333331</v>
      </c>
      <c r="G36" s="28">
        <f t="shared" si="2"/>
        <v>81.409166666666664</v>
      </c>
      <c r="H36" s="28">
        <f t="shared" si="2"/>
        <v>27.826666666666668</v>
      </c>
      <c r="I36" s="28">
        <f t="shared" si="2"/>
        <v>1.5329166666666667</v>
      </c>
      <c r="J36" s="28">
        <f t="shared" si="2"/>
        <v>0.70083333333333331</v>
      </c>
      <c r="K36" s="28">
        <f t="shared" si="2"/>
        <v>294.18416666666673</v>
      </c>
      <c r="L36" s="28">
        <f t="shared" si="2"/>
        <v>26.525416666666672</v>
      </c>
      <c r="M36" s="28">
        <f t="shared" si="2"/>
        <v>64.716250000000002</v>
      </c>
      <c r="N36" s="28">
        <f t="shared" si="2"/>
        <v>253.91249999999994</v>
      </c>
      <c r="O36" s="28">
        <f t="shared" si="2"/>
        <v>0</v>
      </c>
      <c r="P36" s="28">
        <f t="shared" si="2"/>
        <v>0.89208333333333345</v>
      </c>
      <c r="Q36" s="28">
        <f t="shared" si="2"/>
        <v>11.774166666666668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1.8155414012657871</v>
      </c>
      <c r="C37" s="28">
        <f t="shared" si="3" ref="C37:Q37">STDEV(C9:C32)</f>
        <v>2.3307061426074895</v>
      </c>
      <c r="D37" s="28">
        <f t="shared" si="3"/>
        <v>0.94059330258590024</v>
      </c>
      <c r="E37" s="28">
        <f t="shared" si="3"/>
        <v>0.78465341282687961</v>
      </c>
      <c r="F37" s="28">
        <f t="shared" si="3"/>
        <v>0.66126142082134753</v>
      </c>
      <c r="G37" s="28">
        <f t="shared" si="3"/>
        <v>9.0205272749900693</v>
      </c>
      <c r="H37" s="28">
        <f t="shared" si="3"/>
        <v>3.2884126825893367</v>
      </c>
      <c r="I37" s="28">
        <f t="shared" si="3"/>
        <v>0.020742555849952687</v>
      </c>
      <c r="J37" s="28">
        <f t="shared" si="3"/>
        <v>0.73053831650643619</v>
      </c>
      <c r="K37" s="28">
        <f t="shared" si="3"/>
        <v>107.91780152612388</v>
      </c>
      <c r="L37" s="28">
        <f t="shared" si="3"/>
        <v>5.0775421811590231</v>
      </c>
      <c r="M37" s="28">
        <f t="shared" si="3"/>
        <v>23.151184364952073</v>
      </c>
      <c r="N37" s="28">
        <f t="shared" si="3"/>
        <v>358.59697774193836</v>
      </c>
      <c r="O37" s="28">
        <f t="shared" si="3"/>
        <v>0</v>
      </c>
      <c r="P37" s="28">
        <f t="shared" si="3"/>
        <v>0.20036877233624992</v>
      </c>
      <c r="Q37" s="28">
        <f t="shared" si="3"/>
        <v>0.81848171564218053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6c3d52-94f9-444b-83fa-49f405768d18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6" sqref="G66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8.3800000000000008</v>
      </c>
      <c r="C9" s="54">
        <v>13.70</v>
      </c>
      <c r="D9" s="54">
        <v>15.51</v>
      </c>
      <c r="E9" s="54">
        <v>0.75</v>
      </c>
      <c r="F9" s="54">
        <v>0.52</v>
      </c>
      <c r="G9" s="54">
        <v>92.43</v>
      </c>
      <c r="H9" s="54">
        <v>32.25</v>
      </c>
      <c r="I9" s="54">
        <v>1.57</v>
      </c>
      <c r="J9" s="54">
        <v>0.19</v>
      </c>
      <c r="K9" s="54">
        <v>229.02</v>
      </c>
      <c r="L9" s="54">
        <v>22.27</v>
      </c>
      <c r="M9" s="54">
        <v>87.21</v>
      </c>
      <c r="N9" s="54">
        <v>8.90</v>
      </c>
      <c r="O9" s="54">
        <v>0</v>
      </c>
      <c r="P9" s="54">
        <v>1.0900000000000001</v>
      </c>
      <c r="Q9" s="54">
        <v>13.25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7.89</v>
      </c>
      <c r="C10" s="54">
        <v>12.61</v>
      </c>
      <c r="D10" s="54">
        <v>14.58</v>
      </c>
      <c r="E10" s="54">
        <v>0.5</v>
      </c>
      <c r="F10" s="54">
        <v>0.56000000000000005</v>
      </c>
      <c r="G10" s="54">
        <v>90.77</v>
      </c>
      <c r="H10" s="54">
        <v>32.25</v>
      </c>
      <c r="I10" s="54">
        <v>1.55</v>
      </c>
      <c r="J10" s="54">
        <v>0.21</v>
      </c>
      <c r="K10" s="54">
        <v>227.78</v>
      </c>
      <c r="L10" s="54">
        <v>21.68</v>
      </c>
      <c r="M10" s="54">
        <v>90.31</v>
      </c>
      <c r="N10" s="54">
        <v>8.8000000000000007</v>
      </c>
      <c r="O10" s="54">
        <v>0</v>
      </c>
      <c r="P10" s="54">
        <v>1.04</v>
      </c>
      <c r="Q10" s="54">
        <v>13.28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8.36</v>
      </c>
      <c r="C11" s="54">
        <v>11.89</v>
      </c>
      <c r="D11" s="54">
        <v>14.55</v>
      </c>
      <c r="E11" s="54">
        <v>0.97</v>
      </c>
      <c r="F11" s="54">
        <v>0.47</v>
      </c>
      <c r="G11" s="54">
        <v>83.80</v>
      </c>
      <c r="H11" s="54">
        <v>31.49</v>
      </c>
      <c r="I11" s="54">
        <v>1.5</v>
      </c>
      <c r="J11" s="54">
        <v>0.070000000000000007</v>
      </c>
      <c r="K11" s="54">
        <v>276.26</v>
      </c>
      <c r="L11" s="54">
        <v>21.32</v>
      </c>
      <c r="M11" s="54">
        <v>92.41</v>
      </c>
      <c r="N11" s="54">
        <v>8.90</v>
      </c>
      <c r="O11" s="54">
        <v>0</v>
      </c>
      <c r="P11" s="54">
        <v>0.94</v>
      </c>
      <c r="Q11" s="54">
        <v>14.39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8.52</v>
      </c>
      <c r="C12" s="54">
        <v>14.26</v>
      </c>
      <c r="D12" s="54">
        <v>15.90</v>
      </c>
      <c r="E12" s="54">
        <v>1.31</v>
      </c>
      <c r="F12" s="54">
        <v>0.23</v>
      </c>
      <c r="G12" s="54">
        <v>79.709999999999994</v>
      </c>
      <c r="H12" s="54">
        <v>28.60</v>
      </c>
      <c r="I12" s="54">
        <v>1.52</v>
      </c>
      <c r="J12" s="54">
        <v>0.25</v>
      </c>
      <c r="K12" s="54">
        <v>223.42</v>
      </c>
      <c r="L12" s="54">
        <v>21.24</v>
      </c>
      <c r="M12" s="54">
        <v>92</v>
      </c>
      <c r="N12" s="54">
        <v>9</v>
      </c>
      <c r="O12" s="54">
        <v>0</v>
      </c>
      <c r="P12" s="54">
        <v>0.93</v>
      </c>
      <c r="Q12" s="54">
        <v>14.96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7.20</v>
      </c>
      <c r="C13" s="54">
        <v>13.12</v>
      </c>
      <c r="D13" s="54">
        <v>14.31</v>
      </c>
      <c r="E13" s="54">
        <v>1.74</v>
      </c>
      <c r="F13" s="54">
        <v>0.44</v>
      </c>
      <c r="G13" s="54">
        <v>78.430000000000007</v>
      </c>
      <c r="H13" s="54">
        <v>28.60</v>
      </c>
      <c r="I13" s="54">
        <v>1.51</v>
      </c>
      <c r="J13" s="54">
        <v>0.11</v>
      </c>
      <c r="K13" s="54">
        <v>219.86</v>
      </c>
      <c r="L13" s="54">
        <v>20.63</v>
      </c>
      <c r="M13" s="54">
        <v>93.81</v>
      </c>
      <c r="N13" s="54">
        <v>8.90</v>
      </c>
      <c r="O13" s="54">
        <v>0</v>
      </c>
      <c r="P13" s="54">
        <v>0.88</v>
      </c>
      <c r="Q13" s="54">
        <v>14.36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7.21</v>
      </c>
      <c r="C14" s="54">
        <v>12.49</v>
      </c>
      <c r="D14" s="54">
        <v>13.97</v>
      </c>
      <c r="E14" s="54">
        <v>2.0499999999999998</v>
      </c>
      <c r="F14" s="54">
        <v>0.52</v>
      </c>
      <c r="G14" s="54">
        <v>67.959999999999994</v>
      </c>
      <c r="H14" s="54">
        <v>28.29</v>
      </c>
      <c r="I14" s="54">
        <v>1.46</v>
      </c>
      <c r="J14" s="54">
        <v>0.18</v>
      </c>
      <c r="K14" s="54">
        <v>219.31</v>
      </c>
      <c r="L14" s="54">
        <v>20.56</v>
      </c>
      <c r="M14" s="54">
        <v>94.81</v>
      </c>
      <c r="N14" s="54">
        <v>16</v>
      </c>
      <c r="O14" s="54">
        <v>0</v>
      </c>
      <c r="P14" s="54">
        <v>0.79</v>
      </c>
      <c r="Q14" s="54">
        <v>14.77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9.52</v>
      </c>
      <c r="C15" s="54">
        <v>12.62</v>
      </c>
      <c r="D15" s="54">
        <v>15.42</v>
      </c>
      <c r="E15" s="54">
        <v>2.0499999999999998</v>
      </c>
      <c r="F15" s="54">
        <v>0.39</v>
      </c>
      <c r="G15" s="54">
        <v>62.41</v>
      </c>
      <c r="H15" s="54">
        <v>25.36</v>
      </c>
      <c r="I15" s="54">
        <v>1.56</v>
      </c>
      <c r="J15" s="54">
        <v>0.11</v>
      </c>
      <c r="K15" s="54">
        <v>353.95</v>
      </c>
      <c r="L15" s="54">
        <v>23.06</v>
      </c>
      <c r="M15" s="54">
        <v>95.57</v>
      </c>
      <c r="N15" s="54">
        <v>178.60</v>
      </c>
      <c r="O15" s="54">
        <v>0</v>
      </c>
      <c r="P15" s="54">
        <v>0.76</v>
      </c>
      <c r="Q15" s="54">
        <v>14.12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9.52</v>
      </c>
      <c r="C16" s="54">
        <v>13.35</v>
      </c>
      <c r="D16" s="54">
        <v>16.27</v>
      </c>
      <c r="E16" s="54">
        <v>1.87</v>
      </c>
      <c r="F16" s="54">
        <v>0.62</v>
      </c>
      <c r="G16" s="54">
        <v>61.80</v>
      </c>
      <c r="H16" s="54">
        <v>25.36</v>
      </c>
      <c r="I16" s="54">
        <v>1.59</v>
      </c>
      <c r="J16" s="54">
        <v>0.26</v>
      </c>
      <c r="K16" s="54">
        <v>2.93</v>
      </c>
      <c r="L16" s="54">
        <v>28.01</v>
      </c>
      <c r="M16" s="54">
        <v>73.44</v>
      </c>
      <c r="N16" s="54">
        <v>405.70</v>
      </c>
      <c r="O16" s="54">
        <v>0</v>
      </c>
      <c r="P16" s="54">
        <v>0.77</v>
      </c>
      <c r="Q16" s="54">
        <v>14.19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9.2200000000000006</v>
      </c>
      <c r="C17" s="54">
        <v>15.06</v>
      </c>
      <c r="D17" s="54">
        <v>16.98</v>
      </c>
      <c r="E17" s="54">
        <v>1.22</v>
      </c>
      <c r="F17" s="54">
        <v>0.75</v>
      </c>
      <c r="G17" s="54">
        <v>68.58</v>
      </c>
      <c r="H17" s="54">
        <v>25.27</v>
      </c>
      <c r="I17" s="54">
        <v>1.57</v>
      </c>
      <c r="J17" s="54">
        <v>0.48</v>
      </c>
      <c r="K17" s="54">
        <v>345.79</v>
      </c>
      <c r="L17" s="54">
        <v>30.27</v>
      </c>
      <c r="M17" s="54">
        <v>60.12</v>
      </c>
      <c r="N17" s="54">
        <v>627.70000000000005</v>
      </c>
      <c r="O17" s="54">
        <v>0</v>
      </c>
      <c r="P17" s="54">
        <v>0.79</v>
      </c>
      <c r="Q17" s="54">
        <v>13.83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8.82</v>
      </c>
      <c r="C18" s="54">
        <v>17.36</v>
      </c>
      <c r="D18" s="54">
        <v>16.68</v>
      </c>
      <c r="E18" s="54">
        <v>1.1100000000000001</v>
      </c>
      <c r="F18" s="54">
        <v>1.04</v>
      </c>
      <c r="G18" s="54">
        <v>78.92</v>
      </c>
      <c r="H18" s="54">
        <v>29.56</v>
      </c>
      <c r="I18" s="54">
        <v>1.55</v>
      </c>
      <c r="J18" s="54">
        <v>0.73</v>
      </c>
      <c r="K18" s="54">
        <v>346.46</v>
      </c>
      <c r="L18" s="54">
        <v>34.31</v>
      </c>
      <c r="M18" s="54">
        <v>56.64</v>
      </c>
      <c r="N18" s="54">
        <v>777.30</v>
      </c>
      <c r="O18" s="54">
        <v>0</v>
      </c>
      <c r="P18" s="54">
        <v>0.80</v>
      </c>
      <c r="Q18" s="54">
        <v>13.64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5.56</v>
      </c>
      <c r="C19" s="54">
        <v>31.10</v>
      </c>
      <c r="D19" s="54">
        <v>21.49</v>
      </c>
      <c r="E19" s="54">
        <v>1.21</v>
      </c>
      <c r="F19" s="54">
        <v>3.36</v>
      </c>
      <c r="G19" s="54">
        <v>78.92</v>
      </c>
      <c r="H19" s="54">
        <v>29.56</v>
      </c>
      <c r="I19" s="54">
        <v>1.49</v>
      </c>
      <c r="J19" s="54">
        <v>0.51</v>
      </c>
      <c r="K19" s="54">
        <v>345.52</v>
      </c>
      <c r="L19" s="54">
        <v>33.67</v>
      </c>
      <c r="M19" s="54">
        <v>47.33</v>
      </c>
      <c r="N19" s="54">
        <v>866.80</v>
      </c>
      <c r="O19" s="54">
        <v>0</v>
      </c>
      <c r="P19" s="54">
        <v>0.86</v>
      </c>
      <c r="Q19" s="54">
        <v>13.14</v>
      </c>
      <c r="R19" s="43"/>
      <c r="S19" s="43"/>
      <c r="T19" s="43"/>
      <c r="U19" s="43"/>
    </row>
    <row r="20" spans="1:21" s="11" customFormat="1" ht="15">
      <c r="A20" s="53" t="s">
        <v>193</v>
      </c>
      <c r="B20" s="54">
        <v>3.44</v>
      </c>
      <c r="C20" s="54">
        <v>29.64</v>
      </c>
      <c r="D20" s="54">
        <v>20.41</v>
      </c>
      <c r="E20" s="54">
        <v>1.76</v>
      </c>
      <c r="F20" s="54">
        <v>1.67</v>
      </c>
      <c r="G20" s="54">
        <v>77.95</v>
      </c>
      <c r="H20" s="54">
        <v>29.31</v>
      </c>
      <c r="I20" s="54">
        <v>1.51</v>
      </c>
      <c r="J20" s="54">
        <v>0.38</v>
      </c>
      <c r="K20" s="54">
        <v>346.90</v>
      </c>
      <c r="L20" s="54">
        <v>32.64</v>
      </c>
      <c r="M20" s="54">
        <v>50.90</v>
      </c>
      <c r="N20" s="54">
        <v>930.60</v>
      </c>
      <c r="O20" s="54">
        <v>0</v>
      </c>
      <c r="P20" s="54">
        <v>0.83</v>
      </c>
      <c r="Q20" s="54">
        <v>13.13</v>
      </c>
      <c r="R20" s="43"/>
      <c r="S20" s="43"/>
      <c r="T20" s="43"/>
      <c r="U20" s="43"/>
    </row>
    <row r="21" spans="1:21" s="11" customFormat="1" ht="15">
      <c r="A21" s="53" t="s">
        <v>194</v>
      </c>
      <c r="B21" s="54">
        <v>3.04</v>
      </c>
      <c r="C21" s="54">
        <v>21.26</v>
      </c>
      <c r="D21" s="54">
        <v>15.47</v>
      </c>
      <c r="E21" s="54">
        <v>1.06</v>
      </c>
      <c r="F21" s="54">
        <v>2.97</v>
      </c>
      <c r="G21" s="54">
        <v>72.849999999999994</v>
      </c>
      <c r="H21" s="54">
        <v>29.31</v>
      </c>
      <c r="I21" s="54">
        <v>1.57</v>
      </c>
      <c r="J21" s="54">
        <v>1.1100000000000001</v>
      </c>
      <c r="K21" s="54">
        <v>331.07</v>
      </c>
      <c r="L21" s="54">
        <v>34.97</v>
      </c>
      <c r="M21" s="54">
        <v>47.55</v>
      </c>
      <c r="N21" s="54">
        <v>884.30</v>
      </c>
      <c r="O21" s="54">
        <v>0</v>
      </c>
      <c r="P21" s="54">
        <v>0.74</v>
      </c>
      <c r="Q21" s="54">
        <v>12.38</v>
      </c>
      <c r="R21" s="43"/>
      <c r="S21" s="43"/>
      <c r="T21" s="43"/>
      <c r="U21" s="43"/>
    </row>
    <row r="22" spans="1:21" s="11" customFormat="1" ht="15">
      <c r="A22" s="53" t="s">
        <v>195</v>
      </c>
      <c r="B22" s="54">
        <v>3.05</v>
      </c>
      <c r="C22" s="54">
        <v>22.46</v>
      </c>
      <c r="D22" s="54">
        <v>16.059999999999999</v>
      </c>
      <c r="E22" s="54">
        <v>1.83</v>
      </c>
      <c r="F22" s="54">
        <v>3.21</v>
      </c>
      <c r="G22" s="54">
        <v>62.13</v>
      </c>
      <c r="H22" s="54">
        <v>23.24</v>
      </c>
      <c r="I22" s="54">
        <v>1.58</v>
      </c>
      <c r="J22" s="54">
        <v>1.54</v>
      </c>
      <c r="K22" s="54">
        <v>328.68</v>
      </c>
      <c r="L22" s="54">
        <v>34.869999999999997</v>
      </c>
      <c r="M22" s="54">
        <v>37.409999999999997</v>
      </c>
      <c r="N22" s="54">
        <v>754.60</v>
      </c>
      <c r="O22" s="54">
        <v>0</v>
      </c>
      <c r="P22" s="54">
        <v>0.63</v>
      </c>
      <c r="Q22" s="54">
        <v>12.40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3.01</v>
      </c>
      <c r="C23" s="54">
        <v>23.88</v>
      </c>
      <c r="D23" s="54">
        <v>16.82</v>
      </c>
      <c r="E23" s="54">
        <v>1.31</v>
      </c>
      <c r="F23" s="54">
        <v>4.03</v>
      </c>
      <c r="G23" s="54">
        <v>52.04</v>
      </c>
      <c r="H23" s="54">
        <v>15.10</v>
      </c>
      <c r="I23" s="54">
        <v>1.55</v>
      </c>
      <c r="J23" s="54">
        <v>1.33</v>
      </c>
      <c r="K23" s="54">
        <v>329.75</v>
      </c>
      <c r="L23" s="54">
        <v>32.99</v>
      </c>
      <c r="M23" s="54">
        <v>38.270000000000003</v>
      </c>
      <c r="N23" s="54">
        <v>275.5</v>
      </c>
      <c r="O23" s="54">
        <v>0</v>
      </c>
      <c r="P23" s="54">
        <v>0.62</v>
      </c>
      <c r="Q23" s="54">
        <v>11.83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2.91</v>
      </c>
      <c r="C24" s="54">
        <v>24.66</v>
      </c>
      <c r="D24" s="54">
        <v>17.149999999999999</v>
      </c>
      <c r="E24" s="54">
        <v>1.73</v>
      </c>
      <c r="F24" s="54">
        <v>2.42</v>
      </c>
      <c r="G24" s="54">
        <v>52.04</v>
      </c>
      <c r="H24" s="54">
        <v>11.53</v>
      </c>
      <c r="I24" s="54">
        <v>1.49</v>
      </c>
      <c r="J24" s="54">
        <v>1.60</v>
      </c>
      <c r="K24" s="54">
        <v>334.87</v>
      </c>
      <c r="L24" s="54">
        <v>31.06</v>
      </c>
      <c r="M24" s="54">
        <v>41.03</v>
      </c>
      <c r="N24" s="54">
        <v>104.10</v>
      </c>
      <c r="O24" s="54">
        <v>0</v>
      </c>
      <c r="P24" s="54">
        <v>0.60</v>
      </c>
      <c r="Q24" s="54">
        <v>11.54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3.62</v>
      </c>
      <c r="C25" s="54">
        <v>20.440000000000001</v>
      </c>
      <c r="D25" s="54">
        <v>15.42</v>
      </c>
      <c r="E25" s="54">
        <v>2.0099999999999998</v>
      </c>
      <c r="F25" s="54">
        <v>1.74</v>
      </c>
      <c r="G25" s="54">
        <v>51.28</v>
      </c>
      <c r="H25" s="54">
        <v>10.15</v>
      </c>
      <c r="I25" s="54">
        <v>1.49</v>
      </c>
      <c r="J25" s="54">
        <v>1.28</v>
      </c>
      <c r="K25" s="54">
        <v>327.92</v>
      </c>
      <c r="L25" s="54">
        <v>29.89</v>
      </c>
      <c r="M25" s="54">
        <v>44.17</v>
      </c>
      <c r="N25" s="54">
        <v>64.20</v>
      </c>
      <c r="O25" s="54">
        <v>0</v>
      </c>
      <c r="P25" s="54">
        <v>0.73</v>
      </c>
      <c r="Q25" s="54">
        <v>11.37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6.75</v>
      </c>
      <c r="C26" s="54">
        <v>21.30</v>
      </c>
      <c r="D26" s="54">
        <v>17.809999999999999</v>
      </c>
      <c r="E26" s="54">
        <v>2.54</v>
      </c>
      <c r="F26" s="54">
        <v>1.19</v>
      </c>
      <c r="G26" s="54">
        <v>67.489999999999995</v>
      </c>
      <c r="H26" s="54">
        <v>7.76</v>
      </c>
      <c r="I26" s="54">
        <v>1.60</v>
      </c>
      <c r="J26" s="54">
        <v>0.86</v>
      </c>
      <c r="K26" s="54">
        <v>332.01</v>
      </c>
      <c r="L26" s="54">
        <v>28.61</v>
      </c>
      <c r="M26" s="54">
        <v>51.25</v>
      </c>
      <c r="N26" s="54">
        <v>29.80</v>
      </c>
      <c r="O26" s="54">
        <v>0</v>
      </c>
      <c r="P26" s="54">
        <v>1.18</v>
      </c>
      <c r="Q26" s="54">
        <v>12.11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14.86</v>
      </c>
      <c r="C27" s="54">
        <v>23.29</v>
      </c>
      <c r="D27" s="54">
        <v>26.06</v>
      </c>
      <c r="E27" s="54">
        <v>2.5</v>
      </c>
      <c r="F27" s="54">
        <v>0.54</v>
      </c>
      <c r="G27" s="54">
        <v>95.78</v>
      </c>
      <c r="H27" s="54">
        <v>8.25</v>
      </c>
      <c r="I27" s="54">
        <v>1.58</v>
      </c>
      <c r="J27" s="54">
        <v>0.09</v>
      </c>
      <c r="K27" s="54">
        <v>279.43</v>
      </c>
      <c r="L27" s="54">
        <v>25.75</v>
      </c>
      <c r="M27" s="54">
        <v>66.31</v>
      </c>
      <c r="N27" s="54">
        <v>9.3000000000000007</v>
      </c>
      <c r="O27" s="54">
        <v>0</v>
      </c>
      <c r="P27" s="54">
        <v>1.93</v>
      </c>
      <c r="Q27" s="54">
        <v>13.21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31.07</v>
      </c>
      <c r="C28" s="54">
        <v>23.75</v>
      </c>
      <c r="D28" s="54">
        <v>38.270000000000003</v>
      </c>
      <c r="E28" s="54">
        <v>3.03</v>
      </c>
      <c r="F28" s="54">
        <v>0.64</v>
      </c>
      <c r="G28" s="54">
        <v>129.87</v>
      </c>
      <c r="H28" s="54">
        <v>8.25</v>
      </c>
      <c r="I28" s="54">
        <v>1.59</v>
      </c>
      <c r="J28" s="54">
        <v>0.11</v>
      </c>
      <c r="K28" s="54">
        <v>349.18</v>
      </c>
      <c r="L28" s="54">
        <v>25.13</v>
      </c>
      <c r="M28" s="54">
        <v>65.39</v>
      </c>
      <c r="N28" s="54">
        <v>9</v>
      </c>
      <c r="O28" s="54">
        <v>0</v>
      </c>
      <c r="P28" s="54">
        <v>2.5</v>
      </c>
      <c r="Q28" s="54">
        <v>15.43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32.51</v>
      </c>
      <c r="C29" s="54">
        <v>21.39</v>
      </c>
      <c r="D29" s="54">
        <v>38.369999999999997</v>
      </c>
      <c r="E29" s="54">
        <v>3.43</v>
      </c>
      <c r="F29" s="54">
        <v>0.59</v>
      </c>
      <c r="G29" s="54">
        <v>129.87</v>
      </c>
      <c r="H29" s="54">
        <v>6.78</v>
      </c>
      <c r="I29" s="54">
        <v>1.56</v>
      </c>
      <c r="J29" s="54">
        <v>0.09</v>
      </c>
      <c r="K29" s="54">
        <v>283.94</v>
      </c>
      <c r="L29" s="54">
        <v>25.04</v>
      </c>
      <c r="M29" s="54">
        <v>65.52</v>
      </c>
      <c r="N29" s="54">
        <v>8.90</v>
      </c>
      <c r="O29" s="54">
        <v>0</v>
      </c>
      <c r="P29" s="54">
        <v>1.91</v>
      </c>
      <c r="Q29" s="54">
        <v>16.079999999999998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31.56</v>
      </c>
      <c r="C30" s="54">
        <v>22.10</v>
      </c>
      <c r="D30" s="54">
        <v>38.799999999999997</v>
      </c>
      <c r="E30" s="54">
        <v>3</v>
      </c>
      <c r="F30" s="54">
        <v>0.47</v>
      </c>
      <c r="G30" s="54">
        <v>129.77000000000001</v>
      </c>
      <c r="H30" s="54">
        <v>4.75</v>
      </c>
      <c r="I30" s="54">
        <v>1.54</v>
      </c>
      <c r="J30" s="54">
        <v>0.10</v>
      </c>
      <c r="K30" s="54">
        <v>263.86</v>
      </c>
      <c r="L30" s="54">
        <v>25.11</v>
      </c>
      <c r="M30" s="54">
        <v>73.28</v>
      </c>
      <c r="N30" s="54">
        <v>8.8000000000000007</v>
      </c>
      <c r="O30" s="54">
        <v>0</v>
      </c>
      <c r="P30" s="54">
        <v>1.59</v>
      </c>
      <c r="Q30" s="54">
        <v>15.67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24.37</v>
      </c>
      <c r="C31" s="54">
        <v>18.13</v>
      </c>
      <c r="D31" s="54">
        <v>30.84</v>
      </c>
      <c r="E31" s="54">
        <v>2.79</v>
      </c>
      <c r="F31" s="54">
        <v>0.56000000000000005</v>
      </c>
      <c r="G31" s="54">
        <v>118.13</v>
      </c>
      <c r="H31" s="54">
        <v>4.34</v>
      </c>
      <c r="I31" s="54">
        <v>1.5</v>
      </c>
      <c r="J31" s="54">
        <v>0.55000000000000004</v>
      </c>
      <c r="K31" s="54">
        <v>338.41</v>
      </c>
      <c r="L31" s="54">
        <v>23.90</v>
      </c>
      <c r="M31" s="54">
        <v>78.06</v>
      </c>
      <c r="N31" s="54">
        <v>9</v>
      </c>
      <c r="O31" s="54">
        <v>0</v>
      </c>
      <c r="P31" s="54">
        <v>1.43</v>
      </c>
      <c r="Q31" s="54">
        <v>15.95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22.27</v>
      </c>
      <c r="C32" s="54">
        <v>17.170000000000002</v>
      </c>
      <c r="D32" s="54">
        <v>28.03</v>
      </c>
      <c r="E32" s="54">
        <v>3.23</v>
      </c>
      <c r="F32" s="54">
        <v>0.73</v>
      </c>
      <c r="G32" s="54">
        <v>94.12</v>
      </c>
      <c r="H32" s="54">
        <v>4.34</v>
      </c>
      <c r="I32" s="54">
        <v>1.55</v>
      </c>
      <c r="J32" s="54">
        <v>0.63</v>
      </c>
      <c r="K32" s="54">
        <v>334.56</v>
      </c>
      <c r="L32" s="54">
        <v>23.30</v>
      </c>
      <c r="M32" s="54">
        <v>75.03</v>
      </c>
      <c r="N32" s="54">
        <v>9.10</v>
      </c>
      <c r="O32" s="54">
        <v>0</v>
      </c>
      <c r="P32" s="54">
        <v>1.35</v>
      </c>
      <c r="Q32" s="54">
        <v>14.96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2.9100000000000001</v>
      </c>
      <c r="C34" s="28">
        <f t="shared" si="0"/>
        <v>11.890000000000001</v>
      </c>
      <c r="D34" s="28">
        <f t="shared" si="0"/>
        <v>13.970000000000001</v>
      </c>
      <c r="E34" s="28">
        <f t="shared" si="0"/>
        <v>0.5</v>
      </c>
      <c r="F34" s="28">
        <f t="shared" si="0"/>
        <v>0.23000000000000001</v>
      </c>
      <c r="G34" s="28">
        <f t="shared" si="0"/>
        <v>51.280000000000001</v>
      </c>
      <c r="H34" s="28">
        <f t="shared" si="0"/>
        <v>4.3399999999999999</v>
      </c>
      <c r="I34" s="28">
        <f t="shared" si="0"/>
        <v>1.46</v>
      </c>
      <c r="J34" s="28">
        <f t="shared" si="0"/>
        <v>0.070000000000000007</v>
      </c>
      <c r="K34" s="28">
        <f t="shared" si="0"/>
        <v>2.9300000000000002</v>
      </c>
      <c r="L34" s="28">
        <f t="shared" si="0"/>
        <v>20.559999999999999</v>
      </c>
      <c r="M34" s="28">
        <f t="shared" si="0"/>
        <v>37.409999999999997</v>
      </c>
      <c r="N34" s="28">
        <f t="shared" si="0"/>
        <v>8.8000000000000007</v>
      </c>
      <c r="O34" s="28">
        <f t="shared" si="0"/>
        <v>0</v>
      </c>
      <c r="P34" s="28">
        <f t="shared" si="0"/>
        <v>0.59999999999999998</v>
      </c>
      <c r="Q34" s="28">
        <f t="shared" si="0"/>
        <v>11.369999999999999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32.509999999999998</v>
      </c>
      <c r="C35" s="29">
        <f t="shared" si="1"/>
        <v>31.100000000000001</v>
      </c>
      <c r="D35" s="29">
        <f t="shared" si="1"/>
        <v>38.799999999999997</v>
      </c>
      <c r="E35" s="29">
        <f t="shared" si="1"/>
        <v>3.4300000000000002</v>
      </c>
      <c r="F35" s="29">
        <f t="shared" si="1"/>
        <v>4.0300000000000002</v>
      </c>
      <c r="G35" s="29">
        <f t="shared" si="1"/>
        <v>129.87</v>
      </c>
      <c r="H35" s="29">
        <f t="shared" si="1"/>
        <v>32.25</v>
      </c>
      <c r="I35" s="29">
        <f t="shared" si="1"/>
        <v>1.6000000000000001</v>
      </c>
      <c r="J35" s="29">
        <f t="shared" si="1"/>
        <v>1.6000000000000001</v>
      </c>
      <c r="K35" s="29">
        <f t="shared" si="1"/>
        <v>353.94999999999999</v>
      </c>
      <c r="L35" s="29">
        <f t="shared" si="1"/>
        <v>34.969999999999999</v>
      </c>
      <c r="M35" s="29">
        <f t="shared" si="1"/>
        <v>95.569999999999993</v>
      </c>
      <c r="N35" s="29">
        <f t="shared" si="1"/>
        <v>930.60000000000002</v>
      </c>
      <c r="O35" s="29">
        <f t="shared" si="1"/>
        <v>0</v>
      </c>
      <c r="P35" s="29">
        <f t="shared" si="1"/>
        <v>2.5</v>
      </c>
      <c r="Q35" s="29">
        <f t="shared" si="1"/>
        <v>16.079999999999998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11.360833333333332</v>
      </c>
      <c r="C36" s="28">
        <f t="shared" si="2"/>
        <v>19.04291666666667</v>
      </c>
      <c r="D36" s="28">
        <f t="shared" si="2"/>
        <v>20.63208333333333</v>
      </c>
      <c r="E36" s="28">
        <f t="shared" si="2"/>
        <v>1.8749999999999998</v>
      </c>
      <c r="F36" s="28">
        <f t="shared" si="2"/>
        <v>1.2358333333333333</v>
      </c>
      <c r="G36" s="28">
        <f t="shared" si="2"/>
        <v>82.377083333333317</v>
      </c>
      <c r="H36" s="28">
        <f t="shared" si="2"/>
        <v>19.987499999999994</v>
      </c>
      <c r="I36" s="28">
        <f t="shared" si="2"/>
        <v>1.5408333333333333</v>
      </c>
      <c r="J36" s="28">
        <f t="shared" si="2"/>
        <v>0.53208333333333335</v>
      </c>
      <c r="K36" s="28">
        <f t="shared" si="2"/>
        <v>290.45333333333338</v>
      </c>
      <c r="L36" s="28">
        <f t="shared" si="2"/>
        <v>27.094999999999995</v>
      </c>
      <c r="M36" s="28">
        <f t="shared" si="2"/>
        <v>67.409166666666664</v>
      </c>
      <c r="N36" s="28">
        <f t="shared" si="2"/>
        <v>250.57500000000005</v>
      </c>
      <c r="O36" s="28">
        <f t="shared" si="2"/>
        <v>0</v>
      </c>
      <c r="P36" s="28">
        <f t="shared" si="2"/>
        <v>1.0704166666666668</v>
      </c>
      <c r="Q36" s="28">
        <f t="shared" si="2"/>
        <v>13.749583333333332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9.5362735027284451</v>
      </c>
      <c r="C37" s="28">
        <f t="shared" si="3" ref="C37:Q37">STDEV(C9:C32)</f>
        <v>5.5560350886038403</v>
      </c>
      <c r="D37" s="28">
        <f t="shared" si="3"/>
        <v>8.1722472983749839</v>
      </c>
      <c r="E37" s="28">
        <f t="shared" si="3"/>
        <v>0.81806239796027969</v>
      </c>
      <c r="F37" s="28">
        <f t="shared" si="3"/>
        <v>1.1172322815844931</v>
      </c>
      <c r="G37" s="28">
        <f t="shared" si="3"/>
        <v>24.08600811208375</v>
      </c>
      <c r="H37" s="28">
        <f t="shared" si="3"/>
        <v>10.667244968472017</v>
      </c>
      <c r="I37" s="28">
        <f t="shared" si="3"/>
        <v>0.039000185804091057</v>
      </c>
      <c r="J37" s="28">
        <f t="shared" si="3"/>
        <v>0.4975241236595353</v>
      </c>
      <c r="K37" s="28">
        <f t="shared" si="3"/>
        <v>77.986797972291512</v>
      </c>
      <c r="L37" s="28">
        <f t="shared" si="3"/>
        <v>5.0193503823572554</v>
      </c>
      <c r="M37" s="28">
        <f t="shared" si="3"/>
        <v>19.916806518216184</v>
      </c>
      <c r="N37" s="28">
        <f t="shared" si="3"/>
        <v>345.74670956339264</v>
      </c>
      <c r="O37" s="28">
        <f t="shared" si="3"/>
        <v>0</v>
      </c>
      <c r="P37" s="28">
        <f t="shared" si="3"/>
        <v>0.48514882670987741</v>
      </c>
      <c r="Q37" s="28">
        <f t="shared" si="3"/>
        <v>1.3834408243552674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51157f-1a6e-4c34-8627-1ba5cae2f17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18.91</v>
      </c>
      <c r="C9" s="54">
        <v>14.97</v>
      </c>
      <c r="D9" s="54">
        <v>24.72</v>
      </c>
      <c r="E9" s="54">
        <v>1.46</v>
      </c>
      <c r="F9" s="54">
        <v>0.74</v>
      </c>
      <c r="G9" s="54">
        <v>94.12</v>
      </c>
      <c r="H9" s="54">
        <v>3.04</v>
      </c>
      <c r="I9" s="54">
        <v>1.56</v>
      </c>
      <c r="J9" s="54">
        <v>0.20</v>
      </c>
      <c r="K9" s="54">
        <v>228.15</v>
      </c>
      <c r="L9" s="54">
        <v>22.87</v>
      </c>
      <c r="M9" s="54">
        <v>92.88</v>
      </c>
      <c r="N9" s="54">
        <v>8.8000000000000007</v>
      </c>
      <c r="O9" s="54">
        <v>0</v>
      </c>
      <c r="P9" s="54">
        <v>1.23</v>
      </c>
      <c r="Q9" s="54">
        <v>14.11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15.40</v>
      </c>
      <c r="C10" s="54">
        <v>13.53</v>
      </c>
      <c r="D10" s="54">
        <v>20.45</v>
      </c>
      <c r="E10" s="54">
        <v>1.68</v>
      </c>
      <c r="F10" s="54">
        <v>0.44</v>
      </c>
      <c r="G10" s="54">
        <v>90.40</v>
      </c>
      <c r="H10" s="54">
        <v>5.16</v>
      </c>
      <c r="I10" s="54">
        <v>1.51</v>
      </c>
      <c r="J10" s="54">
        <v>0.28000000000000003</v>
      </c>
      <c r="K10" s="54">
        <v>335.53</v>
      </c>
      <c r="L10" s="54">
        <v>21.75</v>
      </c>
      <c r="M10" s="54">
        <v>95.80</v>
      </c>
      <c r="N10" s="54">
        <v>8.8000000000000007</v>
      </c>
      <c r="O10" s="54">
        <v>0</v>
      </c>
      <c r="P10" s="54">
        <v>1.1200000000000001</v>
      </c>
      <c r="Q10" s="54">
        <v>13.83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13.5</v>
      </c>
      <c r="C11" s="54">
        <v>14.56</v>
      </c>
      <c r="D11" s="54">
        <v>19.739999999999998</v>
      </c>
      <c r="E11" s="54">
        <v>1.54</v>
      </c>
      <c r="F11" s="54">
        <v>0.74</v>
      </c>
      <c r="G11" s="54">
        <v>82.60</v>
      </c>
      <c r="H11" s="54">
        <v>5.16</v>
      </c>
      <c r="I11" s="54">
        <v>1.54</v>
      </c>
      <c r="J11" s="54">
        <v>0.78</v>
      </c>
      <c r="K11" s="54">
        <v>340.10</v>
      </c>
      <c r="L11" s="54">
        <v>21.5</v>
      </c>
      <c r="M11" s="54">
        <v>84.37</v>
      </c>
      <c r="N11" s="54">
        <v>8.6999999999999993</v>
      </c>
      <c r="O11" s="54">
        <v>0</v>
      </c>
      <c r="P11" s="54">
        <v>1.03</v>
      </c>
      <c r="Q11" s="54">
        <v>13.68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10.02</v>
      </c>
      <c r="C12" s="54">
        <v>13.75</v>
      </c>
      <c r="D12" s="54">
        <v>16.82</v>
      </c>
      <c r="E12" s="54">
        <v>1.38</v>
      </c>
      <c r="F12" s="54">
        <v>0.79</v>
      </c>
      <c r="G12" s="54">
        <v>76.75</v>
      </c>
      <c r="H12" s="54">
        <v>3.61</v>
      </c>
      <c r="I12" s="54">
        <v>1.53</v>
      </c>
      <c r="J12" s="54">
        <v>0.79</v>
      </c>
      <c r="K12" s="54">
        <v>338.32</v>
      </c>
      <c r="L12" s="54">
        <v>20.87</v>
      </c>
      <c r="M12" s="54">
        <v>80.89</v>
      </c>
      <c r="N12" s="54">
        <v>8.8000000000000007</v>
      </c>
      <c r="O12" s="54">
        <v>0</v>
      </c>
      <c r="P12" s="54">
        <v>0.90</v>
      </c>
      <c r="Q12" s="54">
        <v>13.74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6.92</v>
      </c>
      <c r="C13" s="54">
        <v>13.67</v>
      </c>
      <c r="D13" s="54">
        <v>14.39</v>
      </c>
      <c r="E13" s="54">
        <v>0.94</v>
      </c>
      <c r="F13" s="54">
        <v>0.41</v>
      </c>
      <c r="G13" s="54">
        <v>71.38</v>
      </c>
      <c r="H13" s="54">
        <v>2.5299999999999998</v>
      </c>
      <c r="I13" s="54">
        <v>1.54</v>
      </c>
      <c r="J13" s="54">
        <v>0.56000000000000005</v>
      </c>
      <c r="K13" s="54">
        <v>341.64</v>
      </c>
      <c r="L13" s="54">
        <v>20.52</v>
      </c>
      <c r="M13" s="54">
        <v>84.24</v>
      </c>
      <c r="N13" s="54">
        <v>9</v>
      </c>
      <c r="O13" s="54">
        <v>0</v>
      </c>
      <c r="P13" s="54">
        <v>0.79</v>
      </c>
      <c r="Q13" s="54">
        <v>14.05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8.06</v>
      </c>
      <c r="C14" s="54">
        <v>14.68</v>
      </c>
      <c r="D14" s="54">
        <v>15.86</v>
      </c>
      <c r="E14" s="54">
        <v>1.1599999999999999</v>
      </c>
      <c r="F14" s="54">
        <v>0.75</v>
      </c>
      <c r="G14" s="54">
        <v>71.38</v>
      </c>
      <c r="H14" s="54">
        <v>1.77</v>
      </c>
      <c r="I14" s="54">
        <v>1.58</v>
      </c>
      <c r="J14" s="54">
        <v>0.10</v>
      </c>
      <c r="K14" s="54">
        <v>326.04000000000002</v>
      </c>
      <c r="L14" s="54">
        <v>20.239999999999998</v>
      </c>
      <c r="M14" s="54">
        <v>90.09</v>
      </c>
      <c r="N14" s="54">
        <v>14.40</v>
      </c>
      <c r="O14" s="54">
        <v>0</v>
      </c>
      <c r="P14" s="54">
        <v>0.69</v>
      </c>
      <c r="Q14" s="54">
        <v>14.86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12.64</v>
      </c>
      <c r="C15" s="54">
        <v>14.31</v>
      </c>
      <c r="D15" s="54">
        <v>19.30</v>
      </c>
      <c r="E15" s="54">
        <v>1.07</v>
      </c>
      <c r="F15" s="54">
        <v>0.76</v>
      </c>
      <c r="G15" s="54">
        <v>71.48</v>
      </c>
      <c r="H15" s="54">
        <v>1.27</v>
      </c>
      <c r="I15" s="54">
        <v>1.51</v>
      </c>
      <c r="J15" s="54">
        <v>0.13</v>
      </c>
      <c r="K15" s="54">
        <v>355.63</v>
      </c>
      <c r="L15" s="54">
        <v>23.82</v>
      </c>
      <c r="M15" s="54">
        <v>89.02</v>
      </c>
      <c r="N15" s="54">
        <v>151.80000000000001</v>
      </c>
      <c r="O15" s="54">
        <v>0</v>
      </c>
      <c r="P15" s="54">
        <v>0.70</v>
      </c>
      <c r="Q15" s="54">
        <v>17.20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15.97</v>
      </c>
      <c r="C16" s="54">
        <v>15.45</v>
      </c>
      <c r="D16" s="54">
        <v>22.62</v>
      </c>
      <c r="E16" s="54">
        <v>1.40</v>
      </c>
      <c r="F16" s="54">
        <v>0.35</v>
      </c>
      <c r="G16" s="54">
        <v>92.98</v>
      </c>
      <c r="H16" s="54">
        <v>2.35</v>
      </c>
      <c r="I16" s="54">
        <v>1.53</v>
      </c>
      <c r="J16" s="54">
        <v>0.36</v>
      </c>
      <c r="K16" s="54">
        <v>342.96</v>
      </c>
      <c r="L16" s="54">
        <v>29.70</v>
      </c>
      <c r="M16" s="54">
        <v>65.599999999999994</v>
      </c>
      <c r="N16" s="54">
        <v>388.90</v>
      </c>
      <c r="O16" s="54">
        <v>0</v>
      </c>
      <c r="P16" s="54">
        <v>0.78</v>
      </c>
      <c r="Q16" s="54">
        <v>17.84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16.260000000000002</v>
      </c>
      <c r="C17" s="54">
        <v>18.63</v>
      </c>
      <c r="D17" s="54">
        <v>23.46</v>
      </c>
      <c r="E17" s="54">
        <v>2.1800000000000002</v>
      </c>
      <c r="F17" s="54">
        <v>0.63</v>
      </c>
      <c r="G17" s="54">
        <v>99.07</v>
      </c>
      <c r="H17" s="54">
        <v>2.35</v>
      </c>
      <c r="I17" s="54">
        <v>1.52</v>
      </c>
      <c r="J17" s="54">
        <v>1.1100000000000001</v>
      </c>
      <c r="K17" s="54">
        <v>341.91</v>
      </c>
      <c r="L17" s="54">
        <v>31.25</v>
      </c>
      <c r="M17" s="54">
        <v>54.71</v>
      </c>
      <c r="N17" s="54">
        <v>614</v>
      </c>
      <c r="O17" s="54">
        <v>0</v>
      </c>
      <c r="P17" s="54">
        <v>0.79</v>
      </c>
      <c r="Q17" s="54">
        <v>19.28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13.59</v>
      </c>
      <c r="C18" s="54">
        <v>21.54</v>
      </c>
      <c r="D18" s="54">
        <v>22.96</v>
      </c>
      <c r="E18" s="54">
        <v>2.0699999999999998</v>
      </c>
      <c r="F18" s="54">
        <v>0.88</v>
      </c>
      <c r="G18" s="54">
        <v>99.07</v>
      </c>
      <c r="H18" s="54">
        <v>1.83</v>
      </c>
      <c r="I18" s="54">
        <v>1.55</v>
      </c>
      <c r="J18" s="54">
        <v>0.97</v>
      </c>
      <c r="K18" s="54">
        <v>333.79</v>
      </c>
      <c r="L18" s="54">
        <v>31.02</v>
      </c>
      <c r="M18" s="54">
        <v>52.65</v>
      </c>
      <c r="N18" s="54">
        <v>763.5</v>
      </c>
      <c r="O18" s="54">
        <v>0</v>
      </c>
      <c r="P18" s="54">
        <v>0.81</v>
      </c>
      <c r="Q18" s="54">
        <v>19.82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7.86</v>
      </c>
      <c r="C19" s="54">
        <v>22.23</v>
      </c>
      <c r="D19" s="54">
        <v>19.45</v>
      </c>
      <c r="E19" s="54">
        <v>2.0299999999999998</v>
      </c>
      <c r="F19" s="54">
        <v>1.06</v>
      </c>
      <c r="G19" s="54">
        <v>97.34</v>
      </c>
      <c r="H19" s="54">
        <v>1.47</v>
      </c>
      <c r="I19" s="54">
        <v>1.58</v>
      </c>
      <c r="J19" s="54">
        <v>0.79</v>
      </c>
      <c r="K19" s="54">
        <v>338.11</v>
      </c>
      <c r="L19" s="54">
        <v>34.909999999999997</v>
      </c>
      <c r="M19" s="54">
        <v>48.20</v>
      </c>
      <c r="N19" s="54">
        <v>810.60</v>
      </c>
      <c r="O19" s="54">
        <v>0</v>
      </c>
      <c r="P19" s="54">
        <v>0.84</v>
      </c>
      <c r="Q19" s="54">
        <v>19.260000000000002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4.9000000000000004</v>
      </c>
      <c r="C20" s="54">
        <v>26.52</v>
      </c>
      <c r="D20" s="54">
        <v>19.43</v>
      </c>
      <c r="E20" s="54">
        <v>2.40</v>
      </c>
      <c r="F20" s="54">
        <v>2.0699999999999998</v>
      </c>
      <c r="G20" s="54">
        <v>93.79</v>
      </c>
      <c r="H20" s="54">
        <v>1.20</v>
      </c>
      <c r="I20" s="54">
        <v>1.53</v>
      </c>
      <c r="J20" s="54">
        <v>0.60</v>
      </c>
      <c r="K20" s="54">
        <v>358.83</v>
      </c>
      <c r="L20" s="54">
        <v>34</v>
      </c>
      <c r="M20" s="54">
        <v>36.15</v>
      </c>
      <c r="N20" s="54">
        <v>860.5</v>
      </c>
      <c r="O20" s="54">
        <v>0</v>
      </c>
      <c r="P20" s="54">
        <v>0.95</v>
      </c>
      <c r="Q20" s="54">
        <v>20.83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3.33</v>
      </c>
      <c r="C21" s="54">
        <v>30.10</v>
      </c>
      <c r="D21" s="54">
        <v>20.57</v>
      </c>
      <c r="E21" s="54">
        <v>1.62</v>
      </c>
      <c r="F21" s="54">
        <v>3.21</v>
      </c>
      <c r="G21" s="54">
        <v>97.43</v>
      </c>
      <c r="H21" s="54">
        <v>1.01</v>
      </c>
      <c r="I21" s="54">
        <v>1.54</v>
      </c>
      <c r="J21" s="54">
        <v>0.83</v>
      </c>
      <c r="K21" s="54">
        <v>99.75</v>
      </c>
      <c r="L21" s="54">
        <v>32.14</v>
      </c>
      <c r="M21" s="54">
        <v>37.76</v>
      </c>
      <c r="N21" s="54">
        <v>806.40</v>
      </c>
      <c r="O21" s="54">
        <v>0</v>
      </c>
      <c r="P21" s="54">
        <v>1</v>
      </c>
      <c r="Q21" s="54">
        <v>21.63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2.61</v>
      </c>
      <c r="C22" s="54">
        <v>28.83</v>
      </c>
      <c r="D22" s="54">
        <v>19.29</v>
      </c>
      <c r="E22" s="54">
        <v>3.56</v>
      </c>
      <c r="F22" s="54">
        <v>7.17</v>
      </c>
      <c r="G22" s="54">
        <v>97.43</v>
      </c>
      <c r="H22" s="54">
        <v>2.41</v>
      </c>
      <c r="I22" s="54">
        <v>1.52</v>
      </c>
      <c r="J22" s="54">
        <v>0.99</v>
      </c>
      <c r="K22" s="54">
        <v>342.99</v>
      </c>
      <c r="L22" s="54">
        <v>32.56</v>
      </c>
      <c r="M22" s="54">
        <v>37.93</v>
      </c>
      <c r="N22" s="54">
        <v>708.30</v>
      </c>
      <c r="O22" s="54">
        <v>0</v>
      </c>
      <c r="P22" s="54">
        <v>0.89</v>
      </c>
      <c r="Q22" s="54">
        <v>22.35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3.02</v>
      </c>
      <c r="C23" s="54">
        <v>22.30</v>
      </c>
      <c r="D23" s="54">
        <v>15.99</v>
      </c>
      <c r="E23" s="54">
        <v>1.36</v>
      </c>
      <c r="F23" s="54">
        <v>1.33</v>
      </c>
      <c r="G23" s="54">
        <v>93.69</v>
      </c>
      <c r="H23" s="54">
        <v>2.41</v>
      </c>
      <c r="I23" s="54">
        <v>1.52</v>
      </c>
      <c r="J23" s="54">
        <v>0.32</v>
      </c>
      <c r="K23" s="54">
        <v>99.40</v>
      </c>
      <c r="L23" s="54">
        <v>31.15</v>
      </c>
      <c r="M23" s="54">
        <v>36.99</v>
      </c>
      <c r="N23" s="54">
        <v>216.10</v>
      </c>
      <c r="O23" s="54">
        <v>0</v>
      </c>
      <c r="P23" s="54">
        <v>0.78</v>
      </c>
      <c r="Q23" s="54">
        <v>21.54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3.55</v>
      </c>
      <c r="C24" s="54">
        <v>20.20</v>
      </c>
      <c r="D24" s="54">
        <v>15.29</v>
      </c>
      <c r="E24" s="54">
        <v>0.88</v>
      </c>
      <c r="F24" s="54">
        <v>1.1499999999999999</v>
      </c>
      <c r="G24" s="54">
        <v>92.16</v>
      </c>
      <c r="H24" s="54">
        <v>2.17</v>
      </c>
      <c r="I24" s="54">
        <v>1.57</v>
      </c>
      <c r="J24" s="54">
        <v>0.64</v>
      </c>
      <c r="K24" s="54">
        <v>342.24</v>
      </c>
      <c r="L24" s="54">
        <v>30.40</v>
      </c>
      <c r="M24" s="54">
        <v>37.67</v>
      </c>
      <c r="N24" s="54">
        <v>104.40</v>
      </c>
      <c r="O24" s="54">
        <v>0</v>
      </c>
      <c r="P24" s="54">
        <v>0.82</v>
      </c>
      <c r="Q24" s="54">
        <v>21.73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4.70</v>
      </c>
      <c r="C25" s="54">
        <v>21.04</v>
      </c>
      <c r="D25" s="54">
        <v>16.670000000000002</v>
      </c>
      <c r="E25" s="54">
        <v>0.82</v>
      </c>
      <c r="F25" s="54">
        <v>1</v>
      </c>
      <c r="G25" s="54">
        <v>90.91</v>
      </c>
      <c r="H25" s="54">
        <v>2.04</v>
      </c>
      <c r="I25" s="54">
        <v>1.56</v>
      </c>
      <c r="J25" s="54">
        <v>0.94</v>
      </c>
      <c r="K25" s="54">
        <v>345.52</v>
      </c>
      <c r="L25" s="54">
        <v>30.01</v>
      </c>
      <c r="M25" s="54">
        <v>37.96</v>
      </c>
      <c r="N25" s="54">
        <v>68.5</v>
      </c>
      <c r="O25" s="54">
        <v>0</v>
      </c>
      <c r="P25" s="54">
        <v>0.97</v>
      </c>
      <c r="Q25" s="54">
        <v>20.55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10.97</v>
      </c>
      <c r="C26" s="54">
        <v>23.92</v>
      </c>
      <c r="D26" s="54">
        <v>23.29</v>
      </c>
      <c r="E26" s="54">
        <v>1.19</v>
      </c>
      <c r="F26" s="54">
        <v>0.59</v>
      </c>
      <c r="G26" s="54">
        <v>90.91</v>
      </c>
      <c r="H26" s="54">
        <v>1.78</v>
      </c>
      <c r="I26" s="54">
        <v>1.53</v>
      </c>
      <c r="J26" s="54">
        <v>0.5</v>
      </c>
      <c r="K26" s="54">
        <v>340.5</v>
      </c>
      <c r="L26" s="54">
        <v>28.47</v>
      </c>
      <c r="M26" s="54">
        <v>45.13</v>
      </c>
      <c r="N26" s="54">
        <v>32.40</v>
      </c>
      <c r="O26" s="54">
        <v>0</v>
      </c>
      <c r="P26" s="54">
        <v>1.32</v>
      </c>
      <c r="Q26" s="54">
        <v>20.350000000000001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33.76</v>
      </c>
      <c r="C27" s="54">
        <v>29.13</v>
      </c>
      <c r="D27" s="54">
        <v>44.01</v>
      </c>
      <c r="E27" s="54">
        <v>1.69</v>
      </c>
      <c r="F27" s="54">
        <v>0.48</v>
      </c>
      <c r="G27" s="55" t="s">
        <v>14</v>
      </c>
      <c r="H27" s="55" t="s">
        <v>14</v>
      </c>
      <c r="I27" s="54">
        <v>1.53</v>
      </c>
      <c r="J27" s="54">
        <v>0.10</v>
      </c>
      <c r="K27" s="54">
        <v>339.95</v>
      </c>
      <c r="L27" s="54">
        <v>25.10</v>
      </c>
      <c r="M27" s="54">
        <v>54.91</v>
      </c>
      <c r="N27" s="54">
        <v>9.5</v>
      </c>
      <c r="O27" s="54">
        <v>0</v>
      </c>
      <c r="P27" s="54">
        <v>2.16</v>
      </c>
      <c r="Q27" s="54">
        <v>22.01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56.79</v>
      </c>
      <c r="C28" s="54">
        <v>27.25</v>
      </c>
      <c r="D28" s="54">
        <v>59.37</v>
      </c>
      <c r="E28" s="54">
        <v>2.29</v>
      </c>
      <c r="F28" s="54">
        <v>0.59</v>
      </c>
      <c r="G28" s="55" t="s">
        <v>14</v>
      </c>
      <c r="H28" s="55" t="s">
        <v>14</v>
      </c>
      <c r="I28" s="54">
        <v>1.56</v>
      </c>
      <c r="J28" s="54">
        <v>0.10</v>
      </c>
      <c r="K28" s="54">
        <v>316.42</v>
      </c>
      <c r="L28" s="54">
        <v>24.57</v>
      </c>
      <c r="M28" s="54">
        <v>62.09</v>
      </c>
      <c r="N28" s="54">
        <v>9</v>
      </c>
      <c r="O28" s="54">
        <v>0</v>
      </c>
      <c r="P28" s="54">
        <v>2.2999999999999998</v>
      </c>
      <c r="Q28" s="54">
        <v>22.58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57.58</v>
      </c>
      <c r="C29" s="54">
        <v>23.90</v>
      </c>
      <c r="D29" s="54">
        <v>59.61</v>
      </c>
      <c r="E29" s="54">
        <v>2.16</v>
      </c>
      <c r="F29" s="54">
        <v>0.56000000000000005</v>
      </c>
      <c r="G29" s="55" t="s">
        <v>14</v>
      </c>
      <c r="H29" s="55" t="s">
        <v>14</v>
      </c>
      <c r="I29" s="54">
        <v>1.53</v>
      </c>
      <c r="J29" s="54">
        <v>0.08</v>
      </c>
      <c r="K29" s="54">
        <v>279.88</v>
      </c>
      <c r="L29" s="54">
        <v>24.79</v>
      </c>
      <c r="M29" s="54">
        <v>64.55</v>
      </c>
      <c r="N29" s="54">
        <v>9.10</v>
      </c>
      <c r="O29" s="54">
        <v>0</v>
      </c>
      <c r="P29" s="54">
        <v>1.81</v>
      </c>
      <c r="Q29" s="54">
        <v>24.03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53.42</v>
      </c>
      <c r="C30" s="54">
        <v>23.56</v>
      </c>
      <c r="D30" s="54">
        <v>56.83</v>
      </c>
      <c r="E30" s="54">
        <v>2.15</v>
      </c>
      <c r="F30" s="54">
        <v>0.70</v>
      </c>
      <c r="G30" s="55" t="s">
        <v>14</v>
      </c>
      <c r="H30" s="55" t="s">
        <v>14</v>
      </c>
      <c r="I30" s="54">
        <v>1.51</v>
      </c>
      <c r="J30" s="54">
        <v>0.11</v>
      </c>
      <c r="K30" s="54">
        <v>331.95</v>
      </c>
      <c r="L30" s="54">
        <v>23.60</v>
      </c>
      <c r="M30" s="54">
        <v>73.959999999999994</v>
      </c>
      <c r="N30" s="54">
        <v>9</v>
      </c>
      <c r="O30" s="54">
        <v>0</v>
      </c>
      <c r="P30" s="54">
        <v>1.82</v>
      </c>
      <c r="Q30" s="54">
        <v>24.80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53.67</v>
      </c>
      <c r="C31" s="54">
        <v>21.73</v>
      </c>
      <c r="D31" s="54">
        <v>56.13</v>
      </c>
      <c r="E31" s="54">
        <v>2.37</v>
      </c>
      <c r="F31" s="54">
        <v>0.47</v>
      </c>
      <c r="G31" s="55" t="s">
        <v>14</v>
      </c>
      <c r="H31" s="55" t="s">
        <v>14</v>
      </c>
      <c r="I31" s="54">
        <v>1.54</v>
      </c>
      <c r="J31" s="54">
        <v>0.10</v>
      </c>
      <c r="K31" s="54">
        <v>279.42</v>
      </c>
      <c r="L31" s="54">
        <v>23.14</v>
      </c>
      <c r="M31" s="54">
        <v>76.69</v>
      </c>
      <c r="N31" s="54">
        <v>8.8000000000000007</v>
      </c>
      <c r="O31" s="54">
        <v>0</v>
      </c>
      <c r="P31" s="54">
        <v>1.59</v>
      </c>
      <c r="Q31" s="54">
        <v>24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50.73</v>
      </c>
      <c r="C32" s="54">
        <v>18.55</v>
      </c>
      <c r="D32" s="54">
        <v>51.92</v>
      </c>
      <c r="E32" s="54">
        <v>2.31</v>
      </c>
      <c r="F32" s="54">
        <v>0.46</v>
      </c>
      <c r="G32" s="55" t="s">
        <v>14</v>
      </c>
      <c r="H32" s="55" t="s">
        <v>14</v>
      </c>
      <c r="I32" s="54">
        <v>1.58</v>
      </c>
      <c r="J32" s="54">
        <v>0.12</v>
      </c>
      <c r="K32" s="54">
        <v>258.39</v>
      </c>
      <c r="L32" s="54">
        <v>22.95</v>
      </c>
      <c r="M32" s="54">
        <v>81.44</v>
      </c>
      <c r="N32" s="54">
        <v>8.90</v>
      </c>
      <c r="O32" s="54">
        <v>0</v>
      </c>
      <c r="P32" s="54">
        <v>1.59</v>
      </c>
      <c r="Q32" s="54">
        <v>25.73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2.6099999999999999</v>
      </c>
      <c r="C34" s="28">
        <f t="shared" si="0"/>
        <v>13.529999999999999</v>
      </c>
      <c r="D34" s="28">
        <f t="shared" si="0"/>
        <v>14.390000000000001</v>
      </c>
      <c r="E34" s="28">
        <f t="shared" si="0"/>
        <v>0.81999999999999995</v>
      </c>
      <c r="F34" s="28">
        <f t="shared" si="0"/>
        <v>0.34999999999999998</v>
      </c>
      <c r="G34" s="28">
        <f t="shared" si="0"/>
        <v>71.379999999999995</v>
      </c>
      <c r="H34" s="28">
        <f t="shared" si="0"/>
        <v>1.01</v>
      </c>
      <c r="I34" s="28">
        <f t="shared" si="0"/>
        <v>1.51</v>
      </c>
      <c r="J34" s="28">
        <f t="shared" si="0"/>
        <v>0.080000000000000002</v>
      </c>
      <c r="K34" s="28">
        <f t="shared" si="0"/>
        <v>99.400000000000006</v>
      </c>
      <c r="L34" s="28">
        <f t="shared" si="0"/>
        <v>20.239999999999998</v>
      </c>
      <c r="M34" s="28">
        <f t="shared" si="0"/>
        <v>36.149999999999999</v>
      </c>
      <c r="N34" s="28">
        <f t="shared" si="0"/>
        <v>8.6999999999999993</v>
      </c>
      <c r="O34" s="28">
        <f t="shared" si="0"/>
        <v>0</v>
      </c>
      <c r="P34" s="28">
        <f t="shared" si="0"/>
        <v>0.68999999999999995</v>
      </c>
      <c r="Q34" s="28">
        <f t="shared" si="0"/>
        <v>13.68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57.579999999999998</v>
      </c>
      <c r="C35" s="29">
        <f t="shared" si="1"/>
        <v>30.100000000000001</v>
      </c>
      <c r="D35" s="29">
        <f t="shared" si="1"/>
        <v>59.609999999999999</v>
      </c>
      <c r="E35" s="29">
        <f t="shared" si="1"/>
        <v>3.5600000000000001</v>
      </c>
      <c r="F35" s="29">
        <f t="shared" si="1"/>
        <v>7.1699999999999999</v>
      </c>
      <c r="G35" s="29">
        <f t="shared" si="1"/>
        <v>99.069999999999993</v>
      </c>
      <c r="H35" s="29">
        <f t="shared" si="1"/>
        <v>5.1600000000000001</v>
      </c>
      <c r="I35" s="29">
        <f t="shared" si="1"/>
        <v>1.5800000000000001</v>
      </c>
      <c r="J35" s="29">
        <f t="shared" si="1"/>
        <v>1.1100000000000001</v>
      </c>
      <c r="K35" s="29">
        <f t="shared" si="1"/>
        <v>358.82999999999998</v>
      </c>
      <c r="L35" s="29">
        <f t="shared" si="1"/>
        <v>34.909999999999997</v>
      </c>
      <c r="M35" s="29">
        <f t="shared" si="1"/>
        <v>95.799999999999997</v>
      </c>
      <c r="N35" s="29">
        <f t="shared" si="1"/>
        <v>860.5</v>
      </c>
      <c r="O35" s="29">
        <f t="shared" si="1"/>
        <v>0</v>
      </c>
      <c r="P35" s="29">
        <f t="shared" si="1"/>
        <v>2.2999999999999998</v>
      </c>
      <c r="Q35" s="29">
        <f t="shared" si="1"/>
        <v>25.73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19.923333333333336</v>
      </c>
      <c r="C36" s="28">
        <f t="shared" si="2"/>
        <v>20.597916666666666</v>
      </c>
      <c r="D36" s="28">
        <f t="shared" si="2"/>
        <v>28.257083333333338</v>
      </c>
      <c r="E36" s="28">
        <f t="shared" si="2"/>
        <v>1.7379166666666663</v>
      </c>
      <c r="F36" s="28">
        <f t="shared" si="2"/>
        <v>1.1387499999999997</v>
      </c>
      <c r="G36" s="28">
        <f t="shared" si="2"/>
        <v>89.049444444444475</v>
      </c>
      <c r="H36" s="28">
        <f t="shared" si="2"/>
        <v>2.4199999999999999</v>
      </c>
      <c r="I36" s="28">
        <f t="shared" si="2"/>
        <v>1.5404166666666665</v>
      </c>
      <c r="J36" s="28">
        <f t="shared" si="2"/>
        <v>0.47916666666666652</v>
      </c>
      <c r="K36" s="28">
        <f t="shared" si="2"/>
        <v>306.55916666666667</v>
      </c>
      <c r="L36" s="28">
        <f t="shared" si="2"/>
        <v>26.722083333333334</v>
      </c>
      <c r="M36" s="28">
        <f t="shared" si="2"/>
        <v>63.403333333333343</v>
      </c>
      <c r="N36" s="28">
        <f t="shared" si="2"/>
        <v>234.92499999999998</v>
      </c>
      <c r="O36" s="28">
        <f t="shared" si="2"/>
        <v>0</v>
      </c>
      <c r="P36" s="28">
        <f t="shared" si="2"/>
        <v>1.1533333333333333</v>
      </c>
      <c r="Q36" s="28">
        <f t="shared" si="2"/>
        <v>19.574999999999999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19.318198598768188</v>
      </c>
      <c r="C37" s="28">
        <f t="shared" si="3" ref="C37:Q37">STDEV(C9:C32)</f>
        <v>5.4015891213819511</v>
      </c>
      <c r="D37" s="28">
        <f t="shared" si="3"/>
        <v>16.030987514448555</v>
      </c>
      <c r="E37" s="28">
        <f t="shared" si="3"/>
        <v>0.63744039221184412</v>
      </c>
      <c r="F37" s="28">
        <f t="shared" si="3"/>
        <v>1.4259773536222371</v>
      </c>
      <c r="G37" s="28">
        <f t="shared" si="3"/>
        <v>9.8207154838317994</v>
      </c>
      <c r="H37" s="28">
        <f t="shared" si="3"/>
        <v>1.1863537811789733</v>
      </c>
      <c r="I37" s="28">
        <f t="shared" si="3"/>
        <v>0.022356628560221484</v>
      </c>
      <c r="J37" s="28">
        <f t="shared" si="3"/>
        <v>0.35171525868009473</v>
      </c>
      <c r="K37" s="28">
        <f t="shared" si="3"/>
        <v>71.250854940205116</v>
      </c>
      <c r="L37" s="28">
        <f t="shared" si="3"/>
        <v>4.7368664923836006</v>
      </c>
      <c r="M37" s="28">
        <f t="shared" si="3"/>
        <v>20.822619738006559</v>
      </c>
      <c r="N37" s="28">
        <f t="shared" si="3"/>
        <v>324.61292568494423</v>
      </c>
      <c r="O37" s="28">
        <f t="shared" si="3"/>
        <v>0</v>
      </c>
      <c r="P37" s="28">
        <f t="shared" si="3"/>
        <v>0.47353129152989565</v>
      </c>
      <c r="Q37" s="28">
        <f t="shared" si="3"/>
        <v>3.8246920876349462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COUNT(G9:G32)+6</f>
        <v>24</v>
      </c>
      <c r="H38" s="32">
        <f>COUNT(H9:H32)+6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7545e8-666a-41b7-8898-edf3f2a4bf2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39.92</v>
      </c>
      <c r="C9" s="54">
        <v>17.03</v>
      </c>
      <c r="D9" s="54">
        <v>42.70</v>
      </c>
      <c r="E9" s="54">
        <v>1.55</v>
      </c>
      <c r="F9" s="54">
        <v>0.54</v>
      </c>
      <c r="G9" s="55" t="s">
        <v>14</v>
      </c>
      <c r="H9" s="55" t="s">
        <v>14</v>
      </c>
      <c r="I9" s="54">
        <v>1.51</v>
      </c>
      <c r="J9" s="54">
        <v>0.12</v>
      </c>
      <c r="K9" s="54">
        <v>320.26</v>
      </c>
      <c r="L9" s="54">
        <v>22.04</v>
      </c>
      <c r="M9" s="54">
        <v>90.72</v>
      </c>
      <c r="N9" s="54">
        <v>9.10</v>
      </c>
      <c r="O9" s="54">
        <v>0</v>
      </c>
      <c r="P9" s="54">
        <v>1.33</v>
      </c>
      <c r="Q9" s="54">
        <v>26.53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32.56</v>
      </c>
      <c r="C10" s="54">
        <v>15.32</v>
      </c>
      <c r="D10" s="54">
        <v>35.67</v>
      </c>
      <c r="E10" s="54">
        <v>1.47</v>
      </c>
      <c r="F10" s="54">
        <v>0.57999999999999996</v>
      </c>
      <c r="G10" s="55" t="s">
        <v>14</v>
      </c>
      <c r="H10" s="55" t="s">
        <v>14</v>
      </c>
      <c r="I10" s="54">
        <v>1.55</v>
      </c>
      <c r="J10" s="54">
        <v>0.08</v>
      </c>
      <c r="K10" s="54">
        <v>301.27</v>
      </c>
      <c r="L10" s="54">
        <v>21.60</v>
      </c>
      <c r="M10" s="54">
        <v>84.34</v>
      </c>
      <c r="N10" s="54">
        <v>8.8000000000000007</v>
      </c>
      <c r="O10" s="54">
        <v>0</v>
      </c>
      <c r="P10" s="54">
        <v>1.01</v>
      </c>
      <c r="Q10" s="54">
        <v>25.20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27.83</v>
      </c>
      <c r="C11" s="54">
        <v>17.940000000000001</v>
      </c>
      <c r="D11" s="54">
        <v>32.590000000000003</v>
      </c>
      <c r="E11" s="54">
        <v>1.59</v>
      </c>
      <c r="F11" s="54">
        <v>0.37</v>
      </c>
      <c r="G11" s="54">
        <v>65.930000000000007</v>
      </c>
      <c r="H11" s="54">
        <v>29.84</v>
      </c>
      <c r="I11" s="54">
        <v>1.54</v>
      </c>
      <c r="J11" s="54">
        <v>0.13</v>
      </c>
      <c r="K11" s="54">
        <v>300.20999999999998</v>
      </c>
      <c r="L11" s="54">
        <v>21.63</v>
      </c>
      <c r="M11" s="54">
        <v>87.74</v>
      </c>
      <c r="N11" s="54">
        <v>8.8000000000000007</v>
      </c>
      <c r="O11" s="54">
        <v>0</v>
      </c>
      <c r="P11" s="54">
        <v>1.1200000000000001</v>
      </c>
      <c r="Q11" s="54">
        <v>29.34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21.45</v>
      </c>
      <c r="C12" s="54">
        <v>16.760000000000002</v>
      </c>
      <c r="D12" s="54">
        <v>27.74</v>
      </c>
      <c r="E12" s="54">
        <v>1.98</v>
      </c>
      <c r="F12" s="54">
        <v>0.38</v>
      </c>
      <c r="G12" s="54">
        <v>74.30</v>
      </c>
      <c r="H12" s="54">
        <v>24.49</v>
      </c>
      <c r="I12" s="54">
        <v>1.58</v>
      </c>
      <c r="J12" s="54">
        <v>0.05</v>
      </c>
      <c r="K12" s="54">
        <v>346.81</v>
      </c>
      <c r="L12" s="54">
        <v>21.28</v>
      </c>
      <c r="M12" s="54">
        <v>89.74</v>
      </c>
      <c r="N12" s="54">
        <v>8.8000000000000007</v>
      </c>
      <c r="O12" s="54">
        <v>0</v>
      </c>
      <c r="P12" s="54">
        <v>0.99</v>
      </c>
      <c r="Q12" s="54">
        <v>33.68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17.03</v>
      </c>
      <c r="C13" s="54">
        <v>14.95</v>
      </c>
      <c r="D13" s="54">
        <v>22.87</v>
      </c>
      <c r="E13" s="54">
        <v>3.02</v>
      </c>
      <c r="F13" s="54">
        <v>0.28999999999999998</v>
      </c>
      <c r="G13" s="54">
        <v>65.47</v>
      </c>
      <c r="H13" s="54">
        <v>23.63</v>
      </c>
      <c r="I13" s="54">
        <v>1.51</v>
      </c>
      <c r="J13" s="54">
        <v>0.52</v>
      </c>
      <c r="K13" s="54">
        <v>332.67</v>
      </c>
      <c r="L13" s="54">
        <v>20.83</v>
      </c>
      <c r="M13" s="54">
        <v>93.68</v>
      </c>
      <c r="N13" s="54">
        <v>9</v>
      </c>
      <c r="O13" s="54">
        <v>0</v>
      </c>
      <c r="P13" s="54">
        <v>0.83</v>
      </c>
      <c r="Q13" s="54">
        <v>101.26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20.07</v>
      </c>
      <c r="C14" s="54">
        <v>15.73</v>
      </c>
      <c r="D14" s="54">
        <v>25.09</v>
      </c>
      <c r="E14" s="54">
        <v>2.86</v>
      </c>
      <c r="F14" s="54">
        <v>0.65</v>
      </c>
      <c r="G14" s="54">
        <v>77.86</v>
      </c>
      <c r="H14" s="54">
        <v>24.57</v>
      </c>
      <c r="I14" s="54">
        <v>1.58</v>
      </c>
      <c r="J14" s="54">
        <v>0.32</v>
      </c>
      <c r="K14" s="54">
        <v>306.68</v>
      </c>
      <c r="L14" s="54">
        <v>20.48</v>
      </c>
      <c r="M14" s="54">
        <v>97.30</v>
      </c>
      <c r="N14" s="54">
        <v>14.90</v>
      </c>
      <c r="O14" s="54">
        <v>0</v>
      </c>
      <c r="P14" s="54">
        <v>0.83</v>
      </c>
      <c r="Q14" s="54">
        <v>425.34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20.84</v>
      </c>
      <c r="C15" s="54">
        <v>14.18</v>
      </c>
      <c r="D15" s="54">
        <v>25.59</v>
      </c>
      <c r="E15" s="54">
        <v>3.92</v>
      </c>
      <c r="F15" s="54">
        <v>0.47</v>
      </c>
      <c r="G15" s="54">
        <v>86.93</v>
      </c>
      <c r="H15" s="54">
        <v>25.09</v>
      </c>
      <c r="I15" s="54">
        <v>1.56</v>
      </c>
      <c r="J15" s="54">
        <v>0.24</v>
      </c>
      <c r="K15" s="54">
        <v>236.89</v>
      </c>
      <c r="L15" s="54">
        <v>22.87</v>
      </c>
      <c r="M15" s="54">
        <v>98.57</v>
      </c>
      <c r="N15" s="54">
        <v>188</v>
      </c>
      <c r="O15" s="54">
        <v>0</v>
      </c>
      <c r="P15" s="54">
        <v>0.78</v>
      </c>
      <c r="Q15" s="54">
        <v>448.98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22.46</v>
      </c>
      <c r="C16" s="54">
        <v>14.04</v>
      </c>
      <c r="D16" s="54">
        <v>26.54</v>
      </c>
      <c r="E16" s="54">
        <v>2.2400000000000002</v>
      </c>
      <c r="F16" s="54">
        <v>0.66</v>
      </c>
      <c r="G16" s="54">
        <v>78.13</v>
      </c>
      <c r="H16" s="54">
        <v>23.98</v>
      </c>
      <c r="I16" s="54">
        <v>1.58</v>
      </c>
      <c r="J16" s="54">
        <v>0.43</v>
      </c>
      <c r="K16" s="54">
        <v>355.52</v>
      </c>
      <c r="L16" s="54">
        <v>26.79</v>
      </c>
      <c r="M16" s="54">
        <v>78.34</v>
      </c>
      <c r="N16" s="54">
        <v>401.20</v>
      </c>
      <c r="O16" s="54">
        <v>0</v>
      </c>
      <c r="P16" s="54">
        <v>0.91</v>
      </c>
      <c r="Q16" s="54">
        <v>349.37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20.99</v>
      </c>
      <c r="C17" s="54">
        <v>16.43</v>
      </c>
      <c r="D17" s="54">
        <v>26.54</v>
      </c>
      <c r="E17" s="54">
        <v>1.02</v>
      </c>
      <c r="F17" s="54">
        <v>0.66</v>
      </c>
      <c r="G17" s="54">
        <v>83.63</v>
      </c>
      <c r="H17" s="54">
        <v>24.96</v>
      </c>
      <c r="I17" s="54">
        <v>1.55</v>
      </c>
      <c r="J17" s="54">
        <v>0.48</v>
      </c>
      <c r="K17" s="54">
        <v>351.48</v>
      </c>
      <c r="L17" s="54">
        <v>29.80</v>
      </c>
      <c r="M17" s="54">
        <v>71.260000000000005</v>
      </c>
      <c r="N17" s="54">
        <v>604.20000000000005</v>
      </c>
      <c r="O17" s="54">
        <v>0</v>
      </c>
      <c r="P17" s="54">
        <v>0.84</v>
      </c>
      <c r="Q17" s="54">
        <v>417.72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16.66</v>
      </c>
      <c r="C18" s="54">
        <v>20.74</v>
      </c>
      <c r="D18" s="54">
        <v>24.39</v>
      </c>
      <c r="E18" s="54">
        <v>1.18</v>
      </c>
      <c r="F18" s="54">
        <v>0.93</v>
      </c>
      <c r="G18" s="54">
        <v>86.97</v>
      </c>
      <c r="H18" s="54">
        <v>25.92</v>
      </c>
      <c r="I18" s="54">
        <v>1.49</v>
      </c>
      <c r="J18" s="54">
        <v>0.80</v>
      </c>
      <c r="K18" s="54">
        <v>346.26</v>
      </c>
      <c r="L18" s="54">
        <v>33.82</v>
      </c>
      <c r="M18" s="54">
        <v>59.52</v>
      </c>
      <c r="N18" s="54">
        <v>756.60</v>
      </c>
      <c r="O18" s="54">
        <v>0</v>
      </c>
      <c r="P18" s="54">
        <v>0.85</v>
      </c>
      <c r="Q18" s="54">
        <v>419.43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10.31</v>
      </c>
      <c r="C19" s="54">
        <v>21.56</v>
      </c>
      <c r="D19" s="54">
        <v>20.62</v>
      </c>
      <c r="E19" s="54">
        <v>1.48</v>
      </c>
      <c r="F19" s="54">
        <v>0.87</v>
      </c>
      <c r="G19" s="54">
        <v>87</v>
      </c>
      <c r="H19" s="54">
        <v>27</v>
      </c>
      <c r="I19" s="54">
        <v>1.52</v>
      </c>
      <c r="J19" s="54">
        <v>0.83</v>
      </c>
      <c r="K19" s="54">
        <v>343.72</v>
      </c>
      <c r="L19" s="54">
        <v>35.93</v>
      </c>
      <c r="M19" s="54">
        <v>40.28</v>
      </c>
      <c r="N19" s="54">
        <v>848.70</v>
      </c>
      <c r="O19" s="54">
        <v>0</v>
      </c>
      <c r="P19" s="54">
        <v>0.85</v>
      </c>
      <c r="Q19" s="54">
        <v>327.16000000000003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6.16</v>
      </c>
      <c r="C20" s="54">
        <v>22.35</v>
      </c>
      <c r="D20" s="54">
        <v>18.510000000000002</v>
      </c>
      <c r="E20" s="54">
        <v>1.66</v>
      </c>
      <c r="F20" s="54">
        <v>1.70</v>
      </c>
      <c r="G20" s="54">
        <v>86.38</v>
      </c>
      <c r="H20" s="54">
        <v>26.41</v>
      </c>
      <c r="I20" s="54">
        <v>1.53</v>
      </c>
      <c r="J20" s="54">
        <v>0.59</v>
      </c>
      <c r="K20" s="54">
        <v>357.94</v>
      </c>
      <c r="L20" s="54">
        <v>35.58</v>
      </c>
      <c r="M20" s="54">
        <v>36.549999999999997</v>
      </c>
      <c r="N20" s="54">
        <v>875.80</v>
      </c>
      <c r="O20" s="54">
        <v>0</v>
      </c>
      <c r="P20" s="54">
        <v>0.81</v>
      </c>
      <c r="Q20" s="54">
        <v>384.04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2.76</v>
      </c>
      <c r="C21" s="54">
        <v>19.059999999999999</v>
      </c>
      <c r="D21" s="54">
        <v>13.77</v>
      </c>
      <c r="E21" s="54">
        <v>1.94</v>
      </c>
      <c r="F21" s="54">
        <v>1.93</v>
      </c>
      <c r="G21" s="54">
        <v>79.20</v>
      </c>
      <c r="H21" s="54">
        <v>22.95</v>
      </c>
      <c r="I21" s="54">
        <v>1.51</v>
      </c>
      <c r="J21" s="54">
        <v>1.28</v>
      </c>
      <c r="K21" s="54">
        <v>338.20</v>
      </c>
      <c r="L21" s="54">
        <v>35.54</v>
      </c>
      <c r="M21" s="54">
        <v>36.72</v>
      </c>
      <c r="N21" s="54">
        <v>839.80</v>
      </c>
      <c r="O21" s="54">
        <v>0</v>
      </c>
      <c r="P21" s="54">
        <v>0.72</v>
      </c>
      <c r="Q21" s="54">
        <v>389.75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3.36</v>
      </c>
      <c r="C22" s="54">
        <v>19.37</v>
      </c>
      <c r="D22" s="54">
        <v>14.59</v>
      </c>
      <c r="E22" s="54">
        <v>3.44</v>
      </c>
      <c r="F22" s="54">
        <v>1.84</v>
      </c>
      <c r="G22" s="54">
        <v>64.91</v>
      </c>
      <c r="H22" s="54">
        <v>20.45</v>
      </c>
      <c r="I22" s="54">
        <v>1.53</v>
      </c>
      <c r="J22" s="54">
        <v>1.05</v>
      </c>
      <c r="K22" s="54">
        <v>340.10</v>
      </c>
      <c r="L22" s="54">
        <v>35.19</v>
      </c>
      <c r="M22" s="54">
        <v>30.65</v>
      </c>
      <c r="N22" s="54">
        <v>732.30</v>
      </c>
      <c r="O22" s="54">
        <v>0</v>
      </c>
      <c r="P22" s="54">
        <v>0.71</v>
      </c>
      <c r="Q22" s="54">
        <v>304.58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3.29</v>
      </c>
      <c r="C23" s="54">
        <v>19.53</v>
      </c>
      <c r="D23" s="54">
        <v>14.71</v>
      </c>
      <c r="E23" s="54">
        <v>1.87</v>
      </c>
      <c r="F23" s="54">
        <v>1.51</v>
      </c>
      <c r="G23" s="54">
        <v>70.08</v>
      </c>
      <c r="H23" s="54">
        <v>20.68</v>
      </c>
      <c r="I23" s="54">
        <v>1.53</v>
      </c>
      <c r="J23" s="54">
        <v>0.81</v>
      </c>
      <c r="K23" s="54">
        <v>351.52</v>
      </c>
      <c r="L23" s="54">
        <v>34.03</v>
      </c>
      <c r="M23" s="54">
        <v>34.630000000000003</v>
      </c>
      <c r="N23" s="54">
        <v>203.90</v>
      </c>
      <c r="O23" s="54">
        <v>0</v>
      </c>
      <c r="P23" s="54">
        <v>0.66</v>
      </c>
      <c r="Q23" s="54">
        <v>361.25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3.30</v>
      </c>
      <c r="C24" s="54">
        <v>18.5</v>
      </c>
      <c r="D24" s="54">
        <v>14.06</v>
      </c>
      <c r="E24" s="54">
        <v>1.76</v>
      </c>
      <c r="F24" s="54">
        <v>1.44</v>
      </c>
      <c r="G24" s="54">
        <v>72.94</v>
      </c>
      <c r="H24" s="54">
        <v>20.13</v>
      </c>
      <c r="I24" s="54">
        <v>1.58</v>
      </c>
      <c r="J24" s="54">
        <v>0.97</v>
      </c>
      <c r="K24" s="54">
        <v>108.78</v>
      </c>
      <c r="L24" s="54">
        <v>31.01</v>
      </c>
      <c r="M24" s="54">
        <v>35.79</v>
      </c>
      <c r="N24" s="54">
        <v>100.40</v>
      </c>
      <c r="O24" s="54">
        <v>0</v>
      </c>
      <c r="P24" s="54">
        <v>0.65</v>
      </c>
      <c r="Q24" s="54">
        <v>366.60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3.25</v>
      </c>
      <c r="C25" s="54">
        <v>16.440000000000001</v>
      </c>
      <c r="D25" s="54">
        <v>12.95</v>
      </c>
      <c r="E25" s="54">
        <v>1.18</v>
      </c>
      <c r="F25" s="54">
        <v>1.27</v>
      </c>
      <c r="G25" s="54">
        <v>78.400000000000006</v>
      </c>
      <c r="H25" s="54">
        <v>21.83</v>
      </c>
      <c r="I25" s="54">
        <v>1.54</v>
      </c>
      <c r="J25" s="54">
        <v>1.06</v>
      </c>
      <c r="K25" s="54">
        <v>112.40</v>
      </c>
      <c r="L25" s="54">
        <v>29.89</v>
      </c>
      <c r="M25" s="54">
        <v>39.08</v>
      </c>
      <c r="N25" s="54">
        <v>61.30</v>
      </c>
      <c r="O25" s="54">
        <v>0</v>
      </c>
      <c r="P25" s="54">
        <v>0.56000000000000005</v>
      </c>
      <c r="Q25" s="54">
        <v>303.25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3</v>
      </c>
      <c r="C26" s="54">
        <v>17.09</v>
      </c>
      <c r="D26" s="54">
        <v>13.13</v>
      </c>
      <c r="E26" s="54">
        <v>1.73</v>
      </c>
      <c r="F26" s="54">
        <v>1.40</v>
      </c>
      <c r="G26" s="54">
        <v>65.81</v>
      </c>
      <c r="H26" s="54">
        <v>22.08</v>
      </c>
      <c r="I26" s="54">
        <v>1.53</v>
      </c>
      <c r="J26" s="54">
        <v>0.54</v>
      </c>
      <c r="K26" s="54">
        <v>232.76</v>
      </c>
      <c r="L26" s="54">
        <v>28.96</v>
      </c>
      <c r="M26" s="54">
        <v>54.22</v>
      </c>
      <c r="N26" s="54">
        <v>28.30</v>
      </c>
      <c r="O26" s="54">
        <v>0</v>
      </c>
      <c r="P26" s="54">
        <v>0.56000000000000005</v>
      </c>
      <c r="Q26" s="54">
        <v>340.42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3.46</v>
      </c>
      <c r="C27" s="54">
        <v>15.51</v>
      </c>
      <c r="D27" s="54">
        <v>12.38</v>
      </c>
      <c r="E27" s="54">
        <v>1.49</v>
      </c>
      <c r="F27" s="54">
        <v>0.71</v>
      </c>
      <c r="G27" s="54">
        <v>64.98</v>
      </c>
      <c r="H27" s="54">
        <v>22.44</v>
      </c>
      <c r="I27" s="54">
        <v>1.59</v>
      </c>
      <c r="J27" s="54">
        <v>0.13</v>
      </c>
      <c r="K27" s="54">
        <v>292.12</v>
      </c>
      <c r="L27" s="54">
        <v>26.82</v>
      </c>
      <c r="M27" s="54">
        <v>71.58</v>
      </c>
      <c r="N27" s="54">
        <v>9.10</v>
      </c>
      <c r="O27" s="54">
        <v>0</v>
      </c>
      <c r="P27" s="54">
        <v>0.66</v>
      </c>
      <c r="Q27" s="54">
        <v>345.12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4.32</v>
      </c>
      <c r="C28" s="54">
        <v>15.45</v>
      </c>
      <c r="D28" s="54">
        <v>13.28</v>
      </c>
      <c r="E28" s="54">
        <v>1.21</v>
      </c>
      <c r="F28" s="54">
        <v>0.93</v>
      </c>
      <c r="G28" s="54">
        <v>70.099999999999994</v>
      </c>
      <c r="H28" s="54">
        <v>22.98</v>
      </c>
      <c r="I28" s="54">
        <v>1.54</v>
      </c>
      <c r="J28" s="54">
        <v>0.09</v>
      </c>
      <c r="K28" s="54">
        <v>215.18</v>
      </c>
      <c r="L28" s="54">
        <v>26.22</v>
      </c>
      <c r="M28" s="54">
        <v>73.12</v>
      </c>
      <c r="N28" s="54">
        <v>8.6999999999999993</v>
      </c>
      <c r="O28" s="54">
        <v>0</v>
      </c>
      <c r="P28" s="54">
        <v>0.72</v>
      </c>
      <c r="Q28" s="54">
        <v>295.25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4.3899999999999997</v>
      </c>
      <c r="C29" s="54">
        <v>16.22</v>
      </c>
      <c r="D29" s="54">
        <v>13.70</v>
      </c>
      <c r="E29" s="54">
        <v>0.83</v>
      </c>
      <c r="F29" s="54">
        <v>0.54</v>
      </c>
      <c r="G29" s="54">
        <v>64.05</v>
      </c>
      <c r="H29" s="54">
        <v>23</v>
      </c>
      <c r="I29" s="54">
        <v>1.57</v>
      </c>
      <c r="J29" s="54">
        <v>0.14000000000000001</v>
      </c>
      <c r="K29" s="54">
        <v>227.44</v>
      </c>
      <c r="L29" s="54">
        <v>25.80</v>
      </c>
      <c r="M29" s="54">
        <v>75.540000000000006</v>
      </c>
      <c r="N29" s="54">
        <v>8.8000000000000007</v>
      </c>
      <c r="O29" s="54">
        <v>0</v>
      </c>
      <c r="P29" s="54">
        <v>0.72</v>
      </c>
      <c r="Q29" s="54">
        <v>321.26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4.7699999999999996</v>
      </c>
      <c r="C30" s="54">
        <v>14.60</v>
      </c>
      <c r="D30" s="54">
        <v>12.86</v>
      </c>
      <c r="E30" s="54">
        <v>1.01</v>
      </c>
      <c r="F30" s="54">
        <v>0.72</v>
      </c>
      <c r="G30" s="54">
        <v>65.959999999999994</v>
      </c>
      <c r="H30" s="54">
        <v>24</v>
      </c>
      <c r="I30" s="54">
        <v>1.54</v>
      </c>
      <c r="J30" s="54">
        <v>0.11</v>
      </c>
      <c r="K30" s="54">
        <v>215</v>
      </c>
      <c r="L30" s="54">
        <v>25.18</v>
      </c>
      <c r="M30" s="54">
        <v>78.41</v>
      </c>
      <c r="N30" s="54">
        <v>8.90</v>
      </c>
      <c r="O30" s="54">
        <v>0</v>
      </c>
      <c r="P30" s="54">
        <v>0.73</v>
      </c>
      <c r="Q30" s="54">
        <v>320.12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5.68</v>
      </c>
      <c r="C31" s="54">
        <v>14.97</v>
      </c>
      <c r="D31" s="54">
        <v>14.10</v>
      </c>
      <c r="E31" s="54">
        <v>1.39</v>
      </c>
      <c r="F31" s="54">
        <v>0.41</v>
      </c>
      <c r="G31" s="54">
        <v>68.900000000000006</v>
      </c>
      <c r="H31" s="54">
        <v>21.33</v>
      </c>
      <c r="I31" s="54">
        <v>1.56</v>
      </c>
      <c r="J31" s="54">
        <v>0.06</v>
      </c>
      <c r="K31" s="54">
        <v>286.48</v>
      </c>
      <c r="L31" s="54">
        <v>24.43</v>
      </c>
      <c r="M31" s="54">
        <v>79.97</v>
      </c>
      <c r="N31" s="54">
        <v>9</v>
      </c>
      <c r="O31" s="54">
        <v>0</v>
      </c>
      <c r="P31" s="54">
        <v>0.88</v>
      </c>
      <c r="Q31" s="54">
        <v>286.55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5.51</v>
      </c>
      <c r="C32" s="54">
        <v>14.55</v>
      </c>
      <c r="D32" s="54">
        <v>13.74</v>
      </c>
      <c r="E32" s="54">
        <v>1.1000000000000001</v>
      </c>
      <c r="F32" s="54">
        <v>0.73</v>
      </c>
      <c r="G32" s="54">
        <v>59.41</v>
      </c>
      <c r="H32" s="54">
        <v>22.36</v>
      </c>
      <c r="I32" s="54">
        <v>1.55</v>
      </c>
      <c r="J32" s="54">
        <v>0.08</v>
      </c>
      <c r="K32" s="54">
        <v>275.49</v>
      </c>
      <c r="L32" s="54">
        <v>24.32</v>
      </c>
      <c r="M32" s="54">
        <v>80.94</v>
      </c>
      <c r="N32" s="54">
        <v>8.6999999999999993</v>
      </c>
      <c r="O32" s="54">
        <v>0</v>
      </c>
      <c r="P32" s="54">
        <v>0.71</v>
      </c>
      <c r="Q32" s="54">
        <v>309.11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2.7599999999999998</v>
      </c>
      <c r="C34" s="28">
        <f t="shared" si="0"/>
        <v>14.039999999999999</v>
      </c>
      <c r="D34" s="28">
        <f t="shared" si="0"/>
        <v>12.380000000000001</v>
      </c>
      <c r="E34" s="28">
        <f t="shared" si="0"/>
        <v>0.82999999999999996</v>
      </c>
      <c r="F34" s="28">
        <f t="shared" si="0"/>
        <v>0.28999999999999998</v>
      </c>
      <c r="G34" s="28">
        <f t="shared" si="0"/>
        <v>59.409999999999997</v>
      </c>
      <c r="H34" s="28">
        <f t="shared" si="0"/>
        <v>20.129999999999999</v>
      </c>
      <c r="I34" s="28">
        <f t="shared" si="0"/>
        <v>1.49</v>
      </c>
      <c r="J34" s="28">
        <f t="shared" si="0"/>
        <v>0.050000000000000003</v>
      </c>
      <c r="K34" s="28">
        <f t="shared" si="0"/>
        <v>108.78</v>
      </c>
      <c r="L34" s="28">
        <f t="shared" si="0"/>
        <v>20.48</v>
      </c>
      <c r="M34" s="28">
        <f t="shared" si="0"/>
        <v>30.649999999999999</v>
      </c>
      <c r="N34" s="28">
        <f t="shared" si="0"/>
        <v>8.6999999999999993</v>
      </c>
      <c r="O34" s="28">
        <f t="shared" si="0"/>
        <v>0</v>
      </c>
      <c r="P34" s="28">
        <f t="shared" si="0"/>
        <v>0.56000000000000005</v>
      </c>
      <c r="Q34" s="28">
        <f t="shared" si="0"/>
        <v>25.199999999999999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39.920000000000002</v>
      </c>
      <c r="C35" s="29">
        <f t="shared" si="1"/>
        <v>22.350000000000001</v>
      </c>
      <c r="D35" s="29">
        <f t="shared" si="1"/>
        <v>42.700000000000003</v>
      </c>
      <c r="E35" s="29">
        <f t="shared" si="1"/>
        <v>3.9199999999999999</v>
      </c>
      <c r="F35" s="29">
        <f t="shared" si="1"/>
        <v>1.9299999999999999</v>
      </c>
      <c r="G35" s="29">
        <f t="shared" si="1"/>
        <v>87</v>
      </c>
      <c r="H35" s="29">
        <f t="shared" si="1"/>
        <v>29.84</v>
      </c>
      <c r="I35" s="29">
        <f t="shared" si="1"/>
        <v>1.5900000000000001</v>
      </c>
      <c r="J35" s="29">
        <f t="shared" si="1"/>
        <v>1.28</v>
      </c>
      <c r="K35" s="29">
        <f t="shared" si="1"/>
        <v>357.94</v>
      </c>
      <c r="L35" s="29">
        <f t="shared" si="1"/>
        <v>35.93</v>
      </c>
      <c r="M35" s="29">
        <f t="shared" si="1"/>
        <v>98.569999999999993</v>
      </c>
      <c r="N35" s="29">
        <f t="shared" si="1"/>
        <v>875.79999999999995</v>
      </c>
      <c r="O35" s="29">
        <f t="shared" si="1"/>
        <v>0</v>
      </c>
      <c r="P35" s="29">
        <f t="shared" si="1"/>
        <v>1.3300000000000001</v>
      </c>
      <c r="Q35" s="29">
        <f t="shared" si="1"/>
        <v>448.98000000000002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12.640416666666667</v>
      </c>
      <c r="C36" s="28">
        <f t="shared" si="2"/>
        <v>17.013333333333332</v>
      </c>
      <c r="D36" s="28">
        <f t="shared" si="2"/>
        <v>20.504999999999999</v>
      </c>
      <c r="E36" s="28">
        <f t="shared" si="2"/>
        <v>1.7883333333333333</v>
      </c>
      <c r="F36" s="28">
        <f t="shared" si="2"/>
        <v>0.89708333333333323</v>
      </c>
      <c r="G36" s="28">
        <f t="shared" si="2"/>
        <v>73.515454545454546</v>
      </c>
      <c r="H36" s="28">
        <f t="shared" si="2"/>
        <v>23.641818181818181</v>
      </c>
      <c r="I36" s="28">
        <f t="shared" si="2"/>
        <v>1.5445833333333334</v>
      </c>
      <c r="J36" s="28">
        <f t="shared" si="2"/>
        <v>0.45458333333333339</v>
      </c>
      <c r="K36" s="28">
        <f t="shared" si="2"/>
        <v>287.29916666666668</v>
      </c>
      <c r="L36" s="28">
        <f t="shared" si="2"/>
        <v>27.501666666666662</v>
      </c>
      <c r="M36" s="28">
        <f t="shared" si="2"/>
        <v>67.445416666666674</v>
      </c>
      <c r="N36" s="28">
        <f t="shared" si="2"/>
        <v>239.71250000000001</v>
      </c>
      <c r="O36" s="28">
        <f t="shared" si="2"/>
        <v>0</v>
      </c>
      <c r="P36" s="28">
        <f t="shared" si="2"/>
        <v>0.80958333333333343</v>
      </c>
      <c r="Q36" s="28">
        <f t="shared" si="2"/>
        <v>288.80458333333331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10.920809604948538</v>
      </c>
      <c r="C37" s="28">
        <f t="shared" si="3" ref="C37:Q37">STDEV(C9:C32)</f>
        <v>2.3771167531215331</v>
      </c>
      <c r="D37" s="28">
        <f t="shared" si="3"/>
        <v>8.44955620136348</v>
      </c>
      <c r="E37" s="28">
        <f t="shared" si="3"/>
        <v>0.79212793579488561</v>
      </c>
      <c r="F37" s="28">
        <f t="shared" si="3"/>
        <v>0.49443405650489342</v>
      </c>
      <c r="G37" s="28">
        <f t="shared" si="3"/>
        <v>8.8016798868833561</v>
      </c>
      <c r="H37" s="28">
        <f t="shared" si="3"/>
        <v>2.3399402441772765</v>
      </c>
      <c r="I37" s="28">
        <f t="shared" si="3"/>
        <v>0.026699481621195963</v>
      </c>
      <c r="J37" s="28">
        <f t="shared" si="3"/>
        <v>0.38579087787203492</v>
      </c>
      <c r="K37" s="28">
        <f t="shared" si="3"/>
        <v>72.080698671797649</v>
      </c>
      <c r="L37" s="28">
        <f t="shared" si="3"/>
        <v>5.3224452264355246</v>
      </c>
      <c r="M37" s="28">
        <f t="shared" si="3"/>
        <v>22.939685752589011</v>
      </c>
      <c r="N37" s="28">
        <f t="shared" si="3"/>
        <v>332.37388888248967</v>
      </c>
      <c r="O37" s="28">
        <f t="shared" si="3"/>
        <v>0</v>
      </c>
      <c r="P37" s="28">
        <f t="shared" si="3"/>
        <v>0.17518882152810306</v>
      </c>
      <c r="Q37" s="28">
        <f t="shared" si="3"/>
        <v>136.46541004573021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cfab8e-68a7-4ae6-b503-82cf3ccb035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5.20</v>
      </c>
      <c r="C9" s="54">
        <v>13.40</v>
      </c>
      <c r="D9" s="54">
        <v>12.62</v>
      </c>
      <c r="E9" s="54">
        <v>0.67</v>
      </c>
      <c r="F9" s="54">
        <v>0.62</v>
      </c>
      <c r="G9" s="54">
        <v>60.38</v>
      </c>
      <c r="H9" s="54">
        <v>22.73</v>
      </c>
      <c r="I9" s="54">
        <v>1.53</v>
      </c>
      <c r="J9" s="54">
        <v>0.08</v>
      </c>
      <c r="K9" s="54">
        <v>315.70999999999998</v>
      </c>
      <c r="L9" s="54">
        <v>23.87</v>
      </c>
      <c r="M9" s="54">
        <v>82.14</v>
      </c>
      <c r="N9" s="54">
        <v>8.90</v>
      </c>
      <c r="O9" s="54">
        <v>0</v>
      </c>
      <c r="P9" s="54">
        <v>0.63</v>
      </c>
      <c r="Q9" s="54">
        <v>305.93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5.30</v>
      </c>
      <c r="C10" s="54">
        <v>13.84</v>
      </c>
      <c r="D10" s="54">
        <v>13.09</v>
      </c>
      <c r="E10" s="54">
        <v>0.86</v>
      </c>
      <c r="F10" s="54">
        <v>0.62</v>
      </c>
      <c r="G10" s="54">
        <v>57.82</v>
      </c>
      <c r="H10" s="54">
        <v>21.45</v>
      </c>
      <c r="I10" s="54">
        <v>1.62</v>
      </c>
      <c r="J10" s="54">
        <v>0.12</v>
      </c>
      <c r="K10" s="54">
        <v>265.44</v>
      </c>
      <c r="L10" s="54">
        <v>23.57</v>
      </c>
      <c r="M10" s="54">
        <v>90.30</v>
      </c>
      <c r="N10" s="54">
        <v>8.90</v>
      </c>
      <c r="O10" s="54">
        <v>0</v>
      </c>
      <c r="P10" s="54">
        <v>0.63</v>
      </c>
      <c r="Q10" s="54">
        <v>271.20999999999998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5.26</v>
      </c>
      <c r="C11" s="54">
        <v>13.35</v>
      </c>
      <c r="D11" s="54">
        <v>12.81</v>
      </c>
      <c r="E11" s="54">
        <v>0.66</v>
      </c>
      <c r="F11" s="54">
        <v>0.55000000000000004</v>
      </c>
      <c r="G11" s="54">
        <v>53.83</v>
      </c>
      <c r="H11" s="54">
        <v>22.18</v>
      </c>
      <c r="I11" s="54">
        <v>1.54</v>
      </c>
      <c r="J11" s="54">
        <v>0.15</v>
      </c>
      <c r="K11" s="54">
        <v>202.86</v>
      </c>
      <c r="L11" s="54">
        <v>22.43</v>
      </c>
      <c r="M11" s="54">
        <v>94.35</v>
      </c>
      <c r="N11" s="54">
        <v>8.8000000000000007</v>
      </c>
      <c r="O11" s="54">
        <v>0</v>
      </c>
      <c r="P11" s="54">
        <v>0.61</v>
      </c>
      <c r="Q11" s="54">
        <v>293.83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6.16</v>
      </c>
      <c r="C12" s="54">
        <v>11.08</v>
      </c>
      <c r="D12" s="54">
        <v>12.18</v>
      </c>
      <c r="E12" s="54">
        <v>1.22</v>
      </c>
      <c r="F12" s="54">
        <v>0.41</v>
      </c>
      <c r="G12" s="54">
        <v>50.31</v>
      </c>
      <c r="H12" s="54">
        <v>21.07</v>
      </c>
      <c r="I12" s="54">
        <v>1.52</v>
      </c>
      <c r="J12" s="54">
        <v>0.06</v>
      </c>
      <c r="K12" s="54">
        <v>261.08999999999997</v>
      </c>
      <c r="L12" s="54">
        <v>22</v>
      </c>
      <c r="M12" s="54">
        <v>96.77</v>
      </c>
      <c r="N12" s="54">
        <v>8.8000000000000007</v>
      </c>
      <c r="O12" s="54">
        <v>0</v>
      </c>
      <c r="P12" s="54">
        <v>0.56999999999999995</v>
      </c>
      <c r="Q12" s="54">
        <v>292.68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7.44</v>
      </c>
      <c r="C13" s="54">
        <v>13.5</v>
      </c>
      <c r="D13" s="54">
        <v>14.70</v>
      </c>
      <c r="E13" s="54">
        <v>1.48</v>
      </c>
      <c r="F13" s="54">
        <v>0.46</v>
      </c>
      <c r="G13" s="54">
        <v>49.78</v>
      </c>
      <c r="H13" s="54">
        <v>21.35</v>
      </c>
      <c r="I13" s="54">
        <v>1.49</v>
      </c>
      <c r="J13" s="54">
        <v>0.14000000000000001</v>
      </c>
      <c r="K13" s="54">
        <v>298.36</v>
      </c>
      <c r="L13" s="54">
        <v>21.98</v>
      </c>
      <c r="M13" s="54">
        <v>96.11</v>
      </c>
      <c r="N13" s="54">
        <v>8.6999999999999993</v>
      </c>
      <c r="O13" s="54">
        <v>0</v>
      </c>
      <c r="P13" s="54">
        <v>0.55000000000000004</v>
      </c>
      <c r="Q13" s="54">
        <v>264.29000000000002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8.07</v>
      </c>
      <c r="C14" s="54">
        <v>13.10</v>
      </c>
      <c r="D14" s="54">
        <v>14.63</v>
      </c>
      <c r="E14" s="54">
        <v>1.81</v>
      </c>
      <c r="F14" s="54">
        <v>0.46</v>
      </c>
      <c r="G14" s="54">
        <v>50.30</v>
      </c>
      <c r="H14" s="54">
        <v>20.80</v>
      </c>
      <c r="I14" s="54">
        <v>1.55</v>
      </c>
      <c r="J14" s="54">
        <v>0.09</v>
      </c>
      <c r="K14" s="54">
        <v>351.64</v>
      </c>
      <c r="L14" s="54">
        <v>21.48</v>
      </c>
      <c r="M14" s="54">
        <v>98.79</v>
      </c>
      <c r="N14" s="54">
        <v>17.100000000000001</v>
      </c>
      <c r="O14" s="54">
        <v>0</v>
      </c>
      <c r="P14" s="54">
        <v>0.53</v>
      </c>
      <c r="Q14" s="54">
        <v>284.14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9.9600000000000009</v>
      </c>
      <c r="C15" s="54">
        <v>11.42</v>
      </c>
      <c r="D15" s="54">
        <v>15.02</v>
      </c>
      <c r="E15" s="54">
        <v>1.25</v>
      </c>
      <c r="F15" s="54">
        <v>0.75</v>
      </c>
      <c r="G15" s="54">
        <v>47.64</v>
      </c>
      <c r="H15" s="54">
        <v>20.80</v>
      </c>
      <c r="I15" s="54">
        <v>1.53</v>
      </c>
      <c r="J15" s="54">
        <v>0.19</v>
      </c>
      <c r="K15" s="54">
        <v>351.49</v>
      </c>
      <c r="L15" s="54">
        <v>23.58</v>
      </c>
      <c r="M15" s="54">
        <v>98.76</v>
      </c>
      <c r="N15" s="54">
        <v>156.60</v>
      </c>
      <c r="O15" s="54">
        <v>0</v>
      </c>
      <c r="P15" s="54">
        <v>0.55000000000000004</v>
      </c>
      <c r="Q15" s="54">
        <v>281.72000000000003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11.92</v>
      </c>
      <c r="C16" s="54">
        <v>13.54</v>
      </c>
      <c r="D16" s="54">
        <v>18.32</v>
      </c>
      <c r="E16" s="54">
        <v>1.19</v>
      </c>
      <c r="F16" s="54">
        <v>0.54</v>
      </c>
      <c r="G16" s="54">
        <v>55.59</v>
      </c>
      <c r="H16" s="54">
        <v>20.60</v>
      </c>
      <c r="I16" s="54">
        <v>1.57</v>
      </c>
      <c r="J16" s="54">
        <v>0.23</v>
      </c>
      <c r="K16" s="54">
        <v>357.41</v>
      </c>
      <c r="L16" s="54">
        <v>26.52</v>
      </c>
      <c r="M16" s="54">
        <v>75.69</v>
      </c>
      <c r="N16" s="54">
        <v>376.60</v>
      </c>
      <c r="O16" s="54">
        <v>0</v>
      </c>
      <c r="P16" s="54">
        <v>0.59</v>
      </c>
      <c r="Q16" s="54">
        <v>260.66000000000003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11.47</v>
      </c>
      <c r="C17" s="54">
        <v>14.87</v>
      </c>
      <c r="D17" s="54">
        <v>17.98</v>
      </c>
      <c r="E17" s="54">
        <v>0.99</v>
      </c>
      <c r="F17" s="54">
        <v>0.57999999999999996</v>
      </c>
      <c r="G17" s="54">
        <v>66.12</v>
      </c>
      <c r="H17" s="54">
        <v>21.76</v>
      </c>
      <c r="I17" s="54">
        <v>1.58</v>
      </c>
      <c r="J17" s="54">
        <v>0.37</v>
      </c>
      <c r="K17" s="54">
        <v>358.04</v>
      </c>
      <c r="L17" s="54">
        <v>31.79</v>
      </c>
      <c r="M17" s="54">
        <v>66.78</v>
      </c>
      <c r="N17" s="54">
        <v>584.90</v>
      </c>
      <c r="O17" s="54">
        <v>0</v>
      </c>
      <c r="P17" s="54">
        <v>0.68</v>
      </c>
      <c r="Q17" s="54">
        <v>265.69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9.90</v>
      </c>
      <c r="C18" s="54">
        <v>16.760000000000002</v>
      </c>
      <c r="D18" s="54">
        <v>17.5</v>
      </c>
      <c r="E18" s="54">
        <v>1.17</v>
      </c>
      <c r="F18" s="54">
        <v>0.75</v>
      </c>
      <c r="G18" s="54">
        <v>73.87</v>
      </c>
      <c r="H18" s="54">
        <v>25.03</v>
      </c>
      <c r="I18" s="54">
        <v>1.58</v>
      </c>
      <c r="J18" s="54">
        <v>0.93</v>
      </c>
      <c r="K18" s="54">
        <v>333.39</v>
      </c>
      <c r="L18" s="54">
        <v>35.630000000000003</v>
      </c>
      <c r="M18" s="54">
        <v>45.85</v>
      </c>
      <c r="N18" s="54">
        <v>728.70</v>
      </c>
      <c r="O18" s="54">
        <v>0</v>
      </c>
      <c r="P18" s="54">
        <v>0.73</v>
      </c>
      <c r="Q18" s="54">
        <v>262.08999999999997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7.70</v>
      </c>
      <c r="C19" s="54">
        <v>20.89</v>
      </c>
      <c r="D19" s="54">
        <v>17.87</v>
      </c>
      <c r="E19" s="54">
        <v>0.88</v>
      </c>
      <c r="F19" s="54">
        <v>1.06</v>
      </c>
      <c r="G19" s="54">
        <v>77.12</v>
      </c>
      <c r="H19" s="54">
        <v>26.31</v>
      </c>
      <c r="I19" s="54">
        <v>1.52</v>
      </c>
      <c r="J19" s="54">
        <v>1.58</v>
      </c>
      <c r="K19" s="54">
        <v>336.25</v>
      </c>
      <c r="L19" s="54">
        <v>36.520000000000003</v>
      </c>
      <c r="M19" s="54">
        <v>38.799999999999997</v>
      </c>
      <c r="N19" s="54">
        <v>823.10</v>
      </c>
      <c r="O19" s="54">
        <v>0</v>
      </c>
      <c r="P19" s="54">
        <v>0.76</v>
      </c>
      <c r="Q19" s="54">
        <v>241.93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5</v>
      </c>
      <c r="C20" s="54">
        <v>20.51</v>
      </c>
      <c r="D20" s="54">
        <v>16.37</v>
      </c>
      <c r="E20" s="54">
        <v>0.76</v>
      </c>
      <c r="F20" s="54">
        <v>1.31</v>
      </c>
      <c r="G20" s="54">
        <v>74.84</v>
      </c>
      <c r="H20" s="54">
        <v>23.92</v>
      </c>
      <c r="I20" s="54">
        <v>1.57</v>
      </c>
      <c r="J20" s="54">
        <v>1.49</v>
      </c>
      <c r="K20" s="54">
        <v>338.09</v>
      </c>
      <c r="L20" s="54">
        <v>36.590000000000003</v>
      </c>
      <c r="M20" s="54">
        <v>36.17</v>
      </c>
      <c r="N20" s="54">
        <v>858.10</v>
      </c>
      <c r="O20" s="54">
        <v>0</v>
      </c>
      <c r="P20" s="54">
        <v>0.80</v>
      </c>
      <c r="Q20" s="54">
        <v>257.47000000000003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3.48</v>
      </c>
      <c r="C21" s="54">
        <v>20.62</v>
      </c>
      <c r="D21" s="54">
        <v>15.46</v>
      </c>
      <c r="E21" s="54">
        <v>1.37</v>
      </c>
      <c r="F21" s="54">
        <v>1.37</v>
      </c>
      <c r="G21" s="54">
        <v>70.510000000000005</v>
      </c>
      <c r="H21" s="54">
        <v>21.61</v>
      </c>
      <c r="I21" s="54">
        <v>1.55</v>
      </c>
      <c r="J21" s="54">
        <v>1.1499999999999999</v>
      </c>
      <c r="K21" s="54">
        <v>337.26</v>
      </c>
      <c r="L21" s="54">
        <v>36.10</v>
      </c>
      <c r="M21" s="54">
        <v>36.06</v>
      </c>
      <c r="N21" s="54">
        <v>834.80</v>
      </c>
      <c r="O21" s="54">
        <v>0</v>
      </c>
      <c r="P21" s="54">
        <v>0.74</v>
      </c>
      <c r="Q21" s="54">
        <v>244.90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3.18</v>
      </c>
      <c r="C22" s="54">
        <v>19.260000000000002</v>
      </c>
      <c r="D22" s="54">
        <v>14.42</v>
      </c>
      <c r="E22" s="54">
        <v>2.08</v>
      </c>
      <c r="F22" s="54">
        <v>1.44</v>
      </c>
      <c r="G22" s="54">
        <v>65.599999999999994</v>
      </c>
      <c r="H22" s="54">
        <v>19.73</v>
      </c>
      <c r="I22" s="54">
        <v>1.59</v>
      </c>
      <c r="J22" s="54">
        <v>1.36</v>
      </c>
      <c r="K22" s="54">
        <v>336.94</v>
      </c>
      <c r="L22" s="54">
        <v>35.71</v>
      </c>
      <c r="M22" s="54">
        <v>37.61</v>
      </c>
      <c r="N22" s="54">
        <v>629.10</v>
      </c>
      <c r="O22" s="54">
        <v>0</v>
      </c>
      <c r="P22" s="54">
        <v>0.68</v>
      </c>
      <c r="Q22" s="54">
        <v>232.13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3.24</v>
      </c>
      <c r="C23" s="54">
        <v>18.739999999999998</v>
      </c>
      <c r="D23" s="54">
        <v>14.10</v>
      </c>
      <c r="E23" s="54">
        <v>1.1599999999999999</v>
      </c>
      <c r="F23" s="54">
        <v>1.66</v>
      </c>
      <c r="G23" s="54">
        <v>69.17</v>
      </c>
      <c r="H23" s="54">
        <v>17.13</v>
      </c>
      <c r="I23" s="54">
        <v>1.58</v>
      </c>
      <c r="J23" s="54">
        <v>1.29</v>
      </c>
      <c r="K23" s="54">
        <v>338.22</v>
      </c>
      <c r="L23" s="54">
        <v>33.68</v>
      </c>
      <c r="M23" s="54">
        <v>41.72</v>
      </c>
      <c r="N23" s="54">
        <v>198.10</v>
      </c>
      <c r="O23" s="54">
        <v>0</v>
      </c>
      <c r="P23" s="54">
        <v>0.69</v>
      </c>
      <c r="Q23" s="54">
        <v>248.01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4.49</v>
      </c>
      <c r="C24" s="54">
        <v>18.5</v>
      </c>
      <c r="D24" s="54">
        <v>14.66</v>
      </c>
      <c r="E24" s="54">
        <v>1.38</v>
      </c>
      <c r="F24" s="54">
        <v>0.93</v>
      </c>
      <c r="G24" s="54">
        <v>75.70</v>
      </c>
      <c r="H24" s="54">
        <v>20.309999999999999</v>
      </c>
      <c r="I24" s="54">
        <v>1.53</v>
      </c>
      <c r="J24" s="54">
        <v>0.86</v>
      </c>
      <c r="K24" s="54">
        <v>337.61</v>
      </c>
      <c r="L24" s="54">
        <v>32.08</v>
      </c>
      <c r="M24" s="54">
        <v>44.90</v>
      </c>
      <c r="N24" s="54">
        <v>114.80</v>
      </c>
      <c r="O24" s="54">
        <v>0</v>
      </c>
      <c r="P24" s="54">
        <v>0.71</v>
      </c>
      <c r="Q24" s="54">
        <v>236.18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4.6100000000000003</v>
      </c>
      <c r="C25" s="54">
        <v>19.73</v>
      </c>
      <c r="D25" s="54">
        <v>15.88</v>
      </c>
      <c r="E25" s="54">
        <v>1.71</v>
      </c>
      <c r="F25" s="54">
        <v>1.08</v>
      </c>
      <c r="G25" s="54">
        <v>75.760000000000005</v>
      </c>
      <c r="H25" s="54">
        <v>21.89</v>
      </c>
      <c r="I25" s="54">
        <v>1.58</v>
      </c>
      <c r="J25" s="54">
        <v>0.48</v>
      </c>
      <c r="K25" s="54">
        <v>340.20</v>
      </c>
      <c r="L25" s="54">
        <v>30.96</v>
      </c>
      <c r="M25" s="54">
        <v>48.31</v>
      </c>
      <c r="N25" s="54">
        <v>74.20</v>
      </c>
      <c r="O25" s="54">
        <v>0</v>
      </c>
      <c r="P25" s="54">
        <v>0.73</v>
      </c>
      <c r="Q25" s="54">
        <v>229.18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4.01</v>
      </c>
      <c r="C26" s="54">
        <v>18.22</v>
      </c>
      <c r="D26" s="54">
        <v>14.21</v>
      </c>
      <c r="E26" s="54">
        <v>1.76</v>
      </c>
      <c r="F26" s="54">
        <v>1.37</v>
      </c>
      <c r="G26" s="54">
        <v>72.5</v>
      </c>
      <c r="H26" s="54">
        <v>22.04</v>
      </c>
      <c r="I26" s="54">
        <v>1.58</v>
      </c>
      <c r="J26" s="54">
        <v>0.11</v>
      </c>
      <c r="K26" s="54">
        <v>319.87</v>
      </c>
      <c r="L26" s="54">
        <v>29.37</v>
      </c>
      <c r="M26" s="54">
        <v>58.53</v>
      </c>
      <c r="N26" s="54">
        <v>29.30</v>
      </c>
      <c r="O26" s="54">
        <v>0</v>
      </c>
      <c r="P26" s="54">
        <v>1.1200000000000001</v>
      </c>
      <c r="Q26" s="54">
        <v>244.14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4.51</v>
      </c>
      <c r="C27" s="54">
        <v>17.36</v>
      </c>
      <c r="D27" s="54">
        <v>14.35</v>
      </c>
      <c r="E27" s="54">
        <v>2.0099999999999998</v>
      </c>
      <c r="F27" s="54">
        <v>0.54</v>
      </c>
      <c r="G27" s="54">
        <v>71.73</v>
      </c>
      <c r="H27" s="54">
        <v>21.27</v>
      </c>
      <c r="I27" s="54">
        <v>1.55</v>
      </c>
      <c r="J27" s="54">
        <v>0.17</v>
      </c>
      <c r="K27" s="54">
        <v>346.01</v>
      </c>
      <c r="L27" s="54">
        <v>27.68</v>
      </c>
      <c r="M27" s="54">
        <v>65.95</v>
      </c>
      <c r="N27" s="54">
        <v>9.10</v>
      </c>
      <c r="O27" s="54">
        <v>0</v>
      </c>
      <c r="P27" s="54">
        <v>0.81</v>
      </c>
      <c r="Q27" s="54">
        <v>223.32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4.97</v>
      </c>
      <c r="C28" s="54">
        <v>16.80</v>
      </c>
      <c r="D28" s="54">
        <v>14.39</v>
      </c>
      <c r="E28" s="54">
        <v>1.70</v>
      </c>
      <c r="F28" s="54">
        <v>0.73</v>
      </c>
      <c r="G28" s="54">
        <v>70.599999999999994</v>
      </c>
      <c r="H28" s="54">
        <v>19.77</v>
      </c>
      <c r="I28" s="54">
        <v>1.5</v>
      </c>
      <c r="J28" s="54">
        <v>0.17</v>
      </c>
      <c r="K28" s="54">
        <v>217.17</v>
      </c>
      <c r="L28" s="54">
        <v>26.83</v>
      </c>
      <c r="M28" s="54">
        <v>68.510000000000005</v>
      </c>
      <c r="N28" s="54">
        <v>0</v>
      </c>
      <c r="O28" s="54">
        <v>0</v>
      </c>
      <c r="P28" s="54">
        <v>0.87</v>
      </c>
      <c r="Q28" s="54">
        <v>232.86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4.9800000000000004</v>
      </c>
      <c r="C29" s="54">
        <v>16.14</v>
      </c>
      <c r="D29" s="54">
        <v>14.19</v>
      </c>
      <c r="E29" s="54">
        <v>1.47</v>
      </c>
      <c r="F29" s="54">
        <v>0.63</v>
      </c>
      <c r="G29" s="54">
        <v>72.62</v>
      </c>
      <c r="H29" s="54">
        <v>19.14</v>
      </c>
      <c r="I29" s="54">
        <v>1.53</v>
      </c>
      <c r="J29" s="54">
        <v>0.24</v>
      </c>
      <c r="K29" s="54">
        <v>196.22</v>
      </c>
      <c r="L29" s="54">
        <v>25.94</v>
      </c>
      <c r="M29" s="54">
        <v>76.41</v>
      </c>
      <c r="N29" s="54">
        <v>8.8000000000000007</v>
      </c>
      <c r="O29" s="54">
        <v>0</v>
      </c>
      <c r="P29" s="54">
        <v>0.87</v>
      </c>
      <c r="Q29" s="54">
        <v>235.83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5.17</v>
      </c>
      <c r="C30" s="54">
        <v>14.28</v>
      </c>
      <c r="D30" s="54">
        <v>12.99</v>
      </c>
      <c r="E30" s="54">
        <v>1.57</v>
      </c>
      <c r="F30" s="54">
        <v>0.62</v>
      </c>
      <c r="G30" s="54">
        <v>71.239999999999995</v>
      </c>
      <c r="H30" s="54">
        <v>21.41</v>
      </c>
      <c r="I30" s="54">
        <v>1.52</v>
      </c>
      <c r="J30" s="54">
        <v>0.23</v>
      </c>
      <c r="K30" s="54">
        <v>226.40</v>
      </c>
      <c r="L30" s="54">
        <v>25.34</v>
      </c>
      <c r="M30" s="54">
        <v>81.27</v>
      </c>
      <c r="N30" s="54">
        <v>8.8000000000000007</v>
      </c>
      <c r="O30" s="54">
        <v>0</v>
      </c>
      <c r="P30" s="54">
        <v>0.75</v>
      </c>
      <c r="Q30" s="54">
        <v>201.08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5.32</v>
      </c>
      <c r="C31" s="54">
        <v>13</v>
      </c>
      <c r="D31" s="54">
        <v>12.73</v>
      </c>
      <c r="E31" s="54">
        <v>1.18</v>
      </c>
      <c r="F31" s="54">
        <v>0.69</v>
      </c>
      <c r="G31" s="54">
        <v>68.81</v>
      </c>
      <c r="H31" s="54">
        <v>23.5</v>
      </c>
      <c r="I31" s="54">
        <v>1.52</v>
      </c>
      <c r="J31" s="54">
        <v>0.31</v>
      </c>
      <c r="K31" s="54">
        <v>205.69</v>
      </c>
      <c r="L31" s="54">
        <v>24.71</v>
      </c>
      <c r="M31" s="54">
        <v>85.08</v>
      </c>
      <c r="N31" s="54">
        <v>8.6999999999999993</v>
      </c>
      <c r="O31" s="54">
        <v>0</v>
      </c>
      <c r="P31" s="54">
        <v>0.77</v>
      </c>
      <c r="Q31" s="54">
        <v>222.05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4.68</v>
      </c>
      <c r="C32" s="54">
        <v>12</v>
      </c>
      <c r="D32" s="54">
        <v>11.67</v>
      </c>
      <c r="E32" s="54">
        <v>1.5</v>
      </c>
      <c r="F32" s="54">
        <v>0.75</v>
      </c>
      <c r="G32" s="54">
        <v>61.51</v>
      </c>
      <c r="H32" s="54">
        <v>25.69</v>
      </c>
      <c r="I32" s="54">
        <v>1.63</v>
      </c>
      <c r="J32" s="54">
        <v>0.19</v>
      </c>
      <c r="K32" s="54">
        <v>203.87</v>
      </c>
      <c r="L32" s="54">
        <v>24.21</v>
      </c>
      <c r="M32" s="54">
        <v>88.47</v>
      </c>
      <c r="N32" s="54">
        <v>8.8000000000000007</v>
      </c>
      <c r="O32" s="54">
        <v>0</v>
      </c>
      <c r="P32" s="54">
        <v>0.70</v>
      </c>
      <c r="Q32" s="54">
        <v>230.19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3.1800000000000002</v>
      </c>
      <c r="C34" s="28">
        <f t="shared" si="0"/>
        <v>11.08</v>
      </c>
      <c r="D34" s="28">
        <f t="shared" si="0"/>
        <v>11.67</v>
      </c>
      <c r="E34" s="28">
        <f t="shared" si="0"/>
        <v>0.66000000000000003</v>
      </c>
      <c r="F34" s="28">
        <f t="shared" si="0"/>
        <v>0.40999999999999998</v>
      </c>
      <c r="G34" s="28">
        <f t="shared" si="0"/>
        <v>47.640000000000001</v>
      </c>
      <c r="H34" s="28">
        <f t="shared" si="0"/>
        <v>17.129999999999999</v>
      </c>
      <c r="I34" s="28">
        <f t="shared" si="0"/>
        <v>1.49</v>
      </c>
      <c r="J34" s="28">
        <f t="shared" si="0"/>
        <v>0.059999999999999998</v>
      </c>
      <c r="K34" s="28">
        <f t="shared" si="0"/>
        <v>196.22</v>
      </c>
      <c r="L34" s="28">
        <f t="shared" si="0"/>
        <v>21.48</v>
      </c>
      <c r="M34" s="28">
        <f t="shared" si="0"/>
        <v>36.060000000000002</v>
      </c>
      <c r="N34" s="28">
        <f t="shared" si="0"/>
        <v>0</v>
      </c>
      <c r="O34" s="28">
        <f t="shared" si="0"/>
        <v>0</v>
      </c>
      <c r="P34" s="28">
        <f t="shared" si="0"/>
        <v>0.53000000000000003</v>
      </c>
      <c r="Q34" s="28">
        <f t="shared" si="0"/>
        <v>201.08000000000001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11.92</v>
      </c>
      <c r="C35" s="29">
        <f t="shared" si="1"/>
        <v>20.890000000000001</v>
      </c>
      <c r="D35" s="29">
        <f t="shared" si="1"/>
        <v>18.32</v>
      </c>
      <c r="E35" s="29">
        <f t="shared" si="1"/>
        <v>2.0800000000000001</v>
      </c>
      <c r="F35" s="29">
        <f t="shared" si="1"/>
        <v>1.6599999999999999</v>
      </c>
      <c r="G35" s="29">
        <f t="shared" si="1"/>
        <v>77.120000000000005</v>
      </c>
      <c r="H35" s="29">
        <f t="shared" si="1"/>
        <v>26.309999999999999</v>
      </c>
      <c r="I35" s="29">
        <f t="shared" si="1"/>
        <v>1.6299999999999999</v>
      </c>
      <c r="J35" s="29">
        <f t="shared" si="1"/>
        <v>1.5800000000000001</v>
      </c>
      <c r="K35" s="29">
        <f t="shared" si="1"/>
        <v>358.04000000000002</v>
      </c>
      <c r="L35" s="29">
        <f t="shared" si="1"/>
        <v>36.590000000000003</v>
      </c>
      <c r="M35" s="29">
        <f t="shared" si="1"/>
        <v>98.790000000000006</v>
      </c>
      <c r="N35" s="29">
        <f t="shared" si="1"/>
        <v>858.10000000000002</v>
      </c>
      <c r="O35" s="29">
        <f t="shared" si="1"/>
        <v>0</v>
      </c>
      <c r="P35" s="29">
        <f t="shared" si="1"/>
        <v>1.1200000000000001</v>
      </c>
      <c r="Q35" s="29">
        <f t="shared" si="1"/>
        <v>305.93000000000001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6.0841666666666674</v>
      </c>
      <c r="C36" s="28">
        <f t="shared" si="2"/>
        <v>15.871250000000002</v>
      </c>
      <c r="D36" s="28">
        <f t="shared" si="2"/>
        <v>14.672500000000001</v>
      </c>
      <c r="E36" s="28">
        <f t="shared" si="2"/>
        <v>1.3262500000000002</v>
      </c>
      <c r="F36" s="28">
        <f t="shared" si="2"/>
        <v>0.83000000000000007</v>
      </c>
      <c r="G36" s="28">
        <f t="shared" si="2"/>
        <v>65.139583333333334</v>
      </c>
      <c r="H36" s="28">
        <f t="shared" si="2"/>
        <v>21.728750000000002</v>
      </c>
      <c r="I36" s="28">
        <f t="shared" si="2"/>
        <v>1.5525000000000002</v>
      </c>
      <c r="J36" s="28">
        <f t="shared" si="2"/>
        <v>0.49958333333333332</v>
      </c>
      <c r="K36" s="28">
        <f t="shared" si="2"/>
        <v>298.96791666666661</v>
      </c>
      <c r="L36" s="28">
        <f t="shared" si="2"/>
        <v>28.273750000000007</v>
      </c>
      <c r="M36" s="28">
        <f t="shared" si="2"/>
        <v>68.888749999999987</v>
      </c>
      <c r="N36" s="28">
        <f t="shared" si="2"/>
        <v>229.73750000000007</v>
      </c>
      <c r="O36" s="28">
        <f t="shared" si="2"/>
        <v>0</v>
      </c>
      <c r="P36" s="28">
        <f t="shared" si="2"/>
        <v>0.71125000000000005</v>
      </c>
      <c r="Q36" s="28">
        <f t="shared" si="2"/>
        <v>252.56291666666667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2.5103990963965077</v>
      </c>
      <c r="C37" s="28">
        <f t="shared" si="3" ref="C37:Q37">STDEV(C9:C32)</f>
        <v>3.1283407360563342</v>
      </c>
      <c r="D37" s="28">
        <f t="shared" si="3"/>
        <v>1.8718213636432421</v>
      </c>
      <c r="E37" s="28">
        <f t="shared" si="3"/>
        <v>0.40202544262986495</v>
      </c>
      <c r="F37" s="28">
        <f t="shared" si="3"/>
        <v>0.35997584460023402</v>
      </c>
      <c r="G37" s="28">
        <f t="shared" si="3"/>
        <v>9.5764187184465968</v>
      </c>
      <c r="H37" s="28">
        <f t="shared" si="3"/>
        <v>2.0696740186508005</v>
      </c>
      <c r="I37" s="28">
        <f t="shared" si="3"/>
        <v>0.035783163395774503</v>
      </c>
      <c r="J37" s="28">
        <f t="shared" si="3"/>
        <v>0.51120896065041288</v>
      </c>
      <c r="K37" s="28">
        <f t="shared" si="3"/>
        <v>58.670076587434345</v>
      </c>
      <c r="L37" s="28">
        <f t="shared" si="3"/>
        <v>5.291195979294673</v>
      </c>
      <c r="M37" s="28">
        <f t="shared" si="3"/>
        <v>22.754922699609857</v>
      </c>
      <c r="N37" s="28">
        <f t="shared" si="3"/>
        <v>318.90473132746627</v>
      </c>
      <c r="O37" s="28">
        <f t="shared" si="3"/>
        <v>0</v>
      </c>
      <c r="P37" s="28">
        <f t="shared" si="3"/>
        <v>0.13012744589022357</v>
      </c>
      <c r="Q37" s="28">
        <f t="shared" si="3"/>
        <v>26.331622826715542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0c59fa-e02e-421d-94e1-8664d47d48ac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4.3600000000000003</v>
      </c>
      <c r="C9" s="54">
        <v>12.67</v>
      </c>
      <c r="D9" s="54">
        <v>11.71</v>
      </c>
      <c r="E9" s="54">
        <v>1.1399999999999999</v>
      </c>
      <c r="F9" s="54">
        <v>0.81</v>
      </c>
      <c r="G9" s="54">
        <v>60.18</v>
      </c>
      <c r="H9" s="54">
        <v>26.78</v>
      </c>
      <c r="I9" s="54">
        <v>1.54</v>
      </c>
      <c r="J9" s="54">
        <v>0.24</v>
      </c>
      <c r="K9" s="54">
        <v>234.83</v>
      </c>
      <c r="L9" s="54">
        <v>23.72</v>
      </c>
      <c r="M9" s="54">
        <v>91.44</v>
      </c>
      <c r="N9" s="54">
        <v>8.8000000000000007</v>
      </c>
      <c r="O9" s="54">
        <v>0</v>
      </c>
      <c r="P9" s="54">
        <v>0.60</v>
      </c>
      <c r="Q9" s="54">
        <v>190.02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4.41</v>
      </c>
      <c r="C10" s="54">
        <v>10.86</v>
      </c>
      <c r="D10" s="54">
        <v>10.77</v>
      </c>
      <c r="E10" s="54">
        <v>1.54</v>
      </c>
      <c r="F10" s="54">
        <v>0.84</v>
      </c>
      <c r="G10" s="54">
        <v>58.85</v>
      </c>
      <c r="H10" s="54">
        <v>17.41</v>
      </c>
      <c r="I10" s="54">
        <v>1.59</v>
      </c>
      <c r="J10" s="54">
        <v>0.14000000000000001</v>
      </c>
      <c r="K10" s="54">
        <v>212.76</v>
      </c>
      <c r="L10" s="54">
        <v>23.16</v>
      </c>
      <c r="M10" s="54">
        <v>93.75</v>
      </c>
      <c r="N10" s="54">
        <v>8.8000000000000007</v>
      </c>
      <c r="O10" s="54">
        <v>0</v>
      </c>
      <c r="P10" s="54">
        <v>0.63</v>
      </c>
      <c r="Q10" s="54">
        <v>218.11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4.37</v>
      </c>
      <c r="C11" s="54">
        <v>10.55</v>
      </c>
      <c r="D11" s="54">
        <v>10.62</v>
      </c>
      <c r="E11" s="54">
        <v>1.63</v>
      </c>
      <c r="F11" s="54">
        <v>0.62</v>
      </c>
      <c r="G11" s="54">
        <v>51.80</v>
      </c>
      <c r="H11" s="54">
        <v>11.66</v>
      </c>
      <c r="I11" s="54">
        <v>1.56</v>
      </c>
      <c r="J11" s="54">
        <v>0.11</v>
      </c>
      <c r="K11" s="54">
        <v>218.96</v>
      </c>
      <c r="L11" s="54">
        <v>22.69</v>
      </c>
      <c r="M11" s="54">
        <v>95.81</v>
      </c>
      <c r="N11" s="54">
        <v>8.8000000000000007</v>
      </c>
      <c r="O11" s="54">
        <v>0</v>
      </c>
      <c r="P11" s="54">
        <v>0.60</v>
      </c>
      <c r="Q11" s="54">
        <v>226.21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5.05</v>
      </c>
      <c r="C12" s="54">
        <v>11.20</v>
      </c>
      <c r="D12" s="54">
        <v>11.43</v>
      </c>
      <c r="E12" s="54">
        <v>1.49</v>
      </c>
      <c r="F12" s="54">
        <v>0.65</v>
      </c>
      <c r="G12" s="54">
        <v>50.72</v>
      </c>
      <c r="H12" s="54">
        <v>21.91</v>
      </c>
      <c r="I12" s="54">
        <v>1.5</v>
      </c>
      <c r="J12" s="54">
        <v>0.10</v>
      </c>
      <c r="K12" s="54">
        <v>233.77</v>
      </c>
      <c r="L12" s="54">
        <v>22.35</v>
      </c>
      <c r="M12" s="54">
        <v>98.78</v>
      </c>
      <c r="N12" s="54">
        <v>8.6999999999999993</v>
      </c>
      <c r="O12" s="54">
        <v>0</v>
      </c>
      <c r="P12" s="54">
        <v>0.56000000000000005</v>
      </c>
      <c r="Q12" s="54">
        <v>181.04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5.09</v>
      </c>
      <c r="C13" s="54">
        <v>10.51</v>
      </c>
      <c r="D13" s="54">
        <v>11.17</v>
      </c>
      <c r="E13" s="54">
        <v>1.48</v>
      </c>
      <c r="F13" s="54">
        <v>0.38</v>
      </c>
      <c r="G13" s="54">
        <v>49.34</v>
      </c>
      <c r="H13" s="54">
        <v>31.22</v>
      </c>
      <c r="I13" s="54">
        <v>1.59</v>
      </c>
      <c r="J13" s="54">
        <v>0.14000000000000001</v>
      </c>
      <c r="K13" s="54">
        <v>226.49</v>
      </c>
      <c r="L13" s="54">
        <v>21.93</v>
      </c>
      <c r="M13" s="54">
        <v>98.82</v>
      </c>
      <c r="N13" s="54">
        <v>8.60</v>
      </c>
      <c r="O13" s="54">
        <v>0</v>
      </c>
      <c r="P13" s="54">
        <v>0.55000000000000004</v>
      </c>
      <c r="Q13" s="54">
        <v>217.57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5.90</v>
      </c>
      <c r="C14" s="54">
        <v>10.01</v>
      </c>
      <c r="D14" s="54">
        <v>11.55</v>
      </c>
      <c r="E14" s="54">
        <v>1.27</v>
      </c>
      <c r="F14" s="54">
        <v>0.45</v>
      </c>
      <c r="G14" s="54">
        <v>49.37</v>
      </c>
      <c r="H14" s="54">
        <v>32.770000000000003</v>
      </c>
      <c r="I14" s="54">
        <v>1.56</v>
      </c>
      <c r="J14" s="54">
        <v>0.16</v>
      </c>
      <c r="K14" s="54">
        <v>206.58</v>
      </c>
      <c r="L14" s="54">
        <v>21.81</v>
      </c>
      <c r="M14" s="54">
        <v>98.83</v>
      </c>
      <c r="N14" s="54">
        <v>14.80</v>
      </c>
      <c r="O14" s="54">
        <v>0</v>
      </c>
      <c r="P14" s="54">
        <v>0.53</v>
      </c>
      <c r="Q14" s="54">
        <v>220.37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7.42</v>
      </c>
      <c r="C15" s="54">
        <v>11.86</v>
      </c>
      <c r="D15" s="54">
        <v>13.79</v>
      </c>
      <c r="E15" s="54">
        <v>1.72</v>
      </c>
      <c r="F15" s="54">
        <v>0.59</v>
      </c>
      <c r="G15" s="54">
        <v>50.70</v>
      </c>
      <c r="H15" s="54">
        <v>28.85</v>
      </c>
      <c r="I15" s="54">
        <v>1.58</v>
      </c>
      <c r="J15" s="54">
        <v>0.27</v>
      </c>
      <c r="K15" s="54">
        <v>202.62</v>
      </c>
      <c r="L15" s="54">
        <v>23.48</v>
      </c>
      <c r="M15" s="54">
        <v>98.83</v>
      </c>
      <c r="N15" s="54">
        <v>100.20</v>
      </c>
      <c r="O15" s="54">
        <v>0</v>
      </c>
      <c r="P15" s="54">
        <v>0.51</v>
      </c>
      <c r="Q15" s="54">
        <v>180.58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7.54</v>
      </c>
      <c r="C16" s="54">
        <v>13.98</v>
      </c>
      <c r="D16" s="54">
        <v>15.05</v>
      </c>
      <c r="E16" s="54">
        <v>1.61</v>
      </c>
      <c r="F16" s="54">
        <v>0.62</v>
      </c>
      <c r="G16" s="54">
        <v>53.73</v>
      </c>
      <c r="H16" s="54">
        <v>27.32</v>
      </c>
      <c r="I16" s="54">
        <v>1.53</v>
      </c>
      <c r="J16" s="54">
        <v>0.25</v>
      </c>
      <c r="K16" s="54">
        <v>359.40</v>
      </c>
      <c r="L16" s="54">
        <v>26.96</v>
      </c>
      <c r="M16" s="54">
        <v>87.90</v>
      </c>
      <c r="N16" s="54">
        <v>369.60</v>
      </c>
      <c r="O16" s="54">
        <v>0</v>
      </c>
      <c r="P16" s="54">
        <v>0.61</v>
      </c>
      <c r="Q16" s="54">
        <v>212.09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7.26</v>
      </c>
      <c r="C17" s="54">
        <v>13.85</v>
      </c>
      <c r="D17" s="54">
        <v>14.73</v>
      </c>
      <c r="E17" s="54">
        <v>0.53</v>
      </c>
      <c r="F17" s="54">
        <v>0.98</v>
      </c>
      <c r="G17" s="54">
        <v>60.68</v>
      </c>
      <c r="H17" s="54">
        <v>29.57</v>
      </c>
      <c r="I17" s="54">
        <v>1.58</v>
      </c>
      <c r="J17" s="54">
        <v>0.33</v>
      </c>
      <c r="K17" s="54">
        <v>336.89</v>
      </c>
      <c r="L17" s="54">
        <v>31.29</v>
      </c>
      <c r="M17" s="54">
        <v>72.78</v>
      </c>
      <c r="N17" s="54">
        <v>569.90</v>
      </c>
      <c r="O17" s="54">
        <v>0</v>
      </c>
      <c r="P17" s="54">
        <v>0.71</v>
      </c>
      <c r="Q17" s="54">
        <v>211.22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6.23</v>
      </c>
      <c r="C18" s="54">
        <v>15.71</v>
      </c>
      <c r="D18" s="54">
        <v>14.62</v>
      </c>
      <c r="E18" s="54">
        <v>0.37</v>
      </c>
      <c r="F18" s="54">
        <v>1.01</v>
      </c>
      <c r="G18" s="54">
        <v>70.87</v>
      </c>
      <c r="H18" s="54">
        <v>32.159999999999997</v>
      </c>
      <c r="I18" s="54">
        <v>1.54</v>
      </c>
      <c r="J18" s="54">
        <v>1.03</v>
      </c>
      <c r="K18" s="54">
        <v>340.95</v>
      </c>
      <c r="L18" s="54">
        <v>36.020000000000003</v>
      </c>
      <c r="M18" s="54">
        <v>45.60</v>
      </c>
      <c r="N18" s="54">
        <v>723.10</v>
      </c>
      <c r="O18" s="54">
        <v>0</v>
      </c>
      <c r="P18" s="54">
        <v>0.75</v>
      </c>
      <c r="Q18" s="54">
        <v>171.23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5.07</v>
      </c>
      <c r="C19" s="54">
        <v>18.989999999999998</v>
      </c>
      <c r="D19" s="54">
        <v>15.36</v>
      </c>
      <c r="E19" s="54">
        <v>0.67</v>
      </c>
      <c r="F19" s="54">
        <v>1.30</v>
      </c>
      <c r="G19" s="54">
        <v>76.47</v>
      </c>
      <c r="H19" s="54">
        <v>30.61</v>
      </c>
      <c r="I19" s="54">
        <v>1.56</v>
      </c>
      <c r="J19" s="54">
        <v>1.02</v>
      </c>
      <c r="K19" s="54">
        <v>342.25</v>
      </c>
      <c r="L19" s="54">
        <v>36.94</v>
      </c>
      <c r="M19" s="54">
        <v>39.03</v>
      </c>
      <c r="N19" s="54">
        <v>809.20</v>
      </c>
      <c r="O19" s="54">
        <v>0</v>
      </c>
      <c r="P19" s="54">
        <v>0.79</v>
      </c>
      <c r="Q19" s="54">
        <v>200.56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3.39</v>
      </c>
      <c r="C20" s="54">
        <v>26.77</v>
      </c>
      <c r="D20" s="54">
        <v>18.28</v>
      </c>
      <c r="E20" s="5" t="s">
        <v>14</v>
      </c>
      <c r="F20" s="54">
        <v>9.36</v>
      </c>
      <c r="G20" s="54">
        <v>75.92</v>
      </c>
      <c r="H20" s="54">
        <v>29.56</v>
      </c>
      <c r="I20" s="54">
        <v>1.52</v>
      </c>
      <c r="J20" s="54">
        <v>1.25</v>
      </c>
      <c r="K20" s="54">
        <v>339.63</v>
      </c>
      <c r="L20" s="54">
        <v>36.42</v>
      </c>
      <c r="M20" s="54">
        <v>36.07</v>
      </c>
      <c r="N20" s="54">
        <v>839.10</v>
      </c>
      <c r="O20" s="54">
        <v>0</v>
      </c>
      <c r="P20" s="54">
        <v>0.80</v>
      </c>
      <c r="Q20" s="54">
        <v>198.09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2.97</v>
      </c>
      <c r="C21" s="54">
        <v>24.27</v>
      </c>
      <c r="D21" s="54">
        <v>16.88</v>
      </c>
      <c r="E21" s="54">
        <v>2.39</v>
      </c>
      <c r="F21" s="54">
        <v>3.11</v>
      </c>
      <c r="G21" s="54">
        <v>77.010000000000005</v>
      </c>
      <c r="H21" s="54">
        <v>18.920000000000002</v>
      </c>
      <c r="I21" s="54">
        <v>1.58</v>
      </c>
      <c r="J21" s="54">
        <v>1.1100000000000001</v>
      </c>
      <c r="K21" s="54">
        <v>337.16</v>
      </c>
      <c r="L21" s="54">
        <v>36.40</v>
      </c>
      <c r="M21" s="54">
        <v>35.33</v>
      </c>
      <c r="N21" s="54">
        <v>815.70</v>
      </c>
      <c r="O21" s="54">
        <v>0</v>
      </c>
      <c r="P21" s="54">
        <v>0.74</v>
      </c>
      <c r="Q21" s="54">
        <v>184.19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3.38</v>
      </c>
      <c r="C22" s="54">
        <v>33.35</v>
      </c>
      <c r="D22" s="54">
        <v>21.86</v>
      </c>
      <c r="E22" s="54">
        <v>4.3099999999999996</v>
      </c>
      <c r="F22" s="54">
        <v>6.90</v>
      </c>
      <c r="G22" s="54">
        <v>78.14</v>
      </c>
      <c r="H22" s="54">
        <v>21.65</v>
      </c>
      <c r="I22" s="54">
        <v>1.58</v>
      </c>
      <c r="J22" s="54">
        <v>1.23</v>
      </c>
      <c r="K22" s="54">
        <v>337.97</v>
      </c>
      <c r="L22" s="54">
        <v>36.14</v>
      </c>
      <c r="M22" s="54">
        <v>38.26</v>
      </c>
      <c r="N22" s="54">
        <v>718.90</v>
      </c>
      <c r="O22" s="54">
        <v>0</v>
      </c>
      <c r="P22" s="54">
        <v>0.79</v>
      </c>
      <c r="Q22" s="54">
        <v>195.61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3.14</v>
      </c>
      <c r="C23" s="54">
        <v>31.09</v>
      </c>
      <c r="D23" s="54">
        <v>20.80</v>
      </c>
      <c r="E23" s="54">
        <v>2.10</v>
      </c>
      <c r="F23" s="54">
        <v>7.60</v>
      </c>
      <c r="G23" s="54">
        <v>80.47</v>
      </c>
      <c r="H23" s="54">
        <v>28.06</v>
      </c>
      <c r="I23" s="54">
        <v>1.59</v>
      </c>
      <c r="J23" s="54">
        <v>0.97</v>
      </c>
      <c r="K23" s="54">
        <v>344.94</v>
      </c>
      <c r="L23" s="54">
        <v>33.19</v>
      </c>
      <c r="M23" s="54">
        <v>44.21</v>
      </c>
      <c r="N23" s="54">
        <v>241.30</v>
      </c>
      <c r="O23" s="54">
        <v>0</v>
      </c>
      <c r="P23" s="54">
        <v>0.88</v>
      </c>
      <c r="Q23" s="5" t="s">
        <v>14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3.91</v>
      </c>
      <c r="C24" s="54">
        <v>23.26</v>
      </c>
      <c r="D24" s="54">
        <v>16.95</v>
      </c>
      <c r="E24" s="54">
        <v>2.5299999999999998</v>
      </c>
      <c r="F24" s="54">
        <v>4.4800000000000004</v>
      </c>
      <c r="G24" s="54">
        <v>82.16</v>
      </c>
      <c r="H24" s="54">
        <v>29.93</v>
      </c>
      <c r="I24" s="54">
        <v>1.52</v>
      </c>
      <c r="J24" s="54">
        <v>0.60</v>
      </c>
      <c r="K24" s="54">
        <v>346.89</v>
      </c>
      <c r="L24" s="54">
        <v>30.95</v>
      </c>
      <c r="M24" s="54">
        <v>45.52</v>
      </c>
      <c r="N24" s="54">
        <v>118</v>
      </c>
      <c r="O24" s="54">
        <v>0</v>
      </c>
      <c r="P24" s="54">
        <v>0.86</v>
      </c>
      <c r="Q24" s="54">
        <v>20.04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2.56</v>
      </c>
      <c r="C25" s="54">
        <v>31.5</v>
      </c>
      <c r="D25" s="54">
        <v>20.73</v>
      </c>
      <c r="E25" s="54">
        <v>1.93</v>
      </c>
      <c r="F25" s="54">
        <v>5.5</v>
      </c>
      <c r="G25" s="55" t="s">
        <v>14</v>
      </c>
      <c r="H25" s="55" t="s">
        <v>14</v>
      </c>
      <c r="I25" s="54">
        <v>1.53</v>
      </c>
      <c r="J25" s="54">
        <v>0.41</v>
      </c>
      <c r="K25" s="54">
        <v>320.83999999999997</v>
      </c>
      <c r="L25" s="54">
        <v>30.09</v>
      </c>
      <c r="M25" s="54">
        <v>48.58</v>
      </c>
      <c r="N25" s="54">
        <v>67.099999999999994</v>
      </c>
      <c r="O25" s="54">
        <v>0</v>
      </c>
      <c r="P25" s="54">
        <v>0.93</v>
      </c>
      <c r="Q25" s="54">
        <v>16.739999999999998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3.30</v>
      </c>
      <c r="C26" s="54">
        <v>26.44</v>
      </c>
      <c r="D26" s="54">
        <v>18.38</v>
      </c>
      <c r="E26" s="54">
        <v>1.71</v>
      </c>
      <c r="F26" s="54">
        <v>2.2200000000000002</v>
      </c>
      <c r="G26" s="55" t="s">
        <v>14</v>
      </c>
      <c r="H26" s="55" t="s">
        <v>14</v>
      </c>
      <c r="I26" s="54">
        <v>1.59</v>
      </c>
      <c r="J26" s="54">
        <v>0.36</v>
      </c>
      <c r="K26" s="54">
        <v>211.22</v>
      </c>
      <c r="L26" s="54">
        <v>28.65</v>
      </c>
      <c r="M26" s="54">
        <v>55.35</v>
      </c>
      <c r="N26" s="54">
        <v>27.70</v>
      </c>
      <c r="O26" s="54">
        <v>0</v>
      </c>
      <c r="P26" s="54">
        <v>1.75</v>
      </c>
      <c r="Q26" s="54">
        <v>126.88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5.57</v>
      </c>
      <c r="C27" s="54">
        <v>32.380000000000003</v>
      </c>
      <c r="D27" s="54">
        <v>22.73</v>
      </c>
      <c r="E27" s="54">
        <v>2.2000000000000002</v>
      </c>
      <c r="F27" s="54">
        <v>0.81</v>
      </c>
      <c r="G27" s="55" t="s">
        <v>14</v>
      </c>
      <c r="H27" s="55" t="s">
        <v>14</v>
      </c>
      <c r="I27" s="54">
        <v>1.61</v>
      </c>
      <c r="J27" s="54">
        <v>0.16</v>
      </c>
      <c r="K27" s="54">
        <v>296.63</v>
      </c>
      <c r="L27" s="54">
        <v>26.75</v>
      </c>
      <c r="M27" s="54">
        <v>66.150000000000006</v>
      </c>
      <c r="N27" s="54">
        <v>8.8000000000000007</v>
      </c>
      <c r="O27" s="54">
        <v>0</v>
      </c>
      <c r="P27" s="54">
        <v>1.29</v>
      </c>
      <c r="Q27" s="54">
        <v>161.75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18.30</v>
      </c>
      <c r="C28" s="54">
        <v>23.84</v>
      </c>
      <c r="D28" s="54">
        <v>28.52</v>
      </c>
      <c r="E28" s="54">
        <v>1.85</v>
      </c>
      <c r="F28" s="54">
        <v>0.75</v>
      </c>
      <c r="G28" s="55" t="s">
        <v>14</v>
      </c>
      <c r="H28" s="55" t="s">
        <v>14</v>
      </c>
      <c r="I28" s="54">
        <v>1.55</v>
      </c>
      <c r="J28" s="54">
        <v>0.12</v>
      </c>
      <c r="K28" s="54">
        <v>327.01</v>
      </c>
      <c r="L28" s="54">
        <v>25.92</v>
      </c>
      <c r="M28" s="54">
        <v>71</v>
      </c>
      <c r="N28" s="54">
        <v>8.8000000000000007</v>
      </c>
      <c r="O28" s="54">
        <v>0</v>
      </c>
      <c r="P28" s="54">
        <v>2.2999999999999998</v>
      </c>
      <c r="Q28" s="54">
        <v>169.61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24.66</v>
      </c>
      <c r="C29" s="54">
        <v>21.76</v>
      </c>
      <c r="D29" s="54">
        <v>32.36</v>
      </c>
      <c r="E29" s="54">
        <v>1.56</v>
      </c>
      <c r="F29" s="54">
        <v>0.69</v>
      </c>
      <c r="G29" s="55" t="s">
        <v>14</v>
      </c>
      <c r="H29" s="55" t="s">
        <v>14</v>
      </c>
      <c r="I29" s="54">
        <v>1.48</v>
      </c>
      <c r="J29" s="54">
        <v>0.10</v>
      </c>
      <c r="K29" s="54">
        <v>282.48</v>
      </c>
      <c r="L29" s="54">
        <v>25.51</v>
      </c>
      <c r="M29" s="54">
        <v>68.53</v>
      </c>
      <c r="N29" s="54">
        <v>8.60</v>
      </c>
      <c r="O29" s="54">
        <v>0</v>
      </c>
      <c r="P29" s="54">
        <v>1.64</v>
      </c>
      <c r="Q29" s="54">
        <v>186.08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24.71</v>
      </c>
      <c r="C30" s="54">
        <v>18.350000000000001</v>
      </c>
      <c r="D30" s="54">
        <v>31.23</v>
      </c>
      <c r="E30" s="54">
        <v>1.93</v>
      </c>
      <c r="F30" s="54">
        <v>0.79</v>
      </c>
      <c r="G30" s="55" t="s">
        <v>14</v>
      </c>
      <c r="H30" s="55" t="s">
        <v>14</v>
      </c>
      <c r="I30" s="54">
        <v>1.49</v>
      </c>
      <c r="J30" s="54">
        <v>0.13</v>
      </c>
      <c r="K30" s="54">
        <v>265.07</v>
      </c>
      <c r="L30" s="54">
        <v>25.38</v>
      </c>
      <c r="M30" s="54">
        <v>76.349999999999994</v>
      </c>
      <c r="N30" s="54">
        <v>8.60</v>
      </c>
      <c r="O30" s="54">
        <v>0</v>
      </c>
      <c r="P30" s="54">
        <v>1.18</v>
      </c>
      <c r="Q30" s="54">
        <v>166.68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20.18</v>
      </c>
      <c r="C31" s="54">
        <v>15.60</v>
      </c>
      <c r="D31" s="54">
        <v>26.09</v>
      </c>
      <c r="E31" s="54">
        <v>1.54</v>
      </c>
      <c r="F31" s="54">
        <v>0.73</v>
      </c>
      <c r="G31" s="55" t="s">
        <v>14</v>
      </c>
      <c r="H31" s="55" t="s">
        <v>14</v>
      </c>
      <c r="I31" s="54">
        <v>1.54</v>
      </c>
      <c r="J31" s="54">
        <v>0.09</v>
      </c>
      <c r="K31" s="54">
        <v>272.66000000000003</v>
      </c>
      <c r="L31" s="54">
        <v>24.79</v>
      </c>
      <c r="M31" s="54">
        <v>80.41</v>
      </c>
      <c r="N31" s="54">
        <v>8.60</v>
      </c>
      <c r="O31" s="54">
        <v>0</v>
      </c>
      <c r="P31" s="54">
        <v>1.21</v>
      </c>
      <c r="Q31" s="54">
        <v>184.54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15.22</v>
      </c>
      <c r="C32" s="54">
        <v>20.60</v>
      </c>
      <c r="D32" s="54">
        <v>23.77</v>
      </c>
      <c r="E32" s="54">
        <v>1.89</v>
      </c>
      <c r="F32" s="54">
        <v>0.52</v>
      </c>
      <c r="G32" s="55" t="s">
        <v>14</v>
      </c>
      <c r="H32" s="55" t="s">
        <v>14</v>
      </c>
      <c r="I32" s="54">
        <v>1.54</v>
      </c>
      <c r="J32" s="54">
        <v>0.10</v>
      </c>
      <c r="K32" s="54">
        <v>246.30</v>
      </c>
      <c r="L32" s="54">
        <v>24.49</v>
      </c>
      <c r="M32" s="54">
        <v>87.20</v>
      </c>
      <c r="N32" s="54">
        <v>8.8000000000000007</v>
      </c>
      <c r="O32" s="54">
        <v>0</v>
      </c>
      <c r="P32" s="54">
        <v>0.91</v>
      </c>
      <c r="Q32" s="54">
        <v>172.87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2.5600000000000001</v>
      </c>
      <c r="C34" s="28">
        <f t="shared" si="0"/>
        <v>10.01</v>
      </c>
      <c r="D34" s="28">
        <f t="shared" si="0"/>
        <v>10.619999999999999</v>
      </c>
      <c r="E34" s="28">
        <f t="shared" si="0"/>
        <v>0.37</v>
      </c>
      <c r="F34" s="28">
        <f t="shared" si="0"/>
        <v>0.38</v>
      </c>
      <c r="G34" s="28">
        <f t="shared" si="0"/>
        <v>49.340000000000003</v>
      </c>
      <c r="H34" s="28">
        <f t="shared" si="0"/>
        <v>11.66</v>
      </c>
      <c r="I34" s="28">
        <f t="shared" si="0"/>
        <v>1.48</v>
      </c>
      <c r="J34" s="28">
        <f t="shared" si="0"/>
        <v>0.089999999999999997</v>
      </c>
      <c r="K34" s="28">
        <f t="shared" si="0"/>
        <v>202.62</v>
      </c>
      <c r="L34" s="28">
        <f t="shared" si="0"/>
        <v>21.809999999999999</v>
      </c>
      <c r="M34" s="28">
        <f t="shared" si="0"/>
        <v>35.329999999999998</v>
      </c>
      <c r="N34" s="28">
        <f t="shared" si="0"/>
        <v>8.5999999999999996</v>
      </c>
      <c r="O34" s="28">
        <f t="shared" si="0"/>
        <v>0</v>
      </c>
      <c r="P34" s="28">
        <f t="shared" si="0"/>
        <v>0.51000000000000001</v>
      </c>
      <c r="Q34" s="28">
        <f t="shared" si="0"/>
        <v>16.739999999999998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24.710000000000001</v>
      </c>
      <c r="C35" s="29">
        <f t="shared" si="1"/>
        <v>33.350000000000001</v>
      </c>
      <c r="D35" s="29">
        <f t="shared" si="1"/>
        <v>32.359999999999999</v>
      </c>
      <c r="E35" s="29">
        <f t="shared" si="1"/>
        <v>4.3099999999999996</v>
      </c>
      <c r="F35" s="29">
        <f t="shared" si="1"/>
        <v>9.3599999999999994</v>
      </c>
      <c r="G35" s="29">
        <f t="shared" si="1"/>
        <v>82.159999999999997</v>
      </c>
      <c r="H35" s="29">
        <f t="shared" si="1"/>
        <v>32.770000000000003</v>
      </c>
      <c r="I35" s="29">
        <f t="shared" si="1"/>
        <v>1.6100000000000001</v>
      </c>
      <c r="J35" s="29">
        <f t="shared" si="1"/>
        <v>1.25</v>
      </c>
      <c r="K35" s="29">
        <f t="shared" si="1"/>
        <v>359.39999999999998</v>
      </c>
      <c r="L35" s="29">
        <f t="shared" si="1"/>
        <v>36.939999999999998</v>
      </c>
      <c r="M35" s="29">
        <f t="shared" si="1"/>
        <v>98.829999999999998</v>
      </c>
      <c r="N35" s="29">
        <f t="shared" si="1"/>
        <v>839.10000000000002</v>
      </c>
      <c r="O35" s="29">
        <f t="shared" si="1"/>
        <v>0</v>
      </c>
      <c r="P35" s="29">
        <f t="shared" si="1"/>
        <v>2.2999999999999998</v>
      </c>
      <c r="Q35" s="29">
        <f t="shared" si="1"/>
        <v>226.21000000000001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8.0829166666666676</v>
      </c>
      <c r="C36" s="28">
        <f t="shared" si="2"/>
        <v>19.558333333333334</v>
      </c>
      <c r="D36" s="28">
        <f t="shared" si="2"/>
        <v>18.307500000000001</v>
      </c>
      <c r="E36" s="28">
        <f t="shared" si="2"/>
        <v>1.712608695652174</v>
      </c>
      <c r="F36" s="28">
        <f t="shared" si="2"/>
        <v>2.1545833333333335</v>
      </c>
      <c r="G36" s="28">
        <f t="shared" si="2"/>
        <v>64.150625000000005</v>
      </c>
      <c r="H36" s="28">
        <f t="shared" si="2"/>
        <v>26.14875</v>
      </c>
      <c r="I36" s="28">
        <f t="shared" si="2"/>
        <v>1.552083333333333</v>
      </c>
      <c r="J36" s="28">
        <f t="shared" si="2"/>
        <v>0.43416666666666665</v>
      </c>
      <c r="K36" s="28">
        <f t="shared" si="2"/>
        <v>285.17916666666667</v>
      </c>
      <c r="L36" s="28">
        <f t="shared" si="2"/>
        <v>28.126249999999995</v>
      </c>
      <c r="M36" s="28">
        <f t="shared" si="2"/>
        <v>69.772083333333327</v>
      </c>
      <c r="N36" s="28">
        <f t="shared" si="2"/>
        <v>229.60416666666674</v>
      </c>
      <c r="O36" s="28">
        <f t="shared" si="2"/>
        <v>0</v>
      </c>
      <c r="P36" s="28">
        <f t="shared" si="2"/>
        <v>0.92166666666666686</v>
      </c>
      <c r="Q36" s="28">
        <f t="shared" si="2"/>
        <v>174.43826086956523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6.9242098774904441</v>
      </c>
      <c r="C37" s="28">
        <f t="shared" si="3" ref="C37:Q37">STDEV(C9:C32)</f>
        <v>7.7798902790221369</v>
      </c>
      <c r="D37" s="28">
        <f t="shared" si="3"/>
        <v>6.5167371470298114</v>
      </c>
      <c r="E37" s="28">
        <f t="shared" si="3"/>
        <v>0.78107860965872256</v>
      </c>
      <c r="F37" s="28">
        <f t="shared" si="3"/>
        <v>2.6087444575748564</v>
      </c>
      <c r="G37" s="28">
        <f t="shared" si="3"/>
        <v>12.657852618697454</v>
      </c>
      <c r="H37" s="28">
        <f t="shared" si="3"/>
        <v>6.0701783334593991</v>
      </c>
      <c r="I37" s="28">
        <f t="shared" si="3"/>
        <v>0.034763695038842246</v>
      </c>
      <c r="J37" s="28">
        <f t="shared" si="3"/>
        <v>0.41479085003813959</v>
      </c>
      <c r="K37" s="28">
        <f t="shared" si="3"/>
        <v>56.079082197776103</v>
      </c>
      <c r="L37" s="28">
        <f t="shared" si="3"/>
        <v>5.2871623131966707</v>
      </c>
      <c r="M37" s="28">
        <f t="shared" si="3"/>
        <v>23.455352773554335</v>
      </c>
      <c r="N37" s="28">
        <f t="shared" si="3"/>
        <v>319.55279958250168</v>
      </c>
      <c r="O37" s="28">
        <f t="shared" si="3"/>
        <v>0</v>
      </c>
      <c r="P37" s="28">
        <f t="shared" si="3"/>
        <v>0.44384355515122076</v>
      </c>
      <c r="Q37" s="28">
        <f t="shared" si="3"/>
        <v>54.314535778536673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COUNT(G9:G32)+8</f>
        <v>24</v>
      </c>
      <c r="H38" s="32">
        <f>COUNT(H9:H32)+8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b89c33-1bfb-4bd1-a974-f371a858a5f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13.38</v>
      </c>
      <c r="C9" s="54">
        <v>17.16</v>
      </c>
      <c r="D9" s="54">
        <v>21.49</v>
      </c>
      <c r="E9" s="54">
        <v>2.56</v>
      </c>
      <c r="F9" s="54">
        <v>0.45</v>
      </c>
      <c r="G9" s="55" t="s">
        <v>14</v>
      </c>
      <c r="H9" s="55" t="s">
        <v>14</v>
      </c>
      <c r="I9" s="54">
        <v>1.56</v>
      </c>
      <c r="J9" s="54">
        <v>0.10</v>
      </c>
      <c r="K9" s="54">
        <v>232.62</v>
      </c>
      <c r="L9" s="54">
        <v>23.78</v>
      </c>
      <c r="M9" s="54">
        <v>91.47</v>
      </c>
      <c r="N9" s="54">
        <v>8.6999999999999993</v>
      </c>
      <c r="O9" s="54">
        <v>0</v>
      </c>
      <c r="P9" s="54">
        <v>0.91</v>
      </c>
      <c r="Q9" s="54">
        <v>163.49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11.95</v>
      </c>
      <c r="C10" s="54">
        <v>12.10</v>
      </c>
      <c r="D10" s="54">
        <v>17.55</v>
      </c>
      <c r="E10" s="54">
        <v>2.21</v>
      </c>
      <c r="F10" s="54">
        <v>0.70</v>
      </c>
      <c r="G10" s="55" t="s">
        <v>14</v>
      </c>
      <c r="H10" s="55" t="s">
        <v>14</v>
      </c>
      <c r="I10" s="54">
        <v>1.53</v>
      </c>
      <c r="J10" s="54">
        <v>0.09</v>
      </c>
      <c r="K10" s="54">
        <v>267.36</v>
      </c>
      <c r="L10" s="54">
        <v>23.20</v>
      </c>
      <c r="M10" s="54">
        <v>95.37</v>
      </c>
      <c r="N10" s="54">
        <v>8.6999999999999993</v>
      </c>
      <c r="O10" s="54">
        <v>0</v>
      </c>
      <c r="P10" s="54">
        <v>0.82</v>
      </c>
      <c r="Q10" s="54">
        <v>182.38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10.80</v>
      </c>
      <c r="C11" s="54">
        <v>12.02</v>
      </c>
      <c r="D11" s="54">
        <v>16.20</v>
      </c>
      <c r="E11" s="54">
        <v>2.0299999999999998</v>
      </c>
      <c r="F11" s="54">
        <v>0.56999999999999995</v>
      </c>
      <c r="G11" s="55" t="s">
        <v>14</v>
      </c>
      <c r="H11" s="55" t="s">
        <v>14</v>
      </c>
      <c r="I11" s="54">
        <v>1.53</v>
      </c>
      <c r="J11" s="54">
        <v>0.18</v>
      </c>
      <c r="K11" s="54">
        <v>237.64</v>
      </c>
      <c r="L11" s="54">
        <v>23.03</v>
      </c>
      <c r="M11" s="54">
        <v>97.01</v>
      </c>
      <c r="N11" s="54">
        <v>8.5</v>
      </c>
      <c r="O11" s="54">
        <v>0</v>
      </c>
      <c r="P11" s="54">
        <v>0.66</v>
      </c>
      <c r="Q11" s="54">
        <v>167.41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9.82</v>
      </c>
      <c r="C12" s="54">
        <v>11.81</v>
      </c>
      <c r="D12" s="54">
        <v>15.69</v>
      </c>
      <c r="E12" s="54">
        <v>1.99</v>
      </c>
      <c r="F12" s="54">
        <v>0.42</v>
      </c>
      <c r="G12" s="55" t="s">
        <v>14</v>
      </c>
      <c r="H12" s="55" t="s">
        <v>14</v>
      </c>
      <c r="I12" s="54">
        <v>1.54</v>
      </c>
      <c r="J12" s="54">
        <v>0.14000000000000001</v>
      </c>
      <c r="K12" s="54">
        <v>338.40</v>
      </c>
      <c r="L12" s="54">
        <v>22.49</v>
      </c>
      <c r="M12" s="54">
        <v>98.78</v>
      </c>
      <c r="N12" s="54">
        <v>8.5</v>
      </c>
      <c r="O12" s="54">
        <v>0</v>
      </c>
      <c r="P12" s="54">
        <v>0.67</v>
      </c>
      <c r="Q12" s="54">
        <v>156.87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8.27</v>
      </c>
      <c r="C13" s="54">
        <v>9.51</v>
      </c>
      <c r="D13" s="54">
        <v>13.07</v>
      </c>
      <c r="E13" s="54">
        <v>1.30</v>
      </c>
      <c r="F13" s="54">
        <v>0.62</v>
      </c>
      <c r="G13" s="55" t="s">
        <v>14</v>
      </c>
      <c r="H13" s="55" t="s">
        <v>14</v>
      </c>
      <c r="I13" s="54">
        <v>1.51</v>
      </c>
      <c r="J13" s="54">
        <v>0.11</v>
      </c>
      <c r="K13" s="54">
        <v>319.72000000000003</v>
      </c>
      <c r="L13" s="54">
        <v>22.10</v>
      </c>
      <c r="M13" s="54">
        <v>98.86</v>
      </c>
      <c r="N13" s="54">
        <v>8.60</v>
      </c>
      <c r="O13" s="54">
        <v>0</v>
      </c>
      <c r="P13" s="54">
        <v>0.70</v>
      </c>
      <c r="Q13" s="54">
        <v>179.83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9.93</v>
      </c>
      <c r="C14" s="54">
        <v>11.35</v>
      </c>
      <c r="D14" s="54">
        <v>15.52</v>
      </c>
      <c r="E14" s="54">
        <v>1.29</v>
      </c>
      <c r="F14" s="54">
        <v>0.40</v>
      </c>
      <c r="G14" s="55" t="s">
        <v>14</v>
      </c>
      <c r="H14" s="55" t="s">
        <v>14</v>
      </c>
      <c r="I14" s="54">
        <v>1.54</v>
      </c>
      <c r="J14" s="54">
        <v>0.21</v>
      </c>
      <c r="K14" s="54">
        <v>283.31</v>
      </c>
      <c r="L14" s="54">
        <v>21.81</v>
      </c>
      <c r="M14" s="54">
        <v>98.88</v>
      </c>
      <c r="N14" s="54">
        <v>14.40</v>
      </c>
      <c r="O14" s="54">
        <v>0</v>
      </c>
      <c r="P14" s="54">
        <v>0.72</v>
      </c>
      <c r="Q14" s="54">
        <v>169.56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10.30</v>
      </c>
      <c r="C15" s="54">
        <v>11.34</v>
      </c>
      <c r="D15" s="54">
        <v>15.77</v>
      </c>
      <c r="E15" s="54">
        <v>1.75</v>
      </c>
      <c r="F15" s="54">
        <v>0.56000000000000005</v>
      </c>
      <c r="G15" s="55" t="s">
        <v>14</v>
      </c>
      <c r="H15" s="55" t="s">
        <v>14</v>
      </c>
      <c r="I15" s="54">
        <v>1.56</v>
      </c>
      <c r="J15" s="54">
        <v>0.40</v>
      </c>
      <c r="K15" s="54">
        <v>311.76</v>
      </c>
      <c r="L15" s="54">
        <v>23.05</v>
      </c>
      <c r="M15" s="54">
        <v>98.86</v>
      </c>
      <c r="N15" s="54">
        <v>153.40</v>
      </c>
      <c r="O15" s="54">
        <v>0</v>
      </c>
      <c r="P15" s="54">
        <v>0.67</v>
      </c>
      <c r="Q15" s="54">
        <v>153.56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10.07</v>
      </c>
      <c r="C16" s="54">
        <v>9.69</v>
      </c>
      <c r="D16" s="54">
        <v>14.42</v>
      </c>
      <c r="E16" s="54">
        <v>1.20</v>
      </c>
      <c r="F16" s="54">
        <v>0.73</v>
      </c>
      <c r="G16" s="55" t="s">
        <v>14</v>
      </c>
      <c r="H16" s="55" t="s">
        <v>14</v>
      </c>
      <c r="I16" s="54">
        <v>1.57</v>
      </c>
      <c r="J16" s="54">
        <v>0.27</v>
      </c>
      <c r="K16" s="54">
        <v>326.54000000000002</v>
      </c>
      <c r="L16" s="54">
        <v>27.86</v>
      </c>
      <c r="M16" s="54">
        <v>92.18</v>
      </c>
      <c r="N16" s="54">
        <v>371.60</v>
      </c>
      <c r="O16" s="54">
        <v>0</v>
      </c>
      <c r="P16" s="54">
        <v>0.66</v>
      </c>
      <c r="Q16" s="54">
        <v>168.70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8.84</v>
      </c>
      <c r="C17" s="54">
        <v>13.39</v>
      </c>
      <c r="D17" s="54">
        <v>15.68</v>
      </c>
      <c r="E17" s="54">
        <v>1.02</v>
      </c>
      <c r="F17" s="54">
        <v>0.5</v>
      </c>
      <c r="G17" s="55" t="s">
        <v>14</v>
      </c>
      <c r="H17" s="55" t="s">
        <v>14</v>
      </c>
      <c r="I17" s="54">
        <v>1.55</v>
      </c>
      <c r="J17" s="54">
        <v>0.48</v>
      </c>
      <c r="K17" s="54">
        <v>356.34</v>
      </c>
      <c r="L17" s="54">
        <v>32.369999999999997</v>
      </c>
      <c r="M17" s="54">
        <v>64.70</v>
      </c>
      <c r="N17" s="54">
        <v>585.40</v>
      </c>
      <c r="O17" s="54">
        <v>0</v>
      </c>
      <c r="P17" s="54">
        <v>0.71</v>
      </c>
      <c r="Q17" s="54">
        <v>163.92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8.34</v>
      </c>
      <c r="C18" s="54">
        <v>16.690000000000001</v>
      </c>
      <c r="D18" s="54">
        <v>16.25</v>
      </c>
      <c r="E18" s="54">
        <v>0.56999999999999995</v>
      </c>
      <c r="F18" s="54">
        <v>1.06</v>
      </c>
      <c r="G18" s="55" t="s">
        <v>14</v>
      </c>
      <c r="H18" s="55" t="s">
        <v>14</v>
      </c>
      <c r="I18" s="54">
        <v>1.59</v>
      </c>
      <c r="J18" s="54">
        <v>0.78</v>
      </c>
      <c r="K18" s="54">
        <v>338.14</v>
      </c>
      <c r="L18" s="54">
        <v>35.49</v>
      </c>
      <c r="M18" s="54">
        <v>49.39</v>
      </c>
      <c r="N18" s="54">
        <v>733.80</v>
      </c>
      <c r="O18" s="54">
        <v>0</v>
      </c>
      <c r="P18" s="54">
        <v>0.75</v>
      </c>
      <c r="Q18" s="54">
        <v>153.19999999999999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6.15</v>
      </c>
      <c r="C19" s="54">
        <v>31.92</v>
      </c>
      <c r="D19" s="54">
        <v>21.15</v>
      </c>
      <c r="E19" s="54">
        <v>0.14000000000000001</v>
      </c>
      <c r="F19" s="54">
        <v>8.58</v>
      </c>
      <c r="G19" s="54">
        <v>87.63</v>
      </c>
      <c r="H19" s="54">
        <v>33.86</v>
      </c>
      <c r="I19" s="54">
        <v>1.51</v>
      </c>
      <c r="J19" s="54">
        <v>0.99</v>
      </c>
      <c r="K19" s="54">
        <v>337.27</v>
      </c>
      <c r="L19" s="54">
        <v>36.54</v>
      </c>
      <c r="M19" s="54">
        <v>43.23</v>
      </c>
      <c r="N19" s="54">
        <v>825.60</v>
      </c>
      <c r="O19" s="54">
        <v>0</v>
      </c>
      <c r="P19" s="54">
        <v>0.82</v>
      </c>
      <c r="Q19" s="54">
        <v>164.86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2.71</v>
      </c>
      <c r="C20" s="54">
        <v>34.299999999999997</v>
      </c>
      <c r="D20" s="54">
        <v>22.01</v>
      </c>
      <c r="E20" s="55" t="s">
        <v>14</v>
      </c>
      <c r="F20" s="54">
        <v>8</v>
      </c>
      <c r="G20" s="54">
        <v>87.63</v>
      </c>
      <c r="H20" s="54">
        <v>33.86</v>
      </c>
      <c r="I20" s="54">
        <v>1.52</v>
      </c>
      <c r="J20" s="54">
        <v>1.25</v>
      </c>
      <c r="K20" s="54">
        <v>332.43</v>
      </c>
      <c r="L20" s="54">
        <v>36.450000000000003</v>
      </c>
      <c r="M20" s="54">
        <v>38.43</v>
      </c>
      <c r="N20" s="54">
        <v>841.10</v>
      </c>
      <c r="O20" s="54">
        <v>0</v>
      </c>
      <c r="P20" s="54">
        <v>0.79</v>
      </c>
      <c r="Q20" s="54">
        <v>150.41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2.2400000000000002</v>
      </c>
      <c r="C21" s="54">
        <v>26.90</v>
      </c>
      <c r="D21" s="54">
        <v>17.93</v>
      </c>
      <c r="E21" s="55" t="s">
        <v>14</v>
      </c>
      <c r="F21" s="54">
        <v>3.84</v>
      </c>
      <c r="G21" s="55" t="s">
        <v>14</v>
      </c>
      <c r="H21" s="55" t="s">
        <v>14</v>
      </c>
      <c r="I21" s="54">
        <v>1.54</v>
      </c>
      <c r="J21" s="54">
        <v>1.44</v>
      </c>
      <c r="K21" s="54">
        <v>336.35</v>
      </c>
      <c r="L21" s="54">
        <v>36.270000000000003</v>
      </c>
      <c r="M21" s="54">
        <v>33</v>
      </c>
      <c r="N21" s="54">
        <v>797.90</v>
      </c>
      <c r="O21" s="54">
        <v>0</v>
      </c>
      <c r="P21" s="54">
        <v>0.70</v>
      </c>
      <c r="Q21" s="54">
        <v>134.59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2.0499999999999998</v>
      </c>
      <c r="C22" s="54">
        <v>21.56</v>
      </c>
      <c r="D22" s="54">
        <v>15.06</v>
      </c>
      <c r="E22" s="55" t="s">
        <v>14</v>
      </c>
      <c r="F22" s="54">
        <v>3.47</v>
      </c>
      <c r="G22" s="55" t="s">
        <v>14</v>
      </c>
      <c r="H22" s="55" t="s">
        <v>14</v>
      </c>
      <c r="I22" s="54">
        <v>1.58</v>
      </c>
      <c r="J22" s="54">
        <v>1.22</v>
      </c>
      <c r="K22" s="54">
        <v>329.49</v>
      </c>
      <c r="L22" s="54">
        <v>35.53</v>
      </c>
      <c r="M22" s="54">
        <v>34.159999999999997</v>
      </c>
      <c r="N22" s="54">
        <v>706</v>
      </c>
      <c r="O22" s="54">
        <v>0</v>
      </c>
      <c r="P22" s="54">
        <v>0.65</v>
      </c>
      <c r="Q22" s="54">
        <v>42.10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2.88</v>
      </c>
      <c r="C23" s="54">
        <v>28.03</v>
      </c>
      <c r="D23" s="54">
        <v>18.98</v>
      </c>
      <c r="E23" s="55" t="s">
        <v>14</v>
      </c>
      <c r="F23" s="54">
        <v>3.91</v>
      </c>
      <c r="G23" s="55" t="s">
        <v>14</v>
      </c>
      <c r="H23" s="55" t="s">
        <v>14</v>
      </c>
      <c r="I23" s="54">
        <v>1.55</v>
      </c>
      <c r="J23" s="54">
        <v>1.04</v>
      </c>
      <c r="K23" s="54">
        <v>340.70</v>
      </c>
      <c r="L23" s="54">
        <v>33.79</v>
      </c>
      <c r="M23" s="54">
        <v>35.86</v>
      </c>
      <c r="N23" s="54">
        <v>235.10</v>
      </c>
      <c r="O23" s="54">
        <v>0</v>
      </c>
      <c r="P23" s="54">
        <v>0.68</v>
      </c>
      <c r="Q23" s="55" t="s">
        <v>14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2.34</v>
      </c>
      <c r="C24" s="54">
        <v>25.80</v>
      </c>
      <c r="D24" s="54">
        <v>17.41</v>
      </c>
      <c r="E24" s="55" t="s">
        <v>14</v>
      </c>
      <c r="F24" s="54">
        <v>3.42</v>
      </c>
      <c r="G24" s="55" t="s">
        <v>14</v>
      </c>
      <c r="H24" s="55" t="s">
        <v>14</v>
      </c>
      <c r="I24" s="54">
        <v>1.56</v>
      </c>
      <c r="J24" s="54">
        <v>0.91</v>
      </c>
      <c r="K24" s="54">
        <v>343.16</v>
      </c>
      <c r="L24" s="54">
        <v>31.91</v>
      </c>
      <c r="M24" s="54">
        <v>42.85</v>
      </c>
      <c r="N24" s="54">
        <v>125.40</v>
      </c>
      <c r="O24" s="54">
        <v>0</v>
      </c>
      <c r="P24" s="54">
        <v>0.68</v>
      </c>
      <c r="Q24" s="55" t="s">
        <v>14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2.52</v>
      </c>
      <c r="C25" s="54">
        <v>24.29</v>
      </c>
      <c r="D25" s="54">
        <v>16.309999999999999</v>
      </c>
      <c r="E25" s="54">
        <v>1.1399999999999999</v>
      </c>
      <c r="F25" s="54">
        <v>15.93</v>
      </c>
      <c r="G25" s="54">
        <v>87.37</v>
      </c>
      <c r="H25" s="54">
        <v>19.47</v>
      </c>
      <c r="I25" s="54">
        <v>1.47</v>
      </c>
      <c r="J25" s="54">
        <v>0.38</v>
      </c>
      <c r="K25" s="54">
        <v>100.66</v>
      </c>
      <c r="L25" s="54">
        <v>29.86</v>
      </c>
      <c r="M25" s="54">
        <v>42.80</v>
      </c>
      <c r="N25" s="54">
        <v>68.30</v>
      </c>
      <c r="O25" s="54">
        <v>0</v>
      </c>
      <c r="P25" s="54">
        <v>0.52</v>
      </c>
      <c r="Q25" s="55" t="s">
        <v>14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2.0299999999999998</v>
      </c>
      <c r="C26" s="54">
        <v>24.26</v>
      </c>
      <c r="D26" s="54">
        <v>16.28</v>
      </c>
      <c r="E26" s="54">
        <v>1.74</v>
      </c>
      <c r="F26" s="54">
        <v>9.9700000000000006</v>
      </c>
      <c r="G26" s="54">
        <v>87.37</v>
      </c>
      <c r="H26" s="54">
        <v>19.47</v>
      </c>
      <c r="I26" s="54">
        <v>1.54</v>
      </c>
      <c r="J26" s="54">
        <v>0.22</v>
      </c>
      <c r="K26" s="54">
        <v>207.25</v>
      </c>
      <c r="L26" s="54">
        <v>28.92</v>
      </c>
      <c r="M26" s="54">
        <v>45.73</v>
      </c>
      <c r="N26" s="54">
        <v>24.90</v>
      </c>
      <c r="O26" s="54">
        <v>0</v>
      </c>
      <c r="P26" s="54">
        <v>0.65</v>
      </c>
      <c r="Q26" s="54">
        <v>4.72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8.1300000000000008</v>
      </c>
      <c r="C27" s="54">
        <v>22.67</v>
      </c>
      <c r="D27" s="54">
        <v>20.059999999999999</v>
      </c>
      <c r="E27" s="54">
        <v>1.70</v>
      </c>
      <c r="F27" s="54">
        <v>0.80</v>
      </c>
      <c r="G27" s="54">
        <v>108.79</v>
      </c>
      <c r="H27" s="54">
        <v>36.21</v>
      </c>
      <c r="I27" s="54">
        <v>1.53</v>
      </c>
      <c r="J27" s="54">
        <v>0.16</v>
      </c>
      <c r="K27" s="54">
        <v>325.83999999999997</v>
      </c>
      <c r="L27" s="54">
        <v>27.74</v>
      </c>
      <c r="M27" s="54">
        <v>58.39</v>
      </c>
      <c r="N27" s="54">
        <v>8.60</v>
      </c>
      <c r="O27" s="54">
        <v>0</v>
      </c>
      <c r="P27" s="54">
        <v>2.0499999999999998</v>
      </c>
      <c r="Q27" s="54">
        <v>4.62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9.7899999999999991</v>
      </c>
      <c r="C28" s="54">
        <v>22.58</v>
      </c>
      <c r="D28" s="54">
        <v>21.54</v>
      </c>
      <c r="E28" s="54">
        <v>2.2799999999999998</v>
      </c>
      <c r="F28" s="54">
        <v>0.63</v>
      </c>
      <c r="G28" s="54">
        <v>110.38</v>
      </c>
      <c r="H28" s="54">
        <v>40.31</v>
      </c>
      <c r="I28" s="54">
        <v>1.52</v>
      </c>
      <c r="J28" s="54">
        <v>0.12</v>
      </c>
      <c r="K28" s="54">
        <v>268.36</v>
      </c>
      <c r="L28" s="54">
        <v>26.84</v>
      </c>
      <c r="M28" s="54">
        <v>63.71</v>
      </c>
      <c r="N28" s="54">
        <v>8.90</v>
      </c>
      <c r="O28" s="54">
        <v>0</v>
      </c>
      <c r="P28" s="54">
        <v>1.07</v>
      </c>
      <c r="Q28" s="54">
        <v>4.6100000000000003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12.49</v>
      </c>
      <c r="C29" s="54">
        <v>22.67</v>
      </c>
      <c r="D29" s="54">
        <v>22.93</v>
      </c>
      <c r="E29" s="54">
        <v>1.64</v>
      </c>
      <c r="F29" s="54">
        <v>0.5</v>
      </c>
      <c r="G29" s="54">
        <v>115.65</v>
      </c>
      <c r="H29" s="54">
        <v>40.31</v>
      </c>
      <c r="I29" s="54">
        <v>1.55</v>
      </c>
      <c r="J29" s="54">
        <v>0.11</v>
      </c>
      <c r="K29" s="54">
        <v>342.69</v>
      </c>
      <c r="L29" s="54">
        <v>25.67</v>
      </c>
      <c r="M29" s="54">
        <v>73.22</v>
      </c>
      <c r="N29" s="54">
        <v>9</v>
      </c>
      <c r="O29" s="54">
        <v>0</v>
      </c>
      <c r="P29" s="54">
        <v>2.1800000000000002</v>
      </c>
      <c r="Q29" s="54">
        <v>4.41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13.66</v>
      </c>
      <c r="C30" s="54">
        <v>20.83</v>
      </c>
      <c r="D30" s="54">
        <v>23.75</v>
      </c>
      <c r="E30" s="54">
        <v>1.54</v>
      </c>
      <c r="F30" s="54">
        <v>0.75</v>
      </c>
      <c r="G30" s="54">
        <v>115.65</v>
      </c>
      <c r="H30" s="54">
        <v>37.07</v>
      </c>
      <c r="I30" s="54">
        <v>1.56</v>
      </c>
      <c r="J30" s="54">
        <v>0.69</v>
      </c>
      <c r="K30" s="54">
        <v>178.09</v>
      </c>
      <c r="L30" s="54">
        <v>25.75</v>
      </c>
      <c r="M30" s="54">
        <v>71.97</v>
      </c>
      <c r="N30" s="54">
        <v>8.6999999999999993</v>
      </c>
      <c r="O30" s="54">
        <v>0</v>
      </c>
      <c r="P30" s="54">
        <v>1.48</v>
      </c>
      <c r="Q30" s="54">
        <v>4.74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12.25</v>
      </c>
      <c r="C31" s="54">
        <v>19.28</v>
      </c>
      <c r="D31" s="54">
        <v>21.27</v>
      </c>
      <c r="E31" s="54">
        <v>2.0099999999999998</v>
      </c>
      <c r="F31" s="54">
        <v>0.71</v>
      </c>
      <c r="G31" s="54">
        <v>110.51</v>
      </c>
      <c r="H31" s="54">
        <v>37.07</v>
      </c>
      <c r="I31" s="54">
        <v>1.51</v>
      </c>
      <c r="J31" s="54">
        <v>0.14000000000000001</v>
      </c>
      <c r="K31" s="54">
        <v>307.43</v>
      </c>
      <c r="L31" s="54">
        <v>25.66</v>
      </c>
      <c r="M31" s="54">
        <v>71.209999999999994</v>
      </c>
      <c r="N31" s="54">
        <v>9</v>
      </c>
      <c r="O31" s="54">
        <v>0</v>
      </c>
      <c r="P31" s="54">
        <v>1.1499999999999999</v>
      </c>
      <c r="Q31" s="54">
        <v>4.7699999999999996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10.02</v>
      </c>
      <c r="C32" s="54">
        <v>19.04</v>
      </c>
      <c r="D32" s="54">
        <v>19.579999999999998</v>
      </c>
      <c r="E32" s="54">
        <v>1.69</v>
      </c>
      <c r="F32" s="54">
        <v>0.47</v>
      </c>
      <c r="G32" s="54">
        <v>108.77</v>
      </c>
      <c r="H32" s="54">
        <v>35.32</v>
      </c>
      <c r="I32" s="54">
        <v>1.59</v>
      </c>
      <c r="J32" s="54">
        <v>0.13</v>
      </c>
      <c r="K32" s="54">
        <v>322.12</v>
      </c>
      <c r="L32" s="54">
        <v>24.44</v>
      </c>
      <c r="M32" s="54">
        <v>77.78</v>
      </c>
      <c r="N32" s="54">
        <v>9.40</v>
      </c>
      <c r="O32" s="54">
        <v>0</v>
      </c>
      <c r="P32" s="54">
        <v>1.01</v>
      </c>
      <c r="Q32" s="54">
        <v>4.6399999999999997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2.0299999999999998</v>
      </c>
      <c r="C34" s="28">
        <f t="shared" si="0"/>
        <v>9.5099999999999998</v>
      </c>
      <c r="D34" s="28">
        <f t="shared" si="0"/>
        <v>13.07</v>
      </c>
      <c r="E34" s="28">
        <f t="shared" si="0"/>
        <v>0.14000000000000001</v>
      </c>
      <c r="F34" s="28">
        <f t="shared" si="0"/>
        <v>0.40000000000000002</v>
      </c>
      <c r="G34" s="28">
        <f t="shared" si="0"/>
        <v>87.370000000000005</v>
      </c>
      <c r="H34" s="28">
        <f t="shared" si="0"/>
        <v>19.469999999999999</v>
      </c>
      <c r="I34" s="28">
        <f t="shared" si="0"/>
        <v>1.47</v>
      </c>
      <c r="J34" s="28">
        <f t="shared" si="0"/>
        <v>0.089999999999999997</v>
      </c>
      <c r="K34" s="28">
        <f t="shared" si="0"/>
        <v>100.66</v>
      </c>
      <c r="L34" s="28">
        <f t="shared" si="0"/>
        <v>21.809999999999999</v>
      </c>
      <c r="M34" s="28">
        <f t="shared" si="0"/>
        <v>33</v>
      </c>
      <c r="N34" s="28">
        <f t="shared" si="0"/>
        <v>8.5</v>
      </c>
      <c r="O34" s="28">
        <f t="shared" si="0"/>
        <v>0</v>
      </c>
      <c r="P34" s="28">
        <f t="shared" si="0"/>
        <v>0.52000000000000002</v>
      </c>
      <c r="Q34" s="28">
        <f t="shared" si="0"/>
        <v>4.4100000000000001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13.66</v>
      </c>
      <c r="C35" s="29">
        <f t="shared" si="1"/>
        <v>34.299999999999997</v>
      </c>
      <c r="D35" s="29">
        <f t="shared" si="1"/>
        <v>23.75</v>
      </c>
      <c r="E35" s="29">
        <f t="shared" si="1"/>
        <v>2.5600000000000001</v>
      </c>
      <c r="F35" s="29">
        <f t="shared" si="1"/>
        <v>15.93</v>
      </c>
      <c r="G35" s="29">
        <f t="shared" si="1"/>
        <v>115.65000000000001</v>
      </c>
      <c r="H35" s="29">
        <f t="shared" si="1"/>
        <v>40.310000000000002</v>
      </c>
      <c r="I35" s="29">
        <f t="shared" si="1"/>
        <v>1.5900000000000001</v>
      </c>
      <c r="J35" s="29">
        <f t="shared" si="1"/>
        <v>1.4399999999999999</v>
      </c>
      <c r="K35" s="29">
        <f t="shared" si="1"/>
        <v>356.33999999999997</v>
      </c>
      <c r="L35" s="29">
        <f t="shared" si="1"/>
        <v>36.539999999999999</v>
      </c>
      <c r="M35" s="29">
        <f t="shared" si="1"/>
        <v>98.879999999999995</v>
      </c>
      <c r="N35" s="29">
        <f t="shared" si="1"/>
        <v>841.10000000000002</v>
      </c>
      <c r="O35" s="29">
        <f t="shared" si="1"/>
        <v>0</v>
      </c>
      <c r="P35" s="29">
        <f t="shared" si="1"/>
        <v>2.1800000000000002</v>
      </c>
      <c r="Q35" s="29">
        <f t="shared" si="1"/>
        <v>182.38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7.956666666666667</v>
      </c>
      <c r="C36" s="28">
        <f t="shared" si="2"/>
        <v>19.549583333333338</v>
      </c>
      <c r="D36" s="28">
        <f t="shared" si="2"/>
        <v>18.162499999999998</v>
      </c>
      <c r="E36" s="28">
        <f t="shared" si="2"/>
        <v>1.5684210526315789</v>
      </c>
      <c r="F36" s="28">
        <f t="shared" si="2"/>
        <v>2.7912499999999998</v>
      </c>
      <c r="G36" s="28">
        <f t="shared" si="2"/>
        <v>101.97499999999999</v>
      </c>
      <c r="H36" s="28">
        <f t="shared" si="2"/>
        <v>33.295000000000002</v>
      </c>
      <c r="I36" s="28">
        <f t="shared" si="2"/>
        <v>1.5420833333333335</v>
      </c>
      <c r="J36" s="28">
        <f t="shared" si="2"/>
        <v>0.48166666666666669</v>
      </c>
      <c r="K36" s="28">
        <f t="shared" si="2"/>
        <v>295.15291666666661</v>
      </c>
      <c r="L36" s="28">
        <f t="shared" si="2"/>
        <v>28.356250000000003</v>
      </c>
      <c r="M36" s="28">
        <f t="shared" si="2"/>
        <v>67.410000000000011</v>
      </c>
      <c r="N36" s="28">
        <f t="shared" si="2"/>
        <v>232.47916666666663</v>
      </c>
      <c r="O36" s="28">
        <f t="shared" si="2"/>
        <v>0</v>
      </c>
      <c r="P36" s="28">
        <f t="shared" si="2"/>
        <v>0.90416666666666667</v>
      </c>
      <c r="Q36" s="28">
        <f t="shared" si="2"/>
        <v>103.97095238095235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4.0179798803429279</v>
      </c>
      <c r="C37" s="28">
        <f t="shared" si="3" ref="C37:Q37">STDEV(C9:C32)</f>
        <v>7.1368647842925554</v>
      </c>
      <c r="D37" s="28">
        <f t="shared" si="3"/>
        <v>2.9936196644951791</v>
      </c>
      <c r="E37" s="28">
        <f t="shared" si="3"/>
        <v>0.596016994145252</v>
      </c>
      <c r="F37" s="28">
        <f t="shared" si="3"/>
        <v>3.978748232798853</v>
      </c>
      <c r="G37" s="28">
        <f t="shared" si="3"/>
        <v>12.685459085985871</v>
      </c>
      <c r="H37" s="28">
        <f t="shared" si="3"/>
        <v>7.6188308376898108</v>
      </c>
      <c r="I37" s="28">
        <f t="shared" si="3"/>
        <v>0.027971906195893861</v>
      </c>
      <c r="J37" s="28">
        <f t="shared" si="3"/>
        <v>0.4374696676855751</v>
      </c>
      <c r="K37" s="28">
        <f t="shared" si="3"/>
        <v>63.222056585888595</v>
      </c>
      <c r="L37" s="28">
        <f t="shared" si="3"/>
        <v>5.1848800350886428</v>
      </c>
      <c r="M37" s="28">
        <f t="shared" si="3"/>
        <v>24.490491855092387</v>
      </c>
      <c r="N37" s="28">
        <f t="shared" si="3"/>
        <v>319.45195458195565</v>
      </c>
      <c r="O37" s="28">
        <f t="shared" si="3"/>
        <v>0</v>
      </c>
      <c r="P37" s="28">
        <f t="shared" si="3"/>
        <v>0.42649141554811154</v>
      </c>
      <c r="Q37" s="28">
        <f t="shared" si="3"/>
        <v>77.112367095347452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>COUNT(E9:E32)+5</f>
        <v>24</v>
      </c>
      <c r="F38" s="32">
        <f t="shared" si="4"/>
        <v>24</v>
      </c>
      <c r="G38" s="32">
        <f>COUNT(G9:G32)+14</f>
        <v>24</v>
      </c>
      <c r="H38" s="32">
        <f>COUNT(H9:H32)+14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930d7e-80b6-4bc2-bd59-58519d012ef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8.5399999999999991</v>
      </c>
      <c r="C9" s="54">
        <v>15.80</v>
      </c>
      <c r="D9" s="54">
        <v>16.86</v>
      </c>
      <c r="E9" s="54">
        <v>1.1599999999999999</v>
      </c>
      <c r="F9" s="54">
        <v>0.93</v>
      </c>
      <c r="G9" s="54">
        <v>97.20</v>
      </c>
      <c r="H9" s="54">
        <v>35.32</v>
      </c>
      <c r="I9" s="54">
        <v>1.55</v>
      </c>
      <c r="J9" s="54">
        <v>0.13</v>
      </c>
      <c r="K9" s="54">
        <v>181.75</v>
      </c>
      <c r="L9" s="54">
        <v>24.19</v>
      </c>
      <c r="M9" s="54">
        <v>85.07</v>
      </c>
      <c r="N9" s="54">
        <v>8.90</v>
      </c>
      <c r="O9" s="54">
        <v>0</v>
      </c>
      <c r="P9" s="54">
        <v>0.84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4.82</v>
      </c>
      <c r="C10" s="54">
        <v>13.62</v>
      </c>
      <c r="D10" s="54">
        <v>11.76</v>
      </c>
      <c r="E10" s="54">
        <v>0.99</v>
      </c>
      <c r="F10" s="54">
        <v>0.87</v>
      </c>
      <c r="G10" s="54">
        <v>85.04</v>
      </c>
      <c r="H10" s="54">
        <v>31.33</v>
      </c>
      <c r="I10" s="54">
        <v>1.54</v>
      </c>
      <c r="J10" s="54">
        <v>0.15</v>
      </c>
      <c r="K10" s="54">
        <v>172.87</v>
      </c>
      <c r="L10" s="54">
        <v>23.21</v>
      </c>
      <c r="M10" s="54">
        <v>89.72</v>
      </c>
      <c r="N10" s="54">
        <v>8.6999999999999993</v>
      </c>
      <c r="O10" s="54">
        <v>0</v>
      </c>
      <c r="P10" s="54">
        <v>0.91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3.58</v>
      </c>
      <c r="C11" s="54">
        <v>13.37</v>
      </c>
      <c r="D11" s="54">
        <v>11.5</v>
      </c>
      <c r="E11" s="54">
        <v>1.1599999999999999</v>
      </c>
      <c r="F11" s="54">
        <v>0.53</v>
      </c>
      <c r="G11" s="54">
        <v>69.91</v>
      </c>
      <c r="H11" s="54">
        <v>31.86</v>
      </c>
      <c r="I11" s="54">
        <v>1.48</v>
      </c>
      <c r="J11" s="54">
        <v>0.13</v>
      </c>
      <c r="K11" s="54">
        <v>352.61</v>
      </c>
      <c r="L11" s="54">
        <v>23.37</v>
      </c>
      <c r="M11" s="54">
        <v>90.33</v>
      </c>
      <c r="N11" s="54">
        <v>8.8000000000000007</v>
      </c>
      <c r="O11" s="54">
        <v>0</v>
      </c>
      <c r="P11" s="54">
        <v>0.82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3.25</v>
      </c>
      <c r="C12" s="54">
        <v>11.13</v>
      </c>
      <c r="D12" s="54">
        <v>10.039999999999999</v>
      </c>
      <c r="E12" s="54">
        <v>0.81</v>
      </c>
      <c r="F12" s="54">
        <v>1.1200000000000001</v>
      </c>
      <c r="G12" s="54">
        <v>69.91</v>
      </c>
      <c r="H12" s="54">
        <v>31.86</v>
      </c>
      <c r="I12" s="54">
        <v>1.57</v>
      </c>
      <c r="J12" s="54">
        <v>0.18</v>
      </c>
      <c r="K12" s="54">
        <v>353.23</v>
      </c>
      <c r="L12" s="54">
        <v>23.10</v>
      </c>
      <c r="M12" s="54">
        <v>86.41</v>
      </c>
      <c r="N12" s="54">
        <v>8.8000000000000007</v>
      </c>
      <c r="O12" s="54">
        <v>0</v>
      </c>
      <c r="P12" s="54">
        <v>0.75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2.91</v>
      </c>
      <c r="C13" s="54">
        <v>11</v>
      </c>
      <c r="D13" s="54">
        <v>9.6999999999999993</v>
      </c>
      <c r="E13" s="54">
        <v>1.58</v>
      </c>
      <c r="F13" s="54">
        <v>0.80</v>
      </c>
      <c r="G13" s="54">
        <v>61.97</v>
      </c>
      <c r="H13" s="54">
        <v>30.16</v>
      </c>
      <c r="I13" s="54">
        <v>1.54</v>
      </c>
      <c r="J13" s="54">
        <v>0.21</v>
      </c>
      <c r="K13" s="54">
        <v>186.94</v>
      </c>
      <c r="L13" s="54">
        <v>23.02</v>
      </c>
      <c r="M13" s="54">
        <v>89.61</v>
      </c>
      <c r="N13" s="54">
        <v>9</v>
      </c>
      <c r="O13" s="54">
        <v>0</v>
      </c>
      <c r="P13" s="54">
        <v>0.68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3.53</v>
      </c>
      <c r="C14" s="54">
        <v>11.14</v>
      </c>
      <c r="D14" s="54">
        <v>10.210000000000001</v>
      </c>
      <c r="E14" s="54">
        <v>1.31</v>
      </c>
      <c r="F14" s="54">
        <v>0.48</v>
      </c>
      <c r="G14" s="54">
        <v>57.80</v>
      </c>
      <c r="H14" s="54">
        <v>30.16</v>
      </c>
      <c r="I14" s="54">
        <v>1.54</v>
      </c>
      <c r="J14" s="54">
        <v>0.55000000000000004</v>
      </c>
      <c r="K14" s="54">
        <v>173</v>
      </c>
      <c r="L14" s="54">
        <v>22.60</v>
      </c>
      <c r="M14" s="54">
        <v>93.35</v>
      </c>
      <c r="N14" s="54">
        <v>12.60</v>
      </c>
      <c r="O14" s="54">
        <v>0</v>
      </c>
      <c r="P14" s="54">
        <v>0.68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3.58</v>
      </c>
      <c r="C15" s="54">
        <v>10</v>
      </c>
      <c r="D15" s="54">
        <v>9.68</v>
      </c>
      <c r="E15" s="54">
        <v>1.90</v>
      </c>
      <c r="F15" s="54">
        <v>0.83</v>
      </c>
      <c r="G15" s="54">
        <v>57.80</v>
      </c>
      <c r="H15" s="54">
        <v>25.02</v>
      </c>
      <c r="I15" s="54">
        <v>1.59</v>
      </c>
      <c r="J15" s="54">
        <v>0.60</v>
      </c>
      <c r="K15" s="54">
        <v>217.13</v>
      </c>
      <c r="L15" s="54">
        <v>22.54</v>
      </c>
      <c r="M15" s="54">
        <v>94.15</v>
      </c>
      <c r="N15" s="54">
        <v>89.60</v>
      </c>
      <c r="O15" s="54">
        <v>0</v>
      </c>
      <c r="P15" s="54">
        <v>0.68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4.6399999999999997</v>
      </c>
      <c r="C16" s="54">
        <v>11.07</v>
      </c>
      <c r="D16" s="54">
        <v>11.12</v>
      </c>
      <c r="E16" s="54">
        <v>1.85</v>
      </c>
      <c r="F16" s="54">
        <v>0.32</v>
      </c>
      <c r="G16" s="54">
        <v>60.96</v>
      </c>
      <c r="H16" s="54">
        <v>29.15</v>
      </c>
      <c r="I16" s="54">
        <v>1.53</v>
      </c>
      <c r="J16" s="54">
        <v>0.20</v>
      </c>
      <c r="K16" s="54">
        <v>350.15</v>
      </c>
      <c r="L16" s="54">
        <v>24.73</v>
      </c>
      <c r="M16" s="54">
        <v>90.29</v>
      </c>
      <c r="N16" s="54">
        <v>178.80</v>
      </c>
      <c r="O16" s="54">
        <v>0</v>
      </c>
      <c r="P16" s="54">
        <v>0.78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4.9800000000000004</v>
      </c>
      <c r="C17" s="54">
        <v>11.42</v>
      </c>
      <c r="D17" s="54">
        <v>11.57</v>
      </c>
      <c r="E17" s="54">
        <v>1.76</v>
      </c>
      <c r="F17" s="54">
        <v>0.49</v>
      </c>
      <c r="G17" s="54">
        <v>69.39</v>
      </c>
      <c r="H17" s="54">
        <v>32.049999999999997</v>
      </c>
      <c r="I17" s="54">
        <v>1.56</v>
      </c>
      <c r="J17" s="54">
        <v>0.33</v>
      </c>
      <c r="K17" s="54">
        <v>177.37</v>
      </c>
      <c r="L17" s="54">
        <v>25.76</v>
      </c>
      <c r="M17" s="54">
        <v>81.95</v>
      </c>
      <c r="N17" s="54">
        <v>348.5</v>
      </c>
      <c r="O17" s="54">
        <v>0</v>
      </c>
      <c r="P17" s="54">
        <v>0.68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4.17</v>
      </c>
      <c r="C18" s="54">
        <v>11.73</v>
      </c>
      <c r="D18" s="54">
        <v>11.11</v>
      </c>
      <c r="E18" s="54">
        <v>1.84</v>
      </c>
      <c r="F18" s="54">
        <v>1.1399999999999999</v>
      </c>
      <c r="G18" s="54">
        <v>69.39</v>
      </c>
      <c r="H18" s="54">
        <v>32.049999999999997</v>
      </c>
      <c r="I18" s="54">
        <v>1.56</v>
      </c>
      <c r="J18" s="54">
        <v>0.71</v>
      </c>
      <c r="K18" s="54">
        <v>338.96</v>
      </c>
      <c r="L18" s="54">
        <v>30.29</v>
      </c>
      <c r="M18" s="54">
        <v>72.94</v>
      </c>
      <c r="N18" s="54">
        <v>696.10</v>
      </c>
      <c r="O18" s="54">
        <v>0</v>
      </c>
      <c r="P18" s="54">
        <v>0.77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2.85</v>
      </c>
      <c r="C19" s="54">
        <v>14.65</v>
      </c>
      <c r="D19" s="54">
        <v>11.08</v>
      </c>
      <c r="E19" s="54">
        <v>1.67</v>
      </c>
      <c r="F19" s="54">
        <v>3.04</v>
      </c>
      <c r="G19" s="54">
        <v>69.13</v>
      </c>
      <c r="H19" s="54">
        <v>29.60</v>
      </c>
      <c r="I19" s="54">
        <v>1.55</v>
      </c>
      <c r="J19" s="54">
        <v>0.26</v>
      </c>
      <c r="K19" s="54">
        <v>352.78</v>
      </c>
      <c r="L19" s="54">
        <v>31.78</v>
      </c>
      <c r="M19" s="54">
        <v>51.63</v>
      </c>
      <c r="N19" s="54">
        <v>754</v>
      </c>
      <c r="O19" s="54">
        <v>0</v>
      </c>
      <c r="P19" s="54">
        <v>0.94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2.12</v>
      </c>
      <c r="C20" s="54">
        <v>16.13</v>
      </c>
      <c r="D20" s="54">
        <v>11.89</v>
      </c>
      <c r="E20" s="55" t="s">
        <v>14</v>
      </c>
      <c r="F20" s="54">
        <v>3.11</v>
      </c>
      <c r="G20" s="54">
        <v>84.49</v>
      </c>
      <c r="H20" s="54">
        <v>28.21</v>
      </c>
      <c r="I20" s="54">
        <v>1.54</v>
      </c>
      <c r="J20" s="54">
        <v>0.65</v>
      </c>
      <c r="K20" s="54">
        <v>343.01</v>
      </c>
      <c r="L20" s="54">
        <v>34.229999999999997</v>
      </c>
      <c r="M20" s="54">
        <v>45.05</v>
      </c>
      <c r="N20" s="54">
        <v>800.30</v>
      </c>
      <c r="O20" s="54">
        <v>0</v>
      </c>
      <c r="P20" s="54">
        <v>0.96</v>
      </c>
      <c r="Q20" s="54">
        <v>4.9800000000000004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2.0099999999999998</v>
      </c>
      <c r="C21" s="54">
        <v>16.059999999999999</v>
      </c>
      <c r="D21" s="54">
        <v>11.76</v>
      </c>
      <c r="E21" s="55" t="s">
        <v>14</v>
      </c>
      <c r="F21" s="54">
        <v>4.04</v>
      </c>
      <c r="G21" s="54">
        <v>84.49</v>
      </c>
      <c r="H21" s="54">
        <v>18.34</v>
      </c>
      <c r="I21" s="54">
        <v>1.47</v>
      </c>
      <c r="J21" s="54">
        <v>0.22</v>
      </c>
      <c r="K21" s="54">
        <v>340.82</v>
      </c>
      <c r="L21" s="54">
        <v>33.549999999999997</v>
      </c>
      <c r="M21" s="54">
        <v>38.21</v>
      </c>
      <c r="N21" s="54">
        <v>787.80</v>
      </c>
      <c r="O21" s="54">
        <v>0</v>
      </c>
      <c r="P21" s="54">
        <v>0.83</v>
      </c>
      <c r="Q21" s="54">
        <v>5.14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7.25</v>
      </c>
      <c r="C22" s="54">
        <v>16.829999999999998</v>
      </c>
      <c r="D22" s="54">
        <v>16.399999999999999</v>
      </c>
      <c r="E22" s="55" t="s">
        <v>14</v>
      </c>
      <c r="F22" s="54">
        <v>3.49</v>
      </c>
      <c r="G22" s="54">
        <v>61.35</v>
      </c>
      <c r="H22" s="54">
        <v>14.53</v>
      </c>
      <c r="I22" s="54">
        <v>1.49</v>
      </c>
      <c r="J22" s="54">
        <v>0.71</v>
      </c>
      <c r="K22" s="54">
        <v>151.52000000000001</v>
      </c>
      <c r="L22" s="54">
        <v>31.91</v>
      </c>
      <c r="M22" s="54">
        <v>43.23</v>
      </c>
      <c r="N22" s="54">
        <v>718.90</v>
      </c>
      <c r="O22" s="54">
        <v>0</v>
      </c>
      <c r="P22" s="54">
        <v>0.59</v>
      </c>
      <c r="Q22" s="54">
        <v>5.52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4.54</v>
      </c>
      <c r="C23" s="54">
        <v>18.309999999999999</v>
      </c>
      <c r="D23" s="54">
        <v>15.04</v>
      </c>
      <c r="E23" s="55" t="s">
        <v>14</v>
      </c>
      <c r="F23" s="54">
        <v>2.36</v>
      </c>
      <c r="G23" s="54">
        <v>84.76</v>
      </c>
      <c r="H23" s="54">
        <v>30.61</v>
      </c>
      <c r="I23" s="54">
        <v>1.54</v>
      </c>
      <c r="J23" s="54">
        <v>1.03</v>
      </c>
      <c r="K23" s="54">
        <v>150.06</v>
      </c>
      <c r="L23" s="54">
        <v>30.44</v>
      </c>
      <c r="M23" s="54">
        <v>47.47</v>
      </c>
      <c r="N23" s="54">
        <v>215.70</v>
      </c>
      <c r="O23" s="54">
        <v>0</v>
      </c>
      <c r="P23" s="54">
        <v>0.56999999999999995</v>
      </c>
      <c r="Q23" s="54">
        <v>5.51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2</v>
      </c>
      <c r="C24" s="54">
        <v>12.61</v>
      </c>
      <c r="D24" s="54">
        <v>9.85</v>
      </c>
      <c r="E24" s="55" t="s">
        <v>14</v>
      </c>
      <c r="F24" s="54">
        <v>3.40</v>
      </c>
      <c r="G24" s="54">
        <v>84.76</v>
      </c>
      <c r="H24" s="54">
        <v>30.61</v>
      </c>
      <c r="I24" s="54">
        <v>1.54</v>
      </c>
      <c r="J24" s="54">
        <v>0.44</v>
      </c>
      <c r="K24" s="54">
        <v>168.60</v>
      </c>
      <c r="L24" s="54">
        <v>29.58</v>
      </c>
      <c r="M24" s="54">
        <v>56.94</v>
      </c>
      <c r="N24" s="54">
        <v>102.5</v>
      </c>
      <c r="O24" s="54">
        <v>0</v>
      </c>
      <c r="P24" s="54">
        <v>0.49</v>
      </c>
      <c r="Q24" s="54">
        <v>5.17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5.0199999999999996</v>
      </c>
      <c r="C25" s="54">
        <v>15.57</v>
      </c>
      <c r="D25" s="54">
        <v>12.08</v>
      </c>
      <c r="E25" s="55" t="s">
        <v>14</v>
      </c>
      <c r="F25" s="54">
        <v>3.89</v>
      </c>
      <c r="G25" s="54">
        <v>53.75</v>
      </c>
      <c r="H25" s="54">
        <v>27.19</v>
      </c>
      <c r="I25" s="54">
        <v>1.55</v>
      </c>
      <c r="J25" s="54">
        <v>2.58</v>
      </c>
      <c r="K25" s="54">
        <v>350.99</v>
      </c>
      <c r="L25" s="54">
        <v>25.55</v>
      </c>
      <c r="M25" s="54">
        <v>88.89</v>
      </c>
      <c r="N25" s="54">
        <v>39.700000000000003</v>
      </c>
      <c r="O25" s="54">
        <v>0</v>
      </c>
      <c r="P25" s="54">
        <v>0.64</v>
      </c>
      <c r="Q25" s="54">
        <v>5.13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72.959999999999994</v>
      </c>
      <c r="C26" s="54">
        <v>92.20</v>
      </c>
      <c r="D26" s="54">
        <v>110.68</v>
      </c>
      <c r="E26" s="55" t="s">
        <v>14</v>
      </c>
      <c r="F26" s="54">
        <v>1.86</v>
      </c>
      <c r="G26" s="54">
        <v>71.06</v>
      </c>
      <c r="H26" s="54">
        <v>27.85</v>
      </c>
      <c r="I26" s="54">
        <v>1.55</v>
      </c>
      <c r="J26" s="54">
        <v>0.16</v>
      </c>
      <c r="K26" s="54">
        <v>333.77</v>
      </c>
      <c r="L26" s="54">
        <v>23.73</v>
      </c>
      <c r="M26" s="54">
        <v>92.70</v>
      </c>
      <c r="N26" s="54">
        <v>20.90</v>
      </c>
      <c r="O26" s="54">
        <v>0</v>
      </c>
      <c r="P26" s="54">
        <v>2.54</v>
      </c>
      <c r="Q26" s="54">
        <v>5.07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45</v>
      </c>
      <c r="C27" s="54">
        <v>99.75</v>
      </c>
      <c r="D27" s="54">
        <v>81.319999999999993</v>
      </c>
      <c r="E27" s="54">
        <v>1.65</v>
      </c>
      <c r="F27" s="54">
        <v>8.9499999999999993</v>
      </c>
      <c r="G27" s="54">
        <v>79.099999999999994</v>
      </c>
      <c r="H27" s="54">
        <v>42.55</v>
      </c>
      <c r="I27" s="54">
        <v>1.51</v>
      </c>
      <c r="J27" s="54">
        <v>0.11</v>
      </c>
      <c r="K27" s="54">
        <v>343.08</v>
      </c>
      <c r="L27" s="54">
        <v>24.63</v>
      </c>
      <c r="M27" s="54">
        <v>93.53</v>
      </c>
      <c r="N27" s="54">
        <v>10.5</v>
      </c>
      <c r="O27" s="54">
        <v>0</v>
      </c>
      <c r="P27" s="54">
        <v>1.91</v>
      </c>
      <c r="Q27" s="54">
        <v>7.81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136.09</v>
      </c>
      <c r="C28" s="54">
        <v>112.70</v>
      </c>
      <c r="D28" s="54">
        <v>167.68</v>
      </c>
      <c r="E28" s="54">
        <v>1.96</v>
      </c>
      <c r="F28" s="54">
        <v>1.04</v>
      </c>
      <c r="G28" s="54">
        <v>88.33</v>
      </c>
      <c r="H28" s="54">
        <v>42.55</v>
      </c>
      <c r="I28" s="54">
        <v>1.53</v>
      </c>
      <c r="J28" s="54">
        <v>0.04</v>
      </c>
      <c r="K28" s="54">
        <v>198.80</v>
      </c>
      <c r="L28" s="54">
        <v>23.71</v>
      </c>
      <c r="M28" s="54">
        <v>94.06</v>
      </c>
      <c r="N28" s="54">
        <v>10.10</v>
      </c>
      <c r="O28" s="54">
        <v>0</v>
      </c>
      <c r="P28" s="54">
        <v>3.71</v>
      </c>
      <c r="Q28" s="54">
        <v>3.52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174.74</v>
      </c>
      <c r="C29" s="54">
        <v>96.27</v>
      </c>
      <c r="D29" s="54">
        <v>194.55</v>
      </c>
      <c r="E29" s="54">
        <v>0.81</v>
      </c>
      <c r="F29" s="54">
        <v>1.48</v>
      </c>
      <c r="G29" s="54">
        <v>134.03</v>
      </c>
      <c r="H29" s="54">
        <v>50.93</v>
      </c>
      <c r="I29" s="54">
        <v>1.58</v>
      </c>
      <c r="J29" s="54">
        <v>0.14000000000000001</v>
      </c>
      <c r="K29" s="54">
        <v>354.49</v>
      </c>
      <c r="L29" s="54">
        <v>23.69</v>
      </c>
      <c r="M29" s="54">
        <v>98.85</v>
      </c>
      <c r="N29" s="54">
        <v>9.3000000000000007</v>
      </c>
      <c r="O29" s="54">
        <v>0</v>
      </c>
      <c r="P29" s="54">
        <v>4.3099999999999996</v>
      </c>
      <c r="Q29" s="54">
        <v>0.91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159.93</v>
      </c>
      <c r="C30" s="54">
        <v>95.65</v>
      </c>
      <c r="D30" s="54">
        <v>182.33</v>
      </c>
      <c r="E30" s="54">
        <v>0.84</v>
      </c>
      <c r="F30" s="54">
        <v>1.39</v>
      </c>
      <c r="G30" s="54">
        <v>156.33000000000001</v>
      </c>
      <c r="H30" s="54">
        <v>50.93</v>
      </c>
      <c r="I30" s="54">
        <v>1.57</v>
      </c>
      <c r="J30" s="54">
        <v>0.16</v>
      </c>
      <c r="K30" s="54">
        <v>345.85</v>
      </c>
      <c r="L30" s="54">
        <v>23.47</v>
      </c>
      <c r="M30" s="54">
        <v>98.85</v>
      </c>
      <c r="N30" s="54">
        <v>9.10</v>
      </c>
      <c r="O30" s="54">
        <v>0</v>
      </c>
      <c r="P30" s="54">
        <v>3.92</v>
      </c>
      <c r="Q30" s="54">
        <v>4.59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124.46</v>
      </c>
      <c r="C31" s="54">
        <v>74.23</v>
      </c>
      <c r="D31" s="54">
        <v>138.19</v>
      </c>
      <c r="E31" s="54">
        <v>0.75</v>
      </c>
      <c r="F31" s="54">
        <v>3.78</v>
      </c>
      <c r="G31" s="54">
        <v>163.63</v>
      </c>
      <c r="H31" s="54">
        <v>47.90</v>
      </c>
      <c r="I31" s="54">
        <v>1.51</v>
      </c>
      <c r="J31" s="54">
        <v>0.20</v>
      </c>
      <c r="K31" s="54">
        <v>309.19</v>
      </c>
      <c r="L31" s="54">
        <v>23.44</v>
      </c>
      <c r="M31" s="54">
        <v>98.84</v>
      </c>
      <c r="N31" s="54">
        <v>8.90</v>
      </c>
      <c r="O31" s="54">
        <v>0</v>
      </c>
      <c r="P31" s="54">
        <v>3.02</v>
      </c>
      <c r="Q31" s="54">
        <v>14.83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72.13</v>
      </c>
      <c r="C32" s="54">
        <v>32.57</v>
      </c>
      <c r="D32" s="54">
        <v>73.760000000000005</v>
      </c>
      <c r="E32" s="54">
        <v>0.54</v>
      </c>
      <c r="F32" s="54">
        <v>5.25</v>
      </c>
      <c r="G32" s="54">
        <v>163.63</v>
      </c>
      <c r="H32" s="54">
        <v>44.88</v>
      </c>
      <c r="I32" s="54">
        <v>1.57</v>
      </c>
      <c r="J32" s="54">
        <v>0.38</v>
      </c>
      <c r="K32" s="54">
        <v>219.12</v>
      </c>
      <c r="L32" s="54">
        <v>23.26</v>
      </c>
      <c r="M32" s="54">
        <v>95.26</v>
      </c>
      <c r="N32" s="54">
        <v>9.10</v>
      </c>
      <c r="O32" s="54">
        <v>0</v>
      </c>
      <c r="P32" s="54">
        <v>2.29</v>
      </c>
      <c r="Q32" s="54">
        <v>14.51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10</v>
      </c>
      <c r="D34" s="28">
        <f t="shared" si="0"/>
        <v>9.6799999999999997</v>
      </c>
      <c r="E34" s="28">
        <f t="shared" si="0"/>
        <v>0.54000000000000004</v>
      </c>
      <c r="F34" s="28">
        <f t="shared" si="0"/>
        <v>0.32000000000000001</v>
      </c>
      <c r="G34" s="28">
        <f t="shared" si="0"/>
        <v>53.75</v>
      </c>
      <c r="H34" s="28">
        <f t="shared" si="0"/>
        <v>14.529999999999999</v>
      </c>
      <c r="I34" s="28">
        <f t="shared" si="0"/>
        <v>1.47</v>
      </c>
      <c r="J34" s="28">
        <f t="shared" si="0"/>
        <v>0.040000000000000001</v>
      </c>
      <c r="K34" s="28">
        <f t="shared" si="0"/>
        <v>150.06</v>
      </c>
      <c r="L34" s="28">
        <f t="shared" si="0"/>
        <v>22.539999999999999</v>
      </c>
      <c r="M34" s="28">
        <f t="shared" si="0"/>
        <v>38.210000000000001</v>
      </c>
      <c r="N34" s="28">
        <f t="shared" si="0"/>
        <v>8.6999999999999993</v>
      </c>
      <c r="O34" s="28">
        <f t="shared" si="0"/>
        <v>0</v>
      </c>
      <c r="P34" s="28">
        <f t="shared" si="0"/>
        <v>0.48999999999999999</v>
      </c>
      <c r="Q34" s="28">
        <f t="shared" si="0"/>
        <v>0.91000000000000003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174.74000000000001</v>
      </c>
      <c r="C35" s="29">
        <f t="shared" si="1"/>
        <v>112.7</v>
      </c>
      <c r="D35" s="29">
        <f t="shared" si="1"/>
        <v>194.55000000000001</v>
      </c>
      <c r="E35" s="29">
        <f t="shared" si="1"/>
        <v>1.96</v>
      </c>
      <c r="F35" s="29">
        <f t="shared" si="1"/>
        <v>8.9499999999999993</v>
      </c>
      <c r="G35" s="29">
        <f t="shared" si="1"/>
        <v>163.63</v>
      </c>
      <c r="H35" s="29">
        <f t="shared" si="1"/>
        <v>50.93</v>
      </c>
      <c r="I35" s="29">
        <f t="shared" si="1"/>
        <v>1.5900000000000001</v>
      </c>
      <c r="J35" s="29">
        <f t="shared" si="1"/>
        <v>2.5800000000000001</v>
      </c>
      <c r="K35" s="29">
        <f t="shared" si="1"/>
        <v>354.49000000000001</v>
      </c>
      <c r="L35" s="29">
        <f t="shared" si="1"/>
        <v>34.229999999999997</v>
      </c>
      <c r="M35" s="29">
        <f t="shared" si="1"/>
        <v>98.849999999999994</v>
      </c>
      <c r="N35" s="29">
        <f t="shared" si="1"/>
        <v>800.29999999999995</v>
      </c>
      <c r="O35" s="29">
        <f t="shared" si="1"/>
        <v>0</v>
      </c>
      <c r="P35" s="29">
        <f t="shared" si="1"/>
        <v>4.3099999999999996</v>
      </c>
      <c r="Q35" s="29">
        <f t="shared" si="1"/>
        <v>14.83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35.62916666666667</v>
      </c>
      <c r="C36" s="28">
        <f t="shared" si="2"/>
        <v>34.742083333333333</v>
      </c>
      <c r="D36" s="28">
        <f t="shared" si="2"/>
        <v>47.923333333333325</v>
      </c>
      <c r="E36" s="28">
        <f t="shared" si="2"/>
        <v>1.328235294117647</v>
      </c>
      <c r="F36" s="28">
        <f t="shared" si="2"/>
        <v>2.2745833333333327</v>
      </c>
      <c r="G36" s="28">
        <f t="shared" si="2"/>
        <v>86.592083333333335</v>
      </c>
      <c r="H36" s="28">
        <f t="shared" si="2"/>
        <v>33.151666666666657</v>
      </c>
      <c r="I36" s="28">
        <f t="shared" si="2"/>
        <v>1.54</v>
      </c>
      <c r="J36" s="28">
        <f t="shared" si="2"/>
        <v>0.42791666666666672</v>
      </c>
      <c r="K36" s="28">
        <f t="shared" si="2"/>
        <v>269.42041666666665</v>
      </c>
      <c r="L36" s="28">
        <f t="shared" si="2"/>
        <v>26.074166666666674</v>
      </c>
      <c r="M36" s="28">
        <f t="shared" si="2"/>
        <v>79.888749999999987</v>
      </c>
      <c r="N36" s="28">
        <f t="shared" si="2"/>
        <v>202.77500000000001</v>
      </c>
      <c r="O36" s="28">
        <f t="shared" si="2"/>
        <v>0</v>
      </c>
      <c r="P36" s="28">
        <f t="shared" si="2"/>
        <v>1.4295833333333334</v>
      </c>
      <c r="Q36" s="28">
        <f t="shared" si="2"/>
        <v>5.833333333333333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56.160828443402401</v>
      </c>
      <c r="C37" s="28">
        <f t="shared" si="3" ref="C37:Q37">STDEV(C9:C32)</f>
        <v>36.354370705378159</v>
      </c>
      <c r="D37" s="28">
        <f t="shared" si="3"/>
        <v>62.540482379270841</v>
      </c>
      <c r="E37" s="28">
        <f t="shared" si="3"/>
        <v>0.47650072526332088</v>
      </c>
      <c r="F37" s="28">
        <f t="shared" si="3"/>
        <v>2.0052452504600917</v>
      </c>
      <c r="G37" s="28">
        <f t="shared" si="3"/>
        <v>33.300094265327679</v>
      </c>
      <c r="H37" s="28">
        <f t="shared" si="3"/>
        <v>9.2252963504498773</v>
      </c>
      <c r="I37" s="28">
        <f t="shared" si="3"/>
        <v>0.030216609311120121</v>
      </c>
      <c r="J37" s="28">
        <f t="shared" si="3"/>
        <v>0.52236901138751624</v>
      </c>
      <c r="K37" s="28">
        <f t="shared" si="3"/>
        <v>84.386525633625268</v>
      </c>
      <c r="L37" s="28">
        <f t="shared" si="3"/>
        <v>3.8595910085943799</v>
      </c>
      <c r="M37" s="28">
        <f t="shared" si="3"/>
        <v>20.357987709667182</v>
      </c>
      <c r="N37" s="28">
        <f t="shared" si="3"/>
        <v>299.69267918406302</v>
      </c>
      <c r="O37" s="28">
        <f t="shared" si="3"/>
        <v>0</v>
      </c>
      <c r="P37" s="28">
        <f t="shared" si="3"/>
        <v>1.1934257564808479</v>
      </c>
      <c r="Q37" s="28">
        <f t="shared" si="3"/>
        <v>2.9375480261260583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COUNT(E9:E32)+7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4f7755-9551-4f86-9f95-108214c13f04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57.57</v>
      </c>
      <c r="C9" s="54">
        <v>25.27</v>
      </c>
      <c r="D9" s="54">
        <v>58.36</v>
      </c>
      <c r="E9" s="54">
        <v>0.5</v>
      </c>
      <c r="F9" s="54">
        <v>7.33</v>
      </c>
      <c r="G9" s="54">
        <v>123.83</v>
      </c>
      <c r="H9" s="54">
        <v>29.61</v>
      </c>
      <c r="I9" s="54">
        <v>1.51</v>
      </c>
      <c r="J9" s="54">
        <v>0.14000000000000001</v>
      </c>
      <c r="K9" s="54">
        <v>303.74</v>
      </c>
      <c r="L9" s="54">
        <v>22.53</v>
      </c>
      <c r="M9" s="54">
        <v>98.84</v>
      </c>
      <c r="N9" s="54">
        <v>9</v>
      </c>
      <c r="O9" s="54">
        <v>0</v>
      </c>
      <c r="P9" s="54">
        <v>2.0099999999999998</v>
      </c>
      <c r="Q9" s="54">
        <v>14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39.369999999999997</v>
      </c>
      <c r="C10" s="54">
        <v>28.37</v>
      </c>
      <c r="D10" s="54">
        <v>46.47</v>
      </c>
      <c r="E10" s="54">
        <v>0.45</v>
      </c>
      <c r="F10" s="54">
        <v>3.31</v>
      </c>
      <c r="G10" s="54">
        <v>103.89</v>
      </c>
      <c r="H10" s="54">
        <v>17.77</v>
      </c>
      <c r="I10" s="54">
        <v>1.51</v>
      </c>
      <c r="J10" s="54">
        <v>0.10</v>
      </c>
      <c r="K10" s="54">
        <v>334.52</v>
      </c>
      <c r="L10" s="54">
        <v>21.79</v>
      </c>
      <c r="M10" s="54">
        <v>98.89</v>
      </c>
      <c r="N10" s="54">
        <v>8.6999999999999993</v>
      </c>
      <c r="O10" s="54">
        <v>0</v>
      </c>
      <c r="P10" s="54">
        <v>1.41</v>
      </c>
      <c r="Q10" s="54">
        <v>12.10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44.44</v>
      </c>
      <c r="C11" s="54">
        <v>22</v>
      </c>
      <c r="D11" s="54">
        <v>46.01</v>
      </c>
      <c r="E11" s="54">
        <v>0.56000000000000005</v>
      </c>
      <c r="F11" s="54">
        <v>3.17</v>
      </c>
      <c r="G11" s="54">
        <v>88.70</v>
      </c>
      <c r="H11" s="54">
        <v>77.81</v>
      </c>
      <c r="I11" s="54">
        <v>1.5</v>
      </c>
      <c r="J11" s="54">
        <v>0.23</v>
      </c>
      <c r="K11" s="54">
        <v>337.03</v>
      </c>
      <c r="L11" s="54">
        <v>21.98</v>
      </c>
      <c r="M11" s="54">
        <v>98.88</v>
      </c>
      <c r="N11" s="54">
        <v>8.8000000000000007</v>
      </c>
      <c r="O11" s="54">
        <v>0</v>
      </c>
      <c r="P11" s="54">
        <v>1.58</v>
      </c>
      <c r="Q11" s="54">
        <v>10.80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39.26</v>
      </c>
      <c r="C12" s="54">
        <v>25.66</v>
      </c>
      <c r="D12" s="54">
        <v>40.98</v>
      </c>
      <c r="E12" s="54">
        <v>0.5</v>
      </c>
      <c r="F12" s="54">
        <v>1.66</v>
      </c>
      <c r="G12" s="54">
        <v>78.14</v>
      </c>
      <c r="H12" s="54">
        <v>77.81</v>
      </c>
      <c r="I12" s="54">
        <v>1.55</v>
      </c>
      <c r="J12" s="54">
        <v>0.38</v>
      </c>
      <c r="K12" s="54">
        <v>334.71</v>
      </c>
      <c r="L12" s="54">
        <v>22.08</v>
      </c>
      <c r="M12" s="54">
        <v>98.89</v>
      </c>
      <c r="N12" s="54">
        <v>8.8000000000000007</v>
      </c>
      <c r="O12" s="54">
        <v>0</v>
      </c>
      <c r="P12" s="54">
        <v>1.42</v>
      </c>
      <c r="Q12" s="54">
        <v>9.6999999999999993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28.84</v>
      </c>
      <c r="C13" s="54">
        <v>21.35</v>
      </c>
      <c r="D13" s="54">
        <v>36.200000000000003</v>
      </c>
      <c r="E13" s="54">
        <v>0.39</v>
      </c>
      <c r="F13" s="54">
        <v>2.29</v>
      </c>
      <c r="G13" s="54">
        <v>78.14</v>
      </c>
      <c r="H13" s="54">
        <v>78.06</v>
      </c>
      <c r="I13" s="54">
        <v>1.49</v>
      </c>
      <c r="J13" s="54">
        <v>0.15</v>
      </c>
      <c r="K13" s="54">
        <v>174.25</v>
      </c>
      <c r="L13" s="54">
        <v>21.90</v>
      </c>
      <c r="M13" s="54">
        <v>98.89</v>
      </c>
      <c r="N13" s="54">
        <v>9.10</v>
      </c>
      <c r="O13" s="54">
        <v>0</v>
      </c>
      <c r="P13" s="54">
        <v>1.1000000000000001</v>
      </c>
      <c r="Q13" s="54">
        <v>8.77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41.21</v>
      </c>
      <c r="C14" s="54">
        <v>25.39</v>
      </c>
      <c r="D14" s="54">
        <v>45.83</v>
      </c>
      <c r="E14" s="54">
        <v>0.48</v>
      </c>
      <c r="F14" s="54">
        <v>0.59</v>
      </c>
      <c r="G14" s="54">
        <v>80.42</v>
      </c>
      <c r="H14" s="54">
        <v>78.06</v>
      </c>
      <c r="I14" s="54">
        <v>1.53</v>
      </c>
      <c r="J14" s="54">
        <v>0.08</v>
      </c>
      <c r="K14" s="54">
        <v>342.39</v>
      </c>
      <c r="L14" s="54">
        <v>21.62</v>
      </c>
      <c r="M14" s="54">
        <v>98.90</v>
      </c>
      <c r="N14" s="54">
        <v>14</v>
      </c>
      <c r="O14" s="54">
        <v>0</v>
      </c>
      <c r="P14" s="54">
        <v>1.1399999999999999</v>
      </c>
      <c r="Q14" s="54">
        <v>7.72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52.76</v>
      </c>
      <c r="C15" s="54">
        <v>41.14</v>
      </c>
      <c r="D15" s="54">
        <v>66.31</v>
      </c>
      <c r="E15" s="54">
        <v>0.48</v>
      </c>
      <c r="F15" s="54">
        <v>1.83</v>
      </c>
      <c r="G15" s="54">
        <v>105.64</v>
      </c>
      <c r="H15" s="54">
        <v>68.5</v>
      </c>
      <c r="I15" s="54">
        <v>1.55</v>
      </c>
      <c r="J15" s="54">
        <v>0.11</v>
      </c>
      <c r="K15" s="54">
        <v>279.16000000000003</v>
      </c>
      <c r="L15" s="54">
        <v>22.53</v>
      </c>
      <c r="M15" s="54">
        <v>98.89</v>
      </c>
      <c r="N15" s="54">
        <v>102</v>
      </c>
      <c r="O15" s="54">
        <v>0</v>
      </c>
      <c r="P15" s="54">
        <v>1.20</v>
      </c>
      <c r="Q15" s="54">
        <v>7.89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34.49</v>
      </c>
      <c r="C16" s="54">
        <v>15.24</v>
      </c>
      <c r="D16" s="54">
        <v>36.58</v>
      </c>
      <c r="E16" s="54">
        <v>0.47</v>
      </c>
      <c r="F16" s="54">
        <v>2.54</v>
      </c>
      <c r="G16" s="54">
        <v>105.64</v>
      </c>
      <c r="H16" s="54">
        <v>68.5</v>
      </c>
      <c r="I16" s="54">
        <v>1.49</v>
      </c>
      <c r="J16" s="54">
        <v>0.64</v>
      </c>
      <c r="K16" s="54">
        <v>188.73</v>
      </c>
      <c r="L16" s="54">
        <v>25.70</v>
      </c>
      <c r="M16" s="54">
        <v>97.99</v>
      </c>
      <c r="N16" s="54">
        <v>306.80</v>
      </c>
      <c r="O16" s="54">
        <v>0</v>
      </c>
      <c r="P16" s="54">
        <v>1.17</v>
      </c>
      <c r="Q16" s="54">
        <v>8.11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27.05</v>
      </c>
      <c r="C17" s="54">
        <v>17.72</v>
      </c>
      <c r="D17" s="54">
        <v>32.770000000000003</v>
      </c>
      <c r="E17" s="54">
        <v>0.30</v>
      </c>
      <c r="F17" s="54">
        <v>6.61</v>
      </c>
      <c r="G17" s="54">
        <v>87.63</v>
      </c>
      <c r="H17" s="54">
        <v>7.80</v>
      </c>
      <c r="I17" s="54">
        <v>1.49</v>
      </c>
      <c r="J17" s="54">
        <v>0.52</v>
      </c>
      <c r="K17" s="54">
        <v>151.40</v>
      </c>
      <c r="L17" s="54">
        <v>29.45</v>
      </c>
      <c r="M17" s="54">
        <v>77.27</v>
      </c>
      <c r="N17" s="54">
        <v>556.29999999999995</v>
      </c>
      <c r="O17" s="54">
        <v>0</v>
      </c>
      <c r="P17" s="54">
        <v>1.05</v>
      </c>
      <c r="Q17" s="54">
        <v>7.96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19.63</v>
      </c>
      <c r="C18" s="54">
        <v>20.53</v>
      </c>
      <c r="D18" s="54">
        <v>28.36</v>
      </c>
      <c r="E18" s="54">
        <v>0.32</v>
      </c>
      <c r="F18" s="54">
        <v>9.9700000000000006</v>
      </c>
      <c r="G18" s="55" t="s">
        <v>14</v>
      </c>
      <c r="H18" s="55" t="s">
        <v>14</v>
      </c>
      <c r="I18" s="54">
        <v>1.52</v>
      </c>
      <c r="J18" s="54">
        <v>1.1499999999999999</v>
      </c>
      <c r="K18" s="54">
        <v>153.38</v>
      </c>
      <c r="L18" s="54">
        <v>29.43</v>
      </c>
      <c r="M18" s="54">
        <v>60.49</v>
      </c>
      <c r="N18" s="54">
        <v>736.30</v>
      </c>
      <c r="O18" s="54">
        <v>0</v>
      </c>
      <c r="P18" s="54">
        <v>0.94</v>
      </c>
      <c r="Q18" s="54">
        <v>7.26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13.33</v>
      </c>
      <c r="C19" s="54">
        <v>20.38</v>
      </c>
      <c r="D19" s="54">
        <v>21.58</v>
      </c>
      <c r="E19" s="54">
        <v>0.36</v>
      </c>
      <c r="F19" s="54">
        <v>13.35</v>
      </c>
      <c r="G19" s="55" t="s">
        <v>14</v>
      </c>
      <c r="H19" s="55" t="s">
        <v>14</v>
      </c>
      <c r="I19" s="54">
        <v>1.53</v>
      </c>
      <c r="J19" s="54">
        <v>0.89</v>
      </c>
      <c r="K19" s="54">
        <v>149.41</v>
      </c>
      <c r="L19" s="54">
        <v>30.95</v>
      </c>
      <c r="M19" s="54">
        <v>60.16</v>
      </c>
      <c r="N19" s="54">
        <v>140.80000000000001</v>
      </c>
      <c r="O19" s="54">
        <v>0</v>
      </c>
      <c r="P19" s="54">
        <v>0.90</v>
      </c>
      <c r="Q19" s="54">
        <v>6.58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3.04</v>
      </c>
      <c r="C20" s="54">
        <v>18.45</v>
      </c>
      <c r="D20" s="54">
        <v>13.92</v>
      </c>
      <c r="E20" s="54">
        <v>0.40</v>
      </c>
      <c r="F20" s="54">
        <v>10.07</v>
      </c>
      <c r="G20" s="55" t="s">
        <v>14</v>
      </c>
      <c r="H20" s="55" t="s">
        <v>14</v>
      </c>
      <c r="I20" s="54">
        <v>1.53</v>
      </c>
      <c r="J20" s="54">
        <v>0.90</v>
      </c>
      <c r="K20" s="54">
        <v>149.85</v>
      </c>
      <c r="L20" s="54">
        <v>30.43</v>
      </c>
      <c r="M20" s="54">
        <v>52.47</v>
      </c>
      <c r="N20" s="55" t="s">
        <v>14</v>
      </c>
      <c r="O20" s="54">
        <v>0</v>
      </c>
      <c r="P20" s="54">
        <v>0.71</v>
      </c>
      <c r="Q20" s="54">
        <v>5.29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2</v>
      </c>
      <c r="C21" s="54">
        <v>13.76</v>
      </c>
      <c r="D21" s="54">
        <v>10.49</v>
      </c>
      <c r="E21" s="5" t="s">
        <v>14</v>
      </c>
      <c r="F21" s="54">
        <v>12.5</v>
      </c>
      <c r="G21" s="54">
        <v>72.47</v>
      </c>
      <c r="H21" s="54">
        <v>25.44</v>
      </c>
      <c r="I21" s="54">
        <v>1.59</v>
      </c>
      <c r="J21" s="54">
        <v>1.17</v>
      </c>
      <c r="K21" s="54">
        <v>149.07</v>
      </c>
      <c r="L21" s="54">
        <v>30.21</v>
      </c>
      <c r="M21" s="54">
        <v>52.38</v>
      </c>
      <c r="N21" s="55" t="s">
        <v>14</v>
      </c>
      <c r="O21" s="54">
        <v>0</v>
      </c>
      <c r="P21" s="54">
        <v>0.52</v>
      </c>
      <c r="Q21" s="54">
        <v>5.0999999999999996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2</v>
      </c>
      <c r="C22" s="54">
        <v>12.36</v>
      </c>
      <c r="D22" s="54">
        <v>9.7200000000000006</v>
      </c>
      <c r="E22" s="54">
        <v>2.48</v>
      </c>
      <c r="F22" s="54">
        <v>14.24</v>
      </c>
      <c r="G22" s="54">
        <v>53.19</v>
      </c>
      <c r="H22" s="54">
        <v>25.44</v>
      </c>
      <c r="I22" s="54">
        <v>1.5</v>
      </c>
      <c r="J22" s="54">
        <v>0.44</v>
      </c>
      <c r="K22" s="54">
        <v>157.51</v>
      </c>
      <c r="L22" s="54">
        <v>30.44</v>
      </c>
      <c r="M22" s="54">
        <v>49.63</v>
      </c>
      <c r="N22" s="54">
        <v>282.20</v>
      </c>
      <c r="O22" s="54">
        <v>0</v>
      </c>
      <c r="P22" s="54">
        <v>0.43</v>
      </c>
      <c r="Q22" s="54">
        <v>5.18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4.3899999999999997</v>
      </c>
      <c r="C23" s="54">
        <v>20.85</v>
      </c>
      <c r="D23" s="54">
        <v>16.32</v>
      </c>
      <c r="E23" s="54">
        <v>0.39</v>
      </c>
      <c r="F23" s="54">
        <v>13.59</v>
      </c>
      <c r="G23" s="54">
        <v>69.20</v>
      </c>
      <c r="H23" s="54">
        <v>49.98</v>
      </c>
      <c r="I23" s="54">
        <v>1.53</v>
      </c>
      <c r="J23" s="54">
        <v>0.26</v>
      </c>
      <c r="K23" s="54">
        <v>166.60</v>
      </c>
      <c r="L23" s="54">
        <v>30.10</v>
      </c>
      <c r="M23" s="54">
        <v>52.26</v>
      </c>
      <c r="N23" s="54">
        <v>230.60</v>
      </c>
      <c r="O23" s="54">
        <v>0</v>
      </c>
      <c r="P23" s="54">
        <v>0.52</v>
      </c>
      <c r="Q23" s="54">
        <v>5.17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7.33</v>
      </c>
      <c r="C24" s="54">
        <v>30.39</v>
      </c>
      <c r="D24" s="54">
        <v>23.94</v>
      </c>
      <c r="E24" s="54">
        <v>0.5</v>
      </c>
      <c r="F24" s="54">
        <v>26.17</v>
      </c>
      <c r="G24" s="54">
        <v>69.20</v>
      </c>
      <c r="H24" s="54">
        <v>49.98</v>
      </c>
      <c r="I24" s="54">
        <v>1.55</v>
      </c>
      <c r="J24" s="54">
        <v>0.24</v>
      </c>
      <c r="K24" s="54">
        <v>346.37</v>
      </c>
      <c r="L24" s="54">
        <v>30.25</v>
      </c>
      <c r="M24" s="54">
        <v>52.12</v>
      </c>
      <c r="N24" s="54">
        <v>144.90</v>
      </c>
      <c r="O24" s="54">
        <v>0</v>
      </c>
      <c r="P24" s="54">
        <v>0.63</v>
      </c>
      <c r="Q24" s="54">
        <v>4.70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13.45</v>
      </c>
      <c r="C25" s="54">
        <v>49.41</v>
      </c>
      <c r="D25" s="54">
        <v>39.35</v>
      </c>
      <c r="E25" s="54">
        <v>0.52</v>
      </c>
      <c r="F25" s="54">
        <v>29.06</v>
      </c>
      <c r="G25" s="54">
        <v>64.47</v>
      </c>
      <c r="H25" s="54">
        <v>28.35</v>
      </c>
      <c r="I25" s="54">
        <v>1.5</v>
      </c>
      <c r="J25" s="54">
        <v>0.43</v>
      </c>
      <c r="K25" s="54">
        <v>343.58</v>
      </c>
      <c r="L25" s="54">
        <v>30.14</v>
      </c>
      <c r="M25" s="54">
        <v>50.89</v>
      </c>
      <c r="N25" s="54">
        <v>111.80</v>
      </c>
      <c r="O25" s="54">
        <v>0</v>
      </c>
      <c r="P25" s="54">
        <v>0.99</v>
      </c>
      <c r="Q25" s="54">
        <v>3.91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48.73</v>
      </c>
      <c r="C26" s="54">
        <v>75.20</v>
      </c>
      <c r="D26" s="54">
        <v>81.87</v>
      </c>
      <c r="E26" s="54">
        <v>0.66</v>
      </c>
      <c r="F26" s="54">
        <v>31.06</v>
      </c>
      <c r="G26" s="54">
        <v>70.36</v>
      </c>
      <c r="H26" s="54">
        <v>23.40</v>
      </c>
      <c r="I26" s="54">
        <v>1.5</v>
      </c>
      <c r="J26" s="54">
        <v>0.070000000000000007</v>
      </c>
      <c r="K26" s="54">
        <v>351.34</v>
      </c>
      <c r="L26" s="54">
        <v>28.33</v>
      </c>
      <c r="M26" s="54">
        <v>60.49</v>
      </c>
      <c r="N26" s="54">
        <v>25.90</v>
      </c>
      <c r="O26" s="54">
        <v>0</v>
      </c>
      <c r="P26" s="54">
        <v>1.99</v>
      </c>
      <c r="Q26" s="54">
        <v>4.46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55.40</v>
      </c>
      <c r="C27" s="54">
        <v>99.19</v>
      </c>
      <c r="D27" s="54">
        <v>91.69</v>
      </c>
      <c r="E27" s="54">
        <v>0.64</v>
      </c>
      <c r="F27" s="54">
        <v>3</v>
      </c>
      <c r="G27" s="54">
        <v>230.98</v>
      </c>
      <c r="H27" s="54">
        <v>61.75</v>
      </c>
      <c r="I27" s="54">
        <v>1.56</v>
      </c>
      <c r="J27" s="54">
        <v>0.06</v>
      </c>
      <c r="K27" s="54">
        <v>357.11</v>
      </c>
      <c r="L27" s="54">
        <v>26.36</v>
      </c>
      <c r="M27" s="54">
        <v>67.819999999999993</v>
      </c>
      <c r="N27" s="54">
        <v>9.10</v>
      </c>
      <c r="O27" s="54">
        <v>0</v>
      </c>
      <c r="P27" s="54">
        <v>2.70</v>
      </c>
      <c r="Q27" s="54">
        <v>1.5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95.89</v>
      </c>
      <c r="C28" s="54">
        <v>115.11</v>
      </c>
      <c r="D28" s="54">
        <v>141.71</v>
      </c>
      <c r="E28" s="54">
        <v>0.73</v>
      </c>
      <c r="F28" s="54">
        <v>1.54</v>
      </c>
      <c r="G28" s="54">
        <v>230.98</v>
      </c>
      <c r="H28" s="54">
        <v>61.75</v>
      </c>
      <c r="I28" s="54">
        <v>1.57</v>
      </c>
      <c r="J28" s="54">
        <v>0.11</v>
      </c>
      <c r="K28" s="54">
        <v>325.29000000000002</v>
      </c>
      <c r="L28" s="54">
        <v>25.49</v>
      </c>
      <c r="M28" s="54">
        <v>79.86</v>
      </c>
      <c r="N28" s="54">
        <v>9</v>
      </c>
      <c r="O28" s="54">
        <v>0</v>
      </c>
      <c r="P28" s="54">
        <v>3.42</v>
      </c>
      <c r="Q28" s="54">
        <v>2.21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60.34</v>
      </c>
      <c r="C29" s="54">
        <v>79.650000000000006</v>
      </c>
      <c r="D29" s="54">
        <v>91.89</v>
      </c>
      <c r="E29" s="54">
        <v>0.51</v>
      </c>
      <c r="F29" s="54">
        <v>1.55</v>
      </c>
      <c r="G29" s="54">
        <v>219.55</v>
      </c>
      <c r="H29" s="54">
        <v>51.19</v>
      </c>
      <c r="I29" s="54">
        <v>1.55</v>
      </c>
      <c r="J29" s="54">
        <v>0.13</v>
      </c>
      <c r="K29" s="54">
        <v>282.26</v>
      </c>
      <c r="L29" s="54">
        <v>24.89</v>
      </c>
      <c r="M29" s="54">
        <v>82.13</v>
      </c>
      <c r="N29" s="54">
        <v>9</v>
      </c>
      <c r="O29" s="54">
        <v>0</v>
      </c>
      <c r="P29" s="54">
        <v>2.1800000000000002</v>
      </c>
      <c r="Q29" s="54">
        <v>4.6900000000000004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102.89</v>
      </c>
      <c r="C30" s="54">
        <v>79.91</v>
      </c>
      <c r="D30" s="54">
        <v>127.90</v>
      </c>
      <c r="E30" s="54">
        <v>0.48</v>
      </c>
      <c r="F30" s="54">
        <v>1.70</v>
      </c>
      <c r="G30" s="54">
        <v>222.16</v>
      </c>
      <c r="H30" s="54">
        <v>57.48</v>
      </c>
      <c r="I30" s="54">
        <v>1.54</v>
      </c>
      <c r="J30" s="54">
        <v>0.09</v>
      </c>
      <c r="K30" s="54">
        <v>325.95</v>
      </c>
      <c r="L30" s="54">
        <v>24.34</v>
      </c>
      <c r="M30" s="54">
        <v>89.29</v>
      </c>
      <c r="N30" s="54">
        <v>9</v>
      </c>
      <c r="O30" s="54">
        <v>0</v>
      </c>
      <c r="P30" s="54">
        <v>3.23</v>
      </c>
      <c r="Q30" s="54">
        <v>5.88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44.08</v>
      </c>
      <c r="C31" s="54">
        <v>59.83</v>
      </c>
      <c r="D31" s="54">
        <v>62.44</v>
      </c>
      <c r="E31" s="54">
        <v>0.28000000000000003</v>
      </c>
      <c r="F31" s="54">
        <v>12.40</v>
      </c>
      <c r="G31" s="54">
        <v>222.16</v>
      </c>
      <c r="H31" s="54">
        <v>57.48</v>
      </c>
      <c r="I31" s="54">
        <v>1.49</v>
      </c>
      <c r="J31" s="54">
        <v>0.11</v>
      </c>
      <c r="K31" s="54">
        <v>345.5</v>
      </c>
      <c r="L31" s="54">
        <v>24.08</v>
      </c>
      <c r="M31" s="54">
        <v>87.59</v>
      </c>
      <c r="N31" s="54">
        <v>9.10</v>
      </c>
      <c r="O31" s="54">
        <v>0</v>
      </c>
      <c r="P31" s="54">
        <v>1.70</v>
      </c>
      <c r="Q31" s="54">
        <v>9.16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41.44</v>
      </c>
      <c r="C32" s="54">
        <v>48.33</v>
      </c>
      <c r="D32" s="54">
        <v>57.08</v>
      </c>
      <c r="E32" s="54">
        <v>0.25</v>
      </c>
      <c r="F32" s="54">
        <v>2.4700000000000002</v>
      </c>
      <c r="G32" s="54">
        <v>133.82</v>
      </c>
      <c r="H32" s="54">
        <v>39.380000000000003</v>
      </c>
      <c r="I32" s="54">
        <v>1.57</v>
      </c>
      <c r="J32" s="54">
        <v>0.12</v>
      </c>
      <c r="K32" s="54">
        <v>302.68</v>
      </c>
      <c r="L32" s="54">
        <v>23.24</v>
      </c>
      <c r="M32" s="54">
        <v>93.41</v>
      </c>
      <c r="N32" s="54">
        <v>8.90</v>
      </c>
      <c r="O32" s="54">
        <v>0</v>
      </c>
      <c r="P32" s="54">
        <v>1.62</v>
      </c>
      <c r="Q32" s="54">
        <v>8.02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12.359999999999999</v>
      </c>
      <c r="D34" s="28">
        <f t="shared" si="0"/>
        <v>9.7200000000000006</v>
      </c>
      <c r="E34" s="28">
        <f t="shared" si="0"/>
        <v>0.25</v>
      </c>
      <c r="F34" s="28">
        <f t="shared" si="0"/>
        <v>0.58999999999999997</v>
      </c>
      <c r="G34" s="28">
        <f t="shared" si="0"/>
        <v>53.189999999999998</v>
      </c>
      <c r="H34" s="28">
        <f t="shared" si="0"/>
        <v>7.7999999999999998</v>
      </c>
      <c r="I34" s="28">
        <f t="shared" si="0"/>
        <v>1.49</v>
      </c>
      <c r="J34" s="28">
        <f t="shared" si="0"/>
        <v>0.059999999999999998</v>
      </c>
      <c r="K34" s="28">
        <f t="shared" si="0"/>
        <v>149.06999999999999</v>
      </c>
      <c r="L34" s="28">
        <f t="shared" si="0"/>
        <v>21.620000000000001</v>
      </c>
      <c r="M34" s="28">
        <f t="shared" si="0"/>
        <v>49.630000000000003</v>
      </c>
      <c r="N34" s="28">
        <f t="shared" si="0"/>
        <v>8.6999999999999993</v>
      </c>
      <c r="O34" s="28">
        <f t="shared" si="0"/>
        <v>0</v>
      </c>
      <c r="P34" s="28">
        <f t="shared" si="0"/>
        <v>0.42999999999999999</v>
      </c>
      <c r="Q34" s="28">
        <f t="shared" si="0"/>
        <v>1.5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102.89</v>
      </c>
      <c r="C35" s="29">
        <f t="shared" si="1"/>
        <v>115.11</v>
      </c>
      <c r="D35" s="29">
        <f t="shared" si="1"/>
        <v>141.71000000000001</v>
      </c>
      <c r="E35" s="29">
        <f t="shared" si="1"/>
        <v>2.48</v>
      </c>
      <c r="F35" s="29">
        <f t="shared" si="1"/>
        <v>31.059999999999999</v>
      </c>
      <c r="G35" s="29">
        <f t="shared" si="1"/>
        <v>230.97999999999999</v>
      </c>
      <c r="H35" s="29">
        <f t="shared" si="1"/>
        <v>78.060000000000002</v>
      </c>
      <c r="I35" s="29">
        <f t="shared" si="1"/>
        <v>1.5900000000000001</v>
      </c>
      <c r="J35" s="29">
        <f t="shared" si="1"/>
        <v>1.1699999999999999</v>
      </c>
      <c r="K35" s="29">
        <f t="shared" si="1"/>
        <v>357.11000000000001</v>
      </c>
      <c r="L35" s="29">
        <f t="shared" si="1"/>
        <v>30.949999999999999</v>
      </c>
      <c r="M35" s="29">
        <f t="shared" si="1"/>
        <v>98.900000000000006</v>
      </c>
      <c r="N35" s="29">
        <f t="shared" si="1"/>
        <v>736.29999999999995</v>
      </c>
      <c r="O35" s="29">
        <f t="shared" si="1"/>
        <v>0</v>
      </c>
      <c r="P35" s="29">
        <f t="shared" si="1"/>
        <v>3.4199999999999999</v>
      </c>
      <c r="Q35" s="29">
        <f t="shared" si="1"/>
        <v>14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36.622083333333336</v>
      </c>
      <c r="C36" s="28">
        <f t="shared" si="2"/>
        <v>40.228749999999998</v>
      </c>
      <c r="D36" s="28">
        <f t="shared" si="2"/>
        <v>51.157083333333333</v>
      </c>
      <c r="E36" s="28">
        <f t="shared" si="2"/>
        <v>0.55000000000000004</v>
      </c>
      <c r="F36" s="28">
        <f t="shared" si="2"/>
        <v>8.8333333333333339</v>
      </c>
      <c r="G36" s="28">
        <f t="shared" si="2"/>
        <v>119.5509523809524</v>
      </c>
      <c r="H36" s="28">
        <f t="shared" si="2"/>
        <v>49.311428571428578</v>
      </c>
      <c r="I36" s="28">
        <f t="shared" si="2"/>
        <v>1.5270833333333336</v>
      </c>
      <c r="J36" s="28">
        <f t="shared" si="2"/>
        <v>0.35499999999999998</v>
      </c>
      <c r="K36" s="28">
        <f t="shared" si="2"/>
        <v>264.65958333333327</v>
      </c>
      <c r="L36" s="28">
        <f t="shared" si="2"/>
        <v>26.177499999999998</v>
      </c>
      <c r="M36" s="28">
        <f t="shared" si="2"/>
        <v>77.434583333333322</v>
      </c>
      <c r="N36" s="28">
        <f t="shared" si="2"/>
        <v>125.00454545454545</v>
      </c>
      <c r="O36" s="28">
        <f t="shared" si="2"/>
        <v>0</v>
      </c>
      <c r="P36" s="28">
        <f t="shared" si="2"/>
        <v>1.4399999999999995</v>
      </c>
      <c r="Q36" s="28">
        <f t="shared" si="2"/>
        <v>6.9233333333333347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27.016604230855265</v>
      </c>
      <c r="C37" s="28">
        <f t="shared" si="3" ref="C37:Q37">STDEV(C9:C32)</f>
        <v>29.335209637166756</v>
      </c>
      <c r="D37" s="28">
        <f t="shared" si="3"/>
        <v>34.878055699595095</v>
      </c>
      <c r="E37" s="28">
        <f t="shared" si="3"/>
        <v>0.43728501211244564</v>
      </c>
      <c r="F37" s="28">
        <f t="shared" si="3"/>
        <v>8.9861069902700201</v>
      </c>
      <c r="G37" s="28">
        <f t="shared" si="3"/>
        <v>63.568979298456689</v>
      </c>
      <c r="H37" s="28">
        <f t="shared" si="3"/>
        <v>22.266931150410951</v>
      </c>
      <c r="I37" s="28">
        <f t="shared" si="3"/>
        <v>0.029558956071857011</v>
      </c>
      <c r="J37" s="28">
        <f t="shared" si="3"/>
        <v>0.34844998393506604</v>
      </c>
      <c r="K37" s="28">
        <f t="shared" si="3"/>
        <v>85.354677540716722</v>
      </c>
      <c r="L37" s="28">
        <f t="shared" si="3"/>
        <v>3.5325557320444343</v>
      </c>
      <c r="M37" s="28">
        <f t="shared" si="3"/>
        <v>19.932418422426025</v>
      </c>
      <c r="N37" s="28">
        <f t="shared" si="3"/>
        <v>195.20986625454384</v>
      </c>
      <c r="O37" s="28">
        <f t="shared" si="3"/>
        <v>0</v>
      </c>
      <c r="P37" s="28">
        <f t="shared" si="3"/>
        <v>0.81139171904766905</v>
      </c>
      <c r="Q37" s="28">
        <f t="shared" si="3"/>
        <v>2.9739136367488159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COUNT(N9:N32)+2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fa5195-3da0-49a7-b327-fe53e912c75a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37.31</v>
      </c>
      <c r="C9" s="54">
        <v>45.17</v>
      </c>
      <c r="D9" s="54">
        <v>45.10</v>
      </c>
      <c r="E9" s="54">
        <v>0.27</v>
      </c>
      <c r="F9" s="54">
        <v>6.72</v>
      </c>
      <c r="G9" s="54">
        <v>133.82</v>
      </c>
      <c r="H9" s="54">
        <v>39.409999999999997</v>
      </c>
      <c r="I9" s="54">
        <v>1.57</v>
      </c>
      <c r="J9" s="54">
        <v>0.14000000000000001</v>
      </c>
      <c r="K9" s="54">
        <v>297.87</v>
      </c>
      <c r="L9" s="54">
        <v>22.92</v>
      </c>
      <c r="M9" s="54">
        <v>93.22</v>
      </c>
      <c r="N9" s="54">
        <v>8.90</v>
      </c>
      <c r="O9" s="54">
        <v>0</v>
      </c>
      <c r="P9" s="54">
        <v>1.63</v>
      </c>
      <c r="Q9" s="54">
        <v>8.17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26.73</v>
      </c>
      <c r="C10" s="54">
        <v>24.65</v>
      </c>
      <c r="D10" s="54">
        <v>34.590000000000003</v>
      </c>
      <c r="E10" s="54">
        <v>0.35</v>
      </c>
      <c r="F10" s="54">
        <v>8.5399999999999991</v>
      </c>
      <c r="G10" s="54">
        <v>120.27</v>
      </c>
      <c r="H10" s="54">
        <v>39.409999999999997</v>
      </c>
      <c r="I10" s="54">
        <v>1.5</v>
      </c>
      <c r="J10" s="54">
        <v>0.10</v>
      </c>
      <c r="K10" s="54">
        <v>358.06</v>
      </c>
      <c r="L10" s="54">
        <v>22.93</v>
      </c>
      <c r="M10" s="54">
        <v>96.15</v>
      </c>
      <c r="N10" s="54">
        <v>8.6999999999999993</v>
      </c>
      <c r="O10" s="54">
        <v>0</v>
      </c>
      <c r="P10" s="54">
        <v>1.19</v>
      </c>
      <c r="Q10" s="54">
        <v>8.73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30.78</v>
      </c>
      <c r="C11" s="54">
        <v>17.22</v>
      </c>
      <c r="D11" s="54">
        <v>33.200000000000003</v>
      </c>
      <c r="E11" s="54">
        <v>0.30</v>
      </c>
      <c r="F11" s="54">
        <v>4.54</v>
      </c>
      <c r="G11" s="54">
        <v>82.96</v>
      </c>
      <c r="H11" s="54">
        <v>31.08</v>
      </c>
      <c r="I11" s="54">
        <v>1.52</v>
      </c>
      <c r="J11" s="54">
        <v>0.08</v>
      </c>
      <c r="K11" s="54">
        <v>309.33999999999997</v>
      </c>
      <c r="L11" s="54">
        <v>22.45</v>
      </c>
      <c r="M11" s="54">
        <v>98.84</v>
      </c>
      <c r="N11" s="54">
        <v>8.8000000000000007</v>
      </c>
      <c r="O11" s="54">
        <v>0</v>
      </c>
      <c r="P11" s="54">
        <v>1.39</v>
      </c>
      <c r="Q11" s="54">
        <v>7.61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21.87</v>
      </c>
      <c r="C12" s="54">
        <v>23.33</v>
      </c>
      <c r="D12" s="54">
        <v>26.47</v>
      </c>
      <c r="E12" s="54">
        <v>0.28000000000000003</v>
      </c>
      <c r="F12" s="54">
        <v>7.38</v>
      </c>
      <c r="G12" s="54">
        <v>61.42</v>
      </c>
      <c r="H12" s="54">
        <v>31.08</v>
      </c>
      <c r="I12" s="54">
        <v>1.57</v>
      </c>
      <c r="J12" s="54">
        <v>0.070000000000000007</v>
      </c>
      <c r="K12" s="54">
        <v>285.70999999999998</v>
      </c>
      <c r="L12" s="54">
        <v>22.51</v>
      </c>
      <c r="M12" s="54">
        <v>97.88</v>
      </c>
      <c r="N12" s="54">
        <v>9.10</v>
      </c>
      <c r="O12" s="54">
        <v>0</v>
      </c>
      <c r="P12" s="54">
        <v>1.1000000000000001</v>
      </c>
      <c r="Q12" s="54">
        <v>7.04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22.01</v>
      </c>
      <c r="C13" s="54">
        <v>25.10</v>
      </c>
      <c r="D13" s="54">
        <v>26.53</v>
      </c>
      <c r="E13" s="54">
        <v>0.34</v>
      </c>
      <c r="F13" s="54">
        <v>5.46</v>
      </c>
      <c r="G13" s="54">
        <v>71.540000000000006</v>
      </c>
      <c r="H13" s="54">
        <v>31.18</v>
      </c>
      <c r="I13" s="54">
        <v>1.52</v>
      </c>
      <c r="J13" s="54">
        <v>0.19</v>
      </c>
      <c r="K13" s="54">
        <v>217.63</v>
      </c>
      <c r="L13" s="54">
        <v>22.82</v>
      </c>
      <c r="M13" s="54">
        <v>97.36</v>
      </c>
      <c r="N13" s="54">
        <v>9.10</v>
      </c>
      <c r="O13" s="54">
        <v>0</v>
      </c>
      <c r="P13" s="54">
        <v>1.1299999999999999</v>
      </c>
      <c r="Q13" s="54">
        <v>6.73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19.440000000000001</v>
      </c>
      <c r="C14" s="54">
        <v>15.19</v>
      </c>
      <c r="D14" s="54">
        <v>23.87</v>
      </c>
      <c r="E14" s="54">
        <v>0.36</v>
      </c>
      <c r="F14" s="54">
        <v>3.32</v>
      </c>
      <c r="G14" s="54">
        <v>71.540000000000006</v>
      </c>
      <c r="H14" s="54">
        <v>31.18</v>
      </c>
      <c r="I14" s="54">
        <v>1.54</v>
      </c>
      <c r="J14" s="54">
        <v>0.21</v>
      </c>
      <c r="K14" s="54">
        <v>277.79000000000002</v>
      </c>
      <c r="L14" s="54">
        <v>22</v>
      </c>
      <c r="M14" s="54">
        <v>98.86</v>
      </c>
      <c r="N14" s="54">
        <v>13.10</v>
      </c>
      <c r="O14" s="54">
        <v>0</v>
      </c>
      <c r="P14" s="54">
        <v>1.03</v>
      </c>
      <c r="Q14" s="54">
        <v>5.84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20.74</v>
      </c>
      <c r="C15" s="54">
        <v>31.62</v>
      </c>
      <c r="D15" s="54">
        <v>33.04</v>
      </c>
      <c r="E15" s="54">
        <v>0.33</v>
      </c>
      <c r="F15" s="54">
        <v>5.09</v>
      </c>
      <c r="G15" s="54">
        <v>64.63</v>
      </c>
      <c r="H15" s="54">
        <v>16.66</v>
      </c>
      <c r="I15" s="54">
        <v>1.55</v>
      </c>
      <c r="J15" s="54">
        <v>0.11</v>
      </c>
      <c r="K15" s="54">
        <v>318.17</v>
      </c>
      <c r="L15" s="54">
        <v>23.36</v>
      </c>
      <c r="M15" s="54">
        <v>96.21</v>
      </c>
      <c r="N15" s="54">
        <v>89.60</v>
      </c>
      <c r="O15" s="54">
        <v>0</v>
      </c>
      <c r="P15" s="54">
        <v>0.96</v>
      </c>
      <c r="Q15" s="54">
        <v>5.32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18.670000000000002</v>
      </c>
      <c r="C16" s="54">
        <v>25.17</v>
      </c>
      <c r="D16" s="54">
        <v>30.15</v>
      </c>
      <c r="E16" s="54">
        <v>0.48</v>
      </c>
      <c r="F16" s="54">
        <v>4.08</v>
      </c>
      <c r="G16" s="54">
        <v>70.69</v>
      </c>
      <c r="H16" s="54">
        <v>6.72</v>
      </c>
      <c r="I16" s="54">
        <v>1.52</v>
      </c>
      <c r="J16" s="54">
        <v>0.66</v>
      </c>
      <c r="K16" s="54">
        <v>173.09</v>
      </c>
      <c r="L16" s="54">
        <v>26.74</v>
      </c>
      <c r="M16" s="54">
        <v>91.17</v>
      </c>
      <c r="N16" s="54">
        <v>319.89999999999998</v>
      </c>
      <c r="O16" s="54">
        <v>0</v>
      </c>
      <c r="P16" s="54">
        <v>0.93</v>
      </c>
      <c r="Q16" s="54">
        <v>5.07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19.010000000000002</v>
      </c>
      <c r="C17" s="54">
        <v>16.57</v>
      </c>
      <c r="D17" s="54">
        <v>24.67</v>
      </c>
      <c r="E17" s="54">
        <v>0.32</v>
      </c>
      <c r="F17" s="54">
        <v>8.4600000000000009</v>
      </c>
      <c r="G17" s="54">
        <v>110.30</v>
      </c>
      <c r="H17" s="54">
        <v>90.14</v>
      </c>
      <c r="I17" s="54">
        <v>1.52</v>
      </c>
      <c r="J17" s="54">
        <v>0.32</v>
      </c>
      <c r="K17" s="54">
        <v>347.75</v>
      </c>
      <c r="L17" s="54">
        <v>28.96</v>
      </c>
      <c r="M17" s="54">
        <v>72.709999999999994</v>
      </c>
      <c r="N17" s="54">
        <v>486.10</v>
      </c>
      <c r="O17" s="54">
        <v>0</v>
      </c>
      <c r="P17" s="54">
        <v>0.93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14.72</v>
      </c>
      <c r="C18" s="54">
        <v>26.58</v>
      </c>
      <c r="D18" s="54">
        <v>27.14</v>
      </c>
      <c r="E18" s="54">
        <v>0.32</v>
      </c>
      <c r="F18" s="54">
        <v>16.21</v>
      </c>
      <c r="G18" s="54">
        <v>119.86</v>
      </c>
      <c r="H18" s="54">
        <v>90.14</v>
      </c>
      <c r="I18" s="54">
        <v>1.51</v>
      </c>
      <c r="J18" s="54">
        <v>0.47</v>
      </c>
      <c r="K18" s="54">
        <v>354.92</v>
      </c>
      <c r="L18" s="54">
        <v>31.64</v>
      </c>
      <c r="M18" s="54">
        <v>69.59</v>
      </c>
      <c r="N18" s="54">
        <v>681.30</v>
      </c>
      <c r="O18" s="54">
        <v>0</v>
      </c>
      <c r="P18" s="54">
        <v>1.1299999999999999</v>
      </c>
      <c r="Q18" s="54">
        <v>4.99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10.08</v>
      </c>
      <c r="C19" s="54">
        <v>25.31</v>
      </c>
      <c r="D19" s="54">
        <v>22.95</v>
      </c>
      <c r="E19" s="54">
        <v>0.36</v>
      </c>
      <c r="F19" s="54">
        <v>10.78</v>
      </c>
      <c r="G19" s="55" t="s">
        <v>14</v>
      </c>
      <c r="H19" s="55" t="s">
        <v>14</v>
      </c>
      <c r="I19" s="54">
        <v>1.53</v>
      </c>
      <c r="J19" s="54">
        <v>0.78</v>
      </c>
      <c r="K19" s="54">
        <v>344.11</v>
      </c>
      <c r="L19" s="54">
        <v>34.03</v>
      </c>
      <c r="M19" s="54">
        <v>48.47</v>
      </c>
      <c r="N19" s="54">
        <v>740</v>
      </c>
      <c r="O19" s="54">
        <v>0</v>
      </c>
      <c r="P19" s="54">
        <v>1.1100000000000001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8.19</v>
      </c>
      <c r="C20" s="54">
        <v>27.02</v>
      </c>
      <c r="D20" s="54">
        <v>22.77</v>
      </c>
      <c r="E20" s="54">
        <v>0.42</v>
      </c>
      <c r="F20" s="54">
        <v>16.02</v>
      </c>
      <c r="G20" s="54">
        <v>127.62</v>
      </c>
      <c r="H20" s="54">
        <v>3.07</v>
      </c>
      <c r="I20" s="54">
        <v>1.57</v>
      </c>
      <c r="J20" s="54">
        <v>0.86</v>
      </c>
      <c r="K20" s="54">
        <v>336.85</v>
      </c>
      <c r="L20" s="54">
        <v>34.93</v>
      </c>
      <c r="M20" s="54">
        <v>42.70</v>
      </c>
      <c r="N20" s="54">
        <v>796.20</v>
      </c>
      <c r="O20" s="54">
        <v>0</v>
      </c>
      <c r="P20" s="54">
        <v>1.0900000000000001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6.51</v>
      </c>
      <c r="C21" s="54">
        <v>34.85</v>
      </c>
      <c r="D21" s="54">
        <v>25.75</v>
      </c>
      <c r="E21" s="54">
        <v>0.56999999999999995</v>
      </c>
      <c r="F21" s="54">
        <v>35.299999999999997</v>
      </c>
      <c r="G21" s="54">
        <v>108.47</v>
      </c>
      <c r="H21" s="54">
        <v>74.28</v>
      </c>
      <c r="I21" s="54">
        <v>1.53</v>
      </c>
      <c r="J21" s="54">
        <v>1.29</v>
      </c>
      <c r="K21" s="54">
        <v>356.06</v>
      </c>
      <c r="L21" s="54">
        <v>34.590000000000003</v>
      </c>
      <c r="M21" s="54">
        <v>37.020000000000003</v>
      </c>
      <c r="N21" s="54">
        <v>734.90</v>
      </c>
      <c r="O21" s="54">
        <v>0</v>
      </c>
      <c r="P21" s="54">
        <v>1.07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5.41</v>
      </c>
      <c r="C22" s="54">
        <v>25.34</v>
      </c>
      <c r="D22" s="54">
        <v>19.43</v>
      </c>
      <c r="E22" s="54">
        <v>0.84</v>
      </c>
      <c r="F22" s="54">
        <v>18.510000000000002</v>
      </c>
      <c r="G22" s="54">
        <v>111.08</v>
      </c>
      <c r="H22" s="54">
        <v>74.28</v>
      </c>
      <c r="I22" s="54">
        <v>1.54</v>
      </c>
      <c r="J22" s="54">
        <v>0.61</v>
      </c>
      <c r="K22" s="54">
        <v>97.90</v>
      </c>
      <c r="L22" s="54">
        <v>32.32</v>
      </c>
      <c r="M22" s="54">
        <v>37.11</v>
      </c>
      <c r="N22" s="54">
        <v>620.79999999999995</v>
      </c>
      <c r="O22" s="54">
        <v>0</v>
      </c>
      <c r="P22" s="54">
        <v>1.07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7.57</v>
      </c>
      <c r="C23" s="54">
        <v>31.86</v>
      </c>
      <c r="D23" s="54">
        <v>24.93</v>
      </c>
      <c r="E23" s="54">
        <v>1.28</v>
      </c>
      <c r="F23" s="54">
        <v>17.75</v>
      </c>
      <c r="G23" s="54">
        <v>111.08</v>
      </c>
      <c r="H23" s="54">
        <v>41.90</v>
      </c>
      <c r="I23" s="54">
        <v>1.55</v>
      </c>
      <c r="J23" s="54">
        <v>1.27</v>
      </c>
      <c r="K23" s="54">
        <v>353.43</v>
      </c>
      <c r="L23" s="54">
        <v>32.130000000000003</v>
      </c>
      <c r="M23" s="54">
        <v>36.31</v>
      </c>
      <c r="N23" s="54">
        <v>251.40</v>
      </c>
      <c r="O23" s="54">
        <v>0</v>
      </c>
      <c r="P23" s="54">
        <v>1.02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9.0500000000000007</v>
      </c>
      <c r="C24" s="54">
        <v>32.81</v>
      </c>
      <c r="D24" s="54">
        <v>26.66</v>
      </c>
      <c r="E24" s="54">
        <v>1.31</v>
      </c>
      <c r="F24" s="54">
        <v>27.35</v>
      </c>
      <c r="G24" s="54">
        <v>104.19</v>
      </c>
      <c r="H24" s="54">
        <v>23.04</v>
      </c>
      <c r="I24" s="54">
        <v>1.56</v>
      </c>
      <c r="J24" s="54">
        <v>1.0900000000000001</v>
      </c>
      <c r="K24" s="54">
        <v>341.03</v>
      </c>
      <c r="L24" s="54">
        <v>31.24</v>
      </c>
      <c r="M24" s="54">
        <v>33.26</v>
      </c>
      <c r="N24" s="54">
        <v>140.60</v>
      </c>
      <c r="O24" s="54">
        <v>0</v>
      </c>
      <c r="P24" s="54">
        <v>0.96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19.690000000000001</v>
      </c>
      <c r="C25" s="54">
        <v>59.93</v>
      </c>
      <c r="D25" s="54">
        <v>50.16</v>
      </c>
      <c r="E25" s="54">
        <v>1.49</v>
      </c>
      <c r="F25" s="54">
        <v>33.869999999999997</v>
      </c>
      <c r="G25" s="54">
        <v>96.04</v>
      </c>
      <c r="H25" s="54">
        <v>19.59</v>
      </c>
      <c r="I25" s="54">
        <v>1.62</v>
      </c>
      <c r="J25" s="54">
        <v>0.41</v>
      </c>
      <c r="K25" s="54">
        <v>345.51</v>
      </c>
      <c r="L25" s="54">
        <v>29.52</v>
      </c>
      <c r="M25" s="54">
        <v>38.21</v>
      </c>
      <c r="N25" s="54">
        <v>68.400000000000006</v>
      </c>
      <c r="O25" s="54">
        <v>0</v>
      </c>
      <c r="P25" s="54">
        <v>1.24</v>
      </c>
      <c r="Q25" s="54">
        <v>4.97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96.33</v>
      </c>
      <c r="C26" s="54">
        <v>107.56</v>
      </c>
      <c r="D26" s="54">
        <v>137.91</v>
      </c>
      <c r="E26" s="54">
        <v>1.81</v>
      </c>
      <c r="F26" s="54">
        <v>17.989999999999998</v>
      </c>
      <c r="G26" s="54">
        <v>105.92</v>
      </c>
      <c r="H26" s="54">
        <v>22.53</v>
      </c>
      <c r="I26" s="54">
        <v>1.52</v>
      </c>
      <c r="J26" s="54">
        <v>0.12</v>
      </c>
      <c r="K26" s="54">
        <v>313.95</v>
      </c>
      <c r="L26" s="54">
        <v>28.09</v>
      </c>
      <c r="M26" s="54">
        <v>63.19</v>
      </c>
      <c r="N26" s="54">
        <v>26.5</v>
      </c>
      <c r="O26" s="54">
        <v>0</v>
      </c>
      <c r="P26" s="54">
        <v>2.5499999999999998</v>
      </c>
      <c r="Q26" s="54">
        <v>3.82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226.87</v>
      </c>
      <c r="C27" s="54">
        <v>153.63999999999999</v>
      </c>
      <c r="D27" s="54">
        <v>256.67</v>
      </c>
      <c r="E27" s="54">
        <v>1.77</v>
      </c>
      <c r="F27" s="54">
        <v>2.42</v>
      </c>
      <c r="G27" s="54">
        <v>141.41999999999999</v>
      </c>
      <c r="H27" s="54">
        <v>23.45</v>
      </c>
      <c r="I27" s="54">
        <v>1.56</v>
      </c>
      <c r="J27" s="54">
        <v>0.18</v>
      </c>
      <c r="K27" s="54">
        <v>328.89</v>
      </c>
      <c r="L27" s="54">
        <v>24.81</v>
      </c>
      <c r="M27" s="54">
        <v>66.099999999999994</v>
      </c>
      <c r="N27" s="54">
        <v>9.10</v>
      </c>
      <c r="O27" s="54">
        <v>0</v>
      </c>
      <c r="P27" s="54">
        <v>4.6100000000000003</v>
      </c>
      <c r="Q27" s="5" t="s">
        <v>14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97.48</v>
      </c>
      <c r="C28" s="54">
        <v>101.04</v>
      </c>
      <c r="D28" s="54">
        <v>125.55</v>
      </c>
      <c r="E28" s="54">
        <v>1.39</v>
      </c>
      <c r="F28" s="54">
        <v>5.68</v>
      </c>
      <c r="G28" s="54">
        <v>166.09</v>
      </c>
      <c r="H28" s="54">
        <v>23.45</v>
      </c>
      <c r="I28" s="54">
        <v>1.52</v>
      </c>
      <c r="J28" s="54">
        <v>0.14000000000000001</v>
      </c>
      <c r="K28" s="54">
        <v>284.39</v>
      </c>
      <c r="L28" s="54">
        <v>24.55</v>
      </c>
      <c r="M28" s="54">
        <v>66.489999999999995</v>
      </c>
      <c r="N28" s="54">
        <v>9</v>
      </c>
      <c r="O28" s="54">
        <v>0</v>
      </c>
      <c r="P28" s="54">
        <v>2.99</v>
      </c>
      <c r="Q28" s="54">
        <v>6.92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92.81</v>
      </c>
      <c r="C29" s="54">
        <v>79.37</v>
      </c>
      <c r="D29" s="54">
        <v>119.52</v>
      </c>
      <c r="E29" s="54">
        <v>0.78</v>
      </c>
      <c r="F29" s="54">
        <v>0.91</v>
      </c>
      <c r="G29" s="54">
        <v>168.15</v>
      </c>
      <c r="H29" s="54">
        <v>16.329999999999998</v>
      </c>
      <c r="I29" s="54">
        <v>1.56</v>
      </c>
      <c r="J29" s="54">
        <v>0.12</v>
      </c>
      <c r="K29" s="54">
        <v>295.72000000000003</v>
      </c>
      <c r="L29" s="54">
        <v>23.84</v>
      </c>
      <c r="M29" s="54">
        <v>67.97</v>
      </c>
      <c r="N29" s="54">
        <v>9</v>
      </c>
      <c r="O29" s="54">
        <v>0</v>
      </c>
      <c r="P29" s="54">
        <v>2.04</v>
      </c>
      <c r="Q29" s="54">
        <v>4.71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131.11000000000001</v>
      </c>
      <c r="C30" s="54">
        <v>81.72</v>
      </c>
      <c r="D30" s="54">
        <v>151.53</v>
      </c>
      <c r="E30" s="54">
        <v>0.84</v>
      </c>
      <c r="F30" s="54">
        <v>1.07</v>
      </c>
      <c r="G30" s="54">
        <v>187.15</v>
      </c>
      <c r="H30" s="54">
        <v>16.329999999999998</v>
      </c>
      <c r="I30" s="54">
        <v>1.53</v>
      </c>
      <c r="J30" s="54">
        <v>0.15</v>
      </c>
      <c r="K30" s="54">
        <v>313.99</v>
      </c>
      <c r="L30" s="54">
        <v>23.29</v>
      </c>
      <c r="M30" s="54">
        <v>80.569999999999993</v>
      </c>
      <c r="N30" s="54">
        <v>8.90</v>
      </c>
      <c r="O30" s="54">
        <v>0</v>
      </c>
      <c r="P30" s="54">
        <v>3.94</v>
      </c>
      <c r="Q30" s="54">
        <v>3.02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49.14</v>
      </c>
      <c r="C31" s="54">
        <v>48.79</v>
      </c>
      <c r="D31" s="54">
        <v>64.900000000000006</v>
      </c>
      <c r="E31" s="54">
        <v>0.66</v>
      </c>
      <c r="F31" s="54">
        <v>5.01</v>
      </c>
      <c r="G31" s="55" t="s">
        <v>14</v>
      </c>
      <c r="H31" s="55" t="s">
        <v>14</v>
      </c>
      <c r="I31" s="54">
        <v>1.55</v>
      </c>
      <c r="J31" s="54">
        <v>0.10</v>
      </c>
      <c r="K31" s="54">
        <v>286.75</v>
      </c>
      <c r="L31" s="54">
        <v>23.56</v>
      </c>
      <c r="M31" s="54">
        <v>77.069999999999993</v>
      </c>
      <c r="N31" s="54">
        <v>8.8000000000000007</v>
      </c>
      <c r="O31" s="54">
        <v>0</v>
      </c>
      <c r="P31" s="54">
        <v>1.80</v>
      </c>
      <c r="Q31" s="54">
        <v>9.24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43.74</v>
      </c>
      <c r="C32" s="54">
        <v>57.67</v>
      </c>
      <c r="D32" s="54">
        <v>64.11</v>
      </c>
      <c r="E32" s="54">
        <v>0.51</v>
      </c>
      <c r="F32" s="54">
        <v>6.62</v>
      </c>
      <c r="G32" s="55" t="s">
        <v>14</v>
      </c>
      <c r="H32" s="55" t="s">
        <v>14</v>
      </c>
      <c r="I32" s="54">
        <v>1.53</v>
      </c>
      <c r="J32" s="54">
        <v>0.070000000000000007</v>
      </c>
      <c r="K32" s="54">
        <v>315.05</v>
      </c>
      <c r="L32" s="54">
        <v>23.41</v>
      </c>
      <c r="M32" s="54">
        <v>85.34</v>
      </c>
      <c r="N32" s="54">
        <v>9.10</v>
      </c>
      <c r="O32" s="54">
        <v>0</v>
      </c>
      <c r="P32" s="54">
        <v>1.72</v>
      </c>
      <c r="Q32" s="54">
        <v>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5.4100000000000001</v>
      </c>
      <c r="C34" s="28">
        <f t="shared" si="0"/>
        <v>15.19</v>
      </c>
      <c r="D34" s="28">
        <f t="shared" si="0"/>
        <v>19.43</v>
      </c>
      <c r="E34" s="28">
        <f t="shared" si="0"/>
        <v>0.27000000000000002</v>
      </c>
      <c r="F34" s="28">
        <f t="shared" si="0"/>
        <v>0.91000000000000003</v>
      </c>
      <c r="G34" s="28">
        <f t="shared" si="0"/>
        <v>61.420000000000002</v>
      </c>
      <c r="H34" s="28">
        <f t="shared" si="0"/>
        <v>3.0699999999999998</v>
      </c>
      <c r="I34" s="28">
        <f t="shared" si="0"/>
        <v>1.5</v>
      </c>
      <c r="J34" s="28">
        <f t="shared" si="0"/>
        <v>0.070000000000000007</v>
      </c>
      <c r="K34" s="28">
        <f t="shared" si="0"/>
        <v>97.900000000000006</v>
      </c>
      <c r="L34" s="28">
        <f t="shared" si="0"/>
        <v>22</v>
      </c>
      <c r="M34" s="28">
        <f t="shared" si="0"/>
        <v>33.259999999999998</v>
      </c>
      <c r="N34" s="28">
        <f t="shared" si="0"/>
        <v>8.6999999999999993</v>
      </c>
      <c r="O34" s="28">
        <f t="shared" si="0"/>
        <v>0</v>
      </c>
      <c r="P34" s="28">
        <f t="shared" si="0"/>
        <v>0.93000000000000005</v>
      </c>
      <c r="Q34" s="28">
        <f t="shared" si="0"/>
        <v>3.02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226.87</v>
      </c>
      <c r="C35" s="29">
        <f t="shared" si="1"/>
        <v>153.63999999999999</v>
      </c>
      <c r="D35" s="29">
        <f t="shared" si="1"/>
        <v>256.67000000000002</v>
      </c>
      <c r="E35" s="29">
        <f t="shared" si="1"/>
        <v>1.8100000000000001</v>
      </c>
      <c r="F35" s="29">
        <f t="shared" si="1"/>
        <v>35.299999999999997</v>
      </c>
      <c r="G35" s="29">
        <f t="shared" si="1"/>
        <v>187.15000000000001</v>
      </c>
      <c r="H35" s="29">
        <f t="shared" si="1"/>
        <v>90.140000000000001</v>
      </c>
      <c r="I35" s="29">
        <f t="shared" si="1"/>
        <v>1.6200000000000001</v>
      </c>
      <c r="J35" s="29">
        <f t="shared" si="1"/>
        <v>1.29</v>
      </c>
      <c r="K35" s="29">
        <f t="shared" si="1"/>
        <v>358.06</v>
      </c>
      <c r="L35" s="29">
        <f t="shared" si="1"/>
        <v>34.93</v>
      </c>
      <c r="M35" s="29">
        <f t="shared" si="1"/>
        <v>98.859999999999999</v>
      </c>
      <c r="N35" s="29">
        <f t="shared" si="1"/>
        <v>796.20000000000005</v>
      </c>
      <c r="O35" s="29">
        <f t="shared" si="1"/>
        <v>0</v>
      </c>
      <c r="P35" s="29">
        <f t="shared" si="1"/>
        <v>4.6100000000000003</v>
      </c>
      <c r="Q35" s="29">
        <f t="shared" si="1"/>
        <v>10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43.135833333333331</v>
      </c>
      <c r="C36" s="28">
        <f t="shared" si="2"/>
        <v>46.562916666666666</v>
      </c>
      <c r="D36" s="28">
        <f t="shared" si="2"/>
        <v>59.066666666666663</v>
      </c>
      <c r="E36" s="28">
        <f t="shared" si="2"/>
        <v>0.72416666666666674</v>
      </c>
      <c r="F36" s="28">
        <f t="shared" si="2"/>
        <v>11.211666666666666</v>
      </c>
      <c r="G36" s="28">
        <f t="shared" si="2"/>
        <v>111.15428571428571</v>
      </c>
      <c r="H36" s="28">
        <f t="shared" si="2"/>
        <v>35.488095238095241</v>
      </c>
      <c r="I36" s="28">
        <f t="shared" si="2"/>
        <v>1.5412499999999998</v>
      </c>
      <c r="J36" s="28">
        <f t="shared" si="2"/>
        <v>0.39749999999999996</v>
      </c>
      <c r="K36" s="28">
        <f t="shared" si="2"/>
        <v>302.24833333333339</v>
      </c>
      <c r="L36" s="28">
        <f t="shared" si="2"/>
        <v>26.943333333333324</v>
      </c>
      <c r="M36" s="28">
        <f t="shared" si="2"/>
        <v>70.49166666666666</v>
      </c>
      <c r="N36" s="28">
        <f t="shared" si="2"/>
        <v>211.13750000000002</v>
      </c>
      <c r="O36" s="28">
        <f t="shared" si="2"/>
        <v>0</v>
      </c>
      <c r="P36" s="28">
        <f t="shared" si="2"/>
        <v>1.6095833333333329</v>
      </c>
      <c r="Q36" s="28">
        <f t="shared" si="2"/>
        <v>6.0282608695652149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52.022180045310172</v>
      </c>
      <c r="C37" s="28">
        <f t="shared" si="3" ref="C37:Q37">STDEV(C9:C32)</f>
        <v>34.833400198431072</v>
      </c>
      <c r="D37" s="28">
        <f t="shared" si="3"/>
        <v>58.266227272578</v>
      </c>
      <c r="E37" s="28">
        <f t="shared" si="3"/>
        <v>0.50342234552214138</v>
      </c>
      <c r="F37" s="28">
        <f t="shared" si="3"/>
        <v>9.7769296623831927</v>
      </c>
      <c r="G37" s="28">
        <f t="shared" si="3"/>
        <v>34.944742747862485</v>
      </c>
      <c r="H37" s="28">
        <f t="shared" si="3"/>
        <v>25.459466926675333</v>
      </c>
      <c r="I37" s="28">
        <f t="shared" si="3"/>
        <v>0.026261643380479437</v>
      </c>
      <c r="J37" s="28">
        <f t="shared" si="3"/>
        <v>0.39405638528338649</v>
      </c>
      <c r="K37" s="28">
        <f t="shared" si="3"/>
        <v>61.976654557542098</v>
      </c>
      <c r="L37" s="28">
        <f t="shared" si="3"/>
        <v>4.4938457111212342</v>
      </c>
      <c r="M37" s="28">
        <f t="shared" si="3"/>
        <v>23.681865501332233</v>
      </c>
      <c r="N37" s="28">
        <f t="shared" si="3"/>
        <v>290.22780230064257</v>
      </c>
      <c r="O37" s="28">
        <f t="shared" si="3"/>
        <v>0</v>
      </c>
      <c r="P37" s="28">
        <f t="shared" si="3"/>
        <v>0.98003761758621244</v>
      </c>
      <c r="Q37" s="28">
        <f t="shared" si="3"/>
        <v>1.7424320833873015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f0a9c8-90eb-4637-bfa1-a781c7f52a3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21.14</v>
      </c>
      <c r="C9" s="54">
        <v>59.87</v>
      </c>
      <c r="D9" s="54">
        <v>50.64</v>
      </c>
      <c r="E9" s="54">
        <v>0.53</v>
      </c>
      <c r="F9" s="54">
        <v>17.239999999999998</v>
      </c>
      <c r="G9" s="59" t="s">
        <v>8</v>
      </c>
      <c r="H9" s="59" t="s">
        <v>8</v>
      </c>
      <c r="I9" s="54">
        <v>1.52</v>
      </c>
      <c r="J9" s="54">
        <v>0.09</v>
      </c>
      <c r="K9" s="54">
        <v>268.52</v>
      </c>
      <c r="L9" s="54">
        <v>22.51</v>
      </c>
      <c r="M9" s="54">
        <v>84.08</v>
      </c>
      <c r="N9" s="54">
        <v>8.8000000000000007</v>
      </c>
      <c r="O9" s="54">
        <v>0</v>
      </c>
      <c r="P9" s="54">
        <v>1.17</v>
      </c>
      <c r="Q9" s="54">
        <v>9.8000000000000007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39.950000000000003</v>
      </c>
      <c r="C10" s="54">
        <v>25.80</v>
      </c>
      <c r="D10" s="54">
        <v>44.88</v>
      </c>
      <c r="E10" s="54">
        <v>0.56999999999999995</v>
      </c>
      <c r="F10" s="54">
        <v>6.12</v>
      </c>
      <c r="G10" s="54">
        <v>124.22</v>
      </c>
      <c r="H10" s="54">
        <v>48.06</v>
      </c>
      <c r="I10" s="54">
        <v>1.49</v>
      </c>
      <c r="J10" s="54">
        <v>0.10</v>
      </c>
      <c r="K10" s="54">
        <v>274.45</v>
      </c>
      <c r="L10" s="54">
        <v>22.81</v>
      </c>
      <c r="M10" s="54">
        <v>86.89</v>
      </c>
      <c r="N10" s="54">
        <v>9</v>
      </c>
      <c r="O10" s="54">
        <v>0</v>
      </c>
      <c r="P10" s="54">
        <v>1.5</v>
      </c>
      <c r="Q10" s="54">
        <v>8.8800000000000008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30.28</v>
      </c>
      <c r="C11" s="54">
        <v>27.85</v>
      </c>
      <c r="D11" s="54">
        <v>36.119999999999997</v>
      </c>
      <c r="E11" s="54">
        <v>0.52</v>
      </c>
      <c r="F11" s="54">
        <v>4.25</v>
      </c>
      <c r="G11" s="54">
        <v>93.98</v>
      </c>
      <c r="H11" s="54">
        <v>48.06</v>
      </c>
      <c r="I11" s="54">
        <v>1.56</v>
      </c>
      <c r="J11" s="54">
        <v>0.54</v>
      </c>
      <c r="K11" s="54">
        <v>300.63</v>
      </c>
      <c r="L11" s="54">
        <v>22.18</v>
      </c>
      <c r="M11" s="54">
        <v>94.52</v>
      </c>
      <c r="N11" s="54">
        <v>9</v>
      </c>
      <c r="O11" s="54">
        <v>0</v>
      </c>
      <c r="P11" s="54">
        <v>1.26</v>
      </c>
      <c r="Q11" s="54">
        <v>7.68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26.18</v>
      </c>
      <c r="C12" s="54">
        <v>15.70</v>
      </c>
      <c r="D12" s="54">
        <v>30.15</v>
      </c>
      <c r="E12" s="54">
        <v>0.56999999999999995</v>
      </c>
      <c r="F12" s="54">
        <v>7.84</v>
      </c>
      <c r="G12" s="59" t="s">
        <v>8</v>
      </c>
      <c r="H12" s="59" t="s">
        <v>8</v>
      </c>
      <c r="I12" s="54">
        <v>1.52</v>
      </c>
      <c r="J12" s="54">
        <v>0.35</v>
      </c>
      <c r="K12" s="54">
        <v>143.44</v>
      </c>
      <c r="L12" s="54">
        <v>22.13</v>
      </c>
      <c r="M12" s="54">
        <v>94</v>
      </c>
      <c r="N12" s="54">
        <v>9.10</v>
      </c>
      <c r="O12" s="54">
        <v>0</v>
      </c>
      <c r="P12" s="54">
        <v>1.1399999999999999</v>
      </c>
      <c r="Q12" s="54">
        <v>7.07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27.42</v>
      </c>
      <c r="C13" s="54">
        <v>16.93</v>
      </c>
      <c r="D13" s="54">
        <v>31.36</v>
      </c>
      <c r="E13" s="54">
        <v>0.45</v>
      </c>
      <c r="F13" s="54">
        <v>1.82</v>
      </c>
      <c r="G13" s="59" t="s">
        <v>8</v>
      </c>
      <c r="H13" s="59" t="s">
        <v>8</v>
      </c>
      <c r="I13" s="54">
        <v>1.5</v>
      </c>
      <c r="J13" s="54">
        <v>0.22</v>
      </c>
      <c r="K13" s="54">
        <v>353.66</v>
      </c>
      <c r="L13" s="54">
        <v>22.15</v>
      </c>
      <c r="M13" s="54">
        <v>92.14</v>
      </c>
      <c r="N13" s="54">
        <v>9</v>
      </c>
      <c r="O13" s="54">
        <v>0</v>
      </c>
      <c r="P13" s="54">
        <v>1.17</v>
      </c>
      <c r="Q13" s="54">
        <v>6.16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24.21</v>
      </c>
      <c r="C14" s="54">
        <v>19.78</v>
      </c>
      <c r="D14" s="54">
        <v>28.91</v>
      </c>
      <c r="E14" s="54">
        <v>0.39</v>
      </c>
      <c r="F14" s="54">
        <v>3.42</v>
      </c>
      <c r="G14" s="54">
        <v>58.20</v>
      </c>
      <c r="H14" s="54">
        <v>28.46</v>
      </c>
      <c r="I14" s="54">
        <v>1.54</v>
      </c>
      <c r="J14" s="54">
        <v>0.14000000000000001</v>
      </c>
      <c r="K14" s="54">
        <v>313.95999999999998</v>
      </c>
      <c r="L14" s="54">
        <v>21.89</v>
      </c>
      <c r="M14" s="54">
        <v>92.23</v>
      </c>
      <c r="N14" s="54">
        <v>13.70</v>
      </c>
      <c r="O14" s="54">
        <v>0</v>
      </c>
      <c r="P14" s="54">
        <v>1.04</v>
      </c>
      <c r="Q14" s="54">
        <v>5.80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19.98</v>
      </c>
      <c r="C15" s="54">
        <v>21.79</v>
      </c>
      <c r="D15" s="54">
        <v>28.36</v>
      </c>
      <c r="E15" s="54">
        <v>0.43</v>
      </c>
      <c r="F15" s="54">
        <v>3.52</v>
      </c>
      <c r="G15" s="54">
        <v>67.599999999999994</v>
      </c>
      <c r="H15" s="54">
        <v>36.01</v>
      </c>
      <c r="I15" s="54">
        <v>1.51</v>
      </c>
      <c r="J15" s="54">
        <v>1.05</v>
      </c>
      <c r="K15" s="54">
        <v>188.24</v>
      </c>
      <c r="L15" s="54">
        <v>22.5</v>
      </c>
      <c r="M15" s="54">
        <v>94.27</v>
      </c>
      <c r="N15" s="54">
        <v>140.80000000000001</v>
      </c>
      <c r="O15" s="54">
        <v>0</v>
      </c>
      <c r="P15" s="54">
        <v>0.91</v>
      </c>
      <c r="Q15" s="54">
        <v>5.53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20.02</v>
      </c>
      <c r="C16" s="54">
        <v>13.44</v>
      </c>
      <c r="D16" s="54">
        <v>24.76</v>
      </c>
      <c r="E16" s="54">
        <v>0.41</v>
      </c>
      <c r="F16" s="54">
        <v>3.28</v>
      </c>
      <c r="G16" s="54">
        <v>70.08</v>
      </c>
      <c r="H16" s="54">
        <v>36.01</v>
      </c>
      <c r="I16" s="54">
        <v>1.59</v>
      </c>
      <c r="J16" s="54">
        <v>0.88</v>
      </c>
      <c r="K16" s="54">
        <v>154.29</v>
      </c>
      <c r="L16" s="54">
        <v>25.68</v>
      </c>
      <c r="M16" s="54">
        <v>87.23</v>
      </c>
      <c r="N16" s="54">
        <v>401</v>
      </c>
      <c r="O16" s="54">
        <v>0</v>
      </c>
      <c r="P16" s="54">
        <v>0.95</v>
      </c>
      <c r="Q16" s="54">
        <v>5.46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16.14</v>
      </c>
      <c r="C17" s="54">
        <v>12.78</v>
      </c>
      <c r="D17" s="54">
        <v>21.28</v>
      </c>
      <c r="E17" s="54">
        <v>0.40</v>
      </c>
      <c r="F17" s="54">
        <v>9.73</v>
      </c>
      <c r="G17" s="54">
        <v>70.22</v>
      </c>
      <c r="H17" s="54">
        <v>26.38</v>
      </c>
      <c r="I17" s="54">
        <v>1.53</v>
      </c>
      <c r="J17" s="54">
        <v>0.78</v>
      </c>
      <c r="K17" s="54">
        <v>142.96</v>
      </c>
      <c r="L17" s="54">
        <v>27.30</v>
      </c>
      <c r="M17" s="54">
        <v>72.790000000000006</v>
      </c>
      <c r="N17" s="54">
        <v>449.40</v>
      </c>
      <c r="O17" s="54">
        <v>0</v>
      </c>
      <c r="P17" s="54">
        <v>0.88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10.55</v>
      </c>
      <c r="C18" s="54">
        <v>13.60</v>
      </c>
      <c r="D18" s="54">
        <v>17.190000000000001</v>
      </c>
      <c r="E18" s="54">
        <v>0.48</v>
      </c>
      <c r="F18" s="54">
        <v>10.58</v>
      </c>
      <c r="G18" s="54">
        <v>57.99</v>
      </c>
      <c r="H18" s="54">
        <v>27.58</v>
      </c>
      <c r="I18" s="54">
        <v>1.54</v>
      </c>
      <c r="J18" s="54">
        <v>1.01</v>
      </c>
      <c r="K18" s="54">
        <v>161.78</v>
      </c>
      <c r="L18" s="54">
        <v>28.27</v>
      </c>
      <c r="M18" s="54">
        <v>64.02</v>
      </c>
      <c r="N18" s="54">
        <v>720.70</v>
      </c>
      <c r="O18" s="54">
        <v>0</v>
      </c>
      <c r="P18" s="54">
        <v>0.77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8.09</v>
      </c>
      <c r="C19" s="54">
        <v>14.90</v>
      </c>
      <c r="D19" s="54">
        <v>15.28</v>
      </c>
      <c r="E19" s="54">
        <v>0.54</v>
      </c>
      <c r="F19" s="54">
        <v>5.23</v>
      </c>
      <c r="G19" s="54">
        <v>58.03</v>
      </c>
      <c r="H19" s="54">
        <v>27.58</v>
      </c>
      <c r="I19" s="54">
        <v>1.54</v>
      </c>
      <c r="J19" s="54">
        <v>0.28999999999999998</v>
      </c>
      <c r="K19" s="54">
        <v>348.69</v>
      </c>
      <c r="L19" s="54">
        <v>31.73</v>
      </c>
      <c r="M19" s="54">
        <v>54.30</v>
      </c>
      <c r="N19" s="54">
        <v>812.70</v>
      </c>
      <c r="O19" s="54">
        <v>0</v>
      </c>
      <c r="P19" s="54">
        <v>0.74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3.13</v>
      </c>
      <c r="C20" s="54">
        <v>18.579999999999998</v>
      </c>
      <c r="D20" s="54">
        <v>13.65</v>
      </c>
      <c r="E20" s="54">
        <v>0.51</v>
      </c>
      <c r="F20" s="54">
        <v>14.38</v>
      </c>
      <c r="G20" s="54">
        <v>58.82</v>
      </c>
      <c r="H20" s="54">
        <v>24.5</v>
      </c>
      <c r="I20" s="54">
        <v>1.52</v>
      </c>
      <c r="J20" s="54">
        <v>0.30</v>
      </c>
      <c r="K20" s="54">
        <v>347.23</v>
      </c>
      <c r="L20" s="54">
        <v>33</v>
      </c>
      <c r="M20" s="54">
        <v>42.60</v>
      </c>
      <c r="N20" s="54">
        <v>835.90</v>
      </c>
      <c r="O20" s="54">
        <v>0</v>
      </c>
      <c r="P20" s="54">
        <v>0.66</v>
      </c>
      <c r="Q20" s="54">
        <v>5.05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3.14</v>
      </c>
      <c r="C21" s="54">
        <v>17.53</v>
      </c>
      <c r="D21" s="54">
        <v>13.17</v>
      </c>
      <c r="E21" s="54">
        <v>0.48</v>
      </c>
      <c r="F21" s="54">
        <v>13.39</v>
      </c>
      <c r="G21" s="54">
        <v>59.14</v>
      </c>
      <c r="H21" s="54">
        <v>24.5</v>
      </c>
      <c r="I21" s="54">
        <v>1.57</v>
      </c>
      <c r="J21" s="54">
        <v>0.69</v>
      </c>
      <c r="K21" s="54">
        <v>145.18</v>
      </c>
      <c r="L21" s="54">
        <v>31.60</v>
      </c>
      <c r="M21" s="54">
        <v>41.63</v>
      </c>
      <c r="N21" s="54">
        <v>832.90</v>
      </c>
      <c r="O21" s="54">
        <v>0</v>
      </c>
      <c r="P21" s="54">
        <v>0.60</v>
      </c>
      <c r="Q21" s="54">
        <v>5.24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2.2400000000000002</v>
      </c>
      <c r="C22" s="54">
        <v>16.38</v>
      </c>
      <c r="D22" s="54">
        <v>12.13</v>
      </c>
      <c r="E22" s="54">
        <v>0.71</v>
      </c>
      <c r="F22" s="54">
        <v>8.9499999999999993</v>
      </c>
      <c r="G22" s="54">
        <v>53.28</v>
      </c>
      <c r="H22" s="54">
        <v>18.29</v>
      </c>
      <c r="I22" s="54">
        <v>1.57</v>
      </c>
      <c r="J22" s="54">
        <v>1.38</v>
      </c>
      <c r="K22" s="54">
        <v>154.82</v>
      </c>
      <c r="L22" s="54">
        <v>30.48</v>
      </c>
      <c r="M22" s="54">
        <v>40.090000000000003</v>
      </c>
      <c r="N22" s="54">
        <v>760.10</v>
      </c>
      <c r="O22" s="54">
        <v>0</v>
      </c>
      <c r="P22" s="54">
        <v>0.56999999999999995</v>
      </c>
      <c r="Q22" s="54">
        <v>5.25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2</v>
      </c>
      <c r="C23" s="54">
        <v>18.059999999999999</v>
      </c>
      <c r="D23" s="54">
        <v>12.86</v>
      </c>
      <c r="E23" s="54">
        <v>0.75</v>
      </c>
      <c r="F23" s="54">
        <v>36.43</v>
      </c>
      <c r="G23" s="54">
        <v>54.12</v>
      </c>
      <c r="H23" s="54">
        <v>15.70</v>
      </c>
      <c r="I23" s="54">
        <v>1.58</v>
      </c>
      <c r="J23" s="54">
        <v>0.47</v>
      </c>
      <c r="K23" s="54">
        <v>185.73</v>
      </c>
      <c r="L23" s="54">
        <v>29.12</v>
      </c>
      <c r="M23" s="54">
        <v>42.95</v>
      </c>
      <c r="N23" s="54">
        <v>79</v>
      </c>
      <c r="O23" s="54">
        <v>0</v>
      </c>
      <c r="P23" s="54">
        <v>0.48</v>
      </c>
      <c r="Q23" s="54">
        <v>5.26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2</v>
      </c>
      <c r="C24" s="54">
        <v>14.48</v>
      </c>
      <c r="D24" s="54">
        <v>10.89</v>
      </c>
      <c r="E24" s="54">
        <v>0.84</v>
      </c>
      <c r="F24" s="54">
        <v>39.200000000000003</v>
      </c>
      <c r="G24" s="54">
        <v>53.25</v>
      </c>
      <c r="H24" s="54">
        <v>21.73</v>
      </c>
      <c r="I24" s="54">
        <v>1.56</v>
      </c>
      <c r="J24" s="54">
        <v>0.17</v>
      </c>
      <c r="K24" s="54">
        <v>251.88</v>
      </c>
      <c r="L24" s="54">
        <v>28.54</v>
      </c>
      <c r="M24" s="54">
        <v>43.13</v>
      </c>
      <c r="N24" s="54">
        <v>91.60</v>
      </c>
      <c r="O24" s="54">
        <v>0</v>
      </c>
      <c r="P24" s="54">
        <v>0.48</v>
      </c>
      <c r="Q24" s="54">
        <v>5.14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2</v>
      </c>
      <c r="C25" s="54">
        <v>15.52</v>
      </c>
      <c r="D25" s="54">
        <v>11.46</v>
      </c>
      <c r="E25" s="54">
        <v>0.52</v>
      </c>
      <c r="F25" s="54">
        <v>31.5</v>
      </c>
      <c r="G25" s="54">
        <v>57.06</v>
      </c>
      <c r="H25" s="54">
        <v>21.73</v>
      </c>
      <c r="I25" s="54">
        <v>1.56</v>
      </c>
      <c r="J25" s="54">
        <v>0.12</v>
      </c>
      <c r="K25" s="54">
        <v>342.99</v>
      </c>
      <c r="L25" s="54">
        <v>28.10</v>
      </c>
      <c r="M25" s="54">
        <v>47.99</v>
      </c>
      <c r="N25" s="54">
        <v>79.599999999999994</v>
      </c>
      <c r="O25" s="54">
        <v>0</v>
      </c>
      <c r="P25" s="54">
        <v>0.46</v>
      </c>
      <c r="Q25" s="54">
        <v>5.08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7.45</v>
      </c>
      <c r="C26" s="54">
        <v>55.09</v>
      </c>
      <c r="D26" s="54">
        <v>34.96</v>
      </c>
      <c r="E26" s="54">
        <v>0.70</v>
      </c>
      <c r="F26" s="54">
        <v>24.5</v>
      </c>
      <c r="G26" s="54">
        <v>57.33</v>
      </c>
      <c r="H26" s="54">
        <v>15.73</v>
      </c>
      <c r="I26" s="54">
        <v>1.52</v>
      </c>
      <c r="J26" s="54">
        <v>0.43</v>
      </c>
      <c r="K26" s="54">
        <v>208.68</v>
      </c>
      <c r="L26" s="54">
        <v>27.51</v>
      </c>
      <c r="M26" s="54">
        <v>59.53</v>
      </c>
      <c r="N26" s="54">
        <v>27.20</v>
      </c>
      <c r="O26" s="54">
        <v>0</v>
      </c>
      <c r="P26" s="54">
        <v>0.68</v>
      </c>
      <c r="Q26" s="54">
        <v>4.70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6.34</v>
      </c>
      <c r="C27" s="54">
        <v>55.46</v>
      </c>
      <c r="D27" s="54">
        <v>35.14</v>
      </c>
      <c r="E27" s="54">
        <v>0.75</v>
      </c>
      <c r="F27" s="54">
        <v>27.10</v>
      </c>
      <c r="G27" s="54">
        <v>69.75</v>
      </c>
      <c r="H27" s="54">
        <v>53.45</v>
      </c>
      <c r="I27" s="54">
        <v>1.52</v>
      </c>
      <c r="J27" s="54">
        <v>0.10</v>
      </c>
      <c r="K27" s="54">
        <v>285.88</v>
      </c>
      <c r="L27" s="54">
        <v>26.28</v>
      </c>
      <c r="M27" s="54">
        <v>58.78</v>
      </c>
      <c r="N27" s="54">
        <v>9.10</v>
      </c>
      <c r="O27" s="54">
        <v>0</v>
      </c>
      <c r="P27" s="54">
        <v>0.84</v>
      </c>
      <c r="Q27" s="54">
        <v>3.41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34.659999999999997</v>
      </c>
      <c r="C28" s="54">
        <v>63</v>
      </c>
      <c r="D28" s="54">
        <v>60.22</v>
      </c>
      <c r="E28" s="54">
        <v>0.73</v>
      </c>
      <c r="F28" s="54">
        <v>17.73</v>
      </c>
      <c r="G28" s="54">
        <v>90.40</v>
      </c>
      <c r="H28" s="54">
        <v>53.45</v>
      </c>
      <c r="I28" s="54">
        <v>1.5</v>
      </c>
      <c r="J28" s="54">
        <v>0.16</v>
      </c>
      <c r="K28" s="54">
        <v>317.10000000000002</v>
      </c>
      <c r="L28" s="54">
        <v>25.08</v>
      </c>
      <c r="M28" s="54">
        <v>74.739999999999995</v>
      </c>
      <c r="N28" s="54">
        <v>9.10</v>
      </c>
      <c r="O28" s="54">
        <v>0</v>
      </c>
      <c r="P28" s="54">
        <v>1.81</v>
      </c>
      <c r="Q28" s="54">
        <v>3.24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67.430000000000007</v>
      </c>
      <c r="C29" s="54">
        <v>73.22</v>
      </c>
      <c r="D29" s="54">
        <v>95.77</v>
      </c>
      <c r="E29" s="54">
        <v>0.57999999999999996</v>
      </c>
      <c r="F29" s="54">
        <v>6.53</v>
      </c>
      <c r="G29" s="54">
        <v>115.67</v>
      </c>
      <c r="H29" s="54">
        <v>50.17</v>
      </c>
      <c r="I29" s="54">
        <v>1.49</v>
      </c>
      <c r="J29" s="54">
        <v>0.10</v>
      </c>
      <c r="K29" s="54">
        <v>319.52999999999997</v>
      </c>
      <c r="L29" s="54">
        <v>23.57</v>
      </c>
      <c r="M29" s="54">
        <v>78.53</v>
      </c>
      <c r="N29" s="54">
        <v>9</v>
      </c>
      <c r="O29" s="54">
        <v>0</v>
      </c>
      <c r="P29" s="54">
        <v>2.58</v>
      </c>
      <c r="Q29" s="54">
        <v>2.78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24.75</v>
      </c>
      <c r="C30" s="54">
        <v>48.91</v>
      </c>
      <c r="D30" s="54">
        <v>43.08</v>
      </c>
      <c r="E30" s="54">
        <v>0.44</v>
      </c>
      <c r="F30" s="54">
        <v>9.2899999999999991</v>
      </c>
      <c r="G30" s="54">
        <v>117.39</v>
      </c>
      <c r="H30" s="54">
        <v>50.17</v>
      </c>
      <c r="I30" s="54">
        <v>1.55</v>
      </c>
      <c r="J30" s="54">
        <v>0.08</v>
      </c>
      <c r="K30" s="54">
        <v>340.32</v>
      </c>
      <c r="L30" s="54">
        <v>23.66</v>
      </c>
      <c r="M30" s="54">
        <v>77.56</v>
      </c>
      <c r="N30" s="54">
        <v>8.8000000000000007</v>
      </c>
      <c r="O30" s="54">
        <v>0</v>
      </c>
      <c r="P30" s="54">
        <v>1.27</v>
      </c>
      <c r="Q30" s="54">
        <v>5.0199999999999996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50.56</v>
      </c>
      <c r="C31" s="54">
        <v>58.62</v>
      </c>
      <c r="D31" s="54">
        <v>74.180000000000007</v>
      </c>
      <c r="E31" s="54">
        <v>0.38</v>
      </c>
      <c r="F31" s="54">
        <v>1.97</v>
      </c>
      <c r="G31" s="54">
        <v>113.90</v>
      </c>
      <c r="H31" s="54">
        <v>38.630000000000003</v>
      </c>
      <c r="I31" s="54">
        <v>1.51</v>
      </c>
      <c r="J31" s="54">
        <v>0.070000000000000007</v>
      </c>
      <c r="K31" s="54">
        <v>307.14999999999998</v>
      </c>
      <c r="L31" s="54">
        <v>22.53</v>
      </c>
      <c r="M31" s="54">
        <v>83.48</v>
      </c>
      <c r="N31" s="54">
        <v>8.90</v>
      </c>
      <c r="O31" s="54">
        <v>0</v>
      </c>
      <c r="P31" s="54">
        <v>1.77</v>
      </c>
      <c r="Q31" s="54">
        <v>3.62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27.40</v>
      </c>
      <c r="C32" s="54">
        <v>33.590000000000003</v>
      </c>
      <c r="D32" s="54">
        <v>35.340000000000003</v>
      </c>
      <c r="E32" s="54">
        <v>0.33</v>
      </c>
      <c r="F32" s="54">
        <v>10.56</v>
      </c>
      <c r="G32" s="54">
        <v>114.32</v>
      </c>
      <c r="H32" s="54">
        <v>49.07</v>
      </c>
      <c r="I32" s="54">
        <v>1.57</v>
      </c>
      <c r="J32" s="54">
        <v>0.34</v>
      </c>
      <c r="K32" s="54">
        <v>337.60</v>
      </c>
      <c r="L32" s="54">
        <v>23.05</v>
      </c>
      <c r="M32" s="54">
        <v>80.81</v>
      </c>
      <c r="N32" s="54">
        <v>9.1999999999999993</v>
      </c>
      <c r="O32" s="54">
        <v>0</v>
      </c>
      <c r="P32" s="54">
        <v>1.1399999999999999</v>
      </c>
      <c r="Q32" s="54">
        <v>7.35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12.779999999999999</v>
      </c>
      <c r="D34" s="28">
        <f t="shared" si="0"/>
        <v>10.890000000000001</v>
      </c>
      <c r="E34" s="28">
        <f t="shared" si="0"/>
        <v>0.33000000000000002</v>
      </c>
      <c r="F34" s="28">
        <f t="shared" si="0"/>
        <v>1.8200000000000001</v>
      </c>
      <c r="G34" s="28">
        <f t="shared" si="0"/>
        <v>53.25</v>
      </c>
      <c r="H34" s="28">
        <f t="shared" si="0"/>
        <v>15.699999999999999</v>
      </c>
      <c r="I34" s="28">
        <f t="shared" si="0"/>
        <v>1.49</v>
      </c>
      <c r="J34" s="28">
        <f t="shared" si="0"/>
        <v>0.070000000000000007</v>
      </c>
      <c r="K34" s="28">
        <f t="shared" si="0"/>
        <v>142.96000000000001</v>
      </c>
      <c r="L34" s="28">
        <f t="shared" si="0"/>
        <v>21.890000000000001</v>
      </c>
      <c r="M34" s="28">
        <f t="shared" si="0"/>
        <v>40.090000000000003</v>
      </c>
      <c r="N34" s="28">
        <f t="shared" si="0"/>
        <v>8.8000000000000007</v>
      </c>
      <c r="O34" s="28">
        <f t="shared" si="0"/>
        <v>0</v>
      </c>
      <c r="P34" s="28">
        <f t="shared" si="0"/>
        <v>0.46000000000000002</v>
      </c>
      <c r="Q34" s="28">
        <f t="shared" si="0"/>
        <v>2.7799999999999998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67.430000000000007</v>
      </c>
      <c r="C35" s="29">
        <f t="shared" si="1"/>
        <v>73.219999999999999</v>
      </c>
      <c r="D35" s="29">
        <f t="shared" si="1"/>
        <v>95.769999999999996</v>
      </c>
      <c r="E35" s="29">
        <f t="shared" si="1"/>
        <v>0.83999999999999997</v>
      </c>
      <c r="F35" s="29">
        <f t="shared" si="1"/>
        <v>39.200000000000003</v>
      </c>
      <c r="G35" s="29">
        <f t="shared" si="1"/>
        <v>124.22</v>
      </c>
      <c r="H35" s="29">
        <f t="shared" si="1"/>
        <v>53.450000000000003</v>
      </c>
      <c r="I35" s="29">
        <f t="shared" si="1"/>
        <v>1.5900000000000001</v>
      </c>
      <c r="J35" s="29">
        <f t="shared" si="1"/>
        <v>1.3799999999999999</v>
      </c>
      <c r="K35" s="29">
        <f t="shared" si="1"/>
        <v>353.66000000000003</v>
      </c>
      <c r="L35" s="29">
        <f t="shared" si="1"/>
        <v>33</v>
      </c>
      <c r="M35" s="29">
        <f t="shared" si="1"/>
        <v>94.519999999999996</v>
      </c>
      <c r="N35" s="29">
        <f t="shared" si="1"/>
        <v>835.89999999999998</v>
      </c>
      <c r="O35" s="29">
        <f t="shared" si="1"/>
        <v>0</v>
      </c>
      <c r="P35" s="29">
        <f t="shared" si="1"/>
        <v>2.5800000000000001</v>
      </c>
      <c r="Q35" s="29">
        <f t="shared" si="1"/>
        <v>9.8000000000000007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19.877499999999998</v>
      </c>
      <c r="C36" s="28">
        <f t="shared" si="2"/>
        <v>30.453333333333333</v>
      </c>
      <c r="D36" s="28">
        <f t="shared" si="2"/>
        <v>32.57416666666667</v>
      </c>
      <c r="E36" s="28">
        <f t="shared" si="2"/>
        <v>0.54208333333333336</v>
      </c>
      <c r="F36" s="28">
        <f t="shared" si="2"/>
        <v>13.106666666666669</v>
      </c>
      <c r="G36" s="28">
        <f t="shared" si="2"/>
        <v>76.892857142857167</v>
      </c>
      <c r="H36" s="28">
        <f t="shared" si="2"/>
        <v>34.060000000000002</v>
      </c>
      <c r="I36" s="28">
        <f t="shared" si="2"/>
        <v>1.5358333333333329</v>
      </c>
      <c r="J36" s="28">
        <f t="shared" si="2"/>
        <v>0.41083333333333322</v>
      </c>
      <c r="K36" s="28">
        <f t="shared" si="2"/>
        <v>258.11291666666671</v>
      </c>
      <c r="L36" s="28">
        <f t="shared" si="2"/>
        <v>25.90291666666667</v>
      </c>
      <c r="M36" s="28">
        <f t="shared" si="2"/>
        <v>70.345416666666665</v>
      </c>
      <c r="N36" s="28">
        <f t="shared" si="2"/>
        <v>222.65000000000006</v>
      </c>
      <c r="O36" s="28">
        <f t="shared" si="2"/>
        <v>0</v>
      </c>
      <c r="P36" s="28">
        <f t="shared" si="2"/>
        <v>1.0362499999999999</v>
      </c>
      <c r="Q36" s="28">
        <f t="shared" si="2"/>
        <v>5.5479166666666657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16.859745021023098</v>
      </c>
      <c r="C37" s="28">
        <f t="shared" si="3" ref="C37:Q37">STDEV(C9:C32)</f>
        <v>19.795960647844666</v>
      </c>
      <c r="D37" s="28">
        <f t="shared" si="3"/>
        <v>21.192610672152899</v>
      </c>
      <c r="E37" s="28">
        <f t="shared" si="3"/>
        <v>0.1383121600698522</v>
      </c>
      <c r="F37" s="28">
        <f t="shared" si="3"/>
        <v>10.992197100736925</v>
      </c>
      <c r="G37" s="28">
        <f t="shared" si="3"/>
        <v>25.467763180706882</v>
      </c>
      <c r="H37" s="28">
        <f t="shared" si="3"/>
        <v>13.228261412596904</v>
      </c>
      <c r="I37" s="28">
        <f t="shared" si="3"/>
        <v>0.029328227487119531</v>
      </c>
      <c r="J37" s="28">
        <f t="shared" si="3"/>
        <v>0.36895759938633549</v>
      </c>
      <c r="K37" s="28">
        <f t="shared" si="3"/>
        <v>79.065509463832257</v>
      </c>
      <c r="L37" s="28">
        <f t="shared" si="3"/>
        <v>3.5618589176545594</v>
      </c>
      <c r="M37" s="28">
        <f t="shared" si="3"/>
        <v>19.663473747505567</v>
      </c>
      <c r="N37" s="28">
        <f t="shared" si="3"/>
        <v>320.7133950104523</v>
      </c>
      <c r="O37" s="28">
        <f t="shared" si="3"/>
        <v>0</v>
      </c>
      <c r="P37" s="28">
        <f t="shared" si="3"/>
        <v>0.50084114030906768</v>
      </c>
      <c r="Q37" s="28">
        <f t="shared" si="3"/>
        <v>1.6583726417306188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724720-6a17-4b22-805e-ff6ab267164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20.52</v>
      </c>
      <c r="C9" s="54">
        <v>23.41</v>
      </c>
      <c r="D9" s="54">
        <v>27.83</v>
      </c>
      <c r="E9" s="54">
        <v>0.31</v>
      </c>
      <c r="F9" s="54">
        <v>12.17</v>
      </c>
      <c r="G9" s="54">
        <v>99.47</v>
      </c>
      <c r="H9" s="54">
        <v>49.07</v>
      </c>
      <c r="I9" s="54">
        <v>1.54</v>
      </c>
      <c r="J9" s="54">
        <v>0.14000000000000001</v>
      </c>
      <c r="K9" s="54">
        <v>332.26</v>
      </c>
      <c r="L9" s="54">
        <v>22.31</v>
      </c>
      <c r="M9" s="54">
        <v>88.03</v>
      </c>
      <c r="N9" s="54">
        <v>9.10</v>
      </c>
      <c r="O9" s="54">
        <v>0</v>
      </c>
      <c r="P9" s="54">
        <v>0.98</v>
      </c>
      <c r="Q9" s="54">
        <v>7.58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20.93</v>
      </c>
      <c r="C10" s="54">
        <v>16.96</v>
      </c>
      <c r="D10" s="54">
        <v>26.03</v>
      </c>
      <c r="E10" s="54">
        <v>0.37</v>
      </c>
      <c r="F10" s="54">
        <v>3.80</v>
      </c>
      <c r="G10" s="54">
        <v>89.03</v>
      </c>
      <c r="H10" s="54">
        <v>41.19</v>
      </c>
      <c r="I10" s="54">
        <v>1.56</v>
      </c>
      <c r="J10" s="54">
        <v>0.45</v>
      </c>
      <c r="K10" s="54">
        <v>237.16</v>
      </c>
      <c r="L10" s="54">
        <v>21.86</v>
      </c>
      <c r="M10" s="54">
        <v>84.77</v>
      </c>
      <c r="N10" s="54">
        <v>8.8000000000000007</v>
      </c>
      <c r="O10" s="54">
        <v>0</v>
      </c>
      <c r="P10" s="54">
        <v>0.89</v>
      </c>
      <c r="Q10" s="54">
        <v>7.26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17.690000000000001</v>
      </c>
      <c r="C11" s="54">
        <v>17.05</v>
      </c>
      <c r="D11" s="54">
        <v>24.10</v>
      </c>
      <c r="E11" s="54">
        <v>0.33</v>
      </c>
      <c r="F11" s="54">
        <v>6.95</v>
      </c>
      <c r="G11" s="54">
        <v>68.180000000000007</v>
      </c>
      <c r="H11" s="54">
        <v>41.19</v>
      </c>
      <c r="I11" s="54">
        <v>1.53</v>
      </c>
      <c r="J11" s="54">
        <v>0.27</v>
      </c>
      <c r="K11" s="54">
        <v>350.98</v>
      </c>
      <c r="L11" s="54">
        <v>21.25</v>
      </c>
      <c r="M11" s="54">
        <v>91.16</v>
      </c>
      <c r="N11" s="54">
        <v>8.90</v>
      </c>
      <c r="O11" s="54">
        <v>0</v>
      </c>
      <c r="P11" s="54">
        <v>0.80</v>
      </c>
      <c r="Q11" s="54">
        <v>6.71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14.67</v>
      </c>
      <c r="C12" s="54">
        <v>15.67</v>
      </c>
      <c r="D12" s="54">
        <v>20.57</v>
      </c>
      <c r="E12" s="54">
        <v>0.31</v>
      </c>
      <c r="F12" s="54">
        <v>9.36</v>
      </c>
      <c r="G12" s="54">
        <v>61.46</v>
      </c>
      <c r="H12" s="54">
        <v>7.41</v>
      </c>
      <c r="I12" s="54">
        <v>1.56</v>
      </c>
      <c r="J12" s="54">
        <v>0.16</v>
      </c>
      <c r="K12" s="54">
        <v>343.51</v>
      </c>
      <c r="L12" s="54">
        <v>20.440000000000001</v>
      </c>
      <c r="M12" s="54">
        <v>91.32</v>
      </c>
      <c r="N12" s="54">
        <v>8.8000000000000007</v>
      </c>
      <c r="O12" s="54">
        <v>0</v>
      </c>
      <c r="P12" s="54">
        <v>0.75</v>
      </c>
      <c r="Q12" s="54">
        <v>6.80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22.12</v>
      </c>
      <c r="C13" s="54">
        <v>21.03</v>
      </c>
      <c r="D13" s="54">
        <v>30.63</v>
      </c>
      <c r="E13" s="54">
        <v>0.33</v>
      </c>
      <c r="F13" s="54">
        <v>1.02</v>
      </c>
      <c r="G13" s="54">
        <v>60.03</v>
      </c>
      <c r="H13" s="54">
        <v>1.48</v>
      </c>
      <c r="I13" s="54">
        <v>1.55</v>
      </c>
      <c r="J13" s="54">
        <v>0.11</v>
      </c>
      <c r="K13" s="54">
        <v>269.51</v>
      </c>
      <c r="L13" s="54">
        <v>20.14</v>
      </c>
      <c r="M13" s="54">
        <v>96.90</v>
      </c>
      <c r="N13" s="54">
        <v>8.90</v>
      </c>
      <c r="O13" s="54">
        <v>0</v>
      </c>
      <c r="P13" s="54">
        <v>0.74</v>
      </c>
      <c r="Q13" s="54">
        <v>6.22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21.63</v>
      </c>
      <c r="C14" s="54">
        <v>22.96</v>
      </c>
      <c r="D14" s="54">
        <v>31.31</v>
      </c>
      <c r="E14" s="54">
        <v>0.37</v>
      </c>
      <c r="F14" s="54">
        <v>0.88</v>
      </c>
      <c r="G14" s="54">
        <v>62.27</v>
      </c>
      <c r="H14" s="54">
        <v>20.97</v>
      </c>
      <c r="I14" s="54">
        <v>1.53</v>
      </c>
      <c r="J14" s="54">
        <v>0.15</v>
      </c>
      <c r="K14" s="54">
        <v>313.25</v>
      </c>
      <c r="L14" s="54">
        <v>19.829999999999998</v>
      </c>
      <c r="M14" s="54">
        <v>97.43</v>
      </c>
      <c r="N14" s="54">
        <v>13.80</v>
      </c>
      <c r="O14" s="54">
        <v>0</v>
      </c>
      <c r="P14" s="54">
        <v>0.71</v>
      </c>
      <c r="Q14" s="54">
        <v>6.15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24.95</v>
      </c>
      <c r="C15" s="54">
        <v>22.41</v>
      </c>
      <c r="D15" s="54">
        <v>33.340000000000003</v>
      </c>
      <c r="E15" s="54">
        <v>0.38</v>
      </c>
      <c r="F15" s="54">
        <v>0.82</v>
      </c>
      <c r="G15" s="54">
        <v>76.62</v>
      </c>
      <c r="H15" s="54">
        <v>35.409999999999997</v>
      </c>
      <c r="I15" s="54">
        <v>1.58</v>
      </c>
      <c r="J15" s="54">
        <v>0.13</v>
      </c>
      <c r="K15" s="54">
        <v>324.74</v>
      </c>
      <c r="L15" s="54">
        <v>22.28</v>
      </c>
      <c r="M15" s="54">
        <v>96.99</v>
      </c>
      <c r="N15" s="54">
        <v>153.40</v>
      </c>
      <c r="O15" s="54">
        <v>0</v>
      </c>
      <c r="P15" s="54">
        <v>0.71</v>
      </c>
      <c r="Q15" s="54">
        <v>6.56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23.65</v>
      </c>
      <c r="C16" s="54">
        <v>15.27</v>
      </c>
      <c r="D16" s="54">
        <v>27.79</v>
      </c>
      <c r="E16" s="54">
        <v>0.36</v>
      </c>
      <c r="F16" s="54">
        <v>1.69</v>
      </c>
      <c r="G16" s="54">
        <v>79.819999999999993</v>
      </c>
      <c r="H16" s="54">
        <v>35.409999999999997</v>
      </c>
      <c r="I16" s="54">
        <v>1.55</v>
      </c>
      <c r="J16" s="54">
        <v>0.28000000000000003</v>
      </c>
      <c r="K16" s="54">
        <v>135.57</v>
      </c>
      <c r="L16" s="54">
        <v>27.27</v>
      </c>
      <c r="M16" s="54">
        <v>73.459999999999994</v>
      </c>
      <c r="N16" s="54">
        <v>373.30</v>
      </c>
      <c r="O16" s="54">
        <v>0</v>
      </c>
      <c r="P16" s="54">
        <v>0.70</v>
      </c>
      <c r="Q16" s="54">
        <v>6.77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19.53</v>
      </c>
      <c r="C17" s="54">
        <v>17.690000000000001</v>
      </c>
      <c r="D17" s="54">
        <v>25.38</v>
      </c>
      <c r="E17" s="54">
        <v>0.39</v>
      </c>
      <c r="F17" s="54">
        <v>12.13</v>
      </c>
      <c r="G17" s="54">
        <v>79.95</v>
      </c>
      <c r="H17" s="54">
        <v>31.81</v>
      </c>
      <c r="I17" s="54">
        <v>1.55</v>
      </c>
      <c r="J17" s="54">
        <v>0.5</v>
      </c>
      <c r="K17" s="54">
        <v>171.62</v>
      </c>
      <c r="L17" s="54">
        <v>27.82</v>
      </c>
      <c r="M17" s="54">
        <v>59.92</v>
      </c>
      <c r="N17" s="54">
        <v>590.20000000000005</v>
      </c>
      <c r="O17" s="54">
        <v>0</v>
      </c>
      <c r="P17" s="54">
        <v>0.67</v>
      </c>
      <c r="Q17" s="54">
        <v>6.46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10.88</v>
      </c>
      <c r="C18" s="54">
        <v>15.43</v>
      </c>
      <c r="D18" s="54">
        <v>18.350000000000001</v>
      </c>
      <c r="E18" s="54">
        <v>0.44</v>
      </c>
      <c r="F18" s="54">
        <v>11.20</v>
      </c>
      <c r="G18" s="54">
        <v>73.23</v>
      </c>
      <c r="H18" s="54">
        <v>31.81</v>
      </c>
      <c r="I18" s="54">
        <v>1.54</v>
      </c>
      <c r="J18" s="54">
        <v>1.1100000000000001</v>
      </c>
      <c r="K18" s="54">
        <v>355.77</v>
      </c>
      <c r="L18" s="54">
        <v>29.33</v>
      </c>
      <c r="M18" s="54">
        <v>53.81</v>
      </c>
      <c r="N18" s="54">
        <v>747.20</v>
      </c>
      <c r="O18" s="54">
        <v>0</v>
      </c>
      <c r="P18" s="54">
        <v>0.61</v>
      </c>
      <c r="Q18" s="54">
        <v>6.33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7.30</v>
      </c>
      <c r="C19" s="54">
        <v>14.13</v>
      </c>
      <c r="D19" s="54">
        <v>14.87</v>
      </c>
      <c r="E19" s="54">
        <v>0.43</v>
      </c>
      <c r="F19" s="54">
        <v>6.85</v>
      </c>
      <c r="G19" s="54">
        <v>69.13</v>
      </c>
      <c r="H19" s="54">
        <v>2.54</v>
      </c>
      <c r="I19" s="54">
        <v>1.57</v>
      </c>
      <c r="J19" s="54">
        <v>1.22</v>
      </c>
      <c r="K19" s="54">
        <v>147.82</v>
      </c>
      <c r="L19" s="54">
        <v>30.23</v>
      </c>
      <c r="M19" s="54">
        <v>47.31</v>
      </c>
      <c r="N19" s="54">
        <v>827.40</v>
      </c>
      <c r="O19" s="54">
        <v>0</v>
      </c>
      <c r="P19" s="54">
        <v>0.56999999999999995</v>
      </c>
      <c r="Q19" s="54">
        <v>5.62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3.56</v>
      </c>
      <c r="C20" s="54">
        <v>13.19</v>
      </c>
      <c r="D20" s="54">
        <v>10.96</v>
      </c>
      <c r="E20" s="54">
        <v>0.48</v>
      </c>
      <c r="F20" s="54">
        <v>10.28</v>
      </c>
      <c r="G20" s="59" t="s">
        <v>8</v>
      </c>
      <c r="H20" s="59" t="s">
        <v>8</v>
      </c>
      <c r="I20" s="54">
        <v>1.58</v>
      </c>
      <c r="J20" s="54">
        <v>1.02</v>
      </c>
      <c r="K20" s="54">
        <v>156.85</v>
      </c>
      <c r="L20" s="54">
        <v>30.92</v>
      </c>
      <c r="M20" s="54">
        <v>40.03</v>
      </c>
      <c r="N20" s="54">
        <v>849.10</v>
      </c>
      <c r="O20" s="54">
        <v>0</v>
      </c>
      <c r="P20" s="54">
        <v>0.49</v>
      </c>
      <c r="Q20" s="54">
        <v>5.22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2.65</v>
      </c>
      <c r="C21" s="54">
        <v>13.30</v>
      </c>
      <c r="D21" s="54">
        <v>10.76</v>
      </c>
      <c r="E21" s="54">
        <v>0.49</v>
      </c>
      <c r="F21" s="54">
        <v>10.76</v>
      </c>
      <c r="G21" s="59" t="s">
        <v>8</v>
      </c>
      <c r="H21" s="59" t="s">
        <v>8</v>
      </c>
      <c r="I21" s="54">
        <v>1.55</v>
      </c>
      <c r="J21" s="54">
        <v>0.30</v>
      </c>
      <c r="K21" s="54">
        <v>161.57</v>
      </c>
      <c r="L21" s="54">
        <v>31.91</v>
      </c>
      <c r="M21" s="54">
        <v>37.92</v>
      </c>
      <c r="N21" s="54">
        <v>838.40</v>
      </c>
      <c r="O21" s="54">
        <v>0</v>
      </c>
      <c r="P21" s="54">
        <v>0.44</v>
      </c>
      <c r="Q21" s="54">
        <v>5.14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2.66</v>
      </c>
      <c r="C22" s="54">
        <v>12.59</v>
      </c>
      <c r="D22" s="54">
        <v>10.38</v>
      </c>
      <c r="E22" s="54">
        <v>0.47</v>
      </c>
      <c r="F22" s="54">
        <v>10.039999999999999</v>
      </c>
      <c r="G22" s="59" t="s">
        <v>8</v>
      </c>
      <c r="H22" s="59" t="s">
        <v>8</v>
      </c>
      <c r="I22" s="54">
        <v>1.56</v>
      </c>
      <c r="J22" s="54">
        <v>0.52</v>
      </c>
      <c r="K22" s="54">
        <v>151.49</v>
      </c>
      <c r="L22" s="54">
        <v>30.67</v>
      </c>
      <c r="M22" s="54">
        <v>38.79</v>
      </c>
      <c r="N22" s="54">
        <v>738.70</v>
      </c>
      <c r="O22" s="54">
        <v>0</v>
      </c>
      <c r="P22" s="54">
        <v>0.48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2.56</v>
      </c>
      <c r="C23" s="54">
        <v>13.87</v>
      </c>
      <c r="D23" s="54">
        <v>11</v>
      </c>
      <c r="E23" s="54">
        <v>0.56999999999999995</v>
      </c>
      <c r="F23" s="54">
        <v>18.920000000000002</v>
      </c>
      <c r="G23" s="59" t="s">
        <v>8</v>
      </c>
      <c r="H23" s="59" t="s">
        <v>8</v>
      </c>
      <c r="I23" s="54">
        <v>1.52</v>
      </c>
      <c r="J23" s="54">
        <v>1.03</v>
      </c>
      <c r="K23" s="54">
        <v>150.99</v>
      </c>
      <c r="L23" s="54">
        <v>29.76</v>
      </c>
      <c r="M23" s="54">
        <v>36.22</v>
      </c>
      <c r="N23" s="54">
        <v>420.10</v>
      </c>
      <c r="O23" s="54">
        <v>0</v>
      </c>
      <c r="P23" s="54">
        <v>0.41</v>
      </c>
      <c r="Q23" s="54">
        <v>5.09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2.68</v>
      </c>
      <c r="C24" s="54">
        <v>14.71</v>
      </c>
      <c r="D24" s="54">
        <v>11.56</v>
      </c>
      <c r="E24" s="54">
        <v>0.56000000000000005</v>
      </c>
      <c r="F24" s="54">
        <v>16.260000000000002</v>
      </c>
      <c r="G24" s="54">
        <v>69.70</v>
      </c>
      <c r="H24" s="54">
        <v>15.01</v>
      </c>
      <c r="I24" s="54">
        <v>1.58</v>
      </c>
      <c r="J24" s="54">
        <v>0.65</v>
      </c>
      <c r="K24" s="54">
        <v>157.29</v>
      </c>
      <c r="L24" s="54">
        <v>29.09</v>
      </c>
      <c r="M24" s="54">
        <v>39.65</v>
      </c>
      <c r="N24" s="54">
        <v>119.30</v>
      </c>
      <c r="O24" s="54">
        <v>0</v>
      </c>
      <c r="P24" s="54">
        <v>0.39</v>
      </c>
      <c r="Q24" s="54">
        <v>5.13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2.13</v>
      </c>
      <c r="C25" s="54">
        <v>18.25</v>
      </c>
      <c r="D25" s="54">
        <v>13.07</v>
      </c>
      <c r="E25" s="54">
        <v>0.52</v>
      </c>
      <c r="F25" s="54">
        <v>23.19</v>
      </c>
      <c r="G25" s="54">
        <v>68.989999999999995</v>
      </c>
      <c r="H25" s="54">
        <v>15.01</v>
      </c>
      <c r="I25" s="54">
        <v>1.54</v>
      </c>
      <c r="J25" s="54">
        <v>1.04</v>
      </c>
      <c r="K25" s="54">
        <v>355.79</v>
      </c>
      <c r="L25" s="54">
        <v>28.51</v>
      </c>
      <c r="M25" s="54">
        <v>39.47</v>
      </c>
      <c r="N25" s="54">
        <v>76</v>
      </c>
      <c r="O25" s="54">
        <v>0</v>
      </c>
      <c r="P25" s="54">
        <v>0.38</v>
      </c>
      <c r="Q25" s="54">
        <v>5.0199999999999996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3.11</v>
      </c>
      <c r="C26" s="54">
        <v>44.67</v>
      </c>
      <c r="D26" s="54">
        <v>28.44</v>
      </c>
      <c r="E26" s="54">
        <v>0.56000000000000005</v>
      </c>
      <c r="F26" s="54">
        <v>30.12</v>
      </c>
      <c r="G26" s="54">
        <v>61.48</v>
      </c>
      <c r="H26" s="54">
        <v>10.51</v>
      </c>
      <c r="I26" s="54">
        <v>1.54</v>
      </c>
      <c r="J26" s="54">
        <v>0.09</v>
      </c>
      <c r="K26" s="54">
        <v>331.85</v>
      </c>
      <c r="L26" s="54">
        <v>27.40</v>
      </c>
      <c r="M26" s="54">
        <v>59.66</v>
      </c>
      <c r="N26" s="54">
        <v>23.30</v>
      </c>
      <c r="O26" s="54">
        <v>0</v>
      </c>
      <c r="P26" s="54">
        <v>0.63</v>
      </c>
      <c r="Q26" s="54">
        <v>4.6900000000000004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3.79</v>
      </c>
      <c r="C27" s="54">
        <v>51.22</v>
      </c>
      <c r="D27" s="54">
        <v>31.75</v>
      </c>
      <c r="E27" s="54">
        <v>0.68</v>
      </c>
      <c r="F27" s="54">
        <v>19.34</v>
      </c>
      <c r="G27" s="54">
        <v>61.49</v>
      </c>
      <c r="H27" s="54">
        <v>115.56</v>
      </c>
      <c r="I27" s="54">
        <v>1.55</v>
      </c>
      <c r="J27" s="54">
        <v>0.31</v>
      </c>
      <c r="K27" s="54">
        <v>262.94</v>
      </c>
      <c r="L27" s="54">
        <v>25.63</v>
      </c>
      <c r="M27" s="54">
        <v>55.64</v>
      </c>
      <c r="N27" s="54">
        <v>8.90</v>
      </c>
      <c r="O27" s="54">
        <v>0</v>
      </c>
      <c r="P27" s="54">
        <v>0.68</v>
      </c>
      <c r="Q27" s="54">
        <v>3.90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34.92</v>
      </c>
      <c r="C28" s="54">
        <v>74.45</v>
      </c>
      <c r="D28" s="54">
        <v>69.239999999999995</v>
      </c>
      <c r="E28" s="54">
        <v>0.56000000000000005</v>
      </c>
      <c r="F28" s="54">
        <v>4.62</v>
      </c>
      <c r="G28" s="54">
        <v>83.05</v>
      </c>
      <c r="H28" s="54">
        <v>115.56</v>
      </c>
      <c r="I28" s="54">
        <v>1.56</v>
      </c>
      <c r="J28" s="54">
        <v>0.13</v>
      </c>
      <c r="K28" s="54">
        <v>326.29000000000002</v>
      </c>
      <c r="L28" s="54">
        <v>24.57</v>
      </c>
      <c r="M28" s="54">
        <v>60.71</v>
      </c>
      <c r="N28" s="54">
        <v>9</v>
      </c>
      <c r="O28" s="54">
        <v>0</v>
      </c>
      <c r="P28" s="54">
        <v>1.66</v>
      </c>
      <c r="Q28" s="54">
        <v>2.29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117.90</v>
      </c>
      <c r="C29" s="54">
        <v>92.29</v>
      </c>
      <c r="D29" s="54">
        <v>146.77000000000001</v>
      </c>
      <c r="E29" s="54">
        <v>0.77</v>
      </c>
      <c r="F29" s="54">
        <v>1.1200000000000001</v>
      </c>
      <c r="G29" s="54">
        <v>126.35</v>
      </c>
      <c r="H29" s="54">
        <v>59.24</v>
      </c>
      <c r="I29" s="54">
        <v>1.53</v>
      </c>
      <c r="J29" s="54">
        <v>0.20</v>
      </c>
      <c r="K29" s="54">
        <v>325.56</v>
      </c>
      <c r="L29" s="54">
        <v>23.57</v>
      </c>
      <c r="M29" s="54">
        <v>74.650000000000006</v>
      </c>
      <c r="N29" s="54">
        <v>9</v>
      </c>
      <c r="O29" s="54">
        <v>0</v>
      </c>
      <c r="P29" s="54">
        <v>3.11</v>
      </c>
      <c r="Q29" s="54">
        <v>0.17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100.64</v>
      </c>
      <c r="C30" s="54">
        <v>74.91</v>
      </c>
      <c r="D30" s="54">
        <v>123.34</v>
      </c>
      <c r="E30" s="54">
        <v>0.69</v>
      </c>
      <c r="F30" s="54">
        <v>0.60</v>
      </c>
      <c r="G30" s="54">
        <v>172.77</v>
      </c>
      <c r="H30" s="54">
        <v>59.24</v>
      </c>
      <c r="I30" s="54">
        <v>1.55</v>
      </c>
      <c r="J30" s="54">
        <v>0.17</v>
      </c>
      <c r="K30" s="54">
        <v>353.07</v>
      </c>
      <c r="L30" s="54">
        <v>22.57</v>
      </c>
      <c r="M30" s="54">
        <v>76.239999999999995</v>
      </c>
      <c r="N30" s="54">
        <v>8.90</v>
      </c>
      <c r="O30" s="54">
        <v>0</v>
      </c>
      <c r="P30" s="54">
        <v>2.54</v>
      </c>
      <c r="Q30" s="54">
        <v>3.29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113.12</v>
      </c>
      <c r="C31" s="54">
        <v>60.52</v>
      </c>
      <c r="D31" s="54">
        <v>125.25</v>
      </c>
      <c r="E31" s="54">
        <v>0.66</v>
      </c>
      <c r="F31" s="54">
        <v>0.68</v>
      </c>
      <c r="G31" s="54">
        <v>198.32</v>
      </c>
      <c r="H31" s="54">
        <v>3.55</v>
      </c>
      <c r="I31" s="54">
        <v>1.58</v>
      </c>
      <c r="J31" s="54">
        <v>0.09</v>
      </c>
      <c r="K31" s="54">
        <v>305.97000000000003</v>
      </c>
      <c r="L31" s="54">
        <v>21.85</v>
      </c>
      <c r="M31" s="54">
        <v>80.319999999999993</v>
      </c>
      <c r="N31" s="54">
        <v>8.8000000000000007</v>
      </c>
      <c r="O31" s="54">
        <v>0</v>
      </c>
      <c r="P31" s="54">
        <v>2.0499999999999998</v>
      </c>
      <c r="Q31" s="54">
        <v>4.38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110.06</v>
      </c>
      <c r="C32" s="54">
        <v>69.95</v>
      </c>
      <c r="D32" s="54">
        <v>120.61</v>
      </c>
      <c r="E32" s="54">
        <v>0.63</v>
      </c>
      <c r="F32" s="54">
        <v>0.61</v>
      </c>
      <c r="G32" s="54">
        <v>219.99</v>
      </c>
      <c r="H32" s="54">
        <v>0.28000000000000003</v>
      </c>
      <c r="I32" s="54">
        <v>1.51</v>
      </c>
      <c r="J32" s="54">
        <v>0.19</v>
      </c>
      <c r="K32" s="54">
        <v>303.67</v>
      </c>
      <c r="L32" s="54">
        <v>21.57</v>
      </c>
      <c r="M32" s="54">
        <v>84.18</v>
      </c>
      <c r="N32" s="54">
        <v>8.8000000000000007</v>
      </c>
      <c r="O32" s="54">
        <v>0</v>
      </c>
      <c r="P32" s="54">
        <v>2.2000000000000002</v>
      </c>
      <c r="Q32" s="54">
        <v>10.36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2.1299999999999999</v>
      </c>
      <c r="C34" s="28">
        <f t="shared" si="0"/>
        <v>12.59</v>
      </c>
      <c r="D34" s="28">
        <f t="shared" si="0"/>
        <v>10.380000000000001</v>
      </c>
      <c r="E34" s="28">
        <f t="shared" si="0"/>
        <v>0.31</v>
      </c>
      <c r="F34" s="28">
        <f t="shared" si="0"/>
        <v>0.59999999999999998</v>
      </c>
      <c r="G34" s="28">
        <f t="shared" si="0"/>
        <v>60.030000000000001</v>
      </c>
      <c r="H34" s="28">
        <f t="shared" si="0"/>
        <v>0.28000000000000003</v>
      </c>
      <c r="I34" s="28">
        <f t="shared" si="0"/>
        <v>1.51</v>
      </c>
      <c r="J34" s="28">
        <f t="shared" si="0"/>
        <v>0.089999999999999997</v>
      </c>
      <c r="K34" s="28">
        <f t="shared" si="0"/>
        <v>135.56999999999999</v>
      </c>
      <c r="L34" s="28">
        <f t="shared" si="0"/>
        <v>19.829999999999998</v>
      </c>
      <c r="M34" s="28">
        <f t="shared" si="0"/>
        <v>36.219999999999999</v>
      </c>
      <c r="N34" s="28">
        <f t="shared" si="0"/>
        <v>8.8000000000000007</v>
      </c>
      <c r="O34" s="28">
        <f t="shared" si="0"/>
        <v>0</v>
      </c>
      <c r="P34" s="28">
        <f t="shared" si="0"/>
        <v>0.38</v>
      </c>
      <c r="Q34" s="28">
        <f t="shared" si="0"/>
        <v>0.17000000000000001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117.90000000000001</v>
      </c>
      <c r="C35" s="29">
        <f t="shared" si="1"/>
        <v>92.290000000000006</v>
      </c>
      <c r="D35" s="29">
        <f t="shared" si="1"/>
        <v>146.77000000000001</v>
      </c>
      <c r="E35" s="29">
        <f t="shared" si="1"/>
        <v>0.77000000000000002</v>
      </c>
      <c r="F35" s="29">
        <f t="shared" si="1"/>
        <v>30.120000000000001</v>
      </c>
      <c r="G35" s="29">
        <f t="shared" si="1"/>
        <v>219.99000000000001</v>
      </c>
      <c r="H35" s="29">
        <f t="shared" si="1"/>
        <v>115.56</v>
      </c>
      <c r="I35" s="29">
        <f t="shared" si="1"/>
        <v>1.5800000000000001</v>
      </c>
      <c r="J35" s="29">
        <f t="shared" si="1"/>
        <v>1.22</v>
      </c>
      <c r="K35" s="29">
        <f t="shared" si="1"/>
        <v>355.79000000000002</v>
      </c>
      <c r="L35" s="29">
        <f t="shared" si="1"/>
        <v>31.91</v>
      </c>
      <c r="M35" s="29">
        <f t="shared" si="1"/>
        <v>97.430000000000007</v>
      </c>
      <c r="N35" s="29">
        <f t="shared" si="1"/>
        <v>849.10000000000002</v>
      </c>
      <c r="O35" s="29">
        <f t="shared" si="1"/>
        <v>0</v>
      </c>
      <c r="P35" s="29">
        <f t="shared" si="1"/>
        <v>3.1099999999999999</v>
      </c>
      <c r="Q35" s="29">
        <f t="shared" si="1"/>
        <v>10.359999999999999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29.318750000000005</v>
      </c>
      <c r="C36" s="28">
        <f t="shared" si="2"/>
        <v>31.497083333333336</v>
      </c>
      <c r="D36" s="28">
        <f t="shared" si="2"/>
        <v>41.388750000000002</v>
      </c>
      <c r="E36" s="28">
        <f t="shared" si="2"/>
        <v>0.48583333333333334</v>
      </c>
      <c r="F36" s="28">
        <f t="shared" si="2"/>
        <v>8.8920833333333356</v>
      </c>
      <c r="G36" s="28">
        <f t="shared" si="2"/>
        <v>94.066499999999991</v>
      </c>
      <c r="H36" s="28">
        <f t="shared" si="2"/>
        <v>34.612499999999997</v>
      </c>
      <c r="I36" s="28">
        <f t="shared" si="2"/>
        <v>1.5504166666666663</v>
      </c>
      <c r="J36" s="28">
        <f t="shared" si="2"/>
        <v>0.42750000000000005</v>
      </c>
      <c r="K36" s="28">
        <f t="shared" si="2"/>
        <v>263.56333333333333</v>
      </c>
      <c r="L36" s="28">
        <f t="shared" si="2"/>
        <v>25.449166666666674</v>
      </c>
      <c r="M36" s="28">
        <f t="shared" si="2"/>
        <v>66.857500000000016</v>
      </c>
      <c r="N36" s="28">
        <f t="shared" si="2"/>
        <v>244.50416666666669</v>
      </c>
      <c r="O36" s="28">
        <f t="shared" si="2"/>
        <v>0</v>
      </c>
      <c r="P36" s="28">
        <f t="shared" si="2"/>
        <v>0.98291666666666677</v>
      </c>
      <c r="Q36" s="28">
        <f t="shared" si="2"/>
        <v>5.5145833333333343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38.264439310682043</v>
      </c>
      <c r="C37" s="28">
        <f t="shared" si="3" ref="C37:Q37">STDEV(C9:C32)</f>
        <v>24.773175268066037</v>
      </c>
      <c r="D37" s="28">
        <f t="shared" si="3"/>
        <v>42.074650564308861</v>
      </c>
      <c r="E37" s="28">
        <f t="shared" si="3"/>
        <v>0.13432331749621293</v>
      </c>
      <c r="F37" s="28">
        <f t="shared" si="3"/>
        <v>8.1108494055622877</v>
      </c>
      <c r="G37" s="28">
        <f t="shared" si="3"/>
        <v>47.654999878512818</v>
      </c>
      <c r="H37" s="28">
        <f t="shared" si="3"/>
        <v>33.384598540896711</v>
      </c>
      <c r="I37" s="28">
        <f t="shared" si="3"/>
        <v>0.019219366742195623</v>
      </c>
      <c r="J37" s="28">
        <f t="shared" si="3"/>
        <v>0.37502753522096616</v>
      </c>
      <c r="K37" s="28">
        <f t="shared" si="3"/>
        <v>84.213501069121037</v>
      </c>
      <c r="L37" s="28">
        <f t="shared" si="3"/>
        <v>3.9928848856615744</v>
      </c>
      <c r="M37" s="28">
        <f t="shared" si="3"/>
        <v>21.83611592512846</v>
      </c>
      <c r="N37" s="28">
        <f t="shared" si="3"/>
        <v>328.83222162963904</v>
      </c>
      <c r="O37" s="28">
        <f t="shared" si="3"/>
        <v>0</v>
      </c>
      <c r="P37" s="28">
        <f t="shared" si="3"/>
        <v>0.7480262676547188</v>
      </c>
      <c r="Q37" s="28">
        <f t="shared" si="3"/>
        <v>1.9603681534603232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1dabf8-43d4-469f-b8fe-f73069580161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75.459999999999994</v>
      </c>
      <c r="C9" s="54">
        <v>33.82</v>
      </c>
      <c r="D9" s="54">
        <v>76.510000000000005</v>
      </c>
      <c r="E9" s="54">
        <v>0.40</v>
      </c>
      <c r="F9" s="54">
        <v>0.86</v>
      </c>
      <c r="G9" s="59" t="s">
        <v>8</v>
      </c>
      <c r="H9" s="59" t="s">
        <v>8</v>
      </c>
      <c r="I9" s="54">
        <v>1.55</v>
      </c>
      <c r="J9" s="54">
        <v>0.15</v>
      </c>
      <c r="K9" s="54">
        <v>327.32</v>
      </c>
      <c r="L9" s="54">
        <v>20.89</v>
      </c>
      <c r="M9" s="54">
        <v>88.25</v>
      </c>
      <c r="N9" s="54">
        <v>8.8000000000000007</v>
      </c>
      <c r="O9" s="54">
        <v>0</v>
      </c>
      <c r="P9" s="54">
        <v>1.72</v>
      </c>
      <c r="Q9" s="54">
        <v>11.48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64.30</v>
      </c>
      <c r="C10" s="54">
        <v>23.91</v>
      </c>
      <c r="D10" s="54">
        <v>66.02</v>
      </c>
      <c r="E10" s="54">
        <v>0.38</v>
      </c>
      <c r="F10" s="54">
        <v>3.31</v>
      </c>
      <c r="G10" s="59" t="s">
        <v>8</v>
      </c>
      <c r="H10" s="59" t="s">
        <v>8</v>
      </c>
      <c r="I10" s="54">
        <v>1.56</v>
      </c>
      <c r="J10" s="54">
        <v>0.11</v>
      </c>
      <c r="K10" s="54">
        <v>343.75</v>
      </c>
      <c r="L10" s="54">
        <v>21.15</v>
      </c>
      <c r="M10" s="54">
        <v>91.22</v>
      </c>
      <c r="N10" s="54">
        <v>8.8000000000000007</v>
      </c>
      <c r="O10" s="54">
        <v>0</v>
      </c>
      <c r="P10" s="54">
        <v>1.46</v>
      </c>
      <c r="Q10" s="54">
        <v>11.47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45.94</v>
      </c>
      <c r="C11" s="54">
        <v>24.48</v>
      </c>
      <c r="D11" s="54">
        <v>48.76</v>
      </c>
      <c r="E11" s="54">
        <v>0.35</v>
      </c>
      <c r="F11" s="54">
        <v>7.10</v>
      </c>
      <c r="G11" s="59" t="s">
        <v>8</v>
      </c>
      <c r="H11" s="59" t="s">
        <v>8</v>
      </c>
      <c r="I11" s="54">
        <v>1.57</v>
      </c>
      <c r="J11" s="54">
        <v>0.09</v>
      </c>
      <c r="K11" s="54">
        <v>309.47000000000003</v>
      </c>
      <c r="L11" s="54">
        <v>20.29</v>
      </c>
      <c r="M11" s="54">
        <v>92.08</v>
      </c>
      <c r="N11" s="54">
        <v>8.6999999999999993</v>
      </c>
      <c r="O11" s="54">
        <v>0</v>
      </c>
      <c r="P11" s="54">
        <v>1.19</v>
      </c>
      <c r="Q11" s="54">
        <v>11.86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49.04</v>
      </c>
      <c r="C12" s="54">
        <v>22.17</v>
      </c>
      <c r="D12" s="54">
        <v>51.87</v>
      </c>
      <c r="E12" s="54">
        <v>0.42</v>
      </c>
      <c r="F12" s="54">
        <v>1.54</v>
      </c>
      <c r="G12" s="59" t="s">
        <v>8</v>
      </c>
      <c r="H12" s="59" t="s">
        <v>8</v>
      </c>
      <c r="I12" s="54">
        <v>1.52</v>
      </c>
      <c r="J12" s="54">
        <v>0.09</v>
      </c>
      <c r="K12" s="54">
        <v>298.05</v>
      </c>
      <c r="L12" s="54">
        <v>20.14</v>
      </c>
      <c r="M12" s="54">
        <v>91.19</v>
      </c>
      <c r="N12" s="54">
        <v>8.6999999999999993</v>
      </c>
      <c r="O12" s="54">
        <v>0</v>
      </c>
      <c r="P12" s="54">
        <v>1.21</v>
      </c>
      <c r="Q12" s="54">
        <v>9.84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44.01</v>
      </c>
      <c r="C13" s="54">
        <v>23.33</v>
      </c>
      <c r="D13" s="54">
        <v>46.97</v>
      </c>
      <c r="E13" s="54">
        <v>0.48</v>
      </c>
      <c r="F13" s="54">
        <v>0.88</v>
      </c>
      <c r="G13" s="59" t="s">
        <v>8</v>
      </c>
      <c r="H13" s="59" t="s">
        <v>8</v>
      </c>
      <c r="I13" s="54">
        <v>1.54</v>
      </c>
      <c r="J13" s="54">
        <v>0.09</v>
      </c>
      <c r="K13" s="54">
        <v>283.35000000000002</v>
      </c>
      <c r="L13" s="54">
        <v>20.09</v>
      </c>
      <c r="M13" s="54">
        <v>95.39</v>
      </c>
      <c r="N13" s="54">
        <v>8.6999999999999993</v>
      </c>
      <c r="O13" s="54">
        <v>0</v>
      </c>
      <c r="P13" s="54">
        <v>1.1299999999999999</v>
      </c>
      <c r="Q13" s="54">
        <v>9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47.49</v>
      </c>
      <c r="C14" s="54">
        <v>28.64</v>
      </c>
      <c r="D14" s="54">
        <v>54.06</v>
      </c>
      <c r="E14" s="54">
        <v>0.5</v>
      </c>
      <c r="F14" s="54">
        <v>0.56000000000000005</v>
      </c>
      <c r="G14" s="59" t="s">
        <v>8</v>
      </c>
      <c r="H14" s="59" t="s">
        <v>8</v>
      </c>
      <c r="I14" s="54">
        <v>1.61</v>
      </c>
      <c r="J14" s="54">
        <v>0.11</v>
      </c>
      <c r="K14" s="54">
        <v>294.42</v>
      </c>
      <c r="L14" s="54">
        <v>19.920000000000002</v>
      </c>
      <c r="M14" s="54">
        <v>95.86</v>
      </c>
      <c r="N14" s="54">
        <v>13.40</v>
      </c>
      <c r="O14" s="54">
        <v>0</v>
      </c>
      <c r="P14" s="54">
        <v>1.08</v>
      </c>
      <c r="Q14" s="54">
        <v>8.39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46.75</v>
      </c>
      <c r="C15" s="54">
        <v>20.170000000000002</v>
      </c>
      <c r="D15" s="54">
        <v>49.91</v>
      </c>
      <c r="E15" s="54">
        <v>0.5</v>
      </c>
      <c r="F15" s="54">
        <v>0.45</v>
      </c>
      <c r="G15" s="59" t="s">
        <v>8</v>
      </c>
      <c r="H15" s="59" t="s">
        <v>8</v>
      </c>
      <c r="I15" s="54">
        <v>1.56</v>
      </c>
      <c r="J15" s="54">
        <v>0.20</v>
      </c>
      <c r="K15" s="54">
        <v>262.69</v>
      </c>
      <c r="L15" s="54">
        <v>21.45</v>
      </c>
      <c r="M15" s="54">
        <v>95.89</v>
      </c>
      <c r="N15" s="54">
        <v>135.69999999999999</v>
      </c>
      <c r="O15" s="54">
        <v>0</v>
      </c>
      <c r="P15" s="54">
        <v>1.04</v>
      </c>
      <c r="Q15" s="54">
        <v>8.52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42.82</v>
      </c>
      <c r="C16" s="54">
        <v>20.170000000000002</v>
      </c>
      <c r="D16" s="54">
        <v>45.5</v>
      </c>
      <c r="E16" s="54">
        <v>0.5</v>
      </c>
      <c r="F16" s="54">
        <v>0.76</v>
      </c>
      <c r="G16" s="59" t="s">
        <v>8</v>
      </c>
      <c r="H16" s="59" t="s">
        <v>8</v>
      </c>
      <c r="I16" s="54">
        <v>1.51</v>
      </c>
      <c r="J16" s="54">
        <v>0.32</v>
      </c>
      <c r="K16" s="54">
        <v>314.77</v>
      </c>
      <c r="L16" s="54">
        <v>24.42</v>
      </c>
      <c r="M16" s="54">
        <v>88.19</v>
      </c>
      <c r="N16" s="54">
        <v>335.80</v>
      </c>
      <c r="O16" s="54">
        <v>0</v>
      </c>
      <c r="P16" s="54">
        <v>1.03</v>
      </c>
      <c r="Q16" s="54">
        <v>8.2799999999999994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33.26</v>
      </c>
      <c r="C17" s="54">
        <v>21.07</v>
      </c>
      <c r="D17" s="54">
        <v>38.35</v>
      </c>
      <c r="E17" s="54">
        <v>0.40</v>
      </c>
      <c r="F17" s="54">
        <v>6.69</v>
      </c>
      <c r="G17" s="59" t="s">
        <v>8</v>
      </c>
      <c r="H17" s="59" t="s">
        <v>8</v>
      </c>
      <c r="I17" s="54">
        <v>1.52</v>
      </c>
      <c r="J17" s="54">
        <v>0.90</v>
      </c>
      <c r="K17" s="54">
        <v>155.01</v>
      </c>
      <c r="L17" s="54">
        <v>26.44</v>
      </c>
      <c r="M17" s="54">
        <v>71.92</v>
      </c>
      <c r="N17" s="54">
        <v>543.79999999999995</v>
      </c>
      <c r="O17" s="54">
        <v>0</v>
      </c>
      <c r="P17" s="54">
        <v>1</v>
      </c>
      <c r="Q17" s="54">
        <v>7.96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25.36</v>
      </c>
      <c r="C18" s="54">
        <v>19.309999999999999</v>
      </c>
      <c r="D18" s="54">
        <v>32.29</v>
      </c>
      <c r="E18" s="54">
        <v>0.43</v>
      </c>
      <c r="F18" s="54">
        <v>3.49</v>
      </c>
      <c r="G18" s="59" t="s">
        <v>8</v>
      </c>
      <c r="H18" s="59" t="s">
        <v>8</v>
      </c>
      <c r="I18" s="54">
        <v>1.52</v>
      </c>
      <c r="J18" s="54">
        <v>0.98</v>
      </c>
      <c r="K18" s="54">
        <v>140.18</v>
      </c>
      <c r="L18" s="54">
        <v>28.56</v>
      </c>
      <c r="M18" s="54">
        <v>58.60</v>
      </c>
      <c r="N18" s="54">
        <v>695.20</v>
      </c>
      <c r="O18" s="54">
        <v>0</v>
      </c>
      <c r="P18" s="54">
        <v>0.89</v>
      </c>
      <c r="Q18" s="54">
        <v>7.29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17.010000000000002</v>
      </c>
      <c r="C19" s="54">
        <v>18.34</v>
      </c>
      <c r="D19" s="54">
        <v>23.91</v>
      </c>
      <c r="E19" s="54">
        <v>0.36</v>
      </c>
      <c r="F19" s="54">
        <v>13.52</v>
      </c>
      <c r="G19" s="59" t="s">
        <v>8</v>
      </c>
      <c r="H19" s="59" t="s">
        <v>8</v>
      </c>
      <c r="I19" s="54">
        <v>1.48</v>
      </c>
      <c r="J19" s="54">
        <v>0.48</v>
      </c>
      <c r="K19" s="54">
        <v>152.13999999999999</v>
      </c>
      <c r="L19" s="54">
        <v>29.88</v>
      </c>
      <c r="M19" s="54">
        <v>50.60</v>
      </c>
      <c r="N19" s="54">
        <v>781.80</v>
      </c>
      <c r="O19" s="54">
        <v>0</v>
      </c>
      <c r="P19" s="54">
        <v>0.79</v>
      </c>
      <c r="Q19" s="54">
        <v>6.54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5.97</v>
      </c>
      <c r="C20" s="54">
        <v>21.09</v>
      </c>
      <c r="D20" s="54">
        <v>17.350000000000001</v>
      </c>
      <c r="E20" s="54">
        <v>0.36</v>
      </c>
      <c r="F20" s="54">
        <v>7.35</v>
      </c>
      <c r="G20" s="59" t="s">
        <v>8</v>
      </c>
      <c r="H20" s="59" t="s">
        <v>8</v>
      </c>
      <c r="I20" s="54">
        <v>1.55</v>
      </c>
      <c r="J20" s="54">
        <v>0.44</v>
      </c>
      <c r="K20" s="54">
        <v>143.41999999999999</v>
      </c>
      <c r="L20" s="54">
        <v>29.91</v>
      </c>
      <c r="M20" s="54">
        <v>47.97</v>
      </c>
      <c r="N20" s="54">
        <v>803</v>
      </c>
      <c r="O20" s="54">
        <v>0</v>
      </c>
      <c r="P20" s="54">
        <v>0.64</v>
      </c>
      <c r="Q20" s="54">
        <v>5.42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3.43</v>
      </c>
      <c r="C21" s="54">
        <v>21</v>
      </c>
      <c r="D21" s="54">
        <v>15.63</v>
      </c>
      <c r="E21" s="54">
        <v>0.20</v>
      </c>
      <c r="F21" s="54">
        <v>16.93</v>
      </c>
      <c r="G21" s="59" t="s">
        <v>8</v>
      </c>
      <c r="H21" s="59" t="s">
        <v>8</v>
      </c>
      <c r="I21" s="54">
        <v>1.54</v>
      </c>
      <c r="J21" s="54">
        <v>0.56000000000000005</v>
      </c>
      <c r="K21" s="54">
        <v>356.75</v>
      </c>
      <c r="L21" s="54">
        <v>32.020000000000003</v>
      </c>
      <c r="M21" s="54">
        <v>46.23</v>
      </c>
      <c r="N21" s="54">
        <v>783</v>
      </c>
      <c r="O21" s="54">
        <v>0</v>
      </c>
      <c r="P21" s="54">
        <v>0.63</v>
      </c>
      <c r="Q21" s="54">
        <v>5.12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2</v>
      </c>
      <c r="C22" s="54">
        <v>15.20</v>
      </c>
      <c r="D22" s="54">
        <v>11.29</v>
      </c>
      <c r="E22" s="54">
        <v>0.22</v>
      </c>
      <c r="F22" s="54">
        <v>26.05</v>
      </c>
      <c r="G22" s="54">
        <v>96.64</v>
      </c>
      <c r="H22" s="54">
        <v>17.39</v>
      </c>
      <c r="I22" s="54">
        <v>1.57</v>
      </c>
      <c r="J22" s="54">
        <v>0.76</v>
      </c>
      <c r="K22" s="54">
        <v>150.52000000000001</v>
      </c>
      <c r="L22" s="54">
        <v>30.45</v>
      </c>
      <c r="M22" s="54">
        <v>40.82</v>
      </c>
      <c r="N22" s="54">
        <v>660.10</v>
      </c>
      <c r="O22" s="54">
        <v>0</v>
      </c>
      <c r="P22" s="54">
        <v>0.56999999999999995</v>
      </c>
      <c r="Q22" s="54">
        <v>5.18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2.04</v>
      </c>
      <c r="C23" s="54">
        <v>20.41</v>
      </c>
      <c r="D23" s="54">
        <v>14.17</v>
      </c>
      <c r="E23" s="54">
        <v>0.37</v>
      </c>
      <c r="F23" s="54">
        <v>26.84</v>
      </c>
      <c r="G23" s="54">
        <v>96.64</v>
      </c>
      <c r="H23" s="54">
        <v>22.49</v>
      </c>
      <c r="I23" s="54">
        <v>1.53</v>
      </c>
      <c r="J23" s="54">
        <v>0.85</v>
      </c>
      <c r="K23" s="54">
        <v>350.62</v>
      </c>
      <c r="L23" s="54">
        <v>29.71</v>
      </c>
      <c r="M23" s="54">
        <v>41.95</v>
      </c>
      <c r="N23" s="54">
        <v>340.40</v>
      </c>
      <c r="O23" s="54">
        <v>0</v>
      </c>
      <c r="P23" s="54">
        <v>0.56000000000000005</v>
      </c>
      <c r="Q23" s="54">
        <v>5.12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2.1800000000000002</v>
      </c>
      <c r="C24" s="54">
        <v>16.57</v>
      </c>
      <c r="D24" s="54">
        <v>12.05</v>
      </c>
      <c r="E24" s="54">
        <v>0.44</v>
      </c>
      <c r="F24" s="54">
        <v>21.38</v>
      </c>
      <c r="G24" s="54">
        <v>81.010000000000005</v>
      </c>
      <c r="H24" s="54">
        <v>22.49</v>
      </c>
      <c r="I24" s="54">
        <v>1.54</v>
      </c>
      <c r="J24" s="54">
        <v>0.53</v>
      </c>
      <c r="K24" s="54">
        <v>184.09</v>
      </c>
      <c r="L24" s="54">
        <v>29.24</v>
      </c>
      <c r="M24" s="54">
        <v>42.09</v>
      </c>
      <c r="N24" s="54">
        <v>159.60</v>
      </c>
      <c r="O24" s="54">
        <v>0</v>
      </c>
      <c r="P24" s="54">
        <v>0.54</v>
      </c>
      <c r="Q24" s="54">
        <v>5.1100000000000003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2</v>
      </c>
      <c r="C25" s="54">
        <v>20.45</v>
      </c>
      <c r="D25" s="54">
        <v>14.18</v>
      </c>
      <c r="E25" s="54">
        <v>0.55000000000000004</v>
      </c>
      <c r="F25" s="54">
        <v>19.52</v>
      </c>
      <c r="G25" s="54">
        <v>77.930000000000007</v>
      </c>
      <c r="H25" s="54">
        <v>23.41</v>
      </c>
      <c r="I25" s="54">
        <v>1.55</v>
      </c>
      <c r="J25" s="54">
        <v>0.20</v>
      </c>
      <c r="K25" s="54">
        <v>219.73</v>
      </c>
      <c r="L25" s="54">
        <v>28.28</v>
      </c>
      <c r="M25" s="54">
        <v>47.30</v>
      </c>
      <c r="N25" s="54">
        <v>77.20</v>
      </c>
      <c r="O25" s="54">
        <v>0</v>
      </c>
      <c r="P25" s="54">
        <v>0.49</v>
      </c>
      <c r="Q25" s="54">
        <v>5.0599999999999996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3.30</v>
      </c>
      <c r="C26" s="54">
        <v>25.69</v>
      </c>
      <c r="D26" s="54">
        <v>17.18</v>
      </c>
      <c r="E26" s="54">
        <v>0.65</v>
      </c>
      <c r="F26" s="54">
        <v>26.23</v>
      </c>
      <c r="G26" s="54">
        <v>69.75</v>
      </c>
      <c r="H26" s="54">
        <v>35.75</v>
      </c>
      <c r="I26" s="54">
        <v>1.55</v>
      </c>
      <c r="J26" s="54">
        <v>0.11</v>
      </c>
      <c r="K26" s="54">
        <v>301.05</v>
      </c>
      <c r="L26" s="54">
        <v>27.12</v>
      </c>
      <c r="M26" s="54">
        <v>59.91</v>
      </c>
      <c r="N26" s="54">
        <v>23.30</v>
      </c>
      <c r="O26" s="54">
        <v>0</v>
      </c>
      <c r="P26" s="54">
        <v>0.51</v>
      </c>
      <c r="Q26" s="54">
        <v>4.46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27.82</v>
      </c>
      <c r="C27" s="54">
        <v>48.17</v>
      </c>
      <c r="D27" s="54">
        <v>50.18</v>
      </c>
      <c r="E27" s="54">
        <v>0.63</v>
      </c>
      <c r="F27" s="54">
        <v>24.02</v>
      </c>
      <c r="G27" s="54">
        <v>71.19</v>
      </c>
      <c r="H27" s="54">
        <v>35.75</v>
      </c>
      <c r="I27" s="54">
        <v>1.56</v>
      </c>
      <c r="J27" s="54">
        <v>0.14000000000000001</v>
      </c>
      <c r="K27" s="54">
        <v>318.41000000000003</v>
      </c>
      <c r="L27" s="54">
        <v>25.78</v>
      </c>
      <c r="M27" s="54">
        <v>63.5</v>
      </c>
      <c r="N27" s="54">
        <v>9</v>
      </c>
      <c r="O27" s="54">
        <v>0</v>
      </c>
      <c r="P27" s="54">
        <v>1.37</v>
      </c>
      <c r="Q27" s="54">
        <v>4.26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60.31</v>
      </c>
      <c r="C28" s="54">
        <v>91.40</v>
      </c>
      <c r="D28" s="54">
        <v>95.35</v>
      </c>
      <c r="E28" s="54">
        <v>0.66</v>
      </c>
      <c r="F28" s="54">
        <v>11.84</v>
      </c>
      <c r="G28" s="54">
        <v>100.44</v>
      </c>
      <c r="H28" s="54">
        <v>40.78</v>
      </c>
      <c r="I28" s="54">
        <v>1.52</v>
      </c>
      <c r="J28" s="54">
        <v>0.08</v>
      </c>
      <c r="K28" s="54">
        <v>355.05</v>
      </c>
      <c r="L28" s="54">
        <v>24.58</v>
      </c>
      <c r="M28" s="54">
        <v>71.489999999999995</v>
      </c>
      <c r="N28" s="54">
        <v>9</v>
      </c>
      <c r="O28" s="54">
        <v>0</v>
      </c>
      <c r="P28" s="54">
        <v>2.69</v>
      </c>
      <c r="Q28" s="54">
        <v>2.54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104.84</v>
      </c>
      <c r="C29" s="54">
        <v>106.61</v>
      </c>
      <c r="D29" s="54">
        <v>144.19999999999999</v>
      </c>
      <c r="E29" s="54">
        <v>0.87</v>
      </c>
      <c r="F29" s="54">
        <v>1.90</v>
      </c>
      <c r="G29" s="54">
        <v>235.71</v>
      </c>
      <c r="H29" s="54">
        <v>51.91</v>
      </c>
      <c r="I29" s="54">
        <v>1.51</v>
      </c>
      <c r="J29" s="54">
        <v>1.87</v>
      </c>
      <c r="K29" s="54">
        <v>357.69</v>
      </c>
      <c r="L29" s="54">
        <v>23.94</v>
      </c>
      <c r="M29" s="54">
        <v>73.30</v>
      </c>
      <c r="N29" s="54">
        <v>9.3000000000000007</v>
      </c>
      <c r="O29" s="54">
        <v>0</v>
      </c>
      <c r="P29" s="54">
        <v>3.54</v>
      </c>
      <c r="Q29" s="54">
        <v>6.23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20.64</v>
      </c>
      <c r="C30" s="54">
        <v>20.239999999999998</v>
      </c>
      <c r="D30" s="54">
        <v>28.61</v>
      </c>
      <c r="E30" s="54">
        <v>0.49</v>
      </c>
      <c r="F30" s="54">
        <v>1.64</v>
      </c>
      <c r="G30" s="54">
        <v>235.71</v>
      </c>
      <c r="H30" s="54">
        <v>55.67</v>
      </c>
      <c r="I30" s="54">
        <v>1.55</v>
      </c>
      <c r="J30" s="54">
        <v>1.1399999999999999</v>
      </c>
      <c r="K30" s="54">
        <v>348.37</v>
      </c>
      <c r="L30" s="54">
        <v>23.06</v>
      </c>
      <c r="M30" s="54">
        <v>71.91</v>
      </c>
      <c r="N30" s="54">
        <v>9.10</v>
      </c>
      <c r="O30" s="54">
        <v>0</v>
      </c>
      <c r="P30" s="54">
        <v>1.20</v>
      </c>
      <c r="Q30" s="54">
        <v>6.42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19.97</v>
      </c>
      <c r="C31" s="54">
        <v>28.42</v>
      </c>
      <c r="D31" s="54">
        <v>32.06</v>
      </c>
      <c r="E31" s="54">
        <v>0.41</v>
      </c>
      <c r="F31" s="54">
        <v>7.43</v>
      </c>
      <c r="G31" s="54">
        <v>147.13999999999999</v>
      </c>
      <c r="H31" s="54">
        <v>55.67</v>
      </c>
      <c r="I31" s="54">
        <v>1.55</v>
      </c>
      <c r="J31" s="54">
        <v>0.80</v>
      </c>
      <c r="K31" s="54">
        <v>359.51</v>
      </c>
      <c r="L31" s="54">
        <v>22.37</v>
      </c>
      <c r="M31" s="54">
        <v>71.459999999999994</v>
      </c>
      <c r="N31" s="54">
        <v>8.8000000000000007</v>
      </c>
      <c r="O31" s="54">
        <v>0</v>
      </c>
      <c r="P31" s="54">
        <v>1.18</v>
      </c>
      <c r="Q31" s="54">
        <v>6.40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18.68</v>
      </c>
      <c r="C32" s="54">
        <v>29.76</v>
      </c>
      <c r="D32" s="54">
        <v>31.58</v>
      </c>
      <c r="E32" s="54">
        <v>0.42</v>
      </c>
      <c r="F32" s="54">
        <v>5.80</v>
      </c>
      <c r="G32" s="54">
        <v>74.83</v>
      </c>
      <c r="H32" s="54">
        <v>36.32</v>
      </c>
      <c r="I32" s="54">
        <v>1.59</v>
      </c>
      <c r="J32" s="54">
        <v>0.42</v>
      </c>
      <c r="K32" s="54">
        <v>338.67</v>
      </c>
      <c r="L32" s="54">
        <v>22.29</v>
      </c>
      <c r="M32" s="54">
        <v>72.77</v>
      </c>
      <c r="N32" s="54">
        <v>8.8000000000000007</v>
      </c>
      <c r="O32" s="54">
        <v>0</v>
      </c>
      <c r="P32" s="54">
        <v>1.0900000000000001</v>
      </c>
      <c r="Q32" s="54">
        <v>6.26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15.199999999999999</v>
      </c>
      <c r="D34" s="28">
        <f t="shared" si="0"/>
        <v>11.289999999999999</v>
      </c>
      <c r="E34" s="28">
        <f t="shared" si="0"/>
        <v>0.20000000000000001</v>
      </c>
      <c r="F34" s="28">
        <f t="shared" si="0"/>
        <v>0.45000000000000001</v>
      </c>
      <c r="G34" s="28">
        <f t="shared" si="0"/>
        <v>69.75</v>
      </c>
      <c r="H34" s="28">
        <f t="shared" si="0"/>
        <v>17.390000000000001</v>
      </c>
      <c r="I34" s="28">
        <f t="shared" si="0"/>
        <v>1.48</v>
      </c>
      <c r="J34" s="28">
        <f t="shared" si="0"/>
        <v>0.080000000000000002</v>
      </c>
      <c r="K34" s="28">
        <f t="shared" si="0"/>
        <v>140.18000000000001</v>
      </c>
      <c r="L34" s="28">
        <f t="shared" si="0"/>
        <v>19.920000000000002</v>
      </c>
      <c r="M34" s="28">
        <f t="shared" si="0"/>
        <v>40.82</v>
      </c>
      <c r="N34" s="28">
        <f t="shared" si="0"/>
        <v>8.6999999999999993</v>
      </c>
      <c r="O34" s="28">
        <f t="shared" si="0"/>
        <v>0</v>
      </c>
      <c r="P34" s="28">
        <f t="shared" si="0"/>
        <v>0.48999999999999999</v>
      </c>
      <c r="Q34" s="28">
        <f t="shared" si="0"/>
        <v>2.54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104.84</v>
      </c>
      <c r="C35" s="29">
        <f t="shared" si="1"/>
        <v>106.61</v>
      </c>
      <c r="D35" s="29">
        <f t="shared" si="1"/>
        <v>144.19999999999999</v>
      </c>
      <c r="E35" s="29">
        <f t="shared" si="1"/>
        <v>0.87</v>
      </c>
      <c r="F35" s="29">
        <f t="shared" si="1"/>
        <v>26.84</v>
      </c>
      <c r="G35" s="29">
        <f t="shared" si="1"/>
        <v>235.71000000000001</v>
      </c>
      <c r="H35" s="29">
        <f t="shared" si="1"/>
        <v>55.670000000000002</v>
      </c>
      <c r="I35" s="29">
        <f t="shared" si="1"/>
        <v>1.6100000000000001</v>
      </c>
      <c r="J35" s="29">
        <f t="shared" si="1"/>
        <v>1.8700000000000001</v>
      </c>
      <c r="K35" s="29">
        <f t="shared" si="1"/>
        <v>359.50999999999999</v>
      </c>
      <c r="L35" s="29">
        <f t="shared" si="1"/>
        <v>32.020000000000003</v>
      </c>
      <c r="M35" s="29">
        <f t="shared" si="1"/>
        <v>95.890000000000001</v>
      </c>
      <c r="N35" s="29">
        <f t="shared" si="1"/>
        <v>803</v>
      </c>
      <c r="O35" s="29">
        <f t="shared" si="1"/>
        <v>0</v>
      </c>
      <c r="P35" s="29">
        <f t="shared" si="1"/>
        <v>3.54</v>
      </c>
      <c r="Q35" s="29">
        <f t="shared" si="1"/>
        <v>11.859999999999999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31.859166666666667</v>
      </c>
      <c r="C36" s="28">
        <f t="shared" si="2"/>
        <v>30.017500000000002</v>
      </c>
      <c r="D36" s="28">
        <f t="shared" si="2"/>
        <v>42.415833333333332</v>
      </c>
      <c r="E36" s="28">
        <f t="shared" si="2"/>
        <v>0.45791666666666669</v>
      </c>
      <c r="F36" s="28">
        <f t="shared" si="2"/>
        <v>9.8370833333333341</v>
      </c>
      <c r="G36" s="28">
        <f t="shared" si="2"/>
        <v>116.9990909090909</v>
      </c>
      <c r="H36" s="28">
        <f t="shared" si="2"/>
        <v>36.148181818181818</v>
      </c>
      <c r="I36" s="28">
        <f t="shared" si="2"/>
        <v>1.54375</v>
      </c>
      <c r="J36" s="28">
        <f t="shared" si="2"/>
        <v>0.47583333333333333</v>
      </c>
      <c r="K36" s="28">
        <f t="shared" si="2"/>
        <v>277.70958333333334</v>
      </c>
      <c r="L36" s="28">
        <f t="shared" si="2"/>
        <v>25.082499999999996</v>
      </c>
      <c r="M36" s="28">
        <f t="shared" si="2"/>
        <v>69.578749999999999</v>
      </c>
      <c r="N36" s="28">
        <f t="shared" si="2"/>
        <v>227.08333333333337</v>
      </c>
      <c r="O36" s="28">
        <f t="shared" si="2"/>
        <v>0</v>
      </c>
      <c r="P36" s="28">
        <f t="shared" si="2"/>
        <v>1.1479166666666667</v>
      </c>
      <c r="Q36" s="28">
        <f t="shared" si="2"/>
        <v>7.0087499999999991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27.095306815928012</v>
      </c>
      <c r="C37" s="28">
        <f t="shared" si="3" ref="C37:Q37">STDEV(C9:C32)</f>
        <v>22.401065240587187</v>
      </c>
      <c r="D37" s="28">
        <f t="shared" si="3"/>
        <v>30.672838135317086</v>
      </c>
      <c r="E37" s="28">
        <f t="shared" si="3"/>
        <v>0.14343546243540325</v>
      </c>
      <c r="F37" s="28">
        <f t="shared" si="3"/>
        <v>9.4678143472763914</v>
      </c>
      <c r="G37" s="28">
        <f t="shared" si="3"/>
        <v>62.551589181178414</v>
      </c>
      <c r="H37" s="28">
        <f t="shared" si="3"/>
        <v>13.855181570937148</v>
      </c>
      <c r="I37" s="28">
        <f t="shared" si="3"/>
        <v>0.027789973168314747</v>
      </c>
      <c r="J37" s="28">
        <f t="shared" si="3"/>
        <v>0.44523483463338132</v>
      </c>
      <c r="K37" s="28">
        <f t="shared" si="3"/>
        <v>80.155537359461803</v>
      </c>
      <c r="L37" s="28">
        <f t="shared" si="3"/>
        <v>3.9409138754752511</v>
      </c>
      <c r="M37" s="28">
        <f t="shared" si="3"/>
        <v>19.441873749495002</v>
      </c>
      <c r="N37" s="28">
        <f t="shared" si="3"/>
        <v>304.05444544867532</v>
      </c>
      <c r="O37" s="28">
        <f t="shared" si="3"/>
        <v>0</v>
      </c>
      <c r="P37" s="28">
        <f t="shared" si="3"/>
        <v>0.69934739247552691</v>
      </c>
      <c r="Q37" s="28">
        <f t="shared" si="3"/>
        <v>2.4559941093612969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COUNT(G9:G32)+13</f>
        <v>24</v>
      </c>
      <c r="H38" s="32">
        <f>COUNT(H9:H32)+13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d3c968-da11-43cd-9082-e31db7f61d3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16.97</v>
      </c>
      <c r="C9" s="54">
        <v>18.04</v>
      </c>
      <c r="D9" s="54">
        <v>24.59</v>
      </c>
      <c r="E9" s="54">
        <v>0.36</v>
      </c>
      <c r="F9" s="54">
        <v>1.79</v>
      </c>
      <c r="G9" s="54">
        <v>135.86000000000001</v>
      </c>
      <c r="H9" s="54">
        <v>31.90</v>
      </c>
      <c r="I9" s="54">
        <v>1.52</v>
      </c>
      <c r="J9" s="54">
        <v>0.53</v>
      </c>
      <c r="K9" s="54">
        <v>343.35</v>
      </c>
      <c r="L9" s="54">
        <v>21.98</v>
      </c>
      <c r="M9" s="54">
        <v>77.55</v>
      </c>
      <c r="N9" s="54">
        <v>8.8000000000000007</v>
      </c>
      <c r="O9" s="54">
        <v>0</v>
      </c>
      <c r="P9" s="54">
        <v>1.1599999999999999</v>
      </c>
      <c r="Q9" s="54">
        <v>6.29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15.73</v>
      </c>
      <c r="C10" s="54">
        <v>30.30</v>
      </c>
      <c r="D10" s="54">
        <v>29.10</v>
      </c>
      <c r="E10" s="54">
        <v>0.32</v>
      </c>
      <c r="F10" s="54">
        <v>0.73</v>
      </c>
      <c r="G10" s="54">
        <v>156.97</v>
      </c>
      <c r="H10" s="54">
        <v>31.44</v>
      </c>
      <c r="I10" s="54">
        <v>1.54</v>
      </c>
      <c r="J10" s="54">
        <v>0.40</v>
      </c>
      <c r="K10" s="54">
        <v>342.80</v>
      </c>
      <c r="L10" s="54">
        <v>21.49</v>
      </c>
      <c r="M10" s="54">
        <v>83.57</v>
      </c>
      <c r="N10" s="54">
        <v>9</v>
      </c>
      <c r="O10" s="54">
        <v>0</v>
      </c>
      <c r="P10" s="54">
        <v>1.1499999999999999</v>
      </c>
      <c r="Q10" s="54">
        <v>6.17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16.98</v>
      </c>
      <c r="C11" s="54">
        <v>22.45</v>
      </c>
      <c r="D11" s="54">
        <v>27.30</v>
      </c>
      <c r="E11" s="54">
        <v>0.43</v>
      </c>
      <c r="F11" s="54">
        <v>1.23</v>
      </c>
      <c r="G11" s="54">
        <v>156.97</v>
      </c>
      <c r="H11" s="54">
        <v>29.11</v>
      </c>
      <c r="I11" s="54">
        <v>1.58</v>
      </c>
      <c r="J11" s="54">
        <v>0.54</v>
      </c>
      <c r="K11" s="54">
        <v>357.85</v>
      </c>
      <c r="L11" s="54">
        <v>21.32</v>
      </c>
      <c r="M11" s="54">
        <v>81.58</v>
      </c>
      <c r="N11" s="54">
        <v>8.8000000000000007</v>
      </c>
      <c r="O11" s="54">
        <v>0</v>
      </c>
      <c r="P11" s="54">
        <v>1.17</v>
      </c>
      <c r="Q11" s="54">
        <v>5.91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15.22</v>
      </c>
      <c r="C12" s="54">
        <v>16.04</v>
      </c>
      <c r="D12" s="54">
        <v>22.35</v>
      </c>
      <c r="E12" s="54">
        <v>0.39</v>
      </c>
      <c r="F12" s="54">
        <v>1.1000000000000001</v>
      </c>
      <c r="G12" s="54">
        <v>140.05000000000001</v>
      </c>
      <c r="H12" s="54">
        <v>29.11</v>
      </c>
      <c r="I12" s="54">
        <v>1.52</v>
      </c>
      <c r="J12" s="54">
        <v>0.41</v>
      </c>
      <c r="K12" s="54">
        <v>341.84</v>
      </c>
      <c r="L12" s="54">
        <v>21.35</v>
      </c>
      <c r="M12" s="54">
        <v>84.79</v>
      </c>
      <c r="N12" s="54">
        <v>9.10</v>
      </c>
      <c r="O12" s="54">
        <v>0</v>
      </c>
      <c r="P12" s="54">
        <v>1.1000000000000001</v>
      </c>
      <c r="Q12" s="54">
        <v>6.05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13.35</v>
      </c>
      <c r="C13" s="54">
        <v>18.25</v>
      </c>
      <c r="D13" s="54">
        <v>20.34</v>
      </c>
      <c r="E13" s="54">
        <v>0.44</v>
      </c>
      <c r="F13" s="54">
        <v>0.41</v>
      </c>
      <c r="G13" s="54">
        <v>117.15</v>
      </c>
      <c r="H13" s="54">
        <v>53.37</v>
      </c>
      <c r="I13" s="54">
        <v>1.52</v>
      </c>
      <c r="J13" s="54">
        <v>0.05</v>
      </c>
      <c r="K13" s="54">
        <v>289.27</v>
      </c>
      <c r="L13" s="54">
        <v>20.57</v>
      </c>
      <c r="M13" s="54">
        <v>92.87</v>
      </c>
      <c r="N13" s="54">
        <v>8.6999999999999993</v>
      </c>
      <c r="O13" s="54">
        <v>0</v>
      </c>
      <c r="P13" s="54">
        <v>1.05</v>
      </c>
      <c r="Q13" s="54">
        <v>5.85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12.37</v>
      </c>
      <c r="C14" s="54">
        <v>15.02</v>
      </c>
      <c r="D14" s="54">
        <v>19.22</v>
      </c>
      <c r="E14" s="54">
        <v>0.55000000000000004</v>
      </c>
      <c r="F14" s="54">
        <v>0.70</v>
      </c>
      <c r="G14" s="54">
        <v>117.15</v>
      </c>
      <c r="H14" s="54">
        <v>86.63</v>
      </c>
      <c r="I14" s="54">
        <v>1.53</v>
      </c>
      <c r="J14" s="54">
        <v>0.25</v>
      </c>
      <c r="K14" s="54">
        <v>186.28</v>
      </c>
      <c r="L14" s="54">
        <v>20.03</v>
      </c>
      <c r="M14" s="54">
        <v>97.56</v>
      </c>
      <c r="N14" s="54">
        <v>13</v>
      </c>
      <c r="O14" s="54">
        <v>0</v>
      </c>
      <c r="P14" s="54">
        <v>0.96</v>
      </c>
      <c r="Q14" s="54">
        <v>5.87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12.09</v>
      </c>
      <c r="C15" s="54">
        <v>12.65</v>
      </c>
      <c r="D15" s="54">
        <v>17.97</v>
      </c>
      <c r="E15" s="54">
        <v>0.45</v>
      </c>
      <c r="F15" s="54">
        <v>0.35</v>
      </c>
      <c r="G15" s="54">
        <v>84.80</v>
      </c>
      <c r="H15" s="54">
        <v>86.63</v>
      </c>
      <c r="I15" s="54">
        <v>1.51</v>
      </c>
      <c r="J15" s="54">
        <v>0.20</v>
      </c>
      <c r="K15" s="54">
        <v>324.91000000000003</v>
      </c>
      <c r="L15" s="54">
        <v>21.25</v>
      </c>
      <c r="M15" s="54">
        <v>96.89</v>
      </c>
      <c r="N15" s="54">
        <v>118.90</v>
      </c>
      <c r="O15" s="54">
        <v>0</v>
      </c>
      <c r="P15" s="54">
        <v>0.88</v>
      </c>
      <c r="Q15" s="54">
        <v>5.81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17</v>
      </c>
      <c r="C16" s="54">
        <v>18.5</v>
      </c>
      <c r="D16" s="54">
        <v>25.14</v>
      </c>
      <c r="E16" s="54">
        <v>0.46</v>
      </c>
      <c r="F16" s="54">
        <v>1.1100000000000001</v>
      </c>
      <c r="G16" s="54">
        <v>101.92</v>
      </c>
      <c r="H16" s="54">
        <v>73.13</v>
      </c>
      <c r="I16" s="54">
        <v>1.58</v>
      </c>
      <c r="J16" s="54">
        <v>0.57999999999999996</v>
      </c>
      <c r="K16" s="54">
        <v>335.11</v>
      </c>
      <c r="L16" s="54">
        <v>27.19</v>
      </c>
      <c r="M16" s="54">
        <v>79.989999999999995</v>
      </c>
      <c r="N16" s="54">
        <v>313.60000000000002</v>
      </c>
      <c r="O16" s="54">
        <v>0</v>
      </c>
      <c r="P16" s="54">
        <v>0.92</v>
      </c>
      <c r="Q16" s="54">
        <v>5.67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17.260000000000002</v>
      </c>
      <c r="C17" s="54">
        <v>19.87</v>
      </c>
      <c r="D17" s="54">
        <v>25.18</v>
      </c>
      <c r="E17" s="54">
        <v>0.56000000000000005</v>
      </c>
      <c r="F17" s="54">
        <v>4.3600000000000003</v>
      </c>
      <c r="G17" s="54">
        <v>146.84</v>
      </c>
      <c r="H17" s="54">
        <v>61.48</v>
      </c>
      <c r="I17" s="54">
        <v>1.53</v>
      </c>
      <c r="J17" s="54">
        <v>0.84</v>
      </c>
      <c r="K17" s="54">
        <v>344.74</v>
      </c>
      <c r="L17" s="54">
        <v>28.37</v>
      </c>
      <c r="M17" s="54">
        <v>67.08</v>
      </c>
      <c r="N17" s="54">
        <v>510.30</v>
      </c>
      <c r="O17" s="54">
        <v>0</v>
      </c>
      <c r="P17" s="54">
        <v>0.94</v>
      </c>
      <c r="Q17" s="54">
        <v>6.11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17.09</v>
      </c>
      <c r="C18" s="54">
        <v>17.510000000000002</v>
      </c>
      <c r="D18" s="54">
        <v>24.03</v>
      </c>
      <c r="E18" s="54">
        <v>0.48</v>
      </c>
      <c r="F18" s="54">
        <v>1.74</v>
      </c>
      <c r="G18" s="54">
        <v>146.84</v>
      </c>
      <c r="H18" s="54">
        <v>65.930000000000007</v>
      </c>
      <c r="I18" s="54">
        <v>1.58</v>
      </c>
      <c r="J18" s="54">
        <v>0.69</v>
      </c>
      <c r="K18" s="54">
        <v>335.73</v>
      </c>
      <c r="L18" s="54">
        <v>28.24</v>
      </c>
      <c r="M18" s="54">
        <v>64.73</v>
      </c>
      <c r="N18" s="54">
        <v>601.60</v>
      </c>
      <c r="O18" s="54">
        <v>0</v>
      </c>
      <c r="P18" s="54">
        <v>0.97</v>
      </c>
      <c r="Q18" s="54">
        <v>6.23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15.17</v>
      </c>
      <c r="C19" s="54">
        <v>33.22</v>
      </c>
      <c r="D19" s="54">
        <v>30.84</v>
      </c>
      <c r="E19" s="54">
        <v>1.1100000000000001</v>
      </c>
      <c r="F19" s="54">
        <v>10.35</v>
      </c>
      <c r="G19" s="54">
        <v>167.29</v>
      </c>
      <c r="H19" s="54">
        <v>76.17</v>
      </c>
      <c r="I19" s="54">
        <v>1.55</v>
      </c>
      <c r="J19" s="54">
        <v>0.51</v>
      </c>
      <c r="K19" s="54">
        <v>348.26</v>
      </c>
      <c r="L19" s="54">
        <v>32.07</v>
      </c>
      <c r="M19" s="54">
        <v>55.59</v>
      </c>
      <c r="N19" s="54">
        <v>643.40</v>
      </c>
      <c r="O19" s="54">
        <v>0</v>
      </c>
      <c r="P19" s="54">
        <v>1.0900000000000001</v>
      </c>
      <c r="Q19" s="54">
        <v>5.94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14.72</v>
      </c>
      <c r="C20" s="54">
        <v>33.06</v>
      </c>
      <c r="D20" s="54">
        <v>31.14</v>
      </c>
      <c r="E20" s="54">
        <v>1.55</v>
      </c>
      <c r="F20" s="54">
        <v>6.54</v>
      </c>
      <c r="G20" s="54">
        <v>188.63</v>
      </c>
      <c r="H20" s="54">
        <v>82.45</v>
      </c>
      <c r="I20" s="54">
        <v>1.53</v>
      </c>
      <c r="J20" s="54">
        <v>0.55000000000000004</v>
      </c>
      <c r="K20" s="54">
        <v>345.04</v>
      </c>
      <c r="L20" s="54">
        <v>32.47</v>
      </c>
      <c r="M20" s="54">
        <v>48.51</v>
      </c>
      <c r="N20" s="54">
        <v>643</v>
      </c>
      <c r="O20" s="54">
        <v>0</v>
      </c>
      <c r="P20" s="54">
        <v>1.1499999999999999</v>
      </c>
      <c r="Q20" s="54">
        <v>5.66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14.24</v>
      </c>
      <c r="C21" s="54">
        <v>29.62</v>
      </c>
      <c r="D21" s="54">
        <v>28.09</v>
      </c>
      <c r="E21" s="54">
        <v>2.4500000000000002</v>
      </c>
      <c r="F21" s="54">
        <v>6.26</v>
      </c>
      <c r="G21" s="54">
        <v>188.63</v>
      </c>
      <c r="H21" s="54">
        <v>82.45</v>
      </c>
      <c r="I21" s="54">
        <v>1.54</v>
      </c>
      <c r="J21" s="54">
        <v>0.75</v>
      </c>
      <c r="K21" s="54">
        <v>347.25</v>
      </c>
      <c r="L21" s="54">
        <v>31.28</v>
      </c>
      <c r="M21" s="54">
        <v>49.97</v>
      </c>
      <c r="N21" s="54">
        <v>575.5</v>
      </c>
      <c r="O21" s="54">
        <v>0</v>
      </c>
      <c r="P21" s="54">
        <v>1.1599999999999999</v>
      </c>
      <c r="Q21" s="54">
        <v>5.67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11.76</v>
      </c>
      <c r="C22" s="54">
        <v>34.79</v>
      </c>
      <c r="D22" s="54">
        <v>29.92</v>
      </c>
      <c r="E22" s="54">
        <v>2.58</v>
      </c>
      <c r="F22" s="54">
        <v>15.69</v>
      </c>
      <c r="G22" s="54">
        <v>174.01</v>
      </c>
      <c r="H22" s="54">
        <v>78.38</v>
      </c>
      <c r="I22" s="54">
        <v>1.53</v>
      </c>
      <c r="J22" s="54">
        <v>0.5</v>
      </c>
      <c r="K22" s="54">
        <v>347.31</v>
      </c>
      <c r="L22" s="54">
        <v>31.09</v>
      </c>
      <c r="M22" s="54">
        <v>49.54</v>
      </c>
      <c r="N22" s="54">
        <v>539</v>
      </c>
      <c r="O22" s="54">
        <v>0</v>
      </c>
      <c r="P22" s="54">
        <v>1.02</v>
      </c>
      <c r="Q22" s="54">
        <v>5.30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10.41</v>
      </c>
      <c r="C23" s="54">
        <v>25.75</v>
      </c>
      <c r="D23" s="54">
        <v>22.25</v>
      </c>
      <c r="E23" s="54">
        <v>2.96</v>
      </c>
      <c r="F23" s="54">
        <v>11.40</v>
      </c>
      <c r="G23" s="54">
        <v>144.31</v>
      </c>
      <c r="H23" s="54">
        <v>68.62</v>
      </c>
      <c r="I23" s="54">
        <v>1.57</v>
      </c>
      <c r="J23" s="54">
        <v>0.97</v>
      </c>
      <c r="K23" s="54">
        <v>358.14</v>
      </c>
      <c r="L23" s="54">
        <v>29.77</v>
      </c>
      <c r="M23" s="54">
        <v>49.55</v>
      </c>
      <c r="N23" s="54">
        <v>291.39999999999998</v>
      </c>
      <c r="O23" s="54">
        <v>0</v>
      </c>
      <c r="P23" s="54">
        <v>1.03</v>
      </c>
      <c r="Q23" s="54">
        <v>5.29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8.98</v>
      </c>
      <c r="C24" s="54">
        <v>35.119999999999997</v>
      </c>
      <c r="D24" s="54">
        <v>27.82</v>
      </c>
      <c r="E24" s="54">
        <v>2.91</v>
      </c>
      <c r="F24" s="54">
        <v>27.83</v>
      </c>
      <c r="G24" s="54">
        <v>116.83</v>
      </c>
      <c r="H24" s="54">
        <v>61.12</v>
      </c>
      <c r="I24" s="54">
        <v>1.55</v>
      </c>
      <c r="J24" s="54">
        <v>0.71</v>
      </c>
      <c r="K24" s="54">
        <v>345.72</v>
      </c>
      <c r="L24" s="54">
        <v>29.61</v>
      </c>
      <c r="M24" s="54">
        <v>53.05</v>
      </c>
      <c r="N24" s="54">
        <v>135.60</v>
      </c>
      <c r="O24" s="54">
        <v>0</v>
      </c>
      <c r="P24" s="54">
        <v>0.98</v>
      </c>
      <c r="Q24" s="54">
        <v>5.03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5.25</v>
      </c>
      <c r="C25" s="54">
        <v>35.61</v>
      </c>
      <c r="D25" s="54">
        <v>24.96</v>
      </c>
      <c r="E25" s="54">
        <v>3.19</v>
      </c>
      <c r="F25" s="54">
        <v>31.31</v>
      </c>
      <c r="G25" s="54">
        <v>109.61</v>
      </c>
      <c r="H25" s="54">
        <v>51.82</v>
      </c>
      <c r="I25" s="54">
        <v>1.57</v>
      </c>
      <c r="J25" s="54">
        <v>1.1100000000000001</v>
      </c>
      <c r="K25" s="54">
        <v>107.34</v>
      </c>
      <c r="L25" s="54">
        <v>27.47</v>
      </c>
      <c r="M25" s="54">
        <v>56.35</v>
      </c>
      <c r="N25" s="54">
        <v>74</v>
      </c>
      <c r="O25" s="54">
        <v>0</v>
      </c>
      <c r="P25" s="54">
        <v>0.75</v>
      </c>
      <c r="Q25" s="54">
        <v>5.16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4.82</v>
      </c>
      <c r="C26" s="54">
        <v>44.10</v>
      </c>
      <c r="D26" s="54">
        <v>29.30</v>
      </c>
      <c r="E26" s="54">
        <v>2.4300000000000002</v>
      </c>
      <c r="F26" s="54">
        <v>35.96</v>
      </c>
      <c r="G26" s="54">
        <v>97.74</v>
      </c>
      <c r="H26" s="54">
        <v>50.16</v>
      </c>
      <c r="I26" s="54">
        <v>1.54</v>
      </c>
      <c r="J26" s="54">
        <v>0.41</v>
      </c>
      <c r="K26" s="54">
        <v>105.02</v>
      </c>
      <c r="L26" s="54">
        <v>26.38</v>
      </c>
      <c r="M26" s="54">
        <v>60.04</v>
      </c>
      <c r="N26" s="54">
        <v>38.700000000000003</v>
      </c>
      <c r="O26" s="54">
        <v>0</v>
      </c>
      <c r="P26" s="54">
        <v>0.92</v>
      </c>
      <c r="Q26" s="54">
        <v>4.75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12.54</v>
      </c>
      <c r="C27" s="54">
        <v>76.62</v>
      </c>
      <c r="D27" s="54">
        <v>53.63</v>
      </c>
      <c r="E27" s="54">
        <v>1.89</v>
      </c>
      <c r="F27" s="54">
        <v>18.30</v>
      </c>
      <c r="G27" s="54">
        <v>114.92</v>
      </c>
      <c r="H27" s="54">
        <v>50.16</v>
      </c>
      <c r="I27" s="54">
        <v>1.55</v>
      </c>
      <c r="J27" s="54">
        <v>0.84</v>
      </c>
      <c r="K27" s="54">
        <v>114.09</v>
      </c>
      <c r="L27" s="54">
        <v>25.5</v>
      </c>
      <c r="M27" s="54">
        <v>69.56</v>
      </c>
      <c r="N27" s="54">
        <v>39.799999999999997</v>
      </c>
      <c r="O27" s="54">
        <v>0</v>
      </c>
      <c r="P27" s="54">
        <v>1.08</v>
      </c>
      <c r="Q27" s="54">
        <v>3.91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5.03</v>
      </c>
      <c r="C28" s="54">
        <v>54.76</v>
      </c>
      <c r="D28" s="54">
        <v>34.43</v>
      </c>
      <c r="E28" s="54">
        <v>1.51</v>
      </c>
      <c r="F28" s="54">
        <v>12.16</v>
      </c>
      <c r="G28" s="54">
        <v>114.92</v>
      </c>
      <c r="H28" s="54">
        <v>49.46</v>
      </c>
      <c r="I28" s="54">
        <v>1.53</v>
      </c>
      <c r="J28" s="54">
        <v>0.83</v>
      </c>
      <c r="K28" s="54">
        <v>110.40</v>
      </c>
      <c r="L28" s="54">
        <v>25.04</v>
      </c>
      <c r="M28" s="54">
        <v>73.209999999999994</v>
      </c>
      <c r="N28" s="54">
        <v>42.10</v>
      </c>
      <c r="O28" s="54">
        <v>0</v>
      </c>
      <c r="P28" s="54">
        <v>1</v>
      </c>
      <c r="Q28" s="54">
        <v>3.37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9.69</v>
      </c>
      <c r="C29" s="54">
        <v>67.959999999999994</v>
      </c>
      <c r="D29" s="54">
        <v>46.57</v>
      </c>
      <c r="E29" s="54">
        <v>1.20</v>
      </c>
      <c r="F29" s="54">
        <v>6.39</v>
      </c>
      <c r="G29" s="54">
        <v>110.77</v>
      </c>
      <c r="H29" s="54">
        <v>44.60</v>
      </c>
      <c r="I29" s="54">
        <v>1.59</v>
      </c>
      <c r="J29" s="54">
        <v>0.48</v>
      </c>
      <c r="K29" s="54">
        <v>113.35</v>
      </c>
      <c r="L29" s="54">
        <v>24.80</v>
      </c>
      <c r="M29" s="54">
        <v>73.849999999999994</v>
      </c>
      <c r="N29" s="54">
        <v>43.30</v>
      </c>
      <c r="O29" s="54">
        <v>0</v>
      </c>
      <c r="P29" s="54">
        <v>0.91</v>
      </c>
      <c r="Q29" s="54">
        <v>4.1500000000000004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100.19</v>
      </c>
      <c r="C30" s="54">
        <v>77.430000000000007</v>
      </c>
      <c r="D30" s="54">
        <v>122.62</v>
      </c>
      <c r="E30" s="54">
        <v>0.93</v>
      </c>
      <c r="F30" s="54">
        <v>6.82</v>
      </c>
      <c r="G30" s="54">
        <v>135.72</v>
      </c>
      <c r="H30" s="54">
        <v>48.65</v>
      </c>
      <c r="I30" s="54">
        <v>1.59</v>
      </c>
      <c r="J30" s="54">
        <v>0.18</v>
      </c>
      <c r="K30" s="54">
        <v>344.68</v>
      </c>
      <c r="L30" s="54">
        <v>24.36</v>
      </c>
      <c r="M30" s="54">
        <v>84.15</v>
      </c>
      <c r="N30" s="54">
        <v>60.30</v>
      </c>
      <c r="O30" s="54">
        <v>0</v>
      </c>
      <c r="P30" s="54">
        <v>2.31</v>
      </c>
      <c r="Q30" s="54">
        <v>3.87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42.70</v>
      </c>
      <c r="C31" s="54">
        <v>64.23</v>
      </c>
      <c r="D31" s="54">
        <v>64.64</v>
      </c>
      <c r="E31" s="54">
        <v>1.0900000000000001</v>
      </c>
      <c r="F31" s="54">
        <v>7.75</v>
      </c>
      <c r="G31" s="54">
        <v>149.63999999999999</v>
      </c>
      <c r="H31" s="54">
        <v>50.25</v>
      </c>
      <c r="I31" s="54">
        <v>1.61</v>
      </c>
      <c r="J31" s="54">
        <v>0.15</v>
      </c>
      <c r="K31" s="54">
        <v>346.22</v>
      </c>
      <c r="L31" s="54">
        <v>23.55</v>
      </c>
      <c r="M31" s="54">
        <v>89.33</v>
      </c>
      <c r="N31" s="54">
        <v>60.40</v>
      </c>
      <c r="O31" s="54">
        <v>0</v>
      </c>
      <c r="P31" s="54">
        <v>1.69</v>
      </c>
      <c r="Q31" s="54">
        <v>3.47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43.21</v>
      </c>
      <c r="C32" s="54">
        <v>55.60</v>
      </c>
      <c r="D32" s="54">
        <v>66.62</v>
      </c>
      <c r="E32" s="54">
        <v>0.92</v>
      </c>
      <c r="F32" s="54">
        <v>1.55</v>
      </c>
      <c r="G32" s="54">
        <v>158.44999999999999</v>
      </c>
      <c r="H32" s="54">
        <v>52.45</v>
      </c>
      <c r="I32" s="54">
        <v>1.57</v>
      </c>
      <c r="J32" s="54">
        <v>0.11</v>
      </c>
      <c r="K32" s="54">
        <v>350.89</v>
      </c>
      <c r="L32" s="54">
        <v>22.55</v>
      </c>
      <c r="M32" s="54">
        <v>92.77</v>
      </c>
      <c r="N32" s="54">
        <v>60.40</v>
      </c>
      <c r="O32" s="54">
        <v>0</v>
      </c>
      <c r="P32" s="54">
        <v>1.62</v>
      </c>
      <c r="Q32" s="54">
        <v>5.64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4.8200000000000003</v>
      </c>
      <c r="C34" s="28">
        <f t="shared" si="0"/>
        <v>12.65</v>
      </c>
      <c r="D34" s="28">
        <f t="shared" si="0"/>
        <v>17.969999999999999</v>
      </c>
      <c r="E34" s="28">
        <f t="shared" si="0"/>
        <v>0.32000000000000001</v>
      </c>
      <c r="F34" s="28">
        <f t="shared" si="0"/>
        <v>0.34999999999999998</v>
      </c>
      <c r="G34" s="28">
        <f t="shared" si="0"/>
        <v>84.799999999999997</v>
      </c>
      <c r="H34" s="28">
        <f t="shared" si="0"/>
        <v>29.109999999999999</v>
      </c>
      <c r="I34" s="28">
        <f t="shared" si="0"/>
        <v>1.51</v>
      </c>
      <c r="J34" s="28">
        <f t="shared" si="0"/>
        <v>0.050000000000000003</v>
      </c>
      <c r="K34" s="28">
        <f t="shared" si="0"/>
        <v>105.02</v>
      </c>
      <c r="L34" s="28">
        <f t="shared" si="0"/>
        <v>20.030000000000001</v>
      </c>
      <c r="M34" s="28">
        <f t="shared" si="0"/>
        <v>48.509999999999998</v>
      </c>
      <c r="N34" s="28">
        <f t="shared" si="0"/>
        <v>8.6999999999999993</v>
      </c>
      <c r="O34" s="28">
        <f t="shared" si="0"/>
        <v>0</v>
      </c>
      <c r="P34" s="28">
        <f t="shared" si="0"/>
        <v>0.75</v>
      </c>
      <c r="Q34" s="28">
        <f t="shared" si="0"/>
        <v>3.3700000000000001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100.19</v>
      </c>
      <c r="C35" s="29">
        <f t="shared" si="1"/>
        <v>77.430000000000007</v>
      </c>
      <c r="D35" s="29">
        <f t="shared" si="1"/>
        <v>122.62</v>
      </c>
      <c r="E35" s="29">
        <f t="shared" si="1"/>
        <v>3.1899999999999999</v>
      </c>
      <c r="F35" s="29">
        <f t="shared" si="1"/>
        <v>35.960000000000001</v>
      </c>
      <c r="G35" s="29">
        <f t="shared" si="1"/>
        <v>188.63</v>
      </c>
      <c r="H35" s="29">
        <f t="shared" si="1"/>
        <v>86.629999999999995</v>
      </c>
      <c r="I35" s="29">
        <f t="shared" si="1"/>
        <v>1.6100000000000001</v>
      </c>
      <c r="J35" s="29">
        <f t="shared" si="1"/>
        <v>1.1100000000000001</v>
      </c>
      <c r="K35" s="29">
        <f t="shared" si="1"/>
        <v>358.13999999999999</v>
      </c>
      <c r="L35" s="29">
        <f t="shared" si="1"/>
        <v>32.469999999999999</v>
      </c>
      <c r="M35" s="29">
        <f t="shared" si="1"/>
        <v>97.560000000000002</v>
      </c>
      <c r="N35" s="29">
        <f t="shared" si="1"/>
        <v>643.39999999999998</v>
      </c>
      <c r="O35" s="29">
        <f t="shared" si="1"/>
        <v>0</v>
      </c>
      <c r="P35" s="29">
        <f t="shared" si="1"/>
        <v>2.3100000000000001</v>
      </c>
      <c r="Q35" s="29">
        <f t="shared" si="1"/>
        <v>6.29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18.865416666666665</v>
      </c>
      <c r="C36" s="28">
        <f t="shared" si="2"/>
        <v>35.687500000000007</v>
      </c>
      <c r="D36" s="28">
        <f t="shared" si="2"/>
        <v>35.335416666666667</v>
      </c>
      <c r="E36" s="28">
        <f t="shared" si="2"/>
        <v>1.2983333333333336</v>
      </c>
      <c r="F36" s="28">
        <f t="shared" si="2"/>
        <v>8.8262499999999999</v>
      </c>
      <c r="G36" s="28">
        <f t="shared" si="2"/>
        <v>136.5008333333333</v>
      </c>
      <c r="H36" s="28">
        <f t="shared" si="2"/>
        <v>58.144583333333344</v>
      </c>
      <c r="I36" s="28">
        <f t="shared" si="2"/>
        <v>1.5512500000000002</v>
      </c>
      <c r="J36" s="28">
        <f t="shared" si="2"/>
        <v>0.52458333333333329</v>
      </c>
      <c r="K36" s="28">
        <f t="shared" si="2"/>
        <v>286.8995833333334</v>
      </c>
      <c r="L36" s="28">
        <f t="shared" si="2"/>
        <v>25.738749999999992</v>
      </c>
      <c r="M36" s="28">
        <f t="shared" si="2"/>
        <v>72.170000000000002</v>
      </c>
      <c r="N36" s="28">
        <f t="shared" si="2"/>
        <v>202.0291666666667</v>
      </c>
      <c r="O36" s="28">
        <f t="shared" si="2"/>
        <v>0</v>
      </c>
      <c r="P36" s="28">
        <f t="shared" si="2"/>
        <v>1.125416666666667</v>
      </c>
      <c r="Q36" s="28">
        <f t="shared" si="2"/>
        <v>5.298750000000001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19.674123145847471</v>
      </c>
      <c r="C37" s="28">
        <f t="shared" si="3" ref="C37:Q37">STDEV(C9:C32)</f>
        <v>20.102460643240736</v>
      </c>
      <c r="D37" s="28">
        <f t="shared" si="3"/>
        <v>22.763223195620242</v>
      </c>
      <c r="E37" s="28">
        <f t="shared" si="3"/>
        <v>0.96375473456984684</v>
      </c>
      <c r="F37" s="28">
        <f t="shared" si="3"/>
        <v>10.229060823266568</v>
      </c>
      <c r="G37" s="28">
        <f t="shared" si="3"/>
        <v>28.279894058695181</v>
      </c>
      <c r="H37" s="28">
        <f t="shared" si="3"/>
        <v>18.268086684795051</v>
      </c>
      <c r="I37" s="28">
        <f t="shared" si="3"/>
        <v>0.027396048588452876</v>
      </c>
      <c r="J37" s="28">
        <f t="shared" si="3"/>
        <v>0.28218062619021439</v>
      </c>
      <c r="K37" s="28">
        <f t="shared" si="3"/>
        <v>98.769304309242941</v>
      </c>
      <c r="L37" s="28">
        <f t="shared" si="3"/>
        <v>3.9747849955525911</v>
      </c>
      <c r="M37" s="28">
        <f t="shared" si="3"/>
        <v>16.445840758710691</v>
      </c>
      <c r="N37" s="28">
        <f t="shared" si="3"/>
        <v>240.59418743054101</v>
      </c>
      <c r="O37" s="28">
        <f t="shared" si="3"/>
        <v>0</v>
      </c>
      <c r="P37" s="28">
        <f t="shared" si="3"/>
        <v>0.32682902280080151</v>
      </c>
      <c r="Q37" s="28">
        <f t="shared" si="3"/>
        <v>0.90354525162778543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6656b7-4371-429a-b595-5b644e2ab6e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28.57</v>
      </c>
      <c r="C9" s="54">
        <v>46.54</v>
      </c>
      <c r="D9" s="54">
        <v>43.55</v>
      </c>
      <c r="E9" s="54">
        <v>0.55000000000000004</v>
      </c>
      <c r="F9" s="54">
        <v>9.3699999999999992</v>
      </c>
      <c r="G9" s="54">
        <v>160.22999999999999</v>
      </c>
      <c r="H9" s="54">
        <v>55.37</v>
      </c>
      <c r="I9" s="54">
        <v>1.5</v>
      </c>
      <c r="J9" s="54">
        <v>0.17</v>
      </c>
      <c r="K9" s="54">
        <v>338.33</v>
      </c>
      <c r="L9" s="54">
        <v>22.16</v>
      </c>
      <c r="M9" s="54">
        <v>95.81</v>
      </c>
      <c r="N9" s="54">
        <v>58.60</v>
      </c>
      <c r="O9" s="54">
        <v>0</v>
      </c>
      <c r="P9" s="54">
        <v>1.51</v>
      </c>
      <c r="Q9" s="54">
        <v>5.79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17.68</v>
      </c>
      <c r="C10" s="54">
        <v>30.98</v>
      </c>
      <c r="D10" s="54">
        <v>28.78</v>
      </c>
      <c r="E10" s="54">
        <v>0.56999999999999995</v>
      </c>
      <c r="F10" s="54">
        <v>13.65</v>
      </c>
      <c r="G10" s="54">
        <v>160.22999999999999</v>
      </c>
      <c r="H10" s="54">
        <v>55.37</v>
      </c>
      <c r="I10" s="54">
        <v>1.51</v>
      </c>
      <c r="J10" s="54">
        <v>0.09</v>
      </c>
      <c r="K10" s="54">
        <v>332.5</v>
      </c>
      <c r="L10" s="54">
        <v>22.25</v>
      </c>
      <c r="M10" s="54">
        <v>97.44</v>
      </c>
      <c r="N10" s="54">
        <v>52.40</v>
      </c>
      <c r="O10" s="54">
        <v>0</v>
      </c>
      <c r="P10" s="54">
        <v>1.1000000000000001</v>
      </c>
      <c r="Q10" s="54">
        <v>7.17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18.14</v>
      </c>
      <c r="C11" s="54">
        <v>25.01</v>
      </c>
      <c r="D11" s="54">
        <v>26.53</v>
      </c>
      <c r="E11" s="54">
        <v>0.53</v>
      </c>
      <c r="F11" s="54">
        <v>4.08</v>
      </c>
      <c r="G11" s="54">
        <v>126.48</v>
      </c>
      <c r="H11" s="54">
        <v>55.94</v>
      </c>
      <c r="I11" s="54">
        <v>1.5</v>
      </c>
      <c r="J11" s="54">
        <v>0.17</v>
      </c>
      <c r="K11" s="54">
        <v>343.85</v>
      </c>
      <c r="L11" s="54">
        <v>21.64</v>
      </c>
      <c r="M11" s="54">
        <v>97.18</v>
      </c>
      <c r="N11" s="54">
        <v>50.10</v>
      </c>
      <c r="O11" s="54">
        <v>0</v>
      </c>
      <c r="P11" s="54">
        <v>1.1299999999999999</v>
      </c>
      <c r="Q11" s="54">
        <v>6.73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16.38</v>
      </c>
      <c r="C12" s="54">
        <v>20</v>
      </c>
      <c r="D12" s="54">
        <v>23.37</v>
      </c>
      <c r="E12" s="54">
        <v>0.51</v>
      </c>
      <c r="F12" s="54">
        <v>4.76</v>
      </c>
      <c r="G12" s="54">
        <v>122.75</v>
      </c>
      <c r="H12" s="54">
        <v>55.94</v>
      </c>
      <c r="I12" s="54">
        <v>1.54</v>
      </c>
      <c r="J12" s="54">
        <v>0.62</v>
      </c>
      <c r="K12" s="54">
        <v>346.19</v>
      </c>
      <c r="L12" s="54">
        <v>21.60</v>
      </c>
      <c r="M12" s="54">
        <v>91.30</v>
      </c>
      <c r="N12" s="54">
        <v>54.20</v>
      </c>
      <c r="O12" s="54">
        <v>0</v>
      </c>
      <c r="P12" s="54">
        <v>1.04</v>
      </c>
      <c r="Q12" s="54">
        <v>6.48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17.68</v>
      </c>
      <c r="C13" s="54">
        <v>24.21</v>
      </c>
      <c r="D13" s="54">
        <v>26.21</v>
      </c>
      <c r="E13" s="54">
        <v>0.57999999999999996</v>
      </c>
      <c r="F13" s="54">
        <v>9.01</v>
      </c>
      <c r="G13" s="54">
        <v>121.27</v>
      </c>
      <c r="H13" s="54">
        <v>55.40</v>
      </c>
      <c r="I13" s="54">
        <v>1.53</v>
      </c>
      <c r="J13" s="54">
        <v>0.38</v>
      </c>
      <c r="K13" s="54">
        <v>350.91</v>
      </c>
      <c r="L13" s="54">
        <v>21.14</v>
      </c>
      <c r="M13" s="54">
        <v>92.23</v>
      </c>
      <c r="N13" s="54">
        <v>55.70</v>
      </c>
      <c r="O13" s="54">
        <v>0</v>
      </c>
      <c r="P13" s="54">
        <v>0.96</v>
      </c>
      <c r="Q13" s="54">
        <v>6.06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13</v>
      </c>
      <c r="C14" s="54">
        <v>25.75</v>
      </c>
      <c r="D14" s="54">
        <v>25.93</v>
      </c>
      <c r="E14" s="54">
        <v>0.66</v>
      </c>
      <c r="F14" s="54">
        <v>5.01</v>
      </c>
      <c r="G14" s="54">
        <v>112.08</v>
      </c>
      <c r="H14" s="54">
        <v>52.99</v>
      </c>
      <c r="I14" s="54">
        <v>1.51</v>
      </c>
      <c r="J14" s="54">
        <v>0.59</v>
      </c>
      <c r="K14" s="54">
        <v>344.81</v>
      </c>
      <c r="L14" s="54">
        <v>21.15</v>
      </c>
      <c r="M14" s="54">
        <v>93.52</v>
      </c>
      <c r="N14" s="54">
        <v>62</v>
      </c>
      <c r="O14" s="54">
        <v>0</v>
      </c>
      <c r="P14" s="54">
        <v>0.89</v>
      </c>
      <c r="Q14" s="54">
        <v>5.91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18.78</v>
      </c>
      <c r="C15" s="54">
        <v>21.87</v>
      </c>
      <c r="D15" s="54">
        <v>26.35</v>
      </c>
      <c r="E15" s="54">
        <v>0.57999999999999996</v>
      </c>
      <c r="F15" s="54">
        <v>6.12</v>
      </c>
      <c r="G15" s="54">
        <v>112.08</v>
      </c>
      <c r="H15" s="54">
        <v>50.12</v>
      </c>
      <c r="I15" s="54">
        <v>1.56</v>
      </c>
      <c r="J15" s="54">
        <v>0.48</v>
      </c>
      <c r="K15" s="54">
        <v>192.79</v>
      </c>
      <c r="L15" s="54">
        <v>22.35</v>
      </c>
      <c r="M15" s="54">
        <v>92.46</v>
      </c>
      <c r="N15" s="54">
        <v>165.70</v>
      </c>
      <c r="O15" s="54">
        <v>0</v>
      </c>
      <c r="P15" s="54">
        <v>0.85</v>
      </c>
      <c r="Q15" s="54">
        <v>5.81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13.10</v>
      </c>
      <c r="C16" s="54">
        <v>21.44</v>
      </c>
      <c r="D16" s="54">
        <v>23.44</v>
      </c>
      <c r="E16" s="54">
        <v>0.62</v>
      </c>
      <c r="F16" s="54">
        <v>5.36</v>
      </c>
      <c r="G16" s="54">
        <v>120.13</v>
      </c>
      <c r="H16" s="54">
        <v>49.44</v>
      </c>
      <c r="I16" s="54">
        <v>1.55</v>
      </c>
      <c r="J16" s="54">
        <v>0.37</v>
      </c>
      <c r="K16" s="54">
        <v>346.05</v>
      </c>
      <c r="L16" s="54">
        <v>24.93</v>
      </c>
      <c r="M16" s="54">
        <v>79.88</v>
      </c>
      <c r="N16" s="54">
        <v>368.40</v>
      </c>
      <c r="O16" s="54">
        <v>0</v>
      </c>
      <c r="P16" s="54">
        <v>0.84</v>
      </c>
      <c r="Q16" s="54">
        <v>5.58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13.5</v>
      </c>
      <c r="C17" s="54">
        <v>23.79</v>
      </c>
      <c r="D17" s="54">
        <v>25.25</v>
      </c>
      <c r="E17" s="54">
        <v>0.52</v>
      </c>
      <c r="F17" s="54">
        <v>5.33</v>
      </c>
      <c r="G17" s="54">
        <v>142.56</v>
      </c>
      <c r="H17" s="54">
        <v>51.67</v>
      </c>
      <c r="I17" s="54">
        <v>1.57</v>
      </c>
      <c r="J17" s="54">
        <v>0.73</v>
      </c>
      <c r="K17" s="54">
        <v>339.22</v>
      </c>
      <c r="L17" s="54">
        <v>28.22</v>
      </c>
      <c r="M17" s="54">
        <v>65.86</v>
      </c>
      <c r="N17" s="54">
        <v>545.20000000000005</v>
      </c>
      <c r="O17" s="54">
        <v>0</v>
      </c>
      <c r="P17" s="54">
        <v>0.83</v>
      </c>
      <c r="Q17" s="54">
        <v>5.72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11.83</v>
      </c>
      <c r="C18" s="54">
        <v>29.99</v>
      </c>
      <c r="D18" s="54">
        <v>26.49</v>
      </c>
      <c r="E18" s="54">
        <v>0.90</v>
      </c>
      <c r="F18" s="54">
        <v>9.74</v>
      </c>
      <c r="G18" s="54">
        <v>142.56</v>
      </c>
      <c r="H18" s="54">
        <v>51.67</v>
      </c>
      <c r="I18" s="54">
        <v>1.54</v>
      </c>
      <c r="J18" s="54">
        <v>0.45</v>
      </c>
      <c r="K18" s="54">
        <v>345.64</v>
      </c>
      <c r="L18" s="54">
        <v>31.15</v>
      </c>
      <c r="M18" s="54">
        <v>61.06</v>
      </c>
      <c r="N18" s="54">
        <v>686.20</v>
      </c>
      <c r="O18" s="54">
        <v>0</v>
      </c>
      <c r="P18" s="54">
        <v>0.81</v>
      </c>
      <c r="Q18" s="54">
        <v>5.72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10.09</v>
      </c>
      <c r="C19" s="54">
        <v>24.44</v>
      </c>
      <c r="D19" s="54">
        <v>22.30</v>
      </c>
      <c r="E19" s="54">
        <v>1.1200000000000001</v>
      </c>
      <c r="F19" s="54">
        <v>10.34</v>
      </c>
      <c r="G19" s="54">
        <v>130.06</v>
      </c>
      <c r="H19" s="54">
        <v>47.59</v>
      </c>
      <c r="I19" s="54">
        <v>1.55</v>
      </c>
      <c r="J19" s="54">
        <v>0.74</v>
      </c>
      <c r="K19" s="54">
        <v>349.33</v>
      </c>
      <c r="L19" s="54">
        <v>31.5</v>
      </c>
      <c r="M19" s="54">
        <v>51.92</v>
      </c>
      <c r="N19" s="54">
        <v>702.20</v>
      </c>
      <c r="O19" s="54">
        <v>0</v>
      </c>
      <c r="P19" s="54">
        <v>0.80</v>
      </c>
      <c r="Q19" s="54">
        <v>5.48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8.24</v>
      </c>
      <c r="C20" s="54">
        <v>21.88</v>
      </c>
      <c r="D20" s="54">
        <v>19.97</v>
      </c>
      <c r="E20" s="54">
        <v>1.19</v>
      </c>
      <c r="F20" s="54">
        <v>4.57</v>
      </c>
      <c r="G20" s="54">
        <v>112.40</v>
      </c>
      <c r="H20" s="54">
        <v>47.59</v>
      </c>
      <c r="I20" s="54">
        <v>1.55</v>
      </c>
      <c r="J20" s="54">
        <v>1.47</v>
      </c>
      <c r="K20" s="54">
        <v>112.69</v>
      </c>
      <c r="L20" s="54">
        <v>29.01</v>
      </c>
      <c r="M20" s="54">
        <v>52.61</v>
      </c>
      <c r="N20" s="54">
        <v>803.30</v>
      </c>
      <c r="O20" s="54">
        <v>0</v>
      </c>
      <c r="P20" s="54">
        <v>0.76</v>
      </c>
      <c r="Q20" s="54">
        <v>5.43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5.26</v>
      </c>
      <c r="C21" s="54">
        <v>20.21</v>
      </c>
      <c r="D21" s="54">
        <v>16.66</v>
      </c>
      <c r="E21" s="54">
        <v>1.88</v>
      </c>
      <c r="F21" s="54">
        <v>10.17</v>
      </c>
      <c r="G21" s="54">
        <v>96.66</v>
      </c>
      <c r="H21" s="54">
        <v>44.92</v>
      </c>
      <c r="I21" s="54">
        <v>1.57</v>
      </c>
      <c r="J21" s="54">
        <v>0.79</v>
      </c>
      <c r="K21" s="54">
        <v>113.20</v>
      </c>
      <c r="L21" s="54">
        <v>30.32</v>
      </c>
      <c r="M21" s="54">
        <v>47.79</v>
      </c>
      <c r="N21" s="54">
        <v>701.60</v>
      </c>
      <c r="O21" s="54">
        <v>0</v>
      </c>
      <c r="P21" s="54">
        <v>0.66</v>
      </c>
      <c r="Q21" s="54">
        <v>5.19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4.8099999999999996</v>
      </c>
      <c r="C22" s="54">
        <v>22.71</v>
      </c>
      <c r="D22" s="54">
        <v>17.68</v>
      </c>
      <c r="E22" s="54">
        <v>2.0299999999999998</v>
      </c>
      <c r="F22" s="54">
        <v>16.62</v>
      </c>
      <c r="G22" s="54">
        <v>92.34</v>
      </c>
      <c r="H22" s="54">
        <v>44.53</v>
      </c>
      <c r="I22" s="54">
        <v>1.57</v>
      </c>
      <c r="J22" s="54">
        <v>0.79</v>
      </c>
      <c r="K22" s="54">
        <v>111.87</v>
      </c>
      <c r="L22" s="54">
        <v>29.24</v>
      </c>
      <c r="M22" s="54">
        <v>49.83</v>
      </c>
      <c r="N22" s="54">
        <v>441.5</v>
      </c>
      <c r="O22" s="54">
        <v>0</v>
      </c>
      <c r="P22" s="54">
        <v>0.70</v>
      </c>
      <c r="Q22" s="54">
        <v>5.20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7.04</v>
      </c>
      <c r="C23" s="54">
        <v>36.24</v>
      </c>
      <c r="D23" s="54">
        <v>26.45</v>
      </c>
      <c r="E23" s="54">
        <v>3.51</v>
      </c>
      <c r="F23" s="54">
        <v>21.88</v>
      </c>
      <c r="G23" s="54">
        <v>92.03</v>
      </c>
      <c r="H23" s="54">
        <v>42.92</v>
      </c>
      <c r="I23" s="54">
        <v>1.52</v>
      </c>
      <c r="J23" s="54">
        <v>1.27</v>
      </c>
      <c r="K23" s="54">
        <v>341.61</v>
      </c>
      <c r="L23" s="54">
        <v>29.66</v>
      </c>
      <c r="M23" s="54">
        <v>47.49</v>
      </c>
      <c r="N23" s="54">
        <v>306.20</v>
      </c>
      <c r="O23" s="54">
        <v>0</v>
      </c>
      <c r="P23" s="54">
        <v>0.74</v>
      </c>
      <c r="Q23" s="54">
        <v>5.09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11.59</v>
      </c>
      <c r="C24" s="54">
        <v>46.19</v>
      </c>
      <c r="D24" s="54">
        <v>36.08</v>
      </c>
      <c r="E24" s="54">
        <v>7.24</v>
      </c>
      <c r="F24" s="54">
        <v>27.74</v>
      </c>
      <c r="G24" s="54">
        <v>100.73</v>
      </c>
      <c r="H24" s="54">
        <v>42.92</v>
      </c>
      <c r="I24" s="54">
        <v>1.48</v>
      </c>
      <c r="J24" s="54">
        <v>0.61</v>
      </c>
      <c r="K24" s="54">
        <v>342.65</v>
      </c>
      <c r="L24" s="54">
        <v>28.43</v>
      </c>
      <c r="M24" s="54">
        <v>51.14</v>
      </c>
      <c r="N24" s="54">
        <v>147.40</v>
      </c>
      <c r="O24" s="54">
        <v>0</v>
      </c>
      <c r="P24" s="54">
        <v>0.81</v>
      </c>
      <c r="Q24" s="54">
        <v>4.0599999999999996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11.11</v>
      </c>
      <c r="C25" s="54">
        <v>48.35</v>
      </c>
      <c r="D25" s="54">
        <v>34.659999999999997</v>
      </c>
      <c r="E25" s="54">
        <v>7</v>
      </c>
      <c r="F25" s="54">
        <v>21.48</v>
      </c>
      <c r="G25" s="54">
        <v>104.10</v>
      </c>
      <c r="H25" s="54">
        <v>43.18</v>
      </c>
      <c r="I25" s="54">
        <v>1.56</v>
      </c>
      <c r="J25" s="54">
        <v>0.71</v>
      </c>
      <c r="K25" s="54">
        <v>342.74</v>
      </c>
      <c r="L25" s="54">
        <v>27.79</v>
      </c>
      <c r="M25" s="54">
        <v>52.13</v>
      </c>
      <c r="N25" s="54">
        <v>89.40</v>
      </c>
      <c r="O25" s="54">
        <v>0</v>
      </c>
      <c r="P25" s="54">
        <v>1.1299999999999999</v>
      </c>
      <c r="Q25" s="54">
        <v>3.20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13.01</v>
      </c>
      <c r="C26" s="54">
        <v>65.349999999999994</v>
      </c>
      <c r="D26" s="54">
        <v>47.79</v>
      </c>
      <c r="E26" s="54">
        <v>6.31</v>
      </c>
      <c r="F26" s="54">
        <v>23.44</v>
      </c>
      <c r="G26" s="54">
        <v>131.74</v>
      </c>
      <c r="H26" s="54">
        <v>50.21</v>
      </c>
      <c r="I26" s="54">
        <v>1.57</v>
      </c>
      <c r="J26" s="54">
        <v>0.22</v>
      </c>
      <c r="K26" s="54">
        <v>343.75</v>
      </c>
      <c r="L26" s="54">
        <v>26.5</v>
      </c>
      <c r="M26" s="54">
        <v>58.75</v>
      </c>
      <c r="N26" s="54">
        <v>35.200000000000003</v>
      </c>
      <c r="O26" s="54">
        <v>0</v>
      </c>
      <c r="P26" s="54">
        <v>1.19</v>
      </c>
      <c r="Q26" s="54">
        <v>2.95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9.86</v>
      </c>
      <c r="C27" s="54">
        <v>72.23</v>
      </c>
      <c r="D27" s="54">
        <v>49.06</v>
      </c>
      <c r="E27" s="54">
        <v>5.46</v>
      </c>
      <c r="F27" s="54">
        <v>30.30</v>
      </c>
      <c r="G27" s="54">
        <v>139.83000000000001</v>
      </c>
      <c r="H27" s="54">
        <v>55.62</v>
      </c>
      <c r="I27" s="54">
        <v>1.58</v>
      </c>
      <c r="J27" s="54">
        <v>0.56999999999999995</v>
      </c>
      <c r="K27" s="54">
        <v>101.91</v>
      </c>
      <c r="L27" s="54">
        <v>25.47</v>
      </c>
      <c r="M27" s="54">
        <v>64.08</v>
      </c>
      <c r="N27" s="54">
        <v>19.80</v>
      </c>
      <c r="O27" s="54">
        <v>0</v>
      </c>
      <c r="P27" s="54">
        <v>1.69</v>
      </c>
      <c r="Q27" s="54">
        <v>4.21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8.81</v>
      </c>
      <c r="C28" s="54">
        <v>68.78</v>
      </c>
      <c r="D28" s="54">
        <v>46.32</v>
      </c>
      <c r="E28" s="54">
        <v>4.9400000000000004</v>
      </c>
      <c r="F28" s="54">
        <v>21.86</v>
      </c>
      <c r="G28" s="54">
        <v>151.79</v>
      </c>
      <c r="H28" s="54">
        <v>58.30</v>
      </c>
      <c r="I28" s="54">
        <v>1.55</v>
      </c>
      <c r="J28" s="54">
        <v>0.21</v>
      </c>
      <c r="K28" s="54">
        <v>97.74</v>
      </c>
      <c r="L28" s="54">
        <v>24.83</v>
      </c>
      <c r="M28" s="54">
        <v>67.11</v>
      </c>
      <c r="N28" s="54">
        <v>19.70</v>
      </c>
      <c r="O28" s="54">
        <v>0</v>
      </c>
      <c r="P28" s="54">
        <v>1.52</v>
      </c>
      <c r="Q28" s="54">
        <v>3.81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46.07</v>
      </c>
      <c r="C29" s="54">
        <v>83.11</v>
      </c>
      <c r="D29" s="54">
        <v>84.11</v>
      </c>
      <c r="E29" s="54">
        <v>2.99</v>
      </c>
      <c r="F29" s="54">
        <v>14.75</v>
      </c>
      <c r="G29" s="54">
        <v>152.13999999999999</v>
      </c>
      <c r="H29" s="54">
        <v>58.91</v>
      </c>
      <c r="I29" s="54">
        <v>1.52</v>
      </c>
      <c r="J29" s="54">
        <v>0.31</v>
      </c>
      <c r="K29" s="54">
        <v>100.61</v>
      </c>
      <c r="L29" s="54">
        <v>24.5</v>
      </c>
      <c r="M29" s="54">
        <v>70.92</v>
      </c>
      <c r="N29" s="54">
        <v>19.899999999999999</v>
      </c>
      <c r="O29" s="54">
        <v>0</v>
      </c>
      <c r="P29" s="54">
        <v>2.04</v>
      </c>
      <c r="Q29" s="54">
        <v>4.3099999999999996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15.01</v>
      </c>
      <c r="C30" s="54">
        <v>63.09</v>
      </c>
      <c r="D30" s="54">
        <v>48.15</v>
      </c>
      <c r="E30" s="54">
        <v>1.92</v>
      </c>
      <c r="F30" s="54">
        <v>14.03</v>
      </c>
      <c r="G30" s="54">
        <v>158.51</v>
      </c>
      <c r="H30" s="54">
        <v>59.57</v>
      </c>
      <c r="I30" s="54">
        <v>1.51</v>
      </c>
      <c r="J30" s="54">
        <v>0.17</v>
      </c>
      <c r="K30" s="54">
        <v>82.99</v>
      </c>
      <c r="L30" s="54">
        <v>23.75</v>
      </c>
      <c r="M30" s="54">
        <v>71.89</v>
      </c>
      <c r="N30" s="54">
        <v>19.600000000000001</v>
      </c>
      <c r="O30" s="54">
        <v>0</v>
      </c>
      <c r="P30" s="54">
        <v>1.62</v>
      </c>
      <c r="Q30" s="54">
        <v>3.61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28.43</v>
      </c>
      <c r="C31" s="54">
        <v>47.22</v>
      </c>
      <c r="D31" s="54">
        <v>50.15</v>
      </c>
      <c r="E31" s="54">
        <v>2.02</v>
      </c>
      <c r="F31" s="54">
        <v>20.149999999999999</v>
      </c>
      <c r="G31" s="54">
        <v>158.51</v>
      </c>
      <c r="H31" s="54">
        <v>62.39</v>
      </c>
      <c r="I31" s="54">
        <v>1.51</v>
      </c>
      <c r="J31" s="54">
        <v>0.20</v>
      </c>
      <c r="K31" s="54">
        <v>357.35</v>
      </c>
      <c r="L31" s="54">
        <v>23.45</v>
      </c>
      <c r="M31" s="54">
        <v>83.41</v>
      </c>
      <c r="N31" s="54">
        <v>20</v>
      </c>
      <c r="O31" s="54">
        <v>0</v>
      </c>
      <c r="P31" s="54">
        <v>1.81</v>
      </c>
      <c r="Q31" s="54">
        <v>3.97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32.909999999999997</v>
      </c>
      <c r="C32" s="54">
        <v>69.099999999999994</v>
      </c>
      <c r="D32" s="54">
        <v>65.819999999999993</v>
      </c>
      <c r="E32" s="54">
        <v>1.26</v>
      </c>
      <c r="F32" s="54">
        <v>3.05</v>
      </c>
      <c r="G32" s="54">
        <v>152.41999999999999</v>
      </c>
      <c r="H32" s="54">
        <v>64.989999999999995</v>
      </c>
      <c r="I32" s="54">
        <v>1.51</v>
      </c>
      <c r="J32" s="54">
        <v>0.11</v>
      </c>
      <c r="K32" s="54">
        <v>289.61</v>
      </c>
      <c r="L32" s="54">
        <v>22.34</v>
      </c>
      <c r="M32" s="54">
        <v>89.45</v>
      </c>
      <c r="N32" s="54">
        <v>19.70</v>
      </c>
      <c r="O32" s="54">
        <v>0</v>
      </c>
      <c r="P32" s="54">
        <v>1.64</v>
      </c>
      <c r="Q32" s="54">
        <v>4.09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4.8099999999999996</v>
      </c>
      <c r="C34" s="28">
        <f t="shared" si="0"/>
        <v>20</v>
      </c>
      <c r="D34" s="28">
        <f t="shared" si="0"/>
        <v>16.66</v>
      </c>
      <c r="E34" s="28">
        <f t="shared" si="0"/>
        <v>0.51000000000000001</v>
      </c>
      <c r="F34" s="28">
        <f t="shared" si="0"/>
        <v>3.0499999999999998</v>
      </c>
      <c r="G34" s="28">
        <f t="shared" si="0"/>
        <v>92.030000000000001</v>
      </c>
      <c r="H34" s="28">
        <f t="shared" si="0"/>
        <v>42.920000000000002</v>
      </c>
      <c r="I34" s="28">
        <f t="shared" si="0"/>
        <v>1.48</v>
      </c>
      <c r="J34" s="28">
        <f t="shared" si="0"/>
        <v>0.089999999999999997</v>
      </c>
      <c r="K34" s="28">
        <f t="shared" si="0"/>
        <v>82.989999999999995</v>
      </c>
      <c r="L34" s="28">
        <f t="shared" si="0"/>
        <v>21.140000000000001</v>
      </c>
      <c r="M34" s="28">
        <f t="shared" si="0"/>
        <v>47.490000000000002</v>
      </c>
      <c r="N34" s="28">
        <f t="shared" si="0"/>
        <v>19.600000000000001</v>
      </c>
      <c r="O34" s="28">
        <f t="shared" si="0"/>
        <v>0</v>
      </c>
      <c r="P34" s="28">
        <f t="shared" si="0"/>
        <v>0.66000000000000003</v>
      </c>
      <c r="Q34" s="28">
        <f t="shared" si="0"/>
        <v>2.9500000000000002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46.07</v>
      </c>
      <c r="C35" s="29">
        <f t="shared" si="1"/>
        <v>83.109999999999999</v>
      </c>
      <c r="D35" s="29">
        <f t="shared" si="1"/>
        <v>84.109999999999999</v>
      </c>
      <c r="E35" s="29">
        <f t="shared" si="1"/>
        <v>7.2400000000000002</v>
      </c>
      <c r="F35" s="29">
        <f t="shared" si="1"/>
        <v>30.300000000000001</v>
      </c>
      <c r="G35" s="29">
        <f t="shared" si="1"/>
        <v>160.22999999999999</v>
      </c>
      <c r="H35" s="29">
        <f t="shared" si="1"/>
        <v>64.989999999999995</v>
      </c>
      <c r="I35" s="29">
        <f t="shared" si="1"/>
        <v>1.5800000000000001</v>
      </c>
      <c r="J35" s="29">
        <f t="shared" si="1"/>
        <v>1.47</v>
      </c>
      <c r="K35" s="29">
        <f t="shared" si="1"/>
        <v>357.35000000000002</v>
      </c>
      <c r="L35" s="29">
        <f t="shared" si="1"/>
        <v>31.5</v>
      </c>
      <c r="M35" s="29">
        <f t="shared" si="1"/>
        <v>97.439999999999998</v>
      </c>
      <c r="N35" s="29">
        <f t="shared" si="1"/>
        <v>803.29999999999995</v>
      </c>
      <c r="O35" s="29">
        <f t="shared" si="1"/>
        <v>0</v>
      </c>
      <c r="P35" s="29">
        <f t="shared" si="1"/>
        <v>2.04</v>
      </c>
      <c r="Q35" s="29">
        <f t="shared" si="1"/>
        <v>7.1699999999999999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15.870833333333332</v>
      </c>
      <c r="C36" s="28">
        <f t="shared" si="2"/>
        <v>39.936666666666667</v>
      </c>
      <c r="D36" s="28">
        <f t="shared" si="2"/>
        <v>35.045833333333327</v>
      </c>
      <c r="E36" s="28">
        <f t="shared" si="2"/>
        <v>2.2870833333333338</v>
      </c>
      <c r="F36" s="28">
        <f t="shared" si="2"/>
        <v>13.03375</v>
      </c>
      <c r="G36" s="28">
        <f t="shared" si="2"/>
        <v>128.90125</v>
      </c>
      <c r="H36" s="28">
        <f t="shared" si="2"/>
        <v>52.397916666666667</v>
      </c>
      <c r="I36" s="28">
        <f t="shared" si="2"/>
        <v>1.5358333333333334</v>
      </c>
      <c r="J36" s="28">
        <f t="shared" si="2"/>
        <v>0.50916666666666666</v>
      </c>
      <c r="K36" s="28">
        <f t="shared" si="2"/>
        <v>265.34749999999991</v>
      </c>
      <c r="L36" s="28">
        <f t="shared" si="2"/>
        <v>25.557500000000008</v>
      </c>
      <c r="M36" s="28">
        <f t="shared" si="2"/>
        <v>71.885833333333338</v>
      </c>
      <c r="N36" s="28">
        <f t="shared" si="2"/>
        <v>226.83333333333329</v>
      </c>
      <c r="O36" s="28">
        <f t="shared" si="2"/>
        <v>0</v>
      </c>
      <c r="P36" s="28">
        <f t="shared" si="2"/>
        <v>1.1279166666666669</v>
      </c>
      <c r="Q36" s="28">
        <f t="shared" si="2"/>
        <v>5.0654166666666667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9.6008957538014332</v>
      </c>
      <c r="C37" s="28">
        <f t="shared" si="3" ref="C37:Q37">STDEV(C9:C32)</f>
        <v>20.238482428643032</v>
      </c>
      <c r="D37" s="28">
        <f t="shared" si="3"/>
        <v>16.425906080935388</v>
      </c>
      <c r="E37" s="28">
        <f t="shared" si="3"/>
        <v>2.2321065876970523</v>
      </c>
      <c r="F37" s="28">
        <f t="shared" si="3"/>
        <v>8.1408112043713068</v>
      </c>
      <c r="G37" s="28">
        <f t="shared" si="3"/>
        <v>22.838630377060646</v>
      </c>
      <c r="H37" s="28">
        <f t="shared" si="3"/>
        <v>6.2486840208761745</v>
      </c>
      <c r="I37" s="28">
        <f t="shared" si="3"/>
        <v>0.028117249334615374</v>
      </c>
      <c r="J37" s="28">
        <f t="shared" si="3"/>
        <v>0.35286303127499719</v>
      </c>
      <c r="K37" s="28">
        <f t="shared" si="3"/>
        <v>111.33390773196464</v>
      </c>
      <c r="L37" s="28">
        <f t="shared" si="3"/>
        <v>3.4617402635341428</v>
      </c>
      <c r="M37" s="28">
        <f t="shared" si="3"/>
        <v>18.316481035838478</v>
      </c>
      <c r="N37" s="28">
        <f t="shared" si="3"/>
        <v>269.26528484598305</v>
      </c>
      <c r="O37" s="28">
        <f t="shared" si="3"/>
        <v>0</v>
      </c>
      <c r="P37" s="28">
        <f t="shared" si="3"/>
        <v>0.40436723695032495</v>
      </c>
      <c r="Q37" s="28">
        <f t="shared" si="3"/>
        <v>1.1336281852171979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17d81b-ac24-4bc4-9803-5a56def81a4a}">
  <sheetPr codeName=""/>
  <dimension ref="A1:U119"/>
  <sheetViews>
    <sheetView workbookViewId="0" topLeftCell="A1">
      <pane xSplit="1" ySplit="8" topLeftCell="B12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14.65</v>
      </c>
      <c r="C9" s="54">
        <v>38.380000000000003</v>
      </c>
      <c r="D9" s="54">
        <v>32.81</v>
      </c>
      <c r="E9" s="54">
        <v>1.03</v>
      </c>
      <c r="F9" s="54">
        <v>13.86</v>
      </c>
      <c r="G9" s="54">
        <v>150.29</v>
      </c>
      <c r="H9" s="54">
        <v>64.989999999999995</v>
      </c>
      <c r="I9" s="54">
        <v>1.59</v>
      </c>
      <c r="J9" s="54">
        <v>0.37</v>
      </c>
      <c r="K9" s="54">
        <v>347.74</v>
      </c>
      <c r="L9" s="54">
        <v>22.74</v>
      </c>
      <c r="M9" s="54">
        <v>87.87</v>
      </c>
      <c r="N9" s="54">
        <v>19.600000000000001</v>
      </c>
      <c r="O9" s="54">
        <v>0</v>
      </c>
      <c r="P9" s="54">
        <v>1.47</v>
      </c>
      <c r="Q9" s="54">
        <v>5.33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9.82</v>
      </c>
      <c r="C10" s="54">
        <v>31.43</v>
      </c>
      <c r="D10" s="54">
        <v>25.07</v>
      </c>
      <c r="E10" s="54">
        <v>1.64</v>
      </c>
      <c r="F10" s="54">
        <v>13.15</v>
      </c>
      <c r="G10" s="54">
        <v>145.58000000000001</v>
      </c>
      <c r="H10" s="54">
        <v>63.25</v>
      </c>
      <c r="I10" s="54">
        <v>1.58</v>
      </c>
      <c r="J10" s="54">
        <v>0.26</v>
      </c>
      <c r="K10" s="54">
        <v>345.55</v>
      </c>
      <c r="L10" s="54">
        <v>22.89</v>
      </c>
      <c r="M10" s="54">
        <v>81.38</v>
      </c>
      <c r="N10" s="54">
        <v>19.70</v>
      </c>
      <c r="O10" s="54">
        <v>0</v>
      </c>
      <c r="P10" s="54">
        <v>1.21</v>
      </c>
      <c r="Q10" s="54">
        <v>5.45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10.41</v>
      </c>
      <c r="C11" s="54">
        <v>16.30</v>
      </c>
      <c r="D11" s="54">
        <v>18.57</v>
      </c>
      <c r="E11" s="54">
        <v>1.25</v>
      </c>
      <c r="F11" s="54">
        <v>3.86</v>
      </c>
      <c r="G11" s="54">
        <v>138.37</v>
      </c>
      <c r="H11" s="54">
        <v>65.73</v>
      </c>
      <c r="I11" s="54">
        <v>1.53</v>
      </c>
      <c r="J11" s="54">
        <v>0.78</v>
      </c>
      <c r="K11" s="54">
        <v>354.67</v>
      </c>
      <c r="L11" s="54">
        <v>21.99</v>
      </c>
      <c r="M11" s="54">
        <v>87.62</v>
      </c>
      <c r="N11" s="54">
        <v>19.80</v>
      </c>
      <c r="O11" s="54">
        <v>0</v>
      </c>
      <c r="P11" s="54">
        <v>1.29</v>
      </c>
      <c r="Q11" s="54">
        <v>5.57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7.52</v>
      </c>
      <c r="C12" s="54">
        <v>18.690000000000001</v>
      </c>
      <c r="D12" s="54">
        <v>17.47</v>
      </c>
      <c r="E12" s="54">
        <v>1.07</v>
      </c>
      <c r="F12" s="54">
        <v>6.55</v>
      </c>
      <c r="G12" s="54">
        <v>139.96</v>
      </c>
      <c r="H12" s="54">
        <v>67.569999999999993</v>
      </c>
      <c r="I12" s="54">
        <v>1.53</v>
      </c>
      <c r="J12" s="54">
        <v>0.65</v>
      </c>
      <c r="K12" s="54">
        <v>347.45</v>
      </c>
      <c r="L12" s="54">
        <v>21.09</v>
      </c>
      <c r="M12" s="54">
        <v>92.14</v>
      </c>
      <c r="N12" s="54">
        <v>19.70</v>
      </c>
      <c r="O12" s="54">
        <v>0</v>
      </c>
      <c r="P12" s="54">
        <v>1.1499999999999999</v>
      </c>
      <c r="Q12" s="54">
        <v>5.26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12.80</v>
      </c>
      <c r="C13" s="54">
        <v>25.30</v>
      </c>
      <c r="D13" s="54">
        <v>25.52</v>
      </c>
      <c r="E13" s="54">
        <v>1.1499999999999999</v>
      </c>
      <c r="F13" s="54">
        <v>4.59</v>
      </c>
      <c r="G13" s="54">
        <v>139.96</v>
      </c>
      <c r="H13" s="54">
        <v>67.569999999999993</v>
      </c>
      <c r="I13" s="54">
        <v>1.60</v>
      </c>
      <c r="J13" s="54">
        <v>0.28000000000000003</v>
      </c>
      <c r="K13" s="54">
        <v>341.71</v>
      </c>
      <c r="L13" s="54">
        <v>20.77</v>
      </c>
      <c r="M13" s="54">
        <v>91.23</v>
      </c>
      <c r="N13" s="54">
        <v>19.5</v>
      </c>
      <c r="O13" s="54">
        <v>0</v>
      </c>
      <c r="P13" s="54">
        <v>1.1100000000000001</v>
      </c>
      <c r="Q13" s="54">
        <v>5.12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10.08</v>
      </c>
      <c r="C14" s="54">
        <v>22.88</v>
      </c>
      <c r="D14" s="54">
        <v>22</v>
      </c>
      <c r="E14" s="54">
        <v>0.94</v>
      </c>
      <c r="F14" s="54">
        <v>5.71</v>
      </c>
      <c r="G14" s="54">
        <v>127.45</v>
      </c>
      <c r="H14" s="54">
        <v>62.46</v>
      </c>
      <c r="I14" s="54">
        <v>1.57</v>
      </c>
      <c r="J14" s="54">
        <v>0.32</v>
      </c>
      <c r="K14" s="54">
        <v>341.68</v>
      </c>
      <c r="L14" s="54">
        <v>20.81</v>
      </c>
      <c r="M14" s="54">
        <v>86.24</v>
      </c>
      <c r="N14" s="54">
        <v>23.40</v>
      </c>
      <c r="O14" s="54">
        <v>0</v>
      </c>
      <c r="P14" s="54">
        <v>1.04</v>
      </c>
      <c r="Q14" s="54">
        <v>5.23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12.38</v>
      </c>
      <c r="C15" s="54">
        <v>22.70</v>
      </c>
      <c r="D15" s="54">
        <v>22.94</v>
      </c>
      <c r="E15" s="54">
        <v>0.78</v>
      </c>
      <c r="F15" s="54">
        <v>2.93</v>
      </c>
      <c r="G15" s="54">
        <v>110.70</v>
      </c>
      <c r="H15" s="54">
        <v>50.61</v>
      </c>
      <c r="I15" s="54">
        <v>1.62</v>
      </c>
      <c r="J15" s="54">
        <v>0.38</v>
      </c>
      <c r="K15" s="54">
        <v>355.40</v>
      </c>
      <c r="L15" s="54">
        <v>22.34</v>
      </c>
      <c r="M15" s="54">
        <v>85.86</v>
      </c>
      <c r="N15" s="54">
        <v>134.5</v>
      </c>
      <c r="O15" s="54">
        <v>0</v>
      </c>
      <c r="P15" s="54">
        <v>0.94</v>
      </c>
      <c r="Q15" s="54">
        <v>4.8099999999999996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13.03</v>
      </c>
      <c r="C16" s="54">
        <v>18.989999999999998</v>
      </c>
      <c r="D16" s="54">
        <v>21.46</v>
      </c>
      <c r="E16" s="54">
        <v>0.96</v>
      </c>
      <c r="F16" s="54">
        <v>2.98</v>
      </c>
      <c r="G16" s="54">
        <v>109.74</v>
      </c>
      <c r="H16" s="54">
        <v>49.14</v>
      </c>
      <c r="I16" s="54">
        <v>1.56</v>
      </c>
      <c r="J16" s="54">
        <v>0.61</v>
      </c>
      <c r="K16" s="54">
        <v>343.91</v>
      </c>
      <c r="L16" s="54">
        <v>26.5</v>
      </c>
      <c r="M16" s="54">
        <v>74.48</v>
      </c>
      <c r="N16" s="54">
        <v>334.90</v>
      </c>
      <c r="O16" s="54">
        <v>0</v>
      </c>
      <c r="P16" s="54">
        <v>0.93</v>
      </c>
      <c r="Q16" s="54">
        <v>5.32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14.59</v>
      </c>
      <c r="C17" s="54">
        <v>22.03</v>
      </c>
      <c r="D17" s="54">
        <v>25.15</v>
      </c>
      <c r="E17" s="54">
        <v>0.82</v>
      </c>
      <c r="F17" s="54">
        <v>2.14</v>
      </c>
      <c r="G17" s="54">
        <v>116.88</v>
      </c>
      <c r="H17" s="54">
        <v>43.09</v>
      </c>
      <c r="I17" s="54">
        <v>1.53</v>
      </c>
      <c r="J17" s="54">
        <v>0.48</v>
      </c>
      <c r="K17" s="54">
        <v>347.85</v>
      </c>
      <c r="L17" s="54">
        <v>26.74</v>
      </c>
      <c r="M17" s="54">
        <v>60.86</v>
      </c>
      <c r="N17" s="54">
        <v>530.90</v>
      </c>
      <c r="O17" s="54">
        <v>0</v>
      </c>
      <c r="P17" s="54">
        <v>0.91</v>
      </c>
      <c r="Q17" s="54">
        <v>5.53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15.31</v>
      </c>
      <c r="C18" s="54">
        <v>24.36</v>
      </c>
      <c r="D18" s="54">
        <v>26.65</v>
      </c>
      <c r="E18" s="54">
        <v>0.92</v>
      </c>
      <c r="F18" s="54">
        <v>4.3600000000000003</v>
      </c>
      <c r="G18" s="54">
        <v>116.88</v>
      </c>
      <c r="H18" s="54">
        <v>46.08</v>
      </c>
      <c r="I18" s="54">
        <v>1.54</v>
      </c>
      <c r="J18" s="54">
        <v>1.24</v>
      </c>
      <c r="K18" s="54">
        <v>338.62</v>
      </c>
      <c r="L18" s="54">
        <v>32.090000000000003</v>
      </c>
      <c r="M18" s="54">
        <v>55.47</v>
      </c>
      <c r="N18" s="54">
        <v>690.10</v>
      </c>
      <c r="O18" s="54">
        <v>0</v>
      </c>
      <c r="P18" s="54">
        <v>0.88</v>
      </c>
      <c r="Q18" s="54">
        <v>5.55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14.32</v>
      </c>
      <c r="C19" s="54">
        <v>20.12</v>
      </c>
      <c r="D19" s="54">
        <v>23</v>
      </c>
      <c r="E19" s="54">
        <v>0.98</v>
      </c>
      <c r="F19" s="54">
        <v>3.94</v>
      </c>
      <c r="G19" s="54">
        <v>112.53</v>
      </c>
      <c r="H19" s="54">
        <v>46.08</v>
      </c>
      <c r="I19" s="54">
        <v>1.55</v>
      </c>
      <c r="J19" s="54">
        <v>0.81</v>
      </c>
      <c r="K19" s="54">
        <v>352.80</v>
      </c>
      <c r="L19" s="54">
        <v>32.479999999999997</v>
      </c>
      <c r="M19" s="54">
        <v>50.70</v>
      </c>
      <c r="N19" s="54">
        <v>767.70</v>
      </c>
      <c r="O19" s="54">
        <v>0</v>
      </c>
      <c r="P19" s="54">
        <v>0.89</v>
      </c>
      <c r="Q19" s="54">
        <v>5.64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12.25</v>
      </c>
      <c r="C20" s="54">
        <v>23.77</v>
      </c>
      <c r="D20" s="54">
        <v>23.51</v>
      </c>
      <c r="E20" s="54">
        <v>1.01</v>
      </c>
      <c r="F20" s="54">
        <v>4.58</v>
      </c>
      <c r="G20" s="54">
        <v>107.85</v>
      </c>
      <c r="H20" s="54">
        <v>42.04</v>
      </c>
      <c r="I20" s="54">
        <v>1.52</v>
      </c>
      <c r="J20" s="54">
        <v>0.93</v>
      </c>
      <c r="K20" s="54">
        <v>349.31</v>
      </c>
      <c r="L20" s="54">
        <v>31.33</v>
      </c>
      <c r="M20" s="54">
        <v>47.19</v>
      </c>
      <c r="N20" s="54">
        <v>783.30</v>
      </c>
      <c r="O20" s="54">
        <v>0</v>
      </c>
      <c r="P20" s="54">
        <v>0.86</v>
      </c>
      <c r="Q20" s="54">
        <v>5.52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14.82</v>
      </c>
      <c r="C21" s="54">
        <v>31.37</v>
      </c>
      <c r="D21" s="54">
        <v>30.49</v>
      </c>
      <c r="E21" s="54">
        <v>4.09</v>
      </c>
      <c r="F21" s="54">
        <v>6.01</v>
      </c>
      <c r="G21" s="54">
        <v>100.65</v>
      </c>
      <c r="H21" s="54">
        <v>41.33</v>
      </c>
      <c r="I21" s="54">
        <v>1.57</v>
      </c>
      <c r="J21" s="54">
        <v>0.69</v>
      </c>
      <c r="K21" s="54">
        <v>352.13</v>
      </c>
      <c r="L21" s="54">
        <v>30.62</v>
      </c>
      <c r="M21" s="54">
        <v>43.27</v>
      </c>
      <c r="N21" s="54">
        <v>758.30</v>
      </c>
      <c r="O21" s="54">
        <v>0</v>
      </c>
      <c r="P21" s="54">
        <v>0.73</v>
      </c>
      <c r="Q21" s="54">
        <v>5.0199999999999996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14.81</v>
      </c>
      <c r="C22" s="54">
        <v>25.12</v>
      </c>
      <c r="D22" s="54">
        <v>26.38</v>
      </c>
      <c r="E22" s="54">
        <v>3.34</v>
      </c>
      <c r="F22" s="54">
        <v>8.5500000000000007</v>
      </c>
      <c r="G22" s="54">
        <v>97.98</v>
      </c>
      <c r="H22" s="54">
        <v>41.33</v>
      </c>
      <c r="I22" s="54">
        <v>1.52</v>
      </c>
      <c r="J22" s="54">
        <v>0.90</v>
      </c>
      <c r="K22" s="54">
        <v>349.52</v>
      </c>
      <c r="L22" s="54">
        <v>30.83</v>
      </c>
      <c r="M22" s="54">
        <v>47.36</v>
      </c>
      <c r="N22" s="54">
        <v>551.79999999999995</v>
      </c>
      <c r="O22" s="54">
        <v>0</v>
      </c>
      <c r="P22" s="54">
        <v>0.70</v>
      </c>
      <c r="Q22" s="54">
        <v>5.34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10.56</v>
      </c>
      <c r="C23" s="54">
        <v>27.81</v>
      </c>
      <c r="D23" s="54">
        <v>22.5</v>
      </c>
      <c r="E23" s="54">
        <v>3.85</v>
      </c>
      <c r="F23" s="54">
        <v>20.62</v>
      </c>
      <c r="G23" s="54">
        <v>98.47</v>
      </c>
      <c r="H23" s="54">
        <v>42.05</v>
      </c>
      <c r="I23" s="54">
        <v>1.56</v>
      </c>
      <c r="J23" s="54">
        <v>1.04</v>
      </c>
      <c r="K23" s="54">
        <v>348.71</v>
      </c>
      <c r="L23" s="54">
        <v>29.54</v>
      </c>
      <c r="M23" s="54">
        <v>45.98</v>
      </c>
      <c r="N23" s="54">
        <v>358.30</v>
      </c>
      <c r="O23" s="54">
        <v>0</v>
      </c>
      <c r="P23" s="54">
        <v>0.70</v>
      </c>
      <c r="Q23" s="54">
        <v>5.32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9.08</v>
      </c>
      <c r="C24" s="54">
        <v>34.60</v>
      </c>
      <c r="D24" s="54">
        <v>27.67</v>
      </c>
      <c r="E24" s="54">
        <v>6.19</v>
      </c>
      <c r="F24" s="54">
        <v>18.11</v>
      </c>
      <c r="G24" s="54">
        <v>100.51</v>
      </c>
      <c r="H24" s="54">
        <v>44.58</v>
      </c>
      <c r="I24" s="54">
        <v>1.55</v>
      </c>
      <c r="J24" s="54">
        <v>0.67</v>
      </c>
      <c r="K24" s="54">
        <v>351.39</v>
      </c>
      <c r="L24" s="54">
        <v>28.64</v>
      </c>
      <c r="M24" s="54">
        <v>48.09</v>
      </c>
      <c r="N24" s="54">
        <v>131.5</v>
      </c>
      <c r="O24" s="54">
        <v>0</v>
      </c>
      <c r="P24" s="54">
        <v>0.70</v>
      </c>
      <c r="Q24" s="54">
        <v>4.6399999999999997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10.11</v>
      </c>
      <c r="C25" s="54">
        <v>31.61</v>
      </c>
      <c r="D25" s="54">
        <v>26.85</v>
      </c>
      <c r="E25" s="54">
        <v>4.62</v>
      </c>
      <c r="F25" s="54">
        <v>15.11</v>
      </c>
      <c r="G25" s="54">
        <v>107.66</v>
      </c>
      <c r="H25" s="54">
        <v>44.58</v>
      </c>
      <c r="I25" s="54">
        <v>1.56</v>
      </c>
      <c r="J25" s="54">
        <v>0.92</v>
      </c>
      <c r="K25" s="54">
        <v>336.85</v>
      </c>
      <c r="L25" s="54">
        <v>27.30</v>
      </c>
      <c r="M25" s="54">
        <v>51.40</v>
      </c>
      <c r="N25" s="54">
        <v>77.70</v>
      </c>
      <c r="O25" s="54">
        <v>0</v>
      </c>
      <c r="P25" s="54">
        <v>0.74</v>
      </c>
      <c r="Q25" s="54">
        <v>4.82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10.02</v>
      </c>
      <c r="C26" s="54">
        <v>57.53</v>
      </c>
      <c r="D26" s="54">
        <v>39.28</v>
      </c>
      <c r="E26" s="54">
        <v>8.82</v>
      </c>
      <c r="F26" s="54">
        <v>34.75</v>
      </c>
      <c r="G26" s="54">
        <v>110.15</v>
      </c>
      <c r="H26" s="54">
        <v>48.89</v>
      </c>
      <c r="I26" s="54">
        <v>1.53</v>
      </c>
      <c r="J26" s="54">
        <v>0.21</v>
      </c>
      <c r="K26" s="54">
        <v>344.37</v>
      </c>
      <c r="L26" s="54">
        <v>26.07</v>
      </c>
      <c r="M26" s="54">
        <v>55.36</v>
      </c>
      <c r="N26" s="54">
        <v>28.10</v>
      </c>
      <c r="O26" s="54">
        <v>0</v>
      </c>
      <c r="P26" s="54">
        <v>0.91</v>
      </c>
      <c r="Q26" s="54">
        <v>4.16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3.01</v>
      </c>
      <c r="C27" s="54">
        <v>43.29</v>
      </c>
      <c r="D27" s="54">
        <v>27.27</v>
      </c>
      <c r="E27" s="54">
        <v>8.7899999999999991</v>
      </c>
      <c r="F27" s="54">
        <v>38.909999999999997</v>
      </c>
      <c r="G27" s="54">
        <v>112.60</v>
      </c>
      <c r="H27" s="54">
        <v>54.22</v>
      </c>
      <c r="I27" s="54">
        <v>1.56</v>
      </c>
      <c r="J27" s="54">
        <v>0.26</v>
      </c>
      <c r="K27" s="54">
        <v>111.72</v>
      </c>
      <c r="L27" s="54">
        <v>24.65</v>
      </c>
      <c r="M27" s="54">
        <v>61.09</v>
      </c>
      <c r="N27" s="54">
        <v>16.600000000000001</v>
      </c>
      <c r="O27" s="54">
        <v>0</v>
      </c>
      <c r="P27" s="54">
        <v>0.91</v>
      </c>
      <c r="Q27" s="54">
        <v>3.93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5.34</v>
      </c>
      <c r="C28" s="54">
        <v>52.24</v>
      </c>
      <c r="D28" s="54">
        <v>33.909999999999997</v>
      </c>
      <c r="E28" s="54">
        <v>4.84</v>
      </c>
      <c r="F28" s="54">
        <v>22.94</v>
      </c>
      <c r="G28" s="54">
        <v>127.66</v>
      </c>
      <c r="H28" s="54">
        <v>55.09</v>
      </c>
      <c r="I28" s="54">
        <v>1.53</v>
      </c>
      <c r="J28" s="54">
        <v>0.21</v>
      </c>
      <c r="K28" s="54">
        <v>91.01</v>
      </c>
      <c r="L28" s="54">
        <v>24.26</v>
      </c>
      <c r="M28" s="54">
        <v>64.22</v>
      </c>
      <c r="N28" s="54">
        <v>16.5</v>
      </c>
      <c r="O28" s="54">
        <v>0</v>
      </c>
      <c r="P28" s="54">
        <v>1.08</v>
      </c>
      <c r="Q28" s="54">
        <v>4.16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7.42</v>
      </c>
      <c r="C29" s="54">
        <v>65.62</v>
      </c>
      <c r="D29" s="54">
        <v>43.45</v>
      </c>
      <c r="E29" s="54">
        <v>3.60</v>
      </c>
      <c r="F29" s="54">
        <v>16.059999999999999</v>
      </c>
      <c r="G29" s="54">
        <v>132.94999999999999</v>
      </c>
      <c r="H29" s="54">
        <v>58.72</v>
      </c>
      <c r="I29" s="54">
        <v>1.56</v>
      </c>
      <c r="J29" s="54">
        <v>0.40</v>
      </c>
      <c r="K29" s="54">
        <v>105.52</v>
      </c>
      <c r="L29" s="54">
        <v>23.71</v>
      </c>
      <c r="M29" s="54">
        <v>65.92</v>
      </c>
      <c r="N29" s="54">
        <v>16.600000000000001</v>
      </c>
      <c r="O29" s="54">
        <v>0</v>
      </c>
      <c r="P29" s="54">
        <v>1.41</v>
      </c>
      <c r="Q29" s="54">
        <v>4.2699999999999996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6.74</v>
      </c>
      <c r="C30" s="54">
        <v>49.95</v>
      </c>
      <c r="D30" s="54">
        <v>34.26</v>
      </c>
      <c r="E30" s="54">
        <v>3.49</v>
      </c>
      <c r="F30" s="54">
        <v>22.72</v>
      </c>
      <c r="G30" s="54">
        <v>136.99</v>
      </c>
      <c r="H30" s="54">
        <v>59.45</v>
      </c>
      <c r="I30" s="54">
        <v>1.54</v>
      </c>
      <c r="J30" s="54">
        <v>0.36</v>
      </c>
      <c r="K30" s="54">
        <v>98.13</v>
      </c>
      <c r="L30" s="54">
        <v>23.31</v>
      </c>
      <c r="M30" s="54">
        <v>66.349999999999994</v>
      </c>
      <c r="N30" s="54">
        <v>16.5</v>
      </c>
      <c r="O30" s="54">
        <v>0</v>
      </c>
      <c r="P30" s="54">
        <v>1.19</v>
      </c>
      <c r="Q30" s="54">
        <v>3.85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9.5</v>
      </c>
      <c r="C31" s="54">
        <v>43.19</v>
      </c>
      <c r="D31" s="54">
        <v>32.74</v>
      </c>
      <c r="E31" s="54">
        <v>3.20</v>
      </c>
      <c r="F31" s="54">
        <v>21.07</v>
      </c>
      <c r="G31" s="54">
        <v>136.99</v>
      </c>
      <c r="H31" s="54">
        <v>60.67</v>
      </c>
      <c r="I31" s="54">
        <v>1.55</v>
      </c>
      <c r="J31" s="54">
        <v>0.27</v>
      </c>
      <c r="K31" s="54">
        <v>98.76</v>
      </c>
      <c r="L31" s="54">
        <v>22.96</v>
      </c>
      <c r="M31" s="54">
        <v>71.20</v>
      </c>
      <c r="N31" s="54">
        <v>16.5</v>
      </c>
      <c r="O31" s="54">
        <v>0</v>
      </c>
      <c r="P31" s="54">
        <v>1.06</v>
      </c>
      <c r="Q31" s="54">
        <v>4.42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6.63</v>
      </c>
      <c r="C32" s="54">
        <v>38.82</v>
      </c>
      <c r="D32" s="54">
        <v>28.03</v>
      </c>
      <c r="E32" s="54">
        <v>2.13</v>
      </c>
      <c r="F32" s="54">
        <v>11.87</v>
      </c>
      <c r="G32" s="54">
        <v>131.06</v>
      </c>
      <c r="H32" s="54">
        <v>60.67</v>
      </c>
      <c r="I32" s="54">
        <v>1.55</v>
      </c>
      <c r="J32" s="54">
        <v>0.13</v>
      </c>
      <c r="K32" s="54">
        <v>261.86</v>
      </c>
      <c r="L32" s="54">
        <v>22.22</v>
      </c>
      <c r="M32" s="54">
        <v>77.739999999999995</v>
      </c>
      <c r="N32" s="54">
        <v>16.70</v>
      </c>
      <c r="O32" s="54">
        <v>0</v>
      </c>
      <c r="P32" s="54">
        <v>1.03</v>
      </c>
      <c r="Q32" s="54">
        <v>4.33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3.0099999999999998</v>
      </c>
      <c r="C34" s="28">
        <f t="shared" si="0"/>
        <v>16.300000000000001</v>
      </c>
      <c r="D34" s="28">
        <f t="shared" si="0"/>
        <v>17.469999999999999</v>
      </c>
      <c r="E34" s="28">
        <f t="shared" si="0"/>
        <v>0.78000000000000003</v>
      </c>
      <c r="F34" s="28">
        <f t="shared" si="0"/>
        <v>2.1400000000000001</v>
      </c>
      <c r="G34" s="28">
        <f t="shared" si="0"/>
        <v>97.980000000000004</v>
      </c>
      <c r="H34" s="28">
        <f t="shared" si="0"/>
        <v>41.329999999999998</v>
      </c>
      <c r="I34" s="28">
        <f t="shared" si="0"/>
        <v>1.52</v>
      </c>
      <c r="J34" s="28">
        <f t="shared" si="0"/>
        <v>0.13</v>
      </c>
      <c r="K34" s="28">
        <f t="shared" si="0"/>
        <v>91.010000000000005</v>
      </c>
      <c r="L34" s="28">
        <f t="shared" si="0"/>
        <v>20.77</v>
      </c>
      <c r="M34" s="28">
        <f t="shared" si="0"/>
        <v>43.270000000000003</v>
      </c>
      <c r="N34" s="28">
        <f t="shared" si="0"/>
        <v>16.5</v>
      </c>
      <c r="O34" s="28">
        <f t="shared" si="0"/>
        <v>0</v>
      </c>
      <c r="P34" s="28">
        <f t="shared" si="0"/>
        <v>0.69999999999999996</v>
      </c>
      <c r="Q34" s="28">
        <f t="shared" si="0"/>
        <v>3.8500000000000001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15.31</v>
      </c>
      <c r="C35" s="29">
        <f t="shared" si="1"/>
        <v>65.620000000000005</v>
      </c>
      <c r="D35" s="29">
        <f t="shared" si="1"/>
        <v>43.450000000000003</v>
      </c>
      <c r="E35" s="29">
        <f t="shared" si="1"/>
        <v>8.8200000000000003</v>
      </c>
      <c r="F35" s="29">
        <f t="shared" si="1"/>
        <v>38.909999999999997</v>
      </c>
      <c r="G35" s="29">
        <f t="shared" si="1"/>
        <v>150.28999999999999</v>
      </c>
      <c r="H35" s="29">
        <f t="shared" si="1"/>
        <v>67.569999999999993</v>
      </c>
      <c r="I35" s="29">
        <f t="shared" si="1"/>
        <v>1.6200000000000001</v>
      </c>
      <c r="J35" s="29">
        <f t="shared" si="1"/>
        <v>1.24</v>
      </c>
      <c r="K35" s="29">
        <f t="shared" si="1"/>
        <v>355.39999999999998</v>
      </c>
      <c r="L35" s="29">
        <f t="shared" si="1"/>
        <v>32.479999999999997</v>
      </c>
      <c r="M35" s="29">
        <f t="shared" si="1"/>
        <v>92.140000000000001</v>
      </c>
      <c r="N35" s="29">
        <f t="shared" si="1"/>
        <v>783.29999999999995</v>
      </c>
      <c r="O35" s="29">
        <f t="shared" si="1"/>
        <v>0</v>
      </c>
      <c r="P35" s="29">
        <f t="shared" si="1"/>
        <v>1.47</v>
      </c>
      <c r="Q35" s="29">
        <f t="shared" si="1"/>
        <v>5.6399999999999997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10.633333333333335</v>
      </c>
      <c r="C36" s="28">
        <f t="shared" si="2"/>
        <v>32.75416666666667</v>
      </c>
      <c r="D36" s="28">
        <f t="shared" si="2"/>
        <v>27.374166666666667</v>
      </c>
      <c r="E36" s="28">
        <f t="shared" si="2"/>
        <v>2.8962500000000002</v>
      </c>
      <c r="F36" s="28">
        <f t="shared" si="2"/>
        <v>12.723750000000001</v>
      </c>
      <c r="G36" s="28">
        <f t="shared" si="2"/>
        <v>121.24416666666667</v>
      </c>
      <c r="H36" s="28">
        <f t="shared" si="2"/>
        <v>53.341250000000009</v>
      </c>
      <c r="I36" s="28">
        <f t="shared" si="2"/>
        <v>1.5541666666666663</v>
      </c>
      <c r="J36" s="28">
        <f t="shared" si="2"/>
        <v>0.54874999999999996</v>
      </c>
      <c r="K36" s="28">
        <f t="shared" si="2"/>
        <v>292.3608333333334</v>
      </c>
      <c r="L36" s="28">
        <f t="shared" si="2"/>
        <v>25.661666666666665</v>
      </c>
      <c r="M36" s="28">
        <f t="shared" si="2"/>
        <v>66.625833333333333</v>
      </c>
      <c r="N36" s="28">
        <f t="shared" si="2"/>
        <v>223.67500000000007</v>
      </c>
      <c r="O36" s="28">
        <f t="shared" si="2"/>
        <v>0</v>
      </c>
      <c r="P36" s="28">
        <f t="shared" si="2"/>
        <v>0.99333333333333329</v>
      </c>
      <c r="Q36" s="28">
        <f t="shared" si="2"/>
        <v>4.9412499999999993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3.3688801734683893</v>
      </c>
      <c r="C37" s="28">
        <f t="shared" si="3" ref="C37:Q37">STDEV(C9:C32)</f>
        <v>13.329951210539459</v>
      </c>
      <c r="D37" s="28">
        <f t="shared" si="3"/>
        <v>6.2251990830164097</v>
      </c>
      <c r="E37" s="28">
        <f t="shared" si="3"/>
        <v>2.4059777231611732</v>
      </c>
      <c r="F37" s="28">
        <f t="shared" si="3"/>
        <v>10.142567556118854</v>
      </c>
      <c r="G37" s="28">
        <f t="shared" si="3"/>
        <v>16.247897500550813</v>
      </c>
      <c r="H37" s="28">
        <f t="shared" si="3"/>
        <v>9.3382259335997286</v>
      </c>
      <c r="I37" s="28">
        <f t="shared" si="3"/>
        <v>0.025352586124267617</v>
      </c>
      <c r="J37" s="28">
        <f t="shared" si="3"/>
        <v>0.30877475257230325</v>
      </c>
      <c r="K37" s="28">
        <f t="shared" si="3"/>
        <v>101.90161926078983</v>
      </c>
      <c r="L37" s="28">
        <f t="shared" si="3"/>
        <v>3.8473024617105382</v>
      </c>
      <c r="M37" s="28">
        <f t="shared" si="3"/>
        <v>16.416092294815034</v>
      </c>
      <c r="N37" s="28">
        <f t="shared" si="3"/>
        <v>289.42658789857001</v>
      </c>
      <c r="O37" s="28">
        <f t="shared" si="3"/>
        <v>0</v>
      </c>
      <c r="P37" s="28">
        <f t="shared" si="3"/>
        <v>0.21756891295416686</v>
      </c>
      <c r="Q37" s="28">
        <f t="shared" si="3"/>
        <v>0.57738023414610939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0d60c7-34fc-44ce-9f4b-ca0bff4d903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12.55</v>
      </c>
      <c r="C9" s="54">
        <v>40.119999999999997</v>
      </c>
      <c r="D9" s="54">
        <v>33.5</v>
      </c>
      <c r="E9" s="54">
        <v>1.22</v>
      </c>
      <c r="F9" s="54">
        <v>2.64</v>
      </c>
      <c r="G9" s="54">
        <v>138.12</v>
      </c>
      <c r="H9" s="54">
        <v>57.82</v>
      </c>
      <c r="I9" s="54">
        <v>1.55</v>
      </c>
      <c r="J9" s="54">
        <v>0.18</v>
      </c>
      <c r="K9" s="54">
        <v>323.73</v>
      </c>
      <c r="L9" s="54">
        <v>20.95</v>
      </c>
      <c r="M9" s="54">
        <v>93.60</v>
      </c>
      <c r="N9" s="54">
        <v>16.80</v>
      </c>
      <c r="O9" s="54">
        <v>0</v>
      </c>
      <c r="P9" s="54">
        <v>1.23</v>
      </c>
      <c r="Q9" s="54">
        <v>4.6500000000000004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7.53</v>
      </c>
      <c r="C10" s="54">
        <v>20.51</v>
      </c>
      <c r="D10" s="54">
        <v>18.22</v>
      </c>
      <c r="E10" s="54">
        <v>1.18</v>
      </c>
      <c r="F10" s="54">
        <v>1.85</v>
      </c>
      <c r="G10" s="54">
        <v>138.12</v>
      </c>
      <c r="H10" s="54">
        <v>59.48</v>
      </c>
      <c r="I10" s="54">
        <v>1.53</v>
      </c>
      <c r="J10" s="54">
        <v>0.16</v>
      </c>
      <c r="K10" s="54">
        <v>319.70</v>
      </c>
      <c r="L10" s="54">
        <v>19.77</v>
      </c>
      <c r="M10" s="54">
        <v>95.59</v>
      </c>
      <c r="N10" s="54">
        <v>16.5</v>
      </c>
      <c r="O10" s="54">
        <v>0</v>
      </c>
      <c r="P10" s="54">
        <v>1.07</v>
      </c>
      <c r="Q10" s="54">
        <v>5.09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7.07</v>
      </c>
      <c r="C11" s="54">
        <v>19.899999999999999</v>
      </c>
      <c r="D11" s="54">
        <v>17.04</v>
      </c>
      <c r="E11" s="54">
        <v>1.1299999999999999</v>
      </c>
      <c r="F11" s="54">
        <v>5.0999999999999996</v>
      </c>
      <c r="G11" s="54">
        <v>135.22</v>
      </c>
      <c r="H11" s="54">
        <v>59.48</v>
      </c>
      <c r="I11" s="54">
        <v>1.53</v>
      </c>
      <c r="J11" s="54">
        <v>0.44</v>
      </c>
      <c r="K11" s="54">
        <v>342.49</v>
      </c>
      <c r="L11" s="54">
        <v>19.79</v>
      </c>
      <c r="M11" s="54">
        <v>95.42</v>
      </c>
      <c r="N11" s="54">
        <v>16.399999999999999</v>
      </c>
      <c r="O11" s="54">
        <v>0</v>
      </c>
      <c r="P11" s="54">
        <v>1.02</v>
      </c>
      <c r="Q11" s="54">
        <v>5.16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8.7899999999999991</v>
      </c>
      <c r="C12" s="54">
        <v>21.24</v>
      </c>
      <c r="D12" s="54">
        <v>18.55</v>
      </c>
      <c r="E12" s="54">
        <v>1.1000000000000001</v>
      </c>
      <c r="F12" s="54">
        <v>3.64</v>
      </c>
      <c r="G12" s="54">
        <v>148.77000000000001</v>
      </c>
      <c r="H12" s="54">
        <v>62.11</v>
      </c>
      <c r="I12" s="54">
        <v>1.58</v>
      </c>
      <c r="J12" s="54">
        <v>0.30</v>
      </c>
      <c r="K12" s="54">
        <v>339.98</v>
      </c>
      <c r="L12" s="54">
        <v>19.75</v>
      </c>
      <c r="M12" s="54">
        <v>92.25</v>
      </c>
      <c r="N12" s="54">
        <v>16.30</v>
      </c>
      <c r="O12" s="54">
        <v>0</v>
      </c>
      <c r="P12" s="54">
        <v>1.05</v>
      </c>
      <c r="Q12" s="54">
        <v>5.23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7.14</v>
      </c>
      <c r="C13" s="54">
        <v>13.92</v>
      </c>
      <c r="D13" s="54">
        <v>14.68</v>
      </c>
      <c r="E13" s="54">
        <v>0.98</v>
      </c>
      <c r="F13" s="54">
        <v>1.30</v>
      </c>
      <c r="G13" s="54">
        <v>148.77000000000001</v>
      </c>
      <c r="H13" s="54">
        <v>62.11</v>
      </c>
      <c r="I13" s="54">
        <v>1.52</v>
      </c>
      <c r="J13" s="54">
        <v>0.64</v>
      </c>
      <c r="K13" s="54">
        <v>343.92</v>
      </c>
      <c r="L13" s="54">
        <v>19.77</v>
      </c>
      <c r="M13" s="54">
        <v>72.98</v>
      </c>
      <c r="N13" s="54">
        <v>16.600000000000001</v>
      </c>
      <c r="O13" s="54">
        <v>0</v>
      </c>
      <c r="P13" s="54">
        <v>0.98</v>
      </c>
      <c r="Q13" s="54">
        <v>5.29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8.14</v>
      </c>
      <c r="C14" s="54">
        <v>18.27</v>
      </c>
      <c r="D14" s="54">
        <v>17.899999999999999</v>
      </c>
      <c r="E14" s="54">
        <v>0.86</v>
      </c>
      <c r="F14" s="54">
        <v>2.54</v>
      </c>
      <c r="G14" s="54">
        <v>134.66999999999999</v>
      </c>
      <c r="H14" s="54">
        <v>61.09</v>
      </c>
      <c r="I14" s="54">
        <v>1.49</v>
      </c>
      <c r="J14" s="54">
        <v>0.45</v>
      </c>
      <c r="K14" s="54">
        <v>345.62</v>
      </c>
      <c r="L14" s="54">
        <v>18.96</v>
      </c>
      <c r="M14" s="54">
        <v>72.989999999999995</v>
      </c>
      <c r="N14" s="54">
        <v>20.80</v>
      </c>
      <c r="O14" s="54">
        <v>0</v>
      </c>
      <c r="P14" s="54">
        <v>0.95</v>
      </c>
      <c r="Q14" s="54">
        <v>5.23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11.19</v>
      </c>
      <c r="C15" s="54">
        <v>21.83</v>
      </c>
      <c r="D15" s="54">
        <v>22.31</v>
      </c>
      <c r="E15" s="54">
        <v>0.82</v>
      </c>
      <c r="F15" s="54">
        <v>1.48</v>
      </c>
      <c r="G15" s="54">
        <v>141.91</v>
      </c>
      <c r="H15" s="54">
        <v>60.70</v>
      </c>
      <c r="I15" s="54">
        <v>1.55</v>
      </c>
      <c r="J15" s="54">
        <v>0.85</v>
      </c>
      <c r="K15" s="54">
        <v>345.09</v>
      </c>
      <c r="L15" s="54">
        <v>22.02</v>
      </c>
      <c r="M15" s="54">
        <v>72.430000000000007</v>
      </c>
      <c r="N15" s="54">
        <v>173</v>
      </c>
      <c r="O15" s="54">
        <v>0</v>
      </c>
      <c r="P15" s="54">
        <v>0.93</v>
      </c>
      <c r="Q15" s="54">
        <v>5.31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11.59</v>
      </c>
      <c r="C16" s="54">
        <v>17.57</v>
      </c>
      <c r="D16" s="54">
        <v>19.989999999999998</v>
      </c>
      <c r="E16" s="54">
        <v>0.76</v>
      </c>
      <c r="F16" s="54">
        <v>0.99</v>
      </c>
      <c r="G16" s="54">
        <v>141.91</v>
      </c>
      <c r="H16" s="54">
        <v>58.49</v>
      </c>
      <c r="I16" s="54">
        <v>1.56</v>
      </c>
      <c r="J16" s="54">
        <v>1.07</v>
      </c>
      <c r="K16" s="54">
        <v>342.54</v>
      </c>
      <c r="L16" s="54">
        <v>27.48</v>
      </c>
      <c r="M16" s="54">
        <v>53.27</v>
      </c>
      <c r="N16" s="54">
        <v>404.80</v>
      </c>
      <c r="O16" s="54">
        <v>0</v>
      </c>
      <c r="P16" s="54">
        <v>0.92</v>
      </c>
      <c r="Q16" s="54">
        <v>5.54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12.51</v>
      </c>
      <c r="C17" s="54">
        <v>21.97</v>
      </c>
      <c r="D17" s="54">
        <v>23.45</v>
      </c>
      <c r="E17" s="54">
        <v>0.90</v>
      </c>
      <c r="F17" s="54">
        <v>5.60</v>
      </c>
      <c r="G17" s="54">
        <v>137.80000000000001</v>
      </c>
      <c r="H17" s="54">
        <v>49.32</v>
      </c>
      <c r="I17" s="54">
        <v>1.53</v>
      </c>
      <c r="J17" s="54">
        <v>0.91</v>
      </c>
      <c r="K17" s="54">
        <v>343.5</v>
      </c>
      <c r="L17" s="54">
        <v>28.38</v>
      </c>
      <c r="M17" s="54">
        <v>46.25</v>
      </c>
      <c r="N17" s="54">
        <v>605.40</v>
      </c>
      <c r="O17" s="54">
        <v>0</v>
      </c>
      <c r="P17" s="54">
        <v>0.91</v>
      </c>
      <c r="Q17" s="54">
        <v>5.56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11.17</v>
      </c>
      <c r="C18" s="54">
        <v>19.11</v>
      </c>
      <c r="D18" s="54">
        <v>20.79</v>
      </c>
      <c r="E18" s="54">
        <v>0.95</v>
      </c>
      <c r="F18" s="54">
        <v>3.48</v>
      </c>
      <c r="G18" s="54">
        <v>129.85</v>
      </c>
      <c r="H18" s="54">
        <v>46.84</v>
      </c>
      <c r="I18" s="54">
        <v>1.51</v>
      </c>
      <c r="J18" s="54">
        <v>1.27</v>
      </c>
      <c r="K18" s="54">
        <v>110.05</v>
      </c>
      <c r="L18" s="54">
        <v>27.14</v>
      </c>
      <c r="M18" s="54">
        <v>47.46</v>
      </c>
      <c r="N18" s="54">
        <v>756.30</v>
      </c>
      <c r="O18" s="54">
        <v>0</v>
      </c>
      <c r="P18" s="54">
        <v>0.87</v>
      </c>
      <c r="Q18" s="54">
        <v>5.48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8.0500000000000007</v>
      </c>
      <c r="C19" s="54">
        <v>17.100000000000001</v>
      </c>
      <c r="D19" s="54">
        <v>16.70</v>
      </c>
      <c r="E19" s="54">
        <v>0.94</v>
      </c>
      <c r="F19" s="54">
        <v>4.43</v>
      </c>
      <c r="G19" s="54">
        <v>117.79</v>
      </c>
      <c r="H19" s="54">
        <v>43.25</v>
      </c>
      <c r="I19" s="54">
        <v>1.53</v>
      </c>
      <c r="J19" s="54">
        <v>1.27</v>
      </c>
      <c r="K19" s="54">
        <v>110.56</v>
      </c>
      <c r="L19" s="54">
        <v>28.04</v>
      </c>
      <c r="M19" s="54">
        <v>43.09</v>
      </c>
      <c r="N19" s="54">
        <v>828</v>
      </c>
      <c r="O19" s="54">
        <v>0</v>
      </c>
      <c r="P19" s="54">
        <v>0.83</v>
      </c>
      <c r="Q19" s="54">
        <v>5.44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5.67</v>
      </c>
      <c r="C20" s="54">
        <v>26.47</v>
      </c>
      <c r="D20" s="54">
        <v>19.5</v>
      </c>
      <c r="E20" s="54">
        <v>1.60</v>
      </c>
      <c r="F20" s="54">
        <v>19.16</v>
      </c>
      <c r="G20" s="54">
        <v>108.39</v>
      </c>
      <c r="H20" s="54">
        <v>42.23</v>
      </c>
      <c r="I20" s="54">
        <v>1.55</v>
      </c>
      <c r="J20" s="54">
        <v>1.20</v>
      </c>
      <c r="K20" s="54">
        <v>346.10</v>
      </c>
      <c r="L20" s="54">
        <v>30.04</v>
      </c>
      <c r="M20" s="54">
        <v>36.700000000000003</v>
      </c>
      <c r="N20" s="54">
        <v>844.80</v>
      </c>
      <c r="O20" s="54">
        <v>0</v>
      </c>
      <c r="P20" s="54">
        <v>0.71</v>
      </c>
      <c r="Q20" s="54">
        <v>4.91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3.71</v>
      </c>
      <c r="C21" s="54">
        <v>26</v>
      </c>
      <c r="D21" s="54">
        <v>18.420000000000002</v>
      </c>
      <c r="E21" s="54">
        <v>1.54</v>
      </c>
      <c r="F21" s="54">
        <v>5.65</v>
      </c>
      <c r="G21" s="54">
        <v>108.39</v>
      </c>
      <c r="H21" s="54">
        <v>42.23</v>
      </c>
      <c r="I21" s="54">
        <v>1.55</v>
      </c>
      <c r="J21" s="54">
        <v>1.1100000000000001</v>
      </c>
      <c r="K21" s="54">
        <v>105.13</v>
      </c>
      <c r="L21" s="54">
        <v>29.74</v>
      </c>
      <c r="M21" s="54">
        <v>33.64</v>
      </c>
      <c r="N21" s="54">
        <v>845.70</v>
      </c>
      <c r="O21" s="54">
        <v>0</v>
      </c>
      <c r="P21" s="54">
        <v>0.60</v>
      </c>
      <c r="Q21" s="54">
        <v>4.93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3.56</v>
      </c>
      <c r="C22" s="54">
        <v>19.350000000000001</v>
      </c>
      <c r="D22" s="54">
        <v>13.99</v>
      </c>
      <c r="E22" s="54">
        <v>1.18</v>
      </c>
      <c r="F22" s="54">
        <v>4.5599999999999996</v>
      </c>
      <c r="G22" s="54">
        <v>76</v>
      </c>
      <c r="H22" s="54">
        <v>32.74</v>
      </c>
      <c r="I22" s="54">
        <v>1.52</v>
      </c>
      <c r="J22" s="54">
        <v>1.40</v>
      </c>
      <c r="K22" s="54">
        <v>110.78</v>
      </c>
      <c r="L22" s="54">
        <v>28.63</v>
      </c>
      <c r="M22" s="54">
        <v>36.729999999999997</v>
      </c>
      <c r="N22" s="54">
        <v>757.40</v>
      </c>
      <c r="O22" s="54">
        <v>0</v>
      </c>
      <c r="P22" s="54">
        <v>0.55000000000000004</v>
      </c>
      <c r="Q22" s="54">
        <v>5.03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4.47</v>
      </c>
      <c r="C23" s="54">
        <v>22.78</v>
      </c>
      <c r="D23" s="54">
        <v>17.45</v>
      </c>
      <c r="E23" s="54">
        <v>1.87</v>
      </c>
      <c r="F23" s="54">
        <v>21.85</v>
      </c>
      <c r="G23" s="54">
        <v>68.66</v>
      </c>
      <c r="H23" s="54">
        <v>31.97</v>
      </c>
      <c r="I23" s="54">
        <v>1.56</v>
      </c>
      <c r="J23" s="54">
        <v>1.01</v>
      </c>
      <c r="K23" s="54">
        <v>107.68</v>
      </c>
      <c r="L23" s="54">
        <v>28.32</v>
      </c>
      <c r="M23" s="54">
        <v>34.35</v>
      </c>
      <c r="N23" s="54">
        <v>301.89999999999998</v>
      </c>
      <c r="O23" s="54">
        <v>0</v>
      </c>
      <c r="P23" s="54">
        <v>0.52</v>
      </c>
      <c r="Q23" s="54">
        <v>4.7699999999999996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5.53</v>
      </c>
      <c r="C24" s="54">
        <v>25.27</v>
      </c>
      <c r="D24" s="54">
        <v>19.670000000000002</v>
      </c>
      <c r="E24" s="54">
        <v>2</v>
      </c>
      <c r="F24" s="54">
        <v>17.88</v>
      </c>
      <c r="G24" s="54">
        <v>65.36</v>
      </c>
      <c r="H24" s="54">
        <v>31.97</v>
      </c>
      <c r="I24" s="54">
        <v>1.55</v>
      </c>
      <c r="J24" s="54">
        <v>0.61</v>
      </c>
      <c r="K24" s="54">
        <v>105.33</v>
      </c>
      <c r="L24" s="54">
        <v>27.34</v>
      </c>
      <c r="M24" s="54">
        <v>34.409999999999997</v>
      </c>
      <c r="N24" s="54">
        <v>94.10</v>
      </c>
      <c r="O24" s="54">
        <v>0</v>
      </c>
      <c r="P24" s="54">
        <v>0.52</v>
      </c>
      <c r="Q24" s="54">
        <v>4.63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3.14</v>
      </c>
      <c r="C25" s="54">
        <v>18.72</v>
      </c>
      <c r="D25" s="54">
        <v>13.83</v>
      </c>
      <c r="E25" s="54">
        <v>1.23</v>
      </c>
      <c r="F25" s="54">
        <v>7.02</v>
      </c>
      <c r="G25" s="54">
        <v>66.209999999999994</v>
      </c>
      <c r="H25" s="54">
        <v>29.92</v>
      </c>
      <c r="I25" s="54">
        <v>1.57</v>
      </c>
      <c r="J25" s="54">
        <v>1.78</v>
      </c>
      <c r="K25" s="54">
        <v>114.78</v>
      </c>
      <c r="L25" s="54">
        <v>26.51</v>
      </c>
      <c r="M25" s="54">
        <v>34.49</v>
      </c>
      <c r="N25" s="54">
        <v>67.900000000000006</v>
      </c>
      <c r="O25" s="54">
        <v>0</v>
      </c>
      <c r="P25" s="54">
        <v>0.48</v>
      </c>
      <c r="Q25" s="54">
        <v>5.16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2.70</v>
      </c>
      <c r="C26" s="54">
        <v>36.60</v>
      </c>
      <c r="D26" s="54">
        <v>23.65</v>
      </c>
      <c r="E26" s="54">
        <v>1.29</v>
      </c>
      <c r="F26" s="54">
        <v>11.88</v>
      </c>
      <c r="G26" s="54">
        <v>66.209999999999994</v>
      </c>
      <c r="H26" s="54">
        <v>31.08</v>
      </c>
      <c r="I26" s="54">
        <v>1.51</v>
      </c>
      <c r="J26" s="54">
        <v>1.0900000000000001</v>
      </c>
      <c r="K26" s="54">
        <v>108.97</v>
      </c>
      <c r="L26" s="54">
        <v>26.08</v>
      </c>
      <c r="M26" s="54">
        <v>33.99</v>
      </c>
      <c r="N26" s="54">
        <v>33.60</v>
      </c>
      <c r="O26" s="54">
        <v>0</v>
      </c>
      <c r="P26" s="54">
        <v>0.46</v>
      </c>
      <c r="Q26" s="54">
        <v>4.76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3.34</v>
      </c>
      <c r="C27" s="54">
        <v>34.869999999999997</v>
      </c>
      <c r="D27" s="54">
        <v>23.01</v>
      </c>
      <c r="E27" s="54">
        <v>1.26</v>
      </c>
      <c r="F27" s="54">
        <v>14.18</v>
      </c>
      <c r="G27" s="54">
        <v>80.400000000000006</v>
      </c>
      <c r="H27" s="54">
        <v>31.08</v>
      </c>
      <c r="I27" s="54">
        <v>1.53</v>
      </c>
      <c r="J27" s="54">
        <v>0.35</v>
      </c>
      <c r="K27" s="54">
        <v>106.91</v>
      </c>
      <c r="L27" s="54">
        <v>24.17</v>
      </c>
      <c r="M27" s="54">
        <v>46.13</v>
      </c>
      <c r="N27" s="54">
        <v>23.20</v>
      </c>
      <c r="O27" s="54">
        <v>0</v>
      </c>
      <c r="P27" s="54">
        <v>0.63</v>
      </c>
      <c r="Q27" s="54">
        <v>4.20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10.35</v>
      </c>
      <c r="C28" s="54">
        <v>39.619999999999997</v>
      </c>
      <c r="D28" s="54">
        <v>28.56</v>
      </c>
      <c r="E28" s="54">
        <v>1.07</v>
      </c>
      <c r="F28" s="54">
        <v>13.16</v>
      </c>
      <c r="G28" s="54">
        <v>88.17</v>
      </c>
      <c r="H28" s="54">
        <v>26.23</v>
      </c>
      <c r="I28" s="54">
        <v>1.52</v>
      </c>
      <c r="J28" s="54">
        <v>0.38</v>
      </c>
      <c r="K28" s="54">
        <v>336.86</v>
      </c>
      <c r="L28" s="54">
        <v>23.69</v>
      </c>
      <c r="M28" s="54">
        <v>58.20</v>
      </c>
      <c r="N28" s="54">
        <v>23.70</v>
      </c>
      <c r="O28" s="54">
        <v>0</v>
      </c>
      <c r="P28" s="54">
        <v>0.86</v>
      </c>
      <c r="Q28" s="54">
        <v>4.24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44.26</v>
      </c>
      <c r="C29" s="54">
        <v>62.84</v>
      </c>
      <c r="D29" s="54">
        <v>71.459999999999994</v>
      </c>
      <c r="E29" s="54">
        <v>1.35</v>
      </c>
      <c r="F29" s="54">
        <v>16.34</v>
      </c>
      <c r="G29" s="54">
        <v>117.92</v>
      </c>
      <c r="H29" s="54">
        <v>40.299999999999997</v>
      </c>
      <c r="I29" s="54">
        <v>1.53</v>
      </c>
      <c r="J29" s="54">
        <v>0.14000000000000001</v>
      </c>
      <c r="K29" s="54">
        <v>332.75</v>
      </c>
      <c r="L29" s="54">
        <v>22.38</v>
      </c>
      <c r="M29" s="54">
        <v>59.89</v>
      </c>
      <c r="N29" s="54">
        <v>23.40</v>
      </c>
      <c r="O29" s="54">
        <v>0</v>
      </c>
      <c r="P29" s="54">
        <v>1.65</v>
      </c>
      <c r="Q29" s="54">
        <v>4.3499999999999996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26.34</v>
      </c>
      <c r="C30" s="54">
        <v>46.32</v>
      </c>
      <c r="D30" s="54">
        <v>44.95</v>
      </c>
      <c r="E30" s="54">
        <v>1.46</v>
      </c>
      <c r="F30" s="54">
        <v>7.54</v>
      </c>
      <c r="G30" s="54">
        <v>142.41</v>
      </c>
      <c r="H30" s="54">
        <v>47.38</v>
      </c>
      <c r="I30" s="54">
        <v>1.52</v>
      </c>
      <c r="J30" s="54">
        <v>0.16</v>
      </c>
      <c r="K30" s="54">
        <v>342.54</v>
      </c>
      <c r="L30" s="54">
        <v>22.38</v>
      </c>
      <c r="M30" s="54">
        <v>68.97</v>
      </c>
      <c r="N30" s="54">
        <v>23.80</v>
      </c>
      <c r="O30" s="54">
        <v>0</v>
      </c>
      <c r="P30" s="54">
        <v>1.41</v>
      </c>
      <c r="Q30" s="54">
        <v>4.8099999999999996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37.40</v>
      </c>
      <c r="C31" s="54">
        <v>29.71</v>
      </c>
      <c r="D31" s="54">
        <v>47.34</v>
      </c>
      <c r="E31" s="54">
        <v>0.91</v>
      </c>
      <c r="F31" s="54">
        <v>0.36</v>
      </c>
      <c r="G31" s="54">
        <v>189.70</v>
      </c>
      <c r="H31" s="54">
        <v>58.86</v>
      </c>
      <c r="I31" s="54">
        <v>1.58</v>
      </c>
      <c r="J31" s="54">
        <v>0.13</v>
      </c>
      <c r="K31" s="54">
        <v>321.81</v>
      </c>
      <c r="L31" s="54">
        <v>20.57</v>
      </c>
      <c r="M31" s="54">
        <v>73.73</v>
      </c>
      <c r="N31" s="54">
        <v>23</v>
      </c>
      <c r="O31" s="54">
        <v>0</v>
      </c>
      <c r="P31" s="54">
        <v>1.63</v>
      </c>
      <c r="Q31" s="54">
        <v>6.93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62.64</v>
      </c>
      <c r="C32" s="54">
        <v>39.53</v>
      </c>
      <c r="D32" s="54">
        <v>73.34</v>
      </c>
      <c r="E32" s="54">
        <v>0.90</v>
      </c>
      <c r="F32" s="54">
        <v>0.38</v>
      </c>
      <c r="G32" s="54">
        <v>189.70</v>
      </c>
      <c r="H32" s="54">
        <v>60.35</v>
      </c>
      <c r="I32" s="54">
        <v>1.5</v>
      </c>
      <c r="J32" s="54">
        <v>0.15</v>
      </c>
      <c r="K32" s="54">
        <v>338.61</v>
      </c>
      <c r="L32" s="54">
        <v>19.649999999999999</v>
      </c>
      <c r="M32" s="54">
        <v>79.760000000000005</v>
      </c>
      <c r="N32" s="54">
        <v>22.70</v>
      </c>
      <c r="O32" s="54">
        <v>0</v>
      </c>
      <c r="P32" s="54">
        <v>1.94</v>
      </c>
      <c r="Q32" s="54">
        <v>6.94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2.7000000000000002</v>
      </c>
      <c r="C34" s="28">
        <f t="shared" si="0"/>
        <v>13.92</v>
      </c>
      <c r="D34" s="28">
        <f t="shared" si="0"/>
        <v>13.83</v>
      </c>
      <c r="E34" s="28">
        <f t="shared" si="0"/>
        <v>0.76000000000000001</v>
      </c>
      <c r="F34" s="28">
        <f t="shared" si="0"/>
        <v>0.35999999999999999</v>
      </c>
      <c r="G34" s="28">
        <f t="shared" si="0"/>
        <v>65.359999999999999</v>
      </c>
      <c r="H34" s="28">
        <f t="shared" si="0"/>
        <v>26.23</v>
      </c>
      <c r="I34" s="28">
        <f t="shared" si="0"/>
        <v>1.49</v>
      </c>
      <c r="J34" s="28">
        <f t="shared" si="0"/>
        <v>0.13</v>
      </c>
      <c r="K34" s="28">
        <f t="shared" si="0"/>
        <v>105.13</v>
      </c>
      <c r="L34" s="28">
        <f t="shared" si="0"/>
        <v>18.960000000000001</v>
      </c>
      <c r="M34" s="28">
        <f t="shared" si="0"/>
        <v>33.640000000000001</v>
      </c>
      <c r="N34" s="28">
        <f t="shared" si="0"/>
        <v>16.300000000000001</v>
      </c>
      <c r="O34" s="28">
        <f t="shared" si="0"/>
        <v>0</v>
      </c>
      <c r="P34" s="28">
        <f t="shared" si="0"/>
        <v>0.46000000000000002</v>
      </c>
      <c r="Q34" s="28">
        <f t="shared" si="0"/>
        <v>4.2000000000000002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62.640000000000001</v>
      </c>
      <c r="C35" s="29">
        <f t="shared" si="1"/>
        <v>62.840000000000003</v>
      </c>
      <c r="D35" s="29">
        <f t="shared" si="1"/>
        <v>73.340000000000003</v>
      </c>
      <c r="E35" s="29">
        <f t="shared" si="1"/>
        <v>2</v>
      </c>
      <c r="F35" s="29">
        <f t="shared" si="1"/>
        <v>21.850000000000001</v>
      </c>
      <c r="G35" s="29">
        <f t="shared" si="1"/>
        <v>189.69999999999999</v>
      </c>
      <c r="H35" s="29">
        <f t="shared" si="1"/>
        <v>62.109999999999999</v>
      </c>
      <c r="I35" s="29">
        <f t="shared" si="1"/>
        <v>1.5800000000000001</v>
      </c>
      <c r="J35" s="29">
        <f t="shared" si="1"/>
        <v>1.78</v>
      </c>
      <c r="K35" s="29">
        <f t="shared" si="1"/>
        <v>346.10000000000002</v>
      </c>
      <c r="L35" s="29">
        <f t="shared" si="1"/>
        <v>30.039999999999999</v>
      </c>
      <c r="M35" s="29">
        <f t="shared" si="1"/>
        <v>95.590000000000003</v>
      </c>
      <c r="N35" s="29">
        <f t="shared" si="1"/>
        <v>845.70000000000005</v>
      </c>
      <c r="O35" s="29">
        <f t="shared" si="1"/>
        <v>0</v>
      </c>
      <c r="P35" s="29">
        <f t="shared" si="1"/>
        <v>1.9399999999999999</v>
      </c>
      <c r="Q35" s="29">
        <f t="shared" si="1"/>
        <v>6.9400000000000004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13.284999999999997</v>
      </c>
      <c r="C36" s="28">
        <f t="shared" si="2"/>
        <v>27.48416666666667</v>
      </c>
      <c r="D36" s="28">
        <f t="shared" si="2"/>
        <v>26.595833333333331</v>
      </c>
      <c r="E36" s="28">
        <f t="shared" si="2"/>
        <v>1.1875000000000002</v>
      </c>
      <c r="F36" s="28">
        <f t="shared" si="2"/>
        <v>7.2087499999999993</v>
      </c>
      <c r="G36" s="28">
        <f t="shared" si="2"/>
        <v>120.01875</v>
      </c>
      <c r="H36" s="28">
        <f t="shared" si="2"/>
        <v>46.959583333333335</v>
      </c>
      <c r="I36" s="28">
        <f t="shared" si="2"/>
        <v>1.5362500000000001</v>
      </c>
      <c r="J36" s="28">
        <f t="shared" si="2"/>
        <v>0.71041666666666659</v>
      </c>
      <c r="K36" s="28">
        <f t="shared" si="2"/>
        <v>251.89291666666668</v>
      </c>
      <c r="L36" s="28">
        <f t="shared" si="2"/>
        <v>24.231249999999999</v>
      </c>
      <c r="M36" s="28">
        <f t="shared" si="2"/>
        <v>59.01333333333335</v>
      </c>
      <c r="N36" s="28">
        <f t="shared" si="2"/>
        <v>248.17083333333326</v>
      </c>
      <c r="O36" s="28">
        <f t="shared" si="2"/>
        <v>0</v>
      </c>
      <c r="P36" s="28">
        <f t="shared" si="2"/>
        <v>0.94666666666666666</v>
      </c>
      <c r="Q36" s="28">
        <f t="shared" si="2"/>
        <v>5.1516666666666664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14.815336941684865</v>
      </c>
      <c r="C37" s="28">
        <f t="shared" si="3" ref="C37:Q37">STDEV(C9:C32)</f>
        <v>11.656999359096256</v>
      </c>
      <c r="D37" s="28">
        <f t="shared" si="3"/>
        <v>16.492548493095349</v>
      </c>
      <c r="E37" s="28">
        <f t="shared" si="3"/>
        <v>0.32253412357387046</v>
      </c>
      <c r="F37" s="28">
        <f t="shared" si="3"/>
        <v>6.5362063937531181</v>
      </c>
      <c r="G37" s="28">
        <f t="shared" si="3"/>
        <v>36.448562482836309</v>
      </c>
      <c r="H37" s="28">
        <f t="shared" si="3"/>
        <v>12.713311571859967</v>
      </c>
      <c r="I37" s="28">
        <f t="shared" si="3"/>
        <v>0.023922428988203792</v>
      </c>
      <c r="J37" s="28">
        <f t="shared" si="3"/>
        <v>0.48877379107372337</v>
      </c>
      <c r="K37" s="28">
        <f t="shared" si="3"/>
        <v>113.36795626857922</v>
      </c>
      <c r="L37" s="28">
        <f t="shared" si="3"/>
        <v>3.8093778020997866</v>
      </c>
      <c r="M37" s="28">
        <f t="shared" si="3"/>
        <v>21.978751530525525</v>
      </c>
      <c r="N37" s="28">
        <f t="shared" si="3"/>
        <v>326.58231731354363</v>
      </c>
      <c r="O37" s="28">
        <f t="shared" si="3"/>
        <v>0</v>
      </c>
      <c r="P37" s="28">
        <f t="shared" si="3"/>
        <v>0.39328788732789688</v>
      </c>
      <c r="Q37" s="28">
        <f t="shared" si="3"/>
        <v>0.67149843255776687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d6e730-e6ad-43df-aaf6-b33713f4e82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6" sqref="G6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46.62</v>
      </c>
      <c r="C9" s="54">
        <v>38.85</v>
      </c>
      <c r="D9" s="54">
        <v>56.34</v>
      </c>
      <c r="E9" s="54">
        <v>0.91</v>
      </c>
      <c r="F9" s="54">
        <v>0.34</v>
      </c>
      <c r="G9" s="54">
        <v>200.52</v>
      </c>
      <c r="H9" s="54">
        <v>65.489999999999995</v>
      </c>
      <c r="I9" s="54">
        <v>1.56</v>
      </c>
      <c r="J9" s="54">
        <v>0.16</v>
      </c>
      <c r="K9" s="54">
        <v>333.99</v>
      </c>
      <c r="L9" s="54">
        <v>19.47</v>
      </c>
      <c r="M9" s="54">
        <v>83.38</v>
      </c>
      <c r="N9" s="54">
        <v>23</v>
      </c>
      <c r="O9" s="54">
        <v>0</v>
      </c>
      <c r="P9" s="54">
        <v>1.91</v>
      </c>
      <c r="Q9" s="54">
        <v>8.26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44.69</v>
      </c>
      <c r="C10" s="54">
        <v>21.77</v>
      </c>
      <c r="D10" s="54">
        <v>49.02</v>
      </c>
      <c r="E10" s="54">
        <v>0.72</v>
      </c>
      <c r="F10" s="54">
        <v>0.37</v>
      </c>
      <c r="G10" s="54">
        <v>243.98</v>
      </c>
      <c r="H10" s="54">
        <v>94.92</v>
      </c>
      <c r="I10" s="54">
        <v>1.49</v>
      </c>
      <c r="J10" s="54">
        <v>0.070000000000000007</v>
      </c>
      <c r="K10" s="54">
        <v>351.90</v>
      </c>
      <c r="L10" s="54">
        <v>19.39</v>
      </c>
      <c r="M10" s="54">
        <v>78.52</v>
      </c>
      <c r="N10" s="54">
        <v>22.80</v>
      </c>
      <c r="O10" s="54">
        <v>0</v>
      </c>
      <c r="P10" s="54">
        <v>1.84</v>
      </c>
      <c r="Q10" s="54">
        <v>8.33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39.619999999999997</v>
      </c>
      <c r="C11" s="54">
        <v>31.94</v>
      </c>
      <c r="D11" s="54">
        <v>46.51</v>
      </c>
      <c r="E11" s="54">
        <v>0.74</v>
      </c>
      <c r="F11" s="54">
        <v>0.99</v>
      </c>
      <c r="G11" s="54">
        <v>243.98</v>
      </c>
      <c r="H11" s="54">
        <v>116.13</v>
      </c>
      <c r="I11" s="54">
        <v>1.60</v>
      </c>
      <c r="J11" s="54">
        <v>0.43</v>
      </c>
      <c r="K11" s="54">
        <v>282.52</v>
      </c>
      <c r="L11" s="54">
        <v>19.91</v>
      </c>
      <c r="M11" s="54">
        <v>83.38</v>
      </c>
      <c r="N11" s="54">
        <v>22.90</v>
      </c>
      <c r="O11" s="54">
        <v>0</v>
      </c>
      <c r="P11" s="54">
        <v>1.92</v>
      </c>
      <c r="Q11" s="54">
        <v>8.0299999999999994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34.60</v>
      </c>
      <c r="C12" s="54">
        <v>23.85</v>
      </c>
      <c r="D12" s="54">
        <v>40.93</v>
      </c>
      <c r="E12" s="54">
        <v>0.76</v>
      </c>
      <c r="F12" s="54">
        <v>1.69</v>
      </c>
      <c r="G12" s="54">
        <v>200.94</v>
      </c>
      <c r="H12" s="54">
        <v>116.13</v>
      </c>
      <c r="I12" s="54">
        <v>1.5</v>
      </c>
      <c r="J12" s="54">
        <v>0.15</v>
      </c>
      <c r="K12" s="54">
        <v>321.08</v>
      </c>
      <c r="L12" s="54">
        <v>19.77</v>
      </c>
      <c r="M12" s="54">
        <v>80.37</v>
      </c>
      <c r="N12" s="54">
        <v>23.40</v>
      </c>
      <c r="O12" s="54">
        <v>0</v>
      </c>
      <c r="P12" s="54">
        <v>1.74</v>
      </c>
      <c r="Q12" s="54">
        <v>8.0500000000000007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33.090000000000003</v>
      </c>
      <c r="C13" s="54">
        <v>18.75</v>
      </c>
      <c r="D13" s="54">
        <v>38.17</v>
      </c>
      <c r="E13" s="54">
        <v>0.69</v>
      </c>
      <c r="F13" s="54">
        <v>0.31</v>
      </c>
      <c r="G13" s="54">
        <v>200.94</v>
      </c>
      <c r="H13" s="54">
        <v>91.13</v>
      </c>
      <c r="I13" s="54">
        <v>1.61</v>
      </c>
      <c r="J13" s="54">
        <v>0.09</v>
      </c>
      <c r="K13" s="54">
        <v>299.85000000000002</v>
      </c>
      <c r="L13" s="54">
        <v>18.350000000000001</v>
      </c>
      <c r="M13" s="54">
        <v>88.5</v>
      </c>
      <c r="N13" s="54">
        <v>23.20</v>
      </c>
      <c r="O13" s="54">
        <v>0</v>
      </c>
      <c r="P13" s="54">
        <v>1.67</v>
      </c>
      <c r="Q13" s="54">
        <v>7.47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41.20</v>
      </c>
      <c r="C14" s="54">
        <v>20.69</v>
      </c>
      <c r="D14" s="54">
        <v>45.40</v>
      </c>
      <c r="E14" s="54">
        <v>0.70</v>
      </c>
      <c r="F14" s="54">
        <v>0.20</v>
      </c>
      <c r="G14" s="54">
        <v>198.91</v>
      </c>
      <c r="H14" s="54">
        <v>83.81</v>
      </c>
      <c r="I14" s="54">
        <v>1.51</v>
      </c>
      <c r="J14" s="54">
        <v>0.34</v>
      </c>
      <c r="K14" s="54">
        <v>286.80</v>
      </c>
      <c r="L14" s="54">
        <v>18.309999999999999</v>
      </c>
      <c r="M14" s="54">
        <v>97.24</v>
      </c>
      <c r="N14" s="54">
        <v>23.5</v>
      </c>
      <c r="O14" s="54">
        <v>0</v>
      </c>
      <c r="P14" s="54">
        <v>1.52</v>
      </c>
      <c r="Q14" s="54">
        <v>7.17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39.340000000000003</v>
      </c>
      <c r="C15" s="54">
        <v>20.85</v>
      </c>
      <c r="D15" s="54">
        <v>43.59</v>
      </c>
      <c r="E15" s="54">
        <v>0.72</v>
      </c>
      <c r="F15" s="54">
        <v>0.64</v>
      </c>
      <c r="G15" s="54">
        <v>198.91</v>
      </c>
      <c r="H15" s="54">
        <v>83.81</v>
      </c>
      <c r="I15" s="54">
        <v>1.56</v>
      </c>
      <c r="J15" s="54">
        <v>0.45</v>
      </c>
      <c r="K15" s="54">
        <v>176.51</v>
      </c>
      <c r="L15" s="54">
        <v>20.53</v>
      </c>
      <c r="M15" s="54">
        <v>90.36</v>
      </c>
      <c r="N15" s="54">
        <v>157.10</v>
      </c>
      <c r="O15" s="54">
        <v>0</v>
      </c>
      <c r="P15" s="54">
        <v>1.48</v>
      </c>
      <c r="Q15" s="54">
        <v>7.88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38.83</v>
      </c>
      <c r="C16" s="54">
        <v>25.70</v>
      </c>
      <c r="D16" s="54">
        <v>44.90</v>
      </c>
      <c r="E16" s="54">
        <v>0.62</v>
      </c>
      <c r="F16" s="54">
        <v>2.65</v>
      </c>
      <c r="G16" s="54">
        <v>161.94999999999999</v>
      </c>
      <c r="H16" s="54">
        <v>78.80</v>
      </c>
      <c r="I16" s="54">
        <v>1.63</v>
      </c>
      <c r="J16" s="54">
        <v>0.5</v>
      </c>
      <c r="K16" s="54">
        <v>353.71</v>
      </c>
      <c r="L16" s="54">
        <v>27.75</v>
      </c>
      <c r="M16" s="54">
        <v>73.67</v>
      </c>
      <c r="N16" s="54">
        <v>387.90</v>
      </c>
      <c r="O16" s="54">
        <v>0</v>
      </c>
      <c r="P16" s="54">
        <v>1.44</v>
      </c>
      <c r="Q16" s="54">
        <v>7.78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33.479999999999997</v>
      </c>
      <c r="C17" s="54">
        <v>28.95</v>
      </c>
      <c r="D17" s="54">
        <v>44.12</v>
      </c>
      <c r="E17" s="54">
        <v>0.78</v>
      </c>
      <c r="F17" s="54">
        <v>4.6500000000000004</v>
      </c>
      <c r="G17" s="54">
        <v>161.94999999999999</v>
      </c>
      <c r="H17" s="54">
        <v>70.819999999999993</v>
      </c>
      <c r="I17" s="54">
        <v>1.51</v>
      </c>
      <c r="J17" s="54">
        <v>0.65</v>
      </c>
      <c r="K17" s="54">
        <v>343.47</v>
      </c>
      <c r="L17" s="54">
        <v>31.16</v>
      </c>
      <c r="M17" s="54">
        <v>46.06</v>
      </c>
      <c r="N17" s="54">
        <v>593.5</v>
      </c>
      <c r="O17" s="54">
        <v>0</v>
      </c>
      <c r="P17" s="54">
        <v>1.36</v>
      </c>
      <c r="Q17" s="54">
        <v>7.57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28.94</v>
      </c>
      <c r="C18" s="54">
        <v>27.29</v>
      </c>
      <c r="D18" s="54">
        <v>38.36</v>
      </c>
      <c r="E18" s="54">
        <v>0.80</v>
      </c>
      <c r="F18" s="54">
        <v>2.4700000000000002</v>
      </c>
      <c r="G18" s="54">
        <v>154.13</v>
      </c>
      <c r="H18" s="54">
        <v>73.03</v>
      </c>
      <c r="I18" s="54">
        <v>1.47</v>
      </c>
      <c r="J18" s="54">
        <v>1.06</v>
      </c>
      <c r="K18" s="54">
        <v>335.96</v>
      </c>
      <c r="L18" s="54">
        <v>28.58</v>
      </c>
      <c r="M18" s="54">
        <v>54.38</v>
      </c>
      <c r="N18" s="54">
        <v>650.70000000000005</v>
      </c>
      <c r="O18" s="54">
        <v>0</v>
      </c>
      <c r="P18" s="54">
        <v>1.32</v>
      </c>
      <c r="Q18" s="54">
        <v>7.14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21.16</v>
      </c>
      <c r="C19" s="54">
        <v>33.270000000000003</v>
      </c>
      <c r="D19" s="54">
        <v>35.19</v>
      </c>
      <c r="E19" s="54">
        <v>1.1100000000000001</v>
      </c>
      <c r="F19" s="54">
        <v>6.55</v>
      </c>
      <c r="G19" s="54">
        <v>185.97</v>
      </c>
      <c r="H19" s="54">
        <v>78.650000000000006</v>
      </c>
      <c r="I19" s="54">
        <v>1.58</v>
      </c>
      <c r="J19" s="54">
        <v>0.94</v>
      </c>
      <c r="K19" s="54">
        <v>341.47</v>
      </c>
      <c r="L19" s="54">
        <v>32.42</v>
      </c>
      <c r="M19" s="54">
        <v>40.65</v>
      </c>
      <c r="N19" s="54">
        <v>780.80</v>
      </c>
      <c r="O19" s="54">
        <v>0</v>
      </c>
      <c r="P19" s="54">
        <v>1.31</v>
      </c>
      <c r="Q19" s="54">
        <v>6.49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16.36</v>
      </c>
      <c r="C20" s="54">
        <v>31.40</v>
      </c>
      <c r="D20" s="54">
        <v>31.74</v>
      </c>
      <c r="E20" s="54">
        <v>1.04</v>
      </c>
      <c r="F20" s="54">
        <v>4.82</v>
      </c>
      <c r="G20" s="54">
        <v>185.97</v>
      </c>
      <c r="H20" s="54">
        <v>78.650000000000006</v>
      </c>
      <c r="I20" s="54">
        <v>1.55</v>
      </c>
      <c r="J20" s="54">
        <v>1.68</v>
      </c>
      <c r="K20" s="54">
        <v>345.14</v>
      </c>
      <c r="L20" s="54">
        <v>32.26</v>
      </c>
      <c r="M20" s="54">
        <v>30.65</v>
      </c>
      <c r="N20" s="54">
        <v>758.10</v>
      </c>
      <c r="O20" s="54">
        <v>0</v>
      </c>
      <c r="P20" s="54">
        <v>1.26</v>
      </c>
      <c r="Q20" s="54">
        <v>5.75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11.47</v>
      </c>
      <c r="C21" s="54">
        <v>27.23</v>
      </c>
      <c r="D21" s="54">
        <v>25.51</v>
      </c>
      <c r="E21" s="54">
        <v>1.23</v>
      </c>
      <c r="F21" s="54">
        <v>3.48</v>
      </c>
      <c r="G21" s="54">
        <v>127.77</v>
      </c>
      <c r="H21" s="54">
        <v>64.59</v>
      </c>
      <c r="I21" s="54">
        <v>1.55</v>
      </c>
      <c r="J21" s="54">
        <v>1.89</v>
      </c>
      <c r="K21" s="54">
        <v>339.60</v>
      </c>
      <c r="L21" s="54">
        <v>32.700000000000003</v>
      </c>
      <c r="M21" s="54">
        <v>25.24</v>
      </c>
      <c r="N21" s="54">
        <v>764.30</v>
      </c>
      <c r="O21" s="54">
        <v>0</v>
      </c>
      <c r="P21" s="54">
        <v>1.07</v>
      </c>
      <c r="Q21" s="54">
        <v>5.54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6.02</v>
      </c>
      <c r="C22" s="54">
        <v>26.86</v>
      </c>
      <c r="D22" s="54">
        <v>20.67</v>
      </c>
      <c r="E22" s="54">
        <v>1.22</v>
      </c>
      <c r="F22" s="54">
        <v>9.27</v>
      </c>
      <c r="G22" s="54">
        <v>108.09</v>
      </c>
      <c r="H22" s="54">
        <v>58.97</v>
      </c>
      <c r="I22" s="54">
        <v>1.51</v>
      </c>
      <c r="J22" s="54">
        <v>2.12</v>
      </c>
      <c r="K22" s="54">
        <v>337.95</v>
      </c>
      <c r="L22" s="54">
        <v>31.73</v>
      </c>
      <c r="M22" s="54">
        <v>26.48</v>
      </c>
      <c r="N22" s="54">
        <v>699</v>
      </c>
      <c r="O22" s="54">
        <v>0</v>
      </c>
      <c r="P22" s="54">
        <v>0.86</v>
      </c>
      <c r="Q22" s="54">
        <v>5.28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5.45</v>
      </c>
      <c r="C23" s="54">
        <v>26.28</v>
      </c>
      <c r="D23" s="54">
        <v>20.170000000000002</v>
      </c>
      <c r="E23" s="54">
        <v>1.31</v>
      </c>
      <c r="F23" s="54">
        <v>10.51</v>
      </c>
      <c r="G23" s="54">
        <v>101.35</v>
      </c>
      <c r="H23" s="54">
        <v>51.61</v>
      </c>
      <c r="I23" s="54">
        <v>1.5</v>
      </c>
      <c r="J23" s="54">
        <v>0.94</v>
      </c>
      <c r="K23" s="54">
        <v>346.33</v>
      </c>
      <c r="L23" s="54">
        <v>28.68</v>
      </c>
      <c r="M23" s="54">
        <v>32.57</v>
      </c>
      <c r="N23" s="54">
        <v>289.89999999999998</v>
      </c>
      <c r="O23" s="54">
        <v>0</v>
      </c>
      <c r="P23" s="54">
        <v>0.77</v>
      </c>
      <c r="Q23" s="54">
        <v>4.96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6.64</v>
      </c>
      <c r="C24" s="54">
        <v>26.93</v>
      </c>
      <c r="D24" s="54">
        <v>21.48</v>
      </c>
      <c r="E24" s="54">
        <v>1.34</v>
      </c>
      <c r="F24" s="54">
        <v>11.27</v>
      </c>
      <c r="G24" s="54">
        <v>79.650000000000006</v>
      </c>
      <c r="H24" s="54">
        <v>42.40</v>
      </c>
      <c r="I24" s="54">
        <v>1.54</v>
      </c>
      <c r="J24" s="54">
        <v>0.95</v>
      </c>
      <c r="K24" s="54">
        <v>337.30</v>
      </c>
      <c r="L24" s="54">
        <v>27.78</v>
      </c>
      <c r="M24" s="54">
        <v>35.909999999999997</v>
      </c>
      <c r="N24" s="54">
        <v>117</v>
      </c>
      <c r="O24" s="54">
        <v>0</v>
      </c>
      <c r="P24" s="54">
        <v>0.71</v>
      </c>
      <c r="Q24" s="54">
        <v>4.82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9.57</v>
      </c>
      <c r="C25" s="54">
        <v>38.369999999999997</v>
      </c>
      <c r="D25" s="54">
        <v>30.14</v>
      </c>
      <c r="E25" s="54">
        <v>1.07</v>
      </c>
      <c r="F25" s="54">
        <v>17.690000000000001</v>
      </c>
      <c r="G25" s="54">
        <v>79.650000000000006</v>
      </c>
      <c r="H25" s="54">
        <v>34</v>
      </c>
      <c r="I25" s="54">
        <v>1.53</v>
      </c>
      <c r="J25" s="54">
        <v>0.34</v>
      </c>
      <c r="K25" s="54">
        <v>358.03</v>
      </c>
      <c r="L25" s="54">
        <v>26.45</v>
      </c>
      <c r="M25" s="54">
        <v>36.75</v>
      </c>
      <c r="N25" s="54">
        <v>76.20</v>
      </c>
      <c r="O25" s="54">
        <v>0</v>
      </c>
      <c r="P25" s="54">
        <v>0.74</v>
      </c>
      <c r="Q25" s="54">
        <v>4.78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4.32</v>
      </c>
      <c r="C26" s="54">
        <v>32.51</v>
      </c>
      <c r="D26" s="54">
        <v>22.35</v>
      </c>
      <c r="E26" s="54">
        <v>1.61</v>
      </c>
      <c r="F26" s="54">
        <v>26.42</v>
      </c>
      <c r="G26" s="54">
        <v>78.17</v>
      </c>
      <c r="H26" s="54">
        <v>33.85</v>
      </c>
      <c r="I26" s="54">
        <v>1.62</v>
      </c>
      <c r="J26" s="54">
        <v>0.34</v>
      </c>
      <c r="K26" s="54">
        <v>98.87</v>
      </c>
      <c r="L26" s="54">
        <v>25.15</v>
      </c>
      <c r="M26" s="54">
        <v>49.05</v>
      </c>
      <c r="N26" s="54">
        <v>31.90</v>
      </c>
      <c r="O26" s="54">
        <v>0</v>
      </c>
      <c r="P26" s="54">
        <v>0.62</v>
      </c>
      <c r="Q26" s="54">
        <v>4.72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3.98</v>
      </c>
      <c r="C27" s="54">
        <v>41.46</v>
      </c>
      <c r="D27" s="54">
        <v>26.31</v>
      </c>
      <c r="E27" s="54">
        <v>1.36</v>
      </c>
      <c r="F27" s="54">
        <v>16.79</v>
      </c>
      <c r="G27" s="54">
        <v>71.66</v>
      </c>
      <c r="H27" s="54">
        <v>33.840000000000003</v>
      </c>
      <c r="I27" s="54">
        <v>1.55</v>
      </c>
      <c r="J27" s="54">
        <v>0.23</v>
      </c>
      <c r="K27" s="54">
        <v>108.22</v>
      </c>
      <c r="L27" s="54">
        <v>23.62</v>
      </c>
      <c r="M27" s="54">
        <v>49.84</v>
      </c>
      <c r="N27" s="54">
        <v>17.600000000000001</v>
      </c>
      <c r="O27" s="54">
        <v>0</v>
      </c>
      <c r="P27" s="54">
        <v>0.86</v>
      </c>
      <c r="Q27" s="54">
        <v>4.45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3.93</v>
      </c>
      <c r="C28" s="54">
        <v>45.44</v>
      </c>
      <c r="D28" s="54">
        <v>29.15</v>
      </c>
      <c r="E28" s="54">
        <v>1.1100000000000001</v>
      </c>
      <c r="F28" s="54">
        <v>14.67</v>
      </c>
      <c r="G28" s="54">
        <v>82.71</v>
      </c>
      <c r="H28" s="54">
        <v>39.549999999999997</v>
      </c>
      <c r="I28" s="54">
        <v>1.51</v>
      </c>
      <c r="J28" s="54">
        <v>0.28999999999999998</v>
      </c>
      <c r="K28" s="54">
        <v>94.87</v>
      </c>
      <c r="L28" s="54">
        <v>23.47</v>
      </c>
      <c r="M28" s="54">
        <v>49.86</v>
      </c>
      <c r="N28" s="54">
        <v>17.5</v>
      </c>
      <c r="O28" s="54">
        <v>0</v>
      </c>
      <c r="P28" s="54">
        <v>1.06</v>
      </c>
      <c r="Q28" s="54">
        <v>4.16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29.01</v>
      </c>
      <c r="C29" s="54">
        <v>48.70</v>
      </c>
      <c r="D29" s="54">
        <v>51.43</v>
      </c>
      <c r="E29" s="54">
        <v>1.08</v>
      </c>
      <c r="F29" s="54">
        <v>9.89</v>
      </c>
      <c r="G29" s="54">
        <v>120</v>
      </c>
      <c r="H29" s="54">
        <v>45.92</v>
      </c>
      <c r="I29" s="54">
        <v>1.55</v>
      </c>
      <c r="J29" s="54">
        <v>0.13</v>
      </c>
      <c r="K29" s="54">
        <v>301.95</v>
      </c>
      <c r="L29" s="54">
        <v>22.67</v>
      </c>
      <c r="M29" s="54">
        <v>63.72</v>
      </c>
      <c r="N29" s="54">
        <v>18.100000000000001</v>
      </c>
      <c r="O29" s="54">
        <v>0</v>
      </c>
      <c r="P29" s="54">
        <v>1.81</v>
      </c>
      <c r="Q29" s="54">
        <v>3.65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49.09</v>
      </c>
      <c r="C30" s="54">
        <v>46.74</v>
      </c>
      <c r="D30" s="54">
        <v>66.459999999999994</v>
      </c>
      <c r="E30" s="54">
        <v>0.83</v>
      </c>
      <c r="F30" s="54">
        <v>0.53</v>
      </c>
      <c r="G30" s="54">
        <v>120</v>
      </c>
      <c r="H30" s="54">
        <v>61.39</v>
      </c>
      <c r="I30" s="54">
        <v>1.52</v>
      </c>
      <c r="J30" s="54">
        <v>0.14000000000000001</v>
      </c>
      <c r="K30" s="54">
        <v>326.33999999999997</v>
      </c>
      <c r="L30" s="54">
        <v>20.60</v>
      </c>
      <c r="M30" s="54">
        <v>73.849999999999994</v>
      </c>
      <c r="N30" s="54">
        <v>17.70</v>
      </c>
      <c r="O30" s="54">
        <v>0</v>
      </c>
      <c r="P30" s="54">
        <v>2</v>
      </c>
      <c r="Q30" s="54">
        <v>4.79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48.05</v>
      </c>
      <c r="C31" s="54">
        <v>50.12</v>
      </c>
      <c r="D31" s="54">
        <v>66.069999999999993</v>
      </c>
      <c r="E31" s="54">
        <v>0.80</v>
      </c>
      <c r="F31" s="54">
        <v>0.89</v>
      </c>
      <c r="G31" s="54">
        <v>198.70</v>
      </c>
      <c r="H31" s="54">
        <v>66.36</v>
      </c>
      <c r="I31" s="54">
        <v>1.56</v>
      </c>
      <c r="J31" s="54">
        <v>0.09</v>
      </c>
      <c r="K31" s="54">
        <v>351.57</v>
      </c>
      <c r="L31" s="54">
        <v>20.420000000000002</v>
      </c>
      <c r="M31" s="54">
        <v>76.34</v>
      </c>
      <c r="N31" s="54">
        <v>17.600000000000001</v>
      </c>
      <c r="O31" s="54">
        <v>0</v>
      </c>
      <c r="P31" s="54">
        <v>2.2400000000000002</v>
      </c>
      <c r="Q31" s="54">
        <v>6.08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31.60</v>
      </c>
      <c r="C32" s="54">
        <v>49.87</v>
      </c>
      <c r="D32" s="54">
        <v>54.16</v>
      </c>
      <c r="E32" s="54">
        <v>0.74</v>
      </c>
      <c r="F32" s="54">
        <v>4.24</v>
      </c>
      <c r="G32" s="54">
        <v>198.70</v>
      </c>
      <c r="H32" s="54">
        <v>68.70</v>
      </c>
      <c r="I32" s="54">
        <v>1.53</v>
      </c>
      <c r="J32" s="54">
        <v>0.20</v>
      </c>
      <c r="K32" s="54">
        <v>349.83</v>
      </c>
      <c r="L32" s="54">
        <v>20.41</v>
      </c>
      <c r="M32" s="54">
        <v>74.33</v>
      </c>
      <c r="N32" s="54">
        <v>17.80</v>
      </c>
      <c r="O32" s="54">
        <v>0</v>
      </c>
      <c r="P32" s="54">
        <v>1.84</v>
      </c>
      <c r="Q32" s="54">
        <v>7.78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3.9300000000000002</v>
      </c>
      <c r="C34" s="28">
        <f t="shared" si="0"/>
        <v>18.75</v>
      </c>
      <c r="D34" s="28">
        <f t="shared" si="0"/>
        <v>20.170000000000002</v>
      </c>
      <c r="E34" s="28">
        <f t="shared" si="0"/>
        <v>0.62</v>
      </c>
      <c r="F34" s="28">
        <f t="shared" si="0"/>
        <v>0.20000000000000001</v>
      </c>
      <c r="G34" s="28">
        <f t="shared" si="0"/>
        <v>71.659999999999997</v>
      </c>
      <c r="H34" s="28">
        <f t="shared" si="0"/>
        <v>33.840000000000003</v>
      </c>
      <c r="I34" s="28">
        <f t="shared" si="0"/>
        <v>1.47</v>
      </c>
      <c r="J34" s="28">
        <f t="shared" si="0"/>
        <v>0.070000000000000007</v>
      </c>
      <c r="K34" s="28">
        <f t="shared" si="0"/>
        <v>94.870000000000005</v>
      </c>
      <c r="L34" s="28">
        <f t="shared" si="0"/>
        <v>18.309999999999999</v>
      </c>
      <c r="M34" s="28">
        <f t="shared" si="0"/>
        <v>25.239999999999998</v>
      </c>
      <c r="N34" s="28">
        <f t="shared" si="0"/>
        <v>17.5</v>
      </c>
      <c r="O34" s="28">
        <f t="shared" si="0"/>
        <v>0</v>
      </c>
      <c r="P34" s="28">
        <f t="shared" si="0"/>
        <v>0.62</v>
      </c>
      <c r="Q34" s="28">
        <f t="shared" si="0"/>
        <v>3.6499999999999999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49.090000000000003</v>
      </c>
      <c r="C35" s="29">
        <f t="shared" si="1"/>
        <v>50.119999999999997</v>
      </c>
      <c r="D35" s="29">
        <f t="shared" si="1"/>
        <v>66.459999999999994</v>
      </c>
      <c r="E35" s="29">
        <f t="shared" si="1"/>
        <v>1.6100000000000001</v>
      </c>
      <c r="F35" s="29">
        <f t="shared" si="1"/>
        <v>26.420000000000002</v>
      </c>
      <c r="G35" s="29">
        <f t="shared" si="1"/>
        <v>243.97999999999999</v>
      </c>
      <c r="H35" s="29">
        <f t="shared" si="1"/>
        <v>116.13</v>
      </c>
      <c r="I35" s="29">
        <f t="shared" si="1"/>
        <v>1.6299999999999999</v>
      </c>
      <c r="J35" s="29">
        <f t="shared" si="1"/>
        <v>2.1200000000000001</v>
      </c>
      <c r="K35" s="29">
        <f t="shared" si="1"/>
        <v>358.02999999999997</v>
      </c>
      <c r="L35" s="29">
        <f t="shared" si="1"/>
        <v>32.700000000000003</v>
      </c>
      <c r="M35" s="29">
        <f t="shared" si="1"/>
        <v>97.239999999999995</v>
      </c>
      <c r="N35" s="29">
        <f t="shared" si="1"/>
        <v>780.79999999999995</v>
      </c>
      <c r="O35" s="29">
        <f t="shared" si="1"/>
        <v>0</v>
      </c>
      <c r="P35" s="29">
        <f t="shared" si="1"/>
        <v>2.2400000000000002</v>
      </c>
      <c r="Q35" s="29">
        <f t="shared" si="1"/>
        <v>8.3300000000000001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26.127499999999998</v>
      </c>
      <c r="C36" s="28">
        <f t="shared" si="2"/>
        <v>32.659166666666664</v>
      </c>
      <c r="D36" s="28">
        <f t="shared" si="2"/>
        <v>39.50708333333332</v>
      </c>
      <c r="E36" s="28">
        <f t="shared" si="2"/>
        <v>0.97041666666666659</v>
      </c>
      <c r="F36" s="28">
        <f t="shared" si="2"/>
        <v>6.3054166666666651</v>
      </c>
      <c r="G36" s="28">
        <f t="shared" si="2"/>
        <v>154.35833333333332</v>
      </c>
      <c r="H36" s="28">
        <f t="shared" si="2"/>
        <v>68.022916666666646</v>
      </c>
      <c r="I36" s="28">
        <f t="shared" si="2"/>
        <v>1.5433333333333339</v>
      </c>
      <c r="J36" s="28">
        <f t="shared" si="2"/>
        <v>0.59083333333333332</v>
      </c>
      <c r="K36" s="28">
        <f t="shared" si="2"/>
        <v>296.80249999999995</v>
      </c>
      <c r="L36" s="28">
        <f t="shared" si="2"/>
        <v>24.649166666666659</v>
      </c>
      <c r="M36" s="28">
        <f t="shared" si="2"/>
        <v>60.04583333333332</v>
      </c>
      <c r="N36" s="28">
        <f t="shared" si="2"/>
        <v>231.3125</v>
      </c>
      <c r="O36" s="28">
        <f t="shared" si="2"/>
        <v>0</v>
      </c>
      <c r="P36" s="28">
        <f t="shared" si="2"/>
        <v>1.3895833333333334</v>
      </c>
      <c r="Q36" s="28">
        <f t="shared" si="2"/>
        <v>6.2887500000000012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16.175038807829264</v>
      </c>
      <c r="C37" s="28">
        <f t="shared" si="3" ref="C37:Q37">STDEV(C9:C32)</f>
        <v>9.9365617869023204</v>
      </c>
      <c r="D37" s="28">
        <f t="shared" si="3"/>
        <v>13.690429052623887</v>
      </c>
      <c r="E37" s="28">
        <f t="shared" si="3"/>
        <v>0.26996745643916403</v>
      </c>
      <c r="F37" s="28">
        <f t="shared" si="3"/>
        <v>6.9525128264138649</v>
      </c>
      <c r="G37" s="28">
        <f t="shared" si="3"/>
        <v>54.973936011347249</v>
      </c>
      <c r="H37" s="28">
        <f t="shared" si="3"/>
        <v>23.429547394757535</v>
      </c>
      <c r="I37" s="28">
        <f t="shared" si="3"/>
        <v>0.042083423016098208</v>
      </c>
      <c r="J37" s="28">
        <f t="shared" si="3"/>
        <v>0.58953125570174425</v>
      </c>
      <c r="K37" s="28">
        <f t="shared" si="3"/>
        <v>84.613514402636881</v>
      </c>
      <c r="L37" s="28">
        <f t="shared" si="3"/>
        <v>5.0496034426018701</v>
      </c>
      <c r="M37" s="28">
        <f t="shared" si="3"/>
        <v>22.678894021930883</v>
      </c>
      <c r="N37" s="28">
        <f t="shared" si="3"/>
        <v>297.338763486598</v>
      </c>
      <c r="O37" s="28">
        <f t="shared" si="3"/>
        <v>0</v>
      </c>
      <c r="P37" s="28">
        <f t="shared" si="3"/>
        <v>0.47181867525442556</v>
      </c>
      <c r="Q37" s="28">
        <f t="shared" si="3"/>
        <v>1.5242797657739253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351ba1-1eff-4fe8-b99a-339a55e2dd4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1" sqref="G7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33.159999999999997</v>
      </c>
      <c r="C9" s="54">
        <v>25.06</v>
      </c>
      <c r="D9" s="54">
        <v>41.71</v>
      </c>
      <c r="E9" s="54">
        <v>0.70</v>
      </c>
      <c r="F9" s="54">
        <v>1.05</v>
      </c>
      <c r="G9" s="54">
        <v>168.63</v>
      </c>
      <c r="H9" s="54">
        <v>68.70</v>
      </c>
      <c r="I9" s="54">
        <v>1.60</v>
      </c>
      <c r="J9" s="54">
        <v>0.13</v>
      </c>
      <c r="K9" s="54">
        <v>324.22000000000003</v>
      </c>
      <c r="L9" s="54">
        <v>19.55</v>
      </c>
      <c r="M9" s="54">
        <v>82.94</v>
      </c>
      <c r="N9" s="54">
        <v>17.70</v>
      </c>
      <c r="O9" s="54">
        <v>0</v>
      </c>
      <c r="P9" s="54">
        <v>1.81</v>
      </c>
      <c r="Q9" s="54">
        <v>7.67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31.80</v>
      </c>
      <c r="C10" s="54">
        <v>31.20</v>
      </c>
      <c r="D10" s="54">
        <v>39.33</v>
      </c>
      <c r="E10" s="54">
        <v>0.74</v>
      </c>
      <c r="F10" s="54">
        <v>1.88</v>
      </c>
      <c r="G10" s="54">
        <v>211.19</v>
      </c>
      <c r="H10" s="54">
        <v>84.73</v>
      </c>
      <c r="I10" s="54">
        <v>1.53</v>
      </c>
      <c r="J10" s="54">
        <v>0.16</v>
      </c>
      <c r="K10" s="54">
        <v>333.94</v>
      </c>
      <c r="L10" s="54">
        <v>19.68</v>
      </c>
      <c r="M10" s="54">
        <v>71.75</v>
      </c>
      <c r="N10" s="54">
        <v>17.80</v>
      </c>
      <c r="O10" s="54">
        <v>0</v>
      </c>
      <c r="P10" s="54">
        <v>1.63</v>
      </c>
      <c r="Q10" s="54">
        <v>7.36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24.78</v>
      </c>
      <c r="C11" s="54">
        <v>28.37</v>
      </c>
      <c r="D11" s="54">
        <v>35.82</v>
      </c>
      <c r="E11" s="54">
        <v>0.79</v>
      </c>
      <c r="F11" s="54">
        <v>0.81</v>
      </c>
      <c r="G11" s="54">
        <v>211.19</v>
      </c>
      <c r="H11" s="54">
        <v>84.73</v>
      </c>
      <c r="I11" s="54">
        <v>1.57</v>
      </c>
      <c r="J11" s="54">
        <v>0.32</v>
      </c>
      <c r="K11" s="54">
        <v>340.56</v>
      </c>
      <c r="L11" s="54">
        <v>18.97</v>
      </c>
      <c r="M11" s="54">
        <v>72.48</v>
      </c>
      <c r="N11" s="54">
        <v>17.70</v>
      </c>
      <c r="O11" s="54">
        <v>0</v>
      </c>
      <c r="P11" s="54">
        <v>1.60</v>
      </c>
      <c r="Q11" s="54">
        <v>7.10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24.10</v>
      </c>
      <c r="C12" s="54">
        <v>20.27</v>
      </c>
      <c r="D12" s="54">
        <v>31.81</v>
      </c>
      <c r="E12" s="54">
        <v>0.72</v>
      </c>
      <c r="F12" s="54">
        <v>0.36</v>
      </c>
      <c r="G12" s="54">
        <v>171.88</v>
      </c>
      <c r="H12" s="54">
        <v>81.209999999999994</v>
      </c>
      <c r="I12" s="54">
        <v>1.51</v>
      </c>
      <c r="J12" s="54">
        <v>1.08</v>
      </c>
      <c r="K12" s="54">
        <v>346.14</v>
      </c>
      <c r="L12" s="54">
        <v>18.71</v>
      </c>
      <c r="M12" s="54">
        <v>71.62</v>
      </c>
      <c r="N12" s="54">
        <v>17.20</v>
      </c>
      <c r="O12" s="54">
        <v>0</v>
      </c>
      <c r="P12" s="54">
        <v>1.54</v>
      </c>
      <c r="Q12" s="54">
        <v>6.77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20.059999999999999</v>
      </c>
      <c r="C13" s="54">
        <v>22.23</v>
      </c>
      <c r="D13" s="54">
        <v>28.59</v>
      </c>
      <c r="E13" s="54">
        <v>0.60</v>
      </c>
      <c r="F13" s="54">
        <v>0.73</v>
      </c>
      <c r="G13" s="54">
        <v>164.27</v>
      </c>
      <c r="H13" s="54">
        <v>81.209999999999994</v>
      </c>
      <c r="I13" s="54">
        <v>1.53</v>
      </c>
      <c r="J13" s="54">
        <v>1.18</v>
      </c>
      <c r="K13" s="54">
        <v>348.46</v>
      </c>
      <c r="L13" s="54">
        <v>18.5</v>
      </c>
      <c r="M13" s="54">
        <v>68.75</v>
      </c>
      <c r="N13" s="54">
        <v>17.70</v>
      </c>
      <c r="O13" s="54">
        <v>0</v>
      </c>
      <c r="P13" s="54">
        <v>1.39</v>
      </c>
      <c r="Q13" s="54">
        <v>6.43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16.670000000000002</v>
      </c>
      <c r="C14" s="54">
        <v>22.77</v>
      </c>
      <c r="D14" s="54">
        <v>26.98</v>
      </c>
      <c r="E14" s="54">
        <v>0.65</v>
      </c>
      <c r="F14" s="54">
        <v>0.46</v>
      </c>
      <c r="G14" s="54">
        <v>128.58000000000001</v>
      </c>
      <c r="H14" s="54">
        <v>76.34</v>
      </c>
      <c r="I14" s="54">
        <v>1.54</v>
      </c>
      <c r="J14" s="54">
        <v>1.20</v>
      </c>
      <c r="K14" s="54">
        <v>346.30</v>
      </c>
      <c r="L14" s="54">
        <v>18.32</v>
      </c>
      <c r="M14" s="54">
        <v>64.20</v>
      </c>
      <c r="N14" s="54">
        <v>20.399999999999999</v>
      </c>
      <c r="O14" s="54">
        <v>0</v>
      </c>
      <c r="P14" s="54">
        <v>1.19</v>
      </c>
      <c r="Q14" s="54">
        <v>6.14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14.57</v>
      </c>
      <c r="C15" s="54">
        <v>23.08</v>
      </c>
      <c r="D15" s="54">
        <v>25.71</v>
      </c>
      <c r="E15" s="54">
        <v>0.59</v>
      </c>
      <c r="F15" s="54">
        <v>0.41</v>
      </c>
      <c r="G15" s="54">
        <v>112.08</v>
      </c>
      <c r="H15" s="54">
        <v>69.94</v>
      </c>
      <c r="I15" s="54">
        <v>1.53</v>
      </c>
      <c r="J15" s="54">
        <v>1.32</v>
      </c>
      <c r="K15" s="54">
        <v>347.09</v>
      </c>
      <c r="L15" s="54">
        <v>20.46</v>
      </c>
      <c r="M15" s="54">
        <v>63.33</v>
      </c>
      <c r="N15" s="54">
        <v>176</v>
      </c>
      <c r="O15" s="54">
        <v>0</v>
      </c>
      <c r="P15" s="54">
        <v>1.05</v>
      </c>
      <c r="Q15" s="54">
        <v>5.97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18.64</v>
      </c>
      <c r="C16" s="54">
        <v>29.63</v>
      </c>
      <c r="D16" s="54">
        <v>32.590000000000003</v>
      </c>
      <c r="E16" s="54">
        <v>0.57999999999999996</v>
      </c>
      <c r="F16" s="54">
        <v>0.62</v>
      </c>
      <c r="G16" s="54">
        <v>143.10</v>
      </c>
      <c r="H16" s="54">
        <v>66.900000000000006</v>
      </c>
      <c r="I16" s="54">
        <v>1.48</v>
      </c>
      <c r="J16" s="54">
        <v>1.67</v>
      </c>
      <c r="K16" s="54">
        <v>345.16</v>
      </c>
      <c r="L16" s="54">
        <v>25.92</v>
      </c>
      <c r="M16" s="54">
        <v>51.57</v>
      </c>
      <c r="N16" s="54">
        <v>379.40</v>
      </c>
      <c r="O16" s="54">
        <v>0</v>
      </c>
      <c r="P16" s="54">
        <v>1.01</v>
      </c>
      <c r="Q16" s="54">
        <v>6.06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21.05</v>
      </c>
      <c r="C17" s="54">
        <v>29.77</v>
      </c>
      <c r="D17" s="54">
        <v>33.51</v>
      </c>
      <c r="E17" s="54">
        <v>0.66</v>
      </c>
      <c r="F17" s="54">
        <v>1.57</v>
      </c>
      <c r="G17" s="54">
        <v>161.81</v>
      </c>
      <c r="H17" s="54">
        <v>64.900000000000006</v>
      </c>
      <c r="I17" s="54">
        <v>1.59</v>
      </c>
      <c r="J17" s="54">
        <v>0.63</v>
      </c>
      <c r="K17" s="54">
        <v>334.90</v>
      </c>
      <c r="L17" s="54">
        <v>27.07</v>
      </c>
      <c r="M17" s="54">
        <v>49.90</v>
      </c>
      <c r="N17" s="54">
        <v>602.10</v>
      </c>
      <c r="O17" s="54">
        <v>0</v>
      </c>
      <c r="P17" s="54">
        <v>0.99</v>
      </c>
      <c r="Q17" s="54">
        <v>6.30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20.85</v>
      </c>
      <c r="C18" s="54">
        <v>26.29</v>
      </c>
      <c r="D18" s="54">
        <v>32.29</v>
      </c>
      <c r="E18" s="54">
        <v>0.63</v>
      </c>
      <c r="F18" s="54">
        <v>0.72</v>
      </c>
      <c r="G18" s="54">
        <v>161.81</v>
      </c>
      <c r="H18" s="54">
        <v>64.900000000000006</v>
      </c>
      <c r="I18" s="54">
        <v>1.51</v>
      </c>
      <c r="J18" s="54">
        <v>1.06</v>
      </c>
      <c r="K18" s="54">
        <v>344.45</v>
      </c>
      <c r="L18" s="54">
        <v>28.31</v>
      </c>
      <c r="M18" s="54">
        <v>50.30</v>
      </c>
      <c r="N18" s="54">
        <v>748.90</v>
      </c>
      <c r="O18" s="54">
        <v>0</v>
      </c>
      <c r="P18" s="54">
        <v>0.98</v>
      </c>
      <c r="Q18" s="54">
        <v>6.47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19.13</v>
      </c>
      <c r="C19" s="54">
        <v>29.57</v>
      </c>
      <c r="D19" s="54">
        <v>31.73</v>
      </c>
      <c r="E19" s="54">
        <v>0.88</v>
      </c>
      <c r="F19" s="54">
        <v>3.46</v>
      </c>
      <c r="G19" s="54">
        <v>127.90</v>
      </c>
      <c r="H19" s="54">
        <v>57.43</v>
      </c>
      <c r="I19" s="54">
        <v>1.56</v>
      </c>
      <c r="J19" s="54">
        <v>0.82</v>
      </c>
      <c r="K19" s="54">
        <v>356.86</v>
      </c>
      <c r="L19" s="54">
        <v>29.5</v>
      </c>
      <c r="M19" s="54">
        <v>46.32</v>
      </c>
      <c r="N19" s="54">
        <v>793.40</v>
      </c>
      <c r="O19" s="54">
        <v>0</v>
      </c>
      <c r="P19" s="54">
        <v>0.92</v>
      </c>
      <c r="Q19" s="54">
        <v>6.28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15.30</v>
      </c>
      <c r="C20" s="54">
        <v>27.99</v>
      </c>
      <c r="D20" s="54">
        <v>29.01</v>
      </c>
      <c r="E20" s="54">
        <v>1.19</v>
      </c>
      <c r="F20" s="54">
        <v>5.34</v>
      </c>
      <c r="G20" s="54">
        <v>89.78</v>
      </c>
      <c r="H20" s="54">
        <v>52.55</v>
      </c>
      <c r="I20" s="54">
        <v>1.54</v>
      </c>
      <c r="J20" s="54">
        <v>0.81</v>
      </c>
      <c r="K20" s="54">
        <v>339.96</v>
      </c>
      <c r="L20" s="54">
        <v>29.86</v>
      </c>
      <c r="M20" s="54">
        <v>36.72</v>
      </c>
      <c r="N20" s="54">
        <v>847.5</v>
      </c>
      <c r="O20" s="54">
        <v>0</v>
      </c>
      <c r="P20" s="54">
        <v>0.87</v>
      </c>
      <c r="Q20" s="54">
        <v>6.09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9.76</v>
      </c>
      <c r="C21" s="54">
        <v>28.47</v>
      </c>
      <c r="D21" s="54">
        <v>23.56</v>
      </c>
      <c r="E21" s="54">
        <v>1.1200000000000001</v>
      </c>
      <c r="F21" s="54">
        <v>3.80</v>
      </c>
      <c r="G21" s="54">
        <v>74.319999999999993</v>
      </c>
      <c r="H21" s="54">
        <v>45.27</v>
      </c>
      <c r="I21" s="54">
        <v>1.57</v>
      </c>
      <c r="J21" s="54">
        <v>0.56999999999999995</v>
      </c>
      <c r="K21" s="54">
        <v>99.71</v>
      </c>
      <c r="L21" s="54">
        <v>28.80</v>
      </c>
      <c r="M21" s="54">
        <v>34.03</v>
      </c>
      <c r="N21" s="54">
        <v>818.40</v>
      </c>
      <c r="O21" s="54">
        <v>0</v>
      </c>
      <c r="P21" s="54">
        <v>0.78</v>
      </c>
      <c r="Q21" s="54">
        <v>5.68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6.72</v>
      </c>
      <c r="C22" s="54">
        <v>30.18</v>
      </c>
      <c r="D22" s="54">
        <v>23.26</v>
      </c>
      <c r="E22" s="54">
        <v>1.30</v>
      </c>
      <c r="F22" s="54">
        <v>7.21</v>
      </c>
      <c r="G22" s="54">
        <v>74.319999999999993</v>
      </c>
      <c r="H22" s="54">
        <v>44.80</v>
      </c>
      <c r="I22" s="54">
        <v>1.55</v>
      </c>
      <c r="J22" s="54">
        <v>0.55000000000000004</v>
      </c>
      <c r="K22" s="54">
        <v>357.96</v>
      </c>
      <c r="L22" s="54">
        <v>28.35</v>
      </c>
      <c r="M22" s="54">
        <v>35.450000000000003</v>
      </c>
      <c r="N22" s="54">
        <v>705.10</v>
      </c>
      <c r="O22" s="54">
        <v>0</v>
      </c>
      <c r="P22" s="54">
        <v>0.69</v>
      </c>
      <c r="Q22" s="54">
        <v>5.28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5.58</v>
      </c>
      <c r="C23" s="54">
        <v>25.58</v>
      </c>
      <c r="D23" s="54">
        <v>19.88</v>
      </c>
      <c r="E23" s="54">
        <v>1.71</v>
      </c>
      <c r="F23" s="54">
        <v>9.76</v>
      </c>
      <c r="G23" s="54">
        <v>76.11</v>
      </c>
      <c r="H23" s="54">
        <v>31.32</v>
      </c>
      <c r="I23" s="54">
        <v>1.56</v>
      </c>
      <c r="J23" s="54">
        <v>1.45</v>
      </c>
      <c r="K23" s="54">
        <v>341.43</v>
      </c>
      <c r="L23" s="54">
        <v>27.64</v>
      </c>
      <c r="M23" s="54">
        <v>36.82</v>
      </c>
      <c r="N23" s="54">
        <v>231.40</v>
      </c>
      <c r="O23" s="54">
        <v>0</v>
      </c>
      <c r="P23" s="54">
        <v>0.68</v>
      </c>
      <c r="Q23" s="54">
        <v>5.1100000000000003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5.29</v>
      </c>
      <c r="C24" s="54">
        <v>28.65</v>
      </c>
      <c r="D24" s="54">
        <v>20.98</v>
      </c>
      <c r="E24" s="54">
        <v>1.74</v>
      </c>
      <c r="F24" s="54">
        <v>9.7899999999999991</v>
      </c>
      <c r="G24" s="54">
        <v>97.35</v>
      </c>
      <c r="H24" s="54">
        <v>31.32</v>
      </c>
      <c r="I24" s="54">
        <v>1.52</v>
      </c>
      <c r="J24" s="54">
        <v>1.07</v>
      </c>
      <c r="K24" s="54">
        <v>358.13</v>
      </c>
      <c r="L24" s="54">
        <v>26.85</v>
      </c>
      <c r="M24" s="54">
        <v>37.28</v>
      </c>
      <c r="N24" s="54">
        <v>117.5</v>
      </c>
      <c r="O24" s="54">
        <v>0</v>
      </c>
      <c r="P24" s="54">
        <v>0.67</v>
      </c>
      <c r="Q24" s="54">
        <v>5.04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5.30</v>
      </c>
      <c r="C25" s="54">
        <v>33</v>
      </c>
      <c r="D25" s="54">
        <v>23.75</v>
      </c>
      <c r="E25" s="54">
        <v>1.46</v>
      </c>
      <c r="F25" s="54">
        <v>10.039999999999999</v>
      </c>
      <c r="G25" s="54">
        <v>97.35</v>
      </c>
      <c r="H25" s="54">
        <v>44.99</v>
      </c>
      <c r="I25" s="54">
        <v>1.58</v>
      </c>
      <c r="J25" s="54">
        <v>1.46</v>
      </c>
      <c r="K25" s="54">
        <v>346.15</v>
      </c>
      <c r="L25" s="54">
        <v>26.31</v>
      </c>
      <c r="M25" s="54">
        <v>37.71</v>
      </c>
      <c r="N25" s="54">
        <v>81.400000000000006</v>
      </c>
      <c r="O25" s="54">
        <v>0</v>
      </c>
      <c r="P25" s="54">
        <v>0.69</v>
      </c>
      <c r="Q25" s="54">
        <v>4.95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11.93</v>
      </c>
      <c r="C26" s="54">
        <v>52.47</v>
      </c>
      <c r="D26" s="54">
        <v>39.82</v>
      </c>
      <c r="E26" s="54">
        <v>1.64</v>
      </c>
      <c r="F26" s="54">
        <v>8.89</v>
      </c>
      <c r="G26" s="54">
        <v>105.97</v>
      </c>
      <c r="H26" s="54">
        <v>60.11</v>
      </c>
      <c r="I26" s="54">
        <v>1.53</v>
      </c>
      <c r="J26" s="54">
        <v>1.01</v>
      </c>
      <c r="K26" s="54">
        <v>346.14</v>
      </c>
      <c r="L26" s="54">
        <v>25.02</v>
      </c>
      <c r="M26" s="54">
        <v>42.18</v>
      </c>
      <c r="N26" s="54">
        <v>32.5</v>
      </c>
      <c r="O26" s="54">
        <v>0</v>
      </c>
      <c r="P26" s="54">
        <v>1.04</v>
      </c>
      <c r="Q26" s="54">
        <v>4.6900000000000004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19.91</v>
      </c>
      <c r="C27" s="54">
        <v>55.11</v>
      </c>
      <c r="D27" s="54">
        <v>47.67</v>
      </c>
      <c r="E27" s="54">
        <v>2.04</v>
      </c>
      <c r="F27" s="54">
        <v>10.46</v>
      </c>
      <c r="G27" s="54">
        <v>120.89</v>
      </c>
      <c r="H27" s="54">
        <v>60.11</v>
      </c>
      <c r="I27" s="54">
        <v>1.48</v>
      </c>
      <c r="J27" s="54">
        <v>0.17</v>
      </c>
      <c r="K27" s="54">
        <v>87.72</v>
      </c>
      <c r="L27" s="54">
        <v>22.54</v>
      </c>
      <c r="M27" s="54">
        <v>54.54</v>
      </c>
      <c r="N27" s="54">
        <v>17.899999999999999</v>
      </c>
      <c r="O27" s="54">
        <v>0</v>
      </c>
      <c r="P27" s="54">
        <v>1.43</v>
      </c>
      <c r="Q27" s="54">
        <v>4.2300000000000004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31.99</v>
      </c>
      <c r="C28" s="54">
        <v>74.27</v>
      </c>
      <c r="D28" s="54">
        <v>67.94</v>
      </c>
      <c r="E28" s="54">
        <v>2.82</v>
      </c>
      <c r="F28" s="54">
        <v>11.39</v>
      </c>
      <c r="G28" s="54">
        <v>146.47999999999999</v>
      </c>
      <c r="H28" s="54">
        <v>62.35</v>
      </c>
      <c r="I28" s="54">
        <v>1.56</v>
      </c>
      <c r="J28" s="54">
        <v>0.42</v>
      </c>
      <c r="K28" s="54">
        <v>114.5</v>
      </c>
      <c r="L28" s="54">
        <v>22.29</v>
      </c>
      <c r="M28" s="54">
        <v>52.95</v>
      </c>
      <c r="N28" s="54">
        <v>17.5</v>
      </c>
      <c r="O28" s="54">
        <v>0</v>
      </c>
      <c r="P28" s="54">
        <v>2.06</v>
      </c>
      <c r="Q28" s="54">
        <v>4.6900000000000004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29.24</v>
      </c>
      <c r="C29" s="54">
        <v>53.89</v>
      </c>
      <c r="D29" s="54">
        <v>54.48</v>
      </c>
      <c r="E29" s="54">
        <v>2.16</v>
      </c>
      <c r="F29" s="54">
        <v>3.06</v>
      </c>
      <c r="G29" s="54">
        <v>158.09</v>
      </c>
      <c r="H29" s="54">
        <v>66.319999999999993</v>
      </c>
      <c r="I29" s="54">
        <v>1.56</v>
      </c>
      <c r="J29" s="54">
        <v>0.10</v>
      </c>
      <c r="K29" s="54">
        <v>320.70</v>
      </c>
      <c r="L29" s="54">
        <v>21.32</v>
      </c>
      <c r="M29" s="54">
        <v>62.07</v>
      </c>
      <c r="N29" s="54">
        <v>18</v>
      </c>
      <c r="O29" s="54">
        <v>0</v>
      </c>
      <c r="P29" s="54">
        <v>1.83</v>
      </c>
      <c r="Q29" s="54">
        <v>4.24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35.119999999999997</v>
      </c>
      <c r="C30" s="54">
        <v>54.66</v>
      </c>
      <c r="D30" s="54">
        <v>54.31</v>
      </c>
      <c r="E30" s="54">
        <v>1.56</v>
      </c>
      <c r="F30" s="54">
        <v>2.70</v>
      </c>
      <c r="G30" s="54">
        <v>176.44</v>
      </c>
      <c r="H30" s="54">
        <v>69.510000000000005</v>
      </c>
      <c r="I30" s="54">
        <v>1.58</v>
      </c>
      <c r="J30" s="54">
        <v>0.17</v>
      </c>
      <c r="K30" s="54">
        <v>348.97</v>
      </c>
      <c r="L30" s="54">
        <v>20.73</v>
      </c>
      <c r="M30" s="54">
        <v>72.81</v>
      </c>
      <c r="N30" s="54">
        <v>17.5</v>
      </c>
      <c r="O30" s="54">
        <v>0</v>
      </c>
      <c r="P30" s="54">
        <v>2.09</v>
      </c>
      <c r="Q30" s="54">
        <v>5.80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42.82</v>
      </c>
      <c r="C31" s="54">
        <v>46.53</v>
      </c>
      <c r="D31" s="54">
        <v>59.32</v>
      </c>
      <c r="E31" s="54">
        <v>1.38</v>
      </c>
      <c r="F31" s="54">
        <v>0.18</v>
      </c>
      <c r="G31" s="54">
        <v>189.69</v>
      </c>
      <c r="H31" s="54">
        <v>71.72</v>
      </c>
      <c r="I31" s="54">
        <v>1.5</v>
      </c>
      <c r="J31" s="54">
        <v>0.15</v>
      </c>
      <c r="K31" s="54">
        <v>306.35000000000002</v>
      </c>
      <c r="L31" s="54">
        <v>20</v>
      </c>
      <c r="M31" s="54">
        <v>78.260000000000005</v>
      </c>
      <c r="N31" s="54">
        <v>17.600000000000001</v>
      </c>
      <c r="O31" s="54">
        <v>0</v>
      </c>
      <c r="P31" s="54">
        <v>2.35</v>
      </c>
      <c r="Q31" s="54">
        <v>5.84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40.44</v>
      </c>
      <c r="C32" s="54">
        <v>30.36</v>
      </c>
      <c r="D32" s="54">
        <v>49.68</v>
      </c>
      <c r="E32" s="54">
        <v>1.1599999999999999</v>
      </c>
      <c r="F32" s="54">
        <v>0.23</v>
      </c>
      <c r="G32" s="54">
        <v>206.86</v>
      </c>
      <c r="H32" s="54">
        <v>78.23</v>
      </c>
      <c r="I32" s="54">
        <v>1.56</v>
      </c>
      <c r="J32" s="54">
        <v>0.68</v>
      </c>
      <c r="K32" s="54">
        <v>349.14</v>
      </c>
      <c r="L32" s="54">
        <v>19.20</v>
      </c>
      <c r="M32" s="54">
        <v>84.89</v>
      </c>
      <c r="N32" s="54">
        <v>17.5</v>
      </c>
      <c r="O32" s="54">
        <v>0</v>
      </c>
      <c r="P32" s="54">
        <v>2.23</v>
      </c>
      <c r="Q32" s="54">
        <v>8.14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5.29</v>
      </c>
      <c r="C34" s="28">
        <f t="shared" si="0"/>
        <v>20.27</v>
      </c>
      <c r="D34" s="28">
        <f t="shared" si="0"/>
        <v>19.879999999999999</v>
      </c>
      <c r="E34" s="28">
        <f t="shared" si="0"/>
        <v>0.57999999999999996</v>
      </c>
      <c r="F34" s="28">
        <f t="shared" si="0"/>
        <v>0.17999999999999999</v>
      </c>
      <c r="G34" s="28">
        <f t="shared" si="0"/>
        <v>74.319999999999993</v>
      </c>
      <c r="H34" s="28">
        <f t="shared" si="0"/>
        <v>31.32</v>
      </c>
      <c r="I34" s="28">
        <f t="shared" si="0"/>
        <v>1.48</v>
      </c>
      <c r="J34" s="28">
        <f t="shared" si="0"/>
        <v>0.10000000000000001</v>
      </c>
      <c r="K34" s="28">
        <f t="shared" si="0"/>
        <v>87.719999999999999</v>
      </c>
      <c r="L34" s="28">
        <f t="shared" si="0"/>
        <v>18.32</v>
      </c>
      <c r="M34" s="28">
        <f t="shared" si="0"/>
        <v>34.030000000000001</v>
      </c>
      <c r="N34" s="28">
        <f t="shared" si="0"/>
        <v>17.199999999999999</v>
      </c>
      <c r="O34" s="28">
        <f t="shared" si="0"/>
        <v>0</v>
      </c>
      <c r="P34" s="28">
        <f t="shared" si="0"/>
        <v>0.67000000000000004</v>
      </c>
      <c r="Q34" s="28">
        <f t="shared" si="0"/>
        <v>4.2300000000000004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42.82</v>
      </c>
      <c r="C35" s="29">
        <f t="shared" si="1"/>
        <v>74.269999999999996</v>
      </c>
      <c r="D35" s="29">
        <f t="shared" si="1"/>
        <v>67.939999999999998</v>
      </c>
      <c r="E35" s="29">
        <f t="shared" si="1"/>
        <v>2.8199999999999998</v>
      </c>
      <c r="F35" s="29">
        <f t="shared" si="1"/>
        <v>11.390000000000001</v>
      </c>
      <c r="G35" s="29">
        <f t="shared" si="1"/>
        <v>211.19</v>
      </c>
      <c r="H35" s="29">
        <f t="shared" si="1"/>
        <v>84.730000000000004</v>
      </c>
      <c r="I35" s="29">
        <f t="shared" si="1"/>
        <v>1.6000000000000001</v>
      </c>
      <c r="J35" s="29">
        <f t="shared" si="1"/>
        <v>1.6699999999999999</v>
      </c>
      <c r="K35" s="29">
        <f t="shared" si="1"/>
        <v>358.13</v>
      </c>
      <c r="L35" s="29">
        <f t="shared" si="1"/>
        <v>29.859999999999999</v>
      </c>
      <c r="M35" s="29">
        <f t="shared" si="1"/>
        <v>84.890000000000001</v>
      </c>
      <c r="N35" s="29">
        <f t="shared" si="1"/>
        <v>847.5</v>
      </c>
      <c r="O35" s="29">
        <f t="shared" si="1"/>
        <v>0</v>
      </c>
      <c r="P35" s="29">
        <f t="shared" si="1"/>
        <v>2.3500000000000001</v>
      </c>
      <c r="Q35" s="29">
        <f t="shared" si="1"/>
        <v>8.1400000000000006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21.008750000000003</v>
      </c>
      <c r="C36" s="28">
        <f t="shared" si="2"/>
        <v>34.55833333333333</v>
      </c>
      <c r="D36" s="28">
        <f t="shared" si="2"/>
        <v>36.405416666666667</v>
      </c>
      <c r="E36" s="28">
        <f t="shared" si="2"/>
        <v>1.2008333333333334</v>
      </c>
      <c r="F36" s="28">
        <f t="shared" si="2"/>
        <v>3.9550000000000014</v>
      </c>
      <c r="G36" s="28">
        <f t="shared" si="2"/>
        <v>140.67041666666665</v>
      </c>
      <c r="H36" s="28">
        <f t="shared" si="2"/>
        <v>63.316249999999975</v>
      </c>
      <c r="I36" s="28">
        <f t="shared" si="2"/>
        <v>1.5433333333333332</v>
      </c>
      <c r="J36" s="28">
        <f t="shared" si="2"/>
        <v>0.75750000000000028</v>
      </c>
      <c r="K36" s="28">
        <f t="shared" si="2"/>
        <v>311.87250000000006</v>
      </c>
      <c r="L36" s="28">
        <f t="shared" si="2"/>
        <v>23.495833333333337</v>
      </c>
      <c r="M36" s="28">
        <f t="shared" si="2"/>
        <v>56.619583333333331</v>
      </c>
      <c r="N36" s="28">
        <f t="shared" si="2"/>
        <v>239.50416666666663</v>
      </c>
      <c r="O36" s="28">
        <f t="shared" si="2"/>
        <v>0</v>
      </c>
      <c r="P36" s="28">
        <f t="shared" si="2"/>
        <v>1.3133333333333335</v>
      </c>
      <c r="Q36" s="28">
        <f t="shared" si="2"/>
        <v>5.930416666666666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10.989755432061337</v>
      </c>
      <c r="C37" s="28">
        <f t="shared" si="3" ref="C37:Q37">STDEV(C9:C32)</f>
        <v>13.805164650031978</v>
      </c>
      <c r="D37" s="28">
        <f t="shared" si="3"/>
        <v>13.070759593098616</v>
      </c>
      <c r="E37" s="28">
        <f t="shared" si="3"/>
        <v>0.59864278865262954</v>
      </c>
      <c r="F37" s="28">
        <f t="shared" si="3"/>
        <v>4.0001282588132732</v>
      </c>
      <c r="G37" s="28">
        <f t="shared" si="3"/>
        <v>43.537617665563175</v>
      </c>
      <c r="H37" s="28">
        <f t="shared" si="3"/>
        <v>15.29731229945182</v>
      </c>
      <c r="I37" s="28">
        <f t="shared" si="3"/>
        <v>0.032526466369600548</v>
      </c>
      <c r="J37" s="28">
        <f t="shared" si="3"/>
        <v>0.4893762667261074</v>
      </c>
      <c r="K37" s="28">
        <f t="shared" si="3"/>
        <v>82.48493803218777</v>
      </c>
      <c r="L37" s="28">
        <f t="shared" si="3"/>
        <v>4.110710206983347</v>
      </c>
      <c r="M37" s="28">
        <f t="shared" si="3"/>
        <v>16.323190086544038</v>
      </c>
      <c r="N37" s="28">
        <f t="shared" si="3"/>
        <v>317.2684030077711</v>
      </c>
      <c r="O37" s="28">
        <f t="shared" si="3"/>
        <v>0</v>
      </c>
      <c r="P37" s="28">
        <f t="shared" si="3"/>
        <v>0.53313402072834415</v>
      </c>
      <c r="Q37" s="28">
        <f t="shared" si="3"/>
        <v>1.035804577701996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3abc9d-d90d-4a81-a15f-3a365abb279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39.51</v>
      </c>
      <c r="C9" s="54">
        <v>27.30</v>
      </c>
      <c r="D9" s="54">
        <v>48.04</v>
      </c>
      <c r="E9" s="54">
        <v>0.83</v>
      </c>
      <c r="F9" s="54">
        <v>0.26</v>
      </c>
      <c r="G9" s="54">
        <v>206.86</v>
      </c>
      <c r="H9" s="54">
        <v>103.13</v>
      </c>
      <c r="I9" s="54">
        <v>1.55</v>
      </c>
      <c r="J9" s="54">
        <v>0.90</v>
      </c>
      <c r="K9" s="54">
        <v>339.03</v>
      </c>
      <c r="L9" s="54">
        <v>19.13</v>
      </c>
      <c r="M9" s="54">
        <v>76.27</v>
      </c>
      <c r="N9" s="54">
        <v>17.70</v>
      </c>
      <c r="O9" s="54">
        <v>0</v>
      </c>
      <c r="P9" s="54">
        <v>2.2400000000000002</v>
      </c>
      <c r="Q9" s="54">
        <v>8.11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30.46</v>
      </c>
      <c r="C10" s="54">
        <v>32.15</v>
      </c>
      <c r="D10" s="54">
        <v>43.31</v>
      </c>
      <c r="E10" s="54">
        <v>0.90</v>
      </c>
      <c r="F10" s="54">
        <v>0.99</v>
      </c>
      <c r="G10" s="54">
        <v>225.78</v>
      </c>
      <c r="H10" s="54">
        <v>106.80</v>
      </c>
      <c r="I10" s="54">
        <v>1.57</v>
      </c>
      <c r="J10" s="54">
        <v>0.09</v>
      </c>
      <c r="K10" s="54">
        <v>301.79000000000002</v>
      </c>
      <c r="L10" s="54">
        <v>18.260000000000002</v>
      </c>
      <c r="M10" s="54">
        <v>79.81</v>
      </c>
      <c r="N10" s="54">
        <v>18</v>
      </c>
      <c r="O10" s="54">
        <v>0</v>
      </c>
      <c r="P10" s="54">
        <v>1.84</v>
      </c>
      <c r="Q10" s="54">
        <v>7.70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29.80</v>
      </c>
      <c r="C11" s="54">
        <v>26.12</v>
      </c>
      <c r="D11" s="54">
        <v>39.61</v>
      </c>
      <c r="E11" s="54">
        <v>0.79</v>
      </c>
      <c r="F11" s="54">
        <v>0.21</v>
      </c>
      <c r="G11" s="54">
        <v>225.78</v>
      </c>
      <c r="H11" s="54">
        <v>106.80</v>
      </c>
      <c r="I11" s="54">
        <v>1.51</v>
      </c>
      <c r="J11" s="54">
        <v>0.64</v>
      </c>
      <c r="K11" s="54">
        <v>342.74</v>
      </c>
      <c r="L11" s="54">
        <v>18.53</v>
      </c>
      <c r="M11" s="54">
        <v>75.39</v>
      </c>
      <c r="N11" s="54">
        <v>17.80</v>
      </c>
      <c r="O11" s="54">
        <v>0</v>
      </c>
      <c r="P11" s="54">
        <v>1.80</v>
      </c>
      <c r="Q11" s="54">
        <v>7.37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25.81</v>
      </c>
      <c r="C12" s="54">
        <v>23.81</v>
      </c>
      <c r="D12" s="54">
        <v>34.89</v>
      </c>
      <c r="E12" s="54">
        <v>0.71</v>
      </c>
      <c r="F12" s="54">
        <v>0.34</v>
      </c>
      <c r="G12" s="54">
        <v>184.84</v>
      </c>
      <c r="H12" s="54">
        <v>102.37</v>
      </c>
      <c r="I12" s="54">
        <v>1.53</v>
      </c>
      <c r="J12" s="54">
        <v>0.55000000000000004</v>
      </c>
      <c r="K12" s="54">
        <v>340.21</v>
      </c>
      <c r="L12" s="54">
        <v>17.739999999999998</v>
      </c>
      <c r="M12" s="54">
        <v>79.930000000000007</v>
      </c>
      <c r="N12" s="54">
        <v>17.600000000000001</v>
      </c>
      <c r="O12" s="54">
        <v>0</v>
      </c>
      <c r="P12" s="54">
        <v>1.61</v>
      </c>
      <c r="Q12" s="54">
        <v>7.03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23.11</v>
      </c>
      <c r="C13" s="54">
        <v>25.23</v>
      </c>
      <c r="D13" s="54">
        <v>33.75</v>
      </c>
      <c r="E13" s="54">
        <v>0.63</v>
      </c>
      <c r="F13" s="54">
        <v>0.60</v>
      </c>
      <c r="G13" s="54">
        <v>136.40</v>
      </c>
      <c r="H13" s="54">
        <v>87.74</v>
      </c>
      <c r="I13" s="54">
        <v>1.53</v>
      </c>
      <c r="J13" s="54">
        <v>0.73</v>
      </c>
      <c r="K13" s="54">
        <v>347.06</v>
      </c>
      <c r="L13" s="54">
        <v>17.71</v>
      </c>
      <c r="M13" s="54">
        <v>78.34</v>
      </c>
      <c r="N13" s="54">
        <v>17.70</v>
      </c>
      <c r="O13" s="54">
        <v>0</v>
      </c>
      <c r="P13" s="54">
        <v>1.45</v>
      </c>
      <c r="Q13" s="54">
        <v>6.80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22.98</v>
      </c>
      <c r="C14" s="54">
        <v>23.09</v>
      </c>
      <c r="D14" s="54">
        <v>32.47</v>
      </c>
      <c r="E14" s="54">
        <v>0.59</v>
      </c>
      <c r="F14" s="54">
        <v>0.48</v>
      </c>
      <c r="G14" s="54">
        <v>144.02000000000001</v>
      </c>
      <c r="H14" s="54">
        <v>85.89</v>
      </c>
      <c r="I14" s="54">
        <v>1.54</v>
      </c>
      <c r="J14" s="54">
        <v>0.19</v>
      </c>
      <c r="K14" s="54">
        <v>324.63</v>
      </c>
      <c r="L14" s="54">
        <v>17.420000000000002</v>
      </c>
      <c r="M14" s="54">
        <v>82.11</v>
      </c>
      <c r="N14" s="54">
        <v>19.70</v>
      </c>
      <c r="O14" s="54">
        <v>0</v>
      </c>
      <c r="P14" s="54">
        <v>1.33</v>
      </c>
      <c r="Q14" s="54">
        <v>6.66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30.21</v>
      </c>
      <c r="C15" s="54">
        <v>29.57</v>
      </c>
      <c r="D15" s="54">
        <v>41.84</v>
      </c>
      <c r="E15" s="54">
        <v>0.54</v>
      </c>
      <c r="F15" s="54">
        <v>0.15</v>
      </c>
      <c r="G15" s="54">
        <v>199.87</v>
      </c>
      <c r="H15" s="54">
        <v>95.19</v>
      </c>
      <c r="I15" s="54">
        <v>1.53</v>
      </c>
      <c r="J15" s="54">
        <v>0.28000000000000003</v>
      </c>
      <c r="K15" s="54">
        <v>352.67</v>
      </c>
      <c r="L15" s="54">
        <v>19.350000000000001</v>
      </c>
      <c r="M15" s="54">
        <v>82.20</v>
      </c>
      <c r="N15" s="54">
        <v>142.60</v>
      </c>
      <c r="O15" s="54">
        <v>0</v>
      </c>
      <c r="P15" s="54">
        <v>1.40</v>
      </c>
      <c r="Q15" s="54">
        <v>6.91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31.96</v>
      </c>
      <c r="C16" s="54">
        <v>33.700000000000003</v>
      </c>
      <c r="D16" s="54">
        <v>45.13</v>
      </c>
      <c r="E16" s="54">
        <v>0.63</v>
      </c>
      <c r="F16" s="54">
        <v>1.78</v>
      </c>
      <c r="G16" s="54">
        <v>199.87</v>
      </c>
      <c r="H16" s="54">
        <v>97.43</v>
      </c>
      <c r="I16" s="54">
        <v>1.5</v>
      </c>
      <c r="J16" s="54">
        <v>0.76</v>
      </c>
      <c r="K16" s="54">
        <v>349.25</v>
      </c>
      <c r="L16" s="54">
        <v>27.81</v>
      </c>
      <c r="M16" s="54">
        <v>60.16</v>
      </c>
      <c r="N16" s="54">
        <v>368.90</v>
      </c>
      <c r="O16" s="54">
        <v>0</v>
      </c>
      <c r="P16" s="54">
        <v>1.45</v>
      </c>
      <c r="Q16" s="54">
        <v>7.26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31.01</v>
      </c>
      <c r="C17" s="54">
        <v>29.91</v>
      </c>
      <c r="D17" s="54">
        <v>42.40</v>
      </c>
      <c r="E17" s="54">
        <v>0.84</v>
      </c>
      <c r="F17" s="54">
        <v>0.81</v>
      </c>
      <c r="G17" s="54">
        <v>152.94</v>
      </c>
      <c r="H17" s="54">
        <v>97.43</v>
      </c>
      <c r="I17" s="54">
        <v>1.59</v>
      </c>
      <c r="J17" s="54">
        <v>0.62</v>
      </c>
      <c r="K17" s="54">
        <v>340.40</v>
      </c>
      <c r="L17" s="54">
        <v>27.89</v>
      </c>
      <c r="M17" s="54">
        <v>50.97</v>
      </c>
      <c r="N17" s="54">
        <v>507.5</v>
      </c>
      <c r="O17" s="54">
        <v>0</v>
      </c>
      <c r="P17" s="54">
        <v>1.43</v>
      </c>
      <c r="Q17" s="54">
        <v>7.39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26.81</v>
      </c>
      <c r="C18" s="54">
        <v>28.69</v>
      </c>
      <c r="D18" s="54">
        <v>38.15</v>
      </c>
      <c r="E18" s="54">
        <v>1.03</v>
      </c>
      <c r="F18" s="54">
        <v>2.06</v>
      </c>
      <c r="G18" s="54">
        <v>152.94</v>
      </c>
      <c r="H18" s="54">
        <v>85.97</v>
      </c>
      <c r="I18" s="54">
        <v>1.5</v>
      </c>
      <c r="J18" s="54">
        <v>0.37</v>
      </c>
      <c r="K18" s="54">
        <v>125.07</v>
      </c>
      <c r="L18" s="54">
        <v>26.29</v>
      </c>
      <c r="M18" s="54">
        <v>51.51</v>
      </c>
      <c r="N18" s="54">
        <v>698.10</v>
      </c>
      <c r="O18" s="54">
        <v>0</v>
      </c>
      <c r="P18" s="54">
        <v>1.37</v>
      </c>
      <c r="Q18" s="54">
        <v>7.16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18.84</v>
      </c>
      <c r="C19" s="54">
        <v>37.92</v>
      </c>
      <c r="D19" s="54">
        <v>31.57</v>
      </c>
      <c r="E19" s="54">
        <v>1.1299999999999999</v>
      </c>
      <c r="F19" s="54">
        <v>8.39</v>
      </c>
      <c r="G19" s="54">
        <v>88.57</v>
      </c>
      <c r="H19" s="54">
        <v>71.66</v>
      </c>
      <c r="I19" s="54">
        <v>1.51</v>
      </c>
      <c r="J19" s="54">
        <v>0.80</v>
      </c>
      <c r="K19" s="54">
        <v>338.80</v>
      </c>
      <c r="L19" s="54">
        <v>31.51</v>
      </c>
      <c r="M19" s="54">
        <v>44.23</v>
      </c>
      <c r="N19" s="54">
        <v>750.90</v>
      </c>
      <c r="O19" s="54">
        <v>0</v>
      </c>
      <c r="P19" s="54">
        <v>1.1399999999999999</v>
      </c>
      <c r="Q19" s="54">
        <v>6.71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5.57</v>
      </c>
      <c r="C20" s="54">
        <v>40.10</v>
      </c>
      <c r="D20" s="54">
        <v>27.88</v>
      </c>
      <c r="E20" s="61" t="s">
        <v>12</v>
      </c>
      <c r="F20" s="54">
        <v>6.91</v>
      </c>
      <c r="G20" s="61" t="s">
        <v>12</v>
      </c>
      <c r="H20" s="61" t="s">
        <v>12</v>
      </c>
      <c r="I20" s="54">
        <v>1.51</v>
      </c>
      <c r="J20" s="54">
        <v>0.68</v>
      </c>
      <c r="K20" s="54">
        <v>338.10</v>
      </c>
      <c r="L20" s="54">
        <v>31.16</v>
      </c>
      <c r="M20" s="54">
        <v>37.81</v>
      </c>
      <c r="N20" s="54">
        <v>771</v>
      </c>
      <c r="O20" s="54">
        <v>0</v>
      </c>
      <c r="P20" s="54">
        <v>0.84</v>
      </c>
      <c r="Q20" s="54">
        <v>5.60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2.99</v>
      </c>
      <c r="C21" s="54">
        <v>38.99</v>
      </c>
      <c r="D21" s="54">
        <v>25.21</v>
      </c>
      <c r="E21" s="61" t="s">
        <v>12</v>
      </c>
      <c r="F21" s="54">
        <v>11.10</v>
      </c>
      <c r="G21" s="61" t="s">
        <v>12</v>
      </c>
      <c r="H21" s="61" t="s">
        <v>12</v>
      </c>
      <c r="I21" s="54">
        <v>1.55</v>
      </c>
      <c r="J21" s="54">
        <v>1.1599999999999999</v>
      </c>
      <c r="K21" s="54">
        <v>339.55</v>
      </c>
      <c r="L21" s="54">
        <v>31.48</v>
      </c>
      <c r="M21" s="54">
        <v>36.67</v>
      </c>
      <c r="N21" s="54">
        <v>656.5</v>
      </c>
      <c r="O21" s="54">
        <v>0</v>
      </c>
      <c r="P21" s="54">
        <v>0.73</v>
      </c>
      <c r="Q21" s="54">
        <v>5.28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4.25</v>
      </c>
      <c r="C22" s="54">
        <v>30.65</v>
      </c>
      <c r="D22" s="54">
        <v>28.32</v>
      </c>
      <c r="E22" s="54">
        <v>14.24</v>
      </c>
      <c r="F22" s="54">
        <v>14.66</v>
      </c>
      <c r="G22" s="54">
        <v>110.77</v>
      </c>
      <c r="H22" s="54">
        <v>53.51</v>
      </c>
      <c r="I22" s="54">
        <v>1.5</v>
      </c>
      <c r="J22" s="54">
        <v>1.21</v>
      </c>
      <c r="K22" s="54">
        <v>341.39</v>
      </c>
      <c r="L22" s="54">
        <v>31.01</v>
      </c>
      <c r="M22" s="54">
        <v>35.35</v>
      </c>
      <c r="N22" s="54">
        <v>602.79999999999995</v>
      </c>
      <c r="O22" s="54">
        <v>0</v>
      </c>
      <c r="P22" s="54">
        <v>0.82</v>
      </c>
      <c r="Q22" s="54">
        <v>5.38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2.86</v>
      </c>
      <c r="C23" s="54">
        <v>25.37</v>
      </c>
      <c r="D23" s="54">
        <v>17.59</v>
      </c>
      <c r="E23" s="54">
        <v>3.82</v>
      </c>
      <c r="F23" s="54">
        <v>6.85</v>
      </c>
      <c r="G23" s="54">
        <v>110.77</v>
      </c>
      <c r="H23" s="54">
        <v>50.33</v>
      </c>
      <c r="I23" s="54">
        <v>1.60</v>
      </c>
      <c r="J23" s="54">
        <v>1.1100000000000001</v>
      </c>
      <c r="K23" s="54">
        <v>335.66</v>
      </c>
      <c r="L23" s="54">
        <v>29.61</v>
      </c>
      <c r="M23" s="54">
        <v>34.729999999999997</v>
      </c>
      <c r="N23" s="54">
        <v>238.70</v>
      </c>
      <c r="O23" s="54">
        <v>0</v>
      </c>
      <c r="P23" s="54">
        <v>0.63</v>
      </c>
      <c r="Q23" s="54">
        <v>5.23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4.7699999999999996</v>
      </c>
      <c r="C24" s="54">
        <v>27.28</v>
      </c>
      <c r="D24" s="54">
        <v>19.75</v>
      </c>
      <c r="E24" s="54">
        <v>3.99</v>
      </c>
      <c r="F24" s="54">
        <v>9.34</v>
      </c>
      <c r="G24" s="54">
        <v>86.24</v>
      </c>
      <c r="H24" s="54">
        <v>45.84</v>
      </c>
      <c r="I24" s="54">
        <v>1.54</v>
      </c>
      <c r="J24" s="54">
        <v>1.19</v>
      </c>
      <c r="K24" s="54">
        <v>338.45</v>
      </c>
      <c r="L24" s="54">
        <v>27.79</v>
      </c>
      <c r="M24" s="54">
        <v>37.25</v>
      </c>
      <c r="N24" s="54">
        <v>109.5</v>
      </c>
      <c r="O24" s="54">
        <v>0</v>
      </c>
      <c r="P24" s="54">
        <v>0.62</v>
      </c>
      <c r="Q24" s="54">
        <v>5.16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4.3600000000000003</v>
      </c>
      <c r="C25" s="54">
        <v>28.76</v>
      </c>
      <c r="D25" s="54">
        <v>20.32</v>
      </c>
      <c r="E25" s="54">
        <v>3.17</v>
      </c>
      <c r="F25" s="54">
        <v>10.31</v>
      </c>
      <c r="G25" s="54">
        <v>87.48</v>
      </c>
      <c r="H25" s="54">
        <v>44.26</v>
      </c>
      <c r="I25" s="54">
        <v>1.5</v>
      </c>
      <c r="J25" s="54">
        <v>1.01</v>
      </c>
      <c r="K25" s="54">
        <v>342.37</v>
      </c>
      <c r="L25" s="54">
        <v>26.46</v>
      </c>
      <c r="M25" s="54">
        <v>40.15</v>
      </c>
      <c r="N25" s="54">
        <v>69</v>
      </c>
      <c r="O25" s="54">
        <v>0</v>
      </c>
      <c r="P25" s="54">
        <v>0.67</v>
      </c>
      <c r="Q25" s="54">
        <v>5.12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8.44</v>
      </c>
      <c r="C26" s="54">
        <v>37.619999999999997</v>
      </c>
      <c r="D26" s="54">
        <v>27.38</v>
      </c>
      <c r="E26" s="54">
        <v>2.52</v>
      </c>
      <c r="F26" s="54">
        <v>11.53</v>
      </c>
      <c r="G26" s="54">
        <v>105.56</v>
      </c>
      <c r="H26" s="54">
        <v>39.450000000000003</v>
      </c>
      <c r="I26" s="54">
        <v>1.52</v>
      </c>
      <c r="J26" s="54">
        <v>0.56999999999999995</v>
      </c>
      <c r="K26" s="54">
        <v>345.12</v>
      </c>
      <c r="L26" s="54">
        <v>24.72</v>
      </c>
      <c r="M26" s="54">
        <v>49.38</v>
      </c>
      <c r="N26" s="54">
        <v>27.30</v>
      </c>
      <c r="O26" s="54">
        <v>0</v>
      </c>
      <c r="P26" s="54">
        <v>0.83</v>
      </c>
      <c r="Q26" s="54">
        <v>4.99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8.3000000000000007</v>
      </c>
      <c r="C27" s="54">
        <v>44.49</v>
      </c>
      <c r="D27" s="54">
        <v>31.20</v>
      </c>
      <c r="E27" s="54">
        <v>3</v>
      </c>
      <c r="F27" s="54">
        <v>9.82</v>
      </c>
      <c r="G27" s="54">
        <v>105.56</v>
      </c>
      <c r="H27" s="54">
        <v>42.38</v>
      </c>
      <c r="I27" s="54">
        <v>1.5</v>
      </c>
      <c r="J27" s="54">
        <v>0.17</v>
      </c>
      <c r="K27" s="54">
        <v>78.48</v>
      </c>
      <c r="L27" s="54">
        <v>23.01</v>
      </c>
      <c r="M27" s="54">
        <v>54.92</v>
      </c>
      <c r="N27" s="54">
        <v>17</v>
      </c>
      <c r="O27" s="54">
        <v>0</v>
      </c>
      <c r="P27" s="62" t="s">
        <v>14</v>
      </c>
      <c r="Q27" s="54">
        <v>4.9400000000000004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37.840000000000003</v>
      </c>
      <c r="C28" s="54">
        <v>52.73</v>
      </c>
      <c r="D28" s="54">
        <v>54.72</v>
      </c>
      <c r="E28" s="54">
        <v>3.24</v>
      </c>
      <c r="F28" s="54">
        <v>1.56</v>
      </c>
      <c r="G28" s="54">
        <v>133.16999999999999</v>
      </c>
      <c r="H28" s="54">
        <v>48.48</v>
      </c>
      <c r="I28" s="54">
        <v>1.55</v>
      </c>
      <c r="J28" s="54">
        <v>0.12</v>
      </c>
      <c r="K28" s="54">
        <v>359.43</v>
      </c>
      <c r="L28" s="54">
        <v>21.57</v>
      </c>
      <c r="M28" s="54">
        <v>70.64</v>
      </c>
      <c r="N28" s="54">
        <v>17.20</v>
      </c>
      <c r="O28" s="54">
        <v>0</v>
      </c>
      <c r="P28" s="62" t="s">
        <v>14</v>
      </c>
      <c r="Q28" s="54">
        <v>3.20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47.36</v>
      </c>
      <c r="C29" s="54">
        <v>44.79</v>
      </c>
      <c r="D29" s="54">
        <v>60.80</v>
      </c>
      <c r="E29" s="54">
        <v>2.72</v>
      </c>
      <c r="F29" s="54">
        <v>0.49</v>
      </c>
      <c r="G29" s="54">
        <v>133.16999999999999</v>
      </c>
      <c r="H29" s="54">
        <v>69.61</v>
      </c>
      <c r="I29" s="54">
        <v>1.60</v>
      </c>
      <c r="J29" s="54">
        <v>0.13</v>
      </c>
      <c r="K29" s="54">
        <v>345.33</v>
      </c>
      <c r="L29" s="54">
        <v>20.56</v>
      </c>
      <c r="M29" s="54">
        <v>74.72</v>
      </c>
      <c r="N29" s="54">
        <v>17</v>
      </c>
      <c r="O29" s="54">
        <v>0</v>
      </c>
      <c r="P29" s="62" t="s">
        <v>14</v>
      </c>
      <c r="Q29" s="54">
        <v>6.67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62.26</v>
      </c>
      <c r="C30" s="54">
        <v>46.49</v>
      </c>
      <c r="D30" s="54">
        <v>76.88</v>
      </c>
      <c r="E30" s="54">
        <v>2.5099999999999998</v>
      </c>
      <c r="F30" s="54">
        <v>0.43</v>
      </c>
      <c r="G30" s="62" t="s">
        <v>14</v>
      </c>
      <c r="H30" s="62" t="s">
        <v>14</v>
      </c>
      <c r="I30" s="54">
        <v>1.56</v>
      </c>
      <c r="J30" s="54">
        <v>0.18</v>
      </c>
      <c r="K30" s="54">
        <v>329.46</v>
      </c>
      <c r="L30" s="54">
        <v>20.21</v>
      </c>
      <c r="M30" s="54">
        <v>82.83</v>
      </c>
      <c r="N30" s="54">
        <v>17.100000000000001</v>
      </c>
      <c r="O30" s="54">
        <v>0</v>
      </c>
      <c r="P30" s="62" t="s">
        <v>14</v>
      </c>
      <c r="Q30" s="54">
        <v>7.20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62.95</v>
      </c>
      <c r="C31" s="54">
        <v>44</v>
      </c>
      <c r="D31" s="54">
        <v>74.77</v>
      </c>
      <c r="E31" s="54">
        <v>2.60</v>
      </c>
      <c r="F31" s="54">
        <v>0.30</v>
      </c>
      <c r="G31" s="62" t="s">
        <v>14</v>
      </c>
      <c r="H31" s="62" t="s">
        <v>14</v>
      </c>
      <c r="I31" s="54">
        <v>1.54</v>
      </c>
      <c r="J31" s="54">
        <v>0.12</v>
      </c>
      <c r="K31" s="54">
        <v>330.02</v>
      </c>
      <c r="L31" s="54">
        <v>19.850000000000001</v>
      </c>
      <c r="M31" s="54">
        <v>81.180000000000007</v>
      </c>
      <c r="N31" s="54">
        <v>17.20</v>
      </c>
      <c r="O31" s="54">
        <v>0</v>
      </c>
      <c r="P31" s="62" t="s">
        <v>14</v>
      </c>
      <c r="Q31" s="54">
        <v>9.59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62.15</v>
      </c>
      <c r="C32" s="54">
        <v>30.15</v>
      </c>
      <c r="D32" s="54">
        <v>67.77</v>
      </c>
      <c r="E32" s="54">
        <v>2.27</v>
      </c>
      <c r="F32" s="54">
        <v>0.32</v>
      </c>
      <c r="G32" s="62" t="s">
        <v>14</v>
      </c>
      <c r="H32" s="62" t="s">
        <v>14</v>
      </c>
      <c r="I32" s="54">
        <v>1.54</v>
      </c>
      <c r="J32" s="54">
        <v>0.44</v>
      </c>
      <c r="K32" s="54">
        <v>334.19</v>
      </c>
      <c r="L32" s="54">
        <v>19.28</v>
      </c>
      <c r="M32" s="54">
        <v>81.650000000000006</v>
      </c>
      <c r="N32" s="54">
        <v>16.899999999999999</v>
      </c>
      <c r="O32" s="54">
        <v>0</v>
      </c>
      <c r="P32" s="62" t="s">
        <v>14</v>
      </c>
      <c r="Q32" s="54">
        <v>9.9600000000000009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2.8599999999999999</v>
      </c>
      <c r="C34" s="28">
        <f t="shared" si="0"/>
        <v>23.09</v>
      </c>
      <c r="D34" s="28">
        <f t="shared" si="0"/>
        <v>17.59</v>
      </c>
      <c r="E34" s="28">
        <f t="shared" si="0"/>
        <v>0.54000000000000004</v>
      </c>
      <c r="F34" s="28">
        <f t="shared" si="0"/>
        <v>0.14999999999999999</v>
      </c>
      <c r="G34" s="28">
        <f t="shared" si="0"/>
        <v>86.239999999999995</v>
      </c>
      <c r="H34" s="28">
        <f t="shared" si="0"/>
        <v>39.450000000000003</v>
      </c>
      <c r="I34" s="28">
        <f t="shared" si="0"/>
        <v>1.5</v>
      </c>
      <c r="J34" s="28">
        <f t="shared" si="0"/>
        <v>0.089999999999999997</v>
      </c>
      <c r="K34" s="28">
        <f t="shared" si="0"/>
        <v>78.480000000000004</v>
      </c>
      <c r="L34" s="28">
        <f t="shared" si="0"/>
        <v>17.420000000000002</v>
      </c>
      <c r="M34" s="28">
        <f t="shared" si="0"/>
        <v>34.729999999999997</v>
      </c>
      <c r="N34" s="28">
        <f t="shared" si="0"/>
        <v>16.899999999999999</v>
      </c>
      <c r="O34" s="28">
        <f t="shared" si="0"/>
        <v>0</v>
      </c>
      <c r="P34" s="28">
        <f t="shared" si="0"/>
        <v>0.62</v>
      </c>
      <c r="Q34" s="28">
        <f t="shared" si="0"/>
        <v>3.2000000000000002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62.950000000000003</v>
      </c>
      <c r="C35" s="29">
        <f t="shared" si="1"/>
        <v>52.729999999999997</v>
      </c>
      <c r="D35" s="29">
        <f t="shared" si="1"/>
        <v>76.879999999999995</v>
      </c>
      <c r="E35" s="29">
        <f t="shared" si="1"/>
        <v>14.24</v>
      </c>
      <c r="F35" s="29">
        <f t="shared" si="1"/>
        <v>14.66</v>
      </c>
      <c r="G35" s="29">
        <f t="shared" si="1"/>
        <v>225.78</v>
      </c>
      <c r="H35" s="29">
        <f t="shared" si="1"/>
        <v>106.8</v>
      </c>
      <c r="I35" s="29">
        <f t="shared" si="1"/>
        <v>1.6000000000000001</v>
      </c>
      <c r="J35" s="29">
        <f t="shared" si="1"/>
        <v>1.21</v>
      </c>
      <c r="K35" s="29">
        <f t="shared" si="1"/>
        <v>359.43000000000001</v>
      </c>
      <c r="L35" s="29">
        <f t="shared" si="1"/>
        <v>31.510000000000002</v>
      </c>
      <c r="M35" s="29">
        <f t="shared" si="1"/>
        <v>82.829999999999998</v>
      </c>
      <c r="N35" s="29">
        <f t="shared" si="1"/>
        <v>771</v>
      </c>
      <c r="O35" s="29">
        <f t="shared" si="1"/>
        <v>0</v>
      </c>
      <c r="P35" s="29">
        <f t="shared" si="1"/>
        <v>2.2400000000000002</v>
      </c>
      <c r="Q35" s="29">
        <f t="shared" si="1"/>
        <v>9.9600000000000009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26.025000000000002</v>
      </c>
      <c r="C36" s="28">
        <f t="shared" si="2"/>
        <v>33.704583333333339</v>
      </c>
      <c r="D36" s="28">
        <f t="shared" si="2"/>
        <v>40.15625</v>
      </c>
      <c r="E36" s="28">
        <f t="shared" si="2"/>
        <v>2.3954545454545459</v>
      </c>
      <c r="F36" s="28">
        <f t="shared" si="2"/>
        <v>4.1537499999999996</v>
      </c>
      <c r="G36" s="28">
        <f t="shared" si="2"/>
        <v>146.87315789473686</v>
      </c>
      <c r="H36" s="28">
        <f t="shared" si="2"/>
        <v>75.487894736842122</v>
      </c>
      <c r="I36" s="28">
        <f t="shared" si="2"/>
        <v>1.5362500000000001</v>
      </c>
      <c r="J36" s="28">
        <f t="shared" si="2"/>
        <v>0.58416666666666661</v>
      </c>
      <c r="K36" s="28">
        <f t="shared" si="2"/>
        <v>319.13333333333333</v>
      </c>
      <c r="L36" s="28">
        <f t="shared" si="2"/>
        <v>23.681250000000002</v>
      </c>
      <c r="M36" s="28">
        <f t="shared" si="2"/>
        <v>61.591666666666676</v>
      </c>
      <c r="N36" s="28">
        <f t="shared" si="2"/>
        <v>214.73749999999998</v>
      </c>
      <c r="O36" s="28">
        <f t="shared" si="2"/>
        <v>0</v>
      </c>
      <c r="P36" s="28">
        <f t="shared" si="2"/>
        <v>1.2333333333333334</v>
      </c>
      <c r="Q36" s="28">
        <f t="shared" si="2"/>
        <v>6.5591666666666653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19.160618352552557</v>
      </c>
      <c r="C37" s="28">
        <f t="shared" si="3" ref="C37:Q37">STDEV(C9:C32)</f>
        <v>8.2612889715234203</v>
      </c>
      <c r="D37" s="28">
        <f t="shared" si="3"/>
        <v>16.596105046588224</v>
      </c>
      <c r="E37" s="28">
        <f t="shared" si="3"/>
        <v>2.8922058269519031</v>
      </c>
      <c r="F37" s="28">
        <f t="shared" si="3"/>
        <v>4.7774168138276867</v>
      </c>
      <c r="G37" s="28">
        <f t="shared" si="3"/>
        <v>47.31714594715946</v>
      </c>
      <c r="H37" s="28">
        <f t="shared" si="3"/>
        <v>25.067159476305378</v>
      </c>
      <c r="I37" s="28">
        <f t="shared" si="3"/>
        <v>0.031181446545913382</v>
      </c>
      <c r="J37" s="28">
        <f t="shared" si="3"/>
        <v>0.37834785773052226</v>
      </c>
      <c r="K37" s="28">
        <f t="shared" si="3"/>
        <v>68.158719220633188</v>
      </c>
      <c r="L37" s="28">
        <f t="shared" si="3"/>
        <v>5.109479095801718</v>
      </c>
      <c r="M37" s="28">
        <f t="shared" si="3"/>
        <v>18.710912339587008</v>
      </c>
      <c r="N37" s="28">
        <f t="shared" si="3"/>
        <v>281.72359845052569</v>
      </c>
      <c r="O37" s="28">
        <f t="shared" si="3"/>
        <v>0</v>
      </c>
      <c r="P37" s="28">
        <f t="shared" si="3"/>
        <v>0.47530794971136725</v>
      </c>
      <c r="Q37" s="28">
        <f t="shared" si="3"/>
        <v>1.5269603698244831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COUNT(E9:E32)+2</f>
        <v>24</v>
      </c>
      <c r="F38" s="32">
        <f t="shared" si="4"/>
        <v>24</v>
      </c>
      <c r="G38" s="32">
        <f>COUNT(G9:G32)+5</f>
        <v>24</v>
      </c>
      <c r="H38" s="32">
        <f>COUNT(H9:H32)+5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COUNT(P9:P32)+6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6ba9c9-5b77-42f2-949f-ef6c1933454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59.96</v>
      </c>
      <c r="C9" s="54">
        <v>29.53</v>
      </c>
      <c r="D9" s="54">
        <v>65.650000000000006</v>
      </c>
      <c r="E9" s="54">
        <v>2.36</v>
      </c>
      <c r="F9" s="54">
        <v>0.57999999999999996</v>
      </c>
      <c r="G9" s="54">
        <v>208.70</v>
      </c>
      <c r="H9" s="54">
        <v>139.24</v>
      </c>
      <c r="I9" s="54">
        <v>1.51</v>
      </c>
      <c r="J9" s="54">
        <v>0.35</v>
      </c>
      <c r="K9" s="54">
        <v>321.58</v>
      </c>
      <c r="L9" s="54">
        <v>19.11</v>
      </c>
      <c r="M9" s="54">
        <v>82.89</v>
      </c>
      <c r="N9" s="54">
        <v>17.399999999999999</v>
      </c>
      <c r="O9" s="54">
        <v>0</v>
      </c>
      <c r="P9" s="55" t="s">
        <v>14</v>
      </c>
      <c r="Q9" s="54">
        <v>9.86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47.26</v>
      </c>
      <c r="C10" s="54">
        <v>27.72</v>
      </c>
      <c r="D10" s="54">
        <v>53.87</v>
      </c>
      <c r="E10" s="54">
        <v>2.2999999999999998</v>
      </c>
      <c r="F10" s="54">
        <v>0.56000000000000005</v>
      </c>
      <c r="G10" s="54">
        <v>208.70</v>
      </c>
      <c r="H10" s="54">
        <v>115.22</v>
      </c>
      <c r="I10" s="54">
        <v>1.55</v>
      </c>
      <c r="J10" s="54">
        <v>0.14000000000000001</v>
      </c>
      <c r="K10" s="54">
        <v>281.45999999999998</v>
      </c>
      <c r="L10" s="54">
        <v>18.440000000000001</v>
      </c>
      <c r="M10" s="54">
        <v>86.66</v>
      </c>
      <c r="N10" s="54">
        <v>17.100000000000001</v>
      </c>
      <c r="O10" s="54">
        <v>0</v>
      </c>
      <c r="P10" s="55" t="s">
        <v>14</v>
      </c>
      <c r="Q10" s="54">
        <v>9.40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44.64</v>
      </c>
      <c r="C11" s="54">
        <v>25.02</v>
      </c>
      <c r="D11" s="54">
        <v>50.90</v>
      </c>
      <c r="E11" s="54">
        <v>2.0499999999999998</v>
      </c>
      <c r="F11" s="54">
        <v>0.14000000000000001</v>
      </c>
      <c r="G11" s="54">
        <v>183.61</v>
      </c>
      <c r="H11" s="54">
        <v>115.68</v>
      </c>
      <c r="I11" s="54">
        <v>1.57</v>
      </c>
      <c r="J11" s="54">
        <v>0.09</v>
      </c>
      <c r="K11" s="54">
        <v>297.47000000000003</v>
      </c>
      <c r="L11" s="54">
        <v>17.88</v>
      </c>
      <c r="M11" s="54">
        <v>89.79</v>
      </c>
      <c r="N11" s="54">
        <v>17</v>
      </c>
      <c r="O11" s="54">
        <v>0</v>
      </c>
      <c r="P11" s="55" t="s">
        <v>14</v>
      </c>
      <c r="Q11" s="54">
        <v>8.64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39.24</v>
      </c>
      <c r="C12" s="54">
        <v>23.90</v>
      </c>
      <c r="D12" s="54">
        <v>45.95</v>
      </c>
      <c r="E12" s="54">
        <v>1.96</v>
      </c>
      <c r="F12" s="54">
        <v>0.28999999999999998</v>
      </c>
      <c r="G12" s="54">
        <v>172.85</v>
      </c>
      <c r="H12" s="54">
        <v>115.68</v>
      </c>
      <c r="I12" s="54">
        <v>1.57</v>
      </c>
      <c r="J12" s="54">
        <v>0.11</v>
      </c>
      <c r="K12" s="54">
        <v>296.06</v>
      </c>
      <c r="L12" s="54">
        <v>17.36</v>
      </c>
      <c r="M12" s="54">
        <v>93.07</v>
      </c>
      <c r="N12" s="54">
        <v>17.100000000000001</v>
      </c>
      <c r="O12" s="54">
        <v>0</v>
      </c>
      <c r="P12" s="55" t="s">
        <v>14</v>
      </c>
      <c r="Q12" s="54">
        <v>8.23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35.049999999999997</v>
      </c>
      <c r="C13" s="54">
        <v>23.57</v>
      </c>
      <c r="D13" s="54">
        <v>42.07</v>
      </c>
      <c r="E13" s="54">
        <v>1.85</v>
      </c>
      <c r="F13" s="54">
        <v>0.35</v>
      </c>
      <c r="G13" s="54">
        <v>172.85</v>
      </c>
      <c r="H13" s="54">
        <v>104.70</v>
      </c>
      <c r="I13" s="54">
        <v>1.61</v>
      </c>
      <c r="J13" s="54">
        <v>0.14000000000000001</v>
      </c>
      <c r="K13" s="54">
        <v>296.57</v>
      </c>
      <c r="L13" s="54">
        <v>17.02</v>
      </c>
      <c r="M13" s="54">
        <v>97.70</v>
      </c>
      <c r="N13" s="54">
        <v>17</v>
      </c>
      <c r="O13" s="54">
        <v>0</v>
      </c>
      <c r="P13" s="55" t="s">
        <v>14</v>
      </c>
      <c r="Q13" s="54">
        <v>7.86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35.68</v>
      </c>
      <c r="C14" s="54">
        <v>21.5</v>
      </c>
      <c r="D14" s="54">
        <v>41.68</v>
      </c>
      <c r="E14" s="54">
        <v>1.39</v>
      </c>
      <c r="F14" s="54">
        <v>0.36</v>
      </c>
      <c r="G14" s="54">
        <v>157.51</v>
      </c>
      <c r="H14" s="54">
        <v>93.16</v>
      </c>
      <c r="I14" s="54">
        <v>1.51</v>
      </c>
      <c r="J14" s="54">
        <v>0.15</v>
      </c>
      <c r="K14" s="54">
        <v>302.95999999999998</v>
      </c>
      <c r="L14" s="54">
        <v>16.87</v>
      </c>
      <c r="M14" s="54">
        <v>98.49</v>
      </c>
      <c r="N14" s="54">
        <v>21.40</v>
      </c>
      <c r="O14" s="54">
        <v>0</v>
      </c>
      <c r="P14" s="55" t="s">
        <v>14</v>
      </c>
      <c r="Q14" s="54">
        <v>7.83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35.29</v>
      </c>
      <c r="C15" s="54">
        <v>22.16</v>
      </c>
      <c r="D15" s="54">
        <v>41.14</v>
      </c>
      <c r="E15" s="54">
        <v>1.60</v>
      </c>
      <c r="F15" s="54">
        <v>0.15</v>
      </c>
      <c r="G15" s="54">
        <v>106.87</v>
      </c>
      <c r="H15" s="54">
        <v>51.81</v>
      </c>
      <c r="I15" s="54">
        <v>1.59</v>
      </c>
      <c r="J15" s="54">
        <v>0.16</v>
      </c>
      <c r="K15" s="54">
        <v>196.83</v>
      </c>
      <c r="L15" s="54">
        <v>18.29</v>
      </c>
      <c r="M15" s="54">
        <v>98.05</v>
      </c>
      <c r="N15" s="54">
        <v>139.10</v>
      </c>
      <c r="O15" s="54">
        <v>0</v>
      </c>
      <c r="P15" s="54">
        <v>1.32</v>
      </c>
      <c r="Q15" s="54">
        <v>7.87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32.17</v>
      </c>
      <c r="C16" s="54">
        <v>26.19</v>
      </c>
      <c r="D16" s="54">
        <v>40.14</v>
      </c>
      <c r="E16" s="54">
        <v>1.75</v>
      </c>
      <c r="F16" s="54">
        <v>0.45</v>
      </c>
      <c r="G16" s="54">
        <v>108.98</v>
      </c>
      <c r="H16" s="54">
        <v>52.30</v>
      </c>
      <c r="I16" s="54">
        <v>1.52</v>
      </c>
      <c r="J16" s="54">
        <v>0.71</v>
      </c>
      <c r="K16" s="54">
        <v>158.28</v>
      </c>
      <c r="L16" s="54">
        <v>22.33</v>
      </c>
      <c r="M16" s="54">
        <v>84.04</v>
      </c>
      <c r="N16" s="54">
        <v>329</v>
      </c>
      <c r="O16" s="54">
        <v>0</v>
      </c>
      <c r="P16" s="54">
        <v>1.21</v>
      </c>
      <c r="Q16" s="54">
        <v>7.53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29.65</v>
      </c>
      <c r="C17" s="54">
        <v>25.03</v>
      </c>
      <c r="D17" s="54">
        <v>38.29</v>
      </c>
      <c r="E17" s="54">
        <v>1.51</v>
      </c>
      <c r="F17" s="54">
        <v>0.42</v>
      </c>
      <c r="G17" s="54">
        <v>147.80000000000001</v>
      </c>
      <c r="H17" s="54">
        <v>62.93</v>
      </c>
      <c r="I17" s="54">
        <v>1.55</v>
      </c>
      <c r="J17" s="54">
        <v>0.51</v>
      </c>
      <c r="K17" s="54">
        <v>350.09</v>
      </c>
      <c r="L17" s="54">
        <v>26.87</v>
      </c>
      <c r="M17" s="54">
        <v>65.59</v>
      </c>
      <c r="N17" s="54">
        <v>482.70</v>
      </c>
      <c r="O17" s="54">
        <v>0</v>
      </c>
      <c r="P17" s="54">
        <v>1.18</v>
      </c>
      <c r="Q17" s="54">
        <v>7.23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27.10</v>
      </c>
      <c r="C18" s="54">
        <v>31.15</v>
      </c>
      <c r="D18" s="54">
        <v>36.92</v>
      </c>
      <c r="E18" s="54">
        <v>1.70</v>
      </c>
      <c r="F18" s="54">
        <v>2.10</v>
      </c>
      <c r="G18" s="54">
        <v>184.36</v>
      </c>
      <c r="H18" s="54">
        <v>87.18</v>
      </c>
      <c r="I18" s="54">
        <v>1.52</v>
      </c>
      <c r="J18" s="54">
        <v>0.51</v>
      </c>
      <c r="K18" s="54">
        <v>357.20</v>
      </c>
      <c r="L18" s="54">
        <v>28.36</v>
      </c>
      <c r="M18" s="54">
        <v>58.82</v>
      </c>
      <c r="N18" s="54">
        <v>572.20000000000005</v>
      </c>
      <c r="O18" s="54">
        <v>0</v>
      </c>
      <c r="P18" s="54">
        <v>1.21</v>
      </c>
      <c r="Q18" s="54">
        <v>7.17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23.68</v>
      </c>
      <c r="C19" s="54">
        <v>36.36</v>
      </c>
      <c r="D19" s="54">
        <v>37.86</v>
      </c>
      <c r="E19" s="54">
        <v>2.67</v>
      </c>
      <c r="F19" s="54">
        <v>2.92</v>
      </c>
      <c r="G19" s="54">
        <v>186.91</v>
      </c>
      <c r="H19" s="54">
        <v>87.55</v>
      </c>
      <c r="I19" s="54">
        <v>1.57</v>
      </c>
      <c r="J19" s="54">
        <v>0.78</v>
      </c>
      <c r="K19" s="54">
        <v>345.25</v>
      </c>
      <c r="L19" s="54">
        <v>30.22</v>
      </c>
      <c r="M19" s="54">
        <v>40.78</v>
      </c>
      <c r="N19" s="54">
        <v>615</v>
      </c>
      <c r="O19" s="54">
        <v>0</v>
      </c>
      <c r="P19" s="54">
        <v>1.21</v>
      </c>
      <c r="Q19" s="54">
        <v>6.74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18.29</v>
      </c>
      <c r="C20" s="54">
        <v>33.99</v>
      </c>
      <c r="D20" s="54">
        <v>33.29</v>
      </c>
      <c r="E20" s="54">
        <v>2.40</v>
      </c>
      <c r="F20" s="54">
        <v>2.0299999999999998</v>
      </c>
      <c r="G20" s="54">
        <v>186.91</v>
      </c>
      <c r="H20" s="54">
        <v>87.55</v>
      </c>
      <c r="I20" s="54">
        <v>1.54</v>
      </c>
      <c r="J20" s="54">
        <v>1.19</v>
      </c>
      <c r="K20" s="54">
        <v>344.05</v>
      </c>
      <c r="L20" s="54">
        <v>31.11</v>
      </c>
      <c r="M20" s="54">
        <v>35.090000000000003</v>
      </c>
      <c r="N20" s="54">
        <v>629.20000000000005</v>
      </c>
      <c r="O20" s="54">
        <v>0</v>
      </c>
      <c r="P20" s="54">
        <v>1.20</v>
      </c>
      <c r="Q20" s="54">
        <v>6.41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14.54</v>
      </c>
      <c r="C21" s="54">
        <v>34.130000000000003</v>
      </c>
      <c r="D21" s="54">
        <v>31.79</v>
      </c>
      <c r="E21" s="54">
        <v>2.37</v>
      </c>
      <c r="F21" s="54">
        <v>3.88</v>
      </c>
      <c r="G21" s="54">
        <v>157.46</v>
      </c>
      <c r="H21" s="54">
        <v>83.69</v>
      </c>
      <c r="I21" s="54">
        <v>1.56</v>
      </c>
      <c r="J21" s="54">
        <v>1.97</v>
      </c>
      <c r="K21" s="54">
        <v>341.72</v>
      </c>
      <c r="L21" s="54">
        <v>30.58</v>
      </c>
      <c r="M21" s="54">
        <v>26.90</v>
      </c>
      <c r="N21" s="54">
        <v>719.20</v>
      </c>
      <c r="O21" s="54">
        <v>0</v>
      </c>
      <c r="P21" s="54">
        <v>1.1200000000000001</v>
      </c>
      <c r="Q21" s="54">
        <v>6.12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9.01</v>
      </c>
      <c r="C22" s="54">
        <v>31.30</v>
      </c>
      <c r="D22" s="54">
        <v>25.79</v>
      </c>
      <c r="E22" s="54">
        <v>2.56</v>
      </c>
      <c r="F22" s="54">
        <v>2.4700000000000002</v>
      </c>
      <c r="G22" s="54">
        <v>103.86</v>
      </c>
      <c r="H22" s="54">
        <v>75.75</v>
      </c>
      <c r="I22" s="54">
        <v>1.59</v>
      </c>
      <c r="J22" s="54">
        <v>1.78</v>
      </c>
      <c r="K22" s="54">
        <v>340.46</v>
      </c>
      <c r="L22" s="54">
        <v>30.45</v>
      </c>
      <c r="M22" s="54">
        <v>29.01</v>
      </c>
      <c r="N22" s="54">
        <v>676</v>
      </c>
      <c r="O22" s="54">
        <v>0</v>
      </c>
      <c r="P22" s="54">
        <v>0.97</v>
      </c>
      <c r="Q22" s="54">
        <v>5.65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5.64</v>
      </c>
      <c r="C23" s="54">
        <v>30.51</v>
      </c>
      <c r="D23" s="54">
        <v>22.65</v>
      </c>
      <c r="E23" s="54">
        <v>1.84</v>
      </c>
      <c r="F23" s="54">
        <v>6.10</v>
      </c>
      <c r="G23" s="54">
        <v>85.99</v>
      </c>
      <c r="H23" s="54">
        <v>61.58</v>
      </c>
      <c r="I23" s="54">
        <v>1.55</v>
      </c>
      <c r="J23" s="54">
        <v>1.63</v>
      </c>
      <c r="K23" s="54">
        <v>336.65</v>
      </c>
      <c r="L23" s="54">
        <v>29.38</v>
      </c>
      <c r="M23" s="54">
        <v>32.36</v>
      </c>
      <c r="N23" s="54">
        <v>225.70</v>
      </c>
      <c r="O23" s="54">
        <v>0</v>
      </c>
      <c r="P23" s="54">
        <v>0.89</v>
      </c>
      <c r="Q23" s="54">
        <v>5.32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6.35</v>
      </c>
      <c r="C24" s="54">
        <v>27.93</v>
      </c>
      <c r="D24" s="54">
        <v>21.69</v>
      </c>
      <c r="E24" s="54">
        <v>2.5</v>
      </c>
      <c r="F24" s="54">
        <v>12.37</v>
      </c>
      <c r="G24" s="54">
        <v>78.42</v>
      </c>
      <c r="H24" s="54">
        <v>42.93</v>
      </c>
      <c r="I24" s="54">
        <v>1.60</v>
      </c>
      <c r="J24" s="54">
        <v>1.17</v>
      </c>
      <c r="K24" s="54">
        <v>343.16</v>
      </c>
      <c r="L24" s="54">
        <v>27.65</v>
      </c>
      <c r="M24" s="54">
        <v>32.880000000000003</v>
      </c>
      <c r="N24" s="54">
        <v>107.80</v>
      </c>
      <c r="O24" s="54">
        <v>0</v>
      </c>
      <c r="P24" s="54">
        <v>0.82</v>
      </c>
      <c r="Q24" s="54">
        <v>5.08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6.11</v>
      </c>
      <c r="C25" s="54">
        <v>29.96</v>
      </c>
      <c r="D25" s="54">
        <v>22.68</v>
      </c>
      <c r="E25" s="54">
        <v>3</v>
      </c>
      <c r="F25" s="54">
        <v>12.22</v>
      </c>
      <c r="G25" s="54">
        <v>81.790000000000006</v>
      </c>
      <c r="H25" s="54">
        <v>41.40</v>
      </c>
      <c r="I25" s="54">
        <v>1.57</v>
      </c>
      <c r="J25" s="54">
        <v>0.80</v>
      </c>
      <c r="K25" s="54">
        <v>344.17</v>
      </c>
      <c r="L25" s="54">
        <v>26.36</v>
      </c>
      <c r="M25" s="54">
        <v>37.619999999999997</v>
      </c>
      <c r="N25" s="54">
        <v>69.30</v>
      </c>
      <c r="O25" s="54">
        <v>0</v>
      </c>
      <c r="P25" s="54">
        <v>0.81</v>
      </c>
      <c r="Q25" s="54">
        <v>5.1100000000000003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3.73</v>
      </c>
      <c r="C26" s="54">
        <v>34.04</v>
      </c>
      <c r="D26" s="54">
        <v>22.38</v>
      </c>
      <c r="E26" s="54">
        <v>3.36</v>
      </c>
      <c r="F26" s="54">
        <v>17.440000000000001</v>
      </c>
      <c r="G26" s="54">
        <v>81.790000000000006</v>
      </c>
      <c r="H26" s="54">
        <v>41.08</v>
      </c>
      <c r="I26" s="54">
        <v>1.56</v>
      </c>
      <c r="J26" s="54">
        <v>0.27</v>
      </c>
      <c r="K26" s="54">
        <v>101.03</v>
      </c>
      <c r="L26" s="54">
        <v>24.61</v>
      </c>
      <c r="M26" s="54">
        <v>43.54</v>
      </c>
      <c r="N26" s="54">
        <v>27.60</v>
      </c>
      <c r="O26" s="54">
        <v>0</v>
      </c>
      <c r="P26" s="54">
        <v>0.77</v>
      </c>
      <c r="Q26" s="54">
        <v>5.15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15.5</v>
      </c>
      <c r="C27" s="54">
        <v>54.45</v>
      </c>
      <c r="D27" s="54">
        <v>42.69</v>
      </c>
      <c r="E27" s="54">
        <v>4.12</v>
      </c>
      <c r="F27" s="54">
        <v>9.1199999999999992</v>
      </c>
      <c r="G27" s="54">
        <v>81.80</v>
      </c>
      <c r="H27" s="54">
        <v>37.07</v>
      </c>
      <c r="I27" s="54">
        <v>1.61</v>
      </c>
      <c r="J27" s="54">
        <v>0.12</v>
      </c>
      <c r="K27" s="54">
        <v>339.49</v>
      </c>
      <c r="L27" s="54">
        <v>23.12</v>
      </c>
      <c r="M27" s="54">
        <v>47.58</v>
      </c>
      <c r="N27" s="54">
        <v>18.399999999999999</v>
      </c>
      <c r="O27" s="54">
        <v>0</v>
      </c>
      <c r="P27" s="54">
        <v>1.18</v>
      </c>
      <c r="Q27" s="54">
        <v>4.22</v>
      </c>
      <c r="R27" s="43"/>
      <c r="S27" s="43"/>
      <c r="T27" s="43"/>
      <c r="U27" s="43"/>
    </row>
    <row r="28" spans="1:21" s="11" customFormat="1" ht="15">
      <c r="A28" s="53" t="s">
        <v>657</v>
      </c>
      <c r="B28" s="54">
        <v>41.20</v>
      </c>
      <c r="C28" s="54">
        <v>44.80</v>
      </c>
      <c r="D28" s="54">
        <v>59.06</v>
      </c>
      <c r="E28" s="54">
        <v>3.33</v>
      </c>
      <c r="F28" s="54">
        <v>3.40</v>
      </c>
      <c r="G28" s="54">
        <v>145.68</v>
      </c>
      <c r="H28" s="54">
        <v>45.32</v>
      </c>
      <c r="I28" s="54">
        <v>1.56</v>
      </c>
      <c r="J28" s="54">
        <v>0.16</v>
      </c>
      <c r="K28" s="54">
        <v>317.86</v>
      </c>
      <c r="L28" s="54">
        <v>22.39</v>
      </c>
      <c r="M28" s="54">
        <v>57.55</v>
      </c>
      <c r="N28" s="54">
        <v>18.600000000000001</v>
      </c>
      <c r="O28" s="54">
        <v>0</v>
      </c>
      <c r="P28" s="54">
        <v>1.45</v>
      </c>
      <c r="Q28" s="54">
        <v>4.6900000000000004</v>
      </c>
      <c r="R28" s="43"/>
      <c r="S28" s="43"/>
      <c r="T28" s="43"/>
      <c r="U28" s="43"/>
    </row>
    <row r="29" spans="1:21" s="11" customFormat="1" ht="15">
      <c r="A29" s="53" t="s">
        <v>658</v>
      </c>
      <c r="B29" s="54">
        <v>27.97</v>
      </c>
      <c r="C29" s="54">
        <v>33.17</v>
      </c>
      <c r="D29" s="54">
        <v>39.68</v>
      </c>
      <c r="E29" s="54">
        <v>2.3199999999999998</v>
      </c>
      <c r="F29" s="54">
        <v>1.60</v>
      </c>
      <c r="G29" s="54">
        <v>150.51</v>
      </c>
      <c r="H29" s="54">
        <v>56.16</v>
      </c>
      <c r="I29" s="54">
        <v>1.57</v>
      </c>
      <c r="J29" s="54">
        <v>0.12</v>
      </c>
      <c r="K29" s="54">
        <v>311.89</v>
      </c>
      <c r="L29" s="54">
        <v>20.69</v>
      </c>
      <c r="M29" s="54">
        <v>66.38</v>
      </c>
      <c r="N29" s="54">
        <v>18.30</v>
      </c>
      <c r="O29" s="54">
        <v>0</v>
      </c>
      <c r="P29" s="54">
        <v>1.29</v>
      </c>
      <c r="Q29" s="54">
        <v>6.79</v>
      </c>
      <c r="R29" s="43"/>
      <c r="S29" s="43"/>
      <c r="T29" s="43"/>
      <c r="U29" s="43"/>
    </row>
    <row r="30" spans="1:21" s="11" customFormat="1" ht="15">
      <c r="A30" s="53" t="s">
        <v>659</v>
      </c>
      <c r="B30" s="54">
        <v>29.38</v>
      </c>
      <c r="C30" s="54">
        <v>37.89</v>
      </c>
      <c r="D30" s="54">
        <v>39.53</v>
      </c>
      <c r="E30" s="54">
        <v>2.2999999999999998</v>
      </c>
      <c r="F30" s="54">
        <v>1.51</v>
      </c>
      <c r="G30" s="54">
        <v>150.51</v>
      </c>
      <c r="H30" s="54">
        <v>56.16</v>
      </c>
      <c r="I30" s="54">
        <v>1.54</v>
      </c>
      <c r="J30" s="54">
        <v>0.19</v>
      </c>
      <c r="K30" s="54">
        <v>353.93</v>
      </c>
      <c r="L30" s="54">
        <v>20.04</v>
      </c>
      <c r="M30" s="54">
        <v>72.86</v>
      </c>
      <c r="N30" s="54">
        <v>18.5</v>
      </c>
      <c r="O30" s="54">
        <v>0</v>
      </c>
      <c r="P30" s="54">
        <v>1.35</v>
      </c>
      <c r="Q30" s="54">
        <v>6.78</v>
      </c>
      <c r="R30" s="43"/>
      <c r="S30" s="43"/>
      <c r="T30" s="43"/>
      <c r="U30" s="43"/>
    </row>
    <row r="31" spans="1:21" s="11" customFormat="1" ht="15">
      <c r="A31" s="53" t="s">
        <v>660</v>
      </c>
      <c r="B31" s="54">
        <v>32.36</v>
      </c>
      <c r="C31" s="54">
        <v>26.81</v>
      </c>
      <c r="D31" s="54">
        <v>41.84</v>
      </c>
      <c r="E31" s="54">
        <v>2.14</v>
      </c>
      <c r="F31" s="54">
        <v>0.56000000000000005</v>
      </c>
      <c r="G31" s="54">
        <v>146.13</v>
      </c>
      <c r="H31" s="54">
        <v>60.46</v>
      </c>
      <c r="I31" s="54">
        <v>1.51</v>
      </c>
      <c r="J31" s="54">
        <v>0.14000000000000001</v>
      </c>
      <c r="K31" s="54">
        <v>304.83</v>
      </c>
      <c r="L31" s="54">
        <v>19.36</v>
      </c>
      <c r="M31" s="54">
        <v>74.70</v>
      </c>
      <c r="N31" s="54">
        <v>18.399999999999999</v>
      </c>
      <c r="O31" s="54">
        <v>0</v>
      </c>
      <c r="P31" s="54">
        <v>1.40</v>
      </c>
      <c r="Q31" s="54">
        <v>7.40</v>
      </c>
      <c r="R31" s="43"/>
      <c r="S31" s="43"/>
      <c r="T31" s="43"/>
      <c r="U31" s="43"/>
    </row>
    <row r="32" spans="1:21" s="11" customFormat="1" ht="15">
      <c r="A32" s="53" t="s">
        <v>661</v>
      </c>
      <c r="B32" s="54">
        <v>30.92</v>
      </c>
      <c r="C32" s="54">
        <v>27.79</v>
      </c>
      <c r="D32" s="54">
        <v>40.380000000000003</v>
      </c>
      <c r="E32" s="54">
        <v>1.88</v>
      </c>
      <c r="F32" s="54">
        <v>0.35</v>
      </c>
      <c r="G32" s="54">
        <v>146.13</v>
      </c>
      <c r="H32" s="54">
        <v>60.46</v>
      </c>
      <c r="I32" s="54">
        <v>1.54</v>
      </c>
      <c r="J32" s="54">
        <v>0.13</v>
      </c>
      <c r="K32" s="54">
        <v>334.53</v>
      </c>
      <c r="L32" s="54">
        <v>19.18</v>
      </c>
      <c r="M32" s="54">
        <v>78.27</v>
      </c>
      <c r="N32" s="54">
        <v>18.399999999999999</v>
      </c>
      <c r="O32" s="54">
        <v>0</v>
      </c>
      <c r="P32" s="54">
        <v>1.38</v>
      </c>
      <c r="Q32" s="54">
        <v>7.53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3.73</v>
      </c>
      <c r="C34" s="28">
        <f t="shared" si="0"/>
        <v>21.5</v>
      </c>
      <c r="D34" s="28">
        <f t="shared" si="0"/>
        <v>21.690000000000001</v>
      </c>
      <c r="E34" s="28">
        <f t="shared" si="0"/>
        <v>1.3899999999999999</v>
      </c>
      <c r="F34" s="28">
        <f t="shared" si="0"/>
        <v>0.14000000000000001</v>
      </c>
      <c r="G34" s="28">
        <f t="shared" si="0"/>
        <v>78.420000000000002</v>
      </c>
      <c r="H34" s="28">
        <f t="shared" si="0"/>
        <v>37.07</v>
      </c>
      <c r="I34" s="28">
        <f t="shared" si="0"/>
        <v>1.51</v>
      </c>
      <c r="J34" s="28">
        <f t="shared" si="0"/>
        <v>0.089999999999999997</v>
      </c>
      <c r="K34" s="28">
        <f t="shared" si="0"/>
        <v>101.03</v>
      </c>
      <c r="L34" s="28">
        <f t="shared" si="0"/>
        <v>16.870000000000001</v>
      </c>
      <c r="M34" s="28">
        <f t="shared" si="0"/>
        <v>26.899999999999999</v>
      </c>
      <c r="N34" s="28">
        <f t="shared" si="0"/>
        <v>17</v>
      </c>
      <c r="O34" s="28">
        <f t="shared" si="0"/>
        <v>0</v>
      </c>
      <c r="P34" s="28">
        <f t="shared" si="0"/>
        <v>0.77000000000000002</v>
      </c>
      <c r="Q34" s="28">
        <f t="shared" si="0"/>
        <v>4.2199999999999998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59.960000000000001</v>
      </c>
      <c r="C35" s="29">
        <f t="shared" si="1"/>
        <v>54.450000000000003</v>
      </c>
      <c r="D35" s="29">
        <f t="shared" si="1"/>
        <v>65.650000000000006</v>
      </c>
      <c r="E35" s="29">
        <f t="shared" si="1"/>
        <v>4.1200000000000001</v>
      </c>
      <c r="F35" s="29">
        <f t="shared" si="1"/>
        <v>17.440000000000001</v>
      </c>
      <c r="G35" s="29">
        <f t="shared" si="1"/>
        <v>208.69999999999999</v>
      </c>
      <c r="H35" s="29">
        <f t="shared" si="1"/>
        <v>139.24000000000001</v>
      </c>
      <c r="I35" s="29">
        <f t="shared" si="1"/>
        <v>1.6100000000000001</v>
      </c>
      <c r="J35" s="29">
        <f t="shared" si="1"/>
        <v>1.97</v>
      </c>
      <c r="K35" s="29">
        <f t="shared" si="1"/>
        <v>357.19999999999999</v>
      </c>
      <c r="L35" s="29">
        <f t="shared" si="1"/>
        <v>31.109999999999999</v>
      </c>
      <c r="M35" s="29">
        <f t="shared" si="1"/>
        <v>98.489999999999995</v>
      </c>
      <c r="N35" s="29">
        <f t="shared" si="1"/>
        <v>719.20000000000005</v>
      </c>
      <c r="O35" s="29">
        <f t="shared" si="1"/>
        <v>0</v>
      </c>
      <c r="P35" s="29">
        <f t="shared" si="1"/>
        <v>1.45</v>
      </c>
      <c r="Q35" s="29">
        <f t="shared" si="1"/>
        <v>9.8599999999999994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27.11333333333334</v>
      </c>
      <c r="C36" s="28">
        <f t="shared" si="2"/>
        <v>30.787499999999994</v>
      </c>
      <c r="D36" s="28">
        <f t="shared" si="2"/>
        <v>39.079999999999991</v>
      </c>
      <c r="E36" s="28">
        <f t="shared" si="2"/>
        <v>2.3024999999999998</v>
      </c>
      <c r="F36" s="28">
        <f t="shared" si="2"/>
        <v>3.3904166666666669</v>
      </c>
      <c r="G36" s="28">
        <f t="shared" si="2"/>
        <v>143.17166666666671</v>
      </c>
      <c r="H36" s="28">
        <f t="shared" si="2"/>
        <v>73.960833333333326</v>
      </c>
      <c r="I36" s="28">
        <f t="shared" si="2"/>
        <v>1.5570833333333329</v>
      </c>
      <c r="J36" s="28">
        <f t="shared" si="2"/>
        <v>0.55499999999999994</v>
      </c>
      <c r="K36" s="28">
        <f t="shared" si="2"/>
        <v>304.89666666666665</v>
      </c>
      <c r="L36" s="28">
        <f t="shared" si="2"/>
        <v>23.236249999999998</v>
      </c>
      <c r="M36" s="28">
        <f t="shared" si="2"/>
        <v>63.775833333333331</v>
      </c>
      <c r="N36" s="28">
        <f t="shared" si="2"/>
        <v>200.43333333333331</v>
      </c>
      <c r="O36" s="28">
        <f t="shared" si="2"/>
        <v>0</v>
      </c>
      <c r="P36" s="28">
        <f t="shared" si="2"/>
        <v>1.1533333333333333</v>
      </c>
      <c r="Q36" s="28">
        <f t="shared" si="2"/>
        <v>6.8587499999999997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14.760501248312966</v>
      </c>
      <c r="C37" s="28">
        <f t="shared" si="3" ref="C37:Q37">STDEV(C9:C32)</f>
        <v>7.4259663402790164</v>
      </c>
      <c r="D37" s="28">
        <f t="shared" si="3"/>
        <v>11.315755849026759</v>
      </c>
      <c r="E37" s="28">
        <f t="shared" si="3"/>
        <v>0.64770665663051386</v>
      </c>
      <c r="F37" s="28">
        <f t="shared" si="3"/>
        <v>4.6971827626564719</v>
      </c>
      <c r="G37" s="28">
        <f t="shared" si="3"/>
        <v>42.15227330675684</v>
      </c>
      <c r="H37" s="28">
        <f t="shared" si="3"/>
        <v>28.680174930742147</v>
      </c>
      <c r="I37" s="28">
        <f t="shared" si="3"/>
        <v>0.030141574158521065</v>
      </c>
      <c r="J37" s="28">
        <f t="shared" si="3"/>
        <v>0.58239386045497799</v>
      </c>
      <c r="K37" s="28">
        <f t="shared" si="3"/>
        <v>64.282453327460388</v>
      </c>
      <c r="L37" s="28">
        <f t="shared" si="3"/>
        <v>5.0289646375856449</v>
      </c>
      <c r="M37" s="28">
        <f t="shared" si="3"/>
        <v>24.731723847980227</v>
      </c>
      <c r="N37" s="28">
        <f t="shared" si="3"/>
        <v>259.11786921192368</v>
      </c>
      <c r="O37" s="28">
        <f t="shared" si="3"/>
        <v>0</v>
      </c>
      <c r="P37" s="28">
        <f t="shared" si="3"/>
        <v>0.21400934559032755</v>
      </c>
      <c r="Q37" s="28">
        <f t="shared" si="3"/>
        <v>1.4792075213790552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COUNT(P9:P32)+6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eeb87a-1d27-4bae-980a-979e1ac88071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3"/>
      <c r="B8" s="64" t="s">
        <v>22</v>
      </c>
      <c r="C8" s="64" t="s">
        <v>22</v>
      </c>
      <c r="D8" s="29" t="s">
        <v>61</v>
      </c>
      <c r="E8" s="64" t="s">
        <v>22</v>
      </c>
      <c r="F8" s="64" t="s">
        <v>22</v>
      </c>
      <c r="G8" s="64" t="s">
        <v>23</v>
      </c>
      <c r="H8" s="64" t="s">
        <v>22</v>
      </c>
      <c r="I8" s="64" t="s">
        <v>22</v>
      </c>
      <c r="J8" s="64" t="s">
        <v>24</v>
      </c>
      <c r="K8" s="64" t="s">
        <v>25</v>
      </c>
      <c r="L8" s="63" t="s">
        <v>27</v>
      </c>
      <c r="M8" s="64" t="s">
        <v>26</v>
      </c>
      <c r="N8" s="64" t="s">
        <v>28</v>
      </c>
      <c r="O8" s="63" t="s">
        <v>29</v>
      </c>
      <c r="P8" s="64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54">
        <v>27.89</v>
      </c>
      <c r="C9" s="54">
        <v>28.88</v>
      </c>
      <c r="D9" s="54">
        <v>39.60</v>
      </c>
      <c r="E9" s="54">
        <v>1.67</v>
      </c>
      <c r="F9" s="54">
        <v>0.75</v>
      </c>
      <c r="G9" s="54">
        <v>123.98</v>
      </c>
      <c r="H9" s="54">
        <v>59.24</v>
      </c>
      <c r="I9" s="54">
        <v>1.53</v>
      </c>
      <c r="J9" s="54">
        <v>0.15</v>
      </c>
      <c r="K9" s="54">
        <v>316.80</v>
      </c>
      <c r="L9" s="54">
        <v>17.97</v>
      </c>
      <c r="M9" s="54">
        <v>80.62</v>
      </c>
      <c r="N9" s="54">
        <v>18.30</v>
      </c>
      <c r="O9" s="54">
        <v>0</v>
      </c>
      <c r="P9" s="54">
        <v>1.32</v>
      </c>
      <c r="Q9" s="54">
        <v>7.46</v>
      </c>
      <c r="R9" s="43"/>
      <c r="S9" s="43"/>
      <c r="T9" s="43"/>
      <c r="U9" s="43"/>
    </row>
    <row r="10" spans="1:21" s="11" customFormat="1" ht="15">
      <c r="A10" s="53" t="s">
        <v>663</v>
      </c>
      <c r="B10" s="54">
        <v>26.68</v>
      </c>
      <c r="C10" s="54">
        <v>22.5</v>
      </c>
      <c r="D10" s="54">
        <v>34.54</v>
      </c>
      <c r="E10" s="54">
        <v>1.57</v>
      </c>
      <c r="F10" s="54">
        <v>0.41</v>
      </c>
      <c r="G10" s="54">
        <v>110.73</v>
      </c>
      <c r="H10" s="54">
        <v>56.78</v>
      </c>
      <c r="I10" s="54">
        <v>1.57</v>
      </c>
      <c r="J10" s="54">
        <v>0.13</v>
      </c>
      <c r="K10" s="54">
        <v>321.94</v>
      </c>
      <c r="L10" s="54">
        <v>17.899999999999999</v>
      </c>
      <c r="M10" s="54">
        <v>83.33</v>
      </c>
      <c r="N10" s="54">
        <v>18.20</v>
      </c>
      <c r="O10" s="54">
        <v>0</v>
      </c>
      <c r="P10" s="54">
        <v>1.1599999999999999</v>
      </c>
      <c r="Q10" s="54">
        <v>7.13</v>
      </c>
      <c r="R10" s="43"/>
      <c r="S10" s="43"/>
      <c r="T10" s="43"/>
      <c r="U10" s="43"/>
    </row>
    <row r="11" spans="1:21" s="11" customFormat="1" ht="15">
      <c r="A11" s="53" t="s">
        <v>664</v>
      </c>
      <c r="B11" s="54">
        <v>22.92</v>
      </c>
      <c r="C11" s="54">
        <v>21.65</v>
      </c>
      <c r="D11" s="54">
        <v>31.62</v>
      </c>
      <c r="E11" s="54">
        <v>1.47</v>
      </c>
      <c r="F11" s="54">
        <v>0.53</v>
      </c>
      <c r="G11" s="54">
        <v>91.21</v>
      </c>
      <c r="H11" s="54">
        <v>52.70</v>
      </c>
      <c r="I11" s="54">
        <v>1.59</v>
      </c>
      <c r="J11" s="54">
        <v>0.10</v>
      </c>
      <c r="K11" s="54">
        <v>292.61</v>
      </c>
      <c r="L11" s="54">
        <v>17.350000000000001</v>
      </c>
      <c r="M11" s="54">
        <v>90.86</v>
      </c>
      <c r="N11" s="54">
        <v>18.30</v>
      </c>
      <c r="O11" s="54">
        <v>0</v>
      </c>
      <c r="P11" s="54">
        <v>1.08</v>
      </c>
      <c r="Q11" s="54">
        <v>6.81</v>
      </c>
      <c r="R11" s="43"/>
      <c r="S11" s="43"/>
      <c r="T11" s="43"/>
      <c r="U11" s="43"/>
    </row>
    <row r="12" spans="1:21" s="11" customFormat="1" ht="15">
      <c r="A12" s="53" t="s">
        <v>665</v>
      </c>
      <c r="B12" s="54">
        <v>18.66</v>
      </c>
      <c r="C12" s="54">
        <v>21.30</v>
      </c>
      <c r="D12" s="54">
        <v>27.55</v>
      </c>
      <c r="E12" s="54">
        <v>1.71</v>
      </c>
      <c r="F12" s="54">
        <v>1.71</v>
      </c>
      <c r="G12" s="54">
        <v>87.24</v>
      </c>
      <c r="H12" s="54">
        <v>48.46</v>
      </c>
      <c r="I12" s="54">
        <v>1.53</v>
      </c>
      <c r="J12" s="54">
        <v>0.15</v>
      </c>
      <c r="K12" s="54">
        <v>304.89999999999998</v>
      </c>
      <c r="L12" s="54">
        <v>17.13</v>
      </c>
      <c r="M12" s="54">
        <v>91.16</v>
      </c>
      <c r="N12" s="54">
        <v>18.399999999999999</v>
      </c>
      <c r="O12" s="54">
        <v>0</v>
      </c>
      <c r="P12" s="54">
        <v>0.98</v>
      </c>
      <c r="Q12" s="54">
        <v>6.60</v>
      </c>
      <c r="R12" s="43"/>
      <c r="S12" s="43"/>
      <c r="T12" s="43"/>
      <c r="U12" s="43"/>
    </row>
    <row r="13" spans="1:21" s="11" customFormat="1" ht="15">
      <c r="A13" s="53" t="s">
        <v>666</v>
      </c>
      <c r="B13" s="54">
        <v>18.03</v>
      </c>
      <c r="C13" s="54">
        <v>20.62</v>
      </c>
      <c r="D13" s="54">
        <v>26.77</v>
      </c>
      <c r="E13" s="54">
        <v>1.29</v>
      </c>
      <c r="F13" s="54">
        <v>0.45</v>
      </c>
      <c r="G13" s="54">
        <v>76.400000000000006</v>
      </c>
      <c r="H13" s="54">
        <v>45.97</v>
      </c>
      <c r="I13" s="54">
        <v>1.60</v>
      </c>
      <c r="J13" s="54">
        <v>0.16</v>
      </c>
      <c r="K13" s="54">
        <v>244.09</v>
      </c>
      <c r="L13" s="54">
        <v>17.37</v>
      </c>
      <c r="M13" s="54">
        <v>87.33</v>
      </c>
      <c r="N13" s="54">
        <v>18.20</v>
      </c>
      <c r="O13" s="54">
        <v>0</v>
      </c>
      <c r="P13" s="54">
        <v>0.89</v>
      </c>
      <c r="Q13" s="54">
        <v>6.40</v>
      </c>
      <c r="R13" s="43"/>
      <c r="S13" s="43"/>
      <c r="T13" s="43"/>
      <c r="U13" s="43"/>
    </row>
    <row r="14" spans="1:21" s="11" customFormat="1" ht="15">
      <c r="A14" s="53" t="s">
        <v>667</v>
      </c>
      <c r="B14" s="54">
        <v>17.55</v>
      </c>
      <c r="C14" s="54">
        <v>20.260000000000002</v>
      </c>
      <c r="D14" s="54">
        <v>26.52</v>
      </c>
      <c r="E14" s="54">
        <v>1.29</v>
      </c>
      <c r="F14" s="54">
        <v>0.21</v>
      </c>
      <c r="G14" s="54">
        <v>72.53</v>
      </c>
      <c r="H14" s="54">
        <v>43.25</v>
      </c>
      <c r="I14" s="54">
        <v>1.51</v>
      </c>
      <c r="J14" s="54">
        <v>0.61</v>
      </c>
      <c r="K14" s="54">
        <v>341.60</v>
      </c>
      <c r="L14" s="54">
        <v>16.440000000000001</v>
      </c>
      <c r="M14" s="54">
        <v>95.30</v>
      </c>
      <c r="N14" s="54">
        <v>20.60</v>
      </c>
      <c r="O14" s="54">
        <v>0</v>
      </c>
      <c r="P14" s="54">
        <v>0.84</v>
      </c>
      <c r="Q14" s="54">
        <v>6.35</v>
      </c>
      <c r="R14" s="43"/>
      <c r="S14" s="43"/>
      <c r="T14" s="43"/>
      <c r="U14" s="43"/>
    </row>
    <row r="15" spans="1:21" s="11" customFormat="1" ht="15">
      <c r="A15" s="53" t="s">
        <v>668</v>
      </c>
      <c r="B15" s="54">
        <v>21.64</v>
      </c>
      <c r="C15" s="54">
        <v>22.61</v>
      </c>
      <c r="D15" s="54">
        <v>31.12</v>
      </c>
      <c r="E15" s="54">
        <v>1.33</v>
      </c>
      <c r="F15" s="54">
        <v>0.13</v>
      </c>
      <c r="G15" s="54">
        <v>89.82</v>
      </c>
      <c r="H15" s="54">
        <v>46.5</v>
      </c>
      <c r="I15" s="54">
        <v>1.49</v>
      </c>
      <c r="J15" s="54">
        <v>0.37</v>
      </c>
      <c r="K15" s="54">
        <v>357.84</v>
      </c>
      <c r="L15" s="54">
        <v>18.14</v>
      </c>
      <c r="M15" s="54">
        <v>91.41</v>
      </c>
      <c r="N15" s="54">
        <v>131.30000000000001</v>
      </c>
      <c r="O15" s="54">
        <v>0</v>
      </c>
      <c r="P15" s="54">
        <v>0.84</v>
      </c>
      <c r="Q15" s="54">
        <v>6.47</v>
      </c>
      <c r="R15" s="43"/>
      <c r="S15" s="43"/>
      <c r="T15" s="43"/>
      <c r="U15" s="43"/>
    </row>
    <row r="16" spans="1:21" s="11" customFormat="1" ht="15">
      <c r="A16" s="53" t="s">
        <v>669</v>
      </c>
      <c r="B16" s="54">
        <v>28.35</v>
      </c>
      <c r="C16" s="54">
        <v>23.81</v>
      </c>
      <c r="D16" s="54">
        <v>37.17</v>
      </c>
      <c r="E16" s="54">
        <v>1.41</v>
      </c>
      <c r="F16" s="54">
        <v>0.35</v>
      </c>
      <c r="G16" s="54">
        <v>236.49</v>
      </c>
      <c r="H16" s="54">
        <v>66.599999999999994</v>
      </c>
      <c r="I16" s="54">
        <v>1.57</v>
      </c>
      <c r="J16" s="54">
        <v>0.26</v>
      </c>
      <c r="K16" s="54">
        <v>354.59</v>
      </c>
      <c r="L16" s="54">
        <v>24.68</v>
      </c>
      <c r="M16" s="54">
        <v>70.08</v>
      </c>
      <c r="N16" s="54">
        <v>320.39999999999998</v>
      </c>
      <c r="O16" s="54">
        <v>0</v>
      </c>
      <c r="P16" s="54">
        <v>0.93</v>
      </c>
      <c r="Q16" s="54">
        <v>7.10</v>
      </c>
      <c r="R16" s="43"/>
      <c r="S16" s="43"/>
      <c r="T16" s="43"/>
      <c r="U16" s="43"/>
    </row>
    <row r="17" spans="1:21" s="11" customFormat="1" ht="15">
      <c r="A17" s="53" t="s">
        <v>670</v>
      </c>
      <c r="B17" s="54">
        <v>29.11</v>
      </c>
      <c r="C17" s="54">
        <v>31.40</v>
      </c>
      <c r="D17" s="54">
        <v>39.659999999999997</v>
      </c>
      <c r="E17" s="54">
        <v>1.27</v>
      </c>
      <c r="F17" s="54">
        <v>2.2200000000000002</v>
      </c>
      <c r="G17" s="54">
        <v>236.49</v>
      </c>
      <c r="H17" s="54">
        <v>89.04</v>
      </c>
      <c r="I17" s="54">
        <v>1.61</v>
      </c>
      <c r="J17" s="54">
        <v>0.41</v>
      </c>
      <c r="K17" s="54">
        <v>345.89</v>
      </c>
      <c r="L17" s="54">
        <v>27.12</v>
      </c>
      <c r="M17" s="54">
        <v>54.01</v>
      </c>
      <c r="N17" s="54">
        <v>511.40</v>
      </c>
      <c r="O17" s="54">
        <v>0</v>
      </c>
      <c r="P17" s="54">
        <v>1.05</v>
      </c>
      <c r="Q17" s="54">
        <v>7.27</v>
      </c>
      <c r="R17" s="43"/>
      <c r="S17" s="43"/>
      <c r="T17" s="43"/>
      <c r="U17" s="43"/>
    </row>
    <row r="18" spans="1:21" s="11" customFormat="1" ht="15">
      <c r="A18" s="53" t="s">
        <v>671</v>
      </c>
      <c r="B18" s="54">
        <v>26.17</v>
      </c>
      <c r="C18" s="54">
        <v>30.11</v>
      </c>
      <c r="D18" s="54">
        <v>38.880000000000003</v>
      </c>
      <c r="E18" s="54">
        <v>1.45</v>
      </c>
      <c r="F18" s="54">
        <v>1.52</v>
      </c>
      <c r="G18" s="54">
        <v>213.71</v>
      </c>
      <c r="H18" s="54">
        <v>89.04</v>
      </c>
      <c r="I18" s="54">
        <v>1.58</v>
      </c>
      <c r="J18" s="54">
        <v>0.45</v>
      </c>
      <c r="K18" s="54">
        <v>339.34</v>
      </c>
      <c r="L18" s="54">
        <v>27.94</v>
      </c>
      <c r="M18" s="54">
        <v>50.64</v>
      </c>
      <c r="N18" s="54">
        <v>634.60</v>
      </c>
      <c r="O18" s="54">
        <v>0</v>
      </c>
      <c r="P18" s="54">
        <v>1.1499999999999999</v>
      </c>
      <c r="Q18" s="54">
        <v>7.21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22.94</v>
      </c>
      <c r="C19" s="54">
        <v>32.840000000000003</v>
      </c>
      <c r="D19" s="54">
        <v>35.86</v>
      </c>
      <c r="E19" s="54">
        <v>1.37</v>
      </c>
      <c r="F19" s="54">
        <v>3.02</v>
      </c>
      <c r="G19" s="54">
        <v>176.43</v>
      </c>
      <c r="H19" s="54">
        <v>88.53</v>
      </c>
      <c r="I19" s="54">
        <v>1.54</v>
      </c>
      <c r="J19" s="54">
        <v>0.47</v>
      </c>
      <c r="K19" s="54">
        <v>333.26</v>
      </c>
      <c r="L19" s="54">
        <v>31.05</v>
      </c>
      <c r="M19" s="54">
        <v>42.45</v>
      </c>
      <c r="N19" s="54">
        <v>737.60</v>
      </c>
      <c r="O19" s="54">
        <v>0</v>
      </c>
      <c r="P19" s="54">
        <v>1.19</v>
      </c>
      <c r="Q19" s="54">
        <v>6.92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11.20</v>
      </c>
      <c r="C20" s="54">
        <v>41.04</v>
      </c>
      <c r="D20" s="54">
        <v>32.049999999999997</v>
      </c>
      <c r="E20" s="54">
        <v>2</v>
      </c>
      <c r="F20" s="54">
        <v>4.07</v>
      </c>
      <c r="G20" s="54">
        <v>156.38</v>
      </c>
      <c r="H20" s="54">
        <v>85.22</v>
      </c>
      <c r="I20" s="54">
        <v>1.53</v>
      </c>
      <c r="J20" s="54">
        <v>0.53</v>
      </c>
      <c r="K20" s="54">
        <v>333.15</v>
      </c>
      <c r="L20" s="54">
        <v>32.06</v>
      </c>
      <c r="M20" s="54">
        <v>28.34</v>
      </c>
      <c r="N20" s="54">
        <v>686.90</v>
      </c>
      <c r="O20" s="54">
        <v>0</v>
      </c>
      <c r="P20" s="54">
        <v>1.1200000000000001</v>
      </c>
      <c r="Q20" s="54">
        <v>6.22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6.82</v>
      </c>
      <c r="C21" s="54">
        <v>37.36</v>
      </c>
      <c r="D21" s="54">
        <v>25.91</v>
      </c>
      <c r="E21" s="54">
        <v>1.56</v>
      </c>
      <c r="F21" s="54">
        <v>6.62</v>
      </c>
      <c r="G21" s="54">
        <v>100.24</v>
      </c>
      <c r="H21" s="54">
        <v>74.89</v>
      </c>
      <c r="I21" s="54">
        <v>1.56</v>
      </c>
      <c r="J21" s="54">
        <v>0.96</v>
      </c>
      <c r="K21" s="54">
        <v>340.68</v>
      </c>
      <c r="L21" s="54">
        <v>31.74</v>
      </c>
      <c r="M21" s="54">
        <v>26.54</v>
      </c>
      <c r="N21" s="54">
        <v>691.40</v>
      </c>
      <c r="O21" s="54">
        <v>0</v>
      </c>
      <c r="P21" s="54">
        <v>1.04</v>
      </c>
      <c r="Q21" s="54">
        <v>5.69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4.8099999999999996</v>
      </c>
      <c r="C22" s="54">
        <v>50.09</v>
      </c>
      <c r="D22" s="54">
        <v>31.22</v>
      </c>
      <c r="E22" s="54">
        <v>1.86</v>
      </c>
      <c r="F22" s="54">
        <v>10.77</v>
      </c>
      <c r="G22" s="54">
        <v>125.28</v>
      </c>
      <c r="H22" s="54">
        <v>58.96</v>
      </c>
      <c r="I22" s="54">
        <v>1.53</v>
      </c>
      <c r="J22" s="54">
        <v>1.99</v>
      </c>
      <c r="K22" s="54">
        <v>336.09</v>
      </c>
      <c r="L22" s="54">
        <v>31.41</v>
      </c>
      <c r="M22" s="54">
        <v>27.5</v>
      </c>
      <c r="N22" s="54">
        <v>638.29999999999995</v>
      </c>
      <c r="O22" s="54">
        <v>0</v>
      </c>
      <c r="P22" s="54">
        <v>0.90</v>
      </c>
      <c r="Q22" s="54">
        <v>5.54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4.78</v>
      </c>
      <c r="C23" s="54">
        <v>35.909999999999997</v>
      </c>
      <c r="D23" s="54">
        <v>24.42</v>
      </c>
      <c r="E23" s="54">
        <v>1.27</v>
      </c>
      <c r="F23" s="54">
        <v>6.11</v>
      </c>
      <c r="G23" s="54">
        <v>125.28</v>
      </c>
      <c r="H23" s="54">
        <v>57.15</v>
      </c>
      <c r="I23" s="54">
        <v>1.56</v>
      </c>
      <c r="J23" s="54">
        <v>1.43</v>
      </c>
      <c r="K23" s="54">
        <v>341.42</v>
      </c>
      <c r="L23" s="54">
        <v>29.28</v>
      </c>
      <c r="M23" s="54">
        <v>27.83</v>
      </c>
      <c r="N23" s="54">
        <v>253.20</v>
      </c>
      <c r="O23" s="54">
        <v>0</v>
      </c>
      <c r="P23" s="54">
        <v>0.83</v>
      </c>
      <c r="Q23" s="54">
        <v>5.37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5.37</v>
      </c>
      <c r="C24" s="54">
        <v>33.18</v>
      </c>
      <c r="D24" s="54">
        <v>23.18</v>
      </c>
      <c r="E24" s="54">
        <v>1.47</v>
      </c>
      <c r="F24" s="54">
        <v>8.99</v>
      </c>
      <c r="G24" s="54">
        <v>99.76</v>
      </c>
      <c r="H24" s="54">
        <v>48.89</v>
      </c>
      <c r="I24" s="54">
        <v>1.52</v>
      </c>
      <c r="J24" s="54">
        <v>1.24</v>
      </c>
      <c r="K24" s="54">
        <v>330.30</v>
      </c>
      <c r="L24" s="54">
        <v>27.81</v>
      </c>
      <c r="M24" s="54">
        <v>29.93</v>
      </c>
      <c r="N24" s="54">
        <v>117.20</v>
      </c>
      <c r="O24" s="54">
        <v>0</v>
      </c>
      <c r="P24" s="54">
        <v>0.78</v>
      </c>
      <c r="Q24" s="54">
        <v>5.38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6.26</v>
      </c>
      <c r="C25" s="54">
        <v>37.28</v>
      </c>
      <c r="D25" s="54">
        <v>26.07</v>
      </c>
      <c r="E25" s="54">
        <v>1.62</v>
      </c>
      <c r="F25" s="54">
        <v>8.99</v>
      </c>
      <c r="G25" s="54">
        <v>62.38</v>
      </c>
      <c r="H25" s="54">
        <v>44.05</v>
      </c>
      <c r="I25" s="54">
        <v>1.58</v>
      </c>
      <c r="J25" s="54">
        <v>1.28</v>
      </c>
      <c r="K25" s="54">
        <v>339.88</v>
      </c>
      <c r="L25" s="54">
        <v>26.32</v>
      </c>
      <c r="M25" s="54">
        <v>33.409999999999997</v>
      </c>
      <c r="N25" s="54">
        <v>77.599999999999994</v>
      </c>
      <c r="O25" s="54">
        <v>0</v>
      </c>
      <c r="P25" s="54">
        <v>0.80</v>
      </c>
      <c r="Q25" s="54">
        <v>5.27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22.75</v>
      </c>
      <c r="C26" s="54">
        <v>71.069999999999993</v>
      </c>
      <c r="D26" s="54">
        <v>56.57</v>
      </c>
      <c r="E26" s="54">
        <v>3.78</v>
      </c>
      <c r="F26" s="54">
        <v>15.48</v>
      </c>
      <c r="G26" s="54">
        <v>98.34</v>
      </c>
      <c r="H26" s="54">
        <v>40.39</v>
      </c>
      <c r="I26" s="54">
        <v>1.57</v>
      </c>
      <c r="J26" s="54">
        <v>0.47</v>
      </c>
      <c r="K26" s="54">
        <v>342.59</v>
      </c>
      <c r="L26" s="54">
        <v>24.70</v>
      </c>
      <c r="M26" s="54">
        <v>52.81</v>
      </c>
      <c r="N26" s="54">
        <v>36.40</v>
      </c>
      <c r="O26" s="54">
        <v>0</v>
      </c>
      <c r="P26" s="54">
        <v>1.31</v>
      </c>
      <c r="Q26" s="54">
        <v>4.32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40.54</v>
      </c>
      <c r="C27" s="54">
        <v>64.33</v>
      </c>
      <c r="D27" s="54">
        <v>69.31</v>
      </c>
      <c r="E27" s="54">
        <v>2.94</v>
      </c>
      <c r="F27" s="54">
        <v>0.80</v>
      </c>
      <c r="G27" s="54">
        <v>98.34</v>
      </c>
      <c r="H27" s="54">
        <v>55.02</v>
      </c>
      <c r="I27" s="54">
        <v>1.54</v>
      </c>
      <c r="J27" s="54">
        <v>0.14000000000000001</v>
      </c>
      <c r="K27" s="54">
        <v>288.58</v>
      </c>
      <c r="L27" s="54">
        <v>21.65</v>
      </c>
      <c r="M27" s="54">
        <v>60.87</v>
      </c>
      <c r="N27" s="54">
        <v>27.20</v>
      </c>
      <c r="O27" s="54">
        <v>0</v>
      </c>
      <c r="P27" s="54">
        <v>1.64</v>
      </c>
      <c r="Q27" s="54">
        <v>4.1399999999999997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43.53</v>
      </c>
      <c r="C28" s="54">
        <v>55.56</v>
      </c>
      <c r="D28" s="54">
        <v>66.86</v>
      </c>
      <c r="E28" s="54">
        <v>2.0499999999999998</v>
      </c>
      <c r="F28" s="54">
        <v>1.33</v>
      </c>
      <c r="G28" s="54">
        <v>191.72</v>
      </c>
      <c r="H28" s="54">
        <v>63.14</v>
      </c>
      <c r="I28" s="54">
        <v>1.55</v>
      </c>
      <c r="J28" s="54">
        <v>0.14000000000000001</v>
      </c>
      <c r="K28" s="54">
        <v>294.54000000000002</v>
      </c>
      <c r="L28" s="54">
        <v>21.32</v>
      </c>
      <c r="M28" s="54">
        <v>59.04</v>
      </c>
      <c r="N28" s="54">
        <v>26.70</v>
      </c>
      <c r="O28" s="54">
        <v>0</v>
      </c>
      <c r="P28" s="54">
        <v>1.51</v>
      </c>
      <c r="Q28" s="54">
        <v>7.29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44.92</v>
      </c>
      <c r="C29" s="54">
        <v>51.29</v>
      </c>
      <c r="D29" s="54">
        <v>63.94</v>
      </c>
      <c r="E29" s="54">
        <v>1.72</v>
      </c>
      <c r="F29" s="54">
        <v>0.26</v>
      </c>
      <c r="G29" s="54">
        <v>192.30</v>
      </c>
      <c r="H29" s="54">
        <v>64.64</v>
      </c>
      <c r="I29" s="54">
        <v>1.54</v>
      </c>
      <c r="J29" s="54">
        <v>0.17</v>
      </c>
      <c r="K29" s="54">
        <v>327.64999999999998</v>
      </c>
      <c r="L29" s="54">
        <v>20.90</v>
      </c>
      <c r="M29" s="54">
        <v>67.760000000000005</v>
      </c>
      <c r="N29" s="54">
        <v>27.30</v>
      </c>
      <c r="O29" s="54">
        <v>0</v>
      </c>
      <c r="P29" s="54">
        <v>1.74</v>
      </c>
      <c r="Q29" s="54">
        <v>7.34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57.33</v>
      </c>
      <c r="C30" s="54">
        <v>48.47</v>
      </c>
      <c r="D30" s="54">
        <v>73.5</v>
      </c>
      <c r="E30" s="54">
        <v>1.77</v>
      </c>
      <c r="F30" s="54">
        <v>0.39</v>
      </c>
      <c r="G30" s="54">
        <v>192.30</v>
      </c>
      <c r="H30" s="54">
        <v>70.44</v>
      </c>
      <c r="I30" s="54">
        <v>1.58</v>
      </c>
      <c r="J30" s="54">
        <v>0.16</v>
      </c>
      <c r="K30" s="54">
        <v>333.99</v>
      </c>
      <c r="L30" s="54">
        <v>20.010000000000002</v>
      </c>
      <c r="M30" s="54">
        <v>73.989999999999995</v>
      </c>
      <c r="N30" s="54">
        <v>27</v>
      </c>
      <c r="O30" s="54">
        <v>0</v>
      </c>
      <c r="P30" s="54">
        <v>1.86</v>
      </c>
      <c r="Q30" s="54">
        <v>9.40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66.680000000000007</v>
      </c>
      <c r="C31" s="54">
        <v>38.700000000000003</v>
      </c>
      <c r="D31" s="54">
        <v>75.86</v>
      </c>
      <c r="E31" s="54">
        <v>1.65</v>
      </c>
      <c r="F31" s="54">
        <v>0.24</v>
      </c>
      <c r="G31" s="54">
        <v>199.45</v>
      </c>
      <c r="H31" s="54">
        <v>73.010000000000005</v>
      </c>
      <c r="I31" s="54">
        <v>1.57</v>
      </c>
      <c r="J31" s="54">
        <v>0.12</v>
      </c>
      <c r="K31" s="54">
        <v>325.05</v>
      </c>
      <c r="L31" s="54">
        <v>18.96</v>
      </c>
      <c r="M31" s="54">
        <v>75.569999999999993</v>
      </c>
      <c r="N31" s="54">
        <v>27</v>
      </c>
      <c r="O31" s="54">
        <v>0</v>
      </c>
      <c r="P31" s="54">
        <v>1.97</v>
      </c>
      <c r="Q31" s="54">
        <v>10.43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66.17</v>
      </c>
      <c r="C32" s="54">
        <v>46.87</v>
      </c>
      <c r="D32" s="54">
        <v>80.22</v>
      </c>
      <c r="E32" s="54">
        <v>1.72</v>
      </c>
      <c r="F32" s="54">
        <v>0.22</v>
      </c>
      <c r="G32" s="54">
        <v>199.45</v>
      </c>
      <c r="H32" s="54">
        <v>73.010000000000005</v>
      </c>
      <c r="I32" s="54">
        <v>1.52</v>
      </c>
      <c r="J32" s="54">
        <v>0.17</v>
      </c>
      <c r="K32" s="54">
        <v>311.70999999999998</v>
      </c>
      <c r="L32" s="54">
        <v>18.97</v>
      </c>
      <c r="M32" s="54">
        <v>77.66</v>
      </c>
      <c r="N32" s="54">
        <v>27</v>
      </c>
      <c r="O32" s="54">
        <v>0</v>
      </c>
      <c r="P32" s="54">
        <v>1.96</v>
      </c>
      <c r="Q32" s="54">
        <v>10.55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4.7800000000000002</v>
      </c>
      <c r="C34" s="28">
        <f t="shared" si="0"/>
        <v>20.260000000000002</v>
      </c>
      <c r="D34" s="28">
        <f t="shared" si="0"/>
        <v>23.18</v>
      </c>
      <c r="E34" s="28">
        <f t="shared" si="0"/>
        <v>1.27</v>
      </c>
      <c r="F34" s="28">
        <f t="shared" si="0"/>
        <v>0.13</v>
      </c>
      <c r="G34" s="28">
        <f t="shared" si="0"/>
        <v>62.380000000000003</v>
      </c>
      <c r="H34" s="28">
        <f t="shared" si="0"/>
        <v>40.390000000000001</v>
      </c>
      <c r="I34" s="28">
        <f t="shared" si="0"/>
        <v>1.49</v>
      </c>
      <c r="J34" s="28">
        <f t="shared" si="0"/>
        <v>0.10000000000000001</v>
      </c>
      <c r="K34" s="28">
        <f t="shared" si="0"/>
        <v>244.09</v>
      </c>
      <c r="L34" s="28">
        <f t="shared" si="0"/>
        <v>16.440000000000001</v>
      </c>
      <c r="M34" s="28">
        <f t="shared" si="0"/>
        <v>26.539999999999999</v>
      </c>
      <c r="N34" s="28">
        <f t="shared" si="0"/>
        <v>18.199999999999999</v>
      </c>
      <c r="O34" s="28">
        <f t="shared" si="0"/>
        <v>0</v>
      </c>
      <c r="P34" s="28">
        <f t="shared" si="0"/>
        <v>0.78000000000000003</v>
      </c>
      <c r="Q34" s="28">
        <f t="shared" si="0"/>
        <v>4.1399999999999997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66.680000000000007</v>
      </c>
      <c r="C35" s="29">
        <f t="shared" si="1"/>
        <v>71.069999999999993</v>
      </c>
      <c r="D35" s="29">
        <f t="shared" si="1"/>
        <v>80.219999999999999</v>
      </c>
      <c r="E35" s="29">
        <f t="shared" si="1"/>
        <v>3.7799999999999998</v>
      </c>
      <c r="F35" s="29">
        <f t="shared" si="1"/>
        <v>15.48</v>
      </c>
      <c r="G35" s="29">
        <f t="shared" si="1"/>
        <v>236.49000000000001</v>
      </c>
      <c r="H35" s="29">
        <f t="shared" si="1"/>
        <v>89.040000000000006</v>
      </c>
      <c r="I35" s="29">
        <f t="shared" si="1"/>
        <v>1.6100000000000001</v>
      </c>
      <c r="J35" s="29">
        <f t="shared" si="1"/>
        <v>1.99</v>
      </c>
      <c r="K35" s="29">
        <f t="shared" si="1"/>
        <v>357.83999999999997</v>
      </c>
      <c r="L35" s="29">
        <f t="shared" si="1"/>
        <v>32.060000000000002</v>
      </c>
      <c r="M35" s="29">
        <f t="shared" si="1"/>
        <v>95.299999999999997</v>
      </c>
      <c r="N35" s="29">
        <f t="shared" si="1"/>
        <v>737.60000000000002</v>
      </c>
      <c r="O35" s="29">
        <f t="shared" si="1"/>
        <v>0</v>
      </c>
      <c r="P35" s="29">
        <f t="shared" si="1"/>
        <v>1.97</v>
      </c>
      <c r="Q35" s="29">
        <f t="shared" si="1"/>
        <v>10.550000000000001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26.712500000000002</v>
      </c>
      <c r="C36" s="28">
        <f t="shared" si="2"/>
        <v>36.963750000000012</v>
      </c>
      <c r="D36" s="28">
        <f t="shared" si="2"/>
        <v>42.433333333333344</v>
      </c>
      <c r="E36" s="28">
        <f t="shared" si="2"/>
        <v>1.718333333333333</v>
      </c>
      <c r="F36" s="28">
        <f t="shared" si="2"/>
        <v>3.1487499999999997</v>
      </c>
      <c r="G36" s="28">
        <f t="shared" si="2"/>
        <v>139.84375000000003</v>
      </c>
      <c r="H36" s="28">
        <f t="shared" si="2"/>
        <v>62.288333333333348</v>
      </c>
      <c r="I36" s="28">
        <f t="shared" si="2"/>
        <v>1.5529166666666667</v>
      </c>
      <c r="J36" s="28">
        <f t="shared" si="2"/>
        <v>0.50250000000000006</v>
      </c>
      <c r="K36" s="28">
        <f t="shared" si="2"/>
        <v>324.93708333333336</v>
      </c>
      <c r="L36" s="28">
        <f t="shared" si="2"/>
        <v>23.259166666666669</v>
      </c>
      <c r="M36" s="28">
        <f t="shared" si="2"/>
        <v>61.601666666666659</v>
      </c>
      <c r="N36" s="28">
        <f t="shared" si="2"/>
        <v>212.93749999999997</v>
      </c>
      <c r="O36" s="28">
        <f t="shared" si="2"/>
        <v>0</v>
      </c>
      <c r="P36" s="28">
        <f t="shared" si="2"/>
        <v>1.2037500000000001</v>
      </c>
      <c r="Q36" s="28">
        <f t="shared" si="2"/>
        <v>6.7775000000000007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18.264381885302711</v>
      </c>
      <c r="C37" s="28">
        <f t="shared" si="3" ref="C37:Q37">STDEV(C9:C32)</f>
        <v>14.258301567401221</v>
      </c>
      <c r="D37" s="28">
        <f t="shared" si="3"/>
        <v>18.75213951078338</v>
      </c>
      <c r="E37" s="28">
        <f t="shared" si="3"/>
        <v>0.56531381563245764</v>
      </c>
      <c r="F37" s="28">
        <f t="shared" si="3"/>
        <v>4.1726295665922706</v>
      </c>
      <c r="G37" s="28">
        <f t="shared" si="3"/>
        <v>55.710785374693899</v>
      </c>
      <c r="H37" s="28">
        <f t="shared" si="3"/>
        <v>15.334820469786326</v>
      </c>
      <c r="I37" s="28">
        <f t="shared" si="3"/>
        <v>0.030141574158521062</v>
      </c>
      <c r="J37" s="28">
        <f t="shared" si="3"/>
        <v>0.508486672049695</v>
      </c>
      <c r="K37" s="28">
        <f t="shared" si="3"/>
        <v>25.365507987639511</v>
      </c>
      <c r="L37" s="28">
        <f t="shared" si="3"/>
        <v>5.4360910801681701</v>
      </c>
      <c r="M37" s="28">
        <f t="shared" si="3"/>
        <v>23.803386618142252</v>
      </c>
      <c r="N37" s="28">
        <f t="shared" si="3"/>
        <v>270.98412405366196</v>
      </c>
      <c r="O37" s="28">
        <f t="shared" si="3"/>
        <v>0</v>
      </c>
      <c r="P37" s="28">
        <f t="shared" si="3"/>
        <v>0.38030665544256925</v>
      </c>
      <c r="Q37" s="28">
        <f t="shared" si="3"/>
        <v>1.5996283535762921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927711-d61a-4388-b320-a76d22c759a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58.91</v>
      </c>
      <c r="C9" s="54">
        <v>38.32</v>
      </c>
      <c r="D9" s="54">
        <v>69.02</v>
      </c>
      <c r="E9" s="54">
        <v>1.68</v>
      </c>
      <c r="F9" s="54">
        <v>0.34</v>
      </c>
      <c r="G9" s="54">
        <v>156.94999999999999</v>
      </c>
      <c r="H9" s="54">
        <v>69.98</v>
      </c>
      <c r="I9" s="54">
        <v>1.49</v>
      </c>
      <c r="J9" s="54">
        <v>0.05</v>
      </c>
      <c r="K9" s="54">
        <v>304.89999999999998</v>
      </c>
      <c r="L9" s="54">
        <v>18.57</v>
      </c>
      <c r="M9" s="54">
        <v>83.48</v>
      </c>
      <c r="N9" s="54">
        <v>27.20</v>
      </c>
      <c r="O9" s="54">
        <v>0</v>
      </c>
      <c r="P9" s="54">
        <v>1.88</v>
      </c>
      <c r="Q9" s="54">
        <v>10.55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53.73</v>
      </c>
      <c r="C10" s="54">
        <v>31.22</v>
      </c>
      <c r="D10" s="54">
        <v>61.61</v>
      </c>
      <c r="E10" s="54">
        <v>1.63</v>
      </c>
      <c r="F10" s="54">
        <v>0.11</v>
      </c>
      <c r="G10" s="54">
        <v>113.34</v>
      </c>
      <c r="H10" s="54">
        <v>59.17</v>
      </c>
      <c r="I10" s="54">
        <v>1.54</v>
      </c>
      <c r="J10" s="54">
        <v>0.06</v>
      </c>
      <c r="K10" s="54">
        <v>340.17</v>
      </c>
      <c r="L10" s="54">
        <v>17.579999999999998</v>
      </c>
      <c r="M10" s="54">
        <v>83.76</v>
      </c>
      <c r="N10" s="54">
        <v>27</v>
      </c>
      <c r="O10" s="54">
        <v>0</v>
      </c>
      <c r="P10" s="54">
        <v>1.62</v>
      </c>
      <c r="Q10" s="54">
        <v>9.6999999999999993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44.46</v>
      </c>
      <c r="C11" s="54">
        <v>28.74</v>
      </c>
      <c r="D11" s="54">
        <v>52.80</v>
      </c>
      <c r="E11" s="54">
        <v>1.69</v>
      </c>
      <c r="F11" s="54">
        <v>0.45</v>
      </c>
      <c r="G11" s="54">
        <v>91.67</v>
      </c>
      <c r="H11" s="54">
        <v>56.75</v>
      </c>
      <c r="I11" s="54">
        <v>1.59</v>
      </c>
      <c r="J11" s="54">
        <v>0.17</v>
      </c>
      <c r="K11" s="54">
        <v>298.93</v>
      </c>
      <c r="L11" s="54">
        <v>17.350000000000001</v>
      </c>
      <c r="M11" s="54">
        <v>88.57</v>
      </c>
      <c r="N11" s="54">
        <v>26.90</v>
      </c>
      <c r="O11" s="54">
        <v>0</v>
      </c>
      <c r="P11" s="54">
        <v>1.51</v>
      </c>
      <c r="Q11" s="54">
        <v>8.99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37.04</v>
      </c>
      <c r="C12" s="54">
        <v>28.01</v>
      </c>
      <c r="D12" s="54">
        <v>46.46</v>
      </c>
      <c r="E12" s="54">
        <v>1.57</v>
      </c>
      <c r="F12" s="54">
        <v>0.21</v>
      </c>
      <c r="G12" s="54">
        <v>94.48</v>
      </c>
      <c r="H12" s="54">
        <v>55.73</v>
      </c>
      <c r="I12" s="54">
        <v>1.53</v>
      </c>
      <c r="J12" s="54">
        <v>0.11</v>
      </c>
      <c r="K12" s="54">
        <v>351.05</v>
      </c>
      <c r="L12" s="54">
        <v>17.190000000000001</v>
      </c>
      <c r="M12" s="54">
        <v>87.88</v>
      </c>
      <c r="N12" s="54">
        <v>26.80</v>
      </c>
      <c r="O12" s="54">
        <v>0</v>
      </c>
      <c r="P12" s="54">
        <v>1.34</v>
      </c>
      <c r="Q12" s="54">
        <v>8.44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32.96</v>
      </c>
      <c r="C13" s="54">
        <v>25.72</v>
      </c>
      <c r="D13" s="54">
        <v>41.92</v>
      </c>
      <c r="E13" s="54">
        <v>1.29</v>
      </c>
      <c r="F13" s="54">
        <v>0.12</v>
      </c>
      <c r="G13" s="54">
        <v>129.13999999999999</v>
      </c>
      <c r="H13" s="54">
        <v>65.900000000000006</v>
      </c>
      <c r="I13" s="54">
        <v>1.59</v>
      </c>
      <c r="J13" s="54">
        <v>0.16</v>
      </c>
      <c r="K13" s="54">
        <v>292.70999999999998</v>
      </c>
      <c r="L13" s="54">
        <v>17.09</v>
      </c>
      <c r="M13" s="54">
        <v>87.75</v>
      </c>
      <c r="N13" s="54">
        <v>26.90</v>
      </c>
      <c r="O13" s="54">
        <v>0</v>
      </c>
      <c r="P13" s="54">
        <v>1.25</v>
      </c>
      <c r="Q13" s="54">
        <v>7.84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34.67</v>
      </c>
      <c r="C14" s="54">
        <v>25.45</v>
      </c>
      <c r="D14" s="54">
        <v>43.14</v>
      </c>
      <c r="E14" s="54">
        <v>1.58</v>
      </c>
      <c r="F14" s="54">
        <v>0.070000000000000007</v>
      </c>
      <c r="G14" s="54">
        <v>129.13999999999999</v>
      </c>
      <c r="H14" s="54">
        <v>65.900000000000006</v>
      </c>
      <c r="I14" s="54">
        <v>1.54</v>
      </c>
      <c r="J14" s="54">
        <v>0.17</v>
      </c>
      <c r="K14" s="54">
        <v>261.83999999999997</v>
      </c>
      <c r="L14" s="54">
        <v>16.63</v>
      </c>
      <c r="M14" s="54">
        <v>95.81</v>
      </c>
      <c r="N14" s="54">
        <v>29.20</v>
      </c>
      <c r="O14" s="54">
        <v>0</v>
      </c>
      <c r="P14" s="54">
        <v>1.17</v>
      </c>
      <c r="Q14" s="54">
        <v>7.81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37.229999999999997</v>
      </c>
      <c r="C15" s="54">
        <v>25.65</v>
      </c>
      <c r="D15" s="54">
        <v>44.94</v>
      </c>
      <c r="E15" s="54">
        <v>1.44</v>
      </c>
      <c r="F15" s="54">
        <v>0.23</v>
      </c>
      <c r="G15" s="54">
        <v>116.81</v>
      </c>
      <c r="H15" s="54">
        <v>60.72</v>
      </c>
      <c r="I15" s="54">
        <v>1.56</v>
      </c>
      <c r="J15" s="54">
        <v>0.53</v>
      </c>
      <c r="K15" s="54">
        <v>180.84</v>
      </c>
      <c r="L15" s="54">
        <v>17.36</v>
      </c>
      <c r="M15" s="54">
        <v>93.39</v>
      </c>
      <c r="N15" s="54">
        <v>138.5</v>
      </c>
      <c r="O15" s="54">
        <v>0</v>
      </c>
      <c r="P15" s="54">
        <v>1.1200000000000001</v>
      </c>
      <c r="Q15" s="54">
        <v>8.0500000000000007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34.71</v>
      </c>
      <c r="C16" s="54">
        <v>26.31</v>
      </c>
      <c r="D16" s="54">
        <v>43.35</v>
      </c>
      <c r="E16" s="54">
        <v>1.51</v>
      </c>
      <c r="F16" s="54">
        <v>0.19</v>
      </c>
      <c r="G16" s="54">
        <v>110.39</v>
      </c>
      <c r="H16" s="54">
        <v>56.62</v>
      </c>
      <c r="I16" s="54">
        <v>1.55</v>
      </c>
      <c r="J16" s="54">
        <v>0.78</v>
      </c>
      <c r="K16" s="54">
        <v>181.13</v>
      </c>
      <c r="L16" s="54">
        <v>21.05</v>
      </c>
      <c r="M16" s="54">
        <v>80.040000000000006</v>
      </c>
      <c r="N16" s="54">
        <v>377.90</v>
      </c>
      <c r="O16" s="54">
        <v>0</v>
      </c>
      <c r="P16" s="54">
        <v>1.1100000000000001</v>
      </c>
      <c r="Q16" s="54">
        <v>7.91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27.15</v>
      </c>
      <c r="C17" s="54">
        <v>29.10</v>
      </c>
      <c r="D17" s="54">
        <v>37.770000000000003</v>
      </c>
      <c r="E17" s="54">
        <v>1.5</v>
      </c>
      <c r="F17" s="54">
        <v>1.74</v>
      </c>
      <c r="G17" s="54">
        <v>104.94</v>
      </c>
      <c r="H17" s="54">
        <v>60</v>
      </c>
      <c r="I17" s="54">
        <v>1.60</v>
      </c>
      <c r="J17" s="54">
        <v>1.06</v>
      </c>
      <c r="K17" s="54">
        <v>167.77</v>
      </c>
      <c r="L17" s="54">
        <v>23.87</v>
      </c>
      <c r="M17" s="54">
        <v>63.28</v>
      </c>
      <c r="N17" s="54">
        <v>584.5</v>
      </c>
      <c r="O17" s="54">
        <v>0</v>
      </c>
      <c r="P17" s="54">
        <v>1.08</v>
      </c>
      <c r="Q17" s="54">
        <v>7.43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16.98</v>
      </c>
      <c r="C18" s="54">
        <v>28.81</v>
      </c>
      <c r="D18" s="54">
        <v>30.81</v>
      </c>
      <c r="E18" s="54">
        <v>1.18</v>
      </c>
      <c r="F18" s="54">
        <v>2.79</v>
      </c>
      <c r="G18" s="54">
        <v>104.94</v>
      </c>
      <c r="H18" s="54">
        <v>60</v>
      </c>
      <c r="I18" s="54">
        <v>1.54</v>
      </c>
      <c r="J18" s="54">
        <v>0.82</v>
      </c>
      <c r="K18" s="54">
        <v>153.54</v>
      </c>
      <c r="L18" s="54">
        <v>27.40</v>
      </c>
      <c r="M18" s="54">
        <v>50.99</v>
      </c>
      <c r="N18" s="54">
        <v>704.20</v>
      </c>
      <c r="O18" s="54">
        <v>0</v>
      </c>
      <c r="P18" s="54">
        <v>0.98</v>
      </c>
      <c r="Q18" s="54">
        <v>6.67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9.67</v>
      </c>
      <c r="C19" s="54">
        <v>26.64</v>
      </c>
      <c r="D19" s="54">
        <v>23.71</v>
      </c>
      <c r="E19" s="54">
        <v>1.1599999999999999</v>
      </c>
      <c r="F19" s="54">
        <v>2.4900000000000002</v>
      </c>
      <c r="G19" s="54">
        <v>80.540000000000006</v>
      </c>
      <c r="H19" s="54">
        <v>48.96</v>
      </c>
      <c r="I19" s="54">
        <v>1.53</v>
      </c>
      <c r="J19" s="54">
        <v>0.55000000000000004</v>
      </c>
      <c r="K19" s="54">
        <v>132.52000000000001</v>
      </c>
      <c r="L19" s="54">
        <v>28.19</v>
      </c>
      <c r="M19" s="54">
        <v>44.30</v>
      </c>
      <c r="N19" s="54">
        <v>749.80</v>
      </c>
      <c r="O19" s="54">
        <v>0</v>
      </c>
      <c r="P19" s="54">
        <v>0.90</v>
      </c>
      <c r="Q19" s="54">
        <v>5.96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5.41</v>
      </c>
      <c r="C20" s="54">
        <v>27.56</v>
      </c>
      <c r="D20" s="54">
        <v>20.37</v>
      </c>
      <c r="E20" s="54">
        <v>1.29</v>
      </c>
      <c r="F20" s="54">
        <v>5.20</v>
      </c>
      <c r="G20" s="54">
        <v>64.97</v>
      </c>
      <c r="H20" s="54">
        <v>46.02</v>
      </c>
      <c r="I20" s="54">
        <v>1.54</v>
      </c>
      <c r="J20" s="54">
        <v>0.57999999999999996</v>
      </c>
      <c r="K20" s="54">
        <v>347.37</v>
      </c>
      <c r="L20" s="54">
        <v>30.34</v>
      </c>
      <c r="M20" s="54">
        <v>32.07</v>
      </c>
      <c r="N20" s="54">
        <v>746.70</v>
      </c>
      <c r="O20" s="54">
        <v>0</v>
      </c>
      <c r="P20" s="54">
        <v>0.83</v>
      </c>
      <c r="Q20" s="54">
        <v>5.53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4.51</v>
      </c>
      <c r="C21" s="54">
        <v>26.76</v>
      </c>
      <c r="D21" s="54">
        <v>19.350000000000001</v>
      </c>
      <c r="E21" s="54">
        <v>1.58</v>
      </c>
      <c r="F21" s="54">
        <v>4.51</v>
      </c>
      <c r="G21" s="54">
        <v>71.11</v>
      </c>
      <c r="H21" s="54">
        <v>39.880000000000003</v>
      </c>
      <c r="I21" s="54">
        <v>1.54</v>
      </c>
      <c r="J21" s="54">
        <v>1.30</v>
      </c>
      <c r="K21" s="54">
        <v>334.31</v>
      </c>
      <c r="L21" s="54">
        <v>29.03</v>
      </c>
      <c r="M21" s="54">
        <v>26.63</v>
      </c>
      <c r="N21" s="54">
        <v>693.5</v>
      </c>
      <c r="O21" s="54">
        <v>0</v>
      </c>
      <c r="P21" s="54">
        <v>0.78</v>
      </c>
      <c r="Q21" s="54">
        <v>5.29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3.78</v>
      </c>
      <c r="C22" s="54">
        <v>27.83</v>
      </c>
      <c r="D22" s="54">
        <v>19.62</v>
      </c>
      <c r="E22" s="54">
        <v>1.44</v>
      </c>
      <c r="F22" s="54">
        <v>5.22</v>
      </c>
      <c r="G22" s="54">
        <v>82.92</v>
      </c>
      <c r="H22" s="54">
        <v>37.770000000000003</v>
      </c>
      <c r="I22" s="54">
        <v>1.52</v>
      </c>
      <c r="J22" s="54">
        <v>0.73</v>
      </c>
      <c r="K22" s="54">
        <v>341.61</v>
      </c>
      <c r="L22" s="54">
        <v>29.91</v>
      </c>
      <c r="M22" s="54">
        <v>31.31</v>
      </c>
      <c r="N22" s="54">
        <v>636.29999999999995</v>
      </c>
      <c r="O22" s="54">
        <v>0</v>
      </c>
      <c r="P22" s="54">
        <v>0.80</v>
      </c>
      <c r="Q22" s="54">
        <v>5.24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4.54</v>
      </c>
      <c r="C23" s="54">
        <v>29.61</v>
      </c>
      <c r="D23" s="54">
        <v>20.97</v>
      </c>
      <c r="E23" s="54">
        <v>2.36</v>
      </c>
      <c r="F23" s="54">
        <v>9.7899999999999991</v>
      </c>
      <c r="G23" s="54">
        <v>82.92</v>
      </c>
      <c r="H23" s="54">
        <v>36.17</v>
      </c>
      <c r="I23" s="54">
        <v>1.52</v>
      </c>
      <c r="J23" s="54">
        <v>1.61</v>
      </c>
      <c r="K23" s="54">
        <v>333.43</v>
      </c>
      <c r="L23" s="54">
        <v>27.75</v>
      </c>
      <c r="M23" s="54">
        <v>30.52</v>
      </c>
      <c r="N23" s="54">
        <v>294.80</v>
      </c>
      <c r="O23" s="54">
        <v>0</v>
      </c>
      <c r="P23" s="54">
        <v>0.79</v>
      </c>
      <c r="Q23" s="54">
        <v>5.22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4.63</v>
      </c>
      <c r="C24" s="54">
        <v>29.80</v>
      </c>
      <c r="D24" s="54">
        <v>20.77</v>
      </c>
      <c r="E24" s="54">
        <v>2.2999999999999998</v>
      </c>
      <c r="F24" s="54">
        <v>11.20</v>
      </c>
      <c r="G24" s="54">
        <v>82.90</v>
      </c>
      <c r="H24" s="54">
        <v>57.06</v>
      </c>
      <c r="I24" s="54">
        <v>1.51</v>
      </c>
      <c r="J24" s="54">
        <v>0.46</v>
      </c>
      <c r="K24" s="54">
        <v>337.37</v>
      </c>
      <c r="L24" s="54">
        <v>27.13</v>
      </c>
      <c r="M24" s="54">
        <v>30.82</v>
      </c>
      <c r="N24" s="54">
        <v>115.30</v>
      </c>
      <c r="O24" s="54">
        <v>0</v>
      </c>
      <c r="P24" s="54">
        <v>0.76</v>
      </c>
      <c r="Q24" s="54">
        <v>5.04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8.4700000000000006</v>
      </c>
      <c r="C25" s="54">
        <v>49.46</v>
      </c>
      <c r="D25" s="54">
        <v>35.380000000000003</v>
      </c>
      <c r="E25" s="54">
        <v>2.72</v>
      </c>
      <c r="F25" s="54">
        <v>10.51</v>
      </c>
      <c r="G25" s="54">
        <v>81.37</v>
      </c>
      <c r="H25" s="54">
        <v>57.06</v>
      </c>
      <c r="I25" s="54">
        <v>1.57</v>
      </c>
      <c r="J25" s="54">
        <v>0.44</v>
      </c>
      <c r="K25" s="54">
        <v>351.84</v>
      </c>
      <c r="L25" s="54">
        <v>25.97</v>
      </c>
      <c r="M25" s="54">
        <v>30.69</v>
      </c>
      <c r="N25" s="54">
        <v>77.400000000000006</v>
      </c>
      <c r="O25" s="54">
        <v>0</v>
      </c>
      <c r="P25" s="54">
        <v>0.95</v>
      </c>
      <c r="Q25" s="54">
        <v>4.92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25.29</v>
      </c>
      <c r="C26" s="54">
        <v>64.62</v>
      </c>
      <c r="D26" s="54">
        <v>54.81</v>
      </c>
      <c r="E26" s="54">
        <v>4.04</v>
      </c>
      <c r="F26" s="54">
        <v>9.73</v>
      </c>
      <c r="G26" s="54">
        <v>117.11</v>
      </c>
      <c r="H26" s="54">
        <v>47.66</v>
      </c>
      <c r="I26" s="54">
        <v>1.54</v>
      </c>
      <c r="J26" s="54">
        <v>0.12</v>
      </c>
      <c r="K26" s="54">
        <v>348.80</v>
      </c>
      <c r="L26" s="54">
        <v>24.34</v>
      </c>
      <c r="M26" s="54">
        <v>44.80</v>
      </c>
      <c r="N26" s="54">
        <v>41.20</v>
      </c>
      <c r="O26" s="54">
        <v>0</v>
      </c>
      <c r="P26" s="54">
        <v>1.57</v>
      </c>
      <c r="Q26" s="54">
        <v>3.08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29.23</v>
      </c>
      <c r="C27" s="54">
        <v>68.59</v>
      </c>
      <c r="D27" s="54">
        <v>62.59</v>
      </c>
      <c r="E27" s="54">
        <v>3.28</v>
      </c>
      <c r="F27" s="54">
        <v>1.52</v>
      </c>
      <c r="G27" s="54">
        <v>156.80000000000001</v>
      </c>
      <c r="H27" s="54">
        <v>82.25</v>
      </c>
      <c r="I27" s="54">
        <v>1.56</v>
      </c>
      <c r="J27" s="54">
        <v>0.18</v>
      </c>
      <c r="K27" s="54">
        <v>340.08</v>
      </c>
      <c r="L27" s="54">
        <v>22.17</v>
      </c>
      <c r="M27" s="54">
        <v>52.63</v>
      </c>
      <c r="N27" s="54">
        <v>32.10</v>
      </c>
      <c r="O27" s="54">
        <v>0</v>
      </c>
      <c r="P27" s="54">
        <v>1.72</v>
      </c>
      <c r="Q27" s="54">
        <v>2.91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49.91</v>
      </c>
      <c r="C28" s="54">
        <v>49.45</v>
      </c>
      <c r="D28" s="54">
        <v>66.86</v>
      </c>
      <c r="E28" s="54">
        <v>2.1800000000000002</v>
      </c>
      <c r="F28" s="54">
        <v>0.28999999999999998</v>
      </c>
      <c r="G28" s="54">
        <v>193.24</v>
      </c>
      <c r="H28" s="54">
        <v>82.25</v>
      </c>
      <c r="I28" s="54">
        <v>1.54</v>
      </c>
      <c r="J28" s="54">
        <v>0.17</v>
      </c>
      <c r="K28" s="54">
        <v>333.83</v>
      </c>
      <c r="L28" s="54">
        <v>21.34</v>
      </c>
      <c r="M28" s="54">
        <v>61.37</v>
      </c>
      <c r="N28" s="54">
        <v>32</v>
      </c>
      <c r="O28" s="54">
        <v>0</v>
      </c>
      <c r="P28" s="54">
        <v>1.94</v>
      </c>
      <c r="Q28" s="54">
        <v>4.74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60.48</v>
      </c>
      <c r="C29" s="54">
        <v>54.19</v>
      </c>
      <c r="D29" s="54">
        <v>79.70</v>
      </c>
      <c r="E29" s="54">
        <v>2.4500000000000002</v>
      </c>
      <c r="F29" s="54">
        <v>0.28999999999999998</v>
      </c>
      <c r="G29" s="54">
        <v>202.02</v>
      </c>
      <c r="H29" s="54">
        <v>95.88</v>
      </c>
      <c r="I29" s="54">
        <v>1.47</v>
      </c>
      <c r="J29" s="54">
        <v>0.09</v>
      </c>
      <c r="K29" s="54">
        <v>281.42</v>
      </c>
      <c r="L29" s="54">
        <v>20.32</v>
      </c>
      <c r="M29" s="54">
        <v>62.89</v>
      </c>
      <c r="N29" s="54">
        <v>32</v>
      </c>
      <c r="O29" s="54">
        <v>0</v>
      </c>
      <c r="P29" s="54">
        <v>1.92</v>
      </c>
      <c r="Q29" s="54">
        <v>6.44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65</v>
      </c>
      <c r="C30" s="54">
        <v>43.62</v>
      </c>
      <c r="D30" s="54">
        <v>77.489999999999995</v>
      </c>
      <c r="E30" s="54">
        <v>1.81</v>
      </c>
      <c r="F30" s="54">
        <v>0.19</v>
      </c>
      <c r="G30" s="54">
        <v>227.64</v>
      </c>
      <c r="H30" s="54">
        <v>95.88</v>
      </c>
      <c r="I30" s="54">
        <v>1.55</v>
      </c>
      <c r="J30" s="54">
        <v>0.23</v>
      </c>
      <c r="K30" s="54">
        <v>335.14</v>
      </c>
      <c r="L30" s="54">
        <v>19.809999999999999</v>
      </c>
      <c r="M30" s="54">
        <v>70.23</v>
      </c>
      <c r="N30" s="54">
        <v>31.80</v>
      </c>
      <c r="O30" s="54">
        <v>0</v>
      </c>
      <c r="P30" s="54">
        <v>2.09</v>
      </c>
      <c r="Q30" s="54">
        <v>9.6199999999999992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65.09</v>
      </c>
      <c r="C31" s="54">
        <v>46.83</v>
      </c>
      <c r="D31" s="54">
        <v>78.12</v>
      </c>
      <c r="E31" s="54">
        <v>1.83</v>
      </c>
      <c r="F31" s="54">
        <v>0.08</v>
      </c>
      <c r="G31" s="54">
        <v>227.64</v>
      </c>
      <c r="H31" s="54">
        <v>74.150000000000006</v>
      </c>
      <c r="I31" s="54">
        <v>1.51</v>
      </c>
      <c r="J31" s="54">
        <v>0.19</v>
      </c>
      <c r="K31" s="54">
        <v>321.85000000000002</v>
      </c>
      <c r="L31" s="54">
        <v>19.27</v>
      </c>
      <c r="M31" s="54">
        <v>73.069999999999993</v>
      </c>
      <c r="N31" s="54">
        <v>31.80</v>
      </c>
      <c r="O31" s="54">
        <v>0</v>
      </c>
      <c r="P31" s="54">
        <v>2.1800000000000002</v>
      </c>
      <c r="Q31" s="54">
        <v>10.23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63.27</v>
      </c>
      <c r="C32" s="54">
        <v>49.08</v>
      </c>
      <c r="D32" s="54">
        <v>75.81</v>
      </c>
      <c r="E32" s="54">
        <v>1.88</v>
      </c>
      <c r="F32" s="54">
        <v>0.38</v>
      </c>
      <c r="G32" s="54">
        <v>207.94</v>
      </c>
      <c r="H32" s="54">
        <v>94.25</v>
      </c>
      <c r="I32" s="54">
        <v>1.57</v>
      </c>
      <c r="J32" s="54">
        <v>0.16</v>
      </c>
      <c r="K32" s="54">
        <v>296.38</v>
      </c>
      <c r="L32" s="54">
        <v>18.72</v>
      </c>
      <c r="M32" s="54">
        <v>69.53</v>
      </c>
      <c r="N32" s="54">
        <v>31.80</v>
      </c>
      <c r="O32" s="54">
        <v>0</v>
      </c>
      <c r="P32" s="54">
        <v>2.13</v>
      </c>
      <c r="Q32" s="54">
        <v>10.35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3.7799999999999998</v>
      </c>
      <c r="C34" s="28">
        <f t="shared" si="0"/>
        <v>25.449999999999999</v>
      </c>
      <c r="D34" s="28">
        <f t="shared" si="0"/>
        <v>19.350000000000001</v>
      </c>
      <c r="E34" s="28">
        <f t="shared" si="0"/>
        <v>1.1599999999999999</v>
      </c>
      <c r="F34" s="28">
        <f t="shared" si="0"/>
        <v>0.070000000000000007</v>
      </c>
      <c r="G34" s="28">
        <f t="shared" si="0"/>
        <v>64.969999999999999</v>
      </c>
      <c r="H34" s="28">
        <f t="shared" si="0"/>
        <v>36.170000000000002</v>
      </c>
      <c r="I34" s="28">
        <f t="shared" si="0"/>
        <v>1.47</v>
      </c>
      <c r="J34" s="28">
        <f t="shared" si="0"/>
        <v>0.050000000000000003</v>
      </c>
      <c r="K34" s="28">
        <f t="shared" si="0"/>
        <v>132.52000000000001</v>
      </c>
      <c r="L34" s="28">
        <f t="shared" si="0"/>
        <v>16.629999999999999</v>
      </c>
      <c r="M34" s="28">
        <f t="shared" si="0"/>
        <v>26.629999999999999</v>
      </c>
      <c r="N34" s="28">
        <f t="shared" si="0"/>
        <v>26.800000000000001</v>
      </c>
      <c r="O34" s="28">
        <f t="shared" si="0"/>
        <v>0</v>
      </c>
      <c r="P34" s="28">
        <f t="shared" si="0"/>
        <v>0.76000000000000001</v>
      </c>
      <c r="Q34" s="28">
        <f t="shared" si="0"/>
        <v>2.9100000000000001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65.090000000000003</v>
      </c>
      <c r="C35" s="29">
        <f t="shared" si="1"/>
        <v>68.590000000000003</v>
      </c>
      <c r="D35" s="29">
        <f t="shared" si="1"/>
        <v>79.700000000000003</v>
      </c>
      <c r="E35" s="29">
        <f t="shared" si="1"/>
        <v>4.04</v>
      </c>
      <c r="F35" s="29">
        <f t="shared" si="1"/>
        <v>11.199999999999999</v>
      </c>
      <c r="G35" s="29">
        <f t="shared" si="1"/>
        <v>227.63999999999999</v>
      </c>
      <c r="H35" s="29">
        <f t="shared" si="1"/>
        <v>95.879999999999995</v>
      </c>
      <c r="I35" s="29">
        <f t="shared" si="1"/>
        <v>1.6000000000000001</v>
      </c>
      <c r="J35" s="29">
        <f t="shared" si="1"/>
        <v>1.6100000000000001</v>
      </c>
      <c r="K35" s="29">
        <f t="shared" si="1"/>
        <v>351.83999999999997</v>
      </c>
      <c r="L35" s="29">
        <f t="shared" si="1"/>
        <v>30.34</v>
      </c>
      <c r="M35" s="29">
        <f t="shared" si="1"/>
        <v>95.810000000000002</v>
      </c>
      <c r="N35" s="29">
        <f t="shared" si="1"/>
        <v>749.79999999999995</v>
      </c>
      <c r="O35" s="29">
        <f t="shared" si="1"/>
        <v>0</v>
      </c>
      <c r="P35" s="29">
        <f t="shared" si="1"/>
        <v>2.1800000000000002</v>
      </c>
      <c r="Q35" s="29">
        <f t="shared" si="1"/>
        <v>10.550000000000001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32.380000000000003</v>
      </c>
      <c r="C36" s="28">
        <f t="shared" si="2"/>
        <v>36.723750000000003</v>
      </c>
      <c r="D36" s="28">
        <f t="shared" si="2"/>
        <v>46.973749999999995</v>
      </c>
      <c r="E36" s="28">
        <f t="shared" si="2"/>
        <v>1.8912500000000003</v>
      </c>
      <c r="F36" s="28">
        <f t="shared" si="2"/>
        <v>2.8187499999999996</v>
      </c>
      <c r="G36" s="28">
        <f t="shared" si="2"/>
        <v>126.28833333333334</v>
      </c>
      <c r="H36" s="28">
        <f t="shared" si="2"/>
        <v>62.750416666666673</v>
      </c>
      <c r="I36" s="28">
        <f t="shared" si="2"/>
        <v>1.5416666666666663</v>
      </c>
      <c r="J36" s="28">
        <f t="shared" si="2"/>
        <v>0.4466666666666666</v>
      </c>
      <c r="K36" s="28">
        <f t="shared" si="2"/>
        <v>290.3679166666667</v>
      </c>
      <c r="L36" s="28">
        <f t="shared" si="2"/>
        <v>22.432500000000001</v>
      </c>
      <c r="M36" s="28">
        <f t="shared" si="2"/>
        <v>61.492083333333333</v>
      </c>
      <c r="N36" s="28">
        <f t="shared" si="2"/>
        <v>229.81666666666672</v>
      </c>
      <c r="O36" s="28">
        <f t="shared" si="2"/>
        <v>0</v>
      </c>
      <c r="P36" s="28">
        <f t="shared" si="2"/>
        <v>1.3508333333333333</v>
      </c>
      <c r="Q36" s="28">
        <f t="shared" si="2"/>
        <v>6.9983333333333322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21.695812459109924</v>
      </c>
      <c r="C37" s="28">
        <f t="shared" si="3" ref="C37:Q37">STDEV(C9:C32)</f>
        <v>13.122096801065066</v>
      </c>
      <c r="D37" s="28">
        <f t="shared" si="3"/>
        <v>20.746984236059589</v>
      </c>
      <c r="E37" s="28">
        <f t="shared" si="3"/>
        <v>0.68983496766161012</v>
      </c>
      <c r="F37" s="28">
        <f t="shared" si="3"/>
        <v>3.7908187855946629</v>
      </c>
      <c r="G37" s="28">
        <f t="shared" si="3"/>
        <v>50.901445240152384</v>
      </c>
      <c r="H37" s="28">
        <f t="shared" si="3"/>
        <v>17.34683569169006</v>
      </c>
      <c r="I37" s="28">
        <f t="shared" si="3"/>
        <v>0.030597906530643117</v>
      </c>
      <c r="J37" s="28">
        <f t="shared" si="3"/>
        <v>0.41994478588072254</v>
      </c>
      <c r="K37" s="28">
        <f t="shared" si="3"/>
        <v>71.139310784890625</v>
      </c>
      <c r="L37" s="28">
        <f t="shared" si="3"/>
        <v>4.692155572127116</v>
      </c>
      <c r="M37" s="28">
        <f t="shared" si="3"/>
        <v>23.332714480664954</v>
      </c>
      <c r="N37" s="28">
        <f t="shared" si="3"/>
        <v>284.07140967915342</v>
      </c>
      <c r="O37" s="28">
        <f t="shared" si="3"/>
        <v>0</v>
      </c>
      <c r="P37" s="28">
        <f t="shared" si="3"/>
        <v>0.48307814352713474</v>
      </c>
      <c r="Q37" s="28">
        <f t="shared" si="3"/>
        <v>2.2472043823897936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57a90f-e587-4903-8315-163e6008ad6c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61.58</v>
      </c>
      <c r="C9" s="54">
        <v>31.78</v>
      </c>
      <c r="D9" s="54">
        <v>68.010000000000005</v>
      </c>
      <c r="E9" s="54">
        <v>1.35</v>
      </c>
      <c r="F9" s="54">
        <v>0.25</v>
      </c>
      <c r="G9" s="54">
        <v>200.05</v>
      </c>
      <c r="H9" s="54">
        <v>94.25</v>
      </c>
      <c r="I9" s="54">
        <v>1.58</v>
      </c>
      <c r="J9" s="54">
        <v>0.17</v>
      </c>
      <c r="K9" s="54">
        <v>292.33999999999997</v>
      </c>
      <c r="L9" s="54">
        <v>18.18</v>
      </c>
      <c r="M9" s="54">
        <v>79.78</v>
      </c>
      <c r="N9" s="54">
        <v>31.90</v>
      </c>
      <c r="O9" s="54">
        <v>0</v>
      </c>
      <c r="P9" s="54">
        <v>2.04</v>
      </c>
      <c r="Q9" s="54">
        <v>10.27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53.55</v>
      </c>
      <c r="C10" s="54">
        <v>28.38</v>
      </c>
      <c r="D10" s="54">
        <v>59.90</v>
      </c>
      <c r="E10" s="54">
        <v>1.49</v>
      </c>
      <c r="F10" s="54">
        <v>0.27</v>
      </c>
      <c r="G10" s="54">
        <v>149.63</v>
      </c>
      <c r="H10" s="54">
        <v>55.61</v>
      </c>
      <c r="I10" s="54">
        <v>1.56</v>
      </c>
      <c r="J10" s="54">
        <v>0.070000000000000007</v>
      </c>
      <c r="K10" s="54">
        <v>350.33</v>
      </c>
      <c r="L10" s="54">
        <v>17.600000000000001</v>
      </c>
      <c r="M10" s="54">
        <v>81.20</v>
      </c>
      <c r="N10" s="54">
        <v>31.70</v>
      </c>
      <c r="O10" s="54">
        <v>0</v>
      </c>
      <c r="P10" s="54">
        <v>1.77</v>
      </c>
      <c r="Q10" s="54">
        <v>9.56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42.17</v>
      </c>
      <c r="C11" s="54">
        <v>27.62</v>
      </c>
      <c r="D11" s="54">
        <v>49.80</v>
      </c>
      <c r="E11" s="54">
        <v>1.43</v>
      </c>
      <c r="F11" s="54">
        <v>0.14000000000000001</v>
      </c>
      <c r="G11" s="54">
        <v>112.87</v>
      </c>
      <c r="H11" s="54">
        <v>30.03</v>
      </c>
      <c r="I11" s="54">
        <v>1.51</v>
      </c>
      <c r="J11" s="54">
        <v>0.09</v>
      </c>
      <c r="K11" s="54">
        <v>279.45</v>
      </c>
      <c r="L11" s="54">
        <v>16.86</v>
      </c>
      <c r="M11" s="54">
        <v>80.92</v>
      </c>
      <c r="N11" s="54">
        <v>31.5</v>
      </c>
      <c r="O11" s="54">
        <v>0</v>
      </c>
      <c r="P11" s="54">
        <v>1.58</v>
      </c>
      <c r="Q11" s="54">
        <v>8.94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36.96</v>
      </c>
      <c r="C12" s="54">
        <v>25.20</v>
      </c>
      <c r="D12" s="54">
        <v>44.83</v>
      </c>
      <c r="E12" s="54">
        <v>1.27</v>
      </c>
      <c r="F12" s="54">
        <v>0.40</v>
      </c>
      <c r="G12" s="54">
        <v>102.70</v>
      </c>
      <c r="H12" s="54">
        <v>14.71</v>
      </c>
      <c r="I12" s="54">
        <v>1.53</v>
      </c>
      <c r="J12" s="54">
        <v>0.11</v>
      </c>
      <c r="K12" s="54">
        <v>309.33</v>
      </c>
      <c r="L12" s="54">
        <v>16.43</v>
      </c>
      <c r="M12" s="54">
        <v>86.63</v>
      </c>
      <c r="N12" s="54">
        <v>31.60</v>
      </c>
      <c r="O12" s="54">
        <v>0</v>
      </c>
      <c r="P12" s="54">
        <v>1.39</v>
      </c>
      <c r="Q12" s="54">
        <v>8.19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32.53</v>
      </c>
      <c r="C13" s="54">
        <v>24.10</v>
      </c>
      <c r="D13" s="54">
        <v>40.61</v>
      </c>
      <c r="E13" s="54">
        <v>1.05</v>
      </c>
      <c r="F13" s="54">
        <v>0.36</v>
      </c>
      <c r="G13" s="54">
        <v>116.89</v>
      </c>
      <c r="H13" s="54">
        <v>69.52</v>
      </c>
      <c r="I13" s="54">
        <v>1.58</v>
      </c>
      <c r="J13" s="54">
        <v>0.18</v>
      </c>
      <c r="K13" s="54">
        <v>295.92</v>
      </c>
      <c r="L13" s="54">
        <v>16.329999999999998</v>
      </c>
      <c r="M13" s="54">
        <v>92.38</v>
      </c>
      <c r="N13" s="54">
        <v>31.60</v>
      </c>
      <c r="O13" s="54">
        <v>0</v>
      </c>
      <c r="P13" s="54">
        <v>1.26</v>
      </c>
      <c r="Q13" s="54">
        <v>7.79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42.44</v>
      </c>
      <c r="C14" s="54">
        <v>24.60</v>
      </c>
      <c r="D14" s="54">
        <v>48.67</v>
      </c>
      <c r="E14" s="54">
        <v>1.06</v>
      </c>
      <c r="F14" s="54">
        <v>0.26</v>
      </c>
      <c r="G14" s="54">
        <v>116.89</v>
      </c>
      <c r="H14" s="54">
        <v>69.52</v>
      </c>
      <c r="I14" s="54">
        <v>1.56</v>
      </c>
      <c r="J14" s="54">
        <v>0.15</v>
      </c>
      <c r="K14" s="54">
        <v>300.12</v>
      </c>
      <c r="L14" s="54">
        <v>16.170000000000002</v>
      </c>
      <c r="M14" s="54">
        <v>96.24</v>
      </c>
      <c r="N14" s="54">
        <v>34.10</v>
      </c>
      <c r="O14" s="54">
        <v>0</v>
      </c>
      <c r="P14" s="54">
        <v>1.1599999999999999</v>
      </c>
      <c r="Q14" s="54">
        <v>8.31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51.80</v>
      </c>
      <c r="C15" s="54">
        <v>25.43</v>
      </c>
      <c r="D15" s="54">
        <v>56.87</v>
      </c>
      <c r="E15" s="54">
        <v>1.07</v>
      </c>
      <c r="F15" s="54">
        <v>0.14000000000000001</v>
      </c>
      <c r="G15" s="54">
        <v>125.74</v>
      </c>
      <c r="H15" s="54">
        <v>60.44</v>
      </c>
      <c r="I15" s="54">
        <v>1.53</v>
      </c>
      <c r="J15" s="54">
        <v>0.14000000000000001</v>
      </c>
      <c r="K15" s="54">
        <v>321.31</v>
      </c>
      <c r="L15" s="54">
        <v>17.52</v>
      </c>
      <c r="M15" s="54">
        <v>96</v>
      </c>
      <c r="N15" s="54">
        <v>136</v>
      </c>
      <c r="O15" s="54">
        <v>0</v>
      </c>
      <c r="P15" s="54">
        <v>1.1399999999999999</v>
      </c>
      <c r="Q15" s="54">
        <v>9.15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52.61</v>
      </c>
      <c r="C16" s="54">
        <v>30.27</v>
      </c>
      <c r="D16" s="54">
        <v>58.49</v>
      </c>
      <c r="E16" s="54">
        <v>1.08</v>
      </c>
      <c r="F16" s="54">
        <v>0.15</v>
      </c>
      <c r="G16" s="54">
        <v>155.03</v>
      </c>
      <c r="H16" s="54">
        <v>64.80</v>
      </c>
      <c r="I16" s="54">
        <v>1.5</v>
      </c>
      <c r="J16" s="54">
        <v>0.31</v>
      </c>
      <c r="K16" s="54">
        <v>354.53</v>
      </c>
      <c r="L16" s="54">
        <v>24.62</v>
      </c>
      <c r="M16" s="54">
        <v>75.13</v>
      </c>
      <c r="N16" s="54">
        <v>364.70</v>
      </c>
      <c r="O16" s="54">
        <v>0</v>
      </c>
      <c r="P16" s="54">
        <v>1.21</v>
      </c>
      <c r="Q16" s="54">
        <v>9.24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50.10</v>
      </c>
      <c r="C17" s="54">
        <v>30.67</v>
      </c>
      <c r="D17" s="54">
        <v>57.47</v>
      </c>
      <c r="E17" s="54">
        <v>1.31</v>
      </c>
      <c r="F17" s="54">
        <v>0.46</v>
      </c>
      <c r="G17" s="54">
        <v>174.92</v>
      </c>
      <c r="H17" s="54">
        <v>103.16</v>
      </c>
      <c r="I17" s="54">
        <v>1.54</v>
      </c>
      <c r="J17" s="54">
        <v>0.18</v>
      </c>
      <c r="K17" s="54">
        <v>317.99</v>
      </c>
      <c r="L17" s="54">
        <v>25.55</v>
      </c>
      <c r="M17" s="54">
        <v>51.85</v>
      </c>
      <c r="N17" s="54">
        <v>568.79999999999995</v>
      </c>
      <c r="O17" s="54">
        <v>0</v>
      </c>
      <c r="P17" s="54">
        <v>1.23</v>
      </c>
      <c r="Q17" s="54">
        <v>9.23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37.90</v>
      </c>
      <c r="C18" s="54">
        <v>33.619999999999997</v>
      </c>
      <c r="D18" s="54">
        <v>49.19</v>
      </c>
      <c r="E18" s="54">
        <v>1.30</v>
      </c>
      <c r="F18" s="54">
        <v>1.19</v>
      </c>
      <c r="G18" s="54">
        <v>174.92</v>
      </c>
      <c r="H18" s="54">
        <v>103.16</v>
      </c>
      <c r="I18" s="54">
        <v>1.56</v>
      </c>
      <c r="J18" s="54">
        <v>0.17</v>
      </c>
      <c r="K18" s="54">
        <v>161.43</v>
      </c>
      <c r="L18" s="54">
        <v>27.26</v>
      </c>
      <c r="M18" s="54">
        <v>51.09</v>
      </c>
      <c r="N18" s="54">
        <v>697.20</v>
      </c>
      <c r="O18" s="54">
        <v>0</v>
      </c>
      <c r="P18" s="54">
        <v>1.1599999999999999</v>
      </c>
      <c r="Q18" s="54">
        <v>8.5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22.03</v>
      </c>
      <c r="C19" s="54">
        <v>35.18</v>
      </c>
      <c r="D19" s="54">
        <v>36.85</v>
      </c>
      <c r="E19" s="54">
        <v>1.91</v>
      </c>
      <c r="F19" s="54">
        <v>17.64</v>
      </c>
      <c r="G19" s="54">
        <v>114.90</v>
      </c>
      <c r="H19" s="54">
        <v>57.81</v>
      </c>
      <c r="I19" s="54">
        <v>1.52</v>
      </c>
      <c r="J19" s="54">
        <v>0.40</v>
      </c>
      <c r="K19" s="54">
        <v>126.19</v>
      </c>
      <c r="L19" s="54">
        <v>29.84</v>
      </c>
      <c r="M19" s="54">
        <v>39.90</v>
      </c>
      <c r="N19" s="54">
        <v>744.5</v>
      </c>
      <c r="O19" s="54">
        <v>0</v>
      </c>
      <c r="P19" s="54">
        <v>1.05</v>
      </c>
      <c r="Q19" s="54">
        <v>7.34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4.5199999999999996</v>
      </c>
      <c r="C20" s="54">
        <v>36.630000000000003</v>
      </c>
      <c r="D20" s="54">
        <v>25</v>
      </c>
      <c r="E20" s="54">
        <v>1.84</v>
      </c>
      <c r="F20" s="54">
        <v>7.79</v>
      </c>
      <c r="G20" s="54">
        <v>95.42</v>
      </c>
      <c r="H20" s="54">
        <v>47.19</v>
      </c>
      <c r="I20" s="54">
        <v>1.52</v>
      </c>
      <c r="J20" s="54">
        <v>1.17</v>
      </c>
      <c r="K20" s="54">
        <v>131.12</v>
      </c>
      <c r="L20" s="54">
        <v>28.66</v>
      </c>
      <c r="M20" s="54">
        <v>34.520000000000003</v>
      </c>
      <c r="N20" s="54">
        <v>752.70</v>
      </c>
      <c r="O20" s="54">
        <v>0</v>
      </c>
      <c r="P20" s="54">
        <v>0.83</v>
      </c>
      <c r="Q20" s="54">
        <v>6.27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3.70</v>
      </c>
      <c r="C21" s="54">
        <v>33.56</v>
      </c>
      <c r="D21" s="54">
        <v>22.53</v>
      </c>
      <c r="E21" s="54">
        <v>1.62</v>
      </c>
      <c r="F21" s="54">
        <v>9.5399999999999991</v>
      </c>
      <c r="G21" s="54">
        <v>82.35</v>
      </c>
      <c r="H21" s="54">
        <v>47.19</v>
      </c>
      <c r="I21" s="54">
        <v>1.57</v>
      </c>
      <c r="J21" s="54">
        <v>0.91</v>
      </c>
      <c r="K21" s="54">
        <v>348.69</v>
      </c>
      <c r="L21" s="54">
        <v>29.95</v>
      </c>
      <c r="M21" s="54">
        <v>30.90</v>
      </c>
      <c r="N21" s="54">
        <v>717.5</v>
      </c>
      <c r="O21" s="54">
        <v>0</v>
      </c>
      <c r="P21" s="54">
        <v>0.71</v>
      </c>
      <c r="Q21" s="54">
        <v>5.41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2.96</v>
      </c>
      <c r="C22" s="54">
        <v>30.73</v>
      </c>
      <c r="D22" s="54">
        <v>20.58</v>
      </c>
      <c r="E22" s="54">
        <v>1.45</v>
      </c>
      <c r="F22" s="54">
        <v>7.66</v>
      </c>
      <c r="G22" s="54">
        <v>80.540000000000006</v>
      </c>
      <c r="H22" s="54">
        <v>27.22</v>
      </c>
      <c r="I22" s="54">
        <v>1.48</v>
      </c>
      <c r="J22" s="54">
        <v>1.21</v>
      </c>
      <c r="K22" s="54">
        <v>106</v>
      </c>
      <c r="L22" s="54">
        <v>27.94</v>
      </c>
      <c r="M22" s="54">
        <v>32.450000000000003</v>
      </c>
      <c r="N22" s="54">
        <v>602.5</v>
      </c>
      <c r="O22" s="54">
        <v>0</v>
      </c>
      <c r="P22" s="54">
        <v>0.64</v>
      </c>
      <c r="Q22" s="54">
        <v>5.34</v>
      </c>
      <c r="R22" s="43"/>
      <c r="S22" s="43"/>
      <c r="T22" s="43"/>
      <c r="U22" s="43"/>
    </row>
    <row r="23" spans="1:21" s="11" customFormat="1" ht="15">
      <c r="A23" s="53" t="s">
        <v>724</v>
      </c>
      <c r="B23" s="65" t="s">
        <v>4</v>
      </c>
      <c r="C23" s="65" t="s">
        <v>4</v>
      </c>
      <c r="D23" s="65" t="s">
        <v>4</v>
      </c>
      <c r="E23" s="65" t="s">
        <v>4</v>
      </c>
      <c r="F23" s="65" t="s">
        <v>4</v>
      </c>
      <c r="G23" s="65" t="s">
        <v>4</v>
      </c>
      <c r="H23" s="65" t="s">
        <v>4</v>
      </c>
      <c r="I23" s="65" t="s">
        <v>4</v>
      </c>
      <c r="J23" s="65" t="s">
        <v>4</v>
      </c>
      <c r="K23" s="65" t="s">
        <v>4</v>
      </c>
      <c r="L23" s="65" t="s">
        <v>4</v>
      </c>
      <c r="M23" s="65" t="s">
        <v>4</v>
      </c>
      <c r="N23" s="65" t="s">
        <v>4</v>
      </c>
      <c r="O23" s="65" t="s">
        <v>4</v>
      </c>
      <c r="P23" s="65" t="s">
        <v>4</v>
      </c>
      <c r="Q23" s="65" t="s">
        <v>4</v>
      </c>
      <c r="R23" s="43"/>
      <c r="S23" s="43"/>
      <c r="T23" s="43"/>
      <c r="U23" s="43"/>
    </row>
    <row r="24" spans="1:21" s="11" customFormat="1" ht="15">
      <c r="A24" s="53" t="s">
        <v>725</v>
      </c>
      <c r="B24" s="6" t="s">
        <v>20</v>
      </c>
      <c r="C24" s="6" t="s">
        <v>20</v>
      </c>
      <c r="D24" s="6" t="s">
        <v>20</v>
      </c>
      <c r="E24" s="6" t="s">
        <v>20</v>
      </c>
      <c r="F24" s="54">
        <v>20.75</v>
      </c>
      <c r="G24" s="54">
        <v>39.840000000000003</v>
      </c>
      <c r="H24" s="54">
        <v>29.55</v>
      </c>
      <c r="I24" s="54">
        <v>1.57</v>
      </c>
      <c r="J24" s="54">
        <v>0.56999999999999995</v>
      </c>
      <c r="K24" s="54">
        <v>106.16</v>
      </c>
      <c r="L24" s="54">
        <v>25.61</v>
      </c>
      <c r="M24" s="54">
        <v>37.25</v>
      </c>
      <c r="N24" s="54">
        <v>89.5</v>
      </c>
      <c r="O24" s="54">
        <v>0</v>
      </c>
      <c r="P24" s="54">
        <v>0.27</v>
      </c>
      <c r="Q24" s="6" t="s">
        <v>20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2.25</v>
      </c>
      <c r="C25" s="54">
        <v>30.16</v>
      </c>
      <c r="D25" s="54">
        <v>19.739999999999998</v>
      </c>
      <c r="E25" s="54">
        <v>1.21</v>
      </c>
      <c r="F25" s="54">
        <v>18.600000000000001</v>
      </c>
      <c r="G25" s="54">
        <v>85.12</v>
      </c>
      <c r="H25" s="54">
        <v>30.23</v>
      </c>
      <c r="I25" s="54">
        <v>1.57</v>
      </c>
      <c r="J25" s="54">
        <v>1.07</v>
      </c>
      <c r="K25" s="54">
        <v>111.02</v>
      </c>
      <c r="L25" s="54">
        <v>25.41</v>
      </c>
      <c r="M25" s="54">
        <v>39.92</v>
      </c>
      <c r="N25" s="54">
        <v>76.599999999999994</v>
      </c>
      <c r="O25" s="54">
        <v>0</v>
      </c>
      <c r="P25" s="54">
        <v>0.42</v>
      </c>
      <c r="Q25" s="54">
        <v>5.42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2</v>
      </c>
      <c r="C26" s="54">
        <v>38.40</v>
      </c>
      <c r="D26" s="54">
        <v>24.09</v>
      </c>
      <c r="E26" s="54">
        <v>2.12</v>
      </c>
      <c r="F26" s="54">
        <v>20.78</v>
      </c>
      <c r="G26" s="54">
        <v>85.12</v>
      </c>
      <c r="H26" s="54">
        <v>50.84</v>
      </c>
      <c r="I26" s="54">
        <v>1.52</v>
      </c>
      <c r="J26" s="54">
        <v>0.54</v>
      </c>
      <c r="K26" s="54">
        <v>115.55</v>
      </c>
      <c r="L26" s="54">
        <v>24.5</v>
      </c>
      <c r="M26" s="54">
        <v>43.23</v>
      </c>
      <c r="N26" s="54">
        <v>32.90</v>
      </c>
      <c r="O26" s="54">
        <v>0</v>
      </c>
      <c r="P26" s="54">
        <v>0.36</v>
      </c>
      <c r="Q26" s="54">
        <v>5.14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11.40</v>
      </c>
      <c r="C27" s="54">
        <v>69.819999999999993</v>
      </c>
      <c r="D27" s="54">
        <v>48.97</v>
      </c>
      <c r="E27" s="54">
        <v>1.1399999999999999</v>
      </c>
      <c r="F27" s="54">
        <v>11.41</v>
      </c>
      <c r="G27" s="54">
        <v>86.70</v>
      </c>
      <c r="H27" s="54">
        <v>50.84</v>
      </c>
      <c r="I27" s="54">
        <v>1.58</v>
      </c>
      <c r="J27" s="54">
        <v>0.12</v>
      </c>
      <c r="K27" s="54">
        <v>351.41</v>
      </c>
      <c r="L27" s="54">
        <v>23.35</v>
      </c>
      <c r="M27" s="54">
        <v>53.44</v>
      </c>
      <c r="N27" s="54">
        <v>25.10</v>
      </c>
      <c r="O27" s="54">
        <v>0</v>
      </c>
      <c r="P27" s="54">
        <v>1.07</v>
      </c>
      <c r="Q27" s="54">
        <v>4.25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28.60</v>
      </c>
      <c r="C28" s="54">
        <v>59.55</v>
      </c>
      <c r="D28" s="54">
        <v>57.09</v>
      </c>
      <c r="E28" s="54">
        <v>1</v>
      </c>
      <c r="F28" s="54">
        <v>6.04</v>
      </c>
      <c r="G28" s="54">
        <v>139.24</v>
      </c>
      <c r="H28" s="54">
        <v>65.72</v>
      </c>
      <c r="I28" s="54">
        <v>1.52</v>
      </c>
      <c r="J28" s="54">
        <v>0.27</v>
      </c>
      <c r="K28" s="54">
        <v>340.58</v>
      </c>
      <c r="L28" s="54">
        <v>22.39</v>
      </c>
      <c r="M28" s="54">
        <v>55.75</v>
      </c>
      <c r="N28" s="54">
        <v>25</v>
      </c>
      <c r="O28" s="54">
        <v>0</v>
      </c>
      <c r="P28" s="54">
        <v>1.63</v>
      </c>
      <c r="Q28" s="54">
        <v>4.55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28.51</v>
      </c>
      <c r="C29" s="54">
        <v>55.32</v>
      </c>
      <c r="D29" s="54">
        <v>54.68</v>
      </c>
      <c r="E29" s="54">
        <v>1.64</v>
      </c>
      <c r="F29" s="54">
        <v>7.25</v>
      </c>
      <c r="G29" s="54">
        <v>153</v>
      </c>
      <c r="H29" s="54">
        <v>65.72</v>
      </c>
      <c r="I29" s="54">
        <v>1.53</v>
      </c>
      <c r="J29" s="54">
        <v>0.16</v>
      </c>
      <c r="K29" s="54">
        <v>327.07</v>
      </c>
      <c r="L29" s="54">
        <v>22.15</v>
      </c>
      <c r="M29" s="54">
        <v>58.26</v>
      </c>
      <c r="N29" s="54">
        <v>16.899999999999999</v>
      </c>
      <c r="O29" s="54">
        <v>0</v>
      </c>
      <c r="P29" s="54">
        <v>1.42</v>
      </c>
      <c r="Q29" s="54">
        <v>4.5999999999999996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23.53</v>
      </c>
      <c r="C30" s="54">
        <v>52.63</v>
      </c>
      <c r="D30" s="54">
        <v>46.53</v>
      </c>
      <c r="E30" s="54">
        <v>1.57</v>
      </c>
      <c r="F30" s="54">
        <v>2.57</v>
      </c>
      <c r="G30" s="54">
        <v>166.81</v>
      </c>
      <c r="H30" s="54">
        <v>73.64</v>
      </c>
      <c r="I30" s="54">
        <v>1.55</v>
      </c>
      <c r="J30" s="54">
        <v>0.19</v>
      </c>
      <c r="K30" s="54">
        <v>345.77</v>
      </c>
      <c r="L30" s="54">
        <v>20.85</v>
      </c>
      <c r="M30" s="54">
        <v>66.36</v>
      </c>
      <c r="N30" s="54">
        <v>16.70</v>
      </c>
      <c r="O30" s="54">
        <v>0</v>
      </c>
      <c r="P30" s="54">
        <v>1.49</v>
      </c>
      <c r="Q30" s="54">
        <v>4.95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22.81</v>
      </c>
      <c r="C31" s="54">
        <v>37.130000000000003</v>
      </c>
      <c r="D31" s="54">
        <v>38.76</v>
      </c>
      <c r="E31" s="54">
        <v>1.37</v>
      </c>
      <c r="F31" s="54">
        <v>2.31</v>
      </c>
      <c r="G31" s="54">
        <v>175.05</v>
      </c>
      <c r="H31" s="54">
        <v>73.64</v>
      </c>
      <c r="I31" s="54">
        <v>1.54</v>
      </c>
      <c r="J31" s="54">
        <v>0.13</v>
      </c>
      <c r="K31" s="54">
        <v>331.92</v>
      </c>
      <c r="L31" s="54">
        <v>20.149999999999999</v>
      </c>
      <c r="M31" s="54">
        <v>70.92</v>
      </c>
      <c r="N31" s="54">
        <v>16.600000000000001</v>
      </c>
      <c r="O31" s="54">
        <v>0</v>
      </c>
      <c r="P31" s="54">
        <v>1.41</v>
      </c>
      <c r="Q31" s="54">
        <v>6.58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24.09</v>
      </c>
      <c r="C32" s="54">
        <v>36.03</v>
      </c>
      <c r="D32" s="54">
        <v>39.67</v>
      </c>
      <c r="E32" s="54">
        <v>1.04</v>
      </c>
      <c r="F32" s="54">
        <v>1.25</v>
      </c>
      <c r="G32" s="54">
        <v>175.05</v>
      </c>
      <c r="H32" s="54">
        <v>70.84</v>
      </c>
      <c r="I32" s="54">
        <v>1.53</v>
      </c>
      <c r="J32" s="54">
        <v>0.25</v>
      </c>
      <c r="K32" s="54">
        <v>311.95999999999998</v>
      </c>
      <c r="L32" s="54">
        <v>20.56</v>
      </c>
      <c r="M32" s="54">
        <v>67.77</v>
      </c>
      <c r="N32" s="54">
        <v>16.80</v>
      </c>
      <c r="O32" s="54">
        <v>0</v>
      </c>
      <c r="P32" s="54">
        <v>1.40</v>
      </c>
      <c r="Q32" s="54">
        <v>6.79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24.100000000000001</v>
      </c>
      <c r="D34" s="28">
        <f t="shared" si="0"/>
        <v>19.739999999999998</v>
      </c>
      <c r="E34" s="28">
        <f t="shared" si="0"/>
        <v>1</v>
      </c>
      <c r="F34" s="28">
        <f t="shared" si="0"/>
        <v>0.14000000000000001</v>
      </c>
      <c r="G34" s="28">
        <f t="shared" si="0"/>
        <v>39.840000000000003</v>
      </c>
      <c r="H34" s="28">
        <f t="shared" si="0"/>
        <v>14.710000000000001</v>
      </c>
      <c r="I34" s="28">
        <f t="shared" si="0"/>
        <v>1.48</v>
      </c>
      <c r="J34" s="28">
        <f t="shared" si="0"/>
        <v>0.070000000000000007</v>
      </c>
      <c r="K34" s="28">
        <f t="shared" si="0"/>
        <v>106</v>
      </c>
      <c r="L34" s="28">
        <f t="shared" si="0"/>
        <v>16.170000000000002</v>
      </c>
      <c r="M34" s="28">
        <f t="shared" si="0"/>
        <v>30.899999999999999</v>
      </c>
      <c r="N34" s="28">
        <f t="shared" si="0"/>
        <v>16.600000000000001</v>
      </c>
      <c r="O34" s="28">
        <f t="shared" si="0"/>
        <v>0</v>
      </c>
      <c r="P34" s="28">
        <f t="shared" si="0"/>
        <v>0.27000000000000002</v>
      </c>
      <c r="Q34" s="28">
        <f t="shared" si="0"/>
        <v>4.25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61.579999999999998</v>
      </c>
      <c r="C35" s="29">
        <f t="shared" si="1"/>
        <v>69.819999999999993</v>
      </c>
      <c r="D35" s="29">
        <f t="shared" si="1"/>
        <v>68.010000000000005</v>
      </c>
      <c r="E35" s="29">
        <f t="shared" si="1"/>
        <v>2.1200000000000001</v>
      </c>
      <c r="F35" s="29">
        <f t="shared" si="1"/>
        <v>20.780000000000001</v>
      </c>
      <c r="G35" s="29">
        <f t="shared" si="1"/>
        <v>200.05000000000001</v>
      </c>
      <c r="H35" s="29">
        <f t="shared" si="1"/>
        <v>103.16</v>
      </c>
      <c r="I35" s="29">
        <f t="shared" si="1"/>
        <v>1.5800000000000001</v>
      </c>
      <c r="J35" s="29">
        <f t="shared" si="1"/>
        <v>1.21</v>
      </c>
      <c r="K35" s="29">
        <f t="shared" si="1"/>
        <v>354.52999999999997</v>
      </c>
      <c r="L35" s="29">
        <f t="shared" si="1"/>
        <v>29.949999999999999</v>
      </c>
      <c r="M35" s="29">
        <f t="shared" si="1"/>
        <v>96.239999999999995</v>
      </c>
      <c r="N35" s="29">
        <f t="shared" si="1"/>
        <v>752.70000000000005</v>
      </c>
      <c r="O35" s="29">
        <f t="shared" si="1"/>
        <v>0</v>
      </c>
      <c r="P35" s="29">
        <f t="shared" si="1"/>
        <v>2.04</v>
      </c>
      <c r="Q35" s="29">
        <f t="shared" si="1"/>
        <v>10.27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29.00181818181818</v>
      </c>
      <c r="C36" s="28">
        <f t="shared" si="2"/>
        <v>36.218636363636364</v>
      </c>
      <c r="D36" s="28">
        <f t="shared" si="2"/>
        <v>44.014999999999993</v>
      </c>
      <c r="E36" s="28">
        <f t="shared" si="2"/>
        <v>1.3781818181818184</v>
      </c>
      <c r="F36" s="28">
        <f t="shared" si="2"/>
        <v>5.9656521739130426</v>
      </c>
      <c r="G36" s="28">
        <f t="shared" si="2"/>
        <v>126.46869565217392</v>
      </c>
      <c r="H36" s="28">
        <f t="shared" si="2"/>
        <v>58.940434782608712</v>
      </c>
      <c r="I36" s="28">
        <f t="shared" si="2"/>
        <v>1.5413043478260871</v>
      </c>
      <c r="J36" s="28">
        <f t="shared" si="2"/>
        <v>0.3721739130434783</v>
      </c>
      <c r="K36" s="28">
        <f t="shared" si="2"/>
        <v>262.44304347826085</v>
      </c>
      <c r="L36" s="28">
        <f t="shared" si="2"/>
        <v>22.516521739130436</v>
      </c>
      <c r="M36" s="28">
        <f t="shared" si="2"/>
        <v>61.821304347826079</v>
      </c>
      <c r="N36" s="28">
        <f t="shared" si="2"/>
        <v>221.40869565217395</v>
      </c>
      <c r="O36" s="28">
        <f t="shared" si="2"/>
        <v>0</v>
      </c>
      <c r="P36" s="28">
        <f t="shared" si="2"/>
        <v>1.1582608695652175</v>
      </c>
      <c r="Q36" s="28">
        <f t="shared" si="2"/>
        <v>7.0827272727272721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18.909365942472007</v>
      </c>
      <c r="C37" s="28">
        <f t="shared" si="3" ref="C37:Q37">STDEV(C9:C32)</f>
        <v>12.220279903058312</v>
      </c>
      <c r="D37" s="28">
        <f t="shared" si="3"/>
        <v>14.226305865242336</v>
      </c>
      <c r="E37" s="28">
        <f t="shared" si="3"/>
        <v>0.30776670762177261</v>
      </c>
      <c r="F37" s="28">
        <f t="shared" si="3"/>
        <v>7.2181663663079725</v>
      </c>
      <c r="G37" s="28">
        <f t="shared" si="3"/>
        <v>41.158983809386577</v>
      </c>
      <c r="H37" s="28">
        <f t="shared" si="3"/>
        <v>23.345029153248163</v>
      </c>
      <c r="I37" s="28">
        <f t="shared" si="3"/>
        <v>0.02768398746668076</v>
      </c>
      <c r="J37" s="28">
        <f t="shared" si="3"/>
        <v>0.36375511894853774</v>
      </c>
      <c r="K37" s="28">
        <f t="shared" si="3"/>
        <v>97.223792796674843</v>
      </c>
      <c r="L37" s="28">
        <f t="shared" si="3"/>
        <v>4.585731436349497</v>
      </c>
      <c r="M37" s="28">
        <f t="shared" si="3"/>
        <v>21.414708264170336</v>
      </c>
      <c r="N37" s="28">
        <f t="shared" si="3"/>
        <v>290.43728616290969</v>
      </c>
      <c r="O37" s="28">
        <f t="shared" si="3"/>
        <v>0</v>
      </c>
      <c r="P37" s="28">
        <f t="shared" si="3"/>
        <v>0.45190155981457508</v>
      </c>
      <c r="Q37" s="28">
        <f t="shared" si="3"/>
        <v>1.9162840574258817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>COUNT(C9:C32)+2</f>
        <v>24</v>
      </c>
      <c r="D38" s="32">
        <f>COUNT(D9:D32)+2</f>
        <v>24</v>
      </c>
      <c r="E38" s="32">
        <f>COUNT(E9:E32)+2</f>
        <v>24</v>
      </c>
      <c r="F38" s="32">
        <f>COUNT(F9:F32)+1</f>
        <v>24</v>
      </c>
      <c r="G38" s="32">
        <f t="shared" si="4" ref="G38:P38">COUNT(G9:G32)+1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19ad70-5a7e-442d-a8fc-2973da9dcb06}">
  <sheetPr codeName=""/>
  <dimension ref="A1:U119"/>
  <sheetViews>
    <sheetView workbookViewId="0" topLeftCell="A1">
      <selection pane="topLeft" activeCell="H62" sqref="H6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20.60</v>
      </c>
      <c r="C9" s="54">
        <v>36.46</v>
      </c>
      <c r="D9" s="54">
        <v>37.93</v>
      </c>
      <c r="E9" s="54">
        <v>1.86</v>
      </c>
      <c r="F9" s="54">
        <v>0.72</v>
      </c>
      <c r="G9" s="54">
        <v>155.90</v>
      </c>
      <c r="H9" s="54">
        <v>65.81</v>
      </c>
      <c r="I9" s="54">
        <v>1.56</v>
      </c>
      <c r="J9" s="54">
        <v>0.18</v>
      </c>
      <c r="K9" s="54">
        <v>303.54000000000002</v>
      </c>
      <c r="L9" s="54">
        <v>18.97</v>
      </c>
      <c r="M9" s="54">
        <v>74.98</v>
      </c>
      <c r="N9" s="54">
        <v>17</v>
      </c>
      <c r="O9" s="54">
        <v>0</v>
      </c>
      <c r="P9" s="54">
        <v>1.34</v>
      </c>
      <c r="Q9" s="54">
        <v>6.62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18.71</v>
      </c>
      <c r="C10" s="54">
        <v>28.01</v>
      </c>
      <c r="D10" s="54">
        <v>31.61</v>
      </c>
      <c r="E10" s="54">
        <v>1.73</v>
      </c>
      <c r="F10" s="54">
        <v>0.61</v>
      </c>
      <c r="G10" s="54">
        <v>150.21</v>
      </c>
      <c r="H10" s="54">
        <v>60.67</v>
      </c>
      <c r="I10" s="54">
        <v>1.55</v>
      </c>
      <c r="J10" s="54">
        <v>0.17</v>
      </c>
      <c r="K10" s="54">
        <v>359.39</v>
      </c>
      <c r="L10" s="54">
        <v>18.149999999999999</v>
      </c>
      <c r="M10" s="54">
        <v>83.08</v>
      </c>
      <c r="N10" s="54">
        <v>16.600000000000001</v>
      </c>
      <c r="O10" s="54">
        <v>0</v>
      </c>
      <c r="P10" s="54">
        <v>1.24</v>
      </c>
      <c r="Q10" s="54">
        <v>6.42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15.39</v>
      </c>
      <c r="C11" s="54">
        <v>26.58</v>
      </c>
      <c r="D11" s="54">
        <v>28.20</v>
      </c>
      <c r="E11" s="54">
        <v>1.68</v>
      </c>
      <c r="F11" s="54">
        <v>0.72</v>
      </c>
      <c r="G11" s="54">
        <v>122.73</v>
      </c>
      <c r="H11" s="54">
        <v>55.61</v>
      </c>
      <c r="I11" s="54">
        <v>1.52</v>
      </c>
      <c r="J11" s="54">
        <v>0.070000000000000007</v>
      </c>
      <c r="K11" s="54">
        <v>304.82</v>
      </c>
      <c r="L11" s="54">
        <v>17.30</v>
      </c>
      <c r="M11" s="54">
        <v>80.56</v>
      </c>
      <c r="N11" s="54">
        <v>16.600000000000001</v>
      </c>
      <c r="O11" s="54">
        <v>0</v>
      </c>
      <c r="P11" s="54">
        <v>1.17</v>
      </c>
      <c r="Q11" s="54">
        <v>6.13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11.54</v>
      </c>
      <c r="C12" s="54">
        <v>26.52</v>
      </c>
      <c r="D12" s="54">
        <v>25.18</v>
      </c>
      <c r="E12" s="54">
        <v>1.77</v>
      </c>
      <c r="F12" s="54">
        <v>0.32</v>
      </c>
      <c r="G12" s="54">
        <v>94.63</v>
      </c>
      <c r="H12" s="54">
        <v>54.15</v>
      </c>
      <c r="I12" s="54">
        <v>1.56</v>
      </c>
      <c r="J12" s="54">
        <v>0.11</v>
      </c>
      <c r="K12" s="54">
        <v>320.76</v>
      </c>
      <c r="L12" s="54">
        <v>16.63</v>
      </c>
      <c r="M12" s="54">
        <v>87</v>
      </c>
      <c r="N12" s="54">
        <v>16.70</v>
      </c>
      <c r="O12" s="54">
        <v>0</v>
      </c>
      <c r="P12" s="54">
        <v>1.04</v>
      </c>
      <c r="Q12" s="54">
        <v>5.87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9.6199999999999992</v>
      </c>
      <c r="C13" s="54">
        <v>24.81</v>
      </c>
      <c r="D13" s="54">
        <v>22.67</v>
      </c>
      <c r="E13" s="54">
        <v>1.65</v>
      </c>
      <c r="F13" s="54">
        <v>0.38</v>
      </c>
      <c r="G13" s="54">
        <v>96.21</v>
      </c>
      <c r="H13" s="54">
        <v>53.33</v>
      </c>
      <c r="I13" s="54">
        <v>1.48</v>
      </c>
      <c r="J13" s="54">
        <v>0.10</v>
      </c>
      <c r="K13" s="54">
        <v>331.97</v>
      </c>
      <c r="L13" s="54">
        <v>16.14</v>
      </c>
      <c r="M13" s="54">
        <v>87.26</v>
      </c>
      <c r="N13" s="54">
        <v>16.70</v>
      </c>
      <c r="O13" s="54">
        <v>0</v>
      </c>
      <c r="P13" s="54">
        <v>0.95</v>
      </c>
      <c r="Q13" s="54">
        <v>5.60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15.14</v>
      </c>
      <c r="C14" s="54">
        <v>26.40</v>
      </c>
      <c r="D14" s="54">
        <v>28</v>
      </c>
      <c r="E14" s="54">
        <v>1.68</v>
      </c>
      <c r="F14" s="54">
        <v>0.40</v>
      </c>
      <c r="G14" s="54">
        <v>230.17</v>
      </c>
      <c r="H14" s="54">
        <v>71.290000000000006</v>
      </c>
      <c r="I14" s="54">
        <v>1.53</v>
      </c>
      <c r="J14" s="54">
        <v>0.13</v>
      </c>
      <c r="K14" s="54">
        <v>326.79000000000002</v>
      </c>
      <c r="L14" s="54">
        <v>16.059999999999999</v>
      </c>
      <c r="M14" s="54">
        <v>91.22</v>
      </c>
      <c r="N14" s="54">
        <v>18.80</v>
      </c>
      <c r="O14" s="54">
        <v>0</v>
      </c>
      <c r="P14" s="54">
        <v>0.93</v>
      </c>
      <c r="Q14" s="54">
        <v>5.70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22.27</v>
      </c>
      <c r="C15" s="54">
        <v>28.94</v>
      </c>
      <c r="D15" s="54">
        <v>34.53</v>
      </c>
      <c r="E15" s="54">
        <v>1.89</v>
      </c>
      <c r="F15" s="54">
        <v>0.15</v>
      </c>
      <c r="G15" s="54">
        <v>230.17</v>
      </c>
      <c r="H15" s="54">
        <v>105.93</v>
      </c>
      <c r="I15" s="54">
        <v>1.53</v>
      </c>
      <c r="J15" s="54">
        <v>0.16</v>
      </c>
      <c r="K15" s="54">
        <v>356.75</v>
      </c>
      <c r="L15" s="54">
        <v>18.059999999999999</v>
      </c>
      <c r="M15" s="54">
        <v>88.94</v>
      </c>
      <c r="N15" s="54">
        <v>104.80</v>
      </c>
      <c r="O15" s="54">
        <v>0</v>
      </c>
      <c r="P15" s="54">
        <v>1.06</v>
      </c>
      <c r="Q15" s="54">
        <v>6.48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24.40</v>
      </c>
      <c r="C16" s="54">
        <v>32.42</v>
      </c>
      <c r="D16" s="54">
        <v>38.75</v>
      </c>
      <c r="E16" s="54">
        <v>1.71</v>
      </c>
      <c r="F16" s="54">
        <v>0.38</v>
      </c>
      <c r="G16" s="54">
        <v>229.17</v>
      </c>
      <c r="H16" s="54">
        <v>115.62</v>
      </c>
      <c r="I16" s="54">
        <v>1.55</v>
      </c>
      <c r="J16" s="54">
        <v>0.41</v>
      </c>
      <c r="K16" s="54">
        <v>98.39</v>
      </c>
      <c r="L16" s="54">
        <v>22.91</v>
      </c>
      <c r="M16" s="54">
        <v>74.180000000000007</v>
      </c>
      <c r="N16" s="54">
        <v>334</v>
      </c>
      <c r="O16" s="54">
        <v>0</v>
      </c>
      <c r="P16" s="54">
        <v>1.22</v>
      </c>
      <c r="Q16" s="54">
        <v>6.60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24.09</v>
      </c>
      <c r="C17" s="54">
        <v>32.46</v>
      </c>
      <c r="D17" s="54">
        <v>37.869999999999997</v>
      </c>
      <c r="E17" s="54">
        <v>1.70</v>
      </c>
      <c r="F17" s="54">
        <v>1.41</v>
      </c>
      <c r="G17" s="54">
        <v>188.73</v>
      </c>
      <c r="H17" s="54">
        <v>115.62</v>
      </c>
      <c r="I17" s="54">
        <v>1.54</v>
      </c>
      <c r="J17" s="54">
        <v>0.47</v>
      </c>
      <c r="K17" s="54">
        <v>350.95</v>
      </c>
      <c r="L17" s="54">
        <v>25.85</v>
      </c>
      <c r="M17" s="54">
        <v>56.33</v>
      </c>
      <c r="N17" s="54">
        <v>497.40</v>
      </c>
      <c r="O17" s="54">
        <v>0</v>
      </c>
      <c r="P17" s="54">
        <v>1.26</v>
      </c>
      <c r="Q17" s="54">
        <v>6.70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20.28</v>
      </c>
      <c r="C18" s="54">
        <v>32.409999999999997</v>
      </c>
      <c r="D18" s="54">
        <v>35.04</v>
      </c>
      <c r="E18" s="54">
        <v>2.09</v>
      </c>
      <c r="F18" s="54">
        <v>0.62</v>
      </c>
      <c r="G18" s="54">
        <v>188.73</v>
      </c>
      <c r="H18" s="54">
        <v>106.83</v>
      </c>
      <c r="I18" s="54">
        <v>1.54</v>
      </c>
      <c r="J18" s="54">
        <v>0.61</v>
      </c>
      <c r="K18" s="54">
        <v>331.20</v>
      </c>
      <c r="L18" s="54">
        <v>27.25</v>
      </c>
      <c r="M18" s="54">
        <v>54.92</v>
      </c>
      <c r="N18" s="54">
        <v>619.40</v>
      </c>
      <c r="O18" s="54">
        <v>0</v>
      </c>
      <c r="P18" s="54">
        <v>1.28</v>
      </c>
      <c r="Q18" s="54">
        <v>6.59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14.18</v>
      </c>
      <c r="C19" s="54">
        <v>35.43</v>
      </c>
      <c r="D19" s="54">
        <v>30.23</v>
      </c>
      <c r="E19" s="54">
        <v>1.77</v>
      </c>
      <c r="F19" s="54">
        <v>1.69</v>
      </c>
      <c r="G19" s="54">
        <v>167.81</v>
      </c>
      <c r="H19" s="54">
        <v>87.35</v>
      </c>
      <c r="I19" s="54">
        <v>1.49</v>
      </c>
      <c r="J19" s="54">
        <v>0.77</v>
      </c>
      <c r="K19" s="54">
        <v>126.43</v>
      </c>
      <c r="L19" s="54">
        <v>27.73</v>
      </c>
      <c r="M19" s="54">
        <v>45.84</v>
      </c>
      <c r="N19" s="54">
        <v>696.40</v>
      </c>
      <c r="O19" s="54">
        <v>0</v>
      </c>
      <c r="P19" s="54">
        <v>1.26</v>
      </c>
      <c r="Q19" s="54">
        <v>6.14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5.62</v>
      </c>
      <c r="C20" s="54">
        <v>31.51</v>
      </c>
      <c r="D20" s="54">
        <v>23.18</v>
      </c>
      <c r="E20" s="54">
        <v>2.12</v>
      </c>
      <c r="F20" s="54">
        <v>4.18</v>
      </c>
      <c r="G20" s="54">
        <v>103.74</v>
      </c>
      <c r="H20" s="54">
        <v>81.37</v>
      </c>
      <c r="I20" s="54">
        <v>1.49</v>
      </c>
      <c r="J20" s="54">
        <v>0.96</v>
      </c>
      <c r="K20" s="54">
        <v>111.31</v>
      </c>
      <c r="L20" s="54">
        <v>27.82</v>
      </c>
      <c r="M20" s="54">
        <v>37.549999999999997</v>
      </c>
      <c r="N20" s="54">
        <v>703.40</v>
      </c>
      <c r="O20" s="54">
        <v>0</v>
      </c>
      <c r="P20" s="54">
        <v>1.1299999999999999</v>
      </c>
      <c r="Q20" s="54">
        <v>5.41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2.72</v>
      </c>
      <c r="C21" s="54">
        <v>29.37</v>
      </c>
      <c r="D21" s="54">
        <v>19.68</v>
      </c>
      <c r="E21" s="54">
        <v>2.38</v>
      </c>
      <c r="F21" s="54">
        <v>4.9400000000000004</v>
      </c>
      <c r="G21" s="54">
        <v>91.46</v>
      </c>
      <c r="H21" s="54">
        <v>68.540000000000006</v>
      </c>
      <c r="I21" s="54">
        <v>1.48</v>
      </c>
      <c r="J21" s="54">
        <v>1.55</v>
      </c>
      <c r="K21" s="54">
        <v>118.77</v>
      </c>
      <c r="L21" s="54">
        <v>28.25</v>
      </c>
      <c r="M21" s="54">
        <v>33.40</v>
      </c>
      <c r="N21" s="54">
        <v>699.20</v>
      </c>
      <c r="O21" s="54">
        <v>0</v>
      </c>
      <c r="P21" s="54">
        <v>0.99</v>
      </c>
      <c r="Q21" s="54">
        <v>5.13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2.25</v>
      </c>
      <c r="C22" s="54">
        <v>27.95</v>
      </c>
      <c r="D22" s="54">
        <v>18.52</v>
      </c>
      <c r="E22" s="54">
        <v>1.84</v>
      </c>
      <c r="F22" s="54">
        <v>3.72</v>
      </c>
      <c r="G22" s="54">
        <v>77.209999999999994</v>
      </c>
      <c r="H22" s="54">
        <v>54.40</v>
      </c>
      <c r="I22" s="54">
        <v>1.55</v>
      </c>
      <c r="J22" s="54">
        <v>1.1100000000000001</v>
      </c>
      <c r="K22" s="54">
        <v>347.52</v>
      </c>
      <c r="L22" s="54">
        <v>28.5</v>
      </c>
      <c r="M22" s="54">
        <v>33.14</v>
      </c>
      <c r="N22" s="54">
        <v>628.40</v>
      </c>
      <c r="O22" s="54">
        <v>0</v>
      </c>
      <c r="P22" s="54">
        <v>0.82</v>
      </c>
      <c r="Q22" s="54">
        <v>5.17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2.52</v>
      </c>
      <c r="C23" s="54">
        <v>25.89</v>
      </c>
      <c r="D23" s="54">
        <v>17.18</v>
      </c>
      <c r="E23" s="54">
        <v>2.75</v>
      </c>
      <c r="F23" s="54">
        <v>14.63</v>
      </c>
      <c r="G23" s="54">
        <v>77.86</v>
      </c>
      <c r="H23" s="54">
        <v>54.15</v>
      </c>
      <c r="I23" s="54">
        <v>1.52</v>
      </c>
      <c r="J23" s="54">
        <v>0.76</v>
      </c>
      <c r="K23" s="54">
        <v>342.31</v>
      </c>
      <c r="L23" s="54">
        <v>27.33</v>
      </c>
      <c r="M23" s="54">
        <v>41.42</v>
      </c>
      <c r="N23" s="54">
        <v>239.5</v>
      </c>
      <c r="O23" s="54">
        <v>0</v>
      </c>
      <c r="P23" s="54">
        <v>0.75</v>
      </c>
      <c r="Q23" s="54">
        <v>4.95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2.34</v>
      </c>
      <c r="C24" s="54">
        <v>25.47</v>
      </c>
      <c r="D24" s="54">
        <v>17.22</v>
      </c>
      <c r="E24" s="54">
        <v>3.5</v>
      </c>
      <c r="F24" s="54">
        <v>14.85</v>
      </c>
      <c r="G24" s="54">
        <v>77.86</v>
      </c>
      <c r="H24" s="54">
        <v>47.33</v>
      </c>
      <c r="I24" s="54">
        <v>1.5</v>
      </c>
      <c r="J24" s="54">
        <v>1.55</v>
      </c>
      <c r="K24" s="54">
        <v>121.47</v>
      </c>
      <c r="L24" s="54">
        <v>25.68</v>
      </c>
      <c r="M24" s="54">
        <v>42.13</v>
      </c>
      <c r="N24" s="54">
        <v>114.70</v>
      </c>
      <c r="O24" s="54">
        <v>0</v>
      </c>
      <c r="P24" s="54">
        <v>0.67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2</v>
      </c>
      <c r="C25" s="54">
        <v>21.77</v>
      </c>
      <c r="D25" s="54">
        <v>14.91</v>
      </c>
      <c r="E25" s="54">
        <v>2.0299999999999998</v>
      </c>
      <c r="F25" s="54">
        <v>10.35</v>
      </c>
      <c r="G25" s="54">
        <v>77.23</v>
      </c>
      <c r="H25" s="54">
        <v>46.25</v>
      </c>
      <c r="I25" s="54">
        <v>1.53</v>
      </c>
      <c r="J25" s="54">
        <v>1.33</v>
      </c>
      <c r="K25" s="54">
        <v>116.03</v>
      </c>
      <c r="L25" s="54">
        <v>25.34</v>
      </c>
      <c r="M25" s="54">
        <v>39.40</v>
      </c>
      <c r="N25" s="54">
        <v>65.400000000000006</v>
      </c>
      <c r="O25" s="54">
        <v>0</v>
      </c>
      <c r="P25" s="54">
        <v>0.57999999999999996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2</v>
      </c>
      <c r="C26" s="54">
        <v>28.65</v>
      </c>
      <c r="D26" s="54">
        <v>18.71</v>
      </c>
      <c r="E26" s="54">
        <v>3.94</v>
      </c>
      <c r="F26" s="54">
        <v>25.80</v>
      </c>
      <c r="G26" s="54">
        <v>69.67</v>
      </c>
      <c r="H26" s="54">
        <v>46.25</v>
      </c>
      <c r="I26" s="54">
        <v>1.5</v>
      </c>
      <c r="J26" s="54">
        <v>1.1100000000000001</v>
      </c>
      <c r="K26" s="54">
        <v>115.82</v>
      </c>
      <c r="L26" s="54">
        <v>24.66</v>
      </c>
      <c r="M26" s="54">
        <v>45.57</v>
      </c>
      <c r="N26" s="54">
        <v>24.5</v>
      </c>
      <c r="O26" s="54">
        <v>0</v>
      </c>
      <c r="P26" s="54">
        <v>0.56999999999999995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9.7200000000000006</v>
      </c>
      <c r="C27" s="54">
        <v>61.73</v>
      </c>
      <c r="D27" s="54">
        <v>43.16</v>
      </c>
      <c r="E27" s="54">
        <v>4.95</v>
      </c>
      <c r="F27" s="54">
        <v>22.21</v>
      </c>
      <c r="G27" s="54">
        <v>123.56</v>
      </c>
      <c r="H27" s="54">
        <v>48.05</v>
      </c>
      <c r="I27" s="54">
        <v>1.55</v>
      </c>
      <c r="J27" s="54">
        <v>0.18</v>
      </c>
      <c r="K27" s="54">
        <v>306.95999999999998</v>
      </c>
      <c r="L27" s="54">
        <v>23.38</v>
      </c>
      <c r="M27" s="54">
        <v>53.43</v>
      </c>
      <c r="N27" s="54">
        <v>17.600000000000001</v>
      </c>
      <c r="O27" s="54">
        <v>0</v>
      </c>
      <c r="P27" s="54">
        <v>0.94</v>
      </c>
      <c r="Q27" s="54">
        <v>4.4000000000000004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39.18</v>
      </c>
      <c r="C28" s="54">
        <v>60.24</v>
      </c>
      <c r="D28" s="54">
        <v>61.70</v>
      </c>
      <c r="E28" s="54">
        <v>3</v>
      </c>
      <c r="F28" s="54">
        <v>1.5</v>
      </c>
      <c r="G28" s="54">
        <v>183.26</v>
      </c>
      <c r="H28" s="54">
        <v>61.36</v>
      </c>
      <c r="I28" s="54">
        <v>1.56</v>
      </c>
      <c r="J28" s="54">
        <v>0.13</v>
      </c>
      <c r="K28" s="54">
        <v>335.15</v>
      </c>
      <c r="L28" s="54">
        <v>21.79</v>
      </c>
      <c r="M28" s="54">
        <v>65.55</v>
      </c>
      <c r="N28" s="54">
        <v>17.600000000000001</v>
      </c>
      <c r="O28" s="54">
        <v>0</v>
      </c>
      <c r="P28" s="54">
        <v>1.53</v>
      </c>
      <c r="Q28" s="54">
        <v>2.93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31.40</v>
      </c>
      <c r="C29" s="54">
        <v>58.46</v>
      </c>
      <c r="D29" s="54">
        <v>56.81</v>
      </c>
      <c r="E29" s="54">
        <v>2.90</v>
      </c>
      <c r="F29" s="54">
        <v>1.29</v>
      </c>
      <c r="G29" s="54">
        <v>201.59</v>
      </c>
      <c r="H29" s="54">
        <v>69.48</v>
      </c>
      <c r="I29" s="54">
        <v>1.51</v>
      </c>
      <c r="J29" s="54">
        <v>0.10</v>
      </c>
      <c r="K29" s="54">
        <v>347.01</v>
      </c>
      <c r="L29" s="54">
        <v>20.36</v>
      </c>
      <c r="M29" s="54">
        <v>67.84</v>
      </c>
      <c r="N29" s="54">
        <v>17.5</v>
      </c>
      <c r="O29" s="54">
        <v>0</v>
      </c>
      <c r="P29" s="54">
        <v>1.56</v>
      </c>
      <c r="Q29" s="54">
        <v>4.0999999999999996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41.91</v>
      </c>
      <c r="C30" s="54">
        <v>53.63</v>
      </c>
      <c r="D30" s="54">
        <v>64.5</v>
      </c>
      <c r="E30" s="54">
        <v>2.71</v>
      </c>
      <c r="F30" s="54">
        <v>0.44</v>
      </c>
      <c r="G30" s="54">
        <v>228.61</v>
      </c>
      <c r="H30" s="54">
        <v>79.41</v>
      </c>
      <c r="I30" s="54">
        <v>1.54</v>
      </c>
      <c r="J30" s="54">
        <v>0.14000000000000001</v>
      </c>
      <c r="K30" s="54">
        <v>334.20</v>
      </c>
      <c r="L30" s="54">
        <v>19.82</v>
      </c>
      <c r="M30" s="54">
        <v>77.84</v>
      </c>
      <c r="N30" s="54">
        <v>17.30</v>
      </c>
      <c r="O30" s="54">
        <v>0</v>
      </c>
      <c r="P30" s="54">
        <v>1.53</v>
      </c>
      <c r="Q30" s="54">
        <v>7.14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53.93</v>
      </c>
      <c r="C31" s="54">
        <v>36.549999999999997</v>
      </c>
      <c r="D31" s="54">
        <v>63.64</v>
      </c>
      <c r="E31" s="54">
        <v>1.92</v>
      </c>
      <c r="F31" s="54">
        <v>0.28000000000000003</v>
      </c>
      <c r="G31" s="54">
        <v>228.61</v>
      </c>
      <c r="H31" s="54">
        <v>86.63</v>
      </c>
      <c r="I31" s="54">
        <v>1.58</v>
      </c>
      <c r="J31" s="54">
        <v>0.12</v>
      </c>
      <c r="K31" s="54">
        <v>302.56</v>
      </c>
      <c r="L31" s="54">
        <v>19.09</v>
      </c>
      <c r="M31" s="54">
        <v>80.09</v>
      </c>
      <c r="N31" s="54">
        <v>17.30</v>
      </c>
      <c r="O31" s="54">
        <v>0</v>
      </c>
      <c r="P31" s="54">
        <v>1.79</v>
      </c>
      <c r="Q31" s="54">
        <v>8.93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60.04</v>
      </c>
      <c r="C32" s="54">
        <v>42.97</v>
      </c>
      <c r="D32" s="54">
        <v>71.02</v>
      </c>
      <c r="E32" s="54">
        <v>1.83</v>
      </c>
      <c r="F32" s="54">
        <v>0.09</v>
      </c>
      <c r="G32" s="54">
        <v>220.18</v>
      </c>
      <c r="H32" s="54">
        <v>88.89</v>
      </c>
      <c r="I32" s="54">
        <v>1.53</v>
      </c>
      <c r="J32" s="54">
        <v>0.14000000000000001</v>
      </c>
      <c r="K32" s="54">
        <v>293.49</v>
      </c>
      <c r="L32" s="54">
        <v>18.32</v>
      </c>
      <c r="M32" s="54">
        <v>83.80</v>
      </c>
      <c r="N32" s="54">
        <v>17.20</v>
      </c>
      <c r="O32" s="54">
        <v>0</v>
      </c>
      <c r="P32" s="54">
        <v>1.90</v>
      </c>
      <c r="Q32" s="54">
        <v>9.49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21.77</v>
      </c>
      <c r="D34" s="28">
        <f t="shared" si="0"/>
        <v>14.91</v>
      </c>
      <c r="E34" s="28">
        <f t="shared" si="0"/>
        <v>1.6499999999999999</v>
      </c>
      <c r="F34" s="28">
        <f t="shared" si="0"/>
        <v>0.089999999999999997</v>
      </c>
      <c r="G34" s="28">
        <f t="shared" si="0"/>
        <v>69.670000000000002</v>
      </c>
      <c r="H34" s="28">
        <f t="shared" si="0"/>
        <v>46.25</v>
      </c>
      <c r="I34" s="28">
        <f t="shared" si="0"/>
        <v>1.48</v>
      </c>
      <c r="J34" s="28">
        <f t="shared" si="0"/>
        <v>0.070000000000000007</v>
      </c>
      <c r="K34" s="28">
        <f t="shared" si="0"/>
        <v>98.390000000000001</v>
      </c>
      <c r="L34" s="28">
        <f t="shared" si="0"/>
        <v>16.059999999999999</v>
      </c>
      <c r="M34" s="28">
        <f t="shared" si="0"/>
        <v>33.140000000000001</v>
      </c>
      <c r="N34" s="28">
        <f t="shared" si="0"/>
        <v>16.600000000000001</v>
      </c>
      <c r="O34" s="28">
        <f t="shared" si="0"/>
        <v>0</v>
      </c>
      <c r="P34" s="28">
        <f t="shared" si="0"/>
        <v>0.56999999999999995</v>
      </c>
      <c r="Q34" s="28">
        <f t="shared" si="0"/>
        <v>2.9300000000000002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60.039999999999999</v>
      </c>
      <c r="C35" s="29">
        <f t="shared" si="1"/>
        <v>61.729999999999997</v>
      </c>
      <c r="D35" s="29">
        <f t="shared" si="1"/>
        <v>71.019999999999996</v>
      </c>
      <c r="E35" s="29">
        <f t="shared" si="1"/>
        <v>4.9500000000000002</v>
      </c>
      <c r="F35" s="29">
        <f t="shared" si="1"/>
        <v>25.800000000000001</v>
      </c>
      <c r="G35" s="29">
        <f t="shared" si="1"/>
        <v>230.16999999999999</v>
      </c>
      <c r="H35" s="29">
        <f t="shared" si="1"/>
        <v>115.62</v>
      </c>
      <c r="I35" s="29">
        <f t="shared" si="1"/>
        <v>1.5800000000000001</v>
      </c>
      <c r="J35" s="29">
        <f t="shared" si="1"/>
        <v>1.55</v>
      </c>
      <c r="K35" s="29">
        <f t="shared" si="1"/>
        <v>359.38999999999999</v>
      </c>
      <c r="L35" s="29">
        <f t="shared" si="1"/>
        <v>28.5</v>
      </c>
      <c r="M35" s="29">
        <f t="shared" si="1"/>
        <v>91.219999999999999</v>
      </c>
      <c r="N35" s="29">
        <f t="shared" si="1"/>
        <v>703.39999999999998</v>
      </c>
      <c r="O35" s="29">
        <f t="shared" si="1"/>
        <v>0</v>
      </c>
      <c r="P35" s="29">
        <f t="shared" si="1"/>
        <v>1.8999999999999999</v>
      </c>
      <c r="Q35" s="29">
        <f t="shared" si="1"/>
        <v>9.4900000000000002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18.827083333333334</v>
      </c>
      <c r="C36" s="28">
        <f t="shared" si="2"/>
        <v>34.776249999999997</v>
      </c>
      <c r="D36" s="28">
        <f t="shared" si="2"/>
        <v>35.009999999999998</v>
      </c>
      <c r="E36" s="28">
        <f t="shared" si="2"/>
        <v>2.3083333333333331</v>
      </c>
      <c r="F36" s="28">
        <f t="shared" si="2"/>
        <v>4.6533333333333342</v>
      </c>
      <c r="G36" s="28">
        <f t="shared" si="2"/>
        <v>150.63750000000002</v>
      </c>
      <c r="H36" s="28">
        <f t="shared" si="2"/>
        <v>71.846666666666678</v>
      </c>
      <c r="I36" s="28">
        <f t="shared" si="2"/>
        <v>1.5287499999999998</v>
      </c>
      <c r="J36" s="28">
        <f t="shared" si="2"/>
        <v>0.51500000000000001</v>
      </c>
      <c r="K36" s="28">
        <f t="shared" si="2"/>
        <v>266.81624999999997</v>
      </c>
      <c r="L36" s="28">
        <f t="shared" si="2"/>
        <v>22.307916666666671</v>
      </c>
      <c r="M36" s="28">
        <f t="shared" si="2"/>
        <v>63.56124999999998</v>
      </c>
      <c r="N36" s="28">
        <f t="shared" si="2"/>
        <v>205.58333333333334</v>
      </c>
      <c r="O36" s="28">
        <f t="shared" si="2"/>
        <v>0</v>
      </c>
      <c r="P36" s="28">
        <f t="shared" si="2"/>
        <v>1.14625</v>
      </c>
      <c r="Q36" s="28">
        <f t="shared" si="2"/>
        <v>5.9220833333333331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16.408193467360103</v>
      </c>
      <c r="C37" s="28">
        <f t="shared" si="3" ref="C37:Q37">STDEV(C9:C32)</f>
        <v>11.840953183025798</v>
      </c>
      <c r="D37" s="28">
        <f t="shared" si="3"/>
        <v>16.940818470038074</v>
      </c>
      <c r="E37" s="28">
        <f t="shared" si="3"/>
        <v>0.84058813089235396</v>
      </c>
      <c r="F37" s="28">
        <f t="shared" si="3"/>
        <v>7.3663203407345001</v>
      </c>
      <c r="G37" s="28">
        <f t="shared" si="3"/>
        <v>60.41188086792183</v>
      </c>
      <c r="H37" s="28">
        <f t="shared" si="3"/>
        <v>22.280931536740667</v>
      </c>
      <c r="I37" s="28">
        <f t="shared" si="3"/>
        <v>0.027711636231170053</v>
      </c>
      <c r="J37" s="28">
        <f t="shared" si="3"/>
        <v>0.50085144894773304</v>
      </c>
      <c r="K37" s="28">
        <f t="shared" si="3"/>
        <v>100.80503307881879</v>
      </c>
      <c r="L37" s="28">
        <f t="shared" si="3"/>
        <v>4.3768958418203914</v>
      </c>
      <c r="M37" s="28">
        <f t="shared" si="3"/>
        <v>20.059151941954998</v>
      </c>
      <c r="N37" s="28">
        <f t="shared" si="3"/>
        <v>270.40476852411405</v>
      </c>
      <c r="O37" s="28">
        <f t="shared" si="3"/>
        <v>0</v>
      </c>
      <c r="P37" s="28">
        <f t="shared" si="3"/>
        <v>0.35254124026410993</v>
      </c>
      <c r="Q37" s="28">
        <f t="shared" si="3"/>
        <v>1.3921393582373933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8991ac-3c8e-4222-a881-0d227da4ed5b}">
  <sheetPr codeName=""/>
  <dimension ref="A1:U119"/>
  <sheetViews>
    <sheetView workbookViewId="0" topLeftCell="A1">
      <selection pane="topLeft" activeCell="G71" sqref="G7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758</v>
      </c>
      <c r="B9" s="54">
        <v>59.73</v>
      </c>
      <c r="C9" s="54">
        <v>35.57</v>
      </c>
      <c r="D9" s="54">
        <v>68.209999999999994</v>
      </c>
      <c r="E9" s="54">
        <v>2.1800000000000002</v>
      </c>
      <c r="F9" s="54">
        <v>0.32</v>
      </c>
      <c r="G9" s="54">
        <v>220.18</v>
      </c>
      <c r="H9" s="54">
        <v>88.89</v>
      </c>
      <c r="I9" s="54">
        <v>1.52</v>
      </c>
      <c r="J9" s="54">
        <v>0.15</v>
      </c>
      <c r="K9" s="54">
        <v>292.55</v>
      </c>
      <c r="L9" s="54">
        <v>17.93</v>
      </c>
      <c r="M9" s="54">
        <v>94.85</v>
      </c>
      <c r="N9" s="54">
        <v>18.30</v>
      </c>
      <c r="O9" s="54">
        <v>0</v>
      </c>
      <c r="P9" s="54">
        <v>1.87</v>
      </c>
      <c r="Q9" s="54">
        <v>9.73</v>
      </c>
      <c r="R9" s="43"/>
      <c r="S9" s="43"/>
      <c r="T9" s="43"/>
      <c r="U9" s="43"/>
    </row>
    <row r="10" spans="1:21" s="11" customFormat="1" ht="15">
      <c r="A10" s="53" t="s">
        <v>759</v>
      </c>
      <c r="B10" s="54">
        <v>59.19</v>
      </c>
      <c r="C10" s="54">
        <v>30.63</v>
      </c>
      <c r="D10" s="54">
        <v>65.66</v>
      </c>
      <c r="E10" s="54">
        <v>1.96</v>
      </c>
      <c r="F10" s="54">
        <v>0.25</v>
      </c>
      <c r="G10" s="54">
        <v>184.11</v>
      </c>
      <c r="H10" s="54">
        <v>84.80</v>
      </c>
      <c r="I10" s="54">
        <v>1.54</v>
      </c>
      <c r="J10" s="54">
        <v>0.12</v>
      </c>
      <c r="K10" s="54">
        <v>316.88</v>
      </c>
      <c r="L10" s="54">
        <v>17.78</v>
      </c>
      <c r="M10" s="54">
        <v>91.17</v>
      </c>
      <c r="N10" s="54">
        <v>18.100000000000001</v>
      </c>
      <c r="O10" s="54">
        <v>0</v>
      </c>
      <c r="P10" s="54">
        <v>1.74</v>
      </c>
      <c r="Q10" s="54">
        <v>9.64</v>
      </c>
      <c r="R10" s="43"/>
      <c r="S10" s="43"/>
      <c r="T10" s="43"/>
      <c r="U10" s="43"/>
    </row>
    <row r="11" spans="1:21" s="11" customFormat="1" ht="15">
      <c r="A11" s="53" t="s">
        <v>760</v>
      </c>
      <c r="B11" s="54">
        <v>54.71</v>
      </c>
      <c r="C11" s="54">
        <v>30.03</v>
      </c>
      <c r="D11" s="54">
        <v>59.96</v>
      </c>
      <c r="E11" s="54">
        <v>2.0299999999999998</v>
      </c>
      <c r="F11" s="54">
        <v>0.25</v>
      </c>
      <c r="G11" s="54">
        <v>151.57</v>
      </c>
      <c r="H11" s="54">
        <v>82.42</v>
      </c>
      <c r="I11" s="54">
        <v>1.51</v>
      </c>
      <c r="J11" s="54">
        <v>0.06</v>
      </c>
      <c r="K11" s="54">
        <v>310.62</v>
      </c>
      <c r="L11" s="54">
        <v>17.649999999999999</v>
      </c>
      <c r="M11" s="54">
        <v>90.68</v>
      </c>
      <c r="N11" s="54">
        <v>18.399999999999999</v>
      </c>
      <c r="O11" s="54">
        <v>0</v>
      </c>
      <c r="P11" s="54">
        <v>1.66</v>
      </c>
      <c r="Q11" s="54">
        <v>9.33</v>
      </c>
      <c r="R11" s="43"/>
      <c r="S11" s="43"/>
      <c r="T11" s="43"/>
      <c r="U11" s="43"/>
    </row>
    <row r="12" spans="1:21" s="11" customFormat="1" ht="15">
      <c r="A12" s="53" t="s">
        <v>761</v>
      </c>
      <c r="B12" s="54">
        <v>44.30</v>
      </c>
      <c r="C12" s="54">
        <v>30.59</v>
      </c>
      <c r="D12" s="54">
        <v>53.02</v>
      </c>
      <c r="E12" s="54">
        <v>2.10</v>
      </c>
      <c r="F12" s="54">
        <v>0.39</v>
      </c>
      <c r="G12" s="54">
        <v>134.91999999999999</v>
      </c>
      <c r="H12" s="54">
        <v>79.52</v>
      </c>
      <c r="I12" s="54">
        <v>1.48</v>
      </c>
      <c r="J12" s="54">
        <v>0.11</v>
      </c>
      <c r="K12" s="54">
        <v>310.51</v>
      </c>
      <c r="L12" s="54">
        <v>17.09</v>
      </c>
      <c r="M12" s="54">
        <v>92.06</v>
      </c>
      <c r="N12" s="54">
        <v>18.5</v>
      </c>
      <c r="O12" s="54">
        <v>0</v>
      </c>
      <c r="P12" s="54">
        <v>1.49</v>
      </c>
      <c r="Q12" s="54">
        <v>8.82</v>
      </c>
      <c r="R12" s="43"/>
      <c r="S12" s="43"/>
      <c r="T12" s="43"/>
      <c r="U12" s="43"/>
    </row>
    <row r="13" spans="1:21" s="11" customFormat="1" ht="15">
      <c r="A13" s="53" t="s">
        <v>762</v>
      </c>
      <c r="B13" s="54">
        <v>40.380000000000003</v>
      </c>
      <c r="C13" s="54">
        <v>27.5</v>
      </c>
      <c r="D13" s="54">
        <v>48.84</v>
      </c>
      <c r="E13" s="54">
        <v>1.1000000000000001</v>
      </c>
      <c r="F13" s="54">
        <v>0.22</v>
      </c>
      <c r="G13" s="54">
        <v>159.33000000000001</v>
      </c>
      <c r="H13" s="54">
        <v>89.39</v>
      </c>
      <c r="I13" s="54">
        <v>1.56</v>
      </c>
      <c r="J13" s="54">
        <v>0.12</v>
      </c>
      <c r="K13" s="54">
        <v>341.14</v>
      </c>
      <c r="L13" s="54">
        <v>16.489999999999998</v>
      </c>
      <c r="M13" s="54">
        <v>94.83</v>
      </c>
      <c r="N13" s="54">
        <v>18.399999999999999</v>
      </c>
      <c r="O13" s="54">
        <v>0</v>
      </c>
      <c r="P13" s="54">
        <v>1.40</v>
      </c>
      <c r="Q13" s="54">
        <v>8.16</v>
      </c>
      <c r="R13" s="43"/>
      <c r="S13" s="43"/>
      <c r="T13" s="43"/>
      <c r="U13" s="43"/>
    </row>
    <row r="14" spans="1:21" s="11" customFormat="1" ht="15">
      <c r="A14" s="53" t="s">
        <v>763</v>
      </c>
      <c r="B14" s="54">
        <v>46.96</v>
      </c>
      <c r="C14" s="54">
        <v>30.97</v>
      </c>
      <c r="D14" s="54">
        <v>56.04</v>
      </c>
      <c r="E14" s="54">
        <v>1.37</v>
      </c>
      <c r="F14" s="54">
        <v>0.40</v>
      </c>
      <c r="G14" s="54">
        <v>219.95</v>
      </c>
      <c r="H14" s="54">
        <v>109.33</v>
      </c>
      <c r="I14" s="54">
        <v>1.51</v>
      </c>
      <c r="J14" s="54">
        <v>0.12</v>
      </c>
      <c r="K14" s="54">
        <v>315.99</v>
      </c>
      <c r="L14" s="54">
        <v>16.78</v>
      </c>
      <c r="M14" s="54">
        <v>93.87</v>
      </c>
      <c r="N14" s="54">
        <v>20.5</v>
      </c>
      <c r="O14" s="54">
        <v>0</v>
      </c>
      <c r="P14" s="54">
        <v>1.43</v>
      </c>
      <c r="Q14" s="54">
        <v>7.98</v>
      </c>
      <c r="R14" s="43"/>
      <c r="S14" s="43"/>
      <c r="T14" s="43"/>
      <c r="U14" s="43"/>
    </row>
    <row r="15" spans="1:21" s="11" customFormat="1" ht="15">
      <c r="A15" s="53" t="s">
        <v>764</v>
      </c>
      <c r="B15" s="54">
        <v>45.08</v>
      </c>
      <c r="C15" s="54">
        <v>31.25</v>
      </c>
      <c r="D15" s="54">
        <v>54.69</v>
      </c>
      <c r="E15" s="54">
        <v>1.23</v>
      </c>
      <c r="F15" s="54">
        <v>0.31</v>
      </c>
      <c r="G15" s="54">
        <v>219.95</v>
      </c>
      <c r="H15" s="54">
        <v>131.88</v>
      </c>
      <c r="I15" s="54">
        <v>1.51</v>
      </c>
      <c r="J15" s="54">
        <v>0.09</v>
      </c>
      <c r="K15" s="54">
        <v>316.43</v>
      </c>
      <c r="L15" s="54">
        <v>18.440000000000001</v>
      </c>
      <c r="M15" s="54">
        <v>85.33</v>
      </c>
      <c r="N15" s="54">
        <v>43.70</v>
      </c>
      <c r="O15" s="54">
        <v>0</v>
      </c>
      <c r="P15" s="54">
        <v>1.57</v>
      </c>
      <c r="Q15" s="54">
        <v>8.3800000000000008</v>
      </c>
      <c r="R15" s="43"/>
      <c r="S15" s="43"/>
      <c r="T15" s="43"/>
      <c r="U15" s="43"/>
    </row>
    <row r="16" spans="1:21" s="11" customFormat="1" ht="15">
      <c r="A16" s="53" t="s">
        <v>765</v>
      </c>
      <c r="B16" s="54">
        <v>45.93</v>
      </c>
      <c r="C16" s="54">
        <v>32.14</v>
      </c>
      <c r="D16" s="54">
        <v>54.72</v>
      </c>
      <c r="E16" s="54">
        <v>1.02</v>
      </c>
      <c r="F16" s="54">
        <v>0.35</v>
      </c>
      <c r="G16" s="54">
        <v>216.95</v>
      </c>
      <c r="H16" s="54">
        <v>131.88</v>
      </c>
      <c r="I16" s="54">
        <v>1.51</v>
      </c>
      <c r="J16" s="54">
        <v>0.40</v>
      </c>
      <c r="K16" s="54">
        <v>349.5</v>
      </c>
      <c r="L16" s="54">
        <v>25.74</v>
      </c>
      <c r="M16" s="54">
        <v>68.08</v>
      </c>
      <c r="N16" s="59" t="s">
        <v>8</v>
      </c>
      <c r="O16" s="54">
        <v>0</v>
      </c>
      <c r="P16" s="54">
        <v>1.63</v>
      </c>
      <c r="Q16" s="54">
        <v>8.4600000000000009</v>
      </c>
      <c r="R16" s="43"/>
      <c r="S16" s="43"/>
      <c r="T16" s="43"/>
      <c r="U16" s="43"/>
    </row>
    <row r="17" spans="1:21" s="11" customFormat="1" ht="15">
      <c r="A17" s="53" t="s">
        <v>766</v>
      </c>
      <c r="B17" s="54">
        <v>41.55</v>
      </c>
      <c r="C17" s="54">
        <v>41.59</v>
      </c>
      <c r="D17" s="54">
        <v>54.17</v>
      </c>
      <c r="E17" s="54">
        <v>2.14</v>
      </c>
      <c r="F17" s="54">
        <v>2.02</v>
      </c>
      <c r="G17" s="54">
        <v>219.95</v>
      </c>
      <c r="H17" s="54">
        <v>130.62</v>
      </c>
      <c r="I17" s="54">
        <v>1.52</v>
      </c>
      <c r="J17" s="54">
        <v>0.59</v>
      </c>
      <c r="K17" s="54">
        <v>341.44</v>
      </c>
      <c r="L17" s="54">
        <v>25.78</v>
      </c>
      <c r="M17" s="54">
        <v>51.42</v>
      </c>
      <c r="N17" s="59" t="s">
        <v>8</v>
      </c>
      <c r="O17" s="54">
        <v>0</v>
      </c>
      <c r="P17" s="54">
        <v>1.65</v>
      </c>
      <c r="Q17" s="54">
        <v>8.40</v>
      </c>
      <c r="R17" s="43"/>
      <c r="S17" s="43"/>
      <c r="T17" s="43"/>
      <c r="U17" s="43"/>
    </row>
    <row r="18" spans="1:21" s="11" customFormat="1" ht="15">
      <c r="A18" s="53" t="s">
        <v>767</v>
      </c>
      <c r="B18" s="54">
        <v>35.36</v>
      </c>
      <c r="C18" s="54">
        <v>36.17</v>
      </c>
      <c r="D18" s="54">
        <v>49.25</v>
      </c>
      <c r="E18" s="54">
        <v>2.46</v>
      </c>
      <c r="F18" s="54">
        <v>2.0499999999999998</v>
      </c>
      <c r="G18" s="54">
        <v>159.44</v>
      </c>
      <c r="H18" s="54">
        <v>128.29</v>
      </c>
      <c r="I18" s="54">
        <v>1.48</v>
      </c>
      <c r="J18" s="54">
        <v>0.42</v>
      </c>
      <c r="K18" s="54">
        <v>135.74</v>
      </c>
      <c r="L18" s="54">
        <v>26.48</v>
      </c>
      <c r="M18" s="54">
        <v>50.31</v>
      </c>
      <c r="N18" s="59" t="s">
        <v>8</v>
      </c>
      <c r="O18" s="54">
        <v>0</v>
      </c>
      <c r="P18" s="54">
        <v>1.61</v>
      </c>
      <c r="Q18" s="54">
        <v>8.02</v>
      </c>
      <c r="R18" s="43"/>
      <c r="S18" s="43"/>
      <c r="T18" s="43"/>
      <c r="U18" s="43"/>
    </row>
    <row r="19" spans="1:21" s="11" customFormat="1" ht="15">
      <c r="A19" s="53" t="s">
        <v>768</v>
      </c>
      <c r="B19" s="54">
        <v>22.52</v>
      </c>
      <c r="C19" s="54">
        <v>35.31</v>
      </c>
      <c r="D19" s="54">
        <v>38.840000000000003</v>
      </c>
      <c r="E19" s="54">
        <v>2.0299999999999998</v>
      </c>
      <c r="F19" s="54">
        <v>3.36</v>
      </c>
      <c r="G19" s="54">
        <v>159.44</v>
      </c>
      <c r="H19" s="54">
        <v>111.11</v>
      </c>
      <c r="I19" s="54">
        <v>1.56</v>
      </c>
      <c r="J19" s="54">
        <v>1.03</v>
      </c>
      <c r="K19" s="54">
        <v>117.31</v>
      </c>
      <c r="L19" s="54">
        <v>26.63</v>
      </c>
      <c r="M19" s="54">
        <v>44.73</v>
      </c>
      <c r="N19" s="59" t="s">
        <v>8</v>
      </c>
      <c r="O19" s="54">
        <v>0</v>
      </c>
      <c r="P19" s="54">
        <v>1.47</v>
      </c>
      <c r="Q19" s="54">
        <v>7.01</v>
      </c>
      <c r="R19" s="43"/>
      <c r="S19" s="43"/>
      <c r="T19" s="43"/>
      <c r="U19" s="43"/>
    </row>
    <row r="20" spans="1:21" s="11" customFormat="1" ht="15">
      <c r="A20" s="53" t="s">
        <v>769</v>
      </c>
      <c r="B20" s="54">
        <v>10.81</v>
      </c>
      <c r="C20" s="54">
        <v>33.74</v>
      </c>
      <c r="D20" s="54">
        <v>28.58</v>
      </c>
      <c r="E20" s="54">
        <v>2.5</v>
      </c>
      <c r="F20" s="54">
        <v>4.21</v>
      </c>
      <c r="G20" s="54">
        <v>82.52</v>
      </c>
      <c r="H20" s="54">
        <v>86.72</v>
      </c>
      <c r="I20" s="54">
        <v>1.51</v>
      </c>
      <c r="J20" s="54">
        <v>0.98</v>
      </c>
      <c r="K20" s="54">
        <v>130.72</v>
      </c>
      <c r="L20" s="54">
        <v>27.52</v>
      </c>
      <c r="M20" s="54">
        <v>38.76</v>
      </c>
      <c r="N20" s="59" t="s">
        <v>8</v>
      </c>
      <c r="O20" s="54">
        <v>0</v>
      </c>
      <c r="P20" s="54">
        <v>1.20</v>
      </c>
      <c r="Q20" s="54">
        <v>5.99</v>
      </c>
      <c r="R20" s="43"/>
      <c r="S20" s="43"/>
      <c r="T20" s="43"/>
      <c r="U20" s="43"/>
    </row>
    <row r="21" spans="1:21" s="11" customFormat="1" ht="15">
      <c r="A21" s="53" t="s">
        <v>770</v>
      </c>
      <c r="B21" s="54">
        <v>4.7699999999999996</v>
      </c>
      <c r="C21" s="54">
        <v>28.03</v>
      </c>
      <c r="D21" s="54">
        <v>20.59</v>
      </c>
      <c r="E21" s="54">
        <v>2.39</v>
      </c>
      <c r="F21" s="54">
        <v>4.78</v>
      </c>
      <c r="G21" s="54">
        <v>82.52</v>
      </c>
      <c r="H21" s="54">
        <v>74.040000000000006</v>
      </c>
      <c r="I21" s="54">
        <v>1.60</v>
      </c>
      <c r="J21" s="54">
        <v>0.92</v>
      </c>
      <c r="K21" s="54">
        <v>113.27</v>
      </c>
      <c r="L21" s="54">
        <v>27.66</v>
      </c>
      <c r="M21" s="54">
        <v>39.46</v>
      </c>
      <c r="N21" s="59" t="s">
        <v>8</v>
      </c>
      <c r="O21" s="54">
        <v>0</v>
      </c>
      <c r="P21" s="54">
        <v>1.02</v>
      </c>
      <c r="Q21" s="54">
        <v>5.41</v>
      </c>
      <c r="R21" s="43"/>
      <c r="S21" s="43"/>
      <c r="T21" s="43"/>
      <c r="U21" s="43"/>
    </row>
    <row r="22" spans="1:21" s="11" customFormat="1" ht="15">
      <c r="A22" s="53" t="s">
        <v>771</v>
      </c>
      <c r="B22" s="54">
        <v>2.33</v>
      </c>
      <c r="C22" s="54">
        <v>27.91</v>
      </c>
      <c r="D22" s="54">
        <v>18.48</v>
      </c>
      <c r="E22" s="54">
        <v>2.5499999999999998</v>
      </c>
      <c r="F22" s="54">
        <v>6.07</v>
      </c>
      <c r="G22" s="54">
        <v>87.87</v>
      </c>
      <c r="H22" s="54">
        <v>57.72</v>
      </c>
      <c r="I22" s="54">
        <v>1.52</v>
      </c>
      <c r="J22" s="54">
        <v>1.1299999999999999</v>
      </c>
      <c r="K22" s="54">
        <v>110.69</v>
      </c>
      <c r="L22" s="54">
        <v>28.14</v>
      </c>
      <c r="M22" s="54">
        <v>38.33</v>
      </c>
      <c r="N22" s="59" t="s">
        <v>8</v>
      </c>
      <c r="O22" s="54">
        <v>0</v>
      </c>
      <c r="P22" s="54">
        <v>0.87</v>
      </c>
      <c r="Q22" s="54">
        <v>4.96</v>
      </c>
      <c r="R22" s="43"/>
      <c r="S22" s="43"/>
      <c r="T22" s="43"/>
      <c r="U22" s="43"/>
    </row>
    <row r="23" spans="1:21" s="11" customFormat="1" ht="15">
      <c r="A23" s="53" t="s">
        <v>772</v>
      </c>
      <c r="B23" s="54">
        <v>2.11</v>
      </c>
      <c r="C23" s="54">
        <v>29.97</v>
      </c>
      <c r="D23" s="54">
        <v>19.440000000000001</v>
      </c>
      <c r="E23" s="54">
        <v>7.27</v>
      </c>
      <c r="F23" s="54">
        <v>38.799999999999997</v>
      </c>
      <c r="G23" s="54">
        <v>87.87</v>
      </c>
      <c r="H23" s="54">
        <v>57.72</v>
      </c>
      <c r="I23" s="54">
        <v>1.52</v>
      </c>
      <c r="J23" s="54">
        <v>1.19</v>
      </c>
      <c r="K23" s="54">
        <v>120.17</v>
      </c>
      <c r="L23" s="54">
        <v>27.20</v>
      </c>
      <c r="M23" s="54">
        <v>37.74</v>
      </c>
      <c r="N23" s="54">
        <v>1.5</v>
      </c>
      <c r="O23" s="54">
        <v>0</v>
      </c>
      <c r="P23" s="54">
        <v>0.77</v>
      </c>
      <c r="Q23" s="54">
        <v>5.07</v>
      </c>
      <c r="R23" s="43"/>
      <c r="S23" s="43"/>
      <c r="T23" s="43"/>
      <c r="U23" s="43"/>
    </row>
    <row r="24" spans="1:21" s="11" customFormat="1" ht="15">
      <c r="A24" s="53" t="s">
        <v>773</v>
      </c>
      <c r="B24" s="54">
        <v>2.66</v>
      </c>
      <c r="C24" s="54">
        <v>35.909999999999997</v>
      </c>
      <c r="D24" s="54">
        <v>23.24</v>
      </c>
      <c r="E24" s="54">
        <v>4.17</v>
      </c>
      <c r="F24" s="54">
        <v>25.28</v>
      </c>
      <c r="G24" s="54">
        <v>80.680000000000007</v>
      </c>
      <c r="H24" s="54">
        <v>50.69</v>
      </c>
      <c r="I24" s="54">
        <v>1.55</v>
      </c>
      <c r="J24" s="54">
        <v>1.91</v>
      </c>
      <c r="K24" s="54">
        <v>111.25</v>
      </c>
      <c r="L24" s="54">
        <v>25.88</v>
      </c>
      <c r="M24" s="54">
        <v>40.69</v>
      </c>
      <c r="N24" s="54">
        <v>86.70</v>
      </c>
      <c r="O24" s="54">
        <v>0</v>
      </c>
      <c r="P24" s="54">
        <v>0.65</v>
      </c>
      <c r="Q24" s="54">
        <v>5.08</v>
      </c>
      <c r="R24" s="43"/>
      <c r="S24" s="43"/>
      <c r="T24" s="43"/>
      <c r="U24" s="43"/>
    </row>
    <row r="25" spans="1:21" s="11" customFormat="1" ht="15">
      <c r="A25" s="53" t="s">
        <v>774</v>
      </c>
      <c r="B25" s="54">
        <v>2.09</v>
      </c>
      <c r="C25" s="54">
        <v>29.55</v>
      </c>
      <c r="D25" s="54">
        <v>19.20</v>
      </c>
      <c r="E25" s="54">
        <v>8.31</v>
      </c>
      <c r="F25" s="54">
        <v>39.44</v>
      </c>
      <c r="G25" s="54">
        <v>80.680000000000007</v>
      </c>
      <c r="H25" s="54">
        <v>49.70</v>
      </c>
      <c r="I25" s="54">
        <v>1.58</v>
      </c>
      <c r="J25" s="54">
        <v>1.07</v>
      </c>
      <c r="K25" s="54">
        <v>106.99</v>
      </c>
      <c r="L25" s="54">
        <v>25.45</v>
      </c>
      <c r="M25" s="54">
        <v>43.5</v>
      </c>
      <c r="N25" s="54">
        <v>73.30</v>
      </c>
      <c r="O25" s="54">
        <v>0</v>
      </c>
      <c r="P25" s="54">
        <v>0.55000000000000004</v>
      </c>
      <c r="Q25" s="54">
        <v>5.08</v>
      </c>
      <c r="R25" s="43"/>
      <c r="S25" s="43"/>
      <c r="T25" s="43"/>
      <c r="U25" s="43"/>
    </row>
    <row r="26" spans="1:21" s="11" customFormat="1" ht="15">
      <c r="A26" s="53" t="s">
        <v>775</v>
      </c>
      <c r="B26" s="54">
        <v>3.27</v>
      </c>
      <c r="C26" s="54">
        <v>59.73</v>
      </c>
      <c r="D26" s="54">
        <v>36.03</v>
      </c>
      <c r="E26" s="54">
        <v>15.85</v>
      </c>
      <c r="F26" s="54">
        <v>51.05</v>
      </c>
      <c r="G26" s="54">
        <v>77.849999999999994</v>
      </c>
      <c r="H26" s="54">
        <v>49.70</v>
      </c>
      <c r="I26" s="54">
        <v>1.52</v>
      </c>
      <c r="J26" s="54">
        <v>0.28999999999999998</v>
      </c>
      <c r="K26" s="54">
        <v>94.78</v>
      </c>
      <c r="L26" s="54">
        <v>24.37</v>
      </c>
      <c r="M26" s="54">
        <v>48.67</v>
      </c>
      <c r="N26" s="54">
        <v>28.40</v>
      </c>
      <c r="O26" s="54">
        <v>0</v>
      </c>
      <c r="P26" s="54">
        <v>0.91</v>
      </c>
      <c r="Q26" s="54">
        <v>4.66</v>
      </c>
      <c r="R26" s="43"/>
      <c r="S26" s="43"/>
      <c r="T26" s="43"/>
      <c r="U26" s="43"/>
    </row>
    <row r="27" spans="1:21" s="11" customFormat="1" ht="15">
      <c r="A27" s="53" t="s">
        <v>776</v>
      </c>
      <c r="B27" s="54">
        <v>2</v>
      </c>
      <c r="C27" s="54">
        <v>52.53</v>
      </c>
      <c r="D27" s="54">
        <v>31.89</v>
      </c>
      <c r="E27" s="54">
        <v>8.58</v>
      </c>
      <c r="F27" s="54">
        <v>24.74</v>
      </c>
      <c r="G27" s="54">
        <v>99.65</v>
      </c>
      <c r="H27" s="54">
        <v>48.13</v>
      </c>
      <c r="I27" s="54">
        <v>1.5</v>
      </c>
      <c r="J27" s="54">
        <v>0.18</v>
      </c>
      <c r="K27" s="54">
        <v>129.28</v>
      </c>
      <c r="L27" s="54">
        <v>23.27</v>
      </c>
      <c r="M27" s="54">
        <v>53.90</v>
      </c>
      <c r="N27" s="54">
        <v>19.600000000000001</v>
      </c>
      <c r="O27" s="54">
        <v>0</v>
      </c>
      <c r="P27" s="54">
        <v>0.89</v>
      </c>
      <c r="Q27" s="54">
        <v>4.49</v>
      </c>
      <c r="R27" s="43"/>
      <c r="S27" s="43"/>
      <c r="T27" s="43"/>
      <c r="U27" s="43"/>
    </row>
    <row r="28" spans="1:21" s="11" customFormat="1" ht="15">
      <c r="A28" s="53" t="s">
        <v>777</v>
      </c>
      <c r="B28" s="54">
        <v>58.02</v>
      </c>
      <c r="C28" s="54">
        <v>97.73</v>
      </c>
      <c r="D28" s="54">
        <v>101.75</v>
      </c>
      <c r="E28" s="54">
        <v>5.63</v>
      </c>
      <c r="F28" s="54">
        <v>13.70</v>
      </c>
      <c r="G28" s="54">
        <v>135.75</v>
      </c>
      <c r="H28" s="54">
        <v>52.14</v>
      </c>
      <c r="I28" s="54">
        <v>1.54</v>
      </c>
      <c r="J28" s="54">
        <v>0.25</v>
      </c>
      <c r="K28" s="54">
        <v>353.71</v>
      </c>
      <c r="L28" s="54">
        <v>22.64</v>
      </c>
      <c r="M28" s="54">
        <v>66.599999999999994</v>
      </c>
      <c r="N28" s="54">
        <v>19.5</v>
      </c>
      <c r="O28" s="54">
        <v>0</v>
      </c>
      <c r="P28" s="54">
        <v>2.77</v>
      </c>
      <c r="Q28" s="54">
        <v>3.99</v>
      </c>
      <c r="R28" s="43"/>
      <c r="S28" s="43"/>
      <c r="T28" s="43"/>
      <c r="U28" s="43"/>
    </row>
    <row r="29" spans="1:21" s="11" customFormat="1" ht="15">
      <c r="A29" s="53" t="s">
        <v>778</v>
      </c>
      <c r="B29" s="54">
        <v>27.08</v>
      </c>
      <c r="C29" s="54">
        <v>85.22</v>
      </c>
      <c r="D29" s="54">
        <v>70.040000000000006</v>
      </c>
      <c r="E29" s="54">
        <v>5.41</v>
      </c>
      <c r="F29" s="54">
        <v>7.23</v>
      </c>
      <c r="G29" s="54">
        <v>185.08</v>
      </c>
      <c r="H29" s="54">
        <v>67.180000000000007</v>
      </c>
      <c r="I29" s="54">
        <v>1.56</v>
      </c>
      <c r="J29" s="54">
        <v>0.14000000000000001</v>
      </c>
      <c r="K29" s="54">
        <v>98.70</v>
      </c>
      <c r="L29" s="54">
        <v>21.78</v>
      </c>
      <c r="M29" s="54">
        <v>63.52</v>
      </c>
      <c r="N29" s="54">
        <v>19.399999999999999</v>
      </c>
      <c r="O29" s="54">
        <v>0</v>
      </c>
      <c r="P29" s="54">
        <v>2.10</v>
      </c>
      <c r="Q29" s="54">
        <v>4.28</v>
      </c>
      <c r="R29" s="43"/>
      <c r="S29" s="43"/>
      <c r="T29" s="43"/>
      <c r="U29" s="43"/>
    </row>
    <row r="30" spans="1:21" s="11" customFormat="1" ht="15">
      <c r="A30" s="53" t="s">
        <v>779</v>
      </c>
      <c r="B30" s="54">
        <v>19.87</v>
      </c>
      <c r="C30" s="54">
        <v>58.96</v>
      </c>
      <c r="D30" s="54">
        <v>49.76</v>
      </c>
      <c r="E30" s="54">
        <v>3.81</v>
      </c>
      <c r="F30" s="54">
        <v>5.77</v>
      </c>
      <c r="G30" s="54">
        <v>185.08</v>
      </c>
      <c r="H30" s="54">
        <v>69.209999999999994</v>
      </c>
      <c r="I30" s="54">
        <v>1.56</v>
      </c>
      <c r="J30" s="54">
        <v>0.19</v>
      </c>
      <c r="K30" s="54">
        <v>76.739999999999995</v>
      </c>
      <c r="L30" s="54">
        <v>21.36</v>
      </c>
      <c r="M30" s="54">
        <v>62.90</v>
      </c>
      <c r="N30" s="54">
        <v>19.20</v>
      </c>
      <c r="O30" s="54">
        <v>0</v>
      </c>
      <c r="P30" s="54">
        <v>1.59</v>
      </c>
      <c r="Q30" s="54">
        <v>5.26</v>
      </c>
      <c r="R30" s="43"/>
      <c r="S30" s="43"/>
      <c r="T30" s="43"/>
      <c r="U30" s="43"/>
    </row>
    <row r="31" spans="1:21" s="11" customFormat="1" ht="15">
      <c r="A31" s="53" t="s">
        <v>780</v>
      </c>
      <c r="B31" s="54">
        <v>11.32</v>
      </c>
      <c r="C31" s="54">
        <v>47.61</v>
      </c>
      <c r="D31" s="54">
        <v>36.64</v>
      </c>
      <c r="E31" s="54">
        <v>3.28</v>
      </c>
      <c r="F31" s="54">
        <v>7.94</v>
      </c>
      <c r="G31" s="54">
        <v>159.88999999999999</v>
      </c>
      <c r="H31" s="54">
        <v>69.209999999999994</v>
      </c>
      <c r="I31" s="54">
        <v>1.58</v>
      </c>
      <c r="J31" s="54">
        <v>0.16</v>
      </c>
      <c r="K31" s="54">
        <v>72.150000000000006</v>
      </c>
      <c r="L31" s="54">
        <v>21.16</v>
      </c>
      <c r="M31" s="54">
        <v>64.5</v>
      </c>
      <c r="N31" s="54">
        <v>19.30</v>
      </c>
      <c r="O31" s="54">
        <v>0</v>
      </c>
      <c r="P31" s="54">
        <v>1.36</v>
      </c>
      <c r="Q31" s="54">
        <v>5.55</v>
      </c>
      <c r="R31" s="43"/>
      <c r="S31" s="43"/>
      <c r="T31" s="43"/>
      <c r="U31" s="43"/>
    </row>
    <row r="32" spans="1:21" s="11" customFormat="1" ht="15">
      <c r="A32" s="53" t="s">
        <v>781</v>
      </c>
      <c r="B32" s="54">
        <v>12.36</v>
      </c>
      <c r="C32" s="54">
        <v>48.91</v>
      </c>
      <c r="D32" s="54">
        <v>34.479999999999997</v>
      </c>
      <c r="E32" s="54">
        <v>3.07</v>
      </c>
      <c r="F32" s="54">
        <v>8.3800000000000008</v>
      </c>
      <c r="G32" s="54">
        <v>149.52000000000001</v>
      </c>
      <c r="H32" s="54">
        <v>69.430000000000007</v>
      </c>
      <c r="I32" s="54">
        <v>1.51</v>
      </c>
      <c r="J32" s="54">
        <v>0.13</v>
      </c>
      <c r="K32" s="54">
        <v>300.61</v>
      </c>
      <c r="L32" s="54">
        <v>20.53</v>
      </c>
      <c r="M32" s="54">
        <v>69.59</v>
      </c>
      <c r="N32" s="54">
        <v>19.5</v>
      </c>
      <c r="O32" s="54">
        <v>0</v>
      </c>
      <c r="P32" s="54">
        <v>1.37</v>
      </c>
      <c r="Q32" s="54">
        <v>5.31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27.5</v>
      </c>
      <c r="D34" s="28">
        <f t="shared" si="0"/>
        <v>18.48</v>
      </c>
      <c r="E34" s="28">
        <f t="shared" si="0"/>
        <v>1.02</v>
      </c>
      <c r="F34" s="28">
        <f t="shared" si="0"/>
        <v>0.22</v>
      </c>
      <c r="G34" s="28">
        <f t="shared" si="0"/>
        <v>77.849999999999994</v>
      </c>
      <c r="H34" s="28">
        <f t="shared" si="0"/>
        <v>48.130000000000003</v>
      </c>
      <c r="I34" s="28">
        <f t="shared" si="0"/>
        <v>1.48</v>
      </c>
      <c r="J34" s="28">
        <f t="shared" si="0"/>
        <v>0.059999999999999998</v>
      </c>
      <c r="K34" s="28">
        <f t="shared" si="0"/>
        <v>72.150000000000006</v>
      </c>
      <c r="L34" s="28">
        <f t="shared" si="0"/>
        <v>16.489999999999998</v>
      </c>
      <c r="M34" s="28">
        <f t="shared" si="0"/>
        <v>37.740000000000002</v>
      </c>
      <c r="N34" s="28">
        <f t="shared" si="0"/>
        <v>1.5</v>
      </c>
      <c r="O34" s="28">
        <f t="shared" si="0"/>
        <v>0</v>
      </c>
      <c r="P34" s="28">
        <f t="shared" si="0"/>
        <v>0.55000000000000004</v>
      </c>
      <c r="Q34" s="28">
        <f t="shared" si="0"/>
        <v>3.9900000000000002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59.729999999999997</v>
      </c>
      <c r="C35" s="29">
        <f t="shared" si="1"/>
        <v>97.730000000000004</v>
      </c>
      <c r="D35" s="29">
        <f t="shared" si="1"/>
        <v>101.75</v>
      </c>
      <c r="E35" s="29">
        <f t="shared" si="1"/>
        <v>15.85</v>
      </c>
      <c r="F35" s="29">
        <f t="shared" si="1"/>
        <v>51.049999999999997</v>
      </c>
      <c r="G35" s="29">
        <f t="shared" si="1"/>
        <v>220.18000000000001</v>
      </c>
      <c r="H35" s="29">
        <f t="shared" si="1"/>
        <v>131.88</v>
      </c>
      <c r="I35" s="29">
        <f t="shared" si="1"/>
        <v>1.6000000000000001</v>
      </c>
      <c r="J35" s="29">
        <f t="shared" si="1"/>
        <v>1.9099999999999999</v>
      </c>
      <c r="K35" s="29">
        <f t="shared" si="1"/>
        <v>353.70999999999998</v>
      </c>
      <c r="L35" s="29">
        <f t="shared" si="1"/>
        <v>28.140000000000001</v>
      </c>
      <c r="M35" s="29">
        <f t="shared" si="1"/>
        <v>94.849999999999994</v>
      </c>
      <c r="N35" s="29">
        <f t="shared" si="1"/>
        <v>86.700000000000003</v>
      </c>
      <c r="O35" s="29">
        <f t="shared" si="1"/>
        <v>0</v>
      </c>
      <c r="P35" s="29">
        <f t="shared" si="1"/>
        <v>2.77</v>
      </c>
      <c r="Q35" s="29">
        <f t="shared" si="1"/>
        <v>9.7300000000000004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27.266666666666669</v>
      </c>
      <c r="C36" s="28">
        <f t="shared" si="2"/>
        <v>41.564583333333331</v>
      </c>
      <c r="D36" s="28">
        <f t="shared" si="2"/>
        <v>45.56333333333334</v>
      </c>
      <c r="E36" s="28">
        <f t="shared" si="2"/>
        <v>3.8516666666666666</v>
      </c>
      <c r="F36" s="28">
        <f t="shared" si="2"/>
        <v>10.304583333333333</v>
      </c>
      <c r="G36" s="28">
        <f t="shared" si="2"/>
        <v>147.53124999999997</v>
      </c>
      <c r="H36" s="28">
        <f t="shared" si="2"/>
        <v>82.071666666666687</v>
      </c>
      <c r="I36" s="28">
        <f t="shared" si="2"/>
        <v>1.53125</v>
      </c>
      <c r="J36" s="28">
        <f t="shared" si="2"/>
        <v>0.48958333333333331</v>
      </c>
      <c r="K36" s="28">
        <f t="shared" si="2"/>
        <v>206.96541666666664</v>
      </c>
      <c r="L36" s="28">
        <f t="shared" si="2"/>
        <v>22.656249999999996</v>
      </c>
      <c r="M36" s="28">
        <f t="shared" si="2"/>
        <v>63.562083333333341</v>
      </c>
      <c r="N36" s="28">
        <f t="shared" si="2"/>
        <v>27.194117647058825</v>
      </c>
      <c r="O36" s="28">
        <f t="shared" si="2"/>
        <v>0</v>
      </c>
      <c r="P36" s="28">
        <f t="shared" si="2"/>
        <v>1.3987499999999999</v>
      </c>
      <c r="Q36" s="28">
        <f t="shared" si="2"/>
        <v>6.6275000000000013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21.463759682547337</v>
      </c>
      <c r="C37" s="28">
        <f t="shared" si="3" ref="C37:Q37">STDEV(C9:C32)</f>
        <v>18.211047525959451</v>
      </c>
      <c r="D37" s="28">
        <f t="shared" si="3"/>
        <v>20.189843479089784</v>
      </c>
      <c r="E37" s="28">
        <f t="shared" si="3"/>
        <v>3.3604796069022353</v>
      </c>
      <c r="F37" s="28">
        <f t="shared" si="3"/>
        <v>14.557376429648741</v>
      </c>
      <c r="G37" s="28">
        <f t="shared" si="3"/>
        <v>52.145228079020306</v>
      </c>
      <c r="H37" s="28">
        <f t="shared" si="3"/>
        <v>28.18288174031181</v>
      </c>
      <c r="I37" s="28">
        <f t="shared" si="3"/>
        <v>0.03152811030065767</v>
      </c>
      <c r="J37" s="28">
        <f t="shared" si="3"/>
        <v>0.49573379222484237</v>
      </c>
      <c r="K37" s="28">
        <f t="shared" si="3"/>
        <v>110.45051746603322</v>
      </c>
      <c r="L37" s="28">
        <f t="shared" si="3"/>
        <v>4.023300410813536</v>
      </c>
      <c r="M37" s="28">
        <f t="shared" si="3"/>
        <v>21.001004733555934</v>
      </c>
      <c r="N37" s="28">
        <f t="shared" si="3"/>
        <v>21.506843985933738</v>
      </c>
      <c r="O37" s="28">
        <f t="shared" si="3"/>
        <v>0</v>
      </c>
      <c r="P37" s="28">
        <f t="shared" si="3"/>
        <v>0.49603920339459834</v>
      </c>
      <c r="Q37" s="28">
        <f t="shared" si="3"/>
        <v>1.9133859130279744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COUNT(N9:N32)+7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239370-06e2-48d7-ad8c-a008d96e6435}">
  <sheetPr codeName=""/>
  <dimension ref="A1:U119"/>
  <sheetViews>
    <sheetView workbookViewId="0" topLeftCell="A1">
      <selection pane="topLeft" activeCell="G63" sqref="G6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782</v>
      </c>
      <c r="B9" s="54">
        <v>10.38</v>
      </c>
      <c r="C9" s="54">
        <v>34.72</v>
      </c>
      <c r="D9" s="54">
        <v>27.29</v>
      </c>
      <c r="E9" s="54">
        <v>2.61</v>
      </c>
      <c r="F9" s="54">
        <v>2.2799999999999998</v>
      </c>
      <c r="G9" s="54">
        <v>128.93</v>
      </c>
      <c r="H9" s="54">
        <v>69.430000000000007</v>
      </c>
      <c r="I9" s="54">
        <v>1.55</v>
      </c>
      <c r="J9" s="54">
        <v>0.17</v>
      </c>
      <c r="K9" s="54">
        <v>297.97000000000003</v>
      </c>
      <c r="L9" s="54">
        <v>20.07</v>
      </c>
      <c r="M9" s="54">
        <v>73.209999999999994</v>
      </c>
      <c r="N9" s="54">
        <v>19.600000000000001</v>
      </c>
      <c r="O9" s="54">
        <v>0</v>
      </c>
      <c r="P9" s="54">
        <v>1.32</v>
      </c>
      <c r="Q9" s="54">
        <v>5.65</v>
      </c>
      <c r="R9" s="43"/>
      <c r="S9" s="43"/>
      <c r="T9" s="43"/>
      <c r="U9" s="43"/>
    </row>
    <row r="10" spans="1:21" s="11" customFormat="1" ht="15">
      <c r="A10" s="53" t="s">
        <v>783</v>
      </c>
      <c r="B10" s="54">
        <v>8.18</v>
      </c>
      <c r="C10" s="54">
        <v>29.19</v>
      </c>
      <c r="D10" s="54">
        <v>23.94</v>
      </c>
      <c r="E10" s="54">
        <v>2.59</v>
      </c>
      <c r="F10" s="54">
        <v>3.18</v>
      </c>
      <c r="G10" s="54">
        <v>120.27</v>
      </c>
      <c r="H10" s="54">
        <v>63.71</v>
      </c>
      <c r="I10" s="54">
        <v>1.54</v>
      </c>
      <c r="J10" s="54">
        <v>0.15</v>
      </c>
      <c r="K10" s="54">
        <v>309.66000000000003</v>
      </c>
      <c r="L10" s="54">
        <v>18.829999999999998</v>
      </c>
      <c r="M10" s="54">
        <v>78.87</v>
      </c>
      <c r="N10" s="54">
        <v>19.600000000000001</v>
      </c>
      <c r="O10" s="54">
        <v>0</v>
      </c>
      <c r="P10" s="54">
        <v>1.1100000000000001</v>
      </c>
      <c r="Q10" s="54">
        <v>5.51</v>
      </c>
      <c r="R10" s="43"/>
      <c r="S10" s="43"/>
      <c r="T10" s="43"/>
      <c r="U10" s="43"/>
    </row>
    <row r="11" spans="1:21" s="11" customFormat="1" ht="15">
      <c r="A11" s="53" t="s">
        <v>784</v>
      </c>
      <c r="B11" s="54">
        <v>8.93</v>
      </c>
      <c r="C11" s="54">
        <v>30.10</v>
      </c>
      <c r="D11" s="54">
        <v>24.12</v>
      </c>
      <c r="E11" s="54">
        <v>2.64</v>
      </c>
      <c r="F11" s="54">
        <v>2.87</v>
      </c>
      <c r="G11" s="54">
        <v>120.27</v>
      </c>
      <c r="H11" s="54">
        <v>63.71</v>
      </c>
      <c r="I11" s="54">
        <v>1.54</v>
      </c>
      <c r="J11" s="54">
        <v>0.16</v>
      </c>
      <c r="K11" s="54">
        <v>309.49</v>
      </c>
      <c r="L11" s="54">
        <v>18.73</v>
      </c>
      <c r="M11" s="54">
        <v>88.94</v>
      </c>
      <c r="N11" s="54">
        <v>19.70</v>
      </c>
      <c r="O11" s="54">
        <v>0</v>
      </c>
      <c r="P11" s="54">
        <v>1.04</v>
      </c>
      <c r="Q11" s="54">
        <v>5.37</v>
      </c>
      <c r="R11" s="43"/>
      <c r="S11" s="43"/>
      <c r="T11" s="43"/>
      <c r="U11" s="43"/>
    </row>
    <row r="12" spans="1:21" s="11" customFormat="1" ht="15">
      <c r="A12" s="53" t="s">
        <v>785</v>
      </c>
      <c r="B12" s="54">
        <v>8.15</v>
      </c>
      <c r="C12" s="54">
        <v>25.30</v>
      </c>
      <c r="D12" s="54">
        <v>21.79</v>
      </c>
      <c r="E12" s="54">
        <v>2.2999999999999998</v>
      </c>
      <c r="F12" s="54">
        <v>0.27</v>
      </c>
      <c r="G12" s="54">
        <v>120.49</v>
      </c>
      <c r="H12" s="54">
        <v>63.67</v>
      </c>
      <c r="I12" s="54">
        <v>1.54</v>
      </c>
      <c r="J12" s="54">
        <v>0.36</v>
      </c>
      <c r="K12" s="54">
        <v>351.52</v>
      </c>
      <c r="L12" s="54">
        <v>17.38</v>
      </c>
      <c r="M12" s="54">
        <v>92.07</v>
      </c>
      <c r="N12" s="54">
        <v>19.5</v>
      </c>
      <c r="O12" s="54">
        <v>0</v>
      </c>
      <c r="P12" s="54">
        <v>1.02</v>
      </c>
      <c r="Q12" s="54">
        <v>5.46</v>
      </c>
      <c r="R12" s="43"/>
      <c r="S12" s="43"/>
      <c r="T12" s="43"/>
      <c r="U12" s="43"/>
    </row>
    <row r="13" spans="1:21" s="11" customFormat="1" ht="15">
      <c r="A13" s="53" t="s">
        <v>786</v>
      </c>
      <c r="B13" s="54">
        <v>9.14</v>
      </c>
      <c r="C13" s="54">
        <v>35.96</v>
      </c>
      <c r="D13" s="54">
        <v>28.47</v>
      </c>
      <c r="E13" s="54">
        <v>1.94</v>
      </c>
      <c r="F13" s="54">
        <v>0.37</v>
      </c>
      <c r="G13" s="54">
        <v>165.60</v>
      </c>
      <c r="H13" s="54">
        <v>75.709999999999994</v>
      </c>
      <c r="I13" s="54">
        <v>1.52</v>
      </c>
      <c r="J13" s="54">
        <v>0.28999999999999998</v>
      </c>
      <c r="K13" s="54">
        <v>337.03</v>
      </c>
      <c r="L13" s="54">
        <v>17.600000000000001</v>
      </c>
      <c r="M13" s="54">
        <v>88.53</v>
      </c>
      <c r="N13" s="54">
        <v>20.80</v>
      </c>
      <c r="O13" s="54">
        <v>0</v>
      </c>
      <c r="P13" s="54">
        <v>1.0900000000000001</v>
      </c>
      <c r="Q13" s="54">
        <v>5.49</v>
      </c>
      <c r="R13" s="43"/>
      <c r="S13" s="43"/>
      <c r="T13" s="43"/>
      <c r="U13" s="43"/>
    </row>
    <row r="14" spans="1:21" s="11" customFormat="1" ht="15">
      <c r="A14" s="53" t="s">
        <v>787</v>
      </c>
      <c r="B14" s="54">
        <v>11.04</v>
      </c>
      <c r="C14" s="54">
        <v>32.479999999999997</v>
      </c>
      <c r="D14" s="54">
        <v>28.07</v>
      </c>
      <c r="E14" s="54">
        <v>1.93</v>
      </c>
      <c r="F14" s="54">
        <v>0.5</v>
      </c>
      <c r="G14" s="54">
        <v>193.13</v>
      </c>
      <c r="H14" s="54">
        <v>91.05</v>
      </c>
      <c r="I14" s="54">
        <v>1.5</v>
      </c>
      <c r="J14" s="54">
        <v>0.21</v>
      </c>
      <c r="K14" s="54">
        <v>345.97</v>
      </c>
      <c r="L14" s="54">
        <v>17.48</v>
      </c>
      <c r="M14" s="54">
        <v>85.61</v>
      </c>
      <c r="N14" s="54">
        <v>20.60</v>
      </c>
      <c r="O14" s="54">
        <v>0</v>
      </c>
      <c r="P14" s="54">
        <v>1.19</v>
      </c>
      <c r="Q14" s="54">
        <v>5.63</v>
      </c>
      <c r="R14" s="43"/>
      <c r="S14" s="43"/>
      <c r="T14" s="43"/>
      <c r="U14" s="43"/>
    </row>
    <row r="15" spans="1:21" s="11" customFormat="1" ht="15">
      <c r="A15" s="53" t="s">
        <v>788</v>
      </c>
      <c r="B15" s="54">
        <v>10.55</v>
      </c>
      <c r="C15" s="54">
        <v>25.59</v>
      </c>
      <c r="D15" s="54">
        <v>23.80</v>
      </c>
      <c r="E15" s="54">
        <v>1.60</v>
      </c>
      <c r="F15" s="54">
        <v>0.41</v>
      </c>
      <c r="G15" s="54">
        <v>193.13</v>
      </c>
      <c r="H15" s="54">
        <v>91.05</v>
      </c>
      <c r="I15" s="54">
        <v>1.54</v>
      </c>
      <c r="J15" s="54">
        <v>0.21</v>
      </c>
      <c r="K15" s="54">
        <v>104.44</v>
      </c>
      <c r="L15" s="54">
        <v>18.57</v>
      </c>
      <c r="M15" s="54">
        <v>83.71</v>
      </c>
      <c r="N15" s="54">
        <v>101.40</v>
      </c>
      <c r="O15" s="54">
        <v>0</v>
      </c>
      <c r="P15" s="54">
        <v>1.19</v>
      </c>
      <c r="Q15" s="54">
        <v>5.68</v>
      </c>
      <c r="R15" s="43"/>
      <c r="S15" s="43"/>
      <c r="T15" s="43"/>
      <c r="U15" s="43"/>
    </row>
    <row r="16" spans="1:21" s="11" customFormat="1" ht="15">
      <c r="A16" s="53" t="s">
        <v>789</v>
      </c>
      <c r="B16" s="54">
        <v>10.33</v>
      </c>
      <c r="C16" s="54">
        <v>27.34</v>
      </c>
      <c r="D16" s="54">
        <v>24.54</v>
      </c>
      <c r="E16" s="54">
        <v>1.74</v>
      </c>
      <c r="F16" s="54">
        <v>2.34</v>
      </c>
      <c r="G16" s="54">
        <v>186.39</v>
      </c>
      <c r="H16" s="54">
        <v>89.02</v>
      </c>
      <c r="I16" s="54">
        <v>1.52</v>
      </c>
      <c r="J16" s="54">
        <v>0.60</v>
      </c>
      <c r="K16" s="54">
        <v>116.18</v>
      </c>
      <c r="L16" s="54">
        <v>22.10</v>
      </c>
      <c r="M16" s="54">
        <v>74.069999999999993</v>
      </c>
      <c r="N16" s="54">
        <v>320.10000000000002</v>
      </c>
      <c r="O16" s="54">
        <v>0</v>
      </c>
      <c r="P16" s="54">
        <v>1.1599999999999999</v>
      </c>
      <c r="Q16" s="54">
        <v>5.66</v>
      </c>
      <c r="R16" s="43"/>
      <c r="S16" s="43"/>
      <c r="T16" s="43"/>
      <c r="U16" s="43"/>
    </row>
    <row r="17" spans="1:21" s="11" customFormat="1" ht="15">
      <c r="A17" s="53" t="s">
        <v>790</v>
      </c>
      <c r="B17" s="54">
        <v>9.61</v>
      </c>
      <c r="C17" s="54">
        <v>29.10</v>
      </c>
      <c r="D17" s="54">
        <v>25.06</v>
      </c>
      <c r="E17" s="54">
        <v>2.04</v>
      </c>
      <c r="F17" s="54">
        <v>2.35</v>
      </c>
      <c r="G17" s="54">
        <v>162.88999999999999</v>
      </c>
      <c r="H17" s="54">
        <v>81.39</v>
      </c>
      <c r="I17" s="54">
        <v>1.53</v>
      </c>
      <c r="J17" s="54">
        <v>1.07</v>
      </c>
      <c r="K17" s="54">
        <v>111.39</v>
      </c>
      <c r="L17" s="54">
        <v>23.90</v>
      </c>
      <c r="M17" s="54">
        <v>59.63</v>
      </c>
      <c r="N17" s="54">
        <v>504.60</v>
      </c>
      <c r="O17" s="54">
        <v>0</v>
      </c>
      <c r="P17" s="54">
        <v>1.1200000000000001</v>
      </c>
      <c r="Q17" s="54">
        <v>5.52</v>
      </c>
      <c r="R17" s="43"/>
      <c r="S17" s="43"/>
      <c r="T17" s="43"/>
      <c r="U17" s="43"/>
    </row>
    <row r="18" spans="1:21" s="11" customFormat="1" ht="15">
      <c r="A18" s="53" t="s">
        <v>791</v>
      </c>
      <c r="B18" s="54">
        <v>6.64</v>
      </c>
      <c r="C18" s="54">
        <v>28.68</v>
      </c>
      <c r="D18" s="54">
        <v>21.53</v>
      </c>
      <c r="E18" s="54">
        <v>1.94</v>
      </c>
      <c r="F18" s="54">
        <v>3.20</v>
      </c>
      <c r="G18" s="54">
        <v>139.69999999999999</v>
      </c>
      <c r="H18" s="54">
        <v>75.97</v>
      </c>
      <c r="I18" s="54">
        <v>1.55</v>
      </c>
      <c r="J18" s="54">
        <v>0.5</v>
      </c>
      <c r="K18" s="54">
        <v>327.52999999999997</v>
      </c>
      <c r="L18" s="54">
        <v>26.27</v>
      </c>
      <c r="M18" s="54">
        <v>57.97</v>
      </c>
      <c r="N18" s="54">
        <v>622.70000000000005</v>
      </c>
      <c r="O18" s="54">
        <v>0</v>
      </c>
      <c r="P18" s="54">
        <v>1.04</v>
      </c>
      <c r="Q18" s="54">
        <v>5.38</v>
      </c>
      <c r="R18" s="43"/>
      <c r="S18" s="43"/>
      <c r="T18" s="43"/>
      <c r="U18" s="43"/>
    </row>
    <row r="19" spans="1:21" s="11" customFormat="1" ht="15">
      <c r="A19" s="53" t="s">
        <v>792</v>
      </c>
      <c r="B19" s="54">
        <v>4.1100000000000003</v>
      </c>
      <c r="C19" s="54">
        <v>26.10</v>
      </c>
      <c r="D19" s="54">
        <v>18.84</v>
      </c>
      <c r="E19" s="54">
        <v>2.2400000000000002</v>
      </c>
      <c r="F19" s="54">
        <v>4.51</v>
      </c>
      <c r="G19" s="54">
        <v>126.07</v>
      </c>
      <c r="H19" s="54">
        <v>69.53</v>
      </c>
      <c r="I19" s="54">
        <v>1.54</v>
      </c>
      <c r="J19" s="54">
        <v>1.63</v>
      </c>
      <c r="K19" s="54">
        <v>112.04</v>
      </c>
      <c r="L19" s="54">
        <v>26.10</v>
      </c>
      <c r="M19" s="54">
        <v>53.14</v>
      </c>
      <c r="N19" s="54">
        <v>688.40</v>
      </c>
      <c r="O19" s="54">
        <v>0</v>
      </c>
      <c r="P19" s="54">
        <v>0.97</v>
      </c>
      <c r="Q19" s="54">
        <v>5.26</v>
      </c>
      <c r="R19" s="43"/>
      <c r="S19" s="43"/>
      <c r="T19" s="43"/>
      <c r="U19" s="43"/>
    </row>
    <row r="20" spans="1:21" s="11" customFormat="1" ht="15">
      <c r="A20" s="53" t="s">
        <v>793</v>
      </c>
      <c r="B20" s="54">
        <v>2.2000000000000002</v>
      </c>
      <c r="C20" s="54">
        <v>24.95</v>
      </c>
      <c r="D20" s="54">
        <v>16.75</v>
      </c>
      <c r="E20" s="54">
        <v>2.33</v>
      </c>
      <c r="F20" s="54">
        <v>4.26</v>
      </c>
      <c r="G20" s="54">
        <v>99.64</v>
      </c>
      <c r="H20" s="54">
        <v>59.44</v>
      </c>
      <c r="I20" s="54">
        <v>1.53</v>
      </c>
      <c r="J20" s="54">
        <v>1.81</v>
      </c>
      <c r="K20" s="54">
        <v>113.11</v>
      </c>
      <c r="L20" s="54">
        <v>26.12</v>
      </c>
      <c r="M20" s="54">
        <v>48.65</v>
      </c>
      <c r="N20" s="54">
        <v>743.5</v>
      </c>
      <c r="O20" s="54">
        <v>0</v>
      </c>
      <c r="P20" s="54">
        <v>0.82</v>
      </c>
      <c r="Q20" s="54">
        <v>5.0999999999999996</v>
      </c>
      <c r="R20" s="43"/>
      <c r="S20" s="43"/>
      <c r="T20" s="43"/>
      <c r="U20" s="43"/>
    </row>
    <row r="21" spans="1:21" s="11" customFormat="1" ht="15">
      <c r="A21" s="53" t="s">
        <v>794</v>
      </c>
      <c r="B21" s="54">
        <v>2.48</v>
      </c>
      <c r="C21" s="54">
        <v>22.45</v>
      </c>
      <c r="D21" s="54">
        <v>15.67</v>
      </c>
      <c r="E21" s="54">
        <v>2.04</v>
      </c>
      <c r="F21" s="54">
        <v>6.11</v>
      </c>
      <c r="G21" s="54">
        <v>79.06</v>
      </c>
      <c r="H21" s="54">
        <v>52.45</v>
      </c>
      <c r="I21" s="54">
        <v>1.55</v>
      </c>
      <c r="J21" s="54">
        <v>1.44</v>
      </c>
      <c r="K21" s="54">
        <v>111.12</v>
      </c>
      <c r="L21" s="54">
        <v>26.80</v>
      </c>
      <c r="M21" s="54">
        <v>48.32</v>
      </c>
      <c r="N21" s="54">
        <v>560</v>
      </c>
      <c r="O21" s="54">
        <v>0</v>
      </c>
      <c r="P21" s="54">
        <v>0.69</v>
      </c>
      <c r="Q21" s="54">
        <v>5.12</v>
      </c>
      <c r="R21" s="43"/>
      <c r="S21" s="43"/>
      <c r="T21" s="43"/>
      <c r="U21" s="43"/>
    </row>
    <row r="22" spans="1:21" s="11" customFormat="1" ht="15">
      <c r="A22" s="53" t="s">
        <v>795</v>
      </c>
      <c r="B22" s="54">
        <v>3.18</v>
      </c>
      <c r="C22" s="54">
        <v>25.45</v>
      </c>
      <c r="D22" s="54">
        <v>17.66</v>
      </c>
      <c r="E22" s="54">
        <v>2.4500000000000002</v>
      </c>
      <c r="F22" s="54">
        <v>9.17</v>
      </c>
      <c r="G22" s="54">
        <v>79.06</v>
      </c>
      <c r="H22" s="54">
        <v>47.97</v>
      </c>
      <c r="I22" s="54">
        <v>1.52</v>
      </c>
      <c r="J22" s="54">
        <v>1.43</v>
      </c>
      <c r="K22" s="54">
        <v>357.71</v>
      </c>
      <c r="L22" s="54">
        <v>27.58</v>
      </c>
      <c r="M22" s="54">
        <v>47.87</v>
      </c>
      <c r="N22" s="54">
        <v>482.60</v>
      </c>
      <c r="O22" s="54">
        <v>0</v>
      </c>
      <c r="P22" s="54">
        <v>0.65</v>
      </c>
      <c r="Q22" s="54">
        <v>5.16</v>
      </c>
      <c r="R22" s="43"/>
      <c r="S22" s="43"/>
      <c r="T22" s="43"/>
      <c r="U22" s="43"/>
    </row>
    <row r="23" spans="1:21" s="11" customFormat="1" ht="15">
      <c r="A23" s="53" t="s">
        <v>796</v>
      </c>
      <c r="B23" s="54">
        <v>2.17</v>
      </c>
      <c r="C23" s="54">
        <v>23.15</v>
      </c>
      <c r="D23" s="54">
        <v>15.81</v>
      </c>
      <c r="E23" s="54">
        <v>2.4300000000000002</v>
      </c>
      <c r="F23" s="54">
        <v>8.36</v>
      </c>
      <c r="G23" s="54">
        <v>77.540000000000006</v>
      </c>
      <c r="H23" s="54">
        <v>46.87</v>
      </c>
      <c r="I23" s="54">
        <v>1.55</v>
      </c>
      <c r="J23" s="54">
        <v>1.42</v>
      </c>
      <c r="K23" s="54">
        <v>114.51</v>
      </c>
      <c r="L23" s="54">
        <v>26.44</v>
      </c>
      <c r="M23" s="54">
        <v>45.29</v>
      </c>
      <c r="N23" s="54">
        <v>246.30</v>
      </c>
      <c r="O23" s="54">
        <v>0</v>
      </c>
      <c r="P23" s="54">
        <v>0.61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797</v>
      </c>
      <c r="B24" s="54">
        <v>2.93</v>
      </c>
      <c r="C24" s="54">
        <v>25.42</v>
      </c>
      <c r="D24" s="54">
        <v>17.14</v>
      </c>
      <c r="E24" s="54">
        <v>2.15</v>
      </c>
      <c r="F24" s="54">
        <v>12.5</v>
      </c>
      <c r="G24" s="54">
        <v>64.03</v>
      </c>
      <c r="H24" s="54">
        <v>42.17</v>
      </c>
      <c r="I24" s="54">
        <v>1.53</v>
      </c>
      <c r="J24" s="54">
        <v>1.23</v>
      </c>
      <c r="K24" s="54">
        <v>106.92</v>
      </c>
      <c r="L24" s="54">
        <v>26.22</v>
      </c>
      <c r="M24" s="54">
        <v>45.65</v>
      </c>
      <c r="N24" s="54">
        <v>133.60</v>
      </c>
      <c r="O24" s="54">
        <v>0</v>
      </c>
      <c r="P24" s="54">
        <v>0.57999999999999996</v>
      </c>
      <c r="Q24" s="54">
        <v>5.04</v>
      </c>
      <c r="R24" s="43"/>
      <c r="S24" s="43"/>
      <c r="T24" s="43"/>
      <c r="U24" s="43"/>
    </row>
    <row r="25" spans="1:21" s="11" customFormat="1" ht="15">
      <c r="A25" s="53" t="s">
        <v>798</v>
      </c>
      <c r="B25" s="54">
        <v>2.2999999999999998</v>
      </c>
      <c r="C25" s="54">
        <v>24.95</v>
      </c>
      <c r="D25" s="54">
        <v>16.850000000000001</v>
      </c>
      <c r="E25" s="54">
        <v>2.4900000000000002</v>
      </c>
      <c r="F25" s="54">
        <v>26.06</v>
      </c>
      <c r="G25" s="54">
        <v>60.02</v>
      </c>
      <c r="H25" s="54">
        <v>42.17</v>
      </c>
      <c r="I25" s="54">
        <v>1.56</v>
      </c>
      <c r="J25" s="54">
        <v>1.66</v>
      </c>
      <c r="K25" s="54">
        <v>112.62</v>
      </c>
      <c r="L25" s="54">
        <v>25.48</v>
      </c>
      <c r="M25" s="54">
        <v>48.13</v>
      </c>
      <c r="N25" s="54">
        <v>72.30</v>
      </c>
      <c r="O25" s="54">
        <v>0</v>
      </c>
      <c r="P25" s="54">
        <v>0.55000000000000004</v>
      </c>
      <c r="Q25" s="54">
        <v>5.01</v>
      </c>
      <c r="R25" s="43"/>
      <c r="S25" s="43"/>
      <c r="T25" s="43"/>
      <c r="U25" s="43"/>
    </row>
    <row r="26" spans="1:21" s="11" customFormat="1" ht="15">
      <c r="A26" s="53" t="s">
        <v>799</v>
      </c>
      <c r="B26" s="54">
        <v>2.99</v>
      </c>
      <c r="C26" s="54">
        <v>38.93</v>
      </c>
      <c r="D26" s="54">
        <v>25.17</v>
      </c>
      <c r="E26" s="54">
        <v>2.94</v>
      </c>
      <c r="F26" s="54">
        <v>24.58</v>
      </c>
      <c r="G26" s="54">
        <v>63</v>
      </c>
      <c r="H26" s="54">
        <v>39.909999999999997</v>
      </c>
      <c r="I26" s="54">
        <v>1.51</v>
      </c>
      <c r="J26" s="54">
        <v>0.39</v>
      </c>
      <c r="K26" s="54">
        <v>104.25</v>
      </c>
      <c r="L26" s="54">
        <v>24.53</v>
      </c>
      <c r="M26" s="54">
        <v>54.29</v>
      </c>
      <c r="N26" s="54">
        <v>41.30</v>
      </c>
      <c r="O26" s="54">
        <v>0</v>
      </c>
      <c r="P26" s="54">
        <v>0.79</v>
      </c>
      <c r="Q26" s="54">
        <v>4.5199999999999996</v>
      </c>
      <c r="R26" s="43"/>
      <c r="S26" s="43"/>
      <c r="T26" s="43"/>
      <c r="U26" s="43"/>
    </row>
    <row r="27" spans="1:21" s="11" customFormat="1" ht="15">
      <c r="A27" s="53" t="s">
        <v>800</v>
      </c>
      <c r="B27" s="54">
        <v>4.3099999999999996</v>
      </c>
      <c r="C27" s="54">
        <v>42.45</v>
      </c>
      <c r="D27" s="54">
        <v>28.17</v>
      </c>
      <c r="E27" s="54">
        <v>2.79</v>
      </c>
      <c r="F27" s="54">
        <v>13.60</v>
      </c>
      <c r="G27" s="54">
        <v>69.180000000000007</v>
      </c>
      <c r="H27" s="54">
        <v>37.229999999999997</v>
      </c>
      <c r="I27" s="54">
        <v>1.54</v>
      </c>
      <c r="J27" s="54">
        <v>0.17</v>
      </c>
      <c r="K27" s="54">
        <v>97.80</v>
      </c>
      <c r="L27" s="54">
        <v>23.52</v>
      </c>
      <c r="M27" s="54">
        <v>59.12</v>
      </c>
      <c r="N27" s="54">
        <v>34.60</v>
      </c>
      <c r="O27" s="54">
        <v>0</v>
      </c>
      <c r="P27" s="54">
        <v>1.08</v>
      </c>
      <c r="Q27" s="54">
        <v>4.12</v>
      </c>
      <c r="R27" s="43"/>
      <c r="S27" s="43"/>
      <c r="T27" s="43"/>
      <c r="U27" s="43"/>
    </row>
    <row r="28" spans="1:21" s="11" customFormat="1" ht="15">
      <c r="A28" s="53" t="s">
        <v>801</v>
      </c>
      <c r="B28" s="54">
        <v>4.32</v>
      </c>
      <c r="C28" s="54">
        <v>36.130000000000003</v>
      </c>
      <c r="D28" s="54">
        <v>24.70</v>
      </c>
      <c r="E28" s="54">
        <v>2.93</v>
      </c>
      <c r="F28" s="54">
        <v>15.12</v>
      </c>
      <c r="G28" s="54">
        <v>85.51</v>
      </c>
      <c r="H28" s="54">
        <v>37.67</v>
      </c>
      <c r="I28" s="54">
        <v>1.55</v>
      </c>
      <c r="J28" s="54">
        <v>0.42</v>
      </c>
      <c r="K28" s="54">
        <v>104.01</v>
      </c>
      <c r="L28" s="54">
        <v>23.11</v>
      </c>
      <c r="M28" s="54">
        <v>59.56</v>
      </c>
      <c r="N28" s="54">
        <v>34.700000000000003</v>
      </c>
      <c r="O28" s="54">
        <v>0</v>
      </c>
      <c r="P28" s="54">
        <v>0.94</v>
      </c>
      <c r="Q28" s="54">
        <v>4.84</v>
      </c>
      <c r="R28" s="43"/>
      <c r="S28" s="43"/>
      <c r="T28" s="43"/>
      <c r="U28" s="43"/>
    </row>
    <row r="29" spans="1:21" s="11" customFormat="1" ht="15">
      <c r="A29" s="53" t="s">
        <v>802</v>
      </c>
      <c r="B29" s="54">
        <v>3.02</v>
      </c>
      <c r="C29" s="54">
        <v>26.96</v>
      </c>
      <c r="D29" s="54">
        <v>18.59</v>
      </c>
      <c r="E29" s="54">
        <v>2.41</v>
      </c>
      <c r="F29" s="54">
        <v>6.96</v>
      </c>
      <c r="G29" s="54">
        <v>86.61</v>
      </c>
      <c r="H29" s="54">
        <v>40.57</v>
      </c>
      <c r="I29" s="54">
        <v>1.57</v>
      </c>
      <c r="J29" s="54">
        <v>0.76</v>
      </c>
      <c r="K29" s="54">
        <v>109.13</v>
      </c>
      <c r="L29" s="54">
        <v>22.63</v>
      </c>
      <c r="M29" s="54">
        <v>61.82</v>
      </c>
      <c r="N29" s="54">
        <v>35.10</v>
      </c>
      <c r="O29" s="54">
        <v>0</v>
      </c>
      <c r="P29" s="54">
        <v>0.92</v>
      </c>
      <c r="Q29" s="54">
        <v>4.95</v>
      </c>
      <c r="R29" s="43"/>
      <c r="S29" s="43"/>
      <c r="T29" s="43"/>
      <c r="U29" s="43"/>
    </row>
    <row r="30" spans="1:21" s="11" customFormat="1" ht="15">
      <c r="A30" s="53" t="s">
        <v>803</v>
      </c>
      <c r="B30" s="54">
        <v>2.82</v>
      </c>
      <c r="C30" s="54">
        <v>29.10</v>
      </c>
      <c r="D30" s="54">
        <v>19.07</v>
      </c>
      <c r="E30" s="54">
        <v>1.88</v>
      </c>
      <c r="F30" s="54">
        <v>7.29</v>
      </c>
      <c r="G30" s="54">
        <v>90.12</v>
      </c>
      <c r="H30" s="54">
        <v>44.14</v>
      </c>
      <c r="I30" s="54">
        <v>1.55</v>
      </c>
      <c r="J30" s="54">
        <v>1.25</v>
      </c>
      <c r="K30" s="54">
        <v>120.32</v>
      </c>
      <c r="L30" s="54">
        <v>22.45</v>
      </c>
      <c r="M30" s="54">
        <v>64.11</v>
      </c>
      <c r="N30" s="54">
        <v>35.10</v>
      </c>
      <c r="O30" s="54">
        <v>0</v>
      </c>
      <c r="P30" s="54">
        <v>0.92</v>
      </c>
      <c r="Q30" s="54">
        <v>4.97</v>
      </c>
      <c r="R30" s="43"/>
      <c r="S30" s="43"/>
      <c r="T30" s="43"/>
      <c r="U30" s="43"/>
    </row>
    <row r="31" spans="1:21" s="11" customFormat="1" ht="15">
      <c r="A31" s="53" t="s">
        <v>804</v>
      </c>
      <c r="B31" s="54">
        <v>2.4300000000000002</v>
      </c>
      <c r="C31" s="54">
        <v>30.48</v>
      </c>
      <c r="D31" s="54">
        <v>19.79</v>
      </c>
      <c r="E31" s="54">
        <v>2.15</v>
      </c>
      <c r="F31" s="54">
        <v>8.09</v>
      </c>
      <c r="G31" s="54">
        <v>90.12</v>
      </c>
      <c r="H31" s="54">
        <v>45.38</v>
      </c>
      <c r="I31" s="54">
        <v>1.51</v>
      </c>
      <c r="J31" s="54">
        <v>0.31</v>
      </c>
      <c r="K31" s="54">
        <v>172.97</v>
      </c>
      <c r="L31" s="54">
        <v>21.70</v>
      </c>
      <c r="M31" s="54">
        <v>72.459999999999994</v>
      </c>
      <c r="N31" s="54">
        <v>35.299999999999997</v>
      </c>
      <c r="O31" s="54">
        <v>0</v>
      </c>
      <c r="P31" s="54">
        <v>0.90</v>
      </c>
      <c r="Q31" s="54">
        <v>4.95</v>
      </c>
      <c r="R31" s="43"/>
      <c r="S31" s="43"/>
      <c r="T31" s="43"/>
      <c r="U31" s="43"/>
    </row>
    <row r="32" spans="1:21" s="11" customFormat="1" ht="15">
      <c r="A32" s="53" t="s">
        <v>805</v>
      </c>
      <c r="B32" s="54">
        <v>2.60</v>
      </c>
      <c r="C32" s="54">
        <v>21.46</v>
      </c>
      <c r="D32" s="54">
        <v>15.18</v>
      </c>
      <c r="E32" s="54">
        <v>2.13</v>
      </c>
      <c r="F32" s="54">
        <v>3.71</v>
      </c>
      <c r="G32" s="54">
        <v>87.64</v>
      </c>
      <c r="H32" s="54">
        <v>45.38</v>
      </c>
      <c r="I32" s="54">
        <v>1.53</v>
      </c>
      <c r="J32" s="54">
        <v>0.24</v>
      </c>
      <c r="K32" s="54">
        <v>206.29</v>
      </c>
      <c r="L32" s="54">
        <v>20.90</v>
      </c>
      <c r="M32" s="54">
        <v>73.39</v>
      </c>
      <c r="N32" s="54">
        <v>34.5</v>
      </c>
      <c r="O32" s="54">
        <v>0</v>
      </c>
      <c r="P32" s="54">
        <v>0.88</v>
      </c>
      <c r="Q32" s="54">
        <v>4.99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2.1699999999999999</v>
      </c>
      <c r="C34" s="28">
        <f t="shared" si="0"/>
        <v>21.460000000000001</v>
      </c>
      <c r="D34" s="28">
        <f t="shared" si="0"/>
        <v>15.18</v>
      </c>
      <c r="E34" s="28">
        <f t="shared" si="0"/>
        <v>1.6000000000000001</v>
      </c>
      <c r="F34" s="28">
        <f t="shared" si="0"/>
        <v>0.27000000000000002</v>
      </c>
      <c r="G34" s="28">
        <f t="shared" si="0"/>
        <v>60.020000000000003</v>
      </c>
      <c r="H34" s="28">
        <f t="shared" si="0"/>
        <v>37.229999999999997</v>
      </c>
      <c r="I34" s="28">
        <f t="shared" si="0"/>
        <v>1.5</v>
      </c>
      <c r="J34" s="28">
        <f t="shared" si="0"/>
        <v>0.14999999999999999</v>
      </c>
      <c r="K34" s="28">
        <f t="shared" si="0"/>
        <v>97.799999999999997</v>
      </c>
      <c r="L34" s="28">
        <f t="shared" si="0"/>
        <v>17.379999999999999</v>
      </c>
      <c r="M34" s="28">
        <f t="shared" si="0"/>
        <v>45.289999999999999</v>
      </c>
      <c r="N34" s="28">
        <f t="shared" si="0"/>
        <v>19.5</v>
      </c>
      <c r="O34" s="28">
        <f t="shared" si="0"/>
        <v>0</v>
      </c>
      <c r="P34" s="28">
        <f t="shared" si="0"/>
        <v>0.55000000000000004</v>
      </c>
      <c r="Q34" s="28">
        <f t="shared" si="0"/>
        <v>4.1200000000000001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11.039999999999999</v>
      </c>
      <c r="C35" s="29">
        <f t="shared" si="1"/>
        <v>42.450000000000003</v>
      </c>
      <c r="D35" s="29">
        <f t="shared" si="1"/>
        <v>28.469999999999999</v>
      </c>
      <c r="E35" s="29">
        <f t="shared" si="1"/>
        <v>2.9399999999999999</v>
      </c>
      <c r="F35" s="29">
        <f t="shared" si="1"/>
        <v>26.059999999999999</v>
      </c>
      <c r="G35" s="29">
        <f t="shared" si="1"/>
        <v>193.13</v>
      </c>
      <c r="H35" s="29">
        <f t="shared" si="1"/>
        <v>91.049999999999997</v>
      </c>
      <c r="I35" s="29">
        <f t="shared" si="1"/>
        <v>1.5700000000000001</v>
      </c>
      <c r="J35" s="29">
        <f t="shared" si="1"/>
        <v>1.8100000000000001</v>
      </c>
      <c r="K35" s="29">
        <f t="shared" si="1"/>
        <v>357.70999999999998</v>
      </c>
      <c r="L35" s="29">
        <f t="shared" si="1"/>
        <v>27.579999999999998</v>
      </c>
      <c r="M35" s="29">
        <f t="shared" si="1"/>
        <v>92.069999999999993</v>
      </c>
      <c r="N35" s="29">
        <f t="shared" si="1"/>
        <v>743.5</v>
      </c>
      <c r="O35" s="29">
        <f t="shared" si="1"/>
        <v>0</v>
      </c>
      <c r="P35" s="29">
        <f t="shared" si="1"/>
        <v>1.3200000000000001</v>
      </c>
      <c r="Q35" s="29">
        <f t="shared" si="1"/>
        <v>5.6799999999999997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5.6170833333333343</v>
      </c>
      <c r="C36" s="28">
        <f t="shared" si="2"/>
        <v>29.018333333333334</v>
      </c>
      <c r="D36" s="28">
        <f t="shared" si="2"/>
        <v>21.583333333333332</v>
      </c>
      <c r="E36" s="28">
        <f t="shared" si="2"/>
        <v>2.2787500000000001</v>
      </c>
      <c r="F36" s="28">
        <f t="shared" si="2"/>
        <v>7.0037500000000001</v>
      </c>
      <c r="G36" s="28">
        <f t="shared" si="2"/>
        <v>112.01666666666665</v>
      </c>
      <c r="H36" s="28">
        <f t="shared" si="2"/>
        <v>58.982916666666689</v>
      </c>
      <c r="I36" s="28">
        <f t="shared" si="2"/>
        <v>1.5362499999999999</v>
      </c>
      <c r="J36" s="28">
        <f t="shared" si="2"/>
        <v>0.745</v>
      </c>
      <c r="K36" s="28">
        <f t="shared" si="2"/>
        <v>189.7491666666667</v>
      </c>
      <c r="L36" s="28">
        <f t="shared" si="2"/>
        <v>22.687916666666663</v>
      </c>
      <c r="M36" s="28">
        <f t="shared" si="2"/>
        <v>65.183750000000003</v>
      </c>
      <c r="N36" s="28">
        <f t="shared" si="2"/>
        <v>201.91250000000011</v>
      </c>
      <c r="O36" s="28">
        <f t="shared" si="2"/>
        <v>0</v>
      </c>
      <c r="P36" s="28">
        <f t="shared" si="2"/>
        <v>0.9408333333333333</v>
      </c>
      <c r="Q36" s="28">
        <f t="shared" si="2"/>
        <v>5.1912500000000001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3.3359341031530718</v>
      </c>
      <c r="C37" s="28">
        <f t="shared" si="3" ref="C37:Q37">STDEV(C9:C32)</f>
        <v>5.3568782819414533</v>
      </c>
      <c r="D37" s="28">
        <f t="shared" si="3"/>
        <v>4.3839109665136675</v>
      </c>
      <c r="E37" s="28">
        <f t="shared" si="3"/>
        <v>0.36169062566736676</v>
      </c>
      <c r="F37" s="28">
        <f t="shared" si="3"/>
        <v>7.015120199472241</v>
      </c>
      <c r="G37" s="28">
        <f t="shared" si="3"/>
        <v>42.358054381835075</v>
      </c>
      <c r="H37" s="28">
        <f t="shared" si="3"/>
        <v>17.953046605730577</v>
      </c>
      <c r="I37" s="28">
        <f t="shared" si="3"/>
        <v>0.016891598117304424</v>
      </c>
      <c r="J37" s="28">
        <f t="shared" si="3"/>
        <v>0.58237892938473013</v>
      </c>
      <c r="K37" s="28">
        <f t="shared" si="3"/>
        <v>104.31464689005618</v>
      </c>
      <c r="L37" s="28">
        <f t="shared" si="3"/>
        <v>3.3446764699154365</v>
      </c>
      <c r="M37" s="28">
        <f t="shared" si="3"/>
        <v>15.318167903988476</v>
      </c>
      <c r="N37" s="28">
        <f t="shared" si="3"/>
        <v>250.65176833086826</v>
      </c>
      <c r="O37" s="28">
        <f t="shared" si="3"/>
        <v>0</v>
      </c>
      <c r="P37" s="28">
        <f t="shared" si="3"/>
        <v>0.21147343684906025</v>
      </c>
      <c r="Q37" s="28">
        <f t="shared" si="3"/>
        <v>0.37894949187366245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e7a961-89e2-440c-906e-680be671103a}">
  <sheetPr codeName=""/>
  <dimension ref="A1:X55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P18" sqref="P18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01-10-2023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01-10-2023 01:00</v>
      </c>
      <c r="B9" s="24">
        <f>'01'!B36</f>
        <v>7.3791666666666673</v>
      </c>
      <c r="C9" s="24">
        <f>'01'!C36</f>
        <v>18.517916666666668</v>
      </c>
      <c r="D9" s="24">
        <f>'01'!D36</f>
        <v>17.19541666666667</v>
      </c>
      <c r="E9" s="24">
        <f>'01'!E36</f>
        <v>1.8612500000000001</v>
      </c>
      <c r="F9" s="24">
        <f>'01'!F36</f>
        <v>3.1666666666666665</v>
      </c>
      <c r="G9" s="24">
        <f>'01'!G36</f>
        <v>51.076666666666661</v>
      </c>
      <c r="H9" s="24">
        <f>'01'!H36</f>
        <v>17.984583333333333</v>
      </c>
      <c r="I9" s="24">
        <f>'01'!I36</f>
        <v>1.5441666666666667</v>
      </c>
      <c r="J9" s="24">
        <f>'01'!J36</f>
        <v>0.34250000000000003</v>
      </c>
      <c r="K9" s="24">
        <f>'01'!K36</f>
        <v>244.78208333333336</v>
      </c>
      <c r="L9" s="24">
        <f>'01'!L36</f>
        <v>25.67958333333333</v>
      </c>
      <c r="M9" s="24">
        <f>'01'!M36</f>
        <v>87.079583333333332</v>
      </c>
      <c r="N9" s="24">
        <f>'01'!N36</f>
        <v>231.20833333333334</v>
      </c>
      <c r="O9" s="24">
        <f>'01'!O36</f>
        <v>0</v>
      </c>
      <c r="P9" s="30">
        <f>'01'!$P$36</f>
        <v>0.8516666666666669</v>
      </c>
      <c r="Q9" s="24">
        <f>'01'!Q36</f>
        <v>10.99</v>
      </c>
      <c r="R9" s="45"/>
      <c r="S9" s="45"/>
      <c r="T9" s="45"/>
      <c r="U9" s="46"/>
    </row>
    <row r="10" spans="1:21" s="34" customFormat="1" ht="15">
      <c r="A10" s="36" t="str">
        <f>'02'!$B$2</f>
        <v>02-10-2023 01:00</v>
      </c>
      <c r="B10" s="33">
        <f>'02'!B36</f>
        <v>8.920416666666668</v>
      </c>
      <c r="C10" s="33">
        <f>'02'!C36</f>
        <v>12.554166666666669</v>
      </c>
      <c r="D10" s="33">
        <f>'02'!D36</f>
        <v>15.194999999999999</v>
      </c>
      <c r="E10" s="33">
        <f>'02'!E36</f>
        <v>1.9537499999999997</v>
      </c>
      <c r="F10" s="33">
        <f>'02'!F36</f>
        <v>1.3041666666666665</v>
      </c>
      <c r="G10" s="33">
        <f>'02'!G36</f>
        <v>46.441666666666663</v>
      </c>
      <c r="H10" s="33">
        <f>'02'!H36</f>
        <v>15.399166666666668</v>
      </c>
      <c r="I10" s="33">
        <f>'02'!I36</f>
        <v>1.5387500000000001</v>
      </c>
      <c r="J10" s="33">
        <f>'02'!J36</f>
        <v>0.54083333333333339</v>
      </c>
      <c r="K10" s="33">
        <f>'02'!K36</f>
        <v>275.82791666666662</v>
      </c>
      <c r="L10" s="33">
        <f>'02'!L36</f>
        <v>26.650000000000006</v>
      </c>
      <c r="M10" s="33">
        <f>'02'!M36</f>
        <v>86.753750000000039</v>
      </c>
      <c r="N10" s="33">
        <f>'02'!N36</f>
        <v>219.73749999999998</v>
      </c>
      <c r="O10" s="33">
        <f>'02'!O36</f>
        <v>0</v>
      </c>
      <c r="P10" s="30">
        <f>'02'!$P$36</f>
        <v>0.7895833333333333</v>
      </c>
      <c r="Q10" s="33">
        <f>'02'!Q36</f>
        <v>11.394000000000002</v>
      </c>
      <c r="R10" s="47"/>
      <c r="S10" s="47"/>
      <c r="T10" s="47"/>
      <c r="U10" s="47"/>
    </row>
    <row r="11" spans="1:21" s="34" customFormat="1" ht="15">
      <c r="A11" s="36" t="str">
        <f>'03'!$B$2</f>
        <v>03-10-2023 01:00</v>
      </c>
      <c r="B11" s="33">
        <f>'03'!B36</f>
        <v>14.12086956521739</v>
      </c>
      <c r="C11" s="33">
        <f>'03'!C36</f>
        <v>13.646521739130435</v>
      </c>
      <c r="D11" s="33">
        <f>'03'!D36</f>
        <v>19.750000000000004</v>
      </c>
      <c r="E11" s="33">
        <f>'03'!E36</f>
        <v>2.235217391304348</v>
      </c>
      <c r="F11" s="33">
        <f>'03'!F36</f>
        <v>0.82874999999999999</v>
      </c>
      <c r="G11" s="33">
        <f>'03'!G36</f>
        <v>61.944500000000005</v>
      </c>
      <c r="H11" s="33">
        <f>'03'!H36</f>
        <v>15.098500000000001</v>
      </c>
      <c r="I11" s="33">
        <f>'03'!I36</f>
        <v>1.5404166666666665</v>
      </c>
      <c r="J11" s="33">
        <f>'03'!J36</f>
        <v>1.1341666666666665</v>
      </c>
      <c r="K11" s="33">
        <f>'03'!K36</f>
        <v>335.12958333333341</v>
      </c>
      <c r="L11" s="33">
        <f>'03'!L36</f>
        <v>26.302500000000006</v>
      </c>
      <c r="M11" s="33">
        <f>'03'!M36</f>
        <v>78.959583333333327</v>
      </c>
      <c r="N11" s="33">
        <f>'03'!N36</f>
        <v>213.19999999999996</v>
      </c>
      <c r="O11" s="33">
        <f>'03'!O36</f>
        <v>0</v>
      </c>
      <c r="P11" s="30">
        <f>'03'!$P$36</f>
        <v>0.68874999999999986</v>
      </c>
      <c r="Q11" s="33">
        <f>'03'!Q36</f>
        <v>10.996363636363638</v>
      </c>
      <c r="R11" s="47"/>
      <c r="S11" s="47"/>
      <c r="T11" s="47"/>
      <c r="U11" s="47"/>
    </row>
    <row r="12" spans="1:21" s="34" customFormat="1" ht="15">
      <c r="A12" s="36" t="str">
        <f>'04'!$B$2</f>
        <v>04-10-2023 01:00</v>
      </c>
      <c r="B12" s="33">
        <f>'04'!B36</f>
        <v>6.4458333333333337</v>
      </c>
      <c r="C12" s="33">
        <f>'04'!C36</f>
        <v>19.458749999999998</v>
      </c>
      <c r="D12" s="33">
        <f>'04'!D36</f>
        <v>17.013749999999998</v>
      </c>
      <c r="E12" s="33">
        <f>'04'!E36</f>
        <v>1.8616666666666672</v>
      </c>
      <c r="F12" s="33">
        <f>'04'!F36</f>
        <v>1.4154166666666663</v>
      </c>
      <c r="G12" s="33">
        <f>'04'!G36</f>
        <v>65.623333333333349</v>
      </c>
      <c r="H12" s="33">
        <f>'04'!H36</f>
        <v>19.610833333333336</v>
      </c>
      <c r="I12" s="33">
        <f>'04'!I36</f>
        <v>1.5462499999999999</v>
      </c>
      <c r="J12" s="33">
        <f>'04'!J36</f>
        <v>0.79999999999999982</v>
      </c>
      <c r="K12" s="33">
        <f>'04'!K36</f>
        <v>335.33791666666673</v>
      </c>
      <c r="L12" s="33">
        <f>'04'!L36</f>
        <v>26.619583333333328</v>
      </c>
      <c r="M12" s="33">
        <f>'04'!M36</f>
        <v>58.217083333333342</v>
      </c>
      <c r="N12" s="33">
        <f>'04'!N36</f>
        <v>262.38333333333338</v>
      </c>
      <c r="O12" s="33">
        <f>'04'!O36</f>
        <v>0</v>
      </c>
      <c r="P12" s="30">
        <f>'04'!$P$36</f>
        <v>0.7679166666666668</v>
      </c>
      <c r="Q12" s="33">
        <f>'04'!Q36</f>
        <v>11.503333333333336</v>
      </c>
      <c r="R12" s="47"/>
      <c r="S12" s="47"/>
      <c r="T12" s="47"/>
      <c r="U12" s="47"/>
    </row>
    <row r="13" spans="1:21" s="34" customFormat="1" ht="15">
      <c r="A13" s="36" t="str">
        <f>'05'!$B$2</f>
        <v>05-10-2023 01:00</v>
      </c>
      <c r="B13" s="33">
        <f>'05'!B36</f>
        <v>5.2408333333333337</v>
      </c>
      <c r="C13" s="33">
        <f>'05'!C36</f>
        <v>16.597916666666666</v>
      </c>
      <c r="D13" s="33">
        <f>'05'!D36</f>
        <v>14.461250000000001</v>
      </c>
      <c r="E13" s="33">
        <f>'05'!E36</f>
        <v>1.8187500000000003</v>
      </c>
      <c r="F13" s="33">
        <f>'05'!F36</f>
        <v>1.0083333333333331</v>
      </c>
      <c r="G13" s="33">
        <f>'05'!G36</f>
        <v>81.409166666666664</v>
      </c>
      <c r="H13" s="33">
        <f>'05'!H36</f>
        <v>27.826666666666668</v>
      </c>
      <c r="I13" s="33">
        <f>'05'!I36</f>
        <v>1.5329166666666667</v>
      </c>
      <c r="J13" s="33">
        <f>'05'!J36</f>
        <v>0.70083333333333331</v>
      </c>
      <c r="K13" s="33">
        <f>'05'!K36</f>
        <v>294.18416666666673</v>
      </c>
      <c r="L13" s="33">
        <f>'05'!L36</f>
        <v>26.525416666666672</v>
      </c>
      <c r="M13" s="33">
        <f>'05'!M36</f>
        <v>64.716250000000002</v>
      </c>
      <c r="N13" s="33">
        <f>'05'!N36</f>
        <v>253.91249999999994</v>
      </c>
      <c r="O13" s="33">
        <f>'05'!O36</f>
        <v>0</v>
      </c>
      <c r="P13" s="30">
        <f>'05'!$P$36</f>
        <v>0.89208333333333345</v>
      </c>
      <c r="Q13" s="33">
        <f>'05'!Q36</f>
        <v>11.774166666666668</v>
      </c>
      <c r="R13" s="47"/>
      <c r="S13" s="47"/>
      <c r="T13" s="47"/>
      <c r="U13" s="47"/>
    </row>
    <row r="14" spans="1:21" s="34" customFormat="1" ht="15">
      <c r="A14" s="36" t="str">
        <f>'06'!$B$2</f>
        <v>06-10-2023 01:00</v>
      </c>
      <c r="B14" s="33">
        <f>'06'!B36</f>
        <v>11.360833333333332</v>
      </c>
      <c r="C14" s="33">
        <f>'06'!C36</f>
        <v>19.04291666666667</v>
      </c>
      <c r="D14" s="33">
        <f>'06'!D36</f>
        <v>20.63208333333333</v>
      </c>
      <c r="E14" s="33">
        <f>'06'!E36</f>
        <v>1.8749999999999998</v>
      </c>
      <c r="F14" s="33">
        <f>'06'!F36</f>
        <v>1.2358333333333333</v>
      </c>
      <c r="G14" s="33">
        <f>'06'!G36</f>
        <v>82.377083333333317</v>
      </c>
      <c r="H14" s="33">
        <f>'06'!H36</f>
        <v>19.987499999999994</v>
      </c>
      <c r="I14" s="33">
        <f>'06'!I36</f>
        <v>1.5408333333333333</v>
      </c>
      <c r="J14" s="33">
        <f>'06'!J36</f>
        <v>0.53208333333333335</v>
      </c>
      <c r="K14" s="33">
        <f>'06'!K36</f>
        <v>290.45333333333338</v>
      </c>
      <c r="L14" s="33">
        <f>'06'!L36</f>
        <v>27.094999999999995</v>
      </c>
      <c r="M14" s="33">
        <f>'06'!M36</f>
        <v>67.409166666666664</v>
      </c>
      <c r="N14" s="33">
        <f>'06'!N36</f>
        <v>250.57500000000005</v>
      </c>
      <c r="O14" s="33">
        <f>'06'!O36</f>
        <v>0</v>
      </c>
      <c r="P14" s="30">
        <f>'06'!$P$36</f>
        <v>1.0704166666666668</v>
      </c>
      <c r="Q14" s="33">
        <f>'06'!Q36</f>
        <v>13.749583333333332</v>
      </c>
      <c r="R14" s="47"/>
      <c r="S14" s="47"/>
      <c r="T14" s="47"/>
      <c r="U14" s="47"/>
    </row>
    <row r="15" spans="1:21" s="34" customFormat="1" ht="15">
      <c r="A15" s="36" t="str">
        <f>'07'!$B$2</f>
        <v>07-10-2023 01:00</v>
      </c>
      <c r="B15" s="33">
        <f>'07'!B36</f>
        <v>19.923333333333336</v>
      </c>
      <c r="C15" s="33">
        <f>'07'!C36</f>
        <v>20.597916666666666</v>
      </c>
      <c r="D15" s="33">
        <f>'07'!D36</f>
        <v>28.257083333333338</v>
      </c>
      <c r="E15" s="33">
        <f>'07'!E36</f>
        <v>1.7379166666666663</v>
      </c>
      <c r="F15" s="33">
        <f>'07'!F36</f>
        <v>1.1387499999999997</v>
      </c>
      <c r="G15" s="33">
        <f>'07'!G36</f>
        <v>89.049444444444475</v>
      </c>
      <c r="H15" s="33">
        <f>'07'!H36</f>
        <v>2.4199999999999999</v>
      </c>
      <c r="I15" s="33">
        <f>'07'!I36</f>
        <v>1.5404166666666665</v>
      </c>
      <c r="J15" s="33">
        <f>'07'!J36</f>
        <v>0.47916666666666652</v>
      </c>
      <c r="K15" s="33">
        <f>'07'!K36</f>
        <v>306.55916666666667</v>
      </c>
      <c r="L15" s="33">
        <f>'07'!L36</f>
        <v>26.722083333333334</v>
      </c>
      <c r="M15" s="33">
        <f>'07'!M36</f>
        <v>63.403333333333343</v>
      </c>
      <c r="N15" s="33">
        <f>'07'!N37</f>
        <v>324.61292568494423</v>
      </c>
      <c r="O15" s="33">
        <f>'07'!O37</f>
        <v>0</v>
      </c>
      <c r="P15" s="30">
        <f>'07'!$P$36</f>
        <v>1.1533333333333333</v>
      </c>
      <c r="Q15" s="33">
        <f>'07'!Q36</f>
        <v>19.574999999999999</v>
      </c>
      <c r="R15" s="47"/>
      <c r="S15" s="47"/>
      <c r="T15" s="47"/>
      <c r="U15" s="47"/>
    </row>
    <row r="16" spans="1:21" s="34" customFormat="1" ht="15">
      <c r="A16" s="36" t="str">
        <f>'08'!$B$2</f>
        <v>08-10-2023 01:00</v>
      </c>
      <c r="B16" s="33">
        <f>'08'!B36</f>
        <v>12.640416666666667</v>
      </c>
      <c r="C16" s="33">
        <f>'08'!C36</f>
        <v>17.013333333333332</v>
      </c>
      <c r="D16" s="33">
        <f>'08'!D36</f>
        <v>20.504999999999999</v>
      </c>
      <c r="E16" s="33">
        <f>'08'!E36</f>
        <v>1.7883333333333333</v>
      </c>
      <c r="F16" s="33">
        <f>'08'!F36</f>
        <v>0.89708333333333323</v>
      </c>
      <c r="G16" s="33">
        <f>'08'!G36</f>
        <v>73.515454545454546</v>
      </c>
      <c r="H16" s="33">
        <f>'08'!H36</f>
        <v>23.641818181818181</v>
      </c>
      <c r="I16" s="33">
        <f>'08'!I36</f>
        <v>1.5445833333333334</v>
      </c>
      <c r="J16" s="33">
        <f>'08'!J36</f>
        <v>0.45458333333333339</v>
      </c>
      <c r="K16" s="33">
        <f>'08'!K36</f>
        <v>287.29916666666668</v>
      </c>
      <c r="L16" s="33">
        <f>'08'!L36</f>
        <v>27.501666666666662</v>
      </c>
      <c r="M16" s="33">
        <f>'08'!M36</f>
        <v>67.445416666666674</v>
      </c>
      <c r="N16" s="33">
        <f>'08'!N36</f>
        <v>239.71250000000001</v>
      </c>
      <c r="O16" s="33">
        <f>'08'!O36</f>
        <v>0</v>
      </c>
      <c r="P16" s="30">
        <f>'08'!$P$36</f>
        <v>0.80958333333333343</v>
      </c>
      <c r="Q16" s="33">
        <f>'08'!Q36</f>
        <v>288.80458333333331</v>
      </c>
      <c r="R16" s="47"/>
      <c r="S16" s="47"/>
      <c r="T16" s="47"/>
      <c r="U16" s="47"/>
    </row>
    <row r="17" spans="1:24" s="34" customFormat="1" ht="15">
      <c r="A17" s="36" t="str">
        <f>'09'!$B$2</f>
        <v>09-10-2023 01:00</v>
      </c>
      <c r="B17" s="33">
        <f>'09'!B36</f>
        <v>6.0841666666666674</v>
      </c>
      <c r="C17" s="33">
        <f>'09'!C36</f>
        <v>15.871250000000002</v>
      </c>
      <c r="D17" s="33">
        <f>'09'!D36</f>
        <v>14.672500000000001</v>
      </c>
      <c r="E17" s="33">
        <f>'09'!E36</f>
        <v>1.3262500000000002</v>
      </c>
      <c r="F17" s="33">
        <f>'09'!F36</f>
        <v>0.83000000000000007</v>
      </c>
      <c r="G17" s="33">
        <f>'09'!G36</f>
        <v>65.139583333333334</v>
      </c>
      <c r="H17" s="33">
        <f>'09'!H36</f>
        <v>21.728750000000002</v>
      </c>
      <c r="I17" s="33">
        <f>'09'!I36</f>
        <v>1.5525000000000002</v>
      </c>
      <c r="J17" s="33">
        <f>'09'!J36</f>
        <v>0.49958333333333332</v>
      </c>
      <c r="K17" s="33">
        <f>'09'!K36</f>
        <v>298.96791666666661</v>
      </c>
      <c r="L17" s="33">
        <f>'09'!L36</f>
        <v>28.273750000000007</v>
      </c>
      <c r="M17" s="33">
        <f>'09'!M36</f>
        <v>68.888749999999987</v>
      </c>
      <c r="N17" s="33">
        <f>'09'!N37</f>
        <v>318.90473132746627</v>
      </c>
      <c r="O17" s="33">
        <f>'09'!O37</f>
        <v>0</v>
      </c>
      <c r="P17" s="30">
        <f>'09'!$P$36</f>
        <v>0.71125000000000005</v>
      </c>
      <c r="Q17" s="33">
        <f>'09'!Q36</f>
        <v>252.56291666666667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10-10-2023 01:00</v>
      </c>
      <c r="B18" s="33">
        <f>'10'!B36</f>
        <v>8.0829166666666676</v>
      </c>
      <c r="C18" s="33">
        <f>'10'!C36</f>
        <v>19.558333333333334</v>
      </c>
      <c r="D18" s="33">
        <f>'10'!D36</f>
        <v>18.307500000000001</v>
      </c>
      <c r="E18" s="33">
        <f>'10'!E36</f>
        <v>1.712608695652174</v>
      </c>
      <c r="F18" s="33">
        <f>'10'!F36</f>
        <v>2.1545833333333335</v>
      </c>
      <c r="G18" s="33">
        <f>'10'!G36</f>
        <v>64.150625000000005</v>
      </c>
      <c r="H18" s="33">
        <f>'10'!H36</f>
        <v>26.14875</v>
      </c>
      <c r="I18" s="33">
        <f>'10'!I36</f>
        <v>1.552083333333333</v>
      </c>
      <c r="J18" s="33">
        <f>'10'!J36</f>
        <v>0.43416666666666665</v>
      </c>
      <c r="K18" s="33">
        <f>'10'!K36</f>
        <v>285.17916666666667</v>
      </c>
      <c r="L18" s="33">
        <f>'10'!L36</f>
        <v>28.126249999999995</v>
      </c>
      <c r="M18" s="33">
        <f>'10'!M36</f>
        <v>69.772083333333327</v>
      </c>
      <c r="N18" s="33">
        <f>'10'!N36</f>
        <v>229.60416666666674</v>
      </c>
      <c r="O18" s="33">
        <f>'10'!O36</f>
        <v>0</v>
      </c>
      <c r="P18" s="30">
        <f>'10'!$P$36</f>
        <v>0.92166666666666686</v>
      </c>
      <c r="Q18" s="33">
        <f>'10'!Q36</f>
        <v>174.43826086956523</v>
      </c>
      <c r="R18" s="47"/>
      <c r="S18" s="47"/>
      <c r="T18" s="47"/>
      <c r="U18" s="47"/>
    </row>
    <row r="19" spans="1:21" s="34" customFormat="1" ht="15">
      <c r="A19" s="36" t="str">
        <f>'11'!$B$2</f>
        <v>11-10-2023 01:00</v>
      </c>
      <c r="B19" s="33">
        <f>'11'!B36</f>
        <v>7.956666666666667</v>
      </c>
      <c r="C19" s="33">
        <f>'11'!C36</f>
        <v>19.549583333333338</v>
      </c>
      <c r="D19" s="33">
        <f>'11'!D36</f>
        <v>18.162499999999998</v>
      </c>
      <c r="E19" s="33">
        <f>'11'!E36</f>
        <v>1.5684210526315789</v>
      </c>
      <c r="F19" s="33">
        <f>'11'!F36</f>
        <v>2.7912499999999998</v>
      </c>
      <c r="G19" s="33">
        <f>'11'!G36</f>
        <v>101.97499999999999</v>
      </c>
      <c r="H19" s="33">
        <f>'11'!H36</f>
        <v>33.295000000000002</v>
      </c>
      <c r="I19" s="33">
        <f>'11'!I36</f>
        <v>1.5420833333333335</v>
      </c>
      <c r="J19" s="33">
        <f>'11'!J36</f>
        <v>0.48166666666666669</v>
      </c>
      <c r="K19" s="33">
        <f>'11'!K36</f>
        <v>295.15291666666661</v>
      </c>
      <c r="L19" s="33">
        <f>'11'!L36</f>
        <v>28.356250000000003</v>
      </c>
      <c r="M19" s="33">
        <f>'11'!M36</f>
        <v>67.410000000000011</v>
      </c>
      <c r="N19" s="33">
        <f>'11'!N36</f>
        <v>232.47916666666663</v>
      </c>
      <c r="O19" s="33">
        <f>'11'!O36</f>
        <v>0</v>
      </c>
      <c r="P19" s="33">
        <f>'11'!P36</f>
        <v>0.90416666666666667</v>
      </c>
      <c r="Q19" s="33">
        <f>'11'!Q36</f>
        <v>103.97095238095235</v>
      </c>
      <c r="R19" s="47"/>
      <c r="S19" s="47"/>
      <c r="T19" s="47"/>
      <c r="U19" s="47"/>
    </row>
    <row r="20" spans="1:21" s="34" customFormat="1" ht="15">
      <c r="A20" s="36" t="str">
        <f>'12'!$B$2</f>
        <v>12-10-2023 01:00</v>
      </c>
      <c r="B20" s="33">
        <f>'12'!B36</f>
        <v>35.62916666666667</v>
      </c>
      <c r="C20" s="33">
        <f>'12'!C36</f>
        <v>34.742083333333333</v>
      </c>
      <c r="D20" s="33">
        <f>'12'!D36</f>
        <v>47.923333333333325</v>
      </c>
      <c r="E20" s="33">
        <f>'12'!E36</f>
        <v>1.328235294117647</v>
      </c>
      <c r="F20" s="33">
        <f>'12'!F36</f>
        <v>2.2745833333333327</v>
      </c>
      <c r="G20" s="33">
        <f>'12'!G36</f>
        <v>86.592083333333335</v>
      </c>
      <c r="H20" s="33">
        <f>'12'!H36</f>
        <v>33.151666666666657</v>
      </c>
      <c r="I20" s="33">
        <f>'12'!I36</f>
        <v>1.54</v>
      </c>
      <c r="J20" s="33">
        <f>'12'!J36</f>
        <v>0.42791666666666672</v>
      </c>
      <c r="K20" s="33">
        <f>'12'!K36</f>
        <v>269.42041666666665</v>
      </c>
      <c r="L20" s="33">
        <f>'12'!L36</f>
        <v>26.074166666666674</v>
      </c>
      <c r="M20" s="33">
        <f>'12'!M36</f>
        <v>79.888749999999987</v>
      </c>
      <c r="N20" s="33">
        <f>'12'!N36</f>
        <v>202.77500000000001</v>
      </c>
      <c r="O20" s="33">
        <f>'12'!O36</f>
        <v>0</v>
      </c>
      <c r="P20" s="33">
        <f>'12'!P36</f>
        <v>1.4295833333333334</v>
      </c>
      <c r="Q20" s="33">
        <f>'12'!Q36</f>
        <v>5.833333333333333</v>
      </c>
      <c r="R20" s="47"/>
      <c r="S20" s="47"/>
      <c r="T20" s="47"/>
      <c r="U20" s="47"/>
    </row>
    <row r="21" spans="1:21" s="34" customFormat="1" ht="15">
      <c r="A21" s="36" t="str">
        <f>'13'!$B$2</f>
        <v>13-10-2023 01:00</v>
      </c>
      <c r="B21" s="33">
        <f>'13'!B36</f>
        <v>36.622083333333336</v>
      </c>
      <c r="C21" s="33">
        <f>'13'!C36</f>
        <v>40.228749999999998</v>
      </c>
      <c r="D21" s="33">
        <f>'13'!D36</f>
        <v>51.157083333333333</v>
      </c>
      <c r="E21" s="33">
        <f>'13'!E36</f>
        <v>0.55000000000000004</v>
      </c>
      <c r="F21" s="33">
        <f>'13'!F36</f>
        <v>8.8333333333333339</v>
      </c>
      <c r="G21" s="33">
        <f>'13'!G36</f>
        <v>119.5509523809524</v>
      </c>
      <c r="H21" s="33">
        <f>'13'!H36</f>
        <v>49.311428571428578</v>
      </c>
      <c r="I21" s="33">
        <f>'13'!I36</f>
        <v>1.5270833333333336</v>
      </c>
      <c r="J21" s="33">
        <f>'13'!J36</f>
        <v>0.35499999999999998</v>
      </c>
      <c r="K21" s="33">
        <f>'13'!K36</f>
        <v>264.65958333333327</v>
      </c>
      <c r="L21" s="33">
        <f>'13'!L36</f>
        <v>26.177499999999998</v>
      </c>
      <c r="M21" s="33">
        <f>'13'!M36</f>
        <v>77.434583333333322</v>
      </c>
      <c r="N21" s="33">
        <f>'13'!N36</f>
        <v>125.00454545454545</v>
      </c>
      <c r="O21" s="33">
        <f>'13'!O36</f>
        <v>0</v>
      </c>
      <c r="P21" s="33">
        <f>'13'!P36</f>
        <v>1.4399999999999995</v>
      </c>
      <c r="Q21" s="33">
        <f>'13'!Q36</f>
        <v>6.9233333333333347</v>
      </c>
      <c r="R21" s="47"/>
      <c r="S21" s="47"/>
      <c r="T21" s="47"/>
      <c r="U21" s="47"/>
    </row>
    <row r="22" spans="1:21" s="34" customFormat="1" ht="15">
      <c r="A22" s="36" t="str">
        <f>'14'!$B$2</f>
        <v>14-10-2023 01:00</v>
      </c>
      <c r="B22" s="30">
        <f>'14'!B36</f>
        <v>43.135833333333331</v>
      </c>
      <c r="C22" s="30">
        <f>'14'!C36</f>
        <v>46.562916666666666</v>
      </c>
      <c r="D22" s="30">
        <f>'14'!D36</f>
        <v>59.066666666666663</v>
      </c>
      <c r="E22" s="30">
        <f>'14'!E36</f>
        <v>0.72416666666666674</v>
      </c>
      <c r="F22" s="30">
        <f>'14'!F36</f>
        <v>11.211666666666666</v>
      </c>
      <c r="G22" s="30">
        <f>'14'!G36</f>
        <v>111.15428571428571</v>
      </c>
      <c r="H22" s="30">
        <f>'14'!H36</f>
        <v>35.488095238095241</v>
      </c>
      <c r="I22" s="30">
        <f>'14'!I36</f>
        <v>1.5412499999999998</v>
      </c>
      <c r="J22" s="30">
        <f>'14'!J36</f>
        <v>0.39749999999999996</v>
      </c>
      <c r="K22" s="30">
        <f>'14'!K36</f>
        <v>302.24833333333339</v>
      </c>
      <c r="L22" s="30">
        <f>'14'!L36</f>
        <v>26.943333333333324</v>
      </c>
      <c r="M22" s="30">
        <f>'14'!M36</f>
        <v>70.49166666666666</v>
      </c>
      <c r="N22" s="30">
        <f>'14'!N36</f>
        <v>211.13750000000002</v>
      </c>
      <c r="O22" s="30">
        <f>'14'!O36</f>
        <v>0</v>
      </c>
      <c r="P22" s="30">
        <f>'14'!P36</f>
        <v>1.6095833333333329</v>
      </c>
      <c r="Q22" s="30">
        <f>'14'!Q36</f>
        <v>6.0282608695652149</v>
      </c>
      <c r="R22" s="48"/>
      <c r="S22" s="48"/>
      <c r="T22" s="48"/>
      <c r="U22" s="48"/>
    </row>
    <row r="23" spans="1:21" s="34" customFormat="1" ht="15">
      <c r="A23" s="36" t="str">
        <f>'15'!$B$2</f>
        <v>15-10-2023 01:00</v>
      </c>
      <c r="B23" s="33">
        <f>'15'!B36</f>
        <v>19.877499999999998</v>
      </c>
      <c r="C23" s="33">
        <f>'15'!C36</f>
        <v>30.453333333333333</v>
      </c>
      <c r="D23" s="33">
        <f>'15'!D36</f>
        <v>32.57416666666667</v>
      </c>
      <c r="E23" s="33">
        <f>'15'!E36</f>
        <v>0.54208333333333336</v>
      </c>
      <c r="F23" s="33">
        <f>'15'!F36</f>
        <v>13.106666666666669</v>
      </c>
      <c r="G23" s="33">
        <f>'15'!G36</f>
        <v>76.892857142857167</v>
      </c>
      <c r="H23" s="33">
        <f>'15'!H36</f>
        <v>34.060000000000002</v>
      </c>
      <c r="I23" s="33">
        <f>'15'!I36</f>
        <v>1.5358333333333329</v>
      </c>
      <c r="J23" s="33">
        <f>'15'!J36</f>
        <v>0.41083333333333322</v>
      </c>
      <c r="K23" s="33">
        <f>'15'!K36</f>
        <v>258.11291666666671</v>
      </c>
      <c r="L23" s="33">
        <f>'15'!L36</f>
        <v>25.90291666666667</v>
      </c>
      <c r="M23" s="33">
        <f>'15'!M36</f>
        <v>70.345416666666665</v>
      </c>
      <c r="N23" s="33">
        <f>'15'!N36</f>
        <v>222.65000000000006</v>
      </c>
      <c r="O23" s="33">
        <f>'15'!O36</f>
        <v>0</v>
      </c>
      <c r="P23" s="30">
        <f>'15'!P36</f>
        <v>1.0362499999999999</v>
      </c>
      <c r="Q23" s="30">
        <f>'15'!Q36</f>
        <v>5.5479166666666657</v>
      </c>
      <c r="R23" s="48"/>
      <c r="S23" s="48"/>
      <c r="T23" s="48"/>
      <c r="U23" s="47"/>
    </row>
    <row r="24" spans="1:21" s="34" customFormat="1" ht="15">
      <c r="A24" s="36" t="str">
        <f>'16'!$B$2</f>
        <v>16-10-2023 01:00</v>
      </c>
      <c r="B24" s="33">
        <f>'16'!B36</f>
        <v>29.318750000000005</v>
      </c>
      <c r="C24" s="33">
        <f>'16'!C36</f>
        <v>31.497083333333336</v>
      </c>
      <c r="D24" s="33">
        <f>'16'!D36</f>
        <v>41.388750000000002</v>
      </c>
      <c r="E24" s="33">
        <f>'16'!E36</f>
        <v>0.48583333333333334</v>
      </c>
      <c r="F24" s="33">
        <f>'16'!F36</f>
        <v>8.8920833333333356</v>
      </c>
      <c r="G24" s="33">
        <f>'16'!G36</f>
        <v>94.066499999999991</v>
      </c>
      <c r="H24" s="33">
        <f>'16'!H36</f>
        <v>34.612499999999997</v>
      </c>
      <c r="I24" s="33">
        <f>'16'!I36</f>
        <v>1.5504166666666663</v>
      </c>
      <c r="J24" s="33">
        <f>'16'!J36</f>
        <v>0.42750000000000005</v>
      </c>
      <c r="K24" s="33">
        <f>'16'!K36</f>
        <v>263.56333333333333</v>
      </c>
      <c r="L24" s="33">
        <f>'16'!L36</f>
        <v>25.449166666666674</v>
      </c>
      <c r="M24" s="33">
        <f>'16'!M36</f>
        <v>66.857500000000016</v>
      </c>
      <c r="N24" s="33">
        <f>'16'!N36</f>
        <v>244.50416666666669</v>
      </c>
      <c r="O24" s="33">
        <f>'16'!O36</f>
        <v>0</v>
      </c>
      <c r="P24" s="30">
        <f>'16'!P36</f>
        <v>0.98291666666666677</v>
      </c>
      <c r="Q24" s="30">
        <f>'16'!Q36</f>
        <v>5.5145833333333343</v>
      </c>
      <c r="R24" s="48"/>
      <c r="S24" s="48"/>
      <c r="T24" s="48"/>
      <c r="U24" s="47"/>
    </row>
    <row r="25" spans="1:21" s="34" customFormat="1" ht="15">
      <c r="A25" s="36" t="str">
        <f>'17'!$B$2</f>
        <v>17-10-2023 01:00</v>
      </c>
      <c r="B25" s="33">
        <f>'17'!B36</f>
        <v>31.859166666666667</v>
      </c>
      <c r="C25" s="33">
        <f>'17'!C36</f>
        <v>30.017500000000002</v>
      </c>
      <c r="D25" s="33">
        <f>'17'!D36</f>
        <v>42.415833333333332</v>
      </c>
      <c r="E25" s="33">
        <f>'17'!E36</f>
        <v>0.45791666666666669</v>
      </c>
      <c r="F25" s="33">
        <f>'17'!F36</f>
        <v>9.8370833333333341</v>
      </c>
      <c r="G25" s="33">
        <f>'17'!G36</f>
        <v>116.9990909090909</v>
      </c>
      <c r="H25" s="33">
        <f>'17'!H36</f>
        <v>36.148181818181818</v>
      </c>
      <c r="I25" s="33">
        <f>'17'!I36</f>
        <v>1.54375</v>
      </c>
      <c r="J25" s="33">
        <f>'17'!J36</f>
        <v>0.47583333333333333</v>
      </c>
      <c r="K25" s="33">
        <f>'17'!K36</f>
        <v>277.70958333333334</v>
      </c>
      <c r="L25" s="33">
        <f>'17'!L36</f>
        <v>25.082499999999996</v>
      </c>
      <c r="M25" s="33">
        <f>'17'!M36</f>
        <v>69.578749999999999</v>
      </c>
      <c r="N25" s="33">
        <f>'17'!N36</f>
        <v>227.08333333333337</v>
      </c>
      <c r="O25" s="33">
        <f>'17'!O36</f>
        <v>0</v>
      </c>
      <c r="P25" s="30">
        <f>'17'!P36</f>
        <v>1.1479166666666667</v>
      </c>
      <c r="Q25" s="30">
        <f>'17'!Q36</f>
        <v>7.0087499999999991</v>
      </c>
      <c r="R25" s="48"/>
      <c r="S25" s="48"/>
      <c r="T25" s="48"/>
      <c r="U25" s="47"/>
    </row>
    <row r="26" spans="1:21" s="34" customFormat="1" ht="15">
      <c r="A26" s="36" t="str">
        <f>'18'!$B$2</f>
        <v>18-10-2023 01:00</v>
      </c>
      <c r="B26" s="33">
        <f>'18'!B36</f>
        <v>18.865416666666665</v>
      </c>
      <c r="C26" s="33">
        <f>'18'!C36</f>
        <v>35.687500000000007</v>
      </c>
      <c r="D26" s="33">
        <f>'18'!D36</f>
        <v>35.335416666666667</v>
      </c>
      <c r="E26" s="33">
        <f>'18'!E36</f>
        <v>1.2983333333333336</v>
      </c>
      <c r="F26" s="33">
        <f>'18'!F36</f>
        <v>8.8262499999999999</v>
      </c>
      <c r="G26" s="33">
        <f>'18'!G36</f>
        <v>136.5008333333333</v>
      </c>
      <c r="H26" s="33">
        <f>'18'!H36</f>
        <v>58.144583333333344</v>
      </c>
      <c r="I26" s="33">
        <f>'18'!I36</f>
        <v>1.5512500000000002</v>
      </c>
      <c r="J26" s="33">
        <f>'18'!J36</f>
        <v>0.52458333333333329</v>
      </c>
      <c r="K26" s="33">
        <f>'18'!K36</f>
        <v>286.8995833333334</v>
      </c>
      <c r="L26" s="33">
        <f>'18'!L36</f>
        <v>25.738749999999992</v>
      </c>
      <c r="M26" s="33">
        <f>'18'!M36</f>
        <v>72.170000000000002</v>
      </c>
      <c r="N26" s="33">
        <f>'18'!N36</f>
        <v>202.0291666666667</v>
      </c>
      <c r="O26" s="33">
        <f>'18'!O36</f>
        <v>0</v>
      </c>
      <c r="P26" s="30">
        <f>'18'!P36</f>
        <v>1.125416666666667</v>
      </c>
      <c r="Q26" s="30">
        <f>'18'!Q36</f>
        <v>5.298750000000001</v>
      </c>
      <c r="R26" s="48"/>
      <c r="S26" s="48"/>
      <c r="T26" s="48"/>
      <c r="U26" s="47"/>
    </row>
    <row r="27" spans="1:21" s="34" customFormat="1" ht="15">
      <c r="A27" s="36" t="str">
        <f>'19'!$B$2</f>
        <v>19-10-2023 01:00</v>
      </c>
      <c r="B27" s="33">
        <f>'19'!B36</f>
        <v>15.870833333333332</v>
      </c>
      <c r="C27" s="33">
        <f>'19'!C36</f>
        <v>39.936666666666667</v>
      </c>
      <c r="D27" s="33">
        <f>'19'!D36</f>
        <v>35.045833333333327</v>
      </c>
      <c r="E27" s="33">
        <f>'19'!E36</f>
        <v>2.2870833333333338</v>
      </c>
      <c r="F27" s="33">
        <f>'19'!F36</f>
        <v>13.03375</v>
      </c>
      <c r="G27" s="33">
        <f>'19'!G36</f>
        <v>128.90125</v>
      </c>
      <c r="H27" s="33">
        <f>'19'!H36</f>
        <v>52.397916666666667</v>
      </c>
      <c r="I27" s="33">
        <f>'19'!I36</f>
        <v>1.5358333333333334</v>
      </c>
      <c r="J27" s="33">
        <f>'19'!J36</f>
        <v>0.50916666666666666</v>
      </c>
      <c r="K27" s="33">
        <f>'19'!K36</f>
        <v>265.34749999999991</v>
      </c>
      <c r="L27" s="33">
        <f>'19'!L36</f>
        <v>25.557500000000008</v>
      </c>
      <c r="M27" s="33">
        <f>'19'!M36</f>
        <v>71.885833333333338</v>
      </c>
      <c r="N27" s="33">
        <f>'19'!N36</f>
        <v>226.83333333333329</v>
      </c>
      <c r="O27" s="33">
        <f>'19'!O36</f>
        <v>0</v>
      </c>
      <c r="P27" s="30">
        <f>'19'!P36</f>
        <v>1.1279166666666669</v>
      </c>
      <c r="Q27" s="30">
        <f>'19'!Q36</f>
        <v>5.0654166666666667</v>
      </c>
      <c r="R27" s="48"/>
      <c r="S27" s="48"/>
      <c r="T27" s="48"/>
      <c r="U27" s="47"/>
    </row>
    <row r="28" spans="1:21" s="34" customFormat="1" ht="15">
      <c r="A28" s="36" t="str">
        <f>'20'!$B$2</f>
        <v>20-10-2023 01:00</v>
      </c>
      <c r="B28" s="33">
        <f>'20'!B36</f>
        <v>10.633333333333335</v>
      </c>
      <c r="C28" s="33">
        <f>'20'!C36</f>
        <v>32.75416666666667</v>
      </c>
      <c r="D28" s="33">
        <f>'20'!D36</f>
        <v>27.374166666666667</v>
      </c>
      <c r="E28" s="33">
        <f>'20'!E36</f>
        <v>2.8962500000000002</v>
      </c>
      <c r="F28" s="33">
        <f>'20'!F36</f>
        <v>12.723750000000001</v>
      </c>
      <c r="G28" s="33">
        <f>'20'!G36</f>
        <v>121.24416666666667</v>
      </c>
      <c r="H28" s="33">
        <f>'20'!H36</f>
        <v>53.341250000000009</v>
      </c>
      <c r="I28" s="33">
        <f>'20'!I36</f>
        <v>1.5541666666666663</v>
      </c>
      <c r="J28" s="33">
        <f>'20'!J36</f>
        <v>0.54874999999999996</v>
      </c>
      <c r="K28" s="33">
        <f>'20'!K36</f>
        <v>292.3608333333334</v>
      </c>
      <c r="L28" s="33">
        <f>'20'!L36</f>
        <v>25.661666666666665</v>
      </c>
      <c r="M28" s="33">
        <f>'20'!M36</f>
        <v>66.625833333333333</v>
      </c>
      <c r="N28" s="33">
        <f>'20'!N36</f>
        <v>223.67500000000007</v>
      </c>
      <c r="O28" s="33">
        <f>'20'!O36</f>
        <v>0</v>
      </c>
      <c r="P28" s="30">
        <f>'20'!P36</f>
        <v>0.99333333333333329</v>
      </c>
      <c r="Q28" s="30">
        <f>'20'!Q36</f>
        <v>4.9412499999999993</v>
      </c>
      <c r="R28" s="48"/>
      <c r="S28" s="48"/>
      <c r="T28" s="48"/>
      <c r="U28" s="47"/>
    </row>
    <row r="29" spans="1:21" s="34" customFormat="1" ht="15">
      <c r="A29" s="36" t="str">
        <f>'21'!$B$2</f>
        <v>21-10-2023 01:00</v>
      </c>
      <c r="B29" s="33">
        <f>'21'!B36</f>
        <v>13.284999999999997</v>
      </c>
      <c r="C29" s="33">
        <f>'21'!C36</f>
        <v>27.48416666666667</v>
      </c>
      <c r="D29" s="33">
        <f>'21'!D36</f>
        <v>26.595833333333331</v>
      </c>
      <c r="E29" s="33">
        <f>'21'!E36</f>
        <v>1.1875000000000002</v>
      </c>
      <c r="F29" s="33">
        <f>'21'!F36</f>
        <v>7.2087499999999993</v>
      </c>
      <c r="G29" s="33">
        <f>'21'!G36</f>
        <v>120.01875</v>
      </c>
      <c r="H29" s="33">
        <f>'21'!H36</f>
        <v>46.959583333333335</v>
      </c>
      <c r="I29" s="33">
        <f>'21'!I36</f>
        <v>1.5362500000000001</v>
      </c>
      <c r="J29" s="33">
        <f>'21'!J36</f>
        <v>0.71041666666666659</v>
      </c>
      <c r="K29" s="33">
        <f>'21'!K36</f>
        <v>251.89291666666668</v>
      </c>
      <c r="L29" s="33">
        <f>'21'!L36</f>
        <v>24.231249999999999</v>
      </c>
      <c r="M29" s="33">
        <f>'21'!M36</f>
        <v>59.01333333333335</v>
      </c>
      <c r="N29" s="33">
        <f>'21'!N36</f>
        <v>248.17083333333326</v>
      </c>
      <c r="O29" s="33">
        <f>'21'!O36</f>
        <v>0</v>
      </c>
      <c r="P29" s="30">
        <f>'21'!P36</f>
        <v>0.94666666666666666</v>
      </c>
      <c r="Q29" s="30">
        <f>'21'!Q36</f>
        <v>5.1516666666666664</v>
      </c>
      <c r="R29" s="48"/>
      <c r="S29" s="48"/>
      <c r="T29" s="48"/>
      <c r="U29" s="47"/>
    </row>
    <row r="30" spans="1:21" s="34" customFormat="1" ht="15">
      <c r="A30" s="36" t="str">
        <f>'22'!$B$2</f>
        <v>22-10-2023 01:00</v>
      </c>
      <c r="B30" s="33">
        <f>'22'!B36</f>
        <v>26.127499999999998</v>
      </c>
      <c r="C30" s="33">
        <f>'22'!C36</f>
        <v>32.659166666666664</v>
      </c>
      <c r="D30" s="33">
        <f>'22'!D36</f>
        <v>39.50708333333332</v>
      </c>
      <c r="E30" s="33">
        <f>'22'!E36</f>
        <v>0.97041666666666659</v>
      </c>
      <c r="F30" s="33">
        <f>'22'!F36</f>
        <v>6.3054166666666651</v>
      </c>
      <c r="G30" s="33">
        <f>'22'!G36</f>
        <v>154.35833333333332</v>
      </c>
      <c r="H30" s="33">
        <f>'22'!H36</f>
        <v>68.022916666666646</v>
      </c>
      <c r="I30" s="33">
        <f>'22'!I36</f>
        <v>1.5433333333333339</v>
      </c>
      <c r="J30" s="33">
        <f>'22'!J36</f>
        <v>0.59083333333333332</v>
      </c>
      <c r="K30" s="33">
        <f>'22'!K36</f>
        <v>296.80249999999995</v>
      </c>
      <c r="L30" s="33">
        <f>'22'!L36</f>
        <v>24.649166666666659</v>
      </c>
      <c r="M30" s="33">
        <f>'22'!M36</f>
        <v>60.04583333333332</v>
      </c>
      <c r="N30" s="33">
        <f>'22'!N36</f>
        <v>231.3125</v>
      </c>
      <c r="O30" s="33">
        <f>'22'!O36</f>
        <v>0</v>
      </c>
      <c r="P30" s="30">
        <f>'22'!P36</f>
        <v>1.3895833333333334</v>
      </c>
      <c r="Q30" s="30">
        <f>'22'!Q36</f>
        <v>6.2887500000000012</v>
      </c>
      <c r="R30" s="48"/>
      <c r="S30" s="47"/>
      <c r="T30" s="47"/>
      <c r="U30" s="47"/>
    </row>
    <row r="31" spans="1:21" s="34" customFormat="1" ht="15">
      <c r="A31" s="36" t="str">
        <f>'23'!$B$2</f>
        <v>23-10-2023 01:00</v>
      </c>
      <c r="B31" s="33">
        <f>'23'!B36</f>
        <v>21.008750000000003</v>
      </c>
      <c r="C31" s="33">
        <f>'23'!C36</f>
        <v>34.55833333333333</v>
      </c>
      <c r="D31" s="33">
        <f>'23'!D36</f>
        <v>36.405416666666667</v>
      </c>
      <c r="E31" s="33">
        <f>'23'!E36</f>
        <v>1.2008333333333334</v>
      </c>
      <c r="F31" s="33">
        <f>'23'!F36</f>
        <v>3.9550000000000014</v>
      </c>
      <c r="G31" s="33">
        <f>'23'!G36</f>
        <v>140.67041666666665</v>
      </c>
      <c r="H31" s="33">
        <f>'23'!H36</f>
        <v>63.316249999999975</v>
      </c>
      <c r="I31" s="33">
        <f>'23'!I36</f>
        <v>1.5433333333333332</v>
      </c>
      <c r="J31" s="33">
        <f>'23'!J36</f>
        <v>0.75750000000000028</v>
      </c>
      <c r="K31" s="33">
        <f>'23'!K36</f>
        <v>311.87250000000006</v>
      </c>
      <c r="L31" s="33">
        <f>'23'!L36</f>
        <v>23.495833333333337</v>
      </c>
      <c r="M31" s="33">
        <f>'23'!M36</f>
        <v>56.619583333333331</v>
      </c>
      <c r="N31" s="33">
        <f>'23'!N36</f>
        <v>239.50416666666663</v>
      </c>
      <c r="O31" s="33">
        <f>'23'!O36</f>
        <v>0</v>
      </c>
      <c r="P31" s="33">
        <f>'23'!P36</f>
        <v>1.3133333333333335</v>
      </c>
      <c r="Q31" s="33">
        <f>'23'!Q36</f>
        <v>5.930416666666666</v>
      </c>
      <c r="R31" s="47"/>
      <c r="S31" s="47"/>
      <c r="T31" s="47"/>
      <c r="U31" s="47"/>
    </row>
    <row r="32" spans="1:21" s="34" customFormat="1" ht="15">
      <c r="A32" s="36" t="str">
        <f>'24'!$B$2</f>
        <v>24-10-2023 01:00</v>
      </c>
      <c r="B32" s="33">
        <f>'24'!B36</f>
        <v>26.025000000000002</v>
      </c>
      <c r="C32" s="33">
        <f>'24'!C36</f>
        <v>33.704583333333339</v>
      </c>
      <c r="D32" s="33">
        <f>'24'!D36</f>
        <v>40.15625</v>
      </c>
      <c r="E32" s="33">
        <f>'24'!E36</f>
        <v>2.3954545454545459</v>
      </c>
      <c r="F32" s="33">
        <f>'24'!F36</f>
        <v>4.1537499999999996</v>
      </c>
      <c r="G32" s="33">
        <f>'24'!G36</f>
        <v>146.87315789473686</v>
      </c>
      <c r="H32" s="33">
        <f>'24'!H36</f>
        <v>75.487894736842122</v>
      </c>
      <c r="I32" s="33">
        <f>'24'!I36</f>
        <v>1.5362500000000001</v>
      </c>
      <c r="J32" s="33">
        <f>'24'!J36</f>
        <v>0.58416666666666661</v>
      </c>
      <c r="K32" s="33">
        <f>'24'!K36</f>
        <v>319.13333333333333</v>
      </c>
      <c r="L32" s="33">
        <f>'24'!L36</f>
        <v>23.681250000000002</v>
      </c>
      <c r="M32" s="33">
        <f>'24'!M36</f>
        <v>61.591666666666676</v>
      </c>
      <c r="N32" s="33">
        <f>'24'!N36</f>
        <v>214.73749999999998</v>
      </c>
      <c r="O32" s="33">
        <f>'24'!O36</f>
        <v>0</v>
      </c>
      <c r="P32" s="33">
        <f>'24'!P36</f>
        <v>1.2333333333333334</v>
      </c>
      <c r="Q32" s="33">
        <f>'24'!Q36</f>
        <v>6.5591666666666653</v>
      </c>
      <c r="R32" s="47"/>
      <c r="S32" s="47"/>
      <c r="T32" s="47"/>
      <c r="U32" s="47"/>
    </row>
    <row r="33" spans="1:21" s="34" customFormat="1" ht="15">
      <c r="A33" s="36" t="str">
        <f>'25'!$B$2</f>
        <v>25-10-2023 01:00</v>
      </c>
      <c r="B33" s="33">
        <f>'25'!B36</f>
        <v>27.11333333333334</v>
      </c>
      <c r="C33" s="33">
        <f>'25'!C36</f>
        <v>30.787499999999994</v>
      </c>
      <c r="D33" s="33">
        <f>'25'!D36</f>
        <v>39.079999999999991</v>
      </c>
      <c r="E33" s="33">
        <f>'25'!E36</f>
        <v>2.3024999999999998</v>
      </c>
      <c r="F33" s="33">
        <f>'25'!F36</f>
        <v>3.3904166666666669</v>
      </c>
      <c r="G33" s="33">
        <f>'25'!G36</f>
        <v>143.17166666666671</v>
      </c>
      <c r="H33" s="33">
        <f>'25'!H36</f>
        <v>73.960833333333326</v>
      </c>
      <c r="I33" s="33">
        <f>'25'!I36</f>
        <v>1.5570833333333329</v>
      </c>
      <c r="J33" s="33">
        <f>'25'!J36</f>
        <v>0.55499999999999994</v>
      </c>
      <c r="K33" s="33">
        <f>'25'!K36</f>
        <v>304.89666666666665</v>
      </c>
      <c r="L33" s="33">
        <f>'25'!L36</f>
        <v>23.236249999999998</v>
      </c>
      <c r="M33" s="33">
        <f>'25'!M36</f>
        <v>63.775833333333331</v>
      </c>
      <c r="N33" s="33">
        <f>'25'!N36</f>
        <v>200.43333333333331</v>
      </c>
      <c r="O33" s="33">
        <f>'25'!O36</f>
        <v>0</v>
      </c>
      <c r="P33" s="33">
        <f>'25'!P36</f>
        <v>1.1533333333333333</v>
      </c>
      <c r="Q33" s="33">
        <f>'25'!Q36</f>
        <v>6.8587499999999997</v>
      </c>
      <c r="R33" s="47"/>
      <c r="S33" s="47"/>
      <c r="T33" s="47"/>
      <c r="U33" s="47"/>
    </row>
    <row r="34" spans="1:21" s="34" customFormat="1" ht="15">
      <c r="A34" s="36" t="str">
        <f>'26'!$B$2</f>
        <v>26-10-2023 01:00</v>
      </c>
      <c r="B34" s="33">
        <f>'26'!B36</f>
        <v>26.712500000000002</v>
      </c>
      <c r="C34" s="33">
        <f>'26'!C36</f>
        <v>36.963750000000012</v>
      </c>
      <c r="D34" s="33">
        <f>'26'!D36</f>
        <v>42.433333333333344</v>
      </c>
      <c r="E34" s="33">
        <f>'26'!E36</f>
        <v>1.718333333333333</v>
      </c>
      <c r="F34" s="33">
        <f>'26'!F36</f>
        <v>3.1487499999999997</v>
      </c>
      <c r="G34" s="33">
        <f>'26'!G36</f>
        <v>139.84375000000003</v>
      </c>
      <c r="H34" s="33">
        <f>'26'!H36</f>
        <v>62.288333333333348</v>
      </c>
      <c r="I34" s="33">
        <f>'26'!I36</f>
        <v>1.5529166666666667</v>
      </c>
      <c r="J34" s="33">
        <f>'26'!J36</f>
        <v>0.50250000000000006</v>
      </c>
      <c r="K34" s="33">
        <f>'26'!K36</f>
        <v>324.93708333333336</v>
      </c>
      <c r="L34" s="33">
        <f>'26'!L36</f>
        <v>23.259166666666669</v>
      </c>
      <c r="M34" s="33">
        <f>'26'!M36</f>
        <v>61.601666666666659</v>
      </c>
      <c r="N34" s="33">
        <f>'26'!N36</f>
        <v>212.93749999999997</v>
      </c>
      <c r="O34" s="33">
        <f>'26'!O36</f>
        <v>0</v>
      </c>
      <c r="P34" s="33">
        <f>'26'!P36</f>
        <v>1.2037500000000001</v>
      </c>
      <c r="Q34" s="33">
        <f>'26'!Q36</f>
        <v>6.7775000000000007</v>
      </c>
      <c r="R34" s="47"/>
      <c r="S34" s="47"/>
      <c r="T34" s="47"/>
      <c r="U34" s="47"/>
    </row>
    <row r="35" spans="1:21" s="34" customFormat="1" ht="15">
      <c r="A35" s="36" t="str">
        <f>'27'!$B$2</f>
        <v>27-10-2023 01:00</v>
      </c>
      <c r="B35" s="33">
        <f>'27'!B36</f>
        <v>32.380000000000003</v>
      </c>
      <c r="C35" s="33">
        <f>'27'!C36</f>
        <v>36.723750000000003</v>
      </c>
      <c r="D35" s="33">
        <f>'27'!D36</f>
        <v>46.973749999999995</v>
      </c>
      <c r="E35" s="33">
        <f>'27'!E36</f>
        <v>1.8912500000000003</v>
      </c>
      <c r="F35" s="33">
        <f>'27'!F36</f>
        <v>2.8187499999999996</v>
      </c>
      <c r="G35" s="33">
        <f>'27'!G36</f>
        <v>126.28833333333334</v>
      </c>
      <c r="H35" s="33">
        <f>'27'!H36</f>
        <v>62.750416666666673</v>
      </c>
      <c r="I35" s="33">
        <f>'27'!I36</f>
        <v>1.5416666666666663</v>
      </c>
      <c r="J35" s="33">
        <f>'27'!J36</f>
        <v>0.4466666666666666</v>
      </c>
      <c r="K35" s="33">
        <f>'27'!K36</f>
        <v>290.3679166666667</v>
      </c>
      <c r="L35" s="33">
        <f>'27'!L36</f>
        <v>22.432500000000001</v>
      </c>
      <c r="M35" s="33">
        <f>'27'!M36</f>
        <v>61.492083333333333</v>
      </c>
      <c r="N35" s="33">
        <f>'27'!N36</f>
        <v>229.81666666666672</v>
      </c>
      <c r="O35" s="33">
        <f>'27'!O36</f>
        <v>0</v>
      </c>
      <c r="P35" s="30">
        <f>'27'!P36</f>
        <v>1.3508333333333333</v>
      </c>
      <c r="Q35" s="33">
        <f>'27'!Q36</f>
        <v>6.9983333333333322</v>
      </c>
      <c r="R35" s="47"/>
      <c r="S35" s="47"/>
      <c r="T35" s="47"/>
      <c r="U35" s="47"/>
    </row>
    <row r="36" spans="1:21" s="34" customFormat="1" ht="15">
      <c r="A36" s="36" t="str">
        <f>'28'!$B$2</f>
        <v>28-10-2023 01:00</v>
      </c>
      <c r="B36" s="33">
        <f>'28'!B36</f>
        <v>29.00181818181818</v>
      </c>
      <c r="C36" s="33">
        <f>'28'!C36</f>
        <v>36.218636363636364</v>
      </c>
      <c r="D36" s="33">
        <f>'28'!D36</f>
        <v>44.014999999999993</v>
      </c>
      <c r="E36" s="33">
        <f>'28'!E36</f>
        <v>1.3781818181818184</v>
      </c>
      <c r="F36" s="33">
        <f>'28'!F36</f>
        <v>5.9656521739130426</v>
      </c>
      <c r="G36" s="33">
        <f>'28'!G36</f>
        <v>126.46869565217392</v>
      </c>
      <c r="H36" s="33">
        <f>'28'!H36</f>
        <v>58.940434782608712</v>
      </c>
      <c r="I36" s="33">
        <f>'28'!I36</f>
        <v>1.5413043478260871</v>
      </c>
      <c r="J36" s="33">
        <f>'28'!J36</f>
        <v>0.3721739130434783</v>
      </c>
      <c r="K36" s="33">
        <f>'28'!K36</f>
        <v>262.44304347826085</v>
      </c>
      <c r="L36" s="33">
        <f>'28'!L36</f>
        <v>22.516521739130436</v>
      </c>
      <c r="M36" s="33">
        <f>'28'!M36</f>
        <v>61.821304347826079</v>
      </c>
      <c r="N36" s="33">
        <f>'28'!N36</f>
        <v>221.40869565217395</v>
      </c>
      <c r="O36" s="33">
        <f>'28'!O36</f>
        <v>0</v>
      </c>
      <c r="P36" s="30">
        <f>'28'!P36</f>
        <v>1.1582608695652175</v>
      </c>
      <c r="Q36" s="33">
        <f>'28'!Q36</f>
        <v>7.0827272727272721</v>
      </c>
      <c r="R36" s="47"/>
      <c r="S36" s="47"/>
      <c r="T36" s="47"/>
      <c r="U36" s="47"/>
    </row>
    <row r="37" spans="1:21" s="34" customFormat="1" ht="15">
      <c r="A37" s="36" t="str">
        <f>'29'!$B$2</f>
        <v>29-10-2023 01:00</v>
      </c>
      <c r="B37" s="33">
        <f>'29'!B36</f>
        <v>18.827083333333334</v>
      </c>
      <c r="C37" s="33">
        <f>'29'!C36</f>
        <v>34.776249999999997</v>
      </c>
      <c r="D37" s="33">
        <f>'29'!D36</f>
        <v>35.009999999999998</v>
      </c>
      <c r="E37" s="33">
        <f>'29'!E36</f>
        <v>2.3083333333333331</v>
      </c>
      <c r="F37" s="33">
        <f>'29'!F36</f>
        <v>4.6533333333333342</v>
      </c>
      <c r="G37" s="33">
        <f>'29'!G36</f>
        <v>150.63750000000002</v>
      </c>
      <c r="H37" s="33">
        <f>'29'!H36</f>
        <v>71.846666666666678</v>
      </c>
      <c r="I37" s="33">
        <f>'29'!I36</f>
        <v>1.5287499999999998</v>
      </c>
      <c r="J37" s="33">
        <f>'29'!J36</f>
        <v>0.51500000000000001</v>
      </c>
      <c r="K37" s="33">
        <f>'29'!K36</f>
        <v>266.81624999999997</v>
      </c>
      <c r="L37" s="33">
        <f>'29'!L36</f>
        <v>22.307916666666671</v>
      </c>
      <c r="M37" s="33">
        <f>'29'!M36</f>
        <v>63.56124999999998</v>
      </c>
      <c r="N37" s="33">
        <f>'29'!N36</f>
        <v>205.58333333333334</v>
      </c>
      <c r="O37" s="33">
        <f>'29'!O36</f>
        <v>0</v>
      </c>
      <c r="P37" s="33">
        <f>'29'!P36</f>
        <v>1.14625</v>
      </c>
      <c r="Q37" s="33">
        <f>'29'!Q36</f>
        <v>5.9220833333333331</v>
      </c>
      <c r="R37" s="47"/>
      <c r="S37" s="47"/>
      <c r="T37" s="47"/>
      <c r="U37" s="47"/>
    </row>
    <row r="38" spans="1:21" s="34" customFormat="1" ht="15">
      <c r="A38" s="36" t="str">
        <f>'30'!$B$2</f>
        <v>30-10-2023 01:00</v>
      </c>
      <c r="B38" s="33">
        <f>'30'!B36</f>
        <v>27.266666666666669</v>
      </c>
      <c r="C38" s="33">
        <f>'30'!C36</f>
        <v>41.564583333333331</v>
      </c>
      <c r="D38" s="33">
        <f>'30'!D36</f>
        <v>45.56333333333334</v>
      </c>
      <c r="E38" s="33">
        <f>'30'!E36</f>
        <v>3.8516666666666666</v>
      </c>
      <c r="F38" s="33">
        <f>'30'!F36</f>
        <v>10.304583333333333</v>
      </c>
      <c r="G38" s="33">
        <f>'30'!G36</f>
        <v>147.53124999999997</v>
      </c>
      <c r="H38" s="33">
        <f>'30'!H36</f>
        <v>82.071666666666687</v>
      </c>
      <c r="I38" s="33">
        <f>'30'!I36</f>
        <v>1.53125</v>
      </c>
      <c r="J38" s="33">
        <f>'30'!J36</f>
        <v>0.48958333333333331</v>
      </c>
      <c r="K38" s="33">
        <f>'30'!K36</f>
        <v>206.96541666666664</v>
      </c>
      <c r="L38" s="33">
        <f>'30'!L36</f>
        <v>22.656249999999996</v>
      </c>
      <c r="M38" s="33">
        <f>'30'!M36</f>
        <v>63.562083333333341</v>
      </c>
      <c r="N38" s="33">
        <f>'30'!N36</f>
        <v>27.194117647058825</v>
      </c>
      <c r="O38" s="33">
        <f>'30'!O36</f>
        <v>0</v>
      </c>
      <c r="P38" s="33">
        <f>'30'!P36</f>
        <v>1.3987499999999999</v>
      </c>
      <c r="Q38" s="33">
        <f>'30'!Q36</f>
        <v>6.6275000000000013</v>
      </c>
      <c r="R38" s="47"/>
      <c r="S38" s="47"/>
      <c r="T38" s="47"/>
      <c r="U38" s="47"/>
    </row>
    <row r="39" spans="1:21" s="34" customFormat="1" ht="15">
      <c r="A39" s="36" t="str">
        <f>'31'!$B$2</f>
        <v>31-10-2023 01:00</v>
      </c>
      <c r="B39" s="33">
        <f>'31'!B37</f>
        <v>3.3359341031530718</v>
      </c>
      <c r="C39" s="33">
        <f>'31'!C37</f>
        <v>5.3568782819414533</v>
      </c>
      <c r="D39" s="33">
        <f>'31'!D37</f>
        <v>4.3839109665136675</v>
      </c>
      <c r="E39" s="33">
        <f>'31'!E37</f>
        <v>0.36169062566736676</v>
      </c>
      <c r="F39" s="33">
        <f>'31'!F37</f>
        <v>7.015120199472241</v>
      </c>
      <c r="G39" s="33">
        <f>'31'!G37</f>
        <v>42.358054381835075</v>
      </c>
      <c r="H39" s="33">
        <f>'31'!H37</f>
        <v>17.953046605730577</v>
      </c>
      <c r="I39" s="33">
        <f>'31'!I37</f>
        <v>0.016891598117304424</v>
      </c>
      <c r="J39" s="33">
        <f>'31'!J37</f>
        <v>0.58237892938473013</v>
      </c>
      <c r="K39" s="33">
        <f>'31'!K37</f>
        <v>104.31464689005618</v>
      </c>
      <c r="L39" s="33">
        <f>'31'!L37</f>
        <v>3.3446764699154365</v>
      </c>
      <c r="M39" s="33">
        <f>'31'!M37</f>
        <v>15.318167903988476</v>
      </c>
      <c r="N39" s="33">
        <f>'31'!N37</f>
        <v>250.65176833086826</v>
      </c>
      <c r="O39" s="33">
        <f>'31'!O37</f>
        <v>0</v>
      </c>
      <c r="P39" s="33">
        <f>'31'!P37</f>
        <v>0.21147343684906025</v>
      </c>
      <c r="Q39" s="33">
        <f>'31'!Q37</f>
        <v>0.37894949187366245</v>
      </c>
      <c r="R39" s="47"/>
      <c r="S39" s="47"/>
      <c r="T39" s="47"/>
      <c r="U39" s="47"/>
    </row>
    <row r="40" spans="2:21" ht="1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9"/>
    </row>
    <row r="41" spans="1:21" s="21" customFormat="1" ht="15">
      <c r="A41" s="14" t="s">
        <v>30</v>
      </c>
      <c r="B41" s="15">
        <f t="shared" si="0" ref="B41:Q41">MIN(B9:B38)</f>
        <v>5.2408333333333337</v>
      </c>
      <c r="C41" s="15">
        <f t="shared" si="0"/>
        <v>12.554166666666669</v>
      </c>
      <c r="D41" s="15">
        <f t="shared" si="0"/>
        <v>14.461250000000001</v>
      </c>
      <c r="E41" s="15">
        <f t="shared" si="0"/>
        <v>0.45791666666666669</v>
      </c>
      <c r="F41" s="15">
        <f t="shared" si="0"/>
        <v>0.82874999999999999</v>
      </c>
      <c r="G41" s="15">
        <f t="shared" si="0"/>
        <v>46.441666666666663</v>
      </c>
      <c r="H41" s="15">
        <f t="shared" si="0"/>
        <v>2.4199999999999999</v>
      </c>
      <c r="I41" s="15">
        <f t="shared" si="0"/>
        <v>1.5270833333333336</v>
      </c>
      <c r="J41" s="15">
        <f t="shared" si="0"/>
        <v>0.34250000000000003</v>
      </c>
      <c r="K41" s="15">
        <f t="shared" si="0"/>
        <v>206.96541666666664</v>
      </c>
      <c r="L41" s="15">
        <f t="shared" si="0"/>
        <v>22.307916666666671</v>
      </c>
      <c r="M41" s="15">
        <f t="shared" si="0"/>
        <v>56.619583333333331</v>
      </c>
      <c r="N41" s="15">
        <f t="shared" si="0"/>
        <v>27.194117647058825</v>
      </c>
      <c r="O41" s="15">
        <f t="shared" si="0"/>
        <v>0</v>
      </c>
      <c r="P41" s="15">
        <f t="shared" si="0"/>
        <v>0.68874999999999986</v>
      </c>
      <c r="Q41" s="15">
        <f t="shared" si="0"/>
        <v>4.9412499999999993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43.135833333333331</v>
      </c>
      <c r="C42" s="15">
        <f t="shared" si="1"/>
        <v>46.562916666666666</v>
      </c>
      <c r="D42" s="15">
        <f t="shared" si="1"/>
        <v>59.066666666666663</v>
      </c>
      <c r="E42" s="15">
        <f t="shared" si="1"/>
        <v>3.8516666666666666</v>
      </c>
      <c r="F42" s="15">
        <f t="shared" si="1"/>
        <v>13.106666666666669</v>
      </c>
      <c r="G42" s="15">
        <f t="shared" si="1"/>
        <v>154.35833333333332</v>
      </c>
      <c r="H42" s="15">
        <f t="shared" si="1"/>
        <v>82.071666666666687</v>
      </c>
      <c r="I42" s="15">
        <f t="shared" si="1"/>
        <v>1.5570833333333329</v>
      </c>
      <c r="J42" s="15">
        <f t="shared" si="1"/>
        <v>1.1341666666666665</v>
      </c>
      <c r="K42" s="15">
        <f t="shared" si="1"/>
        <v>335.33791666666673</v>
      </c>
      <c r="L42" s="15">
        <f t="shared" si="1"/>
        <v>28.356250000000003</v>
      </c>
      <c r="M42" s="15">
        <f t="shared" si="1"/>
        <v>87.079583333333332</v>
      </c>
      <c r="N42" s="15">
        <f t="shared" si="1"/>
        <v>324.61292568494423</v>
      </c>
      <c r="O42" s="15">
        <f t="shared" si="1"/>
        <v>0</v>
      </c>
      <c r="P42" s="15">
        <f t="shared" si="1"/>
        <v>1.6095833333333329</v>
      </c>
      <c r="Q42" s="15">
        <f t="shared" si="1"/>
        <v>288.80458333333331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19.923839591567852</v>
      </c>
      <c r="C43" s="15">
        <f t="shared" si="2"/>
        <v>28.657644158981114</v>
      </c>
      <c r="D43" s="15">
        <f t="shared" si="2"/>
        <v>32.405777777777779</v>
      </c>
      <c r="E43" s="15">
        <f t="shared" si="2"/>
        <v>1.6504511821336258</v>
      </c>
      <c r="F43" s="15">
        <f t="shared" si="2"/>
        <v>5.2471467391304341</v>
      </c>
      <c r="G43" s="15">
        <f t="shared" si="2"/>
        <v>105.68221323391096</v>
      </c>
      <c r="H43" s="15">
        <f t="shared" si="2"/>
        <v>42.514739555410266</v>
      </c>
      <c r="I43" s="15">
        <f t="shared" si="2"/>
        <v>1.5422240338164253</v>
      </c>
      <c r="J43" s="15">
        <f t="shared" si="2"/>
        <v>0.53335024154589383</v>
      </c>
      <c r="K43" s="15">
        <f t="shared" si="2"/>
        <v>285.51076811594208</v>
      </c>
      <c r="L43" s="15">
        <f t="shared" si="2"/>
        <v>25.430189613526572</v>
      </c>
      <c r="M43" s="15">
        <f t="shared" si="2"/>
        <v>67.947265700483086</v>
      </c>
      <c r="N43" s="15">
        <f t="shared" si="2"/>
        <v>223.10402830331745</v>
      </c>
      <c r="O43" s="15">
        <f t="shared" si="2"/>
        <v>0</v>
      </c>
      <c r="P43" s="15">
        <f t="shared" si="2"/>
        <v>1.091580917874396</v>
      </c>
      <c r="Q43" s="15">
        <f t="shared" si="2"/>
        <v>34.203921612083576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10.538896828354332</v>
      </c>
      <c r="C44" s="15">
        <f t="shared" si="3"/>
        <v>9.4964440665461325</v>
      </c>
      <c r="D44" s="15">
        <f t="shared" si="3"/>
        <v>12.618363914357491</v>
      </c>
      <c r="E44" s="15">
        <f t="shared" si="3"/>
        <v>0.74923355206205333</v>
      </c>
      <c r="F44" s="15">
        <f t="shared" si="3"/>
        <v>4.1097537081621409</v>
      </c>
      <c r="G44" s="15">
        <f t="shared" si="3"/>
        <v>33.187952744595982</v>
      </c>
      <c r="H44" s="15">
        <f t="shared" si="3"/>
        <v>21.636977593445646</v>
      </c>
      <c r="I44" s="15">
        <f t="shared" si="3"/>
        <v>0.0075612419859970173</v>
      </c>
      <c r="J44" s="15">
        <f t="shared" si="3"/>
        <v>0.15929285665766674</v>
      </c>
      <c r="K44" s="15">
        <f t="shared" si="3"/>
        <v>27.747467131949247</v>
      </c>
      <c r="L44" s="15">
        <f t="shared" si="3"/>
        <v>1.806495649598342</v>
      </c>
      <c r="M44" s="15">
        <f t="shared" si="3"/>
        <v>7.7501321364206239</v>
      </c>
      <c r="N44" s="15">
        <f t="shared" si="3"/>
        <v>50.790161217361948</v>
      </c>
      <c r="O44" s="15">
        <f t="shared" si="3"/>
        <v>0</v>
      </c>
      <c r="P44" s="15">
        <f t="shared" si="3"/>
        <v>0.23828551670853007</v>
      </c>
      <c r="Q44" s="15">
        <f t="shared" si="3"/>
        <v>73.173012532635184</v>
      </c>
      <c r="R44" s="28"/>
      <c r="S44" s="28"/>
      <c r="T44" s="28"/>
      <c r="U44" s="28"/>
    </row>
    <row r="45" spans="1:21" s="21" customFormat="1" ht="15">
      <c r="A45" s="14" t="s">
        <v>33</v>
      </c>
      <c r="B45" s="12">
        <f>COUNT(B9:B39)</f>
        <v>31</v>
      </c>
      <c r="C45" s="12">
        <f t="shared" si="4" ref="C45:Q45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60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2023-11-04T11:23:32Z</dcterms:modified>
  <cp:category/>
</cp:coreProperties>
</file>