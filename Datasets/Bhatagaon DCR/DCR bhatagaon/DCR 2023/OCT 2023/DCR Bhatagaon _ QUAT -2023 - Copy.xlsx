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10" activeTab="32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4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44525"/>
</workbook>
</file>

<file path=xl/calcChain.xml><?xml version="1.0" encoding="utf-8"?>
<calcChain xmlns="http://schemas.openxmlformats.org/spreadsheetml/2006/main">
  <c r="I110" i="44" l="1"/>
  <c r="I110" i="41"/>
  <c r="N110" i="41"/>
  <c r="N111" i="41" s="1"/>
  <c r="I110" i="40"/>
  <c r="Q110" i="33"/>
  <c r="Q111" i="33" s="1"/>
  <c r="L110" i="33"/>
  <c r="M110" i="33"/>
  <c r="M112" i="33"/>
  <c r="N110" i="33"/>
  <c r="O110" i="33"/>
  <c r="P110" i="33"/>
  <c r="K110" i="33"/>
  <c r="K112" i="33" s="1"/>
  <c r="J110" i="33"/>
  <c r="J112" i="33"/>
  <c r="I110" i="33"/>
  <c r="I111" i="33" s="1"/>
  <c r="H110" i="33"/>
  <c r="H112" i="33"/>
  <c r="G110" i="33"/>
  <c r="G112" i="33" s="1"/>
  <c r="F110" i="33"/>
  <c r="F112" i="33"/>
  <c r="E110" i="33"/>
  <c r="E112" i="33" s="1"/>
  <c r="D110" i="33"/>
  <c r="C110" i="33"/>
  <c r="C112" i="33"/>
  <c r="B110" i="33"/>
  <c r="B112" i="33" s="1"/>
  <c r="I110" i="32"/>
  <c r="P110" i="32"/>
  <c r="P112" i="32" s="1"/>
  <c r="F110" i="32"/>
  <c r="F111" i="32"/>
  <c r="Q110" i="31"/>
  <c r="G110" i="31"/>
  <c r="H110" i="31"/>
  <c r="H112" i="31"/>
  <c r="I110" i="31"/>
  <c r="I110" i="30"/>
  <c r="I111" i="30" s="1"/>
  <c r="P110" i="30"/>
  <c r="P112" i="30"/>
  <c r="P110" i="29"/>
  <c r="P112" i="29" s="1"/>
  <c r="J110" i="29"/>
  <c r="J111" i="29"/>
  <c r="H110" i="29"/>
  <c r="G110" i="29"/>
  <c r="G112" i="29" s="1"/>
  <c r="E110" i="29"/>
  <c r="E112" i="29" s="1"/>
  <c r="C110" i="29"/>
  <c r="D110" i="29"/>
  <c r="B110" i="29"/>
  <c r="B112" i="29" s="1"/>
  <c r="J110" i="28"/>
  <c r="I110" i="27"/>
  <c r="Q110" i="26"/>
  <c r="C110" i="26"/>
  <c r="D110" i="26"/>
  <c r="D112" i="26"/>
  <c r="E110" i="26"/>
  <c r="F110" i="26"/>
  <c r="G110" i="26"/>
  <c r="G112" i="26" s="1"/>
  <c r="H110" i="26"/>
  <c r="H111" i="26" s="1"/>
  <c r="I110" i="26"/>
  <c r="I112" i="26"/>
  <c r="J110" i="26"/>
  <c r="K110" i="26"/>
  <c r="L110" i="26"/>
  <c r="M110" i="26"/>
  <c r="N110" i="26"/>
  <c r="O110" i="26"/>
  <c r="P110" i="26"/>
  <c r="B110" i="26"/>
  <c r="B111" i="26"/>
  <c r="C110" i="25"/>
  <c r="D110" i="25"/>
  <c r="E110" i="25"/>
  <c r="F110" i="25"/>
  <c r="G110" i="25"/>
  <c r="H110" i="25"/>
  <c r="H111" i="25"/>
  <c r="I110" i="25"/>
  <c r="J110" i="25"/>
  <c r="K110" i="25"/>
  <c r="L110" i="25"/>
  <c r="M110" i="25"/>
  <c r="M112" i="25" s="1"/>
  <c r="N110" i="25"/>
  <c r="O110" i="25"/>
  <c r="P110" i="25"/>
  <c r="P111" i="25" s="1"/>
  <c r="Q110" i="25"/>
  <c r="Q111" i="25" s="1"/>
  <c r="B110" i="25"/>
  <c r="B111" i="25" s="1"/>
  <c r="Q110" i="24"/>
  <c r="Q111" i="24" s="1"/>
  <c r="Q110" i="23"/>
  <c r="Q111" i="23" s="1"/>
  <c r="H110" i="23"/>
  <c r="H112" i="23" s="1"/>
  <c r="G110" i="23"/>
  <c r="G111" i="23" s="1"/>
  <c r="H110" i="22"/>
  <c r="H112" i="22"/>
  <c r="G110" i="22"/>
  <c r="G111" i="22" s="1"/>
  <c r="H110" i="21"/>
  <c r="H111" i="21" s="1"/>
  <c r="G110" i="21"/>
  <c r="G111" i="21" s="1"/>
  <c r="E110" i="20"/>
  <c r="E111" i="20" s="1"/>
  <c r="H110" i="20"/>
  <c r="G110" i="20"/>
  <c r="G111" i="20" s="1"/>
  <c r="Q110" i="19"/>
  <c r="Q111" i="19"/>
  <c r="H110" i="19"/>
  <c r="H112" i="19" s="1"/>
  <c r="G110" i="19"/>
  <c r="G112" i="19"/>
  <c r="E110" i="18"/>
  <c r="E111" i="18" s="1"/>
  <c r="J110" i="18"/>
  <c r="J112" i="18"/>
  <c r="N110" i="18"/>
  <c r="N111" i="18" s="1"/>
  <c r="Q110" i="18"/>
  <c r="Q112" i="18"/>
  <c r="I110" i="18"/>
  <c r="I111" i="18" s="1"/>
  <c r="H110" i="18"/>
  <c r="G110" i="18"/>
  <c r="G111" i="18" s="1"/>
  <c r="E110" i="8"/>
  <c r="E111" i="8"/>
  <c r="C110" i="8"/>
  <c r="D110" i="8"/>
  <c r="B110" i="8"/>
  <c r="B111" i="8" s="1"/>
  <c r="Q110" i="17"/>
  <c r="Q112" i="17" s="1"/>
  <c r="Q110" i="16"/>
  <c r="H110" i="16"/>
  <c r="G110" i="16"/>
  <c r="G111" i="16" s="1"/>
  <c r="H110" i="15"/>
  <c r="H111" i="15"/>
  <c r="G110" i="15"/>
  <c r="G111" i="15" s="1"/>
  <c r="N110" i="15"/>
  <c r="N112" i="15"/>
  <c r="Q110" i="15"/>
  <c r="Q112" i="15" s="1"/>
  <c r="Q110" i="14"/>
  <c r="I110" i="14"/>
  <c r="N110" i="14"/>
  <c r="N112" i="14" s="1"/>
  <c r="I110" i="13"/>
  <c r="H110" i="12"/>
  <c r="H111" i="12"/>
  <c r="G110" i="12"/>
  <c r="G112" i="12" s="1"/>
  <c r="I110" i="12"/>
  <c r="F110" i="12"/>
  <c r="C110" i="11"/>
  <c r="D110" i="11"/>
  <c r="D112" i="11" s="1"/>
  <c r="B110" i="11"/>
  <c r="B111" i="11" s="1"/>
  <c r="I110" i="11"/>
  <c r="H110" i="11"/>
  <c r="H110" i="8"/>
  <c r="H111" i="8" s="1"/>
  <c r="G110" i="8"/>
  <c r="G112" i="8" s="1"/>
  <c r="Q110" i="8"/>
  <c r="Q111" i="8" s="1"/>
  <c r="F110" i="8"/>
  <c r="I110" i="8"/>
  <c r="I111" i="8"/>
  <c r="J110" i="8"/>
  <c r="J111" i="8" s="1"/>
  <c r="K110" i="8"/>
  <c r="L110" i="8"/>
  <c r="M110" i="8"/>
  <c r="N110" i="8"/>
  <c r="O110" i="8"/>
  <c r="O112" i="8"/>
  <c r="P110" i="8"/>
  <c r="I110" i="3"/>
  <c r="I111" i="3" s="1"/>
  <c r="Q110" i="3"/>
  <c r="Q112" i="3" s="1"/>
  <c r="I110" i="2"/>
  <c r="Q110" i="44"/>
  <c r="Q112" i="44"/>
  <c r="P110" i="44"/>
  <c r="P112" i="44" s="1"/>
  <c r="O110" i="44"/>
  <c r="O112" i="44"/>
  <c r="N110" i="44"/>
  <c r="N112" i="44"/>
  <c r="M110" i="44"/>
  <c r="M112" i="44"/>
  <c r="L110" i="44"/>
  <c r="L112" i="44" s="1"/>
  <c r="K110" i="44"/>
  <c r="K111" i="44"/>
  <c r="J110" i="44"/>
  <c r="J112" i="44" s="1"/>
  <c r="I112" i="44"/>
  <c r="H110" i="44"/>
  <c r="H112" i="44" s="1"/>
  <c r="G110" i="44"/>
  <c r="G112" i="44"/>
  <c r="F110" i="44"/>
  <c r="F112" i="44" s="1"/>
  <c r="E110" i="44"/>
  <c r="E112" i="44" s="1"/>
  <c r="D110" i="44"/>
  <c r="D112" i="44" s="1"/>
  <c r="C110" i="44"/>
  <c r="C111" i="44"/>
  <c r="B110" i="44"/>
  <c r="B112" i="44" s="1"/>
  <c r="Q109" i="44"/>
  <c r="Q39" i="39" s="1"/>
  <c r="P109" i="44"/>
  <c r="P39" i="39" s="1"/>
  <c r="O109" i="44"/>
  <c r="O39" i="39" s="1"/>
  <c r="N109" i="44"/>
  <c r="N39" i="39" s="1"/>
  <c r="M109" i="44"/>
  <c r="M39" i="39" s="1"/>
  <c r="L109" i="44"/>
  <c r="L39" i="39" s="1"/>
  <c r="K109" i="44"/>
  <c r="K39" i="39" s="1"/>
  <c r="J109" i="44"/>
  <c r="J39" i="39" s="1"/>
  <c r="I109" i="44"/>
  <c r="I39" i="39" s="1"/>
  <c r="H109" i="44"/>
  <c r="H39" i="39" s="1"/>
  <c r="G109" i="44"/>
  <c r="G39" i="39" s="1"/>
  <c r="F109" i="44"/>
  <c r="F39" i="39" s="1"/>
  <c r="E109" i="44"/>
  <c r="E39" i="39"/>
  <c r="D109" i="44"/>
  <c r="D39" i="39" s="1"/>
  <c r="C109" i="44"/>
  <c r="C39" i="39" s="1"/>
  <c r="B109" i="44"/>
  <c r="B39" i="39" s="1"/>
  <c r="Q108" i="44"/>
  <c r="P108" i="44"/>
  <c r="O108" i="44"/>
  <c r="N108" i="44"/>
  <c r="M108" i="44"/>
  <c r="L108" i="44"/>
  <c r="K108" i="44"/>
  <c r="J108" i="44"/>
  <c r="I108" i="44"/>
  <c r="H108" i="44"/>
  <c r="G108" i="44"/>
  <c r="F108" i="44"/>
  <c r="E108" i="44"/>
  <c r="D108" i="44"/>
  <c r="C108" i="44"/>
  <c r="B108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9" i="39" s="1"/>
  <c r="I111" i="41"/>
  <c r="J110" i="41"/>
  <c r="J112" i="41"/>
  <c r="H110" i="41"/>
  <c r="H112" i="41"/>
  <c r="J110" i="40"/>
  <c r="J111" i="40" s="1"/>
  <c r="H110" i="40"/>
  <c r="H111" i="40"/>
  <c r="I111" i="40"/>
  <c r="J110" i="32"/>
  <c r="J111" i="32" s="1"/>
  <c r="I112" i="32"/>
  <c r="H110" i="32"/>
  <c r="H111" i="32"/>
  <c r="I111" i="31"/>
  <c r="J110" i="31"/>
  <c r="J111" i="31" s="1"/>
  <c r="G112" i="31"/>
  <c r="J110" i="30"/>
  <c r="J112" i="30"/>
  <c r="H110" i="30"/>
  <c r="H112" i="30" s="1"/>
  <c r="I110" i="29"/>
  <c r="I112" i="29"/>
  <c r="H112" i="29"/>
  <c r="J112" i="28"/>
  <c r="I110" i="28"/>
  <c r="I112" i="28"/>
  <c r="H110" i="28"/>
  <c r="H111" i="28"/>
  <c r="I112" i="27"/>
  <c r="C110" i="27"/>
  <c r="C111" i="27" s="1"/>
  <c r="D110" i="27"/>
  <c r="D111" i="27" s="1"/>
  <c r="E110" i="27"/>
  <c r="F110" i="27"/>
  <c r="F112" i="27" s="1"/>
  <c r="G110" i="27"/>
  <c r="G111" i="27"/>
  <c r="H110" i="27"/>
  <c r="J110" i="27"/>
  <c r="K110" i="27"/>
  <c r="L110" i="27"/>
  <c r="M110" i="27"/>
  <c r="N110" i="27"/>
  <c r="N112" i="27" s="1"/>
  <c r="O110" i="27"/>
  <c r="O112" i="27" s="1"/>
  <c r="P110" i="27"/>
  <c r="Q110" i="27"/>
  <c r="Q111" i="26"/>
  <c r="J111" i="26"/>
  <c r="F112" i="26"/>
  <c r="E112" i="26"/>
  <c r="C112" i="26"/>
  <c r="O111" i="25"/>
  <c r="N111" i="25"/>
  <c r="L112" i="25"/>
  <c r="K111" i="25"/>
  <c r="J112" i="25"/>
  <c r="I111" i="25"/>
  <c r="G111" i="25"/>
  <c r="F112" i="25"/>
  <c r="E111" i="25"/>
  <c r="D112" i="25"/>
  <c r="C111" i="25"/>
  <c r="J110" i="24"/>
  <c r="J111" i="24" s="1"/>
  <c r="I110" i="24"/>
  <c r="I112" i="24"/>
  <c r="H110" i="24"/>
  <c r="H111" i="24" s="1"/>
  <c r="J110" i="23"/>
  <c r="J112" i="23" s="1"/>
  <c r="I110" i="23"/>
  <c r="I111" i="23" s="1"/>
  <c r="J110" i="22"/>
  <c r="J112" i="22" s="1"/>
  <c r="I110" i="22"/>
  <c r="I112" i="22" s="1"/>
  <c r="J110" i="21"/>
  <c r="J111" i="21" s="1"/>
  <c r="I110" i="21"/>
  <c r="I111" i="21" s="1"/>
  <c r="H112" i="20"/>
  <c r="I110" i="20"/>
  <c r="I111" i="20"/>
  <c r="J110" i="20"/>
  <c r="J111" i="20"/>
  <c r="J110" i="19"/>
  <c r="J111" i="19"/>
  <c r="I110" i="19"/>
  <c r="I111" i="19"/>
  <c r="J110" i="17"/>
  <c r="J112" i="17"/>
  <c r="I110" i="17"/>
  <c r="I111" i="17"/>
  <c r="H110" i="17"/>
  <c r="H112" i="17"/>
  <c r="H111" i="16"/>
  <c r="I110" i="16"/>
  <c r="I111" i="16"/>
  <c r="J110" i="16"/>
  <c r="J112" i="16" s="1"/>
  <c r="I110" i="15"/>
  <c r="I112" i="15" s="1"/>
  <c r="J110" i="15"/>
  <c r="J112" i="15" s="1"/>
  <c r="Q111" i="14"/>
  <c r="J110" i="14"/>
  <c r="J111" i="14"/>
  <c r="I111" i="14"/>
  <c r="H110" i="14"/>
  <c r="H111" i="14" s="1"/>
  <c r="C112" i="11"/>
  <c r="J110" i="13"/>
  <c r="J112" i="13"/>
  <c r="H110" i="13"/>
  <c r="H112" i="13"/>
  <c r="I111" i="13"/>
  <c r="F111" i="12"/>
  <c r="J110" i="12"/>
  <c r="J111" i="12"/>
  <c r="I111" i="12"/>
  <c r="J110" i="11"/>
  <c r="J111" i="11" s="1"/>
  <c r="I111" i="11"/>
  <c r="H111" i="11"/>
  <c r="G110" i="11"/>
  <c r="G112" i="11" s="1"/>
  <c r="J110" i="10"/>
  <c r="J112" i="10" s="1"/>
  <c r="I110" i="10"/>
  <c r="I112" i="10" s="1"/>
  <c r="H110" i="10"/>
  <c r="H112" i="10" s="1"/>
  <c r="J110" i="9"/>
  <c r="J112" i="9" s="1"/>
  <c r="I110" i="9"/>
  <c r="I111" i="9" s="1"/>
  <c r="H110" i="9"/>
  <c r="H111" i="9" s="1"/>
  <c r="P112" i="8"/>
  <c r="L112" i="8"/>
  <c r="K111" i="8"/>
  <c r="F111" i="8"/>
  <c r="I111" i="2"/>
  <c r="B2" i="23"/>
  <c r="C110" i="2"/>
  <c r="C111" i="2" s="1"/>
  <c r="D110" i="2"/>
  <c r="E110" i="2"/>
  <c r="E111" i="2"/>
  <c r="F110" i="2"/>
  <c r="F112" i="2"/>
  <c r="G110" i="2"/>
  <c r="G112" i="2"/>
  <c r="H110" i="2"/>
  <c r="J110" i="2"/>
  <c r="K110" i="2"/>
  <c r="K111" i="2"/>
  <c r="L110" i="2"/>
  <c r="L112" i="2"/>
  <c r="M110" i="2"/>
  <c r="M112" i="2"/>
  <c r="N110" i="2"/>
  <c r="N112" i="2"/>
  <c r="O110" i="2"/>
  <c r="P110" i="2"/>
  <c r="P112" i="2" s="1"/>
  <c r="Q110" i="2"/>
  <c r="C110" i="3"/>
  <c r="C111" i="3"/>
  <c r="D110" i="3"/>
  <c r="D111" i="3"/>
  <c r="E110" i="3"/>
  <c r="E111" i="3"/>
  <c r="F110" i="3"/>
  <c r="F111" i="3"/>
  <c r="G110" i="3"/>
  <c r="G112" i="3"/>
  <c r="H110" i="3"/>
  <c r="H112" i="3"/>
  <c r="J110" i="3"/>
  <c r="J111" i="3"/>
  <c r="K110" i="3"/>
  <c r="K111" i="3"/>
  <c r="L110" i="3"/>
  <c r="L111" i="3"/>
  <c r="M110" i="3"/>
  <c r="M112" i="3"/>
  <c r="N110" i="3"/>
  <c r="N111" i="3"/>
  <c r="O110" i="3"/>
  <c r="P110" i="3"/>
  <c r="Q110" i="41"/>
  <c r="Q111" i="41"/>
  <c r="P110" i="41"/>
  <c r="P112" i="41"/>
  <c r="O110" i="41"/>
  <c r="O112" i="41"/>
  <c r="M110" i="41"/>
  <c r="M112" i="41"/>
  <c r="L110" i="41"/>
  <c r="L112" i="41"/>
  <c r="K110" i="41"/>
  <c r="K112" i="41"/>
  <c r="G110" i="41"/>
  <c r="G112" i="41"/>
  <c r="F110" i="41"/>
  <c r="F112" i="41"/>
  <c r="E110" i="41"/>
  <c r="E112" i="41"/>
  <c r="D110" i="41"/>
  <c r="D112" i="41"/>
  <c r="C110" i="41"/>
  <c r="C112" i="41"/>
  <c r="B110" i="41"/>
  <c r="B112" i="4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P108" i="41"/>
  <c r="O108" i="41"/>
  <c r="N108" i="41"/>
  <c r="N38" i="39" s="1"/>
  <c r="M108" i="41"/>
  <c r="L108" i="41"/>
  <c r="K108" i="41"/>
  <c r="J108" i="41"/>
  <c r="I108" i="41"/>
  <c r="I38" i="39" s="1"/>
  <c r="H108" i="41"/>
  <c r="G108" i="41"/>
  <c r="F108" i="41"/>
  <c r="E108" i="41"/>
  <c r="D108" i="41"/>
  <c r="C108" i="41"/>
  <c r="B108" i="41"/>
  <c r="B38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Q110" i="40"/>
  <c r="Q112" i="40" s="1"/>
  <c r="P110" i="40"/>
  <c r="P112" i="40" s="1"/>
  <c r="O110" i="40"/>
  <c r="O112" i="40" s="1"/>
  <c r="N110" i="40"/>
  <c r="N112" i="40" s="1"/>
  <c r="M110" i="40"/>
  <c r="M112" i="40" s="1"/>
  <c r="L110" i="40"/>
  <c r="L112" i="40" s="1"/>
  <c r="K110" i="40"/>
  <c r="K112" i="40" s="1"/>
  <c r="G110" i="40"/>
  <c r="G112" i="40" s="1"/>
  <c r="F110" i="40"/>
  <c r="F112" i="40" s="1"/>
  <c r="E110" i="40"/>
  <c r="E112" i="40" s="1"/>
  <c r="D110" i="40"/>
  <c r="D112" i="40" s="1"/>
  <c r="C110" i="40"/>
  <c r="C112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 s="1"/>
  <c r="O108" i="40"/>
  <c r="N108" i="40"/>
  <c r="M108" i="40"/>
  <c r="L108" i="40"/>
  <c r="K108" i="40"/>
  <c r="J108" i="40"/>
  <c r="I108" i="40"/>
  <c r="H108" i="40"/>
  <c r="H37" i="39"/>
  <c r="G108" i="40"/>
  <c r="G37" i="39"/>
  <c r="F108" i="40"/>
  <c r="F37" i="39"/>
  <c r="E108" i="40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P112" i="33"/>
  <c r="O112" i="33"/>
  <c r="N112" i="33"/>
  <c r="L112" i="33"/>
  <c r="D112" i="33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Q36" i="39" s="1"/>
  <c r="P108" i="33"/>
  <c r="O108" i="33"/>
  <c r="N108" i="33"/>
  <c r="M108" i="33"/>
  <c r="M36" i="39"/>
  <c r="L108" i="33"/>
  <c r="L36" i="39"/>
  <c r="K108" i="33"/>
  <c r="J108" i="33"/>
  <c r="I108" i="33"/>
  <c r="I36" i="39"/>
  <c r="H108" i="33"/>
  <c r="G108" i="33"/>
  <c r="F108" i="33"/>
  <c r="E108" i="33"/>
  <c r="E36" i="39" s="1"/>
  <c r="D108" i="33"/>
  <c r="C108" i="33"/>
  <c r="C36" i="39"/>
  <c r="B108" i="33"/>
  <c r="B36" i="39" s="1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 s="1"/>
  <c r="O110" i="32"/>
  <c r="O112" i="32" s="1"/>
  <c r="N110" i="32"/>
  <c r="N111" i="32" s="1"/>
  <c r="M110" i="32"/>
  <c r="M112" i="32" s="1"/>
  <c r="L110" i="32"/>
  <c r="L112" i="32" s="1"/>
  <c r="K110" i="32"/>
  <c r="K112" i="32" s="1"/>
  <c r="G110" i="32"/>
  <c r="G112" i="32" s="1"/>
  <c r="E110" i="32"/>
  <c r="E111" i="32" s="1"/>
  <c r="D110" i="32"/>
  <c r="D112" i="32" s="1"/>
  <c r="C110" i="32"/>
  <c r="C111" i="32" s="1"/>
  <c r="B110" i="32"/>
  <c r="B111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P108" i="32"/>
  <c r="O108" i="32"/>
  <c r="O35" i="39" s="1"/>
  <c r="N108" i="32"/>
  <c r="M108" i="32"/>
  <c r="L108" i="32"/>
  <c r="K108" i="32"/>
  <c r="J108" i="32"/>
  <c r="J35" i="39" s="1"/>
  <c r="I108" i="32"/>
  <c r="I35" i="39" s="1"/>
  <c r="H108" i="32"/>
  <c r="G108" i="32"/>
  <c r="F108" i="32"/>
  <c r="F35" i="39" s="1"/>
  <c r="E108" i="32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P110" i="31"/>
  <c r="P112" i="31"/>
  <c r="O110" i="31"/>
  <c r="O112" i="31"/>
  <c r="N110" i="31"/>
  <c r="N112" i="31"/>
  <c r="M110" i="31"/>
  <c r="M111" i="31"/>
  <c r="L110" i="31"/>
  <c r="L112" i="31"/>
  <c r="K110" i="31"/>
  <c r="K111" i="31"/>
  <c r="F110" i="31"/>
  <c r="F112" i="31"/>
  <c r="E110" i="31"/>
  <c r="E112" i="31"/>
  <c r="D110" i="31"/>
  <c r="D112" i="31"/>
  <c r="C110" i="31"/>
  <c r="C112" i="31"/>
  <c r="B110" i="31"/>
  <c r="B112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/>
  <c r="P108" i="31"/>
  <c r="P34" i="39"/>
  <c r="O108" i="31"/>
  <c r="O34" i="39"/>
  <c r="N108" i="31"/>
  <c r="N34" i="39"/>
  <c r="M108" i="31"/>
  <c r="L108" i="31"/>
  <c r="K108" i="31"/>
  <c r="J108" i="31"/>
  <c r="I108" i="31"/>
  <c r="H108" i="31"/>
  <c r="G108" i="31"/>
  <c r="F108" i="31"/>
  <c r="E108" i="31"/>
  <c r="D108" i="31"/>
  <c r="D34" i="39" s="1"/>
  <c r="C108" i="31"/>
  <c r="C34" i="39" s="1"/>
  <c r="B108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 s="1"/>
  <c r="O110" i="30"/>
  <c r="O112" i="30" s="1"/>
  <c r="N110" i="30"/>
  <c r="N112" i="30" s="1"/>
  <c r="M110" i="30"/>
  <c r="M112" i="30" s="1"/>
  <c r="L110" i="30"/>
  <c r="L112" i="30" s="1"/>
  <c r="K110" i="30"/>
  <c r="K112" i="30" s="1"/>
  <c r="G110" i="30"/>
  <c r="G111" i="30" s="1"/>
  <c r="F110" i="30"/>
  <c r="F112" i="30" s="1"/>
  <c r="E110" i="30"/>
  <c r="E112" i="30" s="1"/>
  <c r="D110" i="30"/>
  <c r="D112" i="30" s="1"/>
  <c r="C110" i="30"/>
  <c r="C111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L108" i="30"/>
  <c r="K108" i="30"/>
  <c r="K33" i="39" s="1"/>
  <c r="J108" i="30"/>
  <c r="I108" i="30"/>
  <c r="H108" i="30"/>
  <c r="G108" i="30"/>
  <c r="F108" i="30"/>
  <c r="E108" i="30"/>
  <c r="E33" i="39"/>
  <c r="D108" i="30"/>
  <c r="D33" i="39"/>
  <c r="C108" i="30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/>
  <c r="Q110" i="29"/>
  <c r="Q111" i="29"/>
  <c r="O110" i="29"/>
  <c r="O112" i="29"/>
  <c r="N110" i="29"/>
  <c r="N112" i="29"/>
  <c r="M110" i="29"/>
  <c r="M112" i="29"/>
  <c r="L110" i="29"/>
  <c r="L112" i="29"/>
  <c r="K110" i="29"/>
  <c r="K112" i="29"/>
  <c r="F110" i="29"/>
  <c r="F111" i="29"/>
  <c r="D112" i="29"/>
  <c r="C112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M32" i="39" s="1"/>
  <c r="L108" i="29"/>
  <c r="L32" i="39" s="1"/>
  <c r="K108" i="29"/>
  <c r="J108" i="29"/>
  <c r="I108" i="29"/>
  <c r="H108" i="29"/>
  <c r="G108" i="29"/>
  <c r="F108" i="29"/>
  <c r="E108" i="29"/>
  <c r="E32" i="39" s="1"/>
  <c r="D108" i="29"/>
  <c r="D32" i="39" s="1"/>
  <c r="C108" i="29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2" i="28" s="1"/>
  <c r="P110" i="28"/>
  <c r="P111" i="28" s="1"/>
  <c r="O110" i="28"/>
  <c r="O112" i="28" s="1"/>
  <c r="N110" i="28"/>
  <c r="N112" i="28" s="1"/>
  <c r="M110" i="28"/>
  <c r="M112" i="28" s="1"/>
  <c r="L110" i="28"/>
  <c r="L112" i="28" s="1"/>
  <c r="K110" i="28"/>
  <c r="K112" i="28" s="1"/>
  <c r="G110" i="28"/>
  <c r="G112" i="28" s="1"/>
  <c r="F110" i="28"/>
  <c r="F112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O108" i="28"/>
  <c r="O31" i="39" s="1"/>
  <c r="N108" i="28"/>
  <c r="M108" i="28"/>
  <c r="L108" i="28"/>
  <c r="L31" i="39" s="1"/>
  <c r="K108" i="28"/>
  <c r="K31" i="39" s="1"/>
  <c r="J108" i="28"/>
  <c r="I108" i="28"/>
  <c r="H108" i="28"/>
  <c r="H31" i="39" s="1"/>
  <c r="G108" i="28"/>
  <c r="F108" i="28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2" i="27"/>
  <c r="P112" i="27"/>
  <c r="M112" i="27"/>
  <c r="L112" i="27"/>
  <c r="K112" i="27"/>
  <c r="J112" i="27"/>
  <c r="H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/>
  <c r="N108" i="27"/>
  <c r="N30" i="39"/>
  <c r="M108" i="27"/>
  <c r="L108" i="27"/>
  <c r="K108" i="27"/>
  <c r="K30" i="39"/>
  <c r="J108" i="27"/>
  <c r="J30" i="39"/>
  <c r="I108" i="27"/>
  <c r="H108" i="27"/>
  <c r="H30" i="39" s="1"/>
  <c r="G108" i="27"/>
  <c r="G30" i="39" s="1"/>
  <c r="F108" i="27"/>
  <c r="E108" i="27"/>
  <c r="E30" i="39"/>
  <c r="D108" i="27"/>
  <c r="D30" i="39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/>
  <c r="P111" i="26"/>
  <c r="O111" i="26"/>
  <c r="N112" i="26"/>
  <c r="M111" i="26"/>
  <c r="L112" i="26"/>
  <c r="K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 s="1"/>
  <c r="O108" i="26"/>
  <c r="O29" i="39" s="1"/>
  <c r="N108" i="26"/>
  <c r="M108" i="26"/>
  <c r="L108" i="26"/>
  <c r="L29" i="39" s="1"/>
  <c r="K108" i="26"/>
  <c r="J108" i="26"/>
  <c r="J29" i="39"/>
  <c r="I108" i="26"/>
  <c r="H108" i="26"/>
  <c r="G108" i="26"/>
  <c r="F108" i="26"/>
  <c r="F29" i="39" s="1"/>
  <c r="E108" i="26"/>
  <c r="E29" i="39" s="1"/>
  <c r="D108" i="26"/>
  <c r="C108" i="26"/>
  <c r="C29" i="39"/>
  <c r="B108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N108" i="25"/>
  <c r="N28" i="39" s="1"/>
  <c r="M108" i="25"/>
  <c r="L108" i="25"/>
  <c r="K108" i="25"/>
  <c r="K28" i="39" s="1"/>
  <c r="J108" i="25"/>
  <c r="I108" i="25"/>
  <c r="H108" i="25"/>
  <c r="G108" i="25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P110" i="24"/>
  <c r="P112" i="24" s="1"/>
  <c r="O110" i="24"/>
  <c r="O112" i="24" s="1"/>
  <c r="N110" i="24"/>
  <c r="N112" i="24" s="1"/>
  <c r="M110" i="24"/>
  <c r="M112" i="24" s="1"/>
  <c r="L110" i="24"/>
  <c r="L112" i="24" s="1"/>
  <c r="K110" i="24"/>
  <c r="K112" i="24" s="1"/>
  <c r="G110" i="24"/>
  <c r="G112" i="24" s="1"/>
  <c r="F110" i="24"/>
  <c r="F112" i="24" s="1"/>
  <c r="E110" i="24"/>
  <c r="E112" i="24" s="1"/>
  <c r="D110" i="24"/>
  <c r="D112" i="24" s="1"/>
  <c r="C110" i="24"/>
  <c r="C112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O108" i="24"/>
  <c r="N108" i="24"/>
  <c r="N27" i="39" s="1"/>
  <c r="M108" i="24"/>
  <c r="L108" i="24"/>
  <c r="K108" i="24"/>
  <c r="K27" i="39" s="1"/>
  <c r="J108" i="24"/>
  <c r="I108" i="24"/>
  <c r="H108" i="24"/>
  <c r="G108" i="24"/>
  <c r="F108" i="24"/>
  <c r="E108" i="24"/>
  <c r="E27" i="39"/>
  <c r="D108" i="24"/>
  <c r="D27" i="39"/>
  <c r="C108" i="24"/>
  <c r="C27" i="39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P110" i="23"/>
  <c r="P112" i="23" s="1"/>
  <c r="O110" i="23"/>
  <c r="O112" i="23" s="1"/>
  <c r="N110" i="23"/>
  <c r="N112" i="23" s="1"/>
  <c r="M110" i="23"/>
  <c r="M112" i="23" s="1"/>
  <c r="L110" i="23"/>
  <c r="L112" i="23" s="1"/>
  <c r="K110" i="23"/>
  <c r="K112" i="23" s="1"/>
  <c r="F110" i="23"/>
  <c r="F111" i="23" s="1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N108" i="23"/>
  <c r="N26" i="39"/>
  <c r="M108" i="23"/>
  <c r="M26" i="39"/>
  <c r="L108" i="23"/>
  <c r="K108" i="23"/>
  <c r="J108" i="23"/>
  <c r="I108" i="23"/>
  <c r="H108" i="23"/>
  <c r="G108" i="23"/>
  <c r="F108" i="23"/>
  <c r="E108" i="23"/>
  <c r="D108" i="23"/>
  <c r="C108" i="23"/>
  <c r="B108" i="23"/>
  <c r="B26" i="39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/>
  <c r="P110" i="22"/>
  <c r="P112" i="22"/>
  <c r="O110" i="22"/>
  <c r="O111" i="22"/>
  <c r="N110" i="22"/>
  <c r="N112" i="22"/>
  <c r="M110" i="22"/>
  <c r="M112" i="22"/>
  <c r="L110" i="22"/>
  <c r="L111" i="22"/>
  <c r="K110" i="22"/>
  <c r="K112" i="22"/>
  <c r="F110" i="22"/>
  <c r="F111" i="22"/>
  <c r="E110" i="22"/>
  <c r="E112" i="22"/>
  <c r="D110" i="22"/>
  <c r="D112" i="22"/>
  <c r="C110" i="22"/>
  <c r="C112" i="22"/>
  <c r="B110" i="22"/>
  <c r="B112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/>
  <c r="P108" i="22"/>
  <c r="P25" i="39"/>
  <c r="O108" i="22"/>
  <c r="N108" i="22"/>
  <c r="M108" i="22"/>
  <c r="M25" i="39"/>
  <c r="L108" i="22"/>
  <c r="K108" i="22"/>
  <c r="J108" i="22"/>
  <c r="I108" i="22"/>
  <c r="H108" i="22"/>
  <c r="G108" i="22"/>
  <c r="G25" i="39" s="1"/>
  <c r="F108" i="22"/>
  <c r="E108" i="22"/>
  <c r="D108" i="22"/>
  <c r="C108" i="22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1" i="21" s="1"/>
  <c r="O110" i="21"/>
  <c r="O112" i="21" s="1"/>
  <c r="N110" i="21"/>
  <c r="N112" i="21" s="1"/>
  <c r="M110" i="21"/>
  <c r="M112" i="21" s="1"/>
  <c r="L110" i="21"/>
  <c r="L112" i="21" s="1"/>
  <c r="K110" i="21"/>
  <c r="K112" i="21" s="1"/>
  <c r="F110" i="21"/>
  <c r="F112" i="21" s="1"/>
  <c r="E110" i="21"/>
  <c r="E112" i="21" s="1"/>
  <c r="D110" i="21"/>
  <c r="D111" i="21" s="1"/>
  <c r="C110" i="21"/>
  <c r="C112" i="21" s="1"/>
  <c r="B110" i="21"/>
  <c r="B112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G108" i="21"/>
  <c r="F108" i="21"/>
  <c r="E108" i="2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/>
  <c r="P110" i="20"/>
  <c r="P111" i="20"/>
  <c r="O110" i="20"/>
  <c r="O112" i="20"/>
  <c r="N110" i="20"/>
  <c r="N111" i="20"/>
  <c r="M110" i="20"/>
  <c r="M112" i="20"/>
  <c r="L110" i="20"/>
  <c r="L112" i="20"/>
  <c r="K110" i="20"/>
  <c r="K112" i="20"/>
  <c r="F110" i="20"/>
  <c r="F112" i="20"/>
  <c r="D110" i="20"/>
  <c r="D112" i="20"/>
  <c r="C110" i="20"/>
  <c r="C112" i="20"/>
  <c r="B110" i="20"/>
  <c r="B112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K108" i="20"/>
  <c r="J108" i="20"/>
  <c r="J23" i="39" s="1"/>
  <c r="I108" i="20"/>
  <c r="H108" i="20"/>
  <c r="H23" i="39"/>
  <c r="G108" i="20"/>
  <c r="G23" i="39"/>
  <c r="F108" i="20"/>
  <c r="F23" i="39"/>
  <c r="E108" i="20"/>
  <c r="D108" i="20"/>
  <c r="D23" i="39" s="1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 s="1"/>
  <c r="O110" i="19"/>
  <c r="O112" i="19" s="1"/>
  <c r="N110" i="19"/>
  <c r="N112" i="19" s="1"/>
  <c r="M110" i="19"/>
  <c r="M111" i="19" s="1"/>
  <c r="L110" i="19"/>
  <c r="L112" i="19" s="1"/>
  <c r="K110" i="19"/>
  <c r="K111" i="19" s="1"/>
  <c r="F110" i="19"/>
  <c r="F112" i="19" s="1"/>
  <c r="E110" i="19"/>
  <c r="E111" i="19" s="1"/>
  <c r="D110" i="19"/>
  <c r="D112" i="19" s="1"/>
  <c r="C110" i="19"/>
  <c r="C111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/>
  <c r="O108" i="19"/>
  <c r="N108" i="19"/>
  <c r="M108" i="19"/>
  <c r="L108" i="19"/>
  <c r="K108" i="19"/>
  <c r="K22" i="39"/>
  <c r="J108" i="19"/>
  <c r="I108" i="19"/>
  <c r="I22" i="39" s="1"/>
  <c r="H108" i="19"/>
  <c r="G108" i="19"/>
  <c r="F108" i="19"/>
  <c r="F22" i="39" s="1"/>
  <c r="E108" i="19"/>
  <c r="D108" i="19"/>
  <c r="C108" i="19"/>
  <c r="B108" i="19"/>
  <c r="B22" i="3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/>
  <c r="P110" i="18"/>
  <c r="P112" i="18"/>
  <c r="O110" i="18"/>
  <c r="O112" i="18"/>
  <c r="M110" i="18"/>
  <c r="M111" i="18"/>
  <c r="L110" i="18"/>
  <c r="L112" i="18"/>
  <c r="K110" i="18"/>
  <c r="K112" i="18"/>
  <c r="H112" i="18"/>
  <c r="F110" i="18"/>
  <c r="F112" i="18" s="1"/>
  <c r="D110" i="18"/>
  <c r="D112" i="18" s="1"/>
  <c r="C110" i="18"/>
  <c r="C111" i="18" s="1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N108" i="18"/>
  <c r="N21" i="39"/>
  <c r="M108" i="18"/>
  <c r="L108" i="18"/>
  <c r="K108" i="18"/>
  <c r="J108" i="18"/>
  <c r="I108" i="18"/>
  <c r="I21" i="39"/>
  <c r="H108" i="18"/>
  <c r="H21" i="39"/>
  <c r="G108" i="18"/>
  <c r="F108" i="18"/>
  <c r="E108" i="18"/>
  <c r="E21" i="39"/>
  <c r="D108" i="18"/>
  <c r="C108" i="18"/>
  <c r="C21" i="39" s="1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2" i="17" s="1"/>
  <c r="O110" i="17"/>
  <c r="O112" i="17" s="1"/>
  <c r="N110" i="17"/>
  <c r="N111" i="17" s="1"/>
  <c r="M110" i="17"/>
  <c r="M112" i="17" s="1"/>
  <c r="L110" i="17"/>
  <c r="L111" i="17" s="1"/>
  <c r="K110" i="17"/>
  <c r="K111" i="17" s="1"/>
  <c r="G110" i="17"/>
  <c r="G112" i="17" s="1"/>
  <c r="F110" i="17"/>
  <c r="F111" i="17" s="1"/>
  <c r="E110" i="17"/>
  <c r="E111" i="17" s="1"/>
  <c r="D110" i="17"/>
  <c r="D111" i="17" s="1"/>
  <c r="C110" i="17"/>
  <c r="C111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/>
  <c r="N108" i="17"/>
  <c r="N20" i="39"/>
  <c r="M108" i="17"/>
  <c r="L108" i="17"/>
  <c r="K108" i="17"/>
  <c r="K20" i="39"/>
  <c r="J108" i="17"/>
  <c r="J20" i="39"/>
  <c r="I108" i="17"/>
  <c r="I20" i="39"/>
  <c r="H108" i="17"/>
  <c r="H20" i="39"/>
  <c r="G108" i="17"/>
  <c r="G20" i="39"/>
  <c r="F108" i="17"/>
  <c r="E108" i="17"/>
  <c r="E20" i="39" s="1"/>
  <c r="D108" i="17"/>
  <c r="D20" i="39" s="1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Q111" i="16"/>
  <c r="P110" i="16"/>
  <c r="P112" i="16" s="1"/>
  <c r="O110" i="16"/>
  <c r="O112" i="16" s="1"/>
  <c r="N110" i="16"/>
  <c r="N112" i="16" s="1"/>
  <c r="M110" i="16"/>
  <c r="M112" i="16" s="1"/>
  <c r="L110" i="16"/>
  <c r="L112" i="16" s="1"/>
  <c r="K110" i="16"/>
  <c r="K112" i="16" s="1"/>
  <c r="F110" i="16"/>
  <c r="F112" i="16" s="1"/>
  <c r="E110" i="16"/>
  <c r="E112" i="16" s="1"/>
  <c r="D110" i="16"/>
  <c r="D112" i="16" s="1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M108" i="16"/>
  <c r="M19" i="39"/>
  <c r="L108" i="16"/>
  <c r="K108" i="16"/>
  <c r="J108" i="16"/>
  <c r="J19" i="39"/>
  <c r="I108" i="16"/>
  <c r="I19" i="39"/>
  <c r="H108" i="16"/>
  <c r="H19" i="39"/>
  <c r="G108" i="16"/>
  <c r="G19" i="39"/>
  <c r="F108" i="16"/>
  <c r="E108" i="16"/>
  <c r="E19" i="39" s="1"/>
  <c r="D108" i="16"/>
  <c r="D19" i="39" s="1"/>
  <c r="C108" i="16"/>
  <c r="C19" i="39" s="1"/>
  <c r="B108" i="16"/>
  <c r="B19" i="39" s="1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0" i="15"/>
  <c r="P112" i="15" s="1"/>
  <c r="O110" i="15"/>
  <c r="O112" i="15" s="1"/>
  <c r="M110" i="15"/>
  <c r="M112" i="15" s="1"/>
  <c r="L110" i="15"/>
  <c r="L111" i="15" s="1"/>
  <c r="K110" i="15"/>
  <c r="K112" i="15" s="1"/>
  <c r="F110" i="15"/>
  <c r="F112" i="15" s="1"/>
  <c r="E110" i="15"/>
  <c r="E112" i="15" s="1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O108" i="15"/>
  <c r="N108" i="15"/>
  <c r="N18" i="39" s="1"/>
  <c r="M108" i="15"/>
  <c r="L108" i="15"/>
  <c r="K108" i="15"/>
  <c r="K18" i="39" s="1"/>
  <c r="J108" i="15"/>
  <c r="I108" i="15"/>
  <c r="H108" i="15"/>
  <c r="G108" i="15"/>
  <c r="G18" i="39"/>
  <c r="F108" i="15"/>
  <c r="E108" i="15"/>
  <c r="E18" i="39" s="1"/>
  <c r="D108" i="15"/>
  <c r="C108" i="15"/>
  <c r="C18" i="39"/>
  <c r="B108" i="15"/>
  <c r="B18" i="39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/>
  <c r="P110" i="14"/>
  <c r="P112" i="14"/>
  <c r="O110" i="14"/>
  <c r="O111" i="14"/>
  <c r="M110" i="14"/>
  <c r="M112" i="14"/>
  <c r="L110" i="14"/>
  <c r="L112" i="14"/>
  <c r="K110" i="14"/>
  <c r="K112" i="14"/>
  <c r="G110" i="14"/>
  <c r="G112" i="14"/>
  <c r="F110" i="14"/>
  <c r="F111" i="14"/>
  <c r="E110" i="14"/>
  <c r="E112" i="14"/>
  <c r="D110" i="14"/>
  <c r="D112" i="14"/>
  <c r="C110" i="14"/>
  <c r="C112" i="14"/>
  <c r="B110" i="14"/>
  <c r="B111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N108" i="14"/>
  <c r="M108" i="14"/>
  <c r="L108" i="14"/>
  <c r="K108" i="14"/>
  <c r="K17" i="39"/>
  <c r="J108" i="14"/>
  <c r="I108" i="14"/>
  <c r="H108" i="14"/>
  <c r="G108" i="14"/>
  <c r="G17" i="39" s="1"/>
  <c r="F108" i="14"/>
  <c r="F17" i="39" s="1"/>
  <c r="E108" i="14"/>
  <c r="D108" i="14"/>
  <c r="D17" i="39"/>
  <c r="C108" i="14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 s="1"/>
  <c r="P110" i="13"/>
  <c r="P111" i="13" s="1"/>
  <c r="O110" i="13"/>
  <c r="O111" i="13" s="1"/>
  <c r="N110" i="13"/>
  <c r="N112" i="13" s="1"/>
  <c r="M110" i="13"/>
  <c r="M111" i="13" s="1"/>
  <c r="L110" i="13"/>
  <c r="L112" i="13" s="1"/>
  <c r="K110" i="13"/>
  <c r="K112" i="13" s="1"/>
  <c r="G110" i="13"/>
  <c r="G112" i="13" s="1"/>
  <c r="F110" i="13"/>
  <c r="F112" i="13" s="1"/>
  <c r="E110" i="13"/>
  <c r="E112" i="13" s="1"/>
  <c r="D110" i="13"/>
  <c r="D111" i="13" s="1"/>
  <c r="C110" i="13"/>
  <c r="C112" i="13" s="1"/>
  <c r="B110" i="13"/>
  <c r="B111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 s="1"/>
  <c r="N108" i="13"/>
  <c r="M108" i="13"/>
  <c r="L108" i="13"/>
  <c r="K108" i="13"/>
  <c r="J108" i="13"/>
  <c r="I108" i="13"/>
  <c r="H108" i="13"/>
  <c r="H16" i="39" s="1"/>
  <c r="G108" i="13"/>
  <c r="G16" i="39" s="1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/>
  <c r="Q110" i="12"/>
  <c r="Q112" i="12"/>
  <c r="P110" i="12"/>
  <c r="P112" i="12"/>
  <c r="O110" i="12"/>
  <c r="O111" i="12"/>
  <c r="N110" i="12"/>
  <c r="N112" i="12"/>
  <c r="M110" i="12"/>
  <c r="M111" i="12"/>
  <c r="L110" i="12"/>
  <c r="L112" i="12"/>
  <c r="K110" i="12"/>
  <c r="K111" i="12"/>
  <c r="E110" i="12"/>
  <c r="E112" i="12"/>
  <c r="D110" i="12"/>
  <c r="D112" i="12"/>
  <c r="C110" i="12"/>
  <c r="C112" i="12"/>
  <c r="B110" i="12"/>
  <c r="B112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/>
  <c r="P108" i="12"/>
  <c r="O108" i="12"/>
  <c r="O15" i="39" s="1"/>
  <c r="N108" i="12"/>
  <c r="M108" i="12"/>
  <c r="L108" i="12"/>
  <c r="L15" i="39" s="1"/>
  <c r="K108" i="12"/>
  <c r="K15" i="39" s="1"/>
  <c r="J108" i="12"/>
  <c r="I108" i="12"/>
  <c r="I15" i="39"/>
  <c r="H108" i="12"/>
  <c r="G108" i="12"/>
  <c r="F108" i="12"/>
  <c r="E108" i="12"/>
  <c r="E15" i="39" s="1"/>
  <c r="D108" i="12"/>
  <c r="D15" i="39" s="1"/>
  <c r="C108" i="12"/>
  <c r="B108" i="12"/>
  <c r="B15" i="39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/>
  <c r="Q110" i="11"/>
  <c r="Q111" i="11"/>
  <c r="P110" i="11"/>
  <c r="P112" i="11"/>
  <c r="O110" i="11"/>
  <c r="O112" i="11"/>
  <c r="N110" i="11"/>
  <c r="N112" i="11"/>
  <c r="M110" i="11"/>
  <c r="M112" i="11"/>
  <c r="L110" i="11"/>
  <c r="L112" i="11"/>
  <c r="K110" i="11"/>
  <c r="K112" i="11"/>
  <c r="F110" i="11"/>
  <c r="F112" i="11"/>
  <c r="E110" i="11"/>
  <c r="E112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/>
  <c r="P108" i="11"/>
  <c r="P14" i="39"/>
  <c r="O108" i="11"/>
  <c r="O14" i="39"/>
  <c r="N108" i="11"/>
  <c r="N14" i="39"/>
  <c r="M108" i="11"/>
  <c r="M14" i="39"/>
  <c r="L108" i="11"/>
  <c r="K108" i="11"/>
  <c r="K14" i="39" s="1"/>
  <c r="J108" i="11"/>
  <c r="J14" i="39" s="1"/>
  <c r="I108" i="11"/>
  <c r="H108" i="11"/>
  <c r="G108" i="11"/>
  <c r="G14" i="39" s="1"/>
  <c r="F108" i="11"/>
  <c r="E108" i="11"/>
  <c r="D108" i="11"/>
  <c r="C108" i="11"/>
  <c r="C14" i="39"/>
  <c r="B108" i="11"/>
  <c r="B14" i="39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/>
  <c r="Q110" i="10"/>
  <c r="Q112" i="10"/>
  <c r="P110" i="10"/>
  <c r="P112" i="10"/>
  <c r="O110" i="10"/>
  <c r="O111" i="10"/>
  <c r="N110" i="10"/>
  <c r="N112" i="10"/>
  <c r="M110" i="10"/>
  <c r="M111" i="10"/>
  <c r="L110" i="10"/>
  <c r="L111" i="10"/>
  <c r="K110" i="10"/>
  <c r="K112" i="10"/>
  <c r="G110" i="10"/>
  <c r="G112" i="10"/>
  <c r="F110" i="10"/>
  <c r="F112" i="10"/>
  <c r="E110" i="10"/>
  <c r="E112" i="10"/>
  <c r="D110" i="10"/>
  <c r="D112" i="10"/>
  <c r="C110" i="10"/>
  <c r="C112" i="10"/>
  <c r="B110" i="10"/>
  <c r="B112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/>
  <c r="P108" i="10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I108" i="10"/>
  <c r="I13" i="39"/>
  <c r="H108" i="10"/>
  <c r="H13" i="39"/>
  <c r="G108" i="10"/>
  <c r="G13" i="39"/>
  <c r="F108" i="10"/>
  <c r="F13" i="39"/>
  <c r="E108" i="10"/>
  <c r="E13" i="39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G110" i="9"/>
  <c r="G112" i="9" s="1"/>
  <c r="F110" i="9"/>
  <c r="F111" i="9" s="1"/>
  <c r="E110" i="9"/>
  <c r="E112" i="9" s="1"/>
  <c r="D110" i="9"/>
  <c r="D111" i="9" s="1"/>
  <c r="C110" i="9"/>
  <c r="C112" i="9" s="1"/>
  <c r="B110" i="9"/>
  <c r="B112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/>
  <c r="O108" i="9"/>
  <c r="N108" i="9"/>
  <c r="N12" i="39" s="1"/>
  <c r="M108" i="9"/>
  <c r="M12" i="39" s="1"/>
  <c r="L108" i="9"/>
  <c r="K108" i="9"/>
  <c r="J108" i="9"/>
  <c r="J12" i="39" s="1"/>
  <c r="I108" i="9"/>
  <c r="H108" i="9"/>
  <c r="H12" i="39"/>
  <c r="G108" i="9"/>
  <c r="G12" i="39"/>
  <c r="F108" i="9"/>
  <c r="E108" i="9"/>
  <c r="E12" i="39" s="1"/>
  <c r="D108" i="9"/>
  <c r="D12" i="39" s="1"/>
  <c r="C108" i="9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/>
  <c r="N112" i="8"/>
  <c r="M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/>
  <c r="P108" i="8"/>
  <c r="P11" i="39"/>
  <c r="O108" i="8"/>
  <c r="O11" i="39"/>
  <c r="N108" i="8"/>
  <c r="M108" i="8"/>
  <c r="M11" i="39" s="1"/>
  <c r="L108" i="8"/>
  <c r="L11" i="39" s="1"/>
  <c r="K108" i="8"/>
  <c r="K11" i="39" s="1"/>
  <c r="J108" i="8"/>
  <c r="I108" i="8"/>
  <c r="I11" i="39"/>
  <c r="H108" i="8"/>
  <c r="H11" i="39"/>
  <c r="G108" i="8"/>
  <c r="G11" i="39"/>
  <c r="F108" i="8"/>
  <c r="F11" i="39"/>
  <c r="E108" i="8"/>
  <c r="E11" i="39"/>
  <c r="D108" i="8"/>
  <c r="D11" i="39"/>
  <c r="C108" i="8"/>
  <c r="C11" i="39"/>
  <c r="B108" i="8"/>
  <c r="B11" i="39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/>
  <c r="P112" i="3"/>
  <c r="O112" i="3"/>
  <c r="K112" i="3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J27" i="39"/>
  <c r="I27" i="39"/>
  <c r="F27" i="39"/>
  <c r="N109" i="2"/>
  <c r="O109" i="2"/>
  <c r="P109" i="2"/>
  <c r="N108" i="2"/>
  <c r="N9" i="39"/>
  <c r="O108" i="2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J111" i="2"/>
  <c r="H112" i="2"/>
  <c r="N17" i="39"/>
  <c r="Q35" i="39"/>
  <c r="M35" i="39"/>
  <c r="L35" i="39"/>
  <c r="K35" i="39"/>
  <c r="H35" i="39"/>
  <c r="D35" i="39"/>
  <c r="B35" i="39"/>
  <c r="A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D112" i="2"/>
  <c r="O112" i="2"/>
  <c r="Q112" i="2"/>
  <c r="T40" i="6"/>
  <c r="T21" i="6"/>
  <c r="K88" i="6"/>
  <c r="J88" i="6"/>
  <c r="K115" i="6"/>
  <c r="J115" i="6"/>
  <c r="I115" i="6"/>
  <c r="L12" i="39"/>
  <c r="I12" i="39"/>
  <c r="F12" i="39"/>
  <c r="C12" i="39"/>
  <c r="J9" i="6"/>
  <c r="K9" i="6"/>
  <c r="J10" i="6"/>
  <c r="K10" i="6"/>
  <c r="J11" i="6"/>
  <c r="K11" i="6"/>
  <c r="J12" i="6"/>
  <c r="K12" i="6"/>
  <c r="J13" i="6"/>
  <c r="K13" i="6"/>
  <c r="J14" i="6"/>
  <c r="K14" i="6"/>
  <c r="Q38" i="39"/>
  <c r="P38" i="39"/>
  <c r="O38" i="39"/>
  <c r="M38" i="39"/>
  <c r="L38" i="39"/>
  <c r="K38" i="39"/>
  <c r="J38" i="39"/>
  <c r="H38" i="39"/>
  <c r="G38" i="39"/>
  <c r="F38" i="39"/>
  <c r="E38" i="39"/>
  <c r="D38" i="39"/>
  <c r="C38" i="39"/>
  <c r="O37" i="39"/>
  <c r="N37" i="39"/>
  <c r="M37" i="39"/>
  <c r="L37" i="39"/>
  <c r="K37" i="39"/>
  <c r="J37" i="39"/>
  <c r="I37" i="39"/>
  <c r="E37" i="39"/>
  <c r="C37" i="39"/>
  <c r="B37" i="39"/>
  <c r="A37" i="39"/>
  <c r="A26" i="39"/>
  <c r="C26" i="39"/>
  <c r="D26" i="39"/>
  <c r="H26" i="39"/>
  <c r="I26" i="39"/>
  <c r="J26" i="39"/>
  <c r="K26" i="39"/>
  <c r="L26" i="39"/>
  <c r="O25" i="39"/>
  <c r="N25" i="39"/>
  <c r="L25" i="39"/>
  <c r="K25" i="39"/>
  <c r="J25" i="39"/>
  <c r="H25" i="39"/>
  <c r="F25" i="39"/>
  <c r="E25" i="39"/>
  <c r="D25" i="39"/>
  <c r="C25" i="39"/>
  <c r="Q24" i="39"/>
  <c r="G24" i="39"/>
  <c r="E24" i="39"/>
  <c r="A24" i="39"/>
  <c r="Q23" i="39"/>
  <c r="M23" i="39"/>
  <c r="L23" i="39"/>
  <c r="K23" i="39"/>
  <c r="I23" i="39"/>
  <c r="E23" i="39"/>
  <c r="B23" i="39"/>
  <c r="Q22" i="39"/>
  <c r="N22" i="39"/>
  <c r="M22" i="39"/>
  <c r="L22" i="39"/>
  <c r="G22" i="39"/>
  <c r="C22" i="39"/>
  <c r="Q21" i="39"/>
  <c r="P21" i="39"/>
  <c r="M21" i="39"/>
  <c r="L21" i="39"/>
  <c r="K21" i="39"/>
  <c r="J21" i="39"/>
  <c r="G21" i="39"/>
  <c r="F21" i="39"/>
  <c r="D21" i="39"/>
  <c r="B21" i="39"/>
  <c r="A21" i="39"/>
  <c r="M20" i="39"/>
  <c r="A20" i="39"/>
  <c r="L19" i="39"/>
  <c r="K19" i="39"/>
  <c r="M18" i="39"/>
  <c r="L18" i="39"/>
  <c r="J18" i="39"/>
  <c r="I18" i="39"/>
  <c r="H18" i="39"/>
  <c r="D18" i="39"/>
  <c r="P17" i="39"/>
  <c r="M17" i="39"/>
  <c r="L17" i="39"/>
  <c r="I17" i="39"/>
  <c r="C17" i="39"/>
  <c r="A17" i="39"/>
  <c r="Q16" i="39"/>
  <c r="P16" i="39"/>
  <c r="L16" i="39"/>
  <c r="J16" i="39"/>
  <c r="I16" i="39"/>
  <c r="F16" i="39"/>
  <c r="E16" i="39"/>
  <c r="D16" i="39"/>
  <c r="C16" i="39"/>
  <c r="B16" i="39"/>
  <c r="N15" i="39"/>
  <c r="M15" i="39"/>
  <c r="H15" i="39"/>
  <c r="G15" i="39"/>
  <c r="F15" i="39"/>
  <c r="C15" i="39"/>
  <c r="L14" i="39"/>
  <c r="I14" i="39"/>
  <c r="H14" i="39"/>
  <c r="F14" i="39"/>
  <c r="E14" i="39"/>
  <c r="D14" i="39"/>
  <c r="P13" i="39"/>
  <c r="D13" i="39"/>
  <c r="K12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/>
  <c r="C108" i="2"/>
  <c r="C9" i="39"/>
  <c r="D108" i="2"/>
  <c r="D9" i="39"/>
  <c r="E108" i="2"/>
  <c r="E9" i="39"/>
  <c r="F108" i="2"/>
  <c r="F9" i="39"/>
  <c r="G108" i="2"/>
  <c r="G9" i="39"/>
  <c r="H108" i="2"/>
  <c r="H9" i="39"/>
  <c r="I108" i="2"/>
  <c r="I9" i="39"/>
  <c r="J108" i="2"/>
  <c r="J9" i="39"/>
  <c r="K108" i="2"/>
  <c r="K9" i="39"/>
  <c r="L108" i="2"/>
  <c r="L9" i="39"/>
  <c r="M108" i="2"/>
  <c r="M9" i="39"/>
  <c r="Q108" i="2"/>
  <c r="Q9" i="39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N36" i="39"/>
  <c r="K36" i="39"/>
  <c r="H36" i="39"/>
  <c r="G36" i="39"/>
  <c r="D36" i="39"/>
  <c r="A36" i="39"/>
  <c r="P35" i="39"/>
  <c r="G35" i="39"/>
  <c r="E35" i="39"/>
  <c r="C35" i="39"/>
  <c r="M34" i="39"/>
  <c r="L34" i="39"/>
  <c r="K34" i="39"/>
  <c r="J34" i="39"/>
  <c r="I34" i="39"/>
  <c r="H34" i="39"/>
  <c r="F34" i="39"/>
  <c r="M33" i="39"/>
  <c r="L33" i="39"/>
  <c r="J33" i="39"/>
  <c r="I33" i="39"/>
  <c r="H33" i="39"/>
  <c r="F33" i="39"/>
  <c r="C33" i="39"/>
  <c r="B33" i="39"/>
  <c r="Q32" i="39"/>
  <c r="O32" i="39"/>
  <c r="N32" i="39"/>
  <c r="K32" i="39"/>
  <c r="I32" i="39"/>
  <c r="G32" i="39"/>
  <c r="F32" i="39"/>
  <c r="C32" i="39"/>
  <c r="B32" i="39"/>
  <c r="Q31" i="39"/>
  <c r="P31" i="39"/>
  <c r="M31" i="39"/>
  <c r="J31" i="39"/>
  <c r="I31" i="39"/>
  <c r="F31" i="39"/>
  <c r="P30" i="39"/>
  <c r="M30" i="39"/>
  <c r="L30" i="39"/>
  <c r="I30" i="39"/>
  <c r="F30" i="39"/>
  <c r="C30" i="39"/>
  <c r="B30" i="39"/>
  <c r="Q29" i="39"/>
  <c r="M29" i="39"/>
  <c r="K29" i="39"/>
  <c r="I29" i="39"/>
  <c r="H29" i="39"/>
  <c r="G29" i="39"/>
  <c r="D29" i="39"/>
  <c r="P28" i="39"/>
  <c r="M28" i="39"/>
  <c r="L28" i="39"/>
  <c r="I28" i="39"/>
  <c r="H28" i="39"/>
  <c r="G28" i="39"/>
  <c r="P27" i="39"/>
  <c r="O27" i="39"/>
  <c r="M27" i="39"/>
  <c r="L27" i="39"/>
  <c r="H27" i="39"/>
  <c r="G27" i="39"/>
  <c r="B27" i="39"/>
  <c r="O26" i="39"/>
  <c r="G26" i="39"/>
  <c r="I25" i="39"/>
  <c r="P24" i="39"/>
  <c r="H24" i="39"/>
  <c r="N23" i="39"/>
  <c r="C23" i="39"/>
  <c r="O22" i="39"/>
  <c r="D22" i="39"/>
  <c r="O21" i="39"/>
  <c r="P20" i="39"/>
  <c r="F20" i="39"/>
  <c r="F18" i="39"/>
  <c r="E17" i="39"/>
  <c r="M16" i="39"/>
  <c r="K16" i="39"/>
  <c r="J15" i="39"/>
  <c r="Q12" i="39"/>
  <c r="O12" i="39"/>
  <c r="B12" i="39"/>
  <c r="N11" i="39"/>
  <c r="P10" i="39"/>
  <c r="P36" i="39"/>
  <c r="E34" i="39"/>
  <c r="E26" i="39"/>
  <c r="P23" i="39"/>
  <c r="P18" i="39"/>
  <c r="Q17" i="39"/>
  <c r="P15" i="39"/>
  <c r="B2" i="2"/>
  <c r="A9" i="39" s="1"/>
  <c r="B2" i="39" s="1"/>
  <c r="E22" i="39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O36" i="39"/>
  <c r="J36" i="39"/>
  <c r="F36" i="39"/>
  <c r="N35" i="39"/>
  <c r="G34" i="39"/>
  <c r="B34" i="39"/>
  <c r="J32" i="39"/>
  <c r="H32" i="39"/>
  <c r="N29" i="39"/>
  <c r="B29" i="39"/>
  <c r="J28" i="39"/>
  <c r="O23" i="39"/>
  <c r="J11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O28" i="39"/>
  <c r="F26" i="39"/>
  <c r="F24" i="39"/>
  <c r="J22" i="39"/>
  <c r="L20" i="39"/>
  <c r="N19" i="39"/>
  <c r="F19" i="39"/>
  <c r="O18" i="39"/>
  <c r="O17" i="39"/>
  <c r="J17" i="39"/>
  <c r="H17" i="39"/>
  <c r="B17" i="39"/>
  <c r="N16" i="39"/>
  <c r="K28" i="6"/>
  <c r="J28" i="6"/>
  <c r="J13" i="39"/>
  <c r="D9" i="5"/>
  <c r="D10" i="5"/>
  <c r="I119" i="6"/>
  <c r="J101" i="6"/>
  <c r="J81" i="6"/>
  <c r="J61" i="6"/>
  <c r="I21" i="6"/>
  <c r="O9" i="39"/>
  <c r="D8" i="5"/>
  <c r="D24" i="5" s="1"/>
  <c r="D20" i="5"/>
  <c r="D21" i="5"/>
  <c r="D22" i="5"/>
  <c r="D23" i="5"/>
  <c r="D11" i="5"/>
  <c r="D12" i="5"/>
  <c r="D44" i="5" s="1"/>
  <c r="D13" i="5"/>
  <c r="D14" i="5"/>
  <c r="D15" i="5"/>
  <c r="D16" i="5"/>
  <c r="D17" i="5"/>
  <c r="D18" i="5"/>
  <c r="D19" i="5"/>
  <c r="H111" i="2"/>
  <c r="H22" i="39"/>
  <c r="O111" i="2"/>
  <c r="P111" i="41"/>
  <c r="O111" i="41"/>
  <c r="M111" i="41"/>
  <c r="L111" i="41"/>
  <c r="K111" i="41"/>
  <c r="G111" i="41"/>
  <c r="F111" i="41"/>
  <c r="E111" i="41"/>
  <c r="D111" i="41"/>
  <c r="C111" i="41"/>
  <c r="B111" i="41"/>
  <c r="Q111" i="40"/>
  <c r="P111" i="40"/>
  <c r="O111" i="40"/>
  <c r="N111" i="40"/>
  <c r="M111" i="40"/>
  <c r="K111" i="40"/>
  <c r="G111" i="40"/>
  <c r="F111" i="40"/>
  <c r="E111" i="40"/>
  <c r="C111" i="40"/>
  <c r="B111" i="40"/>
  <c r="P111" i="33"/>
  <c r="O111" i="33"/>
  <c r="N111" i="33"/>
  <c r="M111" i="33"/>
  <c r="L111" i="33"/>
  <c r="F111" i="33"/>
  <c r="D111" i="33"/>
  <c r="Q111" i="32"/>
  <c r="O111" i="32"/>
  <c r="M111" i="32"/>
  <c r="L111" i="32"/>
  <c r="K111" i="32"/>
  <c r="G111" i="32"/>
  <c r="D111" i="32"/>
  <c r="O111" i="31"/>
  <c r="N111" i="31"/>
  <c r="L111" i="31"/>
  <c r="F111" i="31"/>
  <c r="E111" i="31"/>
  <c r="D111" i="31"/>
  <c r="C111" i="31"/>
  <c r="B111" i="31"/>
  <c r="O111" i="30"/>
  <c r="N111" i="30"/>
  <c r="M111" i="30"/>
  <c r="L111" i="30"/>
  <c r="E111" i="30"/>
  <c r="D111" i="30"/>
  <c r="B111" i="30"/>
  <c r="N111" i="29"/>
  <c r="M111" i="29"/>
  <c r="L111" i="29"/>
  <c r="K111" i="29"/>
  <c r="C111" i="29"/>
  <c r="Q111" i="28"/>
  <c r="O111" i="28"/>
  <c r="N111" i="28"/>
  <c r="M111" i="28"/>
  <c r="L111" i="28"/>
  <c r="K111" i="28"/>
  <c r="G111" i="28"/>
  <c r="F111" i="28"/>
  <c r="E111" i="28"/>
  <c r="D111" i="28"/>
  <c r="C111" i="28"/>
  <c r="P111" i="27"/>
  <c r="N111" i="27"/>
  <c r="M111" i="27"/>
  <c r="L111" i="27"/>
  <c r="E111" i="27"/>
  <c r="B111" i="27"/>
  <c r="N111" i="26"/>
  <c r="L111" i="26"/>
  <c r="K111" i="26"/>
  <c r="D111" i="26"/>
  <c r="P111" i="24"/>
  <c r="O111" i="24"/>
  <c r="N111" i="24"/>
  <c r="M111" i="24"/>
  <c r="L111" i="24"/>
  <c r="K111" i="24"/>
  <c r="F111" i="24"/>
  <c r="E111" i="24"/>
  <c r="D111" i="24"/>
  <c r="C111" i="24"/>
  <c r="B111" i="24"/>
  <c r="P111" i="23"/>
  <c r="N111" i="23"/>
  <c r="M111" i="23"/>
  <c r="L111" i="23"/>
  <c r="K111" i="23"/>
  <c r="E111" i="23"/>
  <c r="D111" i="23"/>
  <c r="C111" i="23"/>
  <c r="B111" i="23"/>
  <c r="P111" i="22"/>
  <c r="N111" i="22"/>
  <c r="M111" i="22"/>
  <c r="K111" i="22"/>
  <c r="E111" i="22"/>
  <c r="D111" i="22"/>
  <c r="C111" i="22"/>
  <c r="B111" i="22"/>
  <c r="Q111" i="21"/>
  <c r="N111" i="21"/>
  <c r="M111" i="21"/>
  <c r="L111" i="21"/>
  <c r="K111" i="21"/>
  <c r="E111" i="21"/>
  <c r="C111" i="21"/>
  <c r="B111" i="21"/>
  <c r="O111" i="20"/>
  <c r="Q112" i="20"/>
  <c r="M111" i="20"/>
  <c r="L111" i="20"/>
  <c r="K111" i="20"/>
  <c r="F111" i="20"/>
  <c r="D111" i="20"/>
  <c r="B111" i="20"/>
  <c r="P111" i="19"/>
  <c r="O111" i="19"/>
  <c r="N111" i="19"/>
  <c r="L111" i="19"/>
  <c r="H111" i="19"/>
  <c r="F111" i="19"/>
  <c r="D111" i="19"/>
  <c r="B111" i="19"/>
  <c r="P111" i="18"/>
  <c r="O111" i="18"/>
  <c r="L111" i="18"/>
  <c r="H111" i="18"/>
  <c r="F111" i="18"/>
  <c r="D111" i="18"/>
  <c r="P111" i="17"/>
  <c r="O111" i="17"/>
  <c r="G111" i="17"/>
  <c r="B111" i="17"/>
  <c r="O111" i="16"/>
  <c r="N111" i="16"/>
  <c r="L111" i="16"/>
  <c r="F111" i="16"/>
  <c r="D111" i="16"/>
  <c r="P111" i="15"/>
  <c r="O111" i="15"/>
  <c r="M111" i="15"/>
  <c r="K111" i="15"/>
  <c r="J111" i="15"/>
  <c r="F111" i="15"/>
  <c r="D111" i="15"/>
  <c r="C111" i="15"/>
  <c r="B111" i="15"/>
  <c r="P111" i="14"/>
  <c r="N111" i="14"/>
  <c r="M111" i="14"/>
  <c r="L111" i="14"/>
  <c r="K111" i="14"/>
  <c r="G111" i="14"/>
  <c r="E111" i="14"/>
  <c r="C111" i="14"/>
  <c r="Q111" i="13"/>
  <c r="N111" i="13"/>
  <c r="L111" i="13"/>
  <c r="K111" i="13"/>
  <c r="G111" i="13"/>
  <c r="F111" i="13"/>
  <c r="E111" i="13"/>
  <c r="C111" i="13"/>
  <c r="Q111" i="12"/>
  <c r="P111" i="12"/>
  <c r="N111" i="12"/>
  <c r="L111" i="12"/>
  <c r="E111" i="12"/>
  <c r="D111" i="12"/>
  <c r="C111" i="12"/>
  <c r="B111" i="12"/>
  <c r="O111" i="11"/>
  <c r="N111" i="11"/>
  <c r="M111" i="11"/>
  <c r="L111" i="11"/>
  <c r="K111" i="11"/>
  <c r="E111" i="11"/>
  <c r="Q111" i="10"/>
  <c r="P111" i="10"/>
  <c r="N111" i="10"/>
  <c r="K111" i="10"/>
  <c r="G111" i="10"/>
  <c r="F111" i="10"/>
  <c r="C111" i="10"/>
  <c r="B111" i="10"/>
  <c r="P111" i="9"/>
  <c r="N111" i="9"/>
  <c r="M111" i="9"/>
  <c r="K111" i="9"/>
  <c r="E111" i="9"/>
  <c r="C111" i="9"/>
  <c r="M111" i="8"/>
  <c r="D111" i="8"/>
  <c r="C111" i="8"/>
  <c r="Q111" i="3"/>
  <c r="P111" i="3"/>
  <c r="O111" i="3"/>
  <c r="H111" i="3"/>
  <c r="G111" i="3"/>
  <c r="C112" i="30"/>
  <c r="C112" i="17"/>
  <c r="D112" i="3"/>
  <c r="M111" i="2"/>
  <c r="K112" i="2"/>
  <c r="Q111" i="2"/>
  <c r="G111" i="2"/>
  <c r="J112" i="2"/>
  <c r="D111" i="2"/>
  <c r="L112" i="10"/>
  <c r="M112" i="10"/>
  <c r="E111" i="10"/>
  <c r="L111" i="9"/>
  <c r="G111" i="9"/>
  <c r="E112" i="2"/>
  <c r="C112" i="2"/>
  <c r="N111" i="2"/>
  <c r="B111" i="3"/>
  <c r="N112" i="3"/>
  <c r="I112" i="2"/>
  <c r="L111" i="2"/>
  <c r="F112" i="3"/>
  <c r="M111" i="3"/>
  <c r="E112" i="3"/>
  <c r="J111" i="10"/>
  <c r="I111" i="10"/>
  <c r="I112" i="9"/>
  <c r="H112" i="9"/>
  <c r="B111" i="9"/>
  <c r="J112" i="8"/>
  <c r="P111" i="8"/>
  <c r="L111" i="8"/>
  <c r="O111" i="8"/>
  <c r="I112" i="8"/>
  <c r="H112" i="8"/>
  <c r="F112" i="8"/>
  <c r="N111" i="8"/>
  <c r="J111" i="13"/>
  <c r="I112" i="13"/>
  <c r="P112" i="13"/>
  <c r="F112" i="12"/>
  <c r="J112" i="12"/>
  <c r="H112" i="12"/>
  <c r="I112" i="12"/>
  <c r="O112" i="12"/>
  <c r="J112" i="11"/>
  <c r="Q112" i="11"/>
  <c r="P111" i="11"/>
  <c r="H112" i="11"/>
  <c r="G111" i="11"/>
  <c r="I112" i="11"/>
  <c r="D111" i="11"/>
  <c r="C111" i="11"/>
  <c r="C111" i="16"/>
  <c r="I112" i="16"/>
  <c r="P111" i="16"/>
  <c r="Q112" i="16"/>
  <c r="I111" i="15"/>
  <c r="Q112" i="14"/>
  <c r="I112" i="14"/>
  <c r="H112" i="14"/>
  <c r="B112" i="14"/>
  <c r="J112" i="14"/>
  <c r="Q111" i="17"/>
  <c r="B112" i="18"/>
  <c r="J111" i="17"/>
  <c r="I112" i="17"/>
  <c r="H111" i="17"/>
  <c r="N112" i="17"/>
  <c r="L112" i="17"/>
  <c r="M111" i="17"/>
  <c r="K112" i="17"/>
  <c r="F112" i="17"/>
  <c r="D112" i="17"/>
  <c r="E112" i="17"/>
  <c r="I112" i="20"/>
  <c r="J112" i="20"/>
  <c r="J112" i="19"/>
  <c r="I112" i="19"/>
  <c r="E112" i="19"/>
  <c r="M112" i="19"/>
  <c r="C112" i="19"/>
  <c r="P112" i="25"/>
  <c r="O112" i="25"/>
  <c r="N112" i="25"/>
  <c r="L111" i="25"/>
  <c r="J111" i="25"/>
  <c r="H112" i="25"/>
  <c r="G112" i="25"/>
  <c r="F111" i="25"/>
  <c r="Q112" i="25"/>
  <c r="D111" i="25"/>
  <c r="K112" i="25"/>
  <c r="C112" i="25"/>
  <c r="I112" i="25"/>
  <c r="J112" i="24"/>
  <c r="I111" i="24"/>
  <c r="H112" i="24"/>
  <c r="J111" i="23"/>
  <c r="O111" i="23"/>
  <c r="I112" i="23"/>
  <c r="G112" i="23"/>
  <c r="J111" i="22"/>
  <c r="H111" i="22"/>
  <c r="Q112" i="22"/>
  <c r="O112" i="22"/>
  <c r="J112" i="21"/>
  <c r="P112" i="21"/>
  <c r="D112" i="27"/>
  <c r="C112" i="27"/>
  <c r="H111" i="27"/>
  <c r="Q111" i="27"/>
  <c r="Q112" i="26"/>
  <c r="J112" i="26"/>
  <c r="I111" i="26"/>
  <c r="G111" i="26"/>
  <c r="F111" i="26"/>
  <c r="E111" i="26"/>
  <c r="C111" i="26"/>
  <c r="H112" i="26"/>
  <c r="P112" i="26"/>
  <c r="O111" i="27"/>
  <c r="K111" i="27"/>
  <c r="J111" i="27"/>
  <c r="I111" i="32"/>
  <c r="B112" i="32"/>
  <c r="J112" i="32"/>
  <c r="H112" i="32"/>
  <c r="I112" i="31"/>
  <c r="Q112" i="31"/>
  <c r="G111" i="31"/>
  <c r="P111" i="31"/>
  <c r="J111" i="30"/>
  <c r="H111" i="30"/>
  <c r="G112" i="30"/>
  <c r="I111" i="29"/>
  <c r="H111" i="29"/>
  <c r="O111" i="29"/>
  <c r="I111" i="28"/>
  <c r="H112" i="28"/>
  <c r="J111" i="28"/>
  <c r="B111" i="28"/>
  <c r="J112" i="40"/>
  <c r="H112" i="40"/>
  <c r="I112" i="40"/>
  <c r="D111" i="40"/>
  <c r="J111" i="41"/>
  <c r="H111" i="41"/>
  <c r="I112" i="41"/>
  <c r="Q112" i="41"/>
  <c r="P111" i="2"/>
  <c r="F111" i="2"/>
  <c r="B111" i="2"/>
  <c r="J112" i="3"/>
  <c r="L112" i="3"/>
  <c r="C112" i="3"/>
  <c r="K112" i="8"/>
  <c r="F112" i="9"/>
  <c r="J111" i="9"/>
  <c r="Q112" i="9"/>
  <c r="D112" i="9"/>
  <c r="O111" i="9"/>
  <c r="D111" i="10"/>
  <c r="O112" i="10"/>
  <c r="H111" i="10"/>
  <c r="F111" i="11"/>
  <c r="M112" i="12"/>
  <c r="K112" i="12"/>
  <c r="D112" i="13"/>
  <c r="O112" i="13"/>
  <c r="B112" i="13"/>
  <c r="M112" i="13"/>
  <c r="H111" i="13"/>
  <c r="F112" i="14"/>
  <c r="D111" i="14"/>
  <c r="O112" i="14"/>
  <c r="L112" i="15"/>
  <c r="G112" i="15"/>
  <c r="H112" i="15"/>
  <c r="H112" i="16"/>
  <c r="B111" i="16"/>
  <c r="M111" i="16"/>
  <c r="J111" i="16"/>
  <c r="K111" i="16"/>
  <c r="M112" i="18"/>
  <c r="C112" i="18"/>
  <c r="K111" i="18"/>
  <c r="K112" i="19"/>
  <c r="P112" i="20"/>
  <c r="C111" i="20"/>
  <c r="H111" i="20"/>
  <c r="N112" i="20"/>
  <c r="F111" i="21"/>
  <c r="D112" i="21"/>
  <c r="O111" i="21"/>
  <c r="I112" i="21"/>
  <c r="I111" i="22"/>
  <c r="L112" i="22"/>
  <c r="F112" i="22"/>
  <c r="F112" i="23"/>
  <c r="G111" i="24"/>
  <c r="M111" i="25"/>
  <c r="E112" i="25"/>
  <c r="O112" i="26"/>
  <c r="M112" i="26"/>
  <c r="F111" i="27"/>
  <c r="G112" i="27"/>
  <c r="P112" i="28"/>
  <c r="F112" i="29"/>
  <c r="Q112" i="29"/>
  <c r="K111" i="30"/>
  <c r="F111" i="30"/>
  <c r="Q112" i="30"/>
  <c r="M112" i="31"/>
  <c r="H111" i="31"/>
  <c r="K112" i="31"/>
  <c r="J112" i="31"/>
  <c r="E112" i="32"/>
  <c r="C112" i="32"/>
  <c r="N112" i="32"/>
  <c r="Q112" i="33"/>
  <c r="L111" i="40"/>
  <c r="Q111" i="44"/>
  <c r="P111" i="44"/>
  <c r="O111" i="44"/>
  <c r="N111" i="44"/>
  <c r="M111" i="44"/>
  <c r="L111" i="44"/>
  <c r="J111" i="44"/>
  <c r="I111" i="44"/>
  <c r="H111" i="44"/>
  <c r="G111" i="44"/>
  <c r="F111" i="44"/>
  <c r="E111" i="44"/>
  <c r="D111" i="44"/>
  <c r="B111" i="44"/>
  <c r="E111" i="15"/>
  <c r="G112" i="16"/>
  <c r="E111" i="16"/>
  <c r="N111" i="15"/>
  <c r="Q111" i="15"/>
  <c r="G111" i="12"/>
  <c r="B112" i="11"/>
  <c r="G111" i="8"/>
  <c r="Q112" i="8"/>
  <c r="I112" i="3"/>
  <c r="E112" i="8"/>
  <c r="B112" i="8"/>
  <c r="B112" i="26"/>
  <c r="B112" i="25"/>
  <c r="Q112" i="24"/>
  <c r="Q112" i="23"/>
  <c r="H111" i="23"/>
  <c r="G112" i="22"/>
  <c r="H112" i="21"/>
  <c r="G112" i="21"/>
  <c r="E112" i="20"/>
  <c r="G112" i="20"/>
  <c r="Q112" i="19"/>
  <c r="G111" i="19"/>
  <c r="E112" i="18"/>
  <c r="N112" i="18"/>
  <c r="Q111" i="18"/>
  <c r="J111" i="18"/>
  <c r="I112" i="18"/>
  <c r="G112" i="18"/>
  <c r="C112" i="44"/>
  <c r="K112" i="44"/>
  <c r="N112" i="41"/>
  <c r="K111" i="33"/>
  <c r="J111" i="33"/>
  <c r="I112" i="33"/>
  <c r="H111" i="33"/>
  <c r="G111" i="33"/>
  <c r="E111" i="33"/>
  <c r="C111" i="33"/>
  <c r="B111" i="33"/>
  <c r="P111" i="32"/>
  <c r="F112" i="32"/>
  <c r="I112" i="30"/>
  <c r="P111" i="30"/>
  <c r="P111" i="29"/>
  <c r="J112" i="29"/>
  <c r="G111" i="29"/>
  <c r="E111" i="29"/>
  <c r="B111" i="29"/>
  <c r="D111" i="29"/>
  <c r="Q44" i="39" l="1"/>
  <c r="Q42" i="39"/>
  <c r="Q43" i="39"/>
  <c r="Q41" i="39"/>
  <c r="Q45" i="39"/>
  <c r="B44" i="39"/>
  <c r="B43" i="39"/>
  <c r="B42" i="39"/>
  <c r="B45" i="39"/>
  <c r="B41" i="39"/>
  <c r="C42" i="39"/>
  <c r="C41" i="39"/>
  <c r="C43" i="39"/>
  <c r="C44" i="39"/>
  <c r="C45" i="39"/>
  <c r="D44" i="39"/>
  <c r="D42" i="39"/>
  <c r="D45" i="39"/>
  <c r="D41" i="39"/>
  <c r="D43" i="39"/>
  <c r="E41" i="39"/>
  <c r="E42" i="39"/>
  <c r="E44" i="39"/>
  <c r="E43" i="39"/>
  <c r="E45" i="39"/>
  <c r="P41" i="39"/>
  <c r="P45" i="39"/>
  <c r="P44" i="39"/>
  <c r="P42" i="39"/>
  <c r="P43" i="39"/>
  <c r="F43" i="39"/>
  <c r="F45" i="39"/>
  <c r="F44" i="39"/>
  <c r="F42" i="39"/>
  <c r="F41" i="39"/>
  <c r="G41" i="39"/>
  <c r="G45" i="39"/>
  <c r="G42" i="39"/>
  <c r="G44" i="39"/>
  <c r="G43" i="39"/>
  <c r="I41" i="39"/>
  <c r="I45" i="39"/>
  <c r="I42" i="39"/>
  <c r="I43" i="39"/>
  <c r="I44" i="39"/>
  <c r="H43" i="39"/>
  <c r="H42" i="39"/>
  <c r="H45" i="39"/>
  <c r="H41" i="39"/>
  <c r="H44" i="39"/>
  <c r="J45" i="39"/>
  <c r="J42" i="39"/>
  <c r="J43" i="39"/>
  <c r="J41" i="39"/>
  <c r="J44" i="39"/>
  <c r="K41" i="39"/>
  <c r="K44" i="39"/>
  <c r="K45" i="39"/>
  <c r="K42" i="39"/>
  <c r="K43" i="39"/>
  <c r="O43" i="39"/>
  <c r="O41" i="39"/>
  <c r="O45" i="39"/>
  <c r="O42" i="39"/>
  <c r="O44" i="39"/>
  <c r="L41" i="39"/>
  <c r="L42" i="39"/>
  <c r="L44" i="39"/>
  <c r="L45" i="39"/>
  <c r="L43" i="39"/>
  <c r="M43" i="39"/>
  <c r="M44" i="39"/>
  <c r="M42" i="39"/>
  <c r="M41" i="39"/>
  <c r="M45" i="39"/>
  <c r="N44" i="39"/>
  <c r="N43" i="39"/>
  <c r="N45" i="39"/>
  <c r="N42" i="39"/>
  <c r="N41" i="39"/>
  <c r="O46" i="39" l="1"/>
  <c r="O47" i="39"/>
  <c r="C46" i="39"/>
  <c r="C47" i="39"/>
  <c r="N46" i="39"/>
  <c r="N47" i="39"/>
  <c r="P47" i="39"/>
  <c r="P46" i="39"/>
  <c r="K46" i="39"/>
  <c r="K47" i="39"/>
  <c r="I47" i="39"/>
  <c r="I46" i="39"/>
  <c r="E46" i="39"/>
  <c r="E47" i="39"/>
  <c r="B46" i="39"/>
  <c r="B47" i="39"/>
  <c r="H47" i="39"/>
  <c r="H46" i="39"/>
  <c r="F47" i="39"/>
  <c r="F46" i="39"/>
  <c r="M47" i="39"/>
  <c r="M46" i="39"/>
  <c r="G46" i="39"/>
  <c r="G47" i="39"/>
  <c r="Q46" i="39"/>
  <c r="Q47" i="39"/>
  <c r="L46" i="39"/>
  <c r="L47" i="39"/>
  <c r="J47" i="39"/>
  <c r="J46" i="39"/>
  <c r="D46" i="39"/>
  <c r="D47" i="39"/>
</calcChain>
</file>

<file path=xl/sharedStrings.xml><?xml version="1.0" encoding="utf-8"?>
<sst xmlns="http://schemas.openxmlformats.org/spreadsheetml/2006/main" count="6617" uniqueCount="3223">
  <si>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</si>
  <si>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</si>
  <si>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</si>
  <si>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</si>
  <si>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</si>
  <si>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</si>
  <si>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</si>
  <si>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</si>
  <si>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</si>
  <si>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</si>
  <si>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</si>
  <si>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</si>
  <si>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</si>
  <si>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</si>
  <si>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</si>
  <si>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</si>
  <si>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</si>
  <si>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</si>
  <si>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</si>
  <si>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</si>
  <si>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</si>
  <si>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</si>
  <si>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</si>
  <si>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</si>
  <si>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</si>
  <si>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</si>
  <si>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</si>
  <si>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</si>
  <si>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</si>
  <si>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</si>
  <si>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</si>
  <si>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</si>
  <si>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</si>
  <si>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</si>
  <si>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</si>
  <si>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</si>
  <si>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</si>
  <si>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</si>
  <si>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</si>
  <si>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</si>
  <si>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</si>
  <si>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</si>
  <si>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</si>
  <si>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</si>
  <si>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</si>
  <si>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</si>
  <si>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</si>
  <si>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</si>
  <si>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</si>
  <si>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</si>
  <si>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</si>
  <si>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</si>
  <si>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</si>
  <si>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</si>
  <si>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</si>
  <si>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</si>
  <si>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</si>
  <si>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</si>
  <si>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</si>
  <si>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</si>
  <si>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</si>
  <si>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</si>
  <si>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</si>
  <si>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</si>
  <si>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</si>
  <si>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</si>
  <si>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</si>
  <si>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</si>
  <si>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</si>
  <si>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</si>
  <si>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</si>
  <si>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</si>
  <si>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</si>
  <si>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</si>
  <si>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</si>
  <si>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</si>
  <si>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</si>
  <si>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</si>
  <si>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</si>
  <si>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</si>
  <si>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</si>
  <si>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</si>
  <si>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</si>
  <si>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</si>
  <si>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</si>
  <si>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</si>
  <si>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</si>
  <si>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</si>
  <si>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</si>
  <si>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</si>
  <si>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</si>
  <si>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</si>
  <si>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</si>
  <si>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</si>
  <si>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</si>
  <si>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</si>
  <si>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</si>
  <si>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</si>
  <si>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</si>
  <si>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</si>
  <si>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</si>
  <si>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</si>
  <si>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</si>
  <si>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</si>
  <si>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</si>
  <si>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</si>
  <si>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</si>
  <si>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</si>
  <si>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</si>
  <si>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</si>
  <si>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</si>
  <si>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</si>
  <si>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</si>
  <si>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</si>
  <si>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</si>
  <si>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</si>
  <si>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</si>
  <si>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</si>
  <si>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</si>
  <si>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</si>
  <si>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</si>
  <si>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</si>
  <si>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</si>
  <si>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</si>
  <si>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</si>
  <si>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</si>
  <si>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</si>
  <si>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</si>
  <si>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</si>
  <si>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</si>
  <si>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</si>
  <si>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</si>
  <si>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</si>
  <si>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</si>
  <si>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</si>
  <si>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</si>
  <si>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</si>
  <si>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</si>
  <si>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</si>
  <si>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</si>
  <si>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</si>
  <si>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</si>
  <si>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</si>
  <si>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</si>
  <si>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</si>
  <si>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</si>
  <si>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</si>
  <si>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</si>
  <si>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</si>
  <si>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</si>
  <si>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</si>
  <si>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</si>
  <si>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</si>
  <si>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</si>
  <si>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</si>
  <si>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</si>
  <si>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</si>
  <si>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</si>
  <si>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</si>
  <si>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</si>
  <si>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</si>
  <si>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</si>
  <si>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</si>
  <si>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</si>
  <si>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</si>
  <si>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</si>
  <si>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</si>
  <si>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</si>
  <si>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</si>
  <si>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</si>
  <si>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</si>
  <si>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</si>
  <si>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</si>
  <si>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</si>
  <si>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</si>
  <si>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</si>
  <si>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</si>
  <si>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</si>
  <si>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</si>
  <si>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</si>
  <si>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</si>
  <si>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</si>
  <si>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</si>
  <si>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</si>
  <si>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</si>
  <si>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</si>
  <si>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</si>
  <si>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</si>
  <si>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</si>
  <si>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</si>
  <si>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</si>
  <si>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</si>
  <si>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</si>
  <si>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</si>
  <si>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</si>
  <si>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</si>
  <si>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</si>
  <si>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</si>
  <si>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</si>
  <si>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</si>
  <si>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</si>
  <si>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</si>
  <si>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</si>
  <si>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</si>
  <si>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</si>
  <si>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</si>
  <si>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</si>
  <si>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</si>
  <si>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</si>
  <si>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</si>
  <si>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</si>
  <si>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</si>
  <si>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</si>
  <si>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</si>
  <si>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</si>
  <si>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RK</t>
  </si>
  <si>
    <t>4mv</t>
  </si>
  <si>
    <t>ON</t>
  </si>
  <si>
    <t>OFF</t>
  </si>
  <si>
    <t>MUX signal Report REPORT OF KUNJEMURA, RAIGARH MONTH OF</t>
  </si>
  <si>
    <t>BHATAGAON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</si>
  <si>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</si>
  <si>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</si>
  <si>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</si>
  <si>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</si>
  <si>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</si>
  <si>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</si>
  <si>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</si>
  <si>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</si>
  <si>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</si>
  <si>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</si>
  <si>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</si>
  <si>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</si>
  <si>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</si>
  <si>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</si>
  <si>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</si>
  <si>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</si>
  <si>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RAIPPUR</t>
  </si>
  <si>
    <t>pm 10</t>
  </si>
  <si>
    <t>rahul</t>
  </si>
  <si>
    <t>RAHUL</t>
  </si>
  <si>
    <t>Calibration report Of BHATAGAON, RAIPUR</t>
  </si>
  <si>
    <t>POWER OFF REPORT OF BHATAGAON, RAIPUR</t>
  </si>
  <si>
    <t>847 ug/cm2</t>
  </si>
  <si>
    <t>835 ug/cm2</t>
  </si>
  <si>
    <t>ppb</t>
  </si>
  <si>
    <t>01-10-2023 00:15</t>
  </si>
  <si>
    <t>01-10-2023 00:30</t>
  </si>
  <si>
    <t>01-10-2023 00:45</t>
  </si>
  <si>
    <t>01-10-2023 01:00</t>
  </si>
  <si>
    <t>01-10-2023 01:15</t>
  </si>
  <si>
    <t>01-10-2023 01:30</t>
  </si>
  <si>
    <t>01-10-2023 01:45</t>
  </si>
  <si>
    <t>01-10-2023 02:00</t>
  </si>
  <si>
    <t>01-10-2023 02:15</t>
  </si>
  <si>
    <t>01-10-2023 02:30</t>
  </si>
  <si>
    <t>01-10-2023 02:45</t>
  </si>
  <si>
    <t>01-10-2023 03:00</t>
  </si>
  <si>
    <t>01-10-2023 03:15</t>
  </si>
  <si>
    <t>01-10-2023 03:30</t>
  </si>
  <si>
    <t>01-10-2023 03:45</t>
  </si>
  <si>
    <t>01-10-2023 04:00</t>
  </si>
  <si>
    <t>01-10-2023 04:15</t>
  </si>
  <si>
    <t>01-10-2023 04:30</t>
  </si>
  <si>
    <t>01-10-2023 04:45</t>
  </si>
  <si>
    <t>01-10-2023 05:00</t>
  </si>
  <si>
    <t>01-10-2023 05:15</t>
  </si>
  <si>
    <t>01-10-2023 05:30</t>
  </si>
  <si>
    <t>01-10-2023 05:45</t>
  </si>
  <si>
    <t>01-10-2023 06:00</t>
  </si>
  <si>
    <t>01-10-2023 06:15</t>
  </si>
  <si>
    <t>01-10-2023 06:30</t>
  </si>
  <si>
    <t>01-10-2023 06:45</t>
  </si>
  <si>
    <t>01-10-2023 07:00</t>
  </si>
  <si>
    <t>01-10-2023 07:15</t>
  </si>
  <si>
    <t>01-10-2023 07:30</t>
  </si>
  <si>
    <t>01-10-2023 07:45</t>
  </si>
  <si>
    <t>01-10-2023 08:00</t>
  </si>
  <si>
    <t>01-10-2023 08:15</t>
  </si>
  <si>
    <t>01-10-2023 08:30</t>
  </si>
  <si>
    <t>01-10-2023 08:45</t>
  </si>
  <si>
    <t>01-10-2023 09:00</t>
  </si>
  <si>
    <t>01-10-2023 09:15</t>
  </si>
  <si>
    <t>01-10-2023 09:30</t>
  </si>
  <si>
    <t>01-10-2023 09:45</t>
  </si>
  <si>
    <t>01-10-2023 10:00</t>
  </si>
  <si>
    <t>01-10-2023 10:15</t>
  </si>
  <si>
    <t>01-10-2023 10:30</t>
  </si>
  <si>
    <t>01-10-2023 10:45</t>
  </si>
  <si>
    <t>01-10-2023 11:00</t>
  </si>
  <si>
    <t>01-10-2023 11:15</t>
  </si>
  <si>
    <t>01-10-2023 11:30</t>
  </si>
  <si>
    <t>01-10-2023 11:45</t>
  </si>
  <si>
    <t>01-10-2023 12:00</t>
  </si>
  <si>
    <t>01-10-2023 12:15</t>
  </si>
  <si>
    <t>01-10-2023 12:30</t>
  </si>
  <si>
    <t>01-10-2023 12:45</t>
  </si>
  <si>
    <t>01-10-2023 13:00</t>
  </si>
  <si>
    <t>01-10-2023 13:15</t>
  </si>
  <si>
    <t>01-10-2023 13:30</t>
  </si>
  <si>
    <t>01-10-2023 13:45</t>
  </si>
  <si>
    <t>01-10-2023 14:00</t>
  </si>
  <si>
    <t>01-10-2023 14:15</t>
  </si>
  <si>
    <t>01-10-2023 14:30</t>
  </si>
  <si>
    <t>01-10-2023 14:45</t>
  </si>
  <si>
    <t>01-10-2023 15:00</t>
  </si>
  <si>
    <t>01-10-2023 15:15</t>
  </si>
  <si>
    <t>01-10-2023 15:30</t>
  </si>
  <si>
    <t>01-10-2023 15:45</t>
  </si>
  <si>
    <t>01-10-2023 16:00</t>
  </si>
  <si>
    <t>01-10-2023 16:15</t>
  </si>
  <si>
    <t>01-10-2023 16:30</t>
  </si>
  <si>
    <t>01-10-2023 16:45</t>
  </si>
  <si>
    <t>01-10-2023 17:00</t>
  </si>
  <si>
    <t>01-10-2023 17:15</t>
  </si>
  <si>
    <t>01-10-2023 17:30</t>
  </si>
  <si>
    <t>01-10-2023 17:45</t>
  </si>
  <si>
    <t>01-10-2023 18:00</t>
  </si>
  <si>
    <t>01-10-2023 18:15</t>
  </si>
  <si>
    <t>01-10-2023 18:30</t>
  </si>
  <si>
    <t>01-10-2023 18:45</t>
  </si>
  <si>
    <t>01-10-2023 19:00</t>
  </si>
  <si>
    <t>01-10-2023 19:15</t>
  </si>
  <si>
    <t>01-10-2023 19:30</t>
  </si>
  <si>
    <t>01-10-2023 19:45</t>
  </si>
  <si>
    <t>01-10-2023 20:00</t>
  </si>
  <si>
    <t>01-10-2023 20:15</t>
  </si>
  <si>
    <t>01-10-2023 20:30</t>
  </si>
  <si>
    <t>01-10-2023 20:45</t>
  </si>
  <si>
    <t>01-10-2023 21:00</t>
  </si>
  <si>
    <t>01-10-2023 21:15</t>
  </si>
  <si>
    <t>01-10-2023 21:30</t>
  </si>
  <si>
    <t>01-10-2023 21:45</t>
  </si>
  <si>
    <t>01-10-2023 22:00</t>
  </si>
  <si>
    <t>01-10-2023 22:15</t>
  </si>
  <si>
    <t>01-10-2023 22:30</t>
  </si>
  <si>
    <t>01-10-2023 22:45</t>
  </si>
  <si>
    <t>01-10-2023 23:00</t>
  </si>
  <si>
    <t>01-10-2023 23:15</t>
  </si>
  <si>
    <t>01-10-2023 23:30</t>
  </si>
  <si>
    <t>01-10-2023 23:45</t>
  </si>
  <si>
    <t>01-10-2023 24:00</t>
  </si>
  <si>
    <t>02-10-2023 00:15</t>
  </si>
  <si>
    <t>02-10-2023 00:30</t>
  </si>
  <si>
    <t>02-10-2023 00:45</t>
  </si>
  <si>
    <t>02-10-2023 01:00</t>
  </si>
  <si>
    <t>02-10-2023 01:15</t>
  </si>
  <si>
    <t>02-10-2023 01:30</t>
  </si>
  <si>
    <t>02-10-2023 01:45</t>
  </si>
  <si>
    <t>02-10-2023 02:00</t>
  </si>
  <si>
    <t>02-10-2023 02:15</t>
  </si>
  <si>
    <t>02-10-2023 02:30</t>
  </si>
  <si>
    <t>02-10-2023 02:45</t>
  </si>
  <si>
    <t>02-10-2023 03:00</t>
  </si>
  <si>
    <t>02-10-2023 03:15</t>
  </si>
  <si>
    <t>02-10-2023 03:30</t>
  </si>
  <si>
    <t>02-10-2023 03:45</t>
  </si>
  <si>
    <t>02-10-2023 04:00</t>
  </si>
  <si>
    <t>02-10-2023 04:15</t>
  </si>
  <si>
    <t>02-10-2023 04:30</t>
  </si>
  <si>
    <t>02-10-2023 04:45</t>
  </si>
  <si>
    <t>02-10-2023 05:00</t>
  </si>
  <si>
    <t>02-10-2023 05:15</t>
  </si>
  <si>
    <t>02-10-2023 05:30</t>
  </si>
  <si>
    <t>02-10-2023 05:45</t>
  </si>
  <si>
    <t>02-10-2023 06:00</t>
  </si>
  <si>
    <t>02-10-2023 06:15</t>
  </si>
  <si>
    <t>02-10-2023 06:30</t>
  </si>
  <si>
    <t>02-10-2023 06:45</t>
  </si>
  <si>
    <t>02-10-2023 07:00</t>
  </si>
  <si>
    <t>02-10-2023 07:15</t>
  </si>
  <si>
    <t>02-10-2023 07:30</t>
  </si>
  <si>
    <t>02-10-2023 07:45</t>
  </si>
  <si>
    <t>02-10-2023 08:00</t>
  </si>
  <si>
    <t>02-10-2023 08:15</t>
  </si>
  <si>
    <t>02-10-2023 08:30</t>
  </si>
  <si>
    <t>02-10-2023 08:45</t>
  </si>
  <si>
    <t>02-10-2023 09:00</t>
  </si>
  <si>
    <t>02-10-2023 09:15</t>
  </si>
  <si>
    <t>02-10-2023 09:30</t>
  </si>
  <si>
    <t>02-10-2023 09:45</t>
  </si>
  <si>
    <t>02-10-2023 10:00</t>
  </si>
  <si>
    <t>02-10-2023 10:15</t>
  </si>
  <si>
    <t>02-10-2023 10:30</t>
  </si>
  <si>
    <t>02-10-2023 10:45</t>
  </si>
  <si>
    <t>02-10-2023 11:00</t>
  </si>
  <si>
    <t>02-10-2023 11:15</t>
  </si>
  <si>
    <t>02-10-2023 11:30</t>
  </si>
  <si>
    <t>02-10-2023 11:45</t>
  </si>
  <si>
    <t>02-10-2023 12:00</t>
  </si>
  <si>
    <t>02-10-2023 12:15</t>
  </si>
  <si>
    <t>02-10-2023 12:30</t>
  </si>
  <si>
    <t>02-10-2023 12:45</t>
  </si>
  <si>
    <t>02-10-2023 13:00</t>
  </si>
  <si>
    <t>02-10-2023 13:15</t>
  </si>
  <si>
    <t>02-10-2023 13:30</t>
  </si>
  <si>
    <t>02-10-2023 13:45</t>
  </si>
  <si>
    <t>02-10-2023 14:00</t>
  </si>
  <si>
    <t>02-10-2023 14:15</t>
  </si>
  <si>
    <t>02-10-2023 14:30</t>
  </si>
  <si>
    <t>02-10-2023 14:45</t>
  </si>
  <si>
    <t>02-10-2023 15:00</t>
  </si>
  <si>
    <t>02-10-2023 15:15</t>
  </si>
  <si>
    <t>02-10-2023 15:30</t>
  </si>
  <si>
    <t>02-10-2023 15:45</t>
  </si>
  <si>
    <t>02-10-2023 16:00</t>
  </si>
  <si>
    <t>02-10-2023 16:15</t>
  </si>
  <si>
    <t>02-10-2023 16:30</t>
  </si>
  <si>
    <t>02-10-2023 16:45</t>
  </si>
  <si>
    <t>02-10-2023 17:00</t>
  </si>
  <si>
    <t>02-10-2023 17:15</t>
  </si>
  <si>
    <t>02-10-2023 17:30</t>
  </si>
  <si>
    <t>02-10-2023 17:45</t>
  </si>
  <si>
    <t>02-10-2023 18:00</t>
  </si>
  <si>
    <t>02-10-2023 18:15</t>
  </si>
  <si>
    <t>02-10-2023 18:30</t>
  </si>
  <si>
    <t>02-10-2023 18:45</t>
  </si>
  <si>
    <t>02-10-2023 19:00</t>
  </si>
  <si>
    <t>02-10-2023 19:15</t>
  </si>
  <si>
    <t>02-10-2023 19:30</t>
  </si>
  <si>
    <t>02-10-2023 19:45</t>
  </si>
  <si>
    <t>02-10-2023 20:00</t>
  </si>
  <si>
    <t>02-10-2023 20:15</t>
  </si>
  <si>
    <t>02-10-2023 20:30</t>
  </si>
  <si>
    <t>02-10-2023 20:45</t>
  </si>
  <si>
    <t>02-10-2023 21:00</t>
  </si>
  <si>
    <t>02-10-2023 21:15</t>
  </si>
  <si>
    <t>02-10-2023 21:30</t>
  </si>
  <si>
    <t>02-10-2023 21:45</t>
  </si>
  <si>
    <t>02-10-2023 22:00</t>
  </si>
  <si>
    <t>02-10-2023 22:15</t>
  </si>
  <si>
    <t>02-10-2023 22:30</t>
  </si>
  <si>
    <t>02-10-2023 22:45</t>
  </si>
  <si>
    <t>02-10-2023 23:00</t>
  </si>
  <si>
    <t>02-10-2023 23:15</t>
  </si>
  <si>
    <t>02-10-2023 23:30</t>
  </si>
  <si>
    <t>02-10-2023 23:45</t>
  </si>
  <si>
    <t>02-10-2023 24:00</t>
  </si>
  <si>
    <t>03-10-2023 00:15</t>
  </si>
  <si>
    <t>03-10-2023 00:30</t>
  </si>
  <si>
    <t>03-10-2023 00:45</t>
  </si>
  <si>
    <t>03-10-2023 01:00</t>
  </si>
  <si>
    <t>03-10-2023 01:15</t>
  </si>
  <si>
    <t>03-10-2023 01:30</t>
  </si>
  <si>
    <t>03-10-2023 01:45</t>
  </si>
  <si>
    <t>03-10-2023 02:00</t>
  </si>
  <si>
    <t>03-10-2023 02:15</t>
  </si>
  <si>
    <t>03-10-2023 02:30</t>
  </si>
  <si>
    <t>03-10-2023 02:45</t>
  </si>
  <si>
    <t>03-10-2023 03:00</t>
  </si>
  <si>
    <t>03-10-2023 03:15</t>
  </si>
  <si>
    <t>03-10-2023 03:30</t>
  </si>
  <si>
    <t>03-10-2023 03:45</t>
  </si>
  <si>
    <t>03-10-2023 04:00</t>
  </si>
  <si>
    <t>03-10-2023 04:15</t>
  </si>
  <si>
    <t>03-10-2023 04:30</t>
  </si>
  <si>
    <t>03-10-2023 04:45</t>
  </si>
  <si>
    <t>03-10-2023 05:00</t>
  </si>
  <si>
    <t>03-10-2023 05:15</t>
  </si>
  <si>
    <t>03-10-2023 05:30</t>
  </si>
  <si>
    <t>03-10-2023 05:45</t>
  </si>
  <si>
    <t>03-10-2023 06:00</t>
  </si>
  <si>
    <t>03-10-2023 06:15</t>
  </si>
  <si>
    <t>03-10-2023 06:30</t>
  </si>
  <si>
    <t>03-10-2023 06:45</t>
  </si>
  <si>
    <t>03-10-2023 07:00</t>
  </si>
  <si>
    <t>03-10-2023 07:15</t>
  </si>
  <si>
    <t>03-10-2023 07:30</t>
  </si>
  <si>
    <t>03-10-2023 07:45</t>
  </si>
  <si>
    <t>03-10-2023 08:00</t>
  </si>
  <si>
    <t>03-10-2023 08:15</t>
  </si>
  <si>
    <t>03-10-2023 08:30</t>
  </si>
  <si>
    <t>03-10-2023 08:45</t>
  </si>
  <si>
    <t>03-10-2023 09:00</t>
  </si>
  <si>
    <t>03-10-2023 09:15</t>
  </si>
  <si>
    <t>03-10-2023 09:30</t>
  </si>
  <si>
    <t>03-10-2023 09:45</t>
  </si>
  <si>
    <t>03-10-2023 10:00</t>
  </si>
  <si>
    <t>03-10-2023 10:15</t>
  </si>
  <si>
    <t>03-10-2023 10:30</t>
  </si>
  <si>
    <t>03-10-2023 10:45</t>
  </si>
  <si>
    <t>03-10-2023 11:00</t>
  </si>
  <si>
    <t>03-10-2023 11:15</t>
  </si>
  <si>
    <t>03-10-2023 11:30</t>
  </si>
  <si>
    <t>03-10-2023 11:45</t>
  </si>
  <si>
    <t>03-10-2023 12:00</t>
  </si>
  <si>
    <t>03-10-2023 12:15</t>
  </si>
  <si>
    <t>03-10-2023 12:30</t>
  </si>
  <si>
    <t>03-10-2023 12:45</t>
  </si>
  <si>
    <t>03-10-2023 13:00</t>
  </si>
  <si>
    <t>03-10-2023 13:15</t>
  </si>
  <si>
    <t>03-10-2023 13:30</t>
  </si>
  <si>
    <t>03-10-2023 13:45</t>
  </si>
  <si>
    <t>03-10-2023 14:00</t>
  </si>
  <si>
    <t>03-10-2023 14:15</t>
  </si>
  <si>
    <t>03-10-2023 14:30</t>
  </si>
  <si>
    <t>03-10-2023 14:45</t>
  </si>
  <si>
    <t>03-10-2023 15:00</t>
  </si>
  <si>
    <t>03-10-2023 15:15</t>
  </si>
  <si>
    <t>03-10-2023 15:30</t>
  </si>
  <si>
    <t>03-10-2023 15:45</t>
  </si>
  <si>
    <t>03-10-2023 16:00</t>
  </si>
  <si>
    <t>03-10-2023 16:15</t>
  </si>
  <si>
    <t>03-10-2023 16:30</t>
  </si>
  <si>
    <t>03-10-2023 16:45</t>
  </si>
  <si>
    <t>03-10-2023 17:00</t>
  </si>
  <si>
    <t>03-10-2023 17:15</t>
  </si>
  <si>
    <t>03-10-2023 17:30</t>
  </si>
  <si>
    <t>03-10-2023 17:45</t>
  </si>
  <si>
    <t>03-10-2023 18:00</t>
  </si>
  <si>
    <t>03-10-2023 18:15</t>
  </si>
  <si>
    <t>03-10-2023 18:30</t>
  </si>
  <si>
    <t>03-10-2023 18:45</t>
  </si>
  <si>
    <t>03-10-2023 19:00</t>
  </si>
  <si>
    <t>03-10-2023 19:15</t>
  </si>
  <si>
    <t>03-10-2023 19:30</t>
  </si>
  <si>
    <t>03-10-2023 19:45</t>
  </si>
  <si>
    <t>03-10-2023 20:00</t>
  </si>
  <si>
    <t>03-10-2023 20:15</t>
  </si>
  <si>
    <t>03-10-2023 20:30</t>
  </si>
  <si>
    <t>03-10-2023 20:45</t>
  </si>
  <si>
    <t>03-10-2023 21:00</t>
  </si>
  <si>
    <t>03-10-2023 21:15</t>
  </si>
  <si>
    <t>03-10-2023 21:30</t>
  </si>
  <si>
    <t>03-10-2023 21:45</t>
  </si>
  <si>
    <t>03-10-2023 22:00</t>
  </si>
  <si>
    <t>03-10-2023 22:15</t>
  </si>
  <si>
    <t>03-10-2023 22:30</t>
  </si>
  <si>
    <t>03-10-2023 22:45</t>
  </si>
  <si>
    <t>03-10-2023 23:00</t>
  </si>
  <si>
    <t>03-10-2023 23:15</t>
  </si>
  <si>
    <t>03-10-2023 23:30</t>
  </si>
  <si>
    <t>03-10-2023 23:45</t>
  </si>
  <si>
    <t>03-10-2023 24:00</t>
  </si>
  <si>
    <t>04-10-2023 00:15</t>
  </si>
  <si>
    <t>04-10-2023 00:30</t>
  </si>
  <si>
    <t>04-10-2023 00:45</t>
  </si>
  <si>
    <t>04-10-2023 01:00</t>
  </si>
  <si>
    <t>04-10-2023 01:15</t>
  </si>
  <si>
    <t>04-10-2023 01:30</t>
  </si>
  <si>
    <t>04-10-2023 01:45</t>
  </si>
  <si>
    <t>04-10-2023 02:00</t>
  </si>
  <si>
    <t>04-10-2023 02:15</t>
  </si>
  <si>
    <t>04-10-2023 02:30</t>
  </si>
  <si>
    <t>04-10-2023 02:45</t>
  </si>
  <si>
    <t>04-10-2023 03:00</t>
  </si>
  <si>
    <t>04-10-2023 03:15</t>
  </si>
  <si>
    <t>04-10-2023 03:30</t>
  </si>
  <si>
    <t>04-10-2023 03:45</t>
  </si>
  <si>
    <t>04-10-2023 04:00</t>
  </si>
  <si>
    <t>04-10-2023 04:15</t>
  </si>
  <si>
    <t>04-10-2023 04:30</t>
  </si>
  <si>
    <t>04-10-2023 04:45</t>
  </si>
  <si>
    <t>04-10-2023 05:00</t>
  </si>
  <si>
    <t>04-10-2023 05:15</t>
  </si>
  <si>
    <t>04-10-2023 05:30</t>
  </si>
  <si>
    <t>04-10-2023 05:45</t>
  </si>
  <si>
    <t>04-10-2023 06:00</t>
  </si>
  <si>
    <t>04-10-2023 06:15</t>
  </si>
  <si>
    <t>04-10-2023 06:30</t>
  </si>
  <si>
    <t>04-10-2023 06:45</t>
  </si>
  <si>
    <t>04-10-2023 07:00</t>
  </si>
  <si>
    <t>04-10-2023 07:15</t>
  </si>
  <si>
    <t>04-10-2023 07:30</t>
  </si>
  <si>
    <t>04-10-2023 07:45</t>
  </si>
  <si>
    <t>04-10-2023 08:00</t>
  </si>
  <si>
    <t>04-10-2023 08:15</t>
  </si>
  <si>
    <t>04-10-2023 08:30</t>
  </si>
  <si>
    <t>04-10-2023 08:45</t>
  </si>
  <si>
    <t>04-10-2023 09:00</t>
  </si>
  <si>
    <t>04-10-2023 09:15</t>
  </si>
  <si>
    <t>04-10-2023 09:30</t>
  </si>
  <si>
    <t>04-10-2023 09:45</t>
  </si>
  <si>
    <t>04-10-2023 10:00</t>
  </si>
  <si>
    <t>04-10-2023 10:15</t>
  </si>
  <si>
    <t>04-10-2023 10:30</t>
  </si>
  <si>
    <t>04-10-2023 10:45</t>
  </si>
  <si>
    <t>04-10-2023 11:00</t>
  </si>
  <si>
    <t>04-10-2023 11:15</t>
  </si>
  <si>
    <t>04-10-2023 11:30</t>
  </si>
  <si>
    <t>04-10-2023 11:45</t>
  </si>
  <si>
    <t>04-10-2023 12:00</t>
  </si>
  <si>
    <t>04-10-2023 12:15</t>
  </si>
  <si>
    <t>04-10-2023 12:30</t>
  </si>
  <si>
    <t>04-10-2023 12:45</t>
  </si>
  <si>
    <t>04-10-2023 13:00</t>
  </si>
  <si>
    <t>04-10-2023 13:15</t>
  </si>
  <si>
    <t>04-10-2023 13:30</t>
  </si>
  <si>
    <t>04-10-2023 13:45</t>
  </si>
  <si>
    <t>04-10-2023 14:00</t>
  </si>
  <si>
    <t>04-10-2023 14:15</t>
  </si>
  <si>
    <t>04-10-2023 14:30</t>
  </si>
  <si>
    <t>04-10-2023 14:45</t>
  </si>
  <si>
    <t>04-10-2023 15:00</t>
  </si>
  <si>
    <t>04-10-2023 15:15</t>
  </si>
  <si>
    <t>04-10-2023 15:30</t>
  </si>
  <si>
    <t>04-10-2023 15:45</t>
  </si>
  <si>
    <t>04-10-2023 16:00</t>
  </si>
  <si>
    <t>04-10-2023 16:15</t>
  </si>
  <si>
    <t>04-10-2023 16:30</t>
  </si>
  <si>
    <t>04-10-2023 16:45</t>
  </si>
  <si>
    <t>04-10-2023 17:00</t>
  </si>
  <si>
    <t>04-10-2023 17:15</t>
  </si>
  <si>
    <t>04-10-2023 17:30</t>
  </si>
  <si>
    <t>04-10-2023 17:45</t>
  </si>
  <si>
    <t>04-10-2023 18:00</t>
  </si>
  <si>
    <t>04-10-2023 18:15</t>
  </si>
  <si>
    <t>04-10-2023 18:30</t>
  </si>
  <si>
    <t>04-10-2023 18:45</t>
  </si>
  <si>
    <t>04-10-2023 19:00</t>
  </si>
  <si>
    <t>04-10-2023 19:15</t>
  </si>
  <si>
    <t>04-10-2023 19:30</t>
  </si>
  <si>
    <t>04-10-2023 19:45</t>
  </si>
  <si>
    <t>04-10-2023 20:00</t>
  </si>
  <si>
    <t>04-10-2023 20:15</t>
  </si>
  <si>
    <t>04-10-2023 20:30</t>
  </si>
  <si>
    <t>04-10-2023 20:45</t>
  </si>
  <si>
    <t>04-10-2023 21:00</t>
  </si>
  <si>
    <t>04-10-2023 21:15</t>
  </si>
  <si>
    <t>04-10-2023 21:30</t>
  </si>
  <si>
    <t>04-10-2023 21:45</t>
  </si>
  <si>
    <t>04-10-2023 22:00</t>
  </si>
  <si>
    <t>04-10-2023 22:15</t>
  </si>
  <si>
    <t>04-10-2023 22:30</t>
  </si>
  <si>
    <t>04-10-2023 22:45</t>
  </si>
  <si>
    <t>04-10-2023 23:00</t>
  </si>
  <si>
    <t>04-10-2023 23:15</t>
  </si>
  <si>
    <t>04-10-2023 23:30</t>
  </si>
  <si>
    <t>04-10-2023 23:45</t>
  </si>
  <si>
    <t>04-10-2023 24:00</t>
  </si>
  <si>
    <t>05-10-2023 00:15</t>
  </si>
  <si>
    <t>05-10-2023 00:30</t>
  </si>
  <si>
    <t>05-10-2023 00:45</t>
  </si>
  <si>
    <t>05-10-2023 01:00</t>
  </si>
  <si>
    <t>05-10-2023 01:15</t>
  </si>
  <si>
    <t>05-10-2023 01:30</t>
  </si>
  <si>
    <t>05-10-2023 01:45</t>
  </si>
  <si>
    <t>05-10-2023 02:00</t>
  </si>
  <si>
    <t>05-10-2023 02:15</t>
  </si>
  <si>
    <t>05-10-2023 02:30</t>
  </si>
  <si>
    <t>05-10-2023 02:45</t>
  </si>
  <si>
    <t>05-10-2023 03:00</t>
  </si>
  <si>
    <t>05-10-2023 03:15</t>
  </si>
  <si>
    <t>05-10-2023 03:30</t>
  </si>
  <si>
    <t>05-10-2023 03:45</t>
  </si>
  <si>
    <t>05-10-2023 04:00</t>
  </si>
  <si>
    <t>05-10-2023 04:15</t>
  </si>
  <si>
    <t>05-10-2023 04:30</t>
  </si>
  <si>
    <t>05-10-2023 04:45</t>
  </si>
  <si>
    <t>05-10-2023 05:00</t>
  </si>
  <si>
    <t>05-10-2023 05:15</t>
  </si>
  <si>
    <t>05-10-2023 05:30</t>
  </si>
  <si>
    <t>05-10-2023 05:45</t>
  </si>
  <si>
    <t>05-10-2023 06:00</t>
  </si>
  <si>
    <t>05-10-2023 06:15</t>
  </si>
  <si>
    <t>05-10-2023 06:30</t>
  </si>
  <si>
    <t>05-10-2023 06:45</t>
  </si>
  <si>
    <t>05-10-2023 07:00</t>
  </si>
  <si>
    <t>05-10-2023 07:15</t>
  </si>
  <si>
    <t>05-10-2023 07:30</t>
  </si>
  <si>
    <t>05-10-2023 07:45</t>
  </si>
  <si>
    <t>05-10-2023 08:00</t>
  </si>
  <si>
    <t>05-10-2023 08:15</t>
  </si>
  <si>
    <t>05-10-2023 08:30</t>
  </si>
  <si>
    <t>05-10-2023 08:45</t>
  </si>
  <si>
    <t>05-10-2023 09:00</t>
  </si>
  <si>
    <t>05-10-2023 09:15</t>
  </si>
  <si>
    <t>05-10-2023 09:30</t>
  </si>
  <si>
    <t>05-10-2023 09:45</t>
  </si>
  <si>
    <t>05-10-2023 10:00</t>
  </si>
  <si>
    <t>05-10-2023 10:15</t>
  </si>
  <si>
    <t>05-10-2023 10:30</t>
  </si>
  <si>
    <t>05-10-2023 10:45</t>
  </si>
  <si>
    <t>05-10-2023 11:00</t>
  </si>
  <si>
    <t>05-10-2023 11:15</t>
  </si>
  <si>
    <t>05-10-2023 11:30</t>
  </si>
  <si>
    <t>05-10-2023 11:45</t>
  </si>
  <si>
    <t>05-10-2023 12:00</t>
  </si>
  <si>
    <t>05-10-2023 12:15</t>
  </si>
  <si>
    <t>05-10-2023 12:30</t>
  </si>
  <si>
    <t>05-10-2023 12:45</t>
  </si>
  <si>
    <t>05-10-2023 13:00</t>
  </si>
  <si>
    <t>05-10-2023 13:15</t>
  </si>
  <si>
    <t>05-10-2023 13:30</t>
  </si>
  <si>
    <t>05-10-2023 13:45</t>
  </si>
  <si>
    <t>05-10-2023 14:00</t>
  </si>
  <si>
    <t>05-10-2023 14:15</t>
  </si>
  <si>
    <t>05-10-2023 14:30</t>
  </si>
  <si>
    <t>05-10-2023 14:45</t>
  </si>
  <si>
    <t>05-10-2023 15:00</t>
  </si>
  <si>
    <t>05-10-2023 15:15</t>
  </si>
  <si>
    <t>05-10-2023 15:30</t>
  </si>
  <si>
    <t>05-10-2023 15:45</t>
  </si>
  <si>
    <t>05-10-2023 16:00</t>
  </si>
  <si>
    <t>05-10-2023 16:15</t>
  </si>
  <si>
    <t>05-10-2023 16:30</t>
  </si>
  <si>
    <t>05-10-2023 16:45</t>
  </si>
  <si>
    <t>05-10-2023 17:00</t>
  </si>
  <si>
    <t>05-10-2023 17:15</t>
  </si>
  <si>
    <t>05-10-2023 17:30</t>
  </si>
  <si>
    <t>05-10-2023 17:45</t>
  </si>
  <si>
    <t>05-10-2023 18:00</t>
  </si>
  <si>
    <t>05-10-2023 18:15</t>
  </si>
  <si>
    <t>05-10-2023 18:30</t>
  </si>
  <si>
    <t>05-10-2023 18:45</t>
  </si>
  <si>
    <t>05-10-2023 19:00</t>
  </si>
  <si>
    <t>05-10-2023 19:15</t>
  </si>
  <si>
    <t>05-10-2023 19:30</t>
  </si>
  <si>
    <t>05-10-2023 19:45</t>
  </si>
  <si>
    <t>05-10-2023 20:00</t>
  </si>
  <si>
    <t>05-10-2023 20:15</t>
  </si>
  <si>
    <t>05-10-2023 20:30</t>
  </si>
  <si>
    <t>05-10-2023 20:45</t>
  </si>
  <si>
    <t>05-10-2023 21:00</t>
  </si>
  <si>
    <t>05-10-2023 21:15</t>
  </si>
  <si>
    <t>05-10-2023 21:30</t>
  </si>
  <si>
    <t>05-10-2023 21:45</t>
  </si>
  <si>
    <t>05-10-2023 22:00</t>
  </si>
  <si>
    <t>05-10-2023 22:15</t>
  </si>
  <si>
    <t>05-10-2023 22:30</t>
  </si>
  <si>
    <t>05-10-2023 22:45</t>
  </si>
  <si>
    <t>05-10-2023 23:00</t>
  </si>
  <si>
    <t>05-10-2023 23:15</t>
  </si>
  <si>
    <t>05-10-2023 23:30</t>
  </si>
  <si>
    <t>05-10-2023 23:45</t>
  </si>
  <si>
    <t>05-10-2023 24:00</t>
  </si>
  <si>
    <t>06-10-2023 00:15</t>
  </si>
  <si>
    <t>06-10-2023 00:30</t>
  </si>
  <si>
    <t>06-10-2023 00:45</t>
  </si>
  <si>
    <t>06-10-2023 01:00</t>
  </si>
  <si>
    <t>06-10-2023 01:15</t>
  </si>
  <si>
    <t>06-10-2023 01:30</t>
  </si>
  <si>
    <t>06-10-2023 01:45</t>
  </si>
  <si>
    <t>06-10-2023 02:00</t>
  </si>
  <si>
    <t>06-10-2023 02:15</t>
  </si>
  <si>
    <t>06-10-2023 02:30</t>
  </si>
  <si>
    <t>06-10-2023 02:45</t>
  </si>
  <si>
    <t>06-10-2023 03:00</t>
  </si>
  <si>
    <t>06-10-2023 03:15</t>
  </si>
  <si>
    <t>06-10-2023 03:30</t>
  </si>
  <si>
    <t>06-10-2023 03:45</t>
  </si>
  <si>
    <t>06-10-2023 04:00</t>
  </si>
  <si>
    <t>06-10-2023 04:15</t>
  </si>
  <si>
    <t>06-10-2023 04:30</t>
  </si>
  <si>
    <t>06-10-2023 04:45</t>
  </si>
  <si>
    <t>06-10-2023 05:00</t>
  </si>
  <si>
    <t>06-10-2023 05:15</t>
  </si>
  <si>
    <t>06-10-2023 05:30</t>
  </si>
  <si>
    <t>06-10-2023 05:45</t>
  </si>
  <si>
    <t>06-10-2023 06:00</t>
  </si>
  <si>
    <t>06-10-2023 06:15</t>
  </si>
  <si>
    <t>06-10-2023 06:30</t>
  </si>
  <si>
    <t>06-10-2023 06:45</t>
  </si>
  <si>
    <t>06-10-2023 07:00</t>
  </si>
  <si>
    <t>06-10-2023 07:15</t>
  </si>
  <si>
    <t>06-10-2023 07:30</t>
  </si>
  <si>
    <t>06-10-2023 07:45</t>
  </si>
  <si>
    <t>06-10-2023 08:00</t>
  </si>
  <si>
    <t>06-10-2023 08:15</t>
  </si>
  <si>
    <t>06-10-2023 08:30</t>
  </si>
  <si>
    <t>06-10-2023 08:45</t>
  </si>
  <si>
    <t>06-10-2023 09:00</t>
  </si>
  <si>
    <t>06-10-2023 09:15</t>
  </si>
  <si>
    <t>06-10-2023 09:30</t>
  </si>
  <si>
    <t>06-10-2023 09:45</t>
  </si>
  <si>
    <t>06-10-2023 10:00</t>
  </si>
  <si>
    <t>06-10-2023 10:15</t>
  </si>
  <si>
    <t>06-10-2023 10:30</t>
  </si>
  <si>
    <t>06-10-2023 10:45</t>
  </si>
  <si>
    <t>06-10-2023 11:00</t>
  </si>
  <si>
    <t>06-10-2023 11:15</t>
  </si>
  <si>
    <t>06-10-2023 11:30</t>
  </si>
  <si>
    <t>06-10-2023 11:45</t>
  </si>
  <si>
    <t>06-10-2023 12:00</t>
  </si>
  <si>
    <t>06-10-2023 12:15</t>
  </si>
  <si>
    <t>06-10-2023 12:30</t>
  </si>
  <si>
    <t>06-10-2023 12:45</t>
  </si>
  <si>
    <t>06-10-2023 13:00</t>
  </si>
  <si>
    <t>06-10-2023 13:15</t>
  </si>
  <si>
    <t>06-10-2023 13:30</t>
  </si>
  <si>
    <t>06-10-2023 13:45</t>
  </si>
  <si>
    <t>06-10-2023 14:00</t>
  </si>
  <si>
    <t>06-10-2023 14:15</t>
  </si>
  <si>
    <t>06-10-2023 14:30</t>
  </si>
  <si>
    <t>06-10-2023 14:45</t>
  </si>
  <si>
    <t>06-10-2023 15:00</t>
  </si>
  <si>
    <t>06-10-2023 15:15</t>
  </si>
  <si>
    <t>06-10-2023 15:30</t>
  </si>
  <si>
    <t>06-10-2023 15:45</t>
  </si>
  <si>
    <t>06-10-2023 16:00</t>
  </si>
  <si>
    <t>06-10-2023 16:15</t>
  </si>
  <si>
    <t>06-10-2023 16:30</t>
  </si>
  <si>
    <t>06-10-2023 16:45</t>
  </si>
  <si>
    <t>06-10-2023 17:00</t>
  </si>
  <si>
    <t>06-10-2023 17:15</t>
  </si>
  <si>
    <t>06-10-2023 17:30</t>
  </si>
  <si>
    <t>06-10-2023 17:45</t>
  </si>
  <si>
    <t>06-10-2023 18:00</t>
  </si>
  <si>
    <t>06-10-2023 18:15</t>
  </si>
  <si>
    <t>06-10-2023 18:30</t>
  </si>
  <si>
    <t>06-10-2023 18:45</t>
  </si>
  <si>
    <t>06-10-2023 19:00</t>
  </si>
  <si>
    <t>06-10-2023 19:15</t>
  </si>
  <si>
    <t>06-10-2023 19:30</t>
  </si>
  <si>
    <t>06-10-2023 19:45</t>
  </si>
  <si>
    <t>06-10-2023 20:00</t>
  </si>
  <si>
    <t>06-10-2023 20:15</t>
  </si>
  <si>
    <t>06-10-2023 20:30</t>
  </si>
  <si>
    <t>06-10-2023 20:45</t>
  </si>
  <si>
    <t>06-10-2023 21:00</t>
  </si>
  <si>
    <t>06-10-2023 21:15</t>
  </si>
  <si>
    <t>06-10-2023 21:30</t>
  </si>
  <si>
    <t>06-10-2023 21:45</t>
  </si>
  <si>
    <t>06-10-2023 22:00</t>
  </si>
  <si>
    <t>06-10-2023 22:15</t>
  </si>
  <si>
    <t>06-10-2023 22:30</t>
  </si>
  <si>
    <t>06-10-2023 22:45</t>
  </si>
  <si>
    <t>06-10-2023 23:00</t>
  </si>
  <si>
    <t>06-10-2023 23:15</t>
  </si>
  <si>
    <t>06-10-2023 23:30</t>
  </si>
  <si>
    <t>06-10-2023 23:45</t>
  </si>
  <si>
    <t>06-10-2023 24:00</t>
  </si>
  <si>
    <t>07-10-2023 00:15</t>
  </si>
  <si>
    <t>07-10-2023 00:30</t>
  </si>
  <si>
    <t>07-10-2023 00:45</t>
  </si>
  <si>
    <t>07-10-2023 01:00</t>
  </si>
  <si>
    <t>07-10-2023 01:15</t>
  </si>
  <si>
    <t>07-10-2023 01:30</t>
  </si>
  <si>
    <t>07-10-2023 01:45</t>
  </si>
  <si>
    <t>07-10-2023 02:00</t>
  </si>
  <si>
    <t>07-10-2023 02:15</t>
  </si>
  <si>
    <t>07-10-2023 02:30</t>
  </si>
  <si>
    <t>07-10-2023 02:45</t>
  </si>
  <si>
    <t>07-10-2023 03:00</t>
  </si>
  <si>
    <t>07-10-2023 03:15</t>
  </si>
  <si>
    <t>07-10-2023 03:30</t>
  </si>
  <si>
    <t>07-10-2023 03:45</t>
  </si>
  <si>
    <t>07-10-2023 04:00</t>
  </si>
  <si>
    <t>07-10-2023 04:15</t>
  </si>
  <si>
    <t>07-10-2023 04:30</t>
  </si>
  <si>
    <t>07-10-2023 04:45</t>
  </si>
  <si>
    <t>07-10-2023 05:00</t>
  </si>
  <si>
    <t>07-10-2023 05:15</t>
  </si>
  <si>
    <t>07-10-2023 05:30</t>
  </si>
  <si>
    <t>07-10-2023 05:45</t>
  </si>
  <si>
    <t>07-10-2023 06:00</t>
  </si>
  <si>
    <t>07-10-2023 06:15</t>
  </si>
  <si>
    <t>07-10-2023 06:30</t>
  </si>
  <si>
    <t>07-10-2023 06:45</t>
  </si>
  <si>
    <t>07-10-2023 07:00</t>
  </si>
  <si>
    <t>07-10-2023 07:15</t>
  </si>
  <si>
    <t>07-10-2023 07:30</t>
  </si>
  <si>
    <t>07-10-2023 07:45</t>
  </si>
  <si>
    <t>07-10-2023 08:00</t>
  </si>
  <si>
    <t>07-10-2023 08:15</t>
  </si>
  <si>
    <t>07-10-2023 08:30</t>
  </si>
  <si>
    <t>07-10-2023 08:45</t>
  </si>
  <si>
    <t>07-10-2023 09:00</t>
  </si>
  <si>
    <t>07-10-2023 09:15</t>
  </si>
  <si>
    <t>07-10-2023 09:30</t>
  </si>
  <si>
    <t>07-10-2023 09:45</t>
  </si>
  <si>
    <t>07-10-2023 10:00</t>
  </si>
  <si>
    <t>07-10-2023 10:15</t>
  </si>
  <si>
    <t>07-10-2023 10:30</t>
  </si>
  <si>
    <t>07-10-2023 10:45</t>
  </si>
  <si>
    <t>07-10-2023 11:00</t>
  </si>
  <si>
    <t>07-10-2023 11:15</t>
  </si>
  <si>
    <t>07-10-2023 11:30</t>
  </si>
  <si>
    <t>07-10-2023 11:45</t>
  </si>
  <si>
    <t>07-10-2023 12:00</t>
  </si>
  <si>
    <t>07-10-2023 12:15</t>
  </si>
  <si>
    <t>07-10-2023 12:30</t>
  </si>
  <si>
    <t>07-10-2023 12:45</t>
  </si>
  <si>
    <t>07-10-2023 13:00</t>
  </si>
  <si>
    <t>07-10-2023 13:15</t>
  </si>
  <si>
    <t>07-10-2023 13:30</t>
  </si>
  <si>
    <t>07-10-2023 13:45</t>
  </si>
  <si>
    <t>07-10-2023 14:00</t>
  </si>
  <si>
    <t>07-10-2023 14:15</t>
  </si>
  <si>
    <t>07-10-2023 14:30</t>
  </si>
  <si>
    <t>07-10-2023 14:45</t>
  </si>
  <si>
    <t>07-10-2023 15:00</t>
  </si>
  <si>
    <t>07-10-2023 15:15</t>
  </si>
  <si>
    <t>07-10-2023 15:30</t>
  </si>
  <si>
    <t>07-10-2023 15:45</t>
  </si>
  <si>
    <t>07-10-2023 16:00</t>
  </si>
  <si>
    <t>07-10-2023 16:15</t>
  </si>
  <si>
    <t>07-10-2023 16:30</t>
  </si>
  <si>
    <t>07-10-2023 16:45</t>
  </si>
  <si>
    <t>07-10-2023 17:00</t>
  </si>
  <si>
    <t>07-10-2023 17:15</t>
  </si>
  <si>
    <t>07-10-2023 17:30</t>
  </si>
  <si>
    <t>07-10-2023 17:45</t>
  </si>
  <si>
    <t>07-10-2023 18:00</t>
  </si>
  <si>
    <t>07-10-2023 18:15</t>
  </si>
  <si>
    <t>07-10-2023 18:30</t>
  </si>
  <si>
    <t>07-10-2023 18:45</t>
  </si>
  <si>
    <t>07-10-2023 19:00</t>
  </si>
  <si>
    <t>07-10-2023 19:15</t>
  </si>
  <si>
    <t>07-10-2023 19:30</t>
  </si>
  <si>
    <t>07-10-2023 19:45</t>
  </si>
  <si>
    <t>07-10-2023 20:00</t>
  </si>
  <si>
    <t>07-10-2023 20:15</t>
  </si>
  <si>
    <t>07-10-2023 20:30</t>
  </si>
  <si>
    <t>07-10-2023 20:45</t>
  </si>
  <si>
    <t>07-10-2023 21:00</t>
  </si>
  <si>
    <t>07-10-2023 21:15</t>
  </si>
  <si>
    <t>07-10-2023 21:30</t>
  </si>
  <si>
    <t>07-10-2023 21:45</t>
  </si>
  <si>
    <t>07-10-2023 22:00</t>
  </si>
  <si>
    <t>07-10-2023 22:15</t>
  </si>
  <si>
    <t>07-10-2023 22:30</t>
  </si>
  <si>
    <t>07-10-2023 22:45</t>
  </si>
  <si>
    <t>07-10-2023 23:00</t>
  </si>
  <si>
    <t>07-10-2023 23:15</t>
  </si>
  <si>
    <t>07-10-2023 23:30</t>
  </si>
  <si>
    <t>07-10-2023 23:45</t>
  </si>
  <si>
    <t>07-10-2023 24:00</t>
  </si>
  <si>
    <t>08-10-2023 00:15</t>
  </si>
  <si>
    <t>08-10-2023 00:30</t>
  </si>
  <si>
    <t>08-10-2023 00:45</t>
  </si>
  <si>
    <t>08-10-2023 01:00</t>
  </si>
  <si>
    <t>08-10-2023 01:15</t>
  </si>
  <si>
    <t>08-10-2023 01:30</t>
  </si>
  <si>
    <t>08-10-2023 01:45</t>
  </si>
  <si>
    <t>08-10-2023 02:00</t>
  </si>
  <si>
    <t>08-10-2023 02:15</t>
  </si>
  <si>
    <t>08-10-2023 02:30</t>
  </si>
  <si>
    <t>08-10-2023 02:45</t>
  </si>
  <si>
    <t>08-10-2023 03:00</t>
  </si>
  <si>
    <t>08-10-2023 03:15</t>
  </si>
  <si>
    <t>08-10-2023 03:30</t>
  </si>
  <si>
    <t>08-10-2023 03:45</t>
  </si>
  <si>
    <t>08-10-2023 04:00</t>
  </si>
  <si>
    <t>08-10-2023 04:15</t>
  </si>
  <si>
    <t>08-10-2023 04:30</t>
  </si>
  <si>
    <t>08-10-2023 04:45</t>
  </si>
  <si>
    <t>08-10-2023 05:00</t>
  </si>
  <si>
    <t>08-10-2023 05:15</t>
  </si>
  <si>
    <t>08-10-2023 05:30</t>
  </si>
  <si>
    <t>08-10-2023 05:45</t>
  </si>
  <si>
    <t>08-10-2023 06:00</t>
  </si>
  <si>
    <t>08-10-2023 06:15</t>
  </si>
  <si>
    <t>08-10-2023 06:30</t>
  </si>
  <si>
    <t>08-10-2023 06:45</t>
  </si>
  <si>
    <t>08-10-2023 07:00</t>
  </si>
  <si>
    <t>08-10-2023 07:15</t>
  </si>
  <si>
    <t>08-10-2023 07:30</t>
  </si>
  <si>
    <t>08-10-2023 07:45</t>
  </si>
  <si>
    <t>08-10-2023 08:00</t>
  </si>
  <si>
    <t>08-10-2023 08:15</t>
  </si>
  <si>
    <t>08-10-2023 08:30</t>
  </si>
  <si>
    <t>08-10-2023 08:45</t>
  </si>
  <si>
    <t>08-10-2023 09:00</t>
  </si>
  <si>
    <t>08-10-2023 09:15</t>
  </si>
  <si>
    <t>08-10-2023 09:30</t>
  </si>
  <si>
    <t>08-10-2023 09:45</t>
  </si>
  <si>
    <t>08-10-2023 10:00</t>
  </si>
  <si>
    <t>08-10-2023 10:15</t>
  </si>
  <si>
    <t>08-10-2023 10:30</t>
  </si>
  <si>
    <t>08-10-2023 10:45</t>
  </si>
  <si>
    <t>08-10-2023 11:00</t>
  </si>
  <si>
    <t>08-10-2023 11:15</t>
  </si>
  <si>
    <t>08-10-2023 11:30</t>
  </si>
  <si>
    <t>08-10-2023 11:45</t>
  </si>
  <si>
    <t>08-10-2023 12:00</t>
  </si>
  <si>
    <t>08-10-2023 12:15</t>
  </si>
  <si>
    <t>08-10-2023 12:30</t>
  </si>
  <si>
    <t>08-10-2023 12:45</t>
  </si>
  <si>
    <t>08-10-2023 13:00</t>
  </si>
  <si>
    <t>08-10-2023 13:15</t>
  </si>
  <si>
    <t>08-10-2023 13:30</t>
  </si>
  <si>
    <t>08-10-2023 13:45</t>
  </si>
  <si>
    <t>08-10-2023 14:00</t>
  </si>
  <si>
    <t>08-10-2023 14:15</t>
  </si>
  <si>
    <t>08-10-2023 14:30</t>
  </si>
  <si>
    <t>08-10-2023 14:45</t>
  </si>
  <si>
    <t>08-10-2023 15:00</t>
  </si>
  <si>
    <t>08-10-2023 15:15</t>
  </si>
  <si>
    <t>08-10-2023 15:30</t>
  </si>
  <si>
    <t>08-10-2023 15:45</t>
  </si>
  <si>
    <t>08-10-2023 16:00</t>
  </si>
  <si>
    <t>08-10-2023 16:15</t>
  </si>
  <si>
    <t>08-10-2023 16:30</t>
  </si>
  <si>
    <t>08-10-2023 16:45</t>
  </si>
  <si>
    <t>08-10-2023 17:00</t>
  </si>
  <si>
    <t>08-10-2023 17:15</t>
  </si>
  <si>
    <t>08-10-2023 17:30</t>
  </si>
  <si>
    <t>08-10-2023 17:45</t>
  </si>
  <si>
    <t>08-10-2023 18:00</t>
  </si>
  <si>
    <t>08-10-2023 18:15</t>
  </si>
  <si>
    <t>08-10-2023 18:30</t>
  </si>
  <si>
    <t>08-10-2023 18:45</t>
  </si>
  <si>
    <t>08-10-2023 19:00</t>
  </si>
  <si>
    <t>08-10-2023 19:15</t>
  </si>
  <si>
    <t>08-10-2023 19:30</t>
  </si>
  <si>
    <t>08-10-2023 19:45</t>
  </si>
  <si>
    <t>08-10-2023 20:00</t>
  </si>
  <si>
    <t>08-10-2023 20:15</t>
  </si>
  <si>
    <t>08-10-2023 20:30</t>
  </si>
  <si>
    <t>08-10-2023 20:45</t>
  </si>
  <si>
    <t>08-10-2023 21:00</t>
  </si>
  <si>
    <t>08-10-2023 21:15</t>
  </si>
  <si>
    <t>08-10-2023 21:30</t>
  </si>
  <si>
    <t>08-10-2023 21:45</t>
  </si>
  <si>
    <t>08-10-2023 22:00</t>
  </si>
  <si>
    <t>08-10-2023 22:15</t>
  </si>
  <si>
    <t>08-10-2023 22:30</t>
  </si>
  <si>
    <t>08-10-2023 22:45</t>
  </si>
  <si>
    <t>08-10-2023 23:00</t>
  </si>
  <si>
    <t>08-10-2023 23:15</t>
  </si>
  <si>
    <t>08-10-2023 23:30</t>
  </si>
  <si>
    <t>08-10-2023 23:45</t>
  </si>
  <si>
    <t>08-10-2023 24:00</t>
  </si>
  <si>
    <t>09-10-2023 00:15</t>
  </si>
  <si>
    <t>09-10-2023 00:30</t>
  </si>
  <si>
    <t>09-10-2023 00:45</t>
  </si>
  <si>
    <t>09-10-2023 01:00</t>
  </si>
  <si>
    <t>09-10-2023 01:15</t>
  </si>
  <si>
    <t>09-10-2023 01:30</t>
  </si>
  <si>
    <t>09-10-2023 01:45</t>
  </si>
  <si>
    <t>09-10-2023 02:00</t>
  </si>
  <si>
    <t>09-10-2023 02:15</t>
  </si>
  <si>
    <t>09-10-2023 02:30</t>
  </si>
  <si>
    <t>09-10-2023 02:45</t>
  </si>
  <si>
    <t>09-10-2023 03:00</t>
  </si>
  <si>
    <t>09-10-2023 03:15</t>
  </si>
  <si>
    <t>09-10-2023 03:30</t>
  </si>
  <si>
    <t>09-10-2023 03:45</t>
  </si>
  <si>
    <t>09-10-2023 04:00</t>
  </si>
  <si>
    <t>09-10-2023 04:15</t>
  </si>
  <si>
    <t>09-10-2023 04:30</t>
  </si>
  <si>
    <t>09-10-2023 04:45</t>
  </si>
  <si>
    <t>09-10-2023 05:00</t>
  </si>
  <si>
    <t>09-10-2023 05:15</t>
  </si>
  <si>
    <t>09-10-2023 05:30</t>
  </si>
  <si>
    <t>09-10-2023 05:45</t>
  </si>
  <si>
    <t>09-10-2023 06:00</t>
  </si>
  <si>
    <t>09-10-2023 06:15</t>
  </si>
  <si>
    <t>09-10-2023 06:30</t>
  </si>
  <si>
    <t>09-10-2023 06:45</t>
  </si>
  <si>
    <t>09-10-2023 07:00</t>
  </si>
  <si>
    <t>09-10-2023 07:15</t>
  </si>
  <si>
    <t>09-10-2023 07:30</t>
  </si>
  <si>
    <t>09-10-2023 07:45</t>
  </si>
  <si>
    <t>09-10-2023 08:00</t>
  </si>
  <si>
    <t>09-10-2023 08:15</t>
  </si>
  <si>
    <t>09-10-2023 08:30</t>
  </si>
  <si>
    <t>09-10-2023 08:45</t>
  </si>
  <si>
    <t>09-10-2023 09:00</t>
  </si>
  <si>
    <t>09-10-2023 09:15</t>
  </si>
  <si>
    <t>09-10-2023 09:30</t>
  </si>
  <si>
    <t>09-10-2023 09:45</t>
  </si>
  <si>
    <t>09-10-2023 10:00</t>
  </si>
  <si>
    <t>09-10-2023 10:15</t>
  </si>
  <si>
    <t>09-10-2023 10:30</t>
  </si>
  <si>
    <t>09-10-2023 10:45</t>
  </si>
  <si>
    <t>09-10-2023 11:00</t>
  </si>
  <si>
    <t>09-10-2023 11:15</t>
  </si>
  <si>
    <t>09-10-2023 11:30</t>
  </si>
  <si>
    <t>09-10-2023 11:45</t>
  </si>
  <si>
    <t>09-10-2023 12:00</t>
  </si>
  <si>
    <t>09-10-2023 12:15</t>
  </si>
  <si>
    <t>09-10-2023 12:30</t>
  </si>
  <si>
    <t>09-10-2023 12:45</t>
  </si>
  <si>
    <t>09-10-2023 13:00</t>
  </si>
  <si>
    <t>09-10-2023 13:15</t>
  </si>
  <si>
    <t>09-10-2023 13:30</t>
  </si>
  <si>
    <t>09-10-2023 13:45</t>
  </si>
  <si>
    <t>09-10-2023 14:00</t>
  </si>
  <si>
    <t>09-10-2023 14:15</t>
  </si>
  <si>
    <t>09-10-2023 14:30</t>
  </si>
  <si>
    <t>09-10-2023 14:45</t>
  </si>
  <si>
    <t>09-10-2023 15:00</t>
  </si>
  <si>
    <t>09-10-2023 15:15</t>
  </si>
  <si>
    <t>09-10-2023 15:30</t>
  </si>
  <si>
    <t>09-10-2023 15:45</t>
  </si>
  <si>
    <t>09-10-2023 16:00</t>
  </si>
  <si>
    <t>09-10-2023 16:15</t>
  </si>
  <si>
    <t>09-10-2023 16:30</t>
  </si>
  <si>
    <t>09-10-2023 16:45</t>
  </si>
  <si>
    <t>09-10-2023 17:00</t>
  </si>
  <si>
    <t>09-10-2023 17:15</t>
  </si>
  <si>
    <t>09-10-2023 17:30</t>
  </si>
  <si>
    <t>09-10-2023 17:45</t>
  </si>
  <si>
    <t>09-10-2023 18:00</t>
  </si>
  <si>
    <t>09-10-2023 18:15</t>
  </si>
  <si>
    <t>09-10-2023 18:30</t>
  </si>
  <si>
    <t>09-10-2023 18:45</t>
  </si>
  <si>
    <t>09-10-2023 19:00</t>
  </si>
  <si>
    <t>09-10-2023 19:15</t>
  </si>
  <si>
    <t>09-10-2023 19:30</t>
  </si>
  <si>
    <t>09-10-2023 19:45</t>
  </si>
  <si>
    <t>09-10-2023 20:00</t>
  </si>
  <si>
    <t>09-10-2023 20:15</t>
  </si>
  <si>
    <t>09-10-2023 20:30</t>
  </si>
  <si>
    <t>09-10-2023 20:45</t>
  </si>
  <si>
    <t>09-10-2023 21:00</t>
  </si>
  <si>
    <t>09-10-2023 21:15</t>
  </si>
  <si>
    <t>09-10-2023 21:30</t>
  </si>
  <si>
    <t>09-10-2023 21:45</t>
  </si>
  <si>
    <t>09-10-2023 22:00</t>
  </si>
  <si>
    <t>09-10-2023 22:15</t>
  </si>
  <si>
    <t>09-10-2023 22:30</t>
  </si>
  <si>
    <t>09-10-2023 22:45</t>
  </si>
  <si>
    <t>09-10-2023 23:00</t>
  </si>
  <si>
    <t>09-10-2023 23:15</t>
  </si>
  <si>
    <t>09-10-2023 23:30</t>
  </si>
  <si>
    <t>09-10-2023 23:45</t>
  </si>
  <si>
    <t>09-10-2023 24:00</t>
  </si>
  <si>
    <t>10-10-2023 00:15</t>
  </si>
  <si>
    <t>10-10-2023 00:30</t>
  </si>
  <si>
    <t>10-10-2023 00:45</t>
  </si>
  <si>
    <t>10-10-2023 01:00</t>
  </si>
  <si>
    <t>10-10-2023 01:15</t>
  </si>
  <si>
    <t>10-10-2023 01:30</t>
  </si>
  <si>
    <t>10-10-2023 01:45</t>
  </si>
  <si>
    <t>10-10-2023 02:00</t>
  </si>
  <si>
    <t>10-10-2023 02:15</t>
  </si>
  <si>
    <t>10-10-2023 02:30</t>
  </si>
  <si>
    <t>10-10-2023 02:45</t>
  </si>
  <si>
    <t>10-10-2023 03:00</t>
  </si>
  <si>
    <t>10-10-2023 03:15</t>
  </si>
  <si>
    <t>10-10-2023 03:30</t>
  </si>
  <si>
    <t>10-10-2023 03:45</t>
  </si>
  <si>
    <t>10-10-2023 04:00</t>
  </si>
  <si>
    <t>10-10-2023 04:15</t>
  </si>
  <si>
    <t>10-10-2023 04:30</t>
  </si>
  <si>
    <t>10-10-2023 04:45</t>
  </si>
  <si>
    <t>10-10-2023 05:00</t>
  </si>
  <si>
    <t>10-10-2023 05:15</t>
  </si>
  <si>
    <t>10-10-2023 05:30</t>
  </si>
  <si>
    <t>10-10-2023 05:45</t>
  </si>
  <si>
    <t>10-10-2023 06:00</t>
  </si>
  <si>
    <t>10-10-2023 06:15</t>
  </si>
  <si>
    <t>10-10-2023 06:30</t>
  </si>
  <si>
    <t>10-10-2023 06:45</t>
  </si>
  <si>
    <t>10-10-2023 07:00</t>
  </si>
  <si>
    <t>10-10-2023 07:15</t>
  </si>
  <si>
    <t>10-10-2023 07:30</t>
  </si>
  <si>
    <t>10-10-2023 07:45</t>
  </si>
  <si>
    <t>10-10-2023 08:00</t>
  </si>
  <si>
    <t>10-10-2023 08:15</t>
  </si>
  <si>
    <t>10-10-2023 08:30</t>
  </si>
  <si>
    <t>10-10-2023 08:45</t>
  </si>
  <si>
    <t>10-10-2023 09:00</t>
  </si>
  <si>
    <t>10-10-2023 09:15</t>
  </si>
  <si>
    <t>10-10-2023 09:30</t>
  </si>
  <si>
    <t>10-10-2023 09:45</t>
  </si>
  <si>
    <t>10-10-2023 10:00</t>
  </si>
  <si>
    <t>10-10-2023 10:15</t>
  </si>
  <si>
    <t>10-10-2023 10:30</t>
  </si>
  <si>
    <t>10-10-2023 10:45</t>
  </si>
  <si>
    <t>10-10-2023 11:00</t>
  </si>
  <si>
    <t>10-10-2023 11:15</t>
  </si>
  <si>
    <t>10-10-2023 11:30</t>
  </si>
  <si>
    <t>10-10-2023 11:45</t>
  </si>
  <si>
    <t>10-10-2023 12:00</t>
  </si>
  <si>
    <t>10-10-2023 12:15</t>
  </si>
  <si>
    <t>10-10-2023 12:30</t>
  </si>
  <si>
    <t>10-10-2023 12:45</t>
  </si>
  <si>
    <t>10-10-2023 13:00</t>
  </si>
  <si>
    <t>10-10-2023 13:15</t>
  </si>
  <si>
    <t>10-10-2023 13:30</t>
  </si>
  <si>
    <t>10-10-2023 13:45</t>
  </si>
  <si>
    <t>10-10-2023 14:00</t>
  </si>
  <si>
    <t>10-10-2023 14:15</t>
  </si>
  <si>
    <t>10-10-2023 14:30</t>
  </si>
  <si>
    <t>10-10-2023 14:45</t>
  </si>
  <si>
    <t>10-10-2023 15:00</t>
  </si>
  <si>
    <t>10-10-2023 15:15</t>
  </si>
  <si>
    <t>10-10-2023 15:30</t>
  </si>
  <si>
    <t>10-10-2023 15:45</t>
  </si>
  <si>
    <t>10-10-2023 16:00</t>
  </si>
  <si>
    <t>10-10-2023 16:15</t>
  </si>
  <si>
    <t>10-10-2023 16:30</t>
  </si>
  <si>
    <t>10-10-2023 16:45</t>
  </si>
  <si>
    <t>10-10-2023 17:00</t>
  </si>
  <si>
    <t>10-10-2023 17:15</t>
  </si>
  <si>
    <t>10-10-2023 17:30</t>
  </si>
  <si>
    <t>10-10-2023 17:45</t>
  </si>
  <si>
    <t>10-10-2023 18:00</t>
  </si>
  <si>
    <t>10-10-2023 18:15</t>
  </si>
  <si>
    <t>10-10-2023 18:30</t>
  </si>
  <si>
    <t>10-10-2023 18:45</t>
  </si>
  <si>
    <t>10-10-2023 19:00</t>
  </si>
  <si>
    <t>10-10-2023 19:15</t>
  </si>
  <si>
    <t>10-10-2023 19:30</t>
  </si>
  <si>
    <t>10-10-2023 19:45</t>
  </si>
  <si>
    <t>10-10-2023 20:00</t>
  </si>
  <si>
    <t>10-10-2023 20:15</t>
  </si>
  <si>
    <t>10-10-2023 20:30</t>
  </si>
  <si>
    <t>10-10-2023 20:45</t>
  </si>
  <si>
    <t>10-10-2023 21:00</t>
  </si>
  <si>
    <t>10-10-2023 21:15</t>
  </si>
  <si>
    <t>10-10-2023 21:30</t>
  </si>
  <si>
    <t>10-10-2023 21:45</t>
  </si>
  <si>
    <t>10-10-2023 22:00</t>
  </si>
  <si>
    <t>10-10-2023 22:15</t>
  </si>
  <si>
    <t>10-10-2023 22:30</t>
  </si>
  <si>
    <t>10-10-2023 22:45</t>
  </si>
  <si>
    <t>10-10-2023 23:00</t>
  </si>
  <si>
    <t>10-10-2023 23:15</t>
  </si>
  <si>
    <t>10-10-2023 23:30</t>
  </si>
  <si>
    <t>10-10-2023 23:45</t>
  </si>
  <si>
    <t>10-10-2023 24:00</t>
  </si>
  <si>
    <t>11-10-2023 00:15</t>
  </si>
  <si>
    <t>11-10-2023 00:30</t>
  </si>
  <si>
    <t>11-10-2023 00:45</t>
  </si>
  <si>
    <t>11-10-2023 01:00</t>
  </si>
  <si>
    <t>11-10-2023 01:15</t>
  </si>
  <si>
    <t>11-10-2023 01:30</t>
  </si>
  <si>
    <t>11-10-2023 01:45</t>
  </si>
  <si>
    <t>11-10-2023 02:00</t>
  </si>
  <si>
    <t>11-10-2023 02:15</t>
  </si>
  <si>
    <t>11-10-2023 02:30</t>
  </si>
  <si>
    <t>11-10-2023 02:45</t>
  </si>
  <si>
    <t>11-10-2023 03:00</t>
  </si>
  <si>
    <t>11-10-2023 03:15</t>
  </si>
  <si>
    <t>11-10-2023 03:30</t>
  </si>
  <si>
    <t>11-10-2023 03:45</t>
  </si>
  <si>
    <t>11-10-2023 04:00</t>
  </si>
  <si>
    <t>11-10-2023 04:15</t>
  </si>
  <si>
    <t>11-10-2023 04:30</t>
  </si>
  <si>
    <t>11-10-2023 04:45</t>
  </si>
  <si>
    <t>11-10-2023 05:00</t>
  </si>
  <si>
    <t>11-10-2023 05:15</t>
  </si>
  <si>
    <t>11-10-2023 05:30</t>
  </si>
  <si>
    <t>11-10-2023 05:45</t>
  </si>
  <si>
    <t>11-10-2023 06:00</t>
  </si>
  <si>
    <t>11-10-2023 06:15</t>
  </si>
  <si>
    <t>11-10-2023 06:30</t>
  </si>
  <si>
    <t>11-10-2023 06:45</t>
  </si>
  <si>
    <t>11-10-2023 07:00</t>
  </si>
  <si>
    <t>11-10-2023 07:15</t>
  </si>
  <si>
    <t>11-10-2023 07:30</t>
  </si>
  <si>
    <t>11-10-2023 07:45</t>
  </si>
  <si>
    <t>11-10-2023 08:00</t>
  </si>
  <si>
    <t>11-10-2023 08:15</t>
  </si>
  <si>
    <t>11-10-2023 08:30</t>
  </si>
  <si>
    <t>11-10-2023 08:45</t>
  </si>
  <si>
    <t>11-10-2023 09:00</t>
  </si>
  <si>
    <t>11-10-2023 09:15</t>
  </si>
  <si>
    <t>11-10-2023 09:30</t>
  </si>
  <si>
    <t>11-10-2023 09:45</t>
  </si>
  <si>
    <t>11-10-2023 10:00</t>
  </si>
  <si>
    <t>11-10-2023 10:15</t>
  </si>
  <si>
    <t>11-10-2023 10:30</t>
  </si>
  <si>
    <t>11-10-2023 10:45</t>
  </si>
  <si>
    <t>11-10-2023 11:00</t>
  </si>
  <si>
    <t>11-10-2023 11:15</t>
  </si>
  <si>
    <t>11-10-2023 11:30</t>
  </si>
  <si>
    <t>11-10-2023 11:45</t>
  </si>
  <si>
    <t>11-10-2023 12:00</t>
  </si>
  <si>
    <t>11-10-2023 12:15</t>
  </si>
  <si>
    <t>11-10-2023 12:30</t>
  </si>
  <si>
    <t>11-10-2023 12:45</t>
  </si>
  <si>
    <t>11-10-2023 13:00</t>
  </si>
  <si>
    <t>11-10-2023 13:15</t>
  </si>
  <si>
    <t>11-10-2023 13:30</t>
  </si>
  <si>
    <t>11-10-2023 13:45</t>
  </si>
  <si>
    <t>11-10-2023 14:00</t>
  </si>
  <si>
    <t>11-10-2023 14:15</t>
  </si>
  <si>
    <t>11-10-2023 14:30</t>
  </si>
  <si>
    <t>11-10-2023 14:45</t>
  </si>
  <si>
    <t>11-10-2023 15:00</t>
  </si>
  <si>
    <t>11-10-2023 15:15</t>
  </si>
  <si>
    <t>11-10-2023 15:30</t>
  </si>
  <si>
    <t>11-10-2023 15:45</t>
  </si>
  <si>
    <t>11-10-2023 16:00</t>
  </si>
  <si>
    <t>11-10-2023 16:15</t>
  </si>
  <si>
    <t>11-10-2023 16:30</t>
  </si>
  <si>
    <t>11-10-2023 16:45</t>
  </si>
  <si>
    <t>11-10-2023 17:00</t>
  </si>
  <si>
    <t>11-10-2023 17:15</t>
  </si>
  <si>
    <t>11-10-2023 17:30</t>
  </si>
  <si>
    <t>11-10-2023 17:45</t>
  </si>
  <si>
    <t>11-10-2023 18:00</t>
  </si>
  <si>
    <t>11-10-2023 18:15</t>
  </si>
  <si>
    <t>11-10-2023 18:30</t>
  </si>
  <si>
    <t>11-10-2023 18:45</t>
  </si>
  <si>
    <t>11-10-2023 19:00</t>
  </si>
  <si>
    <t>11-10-2023 19:15</t>
  </si>
  <si>
    <t>11-10-2023 19:30</t>
  </si>
  <si>
    <t>11-10-2023 19:45</t>
  </si>
  <si>
    <t>11-10-2023 20:00</t>
  </si>
  <si>
    <t>11-10-2023 20:15</t>
  </si>
  <si>
    <t>11-10-2023 20:30</t>
  </si>
  <si>
    <t>11-10-2023 20:45</t>
  </si>
  <si>
    <t>11-10-2023 21:00</t>
  </si>
  <si>
    <t>11-10-2023 21:15</t>
  </si>
  <si>
    <t>11-10-2023 21:30</t>
  </si>
  <si>
    <t>11-10-2023 21:45</t>
  </si>
  <si>
    <t>11-10-2023 22:00</t>
  </si>
  <si>
    <t>11-10-2023 22:15</t>
  </si>
  <si>
    <t>11-10-2023 22:30</t>
  </si>
  <si>
    <t>11-10-2023 22:45</t>
  </si>
  <si>
    <t>11-10-2023 23:00</t>
  </si>
  <si>
    <t>11-10-2023 23:15</t>
  </si>
  <si>
    <t>11-10-2023 23:30</t>
  </si>
  <si>
    <t>11-10-2023 23:45</t>
  </si>
  <si>
    <t>11-10-2023 24:00</t>
  </si>
  <si>
    <t>12-10-2023 00:15</t>
  </si>
  <si>
    <t>12-10-2023 00:30</t>
  </si>
  <si>
    <t>12-10-2023 00:45</t>
  </si>
  <si>
    <t>12-10-2023 01:00</t>
  </si>
  <si>
    <t>12-10-2023 01:15</t>
  </si>
  <si>
    <t>12-10-2023 01:30</t>
  </si>
  <si>
    <t>12-10-2023 01:45</t>
  </si>
  <si>
    <t>12-10-2023 02:00</t>
  </si>
  <si>
    <t>12-10-2023 02:15</t>
  </si>
  <si>
    <t>12-10-2023 02:30</t>
  </si>
  <si>
    <t>12-10-2023 02:45</t>
  </si>
  <si>
    <t>12-10-2023 03:00</t>
  </si>
  <si>
    <t>12-10-2023 03:15</t>
  </si>
  <si>
    <t>12-10-2023 03:30</t>
  </si>
  <si>
    <t>12-10-2023 03:45</t>
  </si>
  <si>
    <t>12-10-2023 04:00</t>
  </si>
  <si>
    <t>12-10-2023 04:15</t>
  </si>
  <si>
    <t>12-10-2023 04:30</t>
  </si>
  <si>
    <t>12-10-2023 04:45</t>
  </si>
  <si>
    <t>12-10-2023 05:00</t>
  </si>
  <si>
    <t>12-10-2023 05:15</t>
  </si>
  <si>
    <t>12-10-2023 05:30</t>
  </si>
  <si>
    <t>12-10-2023 05:45</t>
  </si>
  <si>
    <t>12-10-2023 06:00</t>
  </si>
  <si>
    <t>12-10-2023 06:15</t>
  </si>
  <si>
    <t>12-10-2023 06:30</t>
  </si>
  <si>
    <t>12-10-2023 06:45</t>
  </si>
  <si>
    <t>12-10-2023 07:00</t>
  </si>
  <si>
    <t>12-10-2023 07:15</t>
  </si>
  <si>
    <t>12-10-2023 07:30</t>
  </si>
  <si>
    <t>12-10-2023 07:45</t>
  </si>
  <si>
    <t>12-10-2023 08:00</t>
  </si>
  <si>
    <t>12-10-2023 08:15</t>
  </si>
  <si>
    <t>12-10-2023 08:30</t>
  </si>
  <si>
    <t>12-10-2023 08:45</t>
  </si>
  <si>
    <t>12-10-2023 09:00</t>
  </si>
  <si>
    <t>12-10-2023 09:15</t>
  </si>
  <si>
    <t>12-10-2023 09:30</t>
  </si>
  <si>
    <t>12-10-2023 09:45</t>
  </si>
  <si>
    <t>12-10-2023 10:00</t>
  </si>
  <si>
    <t>12-10-2023 10:15</t>
  </si>
  <si>
    <t>12-10-2023 10:30</t>
  </si>
  <si>
    <t>12-10-2023 10:45</t>
  </si>
  <si>
    <t>12-10-2023 11:00</t>
  </si>
  <si>
    <t>12-10-2023 11:15</t>
  </si>
  <si>
    <t>12-10-2023 11:30</t>
  </si>
  <si>
    <t>12-10-2023 11:45</t>
  </si>
  <si>
    <t>12-10-2023 12:00</t>
  </si>
  <si>
    <t>12-10-2023 12:15</t>
  </si>
  <si>
    <t>12-10-2023 12:30</t>
  </si>
  <si>
    <t>12-10-2023 12:45</t>
  </si>
  <si>
    <t>12-10-2023 13:00</t>
  </si>
  <si>
    <t>12-10-2023 13:15</t>
  </si>
  <si>
    <t>12-10-2023 13:30</t>
  </si>
  <si>
    <t>12-10-2023 13:45</t>
  </si>
  <si>
    <t>12-10-2023 14:00</t>
  </si>
  <si>
    <t>12-10-2023 14:15</t>
  </si>
  <si>
    <t>12-10-2023 14:30</t>
  </si>
  <si>
    <t>12-10-2023 14:45</t>
  </si>
  <si>
    <t>12-10-2023 15:00</t>
  </si>
  <si>
    <t>12-10-2023 15:15</t>
  </si>
  <si>
    <t>12-10-2023 15:30</t>
  </si>
  <si>
    <t>12-10-2023 15:45</t>
  </si>
  <si>
    <t>12-10-2023 16:00</t>
  </si>
  <si>
    <t>12-10-2023 16:15</t>
  </si>
  <si>
    <t>12-10-2023 16:30</t>
  </si>
  <si>
    <t>12-10-2023 16:45</t>
  </si>
  <si>
    <t>12-10-2023 17:00</t>
  </si>
  <si>
    <t>12-10-2023 17:15</t>
  </si>
  <si>
    <t>12-10-2023 17:30</t>
  </si>
  <si>
    <t>12-10-2023 17:45</t>
  </si>
  <si>
    <t>12-10-2023 18:00</t>
  </si>
  <si>
    <t>12-10-2023 18:15</t>
  </si>
  <si>
    <t>12-10-2023 18:30</t>
  </si>
  <si>
    <t>12-10-2023 18:45</t>
  </si>
  <si>
    <t>12-10-2023 19:00</t>
  </si>
  <si>
    <t>12-10-2023 19:15</t>
  </si>
  <si>
    <t>12-10-2023 19:30</t>
  </si>
  <si>
    <t>12-10-2023 19:45</t>
  </si>
  <si>
    <t>12-10-2023 20:00</t>
  </si>
  <si>
    <t>12-10-2023 20:15</t>
  </si>
  <si>
    <t>12-10-2023 20:30</t>
  </si>
  <si>
    <t>12-10-2023 20:45</t>
  </si>
  <si>
    <t>12-10-2023 21:00</t>
  </si>
  <si>
    <t>12-10-2023 21:15</t>
  </si>
  <si>
    <t>12-10-2023 21:30</t>
  </si>
  <si>
    <t>12-10-2023 21:45</t>
  </si>
  <si>
    <t>12-10-2023 22:00</t>
  </si>
  <si>
    <t>12-10-2023 22:15</t>
  </si>
  <si>
    <t>12-10-2023 22:30</t>
  </si>
  <si>
    <t>12-10-2023 22:45</t>
  </si>
  <si>
    <t>12-10-2023 23:00</t>
  </si>
  <si>
    <t>12-10-2023 23:15</t>
  </si>
  <si>
    <t>12-10-2023 23:30</t>
  </si>
  <si>
    <t>12-10-2023 23:45</t>
  </si>
  <si>
    <t>12-10-2023 24:00</t>
  </si>
  <si>
    <t>13-10-2023 00:15</t>
  </si>
  <si>
    <t>13-10-2023 00:30</t>
  </si>
  <si>
    <t>13-10-2023 00:45</t>
  </si>
  <si>
    <t>13-10-2023 01:00</t>
  </si>
  <si>
    <t>13-10-2023 01:15</t>
  </si>
  <si>
    <t>13-10-2023 01:30</t>
  </si>
  <si>
    <t>13-10-2023 01:45</t>
  </si>
  <si>
    <t>13-10-2023 02:00</t>
  </si>
  <si>
    <t>13-10-2023 02:15</t>
  </si>
  <si>
    <t>13-10-2023 02:30</t>
  </si>
  <si>
    <t>13-10-2023 02:45</t>
  </si>
  <si>
    <t>13-10-2023 03:00</t>
  </si>
  <si>
    <t>13-10-2023 03:15</t>
  </si>
  <si>
    <t>13-10-2023 03:30</t>
  </si>
  <si>
    <t>13-10-2023 03:45</t>
  </si>
  <si>
    <t>13-10-2023 04:00</t>
  </si>
  <si>
    <t>13-10-2023 04:15</t>
  </si>
  <si>
    <t>13-10-2023 04:30</t>
  </si>
  <si>
    <t>13-10-2023 04:45</t>
  </si>
  <si>
    <t>13-10-2023 05:00</t>
  </si>
  <si>
    <t>13-10-2023 05:15</t>
  </si>
  <si>
    <t>13-10-2023 05:30</t>
  </si>
  <si>
    <t>13-10-2023 05:45</t>
  </si>
  <si>
    <t>13-10-2023 06:00</t>
  </si>
  <si>
    <t>13-10-2023 06:15</t>
  </si>
  <si>
    <t>13-10-2023 06:30</t>
  </si>
  <si>
    <t>13-10-2023 06:45</t>
  </si>
  <si>
    <t>13-10-2023 07:00</t>
  </si>
  <si>
    <t>13-10-2023 07:15</t>
  </si>
  <si>
    <t>13-10-2023 07:30</t>
  </si>
  <si>
    <t>13-10-2023 07:45</t>
  </si>
  <si>
    <t>13-10-2023 08:00</t>
  </si>
  <si>
    <t>13-10-2023 08:15</t>
  </si>
  <si>
    <t>13-10-2023 08:30</t>
  </si>
  <si>
    <t>13-10-2023 08:45</t>
  </si>
  <si>
    <t>13-10-2023 09:00</t>
  </si>
  <si>
    <t>13-10-2023 09:15</t>
  </si>
  <si>
    <t>13-10-2023 09:30</t>
  </si>
  <si>
    <t>13-10-2023 09:45</t>
  </si>
  <si>
    <t>13-10-2023 10:00</t>
  </si>
  <si>
    <t>13-10-2023 10:15</t>
  </si>
  <si>
    <t>13-10-2023 10:30</t>
  </si>
  <si>
    <t>13-10-2023 10:45</t>
  </si>
  <si>
    <t>13-10-2023 11:00</t>
  </si>
  <si>
    <t>13-10-2023 11:15</t>
  </si>
  <si>
    <t>13-10-2023 11:30</t>
  </si>
  <si>
    <t>13-10-2023 11:45</t>
  </si>
  <si>
    <t>13-10-2023 12:00</t>
  </si>
  <si>
    <t>13-10-2023 12:15</t>
  </si>
  <si>
    <t>13-10-2023 12:30</t>
  </si>
  <si>
    <t>13-10-2023 12:45</t>
  </si>
  <si>
    <t>13-10-2023 13:00</t>
  </si>
  <si>
    <t>13-10-2023 13:15</t>
  </si>
  <si>
    <t>13-10-2023 13:30</t>
  </si>
  <si>
    <t>13-10-2023 13:45</t>
  </si>
  <si>
    <t>13-10-2023 14:00</t>
  </si>
  <si>
    <t>13-10-2023 14:15</t>
  </si>
  <si>
    <t>13-10-2023 14:30</t>
  </si>
  <si>
    <t>13-10-2023 14:45</t>
  </si>
  <si>
    <t>13-10-2023 15:00</t>
  </si>
  <si>
    <t>13-10-2023 15:15</t>
  </si>
  <si>
    <t>13-10-2023 15:30</t>
  </si>
  <si>
    <t>13-10-2023 15:45</t>
  </si>
  <si>
    <t>13-10-2023 16:00</t>
  </si>
  <si>
    <t>13-10-2023 16:15</t>
  </si>
  <si>
    <t>13-10-2023 16:30</t>
  </si>
  <si>
    <t>13-10-2023 16:45</t>
  </si>
  <si>
    <t>13-10-2023 17:00</t>
  </si>
  <si>
    <t>13-10-2023 17:15</t>
  </si>
  <si>
    <t>13-10-2023 17:30</t>
  </si>
  <si>
    <t>13-10-2023 17:45</t>
  </si>
  <si>
    <t>13-10-2023 18:00</t>
  </si>
  <si>
    <t>13-10-2023 18:15</t>
  </si>
  <si>
    <t>13-10-2023 18:30</t>
  </si>
  <si>
    <t>13-10-2023 18:45</t>
  </si>
  <si>
    <t>13-10-2023 19:00</t>
  </si>
  <si>
    <t>13-10-2023 19:15</t>
  </si>
  <si>
    <t>13-10-2023 19:30</t>
  </si>
  <si>
    <t>13-10-2023 19:45</t>
  </si>
  <si>
    <t>13-10-2023 20:00</t>
  </si>
  <si>
    <t>13-10-2023 20:15</t>
  </si>
  <si>
    <t>13-10-2023 20:30</t>
  </si>
  <si>
    <t>13-10-2023 20:45</t>
  </si>
  <si>
    <t>13-10-2023 21:00</t>
  </si>
  <si>
    <t>13-10-2023 21:15</t>
  </si>
  <si>
    <t>13-10-2023 21:30</t>
  </si>
  <si>
    <t>13-10-2023 21:45</t>
  </si>
  <si>
    <t>13-10-2023 22:00</t>
  </si>
  <si>
    <t>13-10-2023 22:15</t>
  </si>
  <si>
    <t>13-10-2023 22:30</t>
  </si>
  <si>
    <t>13-10-2023 22:45</t>
  </si>
  <si>
    <t>13-10-2023 23:00</t>
  </si>
  <si>
    <t>13-10-2023 23:15</t>
  </si>
  <si>
    <t>13-10-2023 23:30</t>
  </si>
  <si>
    <t>13-10-2023 23:45</t>
  </si>
  <si>
    <t>13-10-2023 24:00</t>
  </si>
  <si>
    <t>14-10-2023 00:15</t>
  </si>
  <si>
    <t>14-10-2023 00:30</t>
  </si>
  <si>
    <t>14-10-2023 00:45</t>
  </si>
  <si>
    <t>14-10-2023 01:00</t>
  </si>
  <si>
    <t>14-10-2023 01:15</t>
  </si>
  <si>
    <t>14-10-2023 01:30</t>
  </si>
  <si>
    <t>14-10-2023 01:45</t>
  </si>
  <si>
    <t>14-10-2023 02:00</t>
  </si>
  <si>
    <t>14-10-2023 02:15</t>
  </si>
  <si>
    <t>14-10-2023 02:30</t>
  </si>
  <si>
    <t>14-10-2023 02:45</t>
  </si>
  <si>
    <t>14-10-2023 03:00</t>
  </si>
  <si>
    <t>14-10-2023 03:15</t>
  </si>
  <si>
    <t>14-10-2023 03:30</t>
  </si>
  <si>
    <t>14-10-2023 03:45</t>
  </si>
  <si>
    <t>14-10-2023 04:00</t>
  </si>
  <si>
    <t>14-10-2023 04:15</t>
  </si>
  <si>
    <t>14-10-2023 04:30</t>
  </si>
  <si>
    <t>14-10-2023 04:45</t>
  </si>
  <si>
    <t>14-10-2023 05:00</t>
  </si>
  <si>
    <t>14-10-2023 05:15</t>
  </si>
  <si>
    <t>14-10-2023 05:30</t>
  </si>
  <si>
    <t>14-10-2023 05:45</t>
  </si>
  <si>
    <t>14-10-2023 06:00</t>
  </si>
  <si>
    <t>14-10-2023 06:15</t>
  </si>
  <si>
    <t>14-10-2023 06:30</t>
  </si>
  <si>
    <t>14-10-2023 06:45</t>
  </si>
  <si>
    <t>14-10-2023 07:00</t>
  </si>
  <si>
    <t>14-10-2023 07:15</t>
  </si>
  <si>
    <t>14-10-2023 07:30</t>
  </si>
  <si>
    <t>14-10-2023 07:45</t>
  </si>
  <si>
    <t>14-10-2023 08:00</t>
  </si>
  <si>
    <t>14-10-2023 08:15</t>
  </si>
  <si>
    <t>14-10-2023 08:30</t>
  </si>
  <si>
    <t>14-10-2023 08:45</t>
  </si>
  <si>
    <t>14-10-2023 09:00</t>
  </si>
  <si>
    <t>14-10-2023 09:15</t>
  </si>
  <si>
    <t>14-10-2023 09:30</t>
  </si>
  <si>
    <t>14-10-2023 09:45</t>
  </si>
  <si>
    <t>14-10-2023 10:00</t>
  </si>
  <si>
    <t>14-10-2023 10:15</t>
  </si>
  <si>
    <t>14-10-2023 10:30</t>
  </si>
  <si>
    <t>14-10-2023 10:45</t>
  </si>
  <si>
    <t>14-10-2023 11:00</t>
  </si>
  <si>
    <t>14-10-2023 11:15</t>
  </si>
  <si>
    <t>14-10-2023 11:30</t>
  </si>
  <si>
    <t>14-10-2023 11:45</t>
  </si>
  <si>
    <t>14-10-2023 12:00</t>
  </si>
  <si>
    <t>14-10-2023 12:15</t>
  </si>
  <si>
    <t>14-10-2023 12:30</t>
  </si>
  <si>
    <t>14-10-2023 12:45</t>
  </si>
  <si>
    <t>14-10-2023 13:00</t>
  </si>
  <si>
    <t>14-10-2023 13:15</t>
  </si>
  <si>
    <t>14-10-2023 13:30</t>
  </si>
  <si>
    <t>14-10-2023 13:45</t>
  </si>
  <si>
    <t>14-10-2023 14:00</t>
  </si>
  <si>
    <t>14-10-2023 14:15</t>
  </si>
  <si>
    <t>14-10-2023 14:30</t>
  </si>
  <si>
    <t>14-10-2023 14:45</t>
  </si>
  <si>
    <t>14-10-2023 15:00</t>
  </si>
  <si>
    <t>14-10-2023 15:15</t>
  </si>
  <si>
    <t>14-10-2023 15:30</t>
  </si>
  <si>
    <t>14-10-2023 15:45</t>
  </si>
  <si>
    <t>14-10-2023 16:00</t>
  </si>
  <si>
    <t>14-10-2023 16:15</t>
  </si>
  <si>
    <t>14-10-2023 16:30</t>
  </si>
  <si>
    <t>14-10-2023 16:45</t>
  </si>
  <si>
    <t>14-10-2023 17:00</t>
  </si>
  <si>
    <t>14-10-2023 17:15</t>
  </si>
  <si>
    <t>14-10-2023 17:30</t>
  </si>
  <si>
    <t>14-10-2023 17:45</t>
  </si>
  <si>
    <t>14-10-2023 18:00</t>
  </si>
  <si>
    <t>14-10-2023 18:15</t>
  </si>
  <si>
    <t>14-10-2023 18:30</t>
  </si>
  <si>
    <t>14-10-2023 18:45</t>
  </si>
  <si>
    <t>14-10-2023 19:00</t>
  </si>
  <si>
    <t>14-10-2023 19:15</t>
  </si>
  <si>
    <t>14-10-2023 19:30</t>
  </si>
  <si>
    <t>14-10-2023 19:45</t>
  </si>
  <si>
    <t>14-10-2023 20:00</t>
  </si>
  <si>
    <t>14-10-2023 20:15</t>
  </si>
  <si>
    <t>14-10-2023 20:30</t>
  </si>
  <si>
    <t>14-10-2023 20:45</t>
  </si>
  <si>
    <t>14-10-2023 21:00</t>
  </si>
  <si>
    <t>14-10-2023 21:15</t>
  </si>
  <si>
    <t>14-10-2023 21:30</t>
  </si>
  <si>
    <t>14-10-2023 21:45</t>
  </si>
  <si>
    <t>14-10-2023 22:00</t>
  </si>
  <si>
    <t>14-10-2023 22:15</t>
  </si>
  <si>
    <t>14-10-2023 22:30</t>
  </si>
  <si>
    <t>14-10-2023 22:45</t>
  </si>
  <si>
    <t>14-10-2023 23:00</t>
  </si>
  <si>
    <t>14-10-2023 23:15</t>
  </si>
  <si>
    <t>14-10-2023 23:30</t>
  </si>
  <si>
    <t>14-10-2023 23:45</t>
  </si>
  <si>
    <t>14-10-2023 24:00</t>
  </si>
  <si>
    <t>15-10-2023 00:15</t>
  </si>
  <si>
    <t>15-10-2023 00:30</t>
  </si>
  <si>
    <t>15-10-2023 00:45</t>
  </si>
  <si>
    <t>15-10-2023 01:00</t>
  </si>
  <si>
    <t>15-10-2023 01:15</t>
  </si>
  <si>
    <t>15-10-2023 01:30</t>
  </si>
  <si>
    <t>15-10-2023 01:45</t>
  </si>
  <si>
    <t>15-10-2023 02:00</t>
  </si>
  <si>
    <t>15-10-2023 02:15</t>
  </si>
  <si>
    <t>15-10-2023 02:30</t>
  </si>
  <si>
    <t>15-10-2023 02:45</t>
  </si>
  <si>
    <t>15-10-2023 03:00</t>
  </si>
  <si>
    <t>15-10-2023 03:15</t>
  </si>
  <si>
    <t>15-10-2023 03:30</t>
  </si>
  <si>
    <t>15-10-2023 03:45</t>
  </si>
  <si>
    <t>15-10-2023 04:00</t>
  </si>
  <si>
    <t>15-10-2023 04:15</t>
  </si>
  <si>
    <t>15-10-2023 04:30</t>
  </si>
  <si>
    <t>15-10-2023 04:45</t>
  </si>
  <si>
    <t>15-10-2023 05:00</t>
  </si>
  <si>
    <t>15-10-2023 05:15</t>
  </si>
  <si>
    <t>15-10-2023 05:30</t>
  </si>
  <si>
    <t>15-10-2023 05:45</t>
  </si>
  <si>
    <t>15-10-2023 06:00</t>
  </si>
  <si>
    <t>15-10-2023 06:15</t>
  </si>
  <si>
    <t>15-10-2023 06:30</t>
  </si>
  <si>
    <t>15-10-2023 06:45</t>
  </si>
  <si>
    <t>15-10-2023 07:00</t>
  </si>
  <si>
    <t>15-10-2023 07:15</t>
  </si>
  <si>
    <t>15-10-2023 07:30</t>
  </si>
  <si>
    <t>15-10-2023 07:45</t>
  </si>
  <si>
    <t>15-10-2023 08:00</t>
  </si>
  <si>
    <t>15-10-2023 08:15</t>
  </si>
  <si>
    <t>15-10-2023 08:30</t>
  </si>
  <si>
    <t>15-10-2023 08:45</t>
  </si>
  <si>
    <t>15-10-2023 09:00</t>
  </si>
  <si>
    <t>15-10-2023 09:15</t>
  </si>
  <si>
    <t>15-10-2023 09:30</t>
  </si>
  <si>
    <t>15-10-2023 09:45</t>
  </si>
  <si>
    <t>15-10-2023 10:00</t>
  </si>
  <si>
    <t>15-10-2023 10:15</t>
  </si>
  <si>
    <t>15-10-2023 10:30</t>
  </si>
  <si>
    <t>15-10-2023 10:45</t>
  </si>
  <si>
    <t>15-10-2023 11:00</t>
  </si>
  <si>
    <t>15-10-2023 11:15</t>
  </si>
  <si>
    <t>15-10-2023 11:30</t>
  </si>
  <si>
    <t>15-10-2023 11:45</t>
  </si>
  <si>
    <t>15-10-2023 12:00</t>
  </si>
  <si>
    <t>15-10-2023 12:15</t>
  </si>
  <si>
    <t>15-10-2023 12:30</t>
  </si>
  <si>
    <t>15-10-2023 12:45</t>
  </si>
  <si>
    <t>15-10-2023 13:00</t>
  </si>
  <si>
    <t>15-10-2023 13:15</t>
  </si>
  <si>
    <t>15-10-2023 13:30</t>
  </si>
  <si>
    <t>15-10-2023 13:45</t>
  </si>
  <si>
    <t>15-10-2023 14:00</t>
  </si>
  <si>
    <t>15-10-2023 14:15</t>
  </si>
  <si>
    <t>15-10-2023 14:30</t>
  </si>
  <si>
    <t>15-10-2023 14:45</t>
  </si>
  <si>
    <t>15-10-2023 15:00</t>
  </si>
  <si>
    <t>15-10-2023 15:15</t>
  </si>
  <si>
    <t>15-10-2023 15:30</t>
  </si>
  <si>
    <t>15-10-2023 15:45</t>
  </si>
  <si>
    <t>15-10-2023 16:00</t>
  </si>
  <si>
    <t>15-10-2023 16:15</t>
  </si>
  <si>
    <t>15-10-2023 16:30</t>
  </si>
  <si>
    <t>15-10-2023 16:45</t>
  </si>
  <si>
    <t>15-10-2023 17:00</t>
  </si>
  <si>
    <t>15-10-2023 17:15</t>
  </si>
  <si>
    <t>15-10-2023 17:30</t>
  </si>
  <si>
    <t>15-10-2023 17:45</t>
  </si>
  <si>
    <t>15-10-2023 18:00</t>
  </si>
  <si>
    <t>15-10-2023 18:15</t>
  </si>
  <si>
    <t>15-10-2023 18:30</t>
  </si>
  <si>
    <t>15-10-2023 18:45</t>
  </si>
  <si>
    <t>15-10-2023 19:00</t>
  </si>
  <si>
    <t>15-10-2023 19:15</t>
  </si>
  <si>
    <t>15-10-2023 19:30</t>
  </si>
  <si>
    <t>15-10-2023 19:45</t>
  </si>
  <si>
    <t>15-10-2023 20:00</t>
  </si>
  <si>
    <t>15-10-2023 20:15</t>
  </si>
  <si>
    <t>15-10-2023 20:30</t>
  </si>
  <si>
    <t>15-10-2023 20:45</t>
  </si>
  <si>
    <t>15-10-2023 21:00</t>
  </si>
  <si>
    <t>15-10-2023 21:15</t>
  </si>
  <si>
    <t>15-10-2023 21:30</t>
  </si>
  <si>
    <t>15-10-2023 21:45</t>
  </si>
  <si>
    <t>15-10-2023 22:00</t>
  </si>
  <si>
    <t>15-10-2023 22:15</t>
  </si>
  <si>
    <t>15-10-2023 22:30</t>
  </si>
  <si>
    <t>15-10-2023 22:45</t>
  </si>
  <si>
    <t>15-10-2023 23:00</t>
  </si>
  <si>
    <t>15-10-2023 23:15</t>
  </si>
  <si>
    <t>15-10-2023 23:30</t>
  </si>
  <si>
    <t>15-10-2023 23:45</t>
  </si>
  <si>
    <t>15-10-2023 24:00</t>
  </si>
  <si>
    <t>16-10-2023 00:15</t>
  </si>
  <si>
    <t>16-10-2023 00:30</t>
  </si>
  <si>
    <t>16-10-2023 00:45</t>
  </si>
  <si>
    <t>16-10-2023 01:00</t>
  </si>
  <si>
    <t>16-10-2023 01:15</t>
  </si>
  <si>
    <t>16-10-2023 01:30</t>
  </si>
  <si>
    <t>16-10-2023 01:45</t>
  </si>
  <si>
    <t>16-10-2023 02:00</t>
  </si>
  <si>
    <t>16-10-2023 02:15</t>
  </si>
  <si>
    <t>16-10-2023 02:30</t>
  </si>
  <si>
    <t>16-10-2023 02:45</t>
  </si>
  <si>
    <t>16-10-2023 03:00</t>
  </si>
  <si>
    <t>16-10-2023 03:15</t>
  </si>
  <si>
    <t>16-10-2023 03:30</t>
  </si>
  <si>
    <t>16-10-2023 03:45</t>
  </si>
  <si>
    <t>16-10-2023 04:00</t>
  </si>
  <si>
    <t>16-10-2023 04:15</t>
  </si>
  <si>
    <t>16-10-2023 04:30</t>
  </si>
  <si>
    <t>16-10-2023 04:45</t>
  </si>
  <si>
    <t>16-10-2023 05:00</t>
  </si>
  <si>
    <t>16-10-2023 05:15</t>
  </si>
  <si>
    <t>16-10-2023 05:30</t>
  </si>
  <si>
    <t>16-10-2023 05:45</t>
  </si>
  <si>
    <t>16-10-2023 06:00</t>
  </si>
  <si>
    <t>16-10-2023 06:15</t>
  </si>
  <si>
    <t>16-10-2023 06:30</t>
  </si>
  <si>
    <t>16-10-2023 06:45</t>
  </si>
  <si>
    <t>16-10-2023 07:00</t>
  </si>
  <si>
    <t>16-10-2023 07:15</t>
  </si>
  <si>
    <t>16-10-2023 07:30</t>
  </si>
  <si>
    <t>16-10-2023 07:45</t>
  </si>
  <si>
    <t>16-10-2023 08:00</t>
  </si>
  <si>
    <t>16-10-2023 08:15</t>
  </si>
  <si>
    <t>16-10-2023 08:30</t>
  </si>
  <si>
    <t>16-10-2023 08:45</t>
  </si>
  <si>
    <t>16-10-2023 09:00</t>
  </si>
  <si>
    <t>16-10-2023 09:15</t>
  </si>
  <si>
    <t>16-10-2023 09:30</t>
  </si>
  <si>
    <t>16-10-2023 09:45</t>
  </si>
  <si>
    <t>16-10-2023 10:00</t>
  </si>
  <si>
    <t>16-10-2023 10:15</t>
  </si>
  <si>
    <t>16-10-2023 10:30</t>
  </si>
  <si>
    <t>16-10-2023 10:45</t>
  </si>
  <si>
    <t>16-10-2023 11:00</t>
  </si>
  <si>
    <t>16-10-2023 11:15</t>
  </si>
  <si>
    <t>16-10-2023 11:30</t>
  </si>
  <si>
    <t>16-10-2023 11:45</t>
  </si>
  <si>
    <t>16-10-2023 12:00</t>
  </si>
  <si>
    <t>16-10-2023 12:15</t>
  </si>
  <si>
    <t>16-10-2023 12:30</t>
  </si>
  <si>
    <t>16-10-2023 12:45</t>
  </si>
  <si>
    <t>16-10-2023 13:00</t>
  </si>
  <si>
    <t>16-10-2023 13:15</t>
  </si>
  <si>
    <t>16-10-2023 13:30</t>
  </si>
  <si>
    <t>16-10-2023 13:45</t>
  </si>
  <si>
    <t>16-10-2023 14:00</t>
  </si>
  <si>
    <t>16-10-2023 14:15</t>
  </si>
  <si>
    <t>16-10-2023 14:30</t>
  </si>
  <si>
    <t>16-10-2023 14:45</t>
  </si>
  <si>
    <t>16-10-2023 15:00</t>
  </si>
  <si>
    <t>16-10-2023 15:15</t>
  </si>
  <si>
    <t>16-10-2023 15:30</t>
  </si>
  <si>
    <t>16-10-2023 15:45</t>
  </si>
  <si>
    <t>16-10-2023 16:00</t>
  </si>
  <si>
    <t>16-10-2023 16:15</t>
  </si>
  <si>
    <t>16-10-2023 16:30</t>
  </si>
  <si>
    <t>16-10-2023 16:45</t>
  </si>
  <si>
    <t>16-10-2023 17:00</t>
  </si>
  <si>
    <t>16-10-2023 17:15</t>
  </si>
  <si>
    <t>16-10-2023 17:30</t>
  </si>
  <si>
    <t>16-10-2023 17:45</t>
  </si>
  <si>
    <t>16-10-2023 18:00</t>
  </si>
  <si>
    <t>16-10-2023 18:15</t>
  </si>
  <si>
    <t>16-10-2023 18:30</t>
  </si>
  <si>
    <t>16-10-2023 18:45</t>
  </si>
  <si>
    <t>16-10-2023 19:00</t>
  </si>
  <si>
    <t>16-10-2023 19:15</t>
  </si>
  <si>
    <t>16-10-2023 19:30</t>
  </si>
  <si>
    <t>16-10-2023 19:45</t>
  </si>
  <si>
    <t>16-10-2023 20:00</t>
  </si>
  <si>
    <t>16-10-2023 20:15</t>
  </si>
  <si>
    <t>16-10-2023 20:30</t>
  </si>
  <si>
    <t>16-10-2023 20:45</t>
  </si>
  <si>
    <t>16-10-2023 21:00</t>
  </si>
  <si>
    <t>16-10-2023 21:15</t>
  </si>
  <si>
    <t>16-10-2023 21:30</t>
  </si>
  <si>
    <t>16-10-2023 21:45</t>
  </si>
  <si>
    <t>16-10-2023 22:00</t>
  </si>
  <si>
    <t>16-10-2023 22:15</t>
  </si>
  <si>
    <t>16-10-2023 22:30</t>
  </si>
  <si>
    <t>16-10-2023 22:45</t>
  </si>
  <si>
    <t>16-10-2023 23:00</t>
  </si>
  <si>
    <t>16-10-2023 23:15</t>
  </si>
  <si>
    <t>16-10-2023 23:30</t>
  </si>
  <si>
    <t>16-10-2023 23:45</t>
  </si>
  <si>
    <t>16-10-2023 24:00</t>
  </si>
  <si>
    <t>17-10-2023 00:15</t>
  </si>
  <si>
    <t>17-10-2023 00:30</t>
  </si>
  <si>
    <t>17-10-2023 00:45</t>
  </si>
  <si>
    <t>17-10-2023 01:00</t>
  </si>
  <si>
    <t>17-10-2023 01:15</t>
  </si>
  <si>
    <t>17-10-2023 01:30</t>
  </si>
  <si>
    <t>17-10-2023 01:45</t>
  </si>
  <si>
    <t>17-10-2023 02:00</t>
  </si>
  <si>
    <t>17-10-2023 02:15</t>
  </si>
  <si>
    <t>17-10-2023 02:30</t>
  </si>
  <si>
    <t>17-10-2023 02:45</t>
  </si>
  <si>
    <t>17-10-2023 03:00</t>
  </si>
  <si>
    <t>17-10-2023 03:15</t>
  </si>
  <si>
    <t>17-10-2023 03:30</t>
  </si>
  <si>
    <t>17-10-2023 03:45</t>
  </si>
  <si>
    <t>17-10-2023 04:00</t>
  </si>
  <si>
    <t>17-10-2023 04:15</t>
  </si>
  <si>
    <t>17-10-2023 04:30</t>
  </si>
  <si>
    <t>17-10-2023 04:45</t>
  </si>
  <si>
    <t>17-10-2023 05:00</t>
  </si>
  <si>
    <t>17-10-2023 05:15</t>
  </si>
  <si>
    <t>17-10-2023 05:30</t>
  </si>
  <si>
    <t>17-10-2023 05:45</t>
  </si>
  <si>
    <t>17-10-2023 06:00</t>
  </si>
  <si>
    <t>17-10-2023 06:15</t>
  </si>
  <si>
    <t>17-10-2023 06:30</t>
  </si>
  <si>
    <t>17-10-2023 06:45</t>
  </si>
  <si>
    <t>17-10-2023 07:00</t>
  </si>
  <si>
    <t>17-10-2023 07:15</t>
  </si>
  <si>
    <t>17-10-2023 07:30</t>
  </si>
  <si>
    <t>17-10-2023 07:45</t>
  </si>
  <si>
    <t>17-10-2023 08:00</t>
  </si>
  <si>
    <t>17-10-2023 08:15</t>
  </si>
  <si>
    <t>17-10-2023 08:30</t>
  </si>
  <si>
    <t>17-10-2023 08:45</t>
  </si>
  <si>
    <t>17-10-2023 09:00</t>
  </si>
  <si>
    <t>17-10-2023 09:15</t>
  </si>
  <si>
    <t>17-10-2023 09:30</t>
  </si>
  <si>
    <t>17-10-2023 09:45</t>
  </si>
  <si>
    <t>17-10-2023 10:00</t>
  </si>
  <si>
    <t>17-10-2023 10:15</t>
  </si>
  <si>
    <t>17-10-2023 10:30</t>
  </si>
  <si>
    <t>17-10-2023 10:45</t>
  </si>
  <si>
    <t>17-10-2023 11:00</t>
  </si>
  <si>
    <t>17-10-2023 11:15</t>
  </si>
  <si>
    <t>17-10-2023 11:30</t>
  </si>
  <si>
    <t>17-10-2023 11:45</t>
  </si>
  <si>
    <t>17-10-2023 12:00</t>
  </si>
  <si>
    <t>17-10-2023 12:15</t>
  </si>
  <si>
    <t>17-10-2023 12:30</t>
  </si>
  <si>
    <t>17-10-2023 12:45</t>
  </si>
  <si>
    <t>17-10-2023 13:00</t>
  </si>
  <si>
    <t>17-10-2023 13:15</t>
  </si>
  <si>
    <t>17-10-2023 13:30</t>
  </si>
  <si>
    <t>17-10-2023 13:45</t>
  </si>
  <si>
    <t>17-10-2023 14:00</t>
  </si>
  <si>
    <t>17-10-2023 14:15</t>
  </si>
  <si>
    <t>17-10-2023 14:30</t>
  </si>
  <si>
    <t>17-10-2023 14:45</t>
  </si>
  <si>
    <t>17-10-2023 15:00</t>
  </si>
  <si>
    <t>17-10-2023 15:15</t>
  </si>
  <si>
    <t>17-10-2023 15:30</t>
  </si>
  <si>
    <t>17-10-2023 15:45</t>
  </si>
  <si>
    <t>17-10-2023 16:00</t>
  </si>
  <si>
    <t>17-10-2023 16:15</t>
  </si>
  <si>
    <t>17-10-2023 16:30</t>
  </si>
  <si>
    <t>17-10-2023 16:45</t>
  </si>
  <si>
    <t>17-10-2023 17:00</t>
  </si>
  <si>
    <t>17-10-2023 17:15</t>
  </si>
  <si>
    <t>17-10-2023 17:30</t>
  </si>
  <si>
    <t>17-10-2023 17:45</t>
  </si>
  <si>
    <t>17-10-2023 18:00</t>
  </si>
  <si>
    <t>17-10-2023 18:15</t>
  </si>
  <si>
    <t>17-10-2023 18:30</t>
  </si>
  <si>
    <t>17-10-2023 18:45</t>
  </si>
  <si>
    <t>17-10-2023 19:00</t>
  </si>
  <si>
    <t>17-10-2023 19:15</t>
  </si>
  <si>
    <t>17-10-2023 19:30</t>
  </si>
  <si>
    <t>17-10-2023 19:45</t>
  </si>
  <si>
    <t>17-10-2023 20:00</t>
  </si>
  <si>
    <t>17-10-2023 20:15</t>
  </si>
  <si>
    <t>17-10-2023 20:30</t>
  </si>
  <si>
    <t>17-10-2023 20:45</t>
  </si>
  <si>
    <t>17-10-2023 21:00</t>
  </si>
  <si>
    <t>17-10-2023 21:15</t>
  </si>
  <si>
    <t>17-10-2023 21:30</t>
  </si>
  <si>
    <t>17-10-2023 21:45</t>
  </si>
  <si>
    <t>17-10-2023 22:00</t>
  </si>
  <si>
    <t>17-10-2023 22:15</t>
  </si>
  <si>
    <t>17-10-2023 22:30</t>
  </si>
  <si>
    <t>17-10-2023 22:45</t>
  </si>
  <si>
    <t>17-10-2023 23:00</t>
  </si>
  <si>
    <t>17-10-2023 23:15</t>
  </si>
  <si>
    <t>17-10-2023 23:30</t>
  </si>
  <si>
    <t>17-10-2023 23:45</t>
  </si>
  <si>
    <t>17-10-2023 24:00</t>
  </si>
  <si>
    <t>18-10-2023 00:15</t>
  </si>
  <si>
    <t>18-10-2023 00:30</t>
  </si>
  <si>
    <t>18-10-2023 00:45</t>
  </si>
  <si>
    <t>18-10-2023 01:00</t>
  </si>
  <si>
    <t>18-10-2023 01:15</t>
  </si>
  <si>
    <t>18-10-2023 01:30</t>
  </si>
  <si>
    <t>18-10-2023 01:45</t>
  </si>
  <si>
    <t>18-10-2023 02:00</t>
  </si>
  <si>
    <t>18-10-2023 02:15</t>
  </si>
  <si>
    <t>18-10-2023 02:30</t>
  </si>
  <si>
    <t>18-10-2023 02:45</t>
  </si>
  <si>
    <t>18-10-2023 03:00</t>
  </si>
  <si>
    <t>18-10-2023 03:15</t>
  </si>
  <si>
    <t>18-10-2023 03:30</t>
  </si>
  <si>
    <t>18-10-2023 03:45</t>
  </si>
  <si>
    <t>18-10-2023 04:00</t>
  </si>
  <si>
    <t>18-10-2023 04:15</t>
  </si>
  <si>
    <t>18-10-2023 04:30</t>
  </si>
  <si>
    <t>18-10-2023 04:45</t>
  </si>
  <si>
    <t>18-10-2023 05:00</t>
  </si>
  <si>
    <t>18-10-2023 05:15</t>
  </si>
  <si>
    <t>18-10-2023 05:30</t>
  </si>
  <si>
    <t>18-10-2023 05:45</t>
  </si>
  <si>
    <t>18-10-2023 06:00</t>
  </si>
  <si>
    <t>18-10-2023 06:15</t>
  </si>
  <si>
    <t>18-10-2023 06:30</t>
  </si>
  <si>
    <t>18-10-2023 06:45</t>
  </si>
  <si>
    <t>18-10-2023 07:00</t>
  </si>
  <si>
    <t>18-10-2023 07:15</t>
  </si>
  <si>
    <t>18-10-2023 07:30</t>
  </si>
  <si>
    <t>18-10-2023 07:45</t>
  </si>
  <si>
    <t>18-10-2023 08:00</t>
  </si>
  <si>
    <t>18-10-2023 08:15</t>
  </si>
  <si>
    <t>18-10-2023 08:30</t>
  </si>
  <si>
    <t>18-10-2023 08:45</t>
  </si>
  <si>
    <t>18-10-2023 09:00</t>
  </si>
  <si>
    <t>18-10-2023 09:15</t>
  </si>
  <si>
    <t>18-10-2023 09:30</t>
  </si>
  <si>
    <t>18-10-2023 09:45</t>
  </si>
  <si>
    <t>18-10-2023 10:00</t>
  </si>
  <si>
    <t>18-10-2023 10:15</t>
  </si>
  <si>
    <t>18-10-2023 10:30</t>
  </si>
  <si>
    <t>18-10-2023 10:45</t>
  </si>
  <si>
    <t>18-10-2023 11:00</t>
  </si>
  <si>
    <t>18-10-2023 11:15</t>
  </si>
  <si>
    <t>18-10-2023 11:30</t>
  </si>
  <si>
    <t>18-10-2023 11:45</t>
  </si>
  <si>
    <t>18-10-2023 12:00</t>
  </si>
  <si>
    <t>18-10-2023 12:15</t>
  </si>
  <si>
    <t>18-10-2023 12:30</t>
  </si>
  <si>
    <t>18-10-2023 12:45</t>
  </si>
  <si>
    <t>18-10-2023 13:00</t>
  </si>
  <si>
    <t>18-10-2023 13:15</t>
  </si>
  <si>
    <t>18-10-2023 13:30</t>
  </si>
  <si>
    <t>18-10-2023 13:45</t>
  </si>
  <si>
    <t>18-10-2023 14:00</t>
  </si>
  <si>
    <t>18-10-2023 14:15</t>
  </si>
  <si>
    <t>18-10-2023 14:30</t>
  </si>
  <si>
    <t>18-10-2023 14:45</t>
  </si>
  <si>
    <t>18-10-2023 15:00</t>
  </si>
  <si>
    <t>18-10-2023 15:15</t>
  </si>
  <si>
    <t>18-10-2023 15:30</t>
  </si>
  <si>
    <t>18-10-2023 15:45</t>
  </si>
  <si>
    <t>18-10-2023 16:00</t>
  </si>
  <si>
    <t>18-10-2023 16:15</t>
  </si>
  <si>
    <t>18-10-2023 16:30</t>
  </si>
  <si>
    <t>18-10-2023 16:45</t>
  </si>
  <si>
    <t>18-10-2023 17:00</t>
  </si>
  <si>
    <t>18-10-2023 17:15</t>
  </si>
  <si>
    <t>18-10-2023 17:30</t>
  </si>
  <si>
    <t>18-10-2023 17:45</t>
  </si>
  <si>
    <t>18-10-2023 18:00</t>
  </si>
  <si>
    <t>18-10-2023 18:15</t>
  </si>
  <si>
    <t>18-10-2023 18:30</t>
  </si>
  <si>
    <t>18-10-2023 18:45</t>
  </si>
  <si>
    <t>18-10-2023 19:00</t>
  </si>
  <si>
    <t>18-10-2023 19:15</t>
  </si>
  <si>
    <t>18-10-2023 19:30</t>
  </si>
  <si>
    <t>18-10-2023 19:45</t>
  </si>
  <si>
    <t>18-10-2023 20:00</t>
  </si>
  <si>
    <t>18-10-2023 20:15</t>
  </si>
  <si>
    <t>18-10-2023 20:30</t>
  </si>
  <si>
    <t>18-10-2023 20:45</t>
  </si>
  <si>
    <t>18-10-2023 21:00</t>
  </si>
  <si>
    <t>18-10-2023 21:15</t>
  </si>
  <si>
    <t>18-10-2023 21:30</t>
  </si>
  <si>
    <t>18-10-2023 21:45</t>
  </si>
  <si>
    <t>18-10-2023 22:00</t>
  </si>
  <si>
    <t>18-10-2023 22:15</t>
  </si>
  <si>
    <t>18-10-2023 22:30</t>
  </si>
  <si>
    <t>18-10-2023 22:45</t>
  </si>
  <si>
    <t>18-10-2023 23:00</t>
  </si>
  <si>
    <t>18-10-2023 23:15</t>
  </si>
  <si>
    <t>18-10-2023 23:30</t>
  </si>
  <si>
    <t>18-10-2023 23:45</t>
  </si>
  <si>
    <t>18-10-2023 24:00</t>
  </si>
  <si>
    <t>19-10-2023 00:15</t>
  </si>
  <si>
    <t>19-10-2023 00:30</t>
  </si>
  <si>
    <t>19-10-2023 00:45</t>
  </si>
  <si>
    <t>19-10-2023 01:00</t>
  </si>
  <si>
    <t>19-10-2023 01:15</t>
  </si>
  <si>
    <t>19-10-2023 01:30</t>
  </si>
  <si>
    <t>19-10-2023 01:45</t>
  </si>
  <si>
    <t>19-10-2023 02:00</t>
  </si>
  <si>
    <t>19-10-2023 02:15</t>
  </si>
  <si>
    <t>19-10-2023 02:30</t>
  </si>
  <si>
    <t>19-10-2023 02:45</t>
  </si>
  <si>
    <t>19-10-2023 03:00</t>
  </si>
  <si>
    <t>19-10-2023 03:15</t>
  </si>
  <si>
    <t>19-10-2023 03:30</t>
  </si>
  <si>
    <t>19-10-2023 03:45</t>
  </si>
  <si>
    <t>19-10-2023 04:00</t>
  </si>
  <si>
    <t>19-10-2023 04:15</t>
  </si>
  <si>
    <t>19-10-2023 04:30</t>
  </si>
  <si>
    <t>19-10-2023 04:45</t>
  </si>
  <si>
    <t>19-10-2023 05:00</t>
  </si>
  <si>
    <t>19-10-2023 05:15</t>
  </si>
  <si>
    <t>19-10-2023 05:30</t>
  </si>
  <si>
    <t>19-10-2023 05:45</t>
  </si>
  <si>
    <t>19-10-2023 06:00</t>
  </si>
  <si>
    <t>19-10-2023 06:15</t>
  </si>
  <si>
    <t>19-10-2023 06:30</t>
  </si>
  <si>
    <t>19-10-2023 06:45</t>
  </si>
  <si>
    <t>19-10-2023 07:00</t>
  </si>
  <si>
    <t>19-10-2023 07:15</t>
  </si>
  <si>
    <t>19-10-2023 07:30</t>
  </si>
  <si>
    <t>19-10-2023 07:45</t>
  </si>
  <si>
    <t>19-10-2023 08:00</t>
  </si>
  <si>
    <t>19-10-2023 08:15</t>
  </si>
  <si>
    <t>19-10-2023 08:30</t>
  </si>
  <si>
    <t>19-10-2023 08:45</t>
  </si>
  <si>
    <t>19-10-2023 09:00</t>
  </si>
  <si>
    <t>19-10-2023 09:15</t>
  </si>
  <si>
    <t>19-10-2023 09:30</t>
  </si>
  <si>
    <t>19-10-2023 09:45</t>
  </si>
  <si>
    <t>19-10-2023 10:00</t>
  </si>
  <si>
    <t>19-10-2023 10:15</t>
  </si>
  <si>
    <t>19-10-2023 10:30</t>
  </si>
  <si>
    <t>19-10-2023 10:45</t>
  </si>
  <si>
    <t>19-10-2023 11:00</t>
  </si>
  <si>
    <t>19-10-2023 11:15</t>
  </si>
  <si>
    <t>19-10-2023 11:30</t>
  </si>
  <si>
    <t>19-10-2023 11:45</t>
  </si>
  <si>
    <t>19-10-2023 12:00</t>
  </si>
  <si>
    <t>19-10-2023 12:15</t>
  </si>
  <si>
    <t>19-10-2023 12:30</t>
  </si>
  <si>
    <t>19-10-2023 12:45</t>
  </si>
  <si>
    <t>19-10-2023 13:00</t>
  </si>
  <si>
    <t>19-10-2023 13:15</t>
  </si>
  <si>
    <t>19-10-2023 13:30</t>
  </si>
  <si>
    <t>19-10-2023 13:45</t>
  </si>
  <si>
    <t>19-10-2023 14:00</t>
  </si>
  <si>
    <t>19-10-2023 14:15</t>
  </si>
  <si>
    <t>19-10-2023 14:30</t>
  </si>
  <si>
    <t>19-10-2023 14:45</t>
  </si>
  <si>
    <t>19-10-2023 15:00</t>
  </si>
  <si>
    <t>19-10-2023 15:15</t>
  </si>
  <si>
    <t>19-10-2023 15:30</t>
  </si>
  <si>
    <t>19-10-2023 15:45</t>
  </si>
  <si>
    <t>19-10-2023 16:00</t>
  </si>
  <si>
    <t>19-10-2023 16:15</t>
  </si>
  <si>
    <t>19-10-2023 16:30</t>
  </si>
  <si>
    <t>19-10-2023 16:45</t>
  </si>
  <si>
    <t>19-10-2023 17:00</t>
  </si>
  <si>
    <t>19-10-2023 17:15</t>
  </si>
  <si>
    <t>19-10-2023 17:30</t>
  </si>
  <si>
    <t>19-10-2023 17:45</t>
  </si>
  <si>
    <t>19-10-2023 18:00</t>
  </si>
  <si>
    <t>19-10-2023 18:15</t>
  </si>
  <si>
    <t>19-10-2023 18:30</t>
  </si>
  <si>
    <t>19-10-2023 18:45</t>
  </si>
  <si>
    <t>19-10-2023 19:00</t>
  </si>
  <si>
    <t>19-10-2023 19:15</t>
  </si>
  <si>
    <t>19-10-2023 19:30</t>
  </si>
  <si>
    <t>19-10-2023 19:45</t>
  </si>
  <si>
    <t>19-10-2023 20:00</t>
  </si>
  <si>
    <t>19-10-2023 20:15</t>
  </si>
  <si>
    <t>19-10-2023 20:30</t>
  </si>
  <si>
    <t>19-10-2023 20:45</t>
  </si>
  <si>
    <t>19-10-2023 21:00</t>
  </si>
  <si>
    <t>19-10-2023 21:15</t>
  </si>
  <si>
    <t>19-10-2023 21:30</t>
  </si>
  <si>
    <t>19-10-2023 21:45</t>
  </si>
  <si>
    <t>19-10-2023 22:00</t>
  </si>
  <si>
    <t>19-10-2023 22:15</t>
  </si>
  <si>
    <t>19-10-2023 22:30</t>
  </si>
  <si>
    <t>19-10-2023 22:45</t>
  </si>
  <si>
    <t>19-10-2023 23:00</t>
  </si>
  <si>
    <t>19-10-2023 23:15</t>
  </si>
  <si>
    <t>19-10-2023 23:30</t>
  </si>
  <si>
    <t>19-10-2023 23:45</t>
  </si>
  <si>
    <t>19-10-2023 24:00</t>
  </si>
  <si>
    <t>20-10-2023 00:15</t>
  </si>
  <si>
    <t>20-10-2023 00:30</t>
  </si>
  <si>
    <t>20-10-2023 00:45</t>
  </si>
  <si>
    <t>20-10-2023 01:00</t>
  </si>
  <si>
    <t>20-10-2023 01:15</t>
  </si>
  <si>
    <t>20-10-2023 01:30</t>
  </si>
  <si>
    <t>20-10-2023 01:45</t>
  </si>
  <si>
    <t>20-10-2023 02:00</t>
  </si>
  <si>
    <t>20-10-2023 02:15</t>
  </si>
  <si>
    <t>20-10-2023 02:30</t>
  </si>
  <si>
    <t>20-10-2023 02:45</t>
  </si>
  <si>
    <t>20-10-2023 03:00</t>
  </si>
  <si>
    <t>20-10-2023 03:15</t>
  </si>
  <si>
    <t>20-10-2023 03:30</t>
  </si>
  <si>
    <t>20-10-2023 03:45</t>
  </si>
  <si>
    <t>20-10-2023 04:00</t>
  </si>
  <si>
    <t>20-10-2023 04:15</t>
  </si>
  <si>
    <t>20-10-2023 04:30</t>
  </si>
  <si>
    <t>20-10-2023 04:45</t>
  </si>
  <si>
    <t>20-10-2023 05:00</t>
  </si>
  <si>
    <t>20-10-2023 05:15</t>
  </si>
  <si>
    <t>20-10-2023 05:30</t>
  </si>
  <si>
    <t>20-10-2023 05:45</t>
  </si>
  <si>
    <t>20-10-2023 06:00</t>
  </si>
  <si>
    <t>20-10-2023 06:15</t>
  </si>
  <si>
    <t>20-10-2023 06:30</t>
  </si>
  <si>
    <t>20-10-2023 06:45</t>
  </si>
  <si>
    <t>20-10-2023 07:00</t>
  </si>
  <si>
    <t>20-10-2023 07:15</t>
  </si>
  <si>
    <t>20-10-2023 07:30</t>
  </si>
  <si>
    <t>20-10-2023 07:45</t>
  </si>
  <si>
    <t>20-10-2023 08:00</t>
  </si>
  <si>
    <t>20-10-2023 08:15</t>
  </si>
  <si>
    <t>20-10-2023 08:30</t>
  </si>
  <si>
    <t>20-10-2023 08:45</t>
  </si>
  <si>
    <t>20-10-2023 09:00</t>
  </si>
  <si>
    <t>20-10-2023 09:15</t>
  </si>
  <si>
    <t>20-10-2023 09:30</t>
  </si>
  <si>
    <t>20-10-2023 09:45</t>
  </si>
  <si>
    <t>20-10-2023 10:00</t>
  </si>
  <si>
    <t>20-10-2023 10:15</t>
  </si>
  <si>
    <t>20-10-2023 10:30</t>
  </si>
  <si>
    <t>20-10-2023 10:45</t>
  </si>
  <si>
    <t>20-10-2023 11:00</t>
  </si>
  <si>
    <t>20-10-2023 11:15</t>
  </si>
  <si>
    <t>20-10-2023 11:30</t>
  </si>
  <si>
    <t>20-10-2023 11:45</t>
  </si>
  <si>
    <t>20-10-2023 12:00</t>
  </si>
  <si>
    <t>20-10-2023 12:15</t>
  </si>
  <si>
    <t>20-10-2023 12:30</t>
  </si>
  <si>
    <t>20-10-2023 12:45</t>
  </si>
  <si>
    <t>20-10-2023 13:00</t>
  </si>
  <si>
    <t>20-10-2023 13:15</t>
  </si>
  <si>
    <t>20-10-2023 13:30</t>
  </si>
  <si>
    <t>20-10-2023 13:45</t>
  </si>
  <si>
    <t>20-10-2023 14:00</t>
  </si>
  <si>
    <t>20-10-2023 14:15</t>
  </si>
  <si>
    <t>20-10-2023 14:30</t>
  </si>
  <si>
    <t>20-10-2023 14:45</t>
  </si>
  <si>
    <t>20-10-2023 15:00</t>
  </si>
  <si>
    <t>20-10-2023 15:15</t>
  </si>
  <si>
    <t>20-10-2023 15:30</t>
  </si>
  <si>
    <t>20-10-2023 15:45</t>
  </si>
  <si>
    <t>20-10-2023 16:00</t>
  </si>
  <si>
    <t>20-10-2023 16:15</t>
  </si>
  <si>
    <t>20-10-2023 16:30</t>
  </si>
  <si>
    <t>20-10-2023 16:45</t>
  </si>
  <si>
    <t>20-10-2023 17:00</t>
  </si>
  <si>
    <t>20-10-2023 17:15</t>
  </si>
  <si>
    <t>20-10-2023 17:30</t>
  </si>
  <si>
    <t>20-10-2023 17:45</t>
  </si>
  <si>
    <t>20-10-2023 18:00</t>
  </si>
  <si>
    <t>20-10-2023 18:15</t>
  </si>
  <si>
    <t>20-10-2023 18:30</t>
  </si>
  <si>
    <t>20-10-2023 18:45</t>
  </si>
  <si>
    <t>20-10-2023 19:00</t>
  </si>
  <si>
    <t>20-10-2023 19:15</t>
  </si>
  <si>
    <t>20-10-2023 19:30</t>
  </si>
  <si>
    <t>20-10-2023 19:45</t>
  </si>
  <si>
    <t>20-10-2023 20:00</t>
  </si>
  <si>
    <t>20-10-2023 20:15</t>
  </si>
  <si>
    <t>20-10-2023 20:30</t>
  </si>
  <si>
    <t>20-10-2023 20:45</t>
  </si>
  <si>
    <t>20-10-2023 21:00</t>
  </si>
  <si>
    <t>20-10-2023 21:15</t>
  </si>
  <si>
    <t>20-10-2023 21:30</t>
  </si>
  <si>
    <t>20-10-2023 21:45</t>
  </si>
  <si>
    <t>20-10-2023 22:00</t>
  </si>
  <si>
    <t>20-10-2023 22:15</t>
  </si>
  <si>
    <t>20-10-2023 22:30</t>
  </si>
  <si>
    <t>20-10-2023 22:45</t>
  </si>
  <si>
    <t>20-10-2023 23:00</t>
  </si>
  <si>
    <t>20-10-2023 23:15</t>
  </si>
  <si>
    <t>20-10-2023 23:30</t>
  </si>
  <si>
    <t>20-10-2023 23:45</t>
  </si>
  <si>
    <t>20-10-2023 24:00</t>
  </si>
  <si>
    <t>21-10-2023 00:15</t>
  </si>
  <si>
    <t>21-10-2023 00:30</t>
  </si>
  <si>
    <t>21-10-2023 00:45</t>
  </si>
  <si>
    <t>21-10-2023 01:00</t>
  </si>
  <si>
    <t>21-10-2023 01:15</t>
  </si>
  <si>
    <t>21-10-2023 01:30</t>
  </si>
  <si>
    <t>21-10-2023 01:45</t>
  </si>
  <si>
    <t>21-10-2023 02:00</t>
  </si>
  <si>
    <t>21-10-2023 02:15</t>
  </si>
  <si>
    <t>21-10-2023 02:30</t>
  </si>
  <si>
    <t>21-10-2023 02:45</t>
  </si>
  <si>
    <t>21-10-2023 03:00</t>
  </si>
  <si>
    <t>21-10-2023 03:15</t>
  </si>
  <si>
    <t>21-10-2023 03:30</t>
  </si>
  <si>
    <t>21-10-2023 03:45</t>
  </si>
  <si>
    <t>21-10-2023 04:00</t>
  </si>
  <si>
    <t>21-10-2023 04:15</t>
  </si>
  <si>
    <t>21-10-2023 04:30</t>
  </si>
  <si>
    <t>21-10-2023 04:45</t>
  </si>
  <si>
    <t>21-10-2023 05:00</t>
  </si>
  <si>
    <t>21-10-2023 05:15</t>
  </si>
  <si>
    <t>21-10-2023 05:30</t>
  </si>
  <si>
    <t>21-10-2023 05:45</t>
  </si>
  <si>
    <t>21-10-2023 06:00</t>
  </si>
  <si>
    <t>21-10-2023 06:15</t>
  </si>
  <si>
    <t>21-10-2023 06:30</t>
  </si>
  <si>
    <t>21-10-2023 06:45</t>
  </si>
  <si>
    <t>21-10-2023 07:00</t>
  </si>
  <si>
    <t>21-10-2023 07:15</t>
  </si>
  <si>
    <t>21-10-2023 07:30</t>
  </si>
  <si>
    <t>21-10-2023 07:45</t>
  </si>
  <si>
    <t>21-10-2023 08:00</t>
  </si>
  <si>
    <t>21-10-2023 08:15</t>
  </si>
  <si>
    <t>21-10-2023 08:30</t>
  </si>
  <si>
    <t>21-10-2023 08:45</t>
  </si>
  <si>
    <t>21-10-2023 09:00</t>
  </si>
  <si>
    <t>21-10-2023 09:15</t>
  </si>
  <si>
    <t>21-10-2023 09:30</t>
  </si>
  <si>
    <t>21-10-2023 09:45</t>
  </si>
  <si>
    <t>21-10-2023 10:00</t>
  </si>
  <si>
    <t>21-10-2023 10:15</t>
  </si>
  <si>
    <t>21-10-2023 10:30</t>
  </si>
  <si>
    <t>21-10-2023 10:45</t>
  </si>
  <si>
    <t>21-10-2023 11:00</t>
  </si>
  <si>
    <t>21-10-2023 11:15</t>
  </si>
  <si>
    <t>21-10-2023 11:30</t>
  </si>
  <si>
    <t>21-10-2023 11:45</t>
  </si>
  <si>
    <t>21-10-2023 12:00</t>
  </si>
  <si>
    <t>21-10-2023 12:15</t>
  </si>
  <si>
    <t>21-10-2023 12:30</t>
  </si>
  <si>
    <t>21-10-2023 12:45</t>
  </si>
  <si>
    <t>21-10-2023 13:00</t>
  </si>
  <si>
    <t>21-10-2023 13:15</t>
  </si>
  <si>
    <t>21-10-2023 13:30</t>
  </si>
  <si>
    <t>21-10-2023 13:45</t>
  </si>
  <si>
    <t>21-10-2023 14:00</t>
  </si>
  <si>
    <t>21-10-2023 14:15</t>
  </si>
  <si>
    <t>21-10-2023 14:30</t>
  </si>
  <si>
    <t>21-10-2023 14:45</t>
  </si>
  <si>
    <t>21-10-2023 15:00</t>
  </si>
  <si>
    <t>21-10-2023 15:15</t>
  </si>
  <si>
    <t>21-10-2023 15:30</t>
  </si>
  <si>
    <t>21-10-2023 15:45</t>
  </si>
  <si>
    <t>21-10-2023 16:00</t>
  </si>
  <si>
    <t>21-10-2023 16:15</t>
  </si>
  <si>
    <t>21-10-2023 16:30</t>
  </si>
  <si>
    <t>21-10-2023 16:45</t>
  </si>
  <si>
    <t>21-10-2023 17:00</t>
  </si>
  <si>
    <t>21-10-2023 17:15</t>
  </si>
  <si>
    <t>21-10-2023 17:30</t>
  </si>
  <si>
    <t>21-10-2023 17:45</t>
  </si>
  <si>
    <t>21-10-2023 18:00</t>
  </si>
  <si>
    <t>21-10-2023 18:15</t>
  </si>
  <si>
    <t>21-10-2023 18:30</t>
  </si>
  <si>
    <t>21-10-2023 18:45</t>
  </si>
  <si>
    <t>21-10-2023 19:00</t>
  </si>
  <si>
    <t>21-10-2023 19:15</t>
  </si>
  <si>
    <t>21-10-2023 19:30</t>
  </si>
  <si>
    <t>21-10-2023 19:45</t>
  </si>
  <si>
    <t>21-10-2023 20:00</t>
  </si>
  <si>
    <t>21-10-2023 20:15</t>
  </si>
  <si>
    <t>21-10-2023 20:30</t>
  </si>
  <si>
    <t>21-10-2023 20:45</t>
  </si>
  <si>
    <t>21-10-2023 21:00</t>
  </si>
  <si>
    <t>21-10-2023 21:15</t>
  </si>
  <si>
    <t>21-10-2023 21:30</t>
  </si>
  <si>
    <t>21-10-2023 21:45</t>
  </si>
  <si>
    <t>21-10-2023 22:00</t>
  </si>
  <si>
    <t>21-10-2023 22:15</t>
  </si>
  <si>
    <t>21-10-2023 22:30</t>
  </si>
  <si>
    <t>21-10-2023 22:45</t>
  </si>
  <si>
    <t>21-10-2023 23:00</t>
  </si>
  <si>
    <t>21-10-2023 23:15</t>
  </si>
  <si>
    <t>21-10-2023 23:30</t>
  </si>
  <si>
    <t>21-10-2023 23:45</t>
  </si>
  <si>
    <t>21-10-2023 24:00</t>
  </si>
  <si>
    <t>22-10-2023 00:15</t>
  </si>
  <si>
    <t>22-10-2023 00:30</t>
  </si>
  <si>
    <t>22-10-2023 00:45</t>
  </si>
  <si>
    <t>22-10-2023 01:00</t>
  </si>
  <si>
    <t>22-10-2023 01:15</t>
  </si>
  <si>
    <t>22-10-2023 01:30</t>
  </si>
  <si>
    <t>22-10-2023 01:45</t>
  </si>
  <si>
    <t>22-10-2023 02:00</t>
  </si>
  <si>
    <t>22-10-2023 02:15</t>
  </si>
  <si>
    <t>22-10-2023 02:30</t>
  </si>
  <si>
    <t>22-10-2023 02:45</t>
  </si>
  <si>
    <t>22-10-2023 03:00</t>
  </si>
  <si>
    <t>22-10-2023 03:15</t>
  </si>
  <si>
    <t>22-10-2023 03:30</t>
  </si>
  <si>
    <t>22-10-2023 03:45</t>
  </si>
  <si>
    <t>22-10-2023 04:00</t>
  </si>
  <si>
    <t>22-10-2023 04:15</t>
  </si>
  <si>
    <t>22-10-2023 04:30</t>
  </si>
  <si>
    <t>22-10-2023 04:45</t>
  </si>
  <si>
    <t>22-10-2023 05:00</t>
  </si>
  <si>
    <t>22-10-2023 05:15</t>
  </si>
  <si>
    <t>22-10-2023 05:30</t>
  </si>
  <si>
    <t>22-10-2023 05:45</t>
  </si>
  <si>
    <t>22-10-2023 06:00</t>
  </si>
  <si>
    <t>22-10-2023 06:15</t>
  </si>
  <si>
    <t>22-10-2023 06:30</t>
  </si>
  <si>
    <t>22-10-2023 06:45</t>
  </si>
  <si>
    <t>22-10-2023 07:00</t>
  </si>
  <si>
    <t>22-10-2023 07:15</t>
  </si>
  <si>
    <t>22-10-2023 07:30</t>
  </si>
  <si>
    <t>22-10-2023 07:45</t>
  </si>
  <si>
    <t>22-10-2023 08:00</t>
  </si>
  <si>
    <t>22-10-2023 08:15</t>
  </si>
  <si>
    <t>22-10-2023 08:30</t>
  </si>
  <si>
    <t>22-10-2023 08:45</t>
  </si>
  <si>
    <t>22-10-2023 09:00</t>
  </si>
  <si>
    <t>22-10-2023 09:15</t>
  </si>
  <si>
    <t>22-10-2023 09:30</t>
  </si>
  <si>
    <t>22-10-2023 09:45</t>
  </si>
  <si>
    <t>22-10-2023 10:00</t>
  </si>
  <si>
    <t>22-10-2023 10:15</t>
  </si>
  <si>
    <t>22-10-2023 10:30</t>
  </si>
  <si>
    <t>22-10-2023 10:45</t>
  </si>
  <si>
    <t>22-10-2023 11:00</t>
  </si>
  <si>
    <t>22-10-2023 11:15</t>
  </si>
  <si>
    <t>22-10-2023 11:30</t>
  </si>
  <si>
    <t>22-10-2023 11:45</t>
  </si>
  <si>
    <t>22-10-2023 12:00</t>
  </si>
  <si>
    <t>22-10-2023 12:15</t>
  </si>
  <si>
    <t>22-10-2023 12:30</t>
  </si>
  <si>
    <t>22-10-2023 12:45</t>
  </si>
  <si>
    <t>22-10-2023 13:00</t>
  </si>
  <si>
    <t>22-10-2023 13:15</t>
  </si>
  <si>
    <t>22-10-2023 13:30</t>
  </si>
  <si>
    <t>22-10-2023 13:45</t>
  </si>
  <si>
    <t>22-10-2023 14:00</t>
  </si>
  <si>
    <t>22-10-2023 14:15</t>
  </si>
  <si>
    <t>22-10-2023 14:30</t>
  </si>
  <si>
    <t>22-10-2023 14:45</t>
  </si>
  <si>
    <t>22-10-2023 15:00</t>
  </si>
  <si>
    <t>22-10-2023 15:15</t>
  </si>
  <si>
    <t>22-10-2023 15:30</t>
  </si>
  <si>
    <t>22-10-2023 15:45</t>
  </si>
  <si>
    <t>22-10-2023 16:00</t>
  </si>
  <si>
    <t>22-10-2023 16:15</t>
  </si>
  <si>
    <t>22-10-2023 16:30</t>
  </si>
  <si>
    <t>22-10-2023 16:45</t>
  </si>
  <si>
    <t>22-10-2023 17:00</t>
  </si>
  <si>
    <t>22-10-2023 17:15</t>
  </si>
  <si>
    <t>22-10-2023 17:30</t>
  </si>
  <si>
    <t>22-10-2023 17:45</t>
  </si>
  <si>
    <t>22-10-2023 18:00</t>
  </si>
  <si>
    <t>22-10-2023 18:15</t>
  </si>
  <si>
    <t>22-10-2023 18:30</t>
  </si>
  <si>
    <t>22-10-2023 18:45</t>
  </si>
  <si>
    <t>22-10-2023 19:00</t>
  </si>
  <si>
    <t>22-10-2023 19:15</t>
  </si>
  <si>
    <t>22-10-2023 19:30</t>
  </si>
  <si>
    <t>22-10-2023 19:45</t>
  </si>
  <si>
    <t>22-10-2023 20:00</t>
  </si>
  <si>
    <t>22-10-2023 20:15</t>
  </si>
  <si>
    <t>22-10-2023 20:30</t>
  </si>
  <si>
    <t>22-10-2023 20:45</t>
  </si>
  <si>
    <t>22-10-2023 21:00</t>
  </si>
  <si>
    <t>22-10-2023 21:15</t>
  </si>
  <si>
    <t>22-10-2023 21:30</t>
  </si>
  <si>
    <t>22-10-2023 21:45</t>
  </si>
  <si>
    <t>22-10-2023 22:00</t>
  </si>
  <si>
    <t>22-10-2023 22:15</t>
  </si>
  <si>
    <t>22-10-2023 22:30</t>
  </si>
  <si>
    <t>22-10-2023 22:45</t>
  </si>
  <si>
    <t>22-10-2023 23:00</t>
  </si>
  <si>
    <t>22-10-2023 23:15</t>
  </si>
  <si>
    <t>22-10-2023 23:30</t>
  </si>
  <si>
    <t>22-10-2023 23:45</t>
  </si>
  <si>
    <t>22-10-2023 24:00</t>
  </si>
  <si>
    <t>23-10-2023 00:15</t>
  </si>
  <si>
    <t>23-10-2023 00:30</t>
  </si>
  <si>
    <t>23-10-2023 00:45</t>
  </si>
  <si>
    <t>23-10-2023 01:00</t>
  </si>
  <si>
    <t>23-10-2023 01:15</t>
  </si>
  <si>
    <t>23-10-2023 01:30</t>
  </si>
  <si>
    <t>23-10-2023 01:45</t>
  </si>
  <si>
    <t>23-10-2023 02:00</t>
  </si>
  <si>
    <t>23-10-2023 02:15</t>
  </si>
  <si>
    <t>23-10-2023 02:30</t>
  </si>
  <si>
    <t>23-10-2023 02:45</t>
  </si>
  <si>
    <t>23-10-2023 03:00</t>
  </si>
  <si>
    <t>23-10-2023 03:15</t>
  </si>
  <si>
    <t>23-10-2023 03:30</t>
  </si>
  <si>
    <t>23-10-2023 03:45</t>
  </si>
  <si>
    <t>23-10-2023 04:00</t>
  </si>
  <si>
    <t>23-10-2023 04:15</t>
  </si>
  <si>
    <t>23-10-2023 04:30</t>
  </si>
  <si>
    <t>23-10-2023 04:45</t>
  </si>
  <si>
    <t>23-10-2023 05:00</t>
  </si>
  <si>
    <t>23-10-2023 05:15</t>
  </si>
  <si>
    <t>23-10-2023 05:30</t>
  </si>
  <si>
    <t>23-10-2023 05:45</t>
  </si>
  <si>
    <t>23-10-2023 06:00</t>
  </si>
  <si>
    <t>23-10-2023 06:15</t>
  </si>
  <si>
    <t>23-10-2023 06:30</t>
  </si>
  <si>
    <t>23-10-2023 06:45</t>
  </si>
  <si>
    <t>23-10-2023 07:00</t>
  </si>
  <si>
    <t>23-10-2023 07:15</t>
  </si>
  <si>
    <t>23-10-2023 07:30</t>
  </si>
  <si>
    <t>23-10-2023 07:45</t>
  </si>
  <si>
    <t>23-10-2023 08:00</t>
  </si>
  <si>
    <t>23-10-2023 08:15</t>
  </si>
  <si>
    <t>23-10-2023 08:30</t>
  </si>
  <si>
    <t>23-10-2023 08:45</t>
  </si>
  <si>
    <t>23-10-2023 09:00</t>
  </si>
  <si>
    <t>23-10-2023 09:15</t>
  </si>
  <si>
    <t>23-10-2023 09:30</t>
  </si>
  <si>
    <t>23-10-2023 09:45</t>
  </si>
  <si>
    <t>23-10-2023 10:00</t>
  </si>
  <si>
    <t>23-10-2023 10:15</t>
  </si>
  <si>
    <t>23-10-2023 10:30</t>
  </si>
  <si>
    <t>23-10-2023 10:45</t>
  </si>
  <si>
    <t>23-10-2023 11:00</t>
  </si>
  <si>
    <t>23-10-2023 11:15</t>
  </si>
  <si>
    <t>23-10-2023 11:30</t>
  </si>
  <si>
    <t>23-10-2023 11:45</t>
  </si>
  <si>
    <t>23-10-2023 12:00</t>
  </si>
  <si>
    <t>23-10-2023 12:15</t>
  </si>
  <si>
    <t>23-10-2023 12:30</t>
  </si>
  <si>
    <t>23-10-2023 12:45</t>
  </si>
  <si>
    <t>23-10-2023 13:00</t>
  </si>
  <si>
    <t>23-10-2023 13:15</t>
  </si>
  <si>
    <t>23-10-2023 13:30</t>
  </si>
  <si>
    <t>23-10-2023 13:45</t>
  </si>
  <si>
    <t>23-10-2023 14:00</t>
  </si>
  <si>
    <t>23-10-2023 14:15</t>
  </si>
  <si>
    <t>23-10-2023 14:30</t>
  </si>
  <si>
    <t>23-10-2023 14:45</t>
  </si>
  <si>
    <t>23-10-2023 15:00</t>
  </si>
  <si>
    <t>23-10-2023 15:15</t>
  </si>
  <si>
    <t>23-10-2023 15:30</t>
  </si>
  <si>
    <t>23-10-2023 15:45</t>
  </si>
  <si>
    <t>23-10-2023 16:00</t>
  </si>
  <si>
    <t>23-10-2023 16:15</t>
  </si>
  <si>
    <t>23-10-2023 16:30</t>
  </si>
  <si>
    <t>23-10-2023 16:45</t>
  </si>
  <si>
    <t>23-10-2023 17:00</t>
  </si>
  <si>
    <t>23-10-2023 17:15</t>
  </si>
  <si>
    <t>23-10-2023 17:30</t>
  </si>
  <si>
    <t>23-10-2023 17:45</t>
  </si>
  <si>
    <t>23-10-2023 18:00</t>
  </si>
  <si>
    <t>23-10-2023 18:15</t>
  </si>
  <si>
    <t>23-10-2023 18:30</t>
  </si>
  <si>
    <t>23-10-2023 18:45</t>
  </si>
  <si>
    <t>23-10-2023 19:00</t>
  </si>
  <si>
    <t>23-10-2023 19:15</t>
  </si>
  <si>
    <t>23-10-2023 19:30</t>
  </si>
  <si>
    <t>23-10-2023 19:45</t>
  </si>
  <si>
    <t>23-10-2023 20:00</t>
  </si>
  <si>
    <t>23-10-2023 20:15</t>
  </si>
  <si>
    <t>23-10-2023 20:30</t>
  </si>
  <si>
    <t>23-10-2023 20:45</t>
  </si>
  <si>
    <t>23-10-2023 21:00</t>
  </si>
  <si>
    <t>23-10-2023 21:15</t>
  </si>
  <si>
    <t>23-10-2023 21:30</t>
  </si>
  <si>
    <t>23-10-2023 21:45</t>
  </si>
  <si>
    <t>23-10-2023 22:00</t>
  </si>
  <si>
    <t>23-10-2023 22:15</t>
  </si>
  <si>
    <t>23-10-2023 22:30</t>
  </si>
  <si>
    <t>23-10-2023 22:45</t>
  </si>
  <si>
    <t>23-10-2023 23:00</t>
  </si>
  <si>
    <t>23-10-2023 23:15</t>
  </si>
  <si>
    <t>23-10-2023 23:30</t>
  </si>
  <si>
    <t>23-10-2023 23:45</t>
  </si>
  <si>
    <t>23-10-2023 24:00</t>
  </si>
  <si>
    <t>24-10-2023 00:15</t>
  </si>
  <si>
    <t>24-10-2023 00:30</t>
  </si>
  <si>
    <t>24-10-2023 00:45</t>
  </si>
  <si>
    <t>24-10-2023 01:00</t>
  </si>
  <si>
    <t>24-10-2023 01:15</t>
  </si>
  <si>
    <t>24-10-2023 01:30</t>
  </si>
  <si>
    <t>24-10-2023 01:45</t>
  </si>
  <si>
    <t>24-10-2023 02:00</t>
  </si>
  <si>
    <t>24-10-2023 02:15</t>
  </si>
  <si>
    <t>24-10-2023 02:30</t>
  </si>
  <si>
    <t>24-10-2023 02:45</t>
  </si>
  <si>
    <t>24-10-2023 03:00</t>
  </si>
  <si>
    <t>24-10-2023 03:15</t>
  </si>
  <si>
    <t>24-10-2023 03:30</t>
  </si>
  <si>
    <t>24-10-2023 03:45</t>
  </si>
  <si>
    <t>24-10-2023 04:00</t>
  </si>
  <si>
    <t>24-10-2023 04:15</t>
  </si>
  <si>
    <t>24-10-2023 04:30</t>
  </si>
  <si>
    <t>24-10-2023 04:45</t>
  </si>
  <si>
    <t>24-10-2023 05:00</t>
  </si>
  <si>
    <t>24-10-2023 05:15</t>
  </si>
  <si>
    <t>24-10-2023 05:30</t>
  </si>
  <si>
    <t>24-10-2023 05:45</t>
  </si>
  <si>
    <t>24-10-2023 06:00</t>
  </si>
  <si>
    <t>24-10-2023 06:15</t>
  </si>
  <si>
    <t>24-10-2023 06:30</t>
  </si>
  <si>
    <t>24-10-2023 06:45</t>
  </si>
  <si>
    <t>24-10-2023 07:00</t>
  </si>
  <si>
    <t>24-10-2023 07:15</t>
  </si>
  <si>
    <t>24-10-2023 07:30</t>
  </si>
  <si>
    <t>24-10-2023 07:45</t>
  </si>
  <si>
    <t>24-10-2023 08:00</t>
  </si>
  <si>
    <t>24-10-2023 08:15</t>
  </si>
  <si>
    <t>24-10-2023 08:30</t>
  </si>
  <si>
    <t>24-10-2023 08:45</t>
  </si>
  <si>
    <t>24-10-2023 09:00</t>
  </si>
  <si>
    <t>24-10-2023 09:15</t>
  </si>
  <si>
    <t>24-10-2023 09:30</t>
  </si>
  <si>
    <t>24-10-2023 09:45</t>
  </si>
  <si>
    <t>24-10-2023 10:00</t>
  </si>
  <si>
    <t>24-10-2023 10:15</t>
  </si>
  <si>
    <t>24-10-2023 10:30</t>
  </si>
  <si>
    <t>24-10-2023 10:45</t>
  </si>
  <si>
    <t>24-10-2023 11:00</t>
  </si>
  <si>
    <t>24-10-2023 11:15</t>
  </si>
  <si>
    <t>24-10-2023 11:30</t>
  </si>
  <si>
    <t>24-10-2023 11:45</t>
  </si>
  <si>
    <t>24-10-2023 12:00</t>
  </si>
  <si>
    <t>24-10-2023 12:15</t>
  </si>
  <si>
    <t>24-10-2023 12:30</t>
  </si>
  <si>
    <t>24-10-2023 12:45</t>
  </si>
  <si>
    <t>24-10-2023 13:00</t>
  </si>
  <si>
    <t>24-10-2023 13:15</t>
  </si>
  <si>
    <t>24-10-2023 13:30</t>
  </si>
  <si>
    <t>24-10-2023 13:45</t>
  </si>
  <si>
    <t>24-10-2023 14:00</t>
  </si>
  <si>
    <t>24-10-2023 14:15</t>
  </si>
  <si>
    <t>24-10-2023 14:30</t>
  </si>
  <si>
    <t>24-10-2023 14:45</t>
  </si>
  <si>
    <t>24-10-2023 15:00</t>
  </si>
  <si>
    <t>24-10-2023 15:15</t>
  </si>
  <si>
    <t>24-10-2023 15:30</t>
  </si>
  <si>
    <t>24-10-2023 15:45</t>
  </si>
  <si>
    <t>24-10-2023 16:00</t>
  </si>
  <si>
    <t>24-10-2023 16:15</t>
  </si>
  <si>
    <t>24-10-2023 16:30</t>
  </si>
  <si>
    <t>24-10-2023 16:45</t>
  </si>
  <si>
    <t>24-10-2023 17:00</t>
  </si>
  <si>
    <t>24-10-2023 17:15</t>
  </si>
  <si>
    <t>24-10-2023 17:30</t>
  </si>
  <si>
    <t>24-10-2023 17:45</t>
  </si>
  <si>
    <t>24-10-2023 18:00</t>
  </si>
  <si>
    <t>24-10-2023 18:15</t>
  </si>
  <si>
    <t>24-10-2023 18:30</t>
  </si>
  <si>
    <t>24-10-2023 18:45</t>
  </si>
  <si>
    <t>24-10-2023 19:00</t>
  </si>
  <si>
    <t>24-10-2023 19:15</t>
  </si>
  <si>
    <t>24-10-2023 19:30</t>
  </si>
  <si>
    <t>24-10-2023 19:45</t>
  </si>
  <si>
    <t>24-10-2023 20:00</t>
  </si>
  <si>
    <t>24-10-2023 20:15</t>
  </si>
  <si>
    <t>24-10-2023 20:30</t>
  </si>
  <si>
    <t>24-10-2023 20:45</t>
  </si>
  <si>
    <t>24-10-2023 21:00</t>
  </si>
  <si>
    <t>24-10-2023 21:15</t>
  </si>
  <si>
    <t>24-10-2023 21:30</t>
  </si>
  <si>
    <t>24-10-2023 21:45</t>
  </si>
  <si>
    <t>24-10-2023 22:00</t>
  </si>
  <si>
    <t>24-10-2023 22:15</t>
  </si>
  <si>
    <t>24-10-2023 22:30</t>
  </si>
  <si>
    <t>24-10-2023 22:45</t>
  </si>
  <si>
    <t>24-10-2023 23:00</t>
  </si>
  <si>
    <t>24-10-2023 23:15</t>
  </si>
  <si>
    <t>24-10-2023 23:30</t>
  </si>
  <si>
    <t>24-10-2023 23:45</t>
  </si>
  <si>
    <t>24-10-2023 24:00</t>
  </si>
  <si>
    <t>25-10-2023 00:15</t>
  </si>
  <si>
    <t>25-10-2023 00:30</t>
  </si>
  <si>
    <t>25-10-2023 00:45</t>
  </si>
  <si>
    <t>25-10-2023 01:00</t>
  </si>
  <si>
    <t>25-10-2023 01:15</t>
  </si>
  <si>
    <t>25-10-2023 01:30</t>
  </si>
  <si>
    <t>25-10-2023 01:45</t>
  </si>
  <si>
    <t>25-10-2023 02:00</t>
  </si>
  <si>
    <t>25-10-2023 02:15</t>
  </si>
  <si>
    <t>25-10-2023 02:30</t>
  </si>
  <si>
    <t>25-10-2023 02:45</t>
  </si>
  <si>
    <t>25-10-2023 03:00</t>
  </si>
  <si>
    <t>25-10-2023 03:15</t>
  </si>
  <si>
    <t>25-10-2023 03:30</t>
  </si>
  <si>
    <t>25-10-2023 03:45</t>
  </si>
  <si>
    <t>25-10-2023 04:00</t>
  </si>
  <si>
    <t>25-10-2023 04:15</t>
  </si>
  <si>
    <t>25-10-2023 04:30</t>
  </si>
  <si>
    <t>25-10-2023 04:45</t>
  </si>
  <si>
    <t>25-10-2023 05:00</t>
  </si>
  <si>
    <t>25-10-2023 05:15</t>
  </si>
  <si>
    <t>25-10-2023 05:30</t>
  </si>
  <si>
    <t>25-10-2023 05:45</t>
  </si>
  <si>
    <t>25-10-2023 06:00</t>
  </si>
  <si>
    <t>25-10-2023 06:15</t>
  </si>
  <si>
    <t>25-10-2023 06:30</t>
  </si>
  <si>
    <t>25-10-2023 06:45</t>
  </si>
  <si>
    <t>25-10-2023 07:00</t>
  </si>
  <si>
    <t>25-10-2023 07:15</t>
  </si>
  <si>
    <t>25-10-2023 07:30</t>
  </si>
  <si>
    <t>25-10-2023 07:45</t>
  </si>
  <si>
    <t>25-10-2023 08:00</t>
  </si>
  <si>
    <t>25-10-2023 08:15</t>
  </si>
  <si>
    <t>25-10-2023 08:30</t>
  </si>
  <si>
    <t>25-10-2023 08:45</t>
  </si>
  <si>
    <t>25-10-2023 09:00</t>
  </si>
  <si>
    <t>25-10-2023 09:15</t>
  </si>
  <si>
    <t>25-10-2023 09:30</t>
  </si>
  <si>
    <t>25-10-2023 09:45</t>
  </si>
  <si>
    <t>25-10-2023 10:00</t>
  </si>
  <si>
    <t>25-10-2023 10:15</t>
  </si>
  <si>
    <t>25-10-2023 10:30</t>
  </si>
  <si>
    <t>25-10-2023 10:45</t>
  </si>
  <si>
    <t>25-10-2023 11:00</t>
  </si>
  <si>
    <t>25-10-2023 11:15</t>
  </si>
  <si>
    <t>25-10-2023 11:30</t>
  </si>
  <si>
    <t>25-10-2023 11:45</t>
  </si>
  <si>
    <t>25-10-2023 12:00</t>
  </si>
  <si>
    <t>25-10-2023 12:15</t>
  </si>
  <si>
    <t>25-10-2023 12:30</t>
  </si>
  <si>
    <t>25-10-2023 12:45</t>
  </si>
  <si>
    <t>25-10-2023 13:00</t>
  </si>
  <si>
    <t>25-10-2023 13:15</t>
  </si>
  <si>
    <t>25-10-2023 13:30</t>
  </si>
  <si>
    <t>25-10-2023 13:45</t>
  </si>
  <si>
    <t>25-10-2023 14:00</t>
  </si>
  <si>
    <t>25-10-2023 14:15</t>
  </si>
  <si>
    <t>25-10-2023 14:30</t>
  </si>
  <si>
    <t>25-10-2023 14:45</t>
  </si>
  <si>
    <t>25-10-2023 15:00</t>
  </si>
  <si>
    <t>25-10-2023 15:15</t>
  </si>
  <si>
    <t>25-10-2023 15:30</t>
  </si>
  <si>
    <t>25-10-2023 15:45</t>
  </si>
  <si>
    <t>25-10-2023 16:00</t>
  </si>
  <si>
    <t>25-10-2023 16:15</t>
  </si>
  <si>
    <t>25-10-2023 16:30</t>
  </si>
  <si>
    <t>25-10-2023 16:45</t>
  </si>
  <si>
    <t>25-10-2023 17:00</t>
  </si>
  <si>
    <t>25-10-2023 17:15</t>
  </si>
  <si>
    <t>25-10-2023 17:30</t>
  </si>
  <si>
    <t>25-10-2023 17:45</t>
  </si>
  <si>
    <t>25-10-2023 18:00</t>
  </si>
  <si>
    <t>25-10-2023 18:15</t>
  </si>
  <si>
    <t>25-10-2023 18:30</t>
  </si>
  <si>
    <t>25-10-2023 18:45</t>
  </si>
  <si>
    <t>25-10-2023 19:00</t>
  </si>
  <si>
    <t>25-10-2023 19:15</t>
  </si>
  <si>
    <t>25-10-2023 19:30</t>
  </si>
  <si>
    <t>25-10-2023 19:45</t>
  </si>
  <si>
    <t>25-10-2023 20:00</t>
  </si>
  <si>
    <t>25-10-2023 20:15</t>
  </si>
  <si>
    <t>25-10-2023 20:30</t>
  </si>
  <si>
    <t>25-10-2023 20:45</t>
  </si>
  <si>
    <t>25-10-2023 21:00</t>
  </si>
  <si>
    <t>25-10-2023 21:15</t>
  </si>
  <si>
    <t>25-10-2023 21:30</t>
  </si>
  <si>
    <t>25-10-2023 21:45</t>
  </si>
  <si>
    <t>25-10-2023 22:00</t>
  </si>
  <si>
    <t>25-10-2023 22:15</t>
  </si>
  <si>
    <t>25-10-2023 22:30</t>
  </si>
  <si>
    <t>25-10-2023 22:45</t>
  </si>
  <si>
    <t>25-10-2023 23:00</t>
  </si>
  <si>
    <t>25-10-2023 23:15</t>
  </si>
  <si>
    <t>25-10-2023 23:30</t>
  </si>
  <si>
    <t>25-10-2023 23:45</t>
  </si>
  <si>
    <t>25-10-2023 24:00</t>
  </si>
  <si>
    <t>26-10-2023 00:15</t>
  </si>
  <si>
    <t>26-10-2023 00:30</t>
  </si>
  <si>
    <t>26-10-2023 00:45</t>
  </si>
  <si>
    <t>26-10-2023 01:00</t>
  </si>
  <si>
    <t>26-10-2023 01:15</t>
  </si>
  <si>
    <t>26-10-2023 01:30</t>
  </si>
  <si>
    <t>26-10-2023 01:45</t>
  </si>
  <si>
    <t>26-10-2023 02:00</t>
  </si>
  <si>
    <t>26-10-2023 02:15</t>
  </si>
  <si>
    <t>26-10-2023 02:30</t>
  </si>
  <si>
    <t>26-10-2023 02:45</t>
  </si>
  <si>
    <t>26-10-2023 03:00</t>
  </si>
  <si>
    <t>26-10-2023 03:15</t>
  </si>
  <si>
    <t>26-10-2023 03:30</t>
  </si>
  <si>
    <t>26-10-2023 03:45</t>
  </si>
  <si>
    <t>26-10-2023 04:00</t>
  </si>
  <si>
    <t>26-10-2023 04:15</t>
  </si>
  <si>
    <t>26-10-2023 04:30</t>
  </si>
  <si>
    <t>26-10-2023 04:45</t>
  </si>
  <si>
    <t>26-10-2023 05:00</t>
  </si>
  <si>
    <t>26-10-2023 05:15</t>
  </si>
  <si>
    <t>26-10-2023 05:30</t>
  </si>
  <si>
    <t>26-10-2023 05:45</t>
  </si>
  <si>
    <t>26-10-2023 06:00</t>
  </si>
  <si>
    <t>26-10-2023 06:15</t>
  </si>
  <si>
    <t>26-10-2023 06:30</t>
  </si>
  <si>
    <t>26-10-2023 06:45</t>
  </si>
  <si>
    <t>26-10-2023 07:00</t>
  </si>
  <si>
    <t>26-10-2023 07:15</t>
  </si>
  <si>
    <t>26-10-2023 07:30</t>
  </si>
  <si>
    <t>26-10-2023 07:45</t>
  </si>
  <si>
    <t>26-10-2023 08:00</t>
  </si>
  <si>
    <t>26-10-2023 08:15</t>
  </si>
  <si>
    <t>26-10-2023 08:30</t>
  </si>
  <si>
    <t>26-10-2023 08:45</t>
  </si>
  <si>
    <t>26-10-2023 09:00</t>
  </si>
  <si>
    <t>26-10-2023 09:15</t>
  </si>
  <si>
    <t>26-10-2023 09:30</t>
  </si>
  <si>
    <t>26-10-2023 09:45</t>
  </si>
  <si>
    <t>26-10-2023 10:00</t>
  </si>
  <si>
    <t>26-10-2023 10:15</t>
  </si>
  <si>
    <t>26-10-2023 10:30</t>
  </si>
  <si>
    <t>26-10-2023 10:45</t>
  </si>
  <si>
    <t>26-10-2023 11:00</t>
  </si>
  <si>
    <t>26-10-2023 11:15</t>
  </si>
  <si>
    <t>26-10-2023 11:30</t>
  </si>
  <si>
    <t>26-10-2023 11:45</t>
  </si>
  <si>
    <t>26-10-2023 12:00</t>
  </si>
  <si>
    <t>26-10-2023 12:15</t>
  </si>
  <si>
    <t>26-10-2023 12:30</t>
  </si>
  <si>
    <t>26-10-2023 12:45</t>
  </si>
  <si>
    <t>26-10-2023 13:00</t>
  </si>
  <si>
    <t>26-10-2023 13:15</t>
  </si>
  <si>
    <t>26-10-2023 13:30</t>
  </si>
  <si>
    <t>26-10-2023 13:45</t>
  </si>
  <si>
    <t>26-10-2023 14:00</t>
  </si>
  <si>
    <t>26-10-2023 14:15</t>
  </si>
  <si>
    <t>26-10-2023 14:30</t>
  </si>
  <si>
    <t>26-10-2023 14:45</t>
  </si>
  <si>
    <t>26-10-2023 15:00</t>
  </si>
  <si>
    <t>26-10-2023 15:15</t>
  </si>
  <si>
    <t>26-10-2023 15:30</t>
  </si>
  <si>
    <t>26-10-2023 15:45</t>
  </si>
  <si>
    <t>26-10-2023 16:00</t>
  </si>
  <si>
    <t>26-10-2023 16:15</t>
  </si>
  <si>
    <t>26-10-2023 16:30</t>
  </si>
  <si>
    <t>26-10-2023 16:45</t>
  </si>
  <si>
    <t>26-10-2023 17:00</t>
  </si>
  <si>
    <t>26-10-2023 17:15</t>
  </si>
  <si>
    <t>26-10-2023 17:30</t>
  </si>
  <si>
    <t>26-10-2023 17:45</t>
  </si>
  <si>
    <t>26-10-2023 18:00</t>
  </si>
  <si>
    <t>26-10-2023 18:15</t>
  </si>
  <si>
    <t>26-10-2023 18:30</t>
  </si>
  <si>
    <t>26-10-2023 18:45</t>
  </si>
  <si>
    <t>26-10-2023 19:00</t>
  </si>
  <si>
    <t>26-10-2023 19:15</t>
  </si>
  <si>
    <t>26-10-2023 19:30</t>
  </si>
  <si>
    <t>26-10-2023 19:45</t>
  </si>
  <si>
    <t>26-10-2023 20:00</t>
  </si>
  <si>
    <t>26-10-2023 20:15</t>
  </si>
  <si>
    <t>26-10-2023 20:30</t>
  </si>
  <si>
    <t>26-10-2023 20:45</t>
  </si>
  <si>
    <t>26-10-2023 21:00</t>
  </si>
  <si>
    <t>26-10-2023 21:15</t>
  </si>
  <si>
    <t>26-10-2023 21:30</t>
  </si>
  <si>
    <t>26-10-2023 21:45</t>
  </si>
  <si>
    <t>26-10-2023 22:00</t>
  </si>
  <si>
    <t>26-10-2023 22:15</t>
  </si>
  <si>
    <t>26-10-2023 22:30</t>
  </si>
  <si>
    <t>26-10-2023 22:45</t>
  </si>
  <si>
    <t>26-10-2023 23:00</t>
  </si>
  <si>
    <t>26-10-2023 23:15</t>
  </si>
  <si>
    <t>26-10-2023 23:30</t>
  </si>
  <si>
    <t>26-10-2023 23:45</t>
  </si>
  <si>
    <t>26-10-2023 24:00</t>
  </si>
  <si>
    <t>27-10-2023 00:15</t>
  </si>
  <si>
    <t>27-10-2023 00:30</t>
  </si>
  <si>
    <t>27-10-2023 00:45</t>
  </si>
  <si>
    <t>27-10-2023 01:00</t>
  </si>
  <si>
    <t>27-10-2023 01:15</t>
  </si>
  <si>
    <t>27-10-2023 01:30</t>
  </si>
  <si>
    <t>27-10-2023 01:45</t>
  </si>
  <si>
    <t>27-10-2023 02:00</t>
  </si>
  <si>
    <t>27-10-2023 02:15</t>
  </si>
  <si>
    <t>27-10-2023 02:30</t>
  </si>
  <si>
    <t>27-10-2023 02:45</t>
  </si>
  <si>
    <t>27-10-2023 03:00</t>
  </si>
  <si>
    <t>27-10-2023 03:15</t>
  </si>
  <si>
    <t>27-10-2023 03:30</t>
  </si>
  <si>
    <t>27-10-2023 03:45</t>
  </si>
  <si>
    <t>27-10-2023 04:00</t>
  </si>
  <si>
    <t>27-10-2023 04:15</t>
  </si>
  <si>
    <t>27-10-2023 04:30</t>
  </si>
  <si>
    <t>27-10-2023 04:45</t>
  </si>
  <si>
    <t>27-10-2023 05:00</t>
  </si>
  <si>
    <t>27-10-2023 05:15</t>
  </si>
  <si>
    <t>27-10-2023 05:30</t>
  </si>
  <si>
    <t>27-10-2023 05:45</t>
  </si>
  <si>
    <t>27-10-2023 06:00</t>
  </si>
  <si>
    <t>27-10-2023 06:15</t>
  </si>
  <si>
    <t>27-10-2023 06:30</t>
  </si>
  <si>
    <t>27-10-2023 06:45</t>
  </si>
  <si>
    <t>27-10-2023 07:00</t>
  </si>
  <si>
    <t>27-10-2023 07:15</t>
  </si>
  <si>
    <t>27-10-2023 07:30</t>
  </si>
  <si>
    <t>27-10-2023 07:45</t>
  </si>
  <si>
    <t>27-10-2023 08:00</t>
  </si>
  <si>
    <t>27-10-2023 08:15</t>
  </si>
  <si>
    <t>27-10-2023 08:30</t>
  </si>
  <si>
    <t>27-10-2023 08:45</t>
  </si>
  <si>
    <t>27-10-2023 09:00</t>
  </si>
  <si>
    <t>27-10-2023 09:15</t>
  </si>
  <si>
    <t>27-10-2023 09:30</t>
  </si>
  <si>
    <t>27-10-2023 09:45</t>
  </si>
  <si>
    <t>27-10-2023 10:00</t>
  </si>
  <si>
    <t>27-10-2023 10:15</t>
  </si>
  <si>
    <t>27-10-2023 10:30</t>
  </si>
  <si>
    <t>27-10-2023 10:45</t>
  </si>
  <si>
    <t>27-10-2023 11:00</t>
  </si>
  <si>
    <t>27-10-2023 11:15</t>
  </si>
  <si>
    <t>27-10-2023 11:30</t>
  </si>
  <si>
    <t>27-10-2023 11:45</t>
  </si>
  <si>
    <t>27-10-2023 12:00</t>
  </si>
  <si>
    <t>27-10-2023 12:15</t>
  </si>
  <si>
    <t>27-10-2023 12:30</t>
  </si>
  <si>
    <t>27-10-2023 12:45</t>
  </si>
  <si>
    <t>27-10-2023 13:00</t>
  </si>
  <si>
    <t>27-10-2023 13:15</t>
  </si>
  <si>
    <t>27-10-2023 13:30</t>
  </si>
  <si>
    <t>27-10-2023 13:45</t>
  </si>
  <si>
    <t>27-10-2023 14:00</t>
  </si>
  <si>
    <t>27-10-2023 14:15</t>
  </si>
  <si>
    <t>27-10-2023 14:30</t>
  </si>
  <si>
    <t>27-10-2023 14:45</t>
  </si>
  <si>
    <t>27-10-2023 15:00</t>
  </si>
  <si>
    <t>27-10-2023 15:15</t>
  </si>
  <si>
    <t>27-10-2023 15:30</t>
  </si>
  <si>
    <t>27-10-2023 15:45</t>
  </si>
  <si>
    <t>27-10-2023 16:00</t>
  </si>
  <si>
    <t>27-10-2023 16:15</t>
  </si>
  <si>
    <t>27-10-2023 16:30</t>
  </si>
  <si>
    <t>27-10-2023 16:45</t>
  </si>
  <si>
    <t>27-10-2023 17:00</t>
  </si>
  <si>
    <t>27-10-2023 17:15</t>
  </si>
  <si>
    <t>27-10-2023 17:30</t>
  </si>
  <si>
    <t>27-10-2023 17:45</t>
  </si>
  <si>
    <t>27-10-2023 18:00</t>
  </si>
  <si>
    <t>27-10-2023 18:15</t>
  </si>
  <si>
    <t>27-10-2023 18:30</t>
  </si>
  <si>
    <t>27-10-2023 18:45</t>
  </si>
  <si>
    <t>27-10-2023 19:00</t>
  </si>
  <si>
    <t>27-10-2023 19:15</t>
  </si>
  <si>
    <t>27-10-2023 19:30</t>
  </si>
  <si>
    <t>27-10-2023 19:45</t>
  </si>
  <si>
    <t>27-10-2023 20:00</t>
  </si>
  <si>
    <t>27-10-2023 20:15</t>
  </si>
  <si>
    <t>27-10-2023 20:30</t>
  </si>
  <si>
    <t>27-10-2023 20:45</t>
  </si>
  <si>
    <t>27-10-2023 21:00</t>
  </si>
  <si>
    <t>27-10-2023 21:15</t>
  </si>
  <si>
    <t>27-10-2023 21:30</t>
  </si>
  <si>
    <t>27-10-2023 21:45</t>
  </si>
  <si>
    <t>27-10-2023 22:00</t>
  </si>
  <si>
    <t>27-10-2023 22:15</t>
  </si>
  <si>
    <t>27-10-2023 22:30</t>
  </si>
  <si>
    <t>27-10-2023 22:45</t>
  </si>
  <si>
    <t>27-10-2023 23:00</t>
  </si>
  <si>
    <t>27-10-2023 23:15</t>
  </si>
  <si>
    <t>27-10-2023 23:30</t>
  </si>
  <si>
    <t>27-10-2023 23:45</t>
  </si>
  <si>
    <t>27-10-2023 24:00</t>
  </si>
  <si>
    <t>28-10-2023 00:15</t>
  </si>
  <si>
    <t>28-10-2023 00:30</t>
  </si>
  <si>
    <t>28-10-2023 00:45</t>
  </si>
  <si>
    <t>28-10-2023 01:00</t>
  </si>
  <si>
    <t>28-10-2023 01:15</t>
  </si>
  <si>
    <t>28-10-2023 01:30</t>
  </si>
  <si>
    <t>28-10-2023 01:45</t>
  </si>
  <si>
    <t>28-10-2023 02:00</t>
  </si>
  <si>
    <t>28-10-2023 02:15</t>
  </si>
  <si>
    <t>28-10-2023 02:30</t>
  </si>
  <si>
    <t>28-10-2023 02:45</t>
  </si>
  <si>
    <t>28-10-2023 03:00</t>
  </si>
  <si>
    <t>28-10-2023 03:15</t>
  </si>
  <si>
    <t>28-10-2023 03:30</t>
  </si>
  <si>
    <t>28-10-2023 03:45</t>
  </si>
  <si>
    <t>28-10-2023 04:00</t>
  </si>
  <si>
    <t>28-10-2023 04:15</t>
  </si>
  <si>
    <t>28-10-2023 04:30</t>
  </si>
  <si>
    <t>28-10-2023 04:45</t>
  </si>
  <si>
    <t>28-10-2023 05:00</t>
  </si>
  <si>
    <t>28-10-2023 05:15</t>
  </si>
  <si>
    <t>28-10-2023 05:30</t>
  </si>
  <si>
    <t>28-10-2023 05:45</t>
  </si>
  <si>
    <t>28-10-2023 06:00</t>
  </si>
  <si>
    <t>28-10-2023 06:15</t>
  </si>
  <si>
    <t>28-10-2023 06:30</t>
  </si>
  <si>
    <t>28-10-2023 06:45</t>
  </si>
  <si>
    <t>28-10-2023 07:00</t>
  </si>
  <si>
    <t>28-10-2023 07:15</t>
  </si>
  <si>
    <t>28-10-2023 07:30</t>
  </si>
  <si>
    <t>28-10-2023 07:45</t>
  </si>
  <si>
    <t>28-10-2023 08:00</t>
  </si>
  <si>
    <t>28-10-2023 08:15</t>
  </si>
  <si>
    <t>28-10-2023 08:30</t>
  </si>
  <si>
    <t>28-10-2023 08:45</t>
  </si>
  <si>
    <t>28-10-2023 09:00</t>
  </si>
  <si>
    <t>28-10-2023 09:15</t>
  </si>
  <si>
    <t>28-10-2023 09:30</t>
  </si>
  <si>
    <t>28-10-2023 09:45</t>
  </si>
  <si>
    <t>28-10-2023 10:00</t>
  </si>
  <si>
    <t>28-10-2023 10:15</t>
  </si>
  <si>
    <t>28-10-2023 10:30</t>
  </si>
  <si>
    <t>28-10-2023 10:45</t>
  </si>
  <si>
    <t>28-10-2023 11:00</t>
  </si>
  <si>
    <t>28-10-2023 11:15</t>
  </si>
  <si>
    <t>28-10-2023 11:30</t>
  </si>
  <si>
    <t>28-10-2023 11:45</t>
  </si>
  <si>
    <t>28-10-2023 12:00</t>
  </si>
  <si>
    <t>28-10-2023 12:15</t>
  </si>
  <si>
    <t>28-10-2023 12:30</t>
  </si>
  <si>
    <t>28-10-2023 12:45</t>
  </si>
  <si>
    <t>28-10-2023 13:00</t>
  </si>
  <si>
    <t>28-10-2023 13:15</t>
  </si>
  <si>
    <t>28-10-2023 13:30</t>
  </si>
  <si>
    <t>28-10-2023 13:45</t>
  </si>
  <si>
    <t>28-10-2023 14:00</t>
  </si>
  <si>
    <t>28-10-2023 14:15</t>
  </si>
  <si>
    <t>28-10-2023 14:30</t>
  </si>
  <si>
    <t>28-10-2023 14:45</t>
  </si>
  <si>
    <t>28-10-2023 15:00</t>
  </si>
  <si>
    <t>28-10-2023 15:15</t>
  </si>
  <si>
    <t>28-10-2023 15:30</t>
  </si>
  <si>
    <t>28-10-2023 15:45</t>
  </si>
  <si>
    <t>28-10-2023 16:00</t>
  </si>
  <si>
    <t>28-10-2023 16:15</t>
  </si>
  <si>
    <t>28-10-2023 16:30</t>
  </si>
  <si>
    <t>28-10-2023 16:45</t>
  </si>
  <si>
    <t>28-10-2023 17:00</t>
  </si>
  <si>
    <t>28-10-2023 17:15</t>
  </si>
  <si>
    <t>28-10-2023 17:30</t>
  </si>
  <si>
    <t>28-10-2023 17:45</t>
  </si>
  <si>
    <t>28-10-2023 18:00</t>
  </si>
  <si>
    <t>28-10-2023 18:15</t>
  </si>
  <si>
    <t>28-10-2023 18:30</t>
  </si>
  <si>
    <t>28-10-2023 18:45</t>
  </si>
  <si>
    <t>28-10-2023 19:00</t>
  </si>
  <si>
    <t>28-10-2023 19:15</t>
  </si>
  <si>
    <t>28-10-2023 19:30</t>
  </si>
  <si>
    <t>28-10-2023 19:45</t>
  </si>
  <si>
    <t>28-10-2023 20:00</t>
  </si>
  <si>
    <t>28-10-2023 20:15</t>
  </si>
  <si>
    <t>28-10-2023 20:30</t>
  </si>
  <si>
    <t>28-10-2023 20:45</t>
  </si>
  <si>
    <t>28-10-2023 21:00</t>
  </si>
  <si>
    <t>28-10-2023 21:15</t>
  </si>
  <si>
    <t>28-10-2023 21:30</t>
  </si>
  <si>
    <t>28-10-2023 21:45</t>
  </si>
  <si>
    <t>28-10-2023 22:00</t>
  </si>
  <si>
    <t>28-10-2023 22:15</t>
  </si>
  <si>
    <t>28-10-2023 22:30</t>
  </si>
  <si>
    <t>28-10-2023 22:45</t>
  </si>
  <si>
    <t>28-10-2023 23:00</t>
  </si>
  <si>
    <t>28-10-2023 23:15</t>
  </si>
  <si>
    <t>28-10-2023 23:30</t>
  </si>
  <si>
    <t>28-10-2023 23:45</t>
  </si>
  <si>
    <t>28-10-2023 24:00</t>
  </si>
  <si>
    <t>29-10-2023 00:15</t>
  </si>
  <si>
    <t>29-10-2023 00:30</t>
  </si>
  <si>
    <t>29-10-2023 00:45</t>
  </si>
  <si>
    <t>29-10-2023 01:00</t>
  </si>
  <si>
    <t>29-10-2023 01:15</t>
  </si>
  <si>
    <t>29-10-2023 01:30</t>
  </si>
  <si>
    <t>29-10-2023 01:45</t>
  </si>
  <si>
    <t>29-10-2023 02:00</t>
  </si>
  <si>
    <t>29-10-2023 02:15</t>
  </si>
  <si>
    <t>29-10-2023 02:30</t>
  </si>
  <si>
    <t>29-10-2023 02:45</t>
  </si>
  <si>
    <t>29-10-2023 03:00</t>
  </si>
  <si>
    <t>29-10-2023 03:15</t>
  </si>
  <si>
    <t>29-10-2023 03:30</t>
  </si>
  <si>
    <t>29-10-2023 03:45</t>
  </si>
  <si>
    <t>29-10-2023 04:00</t>
  </si>
  <si>
    <t>29-10-2023 04:15</t>
  </si>
  <si>
    <t>29-10-2023 04:30</t>
  </si>
  <si>
    <t>29-10-2023 04:45</t>
  </si>
  <si>
    <t>29-10-2023 05:00</t>
  </si>
  <si>
    <t>29-10-2023 05:15</t>
  </si>
  <si>
    <t>29-10-2023 05:30</t>
  </si>
  <si>
    <t>29-10-2023 05:45</t>
  </si>
  <si>
    <t>29-10-2023 06:00</t>
  </si>
  <si>
    <t>29-10-2023 06:15</t>
  </si>
  <si>
    <t>29-10-2023 06:30</t>
  </si>
  <si>
    <t>29-10-2023 06:45</t>
  </si>
  <si>
    <t>29-10-2023 07:00</t>
  </si>
  <si>
    <t>29-10-2023 07:15</t>
  </si>
  <si>
    <t>29-10-2023 07:30</t>
  </si>
  <si>
    <t>29-10-2023 07:45</t>
  </si>
  <si>
    <t>29-10-2023 08:00</t>
  </si>
  <si>
    <t>29-10-2023 08:15</t>
  </si>
  <si>
    <t>29-10-2023 08:30</t>
  </si>
  <si>
    <t>29-10-2023 08:45</t>
  </si>
  <si>
    <t>29-10-2023 09:00</t>
  </si>
  <si>
    <t>29-10-2023 09:15</t>
  </si>
  <si>
    <t>29-10-2023 09:30</t>
  </si>
  <si>
    <t>29-10-2023 09:45</t>
  </si>
  <si>
    <t>29-10-2023 10:00</t>
  </si>
  <si>
    <t>29-10-2023 10:15</t>
  </si>
  <si>
    <t>29-10-2023 10:30</t>
  </si>
  <si>
    <t>29-10-2023 10:45</t>
  </si>
  <si>
    <t>29-10-2023 11:00</t>
  </si>
  <si>
    <t>29-10-2023 11:15</t>
  </si>
  <si>
    <t>29-10-2023 11:30</t>
  </si>
  <si>
    <t>29-10-2023 11:45</t>
  </si>
  <si>
    <t>29-10-2023 12:00</t>
  </si>
  <si>
    <t>29-10-2023 12:15</t>
  </si>
  <si>
    <t>29-10-2023 12:30</t>
  </si>
  <si>
    <t>29-10-2023 12:45</t>
  </si>
  <si>
    <t>29-10-2023 13:00</t>
  </si>
  <si>
    <t>29-10-2023 13:15</t>
  </si>
  <si>
    <t>29-10-2023 13:30</t>
  </si>
  <si>
    <t>29-10-2023 13:45</t>
  </si>
  <si>
    <t>29-10-2023 14:00</t>
  </si>
  <si>
    <t>29-10-2023 14:15</t>
  </si>
  <si>
    <t>29-10-2023 14:30</t>
  </si>
  <si>
    <t>29-10-2023 14:45</t>
  </si>
  <si>
    <t>29-10-2023 15:00</t>
  </si>
  <si>
    <t>29-10-2023 15:15</t>
  </si>
  <si>
    <t>29-10-2023 15:30</t>
  </si>
  <si>
    <t>29-10-2023 15:45</t>
  </si>
  <si>
    <t>29-10-2023 16:00</t>
  </si>
  <si>
    <t>29-10-2023 16:15</t>
  </si>
  <si>
    <t>29-10-2023 16:30</t>
  </si>
  <si>
    <t>29-10-2023 16:45</t>
  </si>
  <si>
    <t>29-10-2023 17:00</t>
  </si>
  <si>
    <t>29-10-2023 17:15</t>
  </si>
  <si>
    <t>29-10-2023 17:30</t>
  </si>
  <si>
    <t>29-10-2023 17:45</t>
  </si>
  <si>
    <t>29-10-2023 18:00</t>
  </si>
  <si>
    <t>29-10-2023 18:15</t>
  </si>
  <si>
    <t>29-10-2023 18:30</t>
  </si>
  <si>
    <t>29-10-2023 18:45</t>
  </si>
  <si>
    <t>29-10-2023 19:00</t>
  </si>
  <si>
    <t>29-10-2023 19:15</t>
  </si>
  <si>
    <t>29-10-2023 19:30</t>
  </si>
  <si>
    <t>29-10-2023 19:45</t>
  </si>
  <si>
    <t>29-10-2023 20:00</t>
  </si>
  <si>
    <t>29-10-2023 20:15</t>
  </si>
  <si>
    <t>29-10-2023 20:30</t>
  </si>
  <si>
    <t>29-10-2023 20:45</t>
  </si>
  <si>
    <t>29-10-2023 21:00</t>
  </si>
  <si>
    <t>29-10-2023 21:15</t>
  </si>
  <si>
    <t>29-10-2023 21:30</t>
  </si>
  <si>
    <t>29-10-2023 21:45</t>
  </si>
  <si>
    <t>29-10-2023 22:00</t>
  </si>
  <si>
    <t>29-10-2023 22:15</t>
  </si>
  <si>
    <t>29-10-2023 22:30</t>
  </si>
  <si>
    <t>29-10-2023 22:45</t>
  </si>
  <si>
    <t>29-10-2023 23:00</t>
  </si>
  <si>
    <t>29-10-2023 23:15</t>
  </si>
  <si>
    <t>29-10-2023 23:30</t>
  </si>
  <si>
    <t>29-10-2023 23:45</t>
  </si>
  <si>
    <t>29-10-2023 24:00</t>
  </si>
  <si>
    <t>30-10-2023 00:15</t>
  </si>
  <si>
    <t>30-10-2023 00:30</t>
  </si>
  <si>
    <t>30-10-2023 00:45</t>
  </si>
  <si>
    <t>30-10-2023 01:00</t>
  </si>
  <si>
    <t>30-10-2023 01:15</t>
  </si>
  <si>
    <t>30-10-2023 01:30</t>
  </si>
  <si>
    <t>30-10-2023 01:45</t>
  </si>
  <si>
    <t>30-10-2023 02:00</t>
  </si>
  <si>
    <t>30-10-2023 02:15</t>
  </si>
  <si>
    <t>30-10-2023 02:30</t>
  </si>
  <si>
    <t>30-10-2023 02:45</t>
  </si>
  <si>
    <t>30-10-2023 03:00</t>
  </si>
  <si>
    <t>30-10-2023 03:15</t>
  </si>
  <si>
    <t>30-10-2023 03:30</t>
  </si>
  <si>
    <t>30-10-2023 03:45</t>
  </si>
  <si>
    <t>30-10-2023 04:00</t>
  </si>
  <si>
    <t>30-10-2023 04:15</t>
  </si>
  <si>
    <t>30-10-2023 04:30</t>
  </si>
  <si>
    <t>30-10-2023 04:45</t>
  </si>
  <si>
    <t>30-10-2023 05:00</t>
  </si>
  <si>
    <t>30-10-2023 05:15</t>
  </si>
  <si>
    <t>30-10-2023 05:30</t>
  </si>
  <si>
    <t>30-10-2023 05:45</t>
  </si>
  <si>
    <t>30-10-2023 06:00</t>
  </si>
  <si>
    <t>30-10-2023 06:15</t>
  </si>
  <si>
    <t>30-10-2023 06:30</t>
  </si>
  <si>
    <t>30-10-2023 06:45</t>
  </si>
  <si>
    <t>30-10-2023 07:00</t>
  </si>
  <si>
    <t>30-10-2023 07:15</t>
  </si>
  <si>
    <t>30-10-2023 07:30</t>
  </si>
  <si>
    <t>30-10-2023 07:45</t>
  </si>
  <si>
    <t>30-10-2023 08:00</t>
  </si>
  <si>
    <t>30-10-2023 08:15</t>
  </si>
  <si>
    <t>30-10-2023 08:30</t>
  </si>
  <si>
    <t>30-10-2023 08:45</t>
  </si>
  <si>
    <t>30-10-2023 09:00</t>
  </si>
  <si>
    <t>30-10-2023 09:15</t>
  </si>
  <si>
    <t>30-10-2023 09:30</t>
  </si>
  <si>
    <t>30-10-2023 09:45</t>
  </si>
  <si>
    <t>30-10-2023 10:00</t>
  </si>
  <si>
    <t>30-10-2023 10:15</t>
  </si>
  <si>
    <t>30-10-2023 10:30</t>
  </si>
  <si>
    <t>30-10-2023 10:45</t>
  </si>
  <si>
    <t>30-10-2023 11:00</t>
  </si>
  <si>
    <t>30-10-2023 11:15</t>
  </si>
  <si>
    <t>30-10-2023 11:30</t>
  </si>
  <si>
    <t>30-10-2023 11:45</t>
  </si>
  <si>
    <t>30-10-2023 12:00</t>
  </si>
  <si>
    <t>30-10-2023 12:15</t>
  </si>
  <si>
    <t>30-10-2023 12:30</t>
  </si>
  <si>
    <t>30-10-2023 12:45</t>
  </si>
  <si>
    <t>30-10-2023 13:00</t>
  </si>
  <si>
    <t>30-10-2023 13:15</t>
  </si>
  <si>
    <t>30-10-2023 13:30</t>
  </si>
  <si>
    <t>30-10-2023 13:45</t>
  </si>
  <si>
    <t>30-10-2023 14:00</t>
  </si>
  <si>
    <t>30-10-2023 14:15</t>
  </si>
  <si>
    <t>30-10-2023 14:30</t>
  </si>
  <si>
    <t>30-10-2023 14:45</t>
  </si>
  <si>
    <t>30-10-2023 15:00</t>
  </si>
  <si>
    <t>30-10-2023 15:15</t>
  </si>
  <si>
    <t>30-10-2023 15:30</t>
  </si>
  <si>
    <t>30-10-2023 15:45</t>
  </si>
  <si>
    <t>30-10-2023 16:00</t>
  </si>
  <si>
    <t>30-10-2023 16:15</t>
  </si>
  <si>
    <t>30-10-2023 16:30</t>
  </si>
  <si>
    <t>30-10-2023 16:45</t>
  </si>
  <si>
    <t>30-10-2023 17:00</t>
  </si>
  <si>
    <t>30-10-2023 17:15</t>
  </si>
  <si>
    <t>30-10-2023 17:30</t>
  </si>
  <si>
    <t>30-10-2023 17:45</t>
  </si>
  <si>
    <t>30-10-2023 18:00</t>
  </si>
  <si>
    <t>30-10-2023 18:15</t>
  </si>
  <si>
    <t>30-10-2023 18:30</t>
  </si>
  <si>
    <t>30-10-2023 18:45</t>
  </si>
  <si>
    <t>30-10-2023 19:00</t>
  </si>
  <si>
    <t>30-10-2023 19:15</t>
  </si>
  <si>
    <t>30-10-2023 19:30</t>
  </si>
  <si>
    <t>30-10-2023 19:45</t>
  </si>
  <si>
    <t>30-10-2023 20:00</t>
  </si>
  <si>
    <t>30-10-2023 20:15</t>
  </si>
  <si>
    <t>30-10-2023 20:30</t>
  </si>
  <si>
    <t>30-10-2023 20:45</t>
  </si>
  <si>
    <t>30-10-2023 21:00</t>
  </si>
  <si>
    <t>30-10-2023 21:15</t>
  </si>
  <si>
    <t>30-10-2023 21:30</t>
  </si>
  <si>
    <t>30-10-2023 21:45</t>
  </si>
  <si>
    <t>30-10-2023 22:00</t>
  </si>
  <si>
    <t>30-10-2023 22:15</t>
  </si>
  <si>
    <t>30-10-2023 22:30</t>
  </si>
  <si>
    <t>30-10-2023 22:45</t>
  </si>
  <si>
    <t>30-10-2023 23:00</t>
  </si>
  <si>
    <t>30-10-2023 23:15</t>
  </si>
  <si>
    <t>30-10-2023 23:30</t>
  </si>
  <si>
    <t>30-10-2023 23:45</t>
  </si>
  <si>
    <t>30-10-2023 24:00</t>
  </si>
  <si>
    <t>31-10-2023 00:15</t>
  </si>
  <si>
    <t>31-10-2023 00:30</t>
  </si>
  <si>
    <t>31-10-2023 00:45</t>
  </si>
  <si>
    <t>31-10-2023 01:00</t>
  </si>
  <si>
    <t>31-10-2023 01:15</t>
  </si>
  <si>
    <t>31-10-2023 01:30</t>
  </si>
  <si>
    <t>31-10-2023 01:45</t>
  </si>
  <si>
    <t>31-10-2023 02:00</t>
  </si>
  <si>
    <t>31-10-2023 02:15</t>
  </si>
  <si>
    <t>31-10-2023 02:30</t>
  </si>
  <si>
    <t>31-10-2023 02:45</t>
  </si>
  <si>
    <t>31-10-2023 03:00</t>
  </si>
  <si>
    <t>31-10-2023 03:15</t>
  </si>
  <si>
    <t>31-10-2023 03:30</t>
  </si>
  <si>
    <t>31-10-2023 03:45</t>
  </si>
  <si>
    <t>31-10-2023 04:00</t>
  </si>
  <si>
    <t>31-10-2023 04:15</t>
  </si>
  <si>
    <t>31-10-2023 04:30</t>
  </si>
  <si>
    <t>31-10-2023 04:45</t>
  </si>
  <si>
    <t>31-10-2023 05:00</t>
  </si>
  <si>
    <t>31-10-2023 05:15</t>
  </si>
  <si>
    <t>31-10-2023 05:30</t>
  </si>
  <si>
    <t>31-10-2023 05:45</t>
  </si>
  <si>
    <t>31-10-2023 06:00</t>
  </si>
  <si>
    <t>31-10-2023 06:15</t>
  </si>
  <si>
    <t>31-10-2023 06:30</t>
  </si>
  <si>
    <t>31-10-2023 06:45</t>
  </si>
  <si>
    <t>31-10-2023 07:00</t>
  </si>
  <si>
    <t>31-10-2023 07:15</t>
  </si>
  <si>
    <t>31-10-2023 07:30</t>
  </si>
  <si>
    <t>31-10-2023 07:45</t>
  </si>
  <si>
    <t>31-10-2023 08:00</t>
  </si>
  <si>
    <t>31-10-2023 08:15</t>
  </si>
  <si>
    <t>31-10-2023 08:30</t>
  </si>
  <si>
    <t>31-10-2023 08:45</t>
  </si>
  <si>
    <t>31-10-2023 09:00</t>
  </si>
  <si>
    <t>31-10-2023 09:15</t>
  </si>
  <si>
    <t>31-10-2023 09:30</t>
  </si>
  <si>
    <t>31-10-2023 09:45</t>
  </si>
  <si>
    <t>31-10-2023 10:00</t>
  </si>
  <si>
    <t>31-10-2023 10:15</t>
  </si>
  <si>
    <t>31-10-2023 10:30</t>
  </si>
  <si>
    <t>31-10-2023 10:45</t>
  </si>
  <si>
    <t>31-10-2023 11:00</t>
  </si>
  <si>
    <t>31-10-2023 11:15</t>
  </si>
  <si>
    <t>31-10-2023 11:30</t>
  </si>
  <si>
    <t>31-10-2023 11:45</t>
  </si>
  <si>
    <t>31-10-2023 12:00</t>
  </si>
  <si>
    <t>31-10-2023 12:15</t>
  </si>
  <si>
    <t>31-10-2023 12:30</t>
  </si>
  <si>
    <t>31-10-2023 12:45</t>
  </si>
  <si>
    <t>31-10-2023 13:00</t>
  </si>
  <si>
    <t>31-10-2023 13:15</t>
  </si>
  <si>
    <t>31-10-2023 13:30</t>
  </si>
  <si>
    <t>31-10-2023 13:45</t>
  </si>
  <si>
    <t>31-10-2023 14:00</t>
  </si>
  <si>
    <t>31-10-2023 14:15</t>
  </si>
  <si>
    <t>31-10-2023 14:30</t>
  </si>
  <si>
    <t>31-10-2023 14:45</t>
  </si>
  <si>
    <t>31-10-2023 15:00</t>
  </si>
  <si>
    <t>31-10-2023 15:15</t>
  </si>
  <si>
    <t>31-10-2023 15:30</t>
  </si>
  <si>
    <t>31-10-2023 15:45</t>
  </si>
  <si>
    <t>31-10-2023 16:00</t>
  </si>
  <si>
    <t>31-10-2023 16:15</t>
  </si>
  <si>
    <t>31-10-2023 16:30</t>
  </si>
  <si>
    <t>31-10-2023 16:45</t>
  </si>
  <si>
    <t>31-10-2023 17:00</t>
  </si>
  <si>
    <t>31-10-2023 17:15</t>
  </si>
  <si>
    <t>31-10-2023 17:30</t>
  </si>
  <si>
    <t>31-10-2023 17:45</t>
  </si>
  <si>
    <t>31-10-2023 18:00</t>
  </si>
  <si>
    <t>31-10-2023 18:15</t>
  </si>
  <si>
    <t>31-10-2023 18:30</t>
  </si>
  <si>
    <t>31-10-2023 18:45</t>
  </si>
  <si>
    <t>31-10-2023 19:00</t>
  </si>
  <si>
    <t>31-10-2023 19:15</t>
  </si>
  <si>
    <t>31-10-2023 19:30</t>
  </si>
  <si>
    <t>31-10-2023 19:45</t>
  </si>
  <si>
    <t>31-10-2023 20:00</t>
  </si>
  <si>
    <t>31-10-2023 20:15</t>
  </si>
  <si>
    <t>31-10-2023 20:30</t>
  </si>
  <si>
    <t>31-10-2023 20:45</t>
  </si>
  <si>
    <t>31-10-2023 21:00</t>
  </si>
  <si>
    <t>31-10-2023 21:15</t>
  </si>
  <si>
    <t>31-10-2023 21:30</t>
  </si>
  <si>
    <t>31-10-2023 21:45</t>
  </si>
  <si>
    <t>31-10-2023 22:00</t>
  </si>
  <si>
    <t>31-10-2023 22:15</t>
  </si>
  <si>
    <t>31-10-2023 22:30</t>
  </si>
  <si>
    <t>31-10-2023 22:45</t>
  </si>
  <si>
    <t>31-10-2023 23:00</t>
  </si>
  <si>
    <t>31-10-2023 23:15</t>
  </si>
  <si>
    <t>31-10-2023 23:30</t>
  </si>
  <si>
    <t>31-10-2023 23:45</t>
  </si>
  <si>
    <t>31-10-2023 24:00</t>
  </si>
  <si>
    <t>01/10/2023 - 31/10/2023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</si>
</sst>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22"/>
      <color theme="1"/>
      <name val="Arial Black"/>
      <family val="2"/>
    </font>
    <font>
      <b/>
      <sz val="26"/>
      <color theme="1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4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39" fillId="13" borderId="0" xfId="0" applyNumberFormat="1" applyFont="1" applyFill="1" applyAlignment="1">
      <alignment horizontal="center" vertical="center"/>
    </xf>
    <xf numFmtId="0" fontId="40" fillId="13" borderId="0" xfId="0" applyFont="1" applyFill="1" applyAlignment="1">
      <alignment horizontal="center" vertical="center"/>
    </xf>
    <xf numFmtId="0" fontId="41" fillId="12" borderId="34" xfId="0" applyFont="1" applyFill="1" applyBorder="1" applyAlignment="1">
      <alignment horizontal="center" vertical="center"/>
    </xf>
    <xf numFmtId="0" fontId="41" fillId="12" borderId="21" xfId="0" applyFont="1" applyFill="1" applyBorder="1" applyAlignment="1">
      <alignment horizontal="center" vertical="center"/>
    </xf>
    <xf numFmtId="0" fontId="6" fillId="12" borderId="35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2" fillId="12" borderId="1" xfId="0" applyFont="1" applyFill="1" applyBorder="1" applyAlignment="1">
      <alignment horizontal="center" vertical="center"/>
    </xf>
    <xf numFmtId="0" fontId="42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41" fillId="12" borderId="36" xfId="0" applyFont="1" applyFill="1" applyBorder="1" applyAlignment="1">
      <alignment horizontal="center" vertical="center"/>
    </xf>
    <xf numFmtId="0" fontId="41" fillId="12" borderId="32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/>
    </xf>
    <xf numFmtId="0" fontId="43" fillId="12" borderId="37" xfId="0" applyFont="1" applyFill="1" applyBorder="1" applyAlignment="1">
      <alignment horizontal="center" vertical="center"/>
    </xf>
    <xf numFmtId="0" fontId="43" fillId="12" borderId="25" xfId="0" applyFont="1" applyFill="1" applyBorder="1" applyAlignment="1">
      <alignment horizontal="center" vertical="center"/>
    </xf>
    <xf numFmtId="0" fontId="6" fillId="12" borderId="38" xfId="0" applyFont="1" applyFill="1" applyBorder="1" applyAlignment="1">
      <alignment horizontal="center"/>
    </xf>
    <xf numFmtId="0" fontId="6" fillId="12" borderId="39" xfId="0" applyFont="1" applyFill="1" applyBorder="1" applyAlignment="1">
      <alignment horizontal="center"/>
    </xf>
    <xf numFmtId="0" fontId="41" fillId="12" borderId="37" xfId="0" applyFont="1" applyFill="1" applyBorder="1" applyAlignment="1">
      <alignment horizontal="center" vertical="center"/>
    </xf>
    <xf numFmtId="0" fontId="41" fillId="12" borderId="25" xfId="0" applyFont="1" applyFill="1" applyBorder="1" applyAlignment="1">
      <alignment horizontal="center" vertical="center"/>
    </xf>
    <xf numFmtId="0" fontId="42" fillId="1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237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246</v>
      </c>
      <c r="B9" s="64">
        <v>8.6300000000000008</v>
      </c>
      <c r="C9" s="64">
        <v>11.34</v>
      </c>
      <c r="D9" s="64">
        <v>14.47</v>
      </c>
      <c r="E9" s="64">
        <v>0.3</v>
      </c>
      <c r="F9" s="64">
        <v>0.45</v>
      </c>
      <c r="G9" s="64">
        <v>55.85</v>
      </c>
      <c r="H9" s="64">
        <v>16.93</v>
      </c>
      <c r="I9" s="64">
        <v>1.49</v>
      </c>
      <c r="J9" s="64">
        <v>0.16</v>
      </c>
      <c r="K9" s="64">
        <v>23.7</v>
      </c>
      <c r="L9" s="64">
        <v>22.64</v>
      </c>
      <c r="M9" s="64">
        <v>98.85</v>
      </c>
      <c r="N9" s="64">
        <v>9.1999999999999993</v>
      </c>
      <c r="O9" s="64">
        <v>0</v>
      </c>
      <c r="P9" s="64">
        <v>0.95</v>
      </c>
      <c r="Q9" s="64">
        <v>12.25</v>
      </c>
      <c r="R9" s="198"/>
      <c r="S9" s="198"/>
      <c r="T9" s="198"/>
      <c r="U9" s="198"/>
    </row>
    <row r="10" spans="1:21" s="12" customFormat="1" x14ac:dyDescent="0.25">
      <c r="A10" s="214" t="s">
        <v>247</v>
      </c>
      <c r="B10" s="64">
        <v>7.78</v>
      </c>
      <c r="C10" s="64">
        <v>10.4</v>
      </c>
      <c r="D10" s="64">
        <v>13.27</v>
      </c>
      <c r="E10" s="64">
        <v>1.22</v>
      </c>
      <c r="F10" s="64">
        <v>0.88</v>
      </c>
      <c r="G10" s="64">
        <v>49.57</v>
      </c>
      <c r="H10" s="64">
        <v>18.239999999999998</v>
      </c>
      <c r="I10" s="64">
        <v>1.52</v>
      </c>
      <c r="J10" s="64">
        <v>0.26</v>
      </c>
      <c r="K10" s="64">
        <v>26.64</v>
      </c>
      <c r="L10" s="64">
        <v>22.61</v>
      </c>
      <c r="M10" s="64">
        <v>98.85</v>
      </c>
      <c r="N10" s="64">
        <v>9.1999999999999993</v>
      </c>
      <c r="O10" s="64">
        <v>0</v>
      </c>
      <c r="P10" s="64">
        <v>0.92</v>
      </c>
      <c r="Q10" s="64">
        <v>12.12</v>
      </c>
      <c r="R10" s="198"/>
      <c r="S10" s="198"/>
      <c r="T10" s="198"/>
      <c r="U10" s="198"/>
    </row>
    <row r="11" spans="1:21" s="12" customFormat="1" x14ac:dyDescent="0.25">
      <c r="A11" s="214" t="s">
        <v>248</v>
      </c>
      <c r="B11" s="64">
        <v>6.82</v>
      </c>
      <c r="C11" s="64">
        <v>10.46</v>
      </c>
      <c r="D11" s="64">
        <v>12.54</v>
      </c>
      <c r="E11" s="64">
        <v>1.3</v>
      </c>
      <c r="F11" s="64">
        <v>0.63</v>
      </c>
      <c r="G11" s="64">
        <v>48.51</v>
      </c>
      <c r="H11" s="64">
        <v>18.239999999999998</v>
      </c>
      <c r="I11" s="64">
        <v>1.6</v>
      </c>
      <c r="J11" s="64">
        <v>0.1</v>
      </c>
      <c r="K11" s="64">
        <v>40.93</v>
      </c>
      <c r="L11" s="64">
        <v>22.53</v>
      </c>
      <c r="M11" s="64">
        <v>98.85</v>
      </c>
      <c r="N11" s="64">
        <v>9.1</v>
      </c>
      <c r="O11" s="64">
        <v>0</v>
      </c>
      <c r="P11" s="64">
        <v>0.88</v>
      </c>
      <c r="Q11" s="64">
        <v>12.19</v>
      </c>
      <c r="R11" s="198"/>
      <c r="S11" s="198"/>
      <c r="T11" s="198"/>
      <c r="U11" s="198"/>
    </row>
    <row r="12" spans="1:21" s="12" customFormat="1" x14ac:dyDescent="0.25">
      <c r="A12" s="214" t="s">
        <v>249</v>
      </c>
      <c r="B12" s="64">
        <v>6.17</v>
      </c>
      <c r="C12" s="64">
        <v>10.15</v>
      </c>
      <c r="D12" s="64">
        <v>11.85</v>
      </c>
      <c r="E12" s="64">
        <v>1.06</v>
      </c>
      <c r="F12" s="64">
        <v>1.19</v>
      </c>
      <c r="G12" s="64">
        <v>48.51</v>
      </c>
      <c r="H12" s="64">
        <v>18.239999999999998</v>
      </c>
      <c r="I12" s="64">
        <v>1.47</v>
      </c>
      <c r="J12" s="64">
        <v>0.14000000000000001</v>
      </c>
      <c r="K12" s="64">
        <v>19.010000000000002</v>
      </c>
      <c r="L12" s="64">
        <v>22.45</v>
      </c>
      <c r="M12" s="64">
        <v>98.85</v>
      </c>
      <c r="N12" s="64">
        <v>9.1999999999999993</v>
      </c>
      <c r="O12" s="64">
        <v>0</v>
      </c>
      <c r="P12" s="64">
        <v>0.85</v>
      </c>
      <c r="Q12" s="64">
        <v>11.72</v>
      </c>
      <c r="R12" s="198"/>
      <c r="S12" s="198"/>
      <c r="T12" s="198"/>
      <c r="U12" s="198"/>
    </row>
    <row r="13" spans="1:21" s="12" customFormat="1" x14ac:dyDescent="0.25">
      <c r="A13" s="214" t="s">
        <v>250</v>
      </c>
      <c r="B13" s="64">
        <v>5.67</v>
      </c>
      <c r="C13" s="64">
        <v>9.86</v>
      </c>
      <c r="D13" s="64">
        <v>11.28</v>
      </c>
      <c r="E13" s="64">
        <v>0.63</v>
      </c>
      <c r="F13" s="64">
        <v>0.72</v>
      </c>
      <c r="G13" s="64">
        <v>48.51</v>
      </c>
      <c r="H13" s="64">
        <v>18.239999999999998</v>
      </c>
      <c r="I13" s="64">
        <v>1.59</v>
      </c>
      <c r="J13" s="64">
        <v>0.05</v>
      </c>
      <c r="K13" s="64">
        <v>61.55</v>
      </c>
      <c r="L13" s="64">
        <v>22.38</v>
      </c>
      <c r="M13" s="64">
        <v>98.85</v>
      </c>
      <c r="N13" s="64">
        <v>9.1999999999999993</v>
      </c>
      <c r="O13" s="64">
        <v>0</v>
      </c>
      <c r="P13" s="64">
        <v>0.79</v>
      </c>
      <c r="Q13" s="64">
        <v>11.96</v>
      </c>
      <c r="R13" s="198"/>
      <c r="S13" s="198"/>
      <c r="T13" s="198"/>
      <c r="U13" s="198"/>
    </row>
    <row r="14" spans="1:21" s="12" customFormat="1" x14ac:dyDescent="0.25">
      <c r="A14" s="214" t="s">
        <v>251</v>
      </c>
      <c r="B14" s="64">
        <v>5.36</v>
      </c>
      <c r="C14" s="64">
        <v>9.1300000000000008</v>
      </c>
      <c r="D14" s="64">
        <v>10.63</v>
      </c>
      <c r="E14" s="64">
        <v>0.45</v>
      </c>
      <c r="F14" s="64">
        <v>1.44</v>
      </c>
      <c r="G14" s="64">
        <v>40.29</v>
      </c>
      <c r="H14" s="64">
        <v>15.07</v>
      </c>
      <c r="I14" s="64">
        <v>1.48</v>
      </c>
      <c r="J14" s="64">
        <v>0.12</v>
      </c>
      <c r="K14" s="64">
        <v>18.760000000000002</v>
      </c>
      <c r="L14" s="64">
        <v>22.25</v>
      </c>
      <c r="M14" s="64">
        <v>98.85</v>
      </c>
      <c r="N14" s="64">
        <v>9.1999999999999993</v>
      </c>
      <c r="O14" s="64">
        <v>0</v>
      </c>
      <c r="P14" s="64">
        <v>0.81</v>
      </c>
      <c r="Q14" s="64">
        <v>10.66</v>
      </c>
      <c r="R14" s="198"/>
      <c r="S14" s="198"/>
      <c r="T14" s="198"/>
      <c r="U14" s="198"/>
    </row>
    <row r="15" spans="1:21" s="12" customFormat="1" x14ac:dyDescent="0.25">
      <c r="A15" s="214" t="s">
        <v>252</v>
      </c>
      <c r="B15" s="64">
        <v>5.0999999999999996</v>
      </c>
      <c r="C15" s="64">
        <v>8.99</v>
      </c>
      <c r="D15" s="64">
        <v>10.34</v>
      </c>
      <c r="E15" s="64">
        <v>0.4</v>
      </c>
      <c r="F15" s="64">
        <v>0.8</v>
      </c>
      <c r="G15" s="64">
        <v>38.9</v>
      </c>
      <c r="H15" s="64">
        <v>15.07</v>
      </c>
      <c r="I15" s="64">
        <v>1.42</v>
      </c>
      <c r="J15" s="64">
        <v>0.16</v>
      </c>
      <c r="K15" s="64">
        <v>21.82</v>
      </c>
      <c r="L15" s="64">
        <v>22.19</v>
      </c>
      <c r="M15" s="64">
        <v>98.85</v>
      </c>
      <c r="N15" s="64">
        <v>9.1</v>
      </c>
      <c r="O15" s="64">
        <v>0</v>
      </c>
      <c r="P15" s="64">
        <v>0.78</v>
      </c>
      <c r="Q15" s="64">
        <v>10.79</v>
      </c>
      <c r="R15" s="198"/>
      <c r="S15" s="198"/>
      <c r="T15" s="198"/>
      <c r="U15" s="198"/>
    </row>
    <row r="16" spans="1:21" s="12" customFormat="1" x14ac:dyDescent="0.25">
      <c r="A16" s="214" t="s">
        <v>253</v>
      </c>
      <c r="B16" s="64">
        <v>4.74</v>
      </c>
      <c r="C16" s="64">
        <v>9.23</v>
      </c>
      <c r="D16" s="64">
        <v>10.18</v>
      </c>
      <c r="E16" s="64">
        <v>0.98</v>
      </c>
      <c r="F16" s="64">
        <v>1.1200000000000001</v>
      </c>
      <c r="G16" s="64">
        <v>38.9</v>
      </c>
      <c r="H16" s="64">
        <v>15.07</v>
      </c>
      <c r="I16" s="64">
        <v>1.48</v>
      </c>
      <c r="J16" s="64">
        <v>0.16</v>
      </c>
      <c r="K16" s="64">
        <v>17.579999999999998</v>
      </c>
      <c r="L16" s="64">
        <v>22.21</v>
      </c>
      <c r="M16" s="64">
        <v>98.85</v>
      </c>
      <c r="N16" s="64">
        <v>9</v>
      </c>
      <c r="O16" s="64">
        <v>0</v>
      </c>
      <c r="P16" s="64">
        <v>0.74</v>
      </c>
      <c r="Q16" s="64">
        <v>10.7</v>
      </c>
      <c r="R16" s="198"/>
      <c r="S16" s="198"/>
      <c r="T16" s="198"/>
      <c r="U16" s="198"/>
    </row>
    <row r="17" spans="1:21" s="12" customFormat="1" x14ac:dyDescent="0.25">
      <c r="A17" s="214" t="s">
        <v>254</v>
      </c>
      <c r="B17" s="64">
        <v>4.47</v>
      </c>
      <c r="C17" s="64">
        <v>9.7899999999999991</v>
      </c>
      <c r="D17" s="64">
        <v>10.28</v>
      </c>
      <c r="E17" s="64">
        <v>0.74</v>
      </c>
      <c r="F17" s="64">
        <v>3.35</v>
      </c>
      <c r="G17" s="64">
        <v>38.9</v>
      </c>
      <c r="H17" s="64">
        <v>15.07</v>
      </c>
      <c r="I17" s="64">
        <v>1.43</v>
      </c>
      <c r="J17" s="64">
        <v>0.03</v>
      </c>
      <c r="K17" s="64">
        <v>29.21</v>
      </c>
      <c r="L17" s="64">
        <v>22.14</v>
      </c>
      <c r="M17" s="64">
        <v>98.86</v>
      </c>
      <c r="N17" s="64">
        <v>9.1</v>
      </c>
      <c r="O17" s="64">
        <v>0</v>
      </c>
      <c r="P17" s="64">
        <v>0.69</v>
      </c>
      <c r="Q17" s="64">
        <v>10.16</v>
      </c>
      <c r="R17" s="198"/>
      <c r="S17" s="198"/>
      <c r="T17" s="198"/>
      <c r="U17" s="198"/>
    </row>
    <row r="18" spans="1:21" s="12" customFormat="1" x14ac:dyDescent="0.25">
      <c r="A18" s="214" t="s">
        <v>255</v>
      </c>
      <c r="B18" s="64">
        <v>4.2</v>
      </c>
      <c r="C18" s="64">
        <v>9.9</v>
      </c>
      <c r="D18" s="64">
        <v>10.119999999999999</v>
      </c>
      <c r="E18" s="64">
        <v>0.87</v>
      </c>
      <c r="F18" s="64">
        <v>3.91</v>
      </c>
      <c r="G18" s="64">
        <v>32.35</v>
      </c>
      <c r="H18" s="64">
        <v>13.12</v>
      </c>
      <c r="I18" s="64">
        <v>1.52</v>
      </c>
      <c r="J18" s="64">
        <v>0.01</v>
      </c>
      <c r="K18" s="64">
        <v>14.42</v>
      </c>
      <c r="L18" s="64">
        <v>22.05</v>
      </c>
      <c r="M18" s="64">
        <v>98.89</v>
      </c>
      <c r="N18" s="64">
        <v>9.1</v>
      </c>
      <c r="O18" s="64">
        <v>0</v>
      </c>
      <c r="P18" s="64">
        <v>0.61</v>
      </c>
      <c r="Q18" s="64">
        <v>10.98</v>
      </c>
      <c r="R18" s="198"/>
      <c r="S18" s="198"/>
      <c r="T18" s="198"/>
      <c r="U18" s="198"/>
    </row>
    <row r="19" spans="1:21" s="12" customFormat="1" x14ac:dyDescent="0.25">
      <c r="A19" s="214" t="s">
        <v>256</v>
      </c>
      <c r="B19" s="64">
        <v>4.34</v>
      </c>
      <c r="C19" s="64">
        <v>9.18</v>
      </c>
      <c r="D19" s="64">
        <v>9.84</v>
      </c>
      <c r="E19" s="64">
        <v>0.94</v>
      </c>
      <c r="F19" s="64">
        <v>2.1</v>
      </c>
      <c r="G19" s="64">
        <v>31.25</v>
      </c>
      <c r="H19" s="64">
        <v>13.12</v>
      </c>
      <c r="I19" s="64">
        <v>1.5</v>
      </c>
      <c r="J19" s="64">
        <v>0.12</v>
      </c>
      <c r="K19" s="64">
        <v>20.49</v>
      </c>
      <c r="L19" s="64">
        <v>22.02</v>
      </c>
      <c r="M19" s="64">
        <v>98.9</v>
      </c>
      <c r="N19" s="64">
        <v>9.1</v>
      </c>
      <c r="O19" s="64">
        <v>0</v>
      </c>
      <c r="P19" s="64">
        <v>0.67</v>
      </c>
      <c r="Q19" s="64">
        <v>11.25</v>
      </c>
      <c r="R19" s="198"/>
      <c r="S19" s="198"/>
      <c r="T19" s="198"/>
      <c r="U19" s="198"/>
    </row>
    <row r="20" spans="1:21" s="12" customFormat="1" x14ac:dyDescent="0.25">
      <c r="A20" s="214" t="s">
        <v>257</v>
      </c>
      <c r="B20" s="64">
        <v>4.3099999999999996</v>
      </c>
      <c r="C20" s="64">
        <v>9.2799999999999994</v>
      </c>
      <c r="D20" s="64">
        <v>9.8699999999999992</v>
      </c>
      <c r="E20" s="64">
        <v>1.1399999999999999</v>
      </c>
      <c r="F20" s="64">
        <v>1.88</v>
      </c>
      <c r="G20" s="64">
        <v>31.25</v>
      </c>
      <c r="H20" s="64">
        <v>13.12</v>
      </c>
      <c r="I20" s="64">
        <v>1.49</v>
      </c>
      <c r="J20" s="64">
        <v>0.08</v>
      </c>
      <c r="K20" s="64">
        <v>357.38</v>
      </c>
      <c r="L20" s="64">
        <v>21.97</v>
      </c>
      <c r="M20" s="64">
        <v>98.9</v>
      </c>
      <c r="N20" s="64">
        <v>9.1</v>
      </c>
      <c r="O20" s="64">
        <v>0</v>
      </c>
      <c r="P20" s="64">
        <v>0.65</v>
      </c>
      <c r="Q20" s="64">
        <v>11.07</v>
      </c>
      <c r="R20" s="198"/>
      <c r="S20" s="198"/>
      <c r="T20" s="198"/>
      <c r="U20" s="198"/>
    </row>
    <row r="21" spans="1:21" s="12" customFormat="1" x14ac:dyDescent="0.25">
      <c r="A21" s="214" t="s">
        <v>258</v>
      </c>
      <c r="B21" s="64">
        <v>4.4400000000000004</v>
      </c>
      <c r="C21" s="64">
        <v>8.2799999999999994</v>
      </c>
      <c r="D21" s="64">
        <v>9.43</v>
      </c>
      <c r="E21" s="64">
        <v>1.25</v>
      </c>
      <c r="F21" s="64">
        <v>1.02</v>
      </c>
      <c r="G21" s="64">
        <v>31.25</v>
      </c>
      <c r="H21" s="64">
        <v>13.12</v>
      </c>
      <c r="I21" s="64">
        <v>1.48</v>
      </c>
      <c r="J21" s="64">
        <v>0.09</v>
      </c>
      <c r="K21" s="64">
        <v>10.32</v>
      </c>
      <c r="L21" s="64">
        <v>21.94</v>
      </c>
      <c r="M21" s="64">
        <v>98.9</v>
      </c>
      <c r="N21" s="64">
        <v>9.1</v>
      </c>
      <c r="O21" s="64">
        <v>0</v>
      </c>
      <c r="P21" s="64">
        <v>0.68</v>
      </c>
      <c r="Q21" s="64">
        <v>11.23</v>
      </c>
      <c r="R21" s="198"/>
      <c r="S21" s="198"/>
      <c r="T21" s="198"/>
      <c r="U21" s="198"/>
    </row>
    <row r="22" spans="1:21" s="12" customFormat="1" x14ac:dyDescent="0.25">
      <c r="A22" s="214" t="s">
        <v>259</v>
      </c>
      <c r="B22" s="64">
        <v>4.5</v>
      </c>
      <c r="C22" s="64">
        <v>8.33</v>
      </c>
      <c r="D22" s="64">
        <v>9.5</v>
      </c>
      <c r="E22" s="64">
        <v>1.2</v>
      </c>
      <c r="F22" s="64">
        <v>0.35</v>
      </c>
      <c r="G22" s="64">
        <v>34.39</v>
      </c>
      <c r="H22" s="64">
        <v>11.2</v>
      </c>
      <c r="I22" s="64">
        <v>1.47</v>
      </c>
      <c r="J22" s="64">
        <v>0.11</v>
      </c>
      <c r="K22" s="64">
        <v>21.32</v>
      </c>
      <c r="L22" s="64">
        <v>21.97</v>
      </c>
      <c r="M22" s="64">
        <v>98.9</v>
      </c>
      <c r="N22" s="64">
        <v>9.1</v>
      </c>
      <c r="O22" s="64">
        <v>0</v>
      </c>
      <c r="P22" s="64">
        <v>0.65</v>
      </c>
      <c r="Q22" s="64">
        <v>11.82</v>
      </c>
      <c r="R22" s="198"/>
      <c r="S22" s="198"/>
      <c r="T22" s="198"/>
      <c r="U22" s="198"/>
    </row>
    <row r="23" spans="1:21" s="12" customFormat="1" x14ac:dyDescent="0.25">
      <c r="A23" s="214" t="s">
        <v>260</v>
      </c>
      <c r="B23" s="64">
        <v>4.4800000000000004</v>
      </c>
      <c r="C23" s="64">
        <v>7.93</v>
      </c>
      <c r="D23" s="64">
        <v>9.26</v>
      </c>
      <c r="E23" s="64">
        <v>0.41</v>
      </c>
      <c r="F23" s="64">
        <v>0.39</v>
      </c>
      <c r="G23" s="64">
        <v>34.93</v>
      </c>
      <c r="H23" s="64">
        <v>11.2</v>
      </c>
      <c r="I23" s="64">
        <v>1.51</v>
      </c>
      <c r="J23" s="64">
        <v>0.09</v>
      </c>
      <c r="K23" s="64">
        <v>354.12</v>
      </c>
      <c r="L23" s="64">
        <v>21.98</v>
      </c>
      <c r="M23" s="64">
        <v>98.9</v>
      </c>
      <c r="N23" s="64">
        <v>9.1</v>
      </c>
      <c r="O23" s="64">
        <v>0</v>
      </c>
      <c r="P23" s="64">
        <v>0.65</v>
      </c>
      <c r="Q23" s="64">
        <v>11.92</v>
      </c>
      <c r="R23" s="198"/>
      <c r="S23" s="198"/>
      <c r="T23" s="198"/>
      <c r="U23" s="198"/>
    </row>
    <row r="24" spans="1:21" s="12" customFormat="1" x14ac:dyDescent="0.25">
      <c r="A24" s="214" t="s">
        <v>261</v>
      </c>
      <c r="B24" s="64">
        <v>4.46</v>
      </c>
      <c r="C24" s="64">
        <v>7.69</v>
      </c>
      <c r="D24" s="64">
        <v>9.1199999999999992</v>
      </c>
      <c r="E24" s="64">
        <v>0.49</v>
      </c>
      <c r="F24" s="64">
        <v>0.76</v>
      </c>
      <c r="G24" s="64">
        <v>34.93</v>
      </c>
      <c r="H24" s="64">
        <v>11.2</v>
      </c>
      <c r="I24" s="64">
        <v>1.53</v>
      </c>
      <c r="J24" s="64">
        <v>7.0000000000000007E-2</v>
      </c>
      <c r="K24" s="64">
        <v>358.46</v>
      </c>
      <c r="L24" s="64">
        <v>21.95</v>
      </c>
      <c r="M24" s="64">
        <v>98.9</v>
      </c>
      <c r="N24" s="64">
        <v>9.1</v>
      </c>
      <c r="O24" s="64">
        <v>0</v>
      </c>
      <c r="P24" s="64">
        <v>0.65</v>
      </c>
      <c r="Q24" s="64">
        <v>11.29</v>
      </c>
      <c r="R24" s="198"/>
      <c r="S24" s="198"/>
      <c r="T24" s="198"/>
      <c r="U24" s="198"/>
    </row>
    <row r="25" spans="1:21" s="12" customFormat="1" x14ac:dyDescent="0.25">
      <c r="A25" s="214" t="s">
        <v>262</v>
      </c>
      <c r="B25" s="64">
        <v>4.49</v>
      </c>
      <c r="C25" s="64">
        <v>7.78</v>
      </c>
      <c r="D25" s="64">
        <v>9.19</v>
      </c>
      <c r="E25" s="64">
        <v>1.03</v>
      </c>
      <c r="F25" s="64">
        <v>0.25</v>
      </c>
      <c r="G25" s="64">
        <v>34.93</v>
      </c>
      <c r="H25" s="64">
        <v>11.2</v>
      </c>
      <c r="I25" s="64">
        <v>1.48</v>
      </c>
      <c r="J25" s="64">
        <v>7.0000000000000007E-2</v>
      </c>
      <c r="K25" s="64">
        <v>11</v>
      </c>
      <c r="L25" s="64">
        <v>21.89</v>
      </c>
      <c r="M25" s="64">
        <v>98.9</v>
      </c>
      <c r="N25" s="64">
        <v>9.1</v>
      </c>
      <c r="O25" s="64">
        <v>0</v>
      </c>
      <c r="P25" s="64">
        <v>0.64</v>
      </c>
      <c r="Q25" s="64">
        <v>11.85</v>
      </c>
      <c r="R25" s="198"/>
      <c r="S25" s="198"/>
      <c r="T25" s="198"/>
      <c r="U25" s="198"/>
    </row>
    <row r="26" spans="1:21" s="12" customFormat="1" x14ac:dyDescent="0.25">
      <c r="A26" s="214" t="s">
        <v>263</v>
      </c>
      <c r="B26" s="64">
        <v>4.4400000000000004</v>
      </c>
      <c r="C26" s="64">
        <v>7.58</v>
      </c>
      <c r="D26" s="64">
        <v>9.0299999999999994</v>
      </c>
      <c r="E26" s="64">
        <v>1.33</v>
      </c>
      <c r="F26" s="64">
        <v>0.72</v>
      </c>
      <c r="G26" s="64">
        <v>32.71</v>
      </c>
      <c r="H26" s="64">
        <v>12.12</v>
      </c>
      <c r="I26" s="64">
        <v>1.52</v>
      </c>
      <c r="J26" s="64">
        <v>0.06</v>
      </c>
      <c r="K26" s="64">
        <v>356.25</v>
      </c>
      <c r="L26" s="64">
        <v>21.86</v>
      </c>
      <c r="M26" s="64">
        <v>98.9</v>
      </c>
      <c r="N26" s="64">
        <v>9.1</v>
      </c>
      <c r="O26" s="64">
        <v>0</v>
      </c>
      <c r="P26" s="64">
        <v>0.63</v>
      </c>
      <c r="Q26" s="64">
        <v>11.19</v>
      </c>
      <c r="R26" s="198"/>
      <c r="S26" s="198"/>
      <c r="T26" s="198"/>
      <c r="U26" s="198"/>
    </row>
    <row r="27" spans="1:21" s="12" customFormat="1" x14ac:dyDescent="0.25">
      <c r="A27" s="214" t="s">
        <v>264</v>
      </c>
      <c r="B27" s="64">
        <v>4.3600000000000003</v>
      </c>
      <c r="C27" s="64">
        <v>7.69</v>
      </c>
      <c r="D27" s="64">
        <v>9.0299999999999994</v>
      </c>
      <c r="E27" s="64">
        <v>1.1100000000000001</v>
      </c>
      <c r="F27" s="64">
        <v>0.22</v>
      </c>
      <c r="G27" s="64">
        <v>32.33</v>
      </c>
      <c r="H27" s="64">
        <v>12.12</v>
      </c>
      <c r="I27" s="64">
        <v>1.55</v>
      </c>
      <c r="J27" s="64">
        <v>0.15</v>
      </c>
      <c r="K27" s="64">
        <v>12.24</v>
      </c>
      <c r="L27" s="64">
        <v>21.79</v>
      </c>
      <c r="M27" s="64">
        <v>98.9</v>
      </c>
      <c r="N27" s="64">
        <v>9.1</v>
      </c>
      <c r="O27" s="64">
        <v>0</v>
      </c>
      <c r="P27" s="64">
        <v>0.61</v>
      </c>
      <c r="Q27" s="64">
        <v>11.31</v>
      </c>
      <c r="R27" s="198"/>
      <c r="S27" s="198"/>
      <c r="T27" s="198"/>
      <c r="U27" s="198"/>
    </row>
    <row r="28" spans="1:21" s="12" customFormat="1" x14ac:dyDescent="0.25">
      <c r="A28" s="214" t="s">
        <v>265</v>
      </c>
      <c r="B28" s="64">
        <v>4.1100000000000003</v>
      </c>
      <c r="C28" s="64">
        <v>9.7100000000000009</v>
      </c>
      <c r="D28" s="64">
        <v>9.9499999999999993</v>
      </c>
      <c r="E28" s="64">
        <v>0.96</v>
      </c>
      <c r="F28" s="64">
        <v>3.35</v>
      </c>
      <c r="G28" s="64">
        <v>32.33</v>
      </c>
      <c r="H28" s="64">
        <v>12.12</v>
      </c>
      <c r="I28" s="64">
        <v>1.48</v>
      </c>
      <c r="J28" s="64">
        <v>0.04</v>
      </c>
      <c r="K28" s="64">
        <v>308.55</v>
      </c>
      <c r="L28" s="64">
        <v>21.78</v>
      </c>
      <c r="M28" s="64">
        <v>98.9</v>
      </c>
      <c r="N28" s="64">
        <v>9</v>
      </c>
      <c r="O28" s="64">
        <v>0</v>
      </c>
      <c r="P28" s="64">
        <v>0.62</v>
      </c>
      <c r="Q28" s="64">
        <v>11.22</v>
      </c>
      <c r="R28" s="198"/>
      <c r="S28" s="198"/>
      <c r="T28" s="198"/>
      <c r="U28" s="198"/>
    </row>
    <row r="29" spans="1:21" s="12" customFormat="1" x14ac:dyDescent="0.25">
      <c r="A29" s="214" t="s">
        <v>266</v>
      </c>
      <c r="B29" s="64">
        <v>4.16</v>
      </c>
      <c r="C29" s="64">
        <v>9.5</v>
      </c>
      <c r="D29" s="64">
        <v>9.8699999999999992</v>
      </c>
      <c r="E29" s="64">
        <v>0.92</v>
      </c>
      <c r="F29" s="64">
        <v>2.4700000000000002</v>
      </c>
      <c r="G29" s="64">
        <v>32.33</v>
      </c>
      <c r="H29" s="64">
        <v>12.12</v>
      </c>
      <c r="I29" s="64">
        <v>1.55</v>
      </c>
      <c r="J29" s="64">
        <v>0.02</v>
      </c>
      <c r="K29" s="64">
        <v>159.28</v>
      </c>
      <c r="L29" s="64">
        <v>21.74</v>
      </c>
      <c r="M29" s="64">
        <v>98.9</v>
      </c>
      <c r="N29" s="64">
        <v>8.9</v>
      </c>
      <c r="O29" s="64">
        <v>0</v>
      </c>
      <c r="P29" s="64">
        <v>0.64</v>
      </c>
      <c r="Q29" s="64">
        <v>11.15</v>
      </c>
      <c r="R29" s="198"/>
      <c r="S29" s="198"/>
      <c r="T29" s="198"/>
      <c r="U29" s="198"/>
    </row>
    <row r="30" spans="1:21" s="12" customFormat="1" x14ac:dyDescent="0.25">
      <c r="A30" s="214" t="s">
        <v>267</v>
      </c>
      <c r="B30" s="64">
        <v>3.99</v>
      </c>
      <c r="C30" s="64">
        <v>11.11</v>
      </c>
      <c r="D30" s="64">
        <v>10.62</v>
      </c>
      <c r="E30" s="64">
        <v>1.0900000000000001</v>
      </c>
      <c r="F30" s="64">
        <v>3.73</v>
      </c>
      <c r="G30" s="64">
        <v>30.07</v>
      </c>
      <c r="H30" s="64">
        <v>14.26</v>
      </c>
      <c r="I30" s="64">
        <v>1.52</v>
      </c>
      <c r="J30" s="64">
        <v>0.09</v>
      </c>
      <c r="K30" s="64">
        <v>186.7</v>
      </c>
      <c r="L30" s="64">
        <v>21.68</v>
      </c>
      <c r="M30" s="64">
        <v>98.9</v>
      </c>
      <c r="N30" s="64">
        <v>9</v>
      </c>
      <c r="O30" s="64">
        <v>0</v>
      </c>
      <c r="P30" s="64">
        <v>0.59</v>
      </c>
      <c r="Q30" s="64">
        <v>11.57</v>
      </c>
      <c r="R30" s="198"/>
      <c r="S30" s="198"/>
      <c r="T30" s="198"/>
      <c r="U30" s="198"/>
    </row>
    <row r="31" spans="1:21" s="12" customFormat="1" x14ac:dyDescent="0.25">
      <c r="A31" s="214" t="s">
        <v>268</v>
      </c>
      <c r="B31" s="64">
        <v>5.0599999999999996</v>
      </c>
      <c r="C31" s="64">
        <v>11.73</v>
      </c>
      <c r="D31" s="64">
        <v>11.82</v>
      </c>
      <c r="E31" s="64">
        <v>1.1200000000000001</v>
      </c>
      <c r="F31" s="64">
        <v>1.94</v>
      </c>
      <c r="G31" s="64">
        <v>29.69</v>
      </c>
      <c r="H31" s="64">
        <v>14.26</v>
      </c>
      <c r="I31" s="64">
        <v>1.55</v>
      </c>
      <c r="J31" s="64">
        <v>0.09</v>
      </c>
      <c r="K31" s="64">
        <v>16.5</v>
      </c>
      <c r="L31" s="64">
        <v>21.59</v>
      </c>
      <c r="M31" s="64">
        <v>98.9</v>
      </c>
      <c r="N31" s="64">
        <v>9.6999999999999993</v>
      </c>
      <c r="O31" s="64">
        <v>0</v>
      </c>
      <c r="P31" s="64">
        <v>0.56999999999999995</v>
      </c>
      <c r="Q31" s="64">
        <v>12.48</v>
      </c>
      <c r="R31" s="198"/>
      <c r="S31" s="198"/>
      <c r="T31" s="198"/>
      <c r="U31" s="198"/>
    </row>
    <row r="32" spans="1:21" s="12" customFormat="1" x14ac:dyDescent="0.25">
      <c r="A32" s="214" t="s">
        <v>269</v>
      </c>
      <c r="B32" s="64">
        <v>5.53</v>
      </c>
      <c r="C32" s="64">
        <v>9.94</v>
      </c>
      <c r="D32" s="64">
        <v>11.21</v>
      </c>
      <c r="E32" s="64">
        <v>1.36</v>
      </c>
      <c r="F32" s="64">
        <v>1.1000000000000001</v>
      </c>
      <c r="G32" s="64">
        <v>29.69</v>
      </c>
      <c r="H32" s="64">
        <v>14.26</v>
      </c>
      <c r="I32" s="64">
        <v>1.55</v>
      </c>
      <c r="J32" s="64">
        <v>0.1</v>
      </c>
      <c r="K32" s="64">
        <v>4.76</v>
      </c>
      <c r="L32" s="64">
        <v>21.67</v>
      </c>
      <c r="M32" s="64">
        <v>98.9</v>
      </c>
      <c r="N32" s="64">
        <v>20</v>
      </c>
      <c r="O32" s="64">
        <v>0</v>
      </c>
      <c r="P32" s="64">
        <v>0.62</v>
      </c>
      <c r="Q32" s="64">
        <v>12.07</v>
      </c>
      <c r="R32" s="198"/>
      <c r="S32" s="198"/>
      <c r="T32" s="198"/>
      <c r="U32" s="198"/>
    </row>
    <row r="33" spans="1:21" s="12" customFormat="1" x14ac:dyDescent="0.25">
      <c r="A33" s="214" t="s">
        <v>270</v>
      </c>
      <c r="B33" s="64">
        <v>5.67</v>
      </c>
      <c r="C33" s="64">
        <v>8.5399999999999991</v>
      </c>
      <c r="D33" s="64">
        <v>10.55</v>
      </c>
      <c r="E33" s="64">
        <v>1.62</v>
      </c>
      <c r="F33" s="64">
        <v>0.34</v>
      </c>
      <c r="G33" s="64">
        <v>29.69</v>
      </c>
      <c r="H33" s="64">
        <v>14.26</v>
      </c>
      <c r="I33" s="64">
        <v>1.53</v>
      </c>
      <c r="J33" s="64">
        <v>7.0000000000000007E-2</v>
      </c>
      <c r="K33" s="64">
        <v>351.09</v>
      </c>
      <c r="L33" s="64">
        <v>21.8</v>
      </c>
      <c r="M33" s="64">
        <v>98.9</v>
      </c>
      <c r="N33" s="64">
        <v>41.3</v>
      </c>
      <c r="O33" s="64">
        <v>0</v>
      </c>
      <c r="P33" s="64">
        <v>0.62</v>
      </c>
      <c r="Q33" s="64">
        <v>12.81</v>
      </c>
      <c r="R33" s="198"/>
      <c r="S33" s="198"/>
      <c r="T33" s="198"/>
      <c r="U33" s="198"/>
    </row>
    <row r="34" spans="1:21" s="12" customFormat="1" x14ac:dyDescent="0.25">
      <c r="A34" s="214" t="s">
        <v>271</v>
      </c>
      <c r="B34" s="64">
        <v>5.86</v>
      </c>
      <c r="C34" s="64">
        <v>8.08</v>
      </c>
      <c r="D34" s="64">
        <v>10.45</v>
      </c>
      <c r="E34" s="64">
        <v>1.08</v>
      </c>
      <c r="F34" s="64">
        <v>0.63</v>
      </c>
      <c r="G34" s="64">
        <v>32.61</v>
      </c>
      <c r="H34" s="64">
        <v>10.78</v>
      </c>
      <c r="I34" s="64">
        <v>1.46</v>
      </c>
      <c r="J34" s="64">
        <v>0.19</v>
      </c>
      <c r="K34" s="64">
        <v>21.93</v>
      </c>
      <c r="L34" s="64">
        <v>22.05</v>
      </c>
      <c r="M34" s="64">
        <v>98.9</v>
      </c>
      <c r="N34" s="64">
        <v>71</v>
      </c>
      <c r="O34" s="64">
        <v>0</v>
      </c>
      <c r="P34" s="64">
        <v>0.61</v>
      </c>
      <c r="Q34" s="64">
        <v>12.57</v>
      </c>
      <c r="R34" s="198"/>
      <c r="S34" s="198"/>
      <c r="T34" s="198"/>
      <c r="U34" s="198"/>
    </row>
    <row r="35" spans="1:21" s="12" customFormat="1" x14ac:dyDescent="0.25">
      <c r="A35" s="214" t="s">
        <v>272</v>
      </c>
      <c r="B35" s="64">
        <v>6.12</v>
      </c>
      <c r="C35" s="64">
        <v>8.41</v>
      </c>
      <c r="D35" s="64">
        <v>10.84</v>
      </c>
      <c r="E35" s="64">
        <v>0.81</v>
      </c>
      <c r="F35" s="64">
        <v>0.14000000000000001</v>
      </c>
      <c r="G35" s="64">
        <v>33.1</v>
      </c>
      <c r="H35" s="64">
        <v>10.78</v>
      </c>
      <c r="I35" s="64">
        <v>1.48</v>
      </c>
      <c r="J35" s="64">
        <v>0.16</v>
      </c>
      <c r="K35" s="64">
        <v>22.59</v>
      </c>
      <c r="L35" s="64">
        <v>22.46</v>
      </c>
      <c r="M35" s="64">
        <v>98.87</v>
      </c>
      <c r="N35" s="64">
        <v>121</v>
      </c>
      <c r="O35" s="64">
        <v>0</v>
      </c>
      <c r="P35" s="64">
        <v>0.6</v>
      </c>
      <c r="Q35" s="64">
        <v>12.83</v>
      </c>
      <c r="R35" s="198"/>
      <c r="S35" s="198"/>
      <c r="T35" s="198"/>
      <c r="U35" s="198"/>
    </row>
    <row r="36" spans="1:21" s="12" customFormat="1" x14ac:dyDescent="0.25">
      <c r="A36" s="214" t="s">
        <v>273</v>
      </c>
      <c r="B36" s="64">
        <v>6.47</v>
      </c>
      <c r="C36" s="64">
        <v>8.4600000000000009</v>
      </c>
      <c r="D36" s="64">
        <v>11.15</v>
      </c>
      <c r="E36" s="64">
        <v>0.9</v>
      </c>
      <c r="F36" s="64">
        <v>0.67</v>
      </c>
      <c r="G36" s="64">
        <v>33.1</v>
      </c>
      <c r="H36" s="64">
        <v>10.78</v>
      </c>
      <c r="I36" s="64">
        <v>1.5</v>
      </c>
      <c r="J36" s="64">
        <v>0.13</v>
      </c>
      <c r="K36" s="64">
        <v>353.73</v>
      </c>
      <c r="L36" s="64">
        <v>22.86</v>
      </c>
      <c r="M36" s="64">
        <v>98.84</v>
      </c>
      <c r="N36" s="64">
        <v>178.6</v>
      </c>
      <c r="O36" s="64">
        <v>0</v>
      </c>
      <c r="P36" s="64">
        <v>0.62</v>
      </c>
      <c r="Q36" s="64">
        <v>12.55</v>
      </c>
      <c r="R36" s="198"/>
      <c r="S36" s="198"/>
      <c r="T36" s="198"/>
      <c r="U36" s="198"/>
    </row>
    <row r="37" spans="1:21" s="12" customFormat="1" x14ac:dyDescent="0.25">
      <c r="A37" s="214" t="s">
        <v>274</v>
      </c>
      <c r="B37" s="64">
        <v>6.71</v>
      </c>
      <c r="C37" s="64">
        <v>8.69</v>
      </c>
      <c r="D37" s="64">
        <v>11.47</v>
      </c>
      <c r="E37" s="64">
        <v>0.93</v>
      </c>
      <c r="F37" s="64">
        <v>0.7</v>
      </c>
      <c r="G37" s="64">
        <v>33.1</v>
      </c>
      <c r="H37" s="64">
        <v>10.78</v>
      </c>
      <c r="I37" s="64">
        <v>1.61</v>
      </c>
      <c r="J37" s="64">
        <v>0.21</v>
      </c>
      <c r="K37" s="64">
        <v>2.57</v>
      </c>
      <c r="L37" s="64">
        <v>23.88</v>
      </c>
      <c r="M37" s="64">
        <v>95.27</v>
      </c>
      <c r="N37" s="64">
        <v>194.5</v>
      </c>
      <c r="O37" s="64">
        <v>0</v>
      </c>
      <c r="P37" s="64">
        <v>0.59</v>
      </c>
      <c r="Q37" s="64">
        <v>12.62</v>
      </c>
      <c r="R37" s="198"/>
      <c r="S37" s="198"/>
      <c r="T37" s="198"/>
      <c r="U37" s="198"/>
    </row>
    <row r="38" spans="1:21" s="12" customFormat="1" x14ac:dyDescent="0.25">
      <c r="A38" s="214" t="s">
        <v>275</v>
      </c>
      <c r="B38" s="64">
        <v>6.92</v>
      </c>
      <c r="C38" s="64">
        <v>8.9700000000000006</v>
      </c>
      <c r="D38" s="64">
        <v>11.79</v>
      </c>
      <c r="E38" s="64">
        <v>1.51</v>
      </c>
      <c r="F38" s="64">
        <v>0.69</v>
      </c>
      <c r="G38" s="64">
        <v>37.6</v>
      </c>
      <c r="H38" s="64">
        <v>12.31</v>
      </c>
      <c r="I38" s="64">
        <v>1.49</v>
      </c>
      <c r="J38" s="64">
        <v>0.23</v>
      </c>
      <c r="K38" s="64">
        <v>18.2</v>
      </c>
      <c r="L38" s="64">
        <v>24.77</v>
      </c>
      <c r="M38" s="64">
        <v>90.65</v>
      </c>
      <c r="N38" s="64">
        <v>259.89999999999998</v>
      </c>
      <c r="O38" s="64">
        <v>0</v>
      </c>
      <c r="P38" s="64">
        <v>0.64</v>
      </c>
      <c r="Q38" s="64">
        <v>12.46</v>
      </c>
      <c r="R38" s="198"/>
      <c r="S38" s="198"/>
      <c r="T38" s="198"/>
      <c r="U38" s="198"/>
    </row>
    <row r="39" spans="1:21" s="12" customFormat="1" x14ac:dyDescent="0.25">
      <c r="A39" s="214" t="s">
        <v>276</v>
      </c>
      <c r="B39" s="64">
        <v>7.25</v>
      </c>
      <c r="C39" s="64">
        <v>9.9700000000000006</v>
      </c>
      <c r="D39" s="64">
        <v>12.61</v>
      </c>
      <c r="E39" s="64">
        <v>1.1299999999999999</v>
      </c>
      <c r="F39" s="64">
        <v>0.44</v>
      </c>
      <c r="G39" s="64">
        <v>38.36</v>
      </c>
      <c r="H39" s="64">
        <v>12.31</v>
      </c>
      <c r="I39" s="64">
        <v>1.48</v>
      </c>
      <c r="J39" s="64">
        <v>0.3</v>
      </c>
      <c r="K39" s="64">
        <v>19.47</v>
      </c>
      <c r="L39" s="64">
        <v>25.01</v>
      </c>
      <c r="M39" s="64">
        <v>89.02</v>
      </c>
      <c r="N39" s="64">
        <v>304</v>
      </c>
      <c r="O39" s="64">
        <v>0</v>
      </c>
      <c r="P39" s="64">
        <v>0.65</v>
      </c>
      <c r="Q39" s="64">
        <v>12.56</v>
      </c>
      <c r="R39" s="198"/>
      <c r="S39" s="198"/>
      <c r="T39" s="198"/>
      <c r="U39" s="198"/>
    </row>
    <row r="40" spans="1:21" s="12" customFormat="1" x14ac:dyDescent="0.25">
      <c r="A40" s="214" t="s">
        <v>277</v>
      </c>
      <c r="B40" s="64">
        <v>8.56</v>
      </c>
      <c r="C40" s="64">
        <v>12.68</v>
      </c>
      <c r="D40" s="64">
        <v>15.16</v>
      </c>
      <c r="E40" s="64">
        <v>1.36</v>
      </c>
      <c r="F40" s="64">
        <v>0.63</v>
      </c>
      <c r="G40" s="64">
        <v>38.36</v>
      </c>
      <c r="H40" s="64">
        <v>12.31</v>
      </c>
      <c r="I40" s="64">
        <v>1.53</v>
      </c>
      <c r="J40" s="64">
        <v>0.26</v>
      </c>
      <c r="K40" s="64">
        <v>8.01</v>
      </c>
      <c r="L40" s="64">
        <v>25.4</v>
      </c>
      <c r="M40" s="64">
        <v>87.19</v>
      </c>
      <c r="N40" s="64">
        <v>309.89999999999998</v>
      </c>
      <c r="O40" s="64">
        <v>0</v>
      </c>
      <c r="P40" s="64">
        <v>0.67</v>
      </c>
      <c r="Q40" s="64">
        <v>12.18</v>
      </c>
      <c r="R40" s="198"/>
      <c r="S40" s="198"/>
      <c r="T40" s="198"/>
      <c r="U40" s="198"/>
    </row>
    <row r="41" spans="1:21" s="12" customFormat="1" x14ac:dyDescent="0.25">
      <c r="A41" s="214" t="s">
        <v>278</v>
      </c>
      <c r="B41" s="64">
        <v>8.36</v>
      </c>
      <c r="C41" s="64">
        <v>12.91</v>
      </c>
      <c r="D41" s="64">
        <v>15.12</v>
      </c>
      <c r="E41" s="64">
        <v>2.23</v>
      </c>
      <c r="F41" s="64">
        <v>0.84</v>
      </c>
      <c r="G41" s="64">
        <v>38.36</v>
      </c>
      <c r="H41" s="64">
        <v>12.31</v>
      </c>
      <c r="I41" s="64">
        <v>1.49</v>
      </c>
      <c r="J41" s="64">
        <v>0.22</v>
      </c>
      <c r="K41" s="64">
        <v>9.64</v>
      </c>
      <c r="L41" s="64">
        <v>25.76</v>
      </c>
      <c r="M41" s="64">
        <v>85.49</v>
      </c>
      <c r="N41" s="64">
        <v>317.10000000000002</v>
      </c>
      <c r="O41" s="64">
        <v>0</v>
      </c>
      <c r="P41" s="64">
        <v>0.7</v>
      </c>
      <c r="Q41" s="64">
        <v>11.43</v>
      </c>
      <c r="R41" s="198"/>
      <c r="S41" s="198"/>
      <c r="T41" s="198"/>
      <c r="U41" s="198"/>
    </row>
    <row r="42" spans="1:21" s="12" customFormat="1" x14ac:dyDescent="0.25">
      <c r="A42" s="214" t="s">
        <v>279</v>
      </c>
      <c r="B42" s="64">
        <v>7.61</v>
      </c>
      <c r="C42" s="64">
        <v>12.18</v>
      </c>
      <c r="D42" s="64">
        <v>14.12</v>
      </c>
      <c r="E42" s="64">
        <v>2.0299999999999998</v>
      </c>
      <c r="F42" s="64">
        <v>1.05</v>
      </c>
      <c r="G42" s="64">
        <v>40.909999999999997</v>
      </c>
      <c r="H42" s="64">
        <v>13.82</v>
      </c>
      <c r="I42" s="64">
        <v>1.45</v>
      </c>
      <c r="J42" s="64">
        <v>0.25</v>
      </c>
      <c r="K42" s="64">
        <v>12.57</v>
      </c>
      <c r="L42" s="64">
        <v>26.15</v>
      </c>
      <c r="M42" s="64">
        <v>83.37</v>
      </c>
      <c r="N42" s="64">
        <v>392.4</v>
      </c>
      <c r="O42" s="64">
        <v>0</v>
      </c>
      <c r="P42" s="64">
        <v>0.72</v>
      </c>
      <c r="Q42" s="64">
        <v>11.64</v>
      </c>
      <c r="R42" s="198"/>
      <c r="S42" s="198"/>
      <c r="T42" s="198"/>
      <c r="U42" s="198"/>
    </row>
    <row r="43" spans="1:21" s="12" customFormat="1" x14ac:dyDescent="0.25">
      <c r="A43" s="214" t="s">
        <v>280</v>
      </c>
      <c r="B43" s="64">
        <v>7.11</v>
      </c>
      <c r="C43" s="64">
        <v>12.09</v>
      </c>
      <c r="D43" s="64">
        <v>13.66</v>
      </c>
      <c r="E43" s="64">
        <v>1.87</v>
      </c>
      <c r="F43" s="64">
        <v>1.07</v>
      </c>
      <c r="G43" s="64">
        <v>41.34</v>
      </c>
      <c r="H43" s="64">
        <v>13.82</v>
      </c>
      <c r="I43" s="64">
        <v>1.53</v>
      </c>
      <c r="J43" s="64">
        <v>0.25</v>
      </c>
      <c r="K43" s="64">
        <v>12.82</v>
      </c>
      <c r="L43" s="64">
        <v>25.99</v>
      </c>
      <c r="M43" s="64">
        <v>84.8</v>
      </c>
      <c r="N43" s="64">
        <v>506.7</v>
      </c>
      <c r="O43" s="64">
        <v>0</v>
      </c>
      <c r="P43" s="64">
        <v>0.75</v>
      </c>
      <c r="Q43" s="64">
        <v>11.61</v>
      </c>
      <c r="R43" s="198"/>
      <c r="S43" s="198"/>
      <c r="T43" s="198"/>
      <c r="U43" s="198"/>
    </row>
    <row r="44" spans="1:21" s="12" customFormat="1" x14ac:dyDescent="0.25">
      <c r="A44" s="214" t="s">
        <v>281</v>
      </c>
      <c r="B44" s="64">
        <v>6.74</v>
      </c>
      <c r="C44" s="64">
        <v>12.3</v>
      </c>
      <c r="D44" s="64">
        <v>13.48</v>
      </c>
      <c r="E44" s="64">
        <v>2.25</v>
      </c>
      <c r="F44" s="64">
        <v>0.94</v>
      </c>
      <c r="G44" s="64">
        <v>41.34</v>
      </c>
      <c r="H44" s="64">
        <v>13.82</v>
      </c>
      <c r="I44" s="64">
        <v>1.51</v>
      </c>
      <c r="J44" s="64">
        <v>0.2</v>
      </c>
      <c r="K44" s="64">
        <v>341.41</v>
      </c>
      <c r="L44" s="64">
        <v>27.84</v>
      </c>
      <c r="M44" s="64">
        <v>77.34</v>
      </c>
      <c r="N44" s="64">
        <v>560.1</v>
      </c>
      <c r="O44" s="64">
        <v>0</v>
      </c>
      <c r="P44" s="64">
        <v>0.78</v>
      </c>
      <c r="Q44" s="64">
        <v>11.8</v>
      </c>
      <c r="R44" s="198"/>
      <c r="S44" s="198"/>
      <c r="T44" s="198"/>
      <c r="U44" s="198"/>
    </row>
    <row r="45" spans="1:21" s="12" customFormat="1" x14ac:dyDescent="0.25">
      <c r="A45" s="214" t="s">
        <v>282</v>
      </c>
      <c r="B45" s="64">
        <v>6.84</v>
      </c>
      <c r="C45" s="64">
        <v>12.96</v>
      </c>
      <c r="D45" s="64">
        <v>13.93</v>
      </c>
      <c r="E45" s="64">
        <v>2.0699999999999998</v>
      </c>
      <c r="F45" s="64">
        <v>0.47</v>
      </c>
      <c r="G45" s="64">
        <v>41.34</v>
      </c>
      <c r="H45" s="64">
        <v>13.82</v>
      </c>
      <c r="I45" s="64">
        <v>1.46</v>
      </c>
      <c r="J45" s="64">
        <v>0.2</v>
      </c>
      <c r="K45" s="64">
        <v>21.63</v>
      </c>
      <c r="L45" s="64">
        <v>28.93</v>
      </c>
      <c r="M45" s="64">
        <v>72.19</v>
      </c>
      <c r="N45" s="64">
        <v>596.6</v>
      </c>
      <c r="O45" s="64">
        <v>0</v>
      </c>
      <c r="P45" s="64">
        <v>0.83</v>
      </c>
      <c r="Q45" s="64">
        <v>11.89</v>
      </c>
      <c r="R45" s="198"/>
      <c r="S45" s="198"/>
      <c r="T45" s="198"/>
      <c r="U45" s="198"/>
    </row>
    <row r="46" spans="1:21" s="12" customFormat="1" x14ac:dyDescent="0.25">
      <c r="A46" s="214" t="s">
        <v>283</v>
      </c>
      <c r="B46" s="64">
        <v>6.93</v>
      </c>
      <c r="C46" s="64">
        <v>12.56</v>
      </c>
      <c r="D46" s="64">
        <v>13.78</v>
      </c>
      <c r="E46" s="64">
        <v>2.12</v>
      </c>
      <c r="F46" s="64">
        <v>1.1000000000000001</v>
      </c>
      <c r="G46" s="64">
        <v>52.97</v>
      </c>
      <c r="H46" s="64">
        <v>17.420000000000002</v>
      </c>
      <c r="I46" s="64">
        <v>1.48</v>
      </c>
      <c r="J46" s="64">
        <v>0.13</v>
      </c>
      <c r="K46" s="64">
        <v>2.2000000000000002</v>
      </c>
      <c r="L46" s="64">
        <v>27.44</v>
      </c>
      <c r="M46" s="64">
        <v>77.709999999999994</v>
      </c>
      <c r="N46" s="64">
        <v>623.4</v>
      </c>
      <c r="O46" s="64">
        <v>0</v>
      </c>
      <c r="P46" s="64">
        <v>0.87</v>
      </c>
      <c r="Q46" s="64">
        <v>11.57</v>
      </c>
      <c r="R46" s="198"/>
      <c r="S46" s="198"/>
      <c r="T46" s="198"/>
      <c r="U46" s="198"/>
    </row>
    <row r="47" spans="1:21" s="12" customFormat="1" x14ac:dyDescent="0.25">
      <c r="A47" s="214" t="s">
        <v>284</v>
      </c>
      <c r="B47" s="64">
        <v>6.45</v>
      </c>
      <c r="C47" s="64">
        <v>13.22</v>
      </c>
      <c r="D47" s="64">
        <v>13.76</v>
      </c>
      <c r="E47" s="64">
        <v>1.68</v>
      </c>
      <c r="F47" s="64">
        <v>0.75</v>
      </c>
      <c r="G47" s="64">
        <v>54.94</v>
      </c>
      <c r="H47" s="64">
        <v>17.420000000000002</v>
      </c>
      <c r="I47" s="64">
        <v>1.52</v>
      </c>
      <c r="J47" s="64">
        <v>0.22</v>
      </c>
      <c r="K47" s="64">
        <v>11.32</v>
      </c>
      <c r="L47" s="64">
        <v>27.92</v>
      </c>
      <c r="M47" s="64">
        <v>76.25</v>
      </c>
      <c r="N47" s="64">
        <v>552.4</v>
      </c>
      <c r="O47" s="64">
        <v>0</v>
      </c>
      <c r="P47" s="64">
        <v>0.96</v>
      </c>
      <c r="Q47" s="64">
        <v>11.83</v>
      </c>
      <c r="R47" s="198"/>
      <c r="S47" s="198"/>
      <c r="T47" s="198"/>
      <c r="U47" s="198"/>
    </row>
    <row r="48" spans="1:21" s="12" customFormat="1" x14ac:dyDescent="0.25">
      <c r="A48" s="214" t="s">
        <v>285</v>
      </c>
      <c r="B48" s="64">
        <v>5.82</v>
      </c>
      <c r="C48" s="64">
        <v>13.9</v>
      </c>
      <c r="D48" s="64">
        <v>13.63</v>
      </c>
      <c r="E48" s="64">
        <v>1.84</v>
      </c>
      <c r="F48" s="64">
        <v>1.39</v>
      </c>
      <c r="G48" s="64">
        <v>54.94</v>
      </c>
      <c r="H48" s="64">
        <v>17.420000000000002</v>
      </c>
      <c r="I48" s="64">
        <v>1.49</v>
      </c>
      <c r="J48" s="64">
        <v>0.19</v>
      </c>
      <c r="K48" s="64">
        <v>30.29</v>
      </c>
      <c r="L48" s="64">
        <v>28.47</v>
      </c>
      <c r="M48" s="64">
        <v>74.98</v>
      </c>
      <c r="N48" s="64">
        <v>646.9</v>
      </c>
      <c r="O48" s="64">
        <v>0</v>
      </c>
      <c r="P48" s="64">
        <v>1.1100000000000001</v>
      </c>
      <c r="Q48" s="64">
        <v>11.22</v>
      </c>
      <c r="R48" s="198"/>
      <c r="S48" s="198"/>
      <c r="T48" s="198"/>
      <c r="U48" s="198"/>
    </row>
    <row r="49" spans="1:21" s="12" customFormat="1" x14ac:dyDescent="0.25">
      <c r="A49" s="214" t="s">
        <v>286</v>
      </c>
      <c r="B49" s="64">
        <v>5.52</v>
      </c>
      <c r="C49" s="64">
        <v>15.27</v>
      </c>
      <c r="D49" s="64">
        <v>14.15</v>
      </c>
      <c r="E49" s="64">
        <v>2.06</v>
      </c>
      <c r="F49" s="64">
        <v>0.81</v>
      </c>
      <c r="G49" s="64">
        <v>54.94</v>
      </c>
      <c r="H49" s="64">
        <v>17.420000000000002</v>
      </c>
      <c r="I49" s="64">
        <v>1.5</v>
      </c>
      <c r="J49" s="64">
        <v>0.39</v>
      </c>
      <c r="K49" s="64">
        <v>23.11</v>
      </c>
      <c r="L49" s="64">
        <v>28.65</v>
      </c>
      <c r="M49" s="64">
        <v>72.58</v>
      </c>
      <c r="N49" s="64">
        <v>759.5</v>
      </c>
      <c r="O49" s="64">
        <v>0</v>
      </c>
      <c r="P49" s="64">
        <v>1.17</v>
      </c>
      <c r="Q49" s="64">
        <v>11.82</v>
      </c>
      <c r="R49" s="198"/>
      <c r="S49" s="198"/>
      <c r="T49" s="198"/>
      <c r="U49" s="198"/>
    </row>
    <row r="50" spans="1:21" s="12" customFormat="1" x14ac:dyDescent="0.25">
      <c r="A50" s="214" t="s">
        <v>287</v>
      </c>
      <c r="B50" s="64">
        <v>5.09</v>
      </c>
      <c r="C50" s="64">
        <v>15.66</v>
      </c>
      <c r="D50" s="64">
        <v>14.02</v>
      </c>
      <c r="E50" s="64">
        <v>1.98</v>
      </c>
      <c r="F50" s="64">
        <v>1.51</v>
      </c>
      <c r="G50" s="64">
        <v>70.17</v>
      </c>
      <c r="H50" s="64">
        <v>21.49</v>
      </c>
      <c r="I50" s="64">
        <v>1.51</v>
      </c>
      <c r="J50" s="64">
        <v>0.05</v>
      </c>
      <c r="K50" s="64">
        <v>72.78</v>
      </c>
      <c r="L50" s="64">
        <v>28.92</v>
      </c>
      <c r="M50" s="64">
        <v>71.47</v>
      </c>
      <c r="N50" s="64">
        <v>796.2</v>
      </c>
      <c r="O50" s="64">
        <v>0</v>
      </c>
      <c r="P50" s="64">
        <v>1.1299999999999999</v>
      </c>
      <c r="Q50" s="64">
        <v>11.09</v>
      </c>
      <c r="R50" s="198"/>
      <c r="S50" s="198"/>
      <c r="T50" s="198"/>
      <c r="U50" s="198"/>
    </row>
    <row r="51" spans="1:21" s="12" customFormat="1" x14ac:dyDescent="0.25">
      <c r="A51" s="214" t="s">
        <v>288</v>
      </c>
      <c r="B51" s="64">
        <v>4.26</v>
      </c>
      <c r="C51" s="64">
        <v>15.25</v>
      </c>
      <c r="D51" s="64">
        <v>13.12</v>
      </c>
      <c r="E51" s="64">
        <v>1.79</v>
      </c>
      <c r="F51" s="64">
        <v>1.35</v>
      </c>
      <c r="G51" s="64">
        <v>72.739999999999995</v>
      </c>
      <c r="H51" s="64">
        <v>21.49</v>
      </c>
      <c r="I51" s="64">
        <v>1.5</v>
      </c>
      <c r="J51" s="64">
        <v>0.3</v>
      </c>
      <c r="K51" s="64">
        <v>20.32</v>
      </c>
      <c r="L51" s="64">
        <v>28.38</v>
      </c>
      <c r="M51" s="64">
        <v>73.05</v>
      </c>
      <c r="N51" s="64">
        <v>747.7</v>
      </c>
      <c r="O51" s="64">
        <v>0</v>
      </c>
      <c r="P51" s="64">
        <v>1.07</v>
      </c>
      <c r="Q51" s="64">
        <v>11.37</v>
      </c>
      <c r="R51" s="198"/>
      <c r="S51" s="198"/>
      <c r="T51" s="198"/>
      <c r="U51" s="198"/>
    </row>
    <row r="52" spans="1:21" s="12" customFormat="1" x14ac:dyDescent="0.25">
      <c r="A52" s="214" t="s">
        <v>289</v>
      </c>
      <c r="B52" s="64">
        <v>3.73</v>
      </c>
      <c r="C52" s="64">
        <v>14.26</v>
      </c>
      <c r="D52" s="64">
        <v>12.15</v>
      </c>
      <c r="E52" s="64">
        <v>2.0499999999999998</v>
      </c>
      <c r="F52" s="64">
        <v>1.7</v>
      </c>
      <c r="G52" s="64">
        <v>72.739999999999995</v>
      </c>
      <c r="H52" s="64">
        <v>21.49</v>
      </c>
      <c r="I52" s="64">
        <v>1.5</v>
      </c>
      <c r="J52" s="64">
        <v>0.34</v>
      </c>
      <c r="K52" s="64">
        <v>17.559999999999999</v>
      </c>
      <c r="L52" s="64">
        <v>28.38</v>
      </c>
      <c r="M52" s="64">
        <v>72.680000000000007</v>
      </c>
      <c r="N52" s="64">
        <v>704</v>
      </c>
      <c r="O52" s="64">
        <v>0</v>
      </c>
      <c r="P52" s="64">
        <v>1.01</v>
      </c>
      <c r="Q52" s="64">
        <v>10.45</v>
      </c>
      <c r="R52" s="198"/>
      <c r="S52" s="198"/>
      <c r="T52" s="198"/>
      <c r="U52" s="198"/>
    </row>
    <row r="53" spans="1:21" s="12" customFormat="1" x14ac:dyDescent="0.25">
      <c r="A53" s="214" t="s">
        <v>290</v>
      </c>
      <c r="B53" s="64">
        <v>3.47</v>
      </c>
      <c r="C53" s="64">
        <v>13.79</v>
      </c>
      <c r="D53" s="64">
        <v>11.69</v>
      </c>
      <c r="E53" s="64">
        <v>1.87</v>
      </c>
      <c r="F53" s="64">
        <v>2.14</v>
      </c>
      <c r="G53" s="64">
        <v>72.739999999999995</v>
      </c>
      <c r="H53" s="64">
        <v>21.49</v>
      </c>
      <c r="I53" s="64">
        <v>1.55</v>
      </c>
      <c r="J53" s="64">
        <v>0.24</v>
      </c>
      <c r="K53" s="64">
        <v>20.02</v>
      </c>
      <c r="L53" s="64">
        <v>28.67</v>
      </c>
      <c r="M53" s="64">
        <v>70.67</v>
      </c>
      <c r="N53" s="64">
        <v>861.9</v>
      </c>
      <c r="O53" s="64">
        <v>0</v>
      </c>
      <c r="P53" s="64">
        <v>0.95</v>
      </c>
      <c r="Q53" s="64">
        <v>9</v>
      </c>
      <c r="R53" s="198"/>
      <c r="S53" s="198"/>
      <c r="T53" s="198"/>
      <c r="U53" s="198"/>
    </row>
    <row r="54" spans="1:21" s="12" customFormat="1" x14ac:dyDescent="0.25">
      <c r="A54" s="214" t="s">
        <v>291</v>
      </c>
      <c r="B54" s="64">
        <v>4.17</v>
      </c>
      <c r="C54" s="64">
        <v>15.25</v>
      </c>
      <c r="D54" s="64">
        <v>13.05</v>
      </c>
      <c r="E54" s="64">
        <v>1.31</v>
      </c>
      <c r="F54" s="64">
        <v>2.1</v>
      </c>
      <c r="G54" s="64">
        <v>54.29</v>
      </c>
      <c r="H54" s="64">
        <v>17.34</v>
      </c>
      <c r="I54" s="64">
        <v>1.52</v>
      </c>
      <c r="J54" s="64">
        <v>0.18</v>
      </c>
      <c r="K54" s="64">
        <v>0.96</v>
      </c>
      <c r="L54" s="64">
        <v>29.29</v>
      </c>
      <c r="M54" s="64">
        <v>68.73</v>
      </c>
      <c r="N54" s="64">
        <v>833.2</v>
      </c>
      <c r="O54" s="64">
        <v>0</v>
      </c>
      <c r="P54" s="64">
        <v>0.91</v>
      </c>
      <c r="Q54" s="64">
        <v>9.51</v>
      </c>
      <c r="R54" s="198"/>
      <c r="S54" s="198"/>
      <c r="T54" s="198"/>
      <c r="U54" s="198"/>
    </row>
    <row r="55" spans="1:21" s="12" customFormat="1" x14ac:dyDescent="0.25">
      <c r="A55" s="214" t="s">
        <v>292</v>
      </c>
      <c r="B55" s="64">
        <v>3.47</v>
      </c>
      <c r="C55" s="64">
        <v>13.49</v>
      </c>
      <c r="D55" s="64">
        <v>11.52</v>
      </c>
      <c r="E55" s="64">
        <v>2.27</v>
      </c>
      <c r="F55" s="64">
        <v>2.48</v>
      </c>
      <c r="G55" s="64">
        <v>51.17</v>
      </c>
      <c r="H55" s="64">
        <v>17.34</v>
      </c>
      <c r="I55" s="64">
        <v>1.49</v>
      </c>
      <c r="J55" s="64">
        <v>0.08</v>
      </c>
      <c r="K55" s="64">
        <v>17.11</v>
      </c>
      <c r="L55" s="64">
        <v>29.16</v>
      </c>
      <c r="M55" s="64">
        <v>68.75</v>
      </c>
      <c r="N55" s="64">
        <v>725.5</v>
      </c>
      <c r="O55" s="64">
        <v>0</v>
      </c>
      <c r="P55" s="64">
        <v>0.83</v>
      </c>
      <c r="Q55" s="64">
        <v>9.07</v>
      </c>
      <c r="R55" s="198"/>
      <c r="S55" s="198"/>
      <c r="T55" s="198"/>
      <c r="U55" s="198"/>
    </row>
    <row r="56" spans="1:21" s="12" customFormat="1" x14ac:dyDescent="0.25">
      <c r="A56" s="214" t="s">
        <v>293</v>
      </c>
      <c r="B56" s="64">
        <v>2.8</v>
      </c>
      <c r="C56" s="64">
        <v>12</v>
      </c>
      <c r="D56" s="64">
        <v>10.15</v>
      </c>
      <c r="E56" s="64">
        <v>1</v>
      </c>
      <c r="F56" s="64">
        <v>2.8</v>
      </c>
      <c r="G56" s="64">
        <v>51.17</v>
      </c>
      <c r="H56" s="64">
        <v>17.34</v>
      </c>
      <c r="I56" s="64">
        <v>1.4</v>
      </c>
      <c r="J56" s="64">
        <v>0.34</v>
      </c>
      <c r="K56" s="64">
        <v>3.12</v>
      </c>
      <c r="L56" s="64">
        <v>29.03</v>
      </c>
      <c r="M56" s="64">
        <v>68.819999999999993</v>
      </c>
      <c r="N56" s="64">
        <v>806</v>
      </c>
      <c r="O56" s="64">
        <v>0</v>
      </c>
      <c r="P56" s="64">
        <v>0.8</v>
      </c>
      <c r="Q56" s="64">
        <v>8.4700000000000006</v>
      </c>
      <c r="R56" s="198"/>
      <c r="S56" s="198"/>
      <c r="T56" s="198"/>
      <c r="U56" s="198"/>
    </row>
    <row r="57" spans="1:21" s="12" customFormat="1" x14ac:dyDescent="0.25">
      <c r="A57" s="214" t="s">
        <v>294</v>
      </c>
      <c r="B57" s="64">
        <v>2.62</v>
      </c>
      <c r="C57" s="64">
        <v>11.96</v>
      </c>
      <c r="D57" s="64">
        <v>9.99</v>
      </c>
      <c r="E57" s="64">
        <v>1.72</v>
      </c>
      <c r="F57" s="64">
        <v>2.0499999999999998</v>
      </c>
      <c r="G57" s="64">
        <v>51.17</v>
      </c>
      <c r="H57" s="64">
        <v>17.34</v>
      </c>
      <c r="I57" s="64">
        <v>1.55</v>
      </c>
      <c r="J57" s="64">
        <v>0.31</v>
      </c>
      <c r="K57" s="64">
        <v>10.79</v>
      </c>
      <c r="L57" s="64">
        <v>29.69</v>
      </c>
      <c r="M57" s="64">
        <v>66.67</v>
      </c>
      <c r="N57" s="64">
        <v>750.3</v>
      </c>
      <c r="O57" s="64">
        <v>0</v>
      </c>
      <c r="P57" s="64">
        <v>0.79</v>
      </c>
      <c r="Q57" s="64">
        <v>9.09</v>
      </c>
      <c r="R57" s="198"/>
      <c r="S57" s="198"/>
      <c r="T57" s="198"/>
      <c r="U57" s="198"/>
    </row>
    <row r="58" spans="1:21" s="12" customFormat="1" x14ac:dyDescent="0.25">
      <c r="A58" s="214" t="s">
        <v>295</v>
      </c>
      <c r="B58" s="64">
        <v>2.52</v>
      </c>
      <c r="C58" s="64">
        <v>11.68</v>
      </c>
      <c r="D58" s="64">
        <v>9.76</v>
      </c>
      <c r="E58" s="64">
        <v>1.71</v>
      </c>
      <c r="F58" s="64">
        <v>2.66</v>
      </c>
      <c r="G58" s="64">
        <v>46.77</v>
      </c>
      <c r="H58" s="64">
        <v>17.73</v>
      </c>
      <c r="I58" s="64">
        <v>1.57</v>
      </c>
      <c r="J58" s="64">
        <v>0.36</v>
      </c>
      <c r="K58" s="64">
        <v>7.9</v>
      </c>
      <c r="L58" s="64">
        <v>30.61</v>
      </c>
      <c r="M58" s="64">
        <v>64.64</v>
      </c>
      <c r="N58" s="64">
        <v>683.6</v>
      </c>
      <c r="O58" s="64">
        <v>0</v>
      </c>
      <c r="P58" s="64">
        <v>0.82</v>
      </c>
      <c r="Q58" s="64">
        <v>8.1999999999999993</v>
      </c>
      <c r="R58" s="198"/>
      <c r="S58" s="198"/>
      <c r="T58" s="198"/>
      <c r="U58" s="198"/>
    </row>
    <row r="59" spans="1:21" s="12" customFormat="1" x14ac:dyDescent="0.25">
      <c r="A59" s="214" t="s">
        <v>296</v>
      </c>
      <c r="B59" s="64">
        <v>2.5499999999999998</v>
      </c>
      <c r="C59" s="64">
        <v>12.34</v>
      </c>
      <c r="D59" s="64">
        <v>10.15</v>
      </c>
      <c r="E59" s="64">
        <v>2.06</v>
      </c>
      <c r="F59" s="64">
        <v>2.81</v>
      </c>
      <c r="G59" s="64">
        <v>46.02</v>
      </c>
      <c r="H59" s="64">
        <v>17.73</v>
      </c>
      <c r="I59" s="64">
        <v>1.49</v>
      </c>
      <c r="J59" s="64">
        <v>0.27</v>
      </c>
      <c r="K59" s="64">
        <v>27.55</v>
      </c>
      <c r="L59" s="64">
        <v>30.22</v>
      </c>
      <c r="M59" s="64">
        <v>65.7</v>
      </c>
      <c r="N59" s="64">
        <v>601</v>
      </c>
      <c r="O59" s="64">
        <v>0</v>
      </c>
      <c r="P59" s="64">
        <v>0.8</v>
      </c>
      <c r="Q59" s="64">
        <v>9.11</v>
      </c>
      <c r="R59" s="198"/>
      <c r="S59" s="198"/>
      <c r="T59" s="198"/>
      <c r="U59" s="198"/>
    </row>
    <row r="60" spans="1:21" s="12" customFormat="1" x14ac:dyDescent="0.25">
      <c r="A60" s="214" t="s">
        <v>297</v>
      </c>
      <c r="B60" s="64">
        <v>2.46</v>
      </c>
      <c r="C60" s="64">
        <v>12.67</v>
      </c>
      <c r="D60" s="64">
        <v>10.26</v>
      </c>
      <c r="E60" s="64">
        <v>1.94</v>
      </c>
      <c r="F60" s="64">
        <v>3.33</v>
      </c>
      <c r="G60" s="64">
        <v>46.02</v>
      </c>
      <c r="H60" s="64">
        <v>17.73</v>
      </c>
      <c r="I60" s="64">
        <v>1.48</v>
      </c>
      <c r="J60" s="64">
        <v>0.33</v>
      </c>
      <c r="K60" s="64">
        <v>5.62</v>
      </c>
      <c r="L60" s="64">
        <v>29.84</v>
      </c>
      <c r="M60" s="64">
        <v>66.94</v>
      </c>
      <c r="N60" s="64">
        <v>605.79999999999995</v>
      </c>
      <c r="O60" s="64">
        <v>0</v>
      </c>
      <c r="P60" s="64">
        <v>0.8</v>
      </c>
      <c r="Q60" s="64">
        <v>8.08</v>
      </c>
      <c r="R60" s="198"/>
      <c r="S60" s="198"/>
      <c r="T60" s="198"/>
      <c r="U60" s="198"/>
    </row>
    <row r="61" spans="1:21" s="12" customFormat="1" x14ac:dyDescent="0.25">
      <c r="A61" s="214" t="s">
        <v>298</v>
      </c>
      <c r="B61" s="64">
        <v>2.4700000000000002</v>
      </c>
      <c r="C61" s="64">
        <v>13.05</v>
      </c>
      <c r="D61" s="64">
        <v>10.47</v>
      </c>
      <c r="E61" s="64">
        <v>1.68</v>
      </c>
      <c r="F61" s="64">
        <v>3.14</v>
      </c>
      <c r="G61" s="64">
        <v>46.02</v>
      </c>
      <c r="H61" s="64">
        <v>17.73</v>
      </c>
      <c r="I61" s="64">
        <v>1.56</v>
      </c>
      <c r="J61" s="64">
        <v>0.34</v>
      </c>
      <c r="K61" s="64">
        <v>355.97</v>
      </c>
      <c r="L61" s="64">
        <v>30.09</v>
      </c>
      <c r="M61" s="64">
        <v>65.489999999999995</v>
      </c>
      <c r="N61" s="64">
        <v>686.2</v>
      </c>
      <c r="O61" s="64">
        <v>0</v>
      </c>
      <c r="P61" s="64">
        <v>0.7</v>
      </c>
      <c r="Q61" s="64">
        <v>7.93</v>
      </c>
      <c r="R61" s="198"/>
      <c r="S61" s="198"/>
      <c r="T61" s="198"/>
      <c r="U61" s="198"/>
    </row>
    <row r="62" spans="1:21" s="12" customFormat="1" x14ac:dyDescent="0.25">
      <c r="A62" s="214" t="s">
        <v>299</v>
      </c>
      <c r="B62" s="64">
        <v>2.46</v>
      </c>
      <c r="C62" s="64">
        <v>13.53</v>
      </c>
      <c r="D62" s="64">
        <v>10.73</v>
      </c>
      <c r="E62" s="64">
        <v>1.5</v>
      </c>
      <c r="F62" s="64">
        <v>3.09</v>
      </c>
      <c r="G62" s="64">
        <v>52.17</v>
      </c>
      <c r="H62" s="64">
        <v>23</v>
      </c>
      <c r="I62" s="64">
        <v>1.49</v>
      </c>
      <c r="J62" s="64">
        <v>0.44</v>
      </c>
      <c r="K62" s="64">
        <v>333.06</v>
      </c>
      <c r="L62" s="64">
        <v>30.81</v>
      </c>
      <c r="M62" s="64">
        <v>64.48</v>
      </c>
      <c r="N62" s="64">
        <v>661.6</v>
      </c>
      <c r="O62" s="64">
        <v>0</v>
      </c>
      <c r="P62" s="64">
        <v>0.74</v>
      </c>
      <c r="Q62" s="64">
        <v>8.4</v>
      </c>
      <c r="R62" s="198"/>
      <c r="S62" s="198"/>
      <c r="T62" s="198"/>
      <c r="U62" s="198"/>
    </row>
    <row r="63" spans="1:21" s="12" customFormat="1" x14ac:dyDescent="0.25">
      <c r="A63" s="214" t="s">
        <v>300</v>
      </c>
      <c r="B63" s="64">
        <v>2.6</v>
      </c>
      <c r="C63" s="64">
        <v>13.93</v>
      </c>
      <c r="D63" s="64">
        <v>11.07</v>
      </c>
      <c r="E63" s="64">
        <v>2.54</v>
      </c>
      <c r="F63" s="64">
        <v>4.59</v>
      </c>
      <c r="G63" s="64">
        <v>53.2</v>
      </c>
      <c r="H63" s="64">
        <v>23</v>
      </c>
      <c r="I63" s="64">
        <v>1.49</v>
      </c>
      <c r="J63" s="64">
        <v>0.35</v>
      </c>
      <c r="K63" s="64">
        <v>347.52</v>
      </c>
      <c r="L63" s="64">
        <v>31.25</v>
      </c>
      <c r="M63" s="64">
        <v>62.32</v>
      </c>
      <c r="N63" s="64">
        <v>585.1</v>
      </c>
      <c r="O63" s="64">
        <v>0</v>
      </c>
      <c r="P63" s="64">
        <v>0.73</v>
      </c>
      <c r="Q63" s="64">
        <v>8.43</v>
      </c>
      <c r="R63" s="198"/>
      <c r="S63" s="198"/>
      <c r="T63" s="198"/>
      <c r="U63" s="198"/>
    </row>
    <row r="64" spans="1:21" s="12" customFormat="1" x14ac:dyDescent="0.25">
      <c r="A64" s="214" t="s">
        <v>301</v>
      </c>
      <c r="B64" s="64">
        <v>3.74</v>
      </c>
      <c r="C64" s="64">
        <v>16.899999999999999</v>
      </c>
      <c r="D64" s="64">
        <v>13.62</v>
      </c>
      <c r="E64" s="64">
        <v>2.29</v>
      </c>
      <c r="F64" s="64">
        <v>4.05</v>
      </c>
      <c r="G64" s="64">
        <v>53.2</v>
      </c>
      <c r="H64" s="64">
        <v>23</v>
      </c>
      <c r="I64" s="64">
        <v>1.47</v>
      </c>
      <c r="J64" s="64">
        <v>0.35</v>
      </c>
      <c r="K64" s="64">
        <v>352.6</v>
      </c>
      <c r="L64" s="64">
        <v>30.14</v>
      </c>
      <c r="M64" s="64">
        <v>65.819999999999993</v>
      </c>
      <c r="N64" s="64">
        <v>494.5</v>
      </c>
      <c r="O64" s="64">
        <v>0</v>
      </c>
      <c r="P64" s="64">
        <v>0.69</v>
      </c>
      <c r="Q64" s="64">
        <v>8.15</v>
      </c>
      <c r="R64" s="198"/>
      <c r="S64" s="198"/>
      <c r="T64" s="198"/>
      <c r="U64" s="198"/>
    </row>
    <row r="65" spans="1:21" s="12" customFormat="1" x14ac:dyDescent="0.25">
      <c r="A65" s="214" t="s">
        <v>302</v>
      </c>
      <c r="B65" s="64">
        <v>3.52</v>
      </c>
      <c r="C65" s="64">
        <v>16.05</v>
      </c>
      <c r="D65" s="64">
        <v>12.97</v>
      </c>
      <c r="E65" s="64">
        <v>1.81</v>
      </c>
      <c r="F65" s="64">
        <v>4.0999999999999996</v>
      </c>
      <c r="G65" s="64">
        <v>53.2</v>
      </c>
      <c r="H65" s="64">
        <v>23</v>
      </c>
      <c r="I65" s="64">
        <v>1.48</v>
      </c>
      <c r="J65" s="64">
        <v>0.5</v>
      </c>
      <c r="K65" s="64">
        <v>332.27</v>
      </c>
      <c r="L65" s="64">
        <v>29.46</v>
      </c>
      <c r="M65" s="64">
        <v>67.88</v>
      </c>
      <c r="N65" s="64">
        <v>339.1</v>
      </c>
      <c r="O65" s="64">
        <v>0</v>
      </c>
      <c r="P65" s="64">
        <v>0.66</v>
      </c>
      <c r="Q65" s="64">
        <v>7.64</v>
      </c>
      <c r="R65" s="198"/>
      <c r="S65" s="198"/>
      <c r="T65" s="198"/>
      <c r="U65" s="198"/>
    </row>
    <row r="66" spans="1:21" s="12" customFormat="1" x14ac:dyDescent="0.25">
      <c r="A66" s="214" t="s">
        <v>303</v>
      </c>
      <c r="B66" s="64">
        <v>3.28</v>
      </c>
      <c r="C66" s="64">
        <v>14.78</v>
      </c>
      <c r="D66" s="64">
        <v>12.08</v>
      </c>
      <c r="E66" s="64">
        <v>2</v>
      </c>
      <c r="F66" s="64">
        <v>2.62</v>
      </c>
      <c r="G66" s="64">
        <v>50.83</v>
      </c>
      <c r="H66" s="64">
        <v>19.940000000000001</v>
      </c>
      <c r="I66" s="64">
        <v>1.5</v>
      </c>
      <c r="J66" s="64">
        <v>0.68</v>
      </c>
      <c r="K66" s="64">
        <v>329.71</v>
      </c>
      <c r="L66" s="64">
        <v>30</v>
      </c>
      <c r="M66" s="64">
        <v>64.37</v>
      </c>
      <c r="N66" s="64">
        <v>260.60000000000002</v>
      </c>
      <c r="O66" s="64">
        <v>0</v>
      </c>
      <c r="P66" s="64">
        <v>0.63</v>
      </c>
      <c r="Q66" s="64">
        <v>8.31</v>
      </c>
      <c r="R66" s="198"/>
      <c r="S66" s="198"/>
      <c r="T66" s="198"/>
      <c r="U66" s="198"/>
    </row>
    <row r="67" spans="1:21" s="12" customFormat="1" x14ac:dyDescent="0.25">
      <c r="A67" s="214" t="s">
        <v>304</v>
      </c>
      <c r="B67" s="64">
        <v>3.39</v>
      </c>
      <c r="C67" s="64">
        <v>14.71</v>
      </c>
      <c r="D67" s="64">
        <v>12.13</v>
      </c>
      <c r="E67" s="64">
        <v>1.86</v>
      </c>
      <c r="F67" s="64">
        <v>2.4900000000000002</v>
      </c>
      <c r="G67" s="64">
        <v>50.43</v>
      </c>
      <c r="H67" s="64">
        <v>19.940000000000001</v>
      </c>
      <c r="I67" s="64">
        <v>1.5</v>
      </c>
      <c r="J67" s="64">
        <v>0.45</v>
      </c>
      <c r="K67" s="64">
        <v>332.55</v>
      </c>
      <c r="L67" s="64">
        <v>29.17</v>
      </c>
      <c r="M67" s="64">
        <v>66.790000000000006</v>
      </c>
      <c r="N67" s="64">
        <v>179.3</v>
      </c>
      <c r="O67" s="64">
        <v>0</v>
      </c>
      <c r="P67" s="64">
        <v>0.6</v>
      </c>
      <c r="Q67" s="64">
        <v>7.57</v>
      </c>
      <c r="R67" s="198"/>
      <c r="S67" s="198"/>
      <c r="T67" s="198"/>
      <c r="U67" s="198"/>
    </row>
    <row r="68" spans="1:21" s="12" customFormat="1" x14ac:dyDescent="0.25">
      <c r="A68" s="214" t="s">
        <v>305</v>
      </c>
      <c r="B68" s="64">
        <v>3.62</v>
      </c>
      <c r="C68" s="64">
        <v>15.62</v>
      </c>
      <c r="D68" s="64">
        <v>12.81</v>
      </c>
      <c r="E68" s="64">
        <v>2.37</v>
      </c>
      <c r="F68" s="64">
        <v>2.23</v>
      </c>
      <c r="G68" s="64">
        <v>50.43</v>
      </c>
      <c r="H68" s="64">
        <v>19.940000000000001</v>
      </c>
      <c r="I68" s="64">
        <v>1.51</v>
      </c>
      <c r="J68" s="64">
        <v>0.34</v>
      </c>
      <c r="K68" s="64">
        <v>348.95</v>
      </c>
      <c r="L68" s="64">
        <v>28.58</v>
      </c>
      <c r="M68" s="64">
        <v>67.64</v>
      </c>
      <c r="N68" s="64">
        <v>175.1</v>
      </c>
      <c r="O68" s="64">
        <v>0</v>
      </c>
      <c r="P68" s="64">
        <v>0.6</v>
      </c>
      <c r="Q68" s="64">
        <v>8.33</v>
      </c>
      <c r="R68" s="198"/>
      <c r="S68" s="198"/>
      <c r="T68" s="198"/>
      <c r="U68" s="198"/>
    </row>
    <row r="69" spans="1:21" s="12" customFormat="1" x14ac:dyDescent="0.25">
      <c r="A69" s="214" t="s">
        <v>306</v>
      </c>
      <c r="B69" s="64">
        <v>3.93</v>
      </c>
      <c r="C69" s="64">
        <v>16.829999999999998</v>
      </c>
      <c r="D69" s="64">
        <v>13.73</v>
      </c>
      <c r="E69" s="64">
        <v>2.34</v>
      </c>
      <c r="F69" s="64">
        <v>1.41</v>
      </c>
      <c r="G69" s="64">
        <v>50.43</v>
      </c>
      <c r="H69" s="64">
        <v>19.940000000000001</v>
      </c>
      <c r="I69" s="64">
        <v>1.48</v>
      </c>
      <c r="J69" s="64">
        <v>0.35</v>
      </c>
      <c r="K69" s="64">
        <v>8.75</v>
      </c>
      <c r="L69" s="64">
        <v>28.35</v>
      </c>
      <c r="M69" s="64">
        <v>67.819999999999993</v>
      </c>
      <c r="N69" s="64">
        <v>152.9</v>
      </c>
      <c r="O69" s="64">
        <v>0</v>
      </c>
      <c r="P69" s="64">
        <v>0.57999999999999996</v>
      </c>
      <c r="Q69" s="64">
        <v>9.4499999999999993</v>
      </c>
      <c r="R69" s="198"/>
      <c r="S69" s="198"/>
      <c r="T69" s="198"/>
      <c r="U69" s="198"/>
    </row>
    <row r="70" spans="1:21" s="12" customFormat="1" x14ac:dyDescent="0.25">
      <c r="A70" s="214" t="s">
        <v>307</v>
      </c>
      <c r="B70" s="64">
        <v>3.82</v>
      </c>
      <c r="C70" s="64">
        <v>17.27</v>
      </c>
      <c r="D70" s="64">
        <v>13.89</v>
      </c>
      <c r="E70" s="64">
        <v>2.0099999999999998</v>
      </c>
      <c r="F70" s="64">
        <v>2.36</v>
      </c>
      <c r="G70" s="64">
        <v>47.41</v>
      </c>
      <c r="H70" s="64">
        <v>20.34</v>
      </c>
      <c r="I70" s="64">
        <v>1.52</v>
      </c>
      <c r="J70" s="64">
        <v>0.38</v>
      </c>
      <c r="K70" s="64">
        <v>338.33</v>
      </c>
      <c r="L70" s="64">
        <v>28.38</v>
      </c>
      <c r="M70" s="64">
        <v>68.37</v>
      </c>
      <c r="N70" s="64">
        <v>144.69999999999999</v>
      </c>
      <c r="O70" s="64">
        <v>0</v>
      </c>
      <c r="P70" s="64">
        <v>0.57999999999999996</v>
      </c>
      <c r="Q70" s="64">
        <v>8.8000000000000007</v>
      </c>
      <c r="R70" s="198"/>
      <c r="S70" s="198"/>
      <c r="T70" s="198"/>
      <c r="U70" s="198"/>
    </row>
    <row r="71" spans="1:21" s="12" customFormat="1" x14ac:dyDescent="0.25">
      <c r="A71" s="214" t="s">
        <v>308</v>
      </c>
      <c r="B71" s="64">
        <v>3.66</v>
      </c>
      <c r="C71" s="64">
        <v>17.350000000000001</v>
      </c>
      <c r="D71" s="64">
        <v>13.8</v>
      </c>
      <c r="E71" s="64">
        <v>1.88</v>
      </c>
      <c r="F71" s="64">
        <v>2.31</v>
      </c>
      <c r="G71" s="64">
        <v>46.9</v>
      </c>
      <c r="H71" s="64">
        <v>20.34</v>
      </c>
      <c r="I71" s="64">
        <v>1.43</v>
      </c>
      <c r="J71" s="64">
        <v>0.3</v>
      </c>
      <c r="K71" s="64">
        <v>4.17</v>
      </c>
      <c r="L71" s="64">
        <v>28.45</v>
      </c>
      <c r="M71" s="64">
        <v>67.59</v>
      </c>
      <c r="N71" s="64">
        <v>122.1</v>
      </c>
      <c r="O71" s="64">
        <v>0</v>
      </c>
      <c r="P71" s="64">
        <v>0.62</v>
      </c>
      <c r="Q71" s="64">
        <v>9.33</v>
      </c>
      <c r="R71" s="198"/>
      <c r="S71" s="198"/>
      <c r="T71" s="198"/>
      <c r="U71" s="198"/>
    </row>
    <row r="72" spans="1:21" s="12" customFormat="1" x14ac:dyDescent="0.25">
      <c r="A72" s="214" t="s">
        <v>309</v>
      </c>
      <c r="B72" s="64">
        <v>3.48</v>
      </c>
      <c r="C72" s="64">
        <v>17.62</v>
      </c>
      <c r="D72" s="64">
        <v>13.8</v>
      </c>
      <c r="E72" s="64">
        <v>1.6</v>
      </c>
      <c r="F72" s="64">
        <v>2.36</v>
      </c>
      <c r="G72" s="64">
        <v>46.9</v>
      </c>
      <c r="H72" s="64">
        <v>20.34</v>
      </c>
      <c r="I72" s="64">
        <v>1.49</v>
      </c>
      <c r="J72" s="64">
        <v>0.26</v>
      </c>
      <c r="K72" s="64">
        <v>22.22</v>
      </c>
      <c r="L72" s="64">
        <v>28.05</v>
      </c>
      <c r="M72" s="64">
        <v>68.73</v>
      </c>
      <c r="N72" s="64">
        <v>112.8</v>
      </c>
      <c r="O72" s="64">
        <v>0</v>
      </c>
      <c r="P72" s="64">
        <v>0.7</v>
      </c>
      <c r="Q72" s="64">
        <v>8.67</v>
      </c>
      <c r="R72" s="198"/>
      <c r="S72" s="198"/>
      <c r="T72" s="198"/>
      <c r="U72" s="198"/>
    </row>
    <row r="73" spans="1:21" s="12" customFormat="1" x14ac:dyDescent="0.25">
      <c r="A73" s="214" t="s">
        <v>310</v>
      </c>
      <c r="B73" s="64">
        <v>3.28</v>
      </c>
      <c r="C73" s="64">
        <v>18.059999999999999</v>
      </c>
      <c r="D73" s="64">
        <v>13.89</v>
      </c>
      <c r="E73" s="64">
        <v>2.09</v>
      </c>
      <c r="F73" s="64">
        <v>2.5299999999999998</v>
      </c>
      <c r="G73" s="64">
        <v>46.9</v>
      </c>
      <c r="H73" s="64">
        <v>20.34</v>
      </c>
      <c r="I73" s="64">
        <v>1.48</v>
      </c>
      <c r="J73" s="64">
        <v>0.3</v>
      </c>
      <c r="K73" s="64">
        <v>15.33</v>
      </c>
      <c r="L73" s="64">
        <v>28.17</v>
      </c>
      <c r="M73" s="64">
        <v>71.06</v>
      </c>
      <c r="N73" s="64">
        <v>98.2</v>
      </c>
      <c r="O73" s="64">
        <v>0</v>
      </c>
      <c r="P73" s="64">
        <v>0.76</v>
      </c>
      <c r="Q73" s="64">
        <v>8.57</v>
      </c>
      <c r="R73" s="198"/>
      <c r="S73" s="198"/>
      <c r="T73" s="198"/>
      <c r="U73" s="198"/>
    </row>
    <row r="74" spans="1:21" s="12" customFormat="1" x14ac:dyDescent="0.25">
      <c r="A74" s="214" t="s">
        <v>311</v>
      </c>
      <c r="B74" s="64">
        <v>3.57</v>
      </c>
      <c r="C74" s="64">
        <v>18.89</v>
      </c>
      <c r="D74" s="64">
        <v>14.58</v>
      </c>
      <c r="E74" s="64">
        <v>2.13</v>
      </c>
      <c r="F74" s="64">
        <v>2.34</v>
      </c>
      <c r="G74" s="64">
        <v>58.92</v>
      </c>
      <c r="H74" s="64">
        <v>19.95</v>
      </c>
      <c r="I74" s="64">
        <v>1.56</v>
      </c>
      <c r="J74" s="64">
        <v>0.35</v>
      </c>
      <c r="K74" s="64">
        <v>346.47</v>
      </c>
      <c r="L74" s="64">
        <v>28.14</v>
      </c>
      <c r="M74" s="64">
        <v>72.17</v>
      </c>
      <c r="N74" s="64">
        <v>84.1</v>
      </c>
      <c r="O74" s="64">
        <v>0</v>
      </c>
      <c r="P74" s="64">
        <v>0.79</v>
      </c>
      <c r="Q74" s="64">
        <v>9.3000000000000007</v>
      </c>
      <c r="R74" s="198"/>
      <c r="S74" s="198"/>
      <c r="T74" s="198"/>
      <c r="U74" s="198"/>
    </row>
    <row r="75" spans="1:21" s="12" customFormat="1" x14ac:dyDescent="0.25">
      <c r="A75" s="214" t="s">
        <v>312</v>
      </c>
      <c r="B75" s="64">
        <v>3.43</v>
      </c>
      <c r="C75" s="64">
        <v>17.12</v>
      </c>
      <c r="D75" s="64">
        <v>13.49</v>
      </c>
      <c r="E75" s="64">
        <v>2.0099999999999998</v>
      </c>
      <c r="F75" s="64">
        <v>3.15</v>
      </c>
      <c r="G75" s="64">
        <v>60.95</v>
      </c>
      <c r="H75" s="64">
        <v>19.95</v>
      </c>
      <c r="I75" s="64">
        <v>1.43</v>
      </c>
      <c r="J75" s="64">
        <v>0.35</v>
      </c>
      <c r="K75" s="64">
        <v>17.11</v>
      </c>
      <c r="L75" s="64">
        <v>27.69</v>
      </c>
      <c r="M75" s="64">
        <v>73.92</v>
      </c>
      <c r="N75" s="64">
        <v>67.7</v>
      </c>
      <c r="O75" s="64">
        <v>0</v>
      </c>
      <c r="P75" s="64">
        <v>0.81</v>
      </c>
      <c r="Q75" s="64">
        <v>9.24</v>
      </c>
      <c r="R75" s="198"/>
      <c r="S75" s="198"/>
      <c r="T75" s="198"/>
      <c r="U75" s="198"/>
    </row>
    <row r="76" spans="1:21" s="12" customFormat="1" x14ac:dyDescent="0.25">
      <c r="A76" s="214" t="s">
        <v>313</v>
      </c>
      <c r="B76" s="64">
        <v>3.09</v>
      </c>
      <c r="C76" s="64">
        <v>16.579999999999998</v>
      </c>
      <c r="D76" s="64">
        <v>12.92</v>
      </c>
      <c r="E76" s="64">
        <v>2.31</v>
      </c>
      <c r="F76" s="64">
        <v>6.29</v>
      </c>
      <c r="G76" s="64">
        <v>60.95</v>
      </c>
      <c r="H76" s="64">
        <v>19.95</v>
      </c>
      <c r="I76" s="64">
        <v>1.45</v>
      </c>
      <c r="J76" s="64">
        <v>0.36</v>
      </c>
      <c r="K76" s="64">
        <v>8.9600000000000009</v>
      </c>
      <c r="L76" s="64">
        <v>27.65</v>
      </c>
      <c r="M76" s="64">
        <v>72.11</v>
      </c>
      <c r="N76" s="64">
        <v>54</v>
      </c>
      <c r="O76" s="64">
        <v>0</v>
      </c>
      <c r="P76" s="64">
        <v>0.79</v>
      </c>
      <c r="Q76" s="64">
        <v>8.11</v>
      </c>
      <c r="R76" s="198"/>
      <c r="S76" s="198"/>
      <c r="T76" s="198"/>
      <c r="U76" s="198"/>
    </row>
    <row r="77" spans="1:21" s="12" customFormat="1" x14ac:dyDescent="0.25">
      <c r="A77" s="214" t="s">
        <v>314</v>
      </c>
      <c r="B77" s="64">
        <v>3.2</v>
      </c>
      <c r="C77" s="64">
        <v>16.54</v>
      </c>
      <c r="D77" s="64">
        <v>12.99</v>
      </c>
      <c r="E77" s="64">
        <v>2.4900000000000002</v>
      </c>
      <c r="F77" s="64">
        <v>3.48</v>
      </c>
      <c r="G77" s="64">
        <v>60.95</v>
      </c>
      <c r="H77" s="64">
        <v>19.95</v>
      </c>
      <c r="I77" s="64">
        <v>1.51</v>
      </c>
      <c r="J77" s="64">
        <v>0.4</v>
      </c>
      <c r="K77" s="64">
        <v>345.17</v>
      </c>
      <c r="L77" s="64">
        <v>27.54</v>
      </c>
      <c r="M77" s="64">
        <v>69.930000000000007</v>
      </c>
      <c r="N77" s="64">
        <v>42.8</v>
      </c>
      <c r="O77" s="64">
        <v>0</v>
      </c>
      <c r="P77" s="64">
        <v>0.78</v>
      </c>
      <c r="Q77" s="64">
        <v>7.58</v>
      </c>
      <c r="R77" s="198"/>
      <c r="S77" s="198"/>
      <c r="T77" s="198"/>
      <c r="U77" s="198"/>
    </row>
    <row r="78" spans="1:21" s="12" customFormat="1" x14ac:dyDescent="0.25">
      <c r="A78" s="214" t="s">
        <v>315</v>
      </c>
      <c r="B78" s="64">
        <v>3.56</v>
      </c>
      <c r="C78" s="64">
        <v>18.22</v>
      </c>
      <c r="D78" s="64">
        <v>14.2</v>
      </c>
      <c r="E78" s="64">
        <v>2.81</v>
      </c>
      <c r="F78" s="64">
        <v>2.77</v>
      </c>
      <c r="G78" s="64">
        <v>59.93</v>
      </c>
      <c r="H78" s="64">
        <v>19.829999999999998</v>
      </c>
      <c r="I78" s="64">
        <v>1.48</v>
      </c>
      <c r="J78" s="64">
        <v>0.44</v>
      </c>
      <c r="K78" s="64">
        <v>345.82</v>
      </c>
      <c r="L78" s="64">
        <v>27.26</v>
      </c>
      <c r="M78" s="64">
        <v>69.650000000000006</v>
      </c>
      <c r="N78" s="64">
        <v>28</v>
      </c>
      <c r="O78" s="64">
        <v>0</v>
      </c>
      <c r="P78" s="64">
        <v>0.76</v>
      </c>
      <c r="Q78" s="64">
        <v>8.4</v>
      </c>
      <c r="R78" s="198"/>
      <c r="S78" s="198"/>
      <c r="T78" s="198"/>
      <c r="U78" s="198"/>
    </row>
    <row r="79" spans="1:21" s="12" customFormat="1" x14ac:dyDescent="0.25">
      <c r="A79" s="214" t="s">
        <v>316</v>
      </c>
      <c r="B79" s="64">
        <v>4.34</v>
      </c>
      <c r="C79" s="64">
        <v>15.32</v>
      </c>
      <c r="D79" s="64">
        <v>13.22</v>
      </c>
      <c r="E79" s="64">
        <v>2.48</v>
      </c>
      <c r="F79" s="64">
        <v>3.49</v>
      </c>
      <c r="G79" s="64">
        <v>59.76</v>
      </c>
      <c r="H79" s="64">
        <v>19.829999999999998</v>
      </c>
      <c r="I79" s="64">
        <v>1.51</v>
      </c>
      <c r="J79" s="64">
        <v>0.44</v>
      </c>
      <c r="K79" s="64">
        <v>349.1</v>
      </c>
      <c r="L79" s="64">
        <v>26.88</v>
      </c>
      <c r="M79" s="64">
        <v>71.63</v>
      </c>
      <c r="N79" s="64">
        <v>15.5</v>
      </c>
      <c r="O79" s="64">
        <v>0</v>
      </c>
      <c r="P79" s="64">
        <v>0.76</v>
      </c>
      <c r="Q79" s="64">
        <v>7.4</v>
      </c>
      <c r="R79" s="198"/>
      <c r="S79" s="198"/>
      <c r="T79" s="198"/>
      <c r="U79" s="198"/>
    </row>
    <row r="80" spans="1:21" s="12" customFormat="1" x14ac:dyDescent="0.25">
      <c r="A80" s="214" t="s">
        <v>317</v>
      </c>
      <c r="B80" s="64">
        <v>3.61</v>
      </c>
      <c r="C80" s="64">
        <v>15.33</v>
      </c>
      <c r="D80" s="64">
        <v>12.65</v>
      </c>
      <c r="E80" s="64">
        <v>1.82</v>
      </c>
      <c r="F80" s="64">
        <v>1.72</v>
      </c>
      <c r="G80" s="64">
        <v>59.76</v>
      </c>
      <c r="H80" s="64">
        <v>19.829999999999998</v>
      </c>
      <c r="I80" s="64">
        <v>1.57</v>
      </c>
      <c r="J80" s="64">
        <v>0.35</v>
      </c>
      <c r="K80" s="64">
        <v>355.57</v>
      </c>
      <c r="L80" s="64">
        <v>26.41</v>
      </c>
      <c r="M80" s="64">
        <v>75.010000000000005</v>
      </c>
      <c r="N80" s="64">
        <v>10</v>
      </c>
      <c r="O80" s="64">
        <v>0</v>
      </c>
      <c r="P80" s="64">
        <v>0.76</v>
      </c>
      <c r="Q80" s="64">
        <v>8.34</v>
      </c>
      <c r="R80" s="198"/>
      <c r="S80" s="198"/>
      <c r="T80" s="198"/>
      <c r="U80" s="198"/>
    </row>
    <row r="81" spans="1:26" s="12" customFormat="1" x14ac:dyDescent="0.25">
      <c r="A81" s="214" t="s">
        <v>318</v>
      </c>
      <c r="B81" s="64">
        <v>4.12</v>
      </c>
      <c r="C81" s="64">
        <v>15.03</v>
      </c>
      <c r="D81" s="64">
        <v>12.89</v>
      </c>
      <c r="E81" s="64">
        <v>2.41</v>
      </c>
      <c r="F81" s="64">
        <v>1.65</v>
      </c>
      <c r="G81" s="64">
        <v>59.76</v>
      </c>
      <c r="H81" s="64">
        <v>19.829999999999998</v>
      </c>
      <c r="I81" s="64">
        <v>1.5</v>
      </c>
      <c r="J81" s="64">
        <v>0.76</v>
      </c>
      <c r="K81" s="64">
        <v>340.68</v>
      </c>
      <c r="L81" s="64">
        <v>26.2</v>
      </c>
      <c r="M81" s="64">
        <v>77.069999999999993</v>
      </c>
      <c r="N81" s="64">
        <v>9.1999999999999993</v>
      </c>
      <c r="O81" s="64">
        <v>0</v>
      </c>
      <c r="P81" s="64">
        <v>0.77</v>
      </c>
      <c r="Q81" s="64">
        <v>8.44</v>
      </c>
      <c r="R81" s="198"/>
      <c r="S81" s="198"/>
      <c r="T81" s="198"/>
      <c r="U81" s="198"/>
    </row>
    <row r="82" spans="1:26" s="12" customFormat="1" x14ac:dyDescent="0.25">
      <c r="A82" s="214" t="s">
        <v>319</v>
      </c>
      <c r="B82" s="64">
        <v>4.09</v>
      </c>
      <c r="C82" s="64">
        <v>15.71</v>
      </c>
      <c r="D82" s="64">
        <v>13.24</v>
      </c>
      <c r="E82" s="64">
        <v>2.7</v>
      </c>
      <c r="F82" s="64">
        <v>1.43</v>
      </c>
      <c r="G82" s="64">
        <v>61.7</v>
      </c>
      <c r="H82" s="64">
        <v>19.72</v>
      </c>
      <c r="I82" s="64">
        <v>1.52</v>
      </c>
      <c r="J82" s="64">
        <v>1.49</v>
      </c>
      <c r="K82" s="64">
        <v>336.87</v>
      </c>
      <c r="L82" s="64">
        <v>26.03</v>
      </c>
      <c r="M82" s="64">
        <v>78.739999999999995</v>
      </c>
      <c r="N82" s="64">
        <v>9.9</v>
      </c>
      <c r="O82" s="64">
        <v>0</v>
      </c>
      <c r="P82" s="64">
        <v>0.8</v>
      </c>
      <c r="Q82" s="64">
        <v>8.7200000000000006</v>
      </c>
      <c r="R82" s="198"/>
      <c r="S82" s="198"/>
      <c r="T82" s="198"/>
      <c r="U82" s="198"/>
    </row>
    <row r="83" spans="1:26" s="12" customFormat="1" x14ac:dyDescent="0.25">
      <c r="A83" s="214" t="s">
        <v>320</v>
      </c>
      <c r="B83" s="64">
        <v>4.5599999999999996</v>
      </c>
      <c r="C83" s="64">
        <v>15.47</v>
      </c>
      <c r="D83" s="64">
        <v>13.49</v>
      </c>
      <c r="E83" s="64">
        <v>2.65</v>
      </c>
      <c r="F83" s="64">
        <v>1.49</v>
      </c>
      <c r="G83" s="64">
        <v>62.03</v>
      </c>
      <c r="H83" s="64">
        <v>19.72</v>
      </c>
      <c r="I83" s="64">
        <v>1.49</v>
      </c>
      <c r="J83" s="64">
        <v>1.89</v>
      </c>
      <c r="K83" s="64">
        <v>340.31</v>
      </c>
      <c r="L83" s="64">
        <v>25.5</v>
      </c>
      <c r="M83" s="64">
        <v>78.099999999999994</v>
      </c>
      <c r="N83" s="64">
        <v>11</v>
      </c>
      <c r="O83" s="64">
        <v>0</v>
      </c>
      <c r="P83" s="64">
        <v>0.79</v>
      </c>
      <c r="Q83" s="64">
        <v>8.86</v>
      </c>
      <c r="R83" s="198"/>
      <c r="S83" s="198"/>
      <c r="T83" s="198"/>
      <c r="U83" s="198"/>
    </row>
    <row r="84" spans="1:26" s="12" customFormat="1" x14ac:dyDescent="0.25">
      <c r="A84" s="214" t="s">
        <v>321</v>
      </c>
      <c r="B84" s="64">
        <v>4.93</v>
      </c>
      <c r="C84" s="64">
        <v>15.88</v>
      </c>
      <c r="D84" s="64">
        <v>14.01</v>
      </c>
      <c r="E84" s="64">
        <v>2.4700000000000002</v>
      </c>
      <c r="F84" s="64">
        <v>1.1399999999999999</v>
      </c>
      <c r="G84" s="64">
        <v>62.03</v>
      </c>
      <c r="H84" s="64">
        <v>19.72</v>
      </c>
      <c r="I84" s="64">
        <v>1.48</v>
      </c>
      <c r="J84" s="64">
        <v>1.1100000000000001</v>
      </c>
      <c r="K84" s="64">
        <v>338.44</v>
      </c>
      <c r="L84" s="64">
        <v>24.35</v>
      </c>
      <c r="M84" s="64">
        <v>82.77</v>
      </c>
      <c r="N84" s="64">
        <v>10</v>
      </c>
      <c r="O84" s="64">
        <v>0</v>
      </c>
      <c r="P84" s="64">
        <v>0.79</v>
      </c>
      <c r="Q84" s="64">
        <v>9.14</v>
      </c>
      <c r="R84" s="198"/>
      <c r="S84" s="198"/>
      <c r="T84" s="198"/>
      <c r="U84" s="198"/>
    </row>
    <row r="85" spans="1:26" s="12" customFormat="1" x14ac:dyDescent="0.25">
      <c r="A85" s="214" t="s">
        <v>322</v>
      </c>
      <c r="B85" s="64">
        <v>5.24</v>
      </c>
      <c r="C85" s="64">
        <v>15.69</v>
      </c>
      <c r="D85" s="64">
        <v>14.15</v>
      </c>
      <c r="E85" s="64">
        <v>2.56</v>
      </c>
      <c r="F85" s="64">
        <v>1.38</v>
      </c>
      <c r="G85" s="64">
        <v>62.03</v>
      </c>
      <c r="H85" s="64">
        <v>19.72</v>
      </c>
      <c r="I85" s="64">
        <v>1.48</v>
      </c>
      <c r="J85" s="64">
        <v>0.77</v>
      </c>
      <c r="K85" s="64">
        <v>332.89</v>
      </c>
      <c r="L85" s="64">
        <v>23.47</v>
      </c>
      <c r="M85" s="64">
        <v>95.43</v>
      </c>
      <c r="N85" s="64">
        <v>9.4</v>
      </c>
      <c r="O85" s="64">
        <v>0</v>
      </c>
      <c r="P85" s="64">
        <v>0.78</v>
      </c>
      <c r="Q85" s="64">
        <v>8.75</v>
      </c>
      <c r="R85" s="198"/>
      <c r="S85" s="198"/>
      <c r="T85" s="198"/>
      <c r="U85" s="198"/>
    </row>
    <row r="86" spans="1:26" s="12" customFormat="1" x14ac:dyDescent="0.25">
      <c r="A86" s="214" t="s">
        <v>323</v>
      </c>
      <c r="B86" s="64">
        <v>7.31</v>
      </c>
      <c r="C86" s="64">
        <v>17.28</v>
      </c>
      <c r="D86" s="64">
        <v>16.690000000000001</v>
      </c>
      <c r="E86" s="64">
        <v>2.86</v>
      </c>
      <c r="F86" s="64">
        <v>3.39</v>
      </c>
      <c r="G86" s="64">
        <v>58.8</v>
      </c>
      <c r="H86" s="64">
        <v>14.18</v>
      </c>
      <c r="I86" s="64">
        <v>1.53</v>
      </c>
      <c r="J86" s="64">
        <v>0.53</v>
      </c>
      <c r="K86" s="64">
        <v>342.08</v>
      </c>
      <c r="L86" s="64">
        <v>22.95</v>
      </c>
      <c r="M86" s="64">
        <v>98.86</v>
      </c>
      <c r="N86" s="64">
        <v>8.9</v>
      </c>
      <c r="O86" s="64">
        <v>0</v>
      </c>
      <c r="P86" s="64">
        <v>0.89</v>
      </c>
      <c r="Q86" s="64">
        <v>9.67</v>
      </c>
      <c r="R86" s="198"/>
      <c r="S86" s="198"/>
      <c r="T86" s="198"/>
      <c r="U86" s="198"/>
    </row>
    <row r="87" spans="1:26" s="12" customFormat="1" x14ac:dyDescent="0.25">
      <c r="A87" s="214" t="s">
        <v>324</v>
      </c>
      <c r="B87" s="64">
        <v>15.49</v>
      </c>
      <c r="C87" s="64">
        <v>42.36</v>
      </c>
      <c r="D87" s="64">
        <v>37.090000000000003</v>
      </c>
      <c r="E87" s="64">
        <v>3.08</v>
      </c>
      <c r="F87" s="64">
        <v>7.16</v>
      </c>
      <c r="G87" s="64">
        <v>58.26</v>
      </c>
      <c r="H87" s="64">
        <v>14.18</v>
      </c>
      <c r="I87" s="64">
        <v>1.54</v>
      </c>
      <c r="J87" s="64">
        <v>0.08</v>
      </c>
      <c r="K87" s="64">
        <v>218.93</v>
      </c>
      <c r="L87" s="64">
        <v>22.71</v>
      </c>
      <c r="M87" s="64">
        <v>98.9</v>
      </c>
      <c r="N87" s="64">
        <v>8.9</v>
      </c>
      <c r="O87" s="64">
        <v>0</v>
      </c>
      <c r="P87" s="64">
        <v>1.05</v>
      </c>
      <c r="Q87" s="64">
        <v>9.14</v>
      </c>
      <c r="R87" s="198"/>
      <c r="S87" s="198"/>
      <c r="T87" s="198"/>
      <c r="U87" s="198"/>
    </row>
    <row r="88" spans="1:26" s="12" customFormat="1" x14ac:dyDescent="0.25">
      <c r="A88" s="214" t="s">
        <v>325</v>
      </c>
      <c r="B88" s="64">
        <v>9.5299999999999994</v>
      </c>
      <c r="C88" s="64">
        <v>35.78</v>
      </c>
      <c r="D88" s="64">
        <v>28.68</v>
      </c>
      <c r="E88" s="64">
        <v>0.61</v>
      </c>
      <c r="F88" s="64">
        <v>6.28</v>
      </c>
      <c r="G88" s="64">
        <v>58.26</v>
      </c>
      <c r="H88" s="64">
        <v>14.18</v>
      </c>
      <c r="I88" s="64">
        <v>1.39</v>
      </c>
      <c r="J88" s="64">
        <v>0.03</v>
      </c>
      <c r="K88" s="64">
        <v>248.85</v>
      </c>
      <c r="L88" s="64">
        <v>22.93</v>
      </c>
      <c r="M88" s="64">
        <v>98.9</v>
      </c>
      <c r="N88" s="64">
        <v>8.9</v>
      </c>
      <c r="O88" s="64">
        <v>0</v>
      </c>
      <c r="P88" s="64">
        <v>1.1499999999999999</v>
      </c>
      <c r="Q88" s="64">
        <v>9.3699999999999992</v>
      </c>
      <c r="R88" s="198"/>
      <c r="S88" s="198"/>
      <c r="T88" s="198"/>
      <c r="U88" s="198"/>
    </row>
    <row r="89" spans="1:26" s="12" customFormat="1" x14ac:dyDescent="0.25">
      <c r="A89" s="214" t="s">
        <v>326</v>
      </c>
      <c r="B89" s="64">
        <v>21.72</v>
      </c>
      <c r="C89" s="64">
        <v>49.59</v>
      </c>
      <c r="D89" s="64">
        <v>46.08</v>
      </c>
      <c r="E89" s="64">
        <v>1.31</v>
      </c>
      <c r="F89" s="64">
        <v>5.28</v>
      </c>
      <c r="G89" s="64">
        <v>58.26</v>
      </c>
      <c r="H89" s="64">
        <v>14.18</v>
      </c>
      <c r="I89" s="64">
        <v>1.48</v>
      </c>
      <c r="J89" s="64">
        <v>0.09</v>
      </c>
      <c r="K89" s="64">
        <v>261.52999999999997</v>
      </c>
      <c r="L89" s="64">
        <v>22.99</v>
      </c>
      <c r="M89" s="64">
        <v>98.9</v>
      </c>
      <c r="N89" s="64">
        <v>9.5</v>
      </c>
      <c r="O89" s="64">
        <v>0</v>
      </c>
      <c r="P89" s="64">
        <v>1.28</v>
      </c>
      <c r="Q89" s="64">
        <v>8.65</v>
      </c>
      <c r="R89" s="198"/>
      <c r="S89" s="198"/>
      <c r="T89" s="198"/>
      <c r="U89" s="198"/>
    </row>
    <row r="90" spans="1:26" s="12" customFormat="1" x14ac:dyDescent="0.25">
      <c r="A90" s="214" t="s">
        <v>327</v>
      </c>
      <c r="B90" s="64">
        <v>25.5</v>
      </c>
      <c r="C90" s="64">
        <v>50.73</v>
      </c>
      <c r="D90" s="64">
        <v>49.74</v>
      </c>
      <c r="E90" s="64">
        <v>1.17</v>
      </c>
      <c r="F90" s="64">
        <v>2.74</v>
      </c>
      <c r="G90" s="64">
        <v>58.5</v>
      </c>
      <c r="H90" s="64">
        <v>18.190000000000001</v>
      </c>
      <c r="I90" s="64">
        <v>1.54</v>
      </c>
      <c r="J90" s="64">
        <v>0.04</v>
      </c>
      <c r="K90" s="64">
        <v>218.73</v>
      </c>
      <c r="L90" s="64">
        <v>23.02</v>
      </c>
      <c r="M90" s="64">
        <v>98.91</v>
      </c>
      <c r="N90" s="64">
        <v>9.5</v>
      </c>
      <c r="O90" s="64">
        <v>0</v>
      </c>
      <c r="P90" s="64">
        <v>1.35</v>
      </c>
      <c r="Q90" s="64">
        <v>7.85</v>
      </c>
      <c r="R90" s="198"/>
      <c r="S90" s="198"/>
      <c r="T90" s="198"/>
      <c r="U90" s="198"/>
    </row>
    <row r="91" spans="1:26" s="12" customFormat="1" x14ac:dyDescent="0.25">
      <c r="A91" s="214" t="s">
        <v>328</v>
      </c>
      <c r="B91" s="64">
        <v>10.46</v>
      </c>
      <c r="C91" s="64">
        <v>18.97</v>
      </c>
      <c r="D91" s="64">
        <v>20.149999999999999</v>
      </c>
      <c r="E91" s="64">
        <v>1.06</v>
      </c>
      <c r="F91" s="64">
        <v>0.87</v>
      </c>
      <c r="G91" s="64">
        <v>58.54</v>
      </c>
      <c r="H91" s="64">
        <v>18.190000000000001</v>
      </c>
      <c r="I91" s="64">
        <v>1.5</v>
      </c>
      <c r="J91" s="64">
        <v>0.08</v>
      </c>
      <c r="K91" s="64">
        <v>281.2</v>
      </c>
      <c r="L91" s="64">
        <v>23.24</v>
      </c>
      <c r="M91" s="64">
        <v>98.9</v>
      </c>
      <c r="N91" s="64">
        <v>9.8000000000000007</v>
      </c>
      <c r="O91" s="64">
        <v>0</v>
      </c>
      <c r="P91" s="64">
        <v>1.01</v>
      </c>
      <c r="Q91" s="64">
        <v>9.6</v>
      </c>
      <c r="R91" s="198"/>
      <c r="S91" s="198"/>
      <c r="T91" s="198"/>
      <c r="U91" s="198"/>
    </row>
    <row r="92" spans="1:26" s="12" customFormat="1" x14ac:dyDescent="0.25">
      <c r="A92" s="214" t="s">
        <v>329</v>
      </c>
      <c r="B92" s="64">
        <v>18.440000000000001</v>
      </c>
      <c r="C92" s="64">
        <v>29.09</v>
      </c>
      <c r="D92" s="64">
        <v>32.130000000000003</v>
      </c>
      <c r="E92" s="64">
        <v>1.59</v>
      </c>
      <c r="F92" s="64">
        <v>1.8</v>
      </c>
      <c r="G92" s="64">
        <v>58.54</v>
      </c>
      <c r="H92" s="64">
        <v>18.190000000000001</v>
      </c>
      <c r="I92" s="64">
        <v>1.46</v>
      </c>
      <c r="J92" s="64">
        <v>0.06</v>
      </c>
      <c r="K92" s="64">
        <v>290.52</v>
      </c>
      <c r="L92" s="64">
        <v>23.3</v>
      </c>
      <c r="M92" s="64">
        <v>98.9</v>
      </c>
      <c r="N92" s="64">
        <v>10</v>
      </c>
      <c r="O92" s="64">
        <v>0</v>
      </c>
      <c r="P92" s="64">
        <v>1.19</v>
      </c>
      <c r="Q92" s="64">
        <v>11.52</v>
      </c>
      <c r="R92" s="198"/>
      <c r="S92" s="198"/>
      <c r="T92" s="198"/>
      <c r="U92" s="198"/>
    </row>
    <row r="93" spans="1:26" s="12" customFormat="1" x14ac:dyDescent="0.25">
      <c r="A93" s="214" t="s">
        <v>330</v>
      </c>
      <c r="B93" s="64">
        <v>13.81</v>
      </c>
      <c r="C93" s="64">
        <v>20.53</v>
      </c>
      <c r="D93" s="64">
        <v>23.69</v>
      </c>
      <c r="E93" s="64">
        <v>0.79</v>
      </c>
      <c r="F93" s="64">
        <v>2.14</v>
      </c>
      <c r="G93" s="64">
        <v>58.54</v>
      </c>
      <c r="H93" s="64">
        <v>18.190000000000001</v>
      </c>
      <c r="I93" s="64">
        <v>1.52</v>
      </c>
      <c r="J93" s="64">
        <v>0.06</v>
      </c>
      <c r="K93" s="64">
        <v>250.84</v>
      </c>
      <c r="L93" s="64">
        <v>23.4</v>
      </c>
      <c r="M93" s="64">
        <v>98.9</v>
      </c>
      <c r="N93" s="64">
        <v>9.9</v>
      </c>
      <c r="O93" s="64">
        <v>0</v>
      </c>
      <c r="P93" s="64">
        <v>1.01</v>
      </c>
      <c r="Q93" s="64">
        <v>10.82</v>
      </c>
      <c r="R93" s="198"/>
      <c r="S93" s="198"/>
      <c r="T93" s="198"/>
      <c r="U93" s="198"/>
    </row>
    <row r="94" spans="1:26" s="12" customFormat="1" x14ac:dyDescent="0.25">
      <c r="A94" s="214" t="s">
        <v>331</v>
      </c>
      <c r="B94" s="64">
        <v>11.06</v>
      </c>
      <c r="C94" s="64">
        <v>22.84</v>
      </c>
      <c r="D94" s="64">
        <v>22.77</v>
      </c>
      <c r="E94" s="64">
        <v>0.6</v>
      </c>
      <c r="F94" s="64">
        <v>2.33</v>
      </c>
      <c r="G94" s="64">
        <v>50.05</v>
      </c>
      <c r="H94" s="64">
        <v>16.23</v>
      </c>
      <c r="I94" s="64">
        <v>1.5</v>
      </c>
      <c r="J94" s="64">
        <v>0.04</v>
      </c>
      <c r="K94" s="64">
        <v>267.72000000000003</v>
      </c>
      <c r="L94" s="64">
        <v>23.62</v>
      </c>
      <c r="M94" s="64">
        <v>98.84</v>
      </c>
      <c r="N94" s="64">
        <v>9.9</v>
      </c>
      <c r="O94" s="64">
        <v>0</v>
      </c>
      <c r="P94" s="64">
        <v>0.97</v>
      </c>
      <c r="Q94" s="64">
        <v>12.04</v>
      </c>
      <c r="R94" s="198"/>
      <c r="S94" s="198"/>
      <c r="T94" s="198"/>
      <c r="U94" s="198"/>
    </row>
    <row r="95" spans="1:26" s="12" customFormat="1" x14ac:dyDescent="0.25">
      <c r="A95" s="214" t="s">
        <v>332</v>
      </c>
      <c r="B95" s="64">
        <v>12.08</v>
      </c>
      <c r="C95" s="64">
        <v>18.7</v>
      </c>
      <c r="D95" s="64">
        <v>21.3</v>
      </c>
      <c r="E95" s="64">
        <v>1.2</v>
      </c>
      <c r="F95" s="64">
        <v>0.69</v>
      </c>
      <c r="G95" s="64">
        <v>48.62</v>
      </c>
      <c r="H95" s="64">
        <v>16.23</v>
      </c>
      <c r="I95" s="64">
        <v>1.49</v>
      </c>
      <c r="J95" s="64">
        <v>0.04</v>
      </c>
      <c r="K95" s="64">
        <v>29.23</v>
      </c>
      <c r="L95" s="64">
        <v>23.77</v>
      </c>
      <c r="M95" s="64">
        <v>98.73</v>
      </c>
      <c r="N95" s="64">
        <v>10.1</v>
      </c>
      <c r="O95" s="64">
        <v>0</v>
      </c>
      <c r="P95" s="64">
        <v>1.03</v>
      </c>
      <c r="Q95" s="64">
        <v>12.14</v>
      </c>
      <c r="R95" s="198"/>
      <c r="S95" s="198"/>
      <c r="T95" s="198"/>
      <c r="U95" s="198"/>
    </row>
    <row r="96" spans="1:26" s="12" customFormat="1" x14ac:dyDescent="0.25">
      <c r="A96" s="214" t="s">
        <v>333</v>
      </c>
      <c r="B96" s="64">
        <v>10.41</v>
      </c>
      <c r="C96" s="64">
        <v>27.95</v>
      </c>
      <c r="D96" s="64">
        <v>25.06</v>
      </c>
      <c r="E96" s="64">
        <v>0.39</v>
      </c>
      <c r="F96" s="64">
        <v>2.81</v>
      </c>
      <c r="G96" s="64">
        <v>48.62</v>
      </c>
      <c r="H96" s="64">
        <v>16.23</v>
      </c>
      <c r="I96" s="64">
        <v>1.51</v>
      </c>
      <c r="J96" s="64">
        <v>0.06</v>
      </c>
      <c r="K96" s="64">
        <v>226.55</v>
      </c>
      <c r="L96" s="64">
        <v>23.54</v>
      </c>
      <c r="M96" s="64">
        <v>98.85</v>
      </c>
      <c r="N96" s="64">
        <v>9.9</v>
      </c>
      <c r="O96" s="64">
        <v>0</v>
      </c>
      <c r="P96" s="64">
        <v>0.91</v>
      </c>
      <c r="Q96" s="64">
        <v>12.06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334</v>
      </c>
      <c r="B97" s="64">
        <v>9.5</v>
      </c>
      <c r="C97" s="64">
        <v>18.05</v>
      </c>
      <c r="D97" s="64">
        <v>18.87</v>
      </c>
      <c r="E97" s="64">
        <v>1.26</v>
      </c>
      <c r="F97" s="64">
        <v>1.31</v>
      </c>
      <c r="G97" s="64">
        <v>48.62</v>
      </c>
      <c r="H97" s="64">
        <v>16.23</v>
      </c>
      <c r="I97" s="64">
        <v>1.5</v>
      </c>
      <c r="J97" s="64">
        <v>0.05</v>
      </c>
      <c r="K97" s="64">
        <v>185.14</v>
      </c>
      <c r="L97" s="64">
        <v>23.75</v>
      </c>
      <c r="M97" s="64">
        <v>98.86</v>
      </c>
      <c r="N97" s="64">
        <v>9.6</v>
      </c>
      <c r="O97" s="64">
        <v>0</v>
      </c>
      <c r="P97" s="64">
        <v>0.95</v>
      </c>
      <c r="Q97" s="64">
        <v>11.9</v>
      </c>
      <c r="R97" s="198"/>
      <c r="S97" s="198"/>
      <c r="T97" s="198"/>
      <c r="U97" s="198"/>
    </row>
    <row r="98" spans="1:33" s="12" customFormat="1" x14ac:dyDescent="0.25">
      <c r="A98" s="214" t="s">
        <v>335</v>
      </c>
      <c r="B98" s="64">
        <v>8.41</v>
      </c>
      <c r="C98" s="64">
        <v>19.079999999999998</v>
      </c>
      <c r="D98" s="64">
        <v>18.57</v>
      </c>
      <c r="E98" s="64">
        <v>0.49</v>
      </c>
      <c r="F98" s="64">
        <v>6.97</v>
      </c>
      <c r="G98" s="64">
        <v>45.39</v>
      </c>
      <c r="H98" s="64">
        <v>19.75</v>
      </c>
      <c r="I98" s="64">
        <v>1.44</v>
      </c>
      <c r="J98" s="64">
        <v>0.03</v>
      </c>
      <c r="K98" s="64">
        <v>356.28</v>
      </c>
      <c r="L98" s="64">
        <v>23.6</v>
      </c>
      <c r="M98" s="64">
        <v>98.87</v>
      </c>
      <c r="N98" s="64">
        <v>9.8000000000000007</v>
      </c>
      <c r="O98" s="64">
        <v>0</v>
      </c>
      <c r="P98" s="64">
        <v>0.68</v>
      </c>
      <c r="Q98" s="64">
        <v>12.67</v>
      </c>
      <c r="R98" s="198"/>
      <c r="S98" s="198"/>
      <c r="T98" s="198"/>
      <c r="U98" s="198"/>
    </row>
    <row r="99" spans="1:33" s="12" customFormat="1" x14ac:dyDescent="0.25">
      <c r="A99" s="214" t="s">
        <v>336</v>
      </c>
      <c r="B99" s="64">
        <v>12.73</v>
      </c>
      <c r="C99" s="64">
        <v>37.81</v>
      </c>
      <c r="D99" s="64">
        <v>32.369999999999997</v>
      </c>
      <c r="E99" s="64">
        <v>1</v>
      </c>
      <c r="F99" s="64">
        <v>4.21</v>
      </c>
      <c r="G99" s="64">
        <v>44.85</v>
      </c>
      <c r="H99" s="64">
        <v>19.75</v>
      </c>
      <c r="I99" s="64">
        <v>1.47</v>
      </c>
      <c r="J99" s="64">
        <v>0.03</v>
      </c>
      <c r="K99" s="64">
        <v>20.9</v>
      </c>
      <c r="L99" s="64">
        <v>23.57</v>
      </c>
      <c r="M99" s="64">
        <v>98.85</v>
      </c>
      <c r="N99" s="64">
        <v>9.9</v>
      </c>
      <c r="O99" s="64">
        <v>0</v>
      </c>
      <c r="P99" s="64">
        <v>0.97</v>
      </c>
      <c r="Q99" s="64">
        <v>11.47</v>
      </c>
      <c r="R99" s="198"/>
      <c r="S99" s="198"/>
      <c r="T99" s="198"/>
      <c r="U99" s="198"/>
    </row>
    <row r="100" spans="1:33" s="12" customFormat="1" x14ac:dyDescent="0.25">
      <c r="A100" s="214" t="s">
        <v>337</v>
      </c>
      <c r="B100" s="64">
        <v>10.96</v>
      </c>
      <c r="C100" s="64">
        <v>27.74</v>
      </c>
      <c r="D100" s="64">
        <v>25.39</v>
      </c>
      <c r="E100" s="64">
        <v>0.68</v>
      </c>
      <c r="F100" s="64">
        <v>5.9</v>
      </c>
      <c r="G100" s="64">
        <v>44.85</v>
      </c>
      <c r="H100" s="64">
        <v>19.75</v>
      </c>
      <c r="I100" s="64">
        <v>1.54</v>
      </c>
      <c r="J100" s="64">
        <v>0.06</v>
      </c>
      <c r="K100" s="64">
        <v>203.18</v>
      </c>
      <c r="L100" s="64">
        <v>23.45</v>
      </c>
      <c r="M100" s="64">
        <v>98.87</v>
      </c>
      <c r="N100" s="64">
        <v>9.9</v>
      </c>
      <c r="O100" s="64">
        <v>0</v>
      </c>
      <c r="P100" s="64">
        <v>0.89</v>
      </c>
      <c r="Q100" s="64">
        <v>11.51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338</v>
      </c>
      <c r="B101" s="64">
        <v>9.2799999999999994</v>
      </c>
      <c r="C101" s="64">
        <v>29.54</v>
      </c>
      <c r="D101" s="64">
        <v>25.04</v>
      </c>
      <c r="E101" s="64">
        <v>0.74</v>
      </c>
      <c r="F101" s="64">
        <v>5</v>
      </c>
      <c r="G101" s="64">
        <v>44.85</v>
      </c>
      <c r="H101" s="64">
        <v>19.75</v>
      </c>
      <c r="I101" s="64">
        <v>1.52</v>
      </c>
      <c r="J101" s="64">
        <v>0.03</v>
      </c>
      <c r="K101" s="64">
        <v>304.97000000000003</v>
      </c>
      <c r="L101" s="64">
        <v>23.64</v>
      </c>
      <c r="M101" s="64">
        <v>98.87</v>
      </c>
      <c r="N101" s="64">
        <v>9.6999999999999993</v>
      </c>
      <c r="O101" s="64">
        <v>0</v>
      </c>
      <c r="P101" s="64">
        <v>0.75</v>
      </c>
      <c r="Q101" s="64">
        <v>12.33</v>
      </c>
      <c r="R101" s="198"/>
      <c r="S101" s="198"/>
      <c r="T101" s="198"/>
      <c r="U101" s="198"/>
    </row>
    <row r="102" spans="1:33" s="12" customFormat="1" x14ac:dyDescent="0.25">
      <c r="A102" s="214" t="s">
        <v>339</v>
      </c>
      <c r="B102" s="64">
        <v>8.73</v>
      </c>
      <c r="C102" s="64">
        <v>22.66</v>
      </c>
      <c r="D102" s="64">
        <v>20.79</v>
      </c>
      <c r="E102" s="64">
        <v>0.82</v>
      </c>
      <c r="F102" s="64">
        <v>3.56</v>
      </c>
      <c r="G102" s="64">
        <v>47.13</v>
      </c>
      <c r="H102" s="64">
        <v>14.01</v>
      </c>
      <c r="I102" s="64">
        <v>1.5</v>
      </c>
      <c r="J102" s="64">
        <v>0.09</v>
      </c>
      <c r="K102" s="64">
        <v>24.95</v>
      </c>
      <c r="L102" s="64">
        <v>23.79</v>
      </c>
      <c r="M102" s="64">
        <v>98.85</v>
      </c>
      <c r="N102" s="64">
        <v>9.8000000000000007</v>
      </c>
      <c r="O102" s="64">
        <v>0</v>
      </c>
      <c r="P102" s="64">
        <v>0.79</v>
      </c>
      <c r="Q102" s="64">
        <v>13.03</v>
      </c>
      <c r="R102" s="198"/>
      <c r="S102" s="198"/>
      <c r="T102" s="198"/>
      <c r="U102" s="198"/>
    </row>
    <row r="103" spans="1:33" s="12" customFormat="1" x14ac:dyDescent="0.25">
      <c r="A103" s="214" t="s">
        <v>340</v>
      </c>
      <c r="B103" s="64">
        <v>9.52</v>
      </c>
      <c r="C103" s="64">
        <v>14.93</v>
      </c>
      <c r="D103" s="64">
        <v>17.170000000000002</v>
      </c>
      <c r="E103" s="64">
        <v>1.07</v>
      </c>
      <c r="F103" s="64">
        <v>0.5</v>
      </c>
      <c r="G103" s="64">
        <v>47.51</v>
      </c>
      <c r="H103" s="64">
        <v>14.01</v>
      </c>
      <c r="I103" s="64">
        <v>1.48</v>
      </c>
      <c r="J103" s="64">
        <v>0.02</v>
      </c>
      <c r="K103" s="64">
        <v>305.68</v>
      </c>
      <c r="L103" s="64">
        <v>23.72</v>
      </c>
      <c r="M103" s="64">
        <v>98.85</v>
      </c>
      <c r="N103" s="64">
        <v>9.8000000000000007</v>
      </c>
      <c r="O103" s="64">
        <v>0</v>
      </c>
      <c r="P103" s="64">
        <v>0.92</v>
      </c>
      <c r="Q103" s="64">
        <v>13.19</v>
      </c>
      <c r="R103" s="198"/>
      <c r="S103" s="198"/>
      <c r="T103" s="198"/>
      <c r="U103" s="198"/>
    </row>
    <row r="104" spans="1:33" s="12" customFormat="1" x14ac:dyDescent="0.25">
      <c r="A104" s="214" t="s">
        <v>341</v>
      </c>
      <c r="B104" s="64">
        <v>9.49</v>
      </c>
      <c r="C104" s="64">
        <v>11.93</v>
      </c>
      <c r="D104" s="64">
        <v>15.49</v>
      </c>
      <c r="E104" s="64">
        <v>1.22</v>
      </c>
      <c r="F104" s="64">
        <v>1.26</v>
      </c>
      <c r="G104" s="64">
        <v>47.51</v>
      </c>
      <c r="H104" s="64">
        <v>14.01</v>
      </c>
      <c r="I104" s="64">
        <v>1.52</v>
      </c>
      <c r="J104" s="64">
        <v>0.1</v>
      </c>
      <c r="K104" s="64">
        <v>28.35</v>
      </c>
      <c r="L104" s="64">
        <v>23.71</v>
      </c>
      <c r="M104" s="64">
        <v>98.83</v>
      </c>
      <c r="N104" s="64">
        <v>9.8000000000000007</v>
      </c>
      <c r="O104" s="64">
        <v>0</v>
      </c>
      <c r="P104" s="64">
        <v>0.88</v>
      </c>
      <c r="Q104" s="64">
        <v>13.42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2.46</v>
      </c>
      <c r="C106" s="67">
        <f>MIN(C9:C104)</f>
        <v>7.58</v>
      </c>
      <c r="D106" s="67">
        <f t="shared" ref="D106:Q106" si="0">MIN(D9:D104)</f>
        <v>9.0299999999999994</v>
      </c>
      <c r="E106" s="67">
        <f t="shared" si="0"/>
        <v>0.3</v>
      </c>
      <c r="F106" s="67">
        <f t="shared" si="0"/>
        <v>0.14000000000000001</v>
      </c>
      <c r="G106" s="67">
        <f t="shared" si="0"/>
        <v>29.69</v>
      </c>
      <c r="H106" s="67">
        <f t="shared" si="0"/>
        <v>10.78</v>
      </c>
      <c r="I106" s="67">
        <f t="shared" si="0"/>
        <v>1.39</v>
      </c>
      <c r="J106" s="67">
        <f t="shared" si="0"/>
        <v>0.01</v>
      </c>
      <c r="K106" s="67">
        <f t="shared" si="0"/>
        <v>0.96</v>
      </c>
      <c r="L106" s="67">
        <f t="shared" si="0"/>
        <v>21.59</v>
      </c>
      <c r="M106" s="67">
        <f t="shared" si="0"/>
        <v>62.32</v>
      </c>
      <c r="N106" s="67">
        <f t="shared" si="0"/>
        <v>8.9</v>
      </c>
      <c r="O106" s="67">
        <f t="shared" si="0"/>
        <v>0</v>
      </c>
      <c r="P106" s="67">
        <f t="shared" si="0"/>
        <v>0.56999999999999995</v>
      </c>
      <c r="Q106" s="67">
        <f t="shared" si="0"/>
        <v>7.4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25.5</v>
      </c>
      <c r="C107" s="66">
        <f t="shared" ref="C107:Q107" si="1">MAX(C9:C104)</f>
        <v>50.73</v>
      </c>
      <c r="D107" s="66">
        <f t="shared" si="1"/>
        <v>49.74</v>
      </c>
      <c r="E107" s="66">
        <f t="shared" si="1"/>
        <v>3.08</v>
      </c>
      <c r="F107" s="66">
        <f t="shared" si="1"/>
        <v>7.16</v>
      </c>
      <c r="G107" s="66">
        <f t="shared" si="1"/>
        <v>72.739999999999995</v>
      </c>
      <c r="H107" s="66">
        <f t="shared" si="1"/>
        <v>23</v>
      </c>
      <c r="I107" s="66">
        <f t="shared" si="1"/>
        <v>1.61</v>
      </c>
      <c r="J107" s="66">
        <f t="shared" si="1"/>
        <v>1.89</v>
      </c>
      <c r="K107" s="66">
        <f t="shared" si="1"/>
        <v>358.46</v>
      </c>
      <c r="L107" s="66">
        <f t="shared" si="1"/>
        <v>31.25</v>
      </c>
      <c r="M107" s="66">
        <f t="shared" si="1"/>
        <v>98.91</v>
      </c>
      <c r="N107" s="66">
        <f t="shared" si="1"/>
        <v>861.9</v>
      </c>
      <c r="O107" s="66">
        <f t="shared" si="1"/>
        <v>0</v>
      </c>
      <c r="P107" s="66">
        <f t="shared" si="1"/>
        <v>1.35</v>
      </c>
      <c r="Q107" s="66">
        <f t="shared" si="1"/>
        <v>13.42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6.2407291666666653</v>
      </c>
      <c r="C108" s="67">
        <f t="shared" ref="C108:Q108" si="2">AVERAGE(C9:C104)</f>
        <v>15.432916666666666</v>
      </c>
      <c r="D108" s="67">
        <f t="shared" si="2"/>
        <v>14.813541666666666</v>
      </c>
      <c r="E108" s="67">
        <f t="shared" si="2"/>
        <v>1.5233333333333334</v>
      </c>
      <c r="F108" s="67">
        <f t="shared" si="2"/>
        <v>2.1267708333333339</v>
      </c>
      <c r="G108" s="67">
        <f t="shared" si="2"/>
        <v>47.779791666666682</v>
      </c>
      <c r="H108" s="67">
        <f t="shared" si="2"/>
        <v>16.698750000000008</v>
      </c>
      <c r="I108" s="67">
        <f t="shared" si="2"/>
        <v>1.5006250000000003</v>
      </c>
      <c r="J108" s="67">
        <f t="shared" si="2"/>
        <v>0.25041666666666657</v>
      </c>
      <c r="K108" s="67">
        <f t="shared" si="2"/>
        <v>151.68489583333337</v>
      </c>
      <c r="L108" s="67">
        <f t="shared" si="2"/>
        <v>25.30802083333333</v>
      </c>
      <c r="M108" s="67">
        <f t="shared" si="2"/>
        <v>86.009895833333303</v>
      </c>
      <c r="N108" s="67">
        <f t="shared" si="2"/>
        <v>201.33125000000004</v>
      </c>
      <c r="O108" s="67">
        <f t="shared" si="2"/>
        <v>0</v>
      </c>
      <c r="P108" s="67">
        <f t="shared" si="2"/>
        <v>0.79510416666666661</v>
      </c>
      <c r="Q108" s="67">
        <f t="shared" si="2"/>
        <v>10.500208333333333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3.95173945571785</v>
      </c>
      <c r="C109" s="67">
        <f t="shared" ref="C109:Q109" si="3">STDEV(C9:C104)</f>
        <v>8.1822295142926311</v>
      </c>
      <c r="D109" s="67">
        <f t="shared" si="3"/>
        <v>7.2119319229595868</v>
      </c>
      <c r="E109" s="67">
        <f t="shared" si="3"/>
        <v>0.674306921632429</v>
      </c>
      <c r="F109" s="67">
        <f t="shared" si="3"/>
        <v>1.5774706568572401</v>
      </c>
      <c r="G109" s="67">
        <f t="shared" si="3"/>
        <v>11.006350509368989</v>
      </c>
      <c r="H109" s="67">
        <f t="shared" si="3"/>
        <v>3.4275783226491767</v>
      </c>
      <c r="I109" s="67">
        <f t="shared" si="3"/>
        <v>3.9036083172799073E-2</v>
      </c>
      <c r="J109" s="67">
        <f t="shared" si="3"/>
        <v>0.28361544263006144</v>
      </c>
      <c r="K109" s="67">
        <f t="shared" si="3"/>
        <v>150.60279555659881</v>
      </c>
      <c r="L109" s="67">
        <f t="shared" si="3"/>
        <v>3.0053477317999859</v>
      </c>
      <c r="M109" s="67">
        <f t="shared" si="3"/>
        <v>13.942957135172286</v>
      </c>
      <c r="N109" s="67">
        <f t="shared" si="3"/>
        <v>275.8880571278674</v>
      </c>
      <c r="O109" s="67">
        <f t="shared" si="3"/>
        <v>0</v>
      </c>
      <c r="P109" s="67">
        <f t="shared" si="3"/>
        <v>0.17030001261962774</v>
      </c>
      <c r="Q109" s="67">
        <f t="shared" si="3"/>
        <v>1.6878762608466893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342</v>
      </c>
      <c r="B9" s="64">
        <v>9.26</v>
      </c>
      <c r="C9" s="64">
        <v>10.45</v>
      </c>
      <c r="D9" s="64">
        <v>14.48</v>
      </c>
      <c r="E9" s="64">
        <v>3.14</v>
      </c>
      <c r="F9" s="64">
        <v>0.76</v>
      </c>
      <c r="G9" s="64">
        <v>47.51</v>
      </c>
      <c r="H9" s="64">
        <v>14.01</v>
      </c>
      <c r="I9" s="64">
        <v>1.44</v>
      </c>
      <c r="J9" s="64">
        <v>0.12</v>
      </c>
      <c r="K9" s="64">
        <v>14.1</v>
      </c>
      <c r="L9" s="64">
        <v>23.69</v>
      </c>
      <c r="M9" s="64">
        <v>98.66</v>
      </c>
      <c r="N9" s="64">
        <v>9.8000000000000007</v>
      </c>
      <c r="O9" s="64">
        <v>0</v>
      </c>
      <c r="P9" s="64">
        <v>0.87</v>
      </c>
      <c r="Q9" s="64">
        <v>13.29</v>
      </c>
      <c r="R9" s="198"/>
      <c r="S9" s="198"/>
      <c r="T9" s="198"/>
      <c r="U9" s="198"/>
    </row>
    <row r="10" spans="1:21" s="12" customFormat="1" x14ac:dyDescent="0.25">
      <c r="A10" s="214" t="s">
        <v>343</v>
      </c>
      <c r="B10" s="64">
        <v>8.5500000000000007</v>
      </c>
      <c r="C10" s="64">
        <v>11.04</v>
      </c>
      <c r="D10" s="64">
        <v>14.24</v>
      </c>
      <c r="E10" s="64">
        <v>2.81</v>
      </c>
      <c r="F10" s="64">
        <v>1.63</v>
      </c>
      <c r="G10" s="64">
        <v>48.19</v>
      </c>
      <c r="H10" s="64">
        <v>17.850000000000001</v>
      </c>
      <c r="I10" s="64">
        <v>1.51</v>
      </c>
      <c r="J10" s="64">
        <v>0.1</v>
      </c>
      <c r="K10" s="64">
        <v>35.090000000000003</v>
      </c>
      <c r="L10" s="64">
        <v>23.6</v>
      </c>
      <c r="M10" s="64">
        <v>98.81</v>
      </c>
      <c r="N10" s="64">
        <v>9.8000000000000007</v>
      </c>
      <c r="O10" s="64">
        <v>0</v>
      </c>
      <c r="P10" s="64">
        <v>0.84</v>
      </c>
      <c r="Q10" s="64">
        <v>12.66</v>
      </c>
      <c r="R10" s="198"/>
      <c r="S10" s="198"/>
      <c r="T10" s="198"/>
      <c r="U10" s="198"/>
    </row>
    <row r="11" spans="1:21" s="12" customFormat="1" x14ac:dyDescent="0.25">
      <c r="A11" s="214" t="s">
        <v>344</v>
      </c>
      <c r="B11" s="64">
        <v>8.09</v>
      </c>
      <c r="C11" s="64">
        <v>10.56</v>
      </c>
      <c r="D11" s="64">
        <v>13.6</v>
      </c>
      <c r="E11" s="64">
        <v>2.92</v>
      </c>
      <c r="F11" s="64">
        <v>0.8</v>
      </c>
      <c r="G11" s="64">
        <v>48.3</v>
      </c>
      <c r="H11" s="64">
        <v>17.850000000000001</v>
      </c>
      <c r="I11" s="64">
        <v>1.5</v>
      </c>
      <c r="J11" s="64">
        <v>0.08</v>
      </c>
      <c r="K11" s="64">
        <v>7.61</v>
      </c>
      <c r="L11" s="64">
        <v>23.56</v>
      </c>
      <c r="M11" s="64">
        <v>98.84</v>
      </c>
      <c r="N11" s="64">
        <v>9.9</v>
      </c>
      <c r="O11" s="64">
        <v>0</v>
      </c>
      <c r="P11" s="64">
        <v>0.82</v>
      </c>
      <c r="Q11" s="64">
        <v>12.84</v>
      </c>
      <c r="R11" s="198"/>
      <c r="S11" s="198"/>
      <c r="T11" s="198"/>
      <c r="U11" s="198"/>
    </row>
    <row r="12" spans="1:21" s="12" customFormat="1" x14ac:dyDescent="0.25">
      <c r="A12" s="214" t="s">
        <v>345</v>
      </c>
      <c r="B12" s="64">
        <v>7.43</v>
      </c>
      <c r="C12" s="64">
        <v>10.08</v>
      </c>
      <c r="D12" s="64">
        <v>12.81</v>
      </c>
      <c r="E12" s="64">
        <v>2.58</v>
      </c>
      <c r="F12" s="64">
        <v>1.07</v>
      </c>
      <c r="G12" s="64">
        <v>48.3</v>
      </c>
      <c r="H12" s="64">
        <v>17.850000000000001</v>
      </c>
      <c r="I12" s="64">
        <v>1.46</v>
      </c>
      <c r="J12" s="64">
        <v>0.14000000000000001</v>
      </c>
      <c r="K12" s="64">
        <v>26.01</v>
      </c>
      <c r="L12" s="64">
        <v>23.51</v>
      </c>
      <c r="M12" s="64">
        <v>98.85</v>
      </c>
      <c r="N12" s="64">
        <v>9.9</v>
      </c>
      <c r="O12" s="64">
        <v>0</v>
      </c>
      <c r="P12" s="64">
        <v>0.8</v>
      </c>
      <c r="Q12" s="64">
        <v>12.47</v>
      </c>
      <c r="R12" s="198"/>
      <c r="S12" s="198"/>
      <c r="T12" s="198"/>
      <c r="U12" s="198"/>
    </row>
    <row r="13" spans="1:21" s="12" customFormat="1" x14ac:dyDescent="0.25">
      <c r="A13" s="214" t="s">
        <v>346</v>
      </c>
      <c r="B13" s="64">
        <v>6.81</v>
      </c>
      <c r="C13" s="64">
        <v>10.08</v>
      </c>
      <c r="D13" s="64">
        <v>12.32</v>
      </c>
      <c r="E13" s="64">
        <v>2.5099999999999998</v>
      </c>
      <c r="F13" s="64">
        <v>0.59</v>
      </c>
      <c r="G13" s="64">
        <v>48.3</v>
      </c>
      <c r="H13" s="64">
        <v>17.850000000000001</v>
      </c>
      <c r="I13" s="64">
        <v>1.53</v>
      </c>
      <c r="J13" s="64">
        <v>0.18</v>
      </c>
      <c r="K13" s="64">
        <v>24.81</v>
      </c>
      <c r="L13" s="64">
        <v>23.43</v>
      </c>
      <c r="M13" s="64">
        <v>98.85</v>
      </c>
      <c r="N13" s="64">
        <v>9.6</v>
      </c>
      <c r="O13" s="64">
        <v>0</v>
      </c>
      <c r="P13" s="64">
        <v>0.79</v>
      </c>
      <c r="Q13" s="64">
        <v>12.61</v>
      </c>
      <c r="R13" s="198"/>
      <c r="S13" s="198"/>
      <c r="T13" s="198"/>
      <c r="U13" s="198"/>
    </row>
    <row r="14" spans="1:21" s="12" customFormat="1" x14ac:dyDescent="0.25">
      <c r="A14" s="214" t="s">
        <v>347</v>
      </c>
      <c r="B14" s="64">
        <v>5.74</v>
      </c>
      <c r="C14" s="64">
        <v>11.18</v>
      </c>
      <c r="D14" s="64">
        <v>12.07</v>
      </c>
      <c r="E14" s="64">
        <v>3.03</v>
      </c>
      <c r="F14" s="64">
        <v>3.5</v>
      </c>
      <c r="G14" s="64">
        <v>44.69</v>
      </c>
      <c r="H14" s="64">
        <v>16.920000000000002</v>
      </c>
      <c r="I14" s="64">
        <v>1.52</v>
      </c>
      <c r="J14" s="64">
        <v>0.15</v>
      </c>
      <c r="K14" s="64">
        <v>16.100000000000001</v>
      </c>
      <c r="L14" s="64">
        <v>23.33</v>
      </c>
      <c r="M14" s="64">
        <v>98.86</v>
      </c>
      <c r="N14" s="64">
        <v>9.5</v>
      </c>
      <c r="O14" s="64">
        <v>0</v>
      </c>
      <c r="P14" s="64">
        <v>0.74</v>
      </c>
      <c r="Q14" s="64">
        <v>12.65</v>
      </c>
      <c r="R14" s="198"/>
      <c r="S14" s="198"/>
      <c r="T14" s="198"/>
      <c r="U14" s="198"/>
    </row>
    <row r="15" spans="1:21" s="12" customFormat="1" x14ac:dyDescent="0.25">
      <c r="A15" s="214" t="s">
        <v>348</v>
      </c>
      <c r="B15" s="64">
        <v>5.03</v>
      </c>
      <c r="C15" s="64">
        <v>11.43</v>
      </c>
      <c r="D15" s="64">
        <v>11.63</v>
      </c>
      <c r="E15" s="64">
        <v>3.01</v>
      </c>
      <c r="F15" s="64">
        <v>3.55</v>
      </c>
      <c r="G15" s="64">
        <v>44.08</v>
      </c>
      <c r="H15" s="64">
        <v>16.920000000000002</v>
      </c>
      <c r="I15" s="64">
        <v>1.46</v>
      </c>
      <c r="J15" s="64">
        <v>0.15</v>
      </c>
      <c r="K15" s="64">
        <v>28.69</v>
      </c>
      <c r="L15" s="64">
        <v>23.37</v>
      </c>
      <c r="M15" s="64">
        <v>98.87</v>
      </c>
      <c r="N15" s="64">
        <v>9.5</v>
      </c>
      <c r="O15" s="64">
        <v>0</v>
      </c>
      <c r="P15" s="64">
        <v>0.74</v>
      </c>
      <c r="Q15" s="64">
        <v>11.65</v>
      </c>
      <c r="R15" s="198"/>
      <c r="S15" s="198"/>
      <c r="T15" s="198"/>
      <c r="U15" s="198"/>
    </row>
    <row r="16" spans="1:21" s="12" customFormat="1" x14ac:dyDescent="0.25">
      <c r="A16" s="214" t="s">
        <v>349</v>
      </c>
      <c r="B16" s="64">
        <v>5.16</v>
      </c>
      <c r="C16" s="64">
        <v>10.85</v>
      </c>
      <c r="D16" s="64">
        <v>11.42</v>
      </c>
      <c r="E16" s="64">
        <v>3.25</v>
      </c>
      <c r="F16" s="64">
        <v>3.08</v>
      </c>
      <c r="G16" s="64">
        <v>44.08</v>
      </c>
      <c r="H16" s="64">
        <v>16.920000000000002</v>
      </c>
      <c r="I16" s="64">
        <v>1.41</v>
      </c>
      <c r="J16" s="64">
        <v>0.15</v>
      </c>
      <c r="K16" s="64">
        <v>23.04</v>
      </c>
      <c r="L16" s="64">
        <v>23.41</v>
      </c>
      <c r="M16" s="64">
        <v>98.87</v>
      </c>
      <c r="N16" s="64">
        <v>9.6</v>
      </c>
      <c r="O16" s="64">
        <v>0</v>
      </c>
      <c r="P16" s="64">
        <v>0.74</v>
      </c>
      <c r="Q16" s="64">
        <v>11.95</v>
      </c>
      <c r="R16" s="198"/>
      <c r="S16" s="198"/>
      <c r="T16" s="198"/>
      <c r="U16" s="198"/>
    </row>
    <row r="17" spans="1:21" s="12" customFormat="1" x14ac:dyDescent="0.25">
      <c r="A17" s="214" t="s">
        <v>350</v>
      </c>
      <c r="B17" s="64">
        <v>5.27</v>
      </c>
      <c r="C17" s="64">
        <v>12.41</v>
      </c>
      <c r="D17" s="64">
        <v>12.37</v>
      </c>
      <c r="E17" s="64">
        <v>2.92</v>
      </c>
      <c r="F17" s="64">
        <v>4.18</v>
      </c>
      <c r="G17" s="64">
        <v>44.08</v>
      </c>
      <c r="H17" s="64">
        <v>16.920000000000002</v>
      </c>
      <c r="I17" s="64">
        <v>1.52</v>
      </c>
      <c r="J17" s="64">
        <v>0.1</v>
      </c>
      <c r="K17" s="64">
        <v>16.54</v>
      </c>
      <c r="L17" s="64">
        <v>23.42</v>
      </c>
      <c r="M17" s="64">
        <v>98.87</v>
      </c>
      <c r="N17" s="64">
        <v>9.8000000000000007</v>
      </c>
      <c r="O17" s="64">
        <v>0</v>
      </c>
      <c r="P17" s="64">
        <v>0.69</v>
      </c>
      <c r="Q17" s="64">
        <v>11.51</v>
      </c>
      <c r="R17" s="198"/>
      <c r="S17" s="198"/>
      <c r="T17" s="198"/>
      <c r="U17" s="198"/>
    </row>
    <row r="18" spans="1:21" s="12" customFormat="1" x14ac:dyDescent="0.25">
      <c r="A18" s="214" t="s">
        <v>351</v>
      </c>
      <c r="B18" s="64">
        <v>5.0999999999999996</v>
      </c>
      <c r="C18" s="64">
        <v>10.36</v>
      </c>
      <c r="D18" s="64">
        <v>11.1</v>
      </c>
      <c r="E18" s="64">
        <v>2.67</v>
      </c>
      <c r="F18" s="64">
        <v>1.8</v>
      </c>
      <c r="G18" s="64">
        <v>40.28</v>
      </c>
      <c r="H18" s="64">
        <v>12.1</v>
      </c>
      <c r="I18" s="64">
        <v>1.5</v>
      </c>
      <c r="J18" s="64">
        <v>0.17</v>
      </c>
      <c r="K18" s="64">
        <v>6.98</v>
      </c>
      <c r="L18" s="64">
        <v>23.37</v>
      </c>
      <c r="M18" s="64">
        <v>98.87</v>
      </c>
      <c r="N18" s="64">
        <v>9.6999999999999993</v>
      </c>
      <c r="O18" s="64">
        <v>0</v>
      </c>
      <c r="P18" s="64">
        <v>0.74</v>
      </c>
      <c r="Q18" s="64">
        <v>11.99</v>
      </c>
      <c r="R18" s="198"/>
      <c r="S18" s="198"/>
      <c r="T18" s="198"/>
      <c r="U18" s="198"/>
    </row>
    <row r="19" spans="1:21" s="12" customFormat="1" x14ac:dyDescent="0.25">
      <c r="A19" s="214" t="s">
        <v>352</v>
      </c>
      <c r="B19" s="64">
        <v>5.0999999999999996</v>
      </c>
      <c r="C19" s="64">
        <v>9.33</v>
      </c>
      <c r="D19" s="64">
        <v>10.53</v>
      </c>
      <c r="E19" s="64">
        <v>2.95</v>
      </c>
      <c r="F19" s="64">
        <v>0.49</v>
      </c>
      <c r="G19" s="64">
        <v>39.64</v>
      </c>
      <c r="H19" s="64">
        <v>12.1</v>
      </c>
      <c r="I19" s="64">
        <v>1.46</v>
      </c>
      <c r="J19" s="64">
        <v>0.12</v>
      </c>
      <c r="K19" s="64">
        <v>41.08</v>
      </c>
      <c r="L19" s="64">
        <v>23.33</v>
      </c>
      <c r="M19" s="64">
        <v>98.87</v>
      </c>
      <c r="N19" s="64">
        <v>9.5</v>
      </c>
      <c r="O19" s="64">
        <v>0</v>
      </c>
      <c r="P19" s="64">
        <v>0.74</v>
      </c>
      <c r="Q19" s="64">
        <v>12.54</v>
      </c>
      <c r="R19" s="198"/>
      <c r="S19" s="198"/>
      <c r="T19" s="198"/>
      <c r="U19" s="198"/>
    </row>
    <row r="20" spans="1:21" s="12" customFormat="1" x14ac:dyDescent="0.25">
      <c r="A20" s="214" t="s">
        <v>353</v>
      </c>
      <c r="B20" s="64">
        <v>4.75</v>
      </c>
      <c r="C20" s="64">
        <v>8.92</v>
      </c>
      <c r="D20" s="64">
        <v>10.029999999999999</v>
      </c>
      <c r="E20" s="64">
        <v>2.83</v>
      </c>
      <c r="F20" s="64">
        <v>0.98</v>
      </c>
      <c r="G20" s="64">
        <v>39.64</v>
      </c>
      <c r="H20" s="64">
        <v>12.1</v>
      </c>
      <c r="I20" s="64">
        <v>1.5</v>
      </c>
      <c r="J20" s="64">
        <v>0.14000000000000001</v>
      </c>
      <c r="K20" s="64">
        <v>7.14</v>
      </c>
      <c r="L20" s="64">
        <v>23.25</v>
      </c>
      <c r="M20" s="64">
        <v>98.87</v>
      </c>
      <c r="N20" s="64">
        <v>9.5</v>
      </c>
      <c r="O20" s="64">
        <v>0</v>
      </c>
      <c r="P20" s="64">
        <v>0.73</v>
      </c>
      <c r="Q20" s="64">
        <v>11.45</v>
      </c>
      <c r="R20" s="198"/>
      <c r="S20" s="198"/>
      <c r="T20" s="198"/>
      <c r="U20" s="198"/>
    </row>
    <row r="21" spans="1:21" s="12" customFormat="1" x14ac:dyDescent="0.25">
      <c r="A21" s="214" t="s">
        <v>354</v>
      </c>
      <c r="B21" s="64">
        <v>4.5</v>
      </c>
      <c r="C21" s="64">
        <v>8.59</v>
      </c>
      <c r="D21" s="64">
        <v>9.64</v>
      </c>
      <c r="E21" s="64">
        <v>3.09</v>
      </c>
      <c r="F21" s="64">
        <v>0.72</v>
      </c>
      <c r="G21" s="64">
        <v>39.64</v>
      </c>
      <c r="H21" s="64">
        <v>12.1</v>
      </c>
      <c r="I21" s="64">
        <v>1.47</v>
      </c>
      <c r="J21" s="64">
        <v>0.16</v>
      </c>
      <c r="K21" s="64">
        <v>21.86</v>
      </c>
      <c r="L21" s="64">
        <v>23.27</v>
      </c>
      <c r="M21" s="64">
        <v>98.86</v>
      </c>
      <c r="N21" s="64">
        <v>9.6</v>
      </c>
      <c r="O21" s="64">
        <v>0</v>
      </c>
      <c r="P21" s="64">
        <v>0.7</v>
      </c>
      <c r="Q21" s="64">
        <v>11.17</v>
      </c>
      <c r="R21" s="198"/>
      <c r="S21" s="198"/>
      <c r="T21" s="198"/>
      <c r="U21" s="198"/>
    </row>
    <row r="22" spans="1:21" s="12" customFormat="1" x14ac:dyDescent="0.25">
      <c r="A22" s="214" t="s">
        <v>355</v>
      </c>
      <c r="B22" s="64">
        <v>4.18</v>
      </c>
      <c r="C22" s="64">
        <v>8.57</v>
      </c>
      <c r="D22" s="64">
        <v>9.3800000000000008</v>
      </c>
      <c r="E22" s="64">
        <v>2.79</v>
      </c>
      <c r="F22" s="64">
        <v>0.87</v>
      </c>
      <c r="G22" s="64">
        <v>45.46</v>
      </c>
      <c r="H22" s="64">
        <v>8.7899999999999991</v>
      </c>
      <c r="I22" s="64">
        <v>1.54</v>
      </c>
      <c r="J22" s="64">
        <v>0.13</v>
      </c>
      <c r="K22" s="64">
        <v>33.49</v>
      </c>
      <c r="L22" s="64">
        <v>23.17</v>
      </c>
      <c r="M22" s="64">
        <v>98.88</v>
      </c>
      <c r="N22" s="64">
        <v>9.6</v>
      </c>
      <c r="O22" s="64">
        <v>0</v>
      </c>
      <c r="P22" s="64">
        <v>0.7</v>
      </c>
      <c r="Q22" s="64">
        <v>10.64</v>
      </c>
      <c r="R22" s="198"/>
      <c r="S22" s="198"/>
      <c r="T22" s="198"/>
      <c r="U22" s="198"/>
    </row>
    <row r="23" spans="1:21" s="12" customFormat="1" x14ac:dyDescent="0.25">
      <c r="A23" s="214" t="s">
        <v>356</v>
      </c>
      <c r="B23" s="64">
        <v>3.9</v>
      </c>
      <c r="C23" s="64">
        <v>8.7200000000000006</v>
      </c>
      <c r="D23" s="64">
        <v>9.23</v>
      </c>
      <c r="E23" s="64">
        <v>2.73</v>
      </c>
      <c r="F23" s="64">
        <v>0.13</v>
      </c>
      <c r="G23" s="64">
        <v>46.44</v>
      </c>
      <c r="H23" s="64">
        <v>8.7899999999999991</v>
      </c>
      <c r="I23" s="64">
        <v>1.5</v>
      </c>
      <c r="J23" s="64">
        <v>0.09</v>
      </c>
      <c r="K23" s="64">
        <v>10.93</v>
      </c>
      <c r="L23" s="64">
        <v>23.08</v>
      </c>
      <c r="M23" s="64">
        <v>98.89</v>
      </c>
      <c r="N23" s="64">
        <v>9.6999999999999993</v>
      </c>
      <c r="O23" s="64">
        <v>0</v>
      </c>
      <c r="P23" s="64">
        <v>0.67</v>
      </c>
      <c r="Q23" s="64">
        <v>10.6</v>
      </c>
      <c r="R23" s="198"/>
      <c r="S23" s="198"/>
      <c r="T23" s="198"/>
      <c r="U23" s="198"/>
    </row>
    <row r="24" spans="1:21" s="12" customFormat="1" x14ac:dyDescent="0.25">
      <c r="A24" s="214" t="s">
        <v>357</v>
      </c>
      <c r="B24" s="64">
        <v>3.78</v>
      </c>
      <c r="C24" s="64">
        <v>8.4700000000000006</v>
      </c>
      <c r="D24" s="64">
        <v>9</v>
      </c>
      <c r="E24" s="64">
        <v>0.84</v>
      </c>
      <c r="F24" s="64">
        <v>0.42</v>
      </c>
      <c r="G24" s="64">
        <v>46.44</v>
      </c>
      <c r="H24" s="64">
        <v>8.7899999999999991</v>
      </c>
      <c r="I24" s="64">
        <v>1.49</v>
      </c>
      <c r="J24" s="64">
        <v>0.14000000000000001</v>
      </c>
      <c r="K24" s="64">
        <v>12.37</v>
      </c>
      <c r="L24" s="64">
        <v>23.09</v>
      </c>
      <c r="M24" s="64">
        <v>98.9</v>
      </c>
      <c r="N24" s="64">
        <v>9.6</v>
      </c>
      <c r="O24" s="64">
        <v>0</v>
      </c>
      <c r="P24" s="64">
        <v>0.67</v>
      </c>
      <c r="Q24" s="64">
        <v>10.06</v>
      </c>
      <c r="R24" s="198"/>
      <c r="S24" s="198"/>
      <c r="T24" s="198"/>
      <c r="U24" s="198"/>
    </row>
    <row r="25" spans="1:21" s="12" customFormat="1" x14ac:dyDescent="0.25">
      <c r="A25" s="214" t="s">
        <v>358</v>
      </c>
      <c r="B25" s="64">
        <v>3.69</v>
      </c>
      <c r="C25" s="64">
        <v>8.73</v>
      </c>
      <c r="D25" s="64">
        <v>9.07</v>
      </c>
      <c r="E25" s="64">
        <v>1.48</v>
      </c>
      <c r="F25" s="64">
        <v>0.85</v>
      </c>
      <c r="G25" s="64">
        <v>46.44</v>
      </c>
      <c r="H25" s="64">
        <v>8.7899999999999991</v>
      </c>
      <c r="I25" s="64">
        <v>1.54</v>
      </c>
      <c r="J25" s="64">
        <v>0.14000000000000001</v>
      </c>
      <c r="K25" s="64">
        <v>359.84</v>
      </c>
      <c r="L25" s="64">
        <v>23.21</v>
      </c>
      <c r="M25" s="64">
        <v>98.86</v>
      </c>
      <c r="N25" s="64">
        <v>9.6</v>
      </c>
      <c r="O25" s="64">
        <v>0</v>
      </c>
      <c r="P25" s="64">
        <v>0.67</v>
      </c>
      <c r="Q25" s="64">
        <v>9.9</v>
      </c>
      <c r="R25" s="198"/>
      <c r="S25" s="198"/>
      <c r="T25" s="198"/>
      <c r="U25" s="198"/>
    </row>
    <row r="26" spans="1:21" s="12" customFormat="1" x14ac:dyDescent="0.25">
      <c r="A26" s="214" t="s">
        <v>359</v>
      </c>
      <c r="B26" s="64">
        <v>3.66</v>
      </c>
      <c r="C26" s="64">
        <v>10.96</v>
      </c>
      <c r="D26" s="64">
        <v>10.28</v>
      </c>
      <c r="E26" s="64">
        <v>2.0099999999999998</v>
      </c>
      <c r="F26" s="64">
        <v>4.46</v>
      </c>
      <c r="G26" s="64">
        <v>43.64</v>
      </c>
      <c r="H26" s="64">
        <v>13.45</v>
      </c>
      <c r="I26" s="64">
        <v>1.52</v>
      </c>
      <c r="J26" s="64">
        <v>0.17</v>
      </c>
      <c r="K26" s="64">
        <v>2.0099999999999998</v>
      </c>
      <c r="L26" s="64">
        <v>23.22</v>
      </c>
      <c r="M26" s="64">
        <v>98.86</v>
      </c>
      <c r="N26" s="64">
        <v>9.6</v>
      </c>
      <c r="O26" s="64">
        <v>0</v>
      </c>
      <c r="P26" s="64">
        <v>0.66</v>
      </c>
      <c r="Q26" s="64">
        <v>9.7100000000000009</v>
      </c>
      <c r="R26" s="198"/>
      <c r="S26" s="198"/>
      <c r="T26" s="198"/>
      <c r="U26" s="198"/>
    </row>
    <row r="27" spans="1:21" s="12" customFormat="1" x14ac:dyDescent="0.25">
      <c r="A27" s="214" t="s">
        <v>360</v>
      </c>
      <c r="B27" s="64">
        <v>4.95</v>
      </c>
      <c r="C27" s="64">
        <v>12.17</v>
      </c>
      <c r="D27" s="64">
        <v>11.98</v>
      </c>
      <c r="E27" s="64">
        <v>1.92</v>
      </c>
      <c r="F27" s="64">
        <v>2.2200000000000002</v>
      </c>
      <c r="G27" s="64">
        <v>43.17</v>
      </c>
      <c r="H27" s="64">
        <v>13.45</v>
      </c>
      <c r="I27" s="64">
        <v>1.51</v>
      </c>
      <c r="J27" s="64">
        <v>0.16</v>
      </c>
      <c r="K27" s="64">
        <v>0.01</v>
      </c>
      <c r="L27" s="64">
        <v>23.23</v>
      </c>
      <c r="M27" s="64">
        <v>98.87</v>
      </c>
      <c r="N27" s="64">
        <v>9.6</v>
      </c>
      <c r="O27" s="64">
        <v>0</v>
      </c>
      <c r="P27" s="64">
        <v>0.68</v>
      </c>
      <c r="Q27" s="64">
        <v>10.050000000000001</v>
      </c>
      <c r="R27" s="198"/>
      <c r="S27" s="198"/>
      <c r="T27" s="198"/>
      <c r="U27" s="198"/>
    </row>
    <row r="28" spans="1:21" s="12" customFormat="1" x14ac:dyDescent="0.25">
      <c r="A28" s="214" t="s">
        <v>361</v>
      </c>
      <c r="B28" s="64">
        <v>6.01</v>
      </c>
      <c r="C28" s="64">
        <v>14.89</v>
      </c>
      <c r="D28" s="64">
        <v>14.33</v>
      </c>
      <c r="E28" s="64">
        <v>1.75</v>
      </c>
      <c r="F28" s="64">
        <v>2.52</v>
      </c>
      <c r="G28" s="64">
        <v>43.17</v>
      </c>
      <c r="H28" s="64">
        <v>13.45</v>
      </c>
      <c r="I28" s="64">
        <v>1.57</v>
      </c>
      <c r="J28" s="64">
        <v>0.16</v>
      </c>
      <c r="K28" s="64">
        <v>356.66</v>
      </c>
      <c r="L28" s="64">
        <v>23.27</v>
      </c>
      <c r="M28" s="64">
        <v>98.88</v>
      </c>
      <c r="N28" s="64">
        <v>9.5</v>
      </c>
      <c r="O28" s="64">
        <v>0</v>
      </c>
      <c r="P28" s="64">
        <v>0.69</v>
      </c>
      <c r="Q28" s="64">
        <v>9.69</v>
      </c>
      <c r="R28" s="198"/>
      <c r="S28" s="198"/>
      <c r="T28" s="198"/>
      <c r="U28" s="198"/>
    </row>
    <row r="29" spans="1:21" s="12" customFormat="1" x14ac:dyDescent="0.25">
      <c r="A29" s="214" t="s">
        <v>362</v>
      </c>
      <c r="B29" s="64">
        <v>5.53</v>
      </c>
      <c r="C29" s="64">
        <v>14.07</v>
      </c>
      <c r="D29" s="64">
        <v>13.5</v>
      </c>
      <c r="E29" s="64">
        <v>1.37</v>
      </c>
      <c r="F29" s="64">
        <v>2.12</v>
      </c>
      <c r="G29" s="64">
        <v>43.17</v>
      </c>
      <c r="H29" s="64">
        <v>13.45</v>
      </c>
      <c r="I29" s="64">
        <v>1.54</v>
      </c>
      <c r="J29" s="64">
        <v>0.17</v>
      </c>
      <c r="K29" s="64">
        <v>352.26</v>
      </c>
      <c r="L29" s="64">
        <v>23.23</v>
      </c>
      <c r="M29" s="64">
        <v>98.88</v>
      </c>
      <c r="N29" s="64">
        <v>9.4</v>
      </c>
      <c r="O29" s="64">
        <v>0</v>
      </c>
      <c r="P29" s="64">
        <v>0.68</v>
      </c>
      <c r="Q29" s="64">
        <v>10.4</v>
      </c>
      <c r="R29" s="198"/>
      <c r="S29" s="198"/>
      <c r="T29" s="198"/>
      <c r="U29" s="198"/>
    </row>
    <row r="30" spans="1:21" s="12" customFormat="1" x14ac:dyDescent="0.25">
      <c r="A30" s="214" t="s">
        <v>363</v>
      </c>
      <c r="B30" s="64">
        <v>5.41</v>
      </c>
      <c r="C30" s="64">
        <v>13.45</v>
      </c>
      <c r="D30" s="64">
        <v>13.05</v>
      </c>
      <c r="E30" s="64">
        <v>1.83</v>
      </c>
      <c r="F30" s="64">
        <v>2.4900000000000002</v>
      </c>
      <c r="G30" s="64">
        <v>46.58</v>
      </c>
      <c r="H30" s="64">
        <v>15.91</v>
      </c>
      <c r="I30" s="64">
        <v>1.5</v>
      </c>
      <c r="J30" s="64">
        <v>0.13</v>
      </c>
      <c r="K30" s="64">
        <v>334.62</v>
      </c>
      <c r="L30" s="64">
        <v>23.21</v>
      </c>
      <c r="M30" s="64">
        <v>98.87</v>
      </c>
      <c r="N30" s="64">
        <v>9.5</v>
      </c>
      <c r="O30" s="64">
        <v>0</v>
      </c>
      <c r="P30" s="64">
        <v>0.68</v>
      </c>
      <c r="Q30" s="64">
        <v>9.86</v>
      </c>
      <c r="R30" s="198"/>
      <c r="S30" s="198"/>
      <c r="T30" s="198"/>
      <c r="U30" s="198"/>
    </row>
    <row r="31" spans="1:21" s="12" customFormat="1" x14ac:dyDescent="0.25">
      <c r="A31" s="214" t="s">
        <v>364</v>
      </c>
      <c r="B31" s="64">
        <v>5.29</v>
      </c>
      <c r="C31" s="64">
        <v>10.3</v>
      </c>
      <c r="D31" s="64">
        <v>11.22</v>
      </c>
      <c r="E31" s="64">
        <v>1.75</v>
      </c>
      <c r="F31" s="64">
        <v>0.73</v>
      </c>
      <c r="G31" s="64">
        <v>47.15</v>
      </c>
      <c r="H31" s="64">
        <v>15.91</v>
      </c>
      <c r="I31" s="64">
        <v>1.5</v>
      </c>
      <c r="J31" s="64">
        <v>0.1</v>
      </c>
      <c r="K31" s="64">
        <v>7.91</v>
      </c>
      <c r="L31" s="64">
        <v>23.1</v>
      </c>
      <c r="M31" s="64">
        <v>98.86</v>
      </c>
      <c r="N31" s="64">
        <v>10</v>
      </c>
      <c r="O31" s="64">
        <v>0</v>
      </c>
      <c r="P31" s="64">
        <v>0.69</v>
      </c>
      <c r="Q31" s="64">
        <v>10.87</v>
      </c>
      <c r="R31" s="198"/>
      <c r="S31" s="198"/>
      <c r="T31" s="198"/>
      <c r="U31" s="198"/>
    </row>
    <row r="32" spans="1:21" s="12" customFormat="1" x14ac:dyDescent="0.25">
      <c r="A32" s="214" t="s">
        <v>365</v>
      </c>
      <c r="B32" s="64">
        <v>5.42</v>
      </c>
      <c r="C32" s="64">
        <v>9.65</v>
      </c>
      <c r="D32" s="64">
        <v>10.96</v>
      </c>
      <c r="E32" s="64">
        <v>1.81</v>
      </c>
      <c r="F32" s="64">
        <v>0.74</v>
      </c>
      <c r="G32" s="64">
        <v>47.15</v>
      </c>
      <c r="H32" s="64">
        <v>15.91</v>
      </c>
      <c r="I32" s="64">
        <v>1.44</v>
      </c>
      <c r="J32" s="64">
        <v>0.14000000000000001</v>
      </c>
      <c r="K32" s="64">
        <v>340.97</v>
      </c>
      <c r="L32" s="64">
        <v>23.14</v>
      </c>
      <c r="M32" s="64">
        <v>98.86</v>
      </c>
      <c r="N32" s="64">
        <v>14.1</v>
      </c>
      <c r="O32" s="64">
        <v>0</v>
      </c>
      <c r="P32" s="64">
        <v>0.69</v>
      </c>
      <c r="Q32" s="64">
        <v>10.73</v>
      </c>
      <c r="R32" s="198"/>
      <c r="S32" s="198"/>
      <c r="T32" s="198"/>
      <c r="U32" s="198"/>
    </row>
    <row r="33" spans="1:21" s="12" customFormat="1" x14ac:dyDescent="0.25">
      <c r="A33" s="214" t="s">
        <v>366</v>
      </c>
      <c r="B33" s="64">
        <v>5.73</v>
      </c>
      <c r="C33" s="64">
        <v>9.6</v>
      </c>
      <c r="D33" s="64">
        <v>11.19</v>
      </c>
      <c r="E33" s="64">
        <v>1.1499999999999999</v>
      </c>
      <c r="F33" s="64">
        <v>0.32</v>
      </c>
      <c r="G33" s="64">
        <v>47.15</v>
      </c>
      <c r="H33" s="64">
        <v>15.91</v>
      </c>
      <c r="I33" s="64">
        <v>1.53</v>
      </c>
      <c r="J33" s="64">
        <v>0.14000000000000001</v>
      </c>
      <c r="K33" s="64">
        <v>6.23</v>
      </c>
      <c r="L33" s="64">
        <v>23.24</v>
      </c>
      <c r="M33" s="64">
        <v>98.86</v>
      </c>
      <c r="N33" s="64">
        <v>22.5</v>
      </c>
      <c r="O33" s="64">
        <v>0</v>
      </c>
      <c r="P33" s="64">
        <v>0.68</v>
      </c>
      <c r="Q33" s="64">
        <v>11.08</v>
      </c>
      <c r="R33" s="198"/>
      <c r="S33" s="198"/>
      <c r="T33" s="198"/>
      <c r="U33" s="198"/>
    </row>
    <row r="34" spans="1:21" s="12" customFormat="1" x14ac:dyDescent="0.25">
      <c r="A34" s="214" t="s">
        <v>367</v>
      </c>
      <c r="B34" s="64">
        <v>5.89</v>
      </c>
      <c r="C34" s="64">
        <v>9.48</v>
      </c>
      <c r="D34" s="64">
        <v>11.25</v>
      </c>
      <c r="E34" s="64">
        <v>1.42</v>
      </c>
      <c r="F34" s="64">
        <v>0.63</v>
      </c>
      <c r="G34" s="64">
        <v>50.41</v>
      </c>
      <c r="H34" s="64">
        <v>369.3</v>
      </c>
      <c r="I34" s="64">
        <v>1.49</v>
      </c>
      <c r="J34" s="64">
        <v>0.2</v>
      </c>
      <c r="K34" s="64">
        <v>342.11</v>
      </c>
      <c r="L34" s="64">
        <v>23.32</v>
      </c>
      <c r="M34" s="64">
        <v>98.85</v>
      </c>
      <c r="N34" s="64">
        <v>42.4</v>
      </c>
      <c r="O34" s="64">
        <v>0</v>
      </c>
      <c r="P34" s="64">
        <v>0.69</v>
      </c>
      <c r="Q34" s="64">
        <v>10.67</v>
      </c>
      <c r="R34" s="198"/>
      <c r="S34" s="198"/>
      <c r="T34" s="198"/>
      <c r="U34" s="198"/>
    </row>
    <row r="35" spans="1:21" s="12" customFormat="1" x14ac:dyDescent="0.25">
      <c r="A35" s="214" t="s">
        <v>368</v>
      </c>
      <c r="B35" s="64">
        <v>6.2</v>
      </c>
      <c r="C35" s="64">
        <v>9.98</v>
      </c>
      <c r="D35" s="64">
        <v>11.78</v>
      </c>
      <c r="E35" s="64">
        <v>1.9</v>
      </c>
      <c r="F35" s="64">
        <v>0.26</v>
      </c>
      <c r="G35" s="64">
        <v>50.95</v>
      </c>
      <c r="H35" s="64">
        <v>369.3</v>
      </c>
      <c r="I35" s="64">
        <v>1.52</v>
      </c>
      <c r="J35" s="64">
        <v>0.2</v>
      </c>
      <c r="K35" s="64">
        <v>354.12</v>
      </c>
      <c r="L35" s="64">
        <v>23.6</v>
      </c>
      <c r="M35" s="64">
        <v>98.23</v>
      </c>
      <c r="N35" s="64">
        <v>67.900000000000006</v>
      </c>
      <c r="O35" s="64">
        <v>0</v>
      </c>
      <c r="P35" s="64">
        <v>0.67</v>
      </c>
      <c r="Q35" s="64">
        <v>10.82</v>
      </c>
      <c r="R35" s="198"/>
      <c r="S35" s="198"/>
      <c r="T35" s="198"/>
      <c r="U35" s="198"/>
    </row>
    <row r="36" spans="1:21" s="12" customFormat="1" x14ac:dyDescent="0.25">
      <c r="A36" s="214" t="s">
        <v>369</v>
      </c>
      <c r="B36" s="64">
        <v>6.42</v>
      </c>
      <c r="C36" s="64">
        <v>9.92</v>
      </c>
      <c r="D36" s="64">
        <v>11.92</v>
      </c>
      <c r="E36" s="64">
        <v>1.84</v>
      </c>
      <c r="F36" s="64">
        <v>0.6</v>
      </c>
      <c r="G36" s="64">
        <v>50.95</v>
      </c>
      <c r="H36" s="64">
        <v>369.3</v>
      </c>
      <c r="I36" s="64">
        <v>1.54</v>
      </c>
      <c r="J36" s="64">
        <v>0.2</v>
      </c>
      <c r="K36" s="64">
        <v>3.04</v>
      </c>
      <c r="L36" s="64">
        <v>23.85</v>
      </c>
      <c r="M36" s="64">
        <v>96.88</v>
      </c>
      <c r="N36" s="64">
        <v>91.6</v>
      </c>
      <c r="O36" s="64">
        <v>0</v>
      </c>
      <c r="P36" s="64">
        <v>0.67</v>
      </c>
      <c r="Q36" s="64">
        <v>10.56</v>
      </c>
      <c r="R36" s="198"/>
      <c r="S36" s="198"/>
      <c r="T36" s="198"/>
      <c r="U36" s="198"/>
    </row>
    <row r="37" spans="1:21" s="12" customFormat="1" x14ac:dyDescent="0.25">
      <c r="A37" s="214" t="s">
        <v>370</v>
      </c>
      <c r="B37" s="64">
        <v>6.79</v>
      </c>
      <c r="C37" s="64">
        <v>10.59</v>
      </c>
      <c r="D37" s="64">
        <v>12.58</v>
      </c>
      <c r="E37" s="64">
        <v>1.92</v>
      </c>
      <c r="F37" s="64">
        <v>0.59</v>
      </c>
      <c r="G37" s="64">
        <v>50.95</v>
      </c>
      <c r="H37" s="64">
        <v>369.3</v>
      </c>
      <c r="I37" s="64">
        <v>1.55</v>
      </c>
      <c r="J37" s="64">
        <v>0.21</v>
      </c>
      <c r="K37" s="64">
        <v>1.36</v>
      </c>
      <c r="L37" s="64">
        <v>24.33</v>
      </c>
      <c r="M37" s="64">
        <v>94.57</v>
      </c>
      <c r="N37" s="64">
        <v>132.6</v>
      </c>
      <c r="O37" s="64">
        <v>0</v>
      </c>
      <c r="P37" s="64">
        <v>0.65</v>
      </c>
      <c r="Q37" s="64">
        <v>10.71</v>
      </c>
      <c r="R37" s="198"/>
      <c r="S37" s="198"/>
      <c r="T37" s="198"/>
      <c r="U37" s="198"/>
    </row>
    <row r="38" spans="1:21" s="12" customFormat="1" x14ac:dyDescent="0.25">
      <c r="A38" s="214" t="s">
        <v>371</v>
      </c>
      <c r="B38" s="64">
        <v>7.02</v>
      </c>
      <c r="C38" s="64">
        <v>10.91</v>
      </c>
      <c r="D38" s="64">
        <v>12.95</v>
      </c>
      <c r="E38" s="64">
        <v>1.64</v>
      </c>
      <c r="F38" s="64">
        <v>0.51</v>
      </c>
      <c r="G38" s="64">
        <v>55.03</v>
      </c>
      <c r="H38" s="64">
        <v>20.04</v>
      </c>
      <c r="I38" s="64">
        <v>1.57</v>
      </c>
      <c r="J38" s="64">
        <v>0.27</v>
      </c>
      <c r="K38" s="64">
        <v>327.29000000000002</v>
      </c>
      <c r="L38" s="64">
        <v>24.93</v>
      </c>
      <c r="M38" s="64">
        <v>91.73</v>
      </c>
      <c r="N38" s="64">
        <v>121.4</v>
      </c>
      <c r="O38" s="64">
        <v>0</v>
      </c>
      <c r="P38" s="64">
        <v>0.68</v>
      </c>
      <c r="Q38" s="64">
        <v>10.37</v>
      </c>
      <c r="R38" s="198"/>
      <c r="S38" s="198"/>
      <c r="T38" s="198"/>
      <c r="U38" s="198"/>
    </row>
    <row r="39" spans="1:21" s="12" customFormat="1" x14ac:dyDescent="0.25">
      <c r="A39" s="214" t="s">
        <v>372</v>
      </c>
      <c r="B39" s="64">
        <v>7.29</v>
      </c>
      <c r="C39" s="64">
        <v>10.68</v>
      </c>
      <c r="D39" s="64">
        <v>13.04</v>
      </c>
      <c r="E39" s="64">
        <v>1.34</v>
      </c>
      <c r="F39" s="64">
        <v>0.38</v>
      </c>
      <c r="G39" s="64">
        <v>55.71</v>
      </c>
      <c r="H39" s="64">
        <v>20.04</v>
      </c>
      <c r="I39" s="64">
        <v>1.45</v>
      </c>
      <c r="J39" s="64">
        <v>0.22</v>
      </c>
      <c r="K39" s="64">
        <v>349.46</v>
      </c>
      <c r="L39" s="64">
        <v>25.08</v>
      </c>
      <c r="M39" s="64">
        <v>90.52</v>
      </c>
      <c r="N39" s="64">
        <v>159.1</v>
      </c>
      <c r="O39" s="64">
        <v>0</v>
      </c>
      <c r="P39" s="64">
        <v>0.69</v>
      </c>
      <c r="Q39" s="64">
        <v>10.64</v>
      </c>
      <c r="R39" s="198"/>
      <c r="S39" s="198"/>
      <c r="T39" s="198"/>
      <c r="U39" s="198"/>
    </row>
    <row r="40" spans="1:21" s="12" customFormat="1" x14ac:dyDescent="0.25">
      <c r="A40" s="214" t="s">
        <v>373</v>
      </c>
      <c r="B40" s="64">
        <v>7.54</v>
      </c>
      <c r="C40" s="64">
        <v>10.49</v>
      </c>
      <c r="D40" s="64">
        <v>13.13</v>
      </c>
      <c r="E40" s="64">
        <v>1.17</v>
      </c>
      <c r="F40" s="64">
        <v>0.57999999999999996</v>
      </c>
      <c r="G40" s="64">
        <v>55.71</v>
      </c>
      <c r="H40" s="64">
        <v>20.04</v>
      </c>
      <c r="I40" s="64">
        <v>1.48</v>
      </c>
      <c r="J40" s="64">
        <v>0.23</v>
      </c>
      <c r="K40" s="64">
        <v>351.12</v>
      </c>
      <c r="L40" s="64">
        <v>25.3</v>
      </c>
      <c r="M40" s="64">
        <v>88.69</v>
      </c>
      <c r="N40" s="64">
        <v>124.1</v>
      </c>
      <c r="O40" s="64">
        <v>0</v>
      </c>
      <c r="P40" s="64">
        <v>0.69</v>
      </c>
      <c r="Q40" s="64">
        <v>10.14</v>
      </c>
      <c r="R40" s="198"/>
      <c r="S40" s="198"/>
      <c r="T40" s="198"/>
      <c r="U40" s="198"/>
    </row>
    <row r="41" spans="1:21" s="12" customFormat="1" x14ac:dyDescent="0.25">
      <c r="A41" s="214" t="s">
        <v>374</v>
      </c>
      <c r="B41" s="64">
        <v>7.66</v>
      </c>
      <c r="C41" s="64">
        <v>10.88</v>
      </c>
      <c r="D41" s="64">
        <v>13.44</v>
      </c>
      <c r="E41" s="64">
        <v>1.76</v>
      </c>
      <c r="F41" s="64">
        <v>0.24</v>
      </c>
      <c r="G41" s="64">
        <v>55.71</v>
      </c>
      <c r="H41" s="64">
        <v>20.04</v>
      </c>
      <c r="I41" s="64">
        <v>1.53</v>
      </c>
      <c r="J41" s="64">
        <v>0.22</v>
      </c>
      <c r="K41" s="64">
        <v>349</v>
      </c>
      <c r="L41" s="64">
        <v>25.19</v>
      </c>
      <c r="M41" s="64">
        <v>89.86</v>
      </c>
      <c r="N41" s="64">
        <v>142.69999999999999</v>
      </c>
      <c r="O41" s="64">
        <v>0</v>
      </c>
      <c r="P41" s="64">
        <v>0.7</v>
      </c>
      <c r="Q41" s="64">
        <v>10.73</v>
      </c>
      <c r="R41" s="198"/>
      <c r="S41" s="198"/>
      <c r="T41" s="198"/>
      <c r="U41" s="198"/>
    </row>
    <row r="42" spans="1:21" s="12" customFormat="1" x14ac:dyDescent="0.25">
      <c r="A42" s="214" t="s">
        <v>375</v>
      </c>
      <c r="B42" s="64">
        <v>7.72</v>
      </c>
      <c r="C42" s="64">
        <v>10.85</v>
      </c>
      <c r="D42" s="64">
        <v>13.47</v>
      </c>
      <c r="E42" s="64">
        <v>1.53</v>
      </c>
      <c r="F42" s="64">
        <v>0.73</v>
      </c>
      <c r="G42" s="64">
        <v>57.31</v>
      </c>
      <c r="H42" s="64">
        <v>25.62</v>
      </c>
      <c r="I42" s="64">
        <v>1.5</v>
      </c>
      <c r="J42" s="64">
        <v>0.31</v>
      </c>
      <c r="K42" s="64">
        <v>337.57</v>
      </c>
      <c r="L42" s="64">
        <v>25.81</v>
      </c>
      <c r="M42" s="64">
        <v>87.09</v>
      </c>
      <c r="N42" s="64">
        <v>257.3</v>
      </c>
      <c r="O42" s="64">
        <v>0</v>
      </c>
      <c r="P42" s="64">
        <v>0.69</v>
      </c>
      <c r="Q42" s="64">
        <v>9.51</v>
      </c>
      <c r="R42" s="198"/>
      <c r="S42" s="198"/>
      <c r="T42" s="198"/>
      <c r="U42" s="198"/>
    </row>
    <row r="43" spans="1:21" s="12" customFormat="1" x14ac:dyDescent="0.25">
      <c r="A43" s="214" t="s">
        <v>376</v>
      </c>
      <c r="B43" s="64">
        <v>7.86</v>
      </c>
      <c r="C43" s="64">
        <v>10.8</v>
      </c>
      <c r="D43" s="64">
        <v>13.55</v>
      </c>
      <c r="E43" s="64">
        <v>1.75</v>
      </c>
      <c r="F43" s="64">
        <v>0.67</v>
      </c>
      <c r="G43" s="64">
        <v>57.6</v>
      </c>
      <c r="H43" s="64">
        <v>25.62</v>
      </c>
      <c r="I43" s="64">
        <v>1.5</v>
      </c>
      <c r="J43" s="64">
        <v>0.4</v>
      </c>
      <c r="K43" s="64">
        <v>346.14</v>
      </c>
      <c r="L43" s="64">
        <v>27.37</v>
      </c>
      <c r="M43" s="64">
        <v>79.2</v>
      </c>
      <c r="N43" s="64">
        <v>415.8</v>
      </c>
      <c r="O43" s="64">
        <v>0</v>
      </c>
      <c r="P43" s="64">
        <v>0.7</v>
      </c>
      <c r="Q43" s="64">
        <v>10.6</v>
      </c>
      <c r="R43" s="198"/>
      <c r="S43" s="198"/>
      <c r="T43" s="198"/>
      <c r="U43" s="198"/>
    </row>
    <row r="44" spans="1:21" s="12" customFormat="1" x14ac:dyDescent="0.25">
      <c r="A44" s="214" t="s">
        <v>377</v>
      </c>
      <c r="B44" s="64">
        <v>7.72</v>
      </c>
      <c r="C44" s="64">
        <v>11.55</v>
      </c>
      <c r="D44" s="64">
        <v>13.86</v>
      </c>
      <c r="E44" s="64">
        <v>1.93</v>
      </c>
      <c r="F44" s="64">
        <v>1.03</v>
      </c>
      <c r="G44" s="64">
        <v>57.6</v>
      </c>
      <c r="H44" s="64">
        <v>25.62</v>
      </c>
      <c r="I44" s="64">
        <v>1.57</v>
      </c>
      <c r="J44" s="64">
        <v>0.42</v>
      </c>
      <c r="K44" s="64">
        <v>327.55</v>
      </c>
      <c r="L44" s="64">
        <v>28.81</v>
      </c>
      <c r="M44" s="64">
        <v>73.37</v>
      </c>
      <c r="N44" s="64">
        <v>499.7</v>
      </c>
      <c r="O44" s="64">
        <v>0</v>
      </c>
      <c r="P44" s="64">
        <v>0.69</v>
      </c>
      <c r="Q44" s="64">
        <v>10.34</v>
      </c>
      <c r="R44" s="198"/>
      <c r="S44" s="198"/>
      <c r="T44" s="198"/>
      <c r="U44" s="198"/>
    </row>
    <row r="45" spans="1:21" s="12" customFormat="1" x14ac:dyDescent="0.25">
      <c r="A45" s="214" t="s">
        <v>378</v>
      </c>
      <c r="B45" s="64">
        <v>7.44</v>
      </c>
      <c r="C45" s="64">
        <v>11.51</v>
      </c>
      <c r="D45" s="64">
        <v>13.61</v>
      </c>
      <c r="E45" s="64">
        <v>2.15</v>
      </c>
      <c r="F45" s="64">
        <v>0.53</v>
      </c>
      <c r="G45" s="64">
        <v>57.6</v>
      </c>
      <c r="H45" s="64">
        <v>25.62</v>
      </c>
      <c r="I45" s="64">
        <v>1.45</v>
      </c>
      <c r="J45" s="64">
        <v>0.42</v>
      </c>
      <c r="K45" s="64">
        <v>334.26</v>
      </c>
      <c r="L45" s="64">
        <v>30.13</v>
      </c>
      <c r="M45" s="64">
        <v>67.099999999999994</v>
      </c>
      <c r="N45" s="64">
        <v>485.4</v>
      </c>
      <c r="O45" s="64">
        <v>0</v>
      </c>
      <c r="P45" s="64">
        <v>0.67</v>
      </c>
      <c r="Q45" s="64">
        <v>10.85</v>
      </c>
      <c r="R45" s="198"/>
      <c r="S45" s="198"/>
      <c r="T45" s="198"/>
      <c r="U45" s="198"/>
    </row>
    <row r="46" spans="1:21" s="12" customFormat="1" x14ac:dyDescent="0.25">
      <c r="A46" s="214" t="s">
        <v>379</v>
      </c>
      <c r="B46" s="64">
        <v>6.82</v>
      </c>
      <c r="C46" s="64">
        <v>11.75</v>
      </c>
      <c r="D46" s="64">
        <v>13.24</v>
      </c>
      <c r="E46" s="64">
        <v>2.2000000000000002</v>
      </c>
      <c r="F46" s="64">
        <v>0.89</v>
      </c>
      <c r="G46" s="64">
        <v>56.77</v>
      </c>
      <c r="H46" s="64">
        <v>10.69</v>
      </c>
      <c r="I46" s="64">
        <v>1.45</v>
      </c>
      <c r="J46" s="64">
        <v>0.43</v>
      </c>
      <c r="K46" s="64">
        <v>339.59</v>
      </c>
      <c r="L46" s="64">
        <v>30.33</v>
      </c>
      <c r="M46" s="64">
        <v>65.84</v>
      </c>
      <c r="N46" s="64">
        <v>643.1</v>
      </c>
      <c r="O46" s="64">
        <v>0</v>
      </c>
      <c r="P46" s="64">
        <v>0.66</v>
      </c>
      <c r="Q46" s="64">
        <v>6.86</v>
      </c>
      <c r="R46" s="198"/>
      <c r="S46" s="198"/>
      <c r="T46" s="198"/>
      <c r="U46" s="198"/>
    </row>
    <row r="47" spans="1:21" s="12" customFormat="1" x14ac:dyDescent="0.25">
      <c r="A47" s="214" t="s">
        <v>380</v>
      </c>
      <c r="B47" s="64">
        <v>6.21</v>
      </c>
      <c r="C47" s="64">
        <v>11.67</v>
      </c>
      <c r="D47" s="64">
        <v>12.71</v>
      </c>
      <c r="E47" s="64">
        <v>1.54</v>
      </c>
      <c r="F47" s="64">
        <v>0.52</v>
      </c>
      <c r="G47" s="64">
        <v>56.63</v>
      </c>
      <c r="H47" s="64">
        <v>10.69</v>
      </c>
      <c r="I47" s="64">
        <v>1.51</v>
      </c>
      <c r="J47" s="64">
        <v>0.76</v>
      </c>
      <c r="K47" s="64">
        <v>322.7</v>
      </c>
      <c r="L47" s="64">
        <v>31.71</v>
      </c>
      <c r="M47" s="64">
        <v>62.04</v>
      </c>
      <c r="N47" s="64">
        <v>795.3</v>
      </c>
      <c r="O47" s="64">
        <v>0</v>
      </c>
      <c r="P47" s="64">
        <v>0.66</v>
      </c>
      <c r="Q47" s="212" t="s">
        <v>42</v>
      </c>
      <c r="R47" s="198"/>
      <c r="S47" s="198"/>
      <c r="T47" s="198"/>
      <c r="U47" s="198"/>
    </row>
    <row r="48" spans="1:21" s="12" customFormat="1" x14ac:dyDescent="0.25">
      <c r="A48" s="214" t="s">
        <v>381</v>
      </c>
      <c r="B48" s="64">
        <v>5.66</v>
      </c>
      <c r="C48" s="64">
        <v>11.83</v>
      </c>
      <c r="D48" s="64">
        <v>12.37</v>
      </c>
      <c r="E48" s="64">
        <v>1.65</v>
      </c>
      <c r="F48" s="64">
        <v>0.64</v>
      </c>
      <c r="G48" s="64">
        <v>56.63</v>
      </c>
      <c r="H48" s="64">
        <v>10.69</v>
      </c>
      <c r="I48" s="64">
        <v>1.45</v>
      </c>
      <c r="J48" s="64">
        <v>0.49</v>
      </c>
      <c r="K48" s="64">
        <v>333.62</v>
      </c>
      <c r="L48" s="64">
        <v>33.229999999999997</v>
      </c>
      <c r="M48" s="64">
        <v>56.58</v>
      </c>
      <c r="N48" s="64">
        <v>761.2</v>
      </c>
      <c r="O48" s="64">
        <v>0</v>
      </c>
      <c r="P48" s="64">
        <v>0.64</v>
      </c>
      <c r="Q48" s="212" t="s">
        <v>42</v>
      </c>
      <c r="R48" s="198"/>
      <c r="S48" s="198"/>
      <c r="T48" s="198"/>
      <c r="U48" s="198"/>
    </row>
    <row r="49" spans="1:21" s="12" customFormat="1" x14ac:dyDescent="0.25">
      <c r="A49" s="214" t="s">
        <v>382</v>
      </c>
      <c r="B49" s="64">
        <v>5.42</v>
      </c>
      <c r="C49" s="64">
        <v>11.85</v>
      </c>
      <c r="D49" s="64">
        <v>12.18</v>
      </c>
      <c r="E49" s="64">
        <v>1.61</v>
      </c>
      <c r="F49" s="64">
        <v>0.56000000000000005</v>
      </c>
      <c r="G49" s="64">
        <v>56.63</v>
      </c>
      <c r="H49" s="64">
        <v>10.69</v>
      </c>
      <c r="I49" s="64">
        <v>1.48</v>
      </c>
      <c r="J49" s="64">
        <v>1.08</v>
      </c>
      <c r="K49" s="64">
        <v>325.35000000000002</v>
      </c>
      <c r="L49" s="64">
        <v>33.450000000000003</v>
      </c>
      <c r="M49" s="64">
        <v>55.88</v>
      </c>
      <c r="N49" s="64">
        <v>814.4</v>
      </c>
      <c r="O49" s="64">
        <v>0</v>
      </c>
      <c r="P49" s="64">
        <v>0.65</v>
      </c>
      <c r="Q49" s="212" t="s">
        <v>42</v>
      </c>
      <c r="R49" s="198"/>
      <c r="S49" s="198"/>
      <c r="T49" s="198"/>
      <c r="U49" s="198"/>
    </row>
    <row r="50" spans="1:21" s="12" customFormat="1" x14ac:dyDescent="0.25">
      <c r="A50" s="214" t="s">
        <v>383</v>
      </c>
      <c r="B50" s="64">
        <v>5.55</v>
      </c>
      <c r="C50" s="64">
        <v>12.19</v>
      </c>
      <c r="D50" s="64">
        <v>12.47</v>
      </c>
      <c r="E50" s="64">
        <v>1.32</v>
      </c>
      <c r="F50" s="64">
        <v>0.5</v>
      </c>
      <c r="G50" s="64">
        <v>52.71</v>
      </c>
      <c r="H50" s="64">
        <v>17.5</v>
      </c>
      <c r="I50" s="64">
        <v>1.51</v>
      </c>
      <c r="J50" s="64">
        <v>1.05</v>
      </c>
      <c r="K50" s="64">
        <v>327.52</v>
      </c>
      <c r="L50" s="64">
        <v>34.090000000000003</v>
      </c>
      <c r="M50" s="64">
        <v>53.86</v>
      </c>
      <c r="N50" s="64">
        <v>753.5</v>
      </c>
      <c r="O50" s="64">
        <v>0</v>
      </c>
      <c r="P50" s="64">
        <v>0.65</v>
      </c>
      <c r="Q50" s="212" t="s">
        <v>42</v>
      </c>
      <c r="R50" s="198"/>
      <c r="S50" s="198"/>
      <c r="T50" s="198"/>
      <c r="U50" s="198"/>
    </row>
    <row r="51" spans="1:21" s="12" customFormat="1" x14ac:dyDescent="0.25">
      <c r="A51" s="214" t="s">
        <v>384</v>
      </c>
      <c r="B51" s="64">
        <v>5.71</v>
      </c>
      <c r="C51" s="64">
        <v>11.7</v>
      </c>
      <c r="D51" s="64">
        <v>12.33</v>
      </c>
      <c r="E51" s="64">
        <v>1.25</v>
      </c>
      <c r="F51" s="64">
        <v>0.95</v>
      </c>
      <c r="G51" s="64">
        <v>52.05</v>
      </c>
      <c r="H51" s="64">
        <v>17.5</v>
      </c>
      <c r="I51" s="64">
        <v>1.49</v>
      </c>
      <c r="J51" s="64">
        <v>0.88</v>
      </c>
      <c r="K51" s="64">
        <v>324.89999999999998</v>
      </c>
      <c r="L51" s="64">
        <v>33.659999999999997</v>
      </c>
      <c r="M51" s="64">
        <v>55.95</v>
      </c>
      <c r="N51" s="64">
        <v>658.7</v>
      </c>
      <c r="O51" s="64">
        <v>0</v>
      </c>
      <c r="P51" s="64">
        <v>0.66</v>
      </c>
      <c r="Q51" s="212" t="s">
        <v>42</v>
      </c>
      <c r="R51" s="198"/>
      <c r="S51" s="198"/>
      <c r="T51" s="198"/>
      <c r="U51" s="198"/>
    </row>
    <row r="52" spans="1:21" s="12" customFormat="1" x14ac:dyDescent="0.25">
      <c r="A52" s="214" t="s">
        <v>385</v>
      </c>
      <c r="B52" s="64">
        <v>5.84</v>
      </c>
      <c r="C52" s="64">
        <v>12.01</v>
      </c>
      <c r="D52" s="64">
        <v>12.6</v>
      </c>
      <c r="E52" s="64">
        <v>1.78</v>
      </c>
      <c r="F52" s="64">
        <v>0.5</v>
      </c>
      <c r="G52" s="64">
        <v>52.05</v>
      </c>
      <c r="H52" s="64">
        <v>17.5</v>
      </c>
      <c r="I52" s="64">
        <v>1.54</v>
      </c>
      <c r="J52" s="64">
        <v>0.57999999999999996</v>
      </c>
      <c r="K52" s="64">
        <v>327.62</v>
      </c>
      <c r="L52" s="64">
        <v>33.270000000000003</v>
      </c>
      <c r="M52" s="64">
        <v>55.98</v>
      </c>
      <c r="N52" s="64">
        <v>657.7</v>
      </c>
      <c r="O52" s="64">
        <v>0</v>
      </c>
      <c r="P52" s="64">
        <v>0.67</v>
      </c>
      <c r="Q52" s="212" t="s">
        <v>42</v>
      </c>
      <c r="R52" s="198"/>
      <c r="S52" s="198"/>
      <c r="T52" s="198"/>
      <c r="U52" s="198"/>
    </row>
    <row r="53" spans="1:21" s="12" customFormat="1" x14ac:dyDescent="0.25">
      <c r="A53" s="214" t="s">
        <v>386</v>
      </c>
      <c r="B53" s="64">
        <v>5.85</v>
      </c>
      <c r="C53" s="64">
        <v>12.54</v>
      </c>
      <c r="D53" s="64">
        <v>12.9</v>
      </c>
      <c r="E53" s="64">
        <v>0.82</v>
      </c>
      <c r="F53" s="64">
        <v>0.95</v>
      </c>
      <c r="G53" s="64">
        <v>52.05</v>
      </c>
      <c r="H53" s="64">
        <v>17.5</v>
      </c>
      <c r="I53" s="64">
        <v>1.53</v>
      </c>
      <c r="J53" s="64">
        <v>1.2</v>
      </c>
      <c r="K53" s="64">
        <v>329.7</v>
      </c>
      <c r="L53" s="64">
        <v>33.53</v>
      </c>
      <c r="M53" s="64">
        <v>54.65</v>
      </c>
      <c r="N53" s="64">
        <v>785.6</v>
      </c>
      <c r="O53" s="64">
        <v>0</v>
      </c>
      <c r="P53" s="64">
        <v>0.66</v>
      </c>
      <c r="Q53" s="212" t="s">
        <v>42</v>
      </c>
      <c r="R53" s="198"/>
      <c r="S53" s="198"/>
      <c r="T53" s="198"/>
      <c r="U53" s="198"/>
    </row>
    <row r="54" spans="1:21" s="12" customFormat="1" x14ac:dyDescent="0.25">
      <c r="A54" s="214" t="s">
        <v>387</v>
      </c>
      <c r="B54" s="64">
        <v>5.81</v>
      </c>
      <c r="C54" s="64">
        <v>11.73</v>
      </c>
      <c r="D54" s="64">
        <v>12.43</v>
      </c>
      <c r="E54" s="64">
        <v>1.87</v>
      </c>
      <c r="F54" s="64">
        <v>0.79</v>
      </c>
      <c r="G54" s="64">
        <v>45.6</v>
      </c>
      <c r="H54" s="64">
        <v>6.06</v>
      </c>
      <c r="I54" s="64">
        <v>1.55</v>
      </c>
      <c r="J54" s="64">
        <v>0.8</v>
      </c>
      <c r="K54" s="64">
        <v>322.11</v>
      </c>
      <c r="L54" s="64">
        <v>32.82</v>
      </c>
      <c r="M54" s="64">
        <v>56.07</v>
      </c>
      <c r="N54" s="64">
        <v>613.79999999999995</v>
      </c>
      <c r="O54" s="64">
        <v>0</v>
      </c>
      <c r="P54" s="64">
        <v>0.66</v>
      </c>
      <c r="Q54" s="212" t="s">
        <v>42</v>
      </c>
      <c r="R54" s="198"/>
      <c r="S54" s="198"/>
      <c r="T54" s="198"/>
      <c r="U54" s="198"/>
    </row>
    <row r="55" spans="1:21" s="12" customFormat="1" x14ac:dyDescent="0.25">
      <c r="A55" s="214" t="s">
        <v>388</v>
      </c>
      <c r="B55" s="64">
        <v>5.71</v>
      </c>
      <c r="C55" s="64">
        <v>13.15</v>
      </c>
      <c r="D55" s="64">
        <v>13.13</v>
      </c>
      <c r="E55" s="64">
        <v>2.16</v>
      </c>
      <c r="F55" s="64">
        <v>0.57999999999999996</v>
      </c>
      <c r="G55" s="64">
        <v>44.51</v>
      </c>
      <c r="H55" s="64">
        <v>6.06</v>
      </c>
      <c r="I55" s="64">
        <v>1.49</v>
      </c>
      <c r="J55" s="64">
        <v>0.62</v>
      </c>
      <c r="K55" s="64">
        <v>331.4</v>
      </c>
      <c r="L55" s="64">
        <v>32.479999999999997</v>
      </c>
      <c r="M55" s="64">
        <v>56.15</v>
      </c>
      <c r="N55" s="64">
        <v>684.2</v>
      </c>
      <c r="O55" s="64">
        <v>0</v>
      </c>
      <c r="P55" s="64">
        <v>0.65</v>
      </c>
      <c r="Q55" s="212" t="s">
        <v>42</v>
      </c>
      <c r="R55" s="198"/>
      <c r="S55" s="198"/>
      <c r="T55" s="198"/>
      <c r="U55" s="198"/>
    </row>
    <row r="56" spans="1:21" s="12" customFormat="1" x14ac:dyDescent="0.25">
      <c r="A56" s="214" t="s">
        <v>389</v>
      </c>
      <c r="B56" s="64">
        <v>5.33</v>
      </c>
      <c r="C56" s="64">
        <v>13.19</v>
      </c>
      <c r="D56" s="64">
        <v>12.84</v>
      </c>
      <c r="E56" s="64">
        <v>0.94</v>
      </c>
      <c r="F56" s="64">
        <v>0.99</v>
      </c>
      <c r="G56" s="64">
        <v>44.51</v>
      </c>
      <c r="H56" s="64">
        <v>6.06</v>
      </c>
      <c r="I56" s="64">
        <v>1.43</v>
      </c>
      <c r="J56" s="64">
        <v>0.44</v>
      </c>
      <c r="K56" s="64">
        <v>323.60000000000002</v>
      </c>
      <c r="L56" s="64">
        <v>33.130000000000003</v>
      </c>
      <c r="M56" s="64">
        <v>54.8</v>
      </c>
      <c r="N56" s="64">
        <v>602.79999999999995</v>
      </c>
      <c r="O56" s="64">
        <v>0</v>
      </c>
      <c r="P56" s="64">
        <v>0.65</v>
      </c>
      <c r="Q56" s="212" t="s">
        <v>42</v>
      </c>
      <c r="R56" s="198"/>
      <c r="S56" s="198"/>
      <c r="T56" s="198"/>
      <c r="U56" s="198"/>
    </row>
    <row r="57" spans="1:21" s="12" customFormat="1" x14ac:dyDescent="0.25">
      <c r="A57" s="214" t="s">
        <v>390</v>
      </c>
      <c r="B57" s="64">
        <v>5.3</v>
      </c>
      <c r="C57" s="64">
        <v>13.43</v>
      </c>
      <c r="D57" s="64">
        <v>12.96</v>
      </c>
      <c r="E57" s="64">
        <v>1.7</v>
      </c>
      <c r="F57" s="64">
        <v>0.56000000000000005</v>
      </c>
      <c r="G57" s="64">
        <v>44.51</v>
      </c>
      <c r="H57" s="64">
        <v>6.06</v>
      </c>
      <c r="I57" s="64">
        <v>1.42</v>
      </c>
      <c r="J57" s="64">
        <v>1.19</v>
      </c>
      <c r="K57" s="64">
        <v>324.70999999999998</v>
      </c>
      <c r="L57" s="64">
        <v>31.79</v>
      </c>
      <c r="M57" s="64">
        <v>57.26</v>
      </c>
      <c r="N57" s="64">
        <v>347.8</v>
      </c>
      <c r="O57" s="64">
        <v>0</v>
      </c>
      <c r="P57" s="64">
        <v>0.63</v>
      </c>
      <c r="Q57" s="212" t="s">
        <v>42</v>
      </c>
      <c r="R57" s="198"/>
      <c r="S57" s="198"/>
      <c r="T57" s="198"/>
      <c r="U57" s="198"/>
    </row>
    <row r="58" spans="1:21" s="12" customFormat="1" x14ac:dyDescent="0.25">
      <c r="A58" s="214" t="s">
        <v>391</v>
      </c>
      <c r="B58" s="64">
        <v>5.47</v>
      </c>
      <c r="C58" s="64">
        <v>13.4</v>
      </c>
      <c r="D58" s="64">
        <v>13.07</v>
      </c>
      <c r="E58" s="64">
        <v>1.44</v>
      </c>
      <c r="F58" s="64">
        <v>1.02</v>
      </c>
      <c r="G58" s="64">
        <v>44.41</v>
      </c>
      <c r="H58" s="64">
        <v>3.75</v>
      </c>
      <c r="I58" s="64">
        <v>1.52</v>
      </c>
      <c r="J58" s="64">
        <v>1.43</v>
      </c>
      <c r="K58" s="64">
        <v>325.7</v>
      </c>
      <c r="L58" s="64">
        <v>32.19</v>
      </c>
      <c r="M58" s="64">
        <v>57.34</v>
      </c>
      <c r="N58" s="64">
        <v>884.2</v>
      </c>
      <c r="O58" s="64">
        <v>0</v>
      </c>
      <c r="P58" s="64">
        <v>0.62</v>
      </c>
      <c r="Q58" s="212" t="s">
        <v>42</v>
      </c>
      <c r="R58" s="198"/>
      <c r="S58" s="198"/>
      <c r="T58" s="198"/>
      <c r="U58" s="198"/>
    </row>
    <row r="59" spans="1:21" s="12" customFormat="1" x14ac:dyDescent="0.25">
      <c r="A59" s="214" t="s">
        <v>392</v>
      </c>
      <c r="B59" s="64">
        <v>5.53</v>
      </c>
      <c r="C59" s="64">
        <v>12.9</v>
      </c>
      <c r="D59" s="64">
        <v>12.85</v>
      </c>
      <c r="E59" s="64">
        <v>1.58</v>
      </c>
      <c r="F59" s="64">
        <v>0.53</v>
      </c>
      <c r="G59" s="64">
        <v>44.39</v>
      </c>
      <c r="H59" s="64">
        <v>3.75</v>
      </c>
      <c r="I59" s="64">
        <v>1.48</v>
      </c>
      <c r="J59" s="64">
        <v>1.34</v>
      </c>
      <c r="K59" s="64">
        <v>323.19</v>
      </c>
      <c r="L59" s="64">
        <v>33.31</v>
      </c>
      <c r="M59" s="64">
        <v>53.69</v>
      </c>
      <c r="N59" s="64">
        <v>561.70000000000005</v>
      </c>
      <c r="O59" s="64">
        <v>0</v>
      </c>
      <c r="P59" s="64">
        <v>0.62</v>
      </c>
      <c r="Q59" s="212" t="s">
        <v>42</v>
      </c>
      <c r="R59" s="198"/>
      <c r="S59" s="198"/>
      <c r="T59" s="198"/>
      <c r="U59" s="198"/>
    </row>
    <row r="60" spans="1:21" s="12" customFormat="1" x14ac:dyDescent="0.25">
      <c r="A60" s="214" t="s">
        <v>393</v>
      </c>
      <c r="B60" s="64">
        <v>5.62</v>
      </c>
      <c r="C60" s="64">
        <v>13.52</v>
      </c>
      <c r="D60" s="64">
        <v>13.26</v>
      </c>
      <c r="E60" s="64">
        <v>0.94</v>
      </c>
      <c r="F60" s="64">
        <v>0.73</v>
      </c>
      <c r="G60" s="64">
        <v>44.39</v>
      </c>
      <c r="H60" s="64">
        <v>3.75</v>
      </c>
      <c r="I60" s="64">
        <v>1.53</v>
      </c>
      <c r="J60" s="64">
        <v>1.36</v>
      </c>
      <c r="K60" s="64">
        <v>327.57</v>
      </c>
      <c r="L60" s="64">
        <v>32.049999999999997</v>
      </c>
      <c r="M60" s="64">
        <v>58.16</v>
      </c>
      <c r="N60" s="64">
        <v>578.70000000000005</v>
      </c>
      <c r="O60" s="64">
        <v>0</v>
      </c>
      <c r="P60" s="64">
        <v>0.61</v>
      </c>
      <c r="Q60" s="212" t="s">
        <v>42</v>
      </c>
      <c r="R60" s="198"/>
      <c r="S60" s="198"/>
      <c r="T60" s="198"/>
      <c r="U60" s="198"/>
    </row>
    <row r="61" spans="1:21" s="12" customFormat="1" x14ac:dyDescent="0.25">
      <c r="A61" s="214" t="s">
        <v>394</v>
      </c>
      <c r="B61" s="64">
        <v>5.78</v>
      </c>
      <c r="C61" s="64">
        <v>13.35</v>
      </c>
      <c r="D61" s="64">
        <v>13.29</v>
      </c>
      <c r="E61" s="64">
        <v>0.85</v>
      </c>
      <c r="F61" s="64">
        <v>0.86</v>
      </c>
      <c r="G61" s="64">
        <v>44.39</v>
      </c>
      <c r="H61" s="64">
        <v>3.75</v>
      </c>
      <c r="I61" s="64">
        <v>1.51</v>
      </c>
      <c r="J61" s="64">
        <v>0.93</v>
      </c>
      <c r="K61" s="64">
        <v>330.22</v>
      </c>
      <c r="L61" s="64">
        <v>32.17</v>
      </c>
      <c r="M61" s="64">
        <v>57.7</v>
      </c>
      <c r="N61" s="64">
        <v>633.4</v>
      </c>
      <c r="O61" s="64">
        <v>0</v>
      </c>
      <c r="P61" s="64">
        <v>0.57999999999999996</v>
      </c>
      <c r="Q61" s="212" t="s">
        <v>42</v>
      </c>
      <c r="R61" s="198"/>
      <c r="S61" s="198"/>
      <c r="T61" s="198"/>
      <c r="U61" s="198"/>
    </row>
    <row r="62" spans="1:21" s="12" customFormat="1" x14ac:dyDescent="0.25">
      <c r="A62" s="214" t="s">
        <v>395</v>
      </c>
      <c r="B62" s="64">
        <v>5.96</v>
      </c>
      <c r="C62" s="64">
        <v>12.92</v>
      </c>
      <c r="D62" s="64">
        <v>13.2</v>
      </c>
      <c r="E62" s="64">
        <v>0.71</v>
      </c>
      <c r="F62" s="64">
        <v>0.96</v>
      </c>
      <c r="G62" s="64">
        <v>40.89</v>
      </c>
      <c r="H62" s="64">
        <v>1.27</v>
      </c>
      <c r="I62" s="64">
        <v>1.43</v>
      </c>
      <c r="J62" s="64">
        <v>1.46</v>
      </c>
      <c r="K62" s="64">
        <v>324.95999999999998</v>
      </c>
      <c r="L62" s="64">
        <v>32.57</v>
      </c>
      <c r="M62" s="64">
        <v>54.84</v>
      </c>
      <c r="N62" s="64">
        <v>648.9</v>
      </c>
      <c r="O62" s="64">
        <v>0</v>
      </c>
      <c r="P62" s="64">
        <v>0.6</v>
      </c>
      <c r="Q62" s="212" t="s">
        <v>42</v>
      </c>
      <c r="R62" s="198"/>
      <c r="S62" s="198"/>
      <c r="T62" s="198"/>
      <c r="U62" s="198"/>
    </row>
    <row r="63" spans="1:21" s="12" customFormat="1" x14ac:dyDescent="0.25">
      <c r="A63" s="214" t="s">
        <v>396</v>
      </c>
      <c r="B63" s="64">
        <v>6.05</v>
      </c>
      <c r="C63" s="64">
        <v>12.74</v>
      </c>
      <c r="D63" s="64">
        <v>13.17</v>
      </c>
      <c r="E63" s="64">
        <v>1.73</v>
      </c>
      <c r="F63" s="64">
        <v>0.62</v>
      </c>
      <c r="G63" s="64">
        <v>40.29</v>
      </c>
      <c r="H63" s="64">
        <v>1.27</v>
      </c>
      <c r="I63" s="64">
        <v>1.51</v>
      </c>
      <c r="J63" s="64">
        <v>0.89</v>
      </c>
      <c r="K63" s="64">
        <v>322.58999999999997</v>
      </c>
      <c r="L63" s="64">
        <v>32.31</v>
      </c>
      <c r="M63" s="64">
        <v>56.01</v>
      </c>
      <c r="N63" s="64">
        <v>490.8</v>
      </c>
      <c r="O63" s="64">
        <v>0</v>
      </c>
      <c r="P63" s="64">
        <v>0.59</v>
      </c>
      <c r="Q63" s="212" t="s">
        <v>42</v>
      </c>
      <c r="R63" s="198"/>
      <c r="S63" s="198"/>
      <c r="T63" s="198"/>
      <c r="U63" s="198"/>
    </row>
    <row r="64" spans="1:21" s="12" customFormat="1" x14ac:dyDescent="0.25">
      <c r="A64" s="214" t="s">
        <v>397</v>
      </c>
      <c r="B64" s="64">
        <v>5.89</v>
      </c>
      <c r="C64" s="64">
        <v>13.14</v>
      </c>
      <c r="D64" s="64">
        <v>13.27</v>
      </c>
      <c r="E64" s="64">
        <v>0.86</v>
      </c>
      <c r="F64" s="64">
        <v>0.76</v>
      </c>
      <c r="G64" s="64">
        <v>40.29</v>
      </c>
      <c r="H64" s="64">
        <v>1.27</v>
      </c>
      <c r="I64" s="64">
        <v>1.46</v>
      </c>
      <c r="J64" s="64">
        <v>0.36</v>
      </c>
      <c r="K64" s="64">
        <v>341.06</v>
      </c>
      <c r="L64" s="64">
        <v>31.9</v>
      </c>
      <c r="M64" s="64">
        <v>58.2</v>
      </c>
      <c r="N64" s="64">
        <v>461.1</v>
      </c>
      <c r="O64" s="64">
        <v>0</v>
      </c>
      <c r="P64" s="64">
        <v>0.59</v>
      </c>
      <c r="Q64" s="212" t="s">
        <v>42</v>
      </c>
      <c r="R64" s="198"/>
      <c r="S64" s="198"/>
      <c r="T64" s="198"/>
      <c r="U64" s="198"/>
    </row>
    <row r="65" spans="1:21" s="12" customFormat="1" x14ac:dyDescent="0.25">
      <c r="A65" s="214" t="s">
        <v>398</v>
      </c>
      <c r="B65" s="64">
        <v>5.76</v>
      </c>
      <c r="C65" s="64">
        <v>12.47</v>
      </c>
      <c r="D65" s="64">
        <v>12.79</v>
      </c>
      <c r="E65" s="64">
        <v>1.04</v>
      </c>
      <c r="F65" s="64">
        <v>1.1299999999999999</v>
      </c>
      <c r="G65" s="64">
        <v>40.29</v>
      </c>
      <c r="H65" s="64">
        <v>1.27</v>
      </c>
      <c r="I65" s="64">
        <v>1.45</v>
      </c>
      <c r="J65" s="64">
        <v>0.85</v>
      </c>
      <c r="K65" s="64">
        <v>332.2</v>
      </c>
      <c r="L65" s="64">
        <v>31.1</v>
      </c>
      <c r="M65" s="64">
        <v>57.98</v>
      </c>
      <c r="N65" s="64">
        <v>239.1</v>
      </c>
      <c r="O65" s="64">
        <v>0</v>
      </c>
      <c r="P65" s="64">
        <v>0.57999999999999996</v>
      </c>
      <c r="Q65" s="212" t="s">
        <v>42</v>
      </c>
      <c r="R65" s="198"/>
      <c r="S65" s="198"/>
      <c r="T65" s="198"/>
      <c r="U65" s="198"/>
    </row>
    <row r="66" spans="1:21" s="12" customFormat="1" x14ac:dyDescent="0.25">
      <c r="A66" s="214" t="s">
        <v>399</v>
      </c>
      <c r="B66" s="64">
        <v>5.63</v>
      </c>
      <c r="C66" s="64">
        <v>13.1</v>
      </c>
      <c r="D66" s="64">
        <v>13.04</v>
      </c>
      <c r="E66" s="64">
        <v>1.51</v>
      </c>
      <c r="F66" s="64">
        <v>0.46</v>
      </c>
      <c r="G66" s="64">
        <v>39.020000000000003</v>
      </c>
      <c r="H66" s="64">
        <v>9.93</v>
      </c>
      <c r="I66" s="64">
        <v>1.42</v>
      </c>
      <c r="J66" s="64">
        <v>0.79</v>
      </c>
      <c r="K66" s="64">
        <v>322.58</v>
      </c>
      <c r="L66" s="64">
        <v>30.77</v>
      </c>
      <c r="M66" s="64">
        <v>57.56</v>
      </c>
      <c r="N66" s="64">
        <v>237.5</v>
      </c>
      <c r="O66" s="64">
        <v>0</v>
      </c>
      <c r="P66" s="64">
        <v>0.56000000000000005</v>
      </c>
      <c r="Q66" s="212" t="s">
        <v>42</v>
      </c>
      <c r="R66" s="198"/>
      <c r="S66" s="198"/>
      <c r="T66" s="198"/>
      <c r="U66" s="198"/>
    </row>
    <row r="67" spans="1:21" s="12" customFormat="1" x14ac:dyDescent="0.25">
      <c r="A67" s="214" t="s">
        <v>400</v>
      </c>
      <c r="B67" s="64">
        <v>5.27</v>
      </c>
      <c r="C67" s="64">
        <v>13.97</v>
      </c>
      <c r="D67" s="64">
        <v>13.22</v>
      </c>
      <c r="E67" s="64">
        <v>1.31</v>
      </c>
      <c r="F67" s="64">
        <v>0.95</v>
      </c>
      <c r="G67" s="64">
        <v>38.81</v>
      </c>
      <c r="H67" s="64">
        <v>9.93</v>
      </c>
      <c r="I67" s="64">
        <v>1.55</v>
      </c>
      <c r="J67" s="64">
        <v>0.79</v>
      </c>
      <c r="K67" s="64">
        <v>329.07</v>
      </c>
      <c r="L67" s="64">
        <v>30.78</v>
      </c>
      <c r="M67" s="64">
        <v>58.09</v>
      </c>
      <c r="N67" s="64">
        <v>163.19999999999999</v>
      </c>
      <c r="O67" s="64">
        <v>0</v>
      </c>
      <c r="P67" s="64">
        <v>0.55000000000000004</v>
      </c>
      <c r="Q67" s="212" t="s">
        <v>42</v>
      </c>
      <c r="R67" s="198"/>
      <c r="S67" s="198"/>
      <c r="T67" s="198"/>
      <c r="U67" s="198"/>
    </row>
    <row r="68" spans="1:21" s="12" customFormat="1" x14ac:dyDescent="0.25">
      <c r="A68" s="214" t="s">
        <v>401</v>
      </c>
      <c r="B68" s="64">
        <v>5.32</v>
      </c>
      <c r="C68" s="64">
        <v>12.96</v>
      </c>
      <c r="D68" s="64">
        <v>12.71</v>
      </c>
      <c r="E68" s="64">
        <v>1.1499999999999999</v>
      </c>
      <c r="F68" s="64">
        <v>0.9</v>
      </c>
      <c r="G68" s="64">
        <v>38.81</v>
      </c>
      <c r="H68" s="64">
        <v>9.93</v>
      </c>
      <c r="I68" s="64">
        <v>1.55</v>
      </c>
      <c r="J68" s="64">
        <v>0.56999999999999995</v>
      </c>
      <c r="K68" s="64">
        <v>322.5</v>
      </c>
      <c r="L68" s="64">
        <v>30.09</v>
      </c>
      <c r="M68" s="64">
        <v>60.62</v>
      </c>
      <c r="N68" s="64">
        <v>148.80000000000001</v>
      </c>
      <c r="O68" s="64">
        <v>0</v>
      </c>
      <c r="P68" s="64">
        <v>0.56000000000000005</v>
      </c>
      <c r="Q68" s="212" t="s">
        <v>42</v>
      </c>
      <c r="R68" s="198"/>
      <c r="S68" s="198"/>
      <c r="T68" s="198"/>
      <c r="U68" s="198"/>
    </row>
    <row r="69" spans="1:21" s="12" customFormat="1" x14ac:dyDescent="0.25">
      <c r="A69" s="214" t="s">
        <v>402</v>
      </c>
      <c r="B69" s="64">
        <v>5.51</v>
      </c>
      <c r="C69" s="64">
        <v>13.61</v>
      </c>
      <c r="D69" s="64">
        <v>13.22</v>
      </c>
      <c r="E69" s="64">
        <v>0.91</v>
      </c>
      <c r="F69" s="64">
        <v>0.56000000000000005</v>
      </c>
      <c r="G69" s="64">
        <v>38.81</v>
      </c>
      <c r="H69" s="64">
        <v>9.93</v>
      </c>
      <c r="I69" s="64">
        <v>1.54</v>
      </c>
      <c r="J69" s="64">
        <v>0.44</v>
      </c>
      <c r="K69" s="64">
        <v>327.08</v>
      </c>
      <c r="L69" s="64">
        <v>29.56</v>
      </c>
      <c r="M69" s="64">
        <v>63.18</v>
      </c>
      <c r="N69" s="64">
        <v>120.3</v>
      </c>
      <c r="O69" s="64">
        <v>0</v>
      </c>
      <c r="P69" s="64">
        <v>0.55000000000000004</v>
      </c>
      <c r="Q69" s="212" t="s">
        <v>42</v>
      </c>
      <c r="R69" s="198"/>
      <c r="S69" s="198"/>
      <c r="T69" s="198"/>
      <c r="U69" s="198"/>
    </row>
    <row r="70" spans="1:21" s="12" customFormat="1" x14ac:dyDescent="0.25">
      <c r="A70" s="214" t="s">
        <v>403</v>
      </c>
      <c r="B70" s="64">
        <v>5.73</v>
      </c>
      <c r="C70" s="64">
        <v>13.43</v>
      </c>
      <c r="D70" s="64">
        <v>13.3</v>
      </c>
      <c r="E70" s="64">
        <v>0.87</v>
      </c>
      <c r="F70" s="64">
        <v>0.97</v>
      </c>
      <c r="G70" s="64">
        <v>36.74</v>
      </c>
      <c r="H70" s="64">
        <v>6.41</v>
      </c>
      <c r="I70" s="64">
        <v>1.52</v>
      </c>
      <c r="J70" s="64">
        <v>0.22</v>
      </c>
      <c r="K70" s="64">
        <v>349.55</v>
      </c>
      <c r="L70" s="64">
        <v>29.06</v>
      </c>
      <c r="M70" s="64">
        <v>65.58</v>
      </c>
      <c r="N70" s="64">
        <v>101.3</v>
      </c>
      <c r="O70" s="64">
        <v>0</v>
      </c>
      <c r="P70" s="64">
        <v>0.56000000000000005</v>
      </c>
      <c r="Q70" s="212" t="s">
        <v>42</v>
      </c>
      <c r="R70" s="198"/>
      <c r="S70" s="198"/>
      <c r="T70" s="198"/>
      <c r="U70" s="198"/>
    </row>
    <row r="71" spans="1:21" s="12" customFormat="1" x14ac:dyDescent="0.25">
      <c r="A71" s="214" t="s">
        <v>404</v>
      </c>
      <c r="B71" s="64">
        <v>5.87</v>
      </c>
      <c r="C71" s="64">
        <v>13.05</v>
      </c>
      <c r="D71" s="64">
        <v>13.2</v>
      </c>
      <c r="E71" s="64">
        <v>1.33</v>
      </c>
      <c r="F71" s="64">
        <v>0.52</v>
      </c>
      <c r="G71" s="64">
        <v>36.39</v>
      </c>
      <c r="H71" s="64">
        <v>6.41</v>
      </c>
      <c r="I71" s="64">
        <v>1.49</v>
      </c>
      <c r="J71" s="64">
        <v>0.16</v>
      </c>
      <c r="K71" s="64">
        <v>17.43</v>
      </c>
      <c r="L71" s="64">
        <v>28.37</v>
      </c>
      <c r="M71" s="64">
        <v>69.349999999999994</v>
      </c>
      <c r="N71" s="64">
        <v>100</v>
      </c>
      <c r="O71" s="64">
        <v>0</v>
      </c>
      <c r="P71" s="64">
        <v>0.56000000000000005</v>
      </c>
      <c r="Q71" s="212" t="s">
        <v>42</v>
      </c>
      <c r="R71" s="198"/>
      <c r="S71" s="198"/>
      <c r="T71" s="198"/>
      <c r="U71" s="198"/>
    </row>
    <row r="72" spans="1:21" s="12" customFormat="1" x14ac:dyDescent="0.25">
      <c r="A72" s="214" t="s">
        <v>405</v>
      </c>
      <c r="B72" s="64">
        <v>5.62</v>
      </c>
      <c r="C72" s="64">
        <v>13.8</v>
      </c>
      <c r="D72" s="64">
        <v>13.42</v>
      </c>
      <c r="E72" s="64">
        <v>1.29</v>
      </c>
      <c r="F72" s="64">
        <v>0.59</v>
      </c>
      <c r="G72" s="64">
        <v>36.39</v>
      </c>
      <c r="H72" s="64">
        <v>6.41</v>
      </c>
      <c r="I72" s="64">
        <v>1.5</v>
      </c>
      <c r="J72" s="64">
        <v>0.08</v>
      </c>
      <c r="K72" s="64">
        <v>347.22</v>
      </c>
      <c r="L72" s="64">
        <v>27.71</v>
      </c>
      <c r="M72" s="64">
        <v>77.12</v>
      </c>
      <c r="N72" s="64">
        <v>85.6</v>
      </c>
      <c r="O72" s="64">
        <v>0</v>
      </c>
      <c r="P72" s="64">
        <v>0.59</v>
      </c>
      <c r="Q72" s="212" t="s">
        <v>42</v>
      </c>
      <c r="R72" s="198"/>
      <c r="S72" s="198"/>
      <c r="T72" s="198"/>
      <c r="U72" s="198"/>
    </row>
    <row r="73" spans="1:21" s="12" customFormat="1" x14ac:dyDescent="0.25">
      <c r="A73" s="214" t="s">
        <v>406</v>
      </c>
      <c r="B73" s="64">
        <v>5.21</v>
      </c>
      <c r="C73" s="64">
        <v>13.82</v>
      </c>
      <c r="D73" s="64">
        <v>13.09</v>
      </c>
      <c r="E73" s="64">
        <v>0.95</v>
      </c>
      <c r="F73" s="64">
        <v>0.56999999999999995</v>
      </c>
      <c r="G73" s="64">
        <v>36.39</v>
      </c>
      <c r="H73" s="64">
        <v>6.41</v>
      </c>
      <c r="I73" s="64">
        <v>1.38</v>
      </c>
      <c r="J73" s="64">
        <v>0.19</v>
      </c>
      <c r="K73" s="64">
        <v>10.88</v>
      </c>
      <c r="L73" s="64">
        <v>27.31</v>
      </c>
      <c r="M73" s="64">
        <v>79.819999999999993</v>
      </c>
      <c r="N73" s="64">
        <v>76.2</v>
      </c>
      <c r="O73" s="64">
        <v>0</v>
      </c>
      <c r="P73" s="64">
        <v>0.61</v>
      </c>
      <c r="Q73" s="212" t="s">
        <v>42</v>
      </c>
      <c r="R73" s="198"/>
      <c r="S73" s="198"/>
      <c r="T73" s="198"/>
      <c r="U73" s="198"/>
    </row>
    <row r="74" spans="1:21" s="12" customFormat="1" x14ac:dyDescent="0.25">
      <c r="A74" s="214" t="s">
        <v>407</v>
      </c>
      <c r="B74" s="64">
        <v>5.01</v>
      </c>
      <c r="C74" s="64">
        <v>12.94</v>
      </c>
      <c r="D74" s="64">
        <v>12.45</v>
      </c>
      <c r="E74" s="64">
        <v>0.47</v>
      </c>
      <c r="F74" s="64">
        <v>0.77</v>
      </c>
      <c r="G74" s="64">
        <v>39.950000000000003</v>
      </c>
      <c r="H74" s="64">
        <v>12.13</v>
      </c>
      <c r="I74" s="64">
        <v>1.57</v>
      </c>
      <c r="J74" s="64">
        <v>0.11</v>
      </c>
      <c r="K74" s="64">
        <v>9.74</v>
      </c>
      <c r="L74" s="64">
        <v>27.31</v>
      </c>
      <c r="M74" s="64">
        <v>79.930000000000007</v>
      </c>
      <c r="N74" s="64">
        <v>66.099999999999994</v>
      </c>
      <c r="O74" s="64">
        <v>0</v>
      </c>
      <c r="P74" s="64">
        <v>0.59</v>
      </c>
      <c r="Q74" s="212" t="s">
        <v>42</v>
      </c>
      <c r="R74" s="198"/>
      <c r="S74" s="198"/>
      <c r="T74" s="198"/>
      <c r="U74" s="198"/>
    </row>
    <row r="75" spans="1:21" s="12" customFormat="1" x14ac:dyDescent="0.25">
      <c r="A75" s="214" t="s">
        <v>408</v>
      </c>
      <c r="B75" s="64">
        <v>5.09</v>
      </c>
      <c r="C75" s="64">
        <v>13.18</v>
      </c>
      <c r="D75" s="64">
        <v>12.65</v>
      </c>
      <c r="E75" s="64">
        <v>1.0900000000000001</v>
      </c>
      <c r="F75" s="64">
        <v>0.4</v>
      </c>
      <c r="G75" s="64">
        <v>40.549999999999997</v>
      </c>
      <c r="H75" s="64">
        <v>12.13</v>
      </c>
      <c r="I75" s="64">
        <v>1.38</v>
      </c>
      <c r="J75" s="64">
        <v>0.17</v>
      </c>
      <c r="K75" s="64">
        <v>16</v>
      </c>
      <c r="L75" s="64">
        <v>27.23</v>
      </c>
      <c r="M75" s="64">
        <v>79.02</v>
      </c>
      <c r="N75" s="64">
        <v>43.8</v>
      </c>
      <c r="O75" s="64">
        <v>0</v>
      </c>
      <c r="P75" s="64">
        <v>0.62</v>
      </c>
      <c r="Q75" s="212" t="s">
        <v>42</v>
      </c>
      <c r="R75" s="198"/>
      <c r="S75" s="198"/>
      <c r="T75" s="198"/>
      <c r="U75" s="198"/>
    </row>
    <row r="76" spans="1:21" s="12" customFormat="1" x14ac:dyDescent="0.25">
      <c r="A76" s="214" t="s">
        <v>409</v>
      </c>
      <c r="B76" s="64">
        <v>5.17</v>
      </c>
      <c r="C76" s="64">
        <v>13.19</v>
      </c>
      <c r="D76" s="64">
        <v>12.72</v>
      </c>
      <c r="E76" s="64">
        <v>0.51</v>
      </c>
      <c r="F76" s="64">
        <v>0.76</v>
      </c>
      <c r="G76" s="64">
        <v>40.549999999999997</v>
      </c>
      <c r="H76" s="64">
        <v>12.13</v>
      </c>
      <c r="I76" s="64">
        <v>1.51</v>
      </c>
      <c r="J76" s="64">
        <v>0.32</v>
      </c>
      <c r="K76" s="64">
        <v>17.86</v>
      </c>
      <c r="L76" s="64">
        <v>27.02</v>
      </c>
      <c r="M76" s="64">
        <v>79.349999999999994</v>
      </c>
      <c r="N76" s="64">
        <v>44.4</v>
      </c>
      <c r="O76" s="64">
        <v>0</v>
      </c>
      <c r="P76" s="64">
        <v>0.62</v>
      </c>
      <c r="Q76" s="212" t="s">
        <v>42</v>
      </c>
      <c r="R76" s="198"/>
      <c r="S76" s="198"/>
      <c r="T76" s="198"/>
      <c r="U76" s="198"/>
    </row>
    <row r="77" spans="1:21" s="12" customFormat="1" x14ac:dyDescent="0.25">
      <c r="A77" s="214" t="s">
        <v>410</v>
      </c>
      <c r="B77" s="64">
        <v>5.16</v>
      </c>
      <c r="C77" s="64">
        <v>13.33</v>
      </c>
      <c r="D77" s="64">
        <v>12.79</v>
      </c>
      <c r="E77" s="64">
        <v>1.1299999999999999</v>
      </c>
      <c r="F77" s="64">
        <v>0.77</v>
      </c>
      <c r="G77" s="64">
        <v>40.549999999999997</v>
      </c>
      <c r="H77" s="64">
        <v>12.13</v>
      </c>
      <c r="I77" s="64">
        <v>1.44</v>
      </c>
      <c r="J77" s="64">
        <v>0.33</v>
      </c>
      <c r="K77" s="64">
        <v>17.440000000000001</v>
      </c>
      <c r="L77" s="64">
        <v>26.35</v>
      </c>
      <c r="M77" s="64">
        <v>82.05</v>
      </c>
      <c r="N77" s="64">
        <v>33.299999999999997</v>
      </c>
      <c r="O77" s="64">
        <v>0</v>
      </c>
      <c r="P77" s="64">
        <v>0.61</v>
      </c>
      <c r="Q77" s="212" t="s">
        <v>42</v>
      </c>
      <c r="R77" s="198"/>
      <c r="S77" s="198"/>
      <c r="T77" s="198"/>
      <c r="U77" s="198"/>
    </row>
    <row r="78" spans="1:21" s="12" customFormat="1" x14ac:dyDescent="0.25">
      <c r="A78" s="214" t="s">
        <v>411</v>
      </c>
      <c r="B78" s="64">
        <v>5.14</v>
      </c>
      <c r="C78" s="64">
        <v>15.11</v>
      </c>
      <c r="D78" s="64">
        <v>13.75</v>
      </c>
      <c r="E78" s="64">
        <v>1.45</v>
      </c>
      <c r="F78" s="64">
        <v>0.68</v>
      </c>
      <c r="G78" s="64">
        <v>37.85</v>
      </c>
      <c r="H78" s="64">
        <v>9.23</v>
      </c>
      <c r="I78" s="64">
        <v>1.54</v>
      </c>
      <c r="J78" s="64">
        <v>0.66</v>
      </c>
      <c r="K78" s="64">
        <v>328.91</v>
      </c>
      <c r="L78" s="64">
        <v>24.73</v>
      </c>
      <c r="M78" s="64">
        <v>95.89</v>
      </c>
      <c r="N78" s="64">
        <v>19.2</v>
      </c>
      <c r="O78" s="64">
        <v>0</v>
      </c>
      <c r="P78" s="64">
        <v>0.62</v>
      </c>
      <c r="Q78" s="212" t="s">
        <v>42</v>
      </c>
      <c r="R78" s="198"/>
      <c r="S78" s="198"/>
      <c r="T78" s="198"/>
      <c r="U78" s="198"/>
    </row>
    <row r="79" spans="1:21" s="12" customFormat="1" x14ac:dyDescent="0.25">
      <c r="A79" s="214" t="s">
        <v>412</v>
      </c>
      <c r="B79" s="64">
        <v>5.67</v>
      </c>
      <c r="C79" s="64">
        <v>15</v>
      </c>
      <c r="D79" s="64">
        <v>14.12</v>
      </c>
      <c r="E79" s="64">
        <v>0.86</v>
      </c>
      <c r="F79" s="64">
        <v>0.46</v>
      </c>
      <c r="G79" s="64">
        <v>37.39</v>
      </c>
      <c r="H79" s="64">
        <v>9.23</v>
      </c>
      <c r="I79" s="64">
        <v>1.46</v>
      </c>
      <c r="J79" s="64">
        <v>0.06</v>
      </c>
      <c r="K79" s="64">
        <v>337.34</v>
      </c>
      <c r="L79" s="64">
        <v>23.26</v>
      </c>
      <c r="M79" s="64">
        <v>98.93</v>
      </c>
      <c r="N79" s="64">
        <v>11.2</v>
      </c>
      <c r="O79" s="64">
        <v>0</v>
      </c>
      <c r="P79" s="64">
        <v>0.76</v>
      </c>
      <c r="Q79" s="212" t="s">
        <v>42</v>
      </c>
      <c r="R79" s="198"/>
      <c r="S79" s="198"/>
      <c r="T79" s="198"/>
      <c r="U79" s="198"/>
    </row>
    <row r="80" spans="1:21" s="12" customFormat="1" x14ac:dyDescent="0.25">
      <c r="A80" s="214" t="s">
        <v>413</v>
      </c>
      <c r="B80" s="64">
        <v>6.28</v>
      </c>
      <c r="C80" s="64">
        <v>14.5</v>
      </c>
      <c r="D80" s="64">
        <v>14.33</v>
      </c>
      <c r="E80" s="64">
        <v>0.73</v>
      </c>
      <c r="F80" s="64">
        <v>0.57999999999999996</v>
      </c>
      <c r="G80" s="64">
        <v>37.39</v>
      </c>
      <c r="H80" s="64">
        <v>9.23</v>
      </c>
      <c r="I80" s="64">
        <v>1.48</v>
      </c>
      <c r="J80" s="64">
        <v>0.15</v>
      </c>
      <c r="K80" s="64">
        <v>317.43</v>
      </c>
      <c r="L80" s="64">
        <v>23.26</v>
      </c>
      <c r="M80" s="64">
        <v>98.93</v>
      </c>
      <c r="N80" s="64">
        <v>9.4</v>
      </c>
      <c r="O80" s="64">
        <v>0</v>
      </c>
      <c r="P80" s="64">
        <v>0.87</v>
      </c>
      <c r="Q80" s="212" t="s">
        <v>42</v>
      </c>
      <c r="R80" s="198"/>
      <c r="S80" s="198"/>
      <c r="T80" s="198"/>
      <c r="U80" s="198"/>
    </row>
    <row r="81" spans="1:26" s="12" customFormat="1" x14ac:dyDescent="0.25">
      <c r="A81" s="214" t="s">
        <v>414</v>
      </c>
      <c r="B81" s="64">
        <v>7.74</v>
      </c>
      <c r="C81" s="64">
        <v>13.62</v>
      </c>
      <c r="D81" s="64">
        <v>15.02</v>
      </c>
      <c r="E81" s="64">
        <v>1.17</v>
      </c>
      <c r="F81" s="64">
        <v>7.0000000000000007E-2</v>
      </c>
      <c r="G81" s="64">
        <v>37.39</v>
      </c>
      <c r="H81" s="64">
        <v>9.23</v>
      </c>
      <c r="I81" s="64">
        <v>1.55</v>
      </c>
      <c r="J81" s="64">
        <v>0.32</v>
      </c>
      <c r="K81" s="64">
        <v>331.96</v>
      </c>
      <c r="L81" s="64">
        <v>23.53</v>
      </c>
      <c r="M81" s="64">
        <v>98.93</v>
      </c>
      <c r="N81" s="64">
        <v>9.9</v>
      </c>
      <c r="O81" s="64">
        <v>0</v>
      </c>
      <c r="P81" s="64">
        <v>1.65</v>
      </c>
      <c r="Q81" s="212" t="s">
        <v>42</v>
      </c>
      <c r="R81" s="198"/>
      <c r="S81" s="198"/>
      <c r="T81" s="198"/>
      <c r="U81" s="198"/>
    </row>
    <row r="82" spans="1:26" s="12" customFormat="1" x14ac:dyDescent="0.25">
      <c r="A82" s="214" t="s">
        <v>415</v>
      </c>
      <c r="B82" s="64">
        <v>9.56</v>
      </c>
      <c r="C82" s="64">
        <v>12.96</v>
      </c>
      <c r="D82" s="64">
        <v>16.11</v>
      </c>
      <c r="E82" s="64">
        <v>0.7</v>
      </c>
      <c r="F82" s="64">
        <v>0.55000000000000004</v>
      </c>
      <c r="G82" s="64">
        <v>41.82</v>
      </c>
      <c r="H82" s="64">
        <v>20.07</v>
      </c>
      <c r="I82" s="64">
        <v>1.51</v>
      </c>
      <c r="J82" s="64">
        <v>0.28000000000000003</v>
      </c>
      <c r="K82" s="64">
        <v>344.76</v>
      </c>
      <c r="L82" s="64">
        <v>23.57</v>
      </c>
      <c r="M82" s="64">
        <v>98.93</v>
      </c>
      <c r="N82" s="64">
        <v>10.1</v>
      </c>
      <c r="O82" s="64">
        <v>0</v>
      </c>
      <c r="P82" s="64">
        <v>1.07</v>
      </c>
      <c r="Q82" s="212" t="s">
        <v>42</v>
      </c>
      <c r="R82" s="198"/>
      <c r="S82" s="198"/>
      <c r="T82" s="198"/>
      <c r="U82" s="198"/>
    </row>
    <row r="83" spans="1:26" s="12" customFormat="1" x14ac:dyDescent="0.25">
      <c r="A83" s="214" t="s">
        <v>416</v>
      </c>
      <c r="B83" s="64">
        <v>11.12</v>
      </c>
      <c r="C83" s="64">
        <v>13.06</v>
      </c>
      <c r="D83" s="64">
        <v>17.420000000000002</v>
      </c>
      <c r="E83" s="64">
        <v>1.1399999999999999</v>
      </c>
      <c r="F83" s="64">
        <v>0.04</v>
      </c>
      <c r="G83" s="64">
        <v>42.57</v>
      </c>
      <c r="H83" s="64">
        <v>20.07</v>
      </c>
      <c r="I83" s="64">
        <v>1.46</v>
      </c>
      <c r="J83" s="64">
        <v>0.37</v>
      </c>
      <c r="K83" s="64">
        <v>335.89</v>
      </c>
      <c r="L83" s="64">
        <v>23.48</v>
      </c>
      <c r="M83" s="64">
        <v>98.91</v>
      </c>
      <c r="N83" s="64">
        <v>11.1</v>
      </c>
      <c r="O83" s="64">
        <v>0</v>
      </c>
      <c r="P83" s="64">
        <v>1.03</v>
      </c>
      <c r="Q83" s="212" t="s">
        <v>42</v>
      </c>
      <c r="R83" s="198"/>
      <c r="S83" s="198"/>
      <c r="T83" s="198"/>
      <c r="U83" s="198"/>
    </row>
    <row r="84" spans="1:26" s="12" customFormat="1" x14ac:dyDescent="0.25">
      <c r="A84" s="214" t="s">
        <v>417</v>
      </c>
      <c r="B84" s="64">
        <v>11.48</v>
      </c>
      <c r="C84" s="64">
        <v>13.71</v>
      </c>
      <c r="D84" s="64">
        <v>18.07</v>
      </c>
      <c r="E84" s="64">
        <v>0.92</v>
      </c>
      <c r="F84" s="64">
        <v>0.49</v>
      </c>
      <c r="G84" s="64">
        <v>42.57</v>
      </c>
      <c r="H84" s="64">
        <v>20.07</v>
      </c>
      <c r="I84" s="64">
        <v>1.42</v>
      </c>
      <c r="J84" s="64">
        <v>0.71</v>
      </c>
      <c r="K84" s="64">
        <v>325.77999999999997</v>
      </c>
      <c r="L84" s="64">
        <v>23.29</v>
      </c>
      <c r="M84" s="64">
        <v>98.9</v>
      </c>
      <c r="N84" s="64">
        <v>10.9</v>
      </c>
      <c r="O84" s="64">
        <v>0</v>
      </c>
      <c r="P84" s="64">
        <v>0.99</v>
      </c>
      <c r="Q84" s="212" t="s">
        <v>42</v>
      </c>
      <c r="R84" s="198"/>
      <c r="S84" s="198"/>
      <c r="T84" s="198"/>
      <c r="U84" s="198"/>
    </row>
    <row r="85" spans="1:26" s="12" customFormat="1" x14ac:dyDescent="0.25">
      <c r="A85" s="214" t="s">
        <v>418</v>
      </c>
      <c r="B85" s="64">
        <v>11.8</v>
      </c>
      <c r="C85" s="64">
        <v>13.43</v>
      </c>
      <c r="D85" s="64">
        <v>18.170000000000002</v>
      </c>
      <c r="E85" s="64">
        <v>1.3</v>
      </c>
      <c r="F85" s="64">
        <v>0.41</v>
      </c>
      <c r="G85" s="64">
        <v>42.57</v>
      </c>
      <c r="H85" s="64">
        <v>20.07</v>
      </c>
      <c r="I85" s="64">
        <v>1.54</v>
      </c>
      <c r="J85" s="64">
        <v>0.9</v>
      </c>
      <c r="K85" s="64">
        <v>326.76</v>
      </c>
      <c r="L85" s="64">
        <v>23.22</v>
      </c>
      <c r="M85" s="64">
        <v>98.9</v>
      </c>
      <c r="N85" s="64">
        <v>11.3</v>
      </c>
      <c r="O85" s="64">
        <v>0</v>
      </c>
      <c r="P85" s="64">
        <v>0.89</v>
      </c>
      <c r="Q85" s="212" t="s">
        <v>42</v>
      </c>
      <c r="R85" s="198"/>
      <c r="S85" s="198"/>
      <c r="T85" s="198"/>
      <c r="U85" s="198"/>
    </row>
    <row r="86" spans="1:26" s="12" customFormat="1" x14ac:dyDescent="0.25">
      <c r="A86" s="214" t="s">
        <v>419</v>
      </c>
      <c r="B86" s="64">
        <v>12.26</v>
      </c>
      <c r="C86" s="64">
        <v>12.77</v>
      </c>
      <c r="D86" s="64">
        <v>18.170000000000002</v>
      </c>
      <c r="E86" s="64">
        <v>1.54</v>
      </c>
      <c r="F86" s="64">
        <v>0.25</v>
      </c>
      <c r="G86" s="64">
        <v>31.25</v>
      </c>
      <c r="H86" s="64">
        <v>15.39</v>
      </c>
      <c r="I86" s="64">
        <v>1.53</v>
      </c>
      <c r="J86" s="64">
        <v>0.53</v>
      </c>
      <c r="K86" s="64">
        <v>337.66</v>
      </c>
      <c r="L86" s="64">
        <v>23.08</v>
      </c>
      <c r="M86" s="64">
        <v>98.9</v>
      </c>
      <c r="N86" s="64">
        <v>10.8</v>
      </c>
      <c r="O86" s="64">
        <v>0</v>
      </c>
      <c r="P86" s="64">
        <v>0.94</v>
      </c>
      <c r="Q86" s="212" t="s">
        <v>42</v>
      </c>
      <c r="R86" s="198"/>
      <c r="S86" s="198"/>
      <c r="T86" s="198"/>
      <c r="U86" s="198"/>
    </row>
    <row r="87" spans="1:26" s="12" customFormat="1" x14ac:dyDescent="0.25">
      <c r="A87" s="214" t="s">
        <v>420</v>
      </c>
      <c r="B87" s="64">
        <v>13.34</v>
      </c>
      <c r="C87" s="64">
        <v>12.32</v>
      </c>
      <c r="D87" s="64">
        <v>18.79</v>
      </c>
      <c r="E87" s="64">
        <v>1.25</v>
      </c>
      <c r="F87" s="64">
        <v>0.5</v>
      </c>
      <c r="G87" s="64">
        <v>29.34</v>
      </c>
      <c r="H87" s="64">
        <v>15.39</v>
      </c>
      <c r="I87" s="64">
        <v>1.53</v>
      </c>
      <c r="J87" s="64">
        <v>0.35</v>
      </c>
      <c r="K87" s="64">
        <v>319.64999999999998</v>
      </c>
      <c r="L87" s="64">
        <v>23.09</v>
      </c>
      <c r="M87" s="64">
        <v>98.9</v>
      </c>
      <c r="N87" s="64">
        <v>9.9</v>
      </c>
      <c r="O87" s="64">
        <v>0</v>
      </c>
      <c r="P87" s="64">
        <v>1.05</v>
      </c>
      <c r="Q87" s="212" t="s">
        <v>42</v>
      </c>
      <c r="R87" s="198"/>
      <c r="S87" s="198"/>
      <c r="T87" s="198"/>
      <c r="U87" s="198"/>
    </row>
    <row r="88" spans="1:26" s="12" customFormat="1" x14ac:dyDescent="0.25">
      <c r="A88" s="214" t="s">
        <v>421</v>
      </c>
      <c r="B88" s="64">
        <v>14.46</v>
      </c>
      <c r="C88" s="64">
        <v>12.19</v>
      </c>
      <c r="D88" s="64">
        <v>19.61</v>
      </c>
      <c r="E88" s="64">
        <v>0.48</v>
      </c>
      <c r="F88" s="64">
        <v>0.17</v>
      </c>
      <c r="G88" s="64">
        <v>29.34</v>
      </c>
      <c r="H88" s="64">
        <v>15.39</v>
      </c>
      <c r="I88" s="64">
        <v>1.49</v>
      </c>
      <c r="J88" s="64">
        <v>0.33</v>
      </c>
      <c r="K88" s="64">
        <v>334.87</v>
      </c>
      <c r="L88" s="64">
        <v>23.2</v>
      </c>
      <c r="M88" s="64">
        <v>98.9</v>
      </c>
      <c r="N88" s="64">
        <v>9.8000000000000007</v>
      </c>
      <c r="O88" s="64">
        <v>0</v>
      </c>
      <c r="P88" s="64">
        <v>1.1100000000000001</v>
      </c>
      <c r="Q88" s="212" t="s">
        <v>42</v>
      </c>
      <c r="R88" s="198"/>
      <c r="S88" s="198"/>
      <c r="T88" s="198"/>
      <c r="U88" s="198"/>
    </row>
    <row r="89" spans="1:26" s="12" customFormat="1" x14ac:dyDescent="0.25">
      <c r="A89" s="214" t="s">
        <v>422</v>
      </c>
      <c r="B89" s="64">
        <v>15.27</v>
      </c>
      <c r="C89" s="64">
        <v>11.41</v>
      </c>
      <c r="D89" s="64">
        <v>19.829999999999998</v>
      </c>
      <c r="E89" s="64">
        <v>1.41</v>
      </c>
      <c r="F89" s="64">
        <v>0.71</v>
      </c>
      <c r="G89" s="64">
        <v>29.34</v>
      </c>
      <c r="H89" s="64">
        <v>15.39</v>
      </c>
      <c r="I89" s="64">
        <v>1.5</v>
      </c>
      <c r="J89" s="64">
        <v>0.05</v>
      </c>
      <c r="K89" s="64">
        <v>323.62</v>
      </c>
      <c r="L89" s="64">
        <v>23.19</v>
      </c>
      <c r="M89" s="64">
        <v>98.9</v>
      </c>
      <c r="N89" s="64">
        <v>9.8000000000000007</v>
      </c>
      <c r="O89" s="64">
        <v>0</v>
      </c>
      <c r="P89" s="64">
        <v>1.01</v>
      </c>
      <c r="Q89" s="212" t="s">
        <v>42</v>
      </c>
      <c r="R89" s="198"/>
      <c r="S89" s="198"/>
      <c r="T89" s="198"/>
      <c r="U89" s="198"/>
    </row>
    <row r="90" spans="1:26" s="12" customFormat="1" x14ac:dyDescent="0.25">
      <c r="A90" s="214" t="s">
        <v>423</v>
      </c>
      <c r="B90" s="64">
        <v>16.14</v>
      </c>
      <c r="C90" s="64">
        <v>11.5</v>
      </c>
      <c r="D90" s="64">
        <v>20.58</v>
      </c>
      <c r="E90" s="64">
        <v>1.55</v>
      </c>
      <c r="F90" s="64">
        <v>0.21</v>
      </c>
      <c r="G90" s="64">
        <v>34.869999999999997</v>
      </c>
      <c r="H90" s="64">
        <v>9.4499999999999993</v>
      </c>
      <c r="I90" s="64">
        <v>1.56</v>
      </c>
      <c r="J90" s="64">
        <v>0.13</v>
      </c>
      <c r="K90" s="64">
        <v>14.9</v>
      </c>
      <c r="L90" s="64">
        <v>23.35</v>
      </c>
      <c r="M90" s="64">
        <v>98.89</v>
      </c>
      <c r="N90" s="64">
        <v>10.199999999999999</v>
      </c>
      <c r="O90" s="64">
        <v>0</v>
      </c>
      <c r="P90" s="64">
        <v>1</v>
      </c>
      <c r="Q90" s="212" t="s">
        <v>42</v>
      </c>
      <c r="R90" s="198"/>
      <c r="S90" s="198"/>
      <c r="T90" s="198"/>
      <c r="U90" s="198"/>
    </row>
    <row r="91" spans="1:26" s="12" customFormat="1" x14ac:dyDescent="0.25">
      <c r="A91" s="214" t="s">
        <v>424</v>
      </c>
      <c r="B91" s="64">
        <v>17.010000000000002</v>
      </c>
      <c r="C91" s="64">
        <v>12.72</v>
      </c>
      <c r="D91" s="64">
        <v>21.96</v>
      </c>
      <c r="E91" s="64">
        <v>1.1499999999999999</v>
      </c>
      <c r="F91" s="64">
        <v>0.78</v>
      </c>
      <c r="G91" s="64">
        <v>35.799999999999997</v>
      </c>
      <c r="H91" s="64">
        <v>9.4499999999999993</v>
      </c>
      <c r="I91" s="64">
        <v>1.55</v>
      </c>
      <c r="J91" s="64">
        <v>0.18</v>
      </c>
      <c r="K91" s="64">
        <v>7.16</v>
      </c>
      <c r="L91" s="64">
        <v>23.35</v>
      </c>
      <c r="M91" s="64">
        <v>98.86</v>
      </c>
      <c r="N91" s="64">
        <v>10.5</v>
      </c>
      <c r="O91" s="64">
        <v>0</v>
      </c>
      <c r="P91" s="64">
        <v>0.98</v>
      </c>
      <c r="Q91" s="212" t="s">
        <v>42</v>
      </c>
      <c r="R91" s="198"/>
      <c r="S91" s="198"/>
      <c r="T91" s="198"/>
      <c r="U91" s="198"/>
    </row>
    <row r="92" spans="1:26" s="12" customFormat="1" x14ac:dyDescent="0.25">
      <c r="A92" s="214" t="s">
        <v>425</v>
      </c>
      <c r="B92" s="64">
        <v>17.53</v>
      </c>
      <c r="C92" s="64">
        <v>12.6</v>
      </c>
      <c r="D92" s="64">
        <v>22.3</v>
      </c>
      <c r="E92" s="64">
        <v>1.24</v>
      </c>
      <c r="F92" s="64">
        <v>0.3</v>
      </c>
      <c r="G92" s="64">
        <v>35.799999999999997</v>
      </c>
      <c r="H92" s="64">
        <v>9.4499999999999993</v>
      </c>
      <c r="I92" s="64">
        <v>1.53</v>
      </c>
      <c r="J92" s="64">
        <v>0.15</v>
      </c>
      <c r="K92" s="64">
        <v>329.74</v>
      </c>
      <c r="L92" s="64">
        <v>23.31</v>
      </c>
      <c r="M92" s="64">
        <v>98.87</v>
      </c>
      <c r="N92" s="64">
        <v>10.3</v>
      </c>
      <c r="O92" s="64">
        <v>0</v>
      </c>
      <c r="P92" s="64">
        <v>0.97</v>
      </c>
      <c r="Q92" s="212" t="s">
        <v>42</v>
      </c>
      <c r="R92" s="198"/>
      <c r="S92" s="198"/>
      <c r="T92" s="198"/>
      <c r="U92" s="198"/>
    </row>
    <row r="93" spans="1:26" s="12" customFormat="1" x14ac:dyDescent="0.25">
      <c r="A93" s="214" t="s">
        <v>426</v>
      </c>
      <c r="B93" s="64">
        <v>18</v>
      </c>
      <c r="C93" s="64">
        <v>12.61</v>
      </c>
      <c r="D93" s="64">
        <v>22.68</v>
      </c>
      <c r="E93" s="64">
        <v>1.4</v>
      </c>
      <c r="F93" s="64">
        <v>0.48</v>
      </c>
      <c r="G93" s="64">
        <v>35.799999999999997</v>
      </c>
      <c r="H93" s="64">
        <v>9.4499999999999993</v>
      </c>
      <c r="I93" s="64">
        <v>1.53</v>
      </c>
      <c r="J93" s="64">
        <v>0.19</v>
      </c>
      <c r="K93" s="64">
        <v>326.62</v>
      </c>
      <c r="L93" s="64">
        <v>23.23</v>
      </c>
      <c r="M93" s="64">
        <v>98.87</v>
      </c>
      <c r="N93" s="64">
        <v>10.3</v>
      </c>
      <c r="O93" s="64">
        <v>0</v>
      </c>
      <c r="P93" s="64">
        <v>0.98</v>
      </c>
      <c r="Q93" s="212" t="s">
        <v>42</v>
      </c>
      <c r="R93" s="198"/>
      <c r="S93" s="198"/>
      <c r="T93" s="198"/>
      <c r="U93" s="198"/>
    </row>
    <row r="94" spans="1:26" s="12" customFormat="1" x14ac:dyDescent="0.25">
      <c r="A94" s="214" t="s">
        <v>427</v>
      </c>
      <c r="B94" s="64">
        <v>18.100000000000001</v>
      </c>
      <c r="C94" s="64">
        <v>12.46</v>
      </c>
      <c r="D94" s="64">
        <v>22.68</v>
      </c>
      <c r="E94" s="64">
        <v>1.8</v>
      </c>
      <c r="F94" s="64">
        <v>0.36</v>
      </c>
      <c r="G94" s="64">
        <v>38.090000000000003</v>
      </c>
      <c r="H94" s="64">
        <v>11.87</v>
      </c>
      <c r="I94" s="64">
        <v>1.52</v>
      </c>
      <c r="J94" s="64">
        <v>0.21</v>
      </c>
      <c r="K94" s="64">
        <v>328.82</v>
      </c>
      <c r="L94" s="64">
        <v>23.28</v>
      </c>
      <c r="M94" s="64">
        <v>98.85</v>
      </c>
      <c r="N94" s="64">
        <v>10.3</v>
      </c>
      <c r="O94" s="64">
        <v>0</v>
      </c>
      <c r="P94" s="64">
        <v>0.95</v>
      </c>
      <c r="Q94" s="212" t="s">
        <v>42</v>
      </c>
      <c r="R94" s="198"/>
      <c r="S94" s="198"/>
      <c r="T94" s="198"/>
      <c r="U94" s="198"/>
    </row>
    <row r="95" spans="1:26" s="12" customFormat="1" x14ac:dyDescent="0.25">
      <c r="A95" s="214" t="s">
        <v>428</v>
      </c>
      <c r="B95" s="64">
        <v>18.329999999999998</v>
      </c>
      <c r="C95" s="64">
        <v>11.89</v>
      </c>
      <c r="D95" s="64">
        <v>22.56</v>
      </c>
      <c r="E95" s="64">
        <v>1.51</v>
      </c>
      <c r="F95" s="64">
        <v>0.2</v>
      </c>
      <c r="G95" s="64">
        <v>38.479999999999997</v>
      </c>
      <c r="H95" s="64">
        <v>11.87</v>
      </c>
      <c r="I95" s="64">
        <v>1.48</v>
      </c>
      <c r="J95" s="64">
        <v>0.35</v>
      </c>
      <c r="K95" s="64">
        <v>322.45999999999998</v>
      </c>
      <c r="L95" s="64">
        <v>23.33</v>
      </c>
      <c r="M95" s="64">
        <v>98.85</v>
      </c>
      <c r="N95" s="64">
        <v>10.3</v>
      </c>
      <c r="O95" s="64">
        <v>0</v>
      </c>
      <c r="P95" s="64">
        <v>0.96</v>
      </c>
      <c r="Q95" s="212" t="s">
        <v>42</v>
      </c>
      <c r="R95" s="198"/>
      <c r="S95" s="198"/>
      <c r="T95" s="198"/>
      <c r="U95" s="198"/>
    </row>
    <row r="96" spans="1:26" s="12" customFormat="1" x14ac:dyDescent="0.25">
      <c r="A96" s="214" t="s">
        <v>429</v>
      </c>
      <c r="B96" s="64">
        <v>19.02</v>
      </c>
      <c r="C96" s="64">
        <v>12.52</v>
      </c>
      <c r="D96" s="64">
        <v>23.45</v>
      </c>
      <c r="E96" s="64">
        <v>1.48</v>
      </c>
      <c r="F96" s="64">
        <v>0.13</v>
      </c>
      <c r="G96" s="64">
        <v>38.479999999999997</v>
      </c>
      <c r="H96" s="64">
        <v>11.87</v>
      </c>
      <c r="I96" s="64">
        <v>1.45</v>
      </c>
      <c r="J96" s="64">
        <v>0.34</v>
      </c>
      <c r="K96" s="64">
        <v>322.14999999999998</v>
      </c>
      <c r="L96" s="64">
        <v>23.43</v>
      </c>
      <c r="M96" s="64">
        <v>98.87</v>
      </c>
      <c r="N96" s="64">
        <v>10.4</v>
      </c>
      <c r="O96" s="64">
        <v>0</v>
      </c>
      <c r="P96" s="64">
        <v>0.9</v>
      </c>
      <c r="Q96" s="212" t="s">
        <v>42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430</v>
      </c>
      <c r="B97" s="64">
        <v>19.16</v>
      </c>
      <c r="C97" s="64">
        <v>11.97</v>
      </c>
      <c r="D97" s="64">
        <v>23.26</v>
      </c>
      <c r="E97" s="64">
        <v>1.17</v>
      </c>
      <c r="F97" s="64">
        <v>0.46</v>
      </c>
      <c r="G97" s="64">
        <v>38.479999999999997</v>
      </c>
      <c r="H97" s="64">
        <v>11.87</v>
      </c>
      <c r="I97" s="64">
        <v>1.51</v>
      </c>
      <c r="J97" s="64">
        <v>0.46</v>
      </c>
      <c r="K97" s="64">
        <v>322.27</v>
      </c>
      <c r="L97" s="64">
        <v>23.52</v>
      </c>
      <c r="M97" s="64">
        <v>98.87</v>
      </c>
      <c r="N97" s="64">
        <v>10.3</v>
      </c>
      <c r="O97" s="64">
        <v>0</v>
      </c>
      <c r="P97" s="64">
        <v>0.88</v>
      </c>
      <c r="Q97" s="212" t="s">
        <v>42</v>
      </c>
      <c r="R97" s="198"/>
      <c r="S97" s="198"/>
      <c r="T97" s="198"/>
      <c r="U97" s="198"/>
    </row>
    <row r="98" spans="1:33" s="12" customFormat="1" x14ac:dyDescent="0.25">
      <c r="A98" s="214" t="s">
        <v>431</v>
      </c>
      <c r="B98" s="64">
        <v>19.14</v>
      </c>
      <c r="C98" s="64">
        <v>11.45</v>
      </c>
      <c r="D98" s="64">
        <v>22.96</v>
      </c>
      <c r="E98" s="64">
        <v>1.92</v>
      </c>
      <c r="F98" s="64">
        <v>0.18</v>
      </c>
      <c r="G98" s="64">
        <v>44.91</v>
      </c>
      <c r="H98" s="64">
        <v>15.99</v>
      </c>
      <c r="I98" s="64">
        <v>1.49</v>
      </c>
      <c r="J98" s="64">
        <v>0.16</v>
      </c>
      <c r="K98" s="64">
        <v>336.03</v>
      </c>
      <c r="L98" s="64">
        <v>23.42</v>
      </c>
      <c r="M98" s="64">
        <v>98.88</v>
      </c>
      <c r="N98" s="64">
        <v>10</v>
      </c>
      <c r="O98" s="64">
        <v>0</v>
      </c>
      <c r="P98" s="64">
        <v>0.82</v>
      </c>
      <c r="Q98" s="212" t="s">
        <v>42</v>
      </c>
      <c r="R98" s="198"/>
      <c r="S98" s="198"/>
      <c r="T98" s="198"/>
      <c r="U98" s="198"/>
    </row>
    <row r="99" spans="1:33" s="12" customFormat="1" x14ac:dyDescent="0.25">
      <c r="A99" s="214" t="s">
        <v>432</v>
      </c>
      <c r="B99" s="64">
        <v>19.329999999999998</v>
      </c>
      <c r="C99" s="64">
        <v>10.97</v>
      </c>
      <c r="D99" s="64">
        <v>22.85</v>
      </c>
      <c r="E99" s="64">
        <v>1.96</v>
      </c>
      <c r="F99" s="64">
        <v>0.57999999999999996</v>
      </c>
      <c r="G99" s="64">
        <v>46</v>
      </c>
      <c r="H99" s="64">
        <v>15.99</v>
      </c>
      <c r="I99" s="64">
        <v>1.42</v>
      </c>
      <c r="J99" s="64">
        <v>0.38</v>
      </c>
      <c r="K99" s="64">
        <v>322.42</v>
      </c>
      <c r="L99" s="64">
        <v>23.37</v>
      </c>
      <c r="M99" s="64">
        <v>98.87</v>
      </c>
      <c r="N99" s="64">
        <v>9.8000000000000007</v>
      </c>
      <c r="O99" s="64">
        <v>0</v>
      </c>
      <c r="P99" s="64">
        <v>0.8</v>
      </c>
      <c r="Q99" s="212" t="s">
        <v>42</v>
      </c>
      <c r="R99" s="198"/>
      <c r="S99" s="198"/>
      <c r="T99" s="198"/>
      <c r="U99" s="198"/>
    </row>
    <row r="100" spans="1:33" s="12" customFormat="1" x14ac:dyDescent="0.25">
      <c r="A100" s="214" t="s">
        <v>433</v>
      </c>
      <c r="B100" s="64">
        <v>19.43</v>
      </c>
      <c r="C100" s="64">
        <v>10.97</v>
      </c>
      <c r="D100" s="64">
        <v>22.93</v>
      </c>
      <c r="E100" s="64">
        <v>1.82</v>
      </c>
      <c r="F100" s="64">
        <v>0.23</v>
      </c>
      <c r="G100" s="64">
        <v>46</v>
      </c>
      <c r="H100" s="64">
        <v>15.99</v>
      </c>
      <c r="I100" s="64">
        <v>1.46</v>
      </c>
      <c r="J100" s="64">
        <v>0.28000000000000003</v>
      </c>
      <c r="K100" s="64">
        <v>319.88</v>
      </c>
      <c r="L100" s="64">
        <v>23.3</v>
      </c>
      <c r="M100" s="64">
        <v>98.87</v>
      </c>
      <c r="N100" s="64">
        <v>9.6999999999999993</v>
      </c>
      <c r="O100" s="64">
        <v>0</v>
      </c>
      <c r="P100" s="64">
        <v>0.79</v>
      </c>
      <c r="Q100" s="212" t="s">
        <v>42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434</v>
      </c>
      <c r="B101" s="64">
        <v>19.05</v>
      </c>
      <c r="C101" s="64">
        <v>10.44</v>
      </c>
      <c r="D101" s="64">
        <v>22.33</v>
      </c>
      <c r="E101" s="64">
        <v>1.86</v>
      </c>
      <c r="F101" s="64">
        <v>0.53</v>
      </c>
      <c r="G101" s="64">
        <v>46</v>
      </c>
      <c r="H101" s="64">
        <v>15.99</v>
      </c>
      <c r="I101" s="64">
        <v>1.51</v>
      </c>
      <c r="J101" s="64">
        <v>0.2</v>
      </c>
      <c r="K101" s="64">
        <v>323</v>
      </c>
      <c r="L101" s="64">
        <v>23.19</v>
      </c>
      <c r="M101" s="64">
        <v>98.86</v>
      </c>
      <c r="N101" s="64">
        <v>9.6999999999999993</v>
      </c>
      <c r="O101" s="64">
        <v>0</v>
      </c>
      <c r="P101" s="64">
        <v>0.87</v>
      </c>
      <c r="Q101" s="212" t="s">
        <v>42</v>
      </c>
      <c r="R101" s="198"/>
      <c r="S101" s="198"/>
      <c r="T101" s="198"/>
      <c r="U101" s="198"/>
    </row>
    <row r="102" spans="1:33" s="12" customFormat="1" x14ac:dyDescent="0.25">
      <c r="A102" s="214" t="s">
        <v>435</v>
      </c>
      <c r="B102" s="64">
        <v>18.809999999999999</v>
      </c>
      <c r="C102" s="64">
        <v>11.08</v>
      </c>
      <c r="D102" s="64">
        <v>22.49</v>
      </c>
      <c r="E102" s="64">
        <v>1.82</v>
      </c>
      <c r="F102" s="64">
        <v>0.13</v>
      </c>
      <c r="G102" s="64">
        <v>48.42</v>
      </c>
      <c r="H102" s="64">
        <v>12.44</v>
      </c>
      <c r="I102" s="64">
        <v>1.49</v>
      </c>
      <c r="J102" s="64">
        <v>0.14000000000000001</v>
      </c>
      <c r="K102" s="64">
        <v>333.98</v>
      </c>
      <c r="L102" s="64">
        <v>23.13</v>
      </c>
      <c r="M102" s="64">
        <v>98.87</v>
      </c>
      <c r="N102" s="64">
        <v>9.5</v>
      </c>
      <c r="O102" s="64">
        <v>0</v>
      </c>
      <c r="P102" s="64">
        <v>0.8</v>
      </c>
      <c r="Q102" s="212" t="s">
        <v>42</v>
      </c>
      <c r="R102" s="198"/>
      <c r="S102" s="198"/>
      <c r="T102" s="198"/>
      <c r="U102" s="198"/>
    </row>
    <row r="103" spans="1:33" s="12" customFormat="1" x14ac:dyDescent="0.25">
      <c r="A103" s="214" t="s">
        <v>436</v>
      </c>
      <c r="B103" s="64">
        <v>18.55</v>
      </c>
      <c r="C103" s="64">
        <v>10.85</v>
      </c>
      <c r="D103" s="64">
        <v>22.15</v>
      </c>
      <c r="E103" s="64">
        <v>1.9</v>
      </c>
      <c r="F103" s="64">
        <v>0.28000000000000003</v>
      </c>
      <c r="G103" s="64">
        <v>48.83</v>
      </c>
      <c r="H103" s="64">
        <v>12.44</v>
      </c>
      <c r="I103" s="64">
        <v>1.42</v>
      </c>
      <c r="J103" s="64">
        <v>0.3</v>
      </c>
      <c r="K103" s="64">
        <v>324.58999999999997</v>
      </c>
      <c r="L103" s="64">
        <v>23.11</v>
      </c>
      <c r="M103" s="64">
        <v>98.86</v>
      </c>
      <c r="N103" s="64">
        <v>9.1999999999999993</v>
      </c>
      <c r="O103" s="64">
        <v>0</v>
      </c>
      <c r="P103" s="64">
        <v>0.82</v>
      </c>
      <c r="Q103" s="212" t="s">
        <v>42</v>
      </c>
      <c r="R103" s="198"/>
      <c r="S103" s="198"/>
      <c r="T103" s="198"/>
      <c r="U103" s="198"/>
    </row>
    <row r="104" spans="1:33" s="12" customFormat="1" x14ac:dyDescent="0.25">
      <c r="A104" s="214" t="s">
        <v>437</v>
      </c>
      <c r="B104" s="64">
        <v>17.920000000000002</v>
      </c>
      <c r="C104" s="64">
        <v>10.97</v>
      </c>
      <c r="D104" s="64">
        <v>21.72</v>
      </c>
      <c r="E104" s="64">
        <v>1.45</v>
      </c>
      <c r="F104" s="64">
        <v>0.28999999999999998</v>
      </c>
      <c r="G104" s="64">
        <v>48.83</v>
      </c>
      <c r="H104" s="64">
        <v>12.44</v>
      </c>
      <c r="I104" s="64">
        <v>1.51</v>
      </c>
      <c r="J104" s="64">
        <v>0.28999999999999998</v>
      </c>
      <c r="K104" s="64">
        <v>320.83999999999997</v>
      </c>
      <c r="L104" s="64">
        <v>23.01</v>
      </c>
      <c r="M104" s="64">
        <v>98.88</v>
      </c>
      <c r="N104" s="64">
        <v>9.1999999999999993</v>
      </c>
      <c r="O104" s="64">
        <v>0</v>
      </c>
      <c r="P104" s="64">
        <v>0.79</v>
      </c>
      <c r="Q104" s="212" t="s">
        <v>42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3.66</v>
      </c>
      <c r="C106" s="67">
        <f>MIN(C9:C104)</f>
        <v>8.4700000000000006</v>
      </c>
      <c r="D106" s="67">
        <f t="shared" ref="D106:Q106" si="0">MIN(D9:D104)</f>
        <v>9</v>
      </c>
      <c r="E106" s="67">
        <f t="shared" si="0"/>
        <v>0.47</v>
      </c>
      <c r="F106" s="67">
        <f t="shared" si="0"/>
        <v>0.04</v>
      </c>
      <c r="G106" s="67">
        <f t="shared" si="0"/>
        <v>29.34</v>
      </c>
      <c r="H106" s="67">
        <f t="shared" si="0"/>
        <v>1.27</v>
      </c>
      <c r="I106" s="67">
        <f t="shared" si="0"/>
        <v>1.38</v>
      </c>
      <c r="J106" s="67">
        <f t="shared" si="0"/>
        <v>0.05</v>
      </c>
      <c r="K106" s="67">
        <f t="shared" si="0"/>
        <v>0.01</v>
      </c>
      <c r="L106" s="67">
        <f t="shared" si="0"/>
        <v>23.01</v>
      </c>
      <c r="M106" s="67">
        <f t="shared" si="0"/>
        <v>53.69</v>
      </c>
      <c r="N106" s="67">
        <f t="shared" si="0"/>
        <v>9.1999999999999993</v>
      </c>
      <c r="O106" s="67">
        <f t="shared" si="0"/>
        <v>0</v>
      </c>
      <c r="P106" s="67">
        <f t="shared" si="0"/>
        <v>0.55000000000000004</v>
      </c>
      <c r="Q106" s="67">
        <f t="shared" si="0"/>
        <v>6.86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19.43</v>
      </c>
      <c r="C107" s="66">
        <f t="shared" ref="C107:Q107" si="1">MAX(C9:C104)</f>
        <v>15.11</v>
      </c>
      <c r="D107" s="66">
        <f t="shared" si="1"/>
        <v>23.45</v>
      </c>
      <c r="E107" s="66">
        <f t="shared" si="1"/>
        <v>3.25</v>
      </c>
      <c r="F107" s="66">
        <f t="shared" si="1"/>
        <v>4.46</v>
      </c>
      <c r="G107" s="66">
        <f t="shared" si="1"/>
        <v>57.6</v>
      </c>
      <c r="H107" s="66">
        <f t="shared" si="1"/>
        <v>369.3</v>
      </c>
      <c r="I107" s="66">
        <f t="shared" si="1"/>
        <v>1.57</v>
      </c>
      <c r="J107" s="66">
        <f t="shared" si="1"/>
        <v>1.46</v>
      </c>
      <c r="K107" s="66">
        <f t="shared" si="1"/>
        <v>359.84</v>
      </c>
      <c r="L107" s="66">
        <f t="shared" si="1"/>
        <v>34.090000000000003</v>
      </c>
      <c r="M107" s="66">
        <f t="shared" si="1"/>
        <v>98.93</v>
      </c>
      <c r="N107" s="66">
        <f t="shared" si="1"/>
        <v>884.2</v>
      </c>
      <c r="O107" s="66">
        <f t="shared" si="1"/>
        <v>0</v>
      </c>
      <c r="P107" s="66">
        <f t="shared" si="1"/>
        <v>1.65</v>
      </c>
      <c r="Q107" s="66">
        <f t="shared" si="1"/>
        <v>13.29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8.3686458333333285</v>
      </c>
      <c r="C108" s="67">
        <f t="shared" ref="C108:Q108" si="2">AVERAGE(C9:C104)</f>
        <v>11.86916666666667</v>
      </c>
      <c r="D108" s="67">
        <f t="shared" si="2"/>
        <v>14.553854166666667</v>
      </c>
      <c r="E108" s="67">
        <f t="shared" si="2"/>
        <v>1.6352083333333338</v>
      </c>
      <c r="F108" s="67">
        <f t="shared" si="2"/>
        <v>0.84458333333333346</v>
      </c>
      <c r="G108" s="67">
        <f t="shared" si="2"/>
        <v>44.362291666666671</v>
      </c>
      <c r="H108" s="67">
        <f t="shared" si="2"/>
        <v>27.606354166666634</v>
      </c>
      <c r="I108" s="67">
        <f t="shared" si="2"/>
        <v>1.4962499999999996</v>
      </c>
      <c r="J108" s="67">
        <f t="shared" si="2"/>
        <v>0.39072916666666674</v>
      </c>
      <c r="K108" s="67">
        <f t="shared" si="2"/>
        <v>233.08874999999998</v>
      </c>
      <c r="L108" s="67">
        <f t="shared" si="2"/>
        <v>26.180520833333333</v>
      </c>
      <c r="M108" s="67">
        <f t="shared" si="2"/>
        <v>85.261458333333351</v>
      </c>
      <c r="N108" s="67">
        <f t="shared" si="2"/>
        <v>176.22916666666666</v>
      </c>
      <c r="O108" s="67">
        <f t="shared" si="2"/>
        <v>0</v>
      </c>
      <c r="P108" s="67">
        <f t="shared" si="2"/>
        <v>0.74166666666666659</v>
      </c>
      <c r="Q108" s="67">
        <f t="shared" si="2"/>
        <v>10.925526315789474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4.8255080168428011</v>
      </c>
      <c r="C109" s="67">
        <f t="shared" ref="C109:Q109" si="3">STDEV(C9:C104)</f>
        <v>1.5609252766542401</v>
      </c>
      <c r="D109" s="67">
        <f t="shared" si="3"/>
        <v>3.9587526929289116</v>
      </c>
      <c r="E109" s="67">
        <f t="shared" si="3"/>
        <v>0.66971003806701135</v>
      </c>
      <c r="F109" s="67">
        <f t="shared" si="3"/>
        <v>0.83126272579626992</v>
      </c>
      <c r="G109" s="67">
        <f t="shared" si="3"/>
        <v>6.8689279756805304</v>
      </c>
      <c r="H109" s="67">
        <f t="shared" si="3"/>
        <v>71.832568557134053</v>
      </c>
      <c r="I109" s="67">
        <f t="shared" si="3"/>
        <v>4.3655348740838311E-2</v>
      </c>
      <c r="J109" s="67">
        <f t="shared" si="3"/>
        <v>0.3470514743913255</v>
      </c>
      <c r="K109" s="67">
        <f t="shared" si="3"/>
        <v>147.98895658122603</v>
      </c>
      <c r="L109" s="67">
        <f t="shared" si="3"/>
        <v>3.8348585014153311</v>
      </c>
      <c r="M109" s="67">
        <f t="shared" si="3"/>
        <v>17.88268636237542</v>
      </c>
      <c r="N109" s="67">
        <f t="shared" si="3"/>
        <v>260.64633183347422</v>
      </c>
      <c r="O109" s="67">
        <f t="shared" si="3"/>
        <v>0</v>
      </c>
      <c r="P109" s="67">
        <f t="shared" si="3"/>
        <v>0.16515808482316652</v>
      </c>
      <c r="Q109" s="67">
        <f t="shared" si="3"/>
        <v>1.2078094922457714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COUNT(Q9:Q104)+58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4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61" sqref="A6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438</v>
      </c>
      <c r="B9" s="64">
        <v>17.170000000000002</v>
      </c>
      <c r="C9" s="64">
        <v>10.42</v>
      </c>
      <c r="D9" s="64">
        <v>20.82</v>
      </c>
      <c r="E9" s="64">
        <v>2.29</v>
      </c>
      <c r="F9" s="64">
        <v>0.22</v>
      </c>
      <c r="G9" s="64">
        <v>48.83</v>
      </c>
      <c r="H9" s="64">
        <v>12.44</v>
      </c>
      <c r="I9" s="64">
        <v>1.55</v>
      </c>
      <c r="J9" s="64">
        <v>0.22</v>
      </c>
      <c r="K9" s="64">
        <v>336.49</v>
      </c>
      <c r="L9" s="64">
        <v>23.05</v>
      </c>
      <c r="M9" s="64">
        <v>98.87</v>
      </c>
      <c r="N9" s="64">
        <v>9.1</v>
      </c>
      <c r="O9" s="64">
        <v>0</v>
      </c>
      <c r="P9" s="64">
        <v>0.77</v>
      </c>
      <c r="Q9" s="212" t="s">
        <v>42</v>
      </c>
      <c r="R9" s="198"/>
      <c r="S9" s="198"/>
      <c r="T9" s="198"/>
      <c r="U9" s="198"/>
    </row>
    <row r="10" spans="1:21" s="12" customFormat="1" x14ac:dyDescent="0.25">
      <c r="A10" s="214" t="s">
        <v>439</v>
      </c>
      <c r="B10" s="64">
        <v>16.5</v>
      </c>
      <c r="C10" s="64">
        <v>10.6</v>
      </c>
      <c r="D10" s="64">
        <v>20.37</v>
      </c>
      <c r="E10" s="64">
        <v>1.95</v>
      </c>
      <c r="F10" s="64">
        <v>0.56999999999999995</v>
      </c>
      <c r="G10" s="64">
        <v>50.17</v>
      </c>
      <c r="H10" s="64">
        <v>5.03</v>
      </c>
      <c r="I10" s="64">
        <v>1.47</v>
      </c>
      <c r="J10" s="64">
        <v>0.42</v>
      </c>
      <c r="K10" s="64">
        <v>318.77999999999997</v>
      </c>
      <c r="L10" s="64">
        <v>23</v>
      </c>
      <c r="M10" s="64">
        <v>98.87</v>
      </c>
      <c r="N10" s="64">
        <v>9</v>
      </c>
      <c r="O10" s="64">
        <v>0</v>
      </c>
      <c r="P10" s="64">
        <v>0.73</v>
      </c>
      <c r="Q10" s="212" t="s">
        <v>42</v>
      </c>
      <c r="R10" s="198"/>
      <c r="S10" s="198"/>
      <c r="T10" s="198"/>
      <c r="U10" s="198"/>
    </row>
    <row r="11" spans="1:21" s="12" customFormat="1" x14ac:dyDescent="0.25">
      <c r="A11" s="214" t="s">
        <v>440</v>
      </c>
      <c r="B11" s="64">
        <v>15.63</v>
      </c>
      <c r="C11" s="64">
        <v>10.24</v>
      </c>
      <c r="D11" s="64">
        <v>19.47</v>
      </c>
      <c r="E11" s="64">
        <v>2.25</v>
      </c>
      <c r="F11" s="64">
        <v>0.28999999999999998</v>
      </c>
      <c r="G11" s="64">
        <v>50.39</v>
      </c>
      <c r="H11" s="64">
        <v>5.03</v>
      </c>
      <c r="I11" s="64">
        <v>1.54</v>
      </c>
      <c r="J11" s="64">
        <v>0.23</v>
      </c>
      <c r="K11" s="64">
        <v>324.26</v>
      </c>
      <c r="L11" s="64">
        <v>22.96</v>
      </c>
      <c r="M11" s="64">
        <v>98.88</v>
      </c>
      <c r="N11" s="64">
        <v>9.1</v>
      </c>
      <c r="O11" s="64">
        <v>0</v>
      </c>
      <c r="P11" s="64">
        <v>0.69</v>
      </c>
      <c r="Q11" s="212" t="s">
        <v>42</v>
      </c>
      <c r="R11" s="198"/>
      <c r="S11" s="198"/>
      <c r="T11" s="198"/>
      <c r="U11" s="198"/>
    </row>
    <row r="12" spans="1:21" s="12" customFormat="1" x14ac:dyDescent="0.25">
      <c r="A12" s="214" t="s">
        <v>441</v>
      </c>
      <c r="B12" s="64">
        <v>15.23</v>
      </c>
      <c r="C12" s="64">
        <v>10.69</v>
      </c>
      <c r="D12" s="64">
        <v>19.41</v>
      </c>
      <c r="E12" s="64">
        <v>1.99</v>
      </c>
      <c r="F12" s="64">
        <v>0.09</v>
      </c>
      <c r="G12" s="64">
        <v>50.39</v>
      </c>
      <c r="H12" s="64">
        <v>5.03</v>
      </c>
      <c r="I12" s="64">
        <v>1.48</v>
      </c>
      <c r="J12" s="64">
        <v>0.4</v>
      </c>
      <c r="K12" s="64">
        <v>320.24</v>
      </c>
      <c r="L12" s="64">
        <v>22.98</v>
      </c>
      <c r="M12" s="64">
        <v>98.9</v>
      </c>
      <c r="N12" s="64">
        <v>9.1</v>
      </c>
      <c r="O12" s="64">
        <v>0</v>
      </c>
      <c r="P12" s="64">
        <v>0.55000000000000004</v>
      </c>
      <c r="Q12" s="212" t="s">
        <v>42</v>
      </c>
      <c r="R12" s="198"/>
      <c r="S12" s="198"/>
      <c r="T12" s="198"/>
      <c r="U12" s="198"/>
    </row>
    <row r="13" spans="1:21" s="12" customFormat="1" x14ac:dyDescent="0.25">
      <c r="A13" s="214" t="s">
        <v>442</v>
      </c>
      <c r="B13" s="64">
        <v>15.04</v>
      </c>
      <c r="C13" s="64">
        <v>10.039999999999999</v>
      </c>
      <c r="D13" s="64">
        <v>18.89</v>
      </c>
      <c r="E13" s="64">
        <v>1.65</v>
      </c>
      <c r="F13" s="64">
        <v>0.34</v>
      </c>
      <c r="G13" s="64">
        <v>50.39</v>
      </c>
      <c r="H13" s="64">
        <v>5.03</v>
      </c>
      <c r="I13" s="64">
        <v>1.5</v>
      </c>
      <c r="J13" s="64">
        <v>0.65</v>
      </c>
      <c r="K13" s="64">
        <v>325.57</v>
      </c>
      <c r="L13" s="64">
        <v>22.96</v>
      </c>
      <c r="M13" s="64">
        <v>98.9</v>
      </c>
      <c r="N13" s="64">
        <v>9.1</v>
      </c>
      <c r="O13" s="64">
        <v>0</v>
      </c>
      <c r="P13" s="64">
        <v>0.56999999999999995</v>
      </c>
      <c r="Q13" s="212" t="s">
        <v>42</v>
      </c>
      <c r="R13" s="198"/>
      <c r="S13" s="198"/>
      <c r="T13" s="198"/>
      <c r="U13" s="198"/>
    </row>
    <row r="14" spans="1:21" s="12" customFormat="1" x14ac:dyDescent="0.25">
      <c r="A14" s="214" t="s">
        <v>443</v>
      </c>
      <c r="B14" s="64">
        <v>14.71</v>
      </c>
      <c r="C14" s="64">
        <v>9.74</v>
      </c>
      <c r="D14" s="64">
        <v>18.47</v>
      </c>
      <c r="E14" s="64">
        <v>1.42</v>
      </c>
      <c r="F14" s="64">
        <v>0.43</v>
      </c>
      <c r="G14" s="64">
        <v>44.67</v>
      </c>
      <c r="H14" s="64">
        <v>5.99</v>
      </c>
      <c r="I14" s="64">
        <v>1.48</v>
      </c>
      <c r="J14" s="64">
        <v>0.25</v>
      </c>
      <c r="K14" s="64">
        <v>319.89</v>
      </c>
      <c r="L14" s="64">
        <v>22.85</v>
      </c>
      <c r="M14" s="64">
        <v>98.66</v>
      </c>
      <c r="N14" s="64">
        <v>9.1999999999999993</v>
      </c>
      <c r="O14" s="64">
        <v>0</v>
      </c>
      <c r="P14" s="64">
        <v>0.59</v>
      </c>
      <c r="Q14" s="212" t="s">
        <v>42</v>
      </c>
      <c r="R14" s="198"/>
      <c r="S14" s="198"/>
      <c r="T14" s="198"/>
      <c r="U14" s="198"/>
    </row>
    <row r="15" spans="1:21" s="12" customFormat="1" x14ac:dyDescent="0.25">
      <c r="A15" s="214" t="s">
        <v>444</v>
      </c>
      <c r="B15" s="64">
        <v>14.42</v>
      </c>
      <c r="C15" s="64">
        <v>9.6300000000000008</v>
      </c>
      <c r="D15" s="64">
        <v>18.170000000000002</v>
      </c>
      <c r="E15" s="64">
        <v>1.97</v>
      </c>
      <c r="F15" s="64">
        <v>0.22</v>
      </c>
      <c r="G15" s="64">
        <v>43.71</v>
      </c>
      <c r="H15" s="64">
        <v>5.99</v>
      </c>
      <c r="I15" s="64">
        <v>1.51</v>
      </c>
      <c r="J15" s="64">
        <v>0.3</v>
      </c>
      <c r="K15" s="64">
        <v>319.57</v>
      </c>
      <c r="L15" s="64">
        <v>22.77</v>
      </c>
      <c r="M15" s="64">
        <v>98.82</v>
      </c>
      <c r="N15" s="64">
        <v>9.1</v>
      </c>
      <c r="O15" s="64">
        <v>0</v>
      </c>
      <c r="P15" s="64">
        <v>0.5</v>
      </c>
      <c r="Q15" s="212" t="s">
        <v>42</v>
      </c>
      <c r="R15" s="198"/>
      <c r="S15" s="198"/>
      <c r="T15" s="198"/>
      <c r="U15" s="198"/>
    </row>
    <row r="16" spans="1:21" s="12" customFormat="1" x14ac:dyDescent="0.25">
      <c r="A16" s="214" t="s">
        <v>445</v>
      </c>
      <c r="B16" s="64">
        <v>14.11</v>
      </c>
      <c r="C16" s="64">
        <v>9.4</v>
      </c>
      <c r="D16" s="64">
        <v>17.8</v>
      </c>
      <c r="E16" s="64">
        <v>1.74</v>
      </c>
      <c r="F16" s="64">
        <v>0.56999999999999995</v>
      </c>
      <c r="G16" s="64">
        <v>43.71</v>
      </c>
      <c r="H16" s="64">
        <v>5.99</v>
      </c>
      <c r="I16" s="64">
        <v>1.48</v>
      </c>
      <c r="J16" s="64">
        <v>0.17</v>
      </c>
      <c r="K16" s="64">
        <v>318.45999999999998</v>
      </c>
      <c r="L16" s="64">
        <v>22.7</v>
      </c>
      <c r="M16" s="64">
        <v>98.46</v>
      </c>
      <c r="N16" s="64">
        <v>9.1999999999999993</v>
      </c>
      <c r="O16" s="64">
        <v>0</v>
      </c>
      <c r="P16" s="64">
        <v>0.56000000000000005</v>
      </c>
      <c r="Q16" s="212" t="s">
        <v>42</v>
      </c>
      <c r="R16" s="198"/>
      <c r="S16" s="198"/>
      <c r="T16" s="198"/>
      <c r="U16" s="198"/>
    </row>
    <row r="17" spans="1:21" s="12" customFormat="1" x14ac:dyDescent="0.25">
      <c r="A17" s="214" t="s">
        <v>446</v>
      </c>
      <c r="B17" s="64">
        <v>13.49</v>
      </c>
      <c r="C17" s="64">
        <v>8.8699999999999992</v>
      </c>
      <c r="D17" s="64">
        <v>17.010000000000002</v>
      </c>
      <c r="E17" s="64">
        <v>1.6</v>
      </c>
      <c r="F17" s="64">
        <v>0.31</v>
      </c>
      <c r="G17" s="64">
        <v>43.71</v>
      </c>
      <c r="H17" s="64">
        <v>5.99</v>
      </c>
      <c r="I17" s="64">
        <v>1.54</v>
      </c>
      <c r="J17" s="64">
        <v>0.15</v>
      </c>
      <c r="K17" s="64">
        <v>335.94</v>
      </c>
      <c r="L17" s="64">
        <v>22.7</v>
      </c>
      <c r="M17" s="64">
        <v>98.38</v>
      </c>
      <c r="N17" s="64">
        <v>9.1</v>
      </c>
      <c r="O17" s="64">
        <v>0</v>
      </c>
      <c r="P17" s="64">
        <v>0.6</v>
      </c>
      <c r="Q17" s="212" t="s">
        <v>42</v>
      </c>
      <c r="R17" s="198"/>
      <c r="S17" s="198"/>
      <c r="T17" s="198"/>
      <c r="U17" s="198"/>
    </row>
    <row r="18" spans="1:21" s="12" customFormat="1" x14ac:dyDescent="0.25">
      <c r="A18" s="214" t="s">
        <v>447</v>
      </c>
      <c r="B18" s="64">
        <v>12.97</v>
      </c>
      <c r="C18" s="64">
        <v>9.83</v>
      </c>
      <c r="D18" s="64">
        <v>17.12</v>
      </c>
      <c r="E18" s="64">
        <v>2.4900000000000002</v>
      </c>
      <c r="F18" s="64">
        <v>0.24</v>
      </c>
      <c r="G18" s="64">
        <v>36.93</v>
      </c>
      <c r="H18" s="64">
        <v>2.67</v>
      </c>
      <c r="I18" s="64">
        <v>1.41</v>
      </c>
      <c r="J18" s="64">
        <v>0.32</v>
      </c>
      <c r="K18" s="64">
        <v>320.10000000000002</v>
      </c>
      <c r="L18" s="64">
        <v>22.69</v>
      </c>
      <c r="M18" s="64">
        <v>98.38</v>
      </c>
      <c r="N18" s="64">
        <v>9</v>
      </c>
      <c r="O18" s="64">
        <v>0</v>
      </c>
      <c r="P18" s="64">
        <v>0.55000000000000004</v>
      </c>
      <c r="Q18" s="212" t="s">
        <v>42</v>
      </c>
      <c r="R18" s="198"/>
      <c r="S18" s="198"/>
      <c r="T18" s="198"/>
      <c r="U18" s="198"/>
    </row>
    <row r="19" spans="1:21" s="12" customFormat="1" x14ac:dyDescent="0.25">
      <c r="A19" s="214" t="s">
        <v>448</v>
      </c>
      <c r="B19" s="64">
        <v>12.59</v>
      </c>
      <c r="C19" s="64">
        <v>9.49</v>
      </c>
      <c r="D19" s="64">
        <v>16.62</v>
      </c>
      <c r="E19" s="64">
        <v>1.99</v>
      </c>
      <c r="F19" s="64">
        <v>0.16</v>
      </c>
      <c r="G19" s="64">
        <v>35.79</v>
      </c>
      <c r="H19" s="64">
        <v>2.67</v>
      </c>
      <c r="I19" s="64">
        <v>1.52</v>
      </c>
      <c r="J19" s="64">
        <v>0.2</v>
      </c>
      <c r="K19" s="64">
        <v>320.42</v>
      </c>
      <c r="L19" s="64">
        <v>22.62</v>
      </c>
      <c r="M19" s="64">
        <v>98.74</v>
      </c>
      <c r="N19" s="64">
        <v>9.1</v>
      </c>
      <c r="O19" s="64">
        <v>0</v>
      </c>
      <c r="P19" s="64">
        <v>0.54</v>
      </c>
      <c r="Q19" s="212" t="s">
        <v>42</v>
      </c>
      <c r="R19" s="198"/>
      <c r="S19" s="198"/>
      <c r="T19" s="198"/>
      <c r="U19" s="198"/>
    </row>
    <row r="20" spans="1:21" s="12" customFormat="1" x14ac:dyDescent="0.25">
      <c r="A20" s="214" t="s">
        <v>449</v>
      </c>
      <c r="B20" s="64">
        <v>12.28</v>
      </c>
      <c r="C20" s="64">
        <v>9.36</v>
      </c>
      <c r="D20" s="64">
        <v>16.309999999999999</v>
      </c>
      <c r="E20" s="64">
        <v>1.73</v>
      </c>
      <c r="F20" s="64">
        <v>0.33</v>
      </c>
      <c r="G20" s="64">
        <v>35.79</v>
      </c>
      <c r="H20" s="64">
        <v>2.67</v>
      </c>
      <c r="I20" s="64">
        <v>1.45</v>
      </c>
      <c r="J20" s="64">
        <v>0.24</v>
      </c>
      <c r="K20" s="64">
        <v>316.19</v>
      </c>
      <c r="L20" s="64">
        <v>22.65</v>
      </c>
      <c r="M20" s="64">
        <v>98.53</v>
      </c>
      <c r="N20" s="64">
        <v>9.1999999999999993</v>
      </c>
      <c r="O20" s="64">
        <v>0</v>
      </c>
      <c r="P20" s="64">
        <v>0.54</v>
      </c>
      <c r="Q20" s="212" t="s">
        <v>42</v>
      </c>
      <c r="R20" s="198"/>
      <c r="S20" s="198"/>
      <c r="T20" s="198"/>
      <c r="U20" s="198"/>
    </row>
    <row r="21" spans="1:21" s="12" customFormat="1" x14ac:dyDescent="0.25">
      <c r="A21" s="214" t="s">
        <v>450</v>
      </c>
      <c r="B21" s="64">
        <v>12.02</v>
      </c>
      <c r="C21" s="64">
        <v>9.35</v>
      </c>
      <c r="D21" s="64">
        <v>16.09</v>
      </c>
      <c r="E21" s="64">
        <v>1.75</v>
      </c>
      <c r="F21" s="64">
        <v>0.22</v>
      </c>
      <c r="G21" s="64">
        <v>35.79</v>
      </c>
      <c r="H21" s="64">
        <v>2.67</v>
      </c>
      <c r="I21" s="64">
        <v>1.57</v>
      </c>
      <c r="J21" s="64">
        <v>0.25</v>
      </c>
      <c r="K21" s="64">
        <v>325.8</v>
      </c>
      <c r="L21" s="64">
        <v>22.6</v>
      </c>
      <c r="M21" s="64">
        <v>98.38</v>
      </c>
      <c r="N21" s="64">
        <v>9.1999999999999993</v>
      </c>
      <c r="O21" s="64">
        <v>0</v>
      </c>
      <c r="P21" s="64">
        <v>0.49</v>
      </c>
      <c r="Q21" s="212" t="s">
        <v>42</v>
      </c>
      <c r="R21" s="198"/>
      <c r="S21" s="198"/>
      <c r="T21" s="198"/>
      <c r="U21" s="198"/>
    </row>
    <row r="22" spans="1:21" s="12" customFormat="1" x14ac:dyDescent="0.25">
      <c r="A22" s="214" t="s">
        <v>451</v>
      </c>
      <c r="B22" s="64">
        <v>11.78</v>
      </c>
      <c r="C22" s="64">
        <v>8.98</v>
      </c>
      <c r="D22" s="64">
        <v>15.7</v>
      </c>
      <c r="E22" s="64">
        <v>1.76</v>
      </c>
      <c r="F22" s="64">
        <v>0.2</v>
      </c>
      <c r="G22" s="64">
        <v>30.17</v>
      </c>
      <c r="H22" s="64">
        <v>10.75</v>
      </c>
      <c r="I22" s="64">
        <v>1.5</v>
      </c>
      <c r="J22" s="64">
        <v>0.16</v>
      </c>
      <c r="K22" s="64">
        <v>356.62</v>
      </c>
      <c r="L22" s="64">
        <v>22.63</v>
      </c>
      <c r="M22" s="64">
        <v>98.38</v>
      </c>
      <c r="N22" s="64">
        <v>9.1999999999999993</v>
      </c>
      <c r="O22" s="64">
        <v>0</v>
      </c>
      <c r="P22" s="64">
        <v>0.5</v>
      </c>
      <c r="Q22" s="212" t="s">
        <v>42</v>
      </c>
      <c r="R22" s="198"/>
      <c r="S22" s="198"/>
      <c r="T22" s="198"/>
      <c r="U22" s="198"/>
    </row>
    <row r="23" spans="1:21" s="12" customFormat="1" x14ac:dyDescent="0.25">
      <c r="A23" s="214" t="s">
        <v>452</v>
      </c>
      <c r="B23" s="64">
        <v>11.27</v>
      </c>
      <c r="C23" s="64">
        <v>9.1300000000000008</v>
      </c>
      <c r="D23" s="64">
        <v>15.37</v>
      </c>
      <c r="E23" s="64">
        <v>1.67</v>
      </c>
      <c r="F23" s="64">
        <v>0.15</v>
      </c>
      <c r="G23" s="64">
        <v>29.14</v>
      </c>
      <c r="H23" s="64">
        <v>10.75</v>
      </c>
      <c r="I23" s="64">
        <v>1.5</v>
      </c>
      <c r="J23" s="64">
        <v>0.25</v>
      </c>
      <c r="K23" s="64">
        <v>329.95</v>
      </c>
      <c r="L23" s="64">
        <v>22.51</v>
      </c>
      <c r="M23" s="64">
        <v>98.64</v>
      </c>
      <c r="N23" s="64">
        <v>9.1</v>
      </c>
      <c r="O23" s="64">
        <v>0</v>
      </c>
      <c r="P23" s="64">
        <v>0.46</v>
      </c>
      <c r="Q23" s="212" t="s">
        <v>42</v>
      </c>
      <c r="R23" s="198"/>
      <c r="S23" s="198"/>
      <c r="T23" s="198"/>
      <c r="U23" s="198"/>
    </row>
    <row r="24" spans="1:21" s="12" customFormat="1" x14ac:dyDescent="0.25">
      <c r="A24" s="214" t="s">
        <v>453</v>
      </c>
      <c r="B24" s="64">
        <v>10.94</v>
      </c>
      <c r="C24" s="64">
        <v>9.25</v>
      </c>
      <c r="D24" s="64">
        <v>15.17</v>
      </c>
      <c r="E24" s="64">
        <v>0.3</v>
      </c>
      <c r="F24" s="64">
        <v>0.13</v>
      </c>
      <c r="G24" s="64">
        <v>29.14</v>
      </c>
      <c r="H24" s="64">
        <v>10.75</v>
      </c>
      <c r="I24" s="64">
        <v>1.48</v>
      </c>
      <c r="J24" s="64">
        <v>0.21</v>
      </c>
      <c r="K24" s="64">
        <v>327.93</v>
      </c>
      <c r="L24" s="64">
        <v>22.52</v>
      </c>
      <c r="M24" s="64">
        <v>98.61</v>
      </c>
      <c r="N24" s="64">
        <v>9.1</v>
      </c>
      <c r="O24" s="64">
        <v>0</v>
      </c>
      <c r="P24" s="64">
        <v>0.41</v>
      </c>
      <c r="Q24" s="212" t="s">
        <v>42</v>
      </c>
      <c r="R24" s="198"/>
      <c r="S24" s="198"/>
      <c r="T24" s="198"/>
      <c r="U24" s="198"/>
    </row>
    <row r="25" spans="1:21" s="12" customFormat="1" x14ac:dyDescent="0.25">
      <c r="A25" s="214" t="s">
        <v>454</v>
      </c>
      <c r="B25" s="64">
        <v>10.69</v>
      </c>
      <c r="C25" s="64">
        <v>8.6999999999999993</v>
      </c>
      <c r="D25" s="64">
        <v>14.67</v>
      </c>
      <c r="E25" s="64">
        <v>0.98</v>
      </c>
      <c r="F25" s="64">
        <v>0.28999999999999998</v>
      </c>
      <c r="G25" s="64">
        <v>29.14</v>
      </c>
      <c r="H25" s="64">
        <v>10.75</v>
      </c>
      <c r="I25" s="64">
        <v>1.45</v>
      </c>
      <c r="J25" s="64">
        <v>0.16</v>
      </c>
      <c r="K25" s="64">
        <v>338.76</v>
      </c>
      <c r="L25" s="64">
        <v>22.61</v>
      </c>
      <c r="M25" s="64">
        <v>98.34</v>
      </c>
      <c r="N25" s="64">
        <v>9.1999999999999993</v>
      </c>
      <c r="O25" s="64">
        <v>0</v>
      </c>
      <c r="P25" s="64">
        <v>0.44</v>
      </c>
      <c r="Q25" s="212" t="s">
        <v>42</v>
      </c>
      <c r="R25" s="198"/>
      <c r="S25" s="198"/>
      <c r="T25" s="198"/>
      <c r="U25" s="198"/>
    </row>
    <row r="26" spans="1:21" s="12" customFormat="1" x14ac:dyDescent="0.25">
      <c r="A26" s="214" t="s">
        <v>455</v>
      </c>
      <c r="B26" s="64">
        <v>10.61</v>
      </c>
      <c r="C26" s="64">
        <v>8.81</v>
      </c>
      <c r="D26" s="64">
        <v>14.66</v>
      </c>
      <c r="E26" s="64">
        <v>1.1599999999999999</v>
      </c>
      <c r="F26" s="64">
        <v>0.34</v>
      </c>
      <c r="G26" s="64">
        <v>29.19</v>
      </c>
      <c r="H26" s="64">
        <v>9.09</v>
      </c>
      <c r="I26" s="64">
        <v>1.5</v>
      </c>
      <c r="J26" s="64">
        <v>0.14000000000000001</v>
      </c>
      <c r="K26" s="64">
        <v>353.83</v>
      </c>
      <c r="L26" s="64">
        <v>22.73</v>
      </c>
      <c r="M26" s="64">
        <v>98.33</v>
      </c>
      <c r="N26" s="64">
        <v>9.3000000000000007</v>
      </c>
      <c r="O26" s="64">
        <v>0</v>
      </c>
      <c r="P26" s="64">
        <v>0.41</v>
      </c>
      <c r="Q26" s="212" t="s">
        <v>42</v>
      </c>
      <c r="R26" s="198"/>
      <c r="S26" s="198"/>
      <c r="T26" s="198"/>
      <c r="U26" s="198"/>
    </row>
    <row r="27" spans="1:21" s="12" customFormat="1" x14ac:dyDescent="0.25">
      <c r="A27" s="214" t="s">
        <v>456</v>
      </c>
      <c r="B27" s="64">
        <v>10.35</v>
      </c>
      <c r="C27" s="64">
        <v>8.77</v>
      </c>
      <c r="D27" s="64">
        <v>14.43</v>
      </c>
      <c r="E27" s="64">
        <v>1.08</v>
      </c>
      <c r="F27" s="64">
        <v>0.25</v>
      </c>
      <c r="G27" s="64">
        <v>29.2</v>
      </c>
      <c r="H27" s="64">
        <v>9.09</v>
      </c>
      <c r="I27" s="64">
        <v>1.43</v>
      </c>
      <c r="J27" s="64">
        <v>0.19</v>
      </c>
      <c r="K27" s="64">
        <v>332.46</v>
      </c>
      <c r="L27" s="64">
        <v>22.62</v>
      </c>
      <c r="M27" s="64">
        <v>98.51</v>
      </c>
      <c r="N27" s="64">
        <v>9.3000000000000007</v>
      </c>
      <c r="O27" s="64">
        <v>0</v>
      </c>
      <c r="P27" s="64">
        <v>0.4</v>
      </c>
      <c r="Q27" s="212" t="s">
        <v>42</v>
      </c>
      <c r="R27" s="198"/>
      <c r="S27" s="198"/>
      <c r="T27" s="198"/>
      <c r="U27" s="198"/>
    </row>
    <row r="28" spans="1:21" s="12" customFormat="1" x14ac:dyDescent="0.25">
      <c r="A28" s="214" t="s">
        <v>457</v>
      </c>
      <c r="B28" s="64">
        <v>10.039999999999999</v>
      </c>
      <c r="C28" s="64">
        <v>8.84</v>
      </c>
      <c r="D28" s="64">
        <v>14.23</v>
      </c>
      <c r="E28" s="64">
        <v>1.43</v>
      </c>
      <c r="F28" s="64">
        <v>0.66</v>
      </c>
      <c r="G28" s="64">
        <v>29.2</v>
      </c>
      <c r="H28" s="64">
        <v>9.09</v>
      </c>
      <c r="I28" s="64">
        <v>1.5</v>
      </c>
      <c r="J28" s="64">
        <v>0.18</v>
      </c>
      <c r="K28" s="64">
        <v>336.06</v>
      </c>
      <c r="L28" s="64">
        <v>22.54</v>
      </c>
      <c r="M28" s="64">
        <v>98.68</v>
      </c>
      <c r="N28" s="64">
        <v>9.1999999999999993</v>
      </c>
      <c r="O28" s="64">
        <v>0</v>
      </c>
      <c r="P28" s="64">
        <v>0.41</v>
      </c>
      <c r="Q28" s="212" t="s">
        <v>42</v>
      </c>
      <c r="R28" s="198"/>
      <c r="S28" s="198"/>
      <c r="T28" s="198"/>
      <c r="U28" s="198"/>
    </row>
    <row r="29" spans="1:21" s="12" customFormat="1" x14ac:dyDescent="0.25">
      <c r="A29" s="214" t="s">
        <v>458</v>
      </c>
      <c r="B29" s="64">
        <v>9.6999999999999993</v>
      </c>
      <c r="C29" s="64">
        <v>9.11</v>
      </c>
      <c r="D29" s="64">
        <v>14.09</v>
      </c>
      <c r="E29" s="64">
        <v>1.77</v>
      </c>
      <c r="F29" s="64">
        <v>0.28000000000000003</v>
      </c>
      <c r="G29" s="64">
        <v>29.2</v>
      </c>
      <c r="H29" s="64">
        <v>9.09</v>
      </c>
      <c r="I29" s="64">
        <v>1.52</v>
      </c>
      <c r="J29" s="64">
        <v>0.21</v>
      </c>
      <c r="K29" s="64">
        <v>343.58</v>
      </c>
      <c r="L29" s="64">
        <v>22.56</v>
      </c>
      <c r="M29" s="64">
        <v>98.34</v>
      </c>
      <c r="N29" s="64">
        <v>9.4</v>
      </c>
      <c r="O29" s="64">
        <v>0</v>
      </c>
      <c r="P29" s="64">
        <v>0.41</v>
      </c>
      <c r="Q29" s="212" t="s">
        <v>42</v>
      </c>
      <c r="R29" s="198"/>
      <c r="S29" s="198"/>
      <c r="T29" s="198"/>
      <c r="U29" s="198"/>
    </row>
    <row r="30" spans="1:21" s="12" customFormat="1" x14ac:dyDescent="0.25">
      <c r="A30" s="214" t="s">
        <v>459</v>
      </c>
      <c r="B30" s="64">
        <v>9.49</v>
      </c>
      <c r="C30" s="64">
        <v>9.43</v>
      </c>
      <c r="D30" s="64">
        <v>14.11</v>
      </c>
      <c r="E30" s="64">
        <v>1.41</v>
      </c>
      <c r="F30" s="64">
        <v>0.47</v>
      </c>
      <c r="G30" s="64">
        <v>24.98</v>
      </c>
      <c r="H30" s="64">
        <v>7.23</v>
      </c>
      <c r="I30" s="64">
        <v>1.49</v>
      </c>
      <c r="J30" s="64">
        <v>0.48</v>
      </c>
      <c r="K30" s="64">
        <v>318.2</v>
      </c>
      <c r="L30" s="64">
        <v>22.54</v>
      </c>
      <c r="M30" s="64">
        <v>98.33</v>
      </c>
      <c r="N30" s="64">
        <v>9.3000000000000007</v>
      </c>
      <c r="O30" s="64">
        <v>0</v>
      </c>
      <c r="P30" s="64">
        <v>0.4</v>
      </c>
      <c r="Q30" s="212" t="s">
        <v>42</v>
      </c>
      <c r="R30" s="198"/>
      <c r="S30" s="198"/>
      <c r="T30" s="198"/>
      <c r="U30" s="198"/>
    </row>
    <row r="31" spans="1:21" s="12" customFormat="1" x14ac:dyDescent="0.25">
      <c r="A31" s="214" t="s">
        <v>460</v>
      </c>
      <c r="B31" s="64">
        <v>9.35</v>
      </c>
      <c r="C31" s="64">
        <v>9.6</v>
      </c>
      <c r="D31" s="64">
        <v>14.09</v>
      </c>
      <c r="E31" s="64">
        <v>1.75</v>
      </c>
      <c r="F31" s="64">
        <v>0.11</v>
      </c>
      <c r="G31" s="64">
        <v>24.27</v>
      </c>
      <c r="H31" s="64">
        <v>7.23</v>
      </c>
      <c r="I31" s="64">
        <v>1.5</v>
      </c>
      <c r="J31" s="64">
        <v>0.38</v>
      </c>
      <c r="K31" s="64">
        <v>317.45999999999998</v>
      </c>
      <c r="L31" s="64">
        <v>22.39</v>
      </c>
      <c r="M31" s="64">
        <v>98.44</v>
      </c>
      <c r="N31" s="64">
        <v>9.6</v>
      </c>
      <c r="O31" s="64">
        <v>0</v>
      </c>
      <c r="P31" s="64">
        <v>0.38</v>
      </c>
      <c r="Q31" s="212" t="s">
        <v>42</v>
      </c>
      <c r="R31" s="198"/>
      <c r="S31" s="198"/>
      <c r="T31" s="198"/>
      <c r="U31" s="198"/>
    </row>
    <row r="32" spans="1:21" s="12" customFormat="1" x14ac:dyDescent="0.25">
      <c r="A32" s="214" t="s">
        <v>461</v>
      </c>
      <c r="B32" s="64">
        <v>9.26</v>
      </c>
      <c r="C32" s="64">
        <v>9.33</v>
      </c>
      <c r="D32" s="64">
        <v>13.87</v>
      </c>
      <c r="E32" s="64">
        <v>1.35</v>
      </c>
      <c r="F32" s="64">
        <v>0.53</v>
      </c>
      <c r="G32" s="64">
        <v>24.27</v>
      </c>
      <c r="H32" s="64">
        <v>7.23</v>
      </c>
      <c r="I32" s="64">
        <v>1.49</v>
      </c>
      <c r="J32" s="64">
        <v>0.5</v>
      </c>
      <c r="K32" s="64">
        <v>317.31</v>
      </c>
      <c r="L32" s="64">
        <v>22.46</v>
      </c>
      <c r="M32" s="64">
        <v>98.75</v>
      </c>
      <c r="N32" s="64">
        <v>13</v>
      </c>
      <c r="O32" s="64">
        <v>0</v>
      </c>
      <c r="P32" s="64">
        <v>0.38</v>
      </c>
      <c r="Q32" s="212" t="s">
        <v>42</v>
      </c>
      <c r="R32" s="198"/>
      <c r="S32" s="198"/>
      <c r="T32" s="198"/>
      <c r="U32" s="198"/>
    </row>
    <row r="33" spans="1:21" s="12" customFormat="1" x14ac:dyDescent="0.25">
      <c r="A33" s="214" t="s">
        <v>462</v>
      </c>
      <c r="B33" s="64">
        <v>9.08</v>
      </c>
      <c r="C33" s="64">
        <v>9.8000000000000007</v>
      </c>
      <c r="D33" s="64">
        <v>13.98</v>
      </c>
      <c r="E33" s="64">
        <v>1.5</v>
      </c>
      <c r="F33" s="64">
        <v>0.24</v>
      </c>
      <c r="G33" s="64">
        <v>24.27</v>
      </c>
      <c r="H33" s="64">
        <v>7.23</v>
      </c>
      <c r="I33" s="64">
        <v>1.49</v>
      </c>
      <c r="J33" s="64">
        <v>0.56999999999999995</v>
      </c>
      <c r="K33" s="64">
        <v>316.41000000000003</v>
      </c>
      <c r="L33" s="64">
        <v>22.64</v>
      </c>
      <c r="M33" s="64">
        <v>98.85</v>
      </c>
      <c r="N33" s="64">
        <v>24.1</v>
      </c>
      <c r="O33" s="64">
        <v>0</v>
      </c>
      <c r="P33" s="64">
        <v>0.36</v>
      </c>
      <c r="Q33" s="212" t="s">
        <v>42</v>
      </c>
      <c r="R33" s="198"/>
      <c r="S33" s="198"/>
      <c r="T33" s="198"/>
      <c r="U33" s="198"/>
    </row>
    <row r="34" spans="1:21" s="12" customFormat="1" x14ac:dyDescent="0.25">
      <c r="A34" s="214" t="s">
        <v>463</v>
      </c>
      <c r="B34" s="64">
        <v>9.0299999999999994</v>
      </c>
      <c r="C34" s="64">
        <v>9.34</v>
      </c>
      <c r="D34" s="64">
        <v>13.69</v>
      </c>
      <c r="E34" s="64">
        <v>1.41</v>
      </c>
      <c r="F34" s="64">
        <v>0.52</v>
      </c>
      <c r="G34" s="64">
        <v>26.03</v>
      </c>
      <c r="H34" s="64">
        <v>8.65</v>
      </c>
      <c r="I34" s="64">
        <v>1.52</v>
      </c>
      <c r="J34" s="64">
        <v>0.56999999999999995</v>
      </c>
      <c r="K34" s="64">
        <v>316.37</v>
      </c>
      <c r="L34" s="64">
        <v>22.78</v>
      </c>
      <c r="M34" s="64">
        <v>98.85</v>
      </c>
      <c r="N34" s="64">
        <v>47</v>
      </c>
      <c r="O34" s="64">
        <v>0</v>
      </c>
      <c r="P34" s="64">
        <v>0.37</v>
      </c>
      <c r="Q34" s="212" t="s">
        <v>42</v>
      </c>
      <c r="R34" s="198"/>
      <c r="S34" s="198"/>
      <c r="T34" s="198"/>
      <c r="U34" s="198"/>
    </row>
    <row r="35" spans="1:21" s="12" customFormat="1" x14ac:dyDescent="0.25">
      <c r="A35" s="214" t="s">
        <v>464</v>
      </c>
      <c r="B35" s="64">
        <v>9.41</v>
      </c>
      <c r="C35" s="64">
        <v>9.86</v>
      </c>
      <c r="D35" s="64">
        <v>14.28</v>
      </c>
      <c r="E35" s="64">
        <v>1.38</v>
      </c>
      <c r="F35" s="64">
        <v>0</v>
      </c>
      <c r="G35" s="64">
        <v>26.33</v>
      </c>
      <c r="H35" s="64">
        <v>8.65</v>
      </c>
      <c r="I35" s="64">
        <v>1.45</v>
      </c>
      <c r="J35" s="64">
        <v>0.5</v>
      </c>
      <c r="K35" s="64">
        <v>317.14999999999998</v>
      </c>
      <c r="L35" s="64">
        <v>23.16</v>
      </c>
      <c r="M35" s="64">
        <v>97.96</v>
      </c>
      <c r="N35" s="64">
        <v>74</v>
      </c>
      <c r="O35" s="64">
        <v>0</v>
      </c>
      <c r="P35" s="64">
        <v>0.37</v>
      </c>
      <c r="Q35" s="212" t="s">
        <v>42</v>
      </c>
      <c r="R35" s="198"/>
      <c r="S35" s="198"/>
      <c r="T35" s="198"/>
      <c r="U35" s="198"/>
    </row>
    <row r="36" spans="1:21" s="12" customFormat="1" x14ac:dyDescent="0.25">
      <c r="A36" s="214" t="s">
        <v>465</v>
      </c>
      <c r="B36" s="64">
        <v>9.76</v>
      </c>
      <c r="C36" s="64">
        <v>9.85</v>
      </c>
      <c r="D36" s="64">
        <v>14.56</v>
      </c>
      <c r="E36" s="64">
        <v>1.33</v>
      </c>
      <c r="F36" s="64">
        <v>0.4</v>
      </c>
      <c r="G36" s="64">
        <v>26.33</v>
      </c>
      <c r="H36" s="64">
        <v>8.65</v>
      </c>
      <c r="I36" s="64">
        <v>1.48</v>
      </c>
      <c r="J36" s="64">
        <v>0.74</v>
      </c>
      <c r="K36" s="64">
        <v>320.22000000000003</v>
      </c>
      <c r="L36" s="64">
        <v>23.72</v>
      </c>
      <c r="M36" s="64">
        <v>95.36</v>
      </c>
      <c r="N36" s="64">
        <v>119</v>
      </c>
      <c r="O36" s="64">
        <v>0</v>
      </c>
      <c r="P36" s="64">
        <v>0.37</v>
      </c>
      <c r="Q36" s="212" t="s">
        <v>42</v>
      </c>
      <c r="R36" s="198"/>
      <c r="S36" s="198"/>
      <c r="T36" s="198"/>
      <c r="U36" s="198"/>
    </row>
    <row r="37" spans="1:21" s="12" customFormat="1" x14ac:dyDescent="0.25">
      <c r="A37" s="214" t="s">
        <v>466</v>
      </c>
      <c r="B37" s="64">
        <v>10.1</v>
      </c>
      <c r="C37" s="64">
        <v>9.66</v>
      </c>
      <c r="D37" s="64">
        <v>14.72</v>
      </c>
      <c r="E37" s="64">
        <v>1.32</v>
      </c>
      <c r="F37" s="64">
        <v>0.19</v>
      </c>
      <c r="G37" s="64">
        <v>26.33</v>
      </c>
      <c r="H37" s="64">
        <v>8.65</v>
      </c>
      <c r="I37" s="64">
        <v>1.48</v>
      </c>
      <c r="J37" s="64">
        <v>0.62</v>
      </c>
      <c r="K37" s="64">
        <v>320.67</v>
      </c>
      <c r="L37" s="64">
        <v>25.24</v>
      </c>
      <c r="M37" s="64">
        <v>87.08</v>
      </c>
      <c r="N37" s="64">
        <v>185.8</v>
      </c>
      <c r="O37" s="64">
        <v>0</v>
      </c>
      <c r="P37" s="64">
        <v>0.37</v>
      </c>
      <c r="Q37" s="212" t="s">
        <v>42</v>
      </c>
      <c r="R37" s="198"/>
      <c r="S37" s="198"/>
      <c r="T37" s="198"/>
      <c r="U37" s="198"/>
    </row>
    <row r="38" spans="1:21" s="12" customFormat="1" x14ac:dyDescent="0.25">
      <c r="A38" s="214" t="s">
        <v>467</v>
      </c>
      <c r="B38" s="64">
        <v>10.37</v>
      </c>
      <c r="C38" s="64">
        <v>9.57</v>
      </c>
      <c r="D38" s="64">
        <v>14.89</v>
      </c>
      <c r="E38" s="64">
        <v>1.47</v>
      </c>
      <c r="F38" s="64">
        <v>0.53</v>
      </c>
      <c r="G38" s="64">
        <v>27.1</v>
      </c>
      <c r="H38" s="64">
        <v>10.029999999999999</v>
      </c>
      <c r="I38" s="64">
        <v>1.56</v>
      </c>
      <c r="J38" s="64">
        <v>0.77</v>
      </c>
      <c r="K38" s="64">
        <v>324.07</v>
      </c>
      <c r="L38" s="64">
        <v>25.49</v>
      </c>
      <c r="M38" s="64">
        <v>85.8</v>
      </c>
      <c r="N38" s="64">
        <v>181.1</v>
      </c>
      <c r="O38" s="64">
        <v>0</v>
      </c>
      <c r="P38" s="64">
        <v>0.39</v>
      </c>
      <c r="Q38" s="212" t="s">
        <v>42</v>
      </c>
      <c r="R38" s="198"/>
      <c r="S38" s="198"/>
      <c r="T38" s="198"/>
      <c r="U38" s="198"/>
    </row>
    <row r="39" spans="1:21" s="12" customFormat="1" x14ac:dyDescent="0.25">
      <c r="A39" s="214" t="s">
        <v>468</v>
      </c>
      <c r="B39" s="64">
        <v>10.57</v>
      </c>
      <c r="C39" s="64">
        <v>9.86</v>
      </c>
      <c r="D39" s="64">
        <v>15.22</v>
      </c>
      <c r="E39" s="64">
        <v>1.88</v>
      </c>
      <c r="F39" s="64">
        <v>0.16</v>
      </c>
      <c r="G39" s="64">
        <v>27.23</v>
      </c>
      <c r="H39" s="64">
        <v>10.029999999999999</v>
      </c>
      <c r="I39" s="64">
        <v>1.46</v>
      </c>
      <c r="J39" s="64">
        <v>0.52</v>
      </c>
      <c r="K39" s="64">
        <v>320.48</v>
      </c>
      <c r="L39" s="64">
        <v>25.72</v>
      </c>
      <c r="M39" s="64">
        <v>84.73</v>
      </c>
      <c r="N39" s="64">
        <v>194.7</v>
      </c>
      <c r="O39" s="64">
        <v>0</v>
      </c>
      <c r="P39" s="64">
        <v>0.4</v>
      </c>
      <c r="Q39" s="212" t="s">
        <v>42</v>
      </c>
      <c r="R39" s="198"/>
      <c r="S39" s="198"/>
      <c r="T39" s="198"/>
      <c r="U39" s="198"/>
    </row>
    <row r="40" spans="1:21" s="12" customFormat="1" x14ac:dyDescent="0.25">
      <c r="A40" s="214" t="s">
        <v>469</v>
      </c>
      <c r="B40" s="64">
        <v>10.63</v>
      </c>
      <c r="C40" s="64">
        <v>10.07</v>
      </c>
      <c r="D40" s="64">
        <v>15.38</v>
      </c>
      <c r="E40" s="64">
        <v>0.86</v>
      </c>
      <c r="F40" s="64">
        <v>0.65</v>
      </c>
      <c r="G40" s="64">
        <v>27.23</v>
      </c>
      <c r="H40" s="64">
        <v>10.029999999999999</v>
      </c>
      <c r="I40" s="64">
        <v>1.49</v>
      </c>
      <c r="J40" s="64">
        <v>0.51</v>
      </c>
      <c r="K40" s="64">
        <v>330.73</v>
      </c>
      <c r="L40" s="64">
        <v>25.61</v>
      </c>
      <c r="M40" s="64">
        <v>85.29</v>
      </c>
      <c r="N40" s="64">
        <v>166.8</v>
      </c>
      <c r="O40" s="64">
        <v>0</v>
      </c>
      <c r="P40" s="64">
        <v>0.4</v>
      </c>
      <c r="Q40" s="212" t="s">
        <v>42</v>
      </c>
      <c r="R40" s="198"/>
      <c r="S40" s="198"/>
      <c r="T40" s="198"/>
      <c r="U40" s="198"/>
    </row>
    <row r="41" spans="1:21" s="12" customFormat="1" x14ac:dyDescent="0.25">
      <c r="A41" s="214" t="s">
        <v>470</v>
      </c>
      <c r="B41" s="64">
        <v>10.83</v>
      </c>
      <c r="C41" s="64">
        <v>10.84</v>
      </c>
      <c r="D41" s="64">
        <v>15.97</v>
      </c>
      <c r="E41" s="64">
        <v>2.27</v>
      </c>
      <c r="F41" s="64">
        <v>0.22</v>
      </c>
      <c r="G41" s="64">
        <v>27.23</v>
      </c>
      <c r="H41" s="64">
        <v>10.029999999999999</v>
      </c>
      <c r="I41" s="64">
        <v>1.49</v>
      </c>
      <c r="J41" s="64">
        <v>0.43</v>
      </c>
      <c r="K41" s="64">
        <v>322.37</v>
      </c>
      <c r="L41" s="64">
        <v>25.46</v>
      </c>
      <c r="M41" s="64">
        <v>86.73</v>
      </c>
      <c r="N41" s="64">
        <v>168.2</v>
      </c>
      <c r="O41" s="64">
        <v>0</v>
      </c>
      <c r="P41" s="64">
        <v>0.4</v>
      </c>
      <c r="Q41" s="212" t="s">
        <v>42</v>
      </c>
      <c r="R41" s="198"/>
      <c r="S41" s="198"/>
      <c r="T41" s="198"/>
      <c r="U41" s="198"/>
    </row>
    <row r="42" spans="1:21" s="12" customFormat="1" x14ac:dyDescent="0.25">
      <c r="A42" s="214" t="s">
        <v>471</v>
      </c>
      <c r="B42" s="64">
        <v>10.66</v>
      </c>
      <c r="C42" s="64">
        <v>10.75</v>
      </c>
      <c r="D42" s="64">
        <v>15.78</v>
      </c>
      <c r="E42" s="64">
        <v>1.92</v>
      </c>
      <c r="F42" s="64">
        <v>0.35</v>
      </c>
      <c r="G42" s="64">
        <v>27.46</v>
      </c>
      <c r="H42" s="64">
        <v>8.09</v>
      </c>
      <c r="I42" s="64">
        <v>1.45</v>
      </c>
      <c r="J42" s="64">
        <v>0.38</v>
      </c>
      <c r="K42" s="64">
        <v>333.29</v>
      </c>
      <c r="L42" s="64">
        <v>25.5</v>
      </c>
      <c r="M42" s="64">
        <v>86.23</v>
      </c>
      <c r="N42" s="64">
        <v>185</v>
      </c>
      <c r="O42" s="64">
        <v>0</v>
      </c>
      <c r="P42" s="64">
        <v>0.43</v>
      </c>
      <c r="Q42" s="212" t="s">
        <v>42</v>
      </c>
      <c r="R42" s="198"/>
      <c r="S42" s="198"/>
      <c r="T42" s="198"/>
      <c r="U42" s="198"/>
    </row>
    <row r="43" spans="1:21" s="12" customFormat="1" x14ac:dyDescent="0.25">
      <c r="A43" s="214" t="s">
        <v>472</v>
      </c>
      <c r="B43" s="64">
        <v>10.55</v>
      </c>
      <c r="C43" s="64">
        <v>11.42</v>
      </c>
      <c r="D43" s="64">
        <v>16.05</v>
      </c>
      <c r="E43" s="64">
        <v>1.94</v>
      </c>
      <c r="F43" s="64">
        <v>0.36</v>
      </c>
      <c r="G43" s="64">
        <v>27.5</v>
      </c>
      <c r="H43" s="64">
        <v>8.09</v>
      </c>
      <c r="I43" s="64">
        <v>1.54</v>
      </c>
      <c r="J43" s="64">
        <v>0.48</v>
      </c>
      <c r="K43" s="64">
        <v>324.41000000000003</v>
      </c>
      <c r="L43" s="64">
        <v>26.08</v>
      </c>
      <c r="M43" s="64">
        <v>83.94</v>
      </c>
      <c r="N43" s="64">
        <v>250.9</v>
      </c>
      <c r="O43" s="64">
        <v>0</v>
      </c>
      <c r="P43" s="64">
        <v>0.42</v>
      </c>
      <c r="Q43" s="212" t="s">
        <v>42</v>
      </c>
      <c r="R43" s="198"/>
      <c r="S43" s="198"/>
      <c r="T43" s="198"/>
      <c r="U43" s="198"/>
    </row>
    <row r="44" spans="1:21" s="12" customFormat="1" x14ac:dyDescent="0.25">
      <c r="A44" s="214" t="s">
        <v>473</v>
      </c>
      <c r="B44" s="64">
        <v>10.44</v>
      </c>
      <c r="C44" s="64">
        <v>11.4</v>
      </c>
      <c r="D44" s="64">
        <v>15.95</v>
      </c>
      <c r="E44" s="64">
        <v>2.2999999999999998</v>
      </c>
      <c r="F44" s="64">
        <v>0.14000000000000001</v>
      </c>
      <c r="G44" s="64">
        <v>27.5</v>
      </c>
      <c r="H44" s="64">
        <v>8.09</v>
      </c>
      <c r="I44" s="64">
        <v>1.55</v>
      </c>
      <c r="J44" s="64">
        <v>0.53</v>
      </c>
      <c r="K44" s="64">
        <v>323.52</v>
      </c>
      <c r="L44" s="64">
        <v>26.64</v>
      </c>
      <c r="M44" s="64">
        <v>81.569999999999993</v>
      </c>
      <c r="N44" s="64">
        <v>371.1</v>
      </c>
      <c r="O44" s="64">
        <v>0</v>
      </c>
      <c r="P44" s="64">
        <v>0.43</v>
      </c>
      <c r="Q44" s="212" t="s">
        <v>42</v>
      </c>
      <c r="R44" s="198"/>
      <c r="S44" s="198"/>
      <c r="T44" s="198"/>
      <c r="U44" s="198"/>
    </row>
    <row r="45" spans="1:21" s="12" customFormat="1" x14ac:dyDescent="0.25">
      <c r="A45" s="214" t="s">
        <v>474</v>
      </c>
      <c r="B45" s="64">
        <v>10.42</v>
      </c>
      <c r="C45" s="64">
        <v>11.58</v>
      </c>
      <c r="D45" s="64">
        <v>16.04</v>
      </c>
      <c r="E45" s="64">
        <v>1.64</v>
      </c>
      <c r="F45" s="64">
        <v>0.56000000000000005</v>
      </c>
      <c r="G45" s="64">
        <v>27.5</v>
      </c>
      <c r="H45" s="64">
        <v>8.09</v>
      </c>
      <c r="I45" s="64">
        <v>1.59</v>
      </c>
      <c r="J45" s="64">
        <v>0.92</v>
      </c>
      <c r="K45" s="64">
        <v>317.89999999999998</v>
      </c>
      <c r="L45" s="64">
        <v>29.33</v>
      </c>
      <c r="M45" s="64">
        <v>71.41</v>
      </c>
      <c r="N45" s="64">
        <v>651</v>
      </c>
      <c r="O45" s="64">
        <v>0</v>
      </c>
      <c r="P45" s="64">
        <v>0.43</v>
      </c>
      <c r="Q45" s="212" t="s">
        <v>42</v>
      </c>
      <c r="R45" s="198"/>
      <c r="S45" s="198"/>
      <c r="T45" s="198"/>
      <c r="U45" s="198"/>
    </row>
    <row r="46" spans="1:21" s="12" customFormat="1" x14ac:dyDescent="0.25">
      <c r="A46" s="214" t="s">
        <v>475</v>
      </c>
      <c r="B46" s="64">
        <v>10.31</v>
      </c>
      <c r="C46" s="64">
        <v>11.56</v>
      </c>
      <c r="D46" s="64">
        <v>15.94</v>
      </c>
      <c r="E46" s="64">
        <v>1.88</v>
      </c>
      <c r="F46" s="64">
        <v>0.53</v>
      </c>
      <c r="G46" s="64">
        <v>31.39</v>
      </c>
      <c r="H46" s="64">
        <v>9.58</v>
      </c>
      <c r="I46" s="64">
        <v>1.57</v>
      </c>
      <c r="J46" s="64">
        <v>1.3</v>
      </c>
      <c r="K46" s="64">
        <v>323.20999999999998</v>
      </c>
      <c r="L46" s="64">
        <v>30.07</v>
      </c>
      <c r="M46" s="64">
        <v>67.180000000000007</v>
      </c>
      <c r="N46" s="64">
        <v>449.2</v>
      </c>
      <c r="O46" s="64">
        <v>0</v>
      </c>
      <c r="P46" s="64">
        <v>0.43</v>
      </c>
      <c r="Q46" s="212" t="s">
        <v>42</v>
      </c>
      <c r="R46" s="198"/>
      <c r="S46" s="198"/>
      <c r="T46" s="198"/>
      <c r="U46" s="198"/>
    </row>
    <row r="47" spans="1:21" s="12" customFormat="1" x14ac:dyDescent="0.25">
      <c r="A47" s="214" t="s">
        <v>476</v>
      </c>
      <c r="B47" s="64">
        <v>10.06</v>
      </c>
      <c r="C47" s="64">
        <v>11.49</v>
      </c>
      <c r="D47" s="64">
        <v>15.7</v>
      </c>
      <c r="E47" s="64">
        <v>1.71</v>
      </c>
      <c r="F47" s="64">
        <v>0.25</v>
      </c>
      <c r="G47" s="64">
        <v>32.04</v>
      </c>
      <c r="H47" s="64">
        <v>9.58</v>
      </c>
      <c r="I47" s="64">
        <v>1.5</v>
      </c>
      <c r="J47" s="64">
        <v>1.52</v>
      </c>
      <c r="K47" s="64">
        <v>320.75</v>
      </c>
      <c r="L47" s="64">
        <v>29.92</v>
      </c>
      <c r="M47" s="64">
        <v>68.040000000000006</v>
      </c>
      <c r="N47" s="64">
        <v>678.9</v>
      </c>
      <c r="O47" s="64">
        <v>0</v>
      </c>
      <c r="P47" s="64">
        <v>0.45</v>
      </c>
      <c r="Q47" s="212" t="s">
        <v>42</v>
      </c>
      <c r="R47" s="198"/>
      <c r="S47" s="198"/>
      <c r="T47" s="198"/>
      <c r="U47" s="198"/>
    </row>
    <row r="48" spans="1:21" s="12" customFormat="1" x14ac:dyDescent="0.25">
      <c r="A48" s="214" t="s">
        <v>477</v>
      </c>
      <c r="B48" s="64">
        <v>9.6300000000000008</v>
      </c>
      <c r="C48" s="64">
        <v>12.04</v>
      </c>
      <c r="D48" s="64">
        <v>15.66</v>
      </c>
      <c r="E48" s="64">
        <v>1.99</v>
      </c>
      <c r="F48" s="64">
        <v>0.71</v>
      </c>
      <c r="G48" s="64">
        <v>32.04</v>
      </c>
      <c r="H48" s="64">
        <v>9.58</v>
      </c>
      <c r="I48" s="64">
        <v>1.5</v>
      </c>
      <c r="J48" s="64">
        <v>1.5</v>
      </c>
      <c r="K48" s="64">
        <v>323.05</v>
      </c>
      <c r="L48" s="64">
        <v>31.66</v>
      </c>
      <c r="M48" s="64">
        <v>62.16</v>
      </c>
      <c r="N48" s="64">
        <v>861.1</v>
      </c>
      <c r="O48" s="64">
        <v>0</v>
      </c>
      <c r="P48" s="64">
        <v>0.45</v>
      </c>
      <c r="Q48" s="212" t="s">
        <v>42</v>
      </c>
      <c r="R48" s="198"/>
      <c r="S48" s="198"/>
      <c r="T48" s="198"/>
      <c r="U48" s="198"/>
    </row>
    <row r="49" spans="1:21" s="12" customFormat="1" x14ac:dyDescent="0.25">
      <c r="A49" s="214" t="s">
        <v>478</v>
      </c>
      <c r="B49" s="64">
        <v>8.99</v>
      </c>
      <c r="C49" s="64">
        <v>11.42</v>
      </c>
      <c r="D49" s="64">
        <v>14.8</v>
      </c>
      <c r="E49" s="64">
        <v>1.72</v>
      </c>
      <c r="F49" s="64">
        <v>0.75</v>
      </c>
      <c r="G49" s="64">
        <v>32.04</v>
      </c>
      <c r="H49" s="64">
        <v>9.58</v>
      </c>
      <c r="I49" s="64">
        <v>1.51</v>
      </c>
      <c r="J49" s="64">
        <v>1.78</v>
      </c>
      <c r="K49" s="64">
        <v>321.16000000000003</v>
      </c>
      <c r="L49" s="64">
        <v>32.369999999999997</v>
      </c>
      <c r="M49" s="64">
        <v>58.82</v>
      </c>
      <c r="N49" s="64">
        <v>831.2</v>
      </c>
      <c r="O49" s="64">
        <v>0</v>
      </c>
      <c r="P49" s="64">
        <v>0.47</v>
      </c>
      <c r="Q49" s="212" t="s">
        <v>42</v>
      </c>
      <c r="R49" s="198"/>
      <c r="S49" s="198"/>
      <c r="T49" s="198"/>
      <c r="U49" s="198"/>
    </row>
    <row r="50" spans="1:21" s="12" customFormat="1" x14ac:dyDescent="0.25">
      <c r="A50" s="214" t="s">
        <v>479</v>
      </c>
      <c r="B50" s="64">
        <v>8.36</v>
      </c>
      <c r="C50" s="64">
        <v>12.25</v>
      </c>
      <c r="D50" s="64">
        <v>14.75</v>
      </c>
      <c r="E50" s="64">
        <v>2</v>
      </c>
      <c r="F50" s="64">
        <v>0.74</v>
      </c>
      <c r="G50" s="64">
        <v>33.43</v>
      </c>
      <c r="H50" s="64">
        <v>9.67</v>
      </c>
      <c r="I50" s="64">
        <v>1.45</v>
      </c>
      <c r="J50" s="64">
        <v>2.19</v>
      </c>
      <c r="K50" s="64">
        <v>322.16000000000003</v>
      </c>
      <c r="L50" s="64">
        <v>32.020000000000003</v>
      </c>
      <c r="M50" s="64">
        <v>58.66</v>
      </c>
      <c r="N50" s="64">
        <v>801.3</v>
      </c>
      <c r="O50" s="64">
        <v>0</v>
      </c>
      <c r="P50" s="64">
        <v>0.47</v>
      </c>
      <c r="Q50" s="212" t="s">
        <v>42</v>
      </c>
      <c r="R50" s="198"/>
      <c r="S50" s="198"/>
      <c r="T50" s="198"/>
      <c r="U50" s="198"/>
    </row>
    <row r="51" spans="1:21" s="12" customFormat="1" x14ac:dyDescent="0.25">
      <c r="A51" s="214" t="s">
        <v>480</v>
      </c>
      <c r="B51" s="64">
        <v>7.91</v>
      </c>
      <c r="C51" s="64">
        <v>12.12</v>
      </c>
      <c r="D51" s="64">
        <v>14.32</v>
      </c>
      <c r="E51" s="64">
        <v>1.88</v>
      </c>
      <c r="F51" s="64">
        <v>0.74</v>
      </c>
      <c r="G51" s="64">
        <v>33.67</v>
      </c>
      <c r="H51" s="64">
        <v>9.67</v>
      </c>
      <c r="I51" s="64">
        <v>1.49</v>
      </c>
      <c r="J51" s="64">
        <v>1.4</v>
      </c>
      <c r="K51" s="64">
        <v>320.45</v>
      </c>
      <c r="L51" s="64">
        <v>31.78</v>
      </c>
      <c r="M51" s="64">
        <v>59.41</v>
      </c>
      <c r="N51" s="64">
        <v>447.1</v>
      </c>
      <c r="O51" s="64">
        <v>0</v>
      </c>
      <c r="P51" s="64">
        <v>0.49</v>
      </c>
      <c r="Q51" s="212" t="s">
        <v>42</v>
      </c>
      <c r="R51" s="198"/>
      <c r="S51" s="198"/>
      <c r="T51" s="198"/>
      <c r="U51" s="198"/>
    </row>
    <row r="52" spans="1:21" s="12" customFormat="1" x14ac:dyDescent="0.25">
      <c r="A52" s="214" t="s">
        <v>481</v>
      </c>
      <c r="B52" s="64">
        <v>6.9</v>
      </c>
      <c r="C52" s="64">
        <v>15.59</v>
      </c>
      <c r="D52" s="64">
        <v>15.43</v>
      </c>
      <c r="E52" s="64">
        <v>2.6</v>
      </c>
      <c r="F52" s="64">
        <v>1.1000000000000001</v>
      </c>
      <c r="G52" s="64">
        <v>33.67</v>
      </c>
      <c r="H52" s="64">
        <v>9.67</v>
      </c>
      <c r="I52" s="64">
        <v>1.44</v>
      </c>
      <c r="J52" s="64">
        <v>1.31</v>
      </c>
      <c r="K52" s="64">
        <v>321.24</v>
      </c>
      <c r="L52" s="64">
        <v>30.33</v>
      </c>
      <c r="M52" s="64">
        <v>64.709999999999994</v>
      </c>
      <c r="N52" s="64">
        <v>441.8</v>
      </c>
      <c r="O52" s="64">
        <v>0</v>
      </c>
      <c r="P52" s="64">
        <v>0.47</v>
      </c>
      <c r="Q52" s="212" t="s">
        <v>42</v>
      </c>
      <c r="R52" s="198"/>
      <c r="S52" s="198"/>
      <c r="T52" s="198"/>
      <c r="U52" s="198"/>
    </row>
    <row r="53" spans="1:21" s="12" customFormat="1" x14ac:dyDescent="0.25">
      <c r="A53" s="214" t="s">
        <v>482</v>
      </c>
      <c r="B53" s="64">
        <v>5.82</v>
      </c>
      <c r="C53" s="64">
        <v>17.45</v>
      </c>
      <c r="D53" s="64">
        <v>15.59</v>
      </c>
      <c r="E53" s="64">
        <v>0.4</v>
      </c>
      <c r="F53" s="64">
        <v>1.2</v>
      </c>
      <c r="G53" s="64">
        <v>33.67</v>
      </c>
      <c r="H53" s="64">
        <v>9.67</v>
      </c>
      <c r="I53" s="64">
        <v>1.49</v>
      </c>
      <c r="J53" s="64">
        <v>1.68</v>
      </c>
      <c r="K53" s="64">
        <v>320.2</v>
      </c>
      <c r="L53" s="64">
        <v>30.42</v>
      </c>
      <c r="M53" s="64">
        <v>63.82</v>
      </c>
      <c r="N53" s="64">
        <v>481.6</v>
      </c>
      <c r="O53" s="64">
        <v>0</v>
      </c>
      <c r="P53" s="64">
        <v>0.46</v>
      </c>
      <c r="Q53" s="212" t="s">
        <v>42</v>
      </c>
      <c r="R53" s="198"/>
      <c r="S53" s="198"/>
      <c r="T53" s="198"/>
      <c r="U53" s="198"/>
    </row>
    <row r="54" spans="1:21" s="12" customFormat="1" x14ac:dyDescent="0.25">
      <c r="A54" s="214" t="s">
        <v>483</v>
      </c>
      <c r="B54" s="64">
        <v>5.44</v>
      </c>
      <c r="C54" s="64">
        <v>16.190000000000001</v>
      </c>
      <c r="D54" s="64">
        <v>14.59</v>
      </c>
      <c r="E54" s="26" t="s">
        <v>40</v>
      </c>
      <c r="F54" s="64">
        <v>1.05</v>
      </c>
      <c r="G54" s="64">
        <v>33.67</v>
      </c>
      <c r="H54" s="64">
        <v>9.67</v>
      </c>
      <c r="I54" s="64">
        <v>1.44</v>
      </c>
      <c r="J54" s="64">
        <v>1.63</v>
      </c>
      <c r="K54" s="64">
        <v>323.83</v>
      </c>
      <c r="L54" s="64">
        <v>30.81</v>
      </c>
      <c r="M54" s="64">
        <v>63.02</v>
      </c>
      <c r="N54" s="64">
        <v>762.8</v>
      </c>
      <c r="O54" s="64">
        <v>0</v>
      </c>
      <c r="P54" s="64">
        <v>0.46</v>
      </c>
      <c r="Q54" s="212" t="s">
        <v>42</v>
      </c>
      <c r="R54" s="198"/>
      <c r="S54" s="198"/>
      <c r="T54" s="198"/>
      <c r="U54" s="198"/>
    </row>
    <row r="55" spans="1:21" s="12" customFormat="1" x14ac:dyDescent="0.25">
      <c r="A55" s="214" t="s">
        <v>484</v>
      </c>
      <c r="B55" s="64">
        <v>5.35</v>
      </c>
      <c r="C55" s="64">
        <v>16.149999999999999</v>
      </c>
      <c r="D55" s="64">
        <v>14.5</v>
      </c>
      <c r="E55" s="26" t="s">
        <v>40</v>
      </c>
      <c r="F55" s="64">
        <v>0.64</v>
      </c>
      <c r="G55" s="64">
        <v>33.67</v>
      </c>
      <c r="H55" s="64">
        <v>9.67</v>
      </c>
      <c r="I55" s="64">
        <v>1.52</v>
      </c>
      <c r="J55" s="64">
        <v>1.58</v>
      </c>
      <c r="K55" s="64">
        <v>326.13</v>
      </c>
      <c r="L55" s="64">
        <v>32.15</v>
      </c>
      <c r="M55" s="64">
        <v>58.55</v>
      </c>
      <c r="N55" s="64">
        <v>717</v>
      </c>
      <c r="O55" s="64">
        <v>0</v>
      </c>
      <c r="P55" s="64">
        <v>0.44</v>
      </c>
      <c r="Q55" s="212" t="s">
        <v>42</v>
      </c>
      <c r="R55" s="198"/>
      <c r="S55" s="198"/>
      <c r="T55" s="198"/>
      <c r="U55" s="198"/>
    </row>
    <row r="56" spans="1:21" s="12" customFormat="1" x14ac:dyDescent="0.25">
      <c r="A56" s="214" t="s">
        <v>485</v>
      </c>
      <c r="B56" s="64">
        <v>5.15</v>
      </c>
      <c r="C56" s="64">
        <v>15.63</v>
      </c>
      <c r="D56" s="64">
        <v>14.05</v>
      </c>
      <c r="E56" s="26" t="s">
        <v>40</v>
      </c>
      <c r="F56" s="64">
        <v>1.47</v>
      </c>
      <c r="G56" s="64">
        <v>33.67</v>
      </c>
      <c r="H56" s="64">
        <v>9.67</v>
      </c>
      <c r="I56" s="64">
        <v>1.53</v>
      </c>
      <c r="J56" s="64">
        <v>2.0099999999999998</v>
      </c>
      <c r="K56" s="64">
        <v>330.69</v>
      </c>
      <c r="L56" s="64">
        <v>32.01</v>
      </c>
      <c r="M56" s="64">
        <v>59.25</v>
      </c>
      <c r="N56" s="64">
        <v>613.29999999999995</v>
      </c>
      <c r="O56" s="64">
        <v>0</v>
      </c>
      <c r="P56" s="64">
        <v>0.45</v>
      </c>
      <c r="Q56" s="64">
        <v>0.41</v>
      </c>
      <c r="R56" s="198"/>
      <c r="S56" s="198"/>
      <c r="T56" s="198"/>
      <c r="U56" s="198"/>
    </row>
    <row r="57" spans="1:21" s="12" customFormat="1" x14ac:dyDescent="0.25">
      <c r="A57" s="214" t="s">
        <v>486</v>
      </c>
      <c r="B57" s="64">
        <v>2.85</v>
      </c>
      <c r="C57" s="64">
        <v>8.01</v>
      </c>
      <c r="D57" s="64">
        <v>8</v>
      </c>
      <c r="E57" s="64">
        <v>4.95</v>
      </c>
      <c r="F57" s="64">
        <v>1.03</v>
      </c>
      <c r="G57" s="64">
        <v>33.67</v>
      </c>
      <c r="H57" s="64">
        <v>9.67</v>
      </c>
      <c r="I57" s="64">
        <v>1.44</v>
      </c>
      <c r="J57" s="64">
        <v>1.81</v>
      </c>
      <c r="K57" s="64">
        <v>328.56</v>
      </c>
      <c r="L57" s="64">
        <v>31.67</v>
      </c>
      <c r="M57" s="64">
        <v>59.53</v>
      </c>
      <c r="N57" s="64">
        <v>734.1</v>
      </c>
      <c r="O57" s="64">
        <v>0</v>
      </c>
      <c r="P57" s="64">
        <v>0.46</v>
      </c>
      <c r="Q57" s="64">
        <v>7.63</v>
      </c>
      <c r="R57" s="198"/>
      <c r="S57" s="198"/>
      <c r="T57" s="198"/>
      <c r="U57" s="198"/>
    </row>
    <row r="58" spans="1:21" s="12" customFormat="1" x14ac:dyDescent="0.25">
      <c r="A58" s="214" t="s">
        <v>487</v>
      </c>
      <c r="B58" s="211" t="s">
        <v>40</v>
      </c>
      <c r="C58" s="211" t="s">
        <v>40</v>
      </c>
      <c r="D58" s="211" t="s">
        <v>40</v>
      </c>
      <c r="E58" s="64">
        <v>1.64</v>
      </c>
      <c r="F58" s="64">
        <v>1.7</v>
      </c>
      <c r="G58" s="64">
        <v>16.46</v>
      </c>
      <c r="H58" s="64">
        <v>4.7300000000000004</v>
      </c>
      <c r="I58" s="64">
        <v>1.57</v>
      </c>
      <c r="J58" s="64">
        <v>1.26</v>
      </c>
      <c r="K58" s="64">
        <v>318.08999999999997</v>
      </c>
      <c r="L58" s="64">
        <v>30.17</v>
      </c>
      <c r="M58" s="64">
        <v>68.47</v>
      </c>
      <c r="N58" s="64">
        <v>224.6</v>
      </c>
      <c r="O58" s="64">
        <v>0</v>
      </c>
      <c r="P58" s="64">
        <v>0.43</v>
      </c>
      <c r="Q58" s="64">
        <v>7.06</v>
      </c>
      <c r="R58" s="198"/>
      <c r="S58" s="198"/>
      <c r="T58" s="198"/>
      <c r="U58" s="198"/>
    </row>
    <row r="59" spans="1:21" s="12" customFormat="1" x14ac:dyDescent="0.25">
      <c r="A59" s="214" t="s">
        <v>488</v>
      </c>
      <c r="B59" s="211" t="s">
        <v>40</v>
      </c>
      <c r="C59" s="211" t="s">
        <v>40</v>
      </c>
      <c r="D59" s="211" t="s">
        <v>40</v>
      </c>
      <c r="E59" s="64">
        <v>2.29</v>
      </c>
      <c r="F59" s="64">
        <v>1.36</v>
      </c>
      <c r="G59" s="211" t="s">
        <v>40</v>
      </c>
      <c r="H59" s="211" t="s">
        <v>40</v>
      </c>
      <c r="I59" s="64">
        <v>1.47</v>
      </c>
      <c r="J59" s="64">
        <v>2</v>
      </c>
      <c r="K59" s="64">
        <v>326.31</v>
      </c>
      <c r="L59" s="64">
        <v>29.43</v>
      </c>
      <c r="M59" s="64">
        <v>69.14</v>
      </c>
      <c r="N59" s="64">
        <v>566.4</v>
      </c>
      <c r="O59" s="64">
        <v>0</v>
      </c>
      <c r="P59" s="64">
        <v>0.43</v>
      </c>
      <c r="Q59" s="64">
        <v>7.44</v>
      </c>
      <c r="R59" s="198"/>
      <c r="S59" s="198"/>
      <c r="T59" s="198"/>
      <c r="U59" s="198"/>
    </row>
    <row r="60" spans="1:21" s="12" customFormat="1" x14ac:dyDescent="0.25">
      <c r="A60" s="214" t="s">
        <v>489</v>
      </c>
      <c r="B60" s="211" t="s">
        <v>40</v>
      </c>
      <c r="C60" s="211" t="s">
        <v>40</v>
      </c>
      <c r="D60" s="211" t="s">
        <v>40</v>
      </c>
      <c r="E60" s="64">
        <v>2.46</v>
      </c>
      <c r="F60" s="64">
        <v>1.24</v>
      </c>
      <c r="G60" s="211" t="s">
        <v>40</v>
      </c>
      <c r="H60" s="211" t="s">
        <v>40</v>
      </c>
      <c r="I60" s="64">
        <v>1.5</v>
      </c>
      <c r="J60" s="64">
        <v>2.4</v>
      </c>
      <c r="K60" s="64">
        <v>331.09</v>
      </c>
      <c r="L60" s="64">
        <v>30.89</v>
      </c>
      <c r="M60" s="64">
        <v>62.48</v>
      </c>
      <c r="N60" s="64">
        <v>672</v>
      </c>
      <c r="O60" s="64">
        <v>0</v>
      </c>
      <c r="P60" s="64">
        <v>0.42</v>
      </c>
      <c r="Q60" s="64">
        <v>7.01</v>
      </c>
      <c r="R60" s="198"/>
      <c r="S60" s="198"/>
      <c r="T60" s="198"/>
      <c r="U60" s="198"/>
    </row>
    <row r="61" spans="1:21" s="12" customFormat="1" x14ac:dyDescent="0.25">
      <c r="A61" s="214" t="s">
        <v>490</v>
      </c>
      <c r="B61" s="211" t="s">
        <v>40</v>
      </c>
      <c r="C61" s="211" t="s">
        <v>40</v>
      </c>
      <c r="D61" s="211" t="s">
        <v>40</v>
      </c>
      <c r="E61" s="64">
        <v>2.2599999999999998</v>
      </c>
      <c r="F61" s="64">
        <v>0.82</v>
      </c>
      <c r="G61" s="211" t="s">
        <v>40</v>
      </c>
      <c r="H61" s="211" t="s">
        <v>40</v>
      </c>
      <c r="I61" s="64">
        <v>1.51</v>
      </c>
      <c r="J61" s="64">
        <v>2.58</v>
      </c>
      <c r="K61" s="64">
        <v>330.61</v>
      </c>
      <c r="L61" s="64">
        <v>30.79</v>
      </c>
      <c r="M61" s="64">
        <v>60.6</v>
      </c>
      <c r="N61" s="64">
        <v>416.8</v>
      </c>
      <c r="O61" s="64">
        <v>0</v>
      </c>
      <c r="P61" s="64">
        <v>0.39</v>
      </c>
      <c r="Q61" s="64">
        <v>7.72</v>
      </c>
      <c r="R61" s="198"/>
      <c r="S61" s="198"/>
      <c r="T61" s="198"/>
      <c r="U61" s="198"/>
    </row>
    <row r="62" spans="1:21" s="12" customFormat="1" x14ac:dyDescent="0.25">
      <c r="A62" s="214" t="s">
        <v>491</v>
      </c>
      <c r="B62" s="211" t="s">
        <v>40</v>
      </c>
      <c r="C62" s="211" t="s">
        <v>40</v>
      </c>
      <c r="D62" s="211" t="s">
        <v>40</v>
      </c>
      <c r="E62" s="64">
        <v>2.36</v>
      </c>
      <c r="F62" s="64">
        <v>1.1100000000000001</v>
      </c>
      <c r="G62" s="64">
        <v>5.52</v>
      </c>
      <c r="H62" s="64">
        <v>5.26</v>
      </c>
      <c r="I62" s="64">
        <v>1.48</v>
      </c>
      <c r="J62" s="64">
        <v>2.81</v>
      </c>
      <c r="K62" s="64">
        <v>331.52</v>
      </c>
      <c r="L62" s="64">
        <v>29.76</v>
      </c>
      <c r="M62" s="64">
        <v>62.52</v>
      </c>
      <c r="N62" s="64">
        <v>457.6</v>
      </c>
      <c r="O62" s="64">
        <v>0</v>
      </c>
      <c r="P62" s="64">
        <v>0.41</v>
      </c>
      <c r="Q62" s="64">
        <v>7.18</v>
      </c>
      <c r="R62" s="198"/>
      <c r="S62" s="198"/>
      <c r="T62" s="198"/>
      <c r="U62" s="198"/>
    </row>
    <row r="63" spans="1:21" s="12" customFormat="1" x14ac:dyDescent="0.25">
      <c r="A63" s="214" t="s">
        <v>492</v>
      </c>
      <c r="B63" s="64">
        <v>7.54</v>
      </c>
      <c r="C63" s="64">
        <v>9.07</v>
      </c>
      <c r="D63" s="64">
        <v>12.34</v>
      </c>
      <c r="E63" s="64">
        <v>7.29</v>
      </c>
      <c r="F63" s="64">
        <v>0.83</v>
      </c>
      <c r="G63" s="64">
        <v>10.58</v>
      </c>
      <c r="H63" s="64">
        <v>10.07</v>
      </c>
      <c r="I63" s="64">
        <v>1.48</v>
      </c>
      <c r="J63" s="64">
        <v>2.93</v>
      </c>
      <c r="K63" s="64">
        <v>325.74</v>
      </c>
      <c r="L63" s="64">
        <v>30.22</v>
      </c>
      <c r="M63" s="64">
        <v>57.63</v>
      </c>
      <c r="N63" s="64">
        <v>461.7</v>
      </c>
      <c r="O63" s="64">
        <v>0</v>
      </c>
      <c r="P63" s="64">
        <v>2.39</v>
      </c>
      <c r="Q63" s="64">
        <v>7.79</v>
      </c>
      <c r="R63" s="198"/>
      <c r="S63" s="198"/>
      <c r="T63" s="198"/>
      <c r="U63" s="198"/>
    </row>
    <row r="64" spans="1:21" s="12" customFormat="1" x14ac:dyDescent="0.25">
      <c r="A64" s="214" t="s">
        <v>493</v>
      </c>
      <c r="B64" s="64">
        <v>5</v>
      </c>
      <c r="C64" s="64">
        <v>13.65</v>
      </c>
      <c r="D64" s="64">
        <v>12.83</v>
      </c>
      <c r="E64" s="64">
        <v>2.88</v>
      </c>
      <c r="F64" s="64">
        <v>1.93</v>
      </c>
      <c r="G64" s="64">
        <v>10.58</v>
      </c>
      <c r="H64" s="64">
        <v>10.07</v>
      </c>
      <c r="I64" s="64">
        <v>1.52</v>
      </c>
      <c r="J64" s="64">
        <v>3.08</v>
      </c>
      <c r="K64" s="64">
        <v>331.53</v>
      </c>
      <c r="L64" s="64">
        <v>29.63</v>
      </c>
      <c r="M64" s="64">
        <v>55.5</v>
      </c>
      <c r="N64" s="64">
        <v>313.10000000000002</v>
      </c>
      <c r="O64" s="64">
        <v>0</v>
      </c>
      <c r="P64" s="64">
        <v>4.63</v>
      </c>
      <c r="Q64" s="64">
        <v>7.64</v>
      </c>
      <c r="R64" s="198"/>
      <c r="S64" s="198"/>
      <c r="T64" s="198"/>
      <c r="U64" s="198"/>
    </row>
    <row r="65" spans="1:21" s="12" customFormat="1" x14ac:dyDescent="0.25">
      <c r="A65" s="214" t="s">
        <v>494</v>
      </c>
      <c r="B65" s="64">
        <v>3.82</v>
      </c>
      <c r="C65" s="64">
        <v>15.55</v>
      </c>
      <c r="D65" s="64">
        <v>12.93</v>
      </c>
      <c r="E65" s="64">
        <v>2.19</v>
      </c>
      <c r="F65" s="64">
        <v>2</v>
      </c>
      <c r="G65" s="64">
        <v>10.58</v>
      </c>
      <c r="H65" s="64">
        <v>10.07</v>
      </c>
      <c r="I65" s="64">
        <v>1.53</v>
      </c>
      <c r="J65" s="64">
        <v>3.19</v>
      </c>
      <c r="K65" s="64">
        <v>337.44</v>
      </c>
      <c r="L65" s="64">
        <v>29.41</v>
      </c>
      <c r="M65" s="64">
        <v>56.04</v>
      </c>
      <c r="N65" s="64">
        <v>284.39999999999998</v>
      </c>
      <c r="O65" s="64">
        <v>0</v>
      </c>
      <c r="P65" s="64">
        <v>0.42</v>
      </c>
      <c r="Q65" s="64">
        <v>6.75</v>
      </c>
      <c r="R65" s="198"/>
      <c r="S65" s="198"/>
      <c r="T65" s="198"/>
      <c r="U65" s="198"/>
    </row>
    <row r="66" spans="1:21" s="12" customFormat="1" x14ac:dyDescent="0.25">
      <c r="A66" s="214" t="s">
        <v>495</v>
      </c>
      <c r="B66" s="64">
        <v>3.98</v>
      </c>
      <c r="C66" s="64">
        <v>16.05</v>
      </c>
      <c r="D66" s="64">
        <v>13.34</v>
      </c>
      <c r="E66" s="64">
        <v>2.64</v>
      </c>
      <c r="F66" s="64">
        <v>1.66</v>
      </c>
      <c r="G66" s="64">
        <v>20.78</v>
      </c>
      <c r="H66" s="64">
        <v>9.6</v>
      </c>
      <c r="I66" s="64">
        <v>1.6</v>
      </c>
      <c r="J66" s="64">
        <v>2.87</v>
      </c>
      <c r="K66" s="64">
        <v>342.21</v>
      </c>
      <c r="L66" s="64">
        <v>29.23</v>
      </c>
      <c r="M66" s="64">
        <v>57</v>
      </c>
      <c r="N66" s="64">
        <v>266</v>
      </c>
      <c r="O66" s="64">
        <v>0</v>
      </c>
      <c r="P66" s="64">
        <v>0.38</v>
      </c>
      <c r="Q66" s="64">
        <v>6.53</v>
      </c>
      <c r="R66" s="198"/>
      <c r="S66" s="198"/>
      <c r="T66" s="198"/>
      <c r="U66" s="198"/>
    </row>
    <row r="67" spans="1:21" s="12" customFormat="1" x14ac:dyDescent="0.25">
      <c r="A67" s="214" t="s">
        <v>496</v>
      </c>
      <c r="B67" s="64">
        <v>4.3499999999999996</v>
      </c>
      <c r="C67" s="64">
        <v>15.94</v>
      </c>
      <c r="D67" s="64">
        <v>13.58</v>
      </c>
      <c r="E67" s="64">
        <v>1.53</v>
      </c>
      <c r="F67" s="64">
        <v>1.36</v>
      </c>
      <c r="G67" s="64">
        <v>30.11</v>
      </c>
      <c r="H67" s="64">
        <v>9.17</v>
      </c>
      <c r="I67" s="64">
        <v>1.47</v>
      </c>
      <c r="J67" s="64">
        <v>3.25</v>
      </c>
      <c r="K67" s="64">
        <v>342.85</v>
      </c>
      <c r="L67" s="64">
        <v>28.55</v>
      </c>
      <c r="M67" s="64">
        <v>55.21</v>
      </c>
      <c r="N67" s="64">
        <v>245.7</v>
      </c>
      <c r="O67" s="64">
        <v>0</v>
      </c>
      <c r="P67" s="64">
        <v>0.37</v>
      </c>
      <c r="Q67" s="64">
        <v>6.29</v>
      </c>
      <c r="R67" s="198"/>
      <c r="S67" s="198"/>
      <c r="T67" s="198"/>
      <c r="U67" s="198"/>
    </row>
    <row r="68" spans="1:21" s="12" customFormat="1" x14ac:dyDescent="0.25">
      <c r="A68" s="214" t="s">
        <v>497</v>
      </c>
      <c r="B68" s="64">
        <v>4.5</v>
      </c>
      <c r="C68" s="64">
        <v>15.36</v>
      </c>
      <c r="D68" s="64">
        <v>13.38</v>
      </c>
      <c r="E68" s="64">
        <v>1.94</v>
      </c>
      <c r="F68" s="64">
        <v>1.4</v>
      </c>
      <c r="G68" s="64">
        <v>30.11</v>
      </c>
      <c r="H68" s="64">
        <v>9.17</v>
      </c>
      <c r="I68" s="64">
        <v>1.42</v>
      </c>
      <c r="J68" s="64">
        <v>3.03</v>
      </c>
      <c r="K68" s="64">
        <v>341.42</v>
      </c>
      <c r="L68" s="64">
        <v>28.32</v>
      </c>
      <c r="M68" s="64">
        <v>57.49</v>
      </c>
      <c r="N68" s="64">
        <v>224.4</v>
      </c>
      <c r="O68" s="64">
        <v>0</v>
      </c>
      <c r="P68" s="64">
        <v>0.39</v>
      </c>
      <c r="Q68" s="64">
        <v>7.1</v>
      </c>
      <c r="R68" s="198"/>
      <c r="S68" s="198"/>
      <c r="T68" s="198"/>
      <c r="U68" s="198"/>
    </row>
    <row r="69" spans="1:21" s="12" customFormat="1" x14ac:dyDescent="0.25">
      <c r="A69" s="214" t="s">
        <v>498</v>
      </c>
      <c r="B69" s="64">
        <v>4.67</v>
      </c>
      <c r="C69" s="64">
        <v>15.69</v>
      </c>
      <c r="D69" s="64">
        <v>13.7</v>
      </c>
      <c r="E69" s="64">
        <v>2.1800000000000002</v>
      </c>
      <c r="F69" s="64">
        <v>0.95</v>
      </c>
      <c r="G69" s="64">
        <v>30.11</v>
      </c>
      <c r="H69" s="64">
        <v>9.17</v>
      </c>
      <c r="I69" s="64">
        <v>1.44</v>
      </c>
      <c r="J69" s="64">
        <v>2.67</v>
      </c>
      <c r="K69" s="64">
        <v>341.85</v>
      </c>
      <c r="L69" s="64">
        <v>27.94</v>
      </c>
      <c r="M69" s="64">
        <v>58.77</v>
      </c>
      <c r="N69" s="64">
        <v>196.7</v>
      </c>
      <c r="O69" s="64">
        <v>0</v>
      </c>
      <c r="P69" s="64">
        <v>0.39</v>
      </c>
      <c r="Q69" s="64">
        <v>7.93</v>
      </c>
      <c r="R69" s="198"/>
      <c r="S69" s="198"/>
      <c r="T69" s="198"/>
      <c r="U69" s="198"/>
    </row>
    <row r="70" spans="1:21" s="12" customFormat="1" x14ac:dyDescent="0.25">
      <c r="A70" s="214" t="s">
        <v>499</v>
      </c>
      <c r="B70" s="64">
        <v>4.9400000000000004</v>
      </c>
      <c r="C70" s="64">
        <v>15.73</v>
      </c>
      <c r="D70" s="64">
        <v>13.93</v>
      </c>
      <c r="E70" s="64">
        <v>1.93</v>
      </c>
      <c r="F70" s="64">
        <v>1.1200000000000001</v>
      </c>
      <c r="G70" s="64">
        <v>37.909999999999997</v>
      </c>
      <c r="H70" s="64">
        <v>10.130000000000001</v>
      </c>
      <c r="I70" s="64">
        <v>1.46</v>
      </c>
      <c r="J70" s="64">
        <v>2.36</v>
      </c>
      <c r="K70" s="64">
        <v>338.78</v>
      </c>
      <c r="L70" s="64">
        <v>27.75</v>
      </c>
      <c r="M70" s="64">
        <v>57.41</v>
      </c>
      <c r="N70" s="64">
        <v>179.5</v>
      </c>
      <c r="O70" s="64">
        <v>0</v>
      </c>
      <c r="P70" s="64">
        <v>0.39</v>
      </c>
      <c r="Q70" s="64">
        <v>7.69</v>
      </c>
      <c r="R70" s="198"/>
      <c r="S70" s="198"/>
      <c r="T70" s="198"/>
      <c r="U70" s="198"/>
    </row>
    <row r="71" spans="1:21" s="12" customFormat="1" x14ac:dyDescent="0.25">
      <c r="A71" s="214" t="s">
        <v>500</v>
      </c>
      <c r="B71" s="64">
        <v>5.61</v>
      </c>
      <c r="C71" s="64">
        <v>16</v>
      </c>
      <c r="D71" s="64">
        <v>14.62</v>
      </c>
      <c r="E71" s="64">
        <v>2.02</v>
      </c>
      <c r="F71" s="64">
        <v>0.54</v>
      </c>
      <c r="G71" s="64">
        <v>37.909999999999997</v>
      </c>
      <c r="H71" s="64">
        <v>10.130000000000001</v>
      </c>
      <c r="I71" s="64">
        <v>1.56</v>
      </c>
      <c r="J71" s="64">
        <v>2</v>
      </c>
      <c r="K71" s="64">
        <v>336.26</v>
      </c>
      <c r="L71" s="64">
        <v>28.03</v>
      </c>
      <c r="M71" s="64">
        <v>52.24</v>
      </c>
      <c r="N71" s="64">
        <v>162.5</v>
      </c>
      <c r="O71" s="64">
        <v>0</v>
      </c>
      <c r="P71" s="64">
        <v>0.41</v>
      </c>
      <c r="Q71" s="64">
        <v>9.6300000000000008</v>
      </c>
      <c r="R71" s="198"/>
      <c r="S71" s="198"/>
      <c r="T71" s="198"/>
      <c r="U71" s="198"/>
    </row>
    <row r="72" spans="1:21" s="12" customFormat="1" x14ac:dyDescent="0.25">
      <c r="A72" s="214" t="s">
        <v>501</v>
      </c>
      <c r="B72" s="64">
        <v>6.52</v>
      </c>
      <c r="C72" s="64">
        <v>16.47</v>
      </c>
      <c r="D72" s="64">
        <v>15.61</v>
      </c>
      <c r="E72" s="64">
        <v>0.18</v>
      </c>
      <c r="F72" s="64">
        <v>0.76</v>
      </c>
      <c r="G72" s="64">
        <v>37.909999999999997</v>
      </c>
      <c r="H72" s="64">
        <v>10.130000000000001</v>
      </c>
      <c r="I72" s="64">
        <v>1.5</v>
      </c>
      <c r="J72" s="64">
        <v>2.17</v>
      </c>
      <c r="K72" s="64">
        <v>338.35</v>
      </c>
      <c r="L72" s="64">
        <v>28.08</v>
      </c>
      <c r="M72" s="64">
        <v>49.95</v>
      </c>
      <c r="N72" s="64">
        <v>149.30000000000001</v>
      </c>
      <c r="O72" s="64">
        <v>0</v>
      </c>
      <c r="P72" s="64">
        <v>0.41</v>
      </c>
      <c r="Q72" s="64">
        <v>8.67</v>
      </c>
      <c r="R72" s="198"/>
      <c r="S72" s="198"/>
      <c r="T72" s="198"/>
      <c r="U72" s="198"/>
    </row>
    <row r="73" spans="1:21" s="12" customFormat="1" x14ac:dyDescent="0.25">
      <c r="A73" s="214" t="s">
        <v>502</v>
      </c>
      <c r="B73" s="64">
        <v>6.62</v>
      </c>
      <c r="C73" s="64">
        <v>16.5</v>
      </c>
      <c r="D73" s="64">
        <v>15.7</v>
      </c>
      <c r="E73" s="64">
        <v>0.89</v>
      </c>
      <c r="F73" s="64">
        <v>1.07</v>
      </c>
      <c r="G73" s="64">
        <v>37.909999999999997</v>
      </c>
      <c r="H73" s="64">
        <v>10.130000000000001</v>
      </c>
      <c r="I73" s="64">
        <v>1.5</v>
      </c>
      <c r="J73" s="64">
        <v>1.88</v>
      </c>
      <c r="K73" s="64">
        <v>337.53</v>
      </c>
      <c r="L73" s="64">
        <v>27.91</v>
      </c>
      <c r="M73" s="64">
        <v>50.93</v>
      </c>
      <c r="N73" s="64">
        <v>135.9</v>
      </c>
      <c r="O73" s="64">
        <v>0</v>
      </c>
      <c r="P73" s="64">
        <v>0.43</v>
      </c>
      <c r="Q73" s="64">
        <v>10.15</v>
      </c>
      <c r="R73" s="198"/>
      <c r="S73" s="198"/>
      <c r="T73" s="198"/>
      <c r="U73" s="198"/>
    </row>
    <row r="74" spans="1:21" s="12" customFormat="1" x14ac:dyDescent="0.25">
      <c r="A74" s="214" t="s">
        <v>503</v>
      </c>
      <c r="B74" s="64">
        <v>5.34</v>
      </c>
      <c r="C74" s="64">
        <v>19.100000000000001</v>
      </c>
      <c r="D74" s="64">
        <v>16.12</v>
      </c>
      <c r="E74" s="64">
        <v>0.9</v>
      </c>
      <c r="F74" s="64">
        <v>1.29</v>
      </c>
      <c r="G74" s="64">
        <v>39.19</v>
      </c>
      <c r="H74" s="64">
        <v>10.45</v>
      </c>
      <c r="I74" s="64">
        <v>1.51</v>
      </c>
      <c r="J74" s="64">
        <v>1.39</v>
      </c>
      <c r="K74" s="64">
        <v>331.18</v>
      </c>
      <c r="L74" s="64">
        <v>27.83</v>
      </c>
      <c r="M74" s="64">
        <v>52.46</v>
      </c>
      <c r="N74" s="64">
        <v>110.9</v>
      </c>
      <c r="O74" s="64">
        <v>0</v>
      </c>
      <c r="P74" s="64">
        <v>0.43</v>
      </c>
      <c r="Q74" s="64">
        <v>9.26</v>
      </c>
      <c r="R74" s="198"/>
      <c r="S74" s="198"/>
      <c r="T74" s="198"/>
      <c r="U74" s="198"/>
    </row>
    <row r="75" spans="1:21" s="12" customFormat="1" x14ac:dyDescent="0.25">
      <c r="A75" s="214" t="s">
        <v>504</v>
      </c>
      <c r="B75" s="64">
        <v>5.17</v>
      </c>
      <c r="C75" s="64">
        <v>18.72</v>
      </c>
      <c r="D75" s="64">
        <v>15.77</v>
      </c>
      <c r="E75" s="64">
        <v>0.68</v>
      </c>
      <c r="F75" s="64">
        <v>1.22</v>
      </c>
      <c r="G75" s="64">
        <v>40.369999999999997</v>
      </c>
      <c r="H75" s="64">
        <v>10.59</v>
      </c>
      <c r="I75" s="64">
        <v>1.46</v>
      </c>
      <c r="J75" s="64">
        <v>1.26</v>
      </c>
      <c r="K75" s="64">
        <v>332.98</v>
      </c>
      <c r="L75" s="64">
        <v>27.46</v>
      </c>
      <c r="M75" s="64">
        <v>54.73</v>
      </c>
      <c r="N75" s="64">
        <v>88.5</v>
      </c>
      <c r="O75" s="64">
        <v>0</v>
      </c>
      <c r="P75" s="64">
        <v>0.45</v>
      </c>
      <c r="Q75" s="64">
        <v>8.1199999999999992</v>
      </c>
      <c r="R75" s="198"/>
      <c r="S75" s="198"/>
      <c r="T75" s="198"/>
      <c r="U75" s="198"/>
    </row>
    <row r="76" spans="1:21" s="12" customFormat="1" x14ac:dyDescent="0.25">
      <c r="A76" s="214" t="s">
        <v>505</v>
      </c>
      <c r="B76" s="64">
        <v>6.19</v>
      </c>
      <c r="C76" s="64">
        <v>18.2</v>
      </c>
      <c r="D76" s="64">
        <v>16.3</v>
      </c>
      <c r="E76" s="64">
        <v>0.26</v>
      </c>
      <c r="F76" s="64">
        <v>0.45</v>
      </c>
      <c r="G76" s="64">
        <v>40.369999999999997</v>
      </c>
      <c r="H76" s="64">
        <v>10.59</v>
      </c>
      <c r="I76" s="64">
        <v>1.49</v>
      </c>
      <c r="J76" s="64">
        <v>1.1100000000000001</v>
      </c>
      <c r="K76" s="64">
        <v>338.43</v>
      </c>
      <c r="L76" s="64">
        <v>27.24</v>
      </c>
      <c r="M76" s="64">
        <v>56.62</v>
      </c>
      <c r="N76" s="64">
        <v>67.5</v>
      </c>
      <c r="O76" s="64">
        <v>0</v>
      </c>
      <c r="P76" s="64">
        <v>0.5</v>
      </c>
      <c r="Q76" s="64">
        <v>9.67</v>
      </c>
      <c r="R76" s="198"/>
      <c r="S76" s="198"/>
      <c r="T76" s="198"/>
      <c r="U76" s="198"/>
    </row>
    <row r="77" spans="1:21" s="12" customFormat="1" x14ac:dyDescent="0.25">
      <c r="A77" s="214" t="s">
        <v>506</v>
      </c>
      <c r="B77" s="64">
        <v>8.0299999999999994</v>
      </c>
      <c r="C77" s="64">
        <v>18.25</v>
      </c>
      <c r="D77" s="64">
        <v>17.8</v>
      </c>
      <c r="E77" s="64">
        <v>1.26</v>
      </c>
      <c r="F77" s="64">
        <v>0.52</v>
      </c>
      <c r="G77" s="64">
        <v>40.369999999999997</v>
      </c>
      <c r="H77" s="64">
        <v>10.59</v>
      </c>
      <c r="I77" s="64">
        <v>1.46</v>
      </c>
      <c r="J77" s="64">
        <v>0.97</v>
      </c>
      <c r="K77" s="64">
        <v>341.26</v>
      </c>
      <c r="L77" s="64">
        <v>27.07</v>
      </c>
      <c r="M77" s="64">
        <v>57.84</v>
      </c>
      <c r="N77" s="64">
        <v>49.5</v>
      </c>
      <c r="O77" s="64">
        <v>0</v>
      </c>
      <c r="P77" s="64">
        <v>0.59</v>
      </c>
      <c r="Q77" s="64">
        <v>9.3800000000000008</v>
      </c>
      <c r="R77" s="198"/>
      <c r="S77" s="198"/>
      <c r="T77" s="198"/>
      <c r="U77" s="198"/>
    </row>
    <row r="78" spans="1:21" s="12" customFormat="1" x14ac:dyDescent="0.25">
      <c r="A78" s="214" t="s">
        <v>507</v>
      </c>
      <c r="B78" s="64">
        <v>10.039999999999999</v>
      </c>
      <c r="C78" s="64">
        <v>18.239999999999998</v>
      </c>
      <c r="D78" s="64">
        <v>19.41</v>
      </c>
      <c r="E78" s="64">
        <v>0.35</v>
      </c>
      <c r="F78" s="64">
        <v>0.87</v>
      </c>
      <c r="G78" s="64">
        <v>37.950000000000003</v>
      </c>
      <c r="H78" s="64">
        <v>11.37</v>
      </c>
      <c r="I78" s="64">
        <v>1.52</v>
      </c>
      <c r="J78" s="64">
        <v>0.91</v>
      </c>
      <c r="K78" s="64">
        <v>339.82</v>
      </c>
      <c r="L78" s="64">
        <v>26.82</v>
      </c>
      <c r="M78" s="64">
        <v>58.92</v>
      </c>
      <c r="N78" s="64">
        <v>31.8</v>
      </c>
      <c r="O78" s="64">
        <v>0</v>
      </c>
      <c r="P78" s="64">
        <v>0.64</v>
      </c>
      <c r="Q78" s="64">
        <v>10.16</v>
      </c>
      <c r="R78" s="198"/>
      <c r="S78" s="198"/>
      <c r="T78" s="198"/>
      <c r="U78" s="198"/>
    </row>
    <row r="79" spans="1:21" s="12" customFormat="1" x14ac:dyDescent="0.25">
      <c r="A79" s="214" t="s">
        <v>508</v>
      </c>
      <c r="B79" s="64">
        <v>12.94</v>
      </c>
      <c r="C79" s="64">
        <v>21.52</v>
      </c>
      <c r="D79" s="64">
        <v>23.54</v>
      </c>
      <c r="E79" s="64">
        <v>0.83</v>
      </c>
      <c r="F79" s="64">
        <v>0.79</v>
      </c>
      <c r="G79" s="64">
        <v>35.75</v>
      </c>
      <c r="H79" s="64">
        <v>11.7</v>
      </c>
      <c r="I79" s="64">
        <v>1.5</v>
      </c>
      <c r="J79" s="64">
        <v>0.75</v>
      </c>
      <c r="K79" s="64">
        <v>340.46</v>
      </c>
      <c r="L79" s="64">
        <v>26.51</v>
      </c>
      <c r="M79" s="64">
        <v>60.32</v>
      </c>
      <c r="N79" s="64">
        <v>17.5</v>
      </c>
      <c r="O79" s="64">
        <v>0</v>
      </c>
      <c r="P79" s="64">
        <v>0.81</v>
      </c>
      <c r="Q79" s="64">
        <v>11.26</v>
      </c>
      <c r="R79" s="198"/>
      <c r="S79" s="198"/>
      <c r="T79" s="198"/>
      <c r="U79" s="198"/>
    </row>
    <row r="80" spans="1:21" s="12" customFormat="1" x14ac:dyDescent="0.25">
      <c r="A80" s="214" t="s">
        <v>509</v>
      </c>
      <c r="B80" s="64">
        <v>14.13</v>
      </c>
      <c r="C80" s="64">
        <v>21.13</v>
      </c>
      <c r="D80" s="64">
        <v>24.29</v>
      </c>
      <c r="E80" s="64">
        <v>0.23</v>
      </c>
      <c r="F80" s="64">
        <v>0.77</v>
      </c>
      <c r="G80" s="64">
        <v>35.75</v>
      </c>
      <c r="H80" s="64">
        <v>11.7</v>
      </c>
      <c r="I80" s="64">
        <v>1.51</v>
      </c>
      <c r="J80" s="64">
        <v>1.07</v>
      </c>
      <c r="K80" s="64">
        <v>337.02</v>
      </c>
      <c r="L80" s="64">
        <v>26.21</v>
      </c>
      <c r="M80" s="64">
        <v>60.15</v>
      </c>
      <c r="N80" s="64">
        <v>11</v>
      </c>
      <c r="O80" s="64">
        <v>0</v>
      </c>
      <c r="P80" s="64">
        <v>0.78</v>
      </c>
      <c r="Q80" s="64">
        <v>11.15</v>
      </c>
      <c r="R80" s="198"/>
      <c r="S80" s="198"/>
      <c r="T80" s="198"/>
      <c r="U80" s="198"/>
    </row>
    <row r="81" spans="1:26" s="12" customFormat="1" x14ac:dyDescent="0.25">
      <c r="A81" s="214" t="s">
        <v>510</v>
      </c>
      <c r="B81" s="64">
        <v>14.96</v>
      </c>
      <c r="C81" s="64">
        <v>20.55</v>
      </c>
      <c r="D81" s="64">
        <v>24.63</v>
      </c>
      <c r="E81" s="64">
        <v>0</v>
      </c>
      <c r="F81" s="64">
        <v>0.09</v>
      </c>
      <c r="G81" s="64">
        <v>35.75</v>
      </c>
      <c r="H81" s="64">
        <v>11.7</v>
      </c>
      <c r="I81" s="64">
        <v>1.46</v>
      </c>
      <c r="J81" s="64">
        <v>0.74</v>
      </c>
      <c r="K81" s="64">
        <v>327.76</v>
      </c>
      <c r="L81" s="64">
        <v>25.94</v>
      </c>
      <c r="M81" s="64">
        <v>63.19</v>
      </c>
      <c r="N81" s="64">
        <v>9.3000000000000007</v>
      </c>
      <c r="O81" s="64">
        <v>0</v>
      </c>
      <c r="P81" s="64">
        <v>0.86</v>
      </c>
      <c r="Q81" s="64">
        <v>11.51</v>
      </c>
      <c r="R81" s="198"/>
      <c r="S81" s="198"/>
      <c r="T81" s="198"/>
      <c r="U81" s="198"/>
    </row>
    <row r="82" spans="1:26" s="12" customFormat="1" x14ac:dyDescent="0.25">
      <c r="A82" s="214" t="s">
        <v>511</v>
      </c>
      <c r="B82" s="64">
        <v>15.49</v>
      </c>
      <c r="C82" s="64">
        <v>18.989999999999998</v>
      </c>
      <c r="D82" s="64">
        <v>24.2</v>
      </c>
      <c r="E82" s="64">
        <v>0.31</v>
      </c>
      <c r="F82" s="64">
        <v>0.56999999999999995</v>
      </c>
      <c r="G82" s="64">
        <v>95.36</v>
      </c>
      <c r="H82" s="64">
        <v>17.39</v>
      </c>
      <c r="I82" s="64">
        <v>1.52</v>
      </c>
      <c r="J82" s="64">
        <v>0.42</v>
      </c>
      <c r="K82" s="64">
        <v>317.51</v>
      </c>
      <c r="L82" s="64">
        <v>25.6</v>
      </c>
      <c r="M82" s="64">
        <v>65.81</v>
      </c>
      <c r="N82" s="64">
        <v>9.1999999999999993</v>
      </c>
      <c r="O82" s="64">
        <v>0</v>
      </c>
      <c r="P82" s="64">
        <v>0.93</v>
      </c>
      <c r="Q82" s="64">
        <v>11.17</v>
      </c>
      <c r="R82" s="198"/>
      <c r="S82" s="198"/>
      <c r="T82" s="198"/>
      <c r="U82" s="198"/>
    </row>
    <row r="83" spans="1:26" s="12" customFormat="1" x14ac:dyDescent="0.25">
      <c r="A83" s="214" t="s">
        <v>512</v>
      </c>
      <c r="B83" s="64">
        <v>16.27</v>
      </c>
      <c r="C83" s="64">
        <v>17.46</v>
      </c>
      <c r="D83" s="64">
        <v>23.98</v>
      </c>
      <c r="E83" s="64">
        <v>0.92</v>
      </c>
      <c r="F83" s="64">
        <v>0.31</v>
      </c>
      <c r="G83" s="64">
        <v>149.91</v>
      </c>
      <c r="H83" s="64">
        <v>22.12</v>
      </c>
      <c r="I83" s="64">
        <v>1.49</v>
      </c>
      <c r="J83" s="64">
        <v>0.14000000000000001</v>
      </c>
      <c r="K83" s="64">
        <v>320.69</v>
      </c>
      <c r="L83" s="64">
        <v>25.35</v>
      </c>
      <c r="M83" s="64">
        <v>69.14</v>
      </c>
      <c r="N83" s="64">
        <v>9.4</v>
      </c>
      <c r="O83" s="64">
        <v>0</v>
      </c>
      <c r="P83" s="64">
        <v>1.25</v>
      </c>
      <c r="Q83" s="64">
        <v>11.59</v>
      </c>
      <c r="R83" s="198"/>
      <c r="S83" s="198"/>
      <c r="T83" s="198"/>
      <c r="U83" s="198"/>
    </row>
    <row r="84" spans="1:26" s="12" customFormat="1" x14ac:dyDescent="0.25">
      <c r="A84" s="214" t="s">
        <v>513</v>
      </c>
      <c r="B84" s="64">
        <v>17.45</v>
      </c>
      <c r="C84" s="64">
        <v>16.28</v>
      </c>
      <c r="D84" s="64">
        <v>24.27</v>
      </c>
      <c r="E84" s="64">
        <v>0.73</v>
      </c>
      <c r="F84" s="64">
        <v>7.0000000000000007E-2</v>
      </c>
      <c r="G84" s="64">
        <v>149.91</v>
      </c>
      <c r="H84" s="64">
        <v>22.12</v>
      </c>
      <c r="I84" s="64">
        <v>1.47</v>
      </c>
      <c r="J84" s="64">
        <v>0.09</v>
      </c>
      <c r="K84" s="64">
        <v>314.66000000000003</v>
      </c>
      <c r="L84" s="64">
        <v>25.12</v>
      </c>
      <c r="M84" s="64">
        <v>72.52</v>
      </c>
      <c r="N84" s="64">
        <v>9.4</v>
      </c>
      <c r="O84" s="64">
        <v>0</v>
      </c>
      <c r="P84" s="64">
        <v>1.42</v>
      </c>
      <c r="Q84" s="64">
        <v>11.91</v>
      </c>
      <c r="R84" s="198"/>
      <c r="S84" s="198"/>
      <c r="T84" s="198"/>
      <c r="U84" s="198"/>
    </row>
    <row r="85" spans="1:26" s="12" customFormat="1" x14ac:dyDescent="0.25">
      <c r="A85" s="214" t="s">
        <v>514</v>
      </c>
      <c r="B85" s="64">
        <v>19.079999999999998</v>
      </c>
      <c r="C85" s="64">
        <v>15.04</v>
      </c>
      <c r="D85" s="64">
        <v>24.9</v>
      </c>
      <c r="E85" s="64">
        <v>0.85</v>
      </c>
      <c r="F85" s="64">
        <v>0.06</v>
      </c>
      <c r="G85" s="64">
        <v>149.91</v>
      </c>
      <c r="H85" s="64">
        <v>22.12</v>
      </c>
      <c r="I85" s="64">
        <v>1.48</v>
      </c>
      <c r="J85" s="64">
        <v>0.11</v>
      </c>
      <c r="K85" s="64">
        <v>318.68</v>
      </c>
      <c r="L85" s="64">
        <v>24.94</v>
      </c>
      <c r="M85" s="64">
        <v>75.03</v>
      </c>
      <c r="N85" s="64">
        <v>9.1</v>
      </c>
      <c r="O85" s="64">
        <v>0</v>
      </c>
      <c r="P85" s="64">
        <v>1.38</v>
      </c>
      <c r="Q85" s="64">
        <v>12.25</v>
      </c>
      <c r="R85" s="198"/>
      <c r="S85" s="198"/>
      <c r="T85" s="198"/>
      <c r="U85" s="198"/>
    </row>
    <row r="86" spans="1:26" s="12" customFormat="1" x14ac:dyDescent="0.25">
      <c r="A86" s="214" t="s">
        <v>515</v>
      </c>
      <c r="B86" s="64">
        <v>20.43</v>
      </c>
      <c r="C86" s="64">
        <v>14.11</v>
      </c>
      <c r="D86" s="64">
        <v>25.46</v>
      </c>
      <c r="E86" s="64">
        <v>1</v>
      </c>
      <c r="F86" s="64">
        <v>0.42</v>
      </c>
      <c r="G86" s="64">
        <v>146.03</v>
      </c>
      <c r="H86" s="64">
        <v>26.41</v>
      </c>
      <c r="I86" s="64">
        <v>1.52</v>
      </c>
      <c r="J86" s="64">
        <v>0.13</v>
      </c>
      <c r="K86" s="64">
        <v>353.79</v>
      </c>
      <c r="L86" s="64">
        <v>24.93</v>
      </c>
      <c r="M86" s="64">
        <v>77.25</v>
      </c>
      <c r="N86" s="64">
        <v>9.1</v>
      </c>
      <c r="O86" s="64">
        <v>0</v>
      </c>
      <c r="P86" s="64">
        <v>1.0900000000000001</v>
      </c>
      <c r="Q86" s="64">
        <v>12.4</v>
      </c>
      <c r="R86" s="198"/>
      <c r="S86" s="198"/>
      <c r="T86" s="198"/>
      <c r="U86" s="198"/>
    </row>
    <row r="87" spans="1:26" s="12" customFormat="1" x14ac:dyDescent="0.25">
      <c r="A87" s="214" t="s">
        <v>516</v>
      </c>
      <c r="B87" s="64">
        <v>21.64</v>
      </c>
      <c r="C87" s="64">
        <v>13.95</v>
      </c>
      <c r="D87" s="64">
        <v>26.34</v>
      </c>
      <c r="E87" s="64">
        <v>1.31</v>
      </c>
      <c r="F87" s="64">
        <v>0.17</v>
      </c>
      <c r="G87" s="64">
        <v>142.47</v>
      </c>
      <c r="H87" s="64">
        <v>28.23</v>
      </c>
      <c r="I87" s="64">
        <v>1.52</v>
      </c>
      <c r="J87" s="64">
        <v>0.24</v>
      </c>
      <c r="K87" s="64">
        <v>321.70999999999998</v>
      </c>
      <c r="L87" s="64">
        <v>24.75</v>
      </c>
      <c r="M87" s="64">
        <v>79.540000000000006</v>
      </c>
      <c r="N87" s="64">
        <v>8.9</v>
      </c>
      <c r="O87" s="64">
        <v>0</v>
      </c>
      <c r="P87" s="64">
        <v>1.24</v>
      </c>
      <c r="Q87" s="64">
        <v>12.36</v>
      </c>
      <c r="R87" s="198"/>
      <c r="S87" s="198"/>
      <c r="T87" s="198"/>
      <c r="U87" s="198"/>
    </row>
    <row r="88" spans="1:26" s="12" customFormat="1" x14ac:dyDescent="0.25">
      <c r="A88" s="214" t="s">
        <v>517</v>
      </c>
      <c r="B88" s="64">
        <v>22.99</v>
      </c>
      <c r="C88" s="64">
        <v>13.73</v>
      </c>
      <c r="D88" s="64">
        <v>27.31</v>
      </c>
      <c r="E88" s="64">
        <v>0.77</v>
      </c>
      <c r="F88" s="64">
        <v>0.42</v>
      </c>
      <c r="G88" s="64">
        <v>142.47</v>
      </c>
      <c r="H88" s="64">
        <v>28.23</v>
      </c>
      <c r="I88" s="64">
        <v>1.56</v>
      </c>
      <c r="J88" s="64">
        <v>0.13</v>
      </c>
      <c r="K88" s="64">
        <v>345.85</v>
      </c>
      <c r="L88" s="64">
        <v>24.71</v>
      </c>
      <c r="M88" s="64">
        <v>80.349999999999994</v>
      </c>
      <c r="N88" s="64">
        <v>9.1</v>
      </c>
      <c r="O88" s="64">
        <v>0</v>
      </c>
      <c r="P88" s="64">
        <v>1.24</v>
      </c>
      <c r="Q88" s="64">
        <v>11.69</v>
      </c>
      <c r="R88" s="198"/>
      <c r="S88" s="198"/>
      <c r="T88" s="198"/>
      <c r="U88" s="198"/>
    </row>
    <row r="89" spans="1:26" s="12" customFormat="1" x14ac:dyDescent="0.25">
      <c r="A89" s="214" t="s">
        <v>518</v>
      </c>
      <c r="B89" s="64">
        <v>23.43</v>
      </c>
      <c r="C89" s="64">
        <v>13.12</v>
      </c>
      <c r="D89" s="64">
        <v>27.32</v>
      </c>
      <c r="E89" s="64">
        <v>1.61</v>
      </c>
      <c r="F89" s="64">
        <v>0.63</v>
      </c>
      <c r="G89" s="64">
        <v>142.47</v>
      </c>
      <c r="H89" s="64">
        <v>28.23</v>
      </c>
      <c r="I89" s="64">
        <v>1.43</v>
      </c>
      <c r="J89" s="64">
        <v>0.2</v>
      </c>
      <c r="K89" s="64">
        <v>327.13</v>
      </c>
      <c r="L89" s="64">
        <v>24.58</v>
      </c>
      <c r="M89" s="64">
        <v>81.99</v>
      </c>
      <c r="N89" s="64">
        <v>8.9</v>
      </c>
      <c r="O89" s="64">
        <v>0</v>
      </c>
      <c r="P89" s="64">
        <v>1.1499999999999999</v>
      </c>
      <c r="Q89" s="64">
        <v>11.13</v>
      </c>
      <c r="R89" s="198"/>
      <c r="S89" s="198"/>
      <c r="T89" s="198"/>
      <c r="U89" s="198"/>
    </row>
    <row r="90" spans="1:26" s="12" customFormat="1" x14ac:dyDescent="0.25">
      <c r="A90" s="214" t="s">
        <v>519</v>
      </c>
      <c r="B90" s="64">
        <v>23.87</v>
      </c>
      <c r="C90" s="64">
        <v>13.25</v>
      </c>
      <c r="D90" s="64">
        <v>27.75</v>
      </c>
      <c r="E90" s="64">
        <v>1.58</v>
      </c>
      <c r="F90" s="64">
        <v>0.08</v>
      </c>
      <c r="G90" s="64">
        <v>108.89</v>
      </c>
      <c r="H90" s="64">
        <v>25.68</v>
      </c>
      <c r="I90" s="64">
        <v>1.49</v>
      </c>
      <c r="J90" s="64">
        <v>0.26</v>
      </c>
      <c r="K90" s="64">
        <v>320.43</v>
      </c>
      <c r="L90" s="64">
        <v>24.33</v>
      </c>
      <c r="M90" s="64">
        <v>82.91</v>
      </c>
      <c r="N90" s="64">
        <v>8.8000000000000007</v>
      </c>
      <c r="O90" s="64">
        <v>0</v>
      </c>
      <c r="P90" s="64">
        <v>1.21</v>
      </c>
      <c r="Q90" s="64">
        <v>11.89</v>
      </c>
      <c r="R90" s="198"/>
      <c r="S90" s="198"/>
      <c r="T90" s="198"/>
      <c r="U90" s="198"/>
    </row>
    <row r="91" spans="1:26" s="12" customFormat="1" x14ac:dyDescent="0.25">
      <c r="A91" s="214" t="s">
        <v>520</v>
      </c>
      <c r="B91" s="64">
        <v>24.87</v>
      </c>
      <c r="C91" s="64">
        <v>13.4</v>
      </c>
      <c r="D91" s="64">
        <v>28.64</v>
      </c>
      <c r="E91" s="64">
        <v>1.2</v>
      </c>
      <c r="F91" s="64">
        <v>0.43</v>
      </c>
      <c r="G91" s="64">
        <v>78.16</v>
      </c>
      <c r="H91" s="64">
        <v>24.6</v>
      </c>
      <c r="I91" s="64">
        <v>1.49</v>
      </c>
      <c r="J91" s="64">
        <v>0.22</v>
      </c>
      <c r="K91" s="64">
        <v>318.08999999999997</v>
      </c>
      <c r="L91" s="64">
        <v>24.29</v>
      </c>
      <c r="M91" s="64">
        <v>80.8</v>
      </c>
      <c r="N91" s="64">
        <v>8.8000000000000007</v>
      </c>
      <c r="O91" s="64">
        <v>0</v>
      </c>
      <c r="P91" s="64">
        <v>1.21</v>
      </c>
      <c r="Q91" s="64">
        <v>11.58</v>
      </c>
      <c r="R91" s="198"/>
      <c r="S91" s="198"/>
      <c r="T91" s="198"/>
      <c r="U91" s="198"/>
    </row>
    <row r="92" spans="1:26" s="12" customFormat="1" x14ac:dyDescent="0.25">
      <c r="A92" s="214" t="s">
        <v>521</v>
      </c>
      <c r="B92" s="64">
        <v>26.39</v>
      </c>
      <c r="C92" s="64">
        <v>13.26</v>
      </c>
      <c r="D92" s="64">
        <v>29.78</v>
      </c>
      <c r="E92" s="64">
        <v>1.81</v>
      </c>
      <c r="F92" s="64">
        <v>0.26</v>
      </c>
      <c r="G92" s="64">
        <v>78.16</v>
      </c>
      <c r="H92" s="64">
        <v>24.6</v>
      </c>
      <c r="I92" s="64">
        <v>1.5</v>
      </c>
      <c r="J92" s="64">
        <v>0.27</v>
      </c>
      <c r="K92" s="64">
        <v>319.94</v>
      </c>
      <c r="L92" s="64">
        <v>24.12</v>
      </c>
      <c r="M92" s="64">
        <v>82.43</v>
      </c>
      <c r="N92" s="64">
        <v>8.8000000000000007</v>
      </c>
      <c r="O92" s="64">
        <v>0</v>
      </c>
      <c r="P92" s="64">
        <v>1.29</v>
      </c>
      <c r="Q92" s="64">
        <v>12.1</v>
      </c>
      <c r="R92" s="198"/>
      <c r="S92" s="198"/>
      <c r="T92" s="198"/>
      <c r="U92" s="198"/>
    </row>
    <row r="93" spans="1:26" s="12" customFormat="1" x14ac:dyDescent="0.25">
      <c r="A93" s="214" t="s">
        <v>522</v>
      </c>
      <c r="B93" s="64">
        <v>29.26</v>
      </c>
      <c r="C93" s="64">
        <v>14.13</v>
      </c>
      <c r="D93" s="64">
        <v>32.56</v>
      </c>
      <c r="E93" s="64">
        <v>1.21</v>
      </c>
      <c r="F93" s="64">
        <v>0.25</v>
      </c>
      <c r="G93" s="64">
        <v>78.16</v>
      </c>
      <c r="H93" s="64">
        <v>24.6</v>
      </c>
      <c r="I93" s="64">
        <v>1.51</v>
      </c>
      <c r="J93" s="64">
        <v>0.67</v>
      </c>
      <c r="K93" s="64">
        <v>325.23</v>
      </c>
      <c r="L93" s="64">
        <v>24.03</v>
      </c>
      <c r="M93" s="64">
        <v>79.61</v>
      </c>
      <c r="N93" s="64">
        <v>8.5</v>
      </c>
      <c r="O93" s="64">
        <v>0</v>
      </c>
      <c r="P93" s="64">
        <v>1.24</v>
      </c>
      <c r="Q93" s="64">
        <v>12.23</v>
      </c>
      <c r="R93" s="198"/>
      <c r="S93" s="198"/>
      <c r="T93" s="198"/>
      <c r="U93" s="198"/>
    </row>
    <row r="94" spans="1:26" s="12" customFormat="1" x14ac:dyDescent="0.25">
      <c r="A94" s="214" t="s">
        <v>523</v>
      </c>
      <c r="B94" s="64">
        <v>29.58</v>
      </c>
      <c r="C94" s="64">
        <v>14.55</v>
      </c>
      <c r="D94" s="64">
        <v>33.04</v>
      </c>
      <c r="E94" s="64">
        <v>2.2799999999999998</v>
      </c>
      <c r="F94" s="64">
        <v>0.28000000000000003</v>
      </c>
      <c r="G94" s="64">
        <v>88.55</v>
      </c>
      <c r="H94" s="64">
        <v>28.47</v>
      </c>
      <c r="I94" s="64">
        <v>1.49</v>
      </c>
      <c r="J94" s="64">
        <v>0.59</v>
      </c>
      <c r="K94" s="64">
        <v>325.81</v>
      </c>
      <c r="L94" s="64">
        <v>23.96</v>
      </c>
      <c r="M94" s="64">
        <v>76.069999999999993</v>
      </c>
      <c r="N94" s="64">
        <v>8.8000000000000007</v>
      </c>
      <c r="O94" s="64">
        <v>0</v>
      </c>
      <c r="P94" s="64">
        <v>1.21</v>
      </c>
      <c r="Q94" s="64">
        <v>12.57</v>
      </c>
      <c r="R94" s="198"/>
      <c r="S94" s="198"/>
      <c r="T94" s="198"/>
      <c r="U94" s="198"/>
    </row>
    <row r="95" spans="1:26" s="12" customFormat="1" x14ac:dyDescent="0.25">
      <c r="A95" s="214" t="s">
        <v>524</v>
      </c>
      <c r="B95" s="64">
        <v>29.5</v>
      </c>
      <c r="C95" s="64">
        <v>14.82</v>
      </c>
      <c r="D95" s="64">
        <v>33.130000000000003</v>
      </c>
      <c r="E95" s="64">
        <v>1.29</v>
      </c>
      <c r="F95" s="64">
        <v>0.23</v>
      </c>
      <c r="G95" s="64">
        <v>98.05</v>
      </c>
      <c r="H95" s="64">
        <v>30.11</v>
      </c>
      <c r="I95" s="64">
        <v>1.48</v>
      </c>
      <c r="J95" s="64">
        <v>0.32</v>
      </c>
      <c r="K95" s="64">
        <v>318.14999999999998</v>
      </c>
      <c r="L95" s="64">
        <v>23.93</v>
      </c>
      <c r="M95" s="64">
        <v>75.56</v>
      </c>
      <c r="N95" s="64">
        <v>9.1</v>
      </c>
      <c r="O95" s="64">
        <v>0</v>
      </c>
      <c r="P95" s="64">
        <v>1.22</v>
      </c>
      <c r="Q95" s="64">
        <v>12.74</v>
      </c>
      <c r="R95" s="198"/>
      <c r="S95" s="198"/>
      <c r="T95" s="198"/>
      <c r="U95" s="198"/>
    </row>
    <row r="96" spans="1:26" s="12" customFormat="1" x14ac:dyDescent="0.25">
      <c r="A96" s="214" t="s">
        <v>525</v>
      </c>
      <c r="B96" s="64">
        <v>29.65</v>
      </c>
      <c r="C96" s="64">
        <v>14.76</v>
      </c>
      <c r="D96" s="64">
        <v>33.22</v>
      </c>
      <c r="E96" s="64">
        <v>1.44</v>
      </c>
      <c r="F96" s="64">
        <v>0.47</v>
      </c>
      <c r="G96" s="64">
        <v>98.05</v>
      </c>
      <c r="H96" s="64">
        <v>30.11</v>
      </c>
      <c r="I96" s="64">
        <v>1.54</v>
      </c>
      <c r="J96" s="64">
        <v>0.28999999999999998</v>
      </c>
      <c r="K96" s="64">
        <v>321.95999999999998</v>
      </c>
      <c r="L96" s="64">
        <v>24.07</v>
      </c>
      <c r="M96" s="64">
        <v>73.77</v>
      </c>
      <c r="N96" s="64">
        <v>9.1999999999999993</v>
      </c>
      <c r="O96" s="64">
        <v>0</v>
      </c>
      <c r="P96" s="64">
        <v>1.21</v>
      </c>
      <c r="Q96" s="64">
        <v>12.9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526</v>
      </c>
      <c r="B97" s="64">
        <v>29.62</v>
      </c>
      <c r="C97" s="64">
        <v>14.55</v>
      </c>
      <c r="D97" s="64">
        <v>33.07</v>
      </c>
      <c r="E97" s="64">
        <v>1.7</v>
      </c>
      <c r="F97" s="64">
        <v>0.28000000000000003</v>
      </c>
      <c r="G97" s="64">
        <v>98.05</v>
      </c>
      <c r="H97" s="64">
        <v>30.11</v>
      </c>
      <c r="I97" s="64">
        <v>1.54</v>
      </c>
      <c r="J97" s="64">
        <v>0.37</v>
      </c>
      <c r="K97" s="64">
        <v>324.67</v>
      </c>
      <c r="L97" s="64">
        <v>24.17</v>
      </c>
      <c r="M97" s="64">
        <v>73.08</v>
      </c>
      <c r="N97" s="64">
        <v>9.1999999999999993</v>
      </c>
      <c r="O97" s="64">
        <v>0</v>
      </c>
      <c r="P97" s="64">
        <v>1.21</v>
      </c>
      <c r="Q97" s="64">
        <v>13.35</v>
      </c>
      <c r="R97" s="198"/>
      <c r="S97" s="198"/>
      <c r="T97" s="198"/>
      <c r="U97" s="198"/>
    </row>
    <row r="98" spans="1:33" s="12" customFormat="1" x14ac:dyDescent="0.25">
      <c r="A98" s="214" t="s">
        <v>527</v>
      </c>
      <c r="B98" s="64">
        <v>29.05</v>
      </c>
      <c r="C98" s="64">
        <v>14.53</v>
      </c>
      <c r="D98" s="64">
        <v>32.61</v>
      </c>
      <c r="E98" s="64">
        <v>1.99</v>
      </c>
      <c r="F98" s="64">
        <v>0.26</v>
      </c>
      <c r="G98" s="64">
        <v>97.19</v>
      </c>
      <c r="H98" s="64">
        <v>28.48</v>
      </c>
      <c r="I98" s="64">
        <v>1.47</v>
      </c>
      <c r="J98" s="64">
        <v>0.47</v>
      </c>
      <c r="K98" s="64">
        <v>317.41000000000003</v>
      </c>
      <c r="L98" s="64">
        <v>24.12</v>
      </c>
      <c r="M98" s="64">
        <v>72.69</v>
      </c>
      <c r="N98" s="64">
        <v>9.3000000000000007</v>
      </c>
      <c r="O98" s="64">
        <v>0</v>
      </c>
      <c r="P98" s="64">
        <v>1.18</v>
      </c>
      <c r="Q98" s="64">
        <v>13.29</v>
      </c>
      <c r="R98" s="198"/>
      <c r="S98" s="198"/>
      <c r="T98" s="198"/>
      <c r="U98" s="198"/>
    </row>
    <row r="99" spans="1:33" s="12" customFormat="1" x14ac:dyDescent="0.25">
      <c r="A99" s="214" t="s">
        <v>528</v>
      </c>
      <c r="B99" s="64">
        <v>28.2</v>
      </c>
      <c r="C99" s="64">
        <v>14.26</v>
      </c>
      <c r="D99" s="64">
        <v>31.78</v>
      </c>
      <c r="E99" s="64">
        <v>2.0499999999999998</v>
      </c>
      <c r="F99" s="64">
        <v>0.15</v>
      </c>
      <c r="G99" s="64">
        <v>96.4</v>
      </c>
      <c r="H99" s="64">
        <v>27.78</v>
      </c>
      <c r="I99" s="64">
        <v>1.44</v>
      </c>
      <c r="J99" s="64">
        <v>0.37</v>
      </c>
      <c r="K99" s="64">
        <v>322.37</v>
      </c>
      <c r="L99" s="64">
        <v>24.06</v>
      </c>
      <c r="M99" s="64">
        <v>73.239999999999995</v>
      </c>
      <c r="N99" s="64">
        <v>9.4</v>
      </c>
      <c r="O99" s="64">
        <v>0</v>
      </c>
      <c r="P99" s="64">
        <v>1.1599999999999999</v>
      </c>
      <c r="Q99" s="64">
        <v>12.71</v>
      </c>
      <c r="R99" s="198"/>
      <c r="S99" s="198"/>
      <c r="T99" s="198"/>
      <c r="U99" s="198"/>
    </row>
    <row r="100" spans="1:33" s="12" customFormat="1" x14ac:dyDescent="0.25">
      <c r="A100" s="214" t="s">
        <v>529</v>
      </c>
      <c r="B100" s="64">
        <v>26.66</v>
      </c>
      <c r="C100" s="64">
        <v>13.84</v>
      </c>
      <c r="D100" s="64">
        <v>30.31</v>
      </c>
      <c r="E100" s="64">
        <v>1.8</v>
      </c>
      <c r="F100" s="64">
        <v>0.5</v>
      </c>
      <c r="G100" s="64">
        <v>96.4</v>
      </c>
      <c r="H100" s="64">
        <v>27.78</v>
      </c>
      <c r="I100" s="64">
        <v>1.49</v>
      </c>
      <c r="J100" s="64">
        <v>0.43</v>
      </c>
      <c r="K100" s="64">
        <v>326.24</v>
      </c>
      <c r="L100" s="64">
        <v>23.92</v>
      </c>
      <c r="M100" s="64">
        <v>73.150000000000006</v>
      </c>
      <c r="N100" s="64">
        <v>9.5</v>
      </c>
      <c r="O100" s="64">
        <v>0</v>
      </c>
      <c r="P100" s="64">
        <v>1.1299999999999999</v>
      </c>
      <c r="Q100" s="64">
        <v>12.2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530</v>
      </c>
      <c r="B101" s="64">
        <v>24.81</v>
      </c>
      <c r="C101" s="64">
        <v>13.94</v>
      </c>
      <c r="D101" s="64">
        <v>28.88</v>
      </c>
      <c r="E101" s="64">
        <v>1.84</v>
      </c>
      <c r="F101" s="64">
        <v>0.18</v>
      </c>
      <c r="G101" s="64">
        <v>96.4</v>
      </c>
      <c r="H101" s="64">
        <v>27.78</v>
      </c>
      <c r="I101" s="64">
        <v>1.5</v>
      </c>
      <c r="J101" s="64">
        <v>0.24</v>
      </c>
      <c r="K101" s="64">
        <v>343.04</v>
      </c>
      <c r="L101" s="64">
        <v>23.74</v>
      </c>
      <c r="M101" s="64">
        <v>74.12</v>
      </c>
      <c r="N101" s="64">
        <v>9.5</v>
      </c>
      <c r="O101" s="64">
        <v>0</v>
      </c>
      <c r="P101" s="64">
        <v>1.07</v>
      </c>
      <c r="Q101" s="64">
        <v>12.37</v>
      </c>
      <c r="R101" s="198"/>
      <c r="S101" s="198"/>
      <c r="T101" s="198"/>
      <c r="U101" s="198"/>
    </row>
    <row r="102" spans="1:33" s="12" customFormat="1" x14ac:dyDescent="0.25">
      <c r="A102" s="214" t="s">
        <v>531</v>
      </c>
      <c r="B102" s="64">
        <v>23.25</v>
      </c>
      <c r="C102" s="64">
        <v>13.48</v>
      </c>
      <c r="D102" s="64">
        <v>27.38</v>
      </c>
      <c r="E102" s="64">
        <v>1.71</v>
      </c>
      <c r="F102" s="64">
        <v>0.7</v>
      </c>
      <c r="G102" s="64">
        <v>75.41</v>
      </c>
      <c r="H102" s="64">
        <v>21.28</v>
      </c>
      <c r="I102" s="64">
        <v>1.58</v>
      </c>
      <c r="J102" s="64">
        <v>0.23</v>
      </c>
      <c r="K102" s="64">
        <v>342.53</v>
      </c>
      <c r="L102" s="64">
        <v>23.4</v>
      </c>
      <c r="M102" s="64">
        <v>75.25</v>
      </c>
      <c r="N102" s="64">
        <v>9.3000000000000007</v>
      </c>
      <c r="O102" s="64">
        <v>0</v>
      </c>
      <c r="P102" s="64">
        <v>1.05</v>
      </c>
      <c r="Q102" s="64">
        <v>11.97</v>
      </c>
      <c r="R102" s="198"/>
      <c r="S102" s="198"/>
      <c r="T102" s="198"/>
      <c r="U102" s="198"/>
    </row>
    <row r="103" spans="1:33" s="12" customFormat="1" x14ac:dyDescent="0.25">
      <c r="A103" s="214" t="s">
        <v>532</v>
      </c>
      <c r="B103" s="64">
        <v>22.37</v>
      </c>
      <c r="C103" s="64">
        <v>13.79</v>
      </c>
      <c r="D103" s="64">
        <v>26.84</v>
      </c>
      <c r="E103" s="64">
        <v>1.22</v>
      </c>
      <c r="F103" s="64">
        <v>0.39</v>
      </c>
      <c r="G103" s="64">
        <v>56.2</v>
      </c>
      <c r="H103" s="64">
        <v>18.510000000000002</v>
      </c>
      <c r="I103" s="64">
        <v>1.41</v>
      </c>
      <c r="J103" s="64">
        <v>0.22</v>
      </c>
      <c r="K103" s="64">
        <v>337.3</v>
      </c>
      <c r="L103" s="64">
        <v>23.06</v>
      </c>
      <c r="M103" s="64">
        <v>75.62</v>
      </c>
      <c r="N103" s="64">
        <v>9.1</v>
      </c>
      <c r="O103" s="64">
        <v>0</v>
      </c>
      <c r="P103" s="64">
        <v>1.01</v>
      </c>
      <c r="Q103" s="64">
        <v>12.13</v>
      </c>
      <c r="R103" s="198"/>
      <c r="S103" s="198"/>
      <c r="T103" s="198"/>
      <c r="U103" s="198"/>
    </row>
    <row r="104" spans="1:33" s="12" customFormat="1" x14ac:dyDescent="0.25">
      <c r="A104" s="214" t="s">
        <v>533</v>
      </c>
      <c r="B104" s="64">
        <v>21.16</v>
      </c>
      <c r="C104" s="64">
        <v>13.2</v>
      </c>
      <c r="D104" s="64">
        <v>25.54</v>
      </c>
      <c r="E104" s="64">
        <v>1.32</v>
      </c>
      <c r="F104" s="64">
        <v>0.41</v>
      </c>
      <c r="G104" s="64">
        <v>56.2</v>
      </c>
      <c r="H104" s="64">
        <v>18.510000000000002</v>
      </c>
      <c r="I104" s="64">
        <v>1.49</v>
      </c>
      <c r="J104" s="64">
        <v>0.39</v>
      </c>
      <c r="K104" s="64">
        <v>320.14999999999998</v>
      </c>
      <c r="L104" s="64">
        <v>22.81</v>
      </c>
      <c r="M104" s="64">
        <v>76.33</v>
      </c>
      <c r="N104" s="64">
        <v>8.8000000000000007</v>
      </c>
      <c r="O104" s="64">
        <v>0</v>
      </c>
      <c r="P104" s="64">
        <v>0.97</v>
      </c>
      <c r="Q104" s="64">
        <v>11.95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2.85</v>
      </c>
      <c r="C106" s="67">
        <f>MIN(C9:C104)</f>
        <v>8.01</v>
      </c>
      <c r="D106" s="67">
        <f t="shared" ref="D106:Q106" si="0">MIN(D9:D104)</f>
        <v>8</v>
      </c>
      <c r="E106" s="67">
        <f t="shared" si="0"/>
        <v>0</v>
      </c>
      <c r="F106" s="67">
        <f t="shared" si="0"/>
        <v>0</v>
      </c>
      <c r="G106" s="67">
        <f t="shared" si="0"/>
        <v>5.52</v>
      </c>
      <c r="H106" s="67">
        <f t="shared" si="0"/>
        <v>2.67</v>
      </c>
      <c r="I106" s="67">
        <f t="shared" si="0"/>
        <v>1.41</v>
      </c>
      <c r="J106" s="67">
        <f t="shared" si="0"/>
        <v>0.09</v>
      </c>
      <c r="K106" s="67">
        <f t="shared" si="0"/>
        <v>314.66000000000003</v>
      </c>
      <c r="L106" s="67">
        <f t="shared" si="0"/>
        <v>22.39</v>
      </c>
      <c r="M106" s="67">
        <f t="shared" si="0"/>
        <v>49.95</v>
      </c>
      <c r="N106" s="67">
        <f t="shared" si="0"/>
        <v>8.5</v>
      </c>
      <c r="O106" s="67">
        <f t="shared" si="0"/>
        <v>0</v>
      </c>
      <c r="P106" s="67">
        <f t="shared" si="0"/>
        <v>0.36</v>
      </c>
      <c r="Q106" s="67">
        <f t="shared" si="0"/>
        <v>0.41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29.65</v>
      </c>
      <c r="C107" s="66">
        <f t="shared" ref="C107:Q107" si="1">MAX(C9:C104)</f>
        <v>21.52</v>
      </c>
      <c r="D107" s="66">
        <f t="shared" si="1"/>
        <v>33.22</v>
      </c>
      <c r="E107" s="66">
        <f t="shared" si="1"/>
        <v>7.29</v>
      </c>
      <c r="F107" s="66">
        <f t="shared" si="1"/>
        <v>2</v>
      </c>
      <c r="G107" s="66">
        <f t="shared" si="1"/>
        <v>149.91</v>
      </c>
      <c r="H107" s="66">
        <f t="shared" si="1"/>
        <v>30.11</v>
      </c>
      <c r="I107" s="66">
        <f t="shared" si="1"/>
        <v>1.6</v>
      </c>
      <c r="J107" s="66">
        <f t="shared" si="1"/>
        <v>3.25</v>
      </c>
      <c r="K107" s="66">
        <f t="shared" si="1"/>
        <v>356.62</v>
      </c>
      <c r="L107" s="66">
        <f t="shared" si="1"/>
        <v>32.369999999999997</v>
      </c>
      <c r="M107" s="66">
        <f t="shared" si="1"/>
        <v>98.9</v>
      </c>
      <c r="N107" s="66">
        <f t="shared" si="1"/>
        <v>861.1</v>
      </c>
      <c r="O107" s="66">
        <f t="shared" si="1"/>
        <v>0</v>
      </c>
      <c r="P107" s="66">
        <f t="shared" si="1"/>
        <v>4.63</v>
      </c>
      <c r="Q107" s="66">
        <f t="shared" si="1"/>
        <v>13.35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13.270659340659343</v>
      </c>
      <c r="C108" s="67">
        <f t="shared" ref="C108:Q108" si="2">AVERAGE(C9:C104)</f>
        <v>12.91945054945055</v>
      </c>
      <c r="D108" s="67">
        <f t="shared" si="2"/>
        <v>19.064945054945056</v>
      </c>
      <c r="E108" s="67">
        <f t="shared" si="2"/>
        <v>1.6447311827956996</v>
      </c>
      <c r="F108" s="67">
        <f t="shared" si="2"/>
        <v>0.57604166666666667</v>
      </c>
      <c r="G108" s="67">
        <f t="shared" si="2"/>
        <v>50.146344086021479</v>
      </c>
      <c r="H108" s="67">
        <f t="shared" si="2"/>
        <v>12.77430107526882</v>
      </c>
      <c r="I108" s="67">
        <f t="shared" si="2"/>
        <v>1.496041666666666</v>
      </c>
      <c r="J108" s="67">
        <f t="shared" si="2"/>
        <v>0.93114583333333323</v>
      </c>
      <c r="K108" s="67">
        <f t="shared" si="2"/>
        <v>327.98666666666651</v>
      </c>
      <c r="L108" s="67">
        <f t="shared" si="2"/>
        <v>25.900000000000002</v>
      </c>
      <c r="M108" s="67">
        <f t="shared" si="2"/>
        <v>77.030625000000001</v>
      </c>
      <c r="N108" s="67">
        <f t="shared" si="2"/>
        <v>168.89687499999997</v>
      </c>
      <c r="O108" s="67">
        <f t="shared" si="2"/>
        <v>0</v>
      </c>
      <c r="P108" s="67">
        <f t="shared" si="2"/>
        <v>0.70562500000000028</v>
      </c>
      <c r="Q108" s="67">
        <f t="shared" si="2"/>
        <v>10.032857142857141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7.3609082776210881</v>
      </c>
      <c r="C109" s="67">
        <f t="shared" ref="C109:Q109" si="3">STDEV(C9:C104)</f>
        <v>3.3781389888639803</v>
      </c>
      <c r="D109" s="67">
        <f t="shared" si="3"/>
        <v>6.2687149797185278</v>
      </c>
      <c r="E109" s="67">
        <f t="shared" si="3"/>
        <v>0.92141855593031874</v>
      </c>
      <c r="F109" s="67">
        <f t="shared" si="3"/>
        <v>0.44542228140488194</v>
      </c>
      <c r="G109" s="67">
        <f t="shared" si="3"/>
        <v>35.944971734733009</v>
      </c>
      <c r="H109" s="67">
        <f t="shared" si="3"/>
        <v>7.7708567036310958</v>
      </c>
      <c r="I109" s="67">
        <f t="shared" si="3"/>
        <v>3.950960354052957E-2</v>
      </c>
      <c r="J109" s="67">
        <f t="shared" si="3"/>
        <v>0.88963253181674218</v>
      </c>
      <c r="K109" s="67">
        <f t="shared" si="3"/>
        <v>9.6611535397848964</v>
      </c>
      <c r="L109" s="67">
        <f t="shared" si="3"/>
        <v>3.1034042428818145</v>
      </c>
      <c r="M109" s="67">
        <f t="shared" si="3"/>
        <v>16.494218624303322</v>
      </c>
      <c r="N109" s="67">
        <f t="shared" si="3"/>
        <v>239.06377896114714</v>
      </c>
      <c r="O109" s="67">
        <f t="shared" si="3"/>
        <v>0</v>
      </c>
      <c r="P109" s="67">
        <f t="shared" si="3"/>
        <v>0.54623845284675876</v>
      </c>
      <c r="Q109" s="67">
        <f t="shared" si="3"/>
        <v>2.6200500949409395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COUNT(B9:B104)+5</f>
        <v>96</v>
      </c>
      <c r="C110" s="66">
        <f>COUNT(C9:C104)+5</f>
        <v>96</v>
      </c>
      <c r="D110" s="66">
        <f>COUNT(D9:D104)+5</f>
        <v>96</v>
      </c>
      <c r="E110" s="66">
        <f>COUNT(E9:E104)+3</f>
        <v>96</v>
      </c>
      <c r="F110" s="66">
        <f t="shared" ref="F110:P110" si="4">COUNT(F9:F104)</f>
        <v>96</v>
      </c>
      <c r="G110" s="66">
        <f>COUNT(G9:G104)+3</f>
        <v>96</v>
      </c>
      <c r="H110" s="66">
        <f>COUNT(H9:H104)+3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COUNT(Q9:Q104)+47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5" sqref="G12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534</v>
      </c>
      <c r="B9" s="64">
        <v>19.760000000000002</v>
      </c>
      <c r="C9" s="64">
        <v>13.24</v>
      </c>
      <c r="D9" s="64">
        <v>24.45</v>
      </c>
      <c r="E9" s="64">
        <v>2.56</v>
      </c>
      <c r="F9" s="64">
        <v>0.34</v>
      </c>
      <c r="G9" s="64">
        <v>56.2</v>
      </c>
      <c r="H9" s="64">
        <v>18.510000000000002</v>
      </c>
      <c r="I9" s="64">
        <v>1.52</v>
      </c>
      <c r="J9" s="64">
        <v>0.48</v>
      </c>
      <c r="K9" s="64">
        <v>318.72000000000003</v>
      </c>
      <c r="L9" s="64">
        <v>22.72</v>
      </c>
      <c r="M9" s="64">
        <v>76.510000000000005</v>
      </c>
      <c r="N9" s="64">
        <v>8.6</v>
      </c>
      <c r="O9" s="64">
        <v>0</v>
      </c>
      <c r="P9" s="64">
        <v>0.92</v>
      </c>
      <c r="Q9" s="64">
        <v>11.94</v>
      </c>
      <c r="R9" s="198"/>
      <c r="S9" s="198"/>
      <c r="T9" s="198"/>
      <c r="U9" s="198"/>
    </row>
    <row r="10" spans="1:21" s="12" customFormat="1" x14ac:dyDescent="0.25">
      <c r="A10" s="214" t="s">
        <v>535</v>
      </c>
      <c r="B10" s="64">
        <v>18.510000000000002</v>
      </c>
      <c r="C10" s="64">
        <v>13.6</v>
      </c>
      <c r="D10" s="64">
        <v>23.64</v>
      </c>
      <c r="E10" s="64">
        <v>3.06</v>
      </c>
      <c r="F10" s="64">
        <v>0.12</v>
      </c>
      <c r="G10" s="64">
        <v>53.35</v>
      </c>
      <c r="H10" s="64">
        <v>17.510000000000002</v>
      </c>
      <c r="I10" s="64">
        <v>1.47</v>
      </c>
      <c r="J10" s="64">
        <v>0.64</v>
      </c>
      <c r="K10" s="64">
        <v>315.67</v>
      </c>
      <c r="L10" s="64">
        <v>22.9</v>
      </c>
      <c r="M10" s="64">
        <v>74.66</v>
      </c>
      <c r="N10" s="64">
        <v>8.8000000000000007</v>
      </c>
      <c r="O10" s="64">
        <v>0</v>
      </c>
      <c r="P10" s="64">
        <v>0.87</v>
      </c>
      <c r="Q10" s="64">
        <v>12.25</v>
      </c>
      <c r="R10" s="198"/>
      <c r="S10" s="198"/>
      <c r="T10" s="198"/>
      <c r="U10" s="198"/>
    </row>
    <row r="11" spans="1:21" s="12" customFormat="1" x14ac:dyDescent="0.25">
      <c r="A11" s="214" t="s">
        <v>536</v>
      </c>
      <c r="B11" s="64">
        <v>17.43</v>
      </c>
      <c r="C11" s="64">
        <v>13.63</v>
      </c>
      <c r="D11" s="64">
        <v>22.79</v>
      </c>
      <c r="E11" s="64">
        <v>2.0699999999999998</v>
      </c>
      <c r="F11" s="64">
        <v>0.39</v>
      </c>
      <c r="G11" s="64">
        <v>50.86</v>
      </c>
      <c r="H11" s="64">
        <v>16.95</v>
      </c>
      <c r="I11" s="64">
        <v>1.49</v>
      </c>
      <c r="J11" s="64">
        <v>0.49</v>
      </c>
      <c r="K11" s="64">
        <v>321.13</v>
      </c>
      <c r="L11" s="64">
        <v>22.96</v>
      </c>
      <c r="M11" s="64">
        <v>74.56</v>
      </c>
      <c r="N11" s="64">
        <v>9</v>
      </c>
      <c r="O11" s="64">
        <v>0</v>
      </c>
      <c r="P11" s="64">
        <v>0.86</v>
      </c>
      <c r="Q11" s="64">
        <v>11.89</v>
      </c>
      <c r="R11" s="198"/>
      <c r="S11" s="198"/>
      <c r="T11" s="198"/>
      <c r="U11" s="198"/>
    </row>
    <row r="12" spans="1:21" s="12" customFormat="1" x14ac:dyDescent="0.25">
      <c r="A12" s="214" t="s">
        <v>537</v>
      </c>
      <c r="B12" s="64">
        <v>16.53</v>
      </c>
      <c r="C12" s="64">
        <v>13.55</v>
      </c>
      <c r="D12" s="64">
        <v>22.03</v>
      </c>
      <c r="E12" s="64">
        <v>2.29</v>
      </c>
      <c r="F12" s="64">
        <v>0.39</v>
      </c>
      <c r="G12" s="64">
        <v>50.86</v>
      </c>
      <c r="H12" s="64">
        <v>16.95</v>
      </c>
      <c r="I12" s="64">
        <v>1.47</v>
      </c>
      <c r="J12" s="64">
        <v>0.28000000000000003</v>
      </c>
      <c r="K12" s="64">
        <v>333.06</v>
      </c>
      <c r="L12" s="64">
        <v>23.03</v>
      </c>
      <c r="M12" s="64">
        <v>74.87</v>
      </c>
      <c r="N12" s="64">
        <v>9.1</v>
      </c>
      <c r="O12" s="64">
        <v>0</v>
      </c>
      <c r="P12" s="64">
        <v>0.82</v>
      </c>
      <c r="Q12" s="64">
        <v>11.86</v>
      </c>
      <c r="R12" s="198"/>
      <c r="S12" s="198"/>
      <c r="T12" s="198"/>
      <c r="U12" s="198"/>
    </row>
    <row r="13" spans="1:21" s="12" customFormat="1" x14ac:dyDescent="0.25">
      <c r="A13" s="214" t="s">
        <v>538</v>
      </c>
      <c r="B13" s="64">
        <v>15.6</v>
      </c>
      <c r="C13" s="64">
        <v>13.36</v>
      </c>
      <c r="D13" s="64">
        <v>21.17</v>
      </c>
      <c r="E13" s="64">
        <v>2.33</v>
      </c>
      <c r="F13" s="64">
        <v>0.31</v>
      </c>
      <c r="G13" s="64">
        <v>50.86</v>
      </c>
      <c r="H13" s="64">
        <v>16.95</v>
      </c>
      <c r="I13" s="64">
        <v>1.44</v>
      </c>
      <c r="J13" s="64">
        <v>0.22</v>
      </c>
      <c r="K13" s="64">
        <v>337.59</v>
      </c>
      <c r="L13" s="64">
        <v>23.11</v>
      </c>
      <c r="M13" s="64">
        <v>74.94</v>
      </c>
      <c r="N13" s="64">
        <v>9.1999999999999993</v>
      </c>
      <c r="O13" s="64">
        <v>0</v>
      </c>
      <c r="P13" s="64">
        <v>0.76</v>
      </c>
      <c r="Q13" s="64">
        <v>11.94</v>
      </c>
      <c r="R13" s="198"/>
      <c r="S13" s="198"/>
      <c r="T13" s="198"/>
      <c r="U13" s="198"/>
    </row>
    <row r="14" spans="1:21" s="12" customFormat="1" x14ac:dyDescent="0.25">
      <c r="A14" s="214" t="s">
        <v>539</v>
      </c>
      <c r="B14" s="64">
        <v>14.61</v>
      </c>
      <c r="C14" s="64">
        <v>12.97</v>
      </c>
      <c r="D14" s="64">
        <v>20.170000000000002</v>
      </c>
      <c r="E14" s="64">
        <v>2.39</v>
      </c>
      <c r="F14" s="64">
        <v>0.34</v>
      </c>
      <c r="G14" s="64">
        <v>45.92</v>
      </c>
      <c r="H14" s="64">
        <v>14.48</v>
      </c>
      <c r="I14" s="64">
        <v>1.53</v>
      </c>
      <c r="J14" s="64">
        <v>0.21</v>
      </c>
      <c r="K14" s="64">
        <v>348.98</v>
      </c>
      <c r="L14" s="64">
        <v>23.05</v>
      </c>
      <c r="M14" s="64">
        <v>76.33</v>
      </c>
      <c r="N14" s="64">
        <v>9.1999999999999993</v>
      </c>
      <c r="O14" s="64">
        <v>0</v>
      </c>
      <c r="P14" s="64">
        <v>0.78</v>
      </c>
      <c r="Q14" s="64">
        <v>11.63</v>
      </c>
      <c r="R14" s="198"/>
      <c r="S14" s="198"/>
      <c r="T14" s="198"/>
      <c r="U14" s="198"/>
    </row>
    <row r="15" spans="1:21" s="12" customFormat="1" x14ac:dyDescent="0.25">
      <c r="A15" s="214" t="s">
        <v>540</v>
      </c>
      <c r="B15" s="64">
        <v>13.23</v>
      </c>
      <c r="C15" s="64">
        <v>13.13</v>
      </c>
      <c r="D15" s="64">
        <v>19.14</v>
      </c>
      <c r="E15" s="64">
        <v>1.81</v>
      </c>
      <c r="F15" s="64">
        <v>0.22</v>
      </c>
      <c r="G15" s="64">
        <v>41.41</v>
      </c>
      <c r="H15" s="64">
        <v>13.43</v>
      </c>
      <c r="I15" s="64">
        <v>1.51</v>
      </c>
      <c r="J15" s="64">
        <v>0.47</v>
      </c>
      <c r="K15" s="64">
        <v>327.10000000000002</v>
      </c>
      <c r="L15" s="64">
        <v>23</v>
      </c>
      <c r="M15" s="64">
        <v>76.62</v>
      </c>
      <c r="N15" s="64">
        <v>9.1</v>
      </c>
      <c r="O15" s="64">
        <v>0</v>
      </c>
      <c r="P15" s="64">
        <v>0.74</v>
      </c>
      <c r="Q15" s="64">
        <v>11.31</v>
      </c>
      <c r="R15" s="198"/>
      <c r="S15" s="198"/>
      <c r="T15" s="198"/>
      <c r="U15" s="198"/>
    </row>
    <row r="16" spans="1:21" s="12" customFormat="1" x14ac:dyDescent="0.25">
      <c r="A16" s="214" t="s">
        <v>541</v>
      </c>
      <c r="B16" s="64">
        <v>11.72</v>
      </c>
      <c r="C16" s="64">
        <v>12.5</v>
      </c>
      <c r="D16" s="64">
        <v>17.59</v>
      </c>
      <c r="E16" s="64">
        <v>1.62</v>
      </c>
      <c r="F16" s="64">
        <v>0.41</v>
      </c>
      <c r="G16" s="64">
        <v>41.41</v>
      </c>
      <c r="H16" s="64">
        <v>13.43</v>
      </c>
      <c r="I16" s="64">
        <v>1.39</v>
      </c>
      <c r="J16" s="64">
        <v>0.65</v>
      </c>
      <c r="K16" s="64">
        <v>317.94</v>
      </c>
      <c r="L16" s="64">
        <v>22.98</v>
      </c>
      <c r="M16" s="64">
        <v>74.89</v>
      </c>
      <c r="N16" s="64">
        <v>9.1</v>
      </c>
      <c r="O16" s="64">
        <v>0</v>
      </c>
      <c r="P16" s="64">
        <v>0.7</v>
      </c>
      <c r="Q16" s="64">
        <v>10.92</v>
      </c>
      <c r="R16" s="198"/>
      <c r="S16" s="198"/>
      <c r="T16" s="198"/>
      <c r="U16" s="198"/>
    </row>
    <row r="17" spans="1:21" s="12" customFormat="1" x14ac:dyDescent="0.25">
      <c r="A17" s="214" t="s">
        <v>542</v>
      </c>
      <c r="B17" s="64">
        <v>10.220000000000001</v>
      </c>
      <c r="C17" s="64">
        <v>12.14</v>
      </c>
      <c r="D17" s="64">
        <v>16.190000000000001</v>
      </c>
      <c r="E17" s="64">
        <v>2.4500000000000002</v>
      </c>
      <c r="F17" s="64">
        <v>0.79</v>
      </c>
      <c r="G17" s="64">
        <v>41.41</v>
      </c>
      <c r="H17" s="64">
        <v>13.43</v>
      </c>
      <c r="I17" s="64">
        <v>1.58</v>
      </c>
      <c r="J17" s="64">
        <v>0.45</v>
      </c>
      <c r="K17" s="64">
        <v>318.48</v>
      </c>
      <c r="L17" s="64">
        <v>22.98</v>
      </c>
      <c r="M17" s="64">
        <v>74.319999999999993</v>
      </c>
      <c r="N17" s="64">
        <v>9.1999999999999993</v>
      </c>
      <c r="O17" s="64">
        <v>0</v>
      </c>
      <c r="P17" s="64">
        <v>0.67</v>
      </c>
      <c r="Q17" s="64">
        <v>10.56</v>
      </c>
      <c r="R17" s="198"/>
      <c r="S17" s="198"/>
      <c r="T17" s="198"/>
      <c r="U17" s="198"/>
    </row>
    <row r="18" spans="1:21" s="12" customFormat="1" x14ac:dyDescent="0.25">
      <c r="A18" s="214" t="s">
        <v>543</v>
      </c>
      <c r="B18" s="64">
        <v>9.0399999999999991</v>
      </c>
      <c r="C18" s="64">
        <v>12.05</v>
      </c>
      <c r="D18" s="64">
        <v>15.19</v>
      </c>
      <c r="E18" s="64">
        <v>2.2200000000000002</v>
      </c>
      <c r="F18" s="64">
        <v>0.33</v>
      </c>
      <c r="G18" s="64">
        <v>35</v>
      </c>
      <c r="H18" s="64">
        <v>12.84</v>
      </c>
      <c r="I18" s="64">
        <v>1.51</v>
      </c>
      <c r="J18" s="64">
        <v>0.44</v>
      </c>
      <c r="K18" s="64">
        <v>320.12</v>
      </c>
      <c r="L18" s="64">
        <v>22.97</v>
      </c>
      <c r="M18" s="64">
        <v>74</v>
      </c>
      <c r="N18" s="64">
        <v>9.1999999999999993</v>
      </c>
      <c r="O18" s="64">
        <v>0</v>
      </c>
      <c r="P18" s="64">
        <v>0.64</v>
      </c>
      <c r="Q18" s="64">
        <v>10.68</v>
      </c>
      <c r="R18" s="198"/>
      <c r="S18" s="198"/>
      <c r="T18" s="198"/>
      <c r="U18" s="198"/>
    </row>
    <row r="19" spans="1:21" s="12" customFormat="1" x14ac:dyDescent="0.25">
      <c r="A19" s="214" t="s">
        <v>544</v>
      </c>
      <c r="B19" s="64">
        <v>7.96</v>
      </c>
      <c r="C19" s="64">
        <v>11.8</v>
      </c>
      <c r="D19" s="64">
        <v>14.19</v>
      </c>
      <c r="E19" s="64">
        <v>2.48</v>
      </c>
      <c r="F19" s="64">
        <v>0.56000000000000005</v>
      </c>
      <c r="G19" s="64">
        <v>29.13</v>
      </c>
      <c r="H19" s="64">
        <v>12.58</v>
      </c>
      <c r="I19" s="64">
        <v>1.5</v>
      </c>
      <c r="J19" s="64">
        <v>0.39</v>
      </c>
      <c r="K19" s="64">
        <v>321.57</v>
      </c>
      <c r="L19" s="64">
        <v>22.95</v>
      </c>
      <c r="M19" s="64">
        <v>74.33</v>
      </c>
      <c r="N19" s="64">
        <v>9.3000000000000007</v>
      </c>
      <c r="O19" s="64">
        <v>0</v>
      </c>
      <c r="P19" s="64">
        <v>0.61</v>
      </c>
      <c r="Q19" s="64">
        <v>10.33</v>
      </c>
      <c r="R19" s="198"/>
      <c r="S19" s="198"/>
      <c r="T19" s="198"/>
      <c r="U19" s="198"/>
    </row>
    <row r="20" spans="1:21" s="12" customFormat="1" x14ac:dyDescent="0.25">
      <c r="A20" s="214" t="s">
        <v>545</v>
      </c>
      <c r="B20" s="64">
        <v>6.95</v>
      </c>
      <c r="C20" s="64">
        <v>11.87</v>
      </c>
      <c r="D20" s="64">
        <v>13.41</v>
      </c>
      <c r="E20" s="64">
        <v>1.91</v>
      </c>
      <c r="F20" s="64">
        <v>0.63</v>
      </c>
      <c r="G20" s="64">
        <v>29.13</v>
      </c>
      <c r="H20" s="64">
        <v>12.58</v>
      </c>
      <c r="I20" s="64">
        <v>1.49</v>
      </c>
      <c r="J20" s="64">
        <v>0.56999999999999995</v>
      </c>
      <c r="K20" s="64">
        <v>318.58</v>
      </c>
      <c r="L20" s="64">
        <v>22.87</v>
      </c>
      <c r="M20" s="64">
        <v>74.12</v>
      </c>
      <c r="N20" s="64">
        <v>9.1999999999999993</v>
      </c>
      <c r="O20" s="64">
        <v>0</v>
      </c>
      <c r="P20" s="64">
        <v>0.56999999999999995</v>
      </c>
      <c r="Q20" s="64">
        <v>9.48</v>
      </c>
      <c r="R20" s="198"/>
      <c r="S20" s="198"/>
      <c r="T20" s="198"/>
      <c r="U20" s="198"/>
    </row>
    <row r="21" spans="1:21" s="12" customFormat="1" x14ac:dyDescent="0.25">
      <c r="A21" s="214" t="s">
        <v>546</v>
      </c>
      <c r="B21" s="64">
        <v>6.07</v>
      </c>
      <c r="C21" s="64">
        <v>11.3</v>
      </c>
      <c r="D21" s="64">
        <v>12.4</v>
      </c>
      <c r="E21" s="64">
        <v>2.4300000000000002</v>
      </c>
      <c r="F21" s="64">
        <v>0.6</v>
      </c>
      <c r="G21" s="64">
        <v>29.13</v>
      </c>
      <c r="H21" s="64">
        <v>12.58</v>
      </c>
      <c r="I21" s="64">
        <v>1.52</v>
      </c>
      <c r="J21" s="64">
        <v>0.57999999999999996</v>
      </c>
      <c r="K21" s="64">
        <v>318.88</v>
      </c>
      <c r="L21" s="64">
        <v>22.81</v>
      </c>
      <c r="M21" s="64">
        <v>73.28</v>
      </c>
      <c r="N21" s="64">
        <v>9.1999999999999993</v>
      </c>
      <c r="O21" s="64">
        <v>0</v>
      </c>
      <c r="P21" s="64">
        <v>0.55000000000000004</v>
      </c>
      <c r="Q21" s="64">
        <v>9.91</v>
      </c>
      <c r="R21" s="198"/>
      <c r="S21" s="198"/>
      <c r="T21" s="198"/>
      <c r="U21" s="198"/>
    </row>
    <row r="22" spans="1:21" s="12" customFormat="1" x14ac:dyDescent="0.25">
      <c r="A22" s="214" t="s">
        <v>547</v>
      </c>
      <c r="B22" s="64">
        <v>5.46</v>
      </c>
      <c r="C22" s="64">
        <v>11.26</v>
      </c>
      <c r="D22" s="64">
        <v>11.88</v>
      </c>
      <c r="E22" s="64">
        <v>1.62</v>
      </c>
      <c r="F22" s="64">
        <v>0.61</v>
      </c>
      <c r="G22" s="64">
        <v>30.15</v>
      </c>
      <c r="H22" s="64">
        <v>13.13</v>
      </c>
      <c r="I22" s="64">
        <v>1.56</v>
      </c>
      <c r="J22" s="64">
        <v>0.4</v>
      </c>
      <c r="K22" s="64">
        <v>321.37</v>
      </c>
      <c r="L22" s="64">
        <v>22.78</v>
      </c>
      <c r="M22" s="64">
        <v>73.040000000000006</v>
      </c>
      <c r="N22" s="64">
        <v>9.4</v>
      </c>
      <c r="O22" s="64">
        <v>0</v>
      </c>
      <c r="P22" s="64">
        <v>0.54</v>
      </c>
      <c r="Q22" s="64">
        <v>9.65</v>
      </c>
      <c r="R22" s="198"/>
      <c r="S22" s="198"/>
      <c r="T22" s="198"/>
      <c r="U22" s="198"/>
    </row>
    <row r="23" spans="1:21" s="12" customFormat="1" x14ac:dyDescent="0.25">
      <c r="A23" s="214" t="s">
        <v>548</v>
      </c>
      <c r="B23" s="64">
        <v>5.07</v>
      </c>
      <c r="C23" s="64">
        <v>11.15</v>
      </c>
      <c r="D23" s="64">
        <v>11.51</v>
      </c>
      <c r="E23" s="64">
        <v>2.25</v>
      </c>
      <c r="F23" s="64">
        <v>0.21</v>
      </c>
      <c r="G23" s="64">
        <v>31.09</v>
      </c>
      <c r="H23" s="64">
        <v>13.36</v>
      </c>
      <c r="I23" s="64">
        <v>1.57</v>
      </c>
      <c r="J23" s="64">
        <v>0.32</v>
      </c>
      <c r="K23" s="64">
        <v>329.62</v>
      </c>
      <c r="L23" s="64">
        <v>22.67</v>
      </c>
      <c r="M23" s="64">
        <v>72.900000000000006</v>
      </c>
      <c r="N23" s="64">
        <v>9.5</v>
      </c>
      <c r="O23" s="64">
        <v>0</v>
      </c>
      <c r="P23" s="64">
        <v>0.51</v>
      </c>
      <c r="Q23" s="64">
        <v>9.93</v>
      </c>
      <c r="R23" s="198"/>
      <c r="S23" s="198"/>
      <c r="T23" s="198"/>
      <c r="U23" s="198"/>
    </row>
    <row r="24" spans="1:21" s="12" customFormat="1" x14ac:dyDescent="0.25">
      <c r="A24" s="214" t="s">
        <v>549</v>
      </c>
      <c r="B24" s="64">
        <v>4.75</v>
      </c>
      <c r="C24" s="64">
        <v>11.01</v>
      </c>
      <c r="D24" s="64">
        <v>11.17</v>
      </c>
      <c r="E24" s="64">
        <v>1.78</v>
      </c>
      <c r="F24" s="64">
        <v>0.35</v>
      </c>
      <c r="G24" s="64">
        <v>31.09</v>
      </c>
      <c r="H24" s="64">
        <v>13.36</v>
      </c>
      <c r="I24" s="64">
        <v>1.57</v>
      </c>
      <c r="J24" s="64">
        <v>0.26</v>
      </c>
      <c r="K24" s="64">
        <v>343.12</v>
      </c>
      <c r="L24" s="64">
        <v>22.41</v>
      </c>
      <c r="M24" s="64">
        <v>71.650000000000006</v>
      </c>
      <c r="N24" s="64">
        <v>9.3000000000000007</v>
      </c>
      <c r="O24" s="64">
        <v>0</v>
      </c>
      <c r="P24" s="64">
        <v>0.5</v>
      </c>
      <c r="Q24" s="64">
        <v>9.75</v>
      </c>
      <c r="R24" s="198"/>
      <c r="S24" s="198"/>
      <c r="T24" s="198"/>
      <c r="U24" s="198"/>
    </row>
    <row r="25" spans="1:21" s="12" customFormat="1" x14ac:dyDescent="0.25">
      <c r="A25" s="214" t="s">
        <v>550</v>
      </c>
      <c r="B25" s="64">
        <v>4.3600000000000003</v>
      </c>
      <c r="C25" s="64">
        <v>10.98</v>
      </c>
      <c r="D25" s="64">
        <v>10.85</v>
      </c>
      <c r="E25" s="64">
        <v>2.77</v>
      </c>
      <c r="F25" s="64">
        <v>0.56000000000000005</v>
      </c>
      <c r="G25" s="64">
        <v>31.09</v>
      </c>
      <c r="H25" s="64">
        <v>13.36</v>
      </c>
      <c r="I25" s="64">
        <v>1.54</v>
      </c>
      <c r="J25" s="64">
        <v>0.3</v>
      </c>
      <c r="K25" s="64">
        <v>327.33</v>
      </c>
      <c r="L25" s="64">
        <v>22.17</v>
      </c>
      <c r="M25" s="64">
        <v>70.599999999999994</v>
      </c>
      <c r="N25" s="64">
        <v>9.1</v>
      </c>
      <c r="O25" s="64">
        <v>0</v>
      </c>
      <c r="P25" s="64">
        <v>0.49</v>
      </c>
      <c r="Q25" s="64">
        <v>9.73</v>
      </c>
      <c r="R25" s="198"/>
      <c r="S25" s="198"/>
      <c r="T25" s="198"/>
      <c r="U25" s="198"/>
    </row>
    <row r="26" spans="1:21" s="12" customFormat="1" x14ac:dyDescent="0.25">
      <c r="A26" s="214" t="s">
        <v>551</v>
      </c>
      <c r="B26" s="64">
        <v>4.03</v>
      </c>
      <c r="C26" s="64">
        <v>10.99</v>
      </c>
      <c r="D26" s="64">
        <v>10.59</v>
      </c>
      <c r="E26" s="64">
        <v>3.45</v>
      </c>
      <c r="F26" s="64">
        <v>0.28999999999999998</v>
      </c>
      <c r="G26" s="64">
        <v>34.21</v>
      </c>
      <c r="H26" s="64">
        <v>11.52</v>
      </c>
      <c r="I26" s="64">
        <v>1.54</v>
      </c>
      <c r="J26" s="64">
        <v>0.55000000000000004</v>
      </c>
      <c r="K26" s="64">
        <v>317.86</v>
      </c>
      <c r="L26" s="64">
        <v>21.76</v>
      </c>
      <c r="M26" s="64">
        <v>71.069999999999993</v>
      </c>
      <c r="N26" s="64">
        <v>8.8000000000000007</v>
      </c>
      <c r="O26" s="64">
        <v>0</v>
      </c>
      <c r="P26" s="64">
        <v>0.47</v>
      </c>
      <c r="Q26" s="64">
        <v>9.32</v>
      </c>
      <c r="R26" s="198"/>
      <c r="S26" s="198"/>
      <c r="T26" s="198"/>
      <c r="U26" s="198"/>
    </row>
    <row r="27" spans="1:21" s="12" customFormat="1" x14ac:dyDescent="0.25">
      <c r="A27" s="214" t="s">
        <v>552</v>
      </c>
      <c r="B27" s="64">
        <v>3.68</v>
      </c>
      <c r="C27" s="64">
        <v>10.95</v>
      </c>
      <c r="D27" s="64">
        <v>10.29</v>
      </c>
      <c r="E27" s="64">
        <v>3.36</v>
      </c>
      <c r="F27" s="64">
        <v>0.73</v>
      </c>
      <c r="G27" s="64">
        <v>37.06</v>
      </c>
      <c r="H27" s="64">
        <v>10.74</v>
      </c>
      <c r="I27" s="64">
        <v>1.49</v>
      </c>
      <c r="J27" s="64">
        <v>0.37</v>
      </c>
      <c r="K27" s="64">
        <v>321.17</v>
      </c>
      <c r="L27" s="64">
        <v>21.53</v>
      </c>
      <c r="M27" s="64">
        <v>70.87</v>
      </c>
      <c r="N27" s="64">
        <v>8.9</v>
      </c>
      <c r="O27" s="64">
        <v>0</v>
      </c>
      <c r="P27" s="64">
        <v>0.45</v>
      </c>
      <c r="Q27" s="64">
        <v>7.65</v>
      </c>
      <c r="R27" s="198"/>
      <c r="S27" s="198"/>
      <c r="T27" s="198"/>
      <c r="U27" s="198"/>
    </row>
    <row r="28" spans="1:21" s="12" customFormat="1" x14ac:dyDescent="0.25">
      <c r="A28" s="214" t="s">
        <v>553</v>
      </c>
      <c r="B28" s="64">
        <v>3.51</v>
      </c>
      <c r="C28" s="64">
        <v>10.46</v>
      </c>
      <c r="D28" s="64">
        <v>9.8800000000000008</v>
      </c>
      <c r="E28" s="64">
        <v>2.78</v>
      </c>
      <c r="F28" s="64">
        <v>0.51</v>
      </c>
      <c r="G28" s="64">
        <v>37.06</v>
      </c>
      <c r="H28" s="64">
        <v>10.74</v>
      </c>
      <c r="I28" s="64">
        <v>1.54</v>
      </c>
      <c r="J28" s="64">
        <v>0.16</v>
      </c>
      <c r="K28" s="64">
        <v>346.43</v>
      </c>
      <c r="L28" s="64">
        <v>21.25</v>
      </c>
      <c r="M28" s="64">
        <v>71.930000000000007</v>
      </c>
      <c r="N28" s="64">
        <v>9.1</v>
      </c>
      <c r="O28" s="64">
        <v>0</v>
      </c>
      <c r="P28" s="64">
        <v>0.44</v>
      </c>
      <c r="Q28" s="64">
        <v>8.36</v>
      </c>
      <c r="R28" s="198"/>
      <c r="S28" s="198"/>
      <c r="T28" s="198"/>
      <c r="U28" s="198"/>
    </row>
    <row r="29" spans="1:21" s="12" customFormat="1" x14ac:dyDescent="0.25">
      <c r="A29" s="214" t="s">
        <v>554</v>
      </c>
      <c r="B29" s="64">
        <v>3.32</v>
      </c>
      <c r="C29" s="64">
        <v>10.16</v>
      </c>
      <c r="D29" s="64">
        <v>9.56</v>
      </c>
      <c r="E29" s="64">
        <v>2.85</v>
      </c>
      <c r="F29" s="64">
        <v>0.9</v>
      </c>
      <c r="G29" s="64">
        <v>37.06</v>
      </c>
      <c r="H29" s="64">
        <v>10.74</v>
      </c>
      <c r="I29" s="64">
        <v>1.43</v>
      </c>
      <c r="J29" s="64">
        <v>0.18</v>
      </c>
      <c r="K29" s="64">
        <v>348.12</v>
      </c>
      <c r="L29" s="64">
        <v>21.03</v>
      </c>
      <c r="M29" s="64">
        <v>72.09</v>
      </c>
      <c r="N29" s="64">
        <v>8.8000000000000007</v>
      </c>
      <c r="O29" s="64">
        <v>0</v>
      </c>
      <c r="P29" s="64">
        <v>0.43</v>
      </c>
      <c r="Q29" s="64">
        <v>8.44</v>
      </c>
      <c r="R29" s="198"/>
      <c r="S29" s="198"/>
      <c r="T29" s="198"/>
      <c r="U29" s="198"/>
    </row>
    <row r="30" spans="1:21" s="12" customFormat="1" x14ac:dyDescent="0.25">
      <c r="A30" s="214" t="s">
        <v>555</v>
      </c>
      <c r="B30" s="64">
        <v>3.23</v>
      </c>
      <c r="C30" s="64">
        <v>10.34</v>
      </c>
      <c r="D30" s="64">
        <v>9.59</v>
      </c>
      <c r="E30" s="64">
        <v>3.58</v>
      </c>
      <c r="F30" s="64">
        <v>0.87</v>
      </c>
      <c r="G30" s="64">
        <v>37.69</v>
      </c>
      <c r="H30" s="64">
        <v>12.17</v>
      </c>
      <c r="I30" s="64">
        <v>1.48</v>
      </c>
      <c r="J30" s="64">
        <v>0.14000000000000001</v>
      </c>
      <c r="K30" s="64">
        <v>325.24</v>
      </c>
      <c r="L30" s="64">
        <v>20.83</v>
      </c>
      <c r="M30" s="64">
        <v>71.63</v>
      </c>
      <c r="N30" s="64">
        <v>8.8000000000000007</v>
      </c>
      <c r="O30" s="64">
        <v>0</v>
      </c>
      <c r="P30" s="64">
        <v>0.42</v>
      </c>
      <c r="Q30" s="64">
        <v>7.9</v>
      </c>
      <c r="R30" s="198"/>
      <c r="S30" s="198"/>
      <c r="T30" s="198"/>
      <c r="U30" s="198"/>
    </row>
    <row r="31" spans="1:21" s="12" customFormat="1" x14ac:dyDescent="0.25">
      <c r="A31" s="214" t="s">
        <v>556</v>
      </c>
      <c r="B31" s="64">
        <v>3.31</v>
      </c>
      <c r="C31" s="64">
        <v>10.1</v>
      </c>
      <c r="D31" s="64">
        <v>9.52</v>
      </c>
      <c r="E31" s="64">
        <v>3.55</v>
      </c>
      <c r="F31" s="64">
        <v>0.69</v>
      </c>
      <c r="G31" s="64">
        <v>38.270000000000003</v>
      </c>
      <c r="H31" s="64">
        <v>12.79</v>
      </c>
      <c r="I31" s="64">
        <v>1.42</v>
      </c>
      <c r="J31" s="64">
        <v>0.06</v>
      </c>
      <c r="K31" s="64">
        <v>328.98</v>
      </c>
      <c r="L31" s="64">
        <v>20.67</v>
      </c>
      <c r="M31" s="64">
        <v>71.83</v>
      </c>
      <c r="N31" s="64">
        <v>9.6</v>
      </c>
      <c r="O31" s="64">
        <v>0</v>
      </c>
      <c r="P31" s="64">
        <v>0.42</v>
      </c>
      <c r="Q31" s="64">
        <v>8.36</v>
      </c>
      <c r="R31" s="198"/>
      <c r="S31" s="198"/>
      <c r="T31" s="198"/>
      <c r="U31" s="198"/>
    </row>
    <row r="32" spans="1:21" s="12" customFormat="1" x14ac:dyDescent="0.25">
      <c r="A32" s="214" t="s">
        <v>557</v>
      </c>
      <c r="B32" s="64">
        <v>3.53</v>
      </c>
      <c r="C32" s="64">
        <v>10.57</v>
      </c>
      <c r="D32" s="64">
        <v>9.9600000000000009</v>
      </c>
      <c r="E32" s="64">
        <v>2.72</v>
      </c>
      <c r="F32" s="64">
        <v>0.73</v>
      </c>
      <c r="G32" s="64">
        <v>38.270000000000003</v>
      </c>
      <c r="H32" s="64">
        <v>12.79</v>
      </c>
      <c r="I32" s="64">
        <v>1.48</v>
      </c>
      <c r="J32" s="64">
        <v>0.11</v>
      </c>
      <c r="K32" s="64">
        <v>3.63</v>
      </c>
      <c r="L32" s="64">
        <v>20.55</v>
      </c>
      <c r="M32" s="64">
        <v>71.25</v>
      </c>
      <c r="N32" s="64">
        <v>15.9</v>
      </c>
      <c r="O32" s="64">
        <v>0</v>
      </c>
      <c r="P32" s="64">
        <v>0.41</v>
      </c>
      <c r="Q32" s="64">
        <v>9.19</v>
      </c>
      <c r="R32" s="198"/>
      <c r="S32" s="198"/>
      <c r="T32" s="198"/>
      <c r="U32" s="198"/>
    </row>
    <row r="33" spans="1:21" s="12" customFormat="1" x14ac:dyDescent="0.25">
      <c r="A33" s="214" t="s">
        <v>558</v>
      </c>
      <c r="B33" s="64">
        <v>3.77</v>
      </c>
      <c r="C33" s="64">
        <v>10.96</v>
      </c>
      <c r="D33" s="64">
        <v>10.37</v>
      </c>
      <c r="E33" s="64">
        <v>2.64</v>
      </c>
      <c r="F33" s="64">
        <v>0.34</v>
      </c>
      <c r="G33" s="64">
        <v>38.270000000000003</v>
      </c>
      <c r="H33" s="64">
        <v>12.79</v>
      </c>
      <c r="I33" s="64">
        <v>1.48</v>
      </c>
      <c r="J33" s="64">
        <v>0.13</v>
      </c>
      <c r="K33" s="64">
        <v>356.56</v>
      </c>
      <c r="L33" s="64">
        <v>20.71</v>
      </c>
      <c r="M33" s="64">
        <v>69.87</v>
      </c>
      <c r="N33" s="64">
        <v>35.799999999999997</v>
      </c>
      <c r="O33" s="64">
        <v>0</v>
      </c>
      <c r="P33" s="64">
        <v>0.41</v>
      </c>
      <c r="Q33" s="64">
        <v>21.08</v>
      </c>
      <c r="R33" s="198"/>
      <c r="S33" s="198"/>
      <c r="T33" s="198"/>
      <c r="U33" s="198"/>
    </row>
    <row r="34" spans="1:21" s="12" customFormat="1" x14ac:dyDescent="0.25">
      <c r="A34" s="214" t="s">
        <v>559</v>
      </c>
      <c r="B34" s="64">
        <v>4.04</v>
      </c>
      <c r="C34" s="64">
        <v>10.79</v>
      </c>
      <c r="D34" s="64">
        <v>10.48</v>
      </c>
      <c r="E34" s="64">
        <v>3.04</v>
      </c>
      <c r="F34" s="64">
        <v>0.76</v>
      </c>
      <c r="G34" s="64">
        <v>46.42</v>
      </c>
      <c r="H34" s="64">
        <v>14.52</v>
      </c>
      <c r="I34" s="64">
        <v>1.43</v>
      </c>
      <c r="J34" s="64">
        <v>0.24</v>
      </c>
      <c r="K34" s="64">
        <v>333.23</v>
      </c>
      <c r="L34" s="64">
        <v>21.34</v>
      </c>
      <c r="M34" s="64">
        <v>66.459999999999994</v>
      </c>
      <c r="N34" s="64">
        <v>92.5</v>
      </c>
      <c r="O34" s="64">
        <v>0</v>
      </c>
      <c r="P34" s="64">
        <v>0.41</v>
      </c>
      <c r="Q34" s="64">
        <v>28.36</v>
      </c>
      <c r="R34" s="198"/>
      <c r="S34" s="198"/>
      <c r="T34" s="198"/>
      <c r="U34" s="198"/>
    </row>
    <row r="35" spans="1:21" s="12" customFormat="1" x14ac:dyDescent="0.25">
      <c r="A35" s="214" t="s">
        <v>560</v>
      </c>
      <c r="B35" s="64">
        <v>4.28</v>
      </c>
      <c r="C35" s="64">
        <v>11.24</v>
      </c>
      <c r="D35" s="64">
        <v>10.93</v>
      </c>
      <c r="E35" s="64">
        <v>2.92</v>
      </c>
      <c r="F35" s="64">
        <v>0.61</v>
      </c>
      <c r="G35" s="64">
        <v>53.88</v>
      </c>
      <c r="H35" s="64">
        <v>15.96</v>
      </c>
      <c r="I35" s="64">
        <v>1.47</v>
      </c>
      <c r="J35" s="64">
        <v>0.28000000000000003</v>
      </c>
      <c r="K35" s="64">
        <v>351.28</v>
      </c>
      <c r="L35" s="64">
        <v>23.2</v>
      </c>
      <c r="M35" s="64">
        <v>59.24</v>
      </c>
      <c r="N35" s="64">
        <v>145.9</v>
      </c>
      <c r="O35" s="64">
        <v>0</v>
      </c>
      <c r="P35" s="64">
        <v>0.42</v>
      </c>
      <c r="Q35" s="64">
        <v>18.760000000000002</v>
      </c>
      <c r="R35" s="198"/>
      <c r="S35" s="198"/>
      <c r="T35" s="198"/>
      <c r="U35" s="198"/>
    </row>
    <row r="36" spans="1:21" s="12" customFormat="1" x14ac:dyDescent="0.25">
      <c r="A36" s="214" t="s">
        <v>561</v>
      </c>
      <c r="B36" s="64">
        <v>4.34</v>
      </c>
      <c r="C36" s="64">
        <v>12.22</v>
      </c>
      <c r="D36" s="64">
        <v>11.52</v>
      </c>
      <c r="E36" s="64">
        <v>3.37</v>
      </c>
      <c r="F36" s="64">
        <v>0.42</v>
      </c>
      <c r="G36" s="64">
        <v>53.88</v>
      </c>
      <c r="H36" s="64">
        <v>15.96</v>
      </c>
      <c r="I36" s="64">
        <v>1.58</v>
      </c>
      <c r="J36" s="64">
        <v>0.32</v>
      </c>
      <c r="K36" s="64">
        <v>331.98</v>
      </c>
      <c r="L36" s="64">
        <v>24.84</v>
      </c>
      <c r="M36" s="64">
        <v>55.69</v>
      </c>
      <c r="N36" s="64">
        <v>206.3</v>
      </c>
      <c r="O36" s="64">
        <v>0</v>
      </c>
      <c r="P36" s="64">
        <v>0.42</v>
      </c>
      <c r="Q36" s="64">
        <v>13.6</v>
      </c>
      <c r="R36" s="198"/>
      <c r="S36" s="198"/>
      <c r="T36" s="198"/>
      <c r="U36" s="198"/>
    </row>
    <row r="37" spans="1:21" s="12" customFormat="1" x14ac:dyDescent="0.25">
      <c r="A37" s="214" t="s">
        <v>562</v>
      </c>
      <c r="B37" s="64">
        <v>4.63</v>
      </c>
      <c r="C37" s="64">
        <v>12.84</v>
      </c>
      <c r="D37" s="64">
        <v>12.09</v>
      </c>
      <c r="E37" s="64">
        <v>3.52</v>
      </c>
      <c r="F37" s="64">
        <v>0.22</v>
      </c>
      <c r="G37" s="64">
        <v>53.88</v>
      </c>
      <c r="H37" s="64">
        <v>15.96</v>
      </c>
      <c r="I37" s="64">
        <v>1.53</v>
      </c>
      <c r="J37" s="64">
        <v>0.3</v>
      </c>
      <c r="K37" s="64">
        <v>337.94</v>
      </c>
      <c r="L37" s="64">
        <v>26.28</v>
      </c>
      <c r="M37" s="64">
        <v>52.23</v>
      </c>
      <c r="N37" s="64">
        <v>266.5</v>
      </c>
      <c r="O37" s="64">
        <v>0</v>
      </c>
      <c r="P37" s="64">
        <v>0.42</v>
      </c>
      <c r="Q37" s="64">
        <v>11.63</v>
      </c>
      <c r="R37" s="198"/>
      <c r="S37" s="198"/>
      <c r="T37" s="198"/>
      <c r="U37" s="198"/>
    </row>
    <row r="38" spans="1:21" s="12" customFormat="1" x14ac:dyDescent="0.25">
      <c r="A38" s="214" t="s">
        <v>563</v>
      </c>
      <c r="B38" s="64">
        <v>4.7699999999999996</v>
      </c>
      <c r="C38" s="64">
        <v>13.74</v>
      </c>
      <c r="D38" s="64">
        <v>12.7</v>
      </c>
      <c r="E38" s="64">
        <v>2.85</v>
      </c>
      <c r="F38" s="64">
        <v>0.49</v>
      </c>
      <c r="G38" s="64">
        <v>56.7</v>
      </c>
      <c r="H38" s="64">
        <v>18.03</v>
      </c>
      <c r="I38" s="64">
        <v>1.47</v>
      </c>
      <c r="J38" s="64">
        <v>0.46</v>
      </c>
      <c r="K38" s="64">
        <v>329.82</v>
      </c>
      <c r="L38" s="64">
        <v>27.29</v>
      </c>
      <c r="M38" s="64">
        <v>49.5</v>
      </c>
      <c r="N38" s="64">
        <v>331.9</v>
      </c>
      <c r="O38" s="64">
        <v>0</v>
      </c>
      <c r="P38" s="64">
        <v>0.45</v>
      </c>
      <c r="Q38" s="64">
        <v>10.1</v>
      </c>
      <c r="R38" s="198"/>
      <c r="S38" s="198"/>
      <c r="T38" s="198"/>
      <c r="U38" s="198"/>
    </row>
    <row r="39" spans="1:21" s="12" customFormat="1" x14ac:dyDescent="0.25">
      <c r="A39" s="214" t="s">
        <v>564</v>
      </c>
      <c r="B39" s="64">
        <v>4.5999999999999996</v>
      </c>
      <c r="C39" s="64">
        <v>13.96</v>
      </c>
      <c r="D39" s="64">
        <v>12.69</v>
      </c>
      <c r="E39" s="64">
        <v>2.83</v>
      </c>
      <c r="F39" s="64">
        <v>0.62</v>
      </c>
      <c r="G39" s="64">
        <v>59.27</v>
      </c>
      <c r="H39" s="64">
        <v>18.93</v>
      </c>
      <c r="I39" s="64">
        <v>1.55</v>
      </c>
      <c r="J39" s="64">
        <v>0.49</v>
      </c>
      <c r="K39" s="64">
        <v>329.31</v>
      </c>
      <c r="L39" s="64">
        <v>28.23</v>
      </c>
      <c r="M39" s="64">
        <v>47.86</v>
      </c>
      <c r="N39" s="64">
        <v>390.8</v>
      </c>
      <c r="O39" s="64">
        <v>0</v>
      </c>
      <c r="P39" s="64">
        <v>0.47</v>
      </c>
      <c r="Q39" s="64">
        <v>9.89</v>
      </c>
      <c r="R39" s="198"/>
      <c r="S39" s="198"/>
      <c r="T39" s="198"/>
      <c r="U39" s="198"/>
    </row>
    <row r="40" spans="1:21" s="12" customFormat="1" x14ac:dyDescent="0.25">
      <c r="A40" s="214" t="s">
        <v>565</v>
      </c>
      <c r="B40" s="64">
        <v>4.4800000000000004</v>
      </c>
      <c r="C40" s="64">
        <v>14.9</v>
      </c>
      <c r="D40" s="64">
        <v>13.11</v>
      </c>
      <c r="E40" s="64">
        <v>0.39</v>
      </c>
      <c r="F40" s="64">
        <v>0.95</v>
      </c>
      <c r="G40" s="64">
        <v>59.27</v>
      </c>
      <c r="H40" s="64">
        <v>18.93</v>
      </c>
      <c r="I40" s="64">
        <v>1.51</v>
      </c>
      <c r="J40" s="64">
        <v>0.43</v>
      </c>
      <c r="K40" s="64">
        <v>335.53</v>
      </c>
      <c r="L40" s="64">
        <v>29.09</v>
      </c>
      <c r="M40" s="64">
        <v>45.57</v>
      </c>
      <c r="N40" s="64">
        <v>448</v>
      </c>
      <c r="O40" s="64">
        <v>0</v>
      </c>
      <c r="P40" s="64">
        <v>0.49</v>
      </c>
      <c r="Q40" s="64">
        <v>9.48</v>
      </c>
      <c r="R40" s="198"/>
      <c r="S40" s="198"/>
      <c r="T40" s="198"/>
      <c r="U40" s="198"/>
    </row>
    <row r="41" spans="1:21" s="12" customFormat="1" x14ac:dyDescent="0.25">
      <c r="A41" s="214" t="s">
        <v>566</v>
      </c>
      <c r="B41" s="64">
        <v>4.2300000000000004</v>
      </c>
      <c r="C41" s="64">
        <v>15.52</v>
      </c>
      <c r="D41" s="64">
        <v>13.25</v>
      </c>
      <c r="E41" s="64">
        <v>0.51</v>
      </c>
      <c r="F41" s="64">
        <v>0.81</v>
      </c>
      <c r="G41" s="64">
        <v>59.27</v>
      </c>
      <c r="H41" s="64">
        <v>18.93</v>
      </c>
      <c r="I41" s="64">
        <v>1.51</v>
      </c>
      <c r="J41" s="64">
        <v>0.52</v>
      </c>
      <c r="K41" s="64">
        <v>334.41</v>
      </c>
      <c r="L41" s="64">
        <v>29.81</v>
      </c>
      <c r="M41" s="64">
        <v>42.4</v>
      </c>
      <c r="N41" s="64">
        <v>510.3</v>
      </c>
      <c r="O41" s="64">
        <v>0</v>
      </c>
      <c r="P41" s="64">
        <v>0.5</v>
      </c>
      <c r="Q41" s="64">
        <v>9.89</v>
      </c>
      <c r="R41" s="198"/>
      <c r="S41" s="198"/>
      <c r="T41" s="198"/>
      <c r="U41" s="198"/>
    </row>
    <row r="42" spans="1:21" s="12" customFormat="1" x14ac:dyDescent="0.25">
      <c r="A42" s="214" t="s">
        <v>567</v>
      </c>
      <c r="B42" s="64">
        <v>3.89</v>
      </c>
      <c r="C42" s="64">
        <v>15.99</v>
      </c>
      <c r="D42" s="64">
        <v>13.23</v>
      </c>
      <c r="E42" s="64">
        <v>0.92</v>
      </c>
      <c r="F42" s="64">
        <v>1.23</v>
      </c>
      <c r="G42" s="64">
        <v>69.94</v>
      </c>
      <c r="H42" s="64">
        <v>18.66</v>
      </c>
      <c r="I42" s="64">
        <v>1.55</v>
      </c>
      <c r="J42" s="64">
        <v>0.81</v>
      </c>
      <c r="K42" s="64">
        <v>321.14</v>
      </c>
      <c r="L42" s="64">
        <v>30.34</v>
      </c>
      <c r="M42" s="64">
        <v>38.32</v>
      </c>
      <c r="N42" s="64">
        <v>576.70000000000005</v>
      </c>
      <c r="O42" s="64">
        <v>0</v>
      </c>
      <c r="P42" s="64">
        <v>0.52</v>
      </c>
      <c r="Q42" s="64">
        <v>9.36</v>
      </c>
      <c r="R42" s="198"/>
      <c r="S42" s="198"/>
      <c r="T42" s="198"/>
      <c r="U42" s="198"/>
    </row>
    <row r="43" spans="1:21" s="12" customFormat="1" x14ac:dyDescent="0.25">
      <c r="A43" s="214" t="s">
        <v>568</v>
      </c>
      <c r="B43" s="64">
        <v>3.44</v>
      </c>
      <c r="C43" s="64">
        <v>16.22</v>
      </c>
      <c r="D43" s="64">
        <v>13</v>
      </c>
      <c r="E43" s="64">
        <v>0.7</v>
      </c>
      <c r="F43" s="64">
        <v>1.45</v>
      </c>
      <c r="G43" s="64">
        <v>79.69</v>
      </c>
      <c r="H43" s="64">
        <v>18.55</v>
      </c>
      <c r="I43" s="64">
        <v>1.54</v>
      </c>
      <c r="J43" s="64">
        <v>0.96</v>
      </c>
      <c r="K43" s="64">
        <v>317.12</v>
      </c>
      <c r="L43" s="64">
        <v>29.5</v>
      </c>
      <c r="M43" s="64">
        <v>44.78</v>
      </c>
      <c r="N43" s="64">
        <v>624.70000000000005</v>
      </c>
      <c r="O43" s="64">
        <v>0</v>
      </c>
      <c r="P43" s="64">
        <v>0.5</v>
      </c>
      <c r="Q43" s="64">
        <v>9.09</v>
      </c>
      <c r="R43" s="198"/>
      <c r="S43" s="198"/>
      <c r="T43" s="198"/>
      <c r="U43" s="198"/>
    </row>
    <row r="44" spans="1:21" s="12" customFormat="1" x14ac:dyDescent="0.25">
      <c r="A44" s="214" t="s">
        <v>569</v>
      </c>
      <c r="B44" s="64">
        <v>3.05</v>
      </c>
      <c r="C44" s="64">
        <v>15.88</v>
      </c>
      <c r="D44" s="64">
        <v>12.5</v>
      </c>
      <c r="E44" s="64">
        <v>0.54</v>
      </c>
      <c r="F44" s="64">
        <v>1.43</v>
      </c>
      <c r="G44" s="64">
        <v>79.69</v>
      </c>
      <c r="H44" s="64">
        <v>18.55</v>
      </c>
      <c r="I44" s="64">
        <v>1.51</v>
      </c>
      <c r="J44" s="64">
        <v>1.31</v>
      </c>
      <c r="K44" s="64">
        <v>318.56</v>
      </c>
      <c r="L44" s="64">
        <v>28.23</v>
      </c>
      <c r="M44" s="64">
        <v>50.33</v>
      </c>
      <c r="N44" s="64">
        <v>665.9</v>
      </c>
      <c r="O44" s="64">
        <v>0</v>
      </c>
      <c r="P44" s="64">
        <v>0.49</v>
      </c>
      <c r="Q44" s="64">
        <v>9.43</v>
      </c>
      <c r="R44" s="198"/>
      <c r="S44" s="198"/>
      <c r="T44" s="198"/>
      <c r="U44" s="198"/>
    </row>
    <row r="45" spans="1:21" s="12" customFormat="1" x14ac:dyDescent="0.25">
      <c r="A45" s="214" t="s">
        <v>570</v>
      </c>
      <c r="B45" s="64">
        <v>3.14</v>
      </c>
      <c r="C45" s="64">
        <v>16.29</v>
      </c>
      <c r="D45" s="64">
        <v>12.8</v>
      </c>
      <c r="E45" s="64">
        <v>1.05</v>
      </c>
      <c r="F45" s="64">
        <v>1.1100000000000001</v>
      </c>
      <c r="G45" s="64">
        <v>79.69</v>
      </c>
      <c r="H45" s="64">
        <v>18.55</v>
      </c>
      <c r="I45" s="64">
        <v>1.53</v>
      </c>
      <c r="J45" s="64">
        <v>0.98</v>
      </c>
      <c r="K45" s="64">
        <v>324.64999999999998</v>
      </c>
      <c r="L45" s="64">
        <v>28.61</v>
      </c>
      <c r="M45" s="64">
        <v>51.21</v>
      </c>
      <c r="N45" s="64">
        <v>695.5</v>
      </c>
      <c r="O45" s="64">
        <v>0</v>
      </c>
      <c r="P45" s="64">
        <v>0.49</v>
      </c>
      <c r="Q45" s="64">
        <v>9.69</v>
      </c>
      <c r="R45" s="198"/>
      <c r="S45" s="198"/>
      <c r="T45" s="198"/>
      <c r="U45" s="198"/>
    </row>
    <row r="46" spans="1:21" s="12" customFormat="1" x14ac:dyDescent="0.25">
      <c r="A46" s="214" t="s">
        <v>571</v>
      </c>
      <c r="B46" s="64">
        <v>3.32</v>
      </c>
      <c r="C46" s="64">
        <v>15.82</v>
      </c>
      <c r="D46" s="64">
        <v>12.69</v>
      </c>
      <c r="E46" s="64">
        <v>0.73</v>
      </c>
      <c r="F46" s="64">
        <v>1.18</v>
      </c>
      <c r="G46" s="64">
        <v>68.209999999999994</v>
      </c>
      <c r="H46" s="64">
        <v>17.21</v>
      </c>
      <c r="I46" s="64">
        <v>1.53</v>
      </c>
      <c r="J46" s="64">
        <v>0.88</v>
      </c>
      <c r="K46" s="64">
        <v>322.38</v>
      </c>
      <c r="L46" s="64">
        <v>28.92</v>
      </c>
      <c r="M46" s="64">
        <v>50.49</v>
      </c>
      <c r="N46" s="64">
        <v>725.8</v>
      </c>
      <c r="O46" s="64">
        <v>0</v>
      </c>
      <c r="P46" s="64">
        <v>0.5</v>
      </c>
      <c r="Q46" s="64">
        <v>9.35</v>
      </c>
      <c r="R46" s="198"/>
      <c r="S46" s="198"/>
      <c r="T46" s="198"/>
      <c r="U46" s="198"/>
    </row>
    <row r="47" spans="1:21" s="12" customFormat="1" x14ac:dyDescent="0.25">
      <c r="A47" s="214" t="s">
        <v>572</v>
      </c>
      <c r="B47" s="64">
        <v>3.36</v>
      </c>
      <c r="C47" s="64">
        <v>15.53</v>
      </c>
      <c r="D47" s="64">
        <v>12.56</v>
      </c>
      <c r="E47" s="64">
        <v>0.56999999999999995</v>
      </c>
      <c r="F47" s="64">
        <v>1.26</v>
      </c>
      <c r="G47" s="64">
        <v>57.71</v>
      </c>
      <c r="H47" s="64">
        <v>16.64</v>
      </c>
      <c r="I47" s="64">
        <v>1.51</v>
      </c>
      <c r="J47" s="64">
        <v>0.82</v>
      </c>
      <c r="K47" s="64">
        <v>331.86</v>
      </c>
      <c r="L47" s="64">
        <v>29.21</v>
      </c>
      <c r="M47" s="64">
        <v>48.46</v>
      </c>
      <c r="N47" s="64">
        <v>772.8</v>
      </c>
      <c r="O47" s="64">
        <v>0</v>
      </c>
      <c r="P47" s="64">
        <v>0.51</v>
      </c>
      <c r="Q47" s="64">
        <v>9.2799999999999994</v>
      </c>
      <c r="R47" s="198"/>
      <c r="S47" s="198"/>
      <c r="T47" s="198"/>
      <c r="U47" s="198"/>
    </row>
    <row r="48" spans="1:21" s="12" customFormat="1" x14ac:dyDescent="0.25">
      <c r="A48" s="214" t="s">
        <v>573</v>
      </c>
      <c r="B48" s="64">
        <v>3.28</v>
      </c>
      <c r="C48" s="64">
        <v>15.47</v>
      </c>
      <c r="D48" s="64">
        <v>12.46</v>
      </c>
      <c r="E48" s="64">
        <v>0.76</v>
      </c>
      <c r="F48" s="64">
        <v>1.56</v>
      </c>
      <c r="G48" s="64">
        <v>57.71</v>
      </c>
      <c r="H48" s="64">
        <v>16.64</v>
      </c>
      <c r="I48" s="64">
        <v>1.45</v>
      </c>
      <c r="J48" s="64">
        <v>0.91</v>
      </c>
      <c r="K48" s="64">
        <v>325.82</v>
      </c>
      <c r="L48" s="64">
        <v>29.55</v>
      </c>
      <c r="M48" s="64">
        <v>46.34</v>
      </c>
      <c r="N48" s="64">
        <v>811.6</v>
      </c>
      <c r="O48" s="64">
        <v>0</v>
      </c>
      <c r="P48" s="64">
        <v>0.52</v>
      </c>
      <c r="Q48" s="64">
        <v>9.3800000000000008</v>
      </c>
      <c r="R48" s="198"/>
      <c r="S48" s="198"/>
      <c r="T48" s="198"/>
      <c r="U48" s="198"/>
    </row>
    <row r="49" spans="1:21" s="12" customFormat="1" x14ac:dyDescent="0.25">
      <c r="A49" s="214" t="s">
        <v>574</v>
      </c>
      <c r="B49" s="64">
        <v>3.04</v>
      </c>
      <c r="C49" s="64">
        <v>15.55</v>
      </c>
      <c r="D49" s="64">
        <v>12.32</v>
      </c>
      <c r="E49" s="64">
        <v>0.76</v>
      </c>
      <c r="F49" s="64">
        <v>1.64</v>
      </c>
      <c r="G49" s="64">
        <v>57.71</v>
      </c>
      <c r="H49" s="64">
        <v>16.64</v>
      </c>
      <c r="I49" s="64">
        <v>1.5</v>
      </c>
      <c r="J49" s="64">
        <v>0.87</v>
      </c>
      <c r="K49" s="64">
        <v>323.47000000000003</v>
      </c>
      <c r="L49" s="64">
        <v>29.83</v>
      </c>
      <c r="M49" s="64">
        <v>47.49</v>
      </c>
      <c r="N49" s="64">
        <v>846.7</v>
      </c>
      <c r="O49" s="64">
        <v>0</v>
      </c>
      <c r="P49" s="64">
        <v>0.52</v>
      </c>
      <c r="Q49" s="64">
        <v>9.48</v>
      </c>
      <c r="R49" s="198"/>
      <c r="S49" s="198"/>
      <c r="T49" s="198"/>
      <c r="U49" s="198"/>
    </row>
    <row r="50" spans="1:21" s="12" customFormat="1" x14ac:dyDescent="0.25">
      <c r="A50" s="214" t="s">
        <v>575</v>
      </c>
      <c r="B50" s="64">
        <v>3.02</v>
      </c>
      <c r="C50" s="64">
        <v>15.72</v>
      </c>
      <c r="D50" s="64">
        <v>12.39</v>
      </c>
      <c r="E50" s="64">
        <v>0.74</v>
      </c>
      <c r="F50" s="64">
        <v>1.42</v>
      </c>
      <c r="G50" s="64">
        <v>58.56</v>
      </c>
      <c r="H50" s="64">
        <v>17.53</v>
      </c>
      <c r="I50" s="64">
        <v>1.57</v>
      </c>
      <c r="J50" s="64">
        <v>1.01</v>
      </c>
      <c r="K50" s="64">
        <v>322.31</v>
      </c>
      <c r="L50" s="64">
        <v>31.59</v>
      </c>
      <c r="M50" s="64">
        <v>39.76</v>
      </c>
      <c r="N50" s="64">
        <v>876.3</v>
      </c>
      <c r="O50" s="64">
        <v>0</v>
      </c>
      <c r="P50" s="64">
        <v>0.54</v>
      </c>
      <c r="Q50" s="64">
        <v>8.64</v>
      </c>
      <c r="R50" s="198"/>
      <c r="S50" s="198"/>
      <c r="T50" s="198"/>
      <c r="U50" s="198"/>
    </row>
    <row r="51" spans="1:21" s="12" customFormat="1" x14ac:dyDescent="0.25">
      <c r="A51" s="214" t="s">
        <v>576</v>
      </c>
      <c r="B51" s="64">
        <v>3.09</v>
      </c>
      <c r="C51" s="64">
        <v>15.96</v>
      </c>
      <c r="D51" s="64">
        <v>12.58</v>
      </c>
      <c r="E51" s="64">
        <v>0.75</v>
      </c>
      <c r="F51" s="64">
        <v>2.2999999999999998</v>
      </c>
      <c r="G51" s="64">
        <v>59.34</v>
      </c>
      <c r="H51" s="64">
        <v>17.920000000000002</v>
      </c>
      <c r="I51" s="64">
        <v>1.49</v>
      </c>
      <c r="J51" s="64">
        <v>1</v>
      </c>
      <c r="K51" s="64">
        <v>326.10000000000002</v>
      </c>
      <c r="L51" s="64">
        <v>32.81</v>
      </c>
      <c r="M51" s="64">
        <v>36.58</v>
      </c>
      <c r="N51" s="64">
        <v>894</v>
      </c>
      <c r="O51" s="64">
        <v>0</v>
      </c>
      <c r="P51" s="64">
        <v>0.56000000000000005</v>
      </c>
      <c r="Q51" s="64">
        <v>8.52</v>
      </c>
      <c r="R51" s="198"/>
      <c r="S51" s="198"/>
      <c r="T51" s="198"/>
      <c r="U51" s="198"/>
    </row>
    <row r="52" spans="1:21" s="12" customFormat="1" x14ac:dyDescent="0.25">
      <c r="A52" s="214" t="s">
        <v>577</v>
      </c>
      <c r="B52" s="64">
        <v>2.58</v>
      </c>
      <c r="C52" s="64">
        <v>18.21</v>
      </c>
      <c r="D52" s="64">
        <v>13.41</v>
      </c>
      <c r="E52" s="64">
        <v>0.35</v>
      </c>
      <c r="F52" s="64">
        <v>3.42</v>
      </c>
      <c r="G52" s="64">
        <v>59.34</v>
      </c>
      <c r="H52" s="64">
        <v>17.920000000000002</v>
      </c>
      <c r="I52" s="64">
        <v>1.49</v>
      </c>
      <c r="J52" s="64">
        <v>1.43</v>
      </c>
      <c r="K52" s="64">
        <v>322.32</v>
      </c>
      <c r="L52" s="64">
        <v>32.69</v>
      </c>
      <c r="M52" s="64">
        <v>35.76</v>
      </c>
      <c r="N52" s="64">
        <v>922.7</v>
      </c>
      <c r="O52" s="64">
        <v>0</v>
      </c>
      <c r="P52" s="64">
        <v>0.56999999999999995</v>
      </c>
      <c r="Q52" s="64">
        <v>8.8000000000000007</v>
      </c>
      <c r="R52" s="198"/>
      <c r="S52" s="198"/>
      <c r="T52" s="198"/>
      <c r="U52" s="198"/>
    </row>
    <row r="53" spans="1:21" s="12" customFormat="1" x14ac:dyDescent="0.25">
      <c r="A53" s="214" t="s">
        <v>578</v>
      </c>
      <c r="B53" s="64">
        <v>4.76</v>
      </c>
      <c r="C53" s="64">
        <v>21.29</v>
      </c>
      <c r="D53" s="64">
        <v>16.86</v>
      </c>
      <c r="E53" s="64">
        <v>0.34</v>
      </c>
      <c r="F53" s="64">
        <v>3.35</v>
      </c>
      <c r="G53" s="64">
        <v>59.34</v>
      </c>
      <c r="H53" s="64">
        <v>17.920000000000002</v>
      </c>
      <c r="I53" s="64">
        <v>1.52</v>
      </c>
      <c r="J53" s="64">
        <v>1.46</v>
      </c>
      <c r="K53" s="64">
        <v>322.86</v>
      </c>
      <c r="L53" s="64">
        <v>32.880000000000003</v>
      </c>
      <c r="M53" s="64">
        <v>36.03</v>
      </c>
      <c r="N53" s="64">
        <v>934.5</v>
      </c>
      <c r="O53" s="64">
        <v>0</v>
      </c>
      <c r="P53" s="64">
        <v>0.78</v>
      </c>
      <c r="Q53" s="64">
        <v>9.85</v>
      </c>
      <c r="R53" s="198"/>
      <c r="S53" s="198"/>
      <c r="T53" s="198"/>
      <c r="U53" s="198"/>
    </row>
    <row r="54" spans="1:21" s="12" customFormat="1" x14ac:dyDescent="0.25">
      <c r="A54" s="214" t="s">
        <v>579</v>
      </c>
      <c r="B54" s="64">
        <v>4.24</v>
      </c>
      <c r="C54" s="64">
        <v>23.91</v>
      </c>
      <c r="D54" s="64">
        <v>17.89</v>
      </c>
      <c r="E54" s="64">
        <v>0.7</v>
      </c>
      <c r="F54" s="64">
        <v>2.81</v>
      </c>
      <c r="G54" s="64">
        <v>58.89</v>
      </c>
      <c r="H54" s="64">
        <v>19.329999999999998</v>
      </c>
      <c r="I54" s="64">
        <v>1.52</v>
      </c>
      <c r="J54" s="64">
        <v>1.27</v>
      </c>
      <c r="K54" s="64">
        <v>322.66000000000003</v>
      </c>
      <c r="L54" s="64">
        <v>33.01</v>
      </c>
      <c r="M54" s="64">
        <v>36.08</v>
      </c>
      <c r="N54" s="64">
        <v>943.8</v>
      </c>
      <c r="O54" s="64">
        <v>0</v>
      </c>
      <c r="P54" s="64">
        <v>0.81</v>
      </c>
      <c r="Q54" s="64">
        <v>10.34</v>
      </c>
      <c r="R54" s="198"/>
      <c r="S54" s="198"/>
      <c r="T54" s="198"/>
      <c r="U54" s="198"/>
    </row>
    <row r="55" spans="1:21" s="12" customFormat="1" x14ac:dyDescent="0.25">
      <c r="A55" s="214" t="s">
        <v>580</v>
      </c>
      <c r="B55" s="64">
        <v>6.91</v>
      </c>
      <c r="C55" s="64">
        <v>27.75</v>
      </c>
      <c r="D55" s="64">
        <v>22.15</v>
      </c>
      <c r="E55" s="64">
        <v>1.77</v>
      </c>
      <c r="F55" s="64">
        <v>2.4</v>
      </c>
      <c r="G55" s="64">
        <v>58.48</v>
      </c>
      <c r="H55" s="64">
        <v>19.95</v>
      </c>
      <c r="I55" s="64">
        <v>1.53</v>
      </c>
      <c r="J55" s="64">
        <v>1</v>
      </c>
      <c r="K55" s="64">
        <v>324.01</v>
      </c>
      <c r="L55" s="64">
        <v>32.76</v>
      </c>
      <c r="M55" s="64">
        <v>37.119999999999997</v>
      </c>
      <c r="N55" s="64">
        <v>944.8</v>
      </c>
      <c r="O55" s="64">
        <v>0</v>
      </c>
      <c r="P55" s="64">
        <v>1.05</v>
      </c>
      <c r="Q55" s="64">
        <v>11.11</v>
      </c>
      <c r="R55" s="198"/>
      <c r="S55" s="198"/>
      <c r="T55" s="198"/>
      <c r="U55" s="198"/>
    </row>
    <row r="56" spans="1:21" s="12" customFormat="1" x14ac:dyDescent="0.25">
      <c r="A56" s="214" t="s">
        <v>581</v>
      </c>
      <c r="B56" s="64">
        <v>4.88</v>
      </c>
      <c r="C56" s="64">
        <v>29.04</v>
      </c>
      <c r="D56" s="64">
        <v>21.23</v>
      </c>
      <c r="E56" s="64">
        <v>0.91</v>
      </c>
      <c r="F56" s="64">
        <v>2.29</v>
      </c>
      <c r="G56" s="64">
        <v>58.48</v>
      </c>
      <c r="H56" s="64">
        <v>19.95</v>
      </c>
      <c r="I56" s="64">
        <v>1.42</v>
      </c>
      <c r="J56" s="64">
        <v>0.91</v>
      </c>
      <c r="K56" s="64">
        <v>321.69</v>
      </c>
      <c r="L56" s="64">
        <v>32.54</v>
      </c>
      <c r="M56" s="64">
        <v>38.130000000000003</v>
      </c>
      <c r="N56" s="64">
        <v>940.5</v>
      </c>
      <c r="O56" s="64">
        <v>0</v>
      </c>
      <c r="P56" s="64">
        <v>0.95</v>
      </c>
      <c r="Q56" s="64">
        <v>11</v>
      </c>
      <c r="R56" s="198"/>
      <c r="S56" s="198"/>
      <c r="T56" s="198"/>
      <c r="U56" s="198"/>
    </row>
    <row r="57" spans="1:21" s="12" customFormat="1" x14ac:dyDescent="0.25">
      <c r="A57" s="214" t="s">
        <v>582</v>
      </c>
      <c r="B57" s="64">
        <v>3.67</v>
      </c>
      <c r="C57" s="64">
        <v>26.51</v>
      </c>
      <c r="D57" s="64">
        <v>18.87</v>
      </c>
      <c r="E57" s="64">
        <v>1.1399999999999999</v>
      </c>
      <c r="F57" s="64">
        <v>1.78</v>
      </c>
      <c r="G57" s="64">
        <v>58.48</v>
      </c>
      <c r="H57" s="64">
        <v>19.95</v>
      </c>
      <c r="I57" s="64">
        <v>1.46</v>
      </c>
      <c r="J57" s="64">
        <v>0.92</v>
      </c>
      <c r="K57" s="64">
        <v>326.43</v>
      </c>
      <c r="L57" s="64">
        <v>32.47</v>
      </c>
      <c r="M57" s="64">
        <v>38.33</v>
      </c>
      <c r="N57" s="64">
        <v>932.4</v>
      </c>
      <c r="O57" s="64">
        <v>0</v>
      </c>
      <c r="P57" s="64">
        <v>0.89</v>
      </c>
      <c r="Q57" s="64">
        <v>10.61</v>
      </c>
      <c r="R57" s="198"/>
      <c r="S57" s="198"/>
      <c r="T57" s="198"/>
      <c r="U57" s="198"/>
    </row>
    <row r="58" spans="1:21" s="12" customFormat="1" x14ac:dyDescent="0.25">
      <c r="A58" s="214" t="s">
        <v>583</v>
      </c>
      <c r="B58" s="64">
        <v>3.45</v>
      </c>
      <c r="C58" s="64">
        <v>24.34</v>
      </c>
      <c r="D58" s="64">
        <v>17.489999999999998</v>
      </c>
      <c r="E58" s="64">
        <v>1.39</v>
      </c>
      <c r="F58" s="64">
        <v>2.5</v>
      </c>
      <c r="G58" s="64">
        <v>47.12</v>
      </c>
      <c r="H58" s="64">
        <v>22.23</v>
      </c>
      <c r="I58" s="64">
        <v>1.48</v>
      </c>
      <c r="J58" s="64">
        <v>1.04</v>
      </c>
      <c r="K58" s="64">
        <v>319.29000000000002</v>
      </c>
      <c r="L58" s="64">
        <v>32.450000000000003</v>
      </c>
      <c r="M58" s="64">
        <v>38.26</v>
      </c>
      <c r="N58" s="64">
        <v>924</v>
      </c>
      <c r="O58" s="64">
        <v>0</v>
      </c>
      <c r="P58" s="64">
        <v>0.83</v>
      </c>
      <c r="Q58" s="64">
        <v>9.66</v>
      </c>
      <c r="R58" s="198"/>
      <c r="S58" s="198"/>
      <c r="T58" s="198"/>
      <c r="U58" s="198"/>
    </row>
    <row r="59" spans="1:21" s="12" customFormat="1" x14ac:dyDescent="0.25">
      <c r="A59" s="214" t="s">
        <v>584</v>
      </c>
      <c r="B59" s="64">
        <v>3.12</v>
      </c>
      <c r="C59" s="64">
        <v>24.15</v>
      </c>
      <c r="D59" s="64">
        <v>17.12</v>
      </c>
      <c r="E59" s="64">
        <v>0.94</v>
      </c>
      <c r="F59" s="64">
        <v>2.2999999999999998</v>
      </c>
      <c r="G59" s="64">
        <v>36.74</v>
      </c>
      <c r="H59" s="64">
        <v>24.12</v>
      </c>
      <c r="I59" s="64">
        <v>1.55</v>
      </c>
      <c r="J59" s="64">
        <v>1.1299999999999999</v>
      </c>
      <c r="K59" s="64">
        <v>319.01</v>
      </c>
      <c r="L59" s="64">
        <v>32.67</v>
      </c>
      <c r="M59" s="64">
        <v>38.57</v>
      </c>
      <c r="N59" s="64">
        <v>897.5</v>
      </c>
      <c r="O59" s="64">
        <v>0</v>
      </c>
      <c r="P59" s="64">
        <v>0.76</v>
      </c>
      <c r="Q59" s="64">
        <v>9.69</v>
      </c>
      <c r="R59" s="198"/>
      <c r="S59" s="198"/>
      <c r="T59" s="198"/>
      <c r="U59" s="198"/>
    </row>
    <row r="60" spans="1:21" s="12" customFormat="1" x14ac:dyDescent="0.25">
      <c r="A60" s="214" t="s">
        <v>585</v>
      </c>
      <c r="B60" s="64">
        <v>3.01</v>
      </c>
      <c r="C60" s="64">
        <v>21.14</v>
      </c>
      <c r="D60" s="64">
        <v>15.37</v>
      </c>
      <c r="E60" s="64">
        <v>0.65</v>
      </c>
      <c r="F60" s="64">
        <v>1.93</v>
      </c>
      <c r="G60" s="64">
        <v>36.74</v>
      </c>
      <c r="H60" s="64">
        <v>24.12</v>
      </c>
      <c r="I60" s="64">
        <v>1.49</v>
      </c>
      <c r="J60" s="64">
        <v>0.94</v>
      </c>
      <c r="K60" s="64">
        <v>318.39999999999998</v>
      </c>
      <c r="L60" s="64">
        <v>32.6</v>
      </c>
      <c r="M60" s="64">
        <v>39.14</v>
      </c>
      <c r="N60" s="64">
        <v>862.1</v>
      </c>
      <c r="O60" s="64">
        <v>0</v>
      </c>
      <c r="P60" s="64">
        <v>0.72</v>
      </c>
      <c r="Q60" s="64">
        <v>9.35</v>
      </c>
      <c r="R60" s="198"/>
      <c r="S60" s="198"/>
      <c r="T60" s="198"/>
      <c r="U60" s="198"/>
    </row>
    <row r="61" spans="1:21" s="12" customFormat="1" x14ac:dyDescent="0.25">
      <c r="A61" s="214" t="s">
        <v>586</v>
      </c>
      <c r="B61" s="64">
        <v>2.92</v>
      </c>
      <c r="C61" s="64">
        <v>19.07</v>
      </c>
      <c r="D61" s="64">
        <v>14.16</v>
      </c>
      <c r="E61" s="64">
        <v>0.92</v>
      </c>
      <c r="F61" s="64">
        <v>2.1</v>
      </c>
      <c r="G61" s="64">
        <v>36.74</v>
      </c>
      <c r="H61" s="64">
        <v>24.12</v>
      </c>
      <c r="I61" s="64">
        <v>1.48</v>
      </c>
      <c r="J61" s="64">
        <v>0.92</v>
      </c>
      <c r="K61" s="64">
        <v>319.77999999999997</v>
      </c>
      <c r="L61" s="64">
        <v>32.380000000000003</v>
      </c>
      <c r="M61" s="64">
        <v>39.42</v>
      </c>
      <c r="N61" s="64">
        <v>789.8</v>
      </c>
      <c r="O61" s="64">
        <v>0</v>
      </c>
      <c r="P61" s="64">
        <v>0.69</v>
      </c>
      <c r="Q61" s="64">
        <v>8.74</v>
      </c>
      <c r="R61" s="198"/>
      <c r="S61" s="198"/>
      <c r="T61" s="198"/>
      <c r="U61" s="198"/>
    </row>
    <row r="62" spans="1:21" s="12" customFormat="1" x14ac:dyDescent="0.25">
      <c r="A62" s="214" t="s">
        <v>587</v>
      </c>
      <c r="B62" s="64">
        <v>2.71</v>
      </c>
      <c r="C62" s="64">
        <v>18.649999999999999</v>
      </c>
      <c r="D62" s="64">
        <v>13.75</v>
      </c>
      <c r="E62" s="64">
        <v>0.59</v>
      </c>
      <c r="F62" s="64">
        <v>2.0099999999999998</v>
      </c>
      <c r="G62" s="64">
        <v>52.19</v>
      </c>
      <c r="H62" s="64">
        <v>20.100000000000001</v>
      </c>
      <c r="I62" s="64">
        <v>1.5</v>
      </c>
      <c r="J62" s="64">
        <v>1.48</v>
      </c>
      <c r="K62" s="64">
        <v>323.86</v>
      </c>
      <c r="L62" s="64">
        <v>32.01</v>
      </c>
      <c r="M62" s="64">
        <v>39.1</v>
      </c>
      <c r="N62" s="64">
        <v>704.3</v>
      </c>
      <c r="O62" s="64">
        <v>0</v>
      </c>
      <c r="P62" s="64">
        <v>0.65</v>
      </c>
      <c r="Q62" s="64">
        <v>9.56</v>
      </c>
      <c r="R62" s="198"/>
      <c r="S62" s="198"/>
      <c r="T62" s="198"/>
      <c r="U62" s="198"/>
    </row>
    <row r="63" spans="1:21" s="12" customFormat="1" x14ac:dyDescent="0.25">
      <c r="A63" s="214" t="s">
        <v>588</v>
      </c>
      <c r="B63" s="64">
        <v>2.56</v>
      </c>
      <c r="C63" s="64">
        <v>17.75</v>
      </c>
      <c r="D63" s="64">
        <v>13.14</v>
      </c>
      <c r="E63" s="64">
        <v>1.95</v>
      </c>
      <c r="F63" s="64">
        <v>2.2200000000000002</v>
      </c>
      <c r="G63" s="64">
        <v>66.33</v>
      </c>
      <c r="H63" s="64">
        <v>18.38</v>
      </c>
      <c r="I63" s="64">
        <v>1.45</v>
      </c>
      <c r="J63" s="64">
        <v>0.46</v>
      </c>
      <c r="K63" s="64">
        <v>341.55</v>
      </c>
      <c r="L63" s="64">
        <v>31.36</v>
      </c>
      <c r="M63" s="64">
        <v>39.630000000000003</v>
      </c>
      <c r="N63" s="64">
        <v>642.70000000000005</v>
      </c>
      <c r="O63" s="64">
        <v>0</v>
      </c>
      <c r="P63" s="64">
        <v>0.63</v>
      </c>
      <c r="Q63" s="64">
        <v>8.86</v>
      </c>
      <c r="R63" s="198"/>
      <c r="S63" s="198"/>
      <c r="T63" s="198"/>
      <c r="U63" s="198"/>
    </row>
    <row r="64" spans="1:21" s="12" customFormat="1" x14ac:dyDescent="0.25">
      <c r="A64" s="214" t="s">
        <v>589</v>
      </c>
      <c r="B64" s="64">
        <v>2.5</v>
      </c>
      <c r="C64" s="64">
        <v>16.62</v>
      </c>
      <c r="D64" s="64">
        <v>12.47</v>
      </c>
      <c r="E64" s="64">
        <v>0.92</v>
      </c>
      <c r="F64" s="64">
        <v>2.0099999999999998</v>
      </c>
      <c r="G64" s="64">
        <v>66.33</v>
      </c>
      <c r="H64" s="64">
        <v>18.38</v>
      </c>
      <c r="I64" s="64">
        <v>1.54</v>
      </c>
      <c r="J64" s="64">
        <v>1.27</v>
      </c>
      <c r="K64" s="64">
        <v>320.89999999999998</v>
      </c>
      <c r="L64" s="64">
        <v>30.69</v>
      </c>
      <c r="M64" s="64">
        <v>39.74</v>
      </c>
      <c r="N64" s="64">
        <v>531.5</v>
      </c>
      <c r="O64" s="64">
        <v>0</v>
      </c>
      <c r="P64" s="64">
        <v>0.61</v>
      </c>
      <c r="Q64" s="64">
        <v>9.44</v>
      </c>
      <c r="R64" s="198"/>
      <c r="S64" s="198"/>
      <c r="T64" s="198"/>
      <c r="U64" s="198"/>
    </row>
    <row r="65" spans="1:21" s="12" customFormat="1" x14ac:dyDescent="0.25">
      <c r="A65" s="214" t="s">
        <v>590</v>
      </c>
      <c r="B65" s="64">
        <v>2.57</v>
      </c>
      <c r="C65" s="64">
        <v>16.72</v>
      </c>
      <c r="D65" s="64">
        <v>12.58</v>
      </c>
      <c r="E65" s="64">
        <v>0.56000000000000005</v>
      </c>
      <c r="F65" s="64">
        <v>1.83</v>
      </c>
      <c r="G65" s="64">
        <v>66.33</v>
      </c>
      <c r="H65" s="64">
        <v>18.38</v>
      </c>
      <c r="I65" s="64">
        <v>1.51</v>
      </c>
      <c r="J65" s="64">
        <v>2.19</v>
      </c>
      <c r="K65" s="64">
        <v>326.45999999999998</v>
      </c>
      <c r="L65" s="64">
        <v>30.52</v>
      </c>
      <c r="M65" s="64">
        <v>36.58</v>
      </c>
      <c r="N65" s="64">
        <v>283.5</v>
      </c>
      <c r="O65" s="64">
        <v>0</v>
      </c>
      <c r="P65" s="64">
        <v>0.57999999999999996</v>
      </c>
      <c r="Q65" s="64">
        <v>9.5299999999999994</v>
      </c>
      <c r="R65" s="198"/>
      <c r="S65" s="198"/>
      <c r="T65" s="198"/>
      <c r="U65" s="198"/>
    </row>
    <row r="66" spans="1:21" s="12" customFormat="1" x14ac:dyDescent="0.25">
      <c r="A66" s="214" t="s">
        <v>591</v>
      </c>
      <c r="B66" s="64">
        <v>2.5499999999999998</v>
      </c>
      <c r="C66" s="64">
        <v>16.2</v>
      </c>
      <c r="D66" s="64">
        <v>12.28</v>
      </c>
      <c r="E66" s="64">
        <v>0.66</v>
      </c>
      <c r="F66" s="64">
        <v>2.4500000000000002</v>
      </c>
      <c r="G66" s="64">
        <v>62.5</v>
      </c>
      <c r="H66" s="64">
        <v>17.38</v>
      </c>
      <c r="I66" s="64">
        <v>1.49</v>
      </c>
      <c r="J66" s="64">
        <v>1.93</v>
      </c>
      <c r="K66" s="64">
        <v>320.74</v>
      </c>
      <c r="L66" s="64">
        <v>30.15</v>
      </c>
      <c r="M66" s="64">
        <v>35.340000000000003</v>
      </c>
      <c r="N66" s="64">
        <v>189.4</v>
      </c>
      <c r="O66" s="64">
        <v>0</v>
      </c>
      <c r="P66" s="64">
        <v>0.56000000000000005</v>
      </c>
      <c r="Q66" s="64">
        <v>9.08</v>
      </c>
      <c r="R66" s="198"/>
      <c r="S66" s="198"/>
      <c r="T66" s="198"/>
      <c r="U66" s="198"/>
    </row>
    <row r="67" spans="1:21" s="12" customFormat="1" x14ac:dyDescent="0.25">
      <c r="A67" s="214" t="s">
        <v>592</v>
      </c>
      <c r="B67" s="64">
        <v>2.5299999999999998</v>
      </c>
      <c r="C67" s="64">
        <v>16.559999999999999</v>
      </c>
      <c r="D67" s="64">
        <v>12.46</v>
      </c>
      <c r="E67" s="64">
        <v>0.24</v>
      </c>
      <c r="F67" s="64">
        <v>2.25</v>
      </c>
      <c r="G67" s="64">
        <v>58.99</v>
      </c>
      <c r="H67" s="64">
        <v>16.940000000000001</v>
      </c>
      <c r="I67" s="64">
        <v>1.6</v>
      </c>
      <c r="J67" s="64">
        <v>2.0499999999999998</v>
      </c>
      <c r="K67" s="64">
        <v>319.83</v>
      </c>
      <c r="L67" s="64">
        <v>29.83</v>
      </c>
      <c r="M67" s="64">
        <v>34.93</v>
      </c>
      <c r="N67" s="64">
        <v>102.2</v>
      </c>
      <c r="O67" s="64">
        <v>0</v>
      </c>
      <c r="P67" s="64">
        <v>0.54</v>
      </c>
      <c r="Q67" s="64">
        <v>9.7200000000000006</v>
      </c>
      <c r="R67" s="198"/>
      <c r="S67" s="198"/>
      <c r="T67" s="198"/>
      <c r="U67" s="198"/>
    </row>
    <row r="68" spans="1:21" s="12" customFormat="1" x14ac:dyDescent="0.25">
      <c r="A68" s="214" t="s">
        <v>593</v>
      </c>
      <c r="B68" s="64">
        <v>2.78</v>
      </c>
      <c r="C68" s="64">
        <v>17.63</v>
      </c>
      <c r="D68" s="64">
        <v>13.25</v>
      </c>
      <c r="E68" s="64">
        <v>0.7</v>
      </c>
      <c r="F68" s="64">
        <v>2.3199999999999998</v>
      </c>
      <c r="G68" s="64">
        <v>58.99</v>
      </c>
      <c r="H68" s="64">
        <v>16.940000000000001</v>
      </c>
      <c r="I68" s="64">
        <v>1.5</v>
      </c>
      <c r="J68" s="64">
        <v>1.79</v>
      </c>
      <c r="K68" s="64">
        <v>325.2</v>
      </c>
      <c r="L68" s="64">
        <v>29.67</v>
      </c>
      <c r="M68" s="64">
        <v>35.44</v>
      </c>
      <c r="N68" s="64">
        <v>91.8</v>
      </c>
      <c r="O68" s="64">
        <v>0</v>
      </c>
      <c r="P68" s="64">
        <v>0.52</v>
      </c>
      <c r="Q68" s="64">
        <v>9.3699999999999992</v>
      </c>
      <c r="R68" s="198"/>
      <c r="S68" s="198"/>
      <c r="T68" s="198"/>
      <c r="U68" s="198"/>
    </row>
    <row r="69" spans="1:21" s="12" customFormat="1" x14ac:dyDescent="0.25">
      <c r="A69" s="214" t="s">
        <v>594</v>
      </c>
      <c r="B69" s="64">
        <v>2.92</v>
      </c>
      <c r="C69" s="64">
        <v>17.89</v>
      </c>
      <c r="D69" s="64">
        <v>13.51</v>
      </c>
      <c r="E69" s="64">
        <v>0.3</v>
      </c>
      <c r="F69" s="64">
        <v>1.94</v>
      </c>
      <c r="G69" s="64">
        <v>58.99</v>
      </c>
      <c r="H69" s="64">
        <v>16.940000000000001</v>
      </c>
      <c r="I69" s="64">
        <v>1.53</v>
      </c>
      <c r="J69" s="64">
        <v>1.52</v>
      </c>
      <c r="K69" s="64">
        <v>319.11</v>
      </c>
      <c r="L69" s="64">
        <v>29.67</v>
      </c>
      <c r="M69" s="64">
        <v>35.520000000000003</v>
      </c>
      <c r="N69" s="64">
        <v>84.6</v>
      </c>
      <c r="O69" s="64">
        <v>0</v>
      </c>
      <c r="P69" s="64">
        <v>0.51</v>
      </c>
      <c r="Q69" s="64">
        <v>8.58</v>
      </c>
      <c r="R69" s="198"/>
      <c r="S69" s="198"/>
      <c r="T69" s="198"/>
      <c r="U69" s="198"/>
    </row>
    <row r="70" spans="1:21" s="12" customFormat="1" x14ac:dyDescent="0.25">
      <c r="A70" s="214" t="s">
        <v>595</v>
      </c>
      <c r="B70" s="64">
        <v>2.95</v>
      </c>
      <c r="C70" s="64">
        <v>18.079999999999998</v>
      </c>
      <c r="D70" s="64">
        <v>13.64</v>
      </c>
      <c r="E70" s="64">
        <v>0.16</v>
      </c>
      <c r="F70" s="64">
        <v>1.84</v>
      </c>
      <c r="G70" s="64">
        <v>60.59</v>
      </c>
      <c r="H70" s="64">
        <v>18.12</v>
      </c>
      <c r="I70" s="64">
        <v>1.51</v>
      </c>
      <c r="J70" s="64">
        <v>1.69</v>
      </c>
      <c r="K70" s="64">
        <v>326.77</v>
      </c>
      <c r="L70" s="64">
        <v>29.37</v>
      </c>
      <c r="M70" s="64">
        <v>36.340000000000003</v>
      </c>
      <c r="N70" s="64">
        <v>77.5</v>
      </c>
      <c r="O70" s="64">
        <v>0</v>
      </c>
      <c r="P70" s="64">
        <v>0.5</v>
      </c>
      <c r="Q70" s="64">
        <v>8.49</v>
      </c>
      <c r="R70" s="198"/>
      <c r="S70" s="198"/>
      <c r="T70" s="198"/>
      <c r="U70" s="198"/>
    </row>
    <row r="71" spans="1:21" s="12" customFormat="1" x14ac:dyDescent="0.25">
      <c r="A71" s="214" t="s">
        <v>596</v>
      </c>
      <c r="B71" s="64">
        <v>2.91</v>
      </c>
      <c r="C71" s="64">
        <v>17.87</v>
      </c>
      <c r="D71" s="64">
        <v>13.48</v>
      </c>
      <c r="E71" s="64">
        <v>0.8</v>
      </c>
      <c r="F71" s="64">
        <v>1.78</v>
      </c>
      <c r="G71" s="64">
        <v>62.05</v>
      </c>
      <c r="H71" s="64">
        <v>18.62</v>
      </c>
      <c r="I71" s="64">
        <v>1.48</v>
      </c>
      <c r="J71" s="64">
        <v>1.27</v>
      </c>
      <c r="K71" s="64">
        <v>322.26</v>
      </c>
      <c r="L71" s="64">
        <v>29.09</v>
      </c>
      <c r="M71" s="64">
        <v>35.29</v>
      </c>
      <c r="N71" s="64">
        <v>69.900000000000006</v>
      </c>
      <c r="O71" s="64">
        <v>0</v>
      </c>
      <c r="P71" s="64">
        <v>0.49</v>
      </c>
      <c r="Q71" s="64">
        <v>8.52</v>
      </c>
      <c r="R71" s="198"/>
      <c r="S71" s="198"/>
      <c r="T71" s="198"/>
      <c r="U71" s="198"/>
    </row>
    <row r="72" spans="1:21" s="12" customFormat="1" x14ac:dyDescent="0.25">
      <c r="A72" s="214" t="s">
        <v>597</v>
      </c>
      <c r="B72" s="64">
        <v>2.84</v>
      </c>
      <c r="C72" s="64">
        <v>17.8</v>
      </c>
      <c r="D72" s="64">
        <v>13.39</v>
      </c>
      <c r="E72" s="64">
        <v>0.6</v>
      </c>
      <c r="F72" s="64">
        <v>1.75</v>
      </c>
      <c r="G72" s="64">
        <v>62.05</v>
      </c>
      <c r="H72" s="64">
        <v>18.62</v>
      </c>
      <c r="I72" s="64">
        <v>1.54</v>
      </c>
      <c r="J72" s="64">
        <v>1.36</v>
      </c>
      <c r="K72" s="64">
        <v>326.22000000000003</v>
      </c>
      <c r="L72" s="64">
        <v>28.9</v>
      </c>
      <c r="M72" s="64">
        <v>37.14</v>
      </c>
      <c r="N72" s="64">
        <v>65.3</v>
      </c>
      <c r="O72" s="64">
        <v>0</v>
      </c>
      <c r="P72" s="64">
        <v>0.48</v>
      </c>
      <c r="Q72" s="64">
        <v>9.0299999999999994</v>
      </c>
      <c r="R72" s="198"/>
      <c r="S72" s="198"/>
      <c r="T72" s="198"/>
      <c r="U72" s="198"/>
    </row>
    <row r="73" spans="1:21" s="12" customFormat="1" x14ac:dyDescent="0.25">
      <c r="A73" s="214" t="s">
        <v>598</v>
      </c>
      <c r="B73" s="64">
        <v>2.93</v>
      </c>
      <c r="C73" s="64">
        <v>17.420000000000002</v>
      </c>
      <c r="D73" s="64">
        <v>13.26</v>
      </c>
      <c r="E73" s="64">
        <v>1.77</v>
      </c>
      <c r="F73" s="64">
        <v>1.61</v>
      </c>
      <c r="G73" s="64">
        <v>62.05</v>
      </c>
      <c r="H73" s="64">
        <v>18.62</v>
      </c>
      <c r="I73" s="64">
        <v>1.5</v>
      </c>
      <c r="J73" s="64">
        <v>1.48</v>
      </c>
      <c r="K73" s="64">
        <v>323.2</v>
      </c>
      <c r="L73" s="64">
        <v>28.75</v>
      </c>
      <c r="M73" s="64">
        <v>38.799999999999997</v>
      </c>
      <c r="N73" s="64">
        <v>60.5</v>
      </c>
      <c r="O73" s="64">
        <v>0</v>
      </c>
      <c r="P73" s="64">
        <v>0.49</v>
      </c>
      <c r="Q73" s="64">
        <v>9.35</v>
      </c>
      <c r="R73" s="198"/>
      <c r="S73" s="198"/>
      <c r="T73" s="198"/>
      <c r="U73" s="198"/>
    </row>
    <row r="74" spans="1:21" s="12" customFormat="1" x14ac:dyDescent="0.25">
      <c r="A74" s="214" t="s">
        <v>599</v>
      </c>
      <c r="B74" s="64">
        <v>3.12</v>
      </c>
      <c r="C74" s="64">
        <v>18.07</v>
      </c>
      <c r="D74" s="64">
        <v>13.77</v>
      </c>
      <c r="E74" s="64">
        <v>0.95</v>
      </c>
      <c r="F74" s="64">
        <v>1.17</v>
      </c>
      <c r="G74" s="64">
        <v>65.34</v>
      </c>
      <c r="H74" s="64">
        <v>20.239999999999998</v>
      </c>
      <c r="I74" s="64">
        <v>1.55</v>
      </c>
      <c r="J74" s="64">
        <v>0.78</v>
      </c>
      <c r="K74" s="64">
        <v>322.83999999999997</v>
      </c>
      <c r="L74" s="64">
        <v>28.53</v>
      </c>
      <c r="M74" s="64">
        <v>41.58</v>
      </c>
      <c r="N74" s="64">
        <v>53.8</v>
      </c>
      <c r="O74" s="64">
        <v>0</v>
      </c>
      <c r="P74" s="64">
        <v>0.5</v>
      </c>
      <c r="Q74" s="64">
        <v>9.94</v>
      </c>
      <c r="R74" s="198"/>
      <c r="S74" s="198"/>
      <c r="T74" s="198"/>
      <c r="U74" s="198"/>
    </row>
    <row r="75" spans="1:21" s="12" customFormat="1" x14ac:dyDescent="0.25">
      <c r="A75" s="214" t="s">
        <v>600</v>
      </c>
      <c r="B75" s="64">
        <v>3.12</v>
      </c>
      <c r="C75" s="64">
        <v>17.39</v>
      </c>
      <c r="D75" s="64">
        <v>13.4</v>
      </c>
      <c r="E75" s="64">
        <v>0.9</v>
      </c>
      <c r="F75" s="64">
        <v>1.33</v>
      </c>
      <c r="G75" s="64">
        <v>68.34</v>
      </c>
      <c r="H75" s="64">
        <v>20.93</v>
      </c>
      <c r="I75" s="64">
        <v>1.59</v>
      </c>
      <c r="J75" s="64">
        <v>0.78</v>
      </c>
      <c r="K75" s="64">
        <v>326.81</v>
      </c>
      <c r="L75" s="64">
        <v>28.22</v>
      </c>
      <c r="M75" s="64">
        <v>43.64</v>
      </c>
      <c r="N75" s="64">
        <v>47.3</v>
      </c>
      <c r="O75" s="64">
        <v>0</v>
      </c>
      <c r="P75" s="64">
        <v>0.52</v>
      </c>
      <c r="Q75" s="64">
        <v>9.86</v>
      </c>
      <c r="R75" s="198"/>
      <c r="S75" s="198"/>
      <c r="T75" s="198"/>
      <c r="U75" s="198"/>
    </row>
    <row r="76" spans="1:21" s="12" customFormat="1" x14ac:dyDescent="0.25">
      <c r="A76" s="214" t="s">
        <v>601</v>
      </c>
      <c r="B76" s="64">
        <v>3.1</v>
      </c>
      <c r="C76" s="64">
        <v>17.62</v>
      </c>
      <c r="D76" s="64">
        <v>13.5</v>
      </c>
      <c r="E76" s="64">
        <v>0.55000000000000004</v>
      </c>
      <c r="F76" s="64">
        <v>1.1100000000000001</v>
      </c>
      <c r="G76" s="64">
        <v>68.34</v>
      </c>
      <c r="H76" s="64">
        <v>20.93</v>
      </c>
      <c r="I76" s="64">
        <v>1.53</v>
      </c>
      <c r="J76" s="64">
        <v>0.84</v>
      </c>
      <c r="K76" s="64">
        <v>328.95</v>
      </c>
      <c r="L76" s="64">
        <v>28.02</v>
      </c>
      <c r="M76" s="64">
        <v>42.92</v>
      </c>
      <c r="N76" s="64">
        <v>40.799999999999997</v>
      </c>
      <c r="O76" s="64">
        <v>0</v>
      </c>
      <c r="P76" s="64">
        <v>0.52</v>
      </c>
      <c r="Q76" s="64">
        <v>10.02</v>
      </c>
      <c r="R76" s="198"/>
      <c r="S76" s="198"/>
      <c r="T76" s="198"/>
      <c r="U76" s="198"/>
    </row>
    <row r="77" spans="1:21" s="12" customFormat="1" x14ac:dyDescent="0.25">
      <c r="A77" s="214" t="s">
        <v>602</v>
      </c>
      <c r="B77" s="64">
        <v>3.29</v>
      </c>
      <c r="C77" s="64">
        <v>17.16</v>
      </c>
      <c r="D77" s="64">
        <v>13.4</v>
      </c>
      <c r="E77" s="64">
        <v>1.1000000000000001</v>
      </c>
      <c r="F77" s="64">
        <v>1.28</v>
      </c>
      <c r="G77" s="64">
        <v>68.34</v>
      </c>
      <c r="H77" s="64">
        <v>20.93</v>
      </c>
      <c r="I77" s="64">
        <v>1.48</v>
      </c>
      <c r="J77" s="64">
        <v>0.52</v>
      </c>
      <c r="K77" s="64">
        <v>325.49</v>
      </c>
      <c r="L77" s="64">
        <v>27.71</v>
      </c>
      <c r="M77" s="64">
        <v>44.51</v>
      </c>
      <c r="N77" s="64">
        <v>31.2</v>
      </c>
      <c r="O77" s="64">
        <v>0</v>
      </c>
      <c r="P77" s="64">
        <v>0.56000000000000005</v>
      </c>
      <c r="Q77" s="64">
        <v>9.19</v>
      </c>
      <c r="R77" s="198"/>
      <c r="S77" s="198"/>
      <c r="T77" s="198"/>
      <c r="U77" s="198"/>
    </row>
    <row r="78" spans="1:21" s="12" customFormat="1" x14ac:dyDescent="0.25">
      <c r="A78" s="214" t="s">
        <v>603</v>
      </c>
      <c r="B78" s="64">
        <v>3.65</v>
      </c>
      <c r="C78" s="64">
        <v>17.72</v>
      </c>
      <c r="D78" s="64">
        <v>14</v>
      </c>
      <c r="E78" s="64">
        <v>1.04</v>
      </c>
      <c r="F78" s="64">
        <v>0.89</v>
      </c>
      <c r="G78" s="64">
        <v>66.150000000000006</v>
      </c>
      <c r="H78" s="64">
        <v>20.02</v>
      </c>
      <c r="I78" s="64">
        <v>1.46</v>
      </c>
      <c r="J78" s="64">
        <v>0.46</v>
      </c>
      <c r="K78" s="64">
        <v>329.27</v>
      </c>
      <c r="L78" s="64">
        <v>27.23</v>
      </c>
      <c r="M78" s="64">
        <v>45.38</v>
      </c>
      <c r="N78" s="64">
        <v>18.7</v>
      </c>
      <c r="O78" s="64">
        <v>0</v>
      </c>
      <c r="P78" s="64">
        <v>0.59</v>
      </c>
      <c r="Q78" s="64">
        <v>10.29</v>
      </c>
      <c r="R78" s="198"/>
      <c r="S78" s="198"/>
      <c r="T78" s="198"/>
      <c r="U78" s="198"/>
    </row>
    <row r="79" spans="1:21" s="12" customFormat="1" x14ac:dyDescent="0.25">
      <c r="A79" s="214" t="s">
        <v>604</v>
      </c>
      <c r="B79" s="64">
        <v>4.32</v>
      </c>
      <c r="C79" s="64">
        <v>18.329999999999998</v>
      </c>
      <c r="D79" s="64">
        <v>14.87</v>
      </c>
      <c r="E79" s="64">
        <v>1.42</v>
      </c>
      <c r="F79" s="64">
        <v>0.91</v>
      </c>
      <c r="G79" s="64">
        <v>64.150000000000006</v>
      </c>
      <c r="H79" s="64">
        <v>19.63</v>
      </c>
      <c r="I79" s="64">
        <v>1.54</v>
      </c>
      <c r="J79" s="64">
        <v>0.48</v>
      </c>
      <c r="K79" s="64">
        <v>331.13</v>
      </c>
      <c r="L79" s="64">
        <v>26.79</v>
      </c>
      <c r="M79" s="64">
        <v>46.75</v>
      </c>
      <c r="N79" s="64">
        <v>13</v>
      </c>
      <c r="O79" s="64">
        <v>0</v>
      </c>
      <c r="P79" s="64">
        <v>0.67</v>
      </c>
      <c r="Q79" s="64">
        <v>10.17</v>
      </c>
      <c r="R79" s="198"/>
      <c r="S79" s="198"/>
      <c r="T79" s="198"/>
      <c r="U79" s="198"/>
    </row>
    <row r="80" spans="1:21" s="12" customFormat="1" x14ac:dyDescent="0.25">
      <c r="A80" s="214" t="s">
        <v>605</v>
      </c>
      <c r="B80" s="64">
        <v>4.9000000000000004</v>
      </c>
      <c r="C80" s="64">
        <v>18.78</v>
      </c>
      <c r="D80" s="64">
        <v>15.59</v>
      </c>
      <c r="E80" s="64">
        <v>0.83</v>
      </c>
      <c r="F80" s="64">
        <v>0.7</v>
      </c>
      <c r="G80" s="64">
        <v>64.150000000000006</v>
      </c>
      <c r="H80" s="64">
        <v>19.63</v>
      </c>
      <c r="I80" s="64">
        <v>1.55</v>
      </c>
      <c r="J80" s="64">
        <v>0.63</v>
      </c>
      <c r="K80" s="64">
        <v>323.43</v>
      </c>
      <c r="L80" s="64">
        <v>26.45</v>
      </c>
      <c r="M80" s="64">
        <v>46.92</v>
      </c>
      <c r="N80" s="64">
        <v>9.1999999999999993</v>
      </c>
      <c r="O80" s="64">
        <v>0</v>
      </c>
      <c r="P80" s="64">
        <v>0.65</v>
      </c>
      <c r="Q80" s="64">
        <v>10.68</v>
      </c>
      <c r="R80" s="198"/>
      <c r="S80" s="198"/>
      <c r="T80" s="198"/>
      <c r="U80" s="198"/>
    </row>
    <row r="81" spans="1:26" s="12" customFormat="1" x14ac:dyDescent="0.25">
      <c r="A81" s="214" t="s">
        <v>606</v>
      </c>
      <c r="B81" s="64">
        <v>7.61</v>
      </c>
      <c r="C81" s="64">
        <v>32.06</v>
      </c>
      <c r="D81" s="64">
        <v>25.09</v>
      </c>
      <c r="E81" s="64">
        <v>1.29</v>
      </c>
      <c r="F81" s="64">
        <v>3.47</v>
      </c>
      <c r="G81" s="64">
        <v>64.150000000000006</v>
      </c>
      <c r="H81" s="64">
        <v>19.63</v>
      </c>
      <c r="I81" s="64">
        <v>1.45</v>
      </c>
      <c r="J81" s="64">
        <v>0.36</v>
      </c>
      <c r="K81" s="64">
        <v>322.82</v>
      </c>
      <c r="L81" s="64">
        <v>26.05</v>
      </c>
      <c r="M81" s="64">
        <v>48.43</v>
      </c>
      <c r="N81" s="64">
        <v>9.3000000000000007</v>
      </c>
      <c r="O81" s="64">
        <v>0</v>
      </c>
      <c r="P81" s="64">
        <v>1</v>
      </c>
      <c r="Q81" s="64">
        <v>10.63</v>
      </c>
      <c r="R81" s="198"/>
      <c r="S81" s="198"/>
      <c r="T81" s="198"/>
      <c r="U81" s="198"/>
    </row>
    <row r="82" spans="1:26" s="12" customFormat="1" x14ac:dyDescent="0.25">
      <c r="A82" s="214" t="s">
        <v>607</v>
      </c>
      <c r="B82" s="64">
        <v>7.37</v>
      </c>
      <c r="C82" s="64">
        <v>55.89</v>
      </c>
      <c r="D82" s="64">
        <v>38.049999999999997</v>
      </c>
      <c r="E82" s="64">
        <v>1.29</v>
      </c>
      <c r="F82" s="64">
        <v>2.2999999999999998</v>
      </c>
      <c r="G82" s="64">
        <v>61.41</v>
      </c>
      <c r="H82" s="64">
        <v>19.7</v>
      </c>
      <c r="I82" s="64">
        <v>1.44</v>
      </c>
      <c r="J82" s="64">
        <v>0.36</v>
      </c>
      <c r="K82" s="64">
        <v>330.5</v>
      </c>
      <c r="L82" s="64">
        <v>25.75</v>
      </c>
      <c r="M82" s="64">
        <v>50.66</v>
      </c>
      <c r="N82" s="64">
        <v>9</v>
      </c>
      <c r="O82" s="64">
        <v>0</v>
      </c>
      <c r="P82" s="64">
        <v>1.21</v>
      </c>
      <c r="Q82" s="64">
        <v>11.98</v>
      </c>
      <c r="R82" s="198"/>
      <c r="S82" s="198"/>
      <c r="T82" s="198"/>
      <c r="U82" s="198"/>
    </row>
    <row r="83" spans="1:26" s="12" customFormat="1" x14ac:dyDescent="0.25">
      <c r="A83" s="214" t="s">
        <v>608</v>
      </c>
      <c r="B83" s="64">
        <v>5.62</v>
      </c>
      <c r="C83" s="64">
        <v>50.76</v>
      </c>
      <c r="D83" s="64">
        <v>33.81</v>
      </c>
      <c r="E83" s="64">
        <v>1.36</v>
      </c>
      <c r="F83" s="64">
        <v>1.18</v>
      </c>
      <c r="G83" s="64">
        <v>58.9</v>
      </c>
      <c r="H83" s="64">
        <v>19.75</v>
      </c>
      <c r="I83" s="64">
        <v>1.5</v>
      </c>
      <c r="J83" s="64">
        <v>0.36</v>
      </c>
      <c r="K83" s="64">
        <v>336.15</v>
      </c>
      <c r="L83" s="64">
        <v>25.56</v>
      </c>
      <c r="M83" s="64">
        <v>51.3</v>
      </c>
      <c r="N83" s="64">
        <v>9</v>
      </c>
      <c r="O83" s="64">
        <v>0</v>
      </c>
      <c r="P83" s="64">
        <v>1.19</v>
      </c>
      <c r="Q83" s="64">
        <v>11.74</v>
      </c>
      <c r="R83" s="198"/>
      <c r="S83" s="198"/>
      <c r="T83" s="198"/>
      <c r="U83" s="198"/>
    </row>
    <row r="84" spans="1:26" s="12" customFormat="1" x14ac:dyDescent="0.25">
      <c r="A84" s="214" t="s">
        <v>609</v>
      </c>
      <c r="B84" s="64">
        <v>5.35</v>
      </c>
      <c r="C84" s="64">
        <v>42.86</v>
      </c>
      <c r="D84" s="64">
        <v>29.24</v>
      </c>
      <c r="E84" s="64">
        <v>1.34</v>
      </c>
      <c r="F84" s="64">
        <v>0.98</v>
      </c>
      <c r="G84" s="64">
        <v>58.9</v>
      </c>
      <c r="H84" s="64">
        <v>19.75</v>
      </c>
      <c r="I84" s="64">
        <v>1.51</v>
      </c>
      <c r="J84" s="64">
        <v>0.35</v>
      </c>
      <c r="K84" s="64">
        <v>328.49</v>
      </c>
      <c r="L84" s="64">
        <v>25.19</v>
      </c>
      <c r="M84" s="64">
        <v>51.79</v>
      </c>
      <c r="N84" s="64">
        <v>9</v>
      </c>
      <c r="O84" s="64">
        <v>0</v>
      </c>
      <c r="P84" s="64">
        <v>1.2</v>
      </c>
      <c r="Q84" s="64">
        <v>11.29</v>
      </c>
      <c r="R84" s="198"/>
      <c r="S84" s="198"/>
      <c r="T84" s="198"/>
      <c r="U84" s="198"/>
    </row>
    <row r="85" spans="1:26" s="12" customFormat="1" x14ac:dyDescent="0.25">
      <c r="A85" s="214" t="s">
        <v>610</v>
      </c>
      <c r="B85" s="64">
        <v>5.41</v>
      </c>
      <c r="C85" s="64">
        <v>35.47</v>
      </c>
      <c r="D85" s="64">
        <v>25.21</v>
      </c>
      <c r="E85" s="64">
        <v>1.68</v>
      </c>
      <c r="F85" s="64">
        <v>1.08</v>
      </c>
      <c r="G85" s="64">
        <v>58.9</v>
      </c>
      <c r="H85" s="64">
        <v>19.75</v>
      </c>
      <c r="I85" s="64">
        <v>1.42</v>
      </c>
      <c r="J85" s="64">
        <v>0.55000000000000004</v>
      </c>
      <c r="K85" s="64">
        <v>328.99</v>
      </c>
      <c r="L85" s="64">
        <v>24.92</v>
      </c>
      <c r="M85" s="64">
        <v>50.6</v>
      </c>
      <c r="N85" s="64">
        <v>8.6999999999999993</v>
      </c>
      <c r="O85" s="64">
        <v>0</v>
      </c>
      <c r="P85" s="64">
        <v>1.05</v>
      </c>
      <c r="Q85" s="64">
        <v>11.02</v>
      </c>
      <c r="R85" s="198"/>
      <c r="S85" s="198"/>
      <c r="T85" s="198"/>
      <c r="U85" s="198"/>
    </row>
    <row r="86" spans="1:26" s="12" customFormat="1" x14ac:dyDescent="0.25">
      <c r="A86" s="214" t="s">
        <v>611</v>
      </c>
      <c r="B86" s="64">
        <v>5.3</v>
      </c>
      <c r="C86" s="64">
        <v>31.76</v>
      </c>
      <c r="D86" s="64">
        <v>23.06</v>
      </c>
      <c r="E86" s="64">
        <v>1.1299999999999999</v>
      </c>
      <c r="F86" s="64">
        <v>0.91</v>
      </c>
      <c r="G86" s="64">
        <v>71.260000000000005</v>
      </c>
      <c r="H86" s="64">
        <v>19.88</v>
      </c>
      <c r="I86" s="64">
        <v>1.5</v>
      </c>
      <c r="J86" s="64">
        <v>0.46</v>
      </c>
      <c r="K86" s="64">
        <v>322.12</v>
      </c>
      <c r="L86" s="64">
        <v>24.65</v>
      </c>
      <c r="M86" s="64">
        <v>50.9</v>
      </c>
      <c r="N86" s="64">
        <v>8.8000000000000007</v>
      </c>
      <c r="O86" s="64">
        <v>0</v>
      </c>
      <c r="P86" s="64">
        <v>1.1200000000000001</v>
      </c>
      <c r="Q86" s="64">
        <v>11.15</v>
      </c>
      <c r="R86" s="198"/>
      <c r="S86" s="198"/>
      <c r="T86" s="198"/>
      <c r="U86" s="198"/>
    </row>
    <row r="87" spans="1:26" s="12" customFormat="1" x14ac:dyDescent="0.25">
      <c r="A87" s="214" t="s">
        <v>612</v>
      </c>
      <c r="B87" s="64">
        <v>5.54</v>
      </c>
      <c r="C87" s="64">
        <v>28.97</v>
      </c>
      <c r="D87" s="64">
        <v>21.72</v>
      </c>
      <c r="E87" s="64">
        <v>1.1599999999999999</v>
      </c>
      <c r="F87" s="64">
        <v>0.34</v>
      </c>
      <c r="G87" s="64">
        <v>82.56</v>
      </c>
      <c r="H87" s="64">
        <v>19.93</v>
      </c>
      <c r="I87" s="64">
        <v>1.48</v>
      </c>
      <c r="J87" s="64">
        <v>0.37</v>
      </c>
      <c r="K87" s="64">
        <v>332.71</v>
      </c>
      <c r="L87" s="64">
        <v>24.5</v>
      </c>
      <c r="M87" s="64">
        <v>50.49</v>
      </c>
      <c r="N87" s="64">
        <v>8.9</v>
      </c>
      <c r="O87" s="64">
        <v>0</v>
      </c>
      <c r="P87" s="64">
        <v>1.1200000000000001</v>
      </c>
      <c r="Q87" s="64">
        <v>11.39</v>
      </c>
      <c r="R87" s="198"/>
      <c r="S87" s="198"/>
      <c r="T87" s="198"/>
      <c r="U87" s="198"/>
    </row>
    <row r="88" spans="1:26" s="12" customFormat="1" x14ac:dyDescent="0.25">
      <c r="A88" s="214" t="s">
        <v>613</v>
      </c>
      <c r="B88" s="64">
        <v>5.55</v>
      </c>
      <c r="C88" s="64">
        <v>26.09</v>
      </c>
      <c r="D88" s="64">
        <v>20.14</v>
      </c>
      <c r="E88" s="64">
        <v>0.18</v>
      </c>
      <c r="F88" s="64">
        <v>0.73</v>
      </c>
      <c r="G88" s="64">
        <v>82.56</v>
      </c>
      <c r="H88" s="64">
        <v>19.93</v>
      </c>
      <c r="I88" s="64">
        <v>1.39</v>
      </c>
      <c r="J88" s="64">
        <v>0.55000000000000004</v>
      </c>
      <c r="K88" s="64">
        <v>318.79000000000002</v>
      </c>
      <c r="L88" s="64">
        <v>24.33</v>
      </c>
      <c r="M88" s="64">
        <v>51.27</v>
      </c>
      <c r="N88" s="64">
        <v>8.5</v>
      </c>
      <c r="O88" s="64">
        <v>0</v>
      </c>
      <c r="P88" s="64">
        <v>1.1000000000000001</v>
      </c>
      <c r="Q88" s="64">
        <v>11.54</v>
      </c>
      <c r="R88" s="198"/>
      <c r="S88" s="198"/>
      <c r="T88" s="198"/>
      <c r="U88" s="198"/>
    </row>
    <row r="89" spans="1:26" s="12" customFormat="1" x14ac:dyDescent="0.25">
      <c r="A89" s="214" t="s">
        <v>614</v>
      </c>
      <c r="B89" s="64">
        <v>5.21</v>
      </c>
      <c r="C89" s="64">
        <v>24.67</v>
      </c>
      <c r="D89" s="64">
        <v>19.09</v>
      </c>
      <c r="E89" s="64">
        <v>0.71</v>
      </c>
      <c r="F89" s="64">
        <v>0.56999999999999995</v>
      </c>
      <c r="G89" s="64">
        <v>82.56</v>
      </c>
      <c r="H89" s="64">
        <v>19.93</v>
      </c>
      <c r="I89" s="64">
        <v>1.51</v>
      </c>
      <c r="J89" s="64">
        <v>0.24</v>
      </c>
      <c r="K89" s="64">
        <v>343.56</v>
      </c>
      <c r="L89" s="64">
        <v>24.18</v>
      </c>
      <c r="M89" s="64">
        <v>52.74</v>
      </c>
      <c r="N89" s="64">
        <v>9</v>
      </c>
      <c r="O89" s="64">
        <v>0</v>
      </c>
      <c r="P89" s="64">
        <v>1.08</v>
      </c>
      <c r="Q89" s="64">
        <v>11.5</v>
      </c>
      <c r="R89" s="198"/>
      <c r="S89" s="198"/>
      <c r="T89" s="198"/>
      <c r="U89" s="198"/>
    </row>
    <row r="90" spans="1:26" s="12" customFormat="1" x14ac:dyDescent="0.25">
      <c r="A90" s="214" t="s">
        <v>615</v>
      </c>
      <c r="B90" s="64">
        <v>5.41</v>
      </c>
      <c r="C90" s="64">
        <v>23.03</v>
      </c>
      <c r="D90" s="64">
        <v>18.34</v>
      </c>
      <c r="E90" s="64">
        <v>0.9</v>
      </c>
      <c r="F90" s="64">
        <v>0.45</v>
      </c>
      <c r="G90" s="64">
        <v>86.95</v>
      </c>
      <c r="H90" s="64">
        <v>20.12</v>
      </c>
      <c r="I90" s="64">
        <v>1.46</v>
      </c>
      <c r="J90" s="64">
        <v>0.15</v>
      </c>
      <c r="K90" s="64">
        <v>6.19</v>
      </c>
      <c r="L90" s="64">
        <v>24.02</v>
      </c>
      <c r="M90" s="64">
        <v>55.02</v>
      </c>
      <c r="N90" s="64">
        <v>9.1</v>
      </c>
      <c r="O90" s="64">
        <v>0</v>
      </c>
      <c r="P90" s="64">
        <v>1.1000000000000001</v>
      </c>
      <c r="Q90" s="64">
        <v>11.17</v>
      </c>
      <c r="R90" s="198"/>
      <c r="S90" s="198"/>
      <c r="T90" s="198"/>
      <c r="U90" s="198"/>
    </row>
    <row r="91" spans="1:26" s="12" customFormat="1" x14ac:dyDescent="0.25">
      <c r="A91" s="214" t="s">
        <v>616</v>
      </c>
      <c r="B91" s="64">
        <v>5.78</v>
      </c>
      <c r="C91" s="64">
        <v>22.41</v>
      </c>
      <c r="D91" s="64">
        <v>18.29</v>
      </c>
      <c r="E91" s="64">
        <v>0.96</v>
      </c>
      <c r="F91" s="64">
        <v>0.61</v>
      </c>
      <c r="G91" s="64">
        <v>90.97</v>
      </c>
      <c r="H91" s="64">
        <v>20.2</v>
      </c>
      <c r="I91" s="64">
        <v>1.52</v>
      </c>
      <c r="J91" s="64">
        <v>0.11</v>
      </c>
      <c r="K91" s="64">
        <v>318.58999999999997</v>
      </c>
      <c r="L91" s="64">
        <v>23.56</v>
      </c>
      <c r="M91" s="64">
        <v>57.76</v>
      </c>
      <c r="N91" s="64">
        <v>9.1999999999999993</v>
      </c>
      <c r="O91" s="64">
        <v>0</v>
      </c>
      <c r="P91" s="64">
        <v>1.1200000000000001</v>
      </c>
      <c r="Q91" s="64">
        <v>10.89</v>
      </c>
      <c r="R91" s="198"/>
      <c r="S91" s="198"/>
      <c r="T91" s="198"/>
      <c r="U91" s="198"/>
    </row>
    <row r="92" spans="1:26" s="12" customFormat="1" x14ac:dyDescent="0.25">
      <c r="A92" s="214" t="s">
        <v>617</v>
      </c>
      <c r="B92" s="64">
        <v>6.95</v>
      </c>
      <c r="C92" s="64">
        <v>21.23</v>
      </c>
      <c r="D92" s="64">
        <v>18.579999999999998</v>
      </c>
      <c r="E92" s="64">
        <v>0.72</v>
      </c>
      <c r="F92" s="64">
        <v>0.38</v>
      </c>
      <c r="G92" s="64">
        <v>90.97</v>
      </c>
      <c r="H92" s="64">
        <v>20.2</v>
      </c>
      <c r="I92" s="64">
        <v>1.54</v>
      </c>
      <c r="J92" s="64">
        <v>0.06</v>
      </c>
      <c r="K92" s="64">
        <v>314.58</v>
      </c>
      <c r="L92" s="64">
        <v>23.16</v>
      </c>
      <c r="M92" s="64">
        <v>59.13</v>
      </c>
      <c r="N92" s="64">
        <v>9.1</v>
      </c>
      <c r="O92" s="64">
        <v>0</v>
      </c>
      <c r="P92" s="64">
        <v>1.21</v>
      </c>
      <c r="Q92" s="64">
        <v>11.48</v>
      </c>
      <c r="R92" s="198"/>
      <c r="S92" s="198"/>
      <c r="T92" s="198"/>
      <c r="U92" s="198"/>
    </row>
    <row r="93" spans="1:26" s="12" customFormat="1" x14ac:dyDescent="0.25">
      <c r="A93" s="214" t="s">
        <v>618</v>
      </c>
      <c r="B93" s="64">
        <v>8.35</v>
      </c>
      <c r="C93" s="64">
        <v>19.82</v>
      </c>
      <c r="D93" s="64">
        <v>18.93</v>
      </c>
      <c r="E93" s="64">
        <v>0.71</v>
      </c>
      <c r="F93" s="64">
        <v>0.42</v>
      </c>
      <c r="G93" s="64">
        <v>90.97</v>
      </c>
      <c r="H93" s="64">
        <v>20.2</v>
      </c>
      <c r="I93" s="64">
        <v>1.48</v>
      </c>
      <c r="J93" s="64">
        <v>7.0000000000000007E-2</v>
      </c>
      <c r="K93" s="64">
        <v>318.62</v>
      </c>
      <c r="L93" s="64">
        <v>23.14</v>
      </c>
      <c r="M93" s="64">
        <v>60.48</v>
      </c>
      <c r="N93" s="64">
        <v>8.8000000000000007</v>
      </c>
      <c r="O93" s="64">
        <v>0</v>
      </c>
      <c r="P93" s="64">
        <v>1.18</v>
      </c>
      <c r="Q93" s="64">
        <v>11.38</v>
      </c>
      <c r="R93" s="198"/>
      <c r="S93" s="198"/>
      <c r="T93" s="198"/>
      <c r="U93" s="198"/>
    </row>
    <row r="94" spans="1:26" s="12" customFormat="1" x14ac:dyDescent="0.25">
      <c r="A94" s="214" t="s">
        <v>619</v>
      </c>
      <c r="B94" s="64">
        <v>9.3800000000000008</v>
      </c>
      <c r="C94" s="64">
        <v>19.02</v>
      </c>
      <c r="D94" s="64">
        <v>19.309999999999999</v>
      </c>
      <c r="E94" s="64">
        <v>0.81</v>
      </c>
      <c r="F94" s="64">
        <v>0.38</v>
      </c>
      <c r="G94" s="64">
        <v>97.19</v>
      </c>
      <c r="H94" s="64">
        <v>24.93</v>
      </c>
      <c r="I94" s="64">
        <v>1.5</v>
      </c>
      <c r="J94" s="64">
        <v>0.02</v>
      </c>
      <c r="K94" s="64">
        <v>295.14</v>
      </c>
      <c r="L94" s="64">
        <v>23.1</v>
      </c>
      <c r="M94" s="64">
        <v>64.69</v>
      </c>
      <c r="N94" s="64">
        <v>8.6999999999999993</v>
      </c>
      <c r="O94" s="64">
        <v>0</v>
      </c>
      <c r="P94" s="64">
        <v>1.1599999999999999</v>
      </c>
      <c r="Q94" s="64">
        <v>11.62</v>
      </c>
      <c r="R94" s="198"/>
      <c r="S94" s="198"/>
      <c r="T94" s="198"/>
      <c r="U94" s="198"/>
    </row>
    <row r="95" spans="1:26" s="12" customFormat="1" x14ac:dyDescent="0.25">
      <c r="A95" s="214" t="s">
        <v>620</v>
      </c>
      <c r="B95" s="64">
        <v>9.61</v>
      </c>
      <c r="C95" s="64">
        <v>18.420000000000002</v>
      </c>
      <c r="D95" s="64">
        <v>19.170000000000002</v>
      </c>
      <c r="E95" s="64">
        <v>0.59</v>
      </c>
      <c r="F95" s="64">
        <v>0.35</v>
      </c>
      <c r="G95" s="64">
        <v>102.88</v>
      </c>
      <c r="H95" s="64">
        <v>26.94</v>
      </c>
      <c r="I95" s="64">
        <v>1.5</v>
      </c>
      <c r="J95" s="64">
        <v>0.05</v>
      </c>
      <c r="K95" s="64">
        <v>18.09</v>
      </c>
      <c r="L95" s="64">
        <v>22.92</v>
      </c>
      <c r="M95" s="64">
        <v>69.069999999999993</v>
      </c>
      <c r="N95" s="64">
        <v>8.6999999999999993</v>
      </c>
      <c r="O95" s="64">
        <v>0</v>
      </c>
      <c r="P95" s="64">
        <v>1.1499999999999999</v>
      </c>
      <c r="Q95" s="64">
        <v>12.02</v>
      </c>
      <c r="R95" s="198"/>
      <c r="S95" s="198"/>
      <c r="T95" s="198"/>
      <c r="U95" s="198"/>
    </row>
    <row r="96" spans="1:26" s="12" customFormat="1" x14ac:dyDescent="0.25">
      <c r="A96" s="214" t="s">
        <v>621</v>
      </c>
      <c r="B96" s="64">
        <v>9.49</v>
      </c>
      <c r="C96" s="64">
        <v>18.34</v>
      </c>
      <c r="D96" s="64">
        <v>19.02</v>
      </c>
      <c r="E96" s="64">
        <v>1.49</v>
      </c>
      <c r="F96" s="64">
        <v>0.43</v>
      </c>
      <c r="G96" s="64">
        <v>102.88</v>
      </c>
      <c r="H96" s="64">
        <v>26.94</v>
      </c>
      <c r="I96" s="64">
        <v>1.46</v>
      </c>
      <c r="J96" s="64">
        <v>0.04</v>
      </c>
      <c r="K96" s="64">
        <v>267.89</v>
      </c>
      <c r="L96" s="64">
        <v>22.6</v>
      </c>
      <c r="M96" s="64">
        <v>74.760000000000005</v>
      </c>
      <c r="N96" s="64">
        <v>8.8000000000000007</v>
      </c>
      <c r="O96" s="64">
        <v>0</v>
      </c>
      <c r="P96" s="64">
        <v>1.17</v>
      </c>
      <c r="Q96" s="64">
        <v>12.09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622</v>
      </c>
      <c r="B97" s="64">
        <v>9.33</v>
      </c>
      <c r="C97" s="64">
        <v>18.52</v>
      </c>
      <c r="D97" s="64">
        <v>19</v>
      </c>
      <c r="E97" s="64">
        <v>0.73</v>
      </c>
      <c r="F97" s="64">
        <v>0.34</v>
      </c>
      <c r="G97" s="64">
        <v>102.88</v>
      </c>
      <c r="H97" s="64">
        <v>26.94</v>
      </c>
      <c r="I97" s="64">
        <v>1.56</v>
      </c>
      <c r="J97" s="64">
        <v>0.08</v>
      </c>
      <c r="K97" s="64">
        <v>8.73</v>
      </c>
      <c r="L97" s="64">
        <v>22.36</v>
      </c>
      <c r="M97" s="64">
        <v>76.930000000000007</v>
      </c>
      <c r="N97" s="64">
        <v>8.8000000000000007</v>
      </c>
      <c r="O97" s="64">
        <v>0</v>
      </c>
      <c r="P97" s="64">
        <v>1.1599999999999999</v>
      </c>
      <c r="Q97" s="64">
        <v>11.94</v>
      </c>
      <c r="R97" s="198"/>
      <c r="S97" s="198"/>
      <c r="T97" s="198"/>
      <c r="U97" s="198"/>
    </row>
    <row r="98" spans="1:33" s="12" customFormat="1" x14ac:dyDescent="0.25">
      <c r="A98" s="214" t="s">
        <v>623</v>
      </c>
      <c r="B98" s="64">
        <v>9.41</v>
      </c>
      <c r="C98" s="64">
        <v>17.260000000000002</v>
      </c>
      <c r="D98" s="64">
        <v>18.36</v>
      </c>
      <c r="E98" s="64">
        <v>1.03</v>
      </c>
      <c r="F98" s="64">
        <v>0.23</v>
      </c>
      <c r="G98" s="64">
        <v>98.45</v>
      </c>
      <c r="H98" s="64">
        <v>27.07</v>
      </c>
      <c r="I98" s="64">
        <v>1.58</v>
      </c>
      <c r="J98" s="64">
        <v>0.04</v>
      </c>
      <c r="K98" s="64">
        <v>7.21</v>
      </c>
      <c r="L98" s="64">
        <v>22.33</v>
      </c>
      <c r="M98" s="64">
        <v>76.599999999999994</v>
      </c>
      <c r="N98" s="64">
        <v>8.6</v>
      </c>
      <c r="O98" s="64">
        <v>0</v>
      </c>
      <c r="P98" s="64">
        <v>1.17</v>
      </c>
      <c r="Q98" s="64">
        <v>11.96</v>
      </c>
      <c r="R98" s="198"/>
      <c r="S98" s="198"/>
      <c r="T98" s="198"/>
      <c r="U98" s="198"/>
    </row>
    <row r="99" spans="1:33" s="12" customFormat="1" x14ac:dyDescent="0.25">
      <c r="A99" s="214" t="s">
        <v>624</v>
      </c>
      <c r="B99" s="64">
        <v>9.35</v>
      </c>
      <c r="C99" s="64">
        <v>16.62</v>
      </c>
      <c r="D99" s="64">
        <v>17.96</v>
      </c>
      <c r="E99" s="64">
        <v>1</v>
      </c>
      <c r="F99" s="64">
        <v>0.44</v>
      </c>
      <c r="G99" s="64">
        <v>94.4</v>
      </c>
      <c r="H99" s="64">
        <v>27.12</v>
      </c>
      <c r="I99" s="64">
        <v>1.43</v>
      </c>
      <c r="J99" s="64">
        <v>0.01</v>
      </c>
      <c r="K99" s="64">
        <v>239.63</v>
      </c>
      <c r="L99" s="64">
        <v>22.25</v>
      </c>
      <c r="M99" s="64">
        <v>76.61</v>
      </c>
      <c r="N99" s="64">
        <v>8.6</v>
      </c>
      <c r="O99" s="64">
        <v>0</v>
      </c>
      <c r="P99" s="64">
        <v>1.18</v>
      </c>
      <c r="Q99" s="64">
        <v>11.85</v>
      </c>
      <c r="R99" s="198"/>
      <c r="S99" s="198"/>
      <c r="T99" s="198"/>
      <c r="U99" s="198"/>
    </row>
    <row r="100" spans="1:33" s="12" customFormat="1" x14ac:dyDescent="0.25">
      <c r="A100" s="214" t="s">
        <v>625</v>
      </c>
      <c r="B100" s="64">
        <v>9.19</v>
      </c>
      <c r="C100" s="64">
        <v>16.25</v>
      </c>
      <c r="D100" s="64">
        <v>17.63</v>
      </c>
      <c r="E100" s="64">
        <v>0.63</v>
      </c>
      <c r="F100" s="64">
        <v>0.31</v>
      </c>
      <c r="G100" s="64">
        <v>94.4</v>
      </c>
      <c r="H100" s="64">
        <v>27.12</v>
      </c>
      <c r="I100" s="64">
        <v>1.58</v>
      </c>
      <c r="J100" s="64">
        <v>0.03</v>
      </c>
      <c r="K100" s="64">
        <v>331.06</v>
      </c>
      <c r="L100" s="64">
        <v>22.01</v>
      </c>
      <c r="M100" s="64">
        <v>79.400000000000006</v>
      </c>
      <c r="N100" s="64">
        <v>8.6999999999999993</v>
      </c>
      <c r="O100" s="64">
        <v>0</v>
      </c>
      <c r="P100" s="64">
        <v>1.18</v>
      </c>
      <c r="Q100" s="64">
        <v>12.18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626</v>
      </c>
      <c r="B101" s="64">
        <v>8.99</v>
      </c>
      <c r="C101" s="64">
        <v>15.63</v>
      </c>
      <c r="D101" s="64">
        <v>17.13</v>
      </c>
      <c r="E101" s="64">
        <v>1.08</v>
      </c>
      <c r="F101" s="64">
        <v>0.18</v>
      </c>
      <c r="G101" s="64">
        <v>94.4</v>
      </c>
      <c r="H101" s="64">
        <v>27.12</v>
      </c>
      <c r="I101" s="64">
        <v>1.52</v>
      </c>
      <c r="J101" s="64">
        <v>0.02</v>
      </c>
      <c r="K101" s="64">
        <v>352.56</v>
      </c>
      <c r="L101" s="64">
        <v>21.75</v>
      </c>
      <c r="M101" s="64">
        <v>82.1</v>
      </c>
      <c r="N101" s="64">
        <v>8.8000000000000007</v>
      </c>
      <c r="O101" s="64">
        <v>0</v>
      </c>
      <c r="P101" s="64">
        <v>1.2</v>
      </c>
      <c r="Q101" s="64">
        <v>12.41</v>
      </c>
      <c r="R101" s="198"/>
      <c r="S101" s="198"/>
      <c r="T101" s="198"/>
      <c r="U101" s="198"/>
    </row>
    <row r="102" spans="1:33" s="12" customFormat="1" x14ac:dyDescent="0.25">
      <c r="A102" s="214" t="s">
        <v>627</v>
      </c>
      <c r="B102" s="64">
        <v>8.81</v>
      </c>
      <c r="C102" s="64">
        <v>14.82</v>
      </c>
      <c r="D102" s="64">
        <v>16.53</v>
      </c>
      <c r="E102" s="64">
        <v>1.35</v>
      </c>
      <c r="F102" s="64">
        <v>0.62</v>
      </c>
      <c r="G102" s="64">
        <v>95</v>
      </c>
      <c r="H102" s="64">
        <v>29.83</v>
      </c>
      <c r="I102" s="64">
        <v>1.58</v>
      </c>
      <c r="J102" s="64">
        <v>0.14000000000000001</v>
      </c>
      <c r="K102" s="64">
        <v>16.03</v>
      </c>
      <c r="L102" s="64">
        <v>21.6</v>
      </c>
      <c r="M102" s="64">
        <v>83.26</v>
      </c>
      <c r="N102" s="64">
        <v>8.6999999999999993</v>
      </c>
      <c r="O102" s="64">
        <v>0</v>
      </c>
      <c r="P102" s="64">
        <v>1.2</v>
      </c>
      <c r="Q102" s="64">
        <v>12.17</v>
      </c>
      <c r="R102" s="198"/>
      <c r="S102" s="198"/>
      <c r="T102" s="198"/>
      <c r="U102" s="198"/>
    </row>
    <row r="103" spans="1:33" s="12" customFormat="1" x14ac:dyDescent="0.25">
      <c r="A103" s="214" t="s">
        <v>628</v>
      </c>
      <c r="B103" s="64">
        <v>8.34</v>
      </c>
      <c r="C103" s="64">
        <v>15.12</v>
      </c>
      <c r="D103" s="64">
        <v>16.329999999999998</v>
      </c>
      <c r="E103" s="64">
        <v>1.3</v>
      </c>
      <c r="F103" s="64">
        <v>0.43</v>
      </c>
      <c r="G103" s="64">
        <v>95.55</v>
      </c>
      <c r="H103" s="64">
        <v>30.98</v>
      </c>
      <c r="I103" s="64">
        <v>1.48</v>
      </c>
      <c r="J103" s="64">
        <v>0.1</v>
      </c>
      <c r="K103" s="64">
        <v>1.59</v>
      </c>
      <c r="L103" s="64">
        <v>21.64</v>
      </c>
      <c r="M103" s="64">
        <v>83.29</v>
      </c>
      <c r="N103" s="64">
        <v>8.5</v>
      </c>
      <c r="O103" s="64">
        <v>0</v>
      </c>
      <c r="P103" s="64">
        <v>1.24</v>
      </c>
      <c r="Q103" s="64">
        <v>13.09</v>
      </c>
      <c r="R103" s="198"/>
      <c r="S103" s="198"/>
      <c r="T103" s="198"/>
      <c r="U103" s="198"/>
    </row>
    <row r="104" spans="1:33" s="12" customFormat="1" x14ac:dyDescent="0.25">
      <c r="A104" s="214" t="s">
        <v>629</v>
      </c>
      <c r="B104" s="64">
        <v>8.01</v>
      </c>
      <c r="C104" s="64">
        <v>15.21</v>
      </c>
      <c r="D104" s="64">
        <v>16.11</v>
      </c>
      <c r="E104" s="64">
        <v>0.57999999999999996</v>
      </c>
      <c r="F104" s="64">
        <v>0.32</v>
      </c>
      <c r="G104" s="64">
        <v>95.55</v>
      </c>
      <c r="H104" s="64">
        <v>30.98</v>
      </c>
      <c r="I104" s="64">
        <v>1.52</v>
      </c>
      <c r="J104" s="64">
        <v>0.03</v>
      </c>
      <c r="K104" s="64">
        <v>318.56</v>
      </c>
      <c r="L104" s="64">
        <v>21.62</v>
      </c>
      <c r="M104" s="64">
        <v>83.68</v>
      </c>
      <c r="N104" s="64">
        <v>8.5</v>
      </c>
      <c r="O104" s="64">
        <v>0</v>
      </c>
      <c r="P104" s="64">
        <v>1.26</v>
      </c>
      <c r="Q104" s="64">
        <v>13.29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2.5</v>
      </c>
      <c r="C106" s="67">
        <f>MIN(C9:C104)</f>
        <v>10.1</v>
      </c>
      <c r="D106" s="67">
        <f t="shared" ref="D106:Q106" si="0">MIN(D9:D104)</f>
        <v>9.52</v>
      </c>
      <c r="E106" s="67">
        <f t="shared" si="0"/>
        <v>0.16</v>
      </c>
      <c r="F106" s="67">
        <f t="shared" si="0"/>
        <v>0.12</v>
      </c>
      <c r="G106" s="67">
        <f t="shared" si="0"/>
        <v>29.13</v>
      </c>
      <c r="H106" s="67">
        <f t="shared" si="0"/>
        <v>10.74</v>
      </c>
      <c r="I106" s="67">
        <f t="shared" si="0"/>
        <v>1.39</v>
      </c>
      <c r="J106" s="67">
        <f t="shared" si="0"/>
        <v>0.01</v>
      </c>
      <c r="K106" s="67">
        <f t="shared" si="0"/>
        <v>1.59</v>
      </c>
      <c r="L106" s="67">
        <f t="shared" si="0"/>
        <v>20.55</v>
      </c>
      <c r="M106" s="67">
        <f t="shared" si="0"/>
        <v>34.93</v>
      </c>
      <c r="N106" s="67">
        <f t="shared" si="0"/>
        <v>8.5</v>
      </c>
      <c r="O106" s="67">
        <f t="shared" si="0"/>
        <v>0</v>
      </c>
      <c r="P106" s="67">
        <f t="shared" si="0"/>
        <v>0.41</v>
      </c>
      <c r="Q106" s="67">
        <f t="shared" si="0"/>
        <v>7.65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19.760000000000002</v>
      </c>
      <c r="C107" s="66">
        <f t="shared" ref="C107:Q107" si="1">MAX(C9:C104)</f>
        <v>55.89</v>
      </c>
      <c r="D107" s="66">
        <f t="shared" si="1"/>
        <v>38.049999999999997</v>
      </c>
      <c r="E107" s="66">
        <f t="shared" si="1"/>
        <v>3.58</v>
      </c>
      <c r="F107" s="66">
        <f t="shared" si="1"/>
        <v>3.47</v>
      </c>
      <c r="G107" s="66">
        <f t="shared" si="1"/>
        <v>102.88</v>
      </c>
      <c r="H107" s="66">
        <f t="shared" si="1"/>
        <v>30.98</v>
      </c>
      <c r="I107" s="66">
        <f t="shared" si="1"/>
        <v>1.6</v>
      </c>
      <c r="J107" s="66">
        <f t="shared" si="1"/>
        <v>2.19</v>
      </c>
      <c r="K107" s="66">
        <f t="shared" si="1"/>
        <v>356.56</v>
      </c>
      <c r="L107" s="66">
        <f t="shared" si="1"/>
        <v>33.01</v>
      </c>
      <c r="M107" s="66">
        <f t="shared" si="1"/>
        <v>83.68</v>
      </c>
      <c r="N107" s="66">
        <f t="shared" si="1"/>
        <v>944.8</v>
      </c>
      <c r="O107" s="66">
        <f t="shared" si="1"/>
        <v>0</v>
      </c>
      <c r="P107" s="66">
        <f t="shared" si="1"/>
        <v>1.26</v>
      </c>
      <c r="Q107" s="66">
        <f t="shared" si="1"/>
        <v>28.36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5.8416666666666677</v>
      </c>
      <c r="C108" s="67">
        <f t="shared" ref="C108:Q108" si="2">AVERAGE(C9:C104)</f>
        <v>17.995937499999997</v>
      </c>
      <c r="D108" s="67">
        <f t="shared" si="2"/>
        <v>15.908541666666665</v>
      </c>
      <c r="E108" s="67">
        <f t="shared" si="2"/>
        <v>1.4488541666666672</v>
      </c>
      <c r="F108" s="67">
        <f t="shared" si="2"/>
        <v>1.0980208333333334</v>
      </c>
      <c r="G108" s="67">
        <f t="shared" si="2"/>
        <v>60.979062500000019</v>
      </c>
      <c r="H108" s="67">
        <f t="shared" si="2"/>
        <v>18.626041666666673</v>
      </c>
      <c r="I108" s="67">
        <f t="shared" si="2"/>
        <v>1.5046875000000008</v>
      </c>
      <c r="J108" s="67">
        <f t="shared" si="2"/>
        <v>0.62489583333333343</v>
      </c>
      <c r="K108" s="67">
        <f t="shared" si="2"/>
        <v>301.90864583333354</v>
      </c>
      <c r="L108" s="67">
        <f t="shared" si="2"/>
        <v>26.12458333333333</v>
      </c>
      <c r="M108" s="67">
        <f t="shared" si="2"/>
        <v>56.023125000000014</v>
      </c>
      <c r="N108" s="67">
        <f t="shared" si="2"/>
        <v>235.04687499999991</v>
      </c>
      <c r="O108" s="67">
        <f t="shared" si="2"/>
        <v>0</v>
      </c>
      <c r="P108" s="67">
        <f t="shared" si="2"/>
        <v>0.73000000000000009</v>
      </c>
      <c r="Q108" s="67">
        <f t="shared" si="2"/>
        <v>10.714583333333332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3.7926623523981409</v>
      </c>
      <c r="C109" s="67">
        <f t="shared" ref="C109:Q109" si="3">STDEV(C9:C104)</f>
        <v>7.8431719654909591</v>
      </c>
      <c r="D109" s="67">
        <f t="shared" si="3"/>
        <v>5.1016496772930875</v>
      </c>
      <c r="E109" s="67">
        <f t="shared" si="3"/>
        <v>0.93717477984763042</v>
      </c>
      <c r="F109" s="67">
        <f t="shared" si="3"/>
        <v>0.81900532713602792</v>
      </c>
      <c r="G109" s="67">
        <f t="shared" si="3"/>
        <v>19.847023962409885</v>
      </c>
      <c r="H109" s="67">
        <f t="shared" si="3"/>
        <v>4.5109059608596276</v>
      </c>
      <c r="I109" s="67">
        <f t="shared" si="3"/>
        <v>4.5048584883434509E-2</v>
      </c>
      <c r="J109" s="67">
        <f t="shared" si="3"/>
        <v>0.51179147643437473</v>
      </c>
      <c r="K109" s="67">
        <f t="shared" si="3"/>
        <v>83.838021001901097</v>
      </c>
      <c r="L109" s="67">
        <f t="shared" si="3"/>
        <v>3.9212666902597766</v>
      </c>
      <c r="M109" s="67">
        <f t="shared" si="3"/>
        <v>15.835165484485799</v>
      </c>
      <c r="N109" s="67">
        <f t="shared" si="3"/>
        <v>339.27247920812306</v>
      </c>
      <c r="O109" s="67">
        <f t="shared" si="3"/>
        <v>0</v>
      </c>
      <c r="P109" s="67">
        <f t="shared" si="3"/>
        <v>0.28106189616111926</v>
      </c>
      <c r="Q109" s="67">
        <f t="shared" si="3"/>
        <v>2.6291931588733961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4" sqref="G13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630</v>
      </c>
      <c r="B9" s="64">
        <v>7.72</v>
      </c>
      <c r="C9" s="64">
        <v>14.09</v>
      </c>
      <c r="D9" s="64">
        <v>15.26</v>
      </c>
      <c r="E9" s="64">
        <v>0.76</v>
      </c>
      <c r="F9" s="64">
        <v>0.4</v>
      </c>
      <c r="G9" s="64">
        <v>95.55</v>
      </c>
      <c r="H9" s="64">
        <v>30.98</v>
      </c>
      <c r="I9" s="64">
        <v>1.51</v>
      </c>
      <c r="J9" s="64">
        <v>0.14000000000000001</v>
      </c>
      <c r="K9" s="64">
        <v>10.76</v>
      </c>
      <c r="L9" s="64">
        <v>21.46</v>
      </c>
      <c r="M9" s="64">
        <v>84.43</v>
      </c>
      <c r="N9" s="64">
        <v>8.6</v>
      </c>
      <c r="O9" s="64">
        <v>0</v>
      </c>
      <c r="P9" s="64">
        <v>1.25</v>
      </c>
      <c r="Q9" s="64">
        <v>12.77</v>
      </c>
      <c r="R9" s="198"/>
      <c r="S9" s="198"/>
      <c r="T9" s="198"/>
      <c r="U9" s="198"/>
    </row>
    <row r="10" spans="1:21" s="12" customFormat="1" x14ac:dyDescent="0.25">
      <c r="A10" s="214" t="s">
        <v>631</v>
      </c>
      <c r="B10" s="64">
        <v>7.52</v>
      </c>
      <c r="C10" s="64">
        <v>14.75</v>
      </c>
      <c r="D10" s="64">
        <v>15.47</v>
      </c>
      <c r="E10" s="64">
        <v>0.98</v>
      </c>
      <c r="F10" s="64">
        <v>0.17</v>
      </c>
      <c r="G10" s="64">
        <v>94.26</v>
      </c>
      <c r="H10" s="64">
        <v>31.39</v>
      </c>
      <c r="I10" s="64">
        <v>1.49</v>
      </c>
      <c r="J10" s="64">
        <v>0.19</v>
      </c>
      <c r="K10" s="64">
        <v>353.62</v>
      </c>
      <c r="L10" s="64">
        <v>21.52</v>
      </c>
      <c r="M10" s="64">
        <v>83.01</v>
      </c>
      <c r="N10" s="64">
        <v>8.5</v>
      </c>
      <c r="O10" s="64">
        <v>0</v>
      </c>
      <c r="P10" s="64">
        <v>1.22</v>
      </c>
      <c r="Q10" s="64">
        <v>13.37</v>
      </c>
      <c r="R10" s="198"/>
      <c r="S10" s="198"/>
      <c r="T10" s="198"/>
      <c r="U10" s="198"/>
    </row>
    <row r="11" spans="1:21" s="12" customFormat="1" x14ac:dyDescent="0.25">
      <c r="A11" s="214" t="s">
        <v>632</v>
      </c>
      <c r="B11" s="64">
        <v>7.18</v>
      </c>
      <c r="C11" s="64">
        <v>14.83</v>
      </c>
      <c r="D11" s="64">
        <v>15.24</v>
      </c>
      <c r="E11" s="64">
        <v>1.28</v>
      </c>
      <c r="F11" s="64">
        <v>0.48</v>
      </c>
      <c r="G11" s="64">
        <v>93.07</v>
      </c>
      <c r="H11" s="64">
        <v>31.73</v>
      </c>
      <c r="I11" s="64">
        <v>1.49</v>
      </c>
      <c r="J11" s="64">
        <v>0.17</v>
      </c>
      <c r="K11" s="64">
        <v>350.57</v>
      </c>
      <c r="L11" s="64">
        <v>21.46</v>
      </c>
      <c r="M11" s="64">
        <v>83.58</v>
      </c>
      <c r="N11" s="64">
        <v>8.6999999999999993</v>
      </c>
      <c r="O11" s="64">
        <v>0</v>
      </c>
      <c r="P11" s="64">
        <v>1.2</v>
      </c>
      <c r="Q11" s="64">
        <v>13.1</v>
      </c>
      <c r="R11" s="198"/>
      <c r="S11" s="198"/>
      <c r="T11" s="198"/>
      <c r="U11" s="198"/>
    </row>
    <row r="12" spans="1:21" s="12" customFormat="1" x14ac:dyDescent="0.25">
      <c r="A12" s="214" t="s">
        <v>633</v>
      </c>
      <c r="B12" s="64">
        <v>6.79</v>
      </c>
      <c r="C12" s="64">
        <v>14.54</v>
      </c>
      <c r="D12" s="64">
        <v>14.76</v>
      </c>
      <c r="E12" s="64">
        <v>1.04</v>
      </c>
      <c r="F12" s="64">
        <v>0.32</v>
      </c>
      <c r="G12" s="64">
        <v>93.07</v>
      </c>
      <c r="H12" s="64">
        <v>31.73</v>
      </c>
      <c r="I12" s="64">
        <v>1.5</v>
      </c>
      <c r="J12" s="64">
        <v>0.18</v>
      </c>
      <c r="K12" s="64">
        <v>339.64</v>
      </c>
      <c r="L12" s="64">
        <v>21.26</v>
      </c>
      <c r="M12" s="64">
        <v>84.81</v>
      </c>
      <c r="N12" s="64">
        <v>8.6999999999999993</v>
      </c>
      <c r="O12" s="64">
        <v>0</v>
      </c>
      <c r="P12" s="64">
        <v>1.19</v>
      </c>
      <c r="Q12" s="64">
        <v>12.78</v>
      </c>
      <c r="R12" s="198"/>
      <c r="S12" s="198"/>
      <c r="T12" s="198"/>
      <c r="U12" s="198"/>
    </row>
    <row r="13" spans="1:21" s="12" customFormat="1" x14ac:dyDescent="0.25">
      <c r="A13" s="214" t="s">
        <v>634</v>
      </c>
      <c r="B13" s="64">
        <v>6.31</v>
      </c>
      <c r="C13" s="64">
        <v>14.71</v>
      </c>
      <c r="D13" s="64">
        <v>14.47</v>
      </c>
      <c r="E13" s="64">
        <v>1.34</v>
      </c>
      <c r="F13" s="64">
        <v>0.61</v>
      </c>
      <c r="G13" s="64">
        <v>93.07</v>
      </c>
      <c r="H13" s="64">
        <v>31.73</v>
      </c>
      <c r="I13" s="64">
        <v>1.52</v>
      </c>
      <c r="J13" s="64">
        <v>0.12</v>
      </c>
      <c r="K13" s="64">
        <v>335.85</v>
      </c>
      <c r="L13" s="64">
        <v>21.04</v>
      </c>
      <c r="M13" s="64">
        <v>86.27</v>
      </c>
      <c r="N13" s="64">
        <v>8.8000000000000007</v>
      </c>
      <c r="O13" s="64">
        <v>0</v>
      </c>
      <c r="P13" s="64">
        <v>1.1299999999999999</v>
      </c>
      <c r="Q13" s="64">
        <v>12.37</v>
      </c>
      <c r="R13" s="198"/>
      <c r="S13" s="198"/>
      <c r="T13" s="198"/>
      <c r="U13" s="198"/>
    </row>
    <row r="14" spans="1:21" s="12" customFormat="1" x14ac:dyDescent="0.25">
      <c r="A14" s="214" t="s">
        <v>635</v>
      </c>
      <c r="B14" s="64">
        <v>5.95</v>
      </c>
      <c r="C14" s="64">
        <v>13.93</v>
      </c>
      <c r="D14" s="64">
        <v>13.75</v>
      </c>
      <c r="E14" s="64">
        <v>0.99</v>
      </c>
      <c r="F14" s="64">
        <v>0.28000000000000003</v>
      </c>
      <c r="G14" s="64">
        <v>87.11</v>
      </c>
      <c r="H14" s="64">
        <v>27.97</v>
      </c>
      <c r="I14" s="64">
        <v>1.55</v>
      </c>
      <c r="J14" s="64">
        <v>0.13</v>
      </c>
      <c r="K14" s="64">
        <v>346.14</v>
      </c>
      <c r="L14" s="64">
        <v>20.91</v>
      </c>
      <c r="M14" s="64">
        <v>87.15</v>
      </c>
      <c r="N14" s="64">
        <v>8.6999999999999993</v>
      </c>
      <c r="O14" s="64">
        <v>0</v>
      </c>
      <c r="P14" s="64">
        <v>1.1499999999999999</v>
      </c>
      <c r="Q14" s="64">
        <v>12.8</v>
      </c>
      <c r="R14" s="198"/>
      <c r="S14" s="198"/>
      <c r="T14" s="198"/>
      <c r="U14" s="198"/>
    </row>
    <row r="15" spans="1:21" s="12" customFormat="1" x14ac:dyDescent="0.25">
      <c r="A15" s="214" t="s">
        <v>636</v>
      </c>
      <c r="B15" s="64">
        <v>5.6</v>
      </c>
      <c r="C15" s="64">
        <v>13.39</v>
      </c>
      <c r="D15" s="64">
        <v>13.18</v>
      </c>
      <c r="E15" s="64">
        <v>1.02</v>
      </c>
      <c r="F15" s="64">
        <v>0.46</v>
      </c>
      <c r="G15" s="64">
        <v>81.650000000000006</v>
      </c>
      <c r="H15" s="64">
        <v>26.37</v>
      </c>
      <c r="I15" s="64">
        <v>1.48</v>
      </c>
      <c r="J15" s="64">
        <v>0.08</v>
      </c>
      <c r="K15" s="64">
        <v>21.96</v>
      </c>
      <c r="L15" s="64">
        <v>20.97</v>
      </c>
      <c r="M15" s="64">
        <v>86.68</v>
      </c>
      <c r="N15" s="64">
        <v>8.6999999999999993</v>
      </c>
      <c r="O15" s="64">
        <v>0</v>
      </c>
      <c r="P15" s="64">
        <v>1.1399999999999999</v>
      </c>
      <c r="Q15" s="64">
        <v>12.52</v>
      </c>
      <c r="R15" s="198"/>
      <c r="S15" s="198"/>
      <c r="T15" s="198"/>
      <c r="U15" s="198"/>
    </row>
    <row r="16" spans="1:21" s="12" customFormat="1" x14ac:dyDescent="0.25">
      <c r="A16" s="214" t="s">
        <v>637</v>
      </c>
      <c r="B16" s="64">
        <v>5.37</v>
      </c>
      <c r="C16" s="64">
        <v>13.28</v>
      </c>
      <c r="D16" s="64">
        <v>12.93</v>
      </c>
      <c r="E16" s="64">
        <v>1.47</v>
      </c>
      <c r="F16" s="64">
        <v>0.41</v>
      </c>
      <c r="G16" s="64">
        <v>81.650000000000006</v>
      </c>
      <c r="H16" s="64">
        <v>26.37</v>
      </c>
      <c r="I16" s="64">
        <v>1.51</v>
      </c>
      <c r="J16" s="64">
        <v>0.09</v>
      </c>
      <c r="K16" s="64">
        <v>14.36</v>
      </c>
      <c r="L16" s="64">
        <v>20.93</v>
      </c>
      <c r="M16" s="64">
        <v>87.15</v>
      </c>
      <c r="N16" s="64">
        <v>8.6999999999999993</v>
      </c>
      <c r="O16" s="64">
        <v>0</v>
      </c>
      <c r="P16" s="64">
        <v>1.1100000000000001</v>
      </c>
      <c r="Q16" s="64">
        <v>12.6</v>
      </c>
      <c r="R16" s="198"/>
      <c r="S16" s="198"/>
      <c r="T16" s="198"/>
      <c r="U16" s="198"/>
    </row>
    <row r="17" spans="1:21" s="12" customFormat="1" x14ac:dyDescent="0.25">
      <c r="A17" s="214" t="s">
        <v>638</v>
      </c>
      <c r="B17" s="64">
        <v>5.19</v>
      </c>
      <c r="C17" s="64">
        <v>13.16</v>
      </c>
      <c r="D17" s="64">
        <v>12.72</v>
      </c>
      <c r="E17" s="64">
        <v>1.01</v>
      </c>
      <c r="F17" s="64">
        <v>0.27</v>
      </c>
      <c r="G17" s="64">
        <v>81.650000000000006</v>
      </c>
      <c r="H17" s="64">
        <v>26.37</v>
      </c>
      <c r="I17" s="64">
        <v>1.51</v>
      </c>
      <c r="J17" s="64">
        <v>0.09</v>
      </c>
      <c r="K17" s="64">
        <v>3.44</v>
      </c>
      <c r="L17" s="64">
        <v>20.89</v>
      </c>
      <c r="M17" s="64">
        <v>87.55</v>
      </c>
      <c r="N17" s="64">
        <v>8.6999999999999993</v>
      </c>
      <c r="O17" s="64">
        <v>0</v>
      </c>
      <c r="P17" s="64">
        <v>1.0900000000000001</v>
      </c>
      <c r="Q17" s="64">
        <v>12.57</v>
      </c>
      <c r="R17" s="198"/>
      <c r="S17" s="198"/>
      <c r="T17" s="198"/>
      <c r="U17" s="198"/>
    </row>
    <row r="18" spans="1:21" s="12" customFormat="1" x14ac:dyDescent="0.25">
      <c r="A18" s="214" t="s">
        <v>639</v>
      </c>
      <c r="B18" s="64">
        <v>5.0599999999999996</v>
      </c>
      <c r="C18" s="64">
        <v>12.93</v>
      </c>
      <c r="D18" s="64">
        <v>12.49</v>
      </c>
      <c r="E18" s="64">
        <v>1.24</v>
      </c>
      <c r="F18" s="64">
        <v>0.23</v>
      </c>
      <c r="G18" s="64">
        <v>82.89</v>
      </c>
      <c r="H18" s="64">
        <v>28.92</v>
      </c>
      <c r="I18" s="64">
        <v>1.47</v>
      </c>
      <c r="J18" s="64">
        <v>0.05</v>
      </c>
      <c r="K18" s="64">
        <v>20.93</v>
      </c>
      <c r="L18" s="64">
        <v>20.92</v>
      </c>
      <c r="M18" s="64">
        <v>87.87</v>
      </c>
      <c r="N18" s="64">
        <v>8.6</v>
      </c>
      <c r="O18" s="64">
        <v>0</v>
      </c>
      <c r="P18" s="64">
        <v>1.07</v>
      </c>
      <c r="Q18" s="64">
        <v>12.64</v>
      </c>
      <c r="R18" s="198"/>
      <c r="S18" s="198"/>
      <c r="T18" s="198"/>
      <c r="U18" s="198"/>
    </row>
    <row r="19" spans="1:21" s="12" customFormat="1" x14ac:dyDescent="0.25">
      <c r="A19" s="214" t="s">
        <v>640</v>
      </c>
      <c r="B19" s="64">
        <v>4.9400000000000004</v>
      </c>
      <c r="C19" s="64">
        <v>13</v>
      </c>
      <c r="D19" s="64">
        <v>12.43</v>
      </c>
      <c r="E19" s="64">
        <v>1.1200000000000001</v>
      </c>
      <c r="F19" s="64">
        <v>0.19</v>
      </c>
      <c r="G19" s="64">
        <v>84.03</v>
      </c>
      <c r="H19" s="64">
        <v>30</v>
      </c>
      <c r="I19" s="64">
        <v>1.48</v>
      </c>
      <c r="J19" s="64">
        <v>0.1</v>
      </c>
      <c r="K19" s="64">
        <v>6.91</v>
      </c>
      <c r="L19" s="64">
        <v>20.89</v>
      </c>
      <c r="M19" s="64">
        <v>88.42</v>
      </c>
      <c r="N19" s="64">
        <v>8.6</v>
      </c>
      <c r="O19" s="64">
        <v>0</v>
      </c>
      <c r="P19" s="64">
        <v>1.03</v>
      </c>
      <c r="Q19" s="64">
        <v>12.81</v>
      </c>
      <c r="R19" s="198"/>
      <c r="S19" s="198"/>
      <c r="T19" s="198"/>
      <c r="U19" s="198"/>
    </row>
    <row r="20" spans="1:21" s="12" customFormat="1" x14ac:dyDescent="0.25">
      <c r="A20" s="214" t="s">
        <v>641</v>
      </c>
      <c r="B20" s="64">
        <v>4.91</v>
      </c>
      <c r="C20" s="64">
        <v>12.45</v>
      </c>
      <c r="D20" s="64">
        <v>12.1</v>
      </c>
      <c r="E20" s="64">
        <v>1.31</v>
      </c>
      <c r="F20" s="64">
        <v>0.43</v>
      </c>
      <c r="G20" s="64">
        <v>84.03</v>
      </c>
      <c r="H20" s="64">
        <v>30</v>
      </c>
      <c r="I20" s="64">
        <v>1.51</v>
      </c>
      <c r="J20" s="64">
        <v>0.12</v>
      </c>
      <c r="K20" s="64">
        <v>7.88</v>
      </c>
      <c r="L20" s="64">
        <v>20.66</v>
      </c>
      <c r="M20" s="64">
        <v>90.38</v>
      </c>
      <c r="N20" s="64">
        <v>8.6999999999999993</v>
      </c>
      <c r="O20" s="64">
        <v>0</v>
      </c>
      <c r="P20" s="64">
        <v>1.02</v>
      </c>
      <c r="Q20" s="64">
        <v>12.01</v>
      </c>
      <c r="R20" s="198"/>
      <c r="S20" s="198"/>
      <c r="T20" s="198"/>
      <c r="U20" s="198"/>
    </row>
    <row r="21" spans="1:21" s="12" customFormat="1" x14ac:dyDescent="0.25">
      <c r="A21" s="214" t="s">
        <v>642</v>
      </c>
      <c r="B21" s="64">
        <v>4.92</v>
      </c>
      <c r="C21" s="64">
        <v>13.16</v>
      </c>
      <c r="D21" s="64">
        <v>12.5</v>
      </c>
      <c r="E21" s="64">
        <v>1.25</v>
      </c>
      <c r="F21" s="64">
        <v>0.45</v>
      </c>
      <c r="G21" s="64">
        <v>84.03</v>
      </c>
      <c r="H21" s="64">
        <v>30</v>
      </c>
      <c r="I21" s="64">
        <v>1.48</v>
      </c>
      <c r="J21" s="64">
        <v>0.02</v>
      </c>
      <c r="K21" s="64">
        <v>12.45</v>
      </c>
      <c r="L21" s="64">
        <v>20.63</v>
      </c>
      <c r="M21" s="64">
        <v>90.88</v>
      </c>
      <c r="N21" s="64">
        <v>8.6999999999999993</v>
      </c>
      <c r="O21" s="64">
        <v>0</v>
      </c>
      <c r="P21" s="64">
        <v>1</v>
      </c>
      <c r="Q21" s="64">
        <v>12.44</v>
      </c>
      <c r="R21" s="198"/>
      <c r="S21" s="198"/>
      <c r="T21" s="198"/>
      <c r="U21" s="198"/>
    </row>
    <row r="22" spans="1:21" s="12" customFormat="1" x14ac:dyDescent="0.25">
      <c r="A22" s="214" t="s">
        <v>643</v>
      </c>
      <c r="B22" s="64">
        <v>5.01</v>
      </c>
      <c r="C22" s="64">
        <v>12.7</v>
      </c>
      <c r="D22" s="64">
        <v>12.32</v>
      </c>
      <c r="E22" s="64">
        <v>0.83</v>
      </c>
      <c r="F22" s="64">
        <v>0.44</v>
      </c>
      <c r="G22" s="64">
        <v>82.82</v>
      </c>
      <c r="H22" s="64">
        <v>31.77</v>
      </c>
      <c r="I22" s="64">
        <v>1.44</v>
      </c>
      <c r="J22" s="64">
        <v>0.09</v>
      </c>
      <c r="K22" s="64">
        <v>334.43</v>
      </c>
      <c r="L22" s="64">
        <v>20.43</v>
      </c>
      <c r="M22" s="64">
        <v>92.96</v>
      </c>
      <c r="N22" s="64">
        <v>8.6999999999999993</v>
      </c>
      <c r="O22" s="64">
        <v>0</v>
      </c>
      <c r="P22" s="64">
        <v>0.99</v>
      </c>
      <c r="Q22" s="64">
        <v>12.12</v>
      </c>
      <c r="R22" s="198"/>
      <c r="S22" s="198"/>
      <c r="T22" s="198"/>
      <c r="U22" s="198"/>
    </row>
    <row r="23" spans="1:21" s="12" customFormat="1" x14ac:dyDescent="0.25">
      <c r="A23" s="214" t="s">
        <v>644</v>
      </c>
      <c r="B23" s="64">
        <v>5.19</v>
      </c>
      <c r="C23" s="64">
        <v>12.61</v>
      </c>
      <c r="D23" s="64">
        <v>12.41</v>
      </c>
      <c r="E23" s="64">
        <v>1.22</v>
      </c>
      <c r="F23" s="64">
        <v>0.45</v>
      </c>
      <c r="G23" s="64">
        <v>81.72</v>
      </c>
      <c r="H23" s="64">
        <v>32.520000000000003</v>
      </c>
      <c r="I23" s="64">
        <v>1.48</v>
      </c>
      <c r="J23" s="64">
        <v>0.03</v>
      </c>
      <c r="K23" s="64">
        <v>330.95</v>
      </c>
      <c r="L23" s="64">
        <v>20.2</v>
      </c>
      <c r="M23" s="64">
        <v>94.88</v>
      </c>
      <c r="N23" s="64">
        <v>8.6999999999999993</v>
      </c>
      <c r="O23" s="64">
        <v>0</v>
      </c>
      <c r="P23" s="64">
        <v>0.99</v>
      </c>
      <c r="Q23" s="64">
        <v>12.25</v>
      </c>
      <c r="R23" s="198"/>
      <c r="S23" s="198"/>
      <c r="T23" s="198"/>
      <c r="U23" s="198"/>
    </row>
    <row r="24" spans="1:21" s="12" customFormat="1" x14ac:dyDescent="0.25">
      <c r="A24" s="214" t="s">
        <v>645</v>
      </c>
      <c r="B24" s="64">
        <v>5.3</v>
      </c>
      <c r="C24" s="64">
        <v>13.61</v>
      </c>
      <c r="D24" s="64">
        <v>13.05</v>
      </c>
      <c r="E24" s="64">
        <v>0.59</v>
      </c>
      <c r="F24" s="64">
        <v>0.41</v>
      </c>
      <c r="G24" s="64">
        <v>81.72</v>
      </c>
      <c r="H24" s="64">
        <v>32.520000000000003</v>
      </c>
      <c r="I24" s="64">
        <v>1.52</v>
      </c>
      <c r="J24" s="64">
        <v>7.0000000000000007E-2</v>
      </c>
      <c r="K24" s="64">
        <v>338.47</v>
      </c>
      <c r="L24" s="64">
        <v>20.100000000000001</v>
      </c>
      <c r="M24" s="64">
        <v>95.87</v>
      </c>
      <c r="N24" s="64">
        <v>8.8000000000000007</v>
      </c>
      <c r="O24" s="64">
        <v>0</v>
      </c>
      <c r="P24" s="64">
        <v>0.98</v>
      </c>
      <c r="Q24" s="64">
        <v>11.95</v>
      </c>
      <c r="R24" s="198"/>
      <c r="S24" s="198"/>
      <c r="T24" s="198"/>
      <c r="U24" s="198"/>
    </row>
    <row r="25" spans="1:21" s="12" customFormat="1" x14ac:dyDescent="0.25">
      <c r="A25" s="214" t="s">
        <v>646</v>
      </c>
      <c r="B25" s="64">
        <v>5.27</v>
      </c>
      <c r="C25" s="64">
        <v>13.85</v>
      </c>
      <c r="D25" s="64">
        <v>13.16</v>
      </c>
      <c r="E25" s="64">
        <v>0.95</v>
      </c>
      <c r="F25" s="64">
        <v>0.39</v>
      </c>
      <c r="G25" s="64">
        <v>81.72</v>
      </c>
      <c r="H25" s="64">
        <v>32.520000000000003</v>
      </c>
      <c r="I25" s="64">
        <v>1.5</v>
      </c>
      <c r="J25" s="64">
        <v>7.0000000000000007E-2</v>
      </c>
      <c r="K25" s="64">
        <v>19.16</v>
      </c>
      <c r="L25" s="64">
        <v>20.12</v>
      </c>
      <c r="M25" s="64">
        <v>95.49</v>
      </c>
      <c r="N25" s="64">
        <v>8.6999999999999993</v>
      </c>
      <c r="O25" s="64">
        <v>0</v>
      </c>
      <c r="P25" s="64">
        <v>0.96</v>
      </c>
      <c r="Q25" s="64">
        <v>12.01</v>
      </c>
      <c r="R25" s="198"/>
      <c r="S25" s="198"/>
      <c r="T25" s="198"/>
      <c r="U25" s="198"/>
    </row>
    <row r="26" spans="1:21" s="12" customFormat="1" x14ac:dyDescent="0.25">
      <c r="A26" s="214" t="s">
        <v>647</v>
      </c>
      <c r="B26" s="64">
        <v>5.26</v>
      </c>
      <c r="C26" s="64">
        <v>13.57</v>
      </c>
      <c r="D26" s="64">
        <v>12.99</v>
      </c>
      <c r="E26" s="64">
        <v>1.01</v>
      </c>
      <c r="F26" s="64">
        <v>0.46</v>
      </c>
      <c r="G26" s="64">
        <v>80.94</v>
      </c>
      <c r="H26" s="64">
        <v>30.41</v>
      </c>
      <c r="I26" s="64">
        <v>1.55</v>
      </c>
      <c r="J26" s="64">
        <v>0.03</v>
      </c>
      <c r="K26" s="64">
        <v>35.35</v>
      </c>
      <c r="L26" s="64">
        <v>20.239999999999998</v>
      </c>
      <c r="M26" s="64">
        <v>93.55</v>
      </c>
      <c r="N26" s="64">
        <v>8.6</v>
      </c>
      <c r="O26" s="64">
        <v>0</v>
      </c>
      <c r="P26" s="64">
        <v>0.95</v>
      </c>
      <c r="Q26" s="64">
        <v>12.11</v>
      </c>
      <c r="R26" s="198"/>
      <c r="S26" s="198"/>
      <c r="T26" s="198"/>
      <c r="U26" s="198"/>
    </row>
    <row r="27" spans="1:21" s="12" customFormat="1" x14ac:dyDescent="0.25">
      <c r="A27" s="214" t="s">
        <v>648</v>
      </c>
      <c r="B27" s="64">
        <v>5.3</v>
      </c>
      <c r="C27" s="64">
        <v>13.05</v>
      </c>
      <c r="D27" s="64">
        <v>12.74</v>
      </c>
      <c r="E27" s="64">
        <v>1.24</v>
      </c>
      <c r="F27" s="64">
        <v>0.56000000000000005</v>
      </c>
      <c r="G27" s="64">
        <v>80.23</v>
      </c>
      <c r="H27" s="64">
        <v>29.51</v>
      </c>
      <c r="I27" s="64">
        <v>1.55</v>
      </c>
      <c r="J27" s="64">
        <v>0.05</v>
      </c>
      <c r="K27" s="64">
        <v>357.87</v>
      </c>
      <c r="L27" s="64">
        <v>20.14</v>
      </c>
      <c r="M27" s="64">
        <v>94.24</v>
      </c>
      <c r="N27" s="64">
        <v>8.6</v>
      </c>
      <c r="O27" s="64">
        <v>0</v>
      </c>
      <c r="P27" s="64">
        <v>0.94</v>
      </c>
      <c r="Q27" s="64">
        <v>12.09</v>
      </c>
      <c r="R27" s="198"/>
      <c r="S27" s="198"/>
      <c r="T27" s="198"/>
      <c r="U27" s="198"/>
    </row>
    <row r="28" spans="1:21" s="12" customFormat="1" x14ac:dyDescent="0.25">
      <c r="A28" s="214" t="s">
        <v>649</v>
      </c>
      <c r="B28" s="64">
        <v>5.26</v>
      </c>
      <c r="C28" s="64">
        <v>12.89</v>
      </c>
      <c r="D28" s="64">
        <v>12.62</v>
      </c>
      <c r="E28" s="64">
        <v>1.4</v>
      </c>
      <c r="F28" s="64">
        <v>0.52</v>
      </c>
      <c r="G28" s="64">
        <v>80.23</v>
      </c>
      <c r="H28" s="64">
        <v>29.51</v>
      </c>
      <c r="I28" s="64">
        <v>1.45</v>
      </c>
      <c r="J28" s="64">
        <v>0.03</v>
      </c>
      <c r="K28" s="64">
        <v>328.49</v>
      </c>
      <c r="L28" s="64">
        <v>19.940000000000001</v>
      </c>
      <c r="M28" s="64">
        <v>95.94</v>
      </c>
      <c r="N28" s="64">
        <v>8.8000000000000007</v>
      </c>
      <c r="O28" s="64">
        <v>0</v>
      </c>
      <c r="P28" s="64">
        <v>0.93</v>
      </c>
      <c r="Q28" s="64">
        <v>12.25</v>
      </c>
      <c r="R28" s="198"/>
      <c r="S28" s="198"/>
      <c r="T28" s="198"/>
      <c r="U28" s="198"/>
    </row>
    <row r="29" spans="1:21" s="12" customFormat="1" x14ac:dyDescent="0.25">
      <c r="A29" s="214" t="s">
        <v>650</v>
      </c>
      <c r="B29" s="64">
        <v>5.31</v>
      </c>
      <c r="C29" s="64">
        <v>12.41</v>
      </c>
      <c r="D29" s="64">
        <v>12.4</v>
      </c>
      <c r="E29" s="64">
        <v>1.19</v>
      </c>
      <c r="F29" s="64">
        <v>0.35</v>
      </c>
      <c r="G29" s="64">
        <v>80.23</v>
      </c>
      <c r="H29" s="64">
        <v>29.51</v>
      </c>
      <c r="I29" s="64">
        <v>1.49</v>
      </c>
      <c r="J29" s="64">
        <v>0.08</v>
      </c>
      <c r="K29" s="64">
        <v>352.95</v>
      </c>
      <c r="L29" s="64">
        <v>19.89</v>
      </c>
      <c r="M29" s="64">
        <v>95.15</v>
      </c>
      <c r="N29" s="64">
        <v>8.8000000000000007</v>
      </c>
      <c r="O29" s="64">
        <v>0</v>
      </c>
      <c r="P29" s="64">
        <v>0.92</v>
      </c>
      <c r="Q29" s="64">
        <v>12.68</v>
      </c>
      <c r="R29" s="198"/>
      <c r="S29" s="198"/>
      <c r="T29" s="198"/>
      <c r="U29" s="198"/>
    </row>
    <row r="30" spans="1:21" s="12" customFormat="1" x14ac:dyDescent="0.25">
      <c r="A30" s="214" t="s">
        <v>651</v>
      </c>
      <c r="B30" s="64">
        <v>5.66</v>
      </c>
      <c r="C30" s="64">
        <v>12.08</v>
      </c>
      <c r="D30" s="64">
        <v>12.5</v>
      </c>
      <c r="E30" s="64">
        <v>1.5</v>
      </c>
      <c r="F30" s="64">
        <v>0.48</v>
      </c>
      <c r="G30" s="64">
        <v>79.739999999999995</v>
      </c>
      <c r="H30" s="64">
        <v>28.57</v>
      </c>
      <c r="I30" s="64">
        <v>1.52</v>
      </c>
      <c r="J30" s="64">
        <v>0.13</v>
      </c>
      <c r="K30" s="64">
        <v>342.15</v>
      </c>
      <c r="L30" s="64">
        <v>19.86</v>
      </c>
      <c r="M30" s="64">
        <v>94.68</v>
      </c>
      <c r="N30" s="64">
        <v>8.8000000000000007</v>
      </c>
      <c r="O30" s="64">
        <v>0</v>
      </c>
      <c r="P30" s="64">
        <v>0.91</v>
      </c>
      <c r="Q30" s="64">
        <v>12.91</v>
      </c>
      <c r="R30" s="198"/>
      <c r="S30" s="198"/>
      <c r="T30" s="198"/>
      <c r="U30" s="198"/>
    </row>
    <row r="31" spans="1:21" s="12" customFormat="1" x14ac:dyDescent="0.25">
      <c r="A31" s="214" t="s">
        <v>652</v>
      </c>
      <c r="B31" s="64">
        <v>6.31</v>
      </c>
      <c r="C31" s="64">
        <v>12.78</v>
      </c>
      <c r="D31" s="64">
        <v>13.4</v>
      </c>
      <c r="E31" s="64">
        <v>1.28</v>
      </c>
      <c r="F31" s="64">
        <v>0.28000000000000003</v>
      </c>
      <c r="G31" s="64">
        <v>79.28</v>
      </c>
      <c r="H31" s="64">
        <v>28.17</v>
      </c>
      <c r="I31" s="64">
        <v>1.52</v>
      </c>
      <c r="J31" s="64">
        <v>0.15</v>
      </c>
      <c r="K31" s="64">
        <v>323.64</v>
      </c>
      <c r="L31" s="64">
        <v>19.8</v>
      </c>
      <c r="M31" s="64">
        <v>93.93</v>
      </c>
      <c r="N31" s="64">
        <v>10.1</v>
      </c>
      <c r="O31" s="64">
        <v>0</v>
      </c>
      <c r="P31" s="64">
        <v>0.91</v>
      </c>
      <c r="Q31" s="64">
        <v>12.65</v>
      </c>
      <c r="R31" s="198"/>
      <c r="S31" s="198"/>
      <c r="T31" s="198"/>
      <c r="U31" s="198"/>
    </row>
    <row r="32" spans="1:21" s="12" customFormat="1" x14ac:dyDescent="0.25">
      <c r="A32" s="214" t="s">
        <v>653</v>
      </c>
      <c r="B32" s="64">
        <v>7</v>
      </c>
      <c r="C32" s="64">
        <v>12.49</v>
      </c>
      <c r="D32" s="64">
        <v>13.8</v>
      </c>
      <c r="E32" s="64">
        <v>0.68</v>
      </c>
      <c r="F32" s="64">
        <v>0.4</v>
      </c>
      <c r="G32" s="64">
        <v>79.28</v>
      </c>
      <c r="H32" s="64">
        <v>28.17</v>
      </c>
      <c r="I32" s="64">
        <v>1.49</v>
      </c>
      <c r="J32" s="64">
        <v>0.18</v>
      </c>
      <c r="K32" s="64">
        <v>328.62</v>
      </c>
      <c r="L32" s="64">
        <v>19.84</v>
      </c>
      <c r="M32" s="64">
        <v>91.82</v>
      </c>
      <c r="N32" s="64">
        <v>18</v>
      </c>
      <c r="O32" s="64">
        <v>0</v>
      </c>
      <c r="P32" s="64">
        <v>0.91</v>
      </c>
      <c r="Q32" s="64">
        <v>11.84</v>
      </c>
      <c r="R32" s="198"/>
      <c r="S32" s="198"/>
      <c r="T32" s="198"/>
      <c r="U32" s="198"/>
    </row>
    <row r="33" spans="1:21" s="12" customFormat="1" x14ac:dyDescent="0.25">
      <c r="A33" s="214" t="s">
        <v>654</v>
      </c>
      <c r="B33" s="64">
        <v>7.63</v>
      </c>
      <c r="C33" s="64">
        <v>12.77</v>
      </c>
      <c r="D33" s="64">
        <v>14.46</v>
      </c>
      <c r="E33" s="64">
        <v>1.1399999999999999</v>
      </c>
      <c r="F33" s="64">
        <v>0.2</v>
      </c>
      <c r="G33" s="64">
        <v>79.28</v>
      </c>
      <c r="H33" s="64">
        <v>28.17</v>
      </c>
      <c r="I33" s="64">
        <v>1.47</v>
      </c>
      <c r="J33" s="64">
        <v>0.24</v>
      </c>
      <c r="K33" s="64">
        <v>340.07</v>
      </c>
      <c r="L33" s="64">
        <v>20.14</v>
      </c>
      <c r="M33" s="64">
        <v>88.87</v>
      </c>
      <c r="N33" s="64">
        <v>33</v>
      </c>
      <c r="O33" s="64">
        <v>0</v>
      </c>
      <c r="P33" s="64">
        <v>0.9</v>
      </c>
      <c r="Q33" s="64">
        <v>11.86</v>
      </c>
      <c r="R33" s="198"/>
      <c r="S33" s="198"/>
      <c r="T33" s="198"/>
      <c r="U33" s="198"/>
    </row>
    <row r="34" spans="1:21" s="12" customFormat="1" x14ac:dyDescent="0.25">
      <c r="A34" s="214" t="s">
        <v>655</v>
      </c>
      <c r="B34" s="64">
        <v>7.94</v>
      </c>
      <c r="C34" s="64">
        <v>13.15</v>
      </c>
      <c r="D34" s="64">
        <v>14.91</v>
      </c>
      <c r="E34" s="64">
        <v>1.38</v>
      </c>
      <c r="F34" s="64">
        <v>0.18</v>
      </c>
      <c r="G34" s="64">
        <v>78.180000000000007</v>
      </c>
      <c r="H34" s="64">
        <v>28.51</v>
      </c>
      <c r="I34" s="64">
        <v>1.51</v>
      </c>
      <c r="J34" s="64">
        <v>0.35</v>
      </c>
      <c r="K34" s="64">
        <v>326.5</v>
      </c>
      <c r="L34" s="64">
        <v>20.64</v>
      </c>
      <c r="M34" s="64">
        <v>85.54</v>
      </c>
      <c r="N34" s="64">
        <v>64.400000000000006</v>
      </c>
      <c r="O34" s="64">
        <v>0</v>
      </c>
      <c r="P34" s="64">
        <v>0.88</v>
      </c>
      <c r="Q34" s="64">
        <v>11.9</v>
      </c>
      <c r="R34" s="198"/>
      <c r="S34" s="198"/>
      <c r="T34" s="198"/>
      <c r="U34" s="198"/>
    </row>
    <row r="35" spans="1:21" s="12" customFormat="1" x14ac:dyDescent="0.25">
      <c r="A35" s="214" t="s">
        <v>656</v>
      </c>
      <c r="B35" s="64">
        <v>8.11</v>
      </c>
      <c r="C35" s="64">
        <v>13.15</v>
      </c>
      <c r="D35" s="64">
        <v>15.05</v>
      </c>
      <c r="E35" s="64">
        <v>1.08</v>
      </c>
      <c r="F35" s="64">
        <v>0.45</v>
      </c>
      <c r="G35" s="64">
        <v>77.180000000000007</v>
      </c>
      <c r="H35" s="64">
        <v>28.79</v>
      </c>
      <c r="I35" s="64">
        <v>1.49</v>
      </c>
      <c r="J35" s="64">
        <v>0.32</v>
      </c>
      <c r="K35" s="64">
        <v>328.84</v>
      </c>
      <c r="L35" s="64">
        <v>21.81</v>
      </c>
      <c r="M35" s="64">
        <v>78.209999999999994</v>
      </c>
      <c r="N35" s="64">
        <v>112.5</v>
      </c>
      <c r="O35" s="64">
        <v>0</v>
      </c>
      <c r="P35" s="64">
        <v>0.88</v>
      </c>
      <c r="Q35" s="64">
        <v>11.55</v>
      </c>
      <c r="R35" s="198"/>
      <c r="S35" s="198"/>
      <c r="T35" s="198"/>
      <c r="U35" s="198"/>
    </row>
    <row r="36" spans="1:21" s="12" customFormat="1" x14ac:dyDescent="0.25">
      <c r="A36" s="214" t="s">
        <v>657</v>
      </c>
      <c r="B36" s="64">
        <v>8.06</v>
      </c>
      <c r="C36" s="64">
        <v>14.04</v>
      </c>
      <c r="D36" s="64">
        <v>15.51</v>
      </c>
      <c r="E36" s="64">
        <v>2.08</v>
      </c>
      <c r="F36" s="64">
        <v>0.2</v>
      </c>
      <c r="G36" s="64">
        <v>77.180000000000007</v>
      </c>
      <c r="H36" s="64">
        <v>28.79</v>
      </c>
      <c r="I36" s="64">
        <v>1.45</v>
      </c>
      <c r="J36" s="64">
        <v>0.39</v>
      </c>
      <c r="K36" s="64">
        <v>329.56</v>
      </c>
      <c r="L36" s="64">
        <v>23.47</v>
      </c>
      <c r="M36" s="64">
        <v>70.13</v>
      </c>
      <c r="N36" s="64">
        <v>167.9</v>
      </c>
      <c r="O36" s="64">
        <v>0</v>
      </c>
      <c r="P36" s="64">
        <v>0.86</v>
      </c>
      <c r="Q36" s="64">
        <v>11.78</v>
      </c>
      <c r="R36" s="198"/>
      <c r="S36" s="198"/>
      <c r="T36" s="198"/>
      <c r="U36" s="198"/>
    </row>
    <row r="37" spans="1:21" s="12" customFormat="1" x14ac:dyDescent="0.25">
      <c r="A37" s="214" t="s">
        <v>658</v>
      </c>
      <c r="B37" s="64">
        <v>7.92</v>
      </c>
      <c r="C37" s="64">
        <v>13.96</v>
      </c>
      <c r="D37" s="64">
        <v>15.35</v>
      </c>
      <c r="E37" s="64">
        <v>1.19</v>
      </c>
      <c r="F37" s="64">
        <v>0.54</v>
      </c>
      <c r="G37" s="64">
        <v>77.180000000000007</v>
      </c>
      <c r="H37" s="64">
        <v>28.79</v>
      </c>
      <c r="I37" s="64">
        <v>1.45</v>
      </c>
      <c r="J37" s="64">
        <v>0.3</v>
      </c>
      <c r="K37" s="64">
        <v>346.33</v>
      </c>
      <c r="L37" s="64">
        <v>24.82</v>
      </c>
      <c r="M37" s="64">
        <v>64.61</v>
      </c>
      <c r="N37" s="64">
        <v>225.2</v>
      </c>
      <c r="O37" s="64">
        <v>0</v>
      </c>
      <c r="P37" s="64">
        <v>0.84</v>
      </c>
      <c r="Q37" s="64">
        <v>11.71</v>
      </c>
      <c r="R37" s="198"/>
      <c r="S37" s="198"/>
      <c r="T37" s="198"/>
      <c r="U37" s="198"/>
    </row>
    <row r="38" spans="1:21" s="12" customFormat="1" x14ac:dyDescent="0.25">
      <c r="A38" s="214" t="s">
        <v>659</v>
      </c>
      <c r="B38" s="64">
        <v>7.73</v>
      </c>
      <c r="C38" s="64">
        <v>14.76</v>
      </c>
      <c r="D38" s="64">
        <v>15.64</v>
      </c>
      <c r="E38" s="64">
        <v>1.18</v>
      </c>
      <c r="F38" s="64">
        <v>0.6</v>
      </c>
      <c r="G38" s="64">
        <v>78.7</v>
      </c>
      <c r="H38" s="64">
        <v>28.04</v>
      </c>
      <c r="I38" s="64">
        <v>1.5</v>
      </c>
      <c r="J38" s="64">
        <v>0.26</v>
      </c>
      <c r="K38" s="64">
        <v>346.4</v>
      </c>
      <c r="L38" s="64">
        <v>26.26</v>
      </c>
      <c r="M38" s="64">
        <v>58.54</v>
      </c>
      <c r="N38" s="64">
        <v>284.39999999999998</v>
      </c>
      <c r="O38" s="64">
        <v>0</v>
      </c>
      <c r="P38" s="64">
        <v>0.87</v>
      </c>
      <c r="Q38" s="64">
        <v>11.91</v>
      </c>
      <c r="R38" s="198"/>
      <c r="S38" s="198"/>
      <c r="T38" s="198"/>
      <c r="U38" s="198"/>
    </row>
    <row r="39" spans="1:21" s="12" customFormat="1" x14ac:dyDescent="0.25">
      <c r="A39" s="214" t="s">
        <v>660</v>
      </c>
      <c r="B39" s="64">
        <v>7.39</v>
      </c>
      <c r="C39" s="64">
        <v>15.11</v>
      </c>
      <c r="D39" s="64">
        <v>15.56</v>
      </c>
      <c r="E39" s="64">
        <v>1.26</v>
      </c>
      <c r="F39" s="64">
        <v>0.42</v>
      </c>
      <c r="G39" s="64">
        <v>80.099999999999994</v>
      </c>
      <c r="H39" s="64">
        <v>27.72</v>
      </c>
      <c r="I39" s="64">
        <v>1.49</v>
      </c>
      <c r="J39" s="64">
        <v>0.26</v>
      </c>
      <c r="K39" s="64">
        <v>341.65</v>
      </c>
      <c r="L39" s="64">
        <v>27.7</v>
      </c>
      <c r="M39" s="64">
        <v>53.4</v>
      </c>
      <c r="N39" s="64">
        <v>347.5</v>
      </c>
      <c r="O39" s="64">
        <v>0</v>
      </c>
      <c r="P39" s="64">
        <v>0.86</v>
      </c>
      <c r="Q39" s="64">
        <v>12.04</v>
      </c>
      <c r="R39" s="198"/>
      <c r="S39" s="198"/>
      <c r="T39" s="198"/>
      <c r="U39" s="198"/>
    </row>
    <row r="40" spans="1:21" s="12" customFormat="1" x14ac:dyDescent="0.25">
      <c r="A40" s="214" t="s">
        <v>661</v>
      </c>
      <c r="B40" s="64">
        <v>7.21</v>
      </c>
      <c r="C40" s="64">
        <v>15.42</v>
      </c>
      <c r="D40" s="64">
        <v>15.58</v>
      </c>
      <c r="E40" s="64">
        <v>1.18</v>
      </c>
      <c r="F40" s="64">
        <v>0.61</v>
      </c>
      <c r="G40" s="64">
        <v>80.099999999999994</v>
      </c>
      <c r="H40" s="64">
        <v>27.72</v>
      </c>
      <c r="I40" s="64">
        <v>1.51</v>
      </c>
      <c r="J40" s="64">
        <v>0.38</v>
      </c>
      <c r="K40" s="64">
        <v>329.69</v>
      </c>
      <c r="L40" s="64">
        <v>28.81</v>
      </c>
      <c r="M40" s="64">
        <v>48.66</v>
      </c>
      <c r="N40" s="64">
        <v>412.8</v>
      </c>
      <c r="O40" s="64">
        <v>0</v>
      </c>
      <c r="P40" s="64">
        <v>0.86</v>
      </c>
      <c r="Q40" s="64">
        <v>11.86</v>
      </c>
      <c r="R40" s="198"/>
      <c r="S40" s="198"/>
      <c r="T40" s="198"/>
      <c r="U40" s="198"/>
    </row>
    <row r="41" spans="1:21" s="12" customFormat="1" x14ac:dyDescent="0.25">
      <c r="A41" s="214" t="s">
        <v>662</v>
      </c>
      <c r="B41" s="64">
        <v>6.7</v>
      </c>
      <c r="C41" s="64">
        <v>16.079999999999998</v>
      </c>
      <c r="D41" s="64">
        <v>15.54</v>
      </c>
      <c r="E41" s="64">
        <v>2</v>
      </c>
      <c r="F41" s="64">
        <v>0.55000000000000004</v>
      </c>
      <c r="G41" s="64">
        <v>80.099999999999994</v>
      </c>
      <c r="H41" s="64">
        <v>27.72</v>
      </c>
      <c r="I41" s="64">
        <v>1.51</v>
      </c>
      <c r="J41" s="64">
        <v>0.5</v>
      </c>
      <c r="K41" s="64">
        <v>319.58</v>
      </c>
      <c r="L41" s="64">
        <v>29.58</v>
      </c>
      <c r="M41" s="64">
        <v>45.57</v>
      </c>
      <c r="N41" s="64">
        <v>470.1</v>
      </c>
      <c r="O41" s="64">
        <v>0</v>
      </c>
      <c r="P41" s="64">
        <v>0.84</v>
      </c>
      <c r="Q41" s="64">
        <v>11.78</v>
      </c>
      <c r="R41" s="198"/>
      <c r="S41" s="198"/>
      <c r="T41" s="198"/>
      <c r="U41" s="198"/>
    </row>
    <row r="42" spans="1:21" s="12" customFormat="1" x14ac:dyDescent="0.25">
      <c r="A42" s="214" t="s">
        <v>663</v>
      </c>
      <c r="B42" s="64">
        <v>5.76</v>
      </c>
      <c r="C42" s="64">
        <v>16.23</v>
      </c>
      <c r="D42" s="64">
        <v>14.87</v>
      </c>
      <c r="E42" s="64">
        <v>1.86</v>
      </c>
      <c r="F42" s="64">
        <v>0.48</v>
      </c>
      <c r="G42" s="64">
        <v>84.38</v>
      </c>
      <c r="H42" s="64">
        <v>27.26</v>
      </c>
      <c r="I42" s="64">
        <v>1.52</v>
      </c>
      <c r="J42" s="64">
        <v>0.83</v>
      </c>
      <c r="K42" s="64">
        <v>321.60000000000002</v>
      </c>
      <c r="L42" s="64">
        <v>29.86</v>
      </c>
      <c r="M42" s="64">
        <v>47.73</v>
      </c>
      <c r="N42" s="64">
        <v>531.4</v>
      </c>
      <c r="O42" s="64">
        <v>0</v>
      </c>
      <c r="P42" s="64">
        <v>0.83</v>
      </c>
      <c r="Q42" s="64">
        <v>12.11</v>
      </c>
      <c r="R42" s="198"/>
      <c r="S42" s="198"/>
      <c r="T42" s="198"/>
      <c r="U42" s="198"/>
    </row>
    <row r="43" spans="1:21" s="12" customFormat="1" x14ac:dyDescent="0.25">
      <c r="A43" s="214" t="s">
        <v>664</v>
      </c>
      <c r="B43" s="64">
        <v>5.12</v>
      </c>
      <c r="C43" s="64">
        <v>16.18</v>
      </c>
      <c r="D43" s="64">
        <v>14.33</v>
      </c>
      <c r="E43" s="64">
        <v>1.98</v>
      </c>
      <c r="F43" s="64">
        <v>0.64</v>
      </c>
      <c r="G43" s="64">
        <v>88.3</v>
      </c>
      <c r="H43" s="64">
        <v>27.07</v>
      </c>
      <c r="I43" s="64">
        <v>1.55</v>
      </c>
      <c r="J43" s="64">
        <v>0.69</v>
      </c>
      <c r="K43" s="64">
        <v>323.37</v>
      </c>
      <c r="L43" s="64">
        <v>28.15</v>
      </c>
      <c r="M43" s="64">
        <v>54.28</v>
      </c>
      <c r="N43" s="64">
        <v>588.1</v>
      </c>
      <c r="O43" s="64">
        <v>0</v>
      </c>
      <c r="P43" s="64">
        <v>0.79</v>
      </c>
      <c r="Q43" s="64">
        <v>11.63</v>
      </c>
      <c r="R43" s="198"/>
      <c r="S43" s="198"/>
      <c r="T43" s="198"/>
      <c r="U43" s="198"/>
    </row>
    <row r="44" spans="1:21" s="12" customFormat="1" x14ac:dyDescent="0.25">
      <c r="A44" s="214" t="s">
        <v>665</v>
      </c>
      <c r="B44" s="64">
        <v>4.6900000000000004</v>
      </c>
      <c r="C44" s="64">
        <v>16.02</v>
      </c>
      <c r="D44" s="64">
        <v>13.9</v>
      </c>
      <c r="E44" s="64">
        <v>2.02</v>
      </c>
      <c r="F44" s="64">
        <v>0.75</v>
      </c>
      <c r="G44" s="64">
        <v>88.3</v>
      </c>
      <c r="H44" s="64">
        <v>27.07</v>
      </c>
      <c r="I44" s="64">
        <v>1.51</v>
      </c>
      <c r="J44" s="64">
        <v>0.8</v>
      </c>
      <c r="K44" s="64">
        <v>318.55</v>
      </c>
      <c r="L44" s="64">
        <v>30.36</v>
      </c>
      <c r="M44" s="64">
        <v>44.56</v>
      </c>
      <c r="N44" s="64">
        <v>642</v>
      </c>
      <c r="O44" s="64">
        <v>0</v>
      </c>
      <c r="P44" s="64">
        <v>0.78</v>
      </c>
      <c r="Q44" s="64">
        <v>11.17</v>
      </c>
      <c r="R44" s="198"/>
      <c r="S44" s="198"/>
      <c r="T44" s="198"/>
      <c r="U44" s="198"/>
    </row>
    <row r="45" spans="1:21" s="12" customFormat="1" x14ac:dyDescent="0.25">
      <c r="A45" s="214" t="s">
        <v>666</v>
      </c>
      <c r="B45" s="64">
        <v>4.4800000000000004</v>
      </c>
      <c r="C45" s="64">
        <v>16.11</v>
      </c>
      <c r="D45" s="64">
        <v>13.78</v>
      </c>
      <c r="E45" s="64">
        <v>2.21</v>
      </c>
      <c r="F45" s="64">
        <v>0.82</v>
      </c>
      <c r="G45" s="64">
        <v>88.3</v>
      </c>
      <c r="H45" s="64">
        <v>27.07</v>
      </c>
      <c r="I45" s="64">
        <v>1.49</v>
      </c>
      <c r="J45" s="64">
        <v>0.83</v>
      </c>
      <c r="K45" s="64">
        <v>323.5</v>
      </c>
      <c r="L45" s="64">
        <v>32.64</v>
      </c>
      <c r="M45" s="64">
        <v>39.85</v>
      </c>
      <c r="N45" s="64">
        <v>692.6</v>
      </c>
      <c r="O45" s="64">
        <v>0</v>
      </c>
      <c r="P45" s="64">
        <v>0.77</v>
      </c>
      <c r="Q45" s="64">
        <v>11.2</v>
      </c>
      <c r="R45" s="198"/>
      <c r="S45" s="198"/>
      <c r="T45" s="198"/>
      <c r="U45" s="198"/>
    </row>
    <row r="46" spans="1:21" s="12" customFormat="1" x14ac:dyDescent="0.25">
      <c r="A46" s="214" t="s">
        <v>667</v>
      </c>
      <c r="B46" s="64">
        <v>4.21</v>
      </c>
      <c r="C46" s="64">
        <v>16.45</v>
      </c>
      <c r="D46" s="64">
        <v>13.75</v>
      </c>
      <c r="E46" s="64">
        <v>2.4500000000000002</v>
      </c>
      <c r="F46" s="64">
        <v>0.84</v>
      </c>
      <c r="G46" s="64">
        <v>82.21</v>
      </c>
      <c r="H46" s="64">
        <v>27.3</v>
      </c>
      <c r="I46" s="64">
        <v>1.54</v>
      </c>
      <c r="J46" s="64">
        <v>0.52</v>
      </c>
      <c r="K46" s="64">
        <v>325.27999999999997</v>
      </c>
      <c r="L46" s="64">
        <v>32.68</v>
      </c>
      <c r="M46" s="64">
        <v>39.840000000000003</v>
      </c>
      <c r="N46" s="64">
        <v>734.7</v>
      </c>
      <c r="O46" s="64">
        <v>0</v>
      </c>
      <c r="P46" s="64">
        <v>0.75</v>
      </c>
      <c r="Q46" s="64">
        <v>11.3</v>
      </c>
      <c r="R46" s="198"/>
      <c r="S46" s="198"/>
      <c r="T46" s="198"/>
      <c r="U46" s="198"/>
    </row>
    <row r="47" spans="1:21" s="12" customFormat="1" x14ac:dyDescent="0.25">
      <c r="A47" s="214" t="s">
        <v>668</v>
      </c>
      <c r="B47" s="64">
        <v>3.72</v>
      </c>
      <c r="C47" s="64">
        <v>16.510000000000002</v>
      </c>
      <c r="D47" s="64">
        <v>13.39</v>
      </c>
      <c r="E47" s="64">
        <v>2.16</v>
      </c>
      <c r="F47" s="64">
        <v>1.1399999999999999</v>
      </c>
      <c r="G47" s="64">
        <v>76.64</v>
      </c>
      <c r="H47" s="64">
        <v>27.41</v>
      </c>
      <c r="I47" s="64">
        <v>1.41</v>
      </c>
      <c r="J47" s="64">
        <v>0.57999999999999996</v>
      </c>
      <c r="K47" s="64">
        <v>326.36</v>
      </c>
      <c r="L47" s="64">
        <v>33.28</v>
      </c>
      <c r="M47" s="64">
        <v>38.950000000000003</v>
      </c>
      <c r="N47" s="64">
        <v>775.6</v>
      </c>
      <c r="O47" s="64">
        <v>0</v>
      </c>
      <c r="P47" s="64">
        <v>0.74</v>
      </c>
      <c r="Q47" s="64">
        <v>10.57</v>
      </c>
      <c r="R47" s="198"/>
      <c r="S47" s="198"/>
      <c r="T47" s="198"/>
      <c r="U47" s="198"/>
    </row>
    <row r="48" spans="1:21" s="12" customFormat="1" x14ac:dyDescent="0.25">
      <c r="A48" s="214" t="s">
        <v>669</v>
      </c>
      <c r="B48" s="64">
        <v>3.4</v>
      </c>
      <c r="C48" s="64">
        <v>17.850000000000001</v>
      </c>
      <c r="D48" s="64">
        <v>13.87</v>
      </c>
      <c r="E48" s="64">
        <v>2.0299999999999998</v>
      </c>
      <c r="F48" s="64">
        <v>1.27</v>
      </c>
      <c r="G48" s="64">
        <v>76.64</v>
      </c>
      <c r="H48" s="64">
        <v>27.41</v>
      </c>
      <c r="I48" s="64">
        <v>1.42</v>
      </c>
      <c r="J48" s="64">
        <v>1.24</v>
      </c>
      <c r="K48" s="64">
        <v>320.62</v>
      </c>
      <c r="L48" s="64">
        <v>33.54</v>
      </c>
      <c r="M48" s="64">
        <v>36.97</v>
      </c>
      <c r="N48" s="64">
        <v>816.6</v>
      </c>
      <c r="O48" s="64">
        <v>0</v>
      </c>
      <c r="P48" s="64">
        <v>0.74</v>
      </c>
      <c r="Q48" s="64">
        <v>10.97</v>
      </c>
      <c r="R48" s="198"/>
      <c r="S48" s="198"/>
      <c r="T48" s="198"/>
      <c r="U48" s="198"/>
    </row>
    <row r="49" spans="1:21" s="12" customFormat="1" x14ac:dyDescent="0.25">
      <c r="A49" s="214" t="s">
        <v>670</v>
      </c>
      <c r="B49" s="64">
        <v>3.07</v>
      </c>
      <c r="C49" s="64">
        <v>17.690000000000001</v>
      </c>
      <c r="D49" s="64">
        <v>13.51</v>
      </c>
      <c r="E49" s="64">
        <v>1.9</v>
      </c>
      <c r="F49" s="64">
        <v>1.5</v>
      </c>
      <c r="G49" s="64">
        <v>76.64</v>
      </c>
      <c r="H49" s="64">
        <v>27.41</v>
      </c>
      <c r="I49" s="64">
        <v>1.47</v>
      </c>
      <c r="J49" s="64">
        <v>0.85</v>
      </c>
      <c r="K49" s="64">
        <v>322.76</v>
      </c>
      <c r="L49" s="64">
        <v>34.07</v>
      </c>
      <c r="M49" s="64">
        <v>35.479999999999997</v>
      </c>
      <c r="N49" s="64">
        <v>839.3</v>
      </c>
      <c r="O49" s="64">
        <v>0</v>
      </c>
      <c r="P49" s="64">
        <v>0.74</v>
      </c>
      <c r="Q49" s="64">
        <v>11.1</v>
      </c>
      <c r="R49" s="198"/>
      <c r="S49" s="198"/>
      <c r="T49" s="198"/>
      <c r="U49" s="198"/>
    </row>
    <row r="50" spans="1:21" s="12" customFormat="1" x14ac:dyDescent="0.25">
      <c r="A50" s="214" t="s">
        <v>671</v>
      </c>
      <c r="B50" s="64">
        <v>2.97</v>
      </c>
      <c r="C50" s="64">
        <v>18.100000000000001</v>
      </c>
      <c r="D50" s="64">
        <v>13.66</v>
      </c>
      <c r="E50" s="64">
        <v>1.95</v>
      </c>
      <c r="F50" s="64">
        <v>1.28</v>
      </c>
      <c r="G50" s="64">
        <v>74.709999999999994</v>
      </c>
      <c r="H50" s="64">
        <v>26.09</v>
      </c>
      <c r="I50" s="64">
        <v>1.47</v>
      </c>
      <c r="J50" s="64">
        <v>0.94</v>
      </c>
      <c r="K50" s="64">
        <v>325.11</v>
      </c>
      <c r="L50" s="64">
        <v>34.44</v>
      </c>
      <c r="M50" s="64">
        <v>35.26</v>
      </c>
      <c r="N50" s="64">
        <v>864.3</v>
      </c>
      <c r="O50" s="64">
        <v>0</v>
      </c>
      <c r="P50" s="64">
        <v>0.73</v>
      </c>
      <c r="Q50" s="64">
        <v>10.97</v>
      </c>
      <c r="R50" s="198"/>
      <c r="S50" s="198"/>
      <c r="T50" s="198"/>
      <c r="U50" s="198"/>
    </row>
    <row r="51" spans="1:21" s="12" customFormat="1" x14ac:dyDescent="0.25">
      <c r="A51" s="214" t="s">
        <v>672</v>
      </c>
      <c r="B51" s="64">
        <v>2.98</v>
      </c>
      <c r="C51" s="64">
        <v>17.86</v>
      </c>
      <c r="D51" s="64">
        <v>13.54</v>
      </c>
      <c r="E51" s="64">
        <v>2.0099999999999998</v>
      </c>
      <c r="F51" s="64">
        <v>1.5</v>
      </c>
      <c r="G51" s="64">
        <v>72.930000000000007</v>
      </c>
      <c r="H51" s="64">
        <v>25.53</v>
      </c>
      <c r="I51" s="64">
        <v>1.43</v>
      </c>
      <c r="J51" s="64">
        <v>0.98</v>
      </c>
      <c r="K51" s="64">
        <v>318.57</v>
      </c>
      <c r="L51" s="64">
        <v>34.4</v>
      </c>
      <c r="M51" s="64">
        <v>34.29</v>
      </c>
      <c r="N51" s="64">
        <v>890</v>
      </c>
      <c r="O51" s="64">
        <v>0</v>
      </c>
      <c r="P51" s="64">
        <v>0.73</v>
      </c>
      <c r="Q51" s="64">
        <v>11.11</v>
      </c>
      <c r="R51" s="198"/>
      <c r="S51" s="198"/>
      <c r="T51" s="198"/>
      <c r="U51" s="198"/>
    </row>
    <row r="52" spans="1:21" s="12" customFormat="1" x14ac:dyDescent="0.25">
      <c r="A52" s="214" t="s">
        <v>673</v>
      </c>
      <c r="B52" s="64">
        <v>2.93</v>
      </c>
      <c r="C52" s="64">
        <v>18.190000000000001</v>
      </c>
      <c r="D52" s="64">
        <v>13.68</v>
      </c>
      <c r="E52" s="64">
        <v>1.97</v>
      </c>
      <c r="F52" s="64">
        <v>1.46</v>
      </c>
      <c r="G52" s="64">
        <v>72.930000000000007</v>
      </c>
      <c r="H52" s="64">
        <v>25.53</v>
      </c>
      <c r="I52" s="64">
        <v>1.51</v>
      </c>
      <c r="J52" s="64">
        <v>1.39</v>
      </c>
      <c r="K52" s="64">
        <v>329.55</v>
      </c>
      <c r="L52" s="64">
        <v>34.549999999999997</v>
      </c>
      <c r="M52" s="64">
        <v>32.58</v>
      </c>
      <c r="N52" s="64">
        <v>913</v>
      </c>
      <c r="O52" s="64">
        <v>0</v>
      </c>
      <c r="P52" s="64">
        <v>0.73</v>
      </c>
      <c r="Q52" s="64">
        <v>10.45</v>
      </c>
      <c r="R52" s="198"/>
      <c r="S52" s="198"/>
      <c r="T52" s="198"/>
      <c r="U52" s="198"/>
    </row>
    <row r="53" spans="1:21" s="12" customFormat="1" x14ac:dyDescent="0.25">
      <c r="A53" s="214" t="s">
        <v>674</v>
      </c>
      <c r="B53" s="64">
        <v>2.85</v>
      </c>
      <c r="C53" s="64">
        <v>18.02</v>
      </c>
      <c r="D53" s="64">
        <v>13.52</v>
      </c>
      <c r="E53" s="64">
        <v>2.4300000000000002</v>
      </c>
      <c r="F53" s="64">
        <v>1.71</v>
      </c>
      <c r="G53" s="64">
        <v>72.930000000000007</v>
      </c>
      <c r="H53" s="64">
        <v>25.53</v>
      </c>
      <c r="I53" s="64">
        <v>1.45</v>
      </c>
      <c r="J53" s="64">
        <v>1.7</v>
      </c>
      <c r="K53" s="64">
        <v>331.29</v>
      </c>
      <c r="L53" s="64">
        <v>34.25</v>
      </c>
      <c r="M53" s="64">
        <v>31.3</v>
      </c>
      <c r="N53" s="64">
        <v>923.8</v>
      </c>
      <c r="O53" s="64">
        <v>0</v>
      </c>
      <c r="P53" s="64">
        <v>0.72</v>
      </c>
      <c r="Q53" s="64">
        <v>10.57</v>
      </c>
      <c r="R53" s="198"/>
      <c r="S53" s="198"/>
      <c r="T53" s="198"/>
      <c r="U53" s="198"/>
    </row>
    <row r="54" spans="1:21" s="12" customFormat="1" x14ac:dyDescent="0.25">
      <c r="A54" s="214" t="s">
        <v>675</v>
      </c>
      <c r="B54" s="64">
        <v>2.75</v>
      </c>
      <c r="C54" s="64">
        <v>19.100000000000001</v>
      </c>
      <c r="D54" s="64">
        <v>14.04</v>
      </c>
      <c r="E54" s="64">
        <v>1.89</v>
      </c>
      <c r="F54" s="64">
        <v>1.65</v>
      </c>
      <c r="G54" s="64">
        <v>74.069999999999993</v>
      </c>
      <c r="H54" s="64">
        <v>26.36</v>
      </c>
      <c r="I54" s="64">
        <v>1.56</v>
      </c>
      <c r="J54" s="64">
        <v>1.76</v>
      </c>
      <c r="K54" s="64">
        <v>336.38</v>
      </c>
      <c r="L54" s="64">
        <v>34.36</v>
      </c>
      <c r="M54" s="64">
        <v>29.77</v>
      </c>
      <c r="N54" s="64">
        <v>938.5</v>
      </c>
      <c r="O54" s="64">
        <v>0</v>
      </c>
      <c r="P54" s="64">
        <v>0.71</v>
      </c>
      <c r="Q54" s="64">
        <v>11.36</v>
      </c>
      <c r="R54" s="198"/>
      <c r="S54" s="198"/>
      <c r="T54" s="198"/>
      <c r="U54" s="198"/>
    </row>
    <row r="55" spans="1:21" s="12" customFormat="1" x14ac:dyDescent="0.25">
      <c r="A55" s="214" t="s">
        <v>676</v>
      </c>
      <c r="B55" s="64">
        <v>2.82</v>
      </c>
      <c r="C55" s="64">
        <v>18.89</v>
      </c>
      <c r="D55" s="64">
        <v>13.98</v>
      </c>
      <c r="E55" s="64">
        <v>1.1200000000000001</v>
      </c>
      <c r="F55" s="64">
        <v>2</v>
      </c>
      <c r="G55" s="64">
        <v>75.12</v>
      </c>
      <c r="H55" s="64">
        <v>26.71</v>
      </c>
      <c r="I55" s="64">
        <v>1.53</v>
      </c>
      <c r="J55" s="64">
        <v>1.7</v>
      </c>
      <c r="K55" s="64">
        <v>327.97</v>
      </c>
      <c r="L55" s="64">
        <v>33.92</v>
      </c>
      <c r="M55" s="64">
        <v>29.94</v>
      </c>
      <c r="N55" s="64">
        <v>945</v>
      </c>
      <c r="O55" s="64">
        <v>0</v>
      </c>
      <c r="P55" s="64">
        <v>0.7</v>
      </c>
      <c r="Q55" s="64">
        <v>10.26</v>
      </c>
      <c r="R55" s="198"/>
      <c r="S55" s="198"/>
      <c r="T55" s="198"/>
      <c r="U55" s="198"/>
    </row>
    <row r="56" spans="1:21" s="12" customFormat="1" x14ac:dyDescent="0.25">
      <c r="A56" s="214" t="s">
        <v>677</v>
      </c>
      <c r="B56" s="64">
        <v>2.82</v>
      </c>
      <c r="C56" s="64">
        <v>18.97</v>
      </c>
      <c r="D56" s="64">
        <v>14.02</v>
      </c>
      <c r="E56" s="64">
        <v>0.81</v>
      </c>
      <c r="F56" s="64">
        <v>2.21</v>
      </c>
      <c r="G56" s="64">
        <v>75.12</v>
      </c>
      <c r="H56" s="64">
        <v>26.71</v>
      </c>
      <c r="I56" s="64">
        <v>1.51</v>
      </c>
      <c r="J56" s="64">
        <v>2.27</v>
      </c>
      <c r="K56" s="64">
        <v>334.39</v>
      </c>
      <c r="L56" s="64">
        <v>33.450000000000003</v>
      </c>
      <c r="M56" s="64">
        <v>30.88</v>
      </c>
      <c r="N56" s="64">
        <v>938.8</v>
      </c>
      <c r="O56" s="64">
        <v>0</v>
      </c>
      <c r="P56" s="64">
        <v>0.69</v>
      </c>
      <c r="Q56" s="64">
        <v>10.25</v>
      </c>
      <c r="R56" s="198"/>
      <c r="S56" s="198"/>
      <c r="T56" s="198"/>
      <c r="U56" s="198"/>
    </row>
    <row r="57" spans="1:21" s="12" customFormat="1" x14ac:dyDescent="0.25">
      <c r="A57" s="214" t="s">
        <v>678</v>
      </c>
      <c r="B57" s="64">
        <v>2.88</v>
      </c>
      <c r="C57" s="64">
        <v>19</v>
      </c>
      <c r="D57" s="64">
        <v>14.09</v>
      </c>
      <c r="E57" s="64">
        <v>0.91</v>
      </c>
      <c r="F57" s="64">
        <v>2.19</v>
      </c>
      <c r="G57" s="64">
        <v>75.12</v>
      </c>
      <c r="H57" s="64">
        <v>26.71</v>
      </c>
      <c r="I57" s="64">
        <v>1.46</v>
      </c>
      <c r="J57" s="64">
        <v>2.1</v>
      </c>
      <c r="K57" s="64">
        <v>330.36</v>
      </c>
      <c r="L57" s="64">
        <v>33.479999999999997</v>
      </c>
      <c r="M57" s="64">
        <v>32.18</v>
      </c>
      <c r="N57" s="64">
        <v>926.8</v>
      </c>
      <c r="O57" s="64">
        <v>0</v>
      </c>
      <c r="P57" s="64">
        <v>0.67</v>
      </c>
      <c r="Q57" s="64">
        <v>9.69</v>
      </c>
      <c r="R57" s="198"/>
      <c r="S57" s="198"/>
      <c r="T57" s="198"/>
      <c r="U57" s="198"/>
    </row>
    <row r="58" spans="1:21" s="12" customFormat="1" x14ac:dyDescent="0.25">
      <c r="A58" s="214" t="s">
        <v>679</v>
      </c>
      <c r="B58" s="64">
        <v>2.9</v>
      </c>
      <c r="C58" s="64">
        <v>19.32</v>
      </c>
      <c r="D58" s="64">
        <v>14.28</v>
      </c>
      <c r="E58" s="64">
        <v>1.36</v>
      </c>
      <c r="F58" s="64">
        <v>1.92</v>
      </c>
      <c r="G58" s="64">
        <v>72.72</v>
      </c>
      <c r="H58" s="64">
        <v>24.99</v>
      </c>
      <c r="I58" s="64">
        <v>1.44</v>
      </c>
      <c r="J58" s="64">
        <v>1.53</v>
      </c>
      <c r="K58" s="64">
        <v>325.45999999999998</v>
      </c>
      <c r="L58" s="64">
        <v>33.39</v>
      </c>
      <c r="M58" s="64">
        <v>32.58</v>
      </c>
      <c r="N58" s="64">
        <v>909.8</v>
      </c>
      <c r="O58" s="64">
        <v>0</v>
      </c>
      <c r="P58" s="64">
        <v>0.66</v>
      </c>
      <c r="Q58" s="64">
        <v>10.31</v>
      </c>
      <c r="R58" s="198"/>
      <c r="S58" s="198"/>
      <c r="T58" s="198"/>
      <c r="U58" s="198"/>
    </row>
    <row r="59" spans="1:21" s="12" customFormat="1" x14ac:dyDescent="0.25">
      <c r="A59" s="214" t="s">
        <v>680</v>
      </c>
      <c r="B59" s="64">
        <v>2.83</v>
      </c>
      <c r="C59" s="64">
        <v>19.32</v>
      </c>
      <c r="D59" s="64">
        <v>14.22</v>
      </c>
      <c r="E59" s="64">
        <v>1.3</v>
      </c>
      <c r="F59" s="64">
        <v>1.86</v>
      </c>
      <c r="G59" s="64">
        <v>70.53</v>
      </c>
      <c r="H59" s="64">
        <v>23.55</v>
      </c>
      <c r="I59" s="64">
        <v>1.45</v>
      </c>
      <c r="J59" s="64">
        <v>1.8</v>
      </c>
      <c r="K59" s="64">
        <v>327.9</v>
      </c>
      <c r="L59" s="64">
        <v>33.119999999999997</v>
      </c>
      <c r="M59" s="64">
        <v>33.14</v>
      </c>
      <c r="N59" s="64">
        <v>890.8</v>
      </c>
      <c r="O59" s="64">
        <v>0</v>
      </c>
      <c r="P59" s="64">
        <v>0.65</v>
      </c>
      <c r="Q59" s="64">
        <v>10.050000000000001</v>
      </c>
      <c r="R59" s="198"/>
      <c r="S59" s="198"/>
      <c r="T59" s="198"/>
      <c r="U59" s="198"/>
    </row>
    <row r="60" spans="1:21" s="12" customFormat="1" x14ac:dyDescent="0.25">
      <c r="A60" s="214" t="s">
        <v>681</v>
      </c>
      <c r="B60" s="64">
        <v>2.76</v>
      </c>
      <c r="C60" s="64">
        <v>19.489999999999998</v>
      </c>
      <c r="D60" s="64">
        <v>14.26</v>
      </c>
      <c r="E60" s="64">
        <v>1.62</v>
      </c>
      <c r="F60" s="64">
        <v>2.31</v>
      </c>
      <c r="G60" s="64">
        <v>70.53</v>
      </c>
      <c r="H60" s="64">
        <v>23.55</v>
      </c>
      <c r="I60" s="64">
        <v>1.49</v>
      </c>
      <c r="J60" s="64">
        <v>2.0699999999999998</v>
      </c>
      <c r="K60" s="64">
        <v>329.82</v>
      </c>
      <c r="L60" s="64">
        <v>32.67</v>
      </c>
      <c r="M60" s="64">
        <v>33.67</v>
      </c>
      <c r="N60" s="64">
        <v>850.4</v>
      </c>
      <c r="O60" s="64">
        <v>0</v>
      </c>
      <c r="P60" s="64">
        <v>0.62</v>
      </c>
      <c r="Q60" s="64">
        <v>10.26</v>
      </c>
      <c r="R60" s="198"/>
      <c r="S60" s="198"/>
      <c r="T60" s="198"/>
      <c r="U60" s="198"/>
    </row>
    <row r="61" spans="1:21" s="12" customFormat="1" x14ac:dyDescent="0.25">
      <c r="A61" s="214" t="s">
        <v>682</v>
      </c>
      <c r="B61" s="64">
        <v>2.66</v>
      </c>
      <c r="C61" s="64">
        <v>18.829999999999998</v>
      </c>
      <c r="D61" s="64">
        <v>13.82</v>
      </c>
      <c r="E61" s="64">
        <v>1.1299999999999999</v>
      </c>
      <c r="F61" s="64">
        <v>2.06</v>
      </c>
      <c r="G61" s="64">
        <v>70.53</v>
      </c>
      <c r="H61" s="64">
        <v>23.55</v>
      </c>
      <c r="I61" s="64">
        <v>1.47</v>
      </c>
      <c r="J61" s="64">
        <v>1.63</v>
      </c>
      <c r="K61" s="64">
        <v>325.27</v>
      </c>
      <c r="L61" s="64">
        <v>32.92</v>
      </c>
      <c r="M61" s="64">
        <v>33</v>
      </c>
      <c r="N61" s="64">
        <v>761.2</v>
      </c>
      <c r="O61" s="64">
        <v>0</v>
      </c>
      <c r="P61" s="64">
        <v>0.59</v>
      </c>
      <c r="Q61" s="64">
        <v>10.64</v>
      </c>
      <c r="R61" s="198"/>
      <c r="S61" s="198"/>
      <c r="T61" s="198"/>
      <c r="U61" s="198"/>
    </row>
    <row r="62" spans="1:21" s="12" customFormat="1" x14ac:dyDescent="0.25">
      <c r="A62" s="214" t="s">
        <v>683</v>
      </c>
      <c r="B62" s="64">
        <v>2.5099999999999998</v>
      </c>
      <c r="C62" s="64">
        <v>18.010000000000002</v>
      </c>
      <c r="D62" s="64">
        <v>13.25</v>
      </c>
      <c r="E62" s="64">
        <v>1.02</v>
      </c>
      <c r="F62" s="64">
        <v>2.4700000000000002</v>
      </c>
      <c r="G62" s="64">
        <v>68.05</v>
      </c>
      <c r="H62" s="64">
        <v>22.64</v>
      </c>
      <c r="I62" s="64">
        <v>1.49</v>
      </c>
      <c r="J62" s="64">
        <v>2</v>
      </c>
      <c r="K62" s="64">
        <v>331.23</v>
      </c>
      <c r="L62" s="64">
        <v>32.57</v>
      </c>
      <c r="M62" s="64">
        <v>32.950000000000003</v>
      </c>
      <c r="N62" s="64">
        <v>721.2</v>
      </c>
      <c r="O62" s="64">
        <v>0</v>
      </c>
      <c r="P62" s="64">
        <v>0.59</v>
      </c>
      <c r="Q62" s="64">
        <v>10.09</v>
      </c>
      <c r="R62" s="198"/>
      <c r="S62" s="198"/>
      <c r="T62" s="198"/>
      <c r="U62" s="198"/>
    </row>
    <row r="63" spans="1:21" s="12" customFormat="1" x14ac:dyDescent="0.25">
      <c r="A63" s="214" t="s">
        <v>684</v>
      </c>
      <c r="B63" s="64">
        <v>2.57</v>
      </c>
      <c r="C63" s="64">
        <v>18.36</v>
      </c>
      <c r="D63" s="64">
        <v>13.48</v>
      </c>
      <c r="E63" s="64">
        <v>4.9400000000000004</v>
      </c>
      <c r="F63" s="64">
        <v>2.04</v>
      </c>
      <c r="G63" s="64">
        <v>65.77</v>
      </c>
      <c r="H63" s="64">
        <v>22.25</v>
      </c>
      <c r="I63" s="64">
        <v>1.49</v>
      </c>
      <c r="J63" s="64">
        <v>1.65</v>
      </c>
      <c r="K63" s="64">
        <v>333.77</v>
      </c>
      <c r="L63" s="64">
        <v>32.22</v>
      </c>
      <c r="M63" s="64">
        <v>33.47</v>
      </c>
      <c r="N63" s="64">
        <v>691.1</v>
      </c>
      <c r="O63" s="64">
        <v>0</v>
      </c>
      <c r="P63" s="64">
        <v>0.57999999999999996</v>
      </c>
      <c r="Q63" s="64">
        <v>10.7</v>
      </c>
      <c r="R63" s="198"/>
      <c r="S63" s="198"/>
      <c r="T63" s="198"/>
      <c r="U63" s="198"/>
    </row>
    <row r="64" spans="1:21" s="12" customFormat="1" x14ac:dyDescent="0.25">
      <c r="A64" s="214" t="s">
        <v>685</v>
      </c>
      <c r="B64" s="64">
        <v>2.6</v>
      </c>
      <c r="C64" s="64">
        <v>17.87</v>
      </c>
      <c r="D64" s="64">
        <v>13.24</v>
      </c>
      <c r="E64" s="64">
        <v>1.2</v>
      </c>
      <c r="F64" s="64">
        <v>2.19</v>
      </c>
      <c r="G64" s="64">
        <v>65.77</v>
      </c>
      <c r="H64" s="64">
        <v>22.25</v>
      </c>
      <c r="I64" s="64">
        <v>1.54</v>
      </c>
      <c r="J64" s="64">
        <v>1.61</v>
      </c>
      <c r="K64" s="64">
        <v>335.79</v>
      </c>
      <c r="L64" s="64">
        <v>31.95</v>
      </c>
      <c r="M64" s="64">
        <v>34.21</v>
      </c>
      <c r="N64" s="64">
        <v>617.1</v>
      </c>
      <c r="O64" s="64">
        <v>0</v>
      </c>
      <c r="P64" s="64">
        <v>0.57999999999999996</v>
      </c>
      <c r="Q64" s="64">
        <v>9.91</v>
      </c>
      <c r="R64" s="198"/>
      <c r="S64" s="198"/>
      <c r="T64" s="198"/>
      <c r="U64" s="198"/>
    </row>
    <row r="65" spans="1:21" s="12" customFormat="1" x14ac:dyDescent="0.25">
      <c r="A65" s="214" t="s">
        <v>686</v>
      </c>
      <c r="B65" s="64">
        <v>2.82</v>
      </c>
      <c r="C65" s="64">
        <v>18.25</v>
      </c>
      <c r="D65" s="64">
        <v>13.62</v>
      </c>
      <c r="E65" s="64">
        <v>1.28</v>
      </c>
      <c r="F65" s="64">
        <v>1.61</v>
      </c>
      <c r="G65" s="64">
        <v>65.77</v>
      </c>
      <c r="H65" s="64">
        <v>22.25</v>
      </c>
      <c r="I65" s="64">
        <v>1.38</v>
      </c>
      <c r="J65" s="64">
        <v>1.41</v>
      </c>
      <c r="K65" s="64">
        <v>337.64</v>
      </c>
      <c r="L65" s="64">
        <v>31.48</v>
      </c>
      <c r="M65" s="64">
        <v>35.479999999999997</v>
      </c>
      <c r="N65" s="64">
        <v>220.4</v>
      </c>
      <c r="O65" s="64">
        <v>0</v>
      </c>
      <c r="P65" s="64">
        <v>0.57999999999999996</v>
      </c>
      <c r="Q65" s="64">
        <v>10.79</v>
      </c>
      <c r="R65" s="198"/>
      <c r="S65" s="198"/>
      <c r="T65" s="198"/>
      <c r="U65" s="198"/>
    </row>
    <row r="66" spans="1:21" s="12" customFormat="1" x14ac:dyDescent="0.25">
      <c r="A66" s="214" t="s">
        <v>687</v>
      </c>
      <c r="B66" s="64">
        <v>3.01</v>
      </c>
      <c r="C66" s="64">
        <v>18.97</v>
      </c>
      <c r="D66" s="64">
        <v>14.18</v>
      </c>
      <c r="E66" s="64">
        <v>0.74</v>
      </c>
      <c r="F66" s="64">
        <v>1.02</v>
      </c>
      <c r="G66" s="64">
        <v>66.17</v>
      </c>
      <c r="H66" s="64">
        <v>23.18</v>
      </c>
      <c r="I66" s="64">
        <v>1.55</v>
      </c>
      <c r="J66" s="64">
        <v>1.1399999999999999</v>
      </c>
      <c r="K66" s="64">
        <v>332.15</v>
      </c>
      <c r="L66" s="64">
        <v>31.19</v>
      </c>
      <c r="M66" s="64">
        <v>37.51</v>
      </c>
      <c r="N66" s="64">
        <v>206.9</v>
      </c>
      <c r="O66" s="64">
        <v>0</v>
      </c>
      <c r="P66" s="64">
        <v>0.61</v>
      </c>
      <c r="Q66" s="64">
        <v>11.05</v>
      </c>
      <c r="R66" s="198"/>
      <c r="S66" s="198"/>
      <c r="T66" s="198"/>
      <c r="U66" s="198"/>
    </row>
    <row r="67" spans="1:21" s="12" customFormat="1" x14ac:dyDescent="0.25">
      <c r="A67" s="214" t="s">
        <v>688</v>
      </c>
      <c r="B67" s="64">
        <v>3.15</v>
      </c>
      <c r="C67" s="64">
        <v>17.850000000000001</v>
      </c>
      <c r="D67" s="64">
        <v>13.67</v>
      </c>
      <c r="E67" s="64">
        <v>0.82</v>
      </c>
      <c r="F67" s="64">
        <v>1.24</v>
      </c>
      <c r="G67" s="64">
        <v>66.540000000000006</v>
      </c>
      <c r="H67" s="64">
        <v>23.58</v>
      </c>
      <c r="I67" s="64">
        <v>1.51</v>
      </c>
      <c r="J67" s="64">
        <v>1.03</v>
      </c>
      <c r="K67" s="64">
        <v>335.12</v>
      </c>
      <c r="L67" s="64">
        <v>30.81</v>
      </c>
      <c r="M67" s="64">
        <v>37.81</v>
      </c>
      <c r="N67" s="64">
        <v>117.5</v>
      </c>
      <c r="O67" s="64">
        <v>0</v>
      </c>
      <c r="P67" s="64">
        <v>0.59</v>
      </c>
      <c r="Q67" s="64">
        <v>9.64</v>
      </c>
      <c r="R67" s="198"/>
      <c r="S67" s="198"/>
      <c r="T67" s="198"/>
      <c r="U67" s="198"/>
    </row>
    <row r="68" spans="1:21" s="12" customFormat="1" x14ac:dyDescent="0.25">
      <c r="A68" s="214" t="s">
        <v>689</v>
      </c>
      <c r="B68" s="64">
        <v>3.25</v>
      </c>
      <c r="C68" s="64">
        <v>18.29</v>
      </c>
      <c r="D68" s="64">
        <v>13.99</v>
      </c>
      <c r="E68" s="64">
        <v>0.8</v>
      </c>
      <c r="F68" s="64">
        <v>1</v>
      </c>
      <c r="G68" s="64">
        <v>66.540000000000006</v>
      </c>
      <c r="H68" s="64">
        <v>23.58</v>
      </c>
      <c r="I68" s="64">
        <v>1.53</v>
      </c>
      <c r="J68" s="64">
        <v>0.8</v>
      </c>
      <c r="K68" s="64">
        <v>324.41000000000003</v>
      </c>
      <c r="L68" s="64">
        <v>30.46</v>
      </c>
      <c r="M68" s="64">
        <v>37.159999999999997</v>
      </c>
      <c r="N68" s="64">
        <v>97.3</v>
      </c>
      <c r="O68" s="64">
        <v>0</v>
      </c>
      <c r="P68" s="64">
        <v>0.59</v>
      </c>
      <c r="Q68" s="64">
        <v>10.37</v>
      </c>
      <c r="R68" s="198"/>
      <c r="S68" s="198"/>
      <c r="T68" s="198"/>
      <c r="U68" s="198"/>
    </row>
    <row r="69" spans="1:21" s="12" customFormat="1" x14ac:dyDescent="0.25">
      <c r="A69" s="214" t="s">
        <v>690</v>
      </c>
      <c r="B69" s="64">
        <v>3.1</v>
      </c>
      <c r="C69" s="64">
        <v>18.05</v>
      </c>
      <c r="D69" s="64">
        <v>13.74</v>
      </c>
      <c r="E69" s="64">
        <v>1.1200000000000001</v>
      </c>
      <c r="F69" s="64">
        <v>1.45</v>
      </c>
      <c r="G69" s="64">
        <v>66.540000000000006</v>
      </c>
      <c r="H69" s="64">
        <v>23.58</v>
      </c>
      <c r="I69" s="64">
        <v>1.52</v>
      </c>
      <c r="J69" s="64">
        <v>0.92</v>
      </c>
      <c r="K69" s="64">
        <v>329.31</v>
      </c>
      <c r="L69" s="64">
        <v>30.06</v>
      </c>
      <c r="M69" s="64">
        <v>37.22</v>
      </c>
      <c r="N69" s="64">
        <v>90.8</v>
      </c>
      <c r="O69" s="64">
        <v>0</v>
      </c>
      <c r="P69" s="64">
        <v>0.59</v>
      </c>
      <c r="Q69" s="64">
        <v>10.33</v>
      </c>
      <c r="R69" s="198"/>
      <c r="S69" s="198"/>
      <c r="T69" s="198"/>
      <c r="U69" s="198"/>
    </row>
    <row r="70" spans="1:21" s="12" customFormat="1" x14ac:dyDescent="0.25">
      <c r="A70" s="214" t="s">
        <v>691</v>
      </c>
      <c r="B70" s="64">
        <v>2.95</v>
      </c>
      <c r="C70" s="64">
        <v>18.04</v>
      </c>
      <c r="D70" s="64">
        <v>13.62</v>
      </c>
      <c r="E70" s="64">
        <v>1.56</v>
      </c>
      <c r="F70" s="64">
        <v>1.59</v>
      </c>
      <c r="G70" s="64">
        <v>66.88</v>
      </c>
      <c r="H70" s="64">
        <v>22.65</v>
      </c>
      <c r="I70" s="64">
        <v>1.49</v>
      </c>
      <c r="J70" s="64">
        <v>1.04</v>
      </c>
      <c r="K70" s="64">
        <v>321.70999999999998</v>
      </c>
      <c r="L70" s="64">
        <v>29.67</v>
      </c>
      <c r="M70" s="64">
        <v>37.96</v>
      </c>
      <c r="N70" s="64">
        <v>86.2</v>
      </c>
      <c r="O70" s="64">
        <v>0</v>
      </c>
      <c r="P70" s="64">
        <v>0.56999999999999995</v>
      </c>
      <c r="Q70" s="64">
        <v>10.63</v>
      </c>
      <c r="R70" s="198"/>
      <c r="S70" s="198"/>
      <c r="T70" s="198"/>
      <c r="U70" s="198"/>
    </row>
    <row r="71" spans="1:21" s="12" customFormat="1" x14ac:dyDescent="0.25">
      <c r="A71" s="214" t="s">
        <v>692</v>
      </c>
      <c r="B71" s="64">
        <v>2.89</v>
      </c>
      <c r="C71" s="64">
        <v>17.89</v>
      </c>
      <c r="D71" s="64">
        <v>13.48</v>
      </c>
      <c r="E71" s="64">
        <v>1.64</v>
      </c>
      <c r="F71" s="64">
        <v>1.68</v>
      </c>
      <c r="G71" s="64">
        <v>67.19</v>
      </c>
      <c r="H71" s="64">
        <v>22.25</v>
      </c>
      <c r="I71" s="64">
        <v>1.5</v>
      </c>
      <c r="J71" s="64">
        <v>1.32</v>
      </c>
      <c r="K71" s="64">
        <v>329.32</v>
      </c>
      <c r="L71" s="64">
        <v>29.39</v>
      </c>
      <c r="M71" s="64">
        <v>39.29</v>
      </c>
      <c r="N71" s="64">
        <v>79.2</v>
      </c>
      <c r="O71" s="64">
        <v>0</v>
      </c>
      <c r="P71" s="64">
        <v>0.56999999999999995</v>
      </c>
      <c r="Q71" s="64">
        <v>10.69</v>
      </c>
      <c r="R71" s="198"/>
      <c r="S71" s="198"/>
      <c r="T71" s="198"/>
      <c r="U71" s="198"/>
    </row>
    <row r="72" spans="1:21" s="12" customFormat="1" x14ac:dyDescent="0.25">
      <c r="A72" s="214" t="s">
        <v>693</v>
      </c>
      <c r="B72" s="64">
        <v>2.86</v>
      </c>
      <c r="C72" s="64">
        <v>17.739999999999998</v>
      </c>
      <c r="D72" s="64">
        <v>13.38</v>
      </c>
      <c r="E72" s="64">
        <v>0.52</v>
      </c>
      <c r="F72" s="64">
        <v>1.88</v>
      </c>
      <c r="G72" s="64">
        <v>67.19</v>
      </c>
      <c r="H72" s="64">
        <v>22.25</v>
      </c>
      <c r="I72" s="64">
        <v>1.44</v>
      </c>
      <c r="J72" s="64">
        <v>1.2</v>
      </c>
      <c r="K72" s="64">
        <v>334.92</v>
      </c>
      <c r="L72" s="64">
        <v>29.22</v>
      </c>
      <c r="M72" s="64">
        <v>40.72</v>
      </c>
      <c r="N72" s="64">
        <v>71</v>
      </c>
      <c r="O72" s="64">
        <v>0</v>
      </c>
      <c r="P72" s="64">
        <v>0.57999999999999996</v>
      </c>
      <c r="Q72" s="64">
        <v>10.59</v>
      </c>
      <c r="R72" s="198"/>
      <c r="S72" s="198"/>
      <c r="T72" s="198"/>
      <c r="U72" s="198"/>
    </row>
    <row r="73" spans="1:21" s="12" customFormat="1" x14ac:dyDescent="0.25">
      <c r="A73" s="214" t="s">
        <v>694</v>
      </c>
      <c r="B73" s="64">
        <v>2.81</v>
      </c>
      <c r="C73" s="64">
        <v>17.68</v>
      </c>
      <c r="D73" s="64">
        <v>13.3</v>
      </c>
      <c r="E73" s="64">
        <v>0.77</v>
      </c>
      <c r="F73" s="64">
        <v>1.31</v>
      </c>
      <c r="G73" s="64">
        <v>67.19</v>
      </c>
      <c r="H73" s="64">
        <v>22.25</v>
      </c>
      <c r="I73" s="64">
        <v>1.47</v>
      </c>
      <c r="J73" s="64">
        <v>1.1599999999999999</v>
      </c>
      <c r="K73" s="64">
        <v>330.5</v>
      </c>
      <c r="L73" s="64">
        <v>28.98</v>
      </c>
      <c r="M73" s="64">
        <v>40.869999999999997</v>
      </c>
      <c r="N73" s="64">
        <v>63.2</v>
      </c>
      <c r="O73" s="64">
        <v>0</v>
      </c>
      <c r="P73" s="64">
        <v>0.59</v>
      </c>
      <c r="Q73" s="64">
        <v>11.06</v>
      </c>
      <c r="R73" s="198"/>
      <c r="S73" s="198"/>
      <c r="T73" s="198"/>
      <c r="U73" s="198"/>
    </row>
    <row r="74" spans="1:21" s="12" customFormat="1" x14ac:dyDescent="0.25">
      <c r="A74" s="214" t="s">
        <v>695</v>
      </c>
      <c r="B74" s="64">
        <v>2.84</v>
      </c>
      <c r="C74" s="64">
        <v>17.329999999999998</v>
      </c>
      <c r="D74" s="64">
        <v>13.14</v>
      </c>
      <c r="E74" s="64">
        <v>0.94</v>
      </c>
      <c r="F74" s="64">
        <v>1.48</v>
      </c>
      <c r="G74" s="64">
        <v>65.86</v>
      </c>
      <c r="H74" s="64">
        <v>21.54</v>
      </c>
      <c r="I74" s="64">
        <v>1.46</v>
      </c>
      <c r="J74" s="64">
        <v>1.24</v>
      </c>
      <c r="K74" s="64">
        <v>325.87</v>
      </c>
      <c r="L74" s="64">
        <v>28.75</v>
      </c>
      <c r="M74" s="64">
        <v>41.23</v>
      </c>
      <c r="N74" s="64">
        <v>55.6</v>
      </c>
      <c r="O74" s="64">
        <v>0</v>
      </c>
      <c r="P74" s="64">
        <v>0.59</v>
      </c>
      <c r="Q74" s="64">
        <v>10.33</v>
      </c>
      <c r="R74" s="198"/>
      <c r="S74" s="198"/>
      <c r="T74" s="198"/>
      <c r="U74" s="198"/>
    </row>
    <row r="75" spans="1:21" s="12" customFormat="1" x14ac:dyDescent="0.25">
      <c r="A75" s="214" t="s">
        <v>696</v>
      </c>
      <c r="B75" s="64">
        <v>3</v>
      </c>
      <c r="C75" s="64">
        <v>17.84</v>
      </c>
      <c r="D75" s="64">
        <v>13.54</v>
      </c>
      <c r="E75" s="64">
        <v>1.61</v>
      </c>
      <c r="F75" s="64">
        <v>1.41</v>
      </c>
      <c r="G75" s="64">
        <v>64.650000000000006</v>
      </c>
      <c r="H75" s="64">
        <v>21.24</v>
      </c>
      <c r="I75" s="64">
        <v>1.55</v>
      </c>
      <c r="J75" s="64">
        <v>1.35</v>
      </c>
      <c r="K75" s="64">
        <v>333.05</v>
      </c>
      <c r="L75" s="64">
        <v>28.31</v>
      </c>
      <c r="M75" s="64">
        <v>42.69</v>
      </c>
      <c r="N75" s="64">
        <v>38.700000000000003</v>
      </c>
      <c r="O75" s="64">
        <v>0</v>
      </c>
      <c r="P75" s="64">
        <v>0.6</v>
      </c>
      <c r="Q75" s="64">
        <v>10.78</v>
      </c>
      <c r="R75" s="198"/>
      <c r="S75" s="198"/>
      <c r="T75" s="198"/>
      <c r="U75" s="198"/>
    </row>
    <row r="76" spans="1:21" s="12" customFormat="1" x14ac:dyDescent="0.25">
      <c r="A76" s="214" t="s">
        <v>697</v>
      </c>
      <c r="B76" s="64">
        <v>3.09</v>
      </c>
      <c r="C76" s="64">
        <v>18.12</v>
      </c>
      <c r="D76" s="64">
        <v>13.77</v>
      </c>
      <c r="E76" s="64">
        <v>1.2</v>
      </c>
      <c r="F76" s="64">
        <v>1.46</v>
      </c>
      <c r="G76" s="64">
        <v>64.650000000000006</v>
      </c>
      <c r="H76" s="64">
        <v>21.24</v>
      </c>
      <c r="I76" s="64">
        <v>1.49</v>
      </c>
      <c r="J76" s="64">
        <v>0.84</v>
      </c>
      <c r="K76" s="64">
        <v>331.79</v>
      </c>
      <c r="L76" s="64">
        <v>27.9</v>
      </c>
      <c r="M76" s="64">
        <v>44.49</v>
      </c>
      <c r="N76" s="64">
        <v>30</v>
      </c>
      <c r="O76" s="64">
        <v>0</v>
      </c>
      <c r="P76" s="64">
        <v>0.62</v>
      </c>
      <c r="Q76" s="64">
        <v>10.72</v>
      </c>
      <c r="R76" s="198"/>
      <c r="S76" s="198"/>
      <c r="T76" s="198"/>
      <c r="U76" s="198"/>
    </row>
    <row r="77" spans="1:21" s="12" customFormat="1" x14ac:dyDescent="0.25">
      <c r="A77" s="214" t="s">
        <v>698</v>
      </c>
      <c r="B77" s="64">
        <v>3.47</v>
      </c>
      <c r="C77" s="64">
        <v>18.53</v>
      </c>
      <c r="D77" s="64">
        <v>14.3</v>
      </c>
      <c r="E77" s="64">
        <v>1.1200000000000001</v>
      </c>
      <c r="F77" s="64">
        <v>0.81</v>
      </c>
      <c r="G77" s="64">
        <v>64.650000000000006</v>
      </c>
      <c r="H77" s="64">
        <v>21.24</v>
      </c>
      <c r="I77" s="64">
        <v>1.42</v>
      </c>
      <c r="J77" s="64">
        <v>0.47</v>
      </c>
      <c r="K77" s="64">
        <v>326.05</v>
      </c>
      <c r="L77" s="64">
        <v>27.4</v>
      </c>
      <c r="M77" s="64">
        <v>46.42</v>
      </c>
      <c r="N77" s="64">
        <v>18.899999999999999</v>
      </c>
      <c r="O77" s="64">
        <v>0</v>
      </c>
      <c r="P77" s="64">
        <v>0.77</v>
      </c>
      <c r="Q77" s="64">
        <v>11.09</v>
      </c>
      <c r="R77" s="198"/>
      <c r="S77" s="198"/>
      <c r="T77" s="198"/>
      <c r="U77" s="198"/>
    </row>
    <row r="78" spans="1:21" s="12" customFormat="1" x14ac:dyDescent="0.25">
      <c r="A78" s="214" t="s">
        <v>699</v>
      </c>
      <c r="B78" s="64">
        <v>3.93</v>
      </c>
      <c r="C78" s="64">
        <v>18.239999999999998</v>
      </c>
      <c r="D78" s="64">
        <v>14.51</v>
      </c>
      <c r="E78" s="64">
        <v>1.22</v>
      </c>
      <c r="F78" s="64">
        <v>0.57999999999999996</v>
      </c>
      <c r="G78" s="64">
        <v>67.069999999999993</v>
      </c>
      <c r="H78" s="64">
        <v>21.93</v>
      </c>
      <c r="I78" s="64">
        <v>1.53</v>
      </c>
      <c r="J78" s="64">
        <v>0.25</v>
      </c>
      <c r="K78" s="64">
        <v>349.76</v>
      </c>
      <c r="L78" s="64">
        <v>27.11</v>
      </c>
      <c r="M78" s="64">
        <v>46.66</v>
      </c>
      <c r="N78" s="64">
        <v>16.399999999999999</v>
      </c>
      <c r="O78" s="64">
        <v>0</v>
      </c>
      <c r="P78" s="64">
        <v>0.82</v>
      </c>
      <c r="Q78" s="64">
        <v>10.87</v>
      </c>
      <c r="R78" s="198"/>
      <c r="S78" s="198"/>
      <c r="T78" s="198"/>
      <c r="U78" s="198"/>
    </row>
    <row r="79" spans="1:21" s="12" customFormat="1" x14ac:dyDescent="0.25">
      <c r="A79" s="214" t="s">
        <v>700</v>
      </c>
      <c r="B79" s="64">
        <v>4.42</v>
      </c>
      <c r="C79" s="64">
        <v>17.95</v>
      </c>
      <c r="D79" s="64">
        <v>14.74</v>
      </c>
      <c r="E79" s="64">
        <v>0.64</v>
      </c>
      <c r="F79" s="64">
        <v>0.54</v>
      </c>
      <c r="G79" s="64">
        <v>69.28</v>
      </c>
      <c r="H79" s="64">
        <v>22.23</v>
      </c>
      <c r="I79" s="64">
        <v>1.47</v>
      </c>
      <c r="J79" s="64">
        <v>0.18</v>
      </c>
      <c r="K79" s="64">
        <v>341.41</v>
      </c>
      <c r="L79" s="64">
        <v>26.68</v>
      </c>
      <c r="M79" s="64">
        <v>49.16</v>
      </c>
      <c r="N79" s="64">
        <v>11.9</v>
      </c>
      <c r="O79" s="64">
        <v>0</v>
      </c>
      <c r="P79" s="64">
        <v>0.85</v>
      </c>
      <c r="Q79" s="64">
        <v>10.57</v>
      </c>
      <c r="R79" s="198"/>
      <c r="S79" s="198"/>
      <c r="T79" s="198"/>
      <c r="U79" s="198"/>
    </row>
    <row r="80" spans="1:21" s="12" customFormat="1" x14ac:dyDescent="0.25">
      <c r="A80" s="214" t="s">
        <v>701</v>
      </c>
      <c r="B80" s="64">
        <v>4.8499999999999996</v>
      </c>
      <c r="C80" s="64">
        <v>17.72</v>
      </c>
      <c r="D80" s="64">
        <v>14.96</v>
      </c>
      <c r="E80" s="64">
        <v>0.39</v>
      </c>
      <c r="F80" s="64">
        <v>0.54</v>
      </c>
      <c r="G80" s="64">
        <v>69.28</v>
      </c>
      <c r="H80" s="64">
        <v>22.23</v>
      </c>
      <c r="I80" s="64">
        <v>1.55</v>
      </c>
      <c r="J80" s="64">
        <v>7.0000000000000007E-2</v>
      </c>
      <c r="K80" s="64">
        <v>328.08</v>
      </c>
      <c r="L80" s="64">
        <v>26.42</v>
      </c>
      <c r="M80" s="64">
        <v>51.47</v>
      </c>
      <c r="N80" s="64">
        <v>9.1999999999999993</v>
      </c>
      <c r="O80" s="64">
        <v>0</v>
      </c>
      <c r="P80" s="64">
        <v>0.96</v>
      </c>
      <c r="Q80" s="64">
        <v>10.53</v>
      </c>
      <c r="R80" s="198"/>
      <c r="S80" s="198"/>
      <c r="T80" s="198"/>
      <c r="U80" s="198"/>
    </row>
    <row r="81" spans="1:26" s="12" customFormat="1" x14ac:dyDescent="0.25">
      <c r="A81" s="214" t="s">
        <v>702</v>
      </c>
      <c r="B81" s="64">
        <v>4.87</v>
      </c>
      <c r="C81" s="64">
        <v>17.71</v>
      </c>
      <c r="D81" s="64">
        <v>14.97</v>
      </c>
      <c r="E81" s="64">
        <v>0.92</v>
      </c>
      <c r="F81" s="64">
        <v>0.71</v>
      </c>
      <c r="G81" s="64">
        <v>69.28</v>
      </c>
      <c r="H81" s="64">
        <v>22.23</v>
      </c>
      <c r="I81" s="64">
        <v>1.54</v>
      </c>
      <c r="J81" s="64">
        <v>0.27</v>
      </c>
      <c r="K81" s="64">
        <v>17.05</v>
      </c>
      <c r="L81" s="64">
        <v>25.8</v>
      </c>
      <c r="M81" s="64">
        <v>59.1</v>
      </c>
      <c r="N81" s="64">
        <v>9.1999999999999993</v>
      </c>
      <c r="O81" s="64">
        <v>0</v>
      </c>
      <c r="P81" s="64">
        <v>0.73</v>
      </c>
      <c r="Q81" s="64">
        <v>10.83</v>
      </c>
      <c r="R81" s="198"/>
      <c r="S81" s="198"/>
      <c r="T81" s="198"/>
      <c r="U81" s="198"/>
    </row>
    <row r="82" spans="1:26" s="12" customFormat="1" x14ac:dyDescent="0.25">
      <c r="A82" s="214" t="s">
        <v>703</v>
      </c>
      <c r="B82" s="64">
        <v>4.45</v>
      </c>
      <c r="C82" s="64">
        <v>18.39</v>
      </c>
      <c r="D82" s="64">
        <v>15.01</v>
      </c>
      <c r="E82" s="64">
        <v>0.9</v>
      </c>
      <c r="F82" s="64">
        <v>0.84</v>
      </c>
      <c r="G82" s="64">
        <v>74.67</v>
      </c>
      <c r="H82" s="64">
        <v>23.85</v>
      </c>
      <c r="I82" s="64">
        <v>1.46</v>
      </c>
      <c r="J82" s="64">
        <v>0.28000000000000003</v>
      </c>
      <c r="K82" s="64">
        <v>22.69</v>
      </c>
      <c r="L82" s="64">
        <v>25.37</v>
      </c>
      <c r="M82" s="64">
        <v>61.52</v>
      </c>
      <c r="N82" s="64">
        <v>9</v>
      </c>
      <c r="O82" s="64">
        <v>0</v>
      </c>
      <c r="P82" s="64">
        <v>0.74</v>
      </c>
      <c r="Q82" s="64">
        <v>10.73</v>
      </c>
      <c r="R82" s="198"/>
      <c r="S82" s="198"/>
      <c r="T82" s="198"/>
      <c r="U82" s="198"/>
    </row>
    <row r="83" spans="1:26" s="12" customFormat="1" x14ac:dyDescent="0.25">
      <c r="A83" s="214" t="s">
        <v>704</v>
      </c>
      <c r="B83" s="64">
        <v>4.4400000000000004</v>
      </c>
      <c r="C83" s="64">
        <v>19.97</v>
      </c>
      <c r="D83" s="64">
        <v>15.87</v>
      </c>
      <c r="E83" s="64">
        <v>1.26</v>
      </c>
      <c r="F83" s="64">
        <v>0.56999999999999995</v>
      </c>
      <c r="G83" s="64">
        <v>79.599999999999994</v>
      </c>
      <c r="H83" s="64">
        <v>25.2</v>
      </c>
      <c r="I83" s="64">
        <v>1.47</v>
      </c>
      <c r="J83" s="64">
        <v>0.2</v>
      </c>
      <c r="K83" s="64">
        <v>26.23</v>
      </c>
      <c r="L83" s="64">
        <v>25.09</v>
      </c>
      <c r="M83" s="64">
        <v>61.56</v>
      </c>
      <c r="N83" s="64">
        <v>9</v>
      </c>
      <c r="O83" s="64">
        <v>0</v>
      </c>
      <c r="P83" s="64">
        <v>0.77</v>
      </c>
      <c r="Q83" s="64">
        <v>11.03</v>
      </c>
      <c r="R83" s="198"/>
      <c r="S83" s="198"/>
      <c r="T83" s="198"/>
      <c r="U83" s="198"/>
    </row>
    <row r="84" spans="1:26" s="12" customFormat="1" x14ac:dyDescent="0.25">
      <c r="A84" s="214" t="s">
        <v>705</v>
      </c>
      <c r="B84" s="64">
        <v>4.72</v>
      </c>
      <c r="C84" s="64">
        <v>20.12</v>
      </c>
      <c r="D84" s="64">
        <v>16.18</v>
      </c>
      <c r="E84" s="64">
        <v>1.43</v>
      </c>
      <c r="F84" s="64">
        <v>0.95</v>
      </c>
      <c r="G84" s="64">
        <v>79.599999999999994</v>
      </c>
      <c r="H84" s="64">
        <v>25.2</v>
      </c>
      <c r="I84" s="64">
        <v>1.44</v>
      </c>
      <c r="J84" s="64">
        <v>0.23</v>
      </c>
      <c r="K84" s="64">
        <v>27.35</v>
      </c>
      <c r="L84" s="64">
        <v>24.9</v>
      </c>
      <c r="M84" s="64">
        <v>63.44</v>
      </c>
      <c r="N84" s="64">
        <v>8.8000000000000007</v>
      </c>
      <c r="O84" s="64">
        <v>0</v>
      </c>
      <c r="P84" s="64">
        <v>0.8</v>
      </c>
      <c r="Q84" s="64">
        <v>10.86</v>
      </c>
      <c r="R84" s="198"/>
      <c r="S84" s="198"/>
      <c r="T84" s="198"/>
      <c r="U84" s="198"/>
    </row>
    <row r="85" spans="1:26" s="12" customFormat="1" x14ac:dyDescent="0.25">
      <c r="A85" s="214" t="s">
        <v>706</v>
      </c>
      <c r="B85" s="64">
        <v>4.75</v>
      </c>
      <c r="C85" s="64">
        <v>19.48</v>
      </c>
      <c r="D85" s="64">
        <v>15.86</v>
      </c>
      <c r="E85" s="64">
        <v>0.57999999999999996</v>
      </c>
      <c r="F85" s="64">
        <v>0.75</v>
      </c>
      <c r="G85" s="64">
        <v>79.599999999999994</v>
      </c>
      <c r="H85" s="64">
        <v>25.2</v>
      </c>
      <c r="I85" s="64">
        <v>1.5</v>
      </c>
      <c r="J85" s="64">
        <v>0.12</v>
      </c>
      <c r="K85" s="64">
        <v>19.16</v>
      </c>
      <c r="L85" s="64">
        <v>24.57</v>
      </c>
      <c r="M85" s="64">
        <v>65.319999999999993</v>
      </c>
      <c r="N85" s="64">
        <v>8.8000000000000007</v>
      </c>
      <c r="O85" s="64">
        <v>0</v>
      </c>
      <c r="P85" s="64">
        <v>0.83</v>
      </c>
      <c r="Q85" s="64">
        <v>11.47</v>
      </c>
      <c r="R85" s="198"/>
      <c r="S85" s="198"/>
      <c r="T85" s="198"/>
      <c r="U85" s="198"/>
    </row>
    <row r="86" spans="1:26" s="12" customFormat="1" x14ac:dyDescent="0.25">
      <c r="A86" s="214" t="s">
        <v>707</v>
      </c>
      <c r="B86" s="64">
        <v>4.78</v>
      </c>
      <c r="C86" s="64">
        <v>18.96</v>
      </c>
      <c r="D86" s="64">
        <v>15.59</v>
      </c>
      <c r="E86" s="64">
        <v>1.2</v>
      </c>
      <c r="F86" s="64">
        <v>0.63</v>
      </c>
      <c r="G86" s="64">
        <v>83.69</v>
      </c>
      <c r="H86" s="64">
        <v>25.2</v>
      </c>
      <c r="I86" s="64">
        <v>1.47</v>
      </c>
      <c r="J86" s="64">
        <v>0.15</v>
      </c>
      <c r="K86" s="64">
        <v>22.37</v>
      </c>
      <c r="L86" s="64">
        <v>24.41</v>
      </c>
      <c r="M86" s="64">
        <v>65.75</v>
      </c>
      <c r="N86" s="64">
        <v>8.8000000000000007</v>
      </c>
      <c r="O86" s="64">
        <v>0</v>
      </c>
      <c r="P86" s="64">
        <v>0.87</v>
      </c>
      <c r="Q86" s="64">
        <v>11.62</v>
      </c>
      <c r="R86" s="198"/>
      <c r="S86" s="198"/>
      <c r="T86" s="198"/>
      <c r="U86" s="198"/>
    </row>
    <row r="87" spans="1:26" s="12" customFormat="1" x14ac:dyDescent="0.25">
      <c r="A87" s="214" t="s">
        <v>708</v>
      </c>
      <c r="B87" s="64">
        <v>4.4800000000000004</v>
      </c>
      <c r="C87" s="64">
        <v>18.579999999999998</v>
      </c>
      <c r="D87" s="64">
        <v>15.14</v>
      </c>
      <c r="E87" s="64">
        <v>0.9</v>
      </c>
      <c r="F87" s="64">
        <v>0.61</v>
      </c>
      <c r="G87" s="64">
        <v>87.43</v>
      </c>
      <c r="H87" s="64">
        <v>25.21</v>
      </c>
      <c r="I87" s="64">
        <v>1.53</v>
      </c>
      <c r="J87" s="64">
        <v>0.15</v>
      </c>
      <c r="K87" s="64">
        <v>21.17</v>
      </c>
      <c r="L87" s="64">
        <v>24.18</v>
      </c>
      <c r="M87" s="64">
        <v>67.709999999999994</v>
      </c>
      <c r="N87" s="64">
        <v>8.9</v>
      </c>
      <c r="O87" s="64">
        <v>0</v>
      </c>
      <c r="P87" s="64">
        <v>0.88</v>
      </c>
      <c r="Q87" s="64">
        <v>11.54</v>
      </c>
      <c r="R87" s="198"/>
      <c r="S87" s="198"/>
      <c r="T87" s="198"/>
      <c r="U87" s="198"/>
    </row>
    <row r="88" spans="1:26" s="12" customFormat="1" x14ac:dyDescent="0.25">
      <c r="A88" s="214" t="s">
        <v>709</v>
      </c>
      <c r="B88" s="64">
        <v>4.26</v>
      </c>
      <c r="C88" s="64">
        <v>17.66</v>
      </c>
      <c r="D88" s="64">
        <v>14.46</v>
      </c>
      <c r="E88" s="64">
        <v>1.21</v>
      </c>
      <c r="F88" s="64">
        <v>0.55000000000000004</v>
      </c>
      <c r="G88" s="64">
        <v>87.43</v>
      </c>
      <c r="H88" s="64">
        <v>25.21</v>
      </c>
      <c r="I88" s="64">
        <v>1.51</v>
      </c>
      <c r="J88" s="64">
        <v>0.14000000000000001</v>
      </c>
      <c r="K88" s="64">
        <v>25.32</v>
      </c>
      <c r="L88" s="64">
        <v>24</v>
      </c>
      <c r="M88" s="64">
        <v>69.06</v>
      </c>
      <c r="N88" s="64">
        <v>8.6999999999999993</v>
      </c>
      <c r="O88" s="64">
        <v>0</v>
      </c>
      <c r="P88" s="64">
        <v>0.91</v>
      </c>
      <c r="Q88" s="64">
        <v>11.63</v>
      </c>
      <c r="R88" s="198"/>
      <c r="S88" s="198"/>
      <c r="T88" s="198"/>
      <c r="U88" s="198"/>
    </row>
    <row r="89" spans="1:26" s="12" customFormat="1" x14ac:dyDescent="0.25">
      <c r="A89" s="214" t="s">
        <v>710</v>
      </c>
      <c r="B89" s="64">
        <v>4.08</v>
      </c>
      <c r="C89" s="64">
        <v>17.489999999999998</v>
      </c>
      <c r="D89" s="64">
        <v>14.22</v>
      </c>
      <c r="E89" s="64">
        <v>1.6</v>
      </c>
      <c r="F89" s="64">
        <v>0.44</v>
      </c>
      <c r="G89" s="64">
        <v>87.43</v>
      </c>
      <c r="H89" s="64">
        <v>25.21</v>
      </c>
      <c r="I89" s="64">
        <v>1.5</v>
      </c>
      <c r="J89" s="64">
        <v>0.13</v>
      </c>
      <c r="K89" s="64">
        <v>16.93</v>
      </c>
      <c r="L89" s="64">
        <v>23.89</v>
      </c>
      <c r="M89" s="64">
        <v>70.260000000000005</v>
      </c>
      <c r="N89" s="64">
        <v>8.6999999999999993</v>
      </c>
      <c r="O89" s="64">
        <v>0</v>
      </c>
      <c r="P89" s="64">
        <v>0.99</v>
      </c>
      <c r="Q89" s="64">
        <v>11.67</v>
      </c>
      <c r="R89" s="198"/>
      <c r="S89" s="198"/>
      <c r="T89" s="198"/>
      <c r="U89" s="198"/>
    </row>
    <row r="90" spans="1:26" s="12" customFormat="1" x14ac:dyDescent="0.25">
      <c r="A90" s="214" t="s">
        <v>711</v>
      </c>
      <c r="B90" s="64">
        <v>4.26</v>
      </c>
      <c r="C90" s="64">
        <v>16.47</v>
      </c>
      <c r="D90" s="64">
        <v>13.79</v>
      </c>
      <c r="E90" s="64">
        <v>1.54</v>
      </c>
      <c r="F90" s="64">
        <v>0.49</v>
      </c>
      <c r="G90" s="64">
        <v>88.2</v>
      </c>
      <c r="H90" s="64">
        <v>27.04</v>
      </c>
      <c r="I90" s="64">
        <v>1.56</v>
      </c>
      <c r="J90" s="64">
        <v>0.17</v>
      </c>
      <c r="K90" s="64">
        <v>24.29</v>
      </c>
      <c r="L90" s="64">
        <v>23.78</v>
      </c>
      <c r="M90" s="64">
        <v>71.33</v>
      </c>
      <c r="N90" s="64">
        <v>8.6999999999999993</v>
      </c>
      <c r="O90" s="64">
        <v>0</v>
      </c>
      <c r="P90" s="64">
        <v>1.03</v>
      </c>
      <c r="Q90" s="64">
        <v>11.11</v>
      </c>
      <c r="R90" s="198"/>
      <c r="S90" s="198"/>
      <c r="T90" s="198"/>
      <c r="U90" s="198"/>
    </row>
    <row r="91" spans="1:26" s="12" customFormat="1" x14ac:dyDescent="0.25">
      <c r="A91" s="214" t="s">
        <v>712</v>
      </c>
      <c r="B91" s="64">
        <v>4.71</v>
      </c>
      <c r="C91" s="64">
        <v>16.29</v>
      </c>
      <c r="D91" s="64">
        <v>14.06</v>
      </c>
      <c r="E91" s="64">
        <v>1.1000000000000001</v>
      </c>
      <c r="F91" s="64">
        <v>0.37</v>
      </c>
      <c r="G91" s="64">
        <v>88.91</v>
      </c>
      <c r="H91" s="64">
        <v>27.81</v>
      </c>
      <c r="I91" s="64">
        <v>1.48</v>
      </c>
      <c r="J91" s="64">
        <v>0.12</v>
      </c>
      <c r="K91" s="64">
        <v>11.76</v>
      </c>
      <c r="L91" s="64">
        <v>23.64</v>
      </c>
      <c r="M91" s="64">
        <v>72.62</v>
      </c>
      <c r="N91" s="64">
        <v>8.8000000000000007</v>
      </c>
      <c r="O91" s="64">
        <v>0</v>
      </c>
      <c r="P91" s="64">
        <v>1.19</v>
      </c>
      <c r="Q91" s="64">
        <v>11.15</v>
      </c>
      <c r="R91" s="198"/>
      <c r="S91" s="198"/>
      <c r="T91" s="198"/>
      <c r="U91" s="198"/>
    </row>
    <row r="92" spans="1:26" s="12" customFormat="1" x14ac:dyDescent="0.25">
      <c r="A92" s="214" t="s">
        <v>713</v>
      </c>
      <c r="B92" s="64">
        <v>5.45</v>
      </c>
      <c r="C92" s="64">
        <v>16.05</v>
      </c>
      <c r="D92" s="64">
        <v>14.52</v>
      </c>
      <c r="E92" s="64">
        <v>1.32</v>
      </c>
      <c r="F92" s="64">
        <v>0.3</v>
      </c>
      <c r="G92" s="64">
        <v>88.91</v>
      </c>
      <c r="H92" s="64">
        <v>27.81</v>
      </c>
      <c r="I92" s="64">
        <v>1.47</v>
      </c>
      <c r="J92" s="64">
        <v>0.09</v>
      </c>
      <c r="K92" s="64">
        <v>206.67</v>
      </c>
      <c r="L92" s="64">
        <v>23.4</v>
      </c>
      <c r="M92" s="64">
        <v>74.59</v>
      </c>
      <c r="N92" s="64">
        <v>8.8000000000000007</v>
      </c>
      <c r="O92" s="64">
        <v>0</v>
      </c>
      <c r="P92" s="64">
        <v>1.1000000000000001</v>
      </c>
      <c r="Q92" s="64">
        <v>11.22</v>
      </c>
      <c r="R92" s="198"/>
      <c r="S92" s="198"/>
      <c r="T92" s="198"/>
      <c r="U92" s="198"/>
    </row>
    <row r="93" spans="1:26" s="12" customFormat="1" x14ac:dyDescent="0.25">
      <c r="A93" s="214" t="s">
        <v>714</v>
      </c>
      <c r="B93" s="64">
        <v>5.82</v>
      </c>
      <c r="C93" s="64">
        <v>15.49</v>
      </c>
      <c r="D93" s="64">
        <v>14.51</v>
      </c>
      <c r="E93" s="64">
        <v>1.68</v>
      </c>
      <c r="F93" s="64">
        <v>0.54</v>
      </c>
      <c r="G93" s="64">
        <v>88.91</v>
      </c>
      <c r="H93" s="64">
        <v>27.81</v>
      </c>
      <c r="I93" s="64">
        <v>1.56</v>
      </c>
      <c r="J93" s="64">
        <v>0.02</v>
      </c>
      <c r="K93" s="64">
        <v>18.010000000000002</v>
      </c>
      <c r="L93" s="64">
        <v>23.1</v>
      </c>
      <c r="M93" s="64">
        <v>76.67</v>
      </c>
      <c r="N93" s="64">
        <v>8.8000000000000007</v>
      </c>
      <c r="O93" s="64">
        <v>0</v>
      </c>
      <c r="P93" s="64">
        <v>1</v>
      </c>
      <c r="Q93" s="64">
        <v>11.4</v>
      </c>
      <c r="R93" s="198"/>
      <c r="S93" s="198"/>
      <c r="T93" s="198"/>
      <c r="U93" s="198"/>
    </row>
    <row r="94" spans="1:26" s="12" customFormat="1" x14ac:dyDescent="0.25">
      <c r="A94" s="214" t="s">
        <v>715</v>
      </c>
      <c r="B94" s="64">
        <v>5.81</v>
      </c>
      <c r="C94" s="64">
        <v>15.26</v>
      </c>
      <c r="D94" s="64">
        <v>14.38</v>
      </c>
      <c r="E94" s="64">
        <v>1.36</v>
      </c>
      <c r="F94" s="64">
        <v>0.66</v>
      </c>
      <c r="G94" s="64">
        <v>90</v>
      </c>
      <c r="H94" s="64">
        <v>29.41</v>
      </c>
      <c r="I94" s="64">
        <v>1.52</v>
      </c>
      <c r="J94" s="64">
        <v>0.06</v>
      </c>
      <c r="K94" s="64">
        <v>31.67</v>
      </c>
      <c r="L94" s="64">
        <v>23.05</v>
      </c>
      <c r="M94" s="64">
        <v>76.3</v>
      </c>
      <c r="N94" s="64">
        <v>8.8000000000000007</v>
      </c>
      <c r="O94" s="64">
        <v>0</v>
      </c>
      <c r="P94" s="64">
        <v>1.02</v>
      </c>
      <c r="Q94" s="64">
        <v>11.24</v>
      </c>
      <c r="R94" s="198"/>
      <c r="S94" s="198"/>
      <c r="T94" s="198"/>
      <c r="U94" s="198"/>
    </row>
    <row r="95" spans="1:26" s="12" customFormat="1" x14ac:dyDescent="0.25">
      <c r="A95" s="214" t="s">
        <v>716</v>
      </c>
      <c r="B95" s="64">
        <v>5.86</v>
      </c>
      <c r="C95" s="64">
        <v>16.2</v>
      </c>
      <c r="D95" s="64">
        <v>14.93</v>
      </c>
      <c r="E95" s="64">
        <v>1.37</v>
      </c>
      <c r="F95" s="64">
        <v>0.37</v>
      </c>
      <c r="G95" s="64">
        <v>90.99</v>
      </c>
      <c r="H95" s="64">
        <v>30.09</v>
      </c>
      <c r="I95" s="64">
        <v>1.53</v>
      </c>
      <c r="J95" s="64">
        <v>0.09</v>
      </c>
      <c r="K95" s="64">
        <v>21.49</v>
      </c>
      <c r="L95" s="64">
        <v>22.97</v>
      </c>
      <c r="M95" s="64">
        <v>76.61</v>
      </c>
      <c r="N95" s="64">
        <v>8.5</v>
      </c>
      <c r="O95" s="64">
        <v>0</v>
      </c>
      <c r="P95" s="64">
        <v>1.05</v>
      </c>
      <c r="Q95" s="64">
        <v>11.77</v>
      </c>
      <c r="R95" s="198"/>
      <c r="S95" s="198"/>
      <c r="T95" s="198"/>
      <c r="U95" s="198"/>
    </row>
    <row r="96" spans="1:26" s="12" customFormat="1" x14ac:dyDescent="0.25">
      <c r="A96" s="214" t="s">
        <v>717</v>
      </c>
      <c r="B96" s="64">
        <v>5.9</v>
      </c>
      <c r="C96" s="64">
        <v>15.54</v>
      </c>
      <c r="D96" s="64">
        <v>14.6</v>
      </c>
      <c r="E96" s="64">
        <v>2.04</v>
      </c>
      <c r="F96" s="64">
        <v>0.48</v>
      </c>
      <c r="G96" s="64">
        <v>90.99</v>
      </c>
      <c r="H96" s="64">
        <v>30.09</v>
      </c>
      <c r="I96" s="64">
        <v>1.53</v>
      </c>
      <c r="J96" s="64">
        <v>0.03</v>
      </c>
      <c r="K96" s="64">
        <v>347.23</v>
      </c>
      <c r="L96" s="64">
        <v>22.85</v>
      </c>
      <c r="M96" s="64">
        <v>78.05</v>
      </c>
      <c r="N96" s="64">
        <v>8.6</v>
      </c>
      <c r="O96" s="64">
        <v>0</v>
      </c>
      <c r="P96" s="64">
        <v>1.07</v>
      </c>
      <c r="Q96" s="64">
        <v>11.97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718</v>
      </c>
      <c r="B97" s="64">
        <v>6.1</v>
      </c>
      <c r="C97" s="64">
        <v>15.18</v>
      </c>
      <c r="D97" s="64">
        <v>14.56</v>
      </c>
      <c r="E97" s="64">
        <v>1.86</v>
      </c>
      <c r="F97" s="64">
        <v>0.38</v>
      </c>
      <c r="G97" s="64">
        <v>90.99</v>
      </c>
      <c r="H97" s="64">
        <v>30.09</v>
      </c>
      <c r="I97" s="64">
        <v>1.48</v>
      </c>
      <c r="J97" s="64">
        <v>0.09</v>
      </c>
      <c r="K97" s="64">
        <v>221.8</v>
      </c>
      <c r="L97" s="64">
        <v>22.64</v>
      </c>
      <c r="M97" s="64">
        <v>79.48</v>
      </c>
      <c r="N97" s="64">
        <v>8.6999999999999993</v>
      </c>
      <c r="O97" s="64">
        <v>0</v>
      </c>
      <c r="P97" s="64">
        <v>1.0900000000000001</v>
      </c>
      <c r="Q97" s="64">
        <v>11.85</v>
      </c>
      <c r="R97" s="198"/>
      <c r="S97" s="198"/>
      <c r="T97" s="198"/>
      <c r="U97" s="198"/>
    </row>
    <row r="98" spans="1:33" s="12" customFormat="1" x14ac:dyDescent="0.25">
      <c r="A98" s="214" t="s">
        <v>719</v>
      </c>
      <c r="B98" s="64">
        <v>6.12</v>
      </c>
      <c r="C98" s="64">
        <v>14.44</v>
      </c>
      <c r="D98" s="64">
        <v>14.17</v>
      </c>
      <c r="E98" s="64">
        <v>1.58</v>
      </c>
      <c r="F98" s="64">
        <v>0.3</v>
      </c>
      <c r="G98" s="64">
        <v>91.64</v>
      </c>
      <c r="H98" s="64">
        <v>30.56</v>
      </c>
      <c r="I98" s="64">
        <v>1.52</v>
      </c>
      <c r="J98" s="64">
        <v>7.0000000000000007E-2</v>
      </c>
      <c r="K98" s="64">
        <v>327.47000000000003</v>
      </c>
      <c r="L98" s="64">
        <v>22.5</v>
      </c>
      <c r="M98" s="64">
        <v>79.680000000000007</v>
      </c>
      <c r="N98" s="64">
        <v>8.6999999999999993</v>
      </c>
      <c r="O98" s="64">
        <v>0</v>
      </c>
      <c r="P98" s="64">
        <v>1.08</v>
      </c>
      <c r="Q98" s="64">
        <v>12.13</v>
      </c>
      <c r="R98" s="198"/>
      <c r="S98" s="198"/>
      <c r="T98" s="198"/>
      <c r="U98" s="198"/>
    </row>
    <row r="99" spans="1:33" s="12" customFormat="1" x14ac:dyDescent="0.25">
      <c r="A99" s="214" t="s">
        <v>720</v>
      </c>
      <c r="B99" s="64">
        <v>6.49</v>
      </c>
      <c r="C99" s="64">
        <v>14.12</v>
      </c>
      <c r="D99" s="64">
        <v>14.29</v>
      </c>
      <c r="E99" s="64">
        <v>2.11</v>
      </c>
      <c r="F99" s="64">
        <v>0.5</v>
      </c>
      <c r="G99" s="64">
        <v>92.24</v>
      </c>
      <c r="H99" s="64">
        <v>30.76</v>
      </c>
      <c r="I99" s="64">
        <v>1.55</v>
      </c>
      <c r="J99" s="64">
        <v>0.03</v>
      </c>
      <c r="K99" s="64">
        <v>254.52</v>
      </c>
      <c r="L99" s="64">
        <v>22.42</v>
      </c>
      <c r="M99" s="64">
        <v>79.25</v>
      </c>
      <c r="N99" s="64">
        <v>8.8000000000000007</v>
      </c>
      <c r="O99" s="64">
        <v>0</v>
      </c>
      <c r="P99" s="64">
        <v>1.0900000000000001</v>
      </c>
      <c r="Q99" s="64">
        <v>12.03</v>
      </c>
      <c r="R99" s="198"/>
      <c r="S99" s="198"/>
      <c r="T99" s="198"/>
      <c r="U99" s="198"/>
    </row>
    <row r="100" spans="1:33" s="12" customFormat="1" x14ac:dyDescent="0.25">
      <c r="A100" s="214" t="s">
        <v>721</v>
      </c>
      <c r="B100" s="64">
        <v>7.01</v>
      </c>
      <c r="C100" s="64">
        <v>14.34</v>
      </c>
      <c r="D100" s="64">
        <v>14.83</v>
      </c>
      <c r="E100" s="64">
        <v>1.76</v>
      </c>
      <c r="F100" s="64">
        <v>0.43</v>
      </c>
      <c r="G100" s="64">
        <v>92.24</v>
      </c>
      <c r="H100" s="64">
        <v>30.76</v>
      </c>
      <c r="I100" s="64">
        <v>1.52</v>
      </c>
      <c r="J100" s="64">
        <v>0.01</v>
      </c>
      <c r="K100" s="64">
        <v>326.73</v>
      </c>
      <c r="L100" s="64">
        <v>22.75</v>
      </c>
      <c r="M100" s="64">
        <v>76.66</v>
      </c>
      <c r="N100" s="64">
        <v>8.4</v>
      </c>
      <c r="O100" s="64">
        <v>0</v>
      </c>
      <c r="P100" s="64">
        <v>1.08</v>
      </c>
      <c r="Q100" s="64">
        <v>12.25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722</v>
      </c>
      <c r="B101" s="64">
        <v>7.08</v>
      </c>
      <c r="C101" s="64">
        <v>14.12</v>
      </c>
      <c r="D101" s="64">
        <v>14.77</v>
      </c>
      <c r="E101" s="64">
        <v>1.23</v>
      </c>
      <c r="F101" s="64">
        <v>0.36</v>
      </c>
      <c r="G101" s="64">
        <v>92.24</v>
      </c>
      <c r="H101" s="64">
        <v>30.76</v>
      </c>
      <c r="I101" s="64">
        <v>1.51</v>
      </c>
      <c r="J101" s="64">
        <v>0.03</v>
      </c>
      <c r="K101" s="64">
        <v>258.47000000000003</v>
      </c>
      <c r="L101" s="64">
        <v>22.85</v>
      </c>
      <c r="M101" s="64">
        <v>77.14</v>
      </c>
      <c r="N101" s="64">
        <v>8.5</v>
      </c>
      <c r="O101" s="64">
        <v>0</v>
      </c>
      <c r="P101" s="64">
        <v>1.05</v>
      </c>
      <c r="Q101" s="64">
        <v>12.73</v>
      </c>
      <c r="R101" s="198"/>
      <c r="S101" s="198"/>
      <c r="T101" s="198"/>
      <c r="U101" s="198"/>
    </row>
    <row r="102" spans="1:33" s="12" customFormat="1" x14ac:dyDescent="0.25">
      <c r="A102" s="214" t="s">
        <v>723</v>
      </c>
      <c r="B102" s="64">
        <v>7.25</v>
      </c>
      <c r="C102" s="64">
        <v>13.23</v>
      </c>
      <c r="D102" s="64">
        <v>14.4</v>
      </c>
      <c r="E102" s="64">
        <v>2.4900000000000002</v>
      </c>
      <c r="F102" s="64">
        <v>0.49</v>
      </c>
      <c r="G102" s="64">
        <v>92.34</v>
      </c>
      <c r="H102" s="64">
        <v>31.65</v>
      </c>
      <c r="I102" s="64">
        <v>1.51</v>
      </c>
      <c r="J102" s="64">
        <v>0.04</v>
      </c>
      <c r="K102" s="64">
        <v>314.27999999999997</v>
      </c>
      <c r="L102" s="64">
        <v>22.52</v>
      </c>
      <c r="M102" s="64">
        <v>79.73</v>
      </c>
      <c r="N102" s="64">
        <v>9</v>
      </c>
      <c r="O102" s="64">
        <v>0</v>
      </c>
      <c r="P102" s="64">
        <v>1.05</v>
      </c>
      <c r="Q102" s="64">
        <v>12.49</v>
      </c>
      <c r="R102" s="198"/>
      <c r="S102" s="198"/>
      <c r="T102" s="198"/>
      <c r="U102" s="198"/>
    </row>
    <row r="103" spans="1:33" s="12" customFormat="1" x14ac:dyDescent="0.25">
      <c r="A103" s="214" t="s">
        <v>724</v>
      </c>
      <c r="B103" s="64">
        <v>7.66</v>
      </c>
      <c r="C103" s="64">
        <v>13.55</v>
      </c>
      <c r="D103" s="64">
        <v>14.91</v>
      </c>
      <c r="E103" s="64">
        <v>1.99</v>
      </c>
      <c r="F103" s="64">
        <v>0.09</v>
      </c>
      <c r="G103" s="64">
        <v>92.43</v>
      </c>
      <c r="H103" s="64">
        <v>32.03</v>
      </c>
      <c r="I103" s="64">
        <v>1.49</v>
      </c>
      <c r="J103" s="64">
        <v>0.11</v>
      </c>
      <c r="K103" s="64">
        <v>332.75</v>
      </c>
      <c r="L103" s="64">
        <v>22.25</v>
      </c>
      <c r="M103" s="64">
        <v>81.78</v>
      </c>
      <c r="N103" s="64">
        <v>8.8000000000000007</v>
      </c>
      <c r="O103" s="64">
        <v>0</v>
      </c>
      <c r="P103" s="64">
        <v>1.1000000000000001</v>
      </c>
      <c r="Q103" s="64">
        <v>12.59</v>
      </c>
      <c r="R103" s="198"/>
      <c r="S103" s="198"/>
      <c r="T103" s="198"/>
      <c r="U103" s="198"/>
    </row>
    <row r="104" spans="1:33" s="12" customFormat="1" x14ac:dyDescent="0.25">
      <c r="A104" s="214" t="s">
        <v>725</v>
      </c>
      <c r="B104" s="64">
        <v>7.97</v>
      </c>
      <c r="C104" s="64">
        <v>13.35</v>
      </c>
      <c r="D104" s="64">
        <v>15.05</v>
      </c>
      <c r="E104" s="64">
        <v>0.19</v>
      </c>
      <c r="F104" s="64">
        <v>0.35</v>
      </c>
      <c r="G104" s="64">
        <v>92.43</v>
      </c>
      <c r="H104" s="64">
        <v>32.03</v>
      </c>
      <c r="I104" s="64">
        <v>1.51</v>
      </c>
      <c r="J104" s="64">
        <v>0.06</v>
      </c>
      <c r="K104" s="64">
        <v>217.54</v>
      </c>
      <c r="L104" s="64">
        <v>21.97</v>
      </c>
      <c r="M104" s="64">
        <v>82.31</v>
      </c>
      <c r="N104" s="64">
        <v>9</v>
      </c>
      <c r="O104" s="64">
        <v>0</v>
      </c>
      <c r="P104" s="64">
        <v>1.08</v>
      </c>
      <c r="Q104" s="64">
        <v>12.54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2.5099999999999998</v>
      </c>
      <c r="C106" s="67">
        <f>MIN(C9:C104)</f>
        <v>12.08</v>
      </c>
      <c r="D106" s="67">
        <f t="shared" ref="D106:Q106" si="0">MIN(D9:D104)</f>
        <v>12.1</v>
      </c>
      <c r="E106" s="67">
        <f t="shared" si="0"/>
        <v>0.19</v>
      </c>
      <c r="F106" s="67">
        <f t="shared" si="0"/>
        <v>0.09</v>
      </c>
      <c r="G106" s="67">
        <f t="shared" si="0"/>
        <v>64.650000000000006</v>
      </c>
      <c r="H106" s="67">
        <f t="shared" si="0"/>
        <v>21.24</v>
      </c>
      <c r="I106" s="67">
        <f t="shared" si="0"/>
        <v>1.38</v>
      </c>
      <c r="J106" s="67">
        <f t="shared" si="0"/>
        <v>0.01</v>
      </c>
      <c r="K106" s="67">
        <f t="shared" si="0"/>
        <v>3.44</v>
      </c>
      <c r="L106" s="67">
        <f t="shared" si="0"/>
        <v>19.8</v>
      </c>
      <c r="M106" s="67">
        <f t="shared" si="0"/>
        <v>29.77</v>
      </c>
      <c r="N106" s="67">
        <f t="shared" si="0"/>
        <v>8.4</v>
      </c>
      <c r="O106" s="67">
        <f t="shared" si="0"/>
        <v>0</v>
      </c>
      <c r="P106" s="67">
        <f t="shared" si="0"/>
        <v>0.56999999999999995</v>
      </c>
      <c r="Q106" s="67">
        <f t="shared" si="0"/>
        <v>9.64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8.11</v>
      </c>
      <c r="C107" s="66">
        <f t="shared" ref="C107:Q107" si="1">MAX(C9:C104)</f>
        <v>20.12</v>
      </c>
      <c r="D107" s="66">
        <f t="shared" si="1"/>
        <v>16.18</v>
      </c>
      <c r="E107" s="66">
        <f t="shared" si="1"/>
        <v>4.9400000000000004</v>
      </c>
      <c r="F107" s="66">
        <f t="shared" si="1"/>
        <v>2.4700000000000002</v>
      </c>
      <c r="G107" s="66">
        <f t="shared" si="1"/>
        <v>95.55</v>
      </c>
      <c r="H107" s="66">
        <f t="shared" si="1"/>
        <v>32.520000000000003</v>
      </c>
      <c r="I107" s="66">
        <f t="shared" si="1"/>
        <v>1.56</v>
      </c>
      <c r="J107" s="66">
        <f t="shared" si="1"/>
        <v>2.27</v>
      </c>
      <c r="K107" s="66">
        <f t="shared" si="1"/>
        <v>357.87</v>
      </c>
      <c r="L107" s="66">
        <f t="shared" si="1"/>
        <v>34.549999999999997</v>
      </c>
      <c r="M107" s="66">
        <f t="shared" si="1"/>
        <v>95.94</v>
      </c>
      <c r="N107" s="66">
        <f t="shared" si="1"/>
        <v>945</v>
      </c>
      <c r="O107" s="66">
        <f t="shared" si="1"/>
        <v>0</v>
      </c>
      <c r="P107" s="66">
        <f t="shared" si="1"/>
        <v>1.25</v>
      </c>
      <c r="Q107" s="66">
        <f t="shared" si="1"/>
        <v>13.37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4.8964583333333325</v>
      </c>
      <c r="C108" s="67">
        <f t="shared" ref="C108:Q108" si="2">AVERAGE(C9:C104)</f>
        <v>16.057812499999997</v>
      </c>
      <c r="D108" s="67">
        <f t="shared" si="2"/>
        <v>14.081041666666664</v>
      </c>
      <c r="E108" s="67">
        <f t="shared" si="2"/>
        <v>1.3692708333333334</v>
      </c>
      <c r="F108" s="67">
        <f t="shared" si="2"/>
        <v>0.84624999999999995</v>
      </c>
      <c r="G108" s="67">
        <f t="shared" si="2"/>
        <v>79.456770833333294</v>
      </c>
      <c r="H108" s="67">
        <f t="shared" si="2"/>
        <v>26.972604166666674</v>
      </c>
      <c r="I108" s="67">
        <f t="shared" si="2"/>
        <v>1.4959375000000001</v>
      </c>
      <c r="J108" s="67">
        <f t="shared" si="2"/>
        <v>0.56218750000000017</v>
      </c>
      <c r="K108" s="67">
        <f t="shared" si="2"/>
        <v>248.68906249999984</v>
      </c>
      <c r="L108" s="67">
        <f t="shared" si="2"/>
        <v>26.065937499999993</v>
      </c>
      <c r="M108" s="67">
        <f t="shared" si="2"/>
        <v>62.491250000000001</v>
      </c>
      <c r="N108" s="67">
        <f t="shared" si="2"/>
        <v>230.8666666666667</v>
      </c>
      <c r="O108" s="67">
        <f t="shared" si="2"/>
        <v>0</v>
      </c>
      <c r="P108" s="67">
        <f t="shared" si="2"/>
        <v>0.86406249999999973</v>
      </c>
      <c r="Q108" s="67">
        <f t="shared" si="2"/>
        <v>11.485312500000001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1.6887921433701607</v>
      </c>
      <c r="C109" s="67">
        <f t="shared" ref="C109:Q109" si="3">STDEV(C9:C104)</f>
        <v>2.3232120247282961</v>
      </c>
      <c r="D109" s="67">
        <f t="shared" si="3"/>
        <v>0.94249219364815928</v>
      </c>
      <c r="E109" s="67">
        <f t="shared" si="3"/>
        <v>0.60392269423663381</v>
      </c>
      <c r="F109" s="67">
        <f t="shared" si="3"/>
        <v>0.61303258263196847</v>
      </c>
      <c r="G109" s="67">
        <f t="shared" si="3"/>
        <v>8.9177494794659324</v>
      </c>
      <c r="H109" s="67">
        <f t="shared" si="3"/>
        <v>3.2309227115456798</v>
      </c>
      <c r="I109" s="67">
        <f t="shared" si="3"/>
        <v>3.6866134081366131E-2</v>
      </c>
      <c r="J109" s="67">
        <f t="shared" si="3"/>
        <v>0.62149938074237665</v>
      </c>
      <c r="K109" s="67">
        <f t="shared" si="3"/>
        <v>135.43948128478229</v>
      </c>
      <c r="L109" s="67">
        <f t="shared" si="3"/>
        <v>4.9404778328726318</v>
      </c>
      <c r="M109" s="67">
        <f t="shared" si="3"/>
        <v>22.719038630976186</v>
      </c>
      <c r="N109" s="67">
        <f t="shared" si="3"/>
        <v>337.23874587493384</v>
      </c>
      <c r="O109" s="67">
        <f t="shared" si="3"/>
        <v>0</v>
      </c>
      <c r="P109" s="67">
        <f t="shared" si="3"/>
        <v>0.19005028766646428</v>
      </c>
      <c r="Q109" s="67">
        <f t="shared" si="3"/>
        <v>0.87215516862419307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110" sqref="D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726</v>
      </c>
      <c r="B9" s="64">
        <v>8.32</v>
      </c>
      <c r="C9" s="64">
        <v>13.59</v>
      </c>
      <c r="D9" s="64">
        <v>15.46</v>
      </c>
      <c r="E9" s="64">
        <v>0.16</v>
      </c>
      <c r="F9" s="64">
        <v>0.34</v>
      </c>
      <c r="G9" s="64">
        <v>92.43</v>
      </c>
      <c r="H9" s="64">
        <v>32.03</v>
      </c>
      <c r="I9" s="64">
        <v>1.5</v>
      </c>
      <c r="J9" s="64">
        <v>0.06</v>
      </c>
      <c r="K9" s="64">
        <v>219.91</v>
      </c>
      <c r="L9" s="64">
        <v>21.8</v>
      </c>
      <c r="M9" s="64">
        <v>83.39</v>
      </c>
      <c r="N9" s="64">
        <v>8.9</v>
      </c>
      <c r="O9" s="64">
        <v>0</v>
      </c>
      <c r="P9" s="64">
        <v>1.07</v>
      </c>
      <c r="Q9" s="64">
        <v>13.01</v>
      </c>
      <c r="R9" s="198"/>
      <c r="S9" s="198"/>
      <c r="T9" s="198"/>
      <c r="U9" s="198"/>
    </row>
    <row r="10" spans="1:21" s="12" customFormat="1" x14ac:dyDescent="0.25">
      <c r="A10" s="214" t="s">
        <v>727</v>
      </c>
      <c r="B10" s="64">
        <v>8.3800000000000008</v>
      </c>
      <c r="C10" s="64">
        <v>13.58</v>
      </c>
      <c r="D10" s="64">
        <v>15.51</v>
      </c>
      <c r="E10" s="64">
        <v>0.55000000000000004</v>
      </c>
      <c r="F10" s="64">
        <v>0.45</v>
      </c>
      <c r="G10" s="64">
        <v>91.56</v>
      </c>
      <c r="H10" s="64">
        <v>32.15</v>
      </c>
      <c r="I10" s="64">
        <v>1.52</v>
      </c>
      <c r="J10" s="64">
        <v>0.1</v>
      </c>
      <c r="K10" s="64">
        <v>229.02</v>
      </c>
      <c r="L10" s="64">
        <v>22.14</v>
      </c>
      <c r="M10" s="64">
        <v>80.8</v>
      </c>
      <c r="N10" s="64">
        <v>8.6</v>
      </c>
      <c r="O10" s="64">
        <v>0</v>
      </c>
      <c r="P10" s="64">
        <v>1.06</v>
      </c>
      <c r="Q10" s="64">
        <v>12.88</v>
      </c>
      <c r="R10" s="198"/>
      <c r="S10" s="198"/>
      <c r="T10" s="198"/>
      <c r="U10" s="198"/>
    </row>
    <row r="11" spans="1:21" s="12" customFormat="1" x14ac:dyDescent="0.25">
      <c r="A11" s="214" t="s">
        <v>728</v>
      </c>
      <c r="B11" s="64">
        <v>8.25</v>
      </c>
      <c r="C11" s="64">
        <v>13.46</v>
      </c>
      <c r="D11" s="64">
        <v>15.34</v>
      </c>
      <c r="E11" s="64">
        <v>0.75</v>
      </c>
      <c r="F11" s="64">
        <v>0.52</v>
      </c>
      <c r="G11" s="64">
        <v>90.77</v>
      </c>
      <c r="H11" s="64">
        <v>32.25</v>
      </c>
      <c r="I11" s="64">
        <v>1.54</v>
      </c>
      <c r="J11" s="64">
        <v>0.12</v>
      </c>
      <c r="K11" s="64">
        <v>209.75</v>
      </c>
      <c r="L11" s="64">
        <v>22.27</v>
      </c>
      <c r="M11" s="64">
        <v>81.11</v>
      </c>
      <c r="N11" s="64">
        <v>8.5</v>
      </c>
      <c r="O11" s="64">
        <v>0</v>
      </c>
      <c r="P11" s="64">
        <v>1.0900000000000001</v>
      </c>
      <c r="Q11" s="64">
        <v>12.94</v>
      </c>
      <c r="R11" s="198"/>
      <c r="S11" s="198"/>
      <c r="T11" s="198"/>
      <c r="U11" s="198"/>
    </row>
    <row r="12" spans="1:21" s="12" customFormat="1" x14ac:dyDescent="0.25">
      <c r="A12" s="214" t="s">
        <v>729</v>
      </c>
      <c r="B12" s="64">
        <v>8.1</v>
      </c>
      <c r="C12" s="64">
        <v>13.7</v>
      </c>
      <c r="D12" s="64">
        <v>15.35</v>
      </c>
      <c r="E12" s="64">
        <v>0.67</v>
      </c>
      <c r="F12" s="64">
        <v>0.3</v>
      </c>
      <c r="G12" s="64">
        <v>90.77</v>
      </c>
      <c r="H12" s="64">
        <v>32.25</v>
      </c>
      <c r="I12" s="64">
        <v>1.57</v>
      </c>
      <c r="J12" s="64">
        <v>0.19</v>
      </c>
      <c r="K12" s="64">
        <v>202.32</v>
      </c>
      <c r="L12" s="64">
        <v>21.94</v>
      </c>
      <c r="M12" s="64">
        <v>87.21</v>
      </c>
      <c r="N12" s="64">
        <v>8.6999999999999993</v>
      </c>
      <c r="O12" s="64">
        <v>0</v>
      </c>
      <c r="P12" s="64">
        <v>1.07</v>
      </c>
      <c r="Q12" s="64">
        <v>13.25</v>
      </c>
      <c r="R12" s="198"/>
      <c r="S12" s="198"/>
      <c r="T12" s="198"/>
      <c r="U12" s="198"/>
    </row>
    <row r="13" spans="1:21" s="12" customFormat="1" x14ac:dyDescent="0.25">
      <c r="A13" s="214" t="s">
        <v>730</v>
      </c>
      <c r="B13" s="64">
        <v>7.89</v>
      </c>
      <c r="C13" s="64">
        <v>12.61</v>
      </c>
      <c r="D13" s="64">
        <v>14.58</v>
      </c>
      <c r="E13" s="64">
        <v>0.5</v>
      </c>
      <c r="F13" s="64">
        <v>0.35</v>
      </c>
      <c r="G13" s="64">
        <v>90.77</v>
      </c>
      <c r="H13" s="64">
        <v>32.25</v>
      </c>
      <c r="I13" s="64">
        <v>1.52</v>
      </c>
      <c r="J13" s="64">
        <v>0.21</v>
      </c>
      <c r="K13" s="64">
        <v>191.01</v>
      </c>
      <c r="L13" s="64">
        <v>21.68</v>
      </c>
      <c r="M13" s="64">
        <v>89.28</v>
      </c>
      <c r="N13" s="64">
        <v>8.8000000000000007</v>
      </c>
      <c r="O13" s="64">
        <v>0</v>
      </c>
      <c r="P13" s="64">
        <v>1.04</v>
      </c>
      <c r="Q13" s="64">
        <v>13.25</v>
      </c>
      <c r="R13" s="198"/>
      <c r="S13" s="198"/>
      <c r="T13" s="198"/>
      <c r="U13" s="198"/>
    </row>
    <row r="14" spans="1:21" s="12" customFormat="1" x14ac:dyDescent="0.25">
      <c r="A14" s="214" t="s">
        <v>731</v>
      </c>
      <c r="B14" s="64">
        <v>7.76</v>
      </c>
      <c r="C14" s="64">
        <v>12.04</v>
      </c>
      <c r="D14" s="64">
        <v>14.16</v>
      </c>
      <c r="E14" s="64">
        <v>0.18</v>
      </c>
      <c r="F14" s="64">
        <v>0.56000000000000005</v>
      </c>
      <c r="G14" s="64">
        <v>87.13</v>
      </c>
      <c r="H14" s="64">
        <v>31.72</v>
      </c>
      <c r="I14" s="64">
        <v>1.5</v>
      </c>
      <c r="J14" s="64">
        <v>0.12</v>
      </c>
      <c r="K14" s="64">
        <v>180.14</v>
      </c>
      <c r="L14" s="64">
        <v>21.55</v>
      </c>
      <c r="M14" s="64">
        <v>89.8</v>
      </c>
      <c r="N14" s="64">
        <v>8.8000000000000007</v>
      </c>
      <c r="O14" s="64">
        <v>0</v>
      </c>
      <c r="P14" s="64">
        <v>1.04</v>
      </c>
      <c r="Q14" s="64">
        <v>13.01</v>
      </c>
      <c r="R14" s="198"/>
      <c r="S14" s="198"/>
      <c r="T14" s="198"/>
      <c r="U14" s="198"/>
    </row>
    <row r="15" spans="1:21" s="12" customFormat="1" x14ac:dyDescent="0.25">
      <c r="A15" s="214" t="s">
        <v>732</v>
      </c>
      <c r="B15" s="64">
        <v>7.59</v>
      </c>
      <c r="C15" s="64">
        <v>11.74</v>
      </c>
      <c r="D15" s="64">
        <v>13.86</v>
      </c>
      <c r="E15" s="64">
        <v>0.46</v>
      </c>
      <c r="F15" s="64">
        <v>0.23</v>
      </c>
      <c r="G15" s="64">
        <v>83.8</v>
      </c>
      <c r="H15" s="64">
        <v>31.49</v>
      </c>
      <c r="I15" s="64">
        <v>1.55</v>
      </c>
      <c r="J15" s="64">
        <v>0.13</v>
      </c>
      <c r="K15" s="64">
        <v>201.83</v>
      </c>
      <c r="L15" s="64">
        <v>21.43</v>
      </c>
      <c r="M15" s="64">
        <v>90.31</v>
      </c>
      <c r="N15" s="64">
        <v>8.8000000000000007</v>
      </c>
      <c r="O15" s="64">
        <v>0</v>
      </c>
      <c r="P15" s="64">
        <v>1.01</v>
      </c>
      <c r="Q15" s="64">
        <v>13.28</v>
      </c>
      <c r="R15" s="198"/>
      <c r="S15" s="198"/>
      <c r="T15" s="198"/>
      <c r="U15" s="198"/>
    </row>
    <row r="16" spans="1:21" s="12" customFormat="1" x14ac:dyDescent="0.25">
      <c r="A16" s="214" t="s">
        <v>733</v>
      </c>
      <c r="B16" s="64">
        <v>7.43</v>
      </c>
      <c r="C16" s="64">
        <v>11.35</v>
      </c>
      <c r="D16" s="64">
        <v>13.51</v>
      </c>
      <c r="E16" s="64">
        <v>0.42</v>
      </c>
      <c r="F16" s="64">
        <v>0.46</v>
      </c>
      <c r="G16" s="64">
        <v>83.8</v>
      </c>
      <c r="H16" s="64">
        <v>31.49</v>
      </c>
      <c r="I16" s="64">
        <v>1.51</v>
      </c>
      <c r="J16" s="64">
        <v>0.08</v>
      </c>
      <c r="K16" s="64">
        <v>227.78</v>
      </c>
      <c r="L16" s="64">
        <v>21.37</v>
      </c>
      <c r="M16" s="64">
        <v>89.99</v>
      </c>
      <c r="N16" s="64">
        <v>8.8000000000000007</v>
      </c>
      <c r="O16" s="64">
        <v>0</v>
      </c>
      <c r="P16" s="64">
        <v>1.02</v>
      </c>
      <c r="Q16" s="64">
        <v>13.05</v>
      </c>
      <c r="R16" s="198"/>
      <c r="S16" s="198"/>
      <c r="T16" s="198"/>
      <c r="U16" s="198"/>
    </row>
    <row r="17" spans="1:21" s="12" customFormat="1" x14ac:dyDescent="0.25">
      <c r="A17" s="214" t="s">
        <v>734</v>
      </c>
      <c r="B17" s="64">
        <v>7.44</v>
      </c>
      <c r="C17" s="64">
        <v>11.69</v>
      </c>
      <c r="D17" s="64">
        <v>13.71</v>
      </c>
      <c r="E17" s="64">
        <v>0.79</v>
      </c>
      <c r="F17" s="64">
        <v>0.11</v>
      </c>
      <c r="G17" s="64">
        <v>83.8</v>
      </c>
      <c r="H17" s="64">
        <v>31.49</v>
      </c>
      <c r="I17" s="64">
        <v>1.44</v>
      </c>
      <c r="J17" s="64">
        <v>0.02</v>
      </c>
      <c r="K17" s="64">
        <v>249.1</v>
      </c>
      <c r="L17" s="64">
        <v>21.32</v>
      </c>
      <c r="M17" s="64">
        <v>89.7</v>
      </c>
      <c r="N17" s="64">
        <v>8.9</v>
      </c>
      <c r="O17" s="64">
        <v>0</v>
      </c>
      <c r="P17" s="64">
        <v>0.81</v>
      </c>
      <c r="Q17" s="64">
        <v>14.07</v>
      </c>
      <c r="R17" s="198"/>
      <c r="S17" s="198"/>
      <c r="T17" s="198"/>
      <c r="U17" s="198"/>
    </row>
    <row r="18" spans="1:21" s="12" customFormat="1" x14ac:dyDescent="0.25">
      <c r="A18" s="214" t="s">
        <v>735</v>
      </c>
      <c r="B18" s="64">
        <v>7.79</v>
      </c>
      <c r="C18" s="64">
        <v>10.93</v>
      </c>
      <c r="D18" s="64">
        <v>13.57</v>
      </c>
      <c r="E18" s="64">
        <v>0.56000000000000005</v>
      </c>
      <c r="F18" s="64">
        <v>0.47</v>
      </c>
      <c r="G18" s="64">
        <v>81.66</v>
      </c>
      <c r="H18" s="64">
        <v>29.25</v>
      </c>
      <c r="I18" s="64">
        <v>1.46</v>
      </c>
      <c r="J18" s="64">
        <v>0.03</v>
      </c>
      <c r="K18" s="64">
        <v>144.58000000000001</v>
      </c>
      <c r="L18" s="64">
        <v>21.06</v>
      </c>
      <c r="M18" s="64">
        <v>91.39</v>
      </c>
      <c r="N18" s="64">
        <v>8.9</v>
      </c>
      <c r="O18" s="64">
        <v>0</v>
      </c>
      <c r="P18" s="64">
        <v>0.9</v>
      </c>
      <c r="Q18" s="64">
        <v>13.55</v>
      </c>
      <c r="R18" s="198"/>
      <c r="S18" s="198"/>
      <c r="T18" s="198"/>
      <c r="U18" s="198"/>
    </row>
    <row r="19" spans="1:21" s="12" customFormat="1" x14ac:dyDescent="0.25">
      <c r="A19" s="214" t="s">
        <v>736</v>
      </c>
      <c r="B19" s="64">
        <v>8.18</v>
      </c>
      <c r="C19" s="64">
        <v>11.82</v>
      </c>
      <c r="D19" s="64">
        <v>14.38</v>
      </c>
      <c r="E19" s="64">
        <v>0.89</v>
      </c>
      <c r="F19" s="64">
        <v>0.21</v>
      </c>
      <c r="G19" s="64">
        <v>79.709999999999994</v>
      </c>
      <c r="H19" s="64">
        <v>28.3</v>
      </c>
      <c r="I19" s="64">
        <v>1.48</v>
      </c>
      <c r="J19" s="64">
        <v>7.0000000000000007E-2</v>
      </c>
      <c r="K19" s="64">
        <v>266.66000000000003</v>
      </c>
      <c r="L19" s="64">
        <v>21.25</v>
      </c>
      <c r="M19" s="64">
        <v>90.49</v>
      </c>
      <c r="N19" s="64">
        <v>8.6</v>
      </c>
      <c r="O19" s="64">
        <v>0</v>
      </c>
      <c r="P19" s="64">
        <v>0.94</v>
      </c>
      <c r="Q19" s="64">
        <v>14.11</v>
      </c>
      <c r="R19" s="198"/>
      <c r="S19" s="198"/>
      <c r="T19" s="198"/>
      <c r="U19" s="198"/>
    </row>
    <row r="20" spans="1:21" s="12" customFormat="1" x14ac:dyDescent="0.25">
      <c r="A20" s="214" t="s">
        <v>737</v>
      </c>
      <c r="B20" s="64">
        <v>8.36</v>
      </c>
      <c r="C20" s="64">
        <v>11.89</v>
      </c>
      <c r="D20" s="64">
        <v>14.55</v>
      </c>
      <c r="E20" s="64">
        <v>0.97</v>
      </c>
      <c r="F20" s="64">
        <v>0.35</v>
      </c>
      <c r="G20" s="64">
        <v>79.709999999999994</v>
      </c>
      <c r="H20" s="64">
        <v>28.3</v>
      </c>
      <c r="I20" s="64">
        <v>1.5</v>
      </c>
      <c r="J20" s="64">
        <v>0.03</v>
      </c>
      <c r="K20" s="64">
        <v>276.26</v>
      </c>
      <c r="L20" s="64">
        <v>21.03</v>
      </c>
      <c r="M20" s="64">
        <v>92.41</v>
      </c>
      <c r="N20" s="64">
        <v>8.9</v>
      </c>
      <c r="O20" s="64">
        <v>0</v>
      </c>
      <c r="P20" s="64">
        <v>0.94</v>
      </c>
      <c r="Q20" s="64">
        <v>14.39</v>
      </c>
      <c r="R20" s="198"/>
      <c r="S20" s="198"/>
      <c r="T20" s="198"/>
      <c r="U20" s="198"/>
    </row>
    <row r="21" spans="1:21" s="12" customFormat="1" x14ac:dyDescent="0.25">
      <c r="A21" s="214" t="s">
        <v>738</v>
      </c>
      <c r="B21" s="64">
        <v>8.52</v>
      </c>
      <c r="C21" s="64">
        <v>12.79</v>
      </c>
      <c r="D21" s="64">
        <v>15.18</v>
      </c>
      <c r="E21" s="64">
        <v>0.99</v>
      </c>
      <c r="F21" s="64">
        <v>0.1</v>
      </c>
      <c r="G21" s="64">
        <v>79.709999999999994</v>
      </c>
      <c r="H21" s="64">
        <v>28.3</v>
      </c>
      <c r="I21" s="64">
        <v>1.47</v>
      </c>
      <c r="J21" s="64">
        <v>0.08</v>
      </c>
      <c r="K21" s="64">
        <v>208.34</v>
      </c>
      <c r="L21" s="64">
        <v>21.01</v>
      </c>
      <c r="M21" s="64">
        <v>91.19</v>
      </c>
      <c r="N21" s="64">
        <v>8.6999999999999993</v>
      </c>
      <c r="O21" s="64">
        <v>0</v>
      </c>
      <c r="P21" s="64">
        <v>0.88</v>
      </c>
      <c r="Q21" s="64">
        <v>14.96</v>
      </c>
      <c r="R21" s="198"/>
      <c r="S21" s="198"/>
      <c r="T21" s="198"/>
      <c r="U21" s="198"/>
    </row>
    <row r="22" spans="1:21" s="12" customFormat="1" x14ac:dyDescent="0.25">
      <c r="A22" s="214" t="s">
        <v>739</v>
      </c>
      <c r="B22" s="64">
        <v>8.4</v>
      </c>
      <c r="C22" s="64">
        <v>14.26</v>
      </c>
      <c r="D22" s="64">
        <v>15.9</v>
      </c>
      <c r="E22" s="64">
        <v>1.31</v>
      </c>
      <c r="F22" s="64">
        <v>0.16</v>
      </c>
      <c r="G22" s="64">
        <v>79.040000000000006</v>
      </c>
      <c r="H22" s="64">
        <v>28.51</v>
      </c>
      <c r="I22" s="64">
        <v>1.46</v>
      </c>
      <c r="J22" s="64">
        <v>0.25</v>
      </c>
      <c r="K22" s="64">
        <v>183.58</v>
      </c>
      <c r="L22" s="64">
        <v>21.24</v>
      </c>
      <c r="M22" s="64">
        <v>90.12</v>
      </c>
      <c r="N22" s="64">
        <v>8.1999999999999993</v>
      </c>
      <c r="O22" s="64">
        <v>0</v>
      </c>
      <c r="P22" s="64">
        <v>0.93</v>
      </c>
      <c r="Q22" s="64">
        <v>14.72</v>
      </c>
      <c r="R22" s="198"/>
      <c r="S22" s="198"/>
      <c r="T22" s="198"/>
      <c r="U22" s="198"/>
    </row>
    <row r="23" spans="1:21" s="12" customFormat="1" x14ac:dyDescent="0.25">
      <c r="A23" s="214" t="s">
        <v>740</v>
      </c>
      <c r="B23" s="64">
        <v>8.02</v>
      </c>
      <c r="C23" s="64">
        <v>13.88</v>
      </c>
      <c r="D23" s="64">
        <v>15.39</v>
      </c>
      <c r="E23" s="64">
        <v>0.59</v>
      </c>
      <c r="F23" s="64">
        <v>0.17</v>
      </c>
      <c r="G23" s="64">
        <v>78.430000000000007</v>
      </c>
      <c r="H23" s="64">
        <v>28.6</v>
      </c>
      <c r="I23" s="64">
        <v>1.52</v>
      </c>
      <c r="J23" s="64">
        <v>0.23</v>
      </c>
      <c r="K23" s="64">
        <v>193.85</v>
      </c>
      <c r="L23" s="64">
        <v>20.99</v>
      </c>
      <c r="M23" s="64">
        <v>91.81</v>
      </c>
      <c r="N23" s="64">
        <v>8.6999999999999993</v>
      </c>
      <c r="O23" s="64">
        <v>0</v>
      </c>
      <c r="P23" s="64">
        <v>0.92</v>
      </c>
      <c r="Q23" s="64">
        <v>14.65</v>
      </c>
      <c r="R23" s="198"/>
      <c r="S23" s="198"/>
      <c r="T23" s="198"/>
      <c r="U23" s="198"/>
    </row>
    <row r="24" spans="1:21" s="12" customFormat="1" x14ac:dyDescent="0.25">
      <c r="A24" s="214" t="s">
        <v>741</v>
      </c>
      <c r="B24" s="64">
        <v>7.55</v>
      </c>
      <c r="C24" s="64">
        <v>13.6</v>
      </c>
      <c r="D24" s="64">
        <v>14.85</v>
      </c>
      <c r="E24" s="64">
        <v>1.1100000000000001</v>
      </c>
      <c r="F24" s="64">
        <v>0.23</v>
      </c>
      <c r="G24" s="64">
        <v>78.430000000000007</v>
      </c>
      <c r="H24" s="64">
        <v>28.6</v>
      </c>
      <c r="I24" s="64">
        <v>1.52</v>
      </c>
      <c r="J24" s="64">
        <v>0.08</v>
      </c>
      <c r="K24" s="64">
        <v>223.42</v>
      </c>
      <c r="L24" s="64">
        <v>20.83</v>
      </c>
      <c r="M24" s="64">
        <v>92</v>
      </c>
      <c r="N24" s="64">
        <v>9</v>
      </c>
      <c r="O24" s="64">
        <v>0</v>
      </c>
      <c r="P24" s="64">
        <v>0.9</v>
      </c>
      <c r="Q24" s="64">
        <v>14.38</v>
      </c>
      <c r="R24" s="198"/>
      <c r="S24" s="198"/>
      <c r="T24" s="198"/>
      <c r="U24" s="198"/>
    </row>
    <row r="25" spans="1:21" s="12" customFormat="1" x14ac:dyDescent="0.25">
      <c r="A25" s="214" t="s">
        <v>742</v>
      </c>
      <c r="B25" s="64">
        <v>7.2</v>
      </c>
      <c r="C25" s="64">
        <v>13.12</v>
      </c>
      <c r="D25" s="64">
        <v>14.31</v>
      </c>
      <c r="E25" s="64">
        <v>1.41</v>
      </c>
      <c r="F25" s="64">
        <v>0.32</v>
      </c>
      <c r="G25" s="64">
        <v>78.430000000000007</v>
      </c>
      <c r="H25" s="64">
        <v>28.6</v>
      </c>
      <c r="I25" s="64">
        <v>1.46</v>
      </c>
      <c r="J25" s="64">
        <v>7.0000000000000007E-2</v>
      </c>
      <c r="K25" s="64">
        <v>168.94</v>
      </c>
      <c r="L25" s="64">
        <v>20.63</v>
      </c>
      <c r="M25" s="64">
        <v>92.77</v>
      </c>
      <c r="N25" s="64">
        <v>8.9</v>
      </c>
      <c r="O25" s="64">
        <v>0</v>
      </c>
      <c r="P25" s="64">
        <v>0.88</v>
      </c>
      <c r="Q25" s="64">
        <v>14.22</v>
      </c>
      <c r="R25" s="198"/>
      <c r="S25" s="198"/>
      <c r="T25" s="198"/>
      <c r="U25" s="198"/>
    </row>
    <row r="26" spans="1:21" s="12" customFormat="1" x14ac:dyDescent="0.25">
      <c r="A26" s="214" t="s">
        <v>743</v>
      </c>
      <c r="B26" s="64">
        <v>7.03</v>
      </c>
      <c r="C26" s="64">
        <v>12.78</v>
      </c>
      <c r="D26" s="64">
        <v>13.99</v>
      </c>
      <c r="E26" s="64">
        <v>1.34</v>
      </c>
      <c r="F26" s="64">
        <v>0.19</v>
      </c>
      <c r="G26" s="64">
        <v>72.959999999999994</v>
      </c>
      <c r="H26" s="64">
        <v>28.38</v>
      </c>
      <c r="I26" s="64">
        <v>1.44</v>
      </c>
      <c r="J26" s="64">
        <v>7.0000000000000007E-2</v>
      </c>
      <c r="K26" s="64">
        <v>211.38</v>
      </c>
      <c r="L26" s="64">
        <v>20.6</v>
      </c>
      <c r="M26" s="64">
        <v>93.01</v>
      </c>
      <c r="N26" s="64">
        <v>8.8000000000000007</v>
      </c>
      <c r="O26" s="64">
        <v>0</v>
      </c>
      <c r="P26" s="64">
        <v>0.85</v>
      </c>
      <c r="Q26" s="64">
        <v>14.27</v>
      </c>
      <c r="R26" s="198"/>
      <c r="S26" s="198"/>
      <c r="T26" s="198"/>
      <c r="U26" s="198"/>
    </row>
    <row r="27" spans="1:21" s="12" customFormat="1" x14ac:dyDescent="0.25">
      <c r="A27" s="214" t="s">
        <v>744</v>
      </c>
      <c r="B27" s="64">
        <v>6.92</v>
      </c>
      <c r="C27" s="64">
        <v>12.24</v>
      </c>
      <c r="D27" s="64">
        <v>13.6</v>
      </c>
      <c r="E27" s="64">
        <v>1.56</v>
      </c>
      <c r="F27" s="64">
        <v>0.36</v>
      </c>
      <c r="G27" s="64">
        <v>67.959999999999994</v>
      </c>
      <c r="H27" s="64">
        <v>28.29</v>
      </c>
      <c r="I27" s="64">
        <v>1.48</v>
      </c>
      <c r="J27" s="64">
        <v>0.11</v>
      </c>
      <c r="K27" s="64">
        <v>155.82</v>
      </c>
      <c r="L27" s="64">
        <v>20.47</v>
      </c>
      <c r="M27" s="64">
        <v>93.43</v>
      </c>
      <c r="N27" s="64">
        <v>8.6999999999999993</v>
      </c>
      <c r="O27" s="64">
        <v>0</v>
      </c>
      <c r="P27" s="64">
        <v>0.84</v>
      </c>
      <c r="Q27" s="64">
        <v>14.18</v>
      </c>
      <c r="R27" s="198"/>
      <c r="S27" s="198"/>
      <c r="T27" s="198"/>
      <c r="U27" s="198"/>
    </row>
    <row r="28" spans="1:21" s="12" customFormat="1" x14ac:dyDescent="0.25">
      <c r="A28" s="214" t="s">
        <v>745</v>
      </c>
      <c r="B28" s="64">
        <v>6.91</v>
      </c>
      <c r="C28" s="64">
        <v>12.17</v>
      </c>
      <c r="D28" s="64">
        <v>13.54</v>
      </c>
      <c r="E28" s="64">
        <v>1.74</v>
      </c>
      <c r="F28" s="64">
        <v>0.44</v>
      </c>
      <c r="G28" s="64">
        <v>67.959999999999994</v>
      </c>
      <c r="H28" s="64">
        <v>28.29</v>
      </c>
      <c r="I28" s="64">
        <v>1.51</v>
      </c>
      <c r="J28" s="64">
        <v>0.05</v>
      </c>
      <c r="K28" s="64">
        <v>219.86</v>
      </c>
      <c r="L28" s="64">
        <v>20.48</v>
      </c>
      <c r="M28" s="64">
        <v>93.81</v>
      </c>
      <c r="N28" s="64">
        <v>8.8000000000000007</v>
      </c>
      <c r="O28" s="64">
        <v>0</v>
      </c>
      <c r="P28" s="64">
        <v>0.81</v>
      </c>
      <c r="Q28" s="64">
        <v>14.36</v>
      </c>
      <c r="R28" s="198"/>
      <c r="S28" s="198"/>
      <c r="T28" s="198"/>
      <c r="U28" s="198"/>
    </row>
    <row r="29" spans="1:21" s="12" customFormat="1" x14ac:dyDescent="0.25">
      <c r="A29" s="214" t="s">
        <v>746</v>
      </c>
      <c r="B29" s="64">
        <v>6.95</v>
      </c>
      <c r="C29" s="64">
        <v>12.4</v>
      </c>
      <c r="D29" s="64">
        <v>13.71</v>
      </c>
      <c r="E29" s="64">
        <v>1.23</v>
      </c>
      <c r="F29" s="64">
        <v>0.1</v>
      </c>
      <c r="G29" s="64">
        <v>67.959999999999994</v>
      </c>
      <c r="H29" s="64">
        <v>28.29</v>
      </c>
      <c r="I29" s="64">
        <v>1.46</v>
      </c>
      <c r="J29" s="64">
        <v>0.16</v>
      </c>
      <c r="K29" s="64">
        <v>208.45</v>
      </c>
      <c r="L29" s="64">
        <v>20.56</v>
      </c>
      <c r="M29" s="64">
        <v>92</v>
      </c>
      <c r="N29" s="64">
        <v>8.3000000000000007</v>
      </c>
      <c r="O29" s="64">
        <v>0</v>
      </c>
      <c r="P29" s="64">
        <v>0.79</v>
      </c>
      <c r="Q29" s="64">
        <v>14.77</v>
      </c>
      <c r="R29" s="198"/>
      <c r="S29" s="198"/>
      <c r="T29" s="198"/>
      <c r="U29" s="198"/>
    </row>
    <row r="30" spans="1:21" s="12" customFormat="1" x14ac:dyDescent="0.25">
      <c r="A30" s="214" t="s">
        <v>747</v>
      </c>
      <c r="B30" s="64">
        <v>7.1</v>
      </c>
      <c r="C30" s="64">
        <v>11.59</v>
      </c>
      <c r="D30" s="64">
        <v>13.38</v>
      </c>
      <c r="E30" s="64">
        <v>1.19</v>
      </c>
      <c r="F30" s="64">
        <v>0.52</v>
      </c>
      <c r="G30" s="64">
        <v>65.06</v>
      </c>
      <c r="H30" s="64">
        <v>25.4</v>
      </c>
      <c r="I30" s="64">
        <v>1.41</v>
      </c>
      <c r="J30" s="64">
        <v>0.18</v>
      </c>
      <c r="K30" s="64">
        <v>208.8</v>
      </c>
      <c r="L30" s="64">
        <v>20.52</v>
      </c>
      <c r="M30" s="64">
        <v>92.46</v>
      </c>
      <c r="N30" s="64">
        <v>8.6999999999999993</v>
      </c>
      <c r="O30" s="64">
        <v>0</v>
      </c>
      <c r="P30" s="64">
        <v>0.77</v>
      </c>
      <c r="Q30" s="64">
        <v>13.62</v>
      </c>
      <c r="R30" s="198"/>
      <c r="S30" s="198"/>
      <c r="T30" s="198"/>
      <c r="U30" s="198"/>
    </row>
    <row r="31" spans="1:21" s="12" customFormat="1" x14ac:dyDescent="0.25">
      <c r="A31" s="214" t="s">
        <v>748</v>
      </c>
      <c r="B31" s="64">
        <v>7.14</v>
      </c>
      <c r="C31" s="64">
        <v>12.15</v>
      </c>
      <c r="D31" s="64">
        <v>13.72</v>
      </c>
      <c r="E31" s="64">
        <v>1.89</v>
      </c>
      <c r="F31" s="64">
        <v>0.2</v>
      </c>
      <c r="G31" s="64">
        <v>62.41</v>
      </c>
      <c r="H31" s="64">
        <v>24.17</v>
      </c>
      <c r="I31" s="64">
        <v>1.46</v>
      </c>
      <c r="J31" s="64">
        <v>0.1</v>
      </c>
      <c r="K31" s="64">
        <v>195.5</v>
      </c>
      <c r="L31" s="64">
        <v>20.39</v>
      </c>
      <c r="M31" s="64">
        <v>94.13</v>
      </c>
      <c r="N31" s="64">
        <v>9.9</v>
      </c>
      <c r="O31" s="64">
        <v>0</v>
      </c>
      <c r="P31" s="64">
        <v>0.77</v>
      </c>
      <c r="Q31" s="64">
        <v>13.78</v>
      </c>
      <c r="R31" s="198"/>
      <c r="S31" s="198"/>
      <c r="T31" s="198"/>
      <c r="U31" s="198"/>
    </row>
    <row r="32" spans="1:21" s="12" customFormat="1" x14ac:dyDescent="0.25">
      <c r="A32" s="214" t="s">
        <v>749</v>
      </c>
      <c r="B32" s="64">
        <v>7.21</v>
      </c>
      <c r="C32" s="64">
        <v>12.49</v>
      </c>
      <c r="D32" s="64">
        <v>13.97</v>
      </c>
      <c r="E32" s="64">
        <v>2.0499999999999998</v>
      </c>
      <c r="F32" s="64">
        <v>0.2</v>
      </c>
      <c r="G32" s="64">
        <v>62.41</v>
      </c>
      <c r="H32" s="64">
        <v>24.17</v>
      </c>
      <c r="I32" s="64">
        <v>1.43</v>
      </c>
      <c r="J32" s="64">
        <v>0.06</v>
      </c>
      <c r="K32" s="64">
        <v>219.31</v>
      </c>
      <c r="L32" s="64">
        <v>20.38</v>
      </c>
      <c r="M32" s="64">
        <v>94.81</v>
      </c>
      <c r="N32" s="64">
        <v>16</v>
      </c>
      <c r="O32" s="64">
        <v>0</v>
      </c>
      <c r="P32" s="64">
        <v>0.76</v>
      </c>
      <c r="Q32" s="64">
        <v>14.12</v>
      </c>
      <c r="R32" s="198"/>
      <c r="S32" s="198"/>
      <c r="T32" s="198"/>
      <c r="U32" s="198"/>
    </row>
    <row r="33" spans="1:21" s="12" customFormat="1" x14ac:dyDescent="0.25">
      <c r="A33" s="214" t="s">
        <v>750</v>
      </c>
      <c r="B33" s="64">
        <v>7.36</v>
      </c>
      <c r="C33" s="64">
        <v>12.62</v>
      </c>
      <c r="D33" s="64">
        <v>14.16</v>
      </c>
      <c r="E33" s="64">
        <v>1.94</v>
      </c>
      <c r="F33" s="64">
        <v>0.19</v>
      </c>
      <c r="G33" s="64">
        <v>62.41</v>
      </c>
      <c r="H33" s="64">
        <v>24.17</v>
      </c>
      <c r="I33" s="64">
        <v>1.47</v>
      </c>
      <c r="J33" s="64">
        <v>0.06</v>
      </c>
      <c r="K33" s="64">
        <v>216.72</v>
      </c>
      <c r="L33" s="64">
        <v>20.47</v>
      </c>
      <c r="M33" s="64">
        <v>95.57</v>
      </c>
      <c r="N33" s="64">
        <v>29.8</v>
      </c>
      <c r="O33" s="64">
        <v>0</v>
      </c>
      <c r="P33" s="64">
        <v>0.76</v>
      </c>
      <c r="Q33" s="64">
        <v>14.12</v>
      </c>
      <c r="R33" s="198"/>
      <c r="S33" s="198"/>
      <c r="T33" s="198"/>
      <c r="U33" s="198"/>
    </row>
    <row r="34" spans="1:21" s="12" customFormat="1" x14ac:dyDescent="0.25">
      <c r="A34" s="214" t="s">
        <v>751</v>
      </c>
      <c r="B34" s="64">
        <v>7.69</v>
      </c>
      <c r="C34" s="64">
        <v>12.52</v>
      </c>
      <c r="D34" s="64">
        <v>14.37</v>
      </c>
      <c r="E34" s="64">
        <v>2.0499999999999998</v>
      </c>
      <c r="F34" s="64">
        <v>0.2</v>
      </c>
      <c r="G34" s="64">
        <v>60.74</v>
      </c>
      <c r="H34" s="64">
        <v>24.82</v>
      </c>
      <c r="I34" s="64">
        <v>1.51</v>
      </c>
      <c r="J34" s="64">
        <v>0.08</v>
      </c>
      <c r="K34" s="64">
        <v>349.32</v>
      </c>
      <c r="L34" s="64">
        <v>20.85</v>
      </c>
      <c r="M34" s="64">
        <v>95.07</v>
      </c>
      <c r="N34" s="64">
        <v>65.8</v>
      </c>
      <c r="O34" s="64">
        <v>0</v>
      </c>
      <c r="P34" s="64">
        <v>0.75</v>
      </c>
      <c r="Q34" s="64">
        <v>13.62</v>
      </c>
      <c r="R34" s="198"/>
      <c r="S34" s="198"/>
      <c r="T34" s="198"/>
      <c r="U34" s="198"/>
    </row>
    <row r="35" spans="1:21" s="12" customFormat="1" x14ac:dyDescent="0.25">
      <c r="A35" s="214" t="s">
        <v>752</v>
      </c>
      <c r="B35" s="64">
        <v>8.86</v>
      </c>
      <c r="C35" s="64">
        <v>12.03</v>
      </c>
      <c r="D35" s="64">
        <v>15.03</v>
      </c>
      <c r="E35" s="64">
        <v>1.2</v>
      </c>
      <c r="F35" s="64">
        <v>7.0000000000000007E-2</v>
      </c>
      <c r="G35" s="64">
        <v>59.22</v>
      </c>
      <c r="H35" s="64">
        <v>25.36</v>
      </c>
      <c r="I35" s="64">
        <v>1.49</v>
      </c>
      <c r="J35" s="64">
        <v>0.02</v>
      </c>
      <c r="K35" s="64">
        <v>32.11</v>
      </c>
      <c r="L35" s="64">
        <v>22.17</v>
      </c>
      <c r="M35" s="64">
        <v>86.6</v>
      </c>
      <c r="N35" s="64">
        <v>120.2</v>
      </c>
      <c r="O35" s="64">
        <v>0</v>
      </c>
      <c r="P35" s="64">
        <v>0.75</v>
      </c>
      <c r="Q35" s="64">
        <v>13.94</v>
      </c>
      <c r="R35" s="198"/>
      <c r="S35" s="198"/>
      <c r="T35" s="198"/>
      <c r="U35" s="198"/>
    </row>
    <row r="36" spans="1:21" s="12" customFormat="1" x14ac:dyDescent="0.25">
      <c r="A36" s="214" t="s">
        <v>753</v>
      </c>
      <c r="B36" s="64">
        <v>9.52</v>
      </c>
      <c r="C36" s="64">
        <v>11.77</v>
      </c>
      <c r="D36" s="64">
        <v>15.42</v>
      </c>
      <c r="E36" s="64">
        <v>1.82</v>
      </c>
      <c r="F36" s="64">
        <v>0.39</v>
      </c>
      <c r="G36" s="64">
        <v>59.22</v>
      </c>
      <c r="H36" s="64">
        <v>25.36</v>
      </c>
      <c r="I36" s="64">
        <v>1.56</v>
      </c>
      <c r="J36" s="64">
        <v>0.11</v>
      </c>
      <c r="K36" s="64">
        <v>353.95</v>
      </c>
      <c r="L36" s="64">
        <v>23.06</v>
      </c>
      <c r="M36" s="64">
        <v>81.569999999999993</v>
      </c>
      <c r="N36" s="64">
        <v>178.6</v>
      </c>
      <c r="O36" s="64">
        <v>0</v>
      </c>
      <c r="P36" s="64">
        <v>0.76</v>
      </c>
      <c r="Q36" s="64">
        <v>13.92</v>
      </c>
      <c r="R36" s="198"/>
      <c r="S36" s="198"/>
      <c r="T36" s="198"/>
      <c r="U36" s="198"/>
    </row>
    <row r="37" spans="1:21" s="12" customFormat="1" x14ac:dyDescent="0.25">
      <c r="A37" s="214" t="s">
        <v>754</v>
      </c>
      <c r="B37" s="64">
        <v>9.5</v>
      </c>
      <c r="C37" s="64">
        <v>12.02</v>
      </c>
      <c r="D37" s="64">
        <v>15.55</v>
      </c>
      <c r="E37" s="64">
        <v>1.87</v>
      </c>
      <c r="F37" s="64">
        <v>0.16</v>
      </c>
      <c r="G37" s="64">
        <v>59.22</v>
      </c>
      <c r="H37" s="64">
        <v>25.36</v>
      </c>
      <c r="I37" s="64">
        <v>1.52</v>
      </c>
      <c r="J37" s="64">
        <v>0.13</v>
      </c>
      <c r="K37" s="64">
        <v>2.93</v>
      </c>
      <c r="L37" s="64">
        <v>24.5</v>
      </c>
      <c r="M37" s="64">
        <v>73.44</v>
      </c>
      <c r="N37" s="64">
        <v>237.4</v>
      </c>
      <c r="O37" s="64">
        <v>0</v>
      </c>
      <c r="P37" s="64">
        <v>0.73</v>
      </c>
      <c r="Q37" s="64">
        <v>14.07</v>
      </c>
      <c r="R37" s="198"/>
      <c r="S37" s="198"/>
      <c r="T37" s="198"/>
      <c r="U37" s="198"/>
    </row>
    <row r="38" spans="1:21" s="12" customFormat="1" x14ac:dyDescent="0.25">
      <c r="A38" s="214" t="s">
        <v>755</v>
      </c>
      <c r="B38" s="64">
        <v>9.33</v>
      </c>
      <c r="C38" s="64">
        <v>11.85</v>
      </c>
      <c r="D38" s="64">
        <v>15.31</v>
      </c>
      <c r="E38" s="64">
        <v>1.41</v>
      </c>
      <c r="F38" s="64">
        <v>0.19</v>
      </c>
      <c r="G38" s="64">
        <v>60.57</v>
      </c>
      <c r="H38" s="64">
        <v>23.14</v>
      </c>
      <c r="I38" s="64">
        <v>1.56</v>
      </c>
      <c r="J38" s="64">
        <v>0.16</v>
      </c>
      <c r="K38" s="64">
        <v>2.77</v>
      </c>
      <c r="L38" s="64">
        <v>25.4</v>
      </c>
      <c r="M38" s="64">
        <v>68.900000000000006</v>
      </c>
      <c r="N38" s="64">
        <v>293.60000000000002</v>
      </c>
      <c r="O38" s="64">
        <v>0</v>
      </c>
      <c r="P38" s="64">
        <v>0.76</v>
      </c>
      <c r="Q38" s="64">
        <v>13.87</v>
      </c>
      <c r="R38" s="198"/>
      <c r="S38" s="198"/>
      <c r="T38" s="198"/>
      <c r="U38" s="198"/>
    </row>
    <row r="39" spans="1:21" s="12" customFormat="1" x14ac:dyDescent="0.25">
      <c r="A39" s="214" t="s">
        <v>756</v>
      </c>
      <c r="B39" s="64">
        <v>9.52</v>
      </c>
      <c r="C39" s="64">
        <v>12.27</v>
      </c>
      <c r="D39" s="64">
        <v>15.7</v>
      </c>
      <c r="E39" s="64">
        <v>1.67</v>
      </c>
      <c r="F39" s="64">
        <v>0.62</v>
      </c>
      <c r="G39" s="64">
        <v>61.8</v>
      </c>
      <c r="H39" s="64">
        <v>22.19</v>
      </c>
      <c r="I39" s="64">
        <v>1.59</v>
      </c>
      <c r="J39" s="64">
        <v>0.26</v>
      </c>
      <c r="K39" s="64">
        <v>0.44</v>
      </c>
      <c r="L39" s="64">
        <v>27.85</v>
      </c>
      <c r="M39" s="64">
        <v>60.17</v>
      </c>
      <c r="N39" s="64">
        <v>352.9</v>
      </c>
      <c r="O39" s="64">
        <v>0</v>
      </c>
      <c r="P39" s="64">
        <v>0.76</v>
      </c>
      <c r="Q39" s="64">
        <v>13.56</v>
      </c>
      <c r="R39" s="198"/>
      <c r="S39" s="198"/>
      <c r="T39" s="198"/>
      <c r="U39" s="198"/>
    </row>
    <row r="40" spans="1:21" s="12" customFormat="1" x14ac:dyDescent="0.25">
      <c r="A40" s="214" t="s">
        <v>757</v>
      </c>
      <c r="B40" s="64">
        <v>9.49</v>
      </c>
      <c r="C40" s="64">
        <v>13.35</v>
      </c>
      <c r="D40" s="64">
        <v>16.27</v>
      </c>
      <c r="E40" s="64">
        <v>0.22</v>
      </c>
      <c r="F40" s="64">
        <v>0.39</v>
      </c>
      <c r="G40" s="64">
        <v>61.8</v>
      </c>
      <c r="H40" s="64">
        <v>22.19</v>
      </c>
      <c r="I40" s="64">
        <v>1.48</v>
      </c>
      <c r="J40" s="64">
        <v>0.23</v>
      </c>
      <c r="K40" s="64">
        <v>0.61</v>
      </c>
      <c r="L40" s="64">
        <v>28.01</v>
      </c>
      <c r="M40" s="64">
        <v>60.47</v>
      </c>
      <c r="N40" s="64">
        <v>405.7</v>
      </c>
      <c r="O40" s="64">
        <v>0</v>
      </c>
      <c r="P40" s="64">
        <v>0.77</v>
      </c>
      <c r="Q40" s="64">
        <v>14.19</v>
      </c>
      <c r="R40" s="198"/>
      <c r="S40" s="198"/>
      <c r="T40" s="198"/>
      <c r="U40" s="198"/>
    </row>
    <row r="41" spans="1:21" s="12" customFormat="1" x14ac:dyDescent="0.25">
      <c r="A41" s="214" t="s">
        <v>758</v>
      </c>
      <c r="B41" s="64">
        <v>9.2100000000000009</v>
      </c>
      <c r="C41" s="64">
        <v>13.62</v>
      </c>
      <c r="D41" s="64">
        <v>16.2</v>
      </c>
      <c r="E41" s="64">
        <v>0.42</v>
      </c>
      <c r="F41" s="64">
        <v>0.5</v>
      </c>
      <c r="G41" s="64">
        <v>61.8</v>
      </c>
      <c r="H41" s="64">
        <v>22.19</v>
      </c>
      <c r="I41" s="64">
        <v>1.44</v>
      </c>
      <c r="J41" s="64">
        <v>0.34</v>
      </c>
      <c r="K41" s="64">
        <v>345.79</v>
      </c>
      <c r="L41" s="64">
        <v>29.8</v>
      </c>
      <c r="M41" s="64">
        <v>54.4</v>
      </c>
      <c r="N41" s="64">
        <v>462.6</v>
      </c>
      <c r="O41" s="64">
        <v>0</v>
      </c>
      <c r="P41" s="64">
        <v>0.78</v>
      </c>
      <c r="Q41" s="64">
        <v>13.72</v>
      </c>
      <c r="R41" s="198"/>
      <c r="S41" s="198"/>
      <c r="T41" s="198"/>
      <c r="U41" s="198"/>
    </row>
    <row r="42" spans="1:21" s="12" customFormat="1" x14ac:dyDescent="0.25">
      <c r="A42" s="214" t="s">
        <v>759</v>
      </c>
      <c r="B42" s="64">
        <v>9.2200000000000006</v>
      </c>
      <c r="C42" s="64">
        <v>14.65</v>
      </c>
      <c r="D42" s="64">
        <v>16.77</v>
      </c>
      <c r="E42" s="64">
        <v>0.32</v>
      </c>
      <c r="F42" s="64">
        <v>0.56999999999999995</v>
      </c>
      <c r="G42" s="64">
        <v>65.34</v>
      </c>
      <c r="H42" s="64">
        <v>24.35</v>
      </c>
      <c r="I42" s="64">
        <v>1.57</v>
      </c>
      <c r="J42" s="64">
        <v>0.47</v>
      </c>
      <c r="K42" s="64">
        <v>334.87</v>
      </c>
      <c r="L42" s="64">
        <v>30.18</v>
      </c>
      <c r="M42" s="64">
        <v>56.36</v>
      </c>
      <c r="N42" s="64">
        <v>521.79999999999995</v>
      </c>
      <c r="O42" s="64">
        <v>0</v>
      </c>
      <c r="P42" s="64">
        <v>0.77</v>
      </c>
      <c r="Q42" s="64">
        <v>13.48</v>
      </c>
      <c r="R42" s="198"/>
      <c r="S42" s="198"/>
      <c r="T42" s="198"/>
      <c r="U42" s="198"/>
    </row>
    <row r="43" spans="1:21" s="12" customFormat="1" x14ac:dyDescent="0.25">
      <c r="A43" s="214" t="s">
        <v>760</v>
      </c>
      <c r="B43" s="64">
        <v>9.1</v>
      </c>
      <c r="C43" s="64">
        <v>14.89</v>
      </c>
      <c r="D43" s="64">
        <v>16.809999999999999</v>
      </c>
      <c r="E43" s="64">
        <v>1.22</v>
      </c>
      <c r="F43" s="64">
        <v>0.75</v>
      </c>
      <c r="G43" s="64">
        <v>68.58</v>
      </c>
      <c r="H43" s="64">
        <v>25.27</v>
      </c>
      <c r="I43" s="64">
        <v>1.46</v>
      </c>
      <c r="J43" s="64">
        <v>0.48</v>
      </c>
      <c r="K43" s="64">
        <v>343.68</v>
      </c>
      <c r="L43" s="64">
        <v>29.67</v>
      </c>
      <c r="M43" s="64">
        <v>60.12</v>
      </c>
      <c r="N43" s="64">
        <v>579.70000000000005</v>
      </c>
      <c r="O43" s="64">
        <v>0</v>
      </c>
      <c r="P43" s="64">
        <v>0.79</v>
      </c>
      <c r="Q43" s="64">
        <v>13.48</v>
      </c>
      <c r="R43" s="198"/>
      <c r="S43" s="198"/>
      <c r="T43" s="198"/>
      <c r="U43" s="198"/>
    </row>
    <row r="44" spans="1:21" s="12" customFormat="1" x14ac:dyDescent="0.25">
      <c r="A44" s="214" t="s">
        <v>761</v>
      </c>
      <c r="B44" s="64">
        <v>9.2100000000000009</v>
      </c>
      <c r="C44" s="64">
        <v>15.06</v>
      </c>
      <c r="D44" s="64">
        <v>16.98</v>
      </c>
      <c r="E44" s="64">
        <v>1.18</v>
      </c>
      <c r="F44" s="64">
        <v>0.5</v>
      </c>
      <c r="G44" s="64">
        <v>68.58</v>
      </c>
      <c r="H44" s="64">
        <v>25.27</v>
      </c>
      <c r="I44" s="64">
        <v>1.47</v>
      </c>
      <c r="J44" s="64">
        <v>0.48</v>
      </c>
      <c r="K44" s="64">
        <v>341.13</v>
      </c>
      <c r="L44" s="64">
        <v>30.27</v>
      </c>
      <c r="M44" s="64">
        <v>58.41</v>
      </c>
      <c r="N44" s="64">
        <v>627.70000000000005</v>
      </c>
      <c r="O44" s="64">
        <v>0</v>
      </c>
      <c r="P44" s="64">
        <v>0.78</v>
      </c>
      <c r="Q44" s="64">
        <v>13.83</v>
      </c>
      <c r="R44" s="198"/>
      <c r="S44" s="198"/>
      <c r="T44" s="198"/>
      <c r="U44" s="198"/>
    </row>
    <row r="45" spans="1:21" s="12" customFormat="1" x14ac:dyDescent="0.25">
      <c r="A45" s="214" t="s">
        <v>762</v>
      </c>
      <c r="B45" s="64">
        <v>8.82</v>
      </c>
      <c r="C45" s="64">
        <v>14.77</v>
      </c>
      <c r="D45" s="64">
        <v>16.52</v>
      </c>
      <c r="E45" s="64">
        <v>1.05</v>
      </c>
      <c r="F45" s="64">
        <v>0.8</v>
      </c>
      <c r="G45" s="64">
        <v>68.58</v>
      </c>
      <c r="H45" s="64">
        <v>25.27</v>
      </c>
      <c r="I45" s="64">
        <v>1.45</v>
      </c>
      <c r="J45" s="64">
        <v>0.59</v>
      </c>
      <c r="K45" s="64">
        <v>341.73</v>
      </c>
      <c r="L45" s="64">
        <v>31.07</v>
      </c>
      <c r="M45" s="64">
        <v>56.64</v>
      </c>
      <c r="N45" s="64">
        <v>674.1</v>
      </c>
      <c r="O45" s="64">
        <v>0</v>
      </c>
      <c r="P45" s="64">
        <v>0.8</v>
      </c>
      <c r="Q45" s="64">
        <v>13.52</v>
      </c>
      <c r="R45" s="198"/>
      <c r="S45" s="198"/>
      <c r="T45" s="198"/>
      <c r="U45" s="198"/>
    </row>
    <row r="46" spans="1:21" s="12" customFormat="1" x14ac:dyDescent="0.25">
      <c r="A46" s="214" t="s">
        <v>763</v>
      </c>
      <c r="B46" s="64">
        <v>8.02</v>
      </c>
      <c r="C46" s="64">
        <v>16.23</v>
      </c>
      <c r="D46" s="64">
        <v>16.68</v>
      </c>
      <c r="E46" s="64">
        <v>0.87</v>
      </c>
      <c r="F46" s="64">
        <v>0.53</v>
      </c>
      <c r="G46" s="64">
        <v>73.98</v>
      </c>
      <c r="H46" s="64">
        <v>28.28</v>
      </c>
      <c r="I46" s="64">
        <v>1.55</v>
      </c>
      <c r="J46" s="64">
        <v>0.48</v>
      </c>
      <c r="K46" s="64">
        <v>333.03</v>
      </c>
      <c r="L46" s="64">
        <v>31.5</v>
      </c>
      <c r="M46" s="64">
        <v>55.46</v>
      </c>
      <c r="N46" s="64">
        <v>713.6</v>
      </c>
      <c r="O46" s="64">
        <v>0</v>
      </c>
      <c r="P46" s="64">
        <v>0.79</v>
      </c>
      <c r="Q46" s="64">
        <v>13.64</v>
      </c>
      <c r="R46" s="198"/>
      <c r="S46" s="198"/>
      <c r="T46" s="198"/>
      <c r="U46" s="198"/>
    </row>
    <row r="47" spans="1:21" s="12" customFormat="1" x14ac:dyDescent="0.25">
      <c r="A47" s="214" t="s">
        <v>764</v>
      </c>
      <c r="B47" s="64">
        <v>7.14</v>
      </c>
      <c r="C47" s="64">
        <v>16.350000000000001</v>
      </c>
      <c r="D47" s="64">
        <v>16.05</v>
      </c>
      <c r="E47" s="64">
        <v>1.1100000000000001</v>
      </c>
      <c r="F47" s="64">
        <v>1.04</v>
      </c>
      <c r="G47" s="64">
        <v>78.92</v>
      </c>
      <c r="H47" s="64">
        <v>29.56</v>
      </c>
      <c r="I47" s="64">
        <v>1.49</v>
      </c>
      <c r="J47" s="64">
        <v>0.5</v>
      </c>
      <c r="K47" s="64">
        <v>346.46</v>
      </c>
      <c r="L47" s="64">
        <v>33.46</v>
      </c>
      <c r="M47" s="64">
        <v>47.65</v>
      </c>
      <c r="N47" s="64">
        <v>744.6</v>
      </c>
      <c r="O47" s="64">
        <v>0</v>
      </c>
      <c r="P47" s="64">
        <v>0.79</v>
      </c>
      <c r="Q47" s="64">
        <v>13.46</v>
      </c>
      <c r="R47" s="198"/>
      <c r="S47" s="198"/>
      <c r="T47" s="198"/>
      <c r="U47" s="198"/>
    </row>
    <row r="48" spans="1:21" s="12" customFormat="1" x14ac:dyDescent="0.25">
      <c r="A48" s="214" t="s">
        <v>765</v>
      </c>
      <c r="B48" s="64">
        <v>6.3</v>
      </c>
      <c r="C48" s="64">
        <v>17.36</v>
      </c>
      <c r="D48" s="64">
        <v>15.92</v>
      </c>
      <c r="E48" s="64">
        <v>0.5</v>
      </c>
      <c r="F48" s="64">
        <v>0.9</v>
      </c>
      <c r="G48" s="64">
        <v>78.92</v>
      </c>
      <c r="H48" s="64">
        <v>29.56</v>
      </c>
      <c r="I48" s="64">
        <v>1.46</v>
      </c>
      <c r="J48" s="64">
        <v>0.73</v>
      </c>
      <c r="K48" s="64">
        <v>331.83</v>
      </c>
      <c r="L48" s="64">
        <v>34.31</v>
      </c>
      <c r="M48" s="64">
        <v>45.55</v>
      </c>
      <c r="N48" s="64">
        <v>777.3</v>
      </c>
      <c r="O48" s="64">
        <v>0</v>
      </c>
      <c r="P48" s="64">
        <v>0.8</v>
      </c>
      <c r="Q48" s="64">
        <v>13.63</v>
      </c>
      <c r="R48" s="198"/>
      <c r="S48" s="198"/>
      <c r="T48" s="198"/>
      <c r="U48" s="198"/>
    </row>
    <row r="49" spans="1:21" s="12" customFormat="1" x14ac:dyDescent="0.25">
      <c r="A49" s="214" t="s">
        <v>766</v>
      </c>
      <c r="B49" s="64">
        <v>5.56</v>
      </c>
      <c r="C49" s="64">
        <v>17.63</v>
      </c>
      <c r="D49" s="64">
        <v>15.48</v>
      </c>
      <c r="E49" s="64">
        <v>0.86</v>
      </c>
      <c r="F49" s="64">
        <v>1.06</v>
      </c>
      <c r="G49" s="64">
        <v>78.92</v>
      </c>
      <c r="H49" s="64">
        <v>29.56</v>
      </c>
      <c r="I49" s="64">
        <v>1.44</v>
      </c>
      <c r="J49" s="64">
        <v>0.21</v>
      </c>
      <c r="K49" s="64">
        <v>130.55000000000001</v>
      </c>
      <c r="L49" s="64">
        <v>33.67</v>
      </c>
      <c r="M49" s="64">
        <v>46.03</v>
      </c>
      <c r="N49" s="64">
        <v>815.5</v>
      </c>
      <c r="O49" s="64">
        <v>0</v>
      </c>
      <c r="P49" s="64">
        <v>0.78</v>
      </c>
      <c r="Q49" s="64">
        <v>12.98</v>
      </c>
      <c r="R49" s="198"/>
      <c r="S49" s="198"/>
      <c r="T49" s="198"/>
      <c r="U49" s="198"/>
    </row>
    <row r="50" spans="1:21" s="12" customFormat="1" x14ac:dyDescent="0.25">
      <c r="A50" s="214" t="s">
        <v>767</v>
      </c>
      <c r="B50" s="64">
        <v>4.83</v>
      </c>
      <c r="C50" s="64">
        <v>18.66</v>
      </c>
      <c r="D50" s="64">
        <v>15.46</v>
      </c>
      <c r="E50" s="64">
        <v>1.17</v>
      </c>
      <c r="F50" s="64">
        <v>2.2000000000000002</v>
      </c>
      <c r="G50" s="64">
        <v>78.41</v>
      </c>
      <c r="H50" s="64">
        <v>27.1</v>
      </c>
      <c r="I50" s="64">
        <v>1.41</v>
      </c>
      <c r="J50" s="64">
        <v>0.44</v>
      </c>
      <c r="K50" s="64">
        <v>344.41</v>
      </c>
      <c r="L50" s="64">
        <v>33.25</v>
      </c>
      <c r="M50" s="64">
        <v>46.63</v>
      </c>
      <c r="N50" s="64">
        <v>831.1</v>
      </c>
      <c r="O50" s="64">
        <v>0</v>
      </c>
      <c r="P50" s="64">
        <v>0.8</v>
      </c>
      <c r="Q50" s="64">
        <v>13.05</v>
      </c>
      <c r="R50" s="198"/>
      <c r="S50" s="198"/>
      <c r="T50" s="198"/>
      <c r="U50" s="198"/>
    </row>
    <row r="51" spans="1:21" s="12" customFormat="1" x14ac:dyDescent="0.25">
      <c r="A51" s="214" t="s">
        <v>768</v>
      </c>
      <c r="B51" s="64">
        <v>3.3</v>
      </c>
      <c r="C51" s="64">
        <v>25.66</v>
      </c>
      <c r="D51" s="64">
        <v>18.100000000000001</v>
      </c>
      <c r="E51" s="64">
        <v>1.21</v>
      </c>
      <c r="F51" s="64">
        <v>3.36</v>
      </c>
      <c r="G51" s="64">
        <v>77.95</v>
      </c>
      <c r="H51" s="64">
        <v>26.05</v>
      </c>
      <c r="I51" s="64">
        <v>1.47</v>
      </c>
      <c r="J51" s="64">
        <v>0.24</v>
      </c>
      <c r="K51" s="64">
        <v>13.75</v>
      </c>
      <c r="L51" s="64">
        <v>33.31</v>
      </c>
      <c r="M51" s="64">
        <v>47.33</v>
      </c>
      <c r="N51" s="64">
        <v>866.8</v>
      </c>
      <c r="O51" s="64">
        <v>0</v>
      </c>
      <c r="P51" s="64">
        <v>0.82</v>
      </c>
      <c r="Q51" s="64">
        <v>12.82</v>
      </c>
      <c r="R51" s="198"/>
      <c r="S51" s="198"/>
      <c r="T51" s="198"/>
      <c r="U51" s="198"/>
    </row>
    <row r="52" spans="1:21" s="12" customFormat="1" x14ac:dyDescent="0.25">
      <c r="A52" s="214" t="s">
        <v>769</v>
      </c>
      <c r="B52" s="64">
        <v>3.78</v>
      </c>
      <c r="C52" s="64">
        <v>31.1</v>
      </c>
      <c r="D52" s="64">
        <v>21.49</v>
      </c>
      <c r="E52" s="64">
        <v>0.85</v>
      </c>
      <c r="F52" s="64">
        <v>2.6</v>
      </c>
      <c r="G52" s="64">
        <v>77.95</v>
      </c>
      <c r="H52" s="64">
        <v>26.05</v>
      </c>
      <c r="I52" s="64">
        <v>1.49</v>
      </c>
      <c r="J52" s="64">
        <v>0.51</v>
      </c>
      <c r="K52" s="64">
        <v>345.52</v>
      </c>
      <c r="L52" s="64">
        <v>33.31</v>
      </c>
      <c r="M52" s="64">
        <v>46.59</v>
      </c>
      <c r="N52" s="64">
        <v>864.6</v>
      </c>
      <c r="O52" s="64">
        <v>0</v>
      </c>
      <c r="P52" s="64">
        <v>0.86</v>
      </c>
      <c r="Q52" s="64">
        <v>13.14</v>
      </c>
      <c r="R52" s="198"/>
      <c r="S52" s="198"/>
      <c r="T52" s="198"/>
      <c r="U52" s="198"/>
    </row>
    <row r="53" spans="1:21" s="12" customFormat="1" x14ac:dyDescent="0.25">
      <c r="A53" s="214" t="s">
        <v>770</v>
      </c>
      <c r="B53" s="64">
        <v>3.44</v>
      </c>
      <c r="C53" s="64">
        <v>29.64</v>
      </c>
      <c r="D53" s="64">
        <v>20.41</v>
      </c>
      <c r="E53" s="64">
        <v>0.77</v>
      </c>
      <c r="F53" s="64">
        <v>1.67</v>
      </c>
      <c r="G53" s="64">
        <v>77.95</v>
      </c>
      <c r="H53" s="64">
        <v>26.05</v>
      </c>
      <c r="I53" s="64">
        <v>1.43</v>
      </c>
      <c r="J53" s="64">
        <v>0.37</v>
      </c>
      <c r="K53" s="64">
        <v>346.9</v>
      </c>
      <c r="L53" s="64">
        <v>32.64</v>
      </c>
      <c r="M53" s="64">
        <v>47.61</v>
      </c>
      <c r="N53" s="64">
        <v>902.1</v>
      </c>
      <c r="O53" s="64">
        <v>0</v>
      </c>
      <c r="P53" s="64">
        <v>0.83</v>
      </c>
      <c r="Q53" s="64">
        <v>13.13</v>
      </c>
      <c r="R53" s="198"/>
      <c r="S53" s="198"/>
      <c r="T53" s="198"/>
      <c r="U53" s="198"/>
    </row>
    <row r="54" spans="1:21" s="12" customFormat="1" x14ac:dyDescent="0.25">
      <c r="A54" s="214" t="s">
        <v>771</v>
      </c>
      <c r="B54" s="64">
        <v>3.18</v>
      </c>
      <c r="C54" s="64">
        <v>25.16</v>
      </c>
      <c r="D54" s="64">
        <v>17.73</v>
      </c>
      <c r="E54" s="64">
        <v>1.76</v>
      </c>
      <c r="F54" s="64">
        <v>1.21</v>
      </c>
      <c r="G54" s="64">
        <v>75.28</v>
      </c>
      <c r="H54" s="64">
        <v>28.34</v>
      </c>
      <c r="I54" s="64">
        <v>1.49</v>
      </c>
      <c r="J54" s="64">
        <v>0.04</v>
      </c>
      <c r="K54" s="64">
        <v>140.66999999999999</v>
      </c>
      <c r="L54" s="64">
        <v>31.8</v>
      </c>
      <c r="M54" s="64">
        <v>49.32</v>
      </c>
      <c r="N54" s="64">
        <v>930.6</v>
      </c>
      <c r="O54" s="64">
        <v>0</v>
      </c>
      <c r="P54" s="64">
        <v>0.8</v>
      </c>
      <c r="Q54" s="64">
        <v>12.45</v>
      </c>
      <c r="R54" s="198"/>
      <c r="S54" s="198"/>
      <c r="T54" s="198"/>
      <c r="U54" s="198"/>
    </row>
    <row r="55" spans="1:21" s="12" customFormat="1" x14ac:dyDescent="0.25">
      <c r="A55" s="214" t="s">
        <v>772</v>
      </c>
      <c r="B55" s="64">
        <v>2.95</v>
      </c>
      <c r="C55" s="64">
        <v>21.55</v>
      </c>
      <c r="D55" s="64">
        <v>15.55</v>
      </c>
      <c r="E55" s="64">
        <v>1.35</v>
      </c>
      <c r="F55" s="64">
        <v>1.52</v>
      </c>
      <c r="G55" s="64">
        <v>72.849999999999994</v>
      </c>
      <c r="H55" s="64">
        <v>29.31</v>
      </c>
      <c r="I55" s="64">
        <v>1.44</v>
      </c>
      <c r="J55" s="64">
        <v>0.19</v>
      </c>
      <c r="K55" s="64">
        <v>132.65</v>
      </c>
      <c r="L55" s="64">
        <v>31.7</v>
      </c>
      <c r="M55" s="64">
        <v>49.99</v>
      </c>
      <c r="N55" s="64">
        <v>705.4</v>
      </c>
      <c r="O55" s="64">
        <v>0</v>
      </c>
      <c r="P55" s="64">
        <v>0.73</v>
      </c>
      <c r="Q55" s="64">
        <v>11.9</v>
      </c>
      <c r="R55" s="198"/>
      <c r="S55" s="198"/>
      <c r="T55" s="198"/>
      <c r="U55" s="198"/>
    </row>
    <row r="56" spans="1:21" s="12" customFormat="1" x14ac:dyDescent="0.25">
      <c r="A56" s="214" t="s">
        <v>773</v>
      </c>
      <c r="B56" s="64">
        <v>2.81</v>
      </c>
      <c r="C56" s="64">
        <v>20.43</v>
      </c>
      <c r="D56" s="64">
        <v>14.82</v>
      </c>
      <c r="E56" s="64">
        <v>0.79</v>
      </c>
      <c r="F56" s="64">
        <v>1.24</v>
      </c>
      <c r="G56" s="64">
        <v>72.849999999999994</v>
      </c>
      <c r="H56" s="64">
        <v>29.31</v>
      </c>
      <c r="I56" s="64">
        <v>1.51</v>
      </c>
      <c r="J56" s="64">
        <v>0.38</v>
      </c>
      <c r="K56" s="64">
        <v>343.06</v>
      </c>
      <c r="L56" s="64">
        <v>31.47</v>
      </c>
      <c r="M56" s="64">
        <v>50.9</v>
      </c>
      <c r="N56" s="64">
        <v>425.3</v>
      </c>
      <c r="O56" s="64">
        <v>0</v>
      </c>
      <c r="P56" s="64">
        <v>0.76</v>
      </c>
      <c r="Q56" s="64">
        <v>12.43</v>
      </c>
      <c r="R56" s="198"/>
      <c r="S56" s="198"/>
      <c r="T56" s="198"/>
      <c r="U56" s="198"/>
    </row>
    <row r="57" spans="1:21" s="12" customFormat="1" x14ac:dyDescent="0.25">
      <c r="A57" s="214" t="s">
        <v>774</v>
      </c>
      <c r="B57" s="64">
        <v>2.95</v>
      </c>
      <c r="C57" s="64">
        <v>19.3</v>
      </c>
      <c r="D57" s="64">
        <v>14.31</v>
      </c>
      <c r="E57" s="64">
        <v>1</v>
      </c>
      <c r="F57" s="64">
        <v>1.74</v>
      </c>
      <c r="G57" s="64">
        <v>72.849999999999994</v>
      </c>
      <c r="H57" s="64">
        <v>29.31</v>
      </c>
      <c r="I57" s="64">
        <v>1.53</v>
      </c>
      <c r="J57" s="64">
        <v>0.74</v>
      </c>
      <c r="K57" s="64">
        <v>328.85</v>
      </c>
      <c r="L57" s="64">
        <v>32.630000000000003</v>
      </c>
      <c r="M57" s="64">
        <v>47.55</v>
      </c>
      <c r="N57" s="64">
        <v>565.20000000000005</v>
      </c>
      <c r="O57" s="64">
        <v>0</v>
      </c>
      <c r="P57" s="64">
        <v>0.74</v>
      </c>
      <c r="Q57" s="64">
        <v>12.31</v>
      </c>
      <c r="R57" s="198"/>
      <c r="S57" s="198"/>
      <c r="T57" s="198"/>
      <c r="U57" s="198"/>
    </row>
    <row r="58" spans="1:21" s="12" customFormat="1" x14ac:dyDescent="0.25">
      <c r="A58" s="214" t="s">
        <v>775</v>
      </c>
      <c r="B58" s="64">
        <v>3.04</v>
      </c>
      <c r="C58" s="64">
        <v>21.26</v>
      </c>
      <c r="D58" s="64">
        <v>15.47</v>
      </c>
      <c r="E58" s="64">
        <v>1.02</v>
      </c>
      <c r="F58" s="64">
        <v>2.14</v>
      </c>
      <c r="G58" s="64">
        <v>67.25</v>
      </c>
      <c r="H58" s="64">
        <v>26</v>
      </c>
      <c r="I58" s="64">
        <v>1.52</v>
      </c>
      <c r="J58" s="64">
        <v>0.93</v>
      </c>
      <c r="K58" s="64">
        <v>326.88</v>
      </c>
      <c r="L58" s="64">
        <v>33.5</v>
      </c>
      <c r="M58" s="64">
        <v>42.42</v>
      </c>
      <c r="N58" s="64">
        <v>884.3</v>
      </c>
      <c r="O58" s="64">
        <v>0</v>
      </c>
      <c r="P58" s="64">
        <v>0.7</v>
      </c>
      <c r="Q58" s="64">
        <v>12.38</v>
      </c>
      <c r="R58" s="198"/>
      <c r="S58" s="198"/>
      <c r="T58" s="198"/>
      <c r="U58" s="198"/>
    </row>
    <row r="59" spans="1:21" s="12" customFormat="1" x14ac:dyDescent="0.25">
      <c r="A59" s="214" t="s">
        <v>776</v>
      </c>
      <c r="B59" s="64">
        <v>2.69</v>
      </c>
      <c r="C59" s="64">
        <v>20.34</v>
      </c>
      <c r="D59" s="64">
        <v>14.68</v>
      </c>
      <c r="E59" s="64">
        <v>1.06</v>
      </c>
      <c r="F59" s="64">
        <v>2.06</v>
      </c>
      <c r="G59" s="64">
        <v>62.13</v>
      </c>
      <c r="H59" s="64">
        <v>23.24</v>
      </c>
      <c r="I59" s="64">
        <v>1.5</v>
      </c>
      <c r="J59" s="64">
        <v>1.1100000000000001</v>
      </c>
      <c r="K59" s="64">
        <v>331.07</v>
      </c>
      <c r="L59" s="64">
        <v>34.119999999999997</v>
      </c>
      <c r="M59" s="64">
        <v>39.5</v>
      </c>
      <c r="N59" s="64">
        <v>706.9</v>
      </c>
      <c r="O59" s="64">
        <v>0</v>
      </c>
      <c r="P59" s="64">
        <v>0.7</v>
      </c>
      <c r="Q59" s="64">
        <v>11.56</v>
      </c>
      <c r="R59" s="198"/>
      <c r="S59" s="198"/>
      <c r="T59" s="198"/>
      <c r="U59" s="198"/>
    </row>
    <row r="60" spans="1:21" s="12" customFormat="1" x14ac:dyDescent="0.25">
      <c r="A60" s="214" t="s">
        <v>777</v>
      </c>
      <c r="B60" s="64">
        <v>2.39</v>
      </c>
      <c r="C60" s="64">
        <v>19.670000000000002</v>
      </c>
      <c r="D60" s="64">
        <v>14.06</v>
      </c>
      <c r="E60" s="64">
        <v>0.55000000000000004</v>
      </c>
      <c r="F60" s="64">
        <v>2.97</v>
      </c>
      <c r="G60" s="64">
        <v>62.13</v>
      </c>
      <c r="H60" s="64">
        <v>23.24</v>
      </c>
      <c r="I60" s="64">
        <v>1.57</v>
      </c>
      <c r="J60" s="64">
        <v>0.92</v>
      </c>
      <c r="K60" s="64">
        <v>325.22000000000003</v>
      </c>
      <c r="L60" s="64">
        <v>34.97</v>
      </c>
      <c r="M60" s="64">
        <v>38.19</v>
      </c>
      <c r="N60" s="64">
        <v>873.8</v>
      </c>
      <c r="O60" s="64">
        <v>0</v>
      </c>
      <c r="P60" s="64">
        <v>0.67</v>
      </c>
      <c r="Q60" s="64">
        <v>10.8</v>
      </c>
      <c r="R60" s="198"/>
      <c r="S60" s="198"/>
      <c r="T60" s="198"/>
      <c r="U60" s="198"/>
    </row>
    <row r="61" spans="1:21" s="12" customFormat="1" x14ac:dyDescent="0.25">
      <c r="A61" s="214" t="s">
        <v>778</v>
      </c>
      <c r="B61" s="64">
        <v>2.69</v>
      </c>
      <c r="C61" s="64">
        <v>19.53</v>
      </c>
      <c r="D61" s="64">
        <v>14.23</v>
      </c>
      <c r="E61" s="64">
        <v>0.99</v>
      </c>
      <c r="F61" s="64">
        <v>2.74</v>
      </c>
      <c r="G61" s="64">
        <v>62.13</v>
      </c>
      <c r="H61" s="64">
        <v>23.24</v>
      </c>
      <c r="I61" s="64">
        <v>1.46</v>
      </c>
      <c r="J61" s="64">
        <v>1.46</v>
      </c>
      <c r="K61" s="64">
        <v>328.61</v>
      </c>
      <c r="L61" s="64">
        <v>34.869999999999997</v>
      </c>
      <c r="M61" s="64">
        <v>36.57</v>
      </c>
      <c r="N61" s="64">
        <v>754.6</v>
      </c>
      <c r="O61" s="64">
        <v>0</v>
      </c>
      <c r="P61" s="64">
        <v>0.62</v>
      </c>
      <c r="Q61" s="64">
        <v>11.08</v>
      </c>
      <c r="R61" s="198"/>
      <c r="S61" s="198"/>
      <c r="T61" s="198"/>
      <c r="U61" s="198"/>
    </row>
    <row r="62" spans="1:21" s="12" customFormat="1" x14ac:dyDescent="0.25">
      <c r="A62" s="214" t="s">
        <v>779</v>
      </c>
      <c r="B62" s="64">
        <v>3.05</v>
      </c>
      <c r="C62" s="64">
        <v>20.72</v>
      </c>
      <c r="D62" s="64">
        <v>15.17</v>
      </c>
      <c r="E62" s="64">
        <v>1.83</v>
      </c>
      <c r="F62" s="64">
        <v>3.21</v>
      </c>
      <c r="G62" s="64">
        <v>53.01</v>
      </c>
      <c r="H62" s="64">
        <v>17.53</v>
      </c>
      <c r="I62" s="64">
        <v>1.53</v>
      </c>
      <c r="J62" s="64">
        <v>1.54</v>
      </c>
      <c r="K62" s="64">
        <v>328.68</v>
      </c>
      <c r="L62" s="64">
        <v>34.14</v>
      </c>
      <c r="M62" s="64">
        <v>37.409999999999997</v>
      </c>
      <c r="N62" s="64">
        <v>734.7</v>
      </c>
      <c r="O62" s="64">
        <v>0</v>
      </c>
      <c r="P62" s="64">
        <v>0.63</v>
      </c>
      <c r="Q62" s="64">
        <v>11.03</v>
      </c>
      <c r="R62" s="198"/>
      <c r="S62" s="198"/>
      <c r="T62" s="198"/>
      <c r="U62" s="198"/>
    </row>
    <row r="63" spans="1:21" s="12" customFormat="1" x14ac:dyDescent="0.25">
      <c r="A63" s="214" t="s">
        <v>780</v>
      </c>
      <c r="B63" s="64">
        <v>2.93</v>
      </c>
      <c r="C63" s="64">
        <v>22.3</v>
      </c>
      <c r="D63" s="64">
        <v>15.95</v>
      </c>
      <c r="E63" s="64">
        <v>1.62</v>
      </c>
      <c r="F63" s="64">
        <v>2.91</v>
      </c>
      <c r="G63" s="64">
        <v>44.66</v>
      </c>
      <c r="H63" s="64">
        <v>15.1</v>
      </c>
      <c r="I63" s="64">
        <v>1.54</v>
      </c>
      <c r="J63" s="64">
        <v>1.1499999999999999</v>
      </c>
      <c r="K63" s="64">
        <v>326.76</v>
      </c>
      <c r="L63" s="64">
        <v>34.159999999999997</v>
      </c>
      <c r="M63" s="64">
        <v>35.1</v>
      </c>
      <c r="N63" s="64">
        <v>702.3</v>
      </c>
      <c r="O63" s="64">
        <v>0</v>
      </c>
      <c r="P63" s="64">
        <v>0.61</v>
      </c>
      <c r="Q63" s="64">
        <v>11.07</v>
      </c>
      <c r="R63" s="198"/>
      <c r="S63" s="198"/>
      <c r="T63" s="198"/>
      <c r="U63" s="198"/>
    </row>
    <row r="64" spans="1:21" s="12" customFormat="1" x14ac:dyDescent="0.25">
      <c r="A64" s="214" t="s">
        <v>781</v>
      </c>
      <c r="B64" s="64">
        <v>2.95</v>
      </c>
      <c r="C64" s="64">
        <v>22.46</v>
      </c>
      <c r="D64" s="64">
        <v>16.059999999999999</v>
      </c>
      <c r="E64" s="64">
        <v>0.89</v>
      </c>
      <c r="F64" s="64">
        <v>1.79</v>
      </c>
      <c r="G64" s="64">
        <v>44.66</v>
      </c>
      <c r="H64" s="64">
        <v>15.1</v>
      </c>
      <c r="I64" s="64">
        <v>1.58</v>
      </c>
      <c r="J64" s="64">
        <v>1.02</v>
      </c>
      <c r="K64" s="64">
        <v>326.38</v>
      </c>
      <c r="L64" s="64">
        <v>33.64</v>
      </c>
      <c r="M64" s="64">
        <v>35.630000000000003</v>
      </c>
      <c r="N64" s="64">
        <v>609.79999999999995</v>
      </c>
      <c r="O64" s="64">
        <v>0</v>
      </c>
      <c r="P64" s="64">
        <v>0.61</v>
      </c>
      <c r="Q64" s="64">
        <v>12.4</v>
      </c>
      <c r="R64" s="198"/>
      <c r="S64" s="198"/>
      <c r="T64" s="198"/>
      <c r="U64" s="198"/>
    </row>
    <row r="65" spans="1:21" s="12" customFormat="1" x14ac:dyDescent="0.25">
      <c r="A65" s="214" t="s">
        <v>782</v>
      </c>
      <c r="B65" s="64">
        <v>2.94</v>
      </c>
      <c r="C65" s="64">
        <v>21.37</v>
      </c>
      <c r="D65" s="64">
        <v>15.45</v>
      </c>
      <c r="E65" s="64">
        <v>0.56999999999999995</v>
      </c>
      <c r="F65" s="64">
        <v>1.87</v>
      </c>
      <c r="G65" s="64">
        <v>44.66</v>
      </c>
      <c r="H65" s="64">
        <v>15.1</v>
      </c>
      <c r="I65" s="64">
        <v>1.5</v>
      </c>
      <c r="J65" s="64">
        <v>1.33</v>
      </c>
      <c r="K65" s="64">
        <v>329.75</v>
      </c>
      <c r="L65" s="64">
        <v>32.99</v>
      </c>
      <c r="M65" s="64">
        <v>35.659999999999997</v>
      </c>
      <c r="N65" s="64">
        <v>275.5</v>
      </c>
      <c r="O65" s="64">
        <v>0</v>
      </c>
      <c r="P65" s="64">
        <v>0.59</v>
      </c>
      <c r="Q65" s="64">
        <v>11.83</v>
      </c>
      <c r="R65" s="198"/>
      <c r="S65" s="198"/>
      <c r="T65" s="198"/>
      <c r="U65" s="198"/>
    </row>
    <row r="66" spans="1:21" s="12" customFormat="1" x14ac:dyDescent="0.25">
      <c r="A66" s="214" t="s">
        <v>783</v>
      </c>
      <c r="B66" s="64">
        <v>3.01</v>
      </c>
      <c r="C66" s="64">
        <v>19.71</v>
      </c>
      <c r="D66" s="64">
        <v>14.58</v>
      </c>
      <c r="E66" s="64">
        <v>0.7</v>
      </c>
      <c r="F66" s="64">
        <v>2.23</v>
      </c>
      <c r="G66" s="64">
        <v>48.52</v>
      </c>
      <c r="H66" s="64">
        <v>12.6</v>
      </c>
      <c r="I66" s="64">
        <v>1.55</v>
      </c>
      <c r="J66" s="64">
        <v>1.25</v>
      </c>
      <c r="K66" s="64">
        <v>323</v>
      </c>
      <c r="L66" s="64">
        <v>32.51</v>
      </c>
      <c r="M66" s="64">
        <v>36.020000000000003</v>
      </c>
      <c r="N66" s="64">
        <v>228.1</v>
      </c>
      <c r="O66" s="64">
        <v>0</v>
      </c>
      <c r="P66" s="64">
        <v>0.62</v>
      </c>
      <c r="Q66" s="64">
        <v>10.84</v>
      </c>
      <c r="R66" s="198"/>
      <c r="S66" s="198"/>
      <c r="T66" s="198"/>
      <c r="U66" s="198"/>
    </row>
    <row r="67" spans="1:21" s="12" customFormat="1" x14ac:dyDescent="0.25">
      <c r="A67" s="214" t="s">
        <v>784</v>
      </c>
      <c r="B67" s="64">
        <v>2.92</v>
      </c>
      <c r="C67" s="64">
        <v>21.52</v>
      </c>
      <c r="D67" s="64">
        <v>15.51</v>
      </c>
      <c r="E67" s="64">
        <v>1.31</v>
      </c>
      <c r="F67" s="64">
        <v>4.03</v>
      </c>
      <c r="G67" s="64">
        <v>52.04</v>
      </c>
      <c r="H67" s="64">
        <v>11.53</v>
      </c>
      <c r="I67" s="64">
        <v>1.52</v>
      </c>
      <c r="J67" s="64">
        <v>1.26</v>
      </c>
      <c r="K67" s="64">
        <v>327.8</v>
      </c>
      <c r="L67" s="64">
        <v>32.130000000000003</v>
      </c>
      <c r="M67" s="64">
        <v>35.28</v>
      </c>
      <c r="N67" s="64">
        <v>146.4</v>
      </c>
      <c r="O67" s="64">
        <v>0</v>
      </c>
      <c r="P67" s="64">
        <v>0.62</v>
      </c>
      <c r="Q67" s="64">
        <v>11.05</v>
      </c>
      <c r="R67" s="198"/>
      <c r="S67" s="198"/>
      <c r="T67" s="198"/>
      <c r="U67" s="198"/>
    </row>
    <row r="68" spans="1:21" s="12" customFormat="1" x14ac:dyDescent="0.25">
      <c r="A68" s="214" t="s">
        <v>785</v>
      </c>
      <c r="B68" s="64">
        <v>2.93</v>
      </c>
      <c r="C68" s="64">
        <v>23.88</v>
      </c>
      <c r="D68" s="64">
        <v>16.82</v>
      </c>
      <c r="E68" s="64">
        <v>1.06</v>
      </c>
      <c r="F68" s="64">
        <v>3.44</v>
      </c>
      <c r="G68" s="64">
        <v>52.04</v>
      </c>
      <c r="H68" s="64">
        <v>11.53</v>
      </c>
      <c r="I68" s="64">
        <v>1.44</v>
      </c>
      <c r="J68" s="64">
        <v>1.04</v>
      </c>
      <c r="K68" s="64">
        <v>325.66000000000003</v>
      </c>
      <c r="L68" s="64">
        <v>31.4</v>
      </c>
      <c r="M68" s="64">
        <v>38.270000000000003</v>
      </c>
      <c r="N68" s="64">
        <v>116.9</v>
      </c>
      <c r="O68" s="64">
        <v>0</v>
      </c>
      <c r="P68" s="64">
        <v>0.6</v>
      </c>
      <c r="Q68" s="64">
        <v>11.46</v>
      </c>
      <c r="R68" s="198"/>
      <c r="S68" s="198"/>
      <c r="T68" s="198"/>
      <c r="U68" s="198"/>
    </row>
    <row r="69" spans="1:21" s="12" customFormat="1" x14ac:dyDescent="0.25">
      <c r="A69" s="214" t="s">
        <v>786</v>
      </c>
      <c r="B69" s="64">
        <v>2.8</v>
      </c>
      <c r="C69" s="64">
        <v>24.66</v>
      </c>
      <c r="D69" s="64">
        <v>17.149999999999999</v>
      </c>
      <c r="E69" s="64">
        <v>0.83</v>
      </c>
      <c r="F69" s="64">
        <v>2.42</v>
      </c>
      <c r="G69" s="64">
        <v>52.04</v>
      </c>
      <c r="H69" s="64">
        <v>11.53</v>
      </c>
      <c r="I69" s="64">
        <v>1.35</v>
      </c>
      <c r="J69" s="64">
        <v>1.36</v>
      </c>
      <c r="K69" s="64">
        <v>327.94</v>
      </c>
      <c r="L69" s="64">
        <v>31.06</v>
      </c>
      <c r="M69" s="64">
        <v>39.03</v>
      </c>
      <c r="N69" s="64">
        <v>104.1</v>
      </c>
      <c r="O69" s="64">
        <v>0</v>
      </c>
      <c r="P69" s="64">
        <v>0.6</v>
      </c>
      <c r="Q69" s="64">
        <v>11.36</v>
      </c>
      <c r="R69" s="198"/>
      <c r="S69" s="198"/>
      <c r="T69" s="198"/>
      <c r="U69" s="198"/>
    </row>
    <row r="70" spans="1:21" s="12" customFormat="1" x14ac:dyDescent="0.25">
      <c r="A70" s="214" t="s">
        <v>787</v>
      </c>
      <c r="B70" s="64">
        <v>2.83</v>
      </c>
      <c r="C70" s="64">
        <v>22.15</v>
      </c>
      <c r="D70" s="64">
        <v>15.78</v>
      </c>
      <c r="E70" s="64">
        <v>1.4</v>
      </c>
      <c r="F70" s="64">
        <v>1.85</v>
      </c>
      <c r="G70" s="64">
        <v>51.64</v>
      </c>
      <c r="H70" s="64">
        <v>10.56</v>
      </c>
      <c r="I70" s="64">
        <v>1.49</v>
      </c>
      <c r="J70" s="64">
        <v>1.6</v>
      </c>
      <c r="K70" s="64">
        <v>330.18</v>
      </c>
      <c r="L70" s="64">
        <v>30.64</v>
      </c>
      <c r="M70" s="64">
        <v>40.1</v>
      </c>
      <c r="N70" s="64">
        <v>91.8</v>
      </c>
      <c r="O70" s="64">
        <v>0</v>
      </c>
      <c r="P70" s="64">
        <v>0.59</v>
      </c>
      <c r="Q70" s="64">
        <v>11.11</v>
      </c>
      <c r="R70" s="198"/>
      <c r="S70" s="198"/>
      <c r="T70" s="198"/>
      <c r="U70" s="198"/>
    </row>
    <row r="71" spans="1:21" s="12" customFormat="1" x14ac:dyDescent="0.25">
      <c r="A71" s="214" t="s">
        <v>788</v>
      </c>
      <c r="B71" s="64">
        <v>2.91</v>
      </c>
      <c r="C71" s="64">
        <v>20.47</v>
      </c>
      <c r="D71" s="64">
        <v>14.92</v>
      </c>
      <c r="E71" s="64">
        <v>1.07</v>
      </c>
      <c r="F71" s="64">
        <v>2.2799999999999998</v>
      </c>
      <c r="G71" s="64">
        <v>51.28</v>
      </c>
      <c r="H71" s="64">
        <v>10.15</v>
      </c>
      <c r="I71" s="64">
        <v>1.47</v>
      </c>
      <c r="J71" s="64">
        <v>1.58</v>
      </c>
      <c r="K71" s="64">
        <v>334.87</v>
      </c>
      <c r="L71" s="64">
        <v>30.21</v>
      </c>
      <c r="M71" s="64">
        <v>41.03</v>
      </c>
      <c r="N71" s="64">
        <v>82.7</v>
      </c>
      <c r="O71" s="64">
        <v>0</v>
      </c>
      <c r="P71" s="64">
        <v>0.59</v>
      </c>
      <c r="Q71" s="64">
        <v>11.2</v>
      </c>
      <c r="R71" s="198"/>
      <c r="S71" s="198"/>
      <c r="T71" s="198"/>
      <c r="U71" s="198"/>
    </row>
    <row r="72" spans="1:21" s="12" customFormat="1" x14ac:dyDescent="0.25">
      <c r="A72" s="214" t="s">
        <v>789</v>
      </c>
      <c r="B72" s="64">
        <v>2.81</v>
      </c>
      <c r="C72" s="64">
        <v>21.59</v>
      </c>
      <c r="D72" s="64">
        <v>15.46</v>
      </c>
      <c r="E72" s="64">
        <v>1.73</v>
      </c>
      <c r="F72" s="64">
        <v>2.08</v>
      </c>
      <c r="G72" s="64">
        <v>51.28</v>
      </c>
      <c r="H72" s="64">
        <v>10.15</v>
      </c>
      <c r="I72" s="64">
        <v>1.46</v>
      </c>
      <c r="J72" s="64">
        <v>1.08</v>
      </c>
      <c r="K72" s="64">
        <v>328.3</v>
      </c>
      <c r="L72" s="64">
        <v>30.13</v>
      </c>
      <c r="M72" s="64">
        <v>40.86</v>
      </c>
      <c r="N72" s="64">
        <v>72.8</v>
      </c>
      <c r="O72" s="64">
        <v>0</v>
      </c>
      <c r="P72" s="64">
        <v>0.59</v>
      </c>
      <c r="Q72" s="64">
        <v>11.54</v>
      </c>
      <c r="R72" s="198"/>
      <c r="S72" s="198"/>
      <c r="T72" s="198"/>
      <c r="U72" s="198"/>
    </row>
    <row r="73" spans="1:21" s="12" customFormat="1" x14ac:dyDescent="0.25">
      <c r="A73" s="214" t="s">
        <v>790</v>
      </c>
      <c r="B73" s="64">
        <v>2.89</v>
      </c>
      <c r="C73" s="64">
        <v>20.440000000000001</v>
      </c>
      <c r="D73" s="64">
        <v>14.89</v>
      </c>
      <c r="E73" s="64">
        <v>1.82</v>
      </c>
      <c r="F73" s="64">
        <v>1.69</v>
      </c>
      <c r="G73" s="64">
        <v>51.28</v>
      </c>
      <c r="H73" s="64">
        <v>10.15</v>
      </c>
      <c r="I73" s="64">
        <v>1.46</v>
      </c>
      <c r="J73" s="64">
        <v>1.1100000000000001</v>
      </c>
      <c r="K73" s="64">
        <v>327.36</v>
      </c>
      <c r="L73" s="64">
        <v>29.89</v>
      </c>
      <c r="M73" s="64">
        <v>41.43</v>
      </c>
      <c r="N73" s="64">
        <v>64.2</v>
      </c>
      <c r="O73" s="64">
        <v>0</v>
      </c>
      <c r="P73" s="64">
        <v>0.59</v>
      </c>
      <c r="Q73" s="64">
        <v>11.15</v>
      </c>
      <c r="R73" s="198"/>
      <c r="S73" s="198"/>
      <c r="T73" s="198"/>
      <c r="U73" s="198"/>
    </row>
    <row r="74" spans="1:21" s="12" customFormat="1" x14ac:dyDescent="0.25">
      <c r="A74" s="214" t="s">
        <v>791</v>
      </c>
      <c r="B74" s="64">
        <v>3.13</v>
      </c>
      <c r="C74" s="64">
        <v>19.73</v>
      </c>
      <c r="D74" s="64">
        <v>14.69</v>
      </c>
      <c r="E74" s="64">
        <v>1.99</v>
      </c>
      <c r="F74" s="64">
        <v>1.74</v>
      </c>
      <c r="G74" s="64">
        <v>45.71</v>
      </c>
      <c r="H74" s="64">
        <v>8.1300000000000008</v>
      </c>
      <c r="I74" s="64">
        <v>1.49</v>
      </c>
      <c r="J74" s="64">
        <v>1.28</v>
      </c>
      <c r="K74" s="64">
        <v>327.92</v>
      </c>
      <c r="L74" s="64">
        <v>29.65</v>
      </c>
      <c r="M74" s="64">
        <v>42.02</v>
      </c>
      <c r="N74" s="64">
        <v>54.6</v>
      </c>
      <c r="O74" s="64">
        <v>0</v>
      </c>
      <c r="P74" s="64">
        <v>0.6</v>
      </c>
      <c r="Q74" s="64">
        <v>10.72</v>
      </c>
      <c r="R74" s="198"/>
      <c r="S74" s="198"/>
      <c r="T74" s="198"/>
      <c r="U74" s="198"/>
    </row>
    <row r="75" spans="1:21" s="12" customFormat="1" x14ac:dyDescent="0.25">
      <c r="A75" s="214" t="s">
        <v>792</v>
      </c>
      <c r="B75" s="64">
        <v>3.34</v>
      </c>
      <c r="C75" s="64">
        <v>19.59</v>
      </c>
      <c r="D75" s="64">
        <v>14.78</v>
      </c>
      <c r="E75" s="64">
        <v>2.0099999999999998</v>
      </c>
      <c r="F75" s="64">
        <v>1.54</v>
      </c>
      <c r="G75" s="64">
        <v>40.619999999999997</v>
      </c>
      <c r="H75" s="64">
        <v>7.26</v>
      </c>
      <c r="I75" s="64">
        <v>1.42</v>
      </c>
      <c r="J75" s="64">
        <v>0.95</v>
      </c>
      <c r="K75" s="64">
        <v>326.94</v>
      </c>
      <c r="L75" s="64">
        <v>29.23</v>
      </c>
      <c r="M75" s="64">
        <v>43.14</v>
      </c>
      <c r="N75" s="64">
        <v>48.3</v>
      </c>
      <c r="O75" s="64">
        <v>0</v>
      </c>
      <c r="P75" s="64">
        <v>0.63</v>
      </c>
      <c r="Q75" s="64">
        <v>10.54</v>
      </c>
      <c r="R75" s="198"/>
      <c r="S75" s="198"/>
      <c r="T75" s="198"/>
      <c r="U75" s="198"/>
    </row>
    <row r="76" spans="1:21" s="12" customFormat="1" x14ac:dyDescent="0.25">
      <c r="A76" s="214" t="s">
        <v>793</v>
      </c>
      <c r="B76" s="64">
        <v>3.62</v>
      </c>
      <c r="C76" s="64">
        <v>20.329999999999998</v>
      </c>
      <c r="D76" s="64">
        <v>15.42</v>
      </c>
      <c r="E76" s="64">
        <v>1.4</v>
      </c>
      <c r="F76" s="64">
        <v>1.1100000000000001</v>
      </c>
      <c r="G76" s="64">
        <v>40.619999999999997</v>
      </c>
      <c r="H76" s="64">
        <v>7.26</v>
      </c>
      <c r="I76" s="64">
        <v>1.48</v>
      </c>
      <c r="J76" s="64">
        <v>0.86</v>
      </c>
      <c r="K76" s="64">
        <v>326.12</v>
      </c>
      <c r="L76" s="64">
        <v>28.99</v>
      </c>
      <c r="M76" s="64">
        <v>44.17</v>
      </c>
      <c r="N76" s="64">
        <v>39.4</v>
      </c>
      <c r="O76" s="64">
        <v>0</v>
      </c>
      <c r="P76" s="64">
        <v>0.73</v>
      </c>
      <c r="Q76" s="64">
        <v>11.37</v>
      </c>
      <c r="R76" s="198"/>
      <c r="S76" s="198"/>
      <c r="T76" s="198"/>
      <c r="U76" s="198"/>
    </row>
    <row r="77" spans="1:21" s="12" customFormat="1" x14ac:dyDescent="0.25">
      <c r="A77" s="214" t="s">
        <v>794</v>
      </c>
      <c r="B77" s="64">
        <v>3.99</v>
      </c>
      <c r="C77" s="64">
        <v>19.45</v>
      </c>
      <c r="D77" s="64">
        <v>15.22</v>
      </c>
      <c r="E77" s="64">
        <v>1.95</v>
      </c>
      <c r="F77" s="64">
        <v>1.19</v>
      </c>
      <c r="G77" s="64">
        <v>40.619999999999997</v>
      </c>
      <c r="H77" s="64">
        <v>7.26</v>
      </c>
      <c r="I77" s="64">
        <v>1.46</v>
      </c>
      <c r="J77" s="64">
        <v>0.86</v>
      </c>
      <c r="K77" s="64">
        <v>332.01</v>
      </c>
      <c r="L77" s="64">
        <v>28.61</v>
      </c>
      <c r="M77" s="64">
        <v>45.4</v>
      </c>
      <c r="N77" s="64">
        <v>29.8</v>
      </c>
      <c r="O77" s="64">
        <v>0</v>
      </c>
      <c r="P77" s="64">
        <v>0.73</v>
      </c>
      <c r="Q77" s="64">
        <v>11.1</v>
      </c>
      <c r="R77" s="198"/>
      <c r="S77" s="198"/>
      <c r="T77" s="198"/>
      <c r="U77" s="198"/>
    </row>
    <row r="78" spans="1:21" s="12" customFormat="1" x14ac:dyDescent="0.25">
      <c r="A78" s="214" t="s">
        <v>795</v>
      </c>
      <c r="B78" s="64">
        <v>4.38</v>
      </c>
      <c r="C78" s="64">
        <v>20.54</v>
      </c>
      <c r="D78" s="64">
        <v>16.14</v>
      </c>
      <c r="E78" s="64">
        <v>1.79</v>
      </c>
      <c r="F78" s="64">
        <v>0.88</v>
      </c>
      <c r="G78" s="64">
        <v>54.65</v>
      </c>
      <c r="H78" s="64">
        <v>7.61</v>
      </c>
      <c r="I78" s="64">
        <v>1.48</v>
      </c>
      <c r="J78" s="64">
        <v>0.68</v>
      </c>
      <c r="K78" s="64">
        <v>330.6</v>
      </c>
      <c r="L78" s="64">
        <v>28.04</v>
      </c>
      <c r="M78" s="64">
        <v>45.95</v>
      </c>
      <c r="N78" s="64">
        <v>18.899999999999999</v>
      </c>
      <c r="O78" s="64">
        <v>0</v>
      </c>
      <c r="P78" s="64">
        <v>0.83</v>
      </c>
      <c r="Q78" s="64">
        <v>11.22</v>
      </c>
      <c r="R78" s="198"/>
      <c r="S78" s="198"/>
      <c r="T78" s="198"/>
      <c r="U78" s="198"/>
    </row>
    <row r="79" spans="1:21" s="12" customFormat="1" x14ac:dyDescent="0.25">
      <c r="A79" s="214" t="s">
        <v>796</v>
      </c>
      <c r="B79" s="64">
        <v>5.37</v>
      </c>
      <c r="C79" s="64">
        <v>21.3</v>
      </c>
      <c r="D79" s="64">
        <v>17.36</v>
      </c>
      <c r="E79" s="64">
        <v>2.2599999999999998</v>
      </c>
      <c r="F79" s="64">
        <v>0.51</v>
      </c>
      <c r="G79" s="64">
        <v>67.489999999999995</v>
      </c>
      <c r="H79" s="64">
        <v>7.76</v>
      </c>
      <c r="I79" s="64">
        <v>1.55</v>
      </c>
      <c r="J79" s="64">
        <v>0.21</v>
      </c>
      <c r="K79" s="64">
        <v>331.69</v>
      </c>
      <c r="L79" s="64">
        <v>27.39</v>
      </c>
      <c r="M79" s="64">
        <v>48.37</v>
      </c>
      <c r="N79" s="64">
        <v>11.5</v>
      </c>
      <c r="O79" s="64">
        <v>0</v>
      </c>
      <c r="P79" s="64">
        <v>1.18</v>
      </c>
      <c r="Q79" s="64">
        <v>12.11</v>
      </c>
      <c r="R79" s="198"/>
      <c r="S79" s="198"/>
      <c r="T79" s="198"/>
      <c r="U79" s="198"/>
    </row>
    <row r="80" spans="1:21" s="12" customFormat="1" x14ac:dyDescent="0.25">
      <c r="A80" s="214" t="s">
        <v>797</v>
      </c>
      <c r="B80" s="64">
        <v>6.75</v>
      </c>
      <c r="C80" s="64">
        <v>20.13</v>
      </c>
      <c r="D80" s="64">
        <v>17.809999999999999</v>
      </c>
      <c r="E80" s="64">
        <v>2.54</v>
      </c>
      <c r="F80" s="64">
        <v>0.83</v>
      </c>
      <c r="G80" s="64">
        <v>67.489999999999995</v>
      </c>
      <c r="H80" s="64">
        <v>7.76</v>
      </c>
      <c r="I80" s="64">
        <v>1.6</v>
      </c>
      <c r="J80" s="64">
        <v>0.06</v>
      </c>
      <c r="K80" s="64">
        <v>327.18</v>
      </c>
      <c r="L80" s="64">
        <v>26.57</v>
      </c>
      <c r="M80" s="64">
        <v>51.25</v>
      </c>
      <c r="N80" s="64">
        <v>9.8000000000000007</v>
      </c>
      <c r="O80" s="64">
        <v>0</v>
      </c>
      <c r="P80" s="64">
        <v>1.1599999999999999</v>
      </c>
      <c r="Q80" s="64">
        <v>11.69</v>
      </c>
      <c r="R80" s="198"/>
      <c r="S80" s="198"/>
      <c r="T80" s="198"/>
      <c r="U80" s="198"/>
    </row>
    <row r="81" spans="1:26" s="12" customFormat="1" x14ac:dyDescent="0.25">
      <c r="A81" s="214" t="s">
        <v>798</v>
      </c>
      <c r="B81" s="64">
        <v>8.18</v>
      </c>
      <c r="C81" s="64">
        <v>21.94</v>
      </c>
      <c r="D81" s="64">
        <v>19.96</v>
      </c>
      <c r="E81" s="64">
        <v>2.1</v>
      </c>
      <c r="F81" s="64">
        <v>0.31</v>
      </c>
      <c r="G81" s="64">
        <v>67.489999999999995</v>
      </c>
      <c r="H81" s="64">
        <v>7.76</v>
      </c>
      <c r="I81" s="64">
        <v>1.58</v>
      </c>
      <c r="J81" s="64">
        <v>0.03</v>
      </c>
      <c r="K81" s="64">
        <v>262.52999999999997</v>
      </c>
      <c r="L81" s="64">
        <v>25.75</v>
      </c>
      <c r="M81" s="64">
        <v>60.29</v>
      </c>
      <c r="N81" s="64">
        <v>9.3000000000000007</v>
      </c>
      <c r="O81" s="64">
        <v>0</v>
      </c>
      <c r="P81" s="64">
        <v>1.48</v>
      </c>
      <c r="Q81" s="64">
        <v>12.52</v>
      </c>
      <c r="R81" s="198"/>
      <c r="S81" s="198"/>
      <c r="T81" s="198"/>
      <c r="U81" s="198"/>
    </row>
    <row r="82" spans="1:26" s="12" customFormat="1" x14ac:dyDescent="0.25">
      <c r="A82" s="214" t="s">
        <v>799</v>
      </c>
      <c r="B82" s="64">
        <v>10.89</v>
      </c>
      <c r="C82" s="64">
        <v>22.59</v>
      </c>
      <c r="D82" s="64">
        <v>22.49</v>
      </c>
      <c r="E82" s="64">
        <v>1.75</v>
      </c>
      <c r="F82" s="64">
        <v>0.45</v>
      </c>
      <c r="G82" s="64">
        <v>82.26</v>
      </c>
      <c r="H82" s="64">
        <v>8</v>
      </c>
      <c r="I82" s="64">
        <v>1.43</v>
      </c>
      <c r="J82" s="64">
        <v>0.08</v>
      </c>
      <c r="K82" s="64">
        <v>279.43</v>
      </c>
      <c r="L82" s="64">
        <v>25.06</v>
      </c>
      <c r="M82" s="64">
        <v>66.31</v>
      </c>
      <c r="N82" s="64">
        <v>9.1</v>
      </c>
      <c r="O82" s="64">
        <v>0</v>
      </c>
      <c r="P82" s="64">
        <v>1.75</v>
      </c>
      <c r="Q82" s="64">
        <v>12.57</v>
      </c>
      <c r="R82" s="198"/>
      <c r="S82" s="198"/>
      <c r="T82" s="198"/>
      <c r="U82" s="198"/>
    </row>
    <row r="83" spans="1:26" s="12" customFormat="1" x14ac:dyDescent="0.25">
      <c r="A83" s="214" t="s">
        <v>800</v>
      </c>
      <c r="B83" s="64">
        <v>13.28</v>
      </c>
      <c r="C83" s="64">
        <v>22.48</v>
      </c>
      <c r="D83" s="64">
        <v>24.35</v>
      </c>
      <c r="E83" s="64">
        <v>2.5</v>
      </c>
      <c r="F83" s="64">
        <v>0.21</v>
      </c>
      <c r="G83" s="64">
        <v>95.78</v>
      </c>
      <c r="H83" s="64">
        <v>8.25</v>
      </c>
      <c r="I83" s="64">
        <v>1.55</v>
      </c>
      <c r="J83" s="64">
        <v>0.09</v>
      </c>
      <c r="K83" s="64">
        <v>276.08</v>
      </c>
      <c r="L83" s="64">
        <v>25.18</v>
      </c>
      <c r="M83" s="64">
        <v>56.57</v>
      </c>
      <c r="N83" s="64">
        <v>8.9</v>
      </c>
      <c r="O83" s="64">
        <v>0</v>
      </c>
      <c r="P83" s="64">
        <v>1.47</v>
      </c>
      <c r="Q83" s="64">
        <v>13.21</v>
      </c>
      <c r="R83" s="198"/>
      <c r="S83" s="198"/>
      <c r="T83" s="198"/>
      <c r="U83" s="198"/>
    </row>
    <row r="84" spans="1:26" s="12" customFormat="1" x14ac:dyDescent="0.25">
      <c r="A84" s="214" t="s">
        <v>801</v>
      </c>
      <c r="B84" s="64">
        <v>14.86</v>
      </c>
      <c r="C84" s="64">
        <v>23.29</v>
      </c>
      <c r="D84" s="64">
        <v>26.06</v>
      </c>
      <c r="E84" s="64">
        <v>2.13</v>
      </c>
      <c r="F84" s="64">
        <v>0.54</v>
      </c>
      <c r="G84" s="64">
        <v>95.78</v>
      </c>
      <c r="H84" s="64">
        <v>8.25</v>
      </c>
      <c r="I84" s="64">
        <v>1.45</v>
      </c>
      <c r="J84" s="64">
        <v>0.06</v>
      </c>
      <c r="K84" s="64">
        <v>262.91000000000003</v>
      </c>
      <c r="L84" s="64">
        <v>25.06</v>
      </c>
      <c r="M84" s="64">
        <v>60.16</v>
      </c>
      <c r="N84" s="64">
        <v>9</v>
      </c>
      <c r="O84" s="64">
        <v>0</v>
      </c>
      <c r="P84" s="64">
        <v>1.93</v>
      </c>
      <c r="Q84" s="64">
        <v>13.07</v>
      </c>
      <c r="R84" s="198"/>
      <c r="S84" s="198"/>
      <c r="T84" s="198"/>
      <c r="U84" s="198"/>
    </row>
    <row r="85" spans="1:26" s="12" customFormat="1" x14ac:dyDescent="0.25">
      <c r="A85" s="214" t="s">
        <v>802</v>
      </c>
      <c r="B85" s="64">
        <v>17.48</v>
      </c>
      <c r="C85" s="64">
        <v>22.74</v>
      </c>
      <c r="D85" s="64">
        <v>27.86</v>
      </c>
      <c r="E85" s="64">
        <v>2.68</v>
      </c>
      <c r="F85" s="64">
        <v>0.64</v>
      </c>
      <c r="G85" s="64">
        <v>95.78</v>
      </c>
      <c r="H85" s="64">
        <v>8.25</v>
      </c>
      <c r="I85" s="64">
        <v>1.51</v>
      </c>
      <c r="J85" s="64">
        <v>0.11</v>
      </c>
      <c r="K85" s="64">
        <v>299.22000000000003</v>
      </c>
      <c r="L85" s="64">
        <v>24.76</v>
      </c>
      <c r="M85" s="64">
        <v>65.39</v>
      </c>
      <c r="N85" s="64">
        <v>9</v>
      </c>
      <c r="O85" s="64">
        <v>0</v>
      </c>
      <c r="P85" s="64">
        <v>1.88</v>
      </c>
      <c r="Q85" s="64">
        <v>13.25</v>
      </c>
      <c r="R85" s="198"/>
      <c r="S85" s="198"/>
      <c r="T85" s="198"/>
      <c r="U85" s="198"/>
    </row>
    <row r="86" spans="1:26" s="12" customFormat="1" x14ac:dyDescent="0.25">
      <c r="A86" s="214" t="s">
        <v>803</v>
      </c>
      <c r="B86" s="64">
        <v>22.98</v>
      </c>
      <c r="C86" s="64">
        <v>23.75</v>
      </c>
      <c r="D86" s="64">
        <v>32.83</v>
      </c>
      <c r="E86" s="64">
        <v>3.03</v>
      </c>
      <c r="F86" s="64">
        <v>0.3</v>
      </c>
      <c r="G86" s="64">
        <v>113.58</v>
      </c>
      <c r="H86" s="64">
        <v>7.22</v>
      </c>
      <c r="I86" s="64">
        <v>1.59</v>
      </c>
      <c r="J86" s="64">
        <v>7.0000000000000007E-2</v>
      </c>
      <c r="K86" s="64">
        <v>270.39999999999998</v>
      </c>
      <c r="L86" s="64">
        <v>24.67</v>
      </c>
      <c r="M86" s="64">
        <v>64.349999999999994</v>
      </c>
      <c r="N86" s="64">
        <v>9</v>
      </c>
      <c r="O86" s="64">
        <v>0</v>
      </c>
      <c r="P86" s="64">
        <v>2.4900000000000002</v>
      </c>
      <c r="Q86" s="64">
        <v>14.01</v>
      </c>
      <c r="R86" s="198"/>
      <c r="S86" s="198"/>
      <c r="T86" s="198"/>
      <c r="U86" s="198"/>
    </row>
    <row r="87" spans="1:26" s="12" customFormat="1" x14ac:dyDescent="0.25">
      <c r="A87" s="214" t="s">
        <v>804</v>
      </c>
      <c r="B87" s="64">
        <v>28.08</v>
      </c>
      <c r="C87" s="64">
        <v>22.66</v>
      </c>
      <c r="D87" s="64">
        <v>36.32</v>
      </c>
      <c r="E87" s="64">
        <v>2.74</v>
      </c>
      <c r="F87" s="64">
        <v>0.5</v>
      </c>
      <c r="G87" s="64">
        <v>129.87</v>
      </c>
      <c r="H87" s="64">
        <v>6.78</v>
      </c>
      <c r="I87" s="64">
        <v>1.49</v>
      </c>
      <c r="J87" s="64">
        <v>0.08</v>
      </c>
      <c r="K87" s="64">
        <v>267.60000000000002</v>
      </c>
      <c r="L87" s="64">
        <v>24.59</v>
      </c>
      <c r="M87" s="64">
        <v>62.82</v>
      </c>
      <c r="N87" s="64">
        <v>8.9</v>
      </c>
      <c r="O87" s="64">
        <v>0</v>
      </c>
      <c r="P87" s="64">
        <v>2.5</v>
      </c>
      <c r="Q87" s="64">
        <v>14.81</v>
      </c>
      <c r="R87" s="198"/>
      <c r="S87" s="198"/>
      <c r="T87" s="198"/>
      <c r="U87" s="198"/>
    </row>
    <row r="88" spans="1:26" s="12" customFormat="1" x14ac:dyDescent="0.25">
      <c r="A88" s="214" t="s">
        <v>805</v>
      </c>
      <c r="B88" s="64">
        <v>31.07</v>
      </c>
      <c r="C88" s="64">
        <v>21.85</v>
      </c>
      <c r="D88" s="64">
        <v>38.270000000000003</v>
      </c>
      <c r="E88" s="64">
        <v>1.6</v>
      </c>
      <c r="F88" s="64">
        <v>0.62</v>
      </c>
      <c r="G88" s="64">
        <v>129.87</v>
      </c>
      <c r="H88" s="64">
        <v>6.78</v>
      </c>
      <c r="I88" s="64">
        <v>1.54</v>
      </c>
      <c r="J88" s="64">
        <v>0.06</v>
      </c>
      <c r="K88" s="64">
        <v>349.18</v>
      </c>
      <c r="L88" s="64">
        <v>25.13</v>
      </c>
      <c r="M88" s="64">
        <v>60.33</v>
      </c>
      <c r="N88" s="64">
        <v>8.6</v>
      </c>
      <c r="O88" s="64">
        <v>0</v>
      </c>
      <c r="P88" s="64">
        <v>1.71</v>
      </c>
      <c r="Q88" s="64">
        <v>15.43</v>
      </c>
      <c r="R88" s="198"/>
      <c r="S88" s="198"/>
      <c r="T88" s="198"/>
      <c r="U88" s="198"/>
    </row>
    <row r="89" spans="1:26" s="12" customFormat="1" x14ac:dyDescent="0.25">
      <c r="A89" s="214" t="s">
        <v>806</v>
      </c>
      <c r="B89" s="64">
        <v>31.03</v>
      </c>
      <c r="C89" s="64">
        <v>21.39</v>
      </c>
      <c r="D89" s="64">
        <v>37.979999999999997</v>
      </c>
      <c r="E89" s="64">
        <v>2.68</v>
      </c>
      <c r="F89" s="64">
        <v>0.28000000000000003</v>
      </c>
      <c r="G89" s="64">
        <v>129.87</v>
      </c>
      <c r="H89" s="64">
        <v>6.78</v>
      </c>
      <c r="I89" s="64">
        <v>1.52</v>
      </c>
      <c r="J89" s="64">
        <v>0.06</v>
      </c>
      <c r="K89" s="64">
        <v>283.94</v>
      </c>
      <c r="L89" s="64">
        <v>25.04</v>
      </c>
      <c r="M89" s="64">
        <v>62.06</v>
      </c>
      <c r="N89" s="64">
        <v>8.8000000000000007</v>
      </c>
      <c r="O89" s="64">
        <v>0</v>
      </c>
      <c r="P89" s="64">
        <v>1.65</v>
      </c>
      <c r="Q89" s="64">
        <v>15.77</v>
      </c>
      <c r="R89" s="198"/>
      <c r="S89" s="198"/>
      <c r="T89" s="198"/>
      <c r="U89" s="198"/>
    </row>
    <row r="90" spans="1:26" s="12" customFormat="1" x14ac:dyDescent="0.25">
      <c r="A90" s="214" t="s">
        <v>807</v>
      </c>
      <c r="B90" s="64">
        <v>31.13</v>
      </c>
      <c r="C90" s="64">
        <v>20.47</v>
      </c>
      <c r="D90" s="64">
        <v>37.56</v>
      </c>
      <c r="E90" s="64">
        <v>3.43</v>
      </c>
      <c r="F90" s="64">
        <v>0.17</v>
      </c>
      <c r="G90" s="64">
        <v>129.82</v>
      </c>
      <c r="H90" s="64">
        <v>5.35</v>
      </c>
      <c r="I90" s="64">
        <v>1.48</v>
      </c>
      <c r="J90" s="64">
        <v>0.01</v>
      </c>
      <c r="K90" s="64">
        <v>115.73</v>
      </c>
      <c r="L90" s="64">
        <v>24.7</v>
      </c>
      <c r="M90" s="64">
        <v>62.93</v>
      </c>
      <c r="N90" s="64">
        <v>8.9</v>
      </c>
      <c r="O90" s="64">
        <v>0</v>
      </c>
      <c r="P90" s="64">
        <v>1.83</v>
      </c>
      <c r="Q90" s="64">
        <v>16.079999999999998</v>
      </c>
      <c r="R90" s="198"/>
      <c r="S90" s="198"/>
      <c r="T90" s="198"/>
      <c r="U90" s="198"/>
    </row>
    <row r="91" spans="1:26" s="12" customFormat="1" x14ac:dyDescent="0.25">
      <c r="A91" s="214" t="s">
        <v>808</v>
      </c>
      <c r="B91" s="64">
        <v>31.91</v>
      </c>
      <c r="C91" s="64">
        <v>19.43</v>
      </c>
      <c r="D91" s="64">
        <v>37.61</v>
      </c>
      <c r="E91" s="64">
        <v>2.99</v>
      </c>
      <c r="F91" s="64">
        <v>0.28999999999999998</v>
      </c>
      <c r="G91" s="64">
        <v>129.77000000000001</v>
      </c>
      <c r="H91" s="64">
        <v>4.75</v>
      </c>
      <c r="I91" s="64">
        <v>1.52</v>
      </c>
      <c r="J91" s="64">
        <v>0.09</v>
      </c>
      <c r="K91" s="64">
        <v>271.74</v>
      </c>
      <c r="L91" s="64">
        <v>24.48</v>
      </c>
      <c r="M91" s="64">
        <v>65.52</v>
      </c>
      <c r="N91" s="64">
        <v>8.8000000000000007</v>
      </c>
      <c r="O91" s="64">
        <v>0</v>
      </c>
      <c r="P91" s="64">
        <v>1.91</v>
      </c>
      <c r="Q91" s="64">
        <v>15.74</v>
      </c>
      <c r="R91" s="198"/>
      <c r="S91" s="198"/>
      <c r="T91" s="198"/>
      <c r="U91" s="198"/>
    </row>
    <row r="92" spans="1:26" s="12" customFormat="1" x14ac:dyDescent="0.25">
      <c r="A92" s="214" t="s">
        <v>809</v>
      </c>
      <c r="B92" s="64">
        <v>32.51</v>
      </c>
      <c r="C92" s="64">
        <v>19.940000000000001</v>
      </c>
      <c r="D92" s="64">
        <v>38.369999999999997</v>
      </c>
      <c r="E92" s="64">
        <v>2.58</v>
      </c>
      <c r="F92" s="64">
        <v>0.59</v>
      </c>
      <c r="G92" s="64">
        <v>129.77000000000001</v>
      </c>
      <c r="H92" s="64">
        <v>4.75</v>
      </c>
      <c r="I92" s="64">
        <v>1.56</v>
      </c>
      <c r="J92" s="64">
        <v>0</v>
      </c>
      <c r="K92" s="64">
        <v>38.49</v>
      </c>
      <c r="L92" s="64">
        <v>24.75</v>
      </c>
      <c r="M92" s="64">
        <v>64.989999999999995</v>
      </c>
      <c r="N92" s="64">
        <v>8.4</v>
      </c>
      <c r="O92" s="64">
        <v>0</v>
      </c>
      <c r="P92" s="64">
        <v>1.69</v>
      </c>
      <c r="Q92" s="64">
        <v>14.89</v>
      </c>
      <c r="R92" s="198"/>
      <c r="S92" s="198"/>
      <c r="T92" s="198"/>
      <c r="U92" s="198"/>
    </row>
    <row r="93" spans="1:26" s="12" customFormat="1" x14ac:dyDescent="0.25">
      <c r="A93" s="214" t="s">
        <v>810</v>
      </c>
      <c r="B93" s="64">
        <v>31.56</v>
      </c>
      <c r="C93" s="64">
        <v>22.1</v>
      </c>
      <c r="D93" s="64">
        <v>38.799999999999997</v>
      </c>
      <c r="E93" s="64">
        <v>3</v>
      </c>
      <c r="F93" s="64">
        <v>0.28000000000000003</v>
      </c>
      <c r="G93" s="64">
        <v>129.77000000000001</v>
      </c>
      <c r="H93" s="64">
        <v>4.75</v>
      </c>
      <c r="I93" s="64">
        <v>1.47</v>
      </c>
      <c r="J93" s="64">
        <v>0.02</v>
      </c>
      <c r="K93" s="64">
        <v>17.91</v>
      </c>
      <c r="L93" s="64">
        <v>25.11</v>
      </c>
      <c r="M93" s="64">
        <v>65</v>
      </c>
      <c r="N93" s="64">
        <v>8.5</v>
      </c>
      <c r="O93" s="64">
        <v>0</v>
      </c>
      <c r="P93" s="64">
        <v>1.53</v>
      </c>
      <c r="Q93" s="64">
        <v>15.67</v>
      </c>
      <c r="R93" s="198"/>
      <c r="S93" s="198"/>
      <c r="T93" s="198"/>
      <c r="U93" s="198"/>
    </row>
    <row r="94" spans="1:26" s="12" customFormat="1" x14ac:dyDescent="0.25">
      <c r="A94" s="214" t="s">
        <v>811</v>
      </c>
      <c r="B94" s="64">
        <v>29.46</v>
      </c>
      <c r="C94" s="64">
        <v>20.66</v>
      </c>
      <c r="D94" s="64">
        <v>36.32</v>
      </c>
      <c r="E94" s="64">
        <v>2.29</v>
      </c>
      <c r="F94" s="64">
        <v>0.47</v>
      </c>
      <c r="G94" s="64">
        <v>123.69</v>
      </c>
      <c r="H94" s="64">
        <v>3.92</v>
      </c>
      <c r="I94" s="64">
        <v>1.54</v>
      </c>
      <c r="J94" s="64">
        <v>0.1</v>
      </c>
      <c r="K94" s="64">
        <v>35.18</v>
      </c>
      <c r="L94" s="64">
        <v>24.79</v>
      </c>
      <c r="M94" s="64">
        <v>68.95</v>
      </c>
      <c r="N94" s="64">
        <v>8.8000000000000007</v>
      </c>
      <c r="O94" s="64">
        <v>0</v>
      </c>
      <c r="P94" s="64">
        <v>1.59</v>
      </c>
      <c r="Q94" s="64">
        <v>15.35</v>
      </c>
      <c r="R94" s="198"/>
      <c r="S94" s="198"/>
      <c r="T94" s="198"/>
      <c r="U94" s="198"/>
    </row>
    <row r="95" spans="1:26" s="12" customFormat="1" x14ac:dyDescent="0.25">
      <c r="A95" s="214" t="s">
        <v>812</v>
      </c>
      <c r="B95" s="64">
        <v>27.43</v>
      </c>
      <c r="C95" s="64">
        <v>21.31</v>
      </c>
      <c r="D95" s="64">
        <v>35.049999999999997</v>
      </c>
      <c r="E95" s="64">
        <v>2.37</v>
      </c>
      <c r="F95" s="64">
        <v>0.27</v>
      </c>
      <c r="G95" s="64">
        <v>118.13</v>
      </c>
      <c r="H95" s="64">
        <v>3.58</v>
      </c>
      <c r="I95" s="64">
        <v>1.52</v>
      </c>
      <c r="J95" s="64">
        <v>0.01</v>
      </c>
      <c r="K95" s="64">
        <v>263.86</v>
      </c>
      <c r="L95" s="64">
        <v>24.57</v>
      </c>
      <c r="M95" s="64">
        <v>71.02</v>
      </c>
      <c r="N95" s="64">
        <v>8.6999999999999993</v>
      </c>
      <c r="O95" s="64">
        <v>0</v>
      </c>
      <c r="P95" s="64">
        <v>1.51</v>
      </c>
      <c r="Q95" s="64">
        <v>15.66</v>
      </c>
      <c r="R95" s="198"/>
      <c r="S95" s="198"/>
      <c r="T95" s="198"/>
      <c r="U95" s="198"/>
    </row>
    <row r="96" spans="1:26" s="12" customFormat="1" x14ac:dyDescent="0.25">
      <c r="A96" s="214" t="s">
        <v>813</v>
      </c>
      <c r="B96" s="64">
        <v>25.59</v>
      </c>
      <c r="C96" s="64">
        <v>19.399999999999999</v>
      </c>
      <c r="D96" s="64">
        <v>32.520000000000003</v>
      </c>
      <c r="E96" s="64">
        <v>2.5</v>
      </c>
      <c r="F96" s="64">
        <v>0.19</v>
      </c>
      <c r="G96" s="64">
        <v>118.13</v>
      </c>
      <c r="H96" s="64">
        <v>3.58</v>
      </c>
      <c r="I96" s="64">
        <v>1.51</v>
      </c>
      <c r="J96" s="64">
        <v>0.06</v>
      </c>
      <c r="K96" s="64">
        <v>235.35</v>
      </c>
      <c r="L96" s="64">
        <v>24.32</v>
      </c>
      <c r="M96" s="64">
        <v>73.28</v>
      </c>
      <c r="N96" s="64">
        <v>8.6999999999999993</v>
      </c>
      <c r="O96" s="64">
        <v>0</v>
      </c>
      <c r="P96" s="64">
        <v>1.38</v>
      </c>
      <c r="Q96" s="64">
        <v>15.57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814</v>
      </c>
      <c r="B97" s="64">
        <v>24.37</v>
      </c>
      <c r="C97" s="64">
        <v>18.13</v>
      </c>
      <c r="D97" s="64">
        <v>30.84</v>
      </c>
      <c r="E97" s="64">
        <v>2.79</v>
      </c>
      <c r="F97" s="64">
        <v>0.51</v>
      </c>
      <c r="G97" s="64">
        <v>118.13</v>
      </c>
      <c r="H97" s="64">
        <v>3.58</v>
      </c>
      <c r="I97" s="64">
        <v>1.49</v>
      </c>
      <c r="J97" s="64">
        <v>0.1</v>
      </c>
      <c r="K97" s="64">
        <v>338.41</v>
      </c>
      <c r="L97" s="64">
        <v>23.9</v>
      </c>
      <c r="M97" s="64">
        <v>76.010000000000005</v>
      </c>
      <c r="N97" s="64">
        <v>9</v>
      </c>
      <c r="O97" s="64">
        <v>0</v>
      </c>
      <c r="P97" s="64">
        <v>1.43</v>
      </c>
      <c r="Q97" s="64">
        <v>15.11</v>
      </c>
      <c r="R97" s="198"/>
      <c r="S97" s="198"/>
      <c r="T97" s="198"/>
      <c r="U97" s="198"/>
    </row>
    <row r="98" spans="1:33" s="12" customFormat="1" x14ac:dyDescent="0.25">
      <c r="A98" s="214" t="s">
        <v>815</v>
      </c>
      <c r="B98" s="64">
        <v>23.76</v>
      </c>
      <c r="C98" s="64">
        <v>17.93</v>
      </c>
      <c r="D98" s="64">
        <v>30.24</v>
      </c>
      <c r="E98" s="64">
        <v>2.46</v>
      </c>
      <c r="F98" s="64">
        <v>0.12</v>
      </c>
      <c r="G98" s="64">
        <v>105.32</v>
      </c>
      <c r="H98" s="64">
        <v>4.12</v>
      </c>
      <c r="I98" s="64">
        <v>1.5</v>
      </c>
      <c r="J98" s="64">
        <v>0.15</v>
      </c>
      <c r="K98" s="64">
        <v>325.70999999999998</v>
      </c>
      <c r="L98" s="64">
        <v>23.63</v>
      </c>
      <c r="M98" s="64">
        <v>78.06</v>
      </c>
      <c r="N98" s="64">
        <v>8.8000000000000007</v>
      </c>
      <c r="O98" s="64">
        <v>0</v>
      </c>
      <c r="P98" s="64">
        <v>1.38</v>
      </c>
      <c r="Q98" s="64">
        <v>15.44</v>
      </c>
      <c r="R98" s="198"/>
      <c r="S98" s="198"/>
      <c r="T98" s="198"/>
      <c r="U98" s="198"/>
    </row>
    <row r="99" spans="1:33" s="12" customFormat="1" x14ac:dyDescent="0.25">
      <c r="A99" s="214" t="s">
        <v>816</v>
      </c>
      <c r="B99" s="64">
        <v>23.61</v>
      </c>
      <c r="C99" s="64">
        <v>17.7</v>
      </c>
      <c r="D99" s="64">
        <v>29.99</v>
      </c>
      <c r="E99" s="64">
        <v>1.82</v>
      </c>
      <c r="F99" s="64">
        <v>0.56000000000000005</v>
      </c>
      <c r="G99" s="64">
        <v>93.6</v>
      </c>
      <c r="H99" s="64">
        <v>4.34</v>
      </c>
      <c r="I99" s="64">
        <v>1.5</v>
      </c>
      <c r="J99" s="64">
        <v>0.24</v>
      </c>
      <c r="K99" s="64">
        <v>320.37</v>
      </c>
      <c r="L99" s="64">
        <v>23.54</v>
      </c>
      <c r="M99" s="64">
        <v>76.760000000000005</v>
      </c>
      <c r="N99" s="64">
        <v>8.6</v>
      </c>
      <c r="O99" s="64">
        <v>0</v>
      </c>
      <c r="P99" s="64">
        <v>1.32</v>
      </c>
      <c r="Q99" s="64">
        <v>15.55</v>
      </c>
      <c r="R99" s="198"/>
      <c r="S99" s="198"/>
      <c r="T99" s="198"/>
      <c r="U99" s="198"/>
    </row>
    <row r="100" spans="1:33" s="12" customFormat="1" x14ac:dyDescent="0.25">
      <c r="A100" s="214" t="s">
        <v>817</v>
      </c>
      <c r="B100" s="64">
        <v>23.3</v>
      </c>
      <c r="C100" s="64">
        <v>17.850000000000001</v>
      </c>
      <c r="D100" s="64">
        <v>29.83</v>
      </c>
      <c r="E100" s="64">
        <v>2.02</v>
      </c>
      <c r="F100" s="64">
        <v>0.15</v>
      </c>
      <c r="G100" s="64">
        <v>93.6</v>
      </c>
      <c r="H100" s="64">
        <v>4.34</v>
      </c>
      <c r="I100" s="64">
        <v>1.44</v>
      </c>
      <c r="J100" s="64">
        <v>0.55000000000000004</v>
      </c>
      <c r="K100" s="64">
        <v>320.52</v>
      </c>
      <c r="L100" s="64">
        <v>23.45</v>
      </c>
      <c r="M100" s="64">
        <v>75.94</v>
      </c>
      <c r="N100" s="64">
        <v>8.1</v>
      </c>
      <c r="O100" s="64">
        <v>0</v>
      </c>
      <c r="P100" s="64">
        <v>1.24</v>
      </c>
      <c r="Q100" s="64">
        <v>15.95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818</v>
      </c>
      <c r="B101" s="64">
        <v>22.27</v>
      </c>
      <c r="C101" s="64">
        <v>16.079999999999998</v>
      </c>
      <c r="D101" s="64">
        <v>28.03</v>
      </c>
      <c r="E101" s="64">
        <v>2.82</v>
      </c>
      <c r="F101" s="64">
        <v>0.73</v>
      </c>
      <c r="G101" s="64">
        <v>93.6</v>
      </c>
      <c r="H101" s="64">
        <v>4.34</v>
      </c>
      <c r="I101" s="64">
        <v>1.5</v>
      </c>
      <c r="J101" s="64">
        <v>0.63</v>
      </c>
      <c r="K101" s="64">
        <v>326.01</v>
      </c>
      <c r="L101" s="64">
        <v>23.3</v>
      </c>
      <c r="M101" s="64">
        <v>74.25</v>
      </c>
      <c r="N101" s="64">
        <v>8.4</v>
      </c>
      <c r="O101" s="64">
        <v>0</v>
      </c>
      <c r="P101" s="64">
        <v>1.35</v>
      </c>
      <c r="Q101" s="64">
        <v>14.72</v>
      </c>
      <c r="R101" s="198"/>
      <c r="S101" s="198"/>
      <c r="T101" s="198"/>
      <c r="U101" s="198"/>
    </row>
    <row r="102" spans="1:33" s="12" customFormat="1" x14ac:dyDescent="0.25">
      <c r="A102" s="214" t="s">
        <v>819</v>
      </c>
      <c r="B102" s="64">
        <v>21.41</v>
      </c>
      <c r="C102" s="64">
        <v>17.170000000000002</v>
      </c>
      <c r="D102" s="64">
        <v>27.93</v>
      </c>
      <c r="E102" s="64">
        <v>3.1</v>
      </c>
      <c r="F102" s="64">
        <v>0.22</v>
      </c>
      <c r="G102" s="64">
        <v>93.93</v>
      </c>
      <c r="H102" s="64">
        <v>3.22</v>
      </c>
      <c r="I102" s="64">
        <v>1.49</v>
      </c>
      <c r="J102" s="64">
        <v>0.35</v>
      </c>
      <c r="K102" s="64">
        <v>326.60000000000002</v>
      </c>
      <c r="L102" s="64">
        <v>23.05</v>
      </c>
      <c r="M102" s="64">
        <v>74.23</v>
      </c>
      <c r="N102" s="64">
        <v>8.9</v>
      </c>
      <c r="O102" s="64">
        <v>0</v>
      </c>
      <c r="P102" s="64">
        <v>1.1000000000000001</v>
      </c>
      <c r="Q102" s="64">
        <v>14.96</v>
      </c>
      <c r="R102" s="198"/>
      <c r="S102" s="198"/>
      <c r="T102" s="198"/>
      <c r="U102" s="198"/>
    </row>
    <row r="103" spans="1:33" s="12" customFormat="1" x14ac:dyDescent="0.25">
      <c r="A103" s="214" t="s">
        <v>820</v>
      </c>
      <c r="B103" s="64">
        <v>20.81</v>
      </c>
      <c r="C103" s="64">
        <v>15.76</v>
      </c>
      <c r="D103" s="64">
        <v>26.68</v>
      </c>
      <c r="E103" s="64">
        <v>3.23</v>
      </c>
      <c r="F103" s="64">
        <v>0.65</v>
      </c>
      <c r="G103" s="64">
        <v>94.12</v>
      </c>
      <c r="H103" s="64">
        <v>3.04</v>
      </c>
      <c r="I103" s="64">
        <v>1.55</v>
      </c>
      <c r="J103" s="64">
        <v>0.21</v>
      </c>
      <c r="K103" s="64">
        <v>334.56</v>
      </c>
      <c r="L103" s="64">
        <v>22.84</v>
      </c>
      <c r="M103" s="64">
        <v>74.33</v>
      </c>
      <c r="N103" s="64">
        <v>9</v>
      </c>
      <c r="O103" s="64">
        <v>0</v>
      </c>
      <c r="P103" s="64">
        <v>1.3</v>
      </c>
      <c r="Q103" s="64">
        <v>14.46</v>
      </c>
      <c r="R103" s="198"/>
      <c r="S103" s="198"/>
      <c r="T103" s="198"/>
      <c r="U103" s="198"/>
    </row>
    <row r="104" spans="1:33" s="12" customFormat="1" x14ac:dyDescent="0.25">
      <c r="A104" s="214" t="s">
        <v>821</v>
      </c>
      <c r="B104" s="64">
        <v>20.12</v>
      </c>
      <c r="C104" s="64">
        <v>16.059999999999999</v>
      </c>
      <c r="D104" s="64">
        <v>26.29</v>
      </c>
      <c r="E104" s="64">
        <v>0.35</v>
      </c>
      <c r="F104" s="64">
        <v>0.09</v>
      </c>
      <c r="G104" s="64">
        <v>94.12</v>
      </c>
      <c r="H104" s="64">
        <v>3.04</v>
      </c>
      <c r="I104" s="64">
        <v>1.52</v>
      </c>
      <c r="J104" s="64">
        <v>0.06</v>
      </c>
      <c r="K104" s="64">
        <v>260.06</v>
      </c>
      <c r="L104" s="64">
        <v>22.62</v>
      </c>
      <c r="M104" s="64">
        <v>75.03</v>
      </c>
      <c r="N104" s="64">
        <v>9.1</v>
      </c>
      <c r="O104" s="64">
        <v>0</v>
      </c>
      <c r="P104" s="64">
        <v>1.2</v>
      </c>
      <c r="Q104" s="64">
        <v>14.63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2.39</v>
      </c>
      <c r="C106" s="67">
        <f>MIN(C9:C104)</f>
        <v>10.93</v>
      </c>
      <c r="D106" s="67">
        <f t="shared" ref="D106:Q106" si="0">MIN(D9:D104)</f>
        <v>13.38</v>
      </c>
      <c r="E106" s="67">
        <f t="shared" si="0"/>
        <v>0.16</v>
      </c>
      <c r="F106" s="67">
        <f t="shared" si="0"/>
        <v>7.0000000000000007E-2</v>
      </c>
      <c r="G106" s="67">
        <f t="shared" si="0"/>
        <v>40.619999999999997</v>
      </c>
      <c r="H106" s="67">
        <f t="shared" si="0"/>
        <v>3.04</v>
      </c>
      <c r="I106" s="67">
        <f t="shared" si="0"/>
        <v>1.35</v>
      </c>
      <c r="J106" s="67">
        <f t="shared" si="0"/>
        <v>0</v>
      </c>
      <c r="K106" s="67">
        <f t="shared" si="0"/>
        <v>0.44</v>
      </c>
      <c r="L106" s="67">
        <f t="shared" si="0"/>
        <v>20.38</v>
      </c>
      <c r="M106" s="67">
        <f t="shared" si="0"/>
        <v>35.1</v>
      </c>
      <c r="N106" s="67">
        <f t="shared" si="0"/>
        <v>8.1</v>
      </c>
      <c r="O106" s="67">
        <f t="shared" si="0"/>
        <v>0</v>
      </c>
      <c r="P106" s="67">
        <f t="shared" si="0"/>
        <v>0.59</v>
      </c>
      <c r="Q106" s="67">
        <f t="shared" si="0"/>
        <v>10.54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32.51</v>
      </c>
      <c r="C107" s="66">
        <f t="shared" ref="C107:Q107" si="1">MAX(C9:C104)</f>
        <v>31.1</v>
      </c>
      <c r="D107" s="66">
        <f t="shared" si="1"/>
        <v>38.799999999999997</v>
      </c>
      <c r="E107" s="66">
        <f t="shared" si="1"/>
        <v>3.43</v>
      </c>
      <c r="F107" s="66">
        <f t="shared" si="1"/>
        <v>4.03</v>
      </c>
      <c r="G107" s="66">
        <f t="shared" si="1"/>
        <v>129.87</v>
      </c>
      <c r="H107" s="66">
        <f t="shared" si="1"/>
        <v>32.25</v>
      </c>
      <c r="I107" s="66">
        <f t="shared" si="1"/>
        <v>1.6</v>
      </c>
      <c r="J107" s="66">
        <f t="shared" si="1"/>
        <v>1.6</v>
      </c>
      <c r="K107" s="66">
        <f t="shared" si="1"/>
        <v>353.95</v>
      </c>
      <c r="L107" s="66">
        <f t="shared" si="1"/>
        <v>34.97</v>
      </c>
      <c r="M107" s="66">
        <f t="shared" si="1"/>
        <v>95.57</v>
      </c>
      <c r="N107" s="66">
        <f t="shared" si="1"/>
        <v>930.6</v>
      </c>
      <c r="O107" s="66">
        <f t="shared" si="1"/>
        <v>0</v>
      </c>
      <c r="P107" s="66">
        <f t="shared" si="1"/>
        <v>2.5</v>
      </c>
      <c r="Q107" s="66">
        <f t="shared" si="1"/>
        <v>16.079999999999998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10.406041666666665</v>
      </c>
      <c r="C108" s="67">
        <f t="shared" ref="C108:Q108" si="2">AVERAGE(C9:C104)</f>
        <v>17.689374999999995</v>
      </c>
      <c r="D108" s="67">
        <f t="shared" si="2"/>
        <v>19.399895833333325</v>
      </c>
      <c r="E108" s="67">
        <f t="shared" si="2"/>
        <v>1.4923958333333334</v>
      </c>
      <c r="F108" s="67">
        <f t="shared" si="2"/>
        <v>0.92072916666666693</v>
      </c>
      <c r="G108" s="67">
        <f t="shared" si="2"/>
        <v>77.553020833333321</v>
      </c>
      <c r="H108" s="67">
        <f t="shared" si="2"/>
        <v>18.589062499999983</v>
      </c>
      <c r="I108" s="67">
        <f t="shared" si="2"/>
        <v>1.4964583333333332</v>
      </c>
      <c r="J108" s="67">
        <f t="shared" si="2"/>
        <v>0.40312500000000023</v>
      </c>
      <c r="K108" s="67">
        <f t="shared" si="2"/>
        <v>254.50052083333324</v>
      </c>
      <c r="L108" s="67">
        <f t="shared" si="2"/>
        <v>26.525208333333353</v>
      </c>
      <c r="M108" s="67">
        <f t="shared" si="2"/>
        <v>64.824270833333358</v>
      </c>
      <c r="N108" s="67">
        <f t="shared" si="2"/>
        <v>216.48333333333332</v>
      </c>
      <c r="O108" s="67">
        <f t="shared" si="2"/>
        <v>0</v>
      </c>
      <c r="P108" s="67">
        <f t="shared" si="2"/>
        <v>0.99958333333333294</v>
      </c>
      <c r="Q108" s="67">
        <f t="shared" si="2"/>
        <v>13.355312500000004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8.6696900301739888</v>
      </c>
      <c r="C109" s="67">
        <f t="shared" ref="C109:Q109" si="3">STDEV(C9:C104)</f>
        <v>4.5647108198024116</v>
      </c>
      <c r="D109" s="67">
        <f t="shared" si="3"/>
        <v>7.5589060047757872</v>
      </c>
      <c r="E109" s="67">
        <f t="shared" si="3"/>
        <v>0.802936380506171</v>
      </c>
      <c r="F109" s="67">
        <f t="shared" si="3"/>
        <v>0.92309233704938631</v>
      </c>
      <c r="G109" s="67">
        <f t="shared" si="3"/>
        <v>23.427687269094864</v>
      </c>
      <c r="H109" s="67">
        <f t="shared" si="3"/>
        <v>10.359026887657521</v>
      </c>
      <c r="I109" s="67">
        <f t="shared" si="3"/>
        <v>4.6768841779581342E-2</v>
      </c>
      <c r="J109" s="67">
        <f t="shared" si="3"/>
        <v>0.44978196472232357</v>
      </c>
      <c r="K109" s="67">
        <f t="shared" si="3"/>
        <v>99.668152886094518</v>
      </c>
      <c r="L109" s="67">
        <f t="shared" si="3"/>
        <v>4.7513816227030192</v>
      </c>
      <c r="M109" s="67">
        <f t="shared" si="3"/>
        <v>19.861196219064666</v>
      </c>
      <c r="N109" s="67">
        <f t="shared" si="3"/>
        <v>309.25141114996649</v>
      </c>
      <c r="O109" s="67">
        <f t="shared" si="3"/>
        <v>0</v>
      </c>
      <c r="P109" s="67">
        <f t="shared" si="3"/>
        <v>0.41488594924050348</v>
      </c>
      <c r="Q109" s="67">
        <f t="shared" si="3"/>
        <v>1.4513681045826623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822</v>
      </c>
      <c r="B9" s="64">
        <v>18.91</v>
      </c>
      <c r="C9" s="64">
        <v>14.97</v>
      </c>
      <c r="D9" s="64">
        <v>24.72</v>
      </c>
      <c r="E9" s="64">
        <v>1.21</v>
      </c>
      <c r="F9" s="64">
        <v>0.52</v>
      </c>
      <c r="G9" s="64">
        <v>94.12</v>
      </c>
      <c r="H9" s="64">
        <v>3.04</v>
      </c>
      <c r="I9" s="64">
        <v>1.54</v>
      </c>
      <c r="J9" s="64">
        <v>0.14000000000000001</v>
      </c>
      <c r="K9" s="64">
        <v>208.79</v>
      </c>
      <c r="L9" s="64">
        <v>22.87</v>
      </c>
      <c r="M9" s="64">
        <v>79.5</v>
      </c>
      <c r="N9" s="64">
        <v>8.5</v>
      </c>
      <c r="O9" s="64">
        <v>0</v>
      </c>
      <c r="P9" s="64">
        <v>1.23</v>
      </c>
      <c r="Q9" s="64">
        <v>13.86</v>
      </c>
      <c r="R9" s="198"/>
      <c r="S9" s="198"/>
      <c r="T9" s="198"/>
      <c r="U9" s="198"/>
    </row>
    <row r="10" spans="1:21" s="12" customFormat="1" x14ac:dyDescent="0.25">
      <c r="A10" s="214" t="s">
        <v>823</v>
      </c>
      <c r="B10" s="64">
        <v>17.79</v>
      </c>
      <c r="C10" s="64">
        <v>14.17</v>
      </c>
      <c r="D10" s="64">
        <v>23.38</v>
      </c>
      <c r="E10" s="64">
        <v>1.46</v>
      </c>
      <c r="F10" s="64">
        <v>0.11</v>
      </c>
      <c r="G10" s="64">
        <v>92.18</v>
      </c>
      <c r="H10" s="64">
        <v>2.61</v>
      </c>
      <c r="I10" s="64">
        <v>1.56</v>
      </c>
      <c r="J10" s="64">
        <v>0.2</v>
      </c>
      <c r="K10" s="64">
        <v>157.49</v>
      </c>
      <c r="L10" s="64">
        <v>22.26</v>
      </c>
      <c r="M10" s="64">
        <v>90.16</v>
      </c>
      <c r="N10" s="64">
        <v>8.8000000000000007</v>
      </c>
      <c r="O10" s="64">
        <v>0</v>
      </c>
      <c r="P10" s="64">
        <v>1.1000000000000001</v>
      </c>
      <c r="Q10" s="64">
        <v>14.11</v>
      </c>
      <c r="R10" s="198"/>
      <c r="S10" s="198"/>
      <c r="T10" s="198"/>
      <c r="U10" s="198"/>
    </row>
    <row r="11" spans="1:21" s="12" customFormat="1" x14ac:dyDescent="0.25">
      <c r="A11" s="214" t="s">
        <v>824</v>
      </c>
      <c r="B11" s="64">
        <v>16.899999999999999</v>
      </c>
      <c r="C11" s="64">
        <v>13.09</v>
      </c>
      <c r="D11" s="64">
        <v>22.07</v>
      </c>
      <c r="E11" s="64">
        <v>1.05</v>
      </c>
      <c r="F11" s="64">
        <v>0.74</v>
      </c>
      <c r="G11" s="64">
        <v>90.4</v>
      </c>
      <c r="H11" s="64">
        <v>2.1800000000000002</v>
      </c>
      <c r="I11" s="64">
        <v>1.46</v>
      </c>
      <c r="J11" s="64">
        <v>0.11</v>
      </c>
      <c r="K11" s="64">
        <v>222.15</v>
      </c>
      <c r="L11" s="64">
        <v>21.97</v>
      </c>
      <c r="M11" s="64">
        <v>92.88</v>
      </c>
      <c r="N11" s="64">
        <v>8.8000000000000007</v>
      </c>
      <c r="O11" s="64">
        <v>0</v>
      </c>
      <c r="P11" s="64">
        <v>1.17</v>
      </c>
      <c r="Q11" s="64">
        <v>13.77</v>
      </c>
      <c r="R11" s="198"/>
      <c r="S11" s="198"/>
      <c r="T11" s="198"/>
      <c r="U11" s="198"/>
    </row>
    <row r="12" spans="1:21" s="12" customFormat="1" x14ac:dyDescent="0.25">
      <c r="A12" s="214" t="s">
        <v>825</v>
      </c>
      <c r="B12" s="64">
        <v>16.16</v>
      </c>
      <c r="C12" s="64">
        <v>13.08</v>
      </c>
      <c r="D12" s="64">
        <v>21.47</v>
      </c>
      <c r="E12" s="64">
        <v>1.03</v>
      </c>
      <c r="F12" s="64">
        <v>0.4</v>
      </c>
      <c r="G12" s="64">
        <v>90.4</v>
      </c>
      <c r="H12" s="64">
        <v>2.1800000000000002</v>
      </c>
      <c r="I12" s="64">
        <v>1.56</v>
      </c>
      <c r="J12" s="64">
        <v>0.06</v>
      </c>
      <c r="K12" s="64">
        <v>228.15</v>
      </c>
      <c r="L12" s="64">
        <v>22.01</v>
      </c>
      <c r="M12" s="64">
        <v>91.01</v>
      </c>
      <c r="N12" s="64">
        <v>8.4</v>
      </c>
      <c r="O12" s="64">
        <v>0</v>
      </c>
      <c r="P12" s="64">
        <v>1.1200000000000001</v>
      </c>
      <c r="Q12" s="64">
        <v>13.87</v>
      </c>
      <c r="R12" s="198"/>
      <c r="S12" s="198"/>
      <c r="T12" s="198"/>
      <c r="U12" s="198"/>
    </row>
    <row r="13" spans="1:21" s="12" customFormat="1" x14ac:dyDescent="0.25">
      <c r="A13" s="214" t="s">
        <v>826</v>
      </c>
      <c r="B13" s="64">
        <v>15.4</v>
      </c>
      <c r="C13" s="64">
        <v>12.33</v>
      </c>
      <c r="D13" s="64">
        <v>20.45</v>
      </c>
      <c r="E13" s="64">
        <v>1.68</v>
      </c>
      <c r="F13" s="64">
        <v>0.44</v>
      </c>
      <c r="G13" s="64">
        <v>90.4</v>
      </c>
      <c r="H13" s="64">
        <v>2.1800000000000002</v>
      </c>
      <c r="I13" s="64">
        <v>1.46</v>
      </c>
      <c r="J13" s="64">
        <v>7.0000000000000007E-2</v>
      </c>
      <c r="K13" s="64">
        <v>329.26</v>
      </c>
      <c r="L13" s="64">
        <v>21.75</v>
      </c>
      <c r="M13" s="64">
        <v>91.75</v>
      </c>
      <c r="N13" s="64">
        <v>8.8000000000000007</v>
      </c>
      <c r="O13" s="64">
        <v>0</v>
      </c>
      <c r="P13" s="64">
        <v>1.1200000000000001</v>
      </c>
      <c r="Q13" s="64">
        <v>13.83</v>
      </c>
      <c r="R13" s="198"/>
      <c r="S13" s="198"/>
      <c r="T13" s="198"/>
      <c r="U13" s="198"/>
    </row>
    <row r="14" spans="1:21" s="12" customFormat="1" x14ac:dyDescent="0.25">
      <c r="A14" s="214" t="s">
        <v>827</v>
      </c>
      <c r="B14" s="64">
        <v>15.06</v>
      </c>
      <c r="C14" s="64">
        <v>12.45</v>
      </c>
      <c r="D14" s="64">
        <v>20.239999999999998</v>
      </c>
      <c r="E14" s="64">
        <v>1.25</v>
      </c>
      <c r="F14" s="64">
        <v>0.39</v>
      </c>
      <c r="G14" s="64">
        <v>86.33</v>
      </c>
      <c r="H14" s="64">
        <v>4.2699999999999996</v>
      </c>
      <c r="I14" s="64">
        <v>1.51</v>
      </c>
      <c r="J14" s="64">
        <v>0.03</v>
      </c>
      <c r="K14" s="64">
        <v>308.24</v>
      </c>
      <c r="L14" s="64">
        <v>21.21</v>
      </c>
      <c r="M14" s="64">
        <v>95.8</v>
      </c>
      <c r="N14" s="64">
        <v>7.8</v>
      </c>
      <c r="O14" s="64">
        <v>0</v>
      </c>
      <c r="P14" s="64">
        <v>1.06</v>
      </c>
      <c r="Q14" s="64">
        <v>13.65</v>
      </c>
      <c r="R14" s="198"/>
      <c r="S14" s="198"/>
      <c r="T14" s="198"/>
      <c r="U14" s="198"/>
    </row>
    <row r="15" spans="1:21" s="12" customFormat="1" x14ac:dyDescent="0.25">
      <c r="A15" s="214" t="s">
        <v>828</v>
      </c>
      <c r="B15" s="64">
        <v>14.81</v>
      </c>
      <c r="C15" s="64">
        <v>12.89</v>
      </c>
      <c r="D15" s="64">
        <v>20.28</v>
      </c>
      <c r="E15" s="64">
        <v>1.48</v>
      </c>
      <c r="F15" s="64">
        <v>0.28999999999999998</v>
      </c>
      <c r="G15" s="64">
        <v>82.6</v>
      </c>
      <c r="H15" s="64">
        <v>5.16</v>
      </c>
      <c r="I15" s="64">
        <v>1.49</v>
      </c>
      <c r="J15" s="64">
        <v>0.19</v>
      </c>
      <c r="K15" s="64">
        <v>319.76</v>
      </c>
      <c r="L15" s="64">
        <v>21.11</v>
      </c>
      <c r="M15" s="64">
        <v>92.9</v>
      </c>
      <c r="N15" s="64">
        <v>8.5</v>
      </c>
      <c r="O15" s="64">
        <v>0</v>
      </c>
      <c r="P15" s="64">
        <v>0.94</v>
      </c>
      <c r="Q15" s="64">
        <v>13.77</v>
      </c>
      <c r="R15" s="198"/>
      <c r="S15" s="198"/>
      <c r="T15" s="198"/>
      <c r="U15" s="198"/>
    </row>
    <row r="16" spans="1:21" s="12" customFormat="1" x14ac:dyDescent="0.25">
      <c r="A16" s="214" t="s">
        <v>829</v>
      </c>
      <c r="B16" s="64">
        <v>14.43</v>
      </c>
      <c r="C16" s="64">
        <v>13.53</v>
      </c>
      <c r="D16" s="64">
        <v>20.329999999999998</v>
      </c>
      <c r="E16" s="64">
        <v>1.29</v>
      </c>
      <c r="F16" s="64">
        <v>0.39</v>
      </c>
      <c r="G16" s="64">
        <v>82.6</v>
      </c>
      <c r="H16" s="64">
        <v>5.16</v>
      </c>
      <c r="I16" s="64">
        <v>1.49</v>
      </c>
      <c r="J16" s="64">
        <v>0.28000000000000003</v>
      </c>
      <c r="K16" s="64">
        <v>335.53</v>
      </c>
      <c r="L16" s="64">
        <v>21.43</v>
      </c>
      <c r="M16" s="64">
        <v>84.17</v>
      </c>
      <c r="N16" s="64">
        <v>8.1</v>
      </c>
      <c r="O16" s="64">
        <v>0</v>
      </c>
      <c r="P16" s="64">
        <v>1.07</v>
      </c>
      <c r="Q16" s="64">
        <v>13.73</v>
      </c>
      <c r="R16" s="198"/>
      <c r="S16" s="198"/>
      <c r="T16" s="198"/>
      <c r="U16" s="198"/>
    </row>
    <row r="17" spans="1:21" s="12" customFormat="1" x14ac:dyDescent="0.25">
      <c r="A17" s="214" t="s">
        <v>830</v>
      </c>
      <c r="B17" s="64">
        <v>13.5</v>
      </c>
      <c r="C17" s="64">
        <v>13.81</v>
      </c>
      <c r="D17" s="64">
        <v>19.739999999999998</v>
      </c>
      <c r="E17" s="64">
        <v>1.48</v>
      </c>
      <c r="F17" s="64">
        <v>0.54</v>
      </c>
      <c r="G17" s="64">
        <v>82.6</v>
      </c>
      <c r="H17" s="64">
        <v>5.16</v>
      </c>
      <c r="I17" s="64">
        <v>1.54</v>
      </c>
      <c r="J17" s="64">
        <v>0.5</v>
      </c>
      <c r="K17" s="64">
        <v>315.66000000000003</v>
      </c>
      <c r="L17" s="64">
        <v>21.5</v>
      </c>
      <c r="M17" s="64">
        <v>84.37</v>
      </c>
      <c r="N17" s="64">
        <v>8.1</v>
      </c>
      <c r="O17" s="64">
        <v>0</v>
      </c>
      <c r="P17" s="64">
        <v>1.03</v>
      </c>
      <c r="Q17" s="64">
        <v>13.68</v>
      </c>
      <c r="R17" s="198"/>
      <c r="S17" s="198"/>
      <c r="T17" s="198"/>
      <c r="U17" s="198"/>
    </row>
    <row r="18" spans="1:21" s="12" customFormat="1" x14ac:dyDescent="0.25">
      <c r="A18" s="214" t="s">
        <v>831</v>
      </c>
      <c r="B18" s="64">
        <v>12.53</v>
      </c>
      <c r="C18" s="64">
        <v>13.95</v>
      </c>
      <c r="D18" s="64">
        <v>19.04</v>
      </c>
      <c r="E18" s="64">
        <v>1.1499999999999999</v>
      </c>
      <c r="F18" s="64">
        <v>0.63</v>
      </c>
      <c r="G18" s="64">
        <v>79.540000000000006</v>
      </c>
      <c r="H18" s="64">
        <v>4.07</v>
      </c>
      <c r="I18" s="64">
        <v>1.48</v>
      </c>
      <c r="J18" s="64">
        <v>0.78</v>
      </c>
      <c r="K18" s="64">
        <v>327.33999999999997</v>
      </c>
      <c r="L18" s="64">
        <v>21.36</v>
      </c>
      <c r="M18" s="64">
        <v>83.32</v>
      </c>
      <c r="N18" s="64">
        <v>8.1</v>
      </c>
      <c r="O18" s="64">
        <v>0</v>
      </c>
      <c r="P18" s="64">
        <v>0.96</v>
      </c>
      <c r="Q18" s="64">
        <v>13.59</v>
      </c>
      <c r="R18" s="198"/>
      <c r="S18" s="198"/>
      <c r="T18" s="198"/>
      <c r="U18" s="198"/>
    </row>
    <row r="19" spans="1:21" s="12" customFormat="1" x14ac:dyDescent="0.25">
      <c r="A19" s="214" t="s">
        <v>832</v>
      </c>
      <c r="B19" s="64">
        <v>11.69</v>
      </c>
      <c r="C19" s="64">
        <v>14.26</v>
      </c>
      <c r="D19" s="64">
        <v>18.54</v>
      </c>
      <c r="E19" s="64">
        <v>1.31</v>
      </c>
      <c r="F19" s="64">
        <v>0.74</v>
      </c>
      <c r="G19" s="64">
        <v>76.75</v>
      </c>
      <c r="H19" s="64">
        <v>3.61</v>
      </c>
      <c r="I19" s="64">
        <v>1.5</v>
      </c>
      <c r="J19" s="64">
        <v>0.62</v>
      </c>
      <c r="K19" s="64">
        <v>325.85000000000002</v>
      </c>
      <c r="L19" s="64">
        <v>21.09</v>
      </c>
      <c r="M19" s="64">
        <v>83.28</v>
      </c>
      <c r="N19" s="64">
        <v>8.5</v>
      </c>
      <c r="O19" s="64">
        <v>0</v>
      </c>
      <c r="P19" s="64">
        <v>0.97</v>
      </c>
      <c r="Q19" s="64">
        <v>13.33</v>
      </c>
      <c r="R19" s="198"/>
      <c r="S19" s="198"/>
      <c r="T19" s="198"/>
      <c r="U19" s="198"/>
    </row>
    <row r="20" spans="1:21" s="12" customFormat="1" x14ac:dyDescent="0.25">
      <c r="A20" s="214" t="s">
        <v>833</v>
      </c>
      <c r="B20" s="64">
        <v>10.96</v>
      </c>
      <c r="C20" s="64">
        <v>14.56</v>
      </c>
      <c r="D20" s="64">
        <v>18.11</v>
      </c>
      <c r="E20" s="64">
        <v>1.54</v>
      </c>
      <c r="F20" s="64">
        <v>0.3</v>
      </c>
      <c r="G20" s="64">
        <v>76.75</v>
      </c>
      <c r="H20" s="64">
        <v>3.61</v>
      </c>
      <c r="I20" s="64">
        <v>1.39</v>
      </c>
      <c r="J20" s="64">
        <v>0.52</v>
      </c>
      <c r="K20" s="64">
        <v>340.1</v>
      </c>
      <c r="L20" s="64">
        <v>20.99</v>
      </c>
      <c r="M20" s="64">
        <v>81.41</v>
      </c>
      <c r="N20" s="64">
        <v>8.6999999999999993</v>
      </c>
      <c r="O20" s="64">
        <v>0</v>
      </c>
      <c r="P20" s="64">
        <v>0.93</v>
      </c>
      <c r="Q20" s="64">
        <v>13.65</v>
      </c>
      <c r="R20" s="198"/>
      <c r="S20" s="198"/>
      <c r="T20" s="198"/>
      <c r="U20" s="198"/>
    </row>
    <row r="21" spans="1:21" s="12" customFormat="1" x14ac:dyDescent="0.25">
      <c r="A21" s="214" t="s">
        <v>834</v>
      </c>
      <c r="B21" s="64">
        <v>10.02</v>
      </c>
      <c r="C21" s="64">
        <v>13.59</v>
      </c>
      <c r="D21" s="64">
        <v>16.82</v>
      </c>
      <c r="E21" s="64">
        <v>1.38</v>
      </c>
      <c r="F21" s="64">
        <v>0.55000000000000004</v>
      </c>
      <c r="G21" s="64">
        <v>76.75</v>
      </c>
      <c r="H21" s="64">
        <v>3.61</v>
      </c>
      <c r="I21" s="64">
        <v>1.53</v>
      </c>
      <c r="J21" s="64">
        <v>0.46</v>
      </c>
      <c r="K21" s="64">
        <v>337.13</v>
      </c>
      <c r="L21" s="64">
        <v>20.87</v>
      </c>
      <c r="M21" s="64">
        <v>79.13</v>
      </c>
      <c r="N21" s="64">
        <v>8.6</v>
      </c>
      <c r="O21" s="64">
        <v>0</v>
      </c>
      <c r="P21" s="64">
        <v>0.9</v>
      </c>
      <c r="Q21" s="64">
        <v>13.63</v>
      </c>
      <c r="R21" s="198"/>
      <c r="S21" s="198"/>
      <c r="T21" s="198"/>
      <c r="U21" s="198"/>
    </row>
    <row r="22" spans="1:21" s="12" customFormat="1" x14ac:dyDescent="0.25">
      <c r="A22" s="214" t="s">
        <v>835</v>
      </c>
      <c r="B22" s="64">
        <v>9.14</v>
      </c>
      <c r="C22" s="64">
        <v>13.55</v>
      </c>
      <c r="D22" s="64">
        <v>16.09</v>
      </c>
      <c r="E22" s="64">
        <v>1.1299999999999999</v>
      </c>
      <c r="F22" s="64">
        <v>0.45</v>
      </c>
      <c r="G22" s="64">
        <v>73.58</v>
      </c>
      <c r="H22" s="64">
        <v>2.85</v>
      </c>
      <c r="I22" s="64">
        <v>1.52</v>
      </c>
      <c r="J22" s="64">
        <v>0.79</v>
      </c>
      <c r="K22" s="64">
        <v>338.32</v>
      </c>
      <c r="L22" s="64">
        <v>20.87</v>
      </c>
      <c r="M22" s="64">
        <v>77.78</v>
      </c>
      <c r="N22" s="64">
        <v>8.1999999999999993</v>
      </c>
      <c r="O22" s="64">
        <v>0</v>
      </c>
      <c r="P22" s="64">
        <v>0.86</v>
      </c>
      <c r="Q22" s="64">
        <v>13.72</v>
      </c>
      <c r="R22" s="198"/>
      <c r="S22" s="198"/>
      <c r="T22" s="198"/>
      <c r="U22" s="198"/>
    </row>
    <row r="23" spans="1:21" s="12" customFormat="1" x14ac:dyDescent="0.25">
      <c r="A23" s="214" t="s">
        <v>836</v>
      </c>
      <c r="B23" s="64">
        <v>8.16</v>
      </c>
      <c r="C23" s="64">
        <v>13.39</v>
      </c>
      <c r="D23" s="64">
        <v>15.23</v>
      </c>
      <c r="E23" s="64">
        <v>0.92</v>
      </c>
      <c r="F23" s="64">
        <v>0.59</v>
      </c>
      <c r="G23" s="64">
        <v>70.69</v>
      </c>
      <c r="H23" s="64">
        <v>2.5299999999999998</v>
      </c>
      <c r="I23" s="64">
        <v>1.46</v>
      </c>
      <c r="J23" s="64">
        <v>0.52</v>
      </c>
      <c r="K23" s="64">
        <v>328.48</v>
      </c>
      <c r="L23" s="64">
        <v>20.81</v>
      </c>
      <c r="M23" s="64">
        <v>78.83</v>
      </c>
      <c r="N23" s="64">
        <v>8.6999999999999993</v>
      </c>
      <c r="O23" s="64">
        <v>0</v>
      </c>
      <c r="P23" s="64">
        <v>0.83</v>
      </c>
      <c r="Q23" s="64">
        <v>13.73</v>
      </c>
      <c r="R23" s="198"/>
      <c r="S23" s="198"/>
      <c r="T23" s="198"/>
      <c r="U23" s="198"/>
    </row>
    <row r="24" spans="1:21" s="12" customFormat="1" x14ac:dyDescent="0.25">
      <c r="A24" s="214" t="s">
        <v>837</v>
      </c>
      <c r="B24" s="64">
        <v>7.47</v>
      </c>
      <c r="C24" s="64">
        <v>13.75</v>
      </c>
      <c r="D24" s="64">
        <v>14.87</v>
      </c>
      <c r="E24" s="64">
        <v>0.47</v>
      </c>
      <c r="F24" s="64">
        <v>0.79</v>
      </c>
      <c r="G24" s="64">
        <v>70.69</v>
      </c>
      <c r="H24" s="64">
        <v>2.5299999999999998</v>
      </c>
      <c r="I24" s="64">
        <v>1.51</v>
      </c>
      <c r="J24" s="64">
        <v>0.48</v>
      </c>
      <c r="K24" s="64">
        <v>337.72</v>
      </c>
      <c r="L24" s="64">
        <v>20.67</v>
      </c>
      <c r="M24" s="64">
        <v>80.89</v>
      </c>
      <c r="N24" s="64">
        <v>8.8000000000000007</v>
      </c>
      <c r="O24" s="64">
        <v>0</v>
      </c>
      <c r="P24" s="64">
        <v>0.8</v>
      </c>
      <c r="Q24" s="64">
        <v>13.74</v>
      </c>
      <c r="R24" s="198"/>
      <c r="S24" s="198"/>
      <c r="T24" s="198"/>
      <c r="U24" s="198"/>
    </row>
    <row r="25" spans="1:21" s="12" customFormat="1" x14ac:dyDescent="0.25">
      <c r="A25" s="214" t="s">
        <v>838</v>
      </c>
      <c r="B25" s="64">
        <v>6.92</v>
      </c>
      <c r="C25" s="64">
        <v>13.67</v>
      </c>
      <c r="D25" s="64">
        <v>14.39</v>
      </c>
      <c r="E25" s="64">
        <v>0.47</v>
      </c>
      <c r="F25" s="64">
        <v>0.23</v>
      </c>
      <c r="G25" s="64">
        <v>70.69</v>
      </c>
      <c r="H25" s="64">
        <v>2.5299999999999998</v>
      </c>
      <c r="I25" s="64">
        <v>1.49</v>
      </c>
      <c r="J25" s="64">
        <v>0.25</v>
      </c>
      <c r="K25" s="64">
        <v>331.56</v>
      </c>
      <c r="L25" s="64">
        <v>20.52</v>
      </c>
      <c r="M25" s="64">
        <v>83.04</v>
      </c>
      <c r="N25" s="64">
        <v>9</v>
      </c>
      <c r="O25" s="64">
        <v>0</v>
      </c>
      <c r="P25" s="64">
        <v>0.79</v>
      </c>
      <c r="Q25" s="64">
        <v>14.05</v>
      </c>
      <c r="R25" s="198"/>
      <c r="S25" s="198"/>
      <c r="T25" s="198"/>
      <c r="U25" s="198"/>
    </row>
    <row r="26" spans="1:21" s="12" customFormat="1" x14ac:dyDescent="0.25">
      <c r="A26" s="214" t="s">
        <v>839</v>
      </c>
      <c r="B26" s="64">
        <v>6.51</v>
      </c>
      <c r="C26" s="64">
        <v>13.24</v>
      </c>
      <c r="D26" s="64">
        <v>13.82</v>
      </c>
      <c r="E26" s="64">
        <v>0.94</v>
      </c>
      <c r="F26" s="64">
        <v>0.25</v>
      </c>
      <c r="G26" s="64">
        <v>71.05</v>
      </c>
      <c r="H26" s="64">
        <v>1.99</v>
      </c>
      <c r="I26" s="64">
        <v>1.54</v>
      </c>
      <c r="J26" s="64">
        <v>0.5</v>
      </c>
      <c r="K26" s="64">
        <v>321.8</v>
      </c>
      <c r="L26" s="64">
        <v>20.350000000000001</v>
      </c>
      <c r="M26" s="64">
        <v>84.24</v>
      </c>
      <c r="N26" s="64">
        <v>8.3000000000000007</v>
      </c>
      <c r="O26" s="64">
        <v>0</v>
      </c>
      <c r="P26" s="64">
        <v>0.73</v>
      </c>
      <c r="Q26" s="64">
        <v>13.99</v>
      </c>
      <c r="R26" s="198"/>
      <c r="S26" s="198"/>
      <c r="T26" s="198"/>
      <c r="U26" s="198"/>
    </row>
    <row r="27" spans="1:21" s="12" customFormat="1" x14ac:dyDescent="0.25">
      <c r="A27" s="214" t="s">
        <v>840</v>
      </c>
      <c r="B27" s="64">
        <v>6.2</v>
      </c>
      <c r="C27" s="64">
        <v>12.66</v>
      </c>
      <c r="D27" s="64">
        <v>13.26</v>
      </c>
      <c r="E27" s="64">
        <v>0.46</v>
      </c>
      <c r="F27" s="64">
        <v>0.4</v>
      </c>
      <c r="G27" s="64">
        <v>71.38</v>
      </c>
      <c r="H27" s="64">
        <v>1.77</v>
      </c>
      <c r="I27" s="64">
        <v>1.54</v>
      </c>
      <c r="J27" s="64">
        <v>0.56000000000000005</v>
      </c>
      <c r="K27" s="64">
        <v>333.13</v>
      </c>
      <c r="L27" s="64">
        <v>20.51</v>
      </c>
      <c r="M27" s="64">
        <v>82.39</v>
      </c>
      <c r="N27" s="64">
        <v>8.4</v>
      </c>
      <c r="O27" s="64">
        <v>0</v>
      </c>
      <c r="P27" s="64">
        <v>0.69</v>
      </c>
      <c r="Q27" s="64">
        <v>13.99</v>
      </c>
      <c r="R27" s="198"/>
      <c r="S27" s="198"/>
      <c r="T27" s="198"/>
      <c r="U27" s="198"/>
    </row>
    <row r="28" spans="1:21" s="12" customFormat="1" x14ac:dyDescent="0.25">
      <c r="A28" s="214" t="s">
        <v>841</v>
      </c>
      <c r="B28" s="64">
        <v>6.3</v>
      </c>
      <c r="C28" s="64">
        <v>12.95</v>
      </c>
      <c r="D28" s="64">
        <v>13.49</v>
      </c>
      <c r="E28" s="64">
        <v>0.87</v>
      </c>
      <c r="F28" s="64">
        <v>0.41</v>
      </c>
      <c r="G28" s="64">
        <v>71.38</v>
      </c>
      <c r="H28" s="64">
        <v>1.77</v>
      </c>
      <c r="I28" s="64">
        <v>1.42</v>
      </c>
      <c r="J28" s="64">
        <v>0.43</v>
      </c>
      <c r="K28" s="64">
        <v>341.64</v>
      </c>
      <c r="L28" s="64">
        <v>20.420000000000002</v>
      </c>
      <c r="M28" s="64">
        <v>83.36</v>
      </c>
      <c r="N28" s="64">
        <v>8.6999999999999993</v>
      </c>
      <c r="O28" s="64">
        <v>0</v>
      </c>
      <c r="P28" s="64">
        <v>0.69</v>
      </c>
      <c r="Q28" s="64">
        <v>13.84</v>
      </c>
      <c r="R28" s="198"/>
      <c r="S28" s="198"/>
      <c r="T28" s="198"/>
      <c r="U28" s="198"/>
    </row>
    <row r="29" spans="1:21" s="12" customFormat="1" x14ac:dyDescent="0.25">
      <c r="A29" s="214" t="s">
        <v>842</v>
      </c>
      <c r="B29" s="64">
        <v>6.39</v>
      </c>
      <c r="C29" s="64">
        <v>12.89</v>
      </c>
      <c r="D29" s="64">
        <v>13.53</v>
      </c>
      <c r="E29" s="64">
        <v>1.06</v>
      </c>
      <c r="F29" s="64">
        <v>0.63</v>
      </c>
      <c r="G29" s="64">
        <v>71.38</v>
      </c>
      <c r="H29" s="64">
        <v>1.77</v>
      </c>
      <c r="I29" s="64">
        <v>1.58</v>
      </c>
      <c r="J29" s="64">
        <v>0.1</v>
      </c>
      <c r="K29" s="64">
        <v>326.04000000000002</v>
      </c>
      <c r="L29" s="64">
        <v>20.239999999999998</v>
      </c>
      <c r="M29" s="64">
        <v>84.6</v>
      </c>
      <c r="N29" s="64">
        <v>9</v>
      </c>
      <c r="O29" s="64">
        <v>0</v>
      </c>
      <c r="P29" s="64">
        <v>0.69</v>
      </c>
      <c r="Q29" s="64">
        <v>13.9</v>
      </c>
      <c r="R29" s="198"/>
      <c r="S29" s="198"/>
      <c r="T29" s="198"/>
      <c r="U29" s="198"/>
    </row>
    <row r="30" spans="1:21" s="12" customFormat="1" x14ac:dyDescent="0.25">
      <c r="A30" s="214" t="s">
        <v>843</v>
      </c>
      <c r="B30" s="64">
        <v>6.57</v>
      </c>
      <c r="C30" s="64">
        <v>13.09</v>
      </c>
      <c r="D30" s="64">
        <v>13.79</v>
      </c>
      <c r="E30" s="64">
        <v>0.38</v>
      </c>
      <c r="F30" s="64">
        <v>0.35</v>
      </c>
      <c r="G30" s="64">
        <v>64.099999999999994</v>
      </c>
      <c r="H30" s="64">
        <v>1.42</v>
      </c>
      <c r="I30" s="64">
        <v>1.5</v>
      </c>
      <c r="J30" s="64">
        <v>0.03</v>
      </c>
      <c r="K30" s="64">
        <v>132.58000000000001</v>
      </c>
      <c r="L30" s="64">
        <v>20.04</v>
      </c>
      <c r="M30" s="64">
        <v>86.01</v>
      </c>
      <c r="N30" s="64">
        <v>9.1</v>
      </c>
      <c r="O30" s="64">
        <v>0</v>
      </c>
      <c r="P30" s="64">
        <v>0.61</v>
      </c>
      <c r="Q30" s="64">
        <v>14.21</v>
      </c>
      <c r="R30" s="198"/>
      <c r="S30" s="198"/>
      <c r="T30" s="198"/>
      <c r="U30" s="198"/>
    </row>
    <row r="31" spans="1:21" s="12" customFormat="1" x14ac:dyDescent="0.25">
      <c r="A31" s="214" t="s">
        <v>844</v>
      </c>
      <c r="B31" s="64">
        <v>6.84</v>
      </c>
      <c r="C31" s="64">
        <v>12.53</v>
      </c>
      <c r="D31" s="64">
        <v>13.7</v>
      </c>
      <c r="E31" s="64">
        <v>1.1599999999999999</v>
      </c>
      <c r="F31" s="64">
        <v>0.75</v>
      </c>
      <c r="G31" s="64">
        <v>57.44</v>
      </c>
      <c r="H31" s="64">
        <v>1.27</v>
      </c>
      <c r="I31" s="64">
        <v>1.48</v>
      </c>
      <c r="J31" s="64">
        <v>0.06</v>
      </c>
      <c r="K31" s="64">
        <v>247.49</v>
      </c>
      <c r="L31" s="64">
        <v>19.77</v>
      </c>
      <c r="M31" s="64">
        <v>90.04</v>
      </c>
      <c r="N31" s="64">
        <v>9.9</v>
      </c>
      <c r="O31" s="64">
        <v>0</v>
      </c>
      <c r="P31" s="64">
        <v>0.69</v>
      </c>
      <c r="Q31" s="64">
        <v>13.9</v>
      </c>
      <c r="R31" s="198"/>
      <c r="S31" s="198"/>
      <c r="T31" s="198"/>
      <c r="U31" s="198"/>
    </row>
    <row r="32" spans="1:21" s="12" customFormat="1" x14ac:dyDescent="0.25">
      <c r="A32" s="214" t="s">
        <v>845</v>
      </c>
      <c r="B32" s="64">
        <v>8.06</v>
      </c>
      <c r="C32" s="64">
        <v>14.68</v>
      </c>
      <c r="D32" s="64">
        <v>15.86</v>
      </c>
      <c r="E32" s="64">
        <v>1.07</v>
      </c>
      <c r="F32" s="64">
        <v>0.06</v>
      </c>
      <c r="G32" s="64">
        <v>57.44</v>
      </c>
      <c r="H32" s="64">
        <v>1.27</v>
      </c>
      <c r="I32" s="64">
        <v>1.38</v>
      </c>
      <c r="J32" s="64">
        <v>7.0000000000000007E-2</v>
      </c>
      <c r="K32" s="64">
        <v>246.06</v>
      </c>
      <c r="L32" s="64">
        <v>19.899999999999999</v>
      </c>
      <c r="M32" s="64">
        <v>90.09</v>
      </c>
      <c r="N32" s="64">
        <v>14.4</v>
      </c>
      <c r="O32" s="64">
        <v>0</v>
      </c>
      <c r="P32" s="64">
        <v>0.69</v>
      </c>
      <c r="Q32" s="64">
        <v>14.86</v>
      </c>
      <c r="R32" s="198"/>
      <c r="S32" s="198"/>
      <c r="T32" s="198"/>
      <c r="U32" s="198"/>
    </row>
    <row r="33" spans="1:21" s="12" customFormat="1" x14ac:dyDescent="0.25">
      <c r="A33" s="214" t="s">
        <v>846</v>
      </c>
      <c r="B33" s="64">
        <v>9.11</v>
      </c>
      <c r="C33" s="64">
        <v>14.13</v>
      </c>
      <c r="D33" s="64">
        <v>16.399999999999999</v>
      </c>
      <c r="E33" s="64">
        <v>0.99</v>
      </c>
      <c r="F33" s="64">
        <v>0.76</v>
      </c>
      <c r="G33" s="64">
        <v>57.44</v>
      </c>
      <c r="H33" s="64">
        <v>1.27</v>
      </c>
      <c r="I33" s="64">
        <v>1.37</v>
      </c>
      <c r="J33" s="64">
        <v>7.0000000000000007E-2</v>
      </c>
      <c r="K33" s="64">
        <v>224.17</v>
      </c>
      <c r="L33" s="64">
        <v>20.399999999999999</v>
      </c>
      <c r="M33" s="64">
        <v>88.61</v>
      </c>
      <c r="N33" s="64">
        <v>27.1</v>
      </c>
      <c r="O33" s="64">
        <v>0</v>
      </c>
      <c r="P33" s="64">
        <v>0.69</v>
      </c>
      <c r="Q33" s="64">
        <v>14.41</v>
      </c>
      <c r="R33" s="198"/>
      <c r="S33" s="198"/>
      <c r="T33" s="198"/>
      <c r="U33" s="198"/>
    </row>
    <row r="34" spans="1:21" s="12" customFormat="1" x14ac:dyDescent="0.25">
      <c r="A34" s="214" t="s">
        <v>847</v>
      </c>
      <c r="B34" s="64">
        <v>9.89</v>
      </c>
      <c r="C34" s="64">
        <v>14.31</v>
      </c>
      <c r="D34" s="64">
        <v>17.12</v>
      </c>
      <c r="E34" s="64">
        <v>0.32</v>
      </c>
      <c r="F34" s="64">
        <v>0.14000000000000001</v>
      </c>
      <c r="G34" s="64">
        <v>64.78</v>
      </c>
      <c r="H34" s="64">
        <v>1.1100000000000001</v>
      </c>
      <c r="I34" s="64">
        <v>1.46</v>
      </c>
      <c r="J34" s="64">
        <v>0.01</v>
      </c>
      <c r="K34" s="64">
        <v>236.84</v>
      </c>
      <c r="L34" s="64">
        <v>20.64</v>
      </c>
      <c r="M34" s="64">
        <v>89.02</v>
      </c>
      <c r="N34" s="64">
        <v>55.5</v>
      </c>
      <c r="O34" s="64">
        <v>0</v>
      </c>
      <c r="P34" s="64">
        <v>0.67</v>
      </c>
      <c r="Q34" s="64">
        <v>15.11</v>
      </c>
      <c r="R34" s="198"/>
      <c r="S34" s="198"/>
      <c r="T34" s="198"/>
      <c r="U34" s="198"/>
    </row>
    <row r="35" spans="1:21" s="12" customFormat="1" x14ac:dyDescent="0.25">
      <c r="A35" s="214" t="s">
        <v>848</v>
      </c>
      <c r="B35" s="64">
        <v>11.1</v>
      </c>
      <c r="C35" s="64">
        <v>13.58</v>
      </c>
      <c r="D35" s="64">
        <v>17.690000000000001</v>
      </c>
      <c r="E35" s="64">
        <v>1</v>
      </c>
      <c r="F35" s="64">
        <v>0.43</v>
      </c>
      <c r="G35" s="64">
        <v>71.48</v>
      </c>
      <c r="H35" s="64">
        <v>0.94</v>
      </c>
      <c r="I35" s="64">
        <v>1.47</v>
      </c>
      <c r="J35" s="64">
        <v>0.08</v>
      </c>
      <c r="K35" s="64">
        <v>355.63</v>
      </c>
      <c r="L35" s="64">
        <v>21.95</v>
      </c>
      <c r="M35" s="64">
        <v>82.64</v>
      </c>
      <c r="N35" s="64">
        <v>98.3</v>
      </c>
      <c r="O35" s="64">
        <v>0</v>
      </c>
      <c r="P35" s="64">
        <v>0.69</v>
      </c>
      <c r="Q35" s="64">
        <v>15.85</v>
      </c>
      <c r="R35" s="198"/>
      <c r="S35" s="198"/>
      <c r="T35" s="198"/>
      <c r="U35" s="198"/>
    </row>
    <row r="36" spans="1:21" s="12" customFormat="1" x14ac:dyDescent="0.25">
      <c r="A36" s="214" t="s">
        <v>849</v>
      </c>
      <c r="B36" s="64">
        <v>12.64</v>
      </c>
      <c r="C36" s="64">
        <v>14.27</v>
      </c>
      <c r="D36" s="64">
        <v>19.3</v>
      </c>
      <c r="E36" s="64">
        <v>1.07</v>
      </c>
      <c r="F36" s="64">
        <v>0.41</v>
      </c>
      <c r="G36" s="64">
        <v>71.48</v>
      </c>
      <c r="H36" s="64">
        <v>0.94</v>
      </c>
      <c r="I36" s="64">
        <v>1.51</v>
      </c>
      <c r="J36" s="64">
        <v>0.13</v>
      </c>
      <c r="K36" s="64">
        <v>352.76</v>
      </c>
      <c r="L36" s="64">
        <v>23.82</v>
      </c>
      <c r="M36" s="64">
        <v>73.61</v>
      </c>
      <c r="N36" s="64">
        <v>151.80000000000001</v>
      </c>
      <c r="O36" s="64">
        <v>0</v>
      </c>
      <c r="P36" s="64">
        <v>0.7</v>
      </c>
      <c r="Q36" s="64">
        <v>17.2</v>
      </c>
      <c r="R36" s="198"/>
      <c r="S36" s="198"/>
      <c r="T36" s="198"/>
      <c r="U36" s="198"/>
    </row>
    <row r="37" spans="1:21" s="12" customFormat="1" x14ac:dyDescent="0.25">
      <c r="A37" s="214" t="s">
        <v>850</v>
      </c>
      <c r="B37" s="64">
        <v>13.68</v>
      </c>
      <c r="C37" s="64">
        <v>14.2</v>
      </c>
      <c r="D37" s="64">
        <v>20.100000000000001</v>
      </c>
      <c r="E37" s="64">
        <v>0.78</v>
      </c>
      <c r="F37" s="64">
        <v>0.27</v>
      </c>
      <c r="G37" s="64">
        <v>71.48</v>
      </c>
      <c r="H37" s="64">
        <v>0.94</v>
      </c>
      <c r="I37" s="64">
        <v>1.46</v>
      </c>
      <c r="J37" s="64">
        <v>0.25</v>
      </c>
      <c r="K37" s="64">
        <v>332.72</v>
      </c>
      <c r="L37" s="64">
        <v>25.81</v>
      </c>
      <c r="M37" s="64">
        <v>65.599999999999994</v>
      </c>
      <c r="N37" s="64">
        <v>216.9</v>
      </c>
      <c r="O37" s="64">
        <v>0</v>
      </c>
      <c r="P37" s="64">
        <v>0.69</v>
      </c>
      <c r="Q37" s="64">
        <v>16.55</v>
      </c>
      <c r="R37" s="198"/>
      <c r="S37" s="198"/>
      <c r="T37" s="198"/>
      <c r="U37" s="198"/>
    </row>
    <row r="38" spans="1:21" s="12" customFormat="1" x14ac:dyDescent="0.25">
      <c r="A38" s="214" t="s">
        <v>851</v>
      </c>
      <c r="B38" s="64">
        <v>14.84</v>
      </c>
      <c r="C38" s="64">
        <v>15.25</v>
      </c>
      <c r="D38" s="64">
        <v>21.61</v>
      </c>
      <c r="E38" s="64">
        <v>1.1000000000000001</v>
      </c>
      <c r="F38" s="64">
        <v>0.35</v>
      </c>
      <c r="G38" s="64">
        <v>82.71</v>
      </c>
      <c r="H38" s="64">
        <v>1.93</v>
      </c>
      <c r="I38" s="64">
        <v>1.53</v>
      </c>
      <c r="J38" s="64">
        <v>0.23</v>
      </c>
      <c r="K38" s="64">
        <v>340.06</v>
      </c>
      <c r="L38" s="64">
        <v>27.12</v>
      </c>
      <c r="M38" s="64">
        <v>60.28</v>
      </c>
      <c r="N38" s="64">
        <v>273</v>
      </c>
      <c r="O38" s="64">
        <v>0</v>
      </c>
      <c r="P38" s="64">
        <v>0.76</v>
      </c>
      <c r="Q38" s="64">
        <v>16.239999999999998</v>
      </c>
      <c r="R38" s="198"/>
      <c r="S38" s="198"/>
      <c r="T38" s="198"/>
      <c r="U38" s="198"/>
    </row>
    <row r="39" spans="1:21" s="12" customFormat="1" x14ac:dyDescent="0.25">
      <c r="A39" s="214" t="s">
        <v>852</v>
      </c>
      <c r="B39" s="64">
        <v>15.49</v>
      </c>
      <c r="C39" s="64">
        <v>15.04</v>
      </c>
      <c r="D39" s="64">
        <v>22.01</v>
      </c>
      <c r="E39" s="64">
        <v>0.9</v>
      </c>
      <c r="F39" s="64">
        <v>0.31</v>
      </c>
      <c r="G39" s="64">
        <v>92.98</v>
      </c>
      <c r="H39" s="64">
        <v>2.35</v>
      </c>
      <c r="I39" s="64">
        <v>1.51</v>
      </c>
      <c r="J39" s="64">
        <v>0.36</v>
      </c>
      <c r="K39" s="64">
        <v>342.96</v>
      </c>
      <c r="L39" s="64">
        <v>28.7</v>
      </c>
      <c r="M39" s="64">
        <v>53.29</v>
      </c>
      <c r="N39" s="64">
        <v>333</v>
      </c>
      <c r="O39" s="64">
        <v>0</v>
      </c>
      <c r="P39" s="64">
        <v>0.75</v>
      </c>
      <c r="Q39" s="64">
        <v>16.489999999999998</v>
      </c>
      <c r="R39" s="198"/>
      <c r="S39" s="198"/>
      <c r="T39" s="198"/>
      <c r="U39" s="198"/>
    </row>
    <row r="40" spans="1:21" s="12" customFormat="1" x14ac:dyDescent="0.25">
      <c r="A40" s="214" t="s">
        <v>853</v>
      </c>
      <c r="B40" s="64">
        <v>15.97</v>
      </c>
      <c r="C40" s="64">
        <v>15.45</v>
      </c>
      <c r="D40" s="64">
        <v>22.62</v>
      </c>
      <c r="E40" s="64">
        <v>1.4</v>
      </c>
      <c r="F40" s="64">
        <v>0.3</v>
      </c>
      <c r="G40" s="64">
        <v>92.98</v>
      </c>
      <c r="H40" s="64">
        <v>2.35</v>
      </c>
      <c r="I40" s="64">
        <v>1.47</v>
      </c>
      <c r="J40" s="64">
        <v>0.36</v>
      </c>
      <c r="K40" s="64">
        <v>342.71</v>
      </c>
      <c r="L40" s="64">
        <v>29.7</v>
      </c>
      <c r="M40" s="64">
        <v>50.02</v>
      </c>
      <c r="N40" s="64">
        <v>388.9</v>
      </c>
      <c r="O40" s="64">
        <v>0</v>
      </c>
      <c r="P40" s="64">
        <v>0.78</v>
      </c>
      <c r="Q40" s="64">
        <v>17.84</v>
      </c>
      <c r="R40" s="198"/>
      <c r="S40" s="198"/>
      <c r="T40" s="198"/>
      <c r="U40" s="198"/>
    </row>
    <row r="41" spans="1:21" s="12" customFormat="1" x14ac:dyDescent="0.25">
      <c r="A41" s="214" t="s">
        <v>854</v>
      </c>
      <c r="B41" s="64">
        <v>16.2</v>
      </c>
      <c r="C41" s="64">
        <v>15.7</v>
      </c>
      <c r="D41" s="64">
        <v>22.95</v>
      </c>
      <c r="E41" s="64">
        <v>2.09</v>
      </c>
      <c r="F41" s="64">
        <v>0.54</v>
      </c>
      <c r="G41" s="64">
        <v>92.98</v>
      </c>
      <c r="H41" s="64">
        <v>2.35</v>
      </c>
      <c r="I41" s="64">
        <v>1.48</v>
      </c>
      <c r="J41" s="64">
        <v>0.6</v>
      </c>
      <c r="K41" s="64">
        <v>341.91</v>
      </c>
      <c r="L41" s="64">
        <v>31.1</v>
      </c>
      <c r="M41" s="64">
        <v>44.67</v>
      </c>
      <c r="N41" s="64">
        <v>448.2</v>
      </c>
      <c r="O41" s="64">
        <v>0</v>
      </c>
      <c r="P41" s="64">
        <v>0.78</v>
      </c>
      <c r="Q41" s="64">
        <v>18.07</v>
      </c>
      <c r="R41" s="198"/>
      <c r="S41" s="198"/>
      <c r="T41" s="198"/>
      <c r="U41" s="198"/>
    </row>
    <row r="42" spans="1:21" s="12" customFormat="1" x14ac:dyDescent="0.25">
      <c r="A42" s="214" t="s">
        <v>855</v>
      </c>
      <c r="B42" s="64">
        <v>16.260000000000002</v>
      </c>
      <c r="C42" s="64">
        <v>16.5</v>
      </c>
      <c r="D42" s="64">
        <v>23.43</v>
      </c>
      <c r="E42" s="64">
        <v>1.78</v>
      </c>
      <c r="F42" s="64">
        <v>0.41</v>
      </c>
      <c r="G42" s="64">
        <v>96.16</v>
      </c>
      <c r="H42" s="64">
        <v>1.98</v>
      </c>
      <c r="I42" s="64">
        <v>1.44</v>
      </c>
      <c r="J42" s="64">
        <v>0.57999999999999996</v>
      </c>
      <c r="K42" s="64">
        <v>330.26</v>
      </c>
      <c r="L42" s="64">
        <v>31.25</v>
      </c>
      <c r="M42" s="64">
        <v>46.1</v>
      </c>
      <c r="N42" s="64">
        <v>500.6</v>
      </c>
      <c r="O42" s="64">
        <v>0</v>
      </c>
      <c r="P42" s="64">
        <v>0.78</v>
      </c>
      <c r="Q42" s="64">
        <v>18.260000000000002</v>
      </c>
      <c r="R42" s="198"/>
      <c r="S42" s="198"/>
      <c r="T42" s="198"/>
      <c r="U42" s="198"/>
    </row>
    <row r="43" spans="1:21" s="12" customFormat="1" x14ac:dyDescent="0.25">
      <c r="A43" s="214" t="s">
        <v>856</v>
      </c>
      <c r="B43" s="64">
        <v>15.75</v>
      </c>
      <c r="C43" s="64">
        <v>16.600000000000001</v>
      </c>
      <c r="D43" s="64">
        <v>23.08</v>
      </c>
      <c r="E43" s="64">
        <v>1.75</v>
      </c>
      <c r="F43" s="64">
        <v>0.63</v>
      </c>
      <c r="G43" s="64">
        <v>99.07</v>
      </c>
      <c r="H43" s="64">
        <v>1.83</v>
      </c>
      <c r="I43" s="64">
        <v>1.39</v>
      </c>
      <c r="J43" s="64">
        <v>0.91</v>
      </c>
      <c r="K43" s="64">
        <v>334.82</v>
      </c>
      <c r="L43" s="64">
        <v>29.22</v>
      </c>
      <c r="M43" s="64">
        <v>54.71</v>
      </c>
      <c r="N43" s="64">
        <v>558.9</v>
      </c>
      <c r="O43" s="64">
        <v>0</v>
      </c>
      <c r="P43" s="64">
        <v>0.78</v>
      </c>
      <c r="Q43" s="64">
        <v>18.62</v>
      </c>
      <c r="R43" s="198"/>
      <c r="S43" s="198"/>
      <c r="T43" s="198"/>
      <c r="U43" s="198"/>
    </row>
    <row r="44" spans="1:21" s="12" customFormat="1" x14ac:dyDescent="0.25">
      <c r="A44" s="214" t="s">
        <v>857</v>
      </c>
      <c r="B44" s="64">
        <v>14.83</v>
      </c>
      <c r="C44" s="64">
        <v>18.63</v>
      </c>
      <c r="D44" s="64">
        <v>23.46</v>
      </c>
      <c r="E44" s="64">
        <v>2.1800000000000002</v>
      </c>
      <c r="F44" s="64">
        <v>0.59</v>
      </c>
      <c r="G44" s="64">
        <v>99.07</v>
      </c>
      <c r="H44" s="64">
        <v>1.83</v>
      </c>
      <c r="I44" s="64">
        <v>1.52</v>
      </c>
      <c r="J44" s="64">
        <v>1.1100000000000001</v>
      </c>
      <c r="K44" s="64">
        <v>337.35</v>
      </c>
      <c r="L44" s="64">
        <v>28.88</v>
      </c>
      <c r="M44" s="64">
        <v>54.24</v>
      </c>
      <c r="N44" s="64">
        <v>614</v>
      </c>
      <c r="O44" s="64">
        <v>0</v>
      </c>
      <c r="P44" s="64">
        <v>0.79</v>
      </c>
      <c r="Q44" s="64">
        <v>19.28</v>
      </c>
      <c r="R44" s="198"/>
      <c r="S44" s="198"/>
      <c r="T44" s="198"/>
      <c r="U44" s="198"/>
    </row>
    <row r="45" spans="1:21" s="12" customFormat="1" x14ac:dyDescent="0.25">
      <c r="A45" s="214" t="s">
        <v>858</v>
      </c>
      <c r="B45" s="64">
        <v>13.59</v>
      </c>
      <c r="C45" s="64">
        <v>19.52</v>
      </c>
      <c r="D45" s="64">
        <v>22.96</v>
      </c>
      <c r="E45" s="64">
        <v>1.74</v>
      </c>
      <c r="F45" s="64">
        <v>0.45</v>
      </c>
      <c r="G45" s="64">
        <v>99.07</v>
      </c>
      <c r="H45" s="64">
        <v>1.83</v>
      </c>
      <c r="I45" s="64">
        <v>1.46</v>
      </c>
      <c r="J45" s="64">
        <v>0.97</v>
      </c>
      <c r="K45" s="64">
        <v>331.54</v>
      </c>
      <c r="L45" s="64">
        <v>29.26</v>
      </c>
      <c r="M45" s="64">
        <v>52.65</v>
      </c>
      <c r="N45" s="64">
        <v>661</v>
      </c>
      <c r="O45" s="64">
        <v>0</v>
      </c>
      <c r="P45" s="64">
        <v>0.79</v>
      </c>
      <c r="Q45" s="64">
        <v>19.82</v>
      </c>
      <c r="R45" s="198"/>
      <c r="S45" s="198"/>
      <c r="T45" s="198"/>
      <c r="U45" s="198"/>
    </row>
    <row r="46" spans="1:21" s="12" customFormat="1" x14ac:dyDescent="0.25">
      <c r="A46" s="214" t="s">
        <v>859</v>
      </c>
      <c r="B46" s="64">
        <v>12.13</v>
      </c>
      <c r="C46" s="64">
        <v>20.64</v>
      </c>
      <c r="D46" s="64">
        <v>22.41</v>
      </c>
      <c r="E46" s="64">
        <v>1.6</v>
      </c>
      <c r="F46" s="64">
        <v>0.88</v>
      </c>
      <c r="G46" s="64">
        <v>98.17</v>
      </c>
      <c r="H46" s="64">
        <v>1.57</v>
      </c>
      <c r="I46" s="64">
        <v>1.55</v>
      </c>
      <c r="J46" s="64">
        <v>0.91</v>
      </c>
      <c r="K46" s="64">
        <v>329.46</v>
      </c>
      <c r="L46" s="64">
        <v>29.8</v>
      </c>
      <c r="M46" s="64">
        <v>50.67</v>
      </c>
      <c r="N46" s="64">
        <v>704.1</v>
      </c>
      <c r="O46" s="64">
        <v>0</v>
      </c>
      <c r="P46" s="64">
        <v>0.8</v>
      </c>
      <c r="Q46" s="64">
        <v>19.34</v>
      </c>
      <c r="R46" s="198"/>
      <c r="S46" s="198"/>
      <c r="T46" s="198"/>
      <c r="U46" s="198"/>
    </row>
    <row r="47" spans="1:21" s="12" customFormat="1" x14ac:dyDescent="0.25">
      <c r="A47" s="214" t="s">
        <v>860</v>
      </c>
      <c r="B47" s="64">
        <v>10.48</v>
      </c>
      <c r="C47" s="64">
        <v>21.12</v>
      </c>
      <c r="D47" s="64">
        <v>21.36</v>
      </c>
      <c r="E47" s="64">
        <v>2.0699999999999998</v>
      </c>
      <c r="F47" s="64">
        <v>0.51</v>
      </c>
      <c r="G47" s="64">
        <v>97.34</v>
      </c>
      <c r="H47" s="64">
        <v>1.47</v>
      </c>
      <c r="I47" s="64">
        <v>1.53</v>
      </c>
      <c r="J47" s="64">
        <v>0.68</v>
      </c>
      <c r="K47" s="64">
        <v>331.02</v>
      </c>
      <c r="L47" s="64">
        <v>30.33</v>
      </c>
      <c r="M47" s="64">
        <v>49.03</v>
      </c>
      <c r="N47" s="64">
        <v>734.3</v>
      </c>
      <c r="O47" s="64">
        <v>0</v>
      </c>
      <c r="P47" s="64">
        <v>0.81</v>
      </c>
      <c r="Q47" s="64">
        <v>19.59</v>
      </c>
      <c r="R47" s="198"/>
      <c r="S47" s="198"/>
      <c r="T47" s="198"/>
      <c r="U47" s="198"/>
    </row>
    <row r="48" spans="1:21" s="12" customFormat="1" x14ac:dyDescent="0.25">
      <c r="A48" s="214" t="s">
        <v>861</v>
      </c>
      <c r="B48" s="64">
        <v>9.1199999999999992</v>
      </c>
      <c r="C48" s="64">
        <v>21.54</v>
      </c>
      <c r="D48" s="64">
        <v>20.49</v>
      </c>
      <c r="E48" s="64">
        <v>1.79</v>
      </c>
      <c r="F48" s="64">
        <v>0.73</v>
      </c>
      <c r="G48" s="64">
        <v>97.34</v>
      </c>
      <c r="H48" s="64">
        <v>1.47</v>
      </c>
      <c r="I48" s="64">
        <v>1.53</v>
      </c>
      <c r="J48" s="64">
        <v>0.69</v>
      </c>
      <c r="K48" s="64">
        <v>333.79</v>
      </c>
      <c r="L48" s="64">
        <v>31.02</v>
      </c>
      <c r="M48" s="64">
        <v>47.23</v>
      </c>
      <c r="N48" s="64">
        <v>763.5</v>
      </c>
      <c r="O48" s="64">
        <v>0</v>
      </c>
      <c r="P48" s="64">
        <v>0.81</v>
      </c>
      <c r="Q48" s="64">
        <v>19.09</v>
      </c>
      <c r="R48" s="198"/>
      <c r="S48" s="198"/>
      <c r="T48" s="198"/>
      <c r="U48" s="198"/>
    </row>
    <row r="49" spans="1:21" s="12" customFormat="1" x14ac:dyDescent="0.25">
      <c r="A49" s="214" t="s">
        <v>862</v>
      </c>
      <c r="B49" s="64">
        <v>7.86</v>
      </c>
      <c r="C49" s="64">
        <v>21.47</v>
      </c>
      <c r="D49" s="64">
        <v>19.45</v>
      </c>
      <c r="E49" s="64">
        <v>1.58</v>
      </c>
      <c r="F49" s="64">
        <v>0.72</v>
      </c>
      <c r="G49" s="64">
        <v>97.34</v>
      </c>
      <c r="H49" s="64">
        <v>1.47</v>
      </c>
      <c r="I49" s="64">
        <v>1.46</v>
      </c>
      <c r="J49" s="64">
        <v>0.66</v>
      </c>
      <c r="K49" s="64">
        <v>337.91</v>
      </c>
      <c r="L49" s="64">
        <v>30.51</v>
      </c>
      <c r="M49" s="64">
        <v>48.2</v>
      </c>
      <c r="N49" s="64">
        <v>787.7</v>
      </c>
      <c r="O49" s="64">
        <v>0</v>
      </c>
      <c r="P49" s="64">
        <v>0.83</v>
      </c>
      <c r="Q49" s="64">
        <v>19.05</v>
      </c>
      <c r="R49" s="198"/>
      <c r="S49" s="198"/>
      <c r="T49" s="198"/>
      <c r="U49" s="198"/>
    </row>
    <row r="50" spans="1:21" s="12" customFormat="1" x14ac:dyDescent="0.25">
      <c r="A50" s="214" t="s">
        <v>863</v>
      </c>
      <c r="B50" s="64">
        <v>6.93</v>
      </c>
      <c r="C50" s="64">
        <v>21.8</v>
      </c>
      <c r="D50" s="64">
        <v>18.88</v>
      </c>
      <c r="E50" s="64">
        <v>1.36</v>
      </c>
      <c r="F50" s="64">
        <v>0.66</v>
      </c>
      <c r="G50" s="64">
        <v>95.49</v>
      </c>
      <c r="H50" s="64">
        <v>1.28</v>
      </c>
      <c r="I50" s="64">
        <v>1.58</v>
      </c>
      <c r="J50" s="64">
        <v>0.52</v>
      </c>
      <c r="K50" s="64">
        <v>337.47</v>
      </c>
      <c r="L50" s="64">
        <v>32.61</v>
      </c>
      <c r="M50" s="64">
        <v>38.6</v>
      </c>
      <c r="N50" s="64">
        <v>788.4</v>
      </c>
      <c r="O50" s="64">
        <v>0</v>
      </c>
      <c r="P50" s="64">
        <v>0.78</v>
      </c>
      <c r="Q50" s="64">
        <v>19.260000000000002</v>
      </c>
      <c r="R50" s="198"/>
      <c r="S50" s="198"/>
      <c r="T50" s="198"/>
      <c r="U50" s="198"/>
    </row>
    <row r="51" spans="1:21" s="12" customFormat="1" x14ac:dyDescent="0.25">
      <c r="A51" s="214" t="s">
        <v>864</v>
      </c>
      <c r="B51" s="64">
        <v>6.23</v>
      </c>
      <c r="C51" s="64">
        <v>20.8</v>
      </c>
      <c r="D51" s="64">
        <v>17.77</v>
      </c>
      <c r="E51" s="64">
        <v>2.0299999999999998</v>
      </c>
      <c r="F51" s="64">
        <v>1.06</v>
      </c>
      <c r="G51" s="64">
        <v>93.79</v>
      </c>
      <c r="H51" s="64">
        <v>1.2</v>
      </c>
      <c r="I51" s="64">
        <v>1.5</v>
      </c>
      <c r="J51" s="64">
        <v>0.7</v>
      </c>
      <c r="K51" s="64">
        <v>330.79</v>
      </c>
      <c r="L51" s="64">
        <v>34.909999999999997</v>
      </c>
      <c r="M51" s="64">
        <v>34.26</v>
      </c>
      <c r="N51" s="64">
        <v>803.3</v>
      </c>
      <c r="O51" s="64">
        <v>0</v>
      </c>
      <c r="P51" s="64">
        <v>0.84</v>
      </c>
      <c r="Q51" s="64">
        <v>18.2</v>
      </c>
      <c r="R51" s="198"/>
      <c r="S51" s="198"/>
      <c r="T51" s="198"/>
      <c r="U51" s="198"/>
    </row>
    <row r="52" spans="1:21" s="12" customFormat="1" x14ac:dyDescent="0.25">
      <c r="A52" s="214" t="s">
        <v>865</v>
      </c>
      <c r="B52" s="64">
        <v>5.4</v>
      </c>
      <c r="C52" s="64">
        <v>22.23</v>
      </c>
      <c r="D52" s="64">
        <v>17.89</v>
      </c>
      <c r="E52" s="64">
        <v>1.74</v>
      </c>
      <c r="F52" s="64">
        <v>1.03</v>
      </c>
      <c r="G52" s="64">
        <v>93.79</v>
      </c>
      <c r="H52" s="64">
        <v>1.2</v>
      </c>
      <c r="I52" s="64">
        <v>1.54</v>
      </c>
      <c r="J52" s="64">
        <v>0.79</v>
      </c>
      <c r="K52" s="64">
        <v>338.11</v>
      </c>
      <c r="L52" s="64">
        <v>34.89</v>
      </c>
      <c r="M52" s="64">
        <v>34.869999999999997</v>
      </c>
      <c r="N52" s="64">
        <v>810.6</v>
      </c>
      <c r="O52" s="64">
        <v>0</v>
      </c>
      <c r="P52" s="64">
        <v>0.82</v>
      </c>
      <c r="Q52" s="64">
        <v>17.93</v>
      </c>
      <c r="R52" s="198"/>
      <c r="S52" s="198"/>
      <c r="T52" s="198"/>
      <c r="U52" s="198"/>
    </row>
    <row r="53" spans="1:21" s="12" customFormat="1" x14ac:dyDescent="0.25">
      <c r="A53" s="214" t="s">
        <v>866</v>
      </c>
      <c r="B53" s="64">
        <v>4.46</v>
      </c>
      <c r="C53" s="64">
        <v>22.31</v>
      </c>
      <c r="D53" s="64">
        <v>17.190000000000001</v>
      </c>
      <c r="E53" s="64">
        <v>1.67</v>
      </c>
      <c r="F53" s="64">
        <v>1.59</v>
      </c>
      <c r="G53" s="64">
        <v>93.79</v>
      </c>
      <c r="H53" s="64">
        <v>1.2</v>
      </c>
      <c r="I53" s="64">
        <v>1.43</v>
      </c>
      <c r="J53" s="64">
        <v>0.28999999999999998</v>
      </c>
      <c r="K53" s="64">
        <v>358.83</v>
      </c>
      <c r="L53" s="64">
        <v>34</v>
      </c>
      <c r="M53" s="64">
        <v>36.15</v>
      </c>
      <c r="N53" s="64">
        <v>820.6</v>
      </c>
      <c r="O53" s="64">
        <v>0</v>
      </c>
      <c r="P53" s="64">
        <v>0.83</v>
      </c>
      <c r="Q53" s="64">
        <v>17.95</v>
      </c>
      <c r="R53" s="198"/>
      <c r="S53" s="198"/>
      <c r="T53" s="198"/>
      <c r="U53" s="198"/>
    </row>
    <row r="54" spans="1:21" s="12" customFormat="1" x14ac:dyDescent="0.25">
      <c r="A54" s="214" t="s">
        <v>867</v>
      </c>
      <c r="B54" s="64">
        <v>3.74</v>
      </c>
      <c r="C54" s="64">
        <v>21.93</v>
      </c>
      <c r="D54" s="64">
        <v>16.39</v>
      </c>
      <c r="E54" s="64">
        <v>1.3</v>
      </c>
      <c r="F54" s="64">
        <v>1.67</v>
      </c>
      <c r="G54" s="64">
        <v>88.56</v>
      </c>
      <c r="H54" s="64">
        <v>1.07</v>
      </c>
      <c r="I54" s="64">
        <v>1.53</v>
      </c>
      <c r="J54" s="64">
        <v>0.28999999999999998</v>
      </c>
      <c r="K54" s="64">
        <v>19.45</v>
      </c>
      <c r="L54" s="64">
        <v>32.58</v>
      </c>
      <c r="M54" s="64">
        <v>34.42</v>
      </c>
      <c r="N54" s="64">
        <v>846.3</v>
      </c>
      <c r="O54" s="64">
        <v>0</v>
      </c>
      <c r="P54" s="64">
        <v>0.86</v>
      </c>
      <c r="Q54" s="64">
        <v>18.14</v>
      </c>
      <c r="R54" s="198"/>
      <c r="S54" s="198"/>
      <c r="T54" s="198"/>
      <c r="U54" s="198"/>
    </row>
    <row r="55" spans="1:21" s="12" customFormat="1" x14ac:dyDescent="0.25">
      <c r="A55" s="214" t="s">
        <v>868</v>
      </c>
      <c r="B55" s="64">
        <v>4.9000000000000004</v>
      </c>
      <c r="C55" s="64">
        <v>23.93</v>
      </c>
      <c r="D55" s="64">
        <v>18.43</v>
      </c>
      <c r="E55" s="64">
        <v>2.4</v>
      </c>
      <c r="F55" s="64">
        <v>1.25</v>
      </c>
      <c r="G55" s="64">
        <v>83.77</v>
      </c>
      <c r="H55" s="64">
        <v>1.01</v>
      </c>
      <c r="I55" s="64">
        <v>1.48</v>
      </c>
      <c r="J55" s="64">
        <v>0.6</v>
      </c>
      <c r="K55" s="64">
        <v>94.44</v>
      </c>
      <c r="L55" s="64">
        <v>32.46</v>
      </c>
      <c r="M55" s="64">
        <v>32.21</v>
      </c>
      <c r="N55" s="64">
        <v>860.5</v>
      </c>
      <c r="O55" s="64">
        <v>0</v>
      </c>
      <c r="P55" s="64">
        <v>0.95</v>
      </c>
      <c r="Q55" s="64">
        <v>20</v>
      </c>
      <c r="R55" s="198"/>
      <c r="S55" s="198"/>
      <c r="T55" s="198"/>
      <c r="U55" s="198"/>
    </row>
    <row r="56" spans="1:21" s="12" customFormat="1" x14ac:dyDescent="0.25">
      <c r="A56" s="214" t="s">
        <v>869</v>
      </c>
      <c r="B56" s="64">
        <v>4.37</v>
      </c>
      <c r="C56" s="64">
        <v>26.52</v>
      </c>
      <c r="D56" s="64">
        <v>19.43</v>
      </c>
      <c r="E56" s="64">
        <v>0.5</v>
      </c>
      <c r="F56" s="64">
        <v>2.0699999999999998</v>
      </c>
      <c r="G56" s="64">
        <v>83.77</v>
      </c>
      <c r="H56" s="64">
        <v>1.01</v>
      </c>
      <c r="I56" s="64">
        <v>1.42</v>
      </c>
      <c r="J56" s="64">
        <v>0.57999999999999996</v>
      </c>
      <c r="K56" s="64">
        <v>33.53</v>
      </c>
      <c r="L56" s="64">
        <v>31.77</v>
      </c>
      <c r="M56" s="64">
        <v>34.14</v>
      </c>
      <c r="N56" s="64">
        <v>821.8</v>
      </c>
      <c r="O56" s="64">
        <v>0</v>
      </c>
      <c r="P56" s="64">
        <v>0.95</v>
      </c>
      <c r="Q56" s="64">
        <v>20.83</v>
      </c>
      <c r="R56" s="198"/>
      <c r="S56" s="198"/>
      <c r="T56" s="198"/>
      <c r="U56" s="198"/>
    </row>
    <row r="57" spans="1:21" s="12" customFormat="1" x14ac:dyDescent="0.25">
      <c r="A57" s="214" t="s">
        <v>870</v>
      </c>
      <c r="B57" s="64">
        <v>3.13</v>
      </c>
      <c r="C57" s="64">
        <v>25.74</v>
      </c>
      <c r="D57" s="64">
        <v>18.010000000000002</v>
      </c>
      <c r="E57" s="64">
        <v>1.22</v>
      </c>
      <c r="F57" s="64">
        <v>1.93</v>
      </c>
      <c r="G57" s="64">
        <v>83.77</v>
      </c>
      <c r="H57" s="64">
        <v>1.01</v>
      </c>
      <c r="I57" s="64">
        <v>1.54</v>
      </c>
      <c r="J57" s="64">
        <v>0.72</v>
      </c>
      <c r="K57" s="64">
        <v>99.75</v>
      </c>
      <c r="L57" s="64">
        <v>30.96</v>
      </c>
      <c r="M57" s="64">
        <v>34.4</v>
      </c>
      <c r="N57" s="64">
        <v>806.4</v>
      </c>
      <c r="O57" s="64">
        <v>0</v>
      </c>
      <c r="P57" s="64">
        <v>0.93</v>
      </c>
      <c r="Q57" s="64">
        <v>20.92</v>
      </c>
      <c r="R57" s="198"/>
      <c r="S57" s="198"/>
      <c r="T57" s="198"/>
      <c r="U57" s="198"/>
    </row>
    <row r="58" spans="1:21" s="12" customFormat="1" x14ac:dyDescent="0.25">
      <c r="A58" s="214" t="s">
        <v>871</v>
      </c>
      <c r="B58" s="64">
        <v>2.83</v>
      </c>
      <c r="C58" s="64">
        <v>23.43</v>
      </c>
      <c r="D58" s="64">
        <v>16.489999999999998</v>
      </c>
      <c r="E58" s="64">
        <v>0.73</v>
      </c>
      <c r="F58" s="64">
        <v>1.29</v>
      </c>
      <c r="G58" s="64">
        <v>90.9</v>
      </c>
      <c r="H58" s="64">
        <v>0.94</v>
      </c>
      <c r="I58" s="64">
        <v>1.41</v>
      </c>
      <c r="J58" s="64">
        <v>0.31</v>
      </c>
      <c r="K58" s="64">
        <v>11.5</v>
      </c>
      <c r="L58" s="64">
        <v>31.96</v>
      </c>
      <c r="M58" s="64">
        <v>31.22</v>
      </c>
      <c r="N58" s="64">
        <v>790.2</v>
      </c>
      <c r="O58" s="64">
        <v>0</v>
      </c>
      <c r="P58" s="64">
        <v>0.89</v>
      </c>
      <c r="Q58" s="64">
        <v>20.97</v>
      </c>
      <c r="R58" s="198"/>
      <c r="S58" s="198"/>
      <c r="T58" s="198"/>
      <c r="U58" s="198"/>
    </row>
    <row r="59" spans="1:21" s="12" customFormat="1" x14ac:dyDescent="0.25">
      <c r="A59" s="214" t="s">
        <v>872</v>
      </c>
      <c r="B59" s="64">
        <v>3.15</v>
      </c>
      <c r="C59" s="64">
        <v>24.06</v>
      </c>
      <c r="D59" s="64">
        <v>17.100000000000001</v>
      </c>
      <c r="E59" s="64">
        <v>0.86</v>
      </c>
      <c r="F59" s="64">
        <v>2.82</v>
      </c>
      <c r="G59" s="64">
        <v>97.43</v>
      </c>
      <c r="H59" s="64">
        <v>0.87</v>
      </c>
      <c r="I59" s="64">
        <v>1.46</v>
      </c>
      <c r="J59" s="64">
        <v>0.38</v>
      </c>
      <c r="K59" s="64">
        <v>69.8</v>
      </c>
      <c r="L59" s="64">
        <v>32.14</v>
      </c>
      <c r="M59" s="64">
        <v>30.69</v>
      </c>
      <c r="N59" s="64">
        <v>784.8</v>
      </c>
      <c r="O59" s="64">
        <v>0</v>
      </c>
      <c r="P59" s="64">
        <v>0.89</v>
      </c>
      <c r="Q59" s="64">
        <v>20.3</v>
      </c>
      <c r="R59" s="198"/>
      <c r="S59" s="198"/>
      <c r="T59" s="198"/>
      <c r="U59" s="198"/>
    </row>
    <row r="60" spans="1:21" s="12" customFormat="1" x14ac:dyDescent="0.25">
      <c r="A60" s="214" t="s">
        <v>873</v>
      </c>
      <c r="B60" s="64">
        <v>3.33</v>
      </c>
      <c r="C60" s="64">
        <v>30.1</v>
      </c>
      <c r="D60" s="64">
        <v>20.57</v>
      </c>
      <c r="E60" s="64">
        <v>1.62</v>
      </c>
      <c r="F60" s="64">
        <v>3.21</v>
      </c>
      <c r="G60" s="64">
        <v>97.43</v>
      </c>
      <c r="H60" s="64">
        <v>0.87</v>
      </c>
      <c r="I60" s="64">
        <v>1.47</v>
      </c>
      <c r="J60" s="64">
        <v>0.83</v>
      </c>
      <c r="K60" s="64">
        <v>98.35</v>
      </c>
      <c r="L60" s="64">
        <v>30.79</v>
      </c>
      <c r="M60" s="64">
        <v>37.76</v>
      </c>
      <c r="N60" s="64">
        <v>744.7</v>
      </c>
      <c r="O60" s="64">
        <v>0</v>
      </c>
      <c r="P60" s="64">
        <v>1</v>
      </c>
      <c r="Q60" s="64">
        <v>21.63</v>
      </c>
      <c r="R60" s="198"/>
      <c r="S60" s="198"/>
      <c r="T60" s="198"/>
      <c r="U60" s="198"/>
    </row>
    <row r="61" spans="1:21" s="12" customFormat="1" x14ac:dyDescent="0.25">
      <c r="A61" s="214" t="s">
        <v>874</v>
      </c>
      <c r="B61" s="64">
        <v>2.6</v>
      </c>
      <c r="C61" s="64">
        <v>28.83</v>
      </c>
      <c r="D61" s="64">
        <v>19.29</v>
      </c>
      <c r="E61" s="64">
        <v>1.68</v>
      </c>
      <c r="F61" s="64">
        <v>2.76</v>
      </c>
      <c r="G61" s="64">
        <v>97.43</v>
      </c>
      <c r="H61" s="64">
        <v>0.87</v>
      </c>
      <c r="I61" s="64">
        <v>1.52</v>
      </c>
      <c r="J61" s="64">
        <v>0.54</v>
      </c>
      <c r="K61" s="64">
        <v>102.78</v>
      </c>
      <c r="L61" s="64">
        <v>31.2</v>
      </c>
      <c r="M61" s="64">
        <v>37.93</v>
      </c>
      <c r="N61" s="64">
        <v>708.3</v>
      </c>
      <c r="O61" s="64">
        <v>0</v>
      </c>
      <c r="P61" s="64">
        <v>0.89</v>
      </c>
      <c r="Q61" s="64">
        <v>22.35</v>
      </c>
      <c r="R61" s="198"/>
      <c r="S61" s="198"/>
      <c r="T61" s="198"/>
      <c r="U61" s="198"/>
    </row>
    <row r="62" spans="1:21" s="12" customFormat="1" x14ac:dyDescent="0.25">
      <c r="A62" s="214" t="s">
        <v>875</v>
      </c>
      <c r="B62" s="64">
        <v>2.12</v>
      </c>
      <c r="C62" s="64">
        <v>25.18</v>
      </c>
      <c r="D62" s="64">
        <v>16.89</v>
      </c>
      <c r="E62" s="64">
        <v>1.52</v>
      </c>
      <c r="F62" s="64">
        <v>7.17</v>
      </c>
      <c r="G62" s="64">
        <v>95.48</v>
      </c>
      <c r="H62" s="64">
        <v>1.95</v>
      </c>
      <c r="I62" s="64">
        <v>1.52</v>
      </c>
      <c r="J62" s="64">
        <v>0.3</v>
      </c>
      <c r="K62" s="64">
        <v>342.99</v>
      </c>
      <c r="L62" s="64">
        <v>31.45</v>
      </c>
      <c r="M62" s="64">
        <v>37</v>
      </c>
      <c r="N62" s="64">
        <v>670.8</v>
      </c>
      <c r="O62" s="64">
        <v>0</v>
      </c>
      <c r="P62" s="64">
        <v>0.8</v>
      </c>
      <c r="Q62" s="64">
        <v>21.61</v>
      </c>
      <c r="R62" s="198"/>
      <c r="S62" s="198"/>
      <c r="T62" s="198"/>
      <c r="U62" s="198"/>
    </row>
    <row r="63" spans="1:21" s="12" customFormat="1" x14ac:dyDescent="0.25">
      <c r="A63" s="214" t="s">
        <v>876</v>
      </c>
      <c r="B63" s="64">
        <v>2.11</v>
      </c>
      <c r="C63" s="64">
        <v>22.44</v>
      </c>
      <c r="D63" s="64">
        <v>15.37</v>
      </c>
      <c r="E63" s="64">
        <v>3.56</v>
      </c>
      <c r="F63" s="64">
        <v>3.01</v>
      </c>
      <c r="G63" s="64">
        <v>93.69</v>
      </c>
      <c r="H63" s="64">
        <v>2.41</v>
      </c>
      <c r="I63" s="64">
        <v>1.52</v>
      </c>
      <c r="J63" s="64">
        <v>0.64</v>
      </c>
      <c r="K63" s="64">
        <v>333.04</v>
      </c>
      <c r="L63" s="64">
        <v>32.54</v>
      </c>
      <c r="M63" s="64">
        <v>33.630000000000003</v>
      </c>
      <c r="N63" s="64">
        <v>645.9</v>
      </c>
      <c r="O63" s="64">
        <v>0</v>
      </c>
      <c r="P63" s="64">
        <v>0.81</v>
      </c>
      <c r="Q63" s="64">
        <v>20.18</v>
      </c>
      <c r="R63" s="198"/>
      <c r="S63" s="198"/>
      <c r="T63" s="198"/>
      <c r="U63" s="198"/>
    </row>
    <row r="64" spans="1:21" s="12" customFormat="1" x14ac:dyDescent="0.25">
      <c r="A64" s="214" t="s">
        <v>877</v>
      </c>
      <c r="B64" s="64">
        <v>2.61</v>
      </c>
      <c r="C64" s="64">
        <v>21.66</v>
      </c>
      <c r="D64" s="64">
        <v>15.34</v>
      </c>
      <c r="E64" s="64">
        <v>1.7</v>
      </c>
      <c r="F64" s="64">
        <v>1.73</v>
      </c>
      <c r="G64" s="64">
        <v>93.69</v>
      </c>
      <c r="H64" s="64">
        <v>2.41</v>
      </c>
      <c r="I64" s="64">
        <v>1.43</v>
      </c>
      <c r="J64" s="64">
        <v>0.99</v>
      </c>
      <c r="K64" s="64">
        <v>340.22</v>
      </c>
      <c r="L64" s="64">
        <v>32.56</v>
      </c>
      <c r="M64" s="64">
        <v>33.36</v>
      </c>
      <c r="N64" s="64">
        <v>486.8</v>
      </c>
      <c r="O64" s="64">
        <v>0</v>
      </c>
      <c r="P64" s="64">
        <v>0.81</v>
      </c>
      <c r="Q64" s="64">
        <v>19.8</v>
      </c>
      <c r="R64" s="198"/>
      <c r="S64" s="198"/>
      <c r="T64" s="198"/>
      <c r="U64" s="198"/>
    </row>
    <row r="65" spans="1:21" s="12" customFormat="1" x14ac:dyDescent="0.25">
      <c r="A65" s="214" t="s">
        <v>878</v>
      </c>
      <c r="B65" s="64">
        <v>2.98</v>
      </c>
      <c r="C65" s="64">
        <v>22.3</v>
      </c>
      <c r="D65" s="64">
        <v>15.99</v>
      </c>
      <c r="E65" s="64">
        <v>1.32</v>
      </c>
      <c r="F65" s="64">
        <v>1.01</v>
      </c>
      <c r="G65" s="64">
        <v>93.69</v>
      </c>
      <c r="H65" s="64">
        <v>2.41</v>
      </c>
      <c r="I65" s="64">
        <v>1.5</v>
      </c>
      <c r="J65" s="64">
        <v>0.08</v>
      </c>
      <c r="K65" s="64">
        <v>75.97</v>
      </c>
      <c r="L65" s="64">
        <v>31.15</v>
      </c>
      <c r="M65" s="64">
        <v>34.36</v>
      </c>
      <c r="N65" s="64">
        <v>212.9</v>
      </c>
      <c r="O65" s="64">
        <v>0</v>
      </c>
      <c r="P65" s="64">
        <v>0.78</v>
      </c>
      <c r="Q65" s="64">
        <v>20.58</v>
      </c>
      <c r="R65" s="198"/>
      <c r="S65" s="198"/>
      <c r="T65" s="198"/>
      <c r="U65" s="198"/>
    </row>
    <row r="66" spans="1:21" s="12" customFormat="1" x14ac:dyDescent="0.25">
      <c r="A66" s="214" t="s">
        <v>879</v>
      </c>
      <c r="B66" s="64">
        <v>3.02</v>
      </c>
      <c r="C66" s="64">
        <v>21.83</v>
      </c>
      <c r="D66" s="64">
        <v>15.76</v>
      </c>
      <c r="E66" s="64">
        <v>1.36</v>
      </c>
      <c r="F66" s="64">
        <v>1.1000000000000001</v>
      </c>
      <c r="G66" s="64">
        <v>92.89</v>
      </c>
      <c r="H66" s="64">
        <v>2.2400000000000002</v>
      </c>
      <c r="I66" s="64">
        <v>1.48</v>
      </c>
      <c r="J66" s="64">
        <v>0.26</v>
      </c>
      <c r="K66" s="64">
        <v>19.059999999999999</v>
      </c>
      <c r="L66" s="64">
        <v>30.98</v>
      </c>
      <c r="M66" s="64">
        <v>35.770000000000003</v>
      </c>
      <c r="N66" s="64">
        <v>216.1</v>
      </c>
      <c r="O66" s="64">
        <v>0</v>
      </c>
      <c r="P66" s="64">
        <v>0.77</v>
      </c>
      <c r="Q66" s="64">
        <v>21.16</v>
      </c>
      <c r="R66" s="198"/>
      <c r="S66" s="198"/>
      <c r="T66" s="198"/>
      <c r="U66" s="198"/>
    </row>
    <row r="67" spans="1:21" s="12" customFormat="1" x14ac:dyDescent="0.25">
      <c r="A67" s="214" t="s">
        <v>880</v>
      </c>
      <c r="B67" s="64">
        <v>2.69</v>
      </c>
      <c r="C67" s="64">
        <v>21.33</v>
      </c>
      <c r="D67" s="64">
        <v>15.23</v>
      </c>
      <c r="E67" s="64">
        <v>0.99</v>
      </c>
      <c r="F67" s="64">
        <v>1.1499999999999999</v>
      </c>
      <c r="G67" s="64">
        <v>92.16</v>
      </c>
      <c r="H67" s="64">
        <v>2.17</v>
      </c>
      <c r="I67" s="64">
        <v>1.41</v>
      </c>
      <c r="J67" s="64">
        <v>0.32</v>
      </c>
      <c r="K67" s="64">
        <v>73.39</v>
      </c>
      <c r="L67" s="64">
        <v>30.53</v>
      </c>
      <c r="M67" s="64">
        <v>36.99</v>
      </c>
      <c r="N67" s="64">
        <v>166.3</v>
      </c>
      <c r="O67" s="64">
        <v>0</v>
      </c>
      <c r="P67" s="64">
        <v>0.77</v>
      </c>
      <c r="Q67" s="64">
        <v>21.54</v>
      </c>
      <c r="R67" s="198"/>
      <c r="S67" s="198"/>
      <c r="T67" s="198"/>
      <c r="U67" s="198"/>
    </row>
    <row r="68" spans="1:21" s="12" customFormat="1" x14ac:dyDescent="0.25">
      <c r="A68" s="214" t="s">
        <v>881</v>
      </c>
      <c r="B68" s="64">
        <v>2.46</v>
      </c>
      <c r="C68" s="64">
        <v>19.46</v>
      </c>
      <c r="D68" s="64">
        <v>14.01</v>
      </c>
      <c r="E68" s="64">
        <v>0.33</v>
      </c>
      <c r="F68" s="64">
        <v>1.33</v>
      </c>
      <c r="G68" s="64">
        <v>92.16</v>
      </c>
      <c r="H68" s="64">
        <v>2.17</v>
      </c>
      <c r="I68" s="64">
        <v>1.52</v>
      </c>
      <c r="J68" s="64">
        <v>0.31</v>
      </c>
      <c r="K68" s="64">
        <v>99.4</v>
      </c>
      <c r="L68" s="64">
        <v>30.14</v>
      </c>
      <c r="M68" s="64">
        <v>36.96</v>
      </c>
      <c r="N68" s="64">
        <v>118.2</v>
      </c>
      <c r="O68" s="64">
        <v>0</v>
      </c>
      <c r="P68" s="64">
        <v>0.76</v>
      </c>
      <c r="Q68" s="64">
        <v>21.16</v>
      </c>
      <c r="R68" s="198"/>
      <c r="S68" s="198"/>
      <c r="T68" s="198"/>
      <c r="U68" s="198"/>
    </row>
    <row r="69" spans="1:21" s="12" customFormat="1" x14ac:dyDescent="0.25">
      <c r="A69" s="214" t="s">
        <v>882</v>
      </c>
      <c r="B69" s="64">
        <v>2.48</v>
      </c>
      <c r="C69" s="64">
        <v>18.98</v>
      </c>
      <c r="D69" s="64">
        <v>13.75</v>
      </c>
      <c r="E69" s="64">
        <v>0.62</v>
      </c>
      <c r="F69" s="64">
        <v>1</v>
      </c>
      <c r="G69" s="64">
        <v>92.16</v>
      </c>
      <c r="H69" s="64">
        <v>2.17</v>
      </c>
      <c r="I69" s="64">
        <v>1.5</v>
      </c>
      <c r="J69" s="64">
        <v>0.42</v>
      </c>
      <c r="K69" s="64">
        <v>342.24</v>
      </c>
      <c r="L69" s="64">
        <v>30.3</v>
      </c>
      <c r="M69" s="64">
        <v>37.479999999999997</v>
      </c>
      <c r="N69" s="64">
        <v>104.4</v>
      </c>
      <c r="O69" s="64">
        <v>0</v>
      </c>
      <c r="P69" s="64">
        <v>0.76</v>
      </c>
      <c r="Q69" s="64">
        <v>21.73</v>
      </c>
      <c r="R69" s="198"/>
      <c r="S69" s="198"/>
      <c r="T69" s="198"/>
      <c r="U69" s="198"/>
    </row>
    <row r="70" spans="1:21" s="12" customFormat="1" x14ac:dyDescent="0.25">
      <c r="A70" s="214" t="s">
        <v>883</v>
      </c>
      <c r="B70" s="64">
        <v>2.65</v>
      </c>
      <c r="C70" s="64">
        <v>18.940000000000001</v>
      </c>
      <c r="D70" s="64">
        <v>13.87</v>
      </c>
      <c r="E70" s="64">
        <v>0.81</v>
      </c>
      <c r="F70" s="64">
        <v>1.1499999999999999</v>
      </c>
      <c r="G70" s="64">
        <v>88.44</v>
      </c>
      <c r="H70" s="64">
        <v>2.08</v>
      </c>
      <c r="I70" s="64">
        <v>1.51</v>
      </c>
      <c r="J70" s="64">
        <v>0.56999999999999995</v>
      </c>
      <c r="K70" s="64">
        <v>342.01</v>
      </c>
      <c r="L70" s="64">
        <v>30.4</v>
      </c>
      <c r="M70" s="64">
        <v>37.57</v>
      </c>
      <c r="N70" s="64">
        <v>93.8</v>
      </c>
      <c r="O70" s="64">
        <v>0</v>
      </c>
      <c r="P70" s="64">
        <v>0.81</v>
      </c>
      <c r="Q70" s="64">
        <v>21.54</v>
      </c>
      <c r="R70" s="198"/>
      <c r="S70" s="198"/>
      <c r="T70" s="198"/>
      <c r="U70" s="198"/>
    </row>
    <row r="71" spans="1:21" s="12" customFormat="1" x14ac:dyDescent="0.25">
      <c r="A71" s="214" t="s">
        <v>884</v>
      </c>
      <c r="B71" s="64">
        <v>3.06</v>
      </c>
      <c r="C71" s="64">
        <v>18.760000000000002</v>
      </c>
      <c r="D71" s="64">
        <v>14.1</v>
      </c>
      <c r="E71" s="64">
        <v>0.74</v>
      </c>
      <c r="F71" s="64">
        <v>1.1100000000000001</v>
      </c>
      <c r="G71" s="64">
        <v>85.04</v>
      </c>
      <c r="H71" s="64">
        <v>2.04</v>
      </c>
      <c r="I71" s="64">
        <v>1.57</v>
      </c>
      <c r="J71" s="64">
        <v>0.64</v>
      </c>
      <c r="K71" s="64">
        <v>334.72</v>
      </c>
      <c r="L71" s="64">
        <v>29.98</v>
      </c>
      <c r="M71" s="64">
        <v>37.22</v>
      </c>
      <c r="N71" s="64">
        <v>83.3</v>
      </c>
      <c r="O71" s="64">
        <v>0</v>
      </c>
      <c r="P71" s="64">
        <v>0.82</v>
      </c>
      <c r="Q71" s="64">
        <v>20.309999999999999</v>
      </c>
      <c r="R71" s="198"/>
      <c r="S71" s="198"/>
      <c r="T71" s="198"/>
      <c r="U71" s="198"/>
    </row>
    <row r="72" spans="1:21" s="12" customFormat="1" x14ac:dyDescent="0.25">
      <c r="A72" s="214" t="s">
        <v>885</v>
      </c>
      <c r="B72" s="64">
        <v>3.55</v>
      </c>
      <c r="C72" s="64">
        <v>20.2</v>
      </c>
      <c r="D72" s="64">
        <v>15.29</v>
      </c>
      <c r="E72" s="64">
        <v>0.88</v>
      </c>
      <c r="F72" s="64">
        <v>0.86</v>
      </c>
      <c r="G72" s="64">
        <v>85.04</v>
      </c>
      <c r="H72" s="64">
        <v>2.04</v>
      </c>
      <c r="I72" s="64">
        <v>1.43</v>
      </c>
      <c r="J72" s="64">
        <v>0.59</v>
      </c>
      <c r="K72" s="64">
        <v>338.72</v>
      </c>
      <c r="L72" s="64">
        <v>30.11</v>
      </c>
      <c r="M72" s="64">
        <v>37.67</v>
      </c>
      <c r="N72" s="64">
        <v>74.7</v>
      </c>
      <c r="O72" s="64">
        <v>0</v>
      </c>
      <c r="P72" s="64">
        <v>0.81</v>
      </c>
      <c r="Q72" s="64">
        <v>20.87</v>
      </c>
      <c r="R72" s="198"/>
      <c r="S72" s="198"/>
      <c r="T72" s="198"/>
      <c r="U72" s="198"/>
    </row>
    <row r="73" spans="1:21" s="12" customFormat="1" x14ac:dyDescent="0.25">
      <c r="A73" s="214" t="s">
        <v>886</v>
      </c>
      <c r="B73" s="64">
        <v>3.63</v>
      </c>
      <c r="C73" s="64">
        <v>20.38</v>
      </c>
      <c r="D73" s="64">
        <v>15.45</v>
      </c>
      <c r="E73" s="64">
        <v>0.5</v>
      </c>
      <c r="F73" s="64">
        <v>0.88</v>
      </c>
      <c r="G73" s="64">
        <v>85.04</v>
      </c>
      <c r="H73" s="64">
        <v>2.04</v>
      </c>
      <c r="I73" s="64">
        <v>1.56</v>
      </c>
      <c r="J73" s="64">
        <v>0.64</v>
      </c>
      <c r="K73" s="64">
        <v>331.91</v>
      </c>
      <c r="L73" s="64">
        <v>30.01</v>
      </c>
      <c r="M73" s="64">
        <v>37.96</v>
      </c>
      <c r="N73" s="64">
        <v>68.5</v>
      </c>
      <c r="O73" s="64">
        <v>0</v>
      </c>
      <c r="P73" s="64">
        <v>0.83</v>
      </c>
      <c r="Q73" s="64">
        <v>20.55</v>
      </c>
      <c r="R73" s="198"/>
      <c r="S73" s="198"/>
      <c r="T73" s="198"/>
      <c r="U73" s="198"/>
    </row>
    <row r="74" spans="1:21" s="12" customFormat="1" x14ac:dyDescent="0.25">
      <c r="A74" s="214" t="s">
        <v>887</v>
      </c>
      <c r="B74" s="64">
        <v>3.89</v>
      </c>
      <c r="C74" s="64">
        <v>20.05</v>
      </c>
      <c r="D74" s="64">
        <v>15.48</v>
      </c>
      <c r="E74" s="64">
        <v>0.82</v>
      </c>
      <c r="F74" s="64">
        <v>0.96</v>
      </c>
      <c r="G74" s="64">
        <v>88.11</v>
      </c>
      <c r="H74" s="64">
        <v>1.85</v>
      </c>
      <c r="I74" s="64">
        <v>1.5</v>
      </c>
      <c r="J74" s="64">
        <v>0.94</v>
      </c>
      <c r="K74" s="64">
        <v>341.03</v>
      </c>
      <c r="L74" s="64">
        <v>29.81</v>
      </c>
      <c r="M74" s="64">
        <v>32.4</v>
      </c>
      <c r="N74" s="64">
        <v>59.2</v>
      </c>
      <c r="O74" s="64">
        <v>0</v>
      </c>
      <c r="P74" s="64">
        <v>0.83</v>
      </c>
      <c r="Q74" s="64">
        <v>19.5</v>
      </c>
      <c r="R74" s="198"/>
      <c r="S74" s="198"/>
      <c r="T74" s="198"/>
      <c r="U74" s="198"/>
    </row>
    <row r="75" spans="1:21" s="12" customFormat="1" x14ac:dyDescent="0.25">
      <c r="A75" s="214" t="s">
        <v>888</v>
      </c>
      <c r="B75" s="64">
        <v>4.2300000000000004</v>
      </c>
      <c r="C75" s="64">
        <v>19.87</v>
      </c>
      <c r="D75" s="64">
        <v>15.65</v>
      </c>
      <c r="E75" s="64">
        <v>0.21</v>
      </c>
      <c r="F75" s="64">
        <v>1</v>
      </c>
      <c r="G75" s="64">
        <v>90.91</v>
      </c>
      <c r="H75" s="64">
        <v>1.78</v>
      </c>
      <c r="I75" s="64">
        <v>1.48</v>
      </c>
      <c r="J75" s="64">
        <v>0.68</v>
      </c>
      <c r="K75" s="64">
        <v>329.3</v>
      </c>
      <c r="L75" s="64">
        <v>29.42</v>
      </c>
      <c r="M75" s="64">
        <v>29.54</v>
      </c>
      <c r="N75" s="64">
        <v>48.5</v>
      </c>
      <c r="O75" s="64">
        <v>0</v>
      </c>
      <c r="P75" s="64">
        <v>0.82</v>
      </c>
      <c r="Q75" s="64">
        <v>18.559999999999999</v>
      </c>
      <c r="R75" s="198"/>
      <c r="S75" s="198"/>
      <c r="T75" s="198"/>
      <c r="U75" s="198"/>
    </row>
    <row r="76" spans="1:21" s="12" customFormat="1" x14ac:dyDescent="0.25">
      <c r="A76" s="214" t="s">
        <v>889</v>
      </c>
      <c r="B76" s="64">
        <v>4.7</v>
      </c>
      <c r="C76" s="64">
        <v>21.04</v>
      </c>
      <c r="D76" s="64">
        <v>16.670000000000002</v>
      </c>
      <c r="E76" s="64">
        <v>0.61</v>
      </c>
      <c r="F76" s="64">
        <v>0.68</v>
      </c>
      <c r="G76" s="64">
        <v>90.91</v>
      </c>
      <c r="H76" s="64">
        <v>1.78</v>
      </c>
      <c r="I76" s="64">
        <v>1.47</v>
      </c>
      <c r="J76" s="64">
        <v>0.6</v>
      </c>
      <c r="K76" s="64">
        <v>345.52</v>
      </c>
      <c r="L76" s="64">
        <v>28.98</v>
      </c>
      <c r="M76" s="64">
        <v>30.14</v>
      </c>
      <c r="N76" s="64">
        <v>40.200000000000003</v>
      </c>
      <c r="O76" s="64">
        <v>0</v>
      </c>
      <c r="P76" s="64">
        <v>0.97</v>
      </c>
      <c r="Q76" s="64">
        <v>18.86</v>
      </c>
      <c r="R76" s="198"/>
      <c r="S76" s="198"/>
      <c r="T76" s="198"/>
      <c r="U76" s="198"/>
    </row>
    <row r="77" spans="1:21" s="12" customFormat="1" x14ac:dyDescent="0.25">
      <c r="A77" s="214" t="s">
        <v>890</v>
      </c>
      <c r="B77" s="64">
        <v>5.49</v>
      </c>
      <c r="C77" s="64">
        <v>21.11</v>
      </c>
      <c r="D77" s="64">
        <v>17.350000000000001</v>
      </c>
      <c r="E77" s="64">
        <v>0.48</v>
      </c>
      <c r="F77" s="64">
        <v>0.59</v>
      </c>
      <c r="G77" s="64">
        <v>90.91</v>
      </c>
      <c r="H77" s="64">
        <v>1.78</v>
      </c>
      <c r="I77" s="64">
        <v>1.43</v>
      </c>
      <c r="J77" s="64">
        <v>0.5</v>
      </c>
      <c r="K77" s="64">
        <v>340.5</v>
      </c>
      <c r="L77" s="64">
        <v>28.47</v>
      </c>
      <c r="M77" s="64">
        <v>32.51</v>
      </c>
      <c r="N77" s="64">
        <v>32.4</v>
      </c>
      <c r="O77" s="64">
        <v>0</v>
      </c>
      <c r="P77" s="64">
        <v>0.99</v>
      </c>
      <c r="Q77" s="64">
        <v>18.68</v>
      </c>
      <c r="R77" s="198"/>
      <c r="S77" s="198"/>
      <c r="T77" s="198"/>
      <c r="U77" s="198"/>
    </row>
    <row r="78" spans="1:21" s="12" customFormat="1" x14ac:dyDescent="0.25">
      <c r="A78" s="214" t="s">
        <v>891</v>
      </c>
      <c r="B78" s="64">
        <v>6.6</v>
      </c>
      <c r="C78" s="64">
        <v>22.55</v>
      </c>
      <c r="D78" s="64">
        <v>19.03</v>
      </c>
      <c r="E78" s="64">
        <v>1.19</v>
      </c>
      <c r="F78" s="64">
        <v>0.44</v>
      </c>
      <c r="G78" s="64">
        <v>90.47</v>
      </c>
      <c r="H78" s="64">
        <v>1.64</v>
      </c>
      <c r="I78" s="64">
        <v>1.53</v>
      </c>
      <c r="J78" s="64">
        <v>0.43</v>
      </c>
      <c r="K78" s="64">
        <v>340</v>
      </c>
      <c r="L78" s="64">
        <v>27.76</v>
      </c>
      <c r="M78" s="64">
        <v>38.06</v>
      </c>
      <c r="N78" s="64">
        <v>20.2</v>
      </c>
      <c r="O78" s="64">
        <v>0</v>
      </c>
      <c r="P78" s="64">
        <v>1.02</v>
      </c>
      <c r="Q78" s="64">
        <v>19.43</v>
      </c>
      <c r="R78" s="198"/>
      <c r="S78" s="198"/>
      <c r="T78" s="198"/>
      <c r="U78" s="198"/>
    </row>
    <row r="79" spans="1:21" s="12" customFormat="1" x14ac:dyDescent="0.25">
      <c r="A79" s="214" t="s">
        <v>892</v>
      </c>
      <c r="B79" s="64">
        <v>8.9700000000000006</v>
      </c>
      <c r="C79" s="64">
        <v>23.68</v>
      </c>
      <c r="D79" s="64">
        <v>21.55</v>
      </c>
      <c r="E79" s="64">
        <v>0.88</v>
      </c>
      <c r="F79" s="64">
        <v>0.33</v>
      </c>
      <c r="G79" s="64">
        <v>90.06</v>
      </c>
      <c r="H79" s="64">
        <v>1.58</v>
      </c>
      <c r="I79" s="64">
        <v>1.41</v>
      </c>
      <c r="J79" s="64">
        <v>0.1</v>
      </c>
      <c r="K79" s="64">
        <v>28.84</v>
      </c>
      <c r="L79" s="64">
        <v>27.03</v>
      </c>
      <c r="M79" s="64">
        <v>41.07</v>
      </c>
      <c r="N79" s="64">
        <v>12.6</v>
      </c>
      <c r="O79" s="64">
        <v>0</v>
      </c>
      <c r="P79" s="64">
        <v>1.32</v>
      </c>
      <c r="Q79" s="64">
        <v>20.350000000000001</v>
      </c>
      <c r="R79" s="198"/>
      <c r="S79" s="198"/>
      <c r="T79" s="198"/>
      <c r="U79" s="198"/>
    </row>
    <row r="80" spans="1:21" s="12" customFormat="1" x14ac:dyDescent="0.25">
      <c r="A80" s="214" t="s">
        <v>893</v>
      </c>
      <c r="B80" s="64">
        <v>10.97</v>
      </c>
      <c r="C80" s="64">
        <v>23.92</v>
      </c>
      <c r="D80" s="64">
        <v>23.29</v>
      </c>
      <c r="E80" s="64">
        <v>0.96</v>
      </c>
      <c r="F80" s="64">
        <v>0.56000000000000005</v>
      </c>
      <c r="G80" s="64">
        <v>90.06</v>
      </c>
      <c r="H80" s="64">
        <v>1.58</v>
      </c>
      <c r="I80" s="64">
        <v>1.49</v>
      </c>
      <c r="J80" s="64">
        <v>0.05</v>
      </c>
      <c r="K80" s="64">
        <v>102.14</v>
      </c>
      <c r="L80" s="64">
        <v>25.9</v>
      </c>
      <c r="M80" s="64">
        <v>45.13</v>
      </c>
      <c r="N80" s="64">
        <v>10</v>
      </c>
      <c r="O80" s="64">
        <v>0</v>
      </c>
      <c r="P80" s="64">
        <v>1.23</v>
      </c>
      <c r="Q80" s="64">
        <v>19.77</v>
      </c>
      <c r="R80" s="198"/>
      <c r="S80" s="198"/>
      <c r="T80" s="198"/>
      <c r="U80" s="198"/>
    </row>
    <row r="81" spans="1:26" s="12" customFormat="1" x14ac:dyDescent="0.25">
      <c r="A81" s="214" t="s">
        <v>894</v>
      </c>
      <c r="B81" s="64">
        <v>13.09</v>
      </c>
      <c r="C81" s="64">
        <v>26.1</v>
      </c>
      <c r="D81" s="64">
        <v>26.2</v>
      </c>
      <c r="E81" s="64">
        <v>1.43</v>
      </c>
      <c r="F81" s="64">
        <v>0.46</v>
      </c>
      <c r="G81" s="215" t="s">
        <v>36</v>
      </c>
      <c r="H81" s="215" t="s">
        <v>36</v>
      </c>
      <c r="I81" s="64">
        <v>1.46</v>
      </c>
      <c r="J81" s="64">
        <v>7.0000000000000007E-2</v>
      </c>
      <c r="K81" s="64">
        <v>334.42</v>
      </c>
      <c r="L81" s="64">
        <v>25.1</v>
      </c>
      <c r="M81" s="64">
        <v>54.89</v>
      </c>
      <c r="N81" s="64">
        <v>9.5</v>
      </c>
      <c r="O81" s="64">
        <v>0</v>
      </c>
      <c r="P81" s="64">
        <v>1.63</v>
      </c>
      <c r="Q81" s="64">
        <v>19.93</v>
      </c>
      <c r="R81" s="198"/>
      <c r="S81" s="198"/>
      <c r="T81" s="198"/>
      <c r="U81" s="198"/>
    </row>
    <row r="82" spans="1:26" s="12" customFormat="1" x14ac:dyDescent="0.25">
      <c r="A82" s="214" t="s">
        <v>895</v>
      </c>
      <c r="B82" s="64">
        <v>20.51</v>
      </c>
      <c r="C82" s="64">
        <v>29.13</v>
      </c>
      <c r="D82" s="64">
        <v>33.82</v>
      </c>
      <c r="E82" s="64">
        <v>1.26</v>
      </c>
      <c r="F82" s="64">
        <v>0.3</v>
      </c>
      <c r="G82" s="215" t="s">
        <v>36</v>
      </c>
      <c r="H82" s="215" t="s">
        <v>36</v>
      </c>
      <c r="I82" s="64">
        <v>1.52</v>
      </c>
      <c r="J82" s="64">
        <v>0.1</v>
      </c>
      <c r="K82" s="64">
        <v>339.95</v>
      </c>
      <c r="L82" s="64">
        <v>24.94</v>
      </c>
      <c r="M82" s="64">
        <v>53.75</v>
      </c>
      <c r="N82" s="64">
        <v>9.1999999999999993</v>
      </c>
      <c r="O82" s="64">
        <v>0</v>
      </c>
      <c r="P82" s="64">
        <v>2.16</v>
      </c>
      <c r="Q82" s="64">
        <v>20.93</v>
      </c>
      <c r="R82" s="198"/>
      <c r="S82" s="198"/>
      <c r="T82" s="198"/>
      <c r="U82" s="198"/>
    </row>
    <row r="83" spans="1:26" s="12" customFormat="1" x14ac:dyDescent="0.25">
      <c r="A83" s="214" t="s">
        <v>896</v>
      </c>
      <c r="B83" s="64">
        <v>27.18</v>
      </c>
      <c r="C83" s="64">
        <v>28.07</v>
      </c>
      <c r="D83" s="64">
        <v>38.58</v>
      </c>
      <c r="E83" s="64">
        <v>1.69</v>
      </c>
      <c r="F83" s="64">
        <v>0.48</v>
      </c>
      <c r="G83" s="215" t="s">
        <v>36</v>
      </c>
      <c r="H83" s="215" t="s">
        <v>36</v>
      </c>
      <c r="I83" s="64">
        <v>1.53</v>
      </c>
      <c r="J83" s="64">
        <v>0.05</v>
      </c>
      <c r="K83" s="64">
        <v>104.25</v>
      </c>
      <c r="L83" s="64">
        <v>24.77</v>
      </c>
      <c r="M83" s="64">
        <v>54.91</v>
      </c>
      <c r="N83" s="64">
        <v>9</v>
      </c>
      <c r="O83" s="64">
        <v>0</v>
      </c>
      <c r="P83" s="64">
        <v>1.8</v>
      </c>
      <c r="Q83" s="64">
        <v>21.27</v>
      </c>
      <c r="R83" s="198"/>
      <c r="S83" s="198"/>
      <c r="T83" s="198"/>
      <c r="U83" s="198"/>
    </row>
    <row r="84" spans="1:26" s="12" customFormat="1" x14ac:dyDescent="0.25">
      <c r="A84" s="214" t="s">
        <v>897</v>
      </c>
      <c r="B84" s="64">
        <v>33.76</v>
      </c>
      <c r="C84" s="64">
        <v>28.34</v>
      </c>
      <c r="D84" s="64">
        <v>44.01</v>
      </c>
      <c r="E84" s="64">
        <v>1.56</v>
      </c>
      <c r="F84" s="64">
        <v>0.25</v>
      </c>
      <c r="G84" s="64">
        <v>125.15</v>
      </c>
      <c r="H84" s="64">
        <v>35.15</v>
      </c>
      <c r="I84" s="64">
        <v>1.48</v>
      </c>
      <c r="J84" s="64">
        <v>0.05</v>
      </c>
      <c r="K84" s="64">
        <v>118.58</v>
      </c>
      <c r="L84" s="64">
        <v>24.55</v>
      </c>
      <c r="M84" s="64">
        <v>54.66</v>
      </c>
      <c r="N84" s="64">
        <v>9.1</v>
      </c>
      <c r="O84" s="64">
        <v>0</v>
      </c>
      <c r="P84" s="64">
        <v>1.77</v>
      </c>
      <c r="Q84" s="64">
        <v>22.01</v>
      </c>
      <c r="R84" s="198"/>
      <c r="S84" s="198"/>
      <c r="T84" s="198"/>
      <c r="U84" s="198"/>
    </row>
    <row r="85" spans="1:26" s="12" customFormat="1" x14ac:dyDescent="0.25">
      <c r="A85" s="214" t="s">
        <v>898</v>
      </c>
      <c r="B85" s="64">
        <v>42.21</v>
      </c>
      <c r="C85" s="64">
        <v>27.25</v>
      </c>
      <c r="D85" s="64">
        <v>50.18</v>
      </c>
      <c r="E85" s="64">
        <v>1.65</v>
      </c>
      <c r="F85" s="64">
        <v>0.19</v>
      </c>
      <c r="G85" s="64">
        <v>234.65</v>
      </c>
      <c r="H85" s="64">
        <v>65.900000000000006</v>
      </c>
      <c r="I85" s="64">
        <v>1.56</v>
      </c>
      <c r="J85" s="64">
        <v>0.09</v>
      </c>
      <c r="K85" s="64">
        <v>253.12</v>
      </c>
      <c r="L85" s="64">
        <v>24.47</v>
      </c>
      <c r="M85" s="64">
        <v>56.45</v>
      </c>
      <c r="N85" s="64">
        <v>8.6</v>
      </c>
      <c r="O85" s="64">
        <v>0</v>
      </c>
      <c r="P85" s="64">
        <v>2.2999999999999998</v>
      </c>
      <c r="Q85" s="64">
        <v>22.25</v>
      </c>
      <c r="R85" s="198"/>
      <c r="S85" s="198"/>
      <c r="T85" s="198"/>
      <c r="U85" s="198"/>
    </row>
    <row r="86" spans="1:26" s="12" customFormat="1" x14ac:dyDescent="0.25">
      <c r="A86" s="214" t="s">
        <v>899</v>
      </c>
      <c r="B86" s="64">
        <v>48.46</v>
      </c>
      <c r="C86" s="64">
        <v>25.69</v>
      </c>
      <c r="D86" s="64">
        <v>54.33</v>
      </c>
      <c r="E86" s="64">
        <v>1.75</v>
      </c>
      <c r="F86" s="64">
        <v>0.24</v>
      </c>
      <c r="G86" s="64">
        <v>234.65</v>
      </c>
      <c r="H86" s="64">
        <v>65.900000000000006</v>
      </c>
      <c r="I86" s="64">
        <v>1.42</v>
      </c>
      <c r="J86" s="64">
        <v>0.1</v>
      </c>
      <c r="K86" s="64">
        <v>291.81</v>
      </c>
      <c r="L86" s="64">
        <v>24.53</v>
      </c>
      <c r="M86" s="64">
        <v>57.62</v>
      </c>
      <c r="N86" s="64">
        <v>8.8000000000000007</v>
      </c>
      <c r="O86" s="64">
        <v>0</v>
      </c>
      <c r="P86" s="64">
        <v>2.0299999999999998</v>
      </c>
      <c r="Q86" s="64">
        <v>22.22</v>
      </c>
      <c r="R86" s="198"/>
      <c r="S86" s="198"/>
      <c r="T86" s="198"/>
      <c r="U86" s="198"/>
    </row>
    <row r="87" spans="1:26" s="12" customFormat="1" x14ac:dyDescent="0.25">
      <c r="A87" s="214" t="s">
        <v>900</v>
      </c>
      <c r="B87" s="64">
        <v>52.51</v>
      </c>
      <c r="C87" s="64">
        <v>24.16</v>
      </c>
      <c r="D87" s="64">
        <v>56.73</v>
      </c>
      <c r="E87" s="64">
        <v>2.29</v>
      </c>
      <c r="F87" s="64">
        <v>0.36</v>
      </c>
      <c r="G87" s="64">
        <v>234.65</v>
      </c>
      <c r="H87" s="64">
        <v>65.900000000000006</v>
      </c>
      <c r="I87" s="64">
        <v>1.53</v>
      </c>
      <c r="J87" s="64">
        <v>0.01</v>
      </c>
      <c r="K87" s="64">
        <v>316.42</v>
      </c>
      <c r="L87" s="64">
        <v>24.19</v>
      </c>
      <c r="M87" s="64">
        <v>62.09</v>
      </c>
      <c r="N87" s="64">
        <v>9</v>
      </c>
      <c r="O87" s="64">
        <v>0</v>
      </c>
      <c r="P87" s="64">
        <v>2.17</v>
      </c>
      <c r="Q87" s="64">
        <v>22.23</v>
      </c>
      <c r="R87" s="198"/>
      <c r="S87" s="198"/>
      <c r="T87" s="198"/>
      <c r="U87" s="198"/>
    </row>
    <row r="88" spans="1:26" s="12" customFormat="1" x14ac:dyDescent="0.25">
      <c r="A88" s="214" t="s">
        <v>901</v>
      </c>
      <c r="B88" s="64">
        <v>56.79</v>
      </c>
      <c r="C88" s="64">
        <v>22.71</v>
      </c>
      <c r="D88" s="64">
        <v>59.37</v>
      </c>
      <c r="E88" s="64">
        <v>0.68</v>
      </c>
      <c r="F88" s="64">
        <v>0.59</v>
      </c>
      <c r="G88" s="64">
        <v>231.14</v>
      </c>
      <c r="H88" s="64">
        <v>63.34</v>
      </c>
      <c r="I88" s="64">
        <v>1.48</v>
      </c>
      <c r="J88" s="64">
        <v>0.1</v>
      </c>
      <c r="K88" s="64">
        <v>236.46</v>
      </c>
      <c r="L88" s="64">
        <v>24.57</v>
      </c>
      <c r="M88" s="64">
        <v>59.29</v>
      </c>
      <c r="N88" s="64">
        <v>8.3000000000000007</v>
      </c>
      <c r="O88" s="64">
        <v>0</v>
      </c>
      <c r="P88" s="64">
        <v>1.92</v>
      </c>
      <c r="Q88" s="64">
        <v>22.58</v>
      </c>
      <c r="R88" s="198"/>
      <c r="S88" s="198"/>
      <c r="T88" s="198"/>
      <c r="U88" s="198"/>
    </row>
    <row r="89" spans="1:26" s="12" customFormat="1" x14ac:dyDescent="0.25">
      <c r="A89" s="214" t="s">
        <v>902</v>
      </c>
      <c r="B89" s="64">
        <v>57.58</v>
      </c>
      <c r="C89" s="64">
        <v>22</v>
      </c>
      <c r="D89" s="64">
        <v>59.61</v>
      </c>
      <c r="E89" s="64">
        <v>1.1499999999999999</v>
      </c>
      <c r="F89" s="64">
        <v>0.49</v>
      </c>
      <c r="G89" s="64">
        <v>228.07</v>
      </c>
      <c r="H89" s="64">
        <v>61.11</v>
      </c>
      <c r="I89" s="64">
        <v>1.48</v>
      </c>
      <c r="J89" s="64">
        <v>0.05</v>
      </c>
      <c r="K89" s="64">
        <v>188.8</v>
      </c>
      <c r="L89" s="64">
        <v>24.79</v>
      </c>
      <c r="M89" s="64">
        <v>58.22</v>
      </c>
      <c r="N89" s="64">
        <v>8.6</v>
      </c>
      <c r="O89" s="64">
        <v>0</v>
      </c>
      <c r="P89" s="64">
        <v>1.39</v>
      </c>
      <c r="Q89" s="64">
        <v>22.71</v>
      </c>
      <c r="R89" s="198"/>
      <c r="S89" s="198"/>
      <c r="T89" s="198"/>
      <c r="U89" s="198"/>
    </row>
    <row r="90" spans="1:26" s="12" customFormat="1" x14ac:dyDescent="0.25">
      <c r="A90" s="214" t="s">
        <v>903</v>
      </c>
      <c r="B90" s="64">
        <v>56.09</v>
      </c>
      <c r="C90" s="64">
        <v>23.9</v>
      </c>
      <c r="D90" s="64">
        <v>59.46</v>
      </c>
      <c r="E90" s="64">
        <v>1.99</v>
      </c>
      <c r="F90" s="64">
        <v>0.41</v>
      </c>
      <c r="G90" s="64">
        <v>228.07</v>
      </c>
      <c r="H90" s="64">
        <v>61.11</v>
      </c>
      <c r="I90" s="64">
        <v>1.43</v>
      </c>
      <c r="J90" s="64">
        <v>7.0000000000000007E-2</v>
      </c>
      <c r="K90" s="64">
        <v>270.83999999999997</v>
      </c>
      <c r="L90" s="64">
        <v>24.27</v>
      </c>
      <c r="M90" s="64">
        <v>61.09</v>
      </c>
      <c r="N90" s="64">
        <v>9.1</v>
      </c>
      <c r="O90" s="64">
        <v>0</v>
      </c>
      <c r="P90" s="64">
        <v>1.81</v>
      </c>
      <c r="Q90" s="64">
        <v>23.18</v>
      </c>
      <c r="R90" s="198"/>
      <c r="S90" s="198"/>
      <c r="T90" s="198"/>
      <c r="U90" s="198"/>
    </row>
    <row r="91" spans="1:26" s="12" customFormat="1" x14ac:dyDescent="0.25">
      <c r="A91" s="214" t="s">
        <v>904</v>
      </c>
      <c r="B91" s="64">
        <v>56.17</v>
      </c>
      <c r="C91" s="64">
        <v>23.34</v>
      </c>
      <c r="D91" s="64">
        <v>59.22</v>
      </c>
      <c r="E91" s="64">
        <v>2.16</v>
      </c>
      <c r="F91" s="64">
        <v>0.56000000000000005</v>
      </c>
      <c r="G91" s="64">
        <v>228.07</v>
      </c>
      <c r="H91" s="64">
        <v>61.11</v>
      </c>
      <c r="I91" s="64">
        <v>1.46</v>
      </c>
      <c r="J91" s="64">
        <v>0.08</v>
      </c>
      <c r="K91" s="64">
        <v>279.88</v>
      </c>
      <c r="L91" s="64">
        <v>23.82</v>
      </c>
      <c r="M91" s="64">
        <v>64.55</v>
      </c>
      <c r="N91" s="64">
        <v>8.9</v>
      </c>
      <c r="O91" s="64">
        <v>0</v>
      </c>
      <c r="P91" s="64">
        <v>1.7</v>
      </c>
      <c r="Q91" s="64">
        <v>23.46</v>
      </c>
      <c r="R91" s="198"/>
      <c r="S91" s="198"/>
      <c r="T91" s="198"/>
      <c r="U91" s="198"/>
    </row>
    <row r="92" spans="1:26" s="12" customFormat="1" x14ac:dyDescent="0.25">
      <c r="A92" s="214" t="s">
        <v>905</v>
      </c>
      <c r="B92" s="64">
        <v>55.74</v>
      </c>
      <c r="C92" s="64">
        <v>23.81</v>
      </c>
      <c r="D92" s="64">
        <v>59.13</v>
      </c>
      <c r="E92" s="64">
        <v>1.95</v>
      </c>
      <c r="F92" s="64">
        <v>0.18</v>
      </c>
      <c r="G92" s="64">
        <v>160.52000000000001</v>
      </c>
      <c r="H92" s="64">
        <v>56.54</v>
      </c>
      <c r="I92" s="64">
        <v>1.53</v>
      </c>
      <c r="J92" s="64">
        <v>0.06</v>
      </c>
      <c r="K92" s="64">
        <v>263</v>
      </c>
      <c r="L92" s="64">
        <v>23.94</v>
      </c>
      <c r="M92" s="64">
        <v>61.11</v>
      </c>
      <c r="N92" s="64">
        <v>8.6999999999999993</v>
      </c>
      <c r="O92" s="64">
        <v>0</v>
      </c>
      <c r="P92" s="64">
        <v>1.4</v>
      </c>
      <c r="Q92" s="64">
        <v>24.03</v>
      </c>
      <c r="R92" s="198"/>
      <c r="S92" s="198"/>
      <c r="T92" s="198"/>
      <c r="U92" s="198"/>
    </row>
    <row r="93" spans="1:26" s="12" customFormat="1" x14ac:dyDescent="0.25">
      <c r="A93" s="214" t="s">
        <v>906</v>
      </c>
      <c r="B93" s="64">
        <v>53.42</v>
      </c>
      <c r="C93" s="64">
        <v>22.84</v>
      </c>
      <c r="D93" s="64">
        <v>56.74</v>
      </c>
      <c r="E93" s="64">
        <v>1.99</v>
      </c>
      <c r="F93" s="64">
        <v>0.42</v>
      </c>
      <c r="G93" s="64">
        <v>101.42</v>
      </c>
      <c r="H93" s="64">
        <v>52.54</v>
      </c>
      <c r="I93" s="64">
        <v>1.47</v>
      </c>
      <c r="J93" s="64">
        <v>0.11</v>
      </c>
      <c r="K93" s="64">
        <v>311.07</v>
      </c>
      <c r="L93" s="64">
        <v>23.6</v>
      </c>
      <c r="M93" s="64">
        <v>66.3</v>
      </c>
      <c r="N93" s="64">
        <v>8.9</v>
      </c>
      <c r="O93" s="64">
        <v>0</v>
      </c>
      <c r="P93" s="64">
        <v>1.62</v>
      </c>
      <c r="Q93" s="64">
        <v>23.93</v>
      </c>
      <c r="R93" s="198"/>
      <c r="S93" s="198"/>
      <c r="T93" s="198"/>
      <c r="U93" s="198"/>
    </row>
    <row r="94" spans="1:26" s="12" customFormat="1" x14ac:dyDescent="0.25">
      <c r="A94" s="214" t="s">
        <v>907</v>
      </c>
      <c r="B94" s="64">
        <v>53.04</v>
      </c>
      <c r="C94" s="64">
        <v>23.56</v>
      </c>
      <c r="D94" s="64">
        <v>56.83</v>
      </c>
      <c r="E94" s="64">
        <v>2.08</v>
      </c>
      <c r="F94" s="64">
        <v>0.27</v>
      </c>
      <c r="G94" s="64">
        <v>101.42</v>
      </c>
      <c r="H94" s="64">
        <v>52.54</v>
      </c>
      <c r="I94" s="64">
        <v>1.49</v>
      </c>
      <c r="J94" s="64">
        <v>0.09</v>
      </c>
      <c r="K94" s="64">
        <v>331.95</v>
      </c>
      <c r="L94" s="64">
        <v>23.21</v>
      </c>
      <c r="M94" s="64">
        <v>70.13</v>
      </c>
      <c r="N94" s="64">
        <v>9</v>
      </c>
      <c r="O94" s="64">
        <v>0</v>
      </c>
      <c r="P94" s="64">
        <v>1.82</v>
      </c>
      <c r="Q94" s="64">
        <v>24.8</v>
      </c>
      <c r="R94" s="198"/>
      <c r="S94" s="198"/>
      <c r="T94" s="198"/>
      <c r="U94" s="198"/>
    </row>
    <row r="95" spans="1:26" s="12" customFormat="1" x14ac:dyDescent="0.25">
      <c r="A95" s="214" t="s">
        <v>908</v>
      </c>
      <c r="B95" s="64">
        <v>52.69</v>
      </c>
      <c r="C95" s="64">
        <v>22.05</v>
      </c>
      <c r="D95" s="64">
        <v>55.71</v>
      </c>
      <c r="E95" s="64">
        <v>2.15</v>
      </c>
      <c r="F95" s="64">
        <v>0.7</v>
      </c>
      <c r="G95" s="64">
        <v>101.42</v>
      </c>
      <c r="H95" s="64">
        <v>52.54</v>
      </c>
      <c r="I95" s="64">
        <v>1.51</v>
      </c>
      <c r="J95" s="64">
        <v>0.1</v>
      </c>
      <c r="K95" s="64">
        <v>277.02999999999997</v>
      </c>
      <c r="L95" s="64">
        <v>22.92</v>
      </c>
      <c r="M95" s="64">
        <v>70.41</v>
      </c>
      <c r="N95" s="64">
        <v>9</v>
      </c>
      <c r="O95" s="64">
        <v>0</v>
      </c>
      <c r="P95" s="64">
        <v>1.67</v>
      </c>
      <c r="Q95" s="64">
        <v>24.39</v>
      </c>
      <c r="R95" s="198"/>
      <c r="S95" s="198"/>
      <c r="T95" s="198"/>
      <c r="U95" s="198"/>
    </row>
    <row r="96" spans="1:26" s="12" customFormat="1" x14ac:dyDescent="0.25">
      <c r="A96" s="214" t="s">
        <v>909</v>
      </c>
      <c r="B96" s="64">
        <v>52.59</v>
      </c>
      <c r="C96" s="64">
        <v>22.85</v>
      </c>
      <c r="D96" s="64">
        <v>56.08</v>
      </c>
      <c r="E96" s="64">
        <v>1.89</v>
      </c>
      <c r="F96" s="64">
        <v>0.27</v>
      </c>
      <c r="G96" s="64">
        <v>114.9</v>
      </c>
      <c r="H96" s="64">
        <v>48.79</v>
      </c>
      <c r="I96" s="64">
        <v>1.48</v>
      </c>
      <c r="J96" s="64">
        <v>0.06</v>
      </c>
      <c r="K96" s="64">
        <v>279.88</v>
      </c>
      <c r="L96" s="64">
        <v>22.79</v>
      </c>
      <c r="M96" s="64">
        <v>73.959999999999994</v>
      </c>
      <c r="N96" s="64">
        <v>9</v>
      </c>
      <c r="O96" s="64">
        <v>0</v>
      </c>
      <c r="P96" s="64">
        <v>1.63</v>
      </c>
      <c r="Q96" s="64">
        <v>24.52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910</v>
      </c>
      <c r="B97" s="64">
        <v>53.43</v>
      </c>
      <c r="C97" s="64">
        <v>21.73</v>
      </c>
      <c r="D97" s="64">
        <v>56.13</v>
      </c>
      <c r="E97" s="64">
        <v>2.37</v>
      </c>
      <c r="F97" s="64">
        <v>0.32</v>
      </c>
      <c r="G97" s="64">
        <v>126.69</v>
      </c>
      <c r="H97" s="64">
        <v>45.52</v>
      </c>
      <c r="I97" s="64">
        <v>1.52</v>
      </c>
      <c r="J97" s="64">
        <v>0.06</v>
      </c>
      <c r="K97" s="64">
        <v>196.66</v>
      </c>
      <c r="L97" s="64">
        <v>22.61</v>
      </c>
      <c r="M97" s="64">
        <v>75.489999999999995</v>
      </c>
      <c r="N97" s="64">
        <v>8.8000000000000007</v>
      </c>
      <c r="O97" s="64">
        <v>0</v>
      </c>
      <c r="P97" s="64">
        <v>1.59</v>
      </c>
      <c r="Q97" s="64">
        <v>23.85</v>
      </c>
      <c r="R97" s="198"/>
      <c r="S97" s="198"/>
      <c r="T97" s="198"/>
      <c r="U97" s="198"/>
    </row>
    <row r="98" spans="1:33" s="12" customFormat="1" x14ac:dyDescent="0.25">
      <c r="A98" s="214" t="s">
        <v>911</v>
      </c>
      <c r="B98" s="64">
        <v>53.67</v>
      </c>
      <c r="C98" s="64">
        <v>20.62</v>
      </c>
      <c r="D98" s="64">
        <v>55.71</v>
      </c>
      <c r="E98" s="64">
        <v>1.46</v>
      </c>
      <c r="F98" s="64">
        <v>0.47</v>
      </c>
      <c r="G98" s="64">
        <v>126.69</v>
      </c>
      <c r="H98" s="64">
        <v>45.52</v>
      </c>
      <c r="I98" s="64">
        <v>1.54</v>
      </c>
      <c r="J98" s="64">
        <v>0.06</v>
      </c>
      <c r="K98" s="64">
        <v>276.48</v>
      </c>
      <c r="L98" s="64">
        <v>22.69</v>
      </c>
      <c r="M98" s="64">
        <v>75.66</v>
      </c>
      <c r="N98" s="64">
        <v>8.8000000000000007</v>
      </c>
      <c r="O98" s="64">
        <v>0</v>
      </c>
      <c r="P98" s="64">
        <v>1.42</v>
      </c>
      <c r="Q98" s="64">
        <v>23.55</v>
      </c>
      <c r="R98" s="198"/>
      <c r="S98" s="198"/>
      <c r="T98" s="198"/>
      <c r="U98" s="198"/>
    </row>
    <row r="99" spans="1:33" s="12" customFormat="1" x14ac:dyDescent="0.25">
      <c r="A99" s="214" t="s">
        <v>912</v>
      </c>
      <c r="B99" s="64">
        <v>53.38</v>
      </c>
      <c r="C99" s="64">
        <v>19.5</v>
      </c>
      <c r="D99" s="64">
        <v>54.86</v>
      </c>
      <c r="E99" s="64">
        <v>2.0499999999999998</v>
      </c>
      <c r="F99" s="64">
        <v>0.43</v>
      </c>
      <c r="G99" s="64">
        <v>126.69</v>
      </c>
      <c r="H99" s="64">
        <v>45.52</v>
      </c>
      <c r="I99" s="64">
        <v>1.53</v>
      </c>
      <c r="J99" s="64">
        <v>0.1</v>
      </c>
      <c r="K99" s="64">
        <v>279.42</v>
      </c>
      <c r="L99" s="64">
        <v>22.63</v>
      </c>
      <c r="M99" s="64">
        <v>76.69</v>
      </c>
      <c r="N99" s="64">
        <v>8.8000000000000007</v>
      </c>
      <c r="O99" s="64">
        <v>0</v>
      </c>
      <c r="P99" s="64">
        <v>1.37</v>
      </c>
      <c r="Q99" s="64">
        <v>23.44</v>
      </c>
      <c r="R99" s="198"/>
      <c r="S99" s="198"/>
      <c r="T99" s="198"/>
      <c r="U99" s="198"/>
    </row>
    <row r="100" spans="1:33" s="12" customFormat="1" x14ac:dyDescent="0.25">
      <c r="A100" s="214" t="s">
        <v>913</v>
      </c>
      <c r="B100" s="64">
        <v>52.43</v>
      </c>
      <c r="C100" s="64">
        <v>19.09</v>
      </c>
      <c r="D100" s="64">
        <v>53.87</v>
      </c>
      <c r="E100" s="64">
        <v>2.14</v>
      </c>
      <c r="F100" s="64">
        <v>0.23</v>
      </c>
      <c r="G100" s="64">
        <v>121.01</v>
      </c>
      <c r="H100" s="64">
        <v>43.27</v>
      </c>
      <c r="I100" s="64">
        <v>1.48</v>
      </c>
      <c r="J100" s="64">
        <v>0.05</v>
      </c>
      <c r="K100" s="64">
        <v>240.59</v>
      </c>
      <c r="L100" s="64">
        <v>23.14</v>
      </c>
      <c r="M100" s="64">
        <v>75.069999999999993</v>
      </c>
      <c r="N100" s="64">
        <v>8.1999999999999993</v>
      </c>
      <c r="O100" s="64">
        <v>0</v>
      </c>
      <c r="P100" s="64">
        <v>1.1000000000000001</v>
      </c>
      <c r="Q100" s="64">
        <v>24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914</v>
      </c>
      <c r="B101" s="64">
        <v>50.73</v>
      </c>
      <c r="C101" s="64">
        <v>18.02</v>
      </c>
      <c r="D101" s="64">
        <v>51.92</v>
      </c>
      <c r="E101" s="64">
        <v>2.04</v>
      </c>
      <c r="F101" s="64">
        <v>0.45</v>
      </c>
      <c r="G101" s="64">
        <v>116.04</v>
      </c>
      <c r="H101" s="64">
        <v>41.31</v>
      </c>
      <c r="I101" s="64">
        <v>1.48</v>
      </c>
      <c r="J101" s="64">
        <v>0.12</v>
      </c>
      <c r="K101" s="64">
        <v>206.78</v>
      </c>
      <c r="L101" s="64">
        <v>22.95</v>
      </c>
      <c r="M101" s="64">
        <v>78.650000000000006</v>
      </c>
      <c r="N101" s="64">
        <v>8.6999999999999993</v>
      </c>
      <c r="O101" s="64">
        <v>0</v>
      </c>
      <c r="P101" s="64">
        <v>1.59</v>
      </c>
      <c r="Q101" s="64">
        <v>24.24</v>
      </c>
      <c r="R101" s="198"/>
      <c r="S101" s="198"/>
      <c r="T101" s="198"/>
      <c r="U101" s="198"/>
    </row>
    <row r="102" spans="1:33" s="12" customFormat="1" x14ac:dyDescent="0.25">
      <c r="A102" s="214" t="s">
        <v>915</v>
      </c>
      <c r="B102" s="64">
        <v>48.59</v>
      </c>
      <c r="C102" s="64">
        <v>18.55</v>
      </c>
      <c r="D102" s="64">
        <v>50.5</v>
      </c>
      <c r="E102" s="64">
        <v>2.31</v>
      </c>
      <c r="F102" s="64">
        <v>0.17</v>
      </c>
      <c r="G102" s="64">
        <v>116.04</v>
      </c>
      <c r="H102" s="64">
        <v>41.31</v>
      </c>
      <c r="I102" s="64">
        <v>1.48</v>
      </c>
      <c r="J102" s="64">
        <v>0.11</v>
      </c>
      <c r="K102" s="64">
        <v>207.93</v>
      </c>
      <c r="L102" s="64">
        <v>22.94</v>
      </c>
      <c r="M102" s="64">
        <v>77.650000000000006</v>
      </c>
      <c r="N102" s="64">
        <v>8.3000000000000007</v>
      </c>
      <c r="O102" s="64">
        <v>0</v>
      </c>
      <c r="P102" s="64">
        <v>1.47</v>
      </c>
      <c r="Q102" s="64">
        <v>25.46</v>
      </c>
      <c r="R102" s="198"/>
      <c r="S102" s="198"/>
      <c r="T102" s="198"/>
      <c r="U102" s="198"/>
    </row>
    <row r="103" spans="1:33" s="12" customFormat="1" x14ac:dyDescent="0.25">
      <c r="A103" s="214" t="s">
        <v>916</v>
      </c>
      <c r="B103" s="64">
        <v>45.45</v>
      </c>
      <c r="C103" s="64">
        <v>17.329999999999998</v>
      </c>
      <c r="D103" s="64">
        <v>47.3</v>
      </c>
      <c r="E103" s="64">
        <v>1.99</v>
      </c>
      <c r="F103" s="64">
        <v>0.25</v>
      </c>
      <c r="G103" s="64">
        <v>116.04</v>
      </c>
      <c r="H103" s="64">
        <v>41.31</v>
      </c>
      <c r="I103" s="64">
        <v>1.46</v>
      </c>
      <c r="J103" s="64">
        <v>0.09</v>
      </c>
      <c r="K103" s="64">
        <v>221.62</v>
      </c>
      <c r="L103" s="64">
        <v>22.85</v>
      </c>
      <c r="M103" s="64">
        <v>78.540000000000006</v>
      </c>
      <c r="N103" s="64">
        <v>8.6999999999999993</v>
      </c>
      <c r="O103" s="64">
        <v>0</v>
      </c>
      <c r="P103" s="64">
        <v>1.45</v>
      </c>
      <c r="Q103" s="64">
        <v>25.73</v>
      </c>
      <c r="R103" s="198"/>
      <c r="S103" s="198"/>
      <c r="T103" s="198"/>
      <c r="U103" s="198"/>
    </row>
    <row r="104" spans="1:33" s="12" customFormat="1" x14ac:dyDescent="0.25">
      <c r="A104" s="214" t="s">
        <v>917</v>
      </c>
      <c r="B104" s="64">
        <v>42.72</v>
      </c>
      <c r="C104" s="64">
        <v>16.899999999999999</v>
      </c>
      <c r="D104" s="64">
        <v>44.88</v>
      </c>
      <c r="E104" s="64">
        <v>0.64</v>
      </c>
      <c r="F104" s="64">
        <v>0.46</v>
      </c>
      <c r="G104" s="64">
        <v>83.39</v>
      </c>
      <c r="H104" s="64">
        <v>39.03</v>
      </c>
      <c r="I104" s="64">
        <v>1.58</v>
      </c>
      <c r="J104" s="64">
        <v>7.0000000000000007E-2</v>
      </c>
      <c r="K104" s="64">
        <v>258.39</v>
      </c>
      <c r="L104" s="64">
        <v>22.54</v>
      </c>
      <c r="M104" s="64">
        <v>81.44</v>
      </c>
      <c r="N104" s="64">
        <v>8.9</v>
      </c>
      <c r="O104" s="64">
        <v>0</v>
      </c>
      <c r="P104" s="64">
        <v>1.36</v>
      </c>
      <c r="Q104" s="64">
        <v>25.4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2.11</v>
      </c>
      <c r="C106" s="67">
        <f>MIN(C9:C104)</f>
        <v>12.33</v>
      </c>
      <c r="D106" s="67">
        <f t="shared" ref="D106:Q106" si="0">MIN(D9:D104)</f>
        <v>13.26</v>
      </c>
      <c r="E106" s="67">
        <f t="shared" si="0"/>
        <v>0.21</v>
      </c>
      <c r="F106" s="67">
        <f t="shared" si="0"/>
        <v>0.06</v>
      </c>
      <c r="G106" s="67">
        <f t="shared" si="0"/>
        <v>57.44</v>
      </c>
      <c r="H106" s="67">
        <f t="shared" si="0"/>
        <v>0.87</v>
      </c>
      <c r="I106" s="67">
        <f t="shared" si="0"/>
        <v>1.37</v>
      </c>
      <c r="J106" s="67">
        <f t="shared" si="0"/>
        <v>0.01</v>
      </c>
      <c r="K106" s="67">
        <f t="shared" si="0"/>
        <v>11.5</v>
      </c>
      <c r="L106" s="67">
        <f t="shared" si="0"/>
        <v>19.77</v>
      </c>
      <c r="M106" s="67">
        <f t="shared" si="0"/>
        <v>29.54</v>
      </c>
      <c r="N106" s="67">
        <f t="shared" si="0"/>
        <v>7.8</v>
      </c>
      <c r="O106" s="67">
        <f t="shared" si="0"/>
        <v>0</v>
      </c>
      <c r="P106" s="67">
        <f t="shared" si="0"/>
        <v>0.61</v>
      </c>
      <c r="Q106" s="67">
        <f t="shared" si="0"/>
        <v>13.33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57.58</v>
      </c>
      <c r="C107" s="66">
        <f t="shared" ref="C107:Q107" si="1">MAX(C9:C104)</f>
        <v>30.1</v>
      </c>
      <c r="D107" s="66">
        <f t="shared" si="1"/>
        <v>59.61</v>
      </c>
      <c r="E107" s="66">
        <f t="shared" si="1"/>
        <v>3.56</v>
      </c>
      <c r="F107" s="66">
        <f t="shared" si="1"/>
        <v>7.17</v>
      </c>
      <c r="G107" s="66">
        <f t="shared" si="1"/>
        <v>234.65</v>
      </c>
      <c r="H107" s="66">
        <f t="shared" si="1"/>
        <v>65.900000000000006</v>
      </c>
      <c r="I107" s="66">
        <f t="shared" si="1"/>
        <v>1.58</v>
      </c>
      <c r="J107" s="66">
        <f t="shared" si="1"/>
        <v>1.1100000000000001</v>
      </c>
      <c r="K107" s="66">
        <f t="shared" si="1"/>
        <v>358.83</v>
      </c>
      <c r="L107" s="66">
        <f t="shared" si="1"/>
        <v>34.909999999999997</v>
      </c>
      <c r="M107" s="66">
        <f t="shared" si="1"/>
        <v>95.8</v>
      </c>
      <c r="N107" s="66">
        <f t="shared" si="1"/>
        <v>860.5</v>
      </c>
      <c r="O107" s="66">
        <f t="shared" si="1"/>
        <v>0</v>
      </c>
      <c r="P107" s="66">
        <f t="shared" si="1"/>
        <v>2.2999999999999998</v>
      </c>
      <c r="Q107" s="66">
        <f t="shared" si="1"/>
        <v>25.73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18.199687500000007</v>
      </c>
      <c r="C108" s="67">
        <f t="shared" ref="C108:Q108" si="2">AVERAGE(C9:C104)</f>
        <v>19.311770833333323</v>
      </c>
      <c r="D108" s="67">
        <f t="shared" si="2"/>
        <v>26.545208333333331</v>
      </c>
      <c r="E108" s="67">
        <f t="shared" si="2"/>
        <v>1.3504166666666666</v>
      </c>
      <c r="F108" s="67">
        <f t="shared" si="2"/>
        <v>0.78885416666666652</v>
      </c>
      <c r="G108" s="67">
        <f t="shared" si="2"/>
        <v>101.18989247311829</v>
      </c>
      <c r="H108" s="67">
        <f t="shared" si="2"/>
        <v>13.248172043010749</v>
      </c>
      <c r="I108" s="67">
        <f t="shared" si="2"/>
        <v>1.4907291666666664</v>
      </c>
      <c r="J108" s="67">
        <f t="shared" si="2"/>
        <v>0.35218750000000004</v>
      </c>
      <c r="K108" s="67">
        <f t="shared" si="2"/>
        <v>264.13864583333327</v>
      </c>
      <c r="L108" s="67">
        <f t="shared" si="2"/>
        <v>26.048229166666676</v>
      </c>
      <c r="M108" s="67">
        <f t="shared" si="2"/>
        <v>60.016770833333318</v>
      </c>
      <c r="N108" s="67">
        <f t="shared" si="2"/>
        <v>213.45416666666665</v>
      </c>
      <c r="O108" s="67">
        <f t="shared" si="2"/>
        <v>0</v>
      </c>
      <c r="P108" s="67">
        <f t="shared" si="2"/>
        <v>1.0633333333333337</v>
      </c>
      <c r="Q108" s="67">
        <f t="shared" si="2"/>
        <v>18.937291666666663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18.314846060426092</v>
      </c>
      <c r="C109" s="67">
        <f t="shared" ref="C109:Q109" si="3">STDEV(C9:C104)</f>
        <v>4.7686008087536473</v>
      </c>
      <c r="D109" s="67">
        <f t="shared" si="3"/>
        <v>15.461128914945423</v>
      </c>
      <c r="E109" s="67">
        <f t="shared" si="3"/>
        <v>0.59549345600128289</v>
      </c>
      <c r="F109" s="67">
        <f t="shared" si="3"/>
        <v>0.90050146239299944</v>
      </c>
      <c r="G109" s="67">
        <f t="shared" si="3"/>
        <v>40.753897186132711</v>
      </c>
      <c r="H109" s="67">
        <f t="shared" si="3"/>
        <v>21.395906147745251</v>
      </c>
      <c r="I109" s="67">
        <f t="shared" si="3"/>
        <v>4.7200463683419763E-2</v>
      </c>
      <c r="J109" s="67">
        <f t="shared" si="3"/>
        <v>0.29004610568158407</v>
      </c>
      <c r="K109" s="67">
        <f t="shared" si="3"/>
        <v>99.72093143124664</v>
      </c>
      <c r="L109" s="67">
        <f t="shared" si="3"/>
        <v>4.4568239800372202</v>
      </c>
      <c r="M109" s="67">
        <f t="shared" si="3"/>
        <v>20.951452128786347</v>
      </c>
      <c r="N109" s="67">
        <f t="shared" si="3"/>
        <v>304.80785212867841</v>
      </c>
      <c r="O109" s="67">
        <f t="shared" si="3"/>
        <v>0</v>
      </c>
      <c r="P109" s="67">
        <f t="shared" si="3"/>
        <v>0.40318904190065818</v>
      </c>
      <c r="Q109" s="67">
        <f t="shared" si="3"/>
        <v>3.6991482601914321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918</v>
      </c>
      <c r="B9" s="64">
        <v>39.92</v>
      </c>
      <c r="C9" s="64">
        <v>17.03</v>
      </c>
      <c r="D9" s="64">
        <v>42.7</v>
      </c>
      <c r="E9" s="64">
        <v>1.17</v>
      </c>
      <c r="F9" s="64">
        <v>0.22</v>
      </c>
      <c r="G9" s="64">
        <v>54.82</v>
      </c>
      <c r="H9" s="64">
        <v>37.04</v>
      </c>
      <c r="I9" s="64">
        <v>1.49</v>
      </c>
      <c r="J9" s="64">
        <v>0.09</v>
      </c>
      <c r="K9" s="64">
        <v>318.66000000000003</v>
      </c>
      <c r="L9" s="64">
        <v>22.04</v>
      </c>
      <c r="M9" s="64">
        <v>86.92</v>
      </c>
      <c r="N9" s="64">
        <v>9.1</v>
      </c>
      <c r="O9" s="64">
        <v>0</v>
      </c>
      <c r="P9" s="64">
        <v>1.28</v>
      </c>
      <c r="Q9" s="64">
        <v>25.95</v>
      </c>
      <c r="R9" s="198"/>
      <c r="S9" s="198"/>
      <c r="T9" s="198"/>
      <c r="U9" s="198"/>
    </row>
    <row r="10" spans="1:21" s="12" customFormat="1" x14ac:dyDescent="0.25">
      <c r="A10" s="214" t="s">
        <v>919</v>
      </c>
      <c r="B10" s="64">
        <v>37.71</v>
      </c>
      <c r="C10" s="64">
        <v>16.7</v>
      </c>
      <c r="D10" s="64">
        <v>40.75</v>
      </c>
      <c r="E10" s="64">
        <v>1.55</v>
      </c>
      <c r="F10" s="64">
        <v>0.39</v>
      </c>
      <c r="G10" s="64">
        <v>54.82</v>
      </c>
      <c r="H10" s="64">
        <v>37.04</v>
      </c>
      <c r="I10" s="64">
        <v>1.51</v>
      </c>
      <c r="J10" s="64">
        <v>0.03</v>
      </c>
      <c r="K10" s="64">
        <v>277.77999999999997</v>
      </c>
      <c r="L10" s="64">
        <v>21.84</v>
      </c>
      <c r="M10" s="64">
        <v>85.28</v>
      </c>
      <c r="N10" s="64">
        <v>8.8000000000000007</v>
      </c>
      <c r="O10" s="64">
        <v>0</v>
      </c>
      <c r="P10" s="64">
        <v>1.33</v>
      </c>
      <c r="Q10" s="64">
        <v>25.99</v>
      </c>
      <c r="R10" s="198"/>
      <c r="S10" s="198"/>
      <c r="T10" s="198"/>
      <c r="U10" s="198"/>
    </row>
    <row r="11" spans="1:21" s="12" customFormat="1" x14ac:dyDescent="0.25">
      <c r="A11" s="214" t="s">
        <v>920</v>
      </c>
      <c r="B11" s="64">
        <v>35.42</v>
      </c>
      <c r="C11" s="64">
        <v>16.79</v>
      </c>
      <c r="D11" s="64">
        <v>38.96</v>
      </c>
      <c r="E11" s="64">
        <v>1.05</v>
      </c>
      <c r="F11" s="64">
        <v>0.09</v>
      </c>
      <c r="G11" s="64">
        <v>54.82</v>
      </c>
      <c r="H11" s="64">
        <v>37.04</v>
      </c>
      <c r="I11" s="64">
        <v>1.49</v>
      </c>
      <c r="J11" s="64">
        <v>0.12</v>
      </c>
      <c r="K11" s="64">
        <v>296.02999999999997</v>
      </c>
      <c r="L11" s="64">
        <v>21.66</v>
      </c>
      <c r="M11" s="64">
        <v>89.35</v>
      </c>
      <c r="N11" s="64">
        <v>8.8000000000000007</v>
      </c>
      <c r="O11" s="64">
        <v>0</v>
      </c>
      <c r="P11" s="64">
        <v>1.22</v>
      </c>
      <c r="Q11" s="64">
        <v>26.53</v>
      </c>
      <c r="R11" s="198"/>
      <c r="S11" s="198"/>
      <c r="T11" s="198"/>
      <c r="U11" s="198"/>
    </row>
    <row r="12" spans="1:21" s="12" customFormat="1" x14ac:dyDescent="0.25">
      <c r="A12" s="214" t="s">
        <v>921</v>
      </c>
      <c r="B12" s="64">
        <v>33.76</v>
      </c>
      <c r="C12" s="64">
        <v>15.72</v>
      </c>
      <c r="D12" s="64">
        <v>37.04</v>
      </c>
      <c r="E12" s="64">
        <v>0.79</v>
      </c>
      <c r="F12" s="64">
        <v>0.54</v>
      </c>
      <c r="G12" s="64">
        <v>68.209999999999994</v>
      </c>
      <c r="H12" s="64">
        <v>34.520000000000003</v>
      </c>
      <c r="I12" s="64">
        <v>1.47</v>
      </c>
      <c r="J12" s="64">
        <v>0.1</v>
      </c>
      <c r="K12" s="64">
        <v>320.26</v>
      </c>
      <c r="L12" s="64">
        <v>21.43</v>
      </c>
      <c r="M12" s="64">
        <v>90.72</v>
      </c>
      <c r="N12" s="64">
        <v>8.9</v>
      </c>
      <c r="O12" s="64">
        <v>0</v>
      </c>
      <c r="P12" s="64">
        <v>1.1399999999999999</v>
      </c>
      <c r="Q12" s="64">
        <v>25.63</v>
      </c>
      <c r="R12" s="198"/>
      <c r="S12" s="198"/>
      <c r="T12" s="198"/>
      <c r="U12" s="198"/>
    </row>
    <row r="13" spans="1:21" s="12" customFormat="1" x14ac:dyDescent="0.25">
      <c r="A13" s="214" t="s">
        <v>922</v>
      </c>
      <c r="B13" s="64">
        <v>32.56</v>
      </c>
      <c r="C13" s="64">
        <v>14.98</v>
      </c>
      <c r="D13" s="64">
        <v>35.67</v>
      </c>
      <c r="E13" s="64">
        <v>1.06</v>
      </c>
      <c r="F13" s="64">
        <v>0.57999999999999996</v>
      </c>
      <c r="G13" s="64">
        <v>79.92</v>
      </c>
      <c r="H13" s="64">
        <v>32.32</v>
      </c>
      <c r="I13" s="64">
        <v>1.5</v>
      </c>
      <c r="J13" s="64">
        <v>0.06</v>
      </c>
      <c r="K13" s="64">
        <v>278.81</v>
      </c>
      <c r="L13" s="64">
        <v>21.36</v>
      </c>
      <c r="M13" s="64">
        <v>84.34</v>
      </c>
      <c r="N13" s="64">
        <v>8.6999999999999993</v>
      </c>
      <c r="O13" s="64">
        <v>0</v>
      </c>
      <c r="P13" s="64">
        <v>0.96</v>
      </c>
      <c r="Q13" s="64">
        <v>24.92</v>
      </c>
      <c r="R13" s="198"/>
      <c r="S13" s="198"/>
      <c r="T13" s="198"/>
      <c r="U13" s="198"/>
    </row>
    <row r="14" spans="1:21" s="12" customFormat="1" x14ac:dyDescent="0.25">
      <c r="A14" s="214" t="s">
        <v>923</v>
      </c>
      <c r="B14" s="64">
        <v>31.26</v>
      </c>
      <c r="C14" s="64">
        <v>15.32</v>
      </c>
      <c r="D14" s="64">
        <v>34.82</v>
      </c>
      <c r="E14" s="64">
        <v>1.22</v>
      </c>
      <c r="F14" s="64">
        <v>0.18</v>
      </c>
      <c r="G14" s="64">
        <v>79.92</v>
      </c>
      <c r="H14" s="64">
        <v>32.32</v>
      </c>
      <c r="I14" s="64">
        <v>1.52</v>
      </c>
      <c r="J14" s="64">
        <v>0.05</v>
      </c>
      <c r="K14" s="64">
        <v>238.57</v>
      </c>
      <c r="L14" s="64">
        <v>21.52</v>
      </c>
      <c r="M14" s="64">
        <v>82.01</v>
      </c>
      <c r="N14" s="64">
        <v>8.8000000000000007</v>
      </c>
      <c r="O14" s="64">
        <v>0</v>
      </c>
      <c r="P14" s="64">
        <v>1.01</v>
      </c>
      <c r="Q14" s="64">
        <v>25.02</v>
      </c>
      <c r="R14" s="198"/>
      <c r="S14" s="198"/>
      <c r="T14" s="198"/>
      <c r="U14" s="198"/>
    </row>
    <row r="15" spans="1:21" s="12" customFormat="1" x14ac:dyDescent="0.25">
      <c r="A15" s="214" t="s">
        <v>924</v>
      </c>
      <c r="B15" s="64">
        <v>30.22</v>
      </c>
      <c r="C15" s="64">
        <v>15.23</v>
      </c>
      <c r="D15" s="64">
        <v>33.93</v>
      </c>
      <c r="E15" s="64">
        <v>1.47</v>
      </c>
      <c r="F15" s="64">
        <v>0.26</v>
      </c>
      <c r="G15" s="64">
        <v>79.92</v>
      </c>
      <c r="H15" s="64">
        <v>32.32</v>
      </c>
      <c r="I15" s="64">
        <v>1.55</v>
      </c>
      <c r="J15" s="64">
        <v>0.08</v>
      </c>
      <c r="K15" s="64">
        <v>242.73</v>
      </c>
      <c r="L15" s="64">
        <v>21.6</v>
      </c>
      <c r="M15" s="64">
        <v>82.39</v>
      </c>
      <c r="N15" s="64">
        <v>8.6999999999999993</v>
      </c>
      <c r="O15" s="64">
        <v>0</v>
      </c>
      <c r="P15" s="64">
        <v>0.77</v>
      </c>
      <c r="Q15" s="64">
        <v>25.2</v>
      </c>
      <c r="R15" s="198"/>
      <c r="S15" s="198"/>
      <c r="T15" s="198"/>
      <c r="U15" s="198"/>
    </row>
    <row r="16" spans="1:21" s="12" customFormat="1" x14ac:dyDescent="0.25">
      <c r="A16" s="214" t="s">
        <v>925</v>
      </c>
      <c r="B16" s="64">
        <v>29.09</v>
      </c>
      <c r="C16" s="64">
        <v>14.37</v>
      </c>
      <c r="D16" s="64">
        <v>32.549999999999997</v>
      </c>
      <c r="E16" s="64">
        <v>1.1000000000000001</v>
      </c>
      <c r="F16" s="64">
        <v>0.34</v>
      </c>
      <c r="G16" s="64">
        <v>67.36</v>
      </c>
      <c r="H16" s="64">
        <v>30.99</v>
      </c>
      <c r="I16" s="64">
        <v>1.47</v>
      </c>
      <c r="J16" s="64">
        <v>0.03</v>
      </c>
      <c r="K16" s="64">
        <v>301.27</v>
      </c>
      <c r="L16" s="64">
        <v>21.46</v>
      </c>
      <c r="M16" s="64">
        <v>81.87</v>
      </c>
      <c r="N16" s="64">
        <v>8.8000000000000007</v>
      </c>
      <c r="O16" s="64">
        <v>0</v>
      </c>
      <c r="P16" s="64">
        <v>0.98</v>
      </c>
      <c r="Q16" s="64">
        <v>24.48</v>
      </c>
      <c r="R16" s="198"/>
      <c r="S16" s="198"/>
      <c r="T16" s="198"/>
      <c r="U16" s="198"/>
    </row>
    <row r="17" spans="1:21" s="12" customFormat="1" x14ac:dyDescent="0.25">
      <c r="A17" s="214" t="s">
        <v>926</v>
      </c>
      <c r="B17" s="64">
        <v>27.83</v>
      </c>
      <c r="C17" s="64">
        <v>16.260000000000002</v>
      </c>
      <c r="D17" s="64">
        <v>32.590000000000003</v>
      </c>
      <c r="E17" s="64">
        <v>1.06</v>
      </c>
      <c r="F17" s="64">
        <v>0.28000000000000003</v>
      </c>
      <c r="G17" s="64">
        <v>56.37</v>
      </c>
      <c r="H17" s="64">
        <v>29.84</v>
      </c>
      <c r="I17" s="64">
        <v>1.54</v>
      </c>
      <c r="J17" s="64">
        <v>0.09</v>
      </c>
      <c r="K17" s="64">
        <v>161.44999999999999</v>
      </c>
      <c r="L17" s="64">
        <v>21.63</v>
      </c>
      <c r="M17" s="64">
        <v>79.69</v>
      </c>
      <c r="N17" s="64">
        <v>8.6</v>
      </c>
      <c r="O17" s="64">
        <v>0</v>
      </c>
      <c r="P17" s="64">
        <v>1.1200000000000001</v>
      </c>
      <c r="Q17" s="64">
        <v>25.58</v>
      </c>
      <c r="R17" s="198"/>
      <c r="S17" s="198"/>
      <c r="T17" s="198"/>
      <c r="U17" s="198"/>
    </row>
    <row r="18" spans="1:21" s="12" customFormat="1" x14ac:dyDescent="0.25">
      <c r="A18" s="214" t="s">
        <v>927</v>
      </c>
      <c r="B18" s="64">
        <v>26</v>
      </c>
      <c r="C18" s="64">
        <v>17.940000000000001</v>
      </c>
      <c r="D18" s="64">
        <v>32.049999999999997</v>
      </c>
      <c r="E18" s="64">
        <v>1.59</v>
      </c>
      <c r="F18" s="64">
        <v>0.37</v>
      </c>
      <c r="G18" s="64">
        <v>56.37</v>
      </c>
      <c r="H18" s="64">
        <v>29.84</v>
      </c>
      <c r="I18" s="64">
        <v>1.46</v>
      </c>
      <c r="J18" s="64">
        <v>0.13</v>
      </c>
      <c r="K18" s="64">
        <v>300.20999999999998</v>
      </c>
      <c r="L18" s="64">
        <v>21.34</v>
      </c>
      <c r="M18" s="64">
        <v>84.68</v>
      </c>
      <c r="N18" s="64">
        <v>8.8000000000000007</v>
      </c>
      <c r="O18" s="64">
        <v>0</v>
      </c>
      <c r="P18" s="64">
        <v>1.02</v>
      </c>
      <c r="Q18" s="64">
        <v>26.38</v>
      </c>
      <c r="R18" s="198"/>
      <c r="S18" s="198"/>
      <c r="T18" s="198"/>
      <c r="U18" s="198"/>
    </row>
    <row r="19" spans="1:21" s="12" customFormat="1" x14ac:dyDescent="0.25">
      <c r="A19" s="214" t="s">
        <v>928</v>
      </c>
      <c r="B19" s="64">
        <v>24.39</v>
      </c>
      <c r="C19" s="64">
        <v>17.41</v>
      </c>
      <c r="D19" s="64">
        <v>30.46</v>
      </c>
      <c r="E19" s="64">
        <v>1.51</v>
      </c>
      <c r="F19" s="64">
        <v>0.21</v>
      </c>
      <c r="G19" s="64">
        <v>56.37</v>
      </c>
      <c r="H19" s="64">
        <v>29.84</v>
      </c>
      <c r="I19" s="64">
        <v>1.51</v>
      </c>
      <c r="J19" s="64">
        <v>0.03</v>
      </c>
      <c r="K19" s="64">
        <v>180.04</v>
      </c>
      <c r="L19" s="64">
        <v>20.93</v>
      </c>
      <c r="M19" s="64">
        <v>87.74</v>
      </c>
      <c r="N19" s="64">
        <v>8.8000000000000007</v>
      </c>
      <c r="O19" s="64">
        <v>0</v>
      </c>
      <c r="P19" s="64">
        <v>1.07</v>
      </c>
      <c r="Q19" s="64">
        <v>27.14</v>
      </c>
      <c r="R19" s="198"/>
      <c r="S19" s="198"/>
      <c r="T19" s="198"/>
      <c r="U19" s="198"/>
    </row>
    <row r="20" spans="1:21" s="12" customFormat="1" x14ac:dyDescent="0.25">
      <c r="A20" s="214" t="s">
        <v>929</v>
      </c>
      <c r="B20" s="64">
        <v>22.93</v>
      </c>
      <c r="C20" s="64">
        <v>16.52</v>
      </c>
      <c r="D20" s="64">
        <v>28.8</v>
      </c>
      <c r="E20" s="64">
        <v>0.78</v>
      </c>
      <c r="F20" s="64">
        <v>0.33</v>
      </c>
      <c r="G20" s="64">
        <v>65.930000000000007</v>
      </c>
      <c r="H20" s="64">
        <v>26.03</v>
      </c>
      <c r="I20" s="64">
        <v>1.45</v>
      </c>
      <c r="J20" s="64">
        <v>0.06</v>
      </c>
      <c r="K20" s="64">
        <v>176.27</v>
      </c>
      <c r="L20" s="64">
        <v>21.16</v>
      </c>
      <c r="M20" s="64">
        <v>86.76</v>
      </c>
      <c r="N20" s="64">
        <v>8.5</v>
      </c>
      <c r="O20" s="64">
        <v>0</v>
      </c>
      <c r="P20" s="64">
        <v>1.03</v>
      </c>
      <c r="Q20" s="64">
        <v>29.34</v>
      </c>
      <c r="R20" s="198"/>
      <c r="S20" s="198"/>
      <c r="T20" s="198"/>
      <c r="U20" s="198"/>
    </row>
    <row r="21" spans="1:21" s="12" customFormat="1" x14ac:dyDescent="0.25">
      <c r="A21" s="214" t="s">
        <v>930</v>
      </c>
      <c r="B21" s="64">
        <v>21.45</v>
      </c>
      <c r="C21" s="64">
        <v>16.760000000000002</v>
      </c>
      <c r="D21" s="64">
        <v>27.74</v>
      </c>
      <c r="E21" s="64">
        <v>0.84</v>
      </c>
      <c r="F21" s="64">
        <v>0.36</v>
      </c>
      <c r="G21" s="64">
        <v>74.3</v>
      </c>
      <c r="H21" s="64">
        <v>24.49</v>
      </c>
      <c r="I21" s="64">
        <v>1.49</v>
      </c>
      <c r="J21" s="64">
        <v>0.03</v>
      </c>
      <c r="K21" s="64">
        <v>346.81</v>
      </c>
      <c r="L21" s="64">
        <v>21.28</v>
      </c>
      <c r="M21" s="64">
        <v>86.96</v>
      </c>
      <c r="N21" s="64">
        <v>8.4</v>
      </c>
      <c r="O21" s="64">
        <v>0</v>
      </c>
      <c r="P21" s="64">
        <v>0.99</v>
      </c>
      <c r="Q21" s="64">
        <v>30.88</v>
      </c>
      <c r="R21" s="198"/>
      <c r="S21" s="198"/>
      <c r="T21" s="198"/>
      <c r="U21" s="198"/>
    </row>
    <row r="22" spans="1:21" s="12" customFormat="1" x14ac:dyDescent="0.25">
      <c r="A22" s="214" t="s">
        <v>931</v>
      </c>
      <c r="B22" s="64">
        <v>19.96</v>
      </c>
      <c r="C22" s="64">
        <v>16.22</v>
      </c>
      <c r="D22" s="64">
        <v>26.25</v>
      </c>
      <c r="E22" s="64">
        <v>1.08</v>
      </c>
      <c r="F22" s="64">
        <v>0.13</v>
      </c>
      <c r="G22" s="64">
        <v>74.3</v>
      </c>
      <c r="H22" s="64">
        <v>24.49</v>
      </c>
      <c r="I22" s="64">
        <v>1.53</v>
      </c>
      <c r="J22" s="64">
        <v>0.05</v>
      </c>
      <c r="K22" s="64">
        <v>129.69</v>
      </c>
      <c r="L22" s="64">
        <v>20.93</v>
      </c>
      <c r="M22" s="64">
        <v>89.74</v>
      </c>
      <c r="N22" s="64">
        <v>8.8000000000000007</v>
      </c>
      <c r="O22" s="64">
        <v>0</v>
      </c>
      <c r="P22" s="64">
        <v>0.95</v>
      </c>
      <c r="Q22" s="64">
        <v>29.63</v>
      </c>
      <c r="R22" s="198"/>
      <c r="S22" s="198"/>
      <c r="T22" s="198"/>
      <c r="U22" s="198"/>
    </row>
    <row r="23" spans="1:21" s="12" customFormat="1" x14ac:dyDescent="0.25">
      <c r="A23" s="214" t="s">
        <v>932</v>
      </c>
      <c r="B23" s="64">
        <v>18.66</v>
      </c>
      <c r="C23" s="64">
        <v>15.07</v>
      </c>
      <c r="D23" s="64">
        <v>24.57</v>
      </c>
      <c r="E23" s="64">
        <v>1.2</v>
      </c>
      <c r="F23" s="64">
        <v>0.38</v>
      </c>
      <c r="G23" s="64">
        <v>74.3</v>
      </c>
      <c r="H23" s="64">
        <v>24.49</v>
      </c>
      <c r="I23" s="64">
        <v>1.58</v>
      </c>
      <c r="J23" s="64">
        <v>0.03</v>
      </c>
      <c r="K23" s="64">
        <v>183.52</v>
      </c>
      <c r="L23" s="64">
        <v>20.94</v>
      </c>
      <c r="M23" s="64">
        <v>89.27</v>
      </c>
      <c r="N23" s="64">
        <v>8.6999999999999993</v>
      </c>
      <c r="O23" s="64">
        <v>0</v>
      </c>
      <c r="P23" s="64">
        <v>0.93</v>
      </c>
      <c r="Q23" s="64">
        <v>29.23</v>
      </c>
      <c r="R23" s="198"/>
      <c r="S23" s="198"/>
      <c r="T23" s="198"/>
      <c r="U23" s="198"/>
    </row>
    <row r="24" spans="1:21" s="12" customFormat="1" x14ac:dyDescent="0.25">
      <c r="A24" s="214" t="s">
        <v>933</v>
      </c>
      <c r="B24" s="64">
        <v>17.59</v>
      </c>
      <c r="C24" s="64">
        <v>15.26</v>
      </c>
      <c r="D24" s="64">
        <v>23.82</v>
      </c>
      <c r="E24" s="64">
        <v>1.98</v>
      </c>
      <c r="F24" s="64">
        <v>7.0000000000000007E-2</v>
      </c>
      <c r="G24" s="64">
        <v>68.36</v>
      </c>
      <c r="H24" s="64">
        <v>23.38</v>
      </c>
      <c r="I24" s="64">
        <v>1.48</v>
      </c>
      <c r="J24" s="64">
        <v>0.05</v>
      </c>
      <c r="K24" s="64">
        <v>55.5</v>
      </c>
      <c r="L24" s="64">
        <v>20.83</v>
      </c>
      <c r="M24" s="64">
        <v>89.44</v>
      </c>
      <c r="N24" s="64">
        <v>8.6</v>
      </c>
      <c r="O24" s="64">
        <v>0</v>
      </c>
      <c r="P24" s="64">
        <v>0.75</v>
      </c>
      <c r="Q24" s="64">
        <v>33.68</v>
      </c>
      <c r="R24" s="198"/>
      <c r="S24" s="198"/>
      <c r="T24" s="198"/>
      <c r="U24" s="198"/>
    </row>
    <row r="25" spans="1:21" s="12" customFormat="1" x14ac:dyDescent="0.25">
      <c r="A25" s="214" t="s">
        <v>934</v>
      </c>
      <c r="B25" s="64">
        <v>17.03</v>
      </c>
      <c r="C25" s="64">
        <v>14.23</v>
      </c>
      <c r="D25" s="64">
        <v>22.8</v>
      </c>
      <c r="E25" s="64">
        <v>2.14</v>
      </c>
      <c r="F25" s="64">
        <v>0.28999999999999998</v>
      </c>
      <c r="G25" s="64">
        <v>63.16</v>
      </c>
      <c r="H25" s="64">
        <v>22.93</v>
      </c>
      <c r="I25" s="64">
        <v>1.43</v>
      </c>
      <c r="J25" s="64">
        <v>0.41</v>
      </c>
      <c r="K25" s="64">
        <v>332.67</v>
      </c>
      <c r="L25" s="64">
        <v>20.83</v>
      </c>
      <c r="M25" s="64">
        <v>91.75</v>
      </c>
      <c r="N25" s="64">
        <v>8.3000000000000007</v>
      </c>
      <c r="O25" s="64">
        <v>0</v>
      </c>
      <c r="P25" s="64">
        <v>0.83</v>
      </c>
      <c r="Q25" s="64">
        <v>29.77</v>
      </c>
      <c r="R25" s="198"/>
      <c r="S25" s="198"/>
      <c r="T25" s="198"/>
      <c r="U25" s="198"/>
    </row>
    <row r="26" spans="1:21" s="12" customFormat="1" x14ac:dyDescent="0.25">
      <c r="A26" s="214" t="s">
        <v>935</v>
      </c>
      <c r="B26" s="64">
        <v>16.62</v>
      </c>
      <c r="C26" s="64">
        <v>14.95</v>
      </c>
      <c r="D26" s="64">
        <v>22.87</v>
      </c>
      <c r="E26" s="64">
        <v>2.48</v>
      </c>
      <c r="F26" s="64">
        <v>0.04</v>
      </c>
      <c r="G26" s="64">
        <v>63.16</v>
      </c>
      <c r="H26" s="64">
        <v>22.93</v>
      </c>
      <c r="I26" s="64">
        <v>1.48</v>
      </c>
      <c r="J26" s="64">
        <v>0.52</v>
      </c>
      <c r="K26" s="64">
        <v>327.35000000000002</v>
      </c>
      <c r="L26" s="64">
        <v>20.78</v>
      </c>
      <c r="M26" s="64">
        <v>92.69</v>
      </c>
      <c r="N26" s="64">
        <v>8</v>
      </c>
      <c r="O26" s="64">
        <v>0</v>
      </c>
      <c r="P26" s="64">
        <v>0.75</v>
      </c>
      <c r="Q26" s="64">
        <v>30.07</v>
      </c>
      <c r="R26" s="198"/>
      <c r="S26" s="198"/>
      <c r="T26" s="198"/>
      <c r="U26" s="198"/>
    </row>
    <row r="27" spans="1:21" s="12" customFormat="1" x14ac:dyDescent="0.25">
      <c r="A27" s="214" t="s">
        <v>936</v>
      </c>
      <c r="B27" s="64">
        <v>16.29</v>
      </c>
      <c r="C27" s="64">
        <v>14.6</v>
      </c>
      <c r="D27" s="64">
        <v>22.42</v>
      </c>
      <c r="E27" s="64">
        <v>2.91</v>
      </c>
      <c r="F27" s="64">
        <v>0.28999999999999998</v>
      </c>
      <c r="G27" s="64">
        <v>63.16</v>
      </c>
      <c r="H27" s="64">
        <v>22.93</v>
      </c>
      <c r="I27" s="64">
        <v>1.51</v>
      </c>
      <c r="J27" s="64">
        <v>0.22</v>
      </c>
      <c r="K27" s="64">
        <v>329.28</v>
      </c>
      <c r="L27" s="64">
        <v>20.74</v>
      </c>
      <c r="M27" s="64">
        <v>92.62</v>
      </c>
      <c r="N27" s="64">
        <v>8.8000000000000007</v>
      </c>
      <c r="O27" s="64">
        <v>0</v>
      </c>
      <c r="P27" s="64">
        <v>0.82</v>
      </c>
      <c r="Q27" s="64">
        <v>46.99</v>
      </c>
      <c r="R27" s="198"/>
      <c r="S27" s="198"/>
      <c r="T27" s="198"/>
      <c r="U27" s="198"/>
    </row>
    <row r="28" spans="1:21" s="12" customFormat="1" x14ac:dyDescent="0.25">
      <c r="A28" s="214" t="s">
        <v>937</v>
      </c>
      <c r="B28" s="64">
        <v>16.43</v>
      </c>
      <c r="C28" s="64">
        <v>14.9</v>
      </c>
      <c r="D28" s="64">
        <v>22.69</v>
      </c>
      <c r="E28" s="64">
        <v>3.02</v>
      </c>
      <c r="F28" s="64">
        <v>0.26</v>
      </c>
      <c r="G28" s="64">
        <v>65.47</v>
      </c>
      <c r="H28" s="64">
        <v>23.63</v>
      </c>
      <c r="I28" s="64">
        <v>1.49</v>
      </c>
      <c r="J28" s="64">
        <v>0.02</v>
      </c>
      <c r="K28" s="64">
        <v>316.81</v>
      </c>
      <c r="L28" s="64">
        <v>20.6</v>
      </c>
      <c r="M28" s="64">
        <v>93.68</v>
      </c>
      <c r="N28" s="64">
        <v>9</v>
      </c>
      <c r="O28" s="64">
        <v>0</v>
      </c>
      <c r="P28" s="64">
        <v>0.74</v>
      </c>
      <c r="Q28" s="64">
        <v>101.26</v>
      </c>
      <c r="R28" s="198"/>
      <c r="S28" s="198"/>
      <c r="T28" s="198"/>
      <c r="U28" s="198"/>
    </row>
    <row r="29" spans="1:21" s="12" customFormat="1" x14ac:dyDescent="0.25">
      <c r="A29" s="214" t="s">
        <v>938</v>
      </c>
      <c r="B29" s="64">
        <v>16.57</v>
      </c>
      <c r="C29" s="64">
        <v>13.84</v>
      </c>
      <c r="D29" s="64">
        <v>22.22</v>
      </c>
      <c r="E29" s="64">
        <v>2.86</v>
      </c>
      <c r="F29" s="64">
        <v>0.65</v>
      </c>
      <c r="G29" s="64">
        <v>67.489999999999995</v>
      </c>
      <c r="H29" s="64">
        <v>23.91</v>
      </c>
      <c r="I29" s="64">
        <v>1.44</v>
      </c>
      <c r="J29" s="64">
        <v>0.03</v>
      </c>
      <c r="K29" s="64">
        <v>306.68</v>
      </c>
      <c r="L29" s="64">
        <v>20.34</v>
      </c>
      <c r="M29" s="64">
        <v>95.93</v>
      </c>
      <c r="N29" s="64">
        <v>9</v>
      </c>
      <c r="O29" s="64">
        <v>0</v>
      </c>
      <c r="P29" s="64">
        <v>0.83</v>
      </c>
      <c r="Q29" s="64">
        <v>251.94</v>
      </c>
      <c r="R29" s="198"/>
      <c r="S29" s="198"/>
      <c r="T29" s="198"/>
      <c r="U29" s="198"/>
    </row>
    <row r="30" spans="1:21" s="12" customFormat="1" x14ac:dyDescent="0.25">
      <c r="A30" s="214" t="s">
        <v>939</v>
      </c>
      <c r="B30" s="64">
        <v>17.79</v>
      </c>
      <c r="C30" s="64">
        <v>15.73</v>
      </c>
      <c r="D30" s="64">
        <v>24.24</v>
      </c>
      <c r="E30" s="64">
        <v>2.86</v>
      </c>
      <c r="F30" s="64">
        <v>0.27</v>
      </c>
      <c r="G30" s="64">
        <v>67.489999999999995</v>
      </c>
      <c r="H30" s="64">
        <v>23.91</v>
      </c>
      <c r="I30" s="64">
        <v>1.57</v>
      </c>
      <c r="J30" s="64">
        <v>0.1</v>
      </c>
      <c r="K30" s="64">
        <v>208.62</v>
      </c>
      <c r="L30" s="64">
        <v>20.27</v>
      </c>
      <c r="M30" s="64">
        <v>97.04</v>
      </c>
      <c r="N30" s="64">
        <v>8.6999999999999993</v>
      </c>
      <c r="O30" s="64">
        <v>0</v>
      </c>
      <c r="P30" s="64">
        <v>0.82</v>
      </c>
      <c r="Q30" s="64">
        <v>352.75</v>
      </c>
      <c r="R30" s="198"/>
      <c r="S30" s="198"/>
      <c r="T30" s="198"/>
      <c r="U30" s="198"/>
    </row>
    <row r="31" spans="1:21" s="12" customFormat="1" x14ac:dyDescent="0.25">
      <c r="A31" s="214" t="s">
        <v>940</v>
      </c>
      <c r="B31" s="64">
        <v>18.96</v>
      </c>
      <c r="C31" s="64">
        <v>14.79</v>
      </c>
      <c r="D31" s="64">
        <v>24.66</v>
      </c>
      <c r="E31" s="64">
        <v>2.84</v>
      </c>
      <c r="F31" s="64">
        <v>0.17</v>
      </c>
      <c r="G31" s="64">
        <v>67.489999999999995</v>
      </c>
      <c r="H31" s="64">
        <v>23.91</v>
      </c>
      <c r="I31" s="64">
        <v>1.55</v>
      </c>
      <c r="J31" s="64">
        <v>0.2</v>
      </c>
      <c r="K31" s="64">
        <v>205.58</v>
      </c>
      <c r="L31" s="64">
        <v>20.43</v>
      </c>
      <c r="M31" s="64">
        <v>97.3</v>
      </c>
      <c r="N31" s="64">
        <v>8.9</v>
      </c>
      <c r="O31" s="64">
        <v>0</v>
      </c>
      <c r="P31" s="64">
        <v>0.82</v>
      </c>
      <c r="Q31" s="64">
        <v>407.34</v>
      </c>
      <c r="R31" s="198"/>
      <c r="S31" s="198"/>
      <c r="T31" s="198"/>
      <c r="U31" s="198"/>
    </row>
    <row r="32" spans="1:21" s="12" customFormat="1" x14ac:dyDescent="0.25">
      <c r="A32" s="214" t="s">
        <v>941</v>
      </c>
      <c r="B32" s="64">
        <v>20.07</v>
      </c>
      <c r="C32" s="64">
        <v>13.97</v>
      </c>
      <c r="D32" s="64">
        <v>25.09</v>
      </c>
      <c r="E32" s="64">
        <v>2.41</v>
      </c>
      <c r="F32" s="64">
        <v>0.44</v>
      </c>
      <c r="G32" s="64">
        <v>77.86</v>
      </c>
      <c r="H32" s="64">
        <v>24.57</v>
      </c>
      <c r="I32" s="64">
        <v>1.58</v>
      </c>
      <c r="J32" s="64">
        <v>0.32</v>
      </c>
      <c r="K32" s="64">
        <v>202.69</v>
      </c>
      <c r="L32" s="64">
        <v>20.48</v>
      </c>
      <c r="M32" s="64">
        <v>96.68</v>
      </c>
      <c r="N32" s="64">
        <v>14.9</v>
      </c>
      <c r="O32" s="64">
        <v>0</v>
      </c>
      <c r="P32" s="64">
        <v>0.81</v>
      </c>
      <c r="Q32" s="64">
        <v>425.34</v>
      </c>
      <c r="R32" s="198"/>
      <c r="S32" s="198"/>
      <c r="T32" s="198"/>
      <c r="U32" s="198"/>
    </row>
    <row r="33" spans="1:21" s="12" customFormat="1" x14ac:dyDescent="0.25">
      <c r="A33" s="214" t="s">
        <v>942</v>
      </c>
      <c r="B33" s="64">
        <v>20.54</v>
      </c>
      <c r="C33" s="64">
        <v>14.18</v>
      </c>
      <c r="D33" s="64">
        <v>25.59</v>
      </c>
      <c r="E33" s="64">
        <v>2.85</v>
      </c>
      <c r="F33" s="64">
        <v>0.17</v>
      </c>
      <c r="G33" s="64">
        <v>86.93</v>
      </c>
      <c r="H33" s="64">
        <v>25.09</v>
      </c>
      <c r="I33" s="64">
        <v>1.56</v>
      </c>
      <c r="J33" s="64">
        <v>0.08</v>
      </c>
      <c r="K33" s="64">
        <v>236.89</v>
      </c>
      <c r="L33" s="64">
        <v>20.34</v>
      </c>
      <c r="M33" s="64">
        <v>98.57</v>
      </c>
      <c r="N33" s="64">
        <v>31</v>
      </c>
      <c r="O33" s="64">
        <v>0</v>
      </c>
      <c r="P33" s="64">
        <v>0.78</v>
      </c>
      <c r="Q33" s="64">
        <v>438.05</v>
      </c>
      <c r="R33" s="198"/>
      <c r="S33" s="198"/>
      <c r="T33" s="198"/>
      <c r="U33" s="198"/>
    </row>
    <row r="34" spans="1:21" s="12" customFormat="1" x14ac:dyDescent="0.25">
      <c r="A34" s="214" t="s">
        <v>943</v>
      </c>
      <c r="B34" s="64">
        <v>20.68</v>
      </c>
      <c r="C34" s="64">
        <v>13.6</v>
      </c>
      <c r="D34" s="64">
        <v>25.38</v>
      </c>
      <c r="E34" s="64">
        <v>3.92</v>
      </c>
      <c r="F34" s="64">
        <v>0.47</v>
      </c>
      <c r="G34" s="64">
        <v>86.93</v>
      </c>
      <c r="H34" s="64">
        <v>25.09</v>
      </c>
      <c r="I34" s="64">
        <v>1.54</v>
      </c>
      <c r="J34" s="64">
        <v>0.11</v>
      </c>
      <c r="K34" s="64">
        <v>28.77</v>
      </c>
      <c r="L34" s="64">
        <v>20.55</v>
      </c>
      <c r="M34" s="64">
        <v>98.42</v>
      </c>
      <c r="N34" s="64">
        <v>69.900000000000006</v>
      </c>
      <c r="O34" s="64">
        <v>0</v>
      </c>
      <c r="P34" s="64">
        <v>0.76</v>
      </c>
      <c r="Q34" s="64">
        <v>448.98</v>
      </c>
      <c r="R34" s="198"/>
      <c r="S34" s="198"/>
      <c r="T34" s="198"/>
      <c r="U34" s="198"/>
    </row>
    <row r="35" spans="1:21" s="12" customFormat="1" x14ac:dyDescent="0.25">
      <c r="A35" s="214" t="s">
        <v>944</v>
      </c>
      <c r="B35" s="64">
        <v>20.8</v>
      </c>
      <c r="C35" s="64">
        <v>13.58</v>
      </c>
      <c r="D35" s="64">
        <v>25.46</v>
      </c>
      <c r="E35" s="64">
        <v>2.94</v>
      </c>
      <c r="F35" s="64">
        <v>0.43</v>
      </c>
      <c r="G35" s="64">
        <v>86.93</v>
      </c>
      <c r="H35" s="64">
        <v>25.09</v>
      </c>
      <c r="I35" s="64">
        <v>1.49</v>
      </c>
      <c r="J35" s="64">
        <v>0.17</v>
      </c>
      <c r="K35" s="64">
        <v>190.46</v>
      </c>
      <c r="L35" s="64">
        <v>21.56</v>
      </c>
      <c r="M35" s="64">
        <v>93.52</v>
      </c>
      <c r="N35" s="64">
        <v>128.30000000000001</v>
      </c>
      <c r="O35" s="64">
        <v>0</v>
      </c>
      <c r="P35" s="64">
        <v>0.76</v>
      </c>
      <c r="Q35" s="64">
        <v>436.6</v>
      </c>
      <c r="R35" s="198"/>
      <c r="S35" s="198"/>
      <c r="T35" s="198"/>
      <c r="U35" s="198"/>
    </row>
    <row r="36" spans="1:21" s="12" customFormat="1" x14ac:dyDescent="0.25">
      <c r="A36" s="214" t="s">
        <v>945</v>
      </c>
      <c r="B36" s="64">
        <v>20.84</v>
      </c>
      <c r="C36" s="64">
        <v>12.8</v>
      </c>
      <c r="D36" s="64">
        <v>25.07</v>
      </c>
      <c r="E36" s="64">
        <v>2.87</v>
      </c>
      <c r="F36" s="64">
        <v>0.2</v>
      </c>
      <c r="G36" s="64">
        <v>81.19</v>
      </c>
      <c r="H36" s="64">
        <v>22.57</v>
      </c>
      <c r="I36" s="64">
        <v>1.49</v>
      </c>
      <c r="J36" s="64">
        <v>0.24</v>
      </c>
      <c r="K36" s="64">
        <v>147.83000000000001</v>
      </c>
      <c r="L36" s="64">
        <v>22.87</v>
      </c>
      <c r="M36" s="64">
        <v>87.78</v>
      </c>
      <c r="N36" s="64">
        <v>188</v>
      </c>
      <c r="O36" s="64">
        <v>0</v>
      </c>
      <c r="P36" s="64">
        <v>0.71</v>
      </c>
      <c r="Q36" s="64">
        <v>388.41</v>
      </c>
      <c r="R36" s="198"/>
      <c r="S36" s="198"/>
      <c r="T36" s="198"/>
      <c r="U36" s="198"/>
    </row>
    <row r="37" spans="1:21" s="12" customFormat="1" x14ac:dyDescent="0.25">
      <c r="A37" s="214" t="s">
        <v>946</v>
      </c>
      <c r="B37" s="64">
        <v>21.18</v>
      </c>
      <c r="C37" s="64">
        <v>12.15</v>
      </c>
      <c r="D37" s="64">
        <v>24.99</v>
      </c>
      <c r="E37" s="64">
        <v>1.63</v>
      </c>
      <c r="F37" s="64">
        <v>0.66</v>
      </c>
      <c r="G37" s="64">
        <v>76.16</v>
      </c>
      <c r="H37" s="64">
        <v>21.55</v>
      </c>
      <c r="I37" s="64">
        <v>1.58</v>
      </c>
      <c r="J37" s="64">
        <v>0.33</v>
      </c>
      <c r="K37" s="64">
        <v>355.52</v>
      </c>
      <c r="L37" s="64">
        <v>24.86</v>
      </c>
      <c r="M37" s="64">
        <v>78.34</v>
      </c>
      <c r="N37" s="64">
        <v>244.9</v>
      </c>
      <c r="O37" s="64">
        <v>0</v>
      </c>
      <c r="P37" s="64">
        <v>0.78</v>
      </c>
      <c r="Q37" s="64">
        <v>349.37</v>
      </c>
      <c r="R37" s="198"/>
      <c r="S37" s="198"/>
      <c r="T37" s="198"/>
      <c r="U37" s="198"/>
    </row>
    <row r="38" spans="1:21" s="12" customFormat="1" x14ac:dyDescent="0.25">
      <c r="A38" s="214" t="s">
        <v>947</v>
      </c>
      <c r="B38" s="64">
        <v>22.29</v>
      </c>
      <c r="C38" s="64">
        <v>13.19</v>
      </c>
      <c r="D38" s="64">
        <v>26.45</v>
      </c>
      <c r="E38" s="64">
        <v>2.2400000000000002</v>
      </c>
      <c r="F38" s="64">
        <v>0.34</v>
      </c>
      <c r="G38" s="64">
        <v>76.16</v>
      </c>
      <c r="H38" s="64">
        <v>21.55</v>
      </c>
      <c r="I38" s="64">
        <v>1.43</v>
      </c>
      <c r="J38" s="64">
        <v>0.08</v>
      </c>
      <c r="K38" s="64">
        <v>92.05</v>
      </c>
      <c r="L38" s="64">
        <v>26.79</v>
      </c>
      <c r="M38" s="64">
        <v>67.2</v>
      </c>
      <c r="N38" s="64">
        <v>299</v>
      </c>
      <c r="O38" s="64">
        <v>0</v>
      </c>
      <c r="P38" s="64">
        <v>0.91</v>
      </c>
      <c r="Q38" s="64">
        <v>334.37</v>
      </c>
      <c r="R38" s="198"/>
      <c r="S38" s="198"/>
      <c r="T38" s="198"/>
      <c r="U38" s="198"/>
    </row>
    <row r="39" spans="1:21" s="12" customFormat="1" x14ac:dyDescent="0.25">
      <c r="A39" s="214" t="s">
        <v>948</v>
      </c>
      <c r="B39" s="64">
        <v>22.46</v>
      </c>
      <c r="C39" s="64">
        <v>13.12</v>
      </c>
      <c r="D39" s="64">
        <v>26.54</v>
      </c>
      <c r="E39" s="64">
        <v>2.02</v>
      </c>
      <c r="F39" s="64">
        <v>0.42</v>
      </c>
      <c r="G39" s="64">
        <v>76.16</v>
      </c>
      <c r="H39" s="64">
        <v>21.55</v>
      </c>
      <c r="I39" s="64">
        <v>1.51</v>
      </c>
      <c r="J39" s="64">
        <v>0.28999999999999998</v>
      </c>
      <c r="K39" s="64">
        <v>180.74</v>
      </c>
      <c r="L39" s="64">
        <v>25.05</v>
      </c>
      <c r="M39" s="64">
        <v>77.39</v>
      </c>
      <c r="N39" s="64">
        <v>352.8</v>
      </c>
      <c r="O39" s="64">
        <v>0</v>
      </c>
      <c r="P39" s="64">
        <v>0.84</v>
      </c>
      <c r="Q39" s="64">
        <v>330.8</v>
      </c>
      <c r="R39" s="198"/>
      <c r="S39" s="198"/>
      <c r="T39" s="198"/>
      <c r="U39" s="198"/>
    </row>
    <row r="40" spans="1:21" s="12" customFormat="1" x14ac:dyDescent="0.25">
      <c r="A40" s="214" t="s">
        <v>949</v>
      </c>
      <c r="B40" s="64">
        <v>21.78</v>
      </c>
      <c r="C40" s="64">
        <v>14.04</v>
      </c>
      <c r="D40" s="64">
        <v>26.51</v>
      </c>
      <c r="E40" s="64">
        <v>0.65</v>
      </c>
      <c r="F40" s="64">
        <v>0.36</v>
      </c>
      <c r="G40" s="64">
        <v>78.13</v>
      </c>
      <c r="H40" s="64">
        <v>23.98</v>
      </c>
      <c r="I40" s="64">
        <v>1.52</v>
      </c>
      <c r="J40" s="64">
        <v>0.43</v>
      </c>
      <c r="K40" s="64">
        <v>136.26</v>
      </c>
      <c r="L40" s="64">
        <v>26.2</v>
      </c>
      <c r="M40" s="64">
        <v>72.11</v>
      </c>
      <c r="N40" s="64">
        <v>401.2</v>
      </c>
      <c r="O40" s="64">
        <v>0</v>
      </c>
      <c r="P40" s="64">
        <v>0.82</v>
      </c>
      <c r="Q40" s="64">
        <v>325.45999999999998</v>
      </c>
      <c r="R40" s="198"/>
      <c r="S40" s="198"/>
      <c r="T40" s="198"/>
      <c r="U40" s="198"/>
    </row>
    <row r="41" spans="1:21" s="12" customFormat="1" x14ac:dyDescent="0.25">
      <c r="A41" s="214" t="s">
        <v>950</v>
      </c>
      <c r="B41" s="64">
        <v>20.99</v>
      </c>
      <c r="C41" s="64">
        <v>15.24</v>
      </c>
      <c r="D41" s="64">
        <v>26.54</v>
      </c>
      <c r="E41" s="64">
        <v>0.72</v>
      </c>
      <c r="F41" s="64">
        <v>0.37</v>
      </c>
      <c r="G41" s="64">
        <v>79.849999999999994</v>
      </c>
      <c r="H41" s="64">
        <v>24.96</v>
      </c>
      <c r="I41" s="64">
        <v>1.55</v>
      </c>
      <c r="J41" s="64">
        <v>0.48</v>
      </c>
      <c r="K41" s="64">
        <v>148.61000000000001</v>
      </c>
      <c r="L41" s="64">
        <v>26.41</v>
      </c>
      <c r="M41" s="64">
        <v>71.260000000000005</v>
      </c>
      <c r="N41" s="64">
        <v>456.2</v>
      </c>
      <c r="O41" s="64">
        <v>0</v>
      </c>
      <c r="P41" s="64">
        <v>0.83</v>
      </c>
      <c r="Q41" s="64">
        <v>379.65</v>
      </c>
      <c r="R41" s="198"/>
      <c r="S41" s="198"/>
      <c r="T41" s="198"/>
      <c r="U41" s="198"/>
    </row>
    <row r="42" spans="1:21" s="12" customFormat="1" x14ac:dyDescent="0.25">
      <c r="A42" s="214" t="s">
        <v>951</v>
      </c>
      <c r="B42" s="64">
        <v>19.78</v>
      </c>
      <c r="C42" s="64">
        <v>15.85</v>
      </c>
      <c r="D42" s="64">
        <v>25.9</v>
      </c>
      <c r="E42" s="64">
        <v>1.02</v>
      </c>
      <c r="F42" s="64">
        <v>0.66</v>
      </c>
      <c r="G42" s="64">
        <v>79.849999999999994</v>
      </c>
      <c r="H42" s="64">
        <v>24.96</v>
      </c>
      <c r="I42" s="64">
        <v>1.48</v>
      </c>
      <c r="J42" s="64">
        <v>0.05</v>
      </c>
      <c r="K42" s="64">
        <v>35.75</v>
      </c>
      <c r="L42" s="64">
        <v>27.59</v>
      </c>
      <c r="M42" s="64">
        <v>68.45</v>
      </c>
      <c r="N42" s="64">
        <v>503.3</v>
      </c>
      <c r="O42" s="64">
        <v>0</v>
      </c>
      <c r="P42" s="64">
        <v>0.81</v>
      </c>
      <c r="Q42" s="64">
        <v>402.44</v>
      </c>
      <c r="R42" s="198"/>
      <c r="S42" s="198"/>
      <c r="T42" s="198"/>
      <c r="U42" s="198"/>
    </row>
    <row r="43" spans="1:21" s="12" customFormat="1" x14ac:dyDescent="0.25">
      <c r="A43" s="214" t="s">
        <v>952</v>
      </c>
      <c r="B43" s="64">
        <v>18.95</v>
      </c>
      <c r="C43" s="64">
        <v>16.43</v>
      </c>
      <c r="D43" s="64">
        <v>25.56</v>
      </c>
      <c r="E43" s="64">
        <v>0.63</v>
      </c>
      <c r="F43" s="64">
        <v>0.26</v>
      </c>
      <c r="G43" s="64">
        <v>79.849999999999994</v>
      </c>
      <c r="H43" s="64">
        <v>24.96</v>
      </c>
      <c r="I43" s="64">
        <v>1.47</v>
      </c>
      <c r="J43" s="64">
        <v>0.28000000000000003</v>
      </c>
      <c r="K43" s="64">
        <v>351.48</v>
      </c>
      <c r="L43" s="64">
        <v>28.88</v>
      </c>
      <c r="M43" s="64">
        <v>64.47</v>
      </c>
      <c r="N43" s="64">
        <v>551.20000000000005</v>
      </c>
      <c r="O43" s="64">
        <v>0</v>
      </c>
      <c r="P43" s="64">
        <v>0.81</v>
      </c>
      <c r="Q43" s="64">
        <v>415.66</v>
      </c>
      <c r="R43" s="198"/>
      <c r="S43" s="198"/>
      <c r="T43" s="198"/>
      <c r="U43" s="198"/>
    </row>
    <row r="44" spans="1:21" s="12" customFormat="1" x14ac:dyDescent="0.25">
      <c r="A44" s="214" t="s">
        <v>953</v>
      </c>
      <c r="B44" s="64">
        <v>17.940000000000001</v>
      </c>
      <c r="C44" s="64">
        <v>15.83</v>
      </c>
      <c r="D44" s="64">
        <v>24.41</v>
      </c>
      <c r="E44" s="64">
        <v>0.88</v>
      </c>
      <c r="F44" s="64">
        <v>0.62</v>
      </c>
      <c r="G44" s="64">
        <v>83.63</v>
      </c>
      <c r="H44" s="64">
        <v>23.7</v>
      </c>
      <c r="I44" s="64">
        <v>1.48</v>
      </c>
      <c r="J44" s="64">
        <v>0.4</v>
      </c>
      <c r="K44" s="64">
        <v>342.67</v>
      </c>
      <c r="L44" s="64">
        <v>29.8</v>
      </c>
      <c r="M44" s="64">
        <v>60.79</v>
      </c>
      <c r="N44" s="64">
        <v>604.20000000000005</v>
      </c>
      <c r="O44" s="64">
        <v>0</v>
      </c>
      <c r="P44" s="64">
        <v>0.84</v>
      </c>
      <c r="Q44" s="64">
        <v>417.72</v>
      </c>
      <c r="R44" s="198"/>
      <c r="S44" s="198"/>
      <c r="T44" s="198"/>
      <c r="U44" s="198"/>
    </row>
    <row r="45" spans="1:21" s="12" customFormat="1" x14ac:dyDescent="0.25">
      <c r="A45" s="214" t="s">
        <v>954</v>
      </c>
      <c r="B45" s="64">
        <v>16.66</v>
      </c>
      <c r="C45" s="64">
        <v>17.649999999999999</v>
      </c>
      <c r="D45" s="64">
        <v>24.39</v>
      </c>
      <c r="E45" s="64">
        <v>0.86</v>
      </c>
      <c r="F45" s="64">
        <v>0.26</v>
      </c>
      <c r="G45" s="64">
        <v>86.94</v>
      </c>
      <c r="H45" s="64">
        <v>23.19</v>
      </c>
      <c r="I45" s="64">
        <v>1.49</v>
      </c>
      <c r="J45" s="64">
        <v>0.8</v>
      </c>
      <c r="K45" s="64">
        <v>331.21</v>
      </c>
      <c r="L45" s="64">
        <v>29.98</v>
      </c>
      <c r="M45" s="64">
        <v>59.52</v>
      </c>
      <c r="N45" s="64">
        <v>654.70000000000005</v>
      </c>
      <c r="O45" s="64">
        <v>0</v>
      </c>
      <c r="P45" s="64">
        <v>0.84</v>
      </c>
      <c r="Q45" s="64">
        <v>419.43</v>
      </c>
      <c r="R45" s="198"/>
      <c r="S45" s="198"/>
      <c r="T45" s="198"/>
      <c r="U45" s="198"/>
    </row>
    <row r="46" spans="1:21" s="12" customFormat="1" x14ac:dyDescent="0.25">
      <c r="A46" s="214" t="s">
        <v>955</v>
      </c>
      <c r="B46" s="64">
        <v>15.42</v>
      </c>
      <c r="C46" s="64">
        <v>18.3</v>
      </c>
      <c r="D46" s="64">
        <v>23.76</v>
      </c>
      <c r="E46" s="64">
        <v>0.79</v>
      </c>
      <c r="F46" s="64">
        <v>0.93</v>
      </c>
      <c r="G46" s="64">
        <v>86.94</v>
      </c>
      <c r="H46" s="64">
        <v>23.19</v>
      </c>
      <c r="I46" s="64">
        <v>1.49</v>
      </c>
      <c r="J46" s="64">
        <v>0.63</v>
      </c>
      <c r="K46" s="64">
        <v>331.15</v>
      </c>
      <c r="L46" s="64">
        <v>30.29</v>
      </c>
      <c r="M46" s="64">
        <v>57.9</v>
      </c>
      <c r="N46" s="64">
        <v>691.3</v>
      </c>
      <c r="O46" s="64">
        <v>0</v>
      </c>
      <c r="P46" s="64">
        <v>0.85</v>
      </c>
      <c r="Q46" s="64">
        <v>413.37</v>
      </c>
      <c r="R46" s="198"/>
      <c r="S46" s="198"/>
      <c r="T46" s="198"/>
      <c r="U46" s="198"/>
    </row>
    <row r="47" spans="1:21" s="12" customFormat="1" x14ac:dyDescent="0.25">
      <c r="A47" s="214" t="s">
        <v>956</v>
      </c>
      <c r="B47" s="64">
        <v>13.46</v>
      </c>
      <c r="C47" s="64">
        <v>19.61</v>
      </c>
      <c r="D47" s="64">
        <v>22.91</v>
      </c>
      <c r="E47" s="64">
        <v>1.18</v>
      </c>
      <c r="F47" s="64">
        <v>0.34</v>
      </c>
      <c r="G47" s="64">
        <v>86.94</v>
      </c>
      <c r="H47" s="64">
        <v>23.19</v>
      </c>
      <c r="I47" s="64">
        <v>1.49</v>
      </c>
      <c r="J47" s="64">
        <v>0.31</v>
      </c>
      <c r="K47" s="64">
        <v>346.26</v>
      </c>
      <c r="L47" s="64">
        <v>31.84</v>
      </c>
      <c r="M47" s="64">
        <v>50.26</v>
      </c>
      <c r="N47" s="64">
        <v>724.3</v>
      </c>
      <c r="O47" s="64">
        <v>0</v>
      </c>
      <c r="P47" s="64">
        <v>0.82</v>
      </c>
      <c r="Q47" s="64">
        <v>419.17</v>
      </c>
      <c r="R47" s="198"/>
      <c r="S47" s="198"/>
      <c r="T47" s="198"/>
      <c r="U47" s="198"/>
    </row>
    <row r="48" spans="1:21" s="12" customFormat="1" x14ac:dyDescent="0.25">
      <c r="A48" s="214" t="s">
        <v>957</v>
      </c>
      <c r="B48" s="64">
        <v>11.74</v>
      </c>
      <c r="C48" s="64">
        <v>20.74</v>
      </c>
      <c r="D48" s="64">
        <v>22.15</v>
      </c>
      <c r="E48" s="64">
        <v>1.0900000000000001</v>
      </c>
      <c r="F48" s="64">
        <v>0.35</v>
      </c>
      <c r="G48" s="64">
        <v>86.97</v>
      </c>
      <c r="H48" s="64">
        <v>25.92</v>
      </c>
      <c r="I48" s="64">
        <v>1.49</v>
      </c>
      <c r="J48" s="64">
        <v>0.35</v>
      </c>
      <c r="K48" s="64">
        <v>336.71</v>
      </c>
      <c r="L48" s="64">
        <v>33.82</v>
      </c>
      <c r="M48" s="64">
        <v>44.15</v>
      </c>
      <c r="N48" s="64">
        <v>756.6</v>
      </c>
      <c r="O48" s="64">
        <v>0</v>
      </c>
      <c r="P48" s="64">
        <v>0.81</v>
      </c>
      <c r="Q48" s="64">
        <v>360.03</v>
      </c>
      <c r="R48" s="198"/>
      <c r="S48" s="198"/>
      <c r="T48" s="198"/>
      <c r="U48" s="198"/>
    </row>
    <row r="49" spans="1:21" s="12" customFormat="1" x14ac:dyDescent="0.25">
      <c r="A49" s="214" t="s">
        <v>958</v>
      </c>
      <c r="B49" s="64">
        <v>10.31</v>
      </c>
      <c r="C49" s="64">
        <v>20.05</v>
      </c>
      <c r="D49" s="64">
        <v>20.62</v>
      </c>
      <c r="E49" s="64">
        <v>1.17</v>
      </c>
      <c r="F49" s="64">
        <v>0.74</v>
      </c>
      <c r="G49" s="64">
        <v>87</v>
      </c>
      <c r="H49" s="64">
        <v>27</v>
      </c>
      <c r="I49" s="64">
        <v>1.45</v>
      </c>
      <c r="J49" s="64">
        <v>0.68</v>
      </c>
      <c r="K49" s="64">
        <v>330.21</v>
      </c>
      <c r="L49" s="64">
        <v>34.979999999999997</v>
      </c>
      <c r="M49" s="64">
        <v>40.28</v>
      </c>
      <c r="N49" s="64">
        <v>800.2</v>
      </c>
      <c r="O49" s="64">
        <v>0</v>
      </c>
      <c r="P49" s="64">
        <v>0.84</v>
      </c>
      <c r="Q49" s="64">
        <v>326.89999999999998</v>
      </c>
      <c r="R49" s="198"/>
      <c r="S49" s="198"/>
      <c r="T49" s="198"/>
      <c r="U49" s="198"/>
    </row>
    <row r="50" spans="1:21" s="12" customFormat="1" x14ac:dyDescent="0.25">
      <c r="A50" s="214" t="s">
        <v>959</v>
      </c>
      <c r="B50" s="64">
        <v>9.1300000000000008</v>
      </c>
      <c r="C50" s="64">
        <v>21.56</v>
      </c>
      <c r="D50" s="64">
        <v>20.51</v>
      </c>
      <c r="E50" s="64">
        <v>1.48</v>
      </c>
      <c r="F50" s="64">
        <v>0.33</v>
      </c>
      <c r="G50" s="64">
        <v>87</v>
      </c>
      <c r="H50" s="64">
        <v>27</v>
      </c>
      <c r="I50" s="64">
        <v>1.52</v>
      </c>
      <c r="J50" s="64">
        <v>0.7</v>
      </c>
      <c r="K50" s="64">
        <v>333.11</v>
      </c>
      <c r="L50" s="64">
        <v>35.93</v>
      </c>
      <c r="M50" s="64">
        <v>36.94</v>
      </c>
      <c r="N50" s="64">
        <v>819.5</v>
      </c>
      <c r="O50" s="64">
        <v>0</v>
      </c>
      <c r="P50" s="64">
        <v>0.84</v>
      </c>
      <c r="Q50" s="64">
        <v>327.16000000000003</v>
      </c>
      <c r="R50" s="198"/>
      <c r="S50" s="198"/>
      <c r="T50" s="198"/>
      <c r="U50" s="198"/>
    </row>
    <row r="51" spans="1:21" s="12" customFormat="1" x14ac:dyDescent="0.25">
      <c r="A51" s="214" t="s">
        <v>960</v>
      </c>
      <c r="B51" s="64">
        <v>8.35</v>
      </c>
      <c r="C51" s="64">
        <v>20.82</v>
      </c>
      <c r="D51" s="64">
        <v>19.48</v>
      </c>
      <c r="E51" s="64">
        <v>1.21</v>
      </c>
      <c r="F51" s="64">
        <v>0.85</v>
      </c>
      <c r="G51" s="64">
        <v>87</v>
      </c>
      <c r="H51" s="64">
        <v>27</v>
      </c>
      <c r="I51" s="64">
        <v>1.45</v>
      </c>
      <c r="J51" s="64">
        <v>0.83</v>
      </c>
      <c r="K51" s="64">
        <v>343.72</v>
      </c>
      <c r="L51" s="64">
        <v>35.53</v>
      </c>
      <c r="M51" s="64">
        <v>37.94</v>
      </c>
      <c r="N51" s="64">
        <v>841</v>
      </c>
      <c r="O51" s="64">
        <v>0</v>
      </c>
      <c r="P51" s="64">
        <v>0.83</v>
      </c>
      <c r="Q51" s="64">
        <v>300.27</v>
      </c>
      <c r="R51" s="198"/>
      <c r="S51" s="198"/>
      <c r="T51" s="198"/>
      <c r="U51" s="198"/>
    </row>
    <row r="52" spans="1:21" s="12" customFormat="1" x14ac:dyDescent="0.25">
      <c r="A52" s="214" t="s">
        <v>961</v>
      </c>
      <c r="B52" s="64">
        <v>7.43</v>
      </c>
      <c r="C52" s="64">
        <v>20.7</v>
      </c>
      <c r="D52" s="64">
        <v>18.670000000000002</v>
      </c>
      <c r="E52" s="64">
        <v>1.27</v>
      </c>
      <c r="F52" s="64">
        <v>0.87</v>
      </c>
      <c r="G52" s="64">
        <v>86.67</v>
      </c>
      <c r="H52" s="64">
        <v>26.58</v>
      </c>
      <c r="I52" s="64">
        <v>1.47</v>
      </c>
      <c r="J52" s="64">
        <v>0.48</v>
      </c>
      <c r="K52" s="64">
        <v>330.5</v>
      </c>
      <c r="L52" s="64">
        <v>35.64</v>
      </c>
      <c r="M52" s="64">
        <v>36.200000000000003</v>
      </c>
      <c r="N52" s="64">
        <v>848.7</v>
      </c>
      <c r="O52" s="64">
        <v>0</v>
      </c>
      <c r="P52" s="64">
        <v>0.85</v>
      </c>
      <c r="Q52" s="64">
        <v>324.52999999999997</v>
      </c>
      <c r="R52" s="198"/>
      <c r="S52" s="198"/>
      <c r="T52" s="198"/>
      <c r="U52" s="198"/>
    </row>
    <row r="53" spans="1:21" s="12" customFormat="1" x14ac:dyDescent="0.25">
      <c r="A53" s="214" t="s">
        <v>962</v>
      </c>
      <c r="B53" s="64">
        <v>6.16</v>
      </c>
      <c r="C53" s="64">
        <v>22.24</v>
      </c>
      <c r="D53" s="64">
        <v>18.510000000000002</v>
      </c>
      <c r="E53" s="64">
        <v>0.99</v>
      </c>
      <c r="F53" s="64">
        <v>0.69</v>
      </c>
      <c r="G53" s="64">
        <v>86.38</v>
      </c>
      <c r="H53" s="64">
        <v>26.41</v>
      </c>
      <c r="I53" s="64">
        <v>1.48</v>
      </c>
      <c r="J53" s="64">
        <v>0.3</v>
      </c>
      <c r="K53" s="64">
        <v>338.34</v>
      </c>
      <c r="L53" s="64">
        <v>35.450000000000003</v>
      </c>
      <c r="M53" s="64">
        <v>35.68</v>
      </c>
      <c r="N53" s="64">
        <v>861.7</v>
      </c>
      <c r="O53" s="64">
        <v>0</v>
      </c>
      <c r="P53" s="64">
        <v>0.81</v>
      </c>
      <c r="Q53" s="64">
        <v>357.03</v>
      </c>
      <c r="R53" s="198"/>
      <c r="S53" s="198"/>
      <c r="T53" s="198"/>
      <c r="U53" s="198"/>
    </row>
    <row r="54" spans="1:21" s="12" customFormat="1" x14ac:dyDescent="0.25">
      <c r="A54" s="214" t="s">
        <v>963</v>
      </c>
      <c r="B54" s="64">
        <v>4.46</v>
      </c>
      <c r="C54" s="64">
        <v>22.35</v>
      </c>
      <c r="D54" s="64">
        <v>17.2</v>
      </c>
      <c r="E54" s="64">
        <v>0.7</v>
      </c>
      <c r="F54" s="64">
        <v>1.2</v>
      </c>
      <c r="G54" s="64">
        <v>86.38</v>
      </c>
      <c r="H54" s="64">
        <v>26.41</v>
      </c>
      <c r="I54" s="64">
        <v>1.48</v>
      </c>
      <c r="J54" s="64">
        <v>0.53</v>
      </c>
      <c r="K54" s="64">
        <v>326.05</v>
      </c>
      <c r="L54" s="64">
        <v>34.9</v>
      </c>
      <c r="M54" s="64">
        <v>36.130000000000003</v>
      </c>
      <c r="N54" s="64">
        <v>875.8</v>
      </c>
      <c r="O54" s="64">
        <v>0</v>
      </c>
      <c r="P54" s="64">
        <v>0.79</v>
      </c>
      <c r="Q54" s="64">
        <v>361.21</v>
      </c>
      <c r="R54" s="198"/>
      <c r="S54" s="198"/>
      <c r="T54" s="198"/>
      <c r="U54" s="198"/>
    </row>
    <row r="55" spans="1:21" s="12" customFormat="1" x14ac:dyDescent="0.25">
      <c r="A55" s="214" t="s">
        <v>964</v>
      </c>
      <c r="B55" s="64">
        <v>3.38</v>
      </c>
      <c r="C55" s="64">
        <v>20.83</v>
      </c>
      <c r="D55" s="64">
        <v>15.5</v>
      </c>
      <c r="E55" s="64">
        <v>1.19</v>
      </c>
      <c r="F55" s="64">
        <v>1.7</v>
      </c>
      <c r="G55" s="64">
        <v>86.38</v>
      </c>
      <c r="H55" s="64">
        <v>26.41</v>
      </c>
      <c r="I55" s="64">
        <v>1.53</v>
      </c>
      <c r="J55" s="64">
        <v>0.59</v>
      </c>
      <c r="K55" s="64">
        <v>321.10000000000002</v>
      </c>
      <c r="L55" s="64">
        <v>35.58</v>
      </c>
      <c r="M55" s="64">
        <v>34.21</v>
      </c>
      <c r="N55" s="64">
        <v>868.4</v>
      </c>
      <c r="O55" s="64">
        <v>0</v>
      </c>
      <c r="P55" s="64">
        <v>0.78</v>
      </c>
      <c r="Q55" s="64">
        <v>384.04</v>
      </c>
      <c r="R55" s="198"/>
      <c r="S55" s="198"/>
      <c r="T55" s="198"/>
      <c r="U55" s="198"/>
    </row>
    <row r="56" spans="1:21" s="12" customFormat="1" x14ac:dyDescent="0.25">
      <c r="A56" s="214" t="s">
        <v>965</v>
      </c>
      <c r="B56" s="64">
        <v>2.85</v>
      </c>
      <c r="C56" s="64">
        <v>20.49</v>
      </c>
      <c r="D56" s="64">
        <v>14.88</v>
      </c>
      <c r="E56" s="64">
        <v>1.66</v>
      </c>
      <c r="F56" s="64">
        <v>1.32</v>
      </c>
      <c r="G56" s="64">
        <v>82.55</v>
      </c>
      <c r="H56" s="64">
        <v>24.52</v>
      </c>
      <c r="I56" s="64">
        <v>1.49</v>
      </c>
      <c r="J56" s="64">
        <v>0.19</v>
      </c>
      <c r="K56" s="64">
        <v>357.94</v>
      </c>
      <c r="L56" s="64">
        <v>33.880000000000003</v>
      </c>
      <c r="M56" s="64">
        <v>36.549999999999997</v>
      </c>
      <c r="N56" s="64">
        <v>866.3</v>
      </c>
      <c r="O56" s="64">
        <v>0</v>
      </c>
      <c r="P56" s="64">
        <v>0.75</v>
      </c>
      <c r="Q56" s="64">
        <v>383.91</v>
      </c>
      <c r="R56" s="198"/>
      <c r="S56" s="198"/>
      <c r="T56" s="198"/>
      <c r="U56" s="198"/>
    </row>
    <row r="57" spans="1:21" s="12" customFormat="1" x14ac:dyDescent="0.25">
      <c r="A57" s="214" t="s">
        <v>966</v>
      </c>
      <c r="B57" s="64">
        <v>2.35</v>
      </c>
      <c r="C57" s="64">
        <v>19.059999999999999</v>
      </c>
      <c r="D57" s="64">
        <v>13.7</v>
      </c>
      <c r="E57" s="64">
        <v>1.94</v>
      </c>
      <c r="F57" s="64">
        <v>1.93</v>
      </c>
      <c r="G57" s="64">
        <v>79.2</v>
      </c>
      <c r="H57" s="64">
        <v>22.95</v>
      </c>
      <c r="I57" s="64">
        <v>1.48</v>
      </c>
      <c r="J57" s="64">
        <v>0.59</v>
      </c>
      <c r="K57" s="64">
        <v>335.7</v>
      </c>
      <c r="L57" s="64">
        <v>33.86</v>
      </c>
      <c r="M57" s="64">
        <v>36.72</v>
      </c>
      <c r="N57" s="64">
        <v>823.4</v>
      </c>
      <c r="O57" s="64">
        <v>0</v>
      </c>
      <c r="P57" s="64">
        <v>0.72</v>
      </c>
      <c r="Q57" s="64">
        <v>375.28</v>
      </c>
      <c r="R57" s="198"/>
      <c r="S57" s="198"/>
      <c r="T57" s="198"/>
      <c r="U57" s="198"/>
    </row>
    <row r="58" spans="1:21" s="12" customFormat="1" x14ac:dyDescent="0.25">
      <c r="A58" s="214" t="s">
        <v>967</v>
      </c>
      <c r="B58" s="64">
        <v>2.21</v>
      </c>
      <c r="C58" s="64">
        <v>18.32</v>
      </c>
      <c r="D58" s="64">
        <v>13.18</v>
      </c>
      <c r="E58" s="64">
        <v>1.69</v>
      </c>
      <c r="F58" s="64">
        <v>1.92</v>
      </c>
      <c r="G58" s="64">
        <v>79.2</v>
      </c>
      <c r="H58" s="64">
        <v>22.95</v>
      </c>
      <c r="I58" s="64">
        <v>1.51</v>
      </c>
      <c r="J58" s="64">
        <v>0.71</v>
      </c>
      <c r="K58" s="64">
        <v>338.2</v>
      </c>
      <c r="L58" s="64">
        <v>34.9</v>
      </c>
      <c r="M58" s="64">
        <v>34.1</v>
      </c>
      <c r="N58" s="64">
        <v>825.2</v>
      </c>
      <c r="O58" s="64">
        <v>0</v>
      </c>
      <c r="P58" s="64">
        <v>0.71</v>
      </c>
      <c r="Q58" s="64">
        <v>389.75</v>
      </c>
      <c r="R58" s="198"/>
      <c r="S58" s="198"/>
      <c r="T58" s="198"/>
      <c r="U58" s="198"/>
    </row>
    <row r="59" spans="1:21" s="12" customFormat="1" x14ac:dyDescent="0.25">
      <c r="A59" s="214" t="s">
        <v>968</v>
      </c>
      <c r="B59" s="64">
        <v>2.39</v>
      </c>
      <c r="C59" s="64">
        <v>18.57</v>
      </c>
      <c r="D59" s="64">
        <v>13.46</v>
      </c>
      <c r="E59" s="64">
        <v>1.27</v>
      </c>
      <c r="F59" s="64">
        <v>1.65</v>
      </c>
      <c r="G59" s="64">
        <v>79.2</v>
      </c>
      <c r="H59" s="64">
        <v>22.95</v>
      </c>
      <c r="I59" s="64">
        <v>1.48</v>
      </c>
      <c r="J59" s="64">
        <v>1.28</v>
      </c>
      <c r="K59" s="64">
        <v>336.39</v>
      </c>
      <c r="L59" s="64">
        <v>35.340000000000003</v>
      </c>
      <c r="M59" s="64">
        <v>31.03</v>
      </c>
      <c r="N59" s="64">
        <v>839.8</v>
      </c>
      <c r="O59" s="64">
        <v>0</v>
      </c>
      <c r="P59" s="64">
        <v>0.68</v>
      </c>
      <c r="Q59" s="64">
        <v>370.16</v>
      </c>
      <c r="R59" s="198"/>
      <c r="S59" s="198"/>
      <c r="T59" s="198"/>
      <c r="U59" s="198"/>
    </row>
    <row r="60" spans="1:21" s="12" customFormat="1" x14ac:dyDescent="0.25">
      <c r="A60" s="214" t="s">
        <v>969</v>
      </c>
      <c r="B60" s="64">
        <v>2.76</v>
      </c>
      <c r="C60" s="64">
        <v>18.600000000000001</v>
      </c>
      <c r="D60" s="64">
        <v>13.77</v>
      </c>
      <c r="E60" s="64">
        <v>1.61</v>
      </c>
      <c r="F60" s="64">
        <v>1.56</v>
      </c>
      <c r="G60" s="64">
        <v>68.42</v>
      </c>
      <c r="H60" s="64">
        <v>20.76</v>
      </c>
      <c r="I60" s="64">
        <v>1.48</v>
      </c>
      <c r="J60" s="64">
        <v>1.06</v>
      </c>
      <c r="K60" s="64">
        <v>333.2</v>
      </c>
      <c r="L60" s="64">
        <v>35.54</v>
      </c>
      <c r="M60" s="64">
        <v>30.19</v>
      </c>
      <c r="N60" s="64">
        <v>801</v>
      </c>
      <c r="O60" s="64">
        <v>0</v>
      </c>
      <c r="P60" s="64">
        <v>0.66</v>
      </c>
      <c r="Q60" s="64">
        <v>315.91000000000003</v>
      </c>
      <c r="R60" s="198"/>
      <c r="S60" s="198"/>
      <c r="T60" s="198"/>
      <c r="U60" s="198"/>
    </row>
    <row r="61" spans="1:21" s="12" customFormat="1" x14ac:dyDescent="0.25">
      <c r="A61" s="214" t="s">
        <v>970</v>
      </c>
      <c r="B61" s="64">
        <v>3.03</v>
      </c>
      <c r="C61" s="64">
        <v>18.39</v>
      </c>
      <c r="D61" s="64">
        <v>13.88</v>
      </c>
      <c r="E61" s="64">
        <v>1.3</v>
      </c>
      <c r="F61" s="64">
        <v>1.84</v>
      </c>
      <c r="G61" s="64">
        <v>58.99</v>
      </c>
      <c r="H61" s="64">
        <v>19.89</v>
      </c>
      <c r="I61" s="64">
        <v>1.47</v>
      </c>
      <c r="J61" s="64">
        <v>0.67</v>
      </c>
      <c r="K61" s="64">
        <v>340.1</v>
      </c>
      <c r="L61" s="64">
        <v>35.04</v>
      </c>
      <c r="M61" s="64">
        <v>30.65</v>
      </c>
      <c r="N61" s="64">
        <v>732.3</v>
      </c>
      <c r="O61" s="64">
        <v>0</v>
      </c>
      <c r="P61" s="64">
        <v>0.6</v>
      </c>
      <c r="Q61" s="64">
        <v>289.86</v>
      </c>
      <c r="R61" s="198"/>
      <c r="S61" s="198"/>
      <c r="T61" s="198"/>
      <c r="U61" s="198"/>
    </row>
    <row r="62" spans="1:21" s="12" customFormat="1" x14ac:dyDescent="0.25">
      <c r="A62" s="214" t="s">
        <v>971</v>
      </c>
      <c r="B62" s="64">
        <v>3.26</v>
      </c>
      <c r="C62" s="64">
        <v>19.37</v>
      </c>
      <c r="D62" s="64">
        <v>14.59</v>
      </c>
      <c r="E62" s="64">
        <v>1.18</v>
      </c>
      <c r="F62" s="64">
        <v>1.1000000000000001</v>
      </c>
      <c r="G62" s="64">
        <v>58.99</v>
      </c>
      <c r="H62" s="64">
        <v>19.89</v>
      </c>
      <c r="I62" s="64">
        <v>1.39</v>
      </c>
      <c r="J62" s="64">
        <v>1.05</v>
      </c>
      <c r="K62" s="64">
        <v>328.74</v>
      </c>
      <c r="L62" s="64">
        <v>35.19</v>
      </c>
      <c r="M62" s="64">
        <v>30.53</v>
      </c>
      <c r="N62" s="64">
        <v>719.3</v>
      </c>
      <c r="O62" s="64">
        <v>0</v>
      </c>
      <c r="P62" s="64">
        <v>0.71</v>
      </c>
      <c r="Q62" s="64">
        <v>285.22000000000003</v>
      </c>
      <c r="R62" s="198"/>
      <c r="S62" s="198"/>
      <c r="T62" s="198"/>
      <c r="U62" s="198"/>
    </row>
    <row r="63" spans="1:21" s="12" customFormat="1" x14ac:dyDescent="0.25">
      <c r="A63" s="214" t="s">
        <v>972</v>
      </c>
      <c r="B63" s="64">
        <v>3.36</v>
      </c>
      <c r="C63" s="64">
        <v>18.48</v>
      </c>
      <c r="D63" s="64">
        <v>14.19</v>
      </c>
      <c r="E63" s="64">
        <v>3.44</v>
      </c>
      <c r="F63" s="64">
        <v>1.08</v>
      </c>
      <c r="G63" s="64">
        <v>58.99</v>
      </c>
      <c r="H63" s="64">
        <v>19.89</v>
      </c>
      <c r="I63" s="64">
        <v>1.53</v>
      </c>
      <c r="J63" s="64">
        <v>1.02</v>
      </c>
      <c r="K63" s="64">
        <v>333.5</v>
      </c>
      <c r="L63" s="64">
        <v>34.92</v>
      </c>
      <c r="M63" s="64">
        <v>29.9</v>
      </c>
      <c r="N63" s="64">
        <v>692.4</v>
      </c>
      <c r="O63" s="64">
        <v>0</v>
      </c>
      <c r="P63" s="64">
        <v>0.63</v>
      </c>
      <c r="Q63" s="64">
        <v>275.56</v>
      </c>
      <c r="R63" s="198"/>
      <c r="S63" s="198"/>
      <c r="T63" s="198"/>
      <c r="U63" s="198"/>
    </row>
    <row r="64" spans="1:21" s="12" customFormat="1" x14ac:dyDescent="0.25">
      <c r="A64" s="214" t="s">
        <v>973</v>
      </c>
      <c r="B64" s="64">
        <v>3.35</v>
      </c>
      <c r="C64" s="64">
        <v>18.100000000000001</v>
      </c>
      <c r="D64" s="64">
        <v>13.97</v>
      </c>
      <c r="E64" s="64">
        <v>2.48</v>
      </c>
      <c r="F64" s="64">
        <v>1.31</v>
      </c>
      <c r="G64" s="64">
        <v>64.91</v>
      </c>
      <c r="H64" s="64">
        <v>20.45</v>
      </c>
      <c r="I64" s="64">
        <v>1.52</v>
      </c>
      <c r="J64" s="64">
        <v>1</v>
      </c>
      <c r="K64" s="64">
        <v>335.89</v>
      </c>
      <c r="L64" s="64">
        <v>34.630000000000003</v>
      </c>
      <c r="M64" s="64">
        <v>29.67</v>
      </c>
      <c r="N64" s="64">
        <v>315.60000000000002</v>
      </c>
      <c r="O64" s="64">
        <v>0</v>
      </c>
      <c r="P64" s="64">
        <v>0.69</v>
      </c>
      <c r="Q64" s="64">
        <v>304.58</v>
      </c>
      <c r="R64" s="198"/>
      <c r="S64" s="198"/>
      <c r="T64" s="198"/>
      <c r="U64" s="198"/>
    </row>
    <row r="65" spans="1:21" s="12" customFormat="1" x14ac:dyDescent="0.25">
      <c r="A65" s="214" t="s">
        <v>974</v>
      </c>
      <c r="B65" s="64">
        <v>3.29</v>
      </c>
      <c r="C65" s="64">
        <v>19.53</v>
      </c>
      <c r="D65" s="64">
        <v>14.71</v>
      </c>
      <c r="E65" s="64">
        <v>1.87</v>
      </c>
      <c r="F65" s="64">
        <v>0.82</v>
      </c>
      <c r="G65" s="64">
        <v>70.08</v>
      </c>
      <c r="H65" s="64">
        <v>20.68</v>
      </c>
      <c r="I65" s="64">
        <v>1.52</v>
      </c>
      <c r="J65" s="64">
        <v>0.81</v>
      </c>
      <c r="K65" s="64">
        <v>333.32</v>
      </c>
      <c r="L65" s="64">
        <v>34.03</v>
      </c>
      <c r="M65" s="64">
        <v>31</v>
      </c>
      <c r="N65" s="64">
        <v>203.7</v>
      </c>
      <c r="O65" s="64">
        <v>0</v>
      </c>
      <c r="P65" s="64">
        <v>0.66</v>
      </c>
      <c r="Q65" s="64">
        <v>337.54</v>
      </c>
      <c r="R65" s="198"/>
      <c r="S65" s="198"/>
      <c r="T65" s="198"/>
      <c r="U65" s="198"/>
    </row>
    <row r="66" spans="1:21" s="12" customFormat="1" x14ac:dyDescent="0.25">
      <c r="A66" s="214" t="s">
        <v>975</v>
      </c>
      <c r="B66" s="64">
        <v>3.17</v>
      </c>
      <c r="C66" s="64">
        <v>19.2</v>
      </c>
      <c r="D66" s="64">
        <v>14.43</v>
      </c>
      <c r="E66" s="64">
        <v>1.57</v>
      </c>
      <c r="F66" s="64">
        <v>1.32</v>
      </c>
      <c r="G66" s="64">
        <v>70.08</v>
      </c>
      <c r="H66" s="64">
        <v>20.68</v>
      </c>
      <c r="I66" s="64">
        <v>1.53</v>
      </c>
      <c r="J66" s="64">
        <v>0.79</v>
      </c>
      <c r="K66" s="64">
        <v>338.42</v>
      </c>
      <c r="L66" s="64">
        <v>33.450000000000003</v>
      </c>
      <c r="M66" s="64">
        <v>31.76</v>
      </c>
      <c r="N66" s="64">
        <v>203.9</v>
      </c>
      <c r="O66" s="64">
        <v>0</v>
      </c>
      <c r="P66" s="64">
        <v>0.63</v>
      </c>
      <c r="Q66" s="64">
        <v>338.64</v>
      </c>
      <c r="R66" s="198"/>
      <c r="S66" s="198"/>
      <c r="T66" s="198"/>
      <c r="U66" s="198"/>
    </row>
    <row r="67" spans="1:21" s="12" customFormat="1" x14ac:dyDescent="0.25">
      <c r="A67" s="214" t="s">
        <v>976</v>
      </c>
      <c r="B67" s="64">
        <v>3.16</v>
      </c>
      <c r="C67" s="64">
        <v>18.440000000000001</v>
      </c>
      <c r="D67" s="64">
        <v>14</v>
      </c>
      <c r="E67" s="64">
        <v>1.85</v>
      </c>
      <c r="F67" s="64">
        <v>1.51</v>
      </c>
      <c r="G67" s="64">
        <v>70.08</v>
      </c>
      <c r="H67" s="64">
        <v>20.68</v>
      </c>
      <c r="I67" s="64">
        <v>1.48</v>
      </c>
      <c r="J67" s="64">
        <v>0.64</v>
      </c>
      <c r="K67" s="64">
        <v>109</v>
      </c>
      <c r="L67" s="64">
        <v>32.229999999999997</v>
      </c>
      <c r="M67" s="64">
        <v>28.16</v>
      </c>
      <c r="N67" s="64">
        <v>160.1</v>
      </c>
      <c r="O67" s="64">
        <v>0</v>
      </c>
      <c r="P67" s="64">
        <v>0.65</v>
      </c>
      <c r="Q67" s="64">
        <v>355.93</v>
      </c>
      <c r="R67" s="198"/>
      <c r="S67" s="198"/>
      <c r="T67" s="198"/>
      <c r="U67" s="198"/>
    </row>
    <row r="68" spans="1:21" s="12" customFormat="1" x14ac:dyDescent="0.25">
      <c r="A68" s="214" t="s">
        <v>977</v>
      </c>
      <c r="B68" s="64">
        <v>3.13</v>
      </c>
      <c r="C68" s="64">
        <v>18.579999999999998</v>
      </c>
      <c r="D68" s="64">
        <v>14.05</v>
      </c>
      <c r="E68" s="64">
        <v>1.61</v>
      </c>
      <c r="F68" s="64">
        <v>1.01</v>
      </c>
      <c r="G68" s="64">
        <v>68.27</v>
      </c>
      <c r="H68" s="64">
        <v>18.350000000000001</v>
      </c>
      <c r="I68" s="64">
        <v>1.48</v>
      </c>
      <c r="J68" s="64">
        <v>0.78</v>
      </c>
      <c r="K68" s="64">
        <v>351.52</v>
      </c>
      <c r="L68" s="64">
        <v>31.31</v>
      </c>
      <c r="M68" s="64">
        <v>34.630000000000003</v>
      </c>
      <c r="N68" s="64">
        <v>116.5</v>
      </c>
      <c r="O68" s="64">
        <v>0</v>
      </c>
      <c r="P68" s="64">
        <v>0.66</v>
      </c>
      <c r="Q68" s="64">
        <v>361.25</v>
      </c>
      <c r="R68" s="198"/>
      <c r="S68" s="198"/>
      <c r="T68" s="198"/>
      <c r="U68" s="198"/>
    </row>
    <row r="69" spans="1:21" s="12" customFormat="1" x14ac:dyDescent="0.25">
      <c r="A69" s="214" t="s">
        <v>978</v>
      </c>
      <c r="B69" s="64">
        <v>3.08</v>
      </c>
      <c r="C69" s="64">
        <v>17.829999999999998</v>
      </c>
      <c r="D69" s="64">
        <v>13.61</v>
      </c>
      <c r="E69" s="64">
        <v>1.55</v>
      </c>
      <c r="F69" s="64">
        <v>1.44</v>
      </c>
      <c r="G69" s="64">
        <v>66.69</v>
      </c>
      <c r="H69" s="64">
        <v>17.43</v>
      </c>
      <c r="I69" s="64">
        <v>1.42</v>
      </c>
      <c r="J69" s="64">
        <v>0.67</v>
      </c>
      <c r="K69" s="64">
        <v>107.24</v>
      </c>
      <c r="L69" s="64">
        <v>31.01</v>
      </c>
      <c r="M69" s="64">
        <v>32.81</v>
      </c>
      <c r="N69" s="64">
        <v>100.4</v>
      </c>
      <c r="O69" s="64">
        <v>0</v>
      </c>
      <c r="P69" s="64">
        <v>0.59</v>
      </c>
      <c r="Q69" s="64">
        <v>352.18</v>
      </c>
      <c r="R69" s="198"/>
      <c r="S69" s="198"/>
      <c r="T69" s="198"/>
      <c r="U69" s="198"/>
    </row>
    <row r="70" spans="1:21" s="12" customFormat="1" x14ac:dyDescent="0.25">
      <c r="A70" s="214" t="s">
        <v>979</v>
      </c>
      <c r="B70" s="64">
        <v>2.97</v>
      </c>
      <c r="C70" s="64">
        <v>17.84</v>
      </c>
      <c r="D70" s="64">
        <v>13.52</v>
      </c>
      <c r="E70" s="64">
        <v>1.76</v>
      </c>
      <c r="F70" s="64">
        <v>1.32</v>
      </c>
      <c r="G70" s="64">
        <v>66.69</v>
      </c>
      <c r="H70" s="64">
        <v>17.43</v>
      </c>
      <c r="I70" s="64">
        <v>1.58</v>
      </c>
      <c r="J70" s="64">
        <v>0.24</v>
      </c>
      <c r="K70" s="64">
        <v>38.630000000000003</v>
      </c>
      <c r="L70" s="64">
        <v>30.78</v>
      </c>
      <c r="M70" s="64">
        <v>34.14</v>
      </c>
      <c r="N70" s="64">
        <v>94.3</v>
      </c>
      <c r="O70" s="64">
        <v>0</v>
      </c>
      <c r="P70" s="64">
        <v>0.65</v>
      </c>
      <c r="Q70" s="64">
        <v>366.6</v>
      </c>
      <c r="R70" s="198"/>
      <c r="S70" s="198"/>
      <c r="T70" s="198"/>
      <c r="U70" s="198"/>
    </row>
    <row r="71" spans="1:21" s="12" customFormat="1" x14ac:dyDescent="0.25">
      <c r="A71" s="214" t="s">
        <v>980</v>
      </c>
      <c r="B71" s="64">
        <v>3.19</v>
      </c>
      <c r="C71" s="64">
        <v>18.5</v>
      </c>
      <c r="D71" s="64">
        <v>14.06</v>
      </c>
      <c r="E71" s="64">
        <v>1.34</v>
      </c>
      <c r="F71" s="64">
        <v>0.76</v>
      </c>
      <c r="G71" s="64">
        <v>66.69</v>
      </c>
      <c r="H71" s="64">
        <v>17.43</v>
      </c>
      <c r="I71" s="64">
        <v>1.46</v>
      </c>
      <c r="J71" s="64">
        <v>0.97</v>
      </c>
      <c r="K71" s="64">
        <v>108.78</v>
      </c>
      <c r="L71" s="64">
        <v>30.51</v>
      </c>
      <c r="M71" s="64">
        <v>33.99</v>
      </c>
      <c r="N71" s="64">
        <v>80.5</v>
      </c>
      <c r="O71" s="64">
        <v>0</v>
      </c>
      <c r="P71" s="64">
        <v>0.56999999999999995</v>
      </c>
      <c r="Q71" s="64">
        <v>337.67</v>
      </c>
      <c r="R71" s="198"/>
      <c r="S71" s="198"/>
      <c r="T71" s="198"/>
      <c r="U71" s="198"/>
    </row>
    <row r="72" spans="1:21" s="12" customFormat="1" x14ac:dyDescent="0.25">
      <c r="A72" s="214" t="s">
        <v>981</v>
      </c>
      <c r="B72" s="64">
        <v>3.3</v>
      </c>
      <c r="C72" s="64">
        <v>16.84</v>
      </c>
      <c r="D72" s="64">
        <v>13.23</v>
      </c>
      <c r="E72" s="64">
        <v>0.38</v>
      </c>
      <c r="F72" s="64">
        <v>0.77</v>
      </c>
      <c r="G72" s="64">
        <v>72.94</v>
      </c>
      <c r="H72" s="64">
        <v>20.13</v>
      </c>
      <c r="I72" s="64">
        <v>1.48</v>
      </c>
      <c r="J72" s="64">
        <v>0.68</v>
      </c>
      <c r="K72" s="64">
        <v>102.87</v>
      </c>
      <c r="L72" s="64">
        <v>30.11</v>
      </c>
      <c r="M72" s="64">
        <v>35.79</v>
      </c>
      <c r="N72" s="64">
        <v>71.099999999999994</v>
      </c>
      <c r="O72" s="64">
        <v>0</v>
      </c>
      <c r="P72" s="64">
        <v>0.53</v>
      </c>
      <c r="Q72" s="64">
        <v>289.24</v>
      </c>
      <c r="R72" s="198"/>
      <c r="S72" s="198"/>
      <c r="T72" s="198"/>
      <c r="U72" s="198"/>
    </row>
    <row r="73" spans="1:21" s="12" customFormat="1" x14ac:dyDescent="0.25">
      <c r="A73" s="214" t="s">
        <v>982</v>
      </c>
      <c r="B73" s="64">
        <v>3.25</v>
      </c>
      <c r="C73" s="64">
        <v>15.43</v>
      </c>
      <c r="D73" s="64">
        <v>12.41</v>
      </c>
      <c r="E73" s="64">
        <v>1.01</v>
      </c>
      <c r="F73" s="64">
        <v>1.27</v>
      </c>
      <c r="G73" s="64">
        <v>78.400000000000006</v>
      </c>
      <c r="H73" s="64">
        <v>21.19</v>
      </c>
      <c r="I73" s="64">
        <v>1.54</v>
      </c>
      <c r="J73" s="64">
        <v>1.06</v>
      </c>
      <c r="K73" s="64">
        <v>112.4</v>
      </c>
      <c r="L73" s="64">
        <v>29.89</v>
      </c>
      <c r="M73" s="64">
        <v>36.04</v>
      </c>
      <c r="N73" s="64">
        <v>61.3</v>
      </c>
      <c r="O73" s="64">
        <v>0</v>
      </c>
      <c r="P73" s="64">
        <v>0.52</v>
      </c>
      <c r="Q73" s="64">
        <v>269.29000000000002</v>
      </c>
      <c r="R73" s="198"/>
      <c r="S73" s="198"/>
      <c r="T73" s="198"/>
      <c r="U73" s="198"/>
    </row>
    <row r="74" spans="1:21" s="12" customFormat="1" x14ac:dyDescent="0.25">
      <c r="A74" s="214" t="s">
        <v>983</v>
      </c>
      <c r="B74" s="64">
        <v>3.21</v>
      </c>
      <c r="C74" s="64">
        <v>16.440000000000001</v>
      </c>
      <c r="D74" s="64">
        <v>12.95</v>
      </c>
      <c r="E74" s="64">
        <v>0.9</v>
      </c>
      <c r="F74" s="64">
        <v>0.68</v>
      </c>
      <c r="G74" s="64">
        <v>78.400000000000006</v>
      </c>
      <c r="H74" s="64">
        <v>21.19</v>
      </c>
      <c r="I74" s="64">
        <v>1.53</v>
      </c>
      <c r="J74" s="64">
        <v>0.83</v>
      </c>
      <c r="K74" s="64">
        <v>109.04</v>
      </c>
      <c r="L74" s="64">
        <v>29.71</v>
      </c>
      <c r="M74" s="64">
        <v>37.520000000000003</v>
      </c>
      <c r="N74" s="64">
        <v>54.1</v>
      </c>
      <c r="O74" s="64">
        <v>0</v>
      </c>
      <c r="P74" s="64">
        <v>0.47</v>
      </c>
      <c r="Q74" s="64">
        <v>271.77</v>
      </c>
      <c r="R74" s="198"/>
      <c r="S74" s="198"/>
      <c r="T74" s="198"/>
      <c r="U74" s="198"/>
    </row>
    <row r="75" spans="1:21" s="12" customFormat="1" x14ac:dyDescent="0.25">
      <c r="A75" s="214" t="s">
        <v>984</v>
      </c>
      <c r="B75" s="64">
        <v>3.15</v>
      </c>
      <c r="C75" s="64">
        <v>14.93</v>
      </c>
      <c r="D75" s="64">
        <v>12.05</v>
      </c>
      <c r="E75" s="64">
        <v>0.56999999999999995</v>
      </c>
      <c r="F75" s="64">
        <v>0.81</v>
      </c>
      <c r="G75" s="64">
        <v>78.400000000000006</v>
      </c>
      <c r="H75" s="64">
        <v>21.19</v>
      </c>
      <c r="I75" s="64">
        <v>1.54</v>
      </c>
      <c r="J75" s="64">
        <v>0.47</v>
      </c>
      <c r="K75" s="64">
        <v>108.29</v>
      </c>
      <c r="L75" s="64">
        <v>29.52</v>
      </c>
      <c r="M75" s="64">
        <v>38.35</v>
      </c>
      <c r="N75" s="64">
        <v>46.8</v>
      </c>
      <c r="O75" s="64">
        <v>0</v>
      </c>
      <c r="P75" s="64">
        <v>0.56000000000000005</v>
      </c>
      <c r="Q75" s="64">
        <v>259.77999999999997</v>
      </c>
      <c r="R75" s="198"/>
      <c r="S75" s="198"/>
      <c r="T75" s="198"/>
      <c r="U75" s="198"/>
    </row>
    <row r="76" spans="1:21" s="12" customFormat="1" x14ac:dyDescent="0.25">
      <c r="A76" s="214" t="s">
        <v>985</v>
      </c>
      <c r="B76" s="64">
        <v>3.13</v>
      </c>
      <c r="C76" s="64">
        <v>15.39</v>
      </c>
      <c r="D76" s="64">
        <v>12.3</v>
      </c>
      <c r="E76" s="64">
        <v>1.18</v>
      </c>
      <c r="F76" s="64">
        <v>0.83</v>
      </c>
      <c r="G76" s="64">
        <v>71.69</v>
      </c>
      <c r="H76" s="64">
        <v>21.83</v>
      </c>
      <c r="I76" s="64">
        <v>1.51</v>
      </c>
      <c r="J76" s="64">
        <v>0.34</v>
      </c>
      <c r="K76" s="64">
        <v>109.27</v>
      </c>
      <c r="L76" s="64">
        <v>29.24</v>
      </c>
      <c r="M76" s="64">
        <v>39.08</v>
      </c>
      <c r="N76" s="64">
        <v>38.1</v>
      </c>
      <c r="O76" s="64">
        <v>0</v>
      </c>
      <c r="P76" s="64">
        <v>0.54</v>
      </c>
      <c r="Q76" s="64">
        <v>303.25</v>
      </c>
      <c r="R76" s="198"/>
      <c r="S76" s="198"/>
      <c r="T76" s="198"/>
      <c r="U76" s="198"/>
    </row>
    <row r="77" spans="1:21" s="12" customFormat="1" x14ac:dyDescent="0.25">
      <c r="A77" s="214" t="s">
        <v>986</v>
      </c>
      <c r="B77" s="64">
        <v>3</v>
      </c>
      <c r="C77" s="64">
        <v>17.09</v>
      </c>
      <c r="D77" s="64">
        <v>13.13</v>
      </c>
      <c r="E77" s="64">
        <v>1.73</v>
      </c>
      <c r="F77" s="64">
        <v>0.68</v>
      </c>
      <c r="G77" s="64">
        <v>65.81</v>
      </c>
      <c r="H77" s="64">
        <v>22.08</v>
      </c>
      <c r="I77" s="64">
        <v>1.44</v>
      </c>
      <c r="J77" s="64">
        <v>7.0000000000000007E-2</v>
      </c>
      <c r="K77" s="64">
        <v>232.76</v>
      </c>
      <c r="L77" s="64">
        <v>28.96</v>
      </c>
      <c r="M77" s="64">
        <v>43.08</v>
      </c>
      <c r="N77" s="64">
        <v>28.3</v>
      </c>
      <c r="O77" s="64">
        <v>0</v>
      </c>
      <c r="P77" s="64">
        <v>0.51</v>
      </c>
      <c r="Q77" s="64">
        <v>324.92</v>
      </c>
      <c r="R77" s="198"/>
      <c r="S77" s="198"/>
      <c r="T77" s="198"/>
      <c r="U77" s="198"/>
    </row>
    <row r="78" spans="1:21" s="12" customFormat="1" x14ac:dyDescent="0.25">
      <c r="A78" s="214" t="s">
        <v>987</v>
      </c>
      <c r="B78" s="64">
        <v>2.77</v>
      </c>
      <c r="C78" s="64">
        <v>15.51</v>
      </c>
      <c r="D78" s="64">
        <v>12.07</v>
      </c>
      <c r="E78" s="64">
        <v>1.1599999999999999</v>
      </c>
      <c r="F78" s="64">
        <v>1.4</v>
      </c>
      <c r="G78" s="64">
        <v>65.81</v>
      </c>
      <c r="H78" s="64">
        <v>22.08</v>
      </c>
      <c r="I78" s="64">
        <v>1.46</v>
      </c>
      <c r="J78" s="64">
        <v>0.28000000000000003</v>
      </c>
      <c r="K78" s="64">
        <v>167.77</v>
      </c>
      <c r="L78" s="64">
        <v>28.51</v>
      </c>
      <c r="M78" s="64">
        <v>45.75</v>
      </c>
      <c r="N78" s="64">
        <v>18.3</v>
      </c>
      <c r="O78" s="64">
        <v>0</v>
      </c>
      <c r="P78" s="64">
        <v>0.5</v>
      </c>
      <c r="Q78" s="64">
        <v>325.29000000000002</v>
      </c>
      <c r="R78" s="198"/>
      <c r="S78" s="198"/>
      <c r="T78" s="198"/>
      <c r="U78" s="198"/>
    </row>
    <row r="79" spans="1:21" s="12" customFormat="1" x14ac:dyDescent="0.25">
      <c r="A79" s="214" t="s">
        <v>988</v>
      </c>
      <c r="B79" s="64">
        <v>2.71</v>
      </c>
      <c r="C79" s="64">
        <v>14.72</v>
      </c>
      <c r="D79" s="64">
        <v>11.59</v>
      </c>
      <c r="E79" s="64">
        <v>1.55</v>
      </c>
      <c r="F79" s="64">
        <v>0.97</v>
      </c>
      <c r="G79" s="64">
        <v>65.81</v>
      </c>
      <c r="H79" s="64">
        <v>22.08</v>
      </c>
      <c r="I79" s="64">
        <v>1.44</v>
      </c>
      <c r="J79" s="64">
        <v>0.54</v>
      </c>
      <c r="K79" s="64">
        <v>145.87</v>
      </c>
      <c r="L79" s="64">
        <v>28.05</v>
      </c>
      <c r="M79" s="64">
        <v>49.1</v>
      </c>
      <c r="N79" s="64">
        <v>11.3</v>
      </c>
      <c r="O79" s="64">
        <v>0</v>
      </c>
      <c r="P79" s="64">
        <v>0.53</v>
      </c>
      <c r="Q79" s="64">
        <v>340.42</v>
      </c>
      <c r="R79" s="198"/>
      <c r="S79" s="198"/>
      <c r="T79" s="198"/>
      <c r="U79" s="198"/>
    </row>
    <row r="80" spans="1:21" s="12" customFormat="1" x14ac:dyDescent="0.25">
      <c r="A80" s="214" t="s">
        <v>989</v>
      </c>
      <c r="B80" s="64">
        <v>2.79</v>
      </c>
      <c r="C80" s="64">
        <v>14.65</v>
      </c>
      <c r="D80" s="64">
        <v>11.62</v>
      </c>
      <c r="E80" s="64">
        <v>1.44</v>
      </c>
      <c r="F80" s="64">
        <v>1.2</v>
      </c>
      <c r="G80" s="64">
        <v>62.24</v>
      </c>
      <c r="H80" s="64">
        <v>21.53</v>
      </c>
      <c r="I80" s="64">
        <v>1.53</v>
      </c>
      <c r="J80" s="64">
        <v>0.22</v>
      </c>
      <c r="K80" s="64">
        <v>155.88999999999999</v>
      </c>
      <c r="L80" s="64">
        <v>27.6</v>
      </c>
      <c r="M80" s="64">
        <v>54.22</v>
      </c>
      <c r="N80" s="64">
        <v>9.4</v>
      </c>
      <c r="O80" s="64">
        <v>0</v>
      </c>
      <c r="P80" s="64">
        <v>0.56000000000000005</v>
      </c>
      <c r="Q80" s="64">
        <v>333.2</v>
      </c>
      <c r="R80" s="198"/>
      <c r="S80" s="198"/>
      <c r="T80" s="198"/>
      <c r="U80" s="198"/>
    </row>
    <row r="81" spans="1:26" s="12" customFormat="1" x14ac:dyDescent="0.25">
      <c r="A81" s="214" t="s">
        <v>990</v>
      </c>
      <c r="B81" s="64">
        <v>2.96</v>
      </c>
      <c r="C81" s="64">
        <v>14.94</v>
      </c>
      <c r="D81" s="64">
        <v>11.91</v>
      </c>
      <c r="E81" s="64">
        <v>1.49</v>
      </c>
      <c r="F81" s="64">
        <v>0.7</v>
      </c>
      <c r="G81" s="64">
        <v>59.12</v>
      </c>
      <c r="H81" s="64">
        <v>21.09</v>
      </c>
      <c r="I81" s="64">
        <v>1.45</v>
      </c>
      <c r="J81" s="64">
        <v>7.0000000000000007E-2</v>
      </c>
      <c r="K81" s="64">
        <v>279.31</v>
      </c>
      <c r="L81" s="64">
        <v>26.82</v>
      </c>
      <c r="M81" s="64">
        <v>63.63</v>
      </c>
      <c r="N81" s="64">
        <v>9.1</v>
      </c>
      <c r="O81" s="64">
        <v>0</v>
      </c>
      <c r="P81" s="64">
        <v>0.63</v>
      </c>
      <c r="Q81" s="64">
        <v>345.12</v>
      </c>
      <c r="R81" s="198"/>
      <c r="S81" s="198"/>
      <c r="T81" s="198"/>
      <c r="U81" s="198"/>
    </row>
    <row r="82" spans="1:26" s="12" customFormat="1" x14ac:dyDescent="0.25">
      <c r="A82" s="214" t="s">
        <v>991</v>
      </c>
      <c r="B82" s="64">
        <v>3.07</v>
      </c>
      <c r="C82" s="64">
        <v>15.51</v>
      </c>
      <c r="D82" s="64">
        <v>12.32</v>
      </c>
      <c r="E82" s="64">
        <v>1.1299999999999999</v>
      </c>
      <c r="F82" s="64">
        <v>0.71</v>
      </c>
      <c r="G82" s="64">
        <v>59.12</v>
      </c>
      <c r="H82" s="64">
        <v>21.09</v>
      </c>
      <c r="I82" s="64">
        <v>1.59</v>
      </c>
      <c r="J82" s="64">
        <v>7.0000000000000007E-2</v>
      </c>
      <c r="K82" s="64">
        <v>292.12</v>
      </c>
      <c r="L82" s="64">
        <v>26.08</v>
      </c>
      <c r="M82" s="64">
        <v>71.58</v>
      </c>
      <c r="N82" s="64">
        <v>9</v>
      </c>
      <c r="O82" s="64">
        <v>0</v>
      </c>
      <c r="P82" s="64">
        <v>0.63</v>
      </c>
      <c r="Q82" s="64">
        <v>332.88</v>
      </c>
      <c r="R82" s="198"/>
      <c r="S82" s="198"/>
      <c r="T82" s="198"/>
      <c r="U82" s="198"/>
    </row>
    <row r="83" spans="1:26" s="12" customFormat="1" x14ac:dyDescent="0.25">
      <c r="A83" s="214" t="s">
        <v>992</v>
      </c>
      <c r="B83" s="64">
        <v>3.21</v>
      </c>
      <c r="C83" s="64">
        <v>15.44</v>
      </c>
      <c r="D83" s="64">
        <v>12.38</v>
      </c>
      <c r="E83" s="64">
        <v>1.0900000000000001</v>
      </c>
      <c r="F83" s="64">
        <v>0.56000000000000005</v>
      </c>
      <c r="G83" s="64">
        <v>59.12</v>
      </c>
      <c r="H83" s="64">
        <v>21.09</v>
      </c>
      <c r="I83" s="64">
        <v>1.49</v>
      </c>
      <c r="J83" s="64">
        <v>0.13</v>
      </c>
      <c r="K83" s="64">
        <v>206.22</v>
      </c>
      <c r="L83" s="64">
        <v>26.56</v>
      </c>
      <c r="M83" s="64">
        <v>66.98</v>
      </c>
      <c r="N83" s="64">
        <v>8.6</v>
      </c>
      <c r="O83" s="64">
        <v>0</v>
      </c>
      <c r="P83" s="64">
        <v>0.63</v>
      </c>
      <c r="Q83" s="64">
        <v>295.95999999999998</v>
      </c>
      <c r="R83" s="198"/>
      <c r="S83" s="198"/>
      <c r="T83" s="198"/>
      <c r="U83" s="198"/>
    </row>
    <row r="84" spans="1:26" s="12" customFormat="1" x14ac:dyDescent="0.25">
      <c r="A84" s="214" t="s">
        <v>993</v>
      </c>
      <c r="B84" s="64">
        <v>3.46</v>
      </c>
      <c r="C84" s="64">
        <v>14.39</v>
      </c>
      <c r="D84" s="64">
        <v>12</v>
      </c>
      <c r="E84" s="64">
        <v>1.1499999999999999</v>
      </c>
      <c r="F84" s="64">
        <v>0.68</v>
      </c>
      <c r="G84" s="64">
        <v>64.98</v>
      </c>
      <c r="H84" s="64">
        <v>22.44</v>
      </c>
      <c r="I84" s="64">
        <v>1.53</v>
      </c>
      <c r="J84" s="64">
        <v>0.11</v>
      </c>
      <c r="K84" s="64">
        <v>206.93</v>
      </c>
      <c r="L84" s="64">
        <v>26.45</v>
      </c>
      <c r="M84" s="64">
        <v>68.58</v>
      </c>
      <c r="N84" s="64">
        <v>8.6999999999999993</v>
      </c>
      <c r="O84" s="64">
        <v>0</v>
      </c>
      <c r="P84" s="64">
        <v>0.66</v>
      </c>
      <c r="Q84" s="64">
        <v>263.51</v>
      </c>
      <c r="R84" s="198"/>
      <c r="S84" s="198"/>
      <c r="T84" s="198"/>
      <c r="U84" s="198"/>
    </row>
    <row r="85" spans="1:26" s="12" customFormat="1" x14ac:dyDescent="0.25">
      <c r="A85" s="214" t="s">
        <v>994</v>
      </c>
      <c r="B85" s="64">
        <v>3.72</v>
      </c>
      <c r="C85" s="64">
        <v>15.02</v>
      </c>
      <c r="D85" s="64">
        <v>12.56</v>
      </c>
      <c r="E85" s="64">
        <v>1.17</v>
      </c>
      <c r="F85" s="64">
        <v>0.93</v>
      </c>
      <c r="G85" s="64">
        <v>70.099999999999994</v>
      </c>
      <c r="H85" s="64">
        <v>22.98</v>
      </c>
      <c r="I85" s="64">
        <v>1.45</v>
      </c>
      <c r="J85" s="64">
        <v>0.09</v>
      </c>
      <c r="K85" s="64">
        <v>215.18</v>
      </c>
      <c r="L85" s="64">
        <v>26.22</v>
      </c>
      <c r="M85" s="64">
        <v>70.97</v>
      </c>
      <c r="N85" s="64">
        <v>8.6999999999999993</v>
      </c>
      <c r="O85" s="64">
        <v>0</v>
      </c>
      <c r="P85" s="64">
        <v>0.71</v>
      </c>
      <c r="Q85" s="64">
        <v>261.77999999999997</v>
      </c>
      <c r="R85" s="198"/>
      <c r="S85" s="198"/>
      <c r="T85" s="198"/>
      <c r="U85" s="198"/>
    </row>
    <row r="86" spans="1:26" s="12" customFormat="1" x14ac:dyDescent="0.25">
      <c r="A86" s="214" t="s">
        <v>995</v>
      </c>
      <c r="B86" s="64">
        <v>3.97</v>
      </c>
      <c r="C86" s="64">
        <v>14.3</v>
      </c>
      <c r="D86" s="64">
        <v>12.36</v>
      </c>
      <c r="E86" s="64">
        <v>0.84</v>
      </c>
      <c r="F86" s="64">
        <v>0.74</v>
      </c>
      <c r="G86" s="64">
        <v>70.099999999999994</v>
      </c>
      <c r="H86" s="64">
        <v>22.98</v>
      </c>
      <c r="I86" s="64">
        <v>1.49</v>
      </c>
      <c r="J86" s="64">
        <v>0.06</v>
      </c>
      <c r="K86" s="64">
        <v>191.38</v>
      </c>
      <c r="L86" s="64">
        <v>26.13</v>
      </c>
      <c r="M86" s="64">
        <v>72.180000000000007</v>
      </c>
      <c r="N86" s="64">
        <v>8.6</v>
      </c>
      <c r="O86" s="64">
        <v>0</v>
      </c>
      <c r="P86" s="64">
        <v>0.72</v>
      </c>
      <c r="Q86" s="64">
        <v>249.15</v>
      </c>
      <c r="R86" s="198"/>
      <c r="S86" s="198"/>
      <c r="T86" s="198"/>
      <c r="U86" s="198"/>
    </row>
    <row r="87" spans="1:26" s="12" customFormat="1" x14ac:dyDescent="0.25">
      <c r="A87" s="214" t="s">
        <v>996</v>
      </c>
      <c r="B87" s="64">
        <v>4.1900000000000004</v>
      </c>
      <c r="C87" s="64">
        <v>14.64</v>
      </c>
      <c r="D87" s="64">
        <v>12.73</v>
      </c>
      <c r="E87" s="64">
        <v>1.21</v>
      </c>
      <c r="F87" s="64">
        <v>0.52</v>
      </c>
      <c r="G87" s="64">
        <v>70.099999999999994</v>
      </c>
      <c r="H87" s="64">
        <v>22.98</v>
      </c>
      <c r="I87" s="64">
        <v>1.5</v>
      </c>
      <c r="J87" s="64">
        <v>0.08</v>
      </c>
      <c r="K87" s="64">
        <v>201.57</v>
      </c>
      <c r="L87" s="64">
        <v>26.01</v>
      </c>
      <c r="M87" s="64">
        <v>73.12</v>
      </c>
      <c r="N87" s="64">
        <v>8.6999999999999993</v>
      </c>
      <c r="O87" s="64">
        <v>0</v>
      </c>
      <c r="P87" s="64">
        <v>0.71</v>
      </c>
      <c r="Q87" s="64">
        <v>254.78</v>
      </c>
      <c r="R87" s="198"/>
      <c r="S87" s="198"/>
      <c r="T87" s="198"/>
      <c r="U87" s="198"/>
    </row>
    <row r="88" spans="1:26" s="12" customFormat="1" x14ac:dyDescent="0.25">
      <c r="A88" s="214" t="s">
        <v>997</v>
      </c>
      <c r="B88" s="64">
        <v>4.32</v>
      </c>
      <c r="C88" s="64">
        <v>15.45</v>
      </c>
      <c r="D88" s="64">
        <v>13.28</v>
      </c>
      <c r="E88" s="64">
        <v>0.18</v>
      </c>
      <c r="F88" s="64">
        <v>0.49</v>
      </c>
      <c r="G88" s="64">
        <v>66.88</v>
      </c>
      <c r="H88" s="64">
        <v>21.23</v>
      </c>
      <c r="I88" s="64">
        <v>1.54</v>
      </c>
      <c r="J88" s="64">
        <v>7.0000000000000007E-2</v>
      </c>
      <c r="K88" s="64">
        <v>213.43</v>
      </c>
      <c r="L88" s="64">
        <v>25.91</v>
      </c>
      <c r="M88" s="64">
        <v>72.989999999999995</v>
      </c>
      <c r="N88" s="64">
        <v>8.5</v>
      </c>
      <c r="O88" s="64">
        <v>0</v>
      </c>
      <c r="P88" s="64">
        <v>0.68</v>
      </c>
      <c r="Q88" s="64">
        <v>295.25</v>
      </c>
      <c r="R88" s="198"/>
      <c r="S88" s="198"/>
      <c r="T88" s="198"/>
      <c r="U88" s="198"/>
    </row>
    <row r="89" spans="1:26" s="12" customFormat="1" x14ac:dyDescent="0.25">
      <c r="A89" s="214" t="s">
        <v>998</v>
      </c>
      <c r="B89" s="64">
        <v>4.3</v>
      </c>
      <c r="C89" s="64">
        <v>16.22</v>
      </c>
      <c r="D89" s="64">
        <v>13.7</v>
      </c>
      <c r="E89" s="64">
        <v>0.8</v>
      </c>
      <c r="F89" s="64">
        <v>0.54</v>
      </c>
      <c r="G89" s="64">
        <v>64.05</v>
      </c>
      <c r="H89" s="64">
        <v>20.54</v>
      </c>
      <c r="I89" s="64">
        <v>1.57</v>
      </c>
      <c r="J89" s="64">
        <v>7.0000000000000007E-2</v>
      </c>
      <c r="K89" s="64">
        <v>227.44</v>
      </c>
      <c r="L89" s="64">
        <v>25.8</v>
      </c>
      <c r="M89" s="64">
        <v>73.45</v>
      </c>
      <c r="N89" s="64">
        <v>8.6</v>
      </c>
      <c r="O89" s="64">
        <v>0</v>
      </c>
      <c r="P89" s="64">
        <v>0.69</v>
      </c>
      <c r="Q89" s="64">
        <v>303.05</v>
      </c>
      <c r="R89" s="198"/>
      <c r="S89" s="198"/>
      <c r="T89" s="198"/>
      <c r="U89" s="198"/>
    </row>
    <row r="90" spans="1:26" s="12" customFormat="1" x14ac:dyDescent="0.25">
      <c r="A90" s="214" t="s">
        <v>999</v>
      </c>
      <c r="B90" s="64">
        <v>4.1900000000000004</v>
      </c>
      <c r="C90" s="64">
        <v>14.96</v>
      </c>
      <c r="D90" s="64">
        <v>12.91</v>
      </c>
      <c r="E90" s="64">
        <v>0.51</v>
      </c>
      <c r="F90" s="64">
        <v>0.5</v>
      </c>
      <c r="G90" s="64">
        <v>64.05</v>
      </c>
      <c r="H90" s="64">
        <v>20.54</v>
      </c>
      <c r="I90" s="64">
        <v>1.52</v>
      </c>
      <c r="J90" s="64">
        <v>0.05</v>
      </c>
      <c r="K90" s="64">
        <v>202.3</v>
      </c>
      <c r="L90" s="64">
        <v>25.51</v>
      </c>
      <c r="M90" s="64">
        <v>75.53</v>
      </c>
      <c r="N90" s="64">
        <v>8.8000000000000007</v>
      </c>
      <c r="O90" s="64">
        <v>0</v>
      </c>
      <c r="P90" s="64">
        <v>0.72</v>
      </c>
      <c r="Q90" s="64">
        <v>321.26</v>
      </c>
      <c r="R90" s="198"/>
      <c r="S90" s="198"/>
      <c r="T90" s="198"/>
      <c r="U90" s="198"/>
    </row>
    <row r="91" spans="1:26" s="12" customFormat="1" x14ac:dyDescent="0.25">
      <c r="A91" s="214" t="s">
        <v>1000</v>
      </c>
      <c r="B91" s="64">
        <v>4.3</v>
      </c>
      <c r="C91" s="64">
        <v>15.07</v>
      </c>
      <c r="D91" s="64">
        <v>13.06</v>
      </c>
      <c r="E91" s="64">
        <v>0.34</v>
      </c>
      <c r="F91" s="64">
        <v>0.34</v>
      </c>
      <c r="G91" s="64">
        <v>64.05</v>
      </c>
      <c r="H91" s="64">
        <v>20.54</v>
      </c>
      <c r="I91" s="64">
        <v>1.43</v>
      </c>
      <c r="J91" s="64">
        <v>0.14000000000000001</v>
      </c>
      <c r="K91" s="64">
        <v>178.6</v>
      </c>
      <c r="L91" s="64">
        <v>25.37</v>
      </c>
      <c r="M91" s="64">
        <v>75.540000000000006</v>
      </c>
      <c r="N91" s="64">
        <v>8.5</v>
      </c>
      <c r="O91" s="64">
        <v>0</v>
      </c>
      <c r="P91" s="64">
        <v>0.72</v>
      </c>
      <c r="Q91" s="64">
        <v>313.35000000000002</v>
      </c>
      <c r="R91" s="198"/>
      <c r="S91" s="198"/>
      <c r="T91" s="198"/>
      <c r="U91" s="198"/>
    </row>
    <row r="92" spans="1:26" s="12" customFormat="1" x14ac:dyDescent="0.25">
      <c r="A92" s="214" t="s">
        <v>1001</v>
      </c>
      <c r="B92" s="64">
        <v>4.3899999999999997</v>
      </c>
      <c r="C92" s="64">
        <v>13.98</v>
      </c>
      <c r="D92" s="64">
        <v>12.53</v>
      </c>
      <c r="E92" s="64">
        <v>0.83</v>
      </c>
      <c r="F92" s="64">
        <v>0.52</v>
      </c>
      <c r="G92" s="64">
        <v>63.27</v>
      </c>
      <c r="H92" s="64">
        <v>23</v>
      </c>
      <c r="I92" s="64">
        <v>1.45</v>
      </c>
      <c r="J92" s="64">
        <v>0.02</v>
      </c>
      <c r="K92" s="64">
        <v>180.08</v>
      </c>
      <c r="L92" s="64">
        <v>25.4</v>
      </c>
      <c r="M92" s="64">
        <v>74.52</v>
      </c>
      <c r="N92" s="64">
        <v>8.6999999999999993</v>
      </c>
      <c r="O92" s="64">
        <v>0</v>
      </c>
      <c r="P92" s="64">
        <v>0.7</v>
      </c>
      <c r="Q92" s="64">
        <v>320.35000000000002</v>
      </c>
      <c r="R92" s="198"/>
      <c r="S92" s="198"/>
      <c r="T92" s="198"/>
      <c r="U92" s="198"/>
    </row>
    <row r="93" spans="1:26" s="12" customFormat="1" x14ac:dyDescent="0.25">
      <c r="A93" s="214" t="s">
        <v>1002</v>
      </c>
      <c r="B93" s="64">
        <v>4.37</v>
      </c>
      <c r="C93" s="64">
        <v>14.6</v>
      </c>
      <c r="D93" s="64">
        <v>12.86</v>
      </c>
      <c r="E93" s="64">
        <v>1.01</v>
      </c>
      <c r="F93" s="64">
        <v>0.3</v>
      </c>
      <c r="G93" s="64">
        <v>62.59</v>
      </c>
      <c r="H93" s="64">
        <v>24</v>
      </c>
      <c r="I93" s="64">
        <v>1.54</v>
      </c>
      <c r="J93" s="64">
        <v>0.04</v>
      </c>
      <c r="K93" s="64">
        <v>182.92</v>
      </c>
      <c r="L93" s="64">
        <v>25.18</v>
      </c>
      <c r="M93" s="64">
        <v>75.63</v>
      </c>
      <c r="N93" s="64">
        <v>8.8000000000000007</v>
      </c>
      <c r="O93" s="64">
        <v>0</v>
      </c>
      <c r="P93" s="64">
        <v>0.67</v>
      </c>
      <c r="Q93" s="64">
        <v>320.12</v>
      </c>
      <c r="R93" s="198"/>
      <c r="S93" s="198"/>
      <c r="T93" s="198"/>
      <c r="U93" s="198"/>
    </row>
    <row r="94" spans="1:26" s="12" customFormat="1" x14ac:dyDescent="0.25">
      <c r="A94" s="214" t="s">
        <v>1003</v>
      </c>
      <c r="B94" s="64">
        <v>4.34</v>
      </c>
      <c r="C94" s="64">
        <v>13.99</v>
      </c>
      <c r="D94" s="64">
        <v>12.49</v>
      </c>
      <c r="E94" s="64">
        <v>0.96</v>
      </c>
      <c r="F94" s="64">
        <v>0.68</v>
      </c>
      <c r="G94" s="64">
        <v>62.59</v>
      </c>
      <c r="H94" s="64">
        <v>24</v>
      </c>
      <c r="I94" s="64">
        <v>1.41</v>
      </c>
      <c r="J94" s="64">
        <v>0.11</v>
      </c>
      <c r="K94" s="64">
        <v>202.51</v>
      </c>
      <c r="L94" s="64">
        <v>25.02</v>
      </c>
      <c r="M94" s="64">
        <v>76.489999999999995</v>
      </c>
      <c r="N94" s="64">
        <v>8.6999999999999993</v>
      </c>
      <c r="O94" s="64">
        <v>0</v>
      </c>
      <c r="P94" s="64">
        <v>0.69</v>
      </c>
      <c r="Q94" s="64">
        <v>314.32</v>
      </c>
      <c r="R94" s="198"/>
      <c r="S94" s="198"/>
      <c r="T94" s="198"/>
      <c r="U94" s="198"/>
    </row>
    <row r="95" spans="1:26" s="12" customFormat="1" x14ac:dyDescent="0.25">
      <c r="A95" s="214" t="s">
        <v>1004</v>
      </c>
      <c r="B95" s="64">
        <v>4.5199999999999996</v>
      </c>
      <c r="C95" s="64">
        <v>13.93</v>
      </c>
      <c r="D95" s="64">
        <v>12.6</v>
      </c>
      <c r="E95" s="64">
        <v>0.49</v>
      </c>
      <c r="F95" s="64">
        <v>0.32</v>
      </c>
      <c r="G95" s="64">
        <v>62.59</v>
      </c>
      <c r="H95" s="64">
        <v>24</v>
      </c>
      <c r="I95" s="64">
        <v>1.48</v>
      </c>
      <c r="J95" s="64">
        <v>0.01</v>
      </c>
      <c r="K95" s="64">
        <v>215</v>
      </c>
      <c r="L95" s="64">
        <v>24.82</v>
      </c>
      <c r="M95" s="64">
        <v>77.430000000000007</v>
      </c>
      <c r="N95" s="64">
        <v>8.9</v>
      </c>
      <c r="O95" s="64">
        <v>0</v>
      </c>
      <c r="P95" s="64">
        <v>0.66</v>
      </c>
      <c r="Q95" s="64">
        <v>274.42</v>
      </c>
      <c r="R95" s="198"/>
      <c r="S95" s="198"/>
      <c r="T95" s="198"/>
      <c r="U95" s="198"/>
    </row>
    <row r="96" spans="1:26" s="12" customFormat="1" x14ac:dyDescent="0.25">
      <c r="A96" s="214" t="s">
        <v>1005</v>
      </c>
      <c r="B96" s="64">
        <v>4.7699999999999996</v>
      </c>
      <c r="C96" s="64">
        <v>12.61</v>
      </c>
      <c r="D96" s="64">
        <v>12.08</v>
      </c>
      <c r="E96" s="64">
        <v>0.65</v>
      </c>
      <c r="F96" s="64">
        <v>0.72</v>
      </c>
      <c r="G96" s="64">
        <v>65.959999999999994</v>
      </c>
      <c r="H96" s="64">
        <v>21.11</v>
      </c>
      <c r="I96" s="64">
        <v>1.43</v>
      </c>
      <c r="J96" s="64">
        <v>0.03</v>
      </c>
      <c r="K96" s="64">
        <v>16.04</v>
      </c>
      <c r="L96" s="64">
        <v>24.62</v>
      </c>
      <c r="M96" s="64">
        <v>78.41</v>
      </c>
      <c r="N96" s="64">
        <v>8.9</v>
      </c>
      <c r="O96" s="64">
        <v>0</v>
      </c>
      <c r="P96" s="64">
        <v>0.73</v>
      </c>
      <c r="Q96" s="64">
        <v>252.93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1006</v>
      </c>
      <c r="B97" s="64">
        <v>5.18</v>
      </c>
      <c r="C97" s="64">
        <v>13.6</v>
      </c>
      <c r="D97" s="64">
        <v>12.95</v>
      </c>
      <c r="E97" s="64">
        <v>0.79</v>
      </c>
      <c r="F97" s="64">
        <v>0.36</v>
      </c>
      <c r="G97" s="64">
        <v>68.900000000000006</v>
      </c>
      <c r="H97" s="64">
        <v>19.96</v>
      </c>
      <c r="I97" s="64">
        <v>1.48</v>
      </c>
      <c r="J97" s="64">
        <v>0.04</v>
      </c>
      <c r="K97" s="64">
        <v>286.48</v>
      </c>
      <c r="L97" s="64">
        <v>24.37</v>
      </c>
      <c r="M97" s="64">
        <v>79.97</v>
      </c>
      <c r="N97" s="64">
        <v>9</v>
      </c>
      <c r="O97" s="64">
        <v>0</v>
      </c>
      <c r="P97" s="64">
        <v>0.88</v>
      </c>
      <c r="Q97" s="64">
        <v>265.19</v>
      </c>
      <c r="R97" s="198"/>
      <c r="S97" s="198"/>
      <c r="T97" s="198"/>
      <c r="U97" s="198"/>
    </row>
    <row r="98" spans="1:33" s="12" customFormat="1" x14ac:dyDescent="0.25">
      <c r="A98" s="214" t="s">
        <v>1007</v>
      </c>
      <c r="B98" s="64">
        <v>5.55</v>
      </c>
      <c r="C98" s="64">
        <v>13.96</v>
      </c>
      <c r="D98" s="64">
        <v>13.44</v>
      </c>
      <c r="E98" s="64">
        <v>1.27</v>
      </c>
      <c r="F98" s="64">
        <v>0.14000000000000001</v>
      </c>
      <c r="G98" s="64">
        <v>68.900000000000006</v>
      </c>
      <c r="H98" s="64">
        <v>19.96</v>
      </c>
      <c r="I98" s="64">
        <v>1.56</v>
      </c>
      <c r="J98" s="64">
        <v>0.03</v>
      </c>
      <c r="K98" s="64">
        <v>229.63</v>
      </c>
      <c r="L98" s="64">
        <v>24.43</v>
      </c>
      <c r="M98" s="64">
        <v>77.38</v>
      </c>
      <c r="N98" s="64">
        <v>8.6999999999999993</v>
      </c>
      <c r="O98" s="64">
        <v>0</v>
      </c>
      <c r="P98" s="64">
        <v>0.7</v>
      </c>
      <c r="Q98" s="64">
        <v>256.94</v>
      </c>
      <c r="R98" s="198"/>
      <c r="S98" s="198"/>
      <c r="T98" s="198"/>
      <c r="U98" s="198"/>
    </row>
    <row r="99" spans="1:33" s="12" customFormat="1" x14ac:dyDescent="0.25">
      <c r="A99" s="214" t="s">
        <v>1008</v>
      </c>
      <c r="B99" s="64">
        <v>5.68</v>
      </c>
      <c r="C99" s="64">
        <v>13.16</v>
      </c>
      <c r="D99" s="64">
        <v>13.11</v>
      </c>
      <c r="E99" s="64">
        <v>1.39</v>
      </c>
      <c r="F99" s="64">
        <v>0.41</v>
      </c>
      <c r="G99" s="64">
        <v>68.900000000000006</v>
      </c>
      <c r="H99" s="64">
        <v>19.96</v>
      </c>
      <c r="I99" s="64">
        <v>1.51</v>
      </c>
      <c r="J99" s="64">
        <v>0.06</v>
      </c>
      <c r="K99" s="64">
        <v>273.77</v>
      </c>
      <c r="L99" s="64">
        <v>24.24</v>
      </c>
      <c r="M99" s="64">
        <v>79.36</v>
      </c>
      <c r="N99" s="64">
        <v>8.9</v>
      </c>
      <c r="O99" s="64">
        <v>0</v>
      </c>
      <c r="P99" s="64">
        <v>0.68</v>
      </c>
      <c r="Q99" s="64">
        <v>255.15</v>
      </c>
      <c r="R99" s="198"/>
      <c r="S99" s="198"/>
      <c r="T99" s="198"/>
      <c r="U99" s="198"/>
    </row>
    <row r="100" spans="1:33" s="12" customFormat="1" x14ac:dyDescent="0.25">
      <c r="A100" s="214" t="s">
        <v>1009</v>
      </c>
      <c r="B100" s="64">
        <v>5.67</v>
      </c>
      <c r="C100" s="64">
        <v>14.97</v>
      </c>
      <c r="D100" s="64">
        <v>14.1</v>
      </c>
      <c r="E100" s="64">
        <v>1.24</v>
      </c>
      <c r="F100" s="64">
        <v>0.34</v>
      </c>
      <c r="G100" s="64">
        <v>63.25</v>
      </c>
      <c r="H100" s="64">
        <v>21.33</v>
      </c>
      <c r="I100" s="64">
        <v>1.41</v>
      </c>
      <c r="J100" s="64">
        <v>0.05</v>
      </c>
      <c r="K100" s="64">
        <v>215.67</v>
      </c>
      <c r="L100" s="64">
        <v>24.28</v>
      </c>
      <c r="M100" s="64">
        <v>79.89</v>
      </c>
      <c r="N100" s="64">
        <v>8.5</v>
      </c>
      <c r="O100" s="64">
        <v>0</v>
      </c>
      <c r="P100" s="64">
        <v>0.68</v>
      </c>
      <c r="Q100" s="64">
        <v>286.55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1010</v>
      </c>
      <c r="B101" s="64">
        <v>5.51</v>
      </c>
      <c r="C101" s="64">
        <v>14.55</v>
      </c>
      <c r="D101" s="64">
        <v>13.74</v>
      </c>
      <c r="E101" s="64">
        <v>1.1000000000000001</v>
      </c>
      <c r="F101" s="64">
        <v>0.44</v>
      </c>
      <c r="G101" s="64">
        <v>58.3</v>
      </c>
      <c r="H101" s="64">
        <v>21.87</v>
      </c>
      <c r="I101" s="64">
        <v>1.45</v>
      </c>
      <c r="J101" s="64">
        <v>0.08</v>
      </c>
      <c r="K101" s="64">
        <v>30.8</v>
      </c>
      <c r="L101" s="64">
        <v>24.32</v>
      </c>
      <c r="M101" s="64">
        <v>78.92</v>
      </c>
      <c r="N101" s="64">
        <v>8.5</v>
      </c>
      <c r="O101" s="64">
        <v>0</v>
      </c>
      <c r="P101" s="64">
        <v>0.71</v>
      </c>
      <c r="Q101" s="64">
        <v>302.08</v>
      </c>
      <c r="R101" s="198"/>
      <c r="S101" s="198"/>
      <c r="T101" s="198"/>
      <c r="U101" s="198"/>
    </row>
    <row r="102" spans="1:33" s="12" customFormat="1" x14ac:dyDescent="0.25">
      <c r="A102" s="214" t="s">
        <v>1011</v>
      </c>
      <c r="B102" s="64">
        <v>5.24</v>
      </c>
      <c r="C102" s="64">
        <v>14.17</v>
      </c>
      <c r="D102" s="64">
        <v>13.32</v>
      </c>
      <c r="E102" s="64">
        <v>0.55000000000000004</v>
      </c>
      <c r="F102" s="64">
        <v>0.73</v>
      </c>
      <c r="G102" s="64">
        <v>58.3</v>
      </c>
      <c r="H102" s="64">
        <v>21.87</v>
      </c>
      <c r="I102" s="64">
        <v>1.5</v>
      </c>
      <c r="J102" s="64">
        <v>0.04</v>
      </c>
      <c r="K102" s="64">
        <v>23.97</v>
      </c>
      <c r="L102" s="64">
        <v>24.21</v>
      </c>
      <c r="M102" s="64">
        <v>79.95</v>
      </c>
      <c r="N102" s="64">
        <v>8.6999999999999993</v>
      </c>
      <c r="O102" s="64">
        <v>0</v>
      </c>
      <c r="P102" s="64">
        <v>0.71</v>
      </c>
      <c r="Q102" s="64">
        <v>303.05</v>
      </c>
      <c r="R102" s="198"/>
      <c r="S102" s="198"/>
      <c r="T102" s="198"/>
      <c r="U102" s="198"/>
    </row>
    <row r="103" spans="1:33" s="12" customFormat="1" x14ac:dyDescent="0.25">
      <c r="A103" s="214" t="s">
        <v>1012</v>
      </c>
      <c r="B103" s="64">
        <v>5.08</v>
      </c>
      <c r="C103" s="64">
        <v>13.91</v>
      </c>
      <c r="D103" s="64">
        <v>13.04</v>
      </c>
      <c r="E103" s="64">
        <v>0.57999999999999996</v>
      </c>
      <c r="F103" s="64">
        <v>0.39</v>
      </c>
      <c r="G103" s="64">
        <v>58.3</v>
      </c>
      <c r="H103" s="64">
        <v>21.87</v>
      </c>
      <c r="I103" s="64">
        <v>1.4</v>
      </c>
      <c r="J103" s="64">
        <v>0.05</v>
      </c>
      <c r="K103" s="64">
        <v>232.21</v>
      </c>
      <c r="L103" s="64">
        <v>24.12</v>
      </c>
      <c r="M103" s="64">
        <v>80.53</v>
      </c>
      <c r="N103" s="64">
        <v>8.6</v>
      </c>
      <c r="O103" s="64">
        <v>0</v>
      </c>
      <c r="P103" s="64">
        <v>0.64</v>
      </c>
      <c r="Q103" s="64">
        <v>307.52999999999997</v>
      </c>
      <c r="R103" s="198"/>
      <c r="S103" s="198"/>
      <c r="T103" s="198"/>
      <c r="U103" s="198"/>
    </row>
    <row r="104" spans="1:33" s="12" customFormat="1" x14ac:dyDescent="0.25">
      <c r="A104" s="214" t="s">
        <v>1013</v>
      </c>
      <c r="B104" s="64">
        <v>4.92</v>
      </c>
      <c r="C104" s="64">
        <v>13.08</v>
      </c>
      <c r="D104" s="64">
        <v>12.46</v>
      </c>
      <c r="E104" s="64">
        <v>0.33</v>
      </c>
      <c r="F104" s="64">
        <v>0.65</v>
      </c>
      <c r="G104" s="64">
        <v>59.41</v>
      </c>
      <c r="H104" s="64">
        <v>22.36</v>
      </c>
      <c r="I104" s="64">
        <v>1.55</v>
      </c>
      <c r="J104" s="64">
        <v>0.02</v>
      </c>
      <c r="K104" s="64">
        <v>275.49</v>
      </c>
      <c r="L104" s="64">
        <v>24.06</v>
      </c>
      <c r="M104" s="64">
        <v>80.94</v>
      </c>
      <c r="N104" s="64">
        <v>8.6</v>
      </c>
      <c r="O104" s="64">
        <v>0</v>
      </c>
      <c r="P104" s="64">
        <v>0.67</v>
      </c>
      <c r="Q104" s="64">
        <v>309.11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2.21</v>
      </c>
      <c r="C106" s="67">
        <f>MIN(C9:C104)</f>
        <v>12.15</v>
      </c>
      <c r="D106" s="67">
        <f t="shared" ref="D106:Q106" si="0">MIN(D9:D104)</f>
        <v>11.59</v>
      </c>
      <c r="E106" s="67">
        <f t="shared" si="0"/>
        <v>0.18</v>
      </c>
      <c r="F106" s="67">
        <f t="shared" si="0"/>
        <v>0.04</v>
      </c>
      <c r="G106" s="67">
        <f t="shared" si="0"/>
        <v>54.82</v>
      </c>
      <c r="H106" s="67">
        <f t="shared" si="0"/>
        <v>17.43</v>
      </c>
      <c r="I106" s="67">
        <f t="shared" si="0"/>
        <v>1.39</v>
      </c>
      <c r="J106" s="67">
        <f t="shared" si="0"/>
        <v>0.01</v>
      </c>
      <c r="K106" s="67">
        <f t="shared" si="0"/>
        <v>16.04</v>
      </c>
      <c r="L106" s="67">
        <f t="shared" si="0"/>
        <v>20.27</v>
      </c>
      <c r="M106" s="67">
        <f t="shared" si="0"/>
        <v>28.16</v>
      </c>
      <c r="N106" s="67">
        <f t="shared" si="0"/>
        <v>8</v>
      </c>
      <c r="O106" s="67">
        <f t="shared" si="0"/>
        <v>0</v>
      </c>
      <c r="P106" s="67">
        <f t="shared" si="0"/>
        <v>0.47</v>
      </c>
      <c r="Q106" s="67">
        <f t="shared" si="0"/>
        <v>24.48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39.92</v>
      </c>
      <c r="C107" s="66">
        <f t="shared" ref="C107:Q107" si="1">MAX(C9:C104)</f>
        <v>22.35</v>
      </c>
      <c r="D107" s="66">
        <f t="shared" si="1"/>
        <v>42.7</v>
      </c>
      <c r="E107" s="66">
        <f t="shared" si="1"/>
        <v>3.92</v>
      </c>
      <c r="F107" s="66">
        <f t="shared" si="1"/>
        <v>1.93</v>
      </c>
      <c r="G107" s="66">
        <f t="shared" si="1"/>
        <v>87</v>
      </c>
      <c r="H107" s="66">
        <f t="shared" si="1"/>
        <v>37.04</v>
      </c>
      <c r="I107" s="66">
        <f t="shared" si="1"/>
        <v>1.59</v>
      </c>
      <c r="J107" s="66">
        <f t="shared" si="1"/>
        <v>1.28</v>
      </c>
      <c r="K107" s="66">
        <f t="shared" si="1"/>
        <v>357.94</v>
      </c>
      <c r="L107" s="66">
        <f t="shared" si="1"/>
        <v>35.93</v>
      </c>
      <c r="M107" s="66">
        <f t="shared" si="1"/>
        <v>98.57</v>
      </c>
      <c r="N107" s="66">
        <f t="shared" si="1"/>
        <v>875.8</v>
      </c>
      <c r="O107" s="66">
        <f t="shared" si="1"/>
        <v>0</v>
      </c>
      <c r="P107" s="66">
        <f t="shared" si="1"/>
        <v>1.33</v>
      </c>
      <c r="Q107" s="66">
        <f t="shared" si="1"/>
        <v>448.98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11.718854166666667</v>
      </c>
      <c r="C108" s="67">
        <f t="shared" ref="C108:Q108" si="2">AVERAGE(C9:C104)</f>
        <v>16.210416666666674</v>
      </c>
      <c r="D108" s="67">
        <f t="shared" si="2"/>
        <v>19.636145833333334</v>
      </c>
      <c r="E108" s="67">
        <f t="shared" si="2"/>
        <v>1.4001041666666671</v>
      </c>
      <c r="F108" s="67">
        <f t="shared" si="2"/>
        <v>0.66218750000000004</v>
      </c>
      <c r="G108" s="67">
        <f t="shared" si="2"/>
        <v>70.92916666666666</v>
      </c>
      <c r="H108" s="67">
        <f t="shared" si="2"/>
        <v>23.802916666666675</v>
      </c>
      <c r="I108" s="67">
        <f t="shared" si="2"/>
        <v>1.4953125000000005</v>
      </c>
      <c r="J108" s="67">
        <f t="shared" si="2"/>
        <v>0.31739583333333327</v>
      </c>
      <c r="K108" s="67">
        <f t="shared" si="2"/>
        <v>233.35885416666665</v>
      </c>
      <c r="L108" s="67">
        <f t="shared" si="2"/>
        <v>26.931249999999995</v>
      </c>
      <c r="M108" s="67">
        <f t="shared" si="2"/>
        <v>65.011354166666692</v>
      </c>
      <c r="N108" s="67">
        <f t="shared" si="2"/>
        <v>217.81562499999993</v>
      </c>
      <c r="O108" s="67">
        <f t="shared" si="2"/>
        <v>0</v>
      </c>
      <c r="P108" s="67">
        <f t="shared" si="2"/>
        <v>0.76645833333333357</v>
      </c>
      <c r="Q108" s="67">
        <f t="shared" si="2"/>
        <v>269.81999999999988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10.080986571372527</v>
      </c>
      <c r="C109" s="67">
        <f t="shared" ref="C109:Q109" si="3">STDEV(C9:C104)</f>
        <v>2.3742788009332747</v>
      </c>
      <c r="D109" s="67">
        <f t="shared" si="3"/>
        <v>7.911612167839003</v>
      </c>
      <c r="E109" s="67">
        <f t="shared" si="3"/>
        <v>0.7422419733010408</v>
      </c>
      <c r="F109" s="67">
        <f t="shared" si="3"/>
        <v>0.45056970516283773</v>
      </c>
      <c r="G109" s="67">
        <f t="shared" si="3"/>
        <v>9.7322265172190203</v>
      </c>
      <c r="H109" s="67">
        <f t="shared" si="3"/>
        <v>4.0483004664508666</v>
      </c>
      <c r="I109" s="67">
        <f t="shared" si="3"/>
        <v>4.4294543444394728E-2</v>
      </c>
      <c r="J109" s="67">
        <f t="shared" si="3"/>
        <v>0.32452798043885106</v>
      </c>
      <c r="K109" s="67">
        <f t="shared" si="3"/>
        <v>97.277493982500204</v>
      </c>
      <c r="L109" s="67">
        <f t="shared" si="3"/>
        <v>5.0781851814248</v>
      </c>
      <c r="M109" s="67">
        <f t="shared" si="3"/>
        <v>22.944424462958359</v>
      </c>
      <c r="N109" s="67">
        <f t="shared" si="3"/>
        <v>313.42117630002207</v>
      </c>
      <c r="O109" s="67">
        <f t="shared" si="3"/>
        <v>0</v>
      </c>
      <c r="P109" s="67">
        <f t="shared" si="3"/>
        <v>0.16475167384608805</v>
      </c>
      <c r="Q109" s="67">
        <f t="shared" si="3"/>
        <v>131.23699180851196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40" sqref="G14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1014</v>
      </c>
      <c r="B9" s="64">
        <v>4.9000000000000004</v>
      </c>
      <c r="C9" s="64">
        <v>13.4</v>
      </c>
      <c r="D9" s="64">
        <v>12.62</v>
      </c>
      <c r="E9" s="64">
        <v>0.27</v>
      </c>
      <c r="F9" s="64">
        <v>0.38</v>
      </c>
      <c r="G9" s="64">
        <v>60.38</v>
      </c>
      <c r="H9" s="64">
        <v>22.73</v>
      </c>
      <c r="I9" s="64">
        <v>1.47</v>
      </c>
      <c r="J9" s="64">
        <v>0.08</v>
      </c>
      <c r="K9" s="64">
        <v>253.29</v>
      </c>
      <c r="L9" s="64">
        <v>23.87</v>
      </c>
      <c r="M9" s="64">
        <v>82.14</v>
      </c>
      <c r="N9" s="64">
        <v>8.9</v>
      </c>
      <c r="O9" s="64">
        <v>0</v>
      </c>
      <c r="P9" s="64">
        <v>0.63</v>
      </c>
      <c r="Q9" s="64">
        <v>305.93</v>
      </c>
      <c r="R9" s="198"/>
      <c r="S9" s="198"/>
      <c r="T9" s="198"/>
      <c r="U9" s="198"/>
    </row>
    <row r="10" spans="1:21" s="12" customFormat="1" x14ac:dyDescent="0.25">
      <c r="A10" s="214" t="s">
        <v>1015</v>
      </c>
      <c r="B10" s="64">
        <v>4.8899999999999997</v>
      </c>
      <c r="C10" s="64">
        <v>12.75</v>
      </c>
      <c r="D10" s="64">
        <v>12.26</v>
      </c>
      <c r="E10" s="64">
        <v>0.67</v>
      </c>
      <c r="F10" s="64">
        <v>0.62</v>
      </c>
      <c r="G10" s="64">
        <v>60.38</v>
      </c>
      <c r="H10" s="64">
        <v>22.73</v>
      </c>
      <c r="I10" s="64">
        <v>1.53</v>
      </c>
      <c r="J10" s="64">
        <v>0.06</v>
      </c>
      <c r="K10" s="64">
        <v>273.41000000000003</v>
      </c>
      <c r="L10" s="64">
        <v>23.68</v>
      </c>
      <c r="M10" s="64">
        <v>81.87</v>
      </c>
      <c r="N10" s="64">
        <v>8.6</v>
      </c>
      <c r="O10" s="64">
        <v>0</v>
      </c>
      <c r="P10" s="64">
        <v>0.63</v>
      </c>
      <c r="Q10" s="64">
        <v>301.63</v>
      </c>
      <c r="R10" s="198"/>
      <c r="S10" s="198"/>
      <c r="T10" s="198"/>
      <c r="U10" s="198"/>
    </row>
    <row r="11" spans="1:21" s="12" customFormat="1" x14ac:dyDescent="0.25">
      <c r="A11" s="214" t="s">
        <v>1016</v>
      </c>
      <c r="B11" s="64">
        <v>5.0599999999999996</v>
      </c>
      <c r="C11" s="64">
        <v>12.26</v>
      </c>
      <c r="D11" s="64">
        <v>12.12</v>
      </c>
      <c r="E11" s="64">
        <v>0.17</v>
      </c>
      <c r="F11" s="64">
        <v>0.47</v>
      </c>
      <c r="G11" s="64">
        <v>60.38</v>
      </c>
      <c r="H11" s="64">
        <v>22.73</v>
      </c>
      <c r="I11" s="64">
        <v>1.53</v>
      </c>
      <c r="J11" s="64">
        <v>0.05</v>
      </c>
      <c r="K11" s="64">
        <v>315.70999999999998</v>
      </c>
      <c r="L11" s="64">
        <v>23.84</v>
      </c>
      <c r="M11" s="64">
        <v>79.09</v>
      </c>
      <c r="N11" s="64">
        <v>8.8000000000000007</v>
      </c>
      <c r="O11" s="64">
        <v>0</v>
      </c>
      <c r="P11" s="64">
        <v>0.55000000000000004</v>
      </c>
      <c r="Q11" s="64">
        <v>257.35000000000002</v>
      </c>
      <c r="R11" s="198"/>
      <c r="S11" s="198"/>
      <c r="T11" s="198"/>
      <c r="U11" s="198"/>
    </row>
    <row r="12" spans="1:21" s="12" customFormat="1" x14ac:dyDescent="0.25">
      <c r="A12" s="214" t="s">
        <v>1017</v>
      </c>
      <c r="B12" s="64">
        <v>5.2</v>
      </c>
      <c r="C12" s="64">
        <v>11.75</v>
      </c>
      <c r="D12" s="64">
        <v>11.95</v>
      </c>
      <c r="E12" s="64">
        <v>0.21</v>
      </c>
      <c r="F12" s="64">
        <v>0.25</v>
      </c>
      <c r="G12" s="64">
        <v>59.01</v>
      </c>
      <c r="H12" s="64">
        <v>20.5</v>
      </c>
      <c r="I12" s="64">
        <v>1.46</v>
      </c>
      <c r="J12" s="64">
        <v>7.0000000000000007E-2</v>
      </c>
      <c r="K12" s="64">
        <v>221.21</v>
      </c>
      <c r="L12" s="64">
        <v>23.72</v>
      </c>
      <c r="M12" s="64">
        <v>80.349999999999994</v>
      </c>
      <c r="N12" s="64">
        <v>8.6</v>
      </c>
      <c r="O12" s="64">
        <v>0</v>
      </c>
      <c r="P12" s="64">
        <v>0.56000000000000005</v>
      </c>
      <c r="Q12" s="64">
        <v>250.88</v>
      </c>
      <c r="R12" s="198"/>
      <c r="S12" s="198"/>
      <c r="T12" s="198"/>
      <c r="U12" s="198"/>
    </row>
    <row r="13" spans="1:21" s="12" customFormat="1" x14ac:dyDescent="0.25">
      <c r="A13" s="214" t="s">
        <v>1018</v>
      </c>
      <c r="B13" s="64">
        <v>5.28</v>
      </c>
      <c r="C13" s="64">
        <v>11.62</v>
      </c>
      <c r="D13" s="64">
        <v>11.94</v>
      </c>
      <c r="E13" s="64">
        <v>0.33</v>
      </c>
      <c r="F13" s="64">
        <v>0.59</v>
      </c>
      <c r="G13" s="64">
        <v>57.82</v>
      </c>
      <c r="H13" s="64">
        <v>19.62</v>
      </c>
      <c r="I13" s="64">
        <v>1.51</v>
      </c>
      <c r="J13" s="64">
        <v>0.03</v>
      </c>
      <c r="K13" s="64">
        <v>265.44</v>
      </c>
      <c r="L13" s="64">
        <v>23.57</v>
      </c>
      <c r="M13" s="64">
        <v>82.98</v>
      </c>
      <c r="N13" s="64">
        <v>8.6</v>
      </c>
      <c r="O13" s="64">
        <v>0</v>
      </c>
      <c r="P13" s="64">
        <v>0.62</v>
      </c>
      <c r="Q13" s="64">
        <v>237.04</v>
      </c>
      <c r="R13" s="198"/>
      <c r="S13" s="198"/>
      <c r="T13" s="198"/>
      <c r="U13" s="198"/>
    </row>
    <row r="14" spans="1:21" s="12" customFormat="1" x14ac:dyDescent="0.25">
      <c r="A14" s="214" t="s">
        <v>1019</v>
      </c>
      <c r="B14" s="64">
        <v>5.29</v>
      </c>
      <c r="C14" s="64">
        <v>12.17</v>
      </c>
      <c r="D14" s="64">
        <v>12.25</v>
      </c>
      <c r="E14" s="64">
        <v>0.73</v>
      </c>
      <c r="F14" s="64">
        <v>0.25</v>
      </c>
      <c r="G14" s="64">
        <v>57.82</v>
      </c>
      <c r="H14" s="64">
        <v>19.62</v>
      </c>
      <c r="I14" s="64">
        <v>1.62</v>
      </c>
      <c r="J14" s="64">
        <v>7.0000000000000007E-2</v>
      </c>
      <c r="K14" s="64">
        <v>182.97</v>
      </c>
      <c r="L14" s="64">
        <v>23.1</v>
      </c>
      <c r="M14" s="64">
        <v>87.16</v>
      </c>
      <c r="N14" s="64">
        <v>8.9</v>
      </c>
      <c r="O14" s="64">
        <v>0</v>
      </c>
      <c r="P14" s="64">
        <v>0.59</v>
      </c>
      <c r="Q14" s="64">
        <v>242.45</v>
      </c>
      <c r="R14" s="198"/>
      <c r="S14" s="198"/>
      <c r="T14" s="198"/>
      <c r="U14" s="198"/>
    </row>
    <row r="15" spans="1:21" s="12" customFormat="1" x14ac:dyDescent="0.25">
      <c r="A15" s="214" t="s">
        <v>1020</v>
      </c>
      <c r="B15" s="64">
        <v>5.3</v>
      </c>
      <c r="C15" s="64">
        <v>13.49</v>
      </c>
      <c r="D15" s="64">
        <v>12.99</v>
      </c>
      <c r="E15" s="64">
        <v>0.86</v>
      </c>
      <c r="F15" s="64">
        <v>0.35</v>
      </c>
      <c r="G15" s="64">
        <v>57.82</v>
      </c>
      <c r="H15" s="64">
        <v>19.62</v>
      </c>
      <c r="I15" s="64">
        <v>1.48</v>
      </c>
      <c r="J15" s="64">
        <v>0.04</v>
      </c>
      <c r="K15" s="64">
        <v>203.16</v>
      </c>
      <c r="L15" s="64">
        <v>22.75</v>
      </c>
      <c r="M15" s="64">
        <v>89.5</v>
      </c>
      <c r="N15" s="64">
        <v>8.9</v>
      </c>
      <c r="O15" s="64">
        <v>0</v>
      </c>
      <c r="P15" s="64">
        <v>0.63</v>
      </c>
      <c r="Q15" s="64">
        <v>251.65</v>
      </c>
      <c r="R15" s="198"/>
      <c r="S15" s="198"/>
      <c r="T15" s="198"/>
      <c r="U15" s="198"/>
    </row>
    <row r="16" spans="1:21" s="12" customFormat="1" x14ac:dyDescent="0.25">
      <c r="A16" s="214" t="s">
        <v>1021</v>
      </c>
      <c r="B16" s="64">
        <v>5.19</v>
      </c>
      <c r="C16" s="64">
        <v>13.84</v>
      </c>
      <c r="D16" s="64">
        <v>13.09</v>
      </c>
      <c r="E16" s="64">
        <v>0.69</v>
      </c>
      <c r="F16" s="64">
        <v>0.62</v>
      </c>
      <c r="G16" s="64">
        <v>55.69</v>
      </c>
      <c r="H16" s="64">
        <v>21.45</v>
      </c>
      <c r="I16" s="64">
        <v>1.44</v>
      </c>
      <c r="J16" s="64">
        <v>0.12</v>
      </c>
      <c r="K16" s="64">
        <v>191.93</v>
      </c>
      <c r="L16" s="64">
        <v>22.61</v>
      </c>
      <c r="M16" s="64">
        <v>90.3</v>
      </c>
      <c r="N16" s="64">
        <v>8.6999999999999993</v>
      </c>
      <c r="O16" s="64">
        <v>0</v>
      </c>
      <c r="P16" s="64">
        <v>0.6</v>
      </c>
      <c r="Q16" s="64">
        <v>271.20999999999998</v>
      </c>
      <c r="R16" s="198"/>
      <c r="S16" s="198"/>
      <c r="T16" s="198"/>
      <c r="U16" s="198"/>
    </row>
    <row r="17" spans="1:21" s="12" customFormat="1" x14ac:dyDescent="0.25">
      <c r="A17" s="214" t="s">
        <v>1022</v>
      </c>
      <c r="B17" s="64">
        <v>5.17</v>
      </c>
      <c r="C17" s="64">
        <v>13.35</v>
      </c>
      <c r="D17" s="64">
        <v>12.81</v>
      </c>
      <c r="E17" s="64">
        <v>0.34</v>
      </c>
      <c r="F17" s="64">
        <v>0.4</v>
      </c>
      <c r="G17" s="64">
        <v>53.83</v>
      </c>
      <c r="H17" s="64">
        <v>22.18</v>
      </c>
      <c r="I17" s="64">
        <v>1.54</v>
      </c>
      <c r="J17" s="64">
        <v>0.14000000000000001</v>
      </c>
      <c r="K17" s="64">
        <v>190.79</v>
      </c>
      <c r="L17" s="64">
        <v>22.43</v>
      </c>
      <c r="M17" s="64">
        <v>91.77</v>
      </c>
      <c r="N17" s="64">
        <v>8.8000000000000007</v>
      </c>
      <c r="O17" s="64">
        <v>0</v>
      </c>
      <c r="P17" s="64">
        <v>0.61</v>
      </c>
      <c r="Q17" s="64">
        <v>286.27</v>
      </c>
      <c r="R17" s="198"/>
      <c r="S17" s="198"/>
      <c r="T17" s="198"/>
      <c r="U17" s="198"/>
    </row>
    <row r="18" spans="1:21" s="12" customFormat="1" x14ac:dyDescent="0.25">
      <c r="A18" s="214" t="s">
        <v>1023</v>
      </c>
      <c r="B18" s="64">
        <v>5.15</v>
      </c>
      <c r="C18" s="64">
        <v>12.62</v>
      </c>
      <c r="D18" s="64">
        <v>12.39</v>
      </c>
      <c r="E18" s="64">
        <v>0.28999999999999998</v>
      </c>
      <c r="F18" s="64">
        <v>0.55000000000000004</v>
      </c>
      <c r="G18" s="64">
        <v>53.83</v>
      </c>
      <c r="H18" s="64">
        <v>22.18</v>
      </c>
      <c r="I18" s="64">
        <v>1.51</v>
      </c>
      <c r="J18" s="64">
        <v>0.06</v>
      </c>
      <c r="K18" s="64">
        <v>178.37</v>
      </c>
      <c r="L18" s="64">
        <v>22.21</v>
      </c>
      <c r="M18" s="64">
        <v>92.97</v>
      </c>
      <c r="N18" s="64">
        <v>8.8000000000000007</v>
      </c>
      <c r="O18" s="64">
        <v>0</v>
      </c>
      <c r="P18" s="64">
        <v>0.61</v>
      </c>
      <c r="Q18" s="64">
        <v>292.92</v>
      </c>
      <c r="R18" s="198"/>
      <c r="S18" s="198"/>
      <c r="T18" s="198"/>
      <c r="U18" s="198"/>
    </row>
    <row r="19" spans="1:21" s="12" customFormat="1" x14ac:dyDescent="0.25">
      <c r="A19" s="214" t="s">
        <v>1024</v>
      </c>
      <c r="B19" s="64">
        <v>5.19</v>
      </c>
      <c r="C19" s="64">
        <v>12.7</v>
      </c>
      <c r="D19" s="64">
        <v>12.46</v>
      </c>
      <c r="E19" s="64">
        <v>0.35</v>
      </c>
      <c r="F19" s="64">
        <v>0.38</v>
      </c>
      <c r="G19" s="64">
        <v>53.83</v>
      </c>
      <c r="H19" s="64">
        <v>22.18</v>
      </c>
      <c r="I19" s="64">
        <v>1.54</v>
      </c>
      <c r="J19" s="64">
        <v>0.15</v>
      </c>
      <c r="K19" s="64">
        <v>194.85</v>
      </c>
      <c r="L19" s="64">
        <v>22.13</v>
      </c>
      <c r="M19" s="64">
        <v>93.62</v>
      </c>
      <c r="N19" s="64">
        <v>8.6999999999999993</v>
      </c>
      <c r="O19" s="64">
        <v>0</v>
      </c>
      <c r="P19" s="64">
        <v>0.55000000000000004</v>
      </c>
      <c r="Q19" s="64">
        <v>291.33999999999997</v>
      </c>
      <c r="R19" s="198"/>
      <c r="S19" s="198"/>
      <c r="T19" s="198"/>
      <c r="U19" s="198"/>
    </row>
    <row r="20" spans="1:21" s="12" customFormat="1" x14ac:dyDescent="0.25">
      <c r="A20" s="214" t="s">
        <v>1025</v>
      </c>
      <c r="B20" s="64">
        <v>5.26</v>
      </c>
      <c r="C20" s="64">
        <v>11.43</v>
      </c>
      <c r="D20" s="64">
        <v>11.81</v>
      </c>
      <c r="E20" s="64">
        <v>0.66</v>
      </c>
      <c r="F20" s="64">
        <v>0.4</v>
      </c>
      <c r="G20" s="64">
        <v>51.95</v>
      </c>
      <c r="H20" s="64">
        <v>20.9</v>
      </c>
      <c r="I20" s="64">
        <v>1.47</v>
      </c>
      <c r="J20" s="64">
        <v>0.14000000000000001</v>
      </c>
      <c r="K20" s="64">
        <v>202.86</v>
      </c>
      <c r="L20" s="64">
        <v>22.01</v>
      </c>
      <c r="M20" s="64">
        <v>94.35</v>
      </c>
      <c r="N20" s="64">
        <v>8.6</v>
      </c>
      <c r="O20" s="64">
        <v>0</v>
      </c>
      <c r="P20" s="64">
        <v>0.56999999999999995</v>
      </c>
      <c r="Q20" s="64">
        <v>293.83</v>
      </c>
      <c r="R20" s="198"/>
      <c r="S20" s="198"/>
      <c r="T20" s="198"/>
      <c r="U20" s="198"/>
    </row>
    <row r="21" spans="1:21" s="12" customFormat="1" x14ac:dyDescent="0.25">
      <c r="A21" s="214" t="s">
        <v>1026</v>
      </c>
      <c r="B21" s="64">
        <v>5.32</v>
      </c>
      <c r="C21" s="64">
        <v>11.01</v>
      </c>
      <c r="D21" s="64">
        <v>11.64</v>
      </c>
      <c r="E21" s="64">
        <v>0.94</v>
      </c>
      <c r="F21" s="64">
        <v>0.25</v>
      </c>
      <c r="G21" s="64">
        <v>50.31</v>
      </c>
      <c r="H21" s="64">
        <v>20.38</v>
      </c>
      <c r="I21" s="64">
        <v>1.5</v>
      </c>
      <c r="J21" s="64">
        <v>0.06</v>
      </c>
      <c r="K21" s="64">
        <v>169.24</v>
      </c>
      <c r="L21" s="64">
        <v>22</v>
      </c>
      <c r="M21" s="64">
        <v>94.77</v>
      </c>
      <c r="N21" s="64">
        <v>8.6</v>
      </c>
      <c r="O21" s="64">
        <v>0</v>
      </c>
      <c r="P21" s="64">
        <v>0.56999999999999995</v>
      </c>
      <c r="Q21" s="64">
        <v>292.68</v>
      </c>
      <c r="R21" s="198"/>
      <c r="S21" s="198"/>
      <c r="T21" s="198"/>
      <c r="U21" s="198"/>
    </row>
    <row r="22" spans="1:21" s="12" customFormat="1" x14ac:dyDescent="0.25">
      <c r="A22" s="214" t="s">
        <v>1027</v>
      </c>
      <c r="B22" s="64">
        <v>5.47</v>
      </c>
      <c r="C22" s="64">
        <v>11.08</v>
      </c>
      <c r="D22" s="64">
        <v>11.79</v>
      </c>
      <c r="E22" s="64">
        <v>0.96</v>
      </c>
      <c r="F22" s="64">
        <v>0.11</v>
      </c>
      <c r="G22" s="64">
        <v>50.31</v>
      </c>
      <c r="H22" s="64">
        <v>20.38</v>
      </c>
      <c r="I22" s="64">
        <v>1.52</v>
      </c>
      <c r="J22" s="64">
        <v>0.06</v>
      </c>
      <c r="K22" s="64">
        <v>209.99</v>
      </c>
      <c r="L22" s="64">
        <v>21.89</v>
      </c>
      <c r="M22" s="64">
        <v>95.32</v>
      </c>
      <c r="N22" s="64">
        <v>8.6999999999999993</v>
      </c>
      <c r="O22" s="64">
        <v>0</v>
      </c>
      <c r="P22" s="64">
        <v>0.5</v>
      </c>
      <c r="Q22" s="64">
        <v>274.61</v>
      </c>
      <c r="R22" s="198"/>
      <c r="S22" s="198"/>
      <c r="T22" s="198"/>
      <c r="U22" s="198"/>
    </row>
    <row r="23" spans="1:21" s="12" customFormat="1" x14ac:dyDescent="0.25">
      <c r="A23" s="214" t="s">
        <v>1028</v>
      </c>
      <c r="B23" s="64">
        <v>5.76</v>
      </c>
      <c r="C23" s="64">
        <v>10.74</v>
      </c>
      <c r="D23" s="64">
        <v>11.84</v>
      </c>
      <c r="E23" s="64">
        <v>1.22</v>
      </c>
      <c r="F23" s="64">
        <v>0.38</v>
      </c>
      <c r="G23" s="64">
        <v>50.31</v>
      </c>
      <c r="H23" s="64">
        <v>20.38</v>
      </c>
      <c r="I23" s="64">
        <v>1.47</v>
      </c>
      <c r="J23" s="64">
        <v>0.03</v>
      </c>
      <c r="K23" s="64">
        <v>216.24</v>
      </c>
      <c r="L23" s="64">
        <v>21.69</v>
      </c>
      <c r="M23" s="64">
        <v>96.77</v>
      </c>
      <c r="N23" s="64">
        <v>8.8000000000000007</v>
      </c>
      <c r="O23" s="64">
        <v>0</v>
      </c>
      <c r="P23" s="64">
        <v>0.52</v>
      </c>
      <c r="Q23" s="64">
        <v>247.4</v>
      </c>
      <c r="R23" s="198"/>
      <c r="S23" s="198"/>
      <c r="T23" s="198"/>
      <c r="U23" s="198"/>
    </row>
    <row r="24" spans="1:21" s="12" customFormat="1" x14ac:dyDescent="0.25">
      <c r="A24" s="214" t="s">
        <v>1029</v>
      </c>
      <c r="B24" s="64">
        <v>6.16</v>
      </c>
      <c r="C24" s="64">
        <v>10.79</v>
      </c>
      <c r="D24" s="64">
        <v>12.18</v>
      </c>
      <c r="E24" s="64">
        <v>0.04</v>
      </c>
      <c r="F24" s="64">
        <v>0.41</v>
      </c>
      <c r="G24" s="64">
        <v>49.71</v>
      </c>
      <c r="H24" s="64">
        <v>21.07</v>
      </c>
      <c r="I24" s="64">
        <v>1.48</v>
      </c>
      <c r="J24" s="64">
        <v>0.03</v>
      </c>
      <c r="K24" s="64">
        <v>261.08999999999997</v>
      </c>
      <c r="L24" s="64">
        <v>21.78</v>
      </c>
      <c r="M24" s="64">
        <v>94.7</v>
      </c>
      <c r="N24" s="64">
        <v>8.6</v>
      </c>
      <c r="O24" s="64">
        <v>0</v>
      </c>
      <c r="P24" s="64">
        <v>0.48</v>
      </c>
      <c r="Q24" s="64">
        <v>229.38</v>
      </c>
      <c r="R24" s="198"/>
      <c r="S24" s="198"/>
      <c r="T24" s="198"/>
      <c r="U24" s="198"/>
    </row>
    <row r="25" spans="1:21" s="12" customFormat="1" x14ac:dyDescent="0.25">
      <c r="A25" s="214" t="s">
        <v>1030</v>
      </c>
      <c r="B25" s="64">
        <v>6.71</v>
      </c>
      <c r="C25" s="64">
        <v>10.79</v>
      </c>
      <c r="D25" s="64">
        <v>12.63</v>
      </c>
      <c r="E25" s="64">
        <v>0.87</v>
      </c>
      <c r="F25" s="64">
        <v>0.46</v>
      </c>
      <c r="G25" s="64">
        <v>49.18</v>
      </c>
      <c r="H25" s="64">
        <v>21.35</v>
      </c>
      <c r="I25" s="64">
        <v>1.49</v>
      </c>
      <c r="J25" s="64">
        <v>0.03</v>
      </c>
      <c r="K25" s="64">
        <v>277.68</v>
      </c>
      <c r="L25" s="64">
        <v>21.7</v>
      </c>
      <c r="M25" s="64">
        <v>95.31</v>
      </c>
      <c r="N25" s="64">
        <v>8.6999999999999993</v>
      </c>
      <c r="O25" s="64">
        <v>0</v>
      </c>
      <c r="P25" s="64">
        <v>0.52</v>
      </c>
      <c r="Q25" s="64">
        <v>231.79</v>
      </c>
      <c r="R25" s="198"/>
      <c r="S25" s="198"/>
      <c r="T25" s="198"/>
      <c r="U25" s="198"/>
    </row>
    <row r="26" spans="1:21" s="12" customFormat="1" x14ac:dyDescent="0.25">
      <c r="A26" s="214" t="s">
        <v>1031</v>
      </c>
      <c r="B26" s="64">
        <v>7.31</v>
      </c>
      <c r="C26" s="64">
        <v>11.47</v>
      </c>
      <c r="D26" s="64">
        <v>13.49</v>
      </c>
      <c r="E26" s="64">
        <v>1.43</v>
      </c>
      <c r="F26" s="64">
        <v>0.26</v>
      </c>
      <c r="G26" s="64">
        <v>49.18</v>
      </c>
      <c r="H26" s="64">
        <v>21.35</v>
      </c>
      <c r="I26" s="64">
        <v>1.46</v>
      </c>
      <c r="J26" s="64">
        <v>0.05</v>
      </c>
      <c r="K26" s="64">
        <v>298.36</v>
      </c>
      <c r="L26" s="64">
        <v>21.77</v>
      </c>
      <c r="M26" s="64">
        <v>94.54</v>
      </c>
      <c r="N26" s="64">
        <v>8.4</v>
      </c>
      <c r="O26" s="64">
        <v>0</v>
      </c>
      <c r="P26" s="64">
        <v>0.51</v>
      </c>
      <c r="Q26" s="64">
        <v>218.24</v>
      </c>
      <c r="R26" s="198"/>
      <c r="S26" s="198"/>
      <c r="T26" s="198"/>
      <c r="U26" s="198"/>
    </row>
    <row r="27" spans="1:21" s="12" customFormat="1" x14ac:dyDescent="0.25">
      <c r="A27" s="214" t="s">
        <v>1032</v>
      </c>
      <c r="B27" s="64">
        <v>7.44</v>
      </c>
      <c r="C27" s="64">
        <v>12.41</v>
      </c>
      <c r="D27" s="64">
        <v>14.1</v>
      </c>
      <c r="E27" s="64">
        <v>0.85</v>
      </c>
      <c r="F27" s="64">
        <v>0.46</v>
      </c>
      <c r="G27" s="64">
        <v>49.18</v>
      </c>
      <c r="H27" s="64">
        <v>21.35</v>
      </c>
      <c r="I27" s="64">
        <v>1.42</v>
      </c>
      <c r="J27" s="64">
        <v>7.0000000000000007E-2</v>
      </c>
      <c r="K27" s="64">
        <v>225.52</v>
      </c>
      <c r="L27" s="64">
        <v>21.98</v>
      </c>
      <c r="M27" s="64">
        <v>93.47</v>
      </c>
      <c r="N27" s="64">
        <v>8.3000000000000007</v>
      </c>
      <c r="O27" s="64">
        <v>0</v>
      </c>
      <c r="P27" s="64">
        <v>0.55000000000000004</v>
      </c>
      <c r="Q27" s="64">
        <v>247.65</v>
      </c>
      <c r="R27" s="198"/>
      <c r="S27" s="198"/>
      <c r="T27" s="198"/>
      <c r="U27" s="198"/>
    </row>
    <row r="28" spans="1:21" s="12" customFormat="1" x14ac:dyDescent="0.25">
      <c r="A28" s="214" t="s">
        <v>1033</v>
      </c>
      <c r="B28" s="64">
        <v>7.43</v>
      </c>
      <c r="C28" s="64">
        <v>13.5</v>
      </c>
      <c r="D28" s="64">
        <v>14.7</v>
      </c>
      <c r="E28" s="64">
        <v>1.48</v>
      </c>
      <c r="F28" s="64">
        <v>0.3</v>
      </c>
      <c r="G28" s="64">
        <v>49.78</v>
      </c>
      <c r="H28" s="64">
        <v>20.96</v>
      </c>
      <c r="I28" s="64">
        <v>1.49</v>
      </c>
      <c r="J28" s="64">
        <v>0.14000000000000001</v>
      </c>
      <c r="K28" s="64">
        <v>196.03</v>
      </c>
      <c r="L28" s="64">
        <v>21.7</v>
      </c>
      <c r="M28" s="64">
        <v>96.11</v>
      </c>
      <c r="N28" s="64">
        <v>8.5</v>
      </c>
      <c r="O28" s="64">
        <v>0</v>
      </c>
      <c r="P28" s="64">
        <v>0.54</v>
      </c>
      <c r="Q28" s="64">
        <v>264.29000000000002</v>
      </c>
      <c r="R28" s="198"/>
      <c r="S28" s="198"/>
      <c r="T28" s="198"/>
      <c r="U28" s="198"/>
    </row>
    <row r="29" spans="1:21" s="12" customFormat="1" x14ac:dyDescent="0.25">
      <c r="A29" s="214" t="s">
        <v>1034</v>
      </c>
      <c r="B29" s="64">
        <v>7.61</v>
      </c>
      <c r="C29" s="64">
        <v>13.1</v>
      </c>
      <c r="D29" s="64">
        <v>14.63</v>
      </c>
      <c r="E29" s="64">
        <v>1.81</v>
      </c>
      <c r="F29" s="64">
        <v>0.15</v>
      </c>
      <c r="G29" s="64">
        <v>50.3</v>
      </c>
      <c r="H29" s="64">
        <v>20.8</v>
      </c>
      <c r="I29" s="64">
        <v>1.55</v>
      </c>
      <c r="J29" s="64">
        <v>0.09</v>
      </c>
      <c r="K29" s="64">
        <v>209.74</v>
      </c>
      <c r="L29" s="64">
        <v>21.48</v>
      </c>
      <c r="M29" s="64">
        <v>97.75</v>
      </c>
      <c r="N29" s="64">
        <v>8.6</v>
      </c>
      <c r="O29" s="64">
        <v>0</v>
      </c>
      <c r="P29" s="64">
        <v>0.53</v>
      </c>
      <c r="Q29" s="64">
        <v>275.43</v>
      </c>
      <c r="R29" s="198"/>
      <c r="S29" s="198"/>
      <c r="T29" s="198"/>
      <c r="U29" s="198"/>
    </row>
    <row r="30" spans="1:21" s="12" customFormat="1" x14ac:dyDescent="0.25">
      <c r="A30" s="214" t="s">
        <v>1035</v>
      </c>
      <c r="B30" s="64">
        <v>7.83</v>
      </c>
      <c r="C30" s="64">
        <v>12.33</v>
      </c>
      <c r="D30" s="64">
        <v>14.38</v>
      </c>
      <c r="E30" s="64">
        <v>1.1000000000000001</v>
      </c>
      <c r="F30" s="64">
        <v>0.39</v>
      </c>
      <c r="G30" s="64">
        <v>50.3</v>
      </c>
      <c r="H30" s="64">
        <v>20.8</v>
      </c>
      <c r="I30" s="64">
        <v>1.5</v>
      </c>
      <c r="J30" s="64">
        <v>0.04</v>
      </c>
      <c r="K30" s="64">
        <v>351.64</v>
      </c>
      <c r="L30" s="64">
        <v>21.34</v>
      </c>
      <c r="M30" s="64">
        <v>98.37</v>
      </c>
      <c r="N30" s="64">
        <v>8.8000000000000007</v>
      </c>
      <c r="O30" s="64">
        <v>0</v>
      </c>
      <c r="P30" s="64">
        <v>0.53</v>
      </c>
      <c r="Q30" s="64">
        <v>280.32</v>
      </c>
      <c r="R30" s="198"/>
      <c r="S30" s="198"/>
      <c r="T30" s="198"/>
      <c r="U30" s="198"/>
    </row>
    <row r="31" spans="1:21" s="12" customFormat="1" x14ac:dyDescent="0.25">
      <c r="A31" s="214" t="s">
        <v>1036</v>
      </c>
      <c r="B31" s="64">
        <v>7.96</v>
      </c>
      <c r="C31" s="64">
        <v>11.84</v>
      </c>
      <c r="D31" s="64">
        <v>14.21</v>
      </c>
      <c r="E31" s="64">
        <v>0.91</v>
      </c>
      <c r="F31" s="64">
        <v>0.46</v>
      </c>
      <c r="G31" s="64">
        <v>50.3</v>
      </c>
      <c r="H31" s="64">
        <v>20.8</v>
      </c>
      <c r="I31" s="64">
        <v>1.55</v>
      </c>
      <c r="J31" s="64">
        <v>0.05</v>
      </c>
      <c r="K31" s="64">
        <v>21.57</v>
      </c>
      <c r="L31" s="64">
        <v>21.2</v>
      </c>
      <c r="M31" s="64">
        <v>98.75</v>
      </c>
      <c r="N31" s="64">
        <v>10.6</v>
      </c>
      <c r="O31" s="64">
        <v>0</v>
      </c>
      <c r="P31" s="64">
        <v>0.51</v>
      </c>
      <c r="Q31" s="64">
        <v>274.24</v>
      </c>
      <c r="R31" s="198"/>
      <c r="S31" s="198"/>
      <c r="T31" s="198"/>
      <c r="U31" s="198"/>
    </row>
    <row r="32" spans="1:21" s="12" customFormat="1" x14ac:dyDescent="0.25">
      <c r="A32" s="214" t="s">
        <v>1037</v>
      </c>
      <c r="B32" s="64">
        <v>8.07</v>
      </c>
      <c r="C32" s="64">
        <v>11.57</v>
      </c>
      <c r="D32" s="64">
        <v>14.15</v>
      </c>
      <c r="E32" s="64">
        <v>0.93</v>
      </c>
      <c r="F32" s="64">
        <v>0.18</v>
      </c>
      <c r="G32" s="64">
        <v>48.15</v>
      </c>
      <c r="H32" s="64">
        <v>20.8</v>
      </c>
      <c r="I32" s="64">
        <v>1.42</v>
      </c>
      <c r="J32" s="64">
        <v>0.04</v>
      </c>
      <c r="K32" s="64">
        <v>237.65</v>
      </c>
      <c r="L32" s="64">
        <v>21.09</v>
      </c>
      <c r="M32" s="64">
        <v>98.79</v>
      </c>
      <c r="N32" s="64">
        <v>17.100000000000001</v>
      </c>
      <c r="O32" s="64">
        <v>0</v>
      </c>
      <c r="P32" s="64">
        <v>0.51</v>
      </c>
      <c r="Q32" s="64">
        <v>284.14</v>
      </c>
      <c r="R32" s="198"/>
      <c r="S32" s="198"/>
      <c r="T32" s="198"/>
      <c r="U32" s="198"/>
    </row>
    <row r="33" spans="1:21" s="12" customFormat="1" x14ac:dyDescent="0.25">
      <c r="A33" s="214" t="s">
        <v>1038</v>
      </c>
      <c r="B33" s="64">
        <v>8.34</v>
      </c>
      <c r="C33" s="64">
        <v>11.42</v>
      </c>
      <c r="D33" s="64">
        <v>14.28</v>
      </c>
      <c r="E33" s="64">
        <v>1.21</v>
      </c>
      <c r="F33" s="64">
        <v>0.5</v>
      </c>
      <c r="G33" s="64">
        <v>46.27</v>
      </c>
      <c r="H33" s="64">
        <v>20.8</v>
      </c>
      <c r="I33" s="64">
        <v>1.47</v>
      </c>
      <c r="J33" s="64">
        <v>0.04</v>
      </c>
      <c r="K33" s="64">
        <v>204.34</v>
      </c>
      <c r="L33" s="64">
        <v>21.21</v>
      </c>
      <c r="M33" s="64">
        <v>98.76</v>
      </c>
      <c r="N33" s="64">
        <v>33.1</v>
      </c>
      <c r="O33" s="64">
        <v>0</v>
      </c>
      <c r="P33" s="64">
        <v>0.52</v>
      </c>
      <c r="Q33" s="64">
        <v>281.72000000000003</v>
      </c>
      <c r="R33" s="198"/>
      <c r="S33" s="198"/>
      <c r="T33" s="198"/>
      <c r="U33" s="198"/>
    </row>
    <row r="34" spans="1:21" s="12" customFormat="1" x14ac:dyDescent="0.25">
      <c r="A34" s="214" t="s">
        <v>1039</v>
      </c>
      <c r="B34" s="64">
        <v>8.7100000000000009</v>
      </c>
      <c r="C34" s="64">
        <v>10.97</v>
      </c>
      <c r="D34" s="64">
        <v>14.33</v>
      </c>
      <c r="E34" s="64">
        <v>0.66</v>
      </c>
      <c r="F34" s="64">
        <v>0.03</v>
      </c>
      <c r="G34" s="64">
        <v>46.27</v>
      </c>
      <c r="H34" s="64">
        <v>20.8</v>
      </c>
      <c r="I34" s="64">
        <v>1.53</v>
      </c>
      <c r="J34" s="64">
        <v>0.01</v>
      </c>
      <c r="K34" s="64">
        <v>0.87</v>
      </c>
      <c r="L34" s="64">
        <v>21.57</v>
      </c>
      <c r="M34" s="64">
        <v>97.44</v>
      </c>
      <c r="N34" s="64">
        <v>60.9</v>
      </c>
      <c r="O34" s="64">
        <v>0</v>
      </c>
      <c r="P34" s="64">
        <v>0.52</v>
      </c>
      <c r="Q34" s="64">
        <v>254.87</v>
      </c>
      <c r="R34" s="198"/>
      <c r="S34" s="198"/>
      <c r="T34" s="198"/>
      <c r="U34" s="198"/>
    </row>
    <row r="35" spans="1:21" s="12" customFormat="1" x14ac:dyDescent="0.25">
      <c r="A35" s="214" t="s">
        <v>1040</v>
      </c>
      <c r="B35" s="64">
        <v>9.39</v>
      </c>
      <c r="C35" s="64">
        <v>10.220000000000001</v>
      </c>
      <c r="D35" s="64">
        <v>14.46</v>
      </c>
      <c r="E35" s="64">
        <v>0.51</v>
      </c>
      <c r="F35" s="64">
        <v>0.75</v>
      </c>
      <c r="G35" s="64">
        <v>46.27</v>
      </c>
      <c r="H35" s="64">
        <v>20.8</v>
      </c>
      <c r="I35" s="64">
        <v>1.43</v>
      </c>
      <c r="J35" s="64">
        <v>0.08</v>
      </c>
      <c r="K35" s="64">
        <v>2.5299999999999998</v>
      </c>
      <c r="L35" s="64">
        <v>22.5</v>
      </c>
      <c r="M35" s="64">
        <v>91.79</v>
      </c>
      <c r="N35" s="64">
        <v>105</v>
      </c>
      <c r="O35" s="64">
        <v>0</v>
      </c>
      <c r="P35" s="64">
        <v>0.55000000000000004</v>
      </c>
      <c r="Q35" s="64">
        <v>227.35</v>
      </c>
      <c r="R35" s="198"/>
      <c r="S35" s="198"/>
      <c r="T35" s="198"/>
      <c r="U35" s="198"/>
    </row>
    <row r="36" spans="1:21" s="12" customFormat="1" x14ac:dyDescent="0.25">
      <c r="A36" s="214" t="s">
        <v>1041</v>
      </c>
      <c r="B36" s="64">
        <v>9.9600000000000009</v>
      </c>
      <c r="C36" s="64">
        <v>10.42</v>
      </c>
      <c r="D36" s="64">
        <v>15.02</v>
      </c>
      <c r="E36" s="64">
        <v>1.25</v>
      </c>
      <c r="F36" s="64">
        <v>0.45</v>
      </c>
      <c r="G36" s="64">
        <v>47.64</v>
      </c>
      <c r="H36" s="64">
        <v>19.010000000000002</v>
      </c>
      <c r="I36" s="64">
        <v>1.45</v>
      </c>
      <c r="J36" s="64">
        <v>0.19</v>
      </c>
      <c r="K36" s="64">
        <v>351.49</v>
      </c>
      <c r="L36" s="64">
        <v>23.58</v>
      </c>
      <c r="M36" s="64">
        <v>86.52</v>
      </c>
      <c r="N36" s="64">
        <v>156.6</v>
      </c>
      <c r="O36" s="64">
        <v>0</v>
      </c>
      <c r="P36" s="64">
        <v>0.55000000000000004</v>
      </c>
      <c r="Q36" s="64">
        <v>236.86</v>
      </c>
      <c r="R36" s="198"/>
      <c r="S36" s="198"/>
      <c r="T36" s="198"/>
      <c r="U36" s="198"/>
    </row>
    <row r="37" spans="1:21" s="12" customFormat="1" x14ac:dyDescent="0.25">
      <c r="A37" s="214" t="s">
        <v>1042</v>
      </c>
      <c r="B37" s="64">
        <v>10.86</v>
      </c>
      <c r="C37" s="64">
        <v>11.3</v>
      </c>
      <c r="D37" s="64">
        <v>16.23</v>
      </c>
      <c r="E37" s="64">
        <v>1.19</v>
      </c>
      <c r="F37" s="64">
        <v>0.54</v>
      </c>
      <c r="G37" s="64">
        <v>48.84</v>
      </c>
      <c r="H37" s="64">
        <v>18.29</v>
      </c>
      <c r="I37" s="64">
        <v>1.52</v>
      </c>
      <c r="J37" s="64">
        <v>0.23</v>
      </c>
      <c r="K37" s="64">
        <v>357.41</v>
      </c>
      <c r="L37" s="64">
        <v>25.86</v>
      </c>
      <c r="M37" s="64">
        <v>75.69</v>
      </c>
      <c r="N37" s="64">
        <v>205.4</v>
      </c>
      <c r="O37" s="64">
        <v>0</v>
      </c>
      <c r="P37" s="64">
        <v>0.57999999999999996</v>
      </c>
      <c r="Q37" s="64">
        <v>222.89</v>
      </c>
      <c r="R37" s="198"/>
      <c r="S37" s="198"/>
      <c r="T37" s="198"/>
      <c r="U37" s="198"/>
    </row>
    <row r="38" spans="1:21" s="12" customFormat="1" x14ac:dyDescent="0.25">
      <c r="A38" s="214" t="s">
        <v>1043</v>
      </c>
      <c r="B38" s="64">
        <v>11.71</v>
      </c>
      <c r="C38" s="64">
        <v>11.71</v>
      </c>
      <c r="D38" s="64">
        <v>17.149999999999999</v>
      </c>
      <c r="E38" s="64">
        <v>1.1499999999999999</v>
      </c>
      <c r="F38" s="64">
        <v>0.25</v>
      </c>
      <c r="G38" s="64">
        <v>48.84</v>
      </c>
      <c r="H38" s="64">
        <v>18.29</v>
      </c>
      <c r="I38" s="64">
        <v>1.53</v>
      </c>
      <c r="J38" s="64">
        <v>0.18</v>
      </c>
      <c r="K38" s="64">
        <v>16.88</v>
      </c>
      <c r="L38" s="64">
        <v>25.93</v>
      </c>
      <c r="M38" s="64">
        <v>74.86</v>
      </c>
      <c r="N38" s="64">
        <v>265.10000000000002</v>
      </c>
      <c r="O38" s="64">
        <v>0</v>
      </c>
      <c r="P38" s="64">
        <v>0.56000000000000005</v>
      </c>
      <c r="Q38" s="64">
        <v>232.68</v>
      </c>
      <c r="R38" s="198"/>
      <c r="S38" s="198"/>
      <c r="T38" s="198"/>
      <c r="U38" s="198"/>
    </row>
    <row r="39" spans="1:21" s="12" customFormat="1" x14ac:dyDescent="0.25">
      <c r="A39" s="214" t="s">
        <v>1044</v>
      </c>
      <c r="B39" s="64">
        <v>11.92</v>
      </c>
      <c r="C39" s="64">
        <v>13.54</v>
      </c>
      <c r="D39" s="64">
        <v>18.32</v>
      </c>
      <c r="E39" s="64">
        <v>1.06</v>
      </c>
      <c r="F39" s="64">
        <v>0.41</v>
      </c>
      <c r="G39" s="64">
        <v>48.84</v>
      </c>
      <c r="H39" s="64">
        <v>18.29</v>
      </c>
      <c r="I39" s="64">
        <v>1.51</v>
      </c>
      <c r="J39" s="64">
        <v>0.12</v>
      </c>
      <c r="K39" s="64">
        <v>216.91</v>
      </c>
      <c r="L39" s="64">
        <v>26.14</v>
      </c>
      <c r="M39" s="64">
        <v>75.55</v>
      </c>
      <c r="N39" s="64">
        <v>325.3</v>
      </c>
      <c r="O39" s="64">
        <v>0</v>
      </c>
      <c r="P39" s="64">
        <v>0.57999999999999996</v>
      </c>
      <c r="Q39" s="64">
        <v>245.04</v>
      </c>
      <c r="R39" s="198"/>
      <c r="S39" s="198"/>
      <c r="T39" s="198"/>
      <c r="U39" s="198"/>
    </row>
    <row r="40" spans="1:21" s="12" customFormat="1" x14ac:dyDescent="0.25">
      <c r="A40" s="214" t="s">
        <v>1045</v>
      </c>
      <c r="B40" s="64">
        <v>11.75</v>
      </c>
      <c r="C40" s="64">
        <v>13.4</v>
      </c>
      <c r="D40" s="64">
        <v>18.11</v>
      </c>
      <c r="E40" s="64">
        <v>7.0000000000000007E-2</v>
      </c>
      <c r="F40" s="64">
        <v>0.16</v>
      </c>
      <c r="G40" s="64">
        <v>55.59</v>
      </c>
      <c r="H40" s="64">
        <v>20.6</v>
      </c>
      <c r="I40" s="64">
        <v>1.57</v>
      </c>
      <c r="J40" s="64">
        <v>0.15</v>
      </c>
      <c r="K40" s="64">
        <v>19.05</v>
      </c>
      <c r="L40" s="64">
        <v>26.52</v>
      </c>
      <c r="M40" s="64">
        <v>74.67</v>
      </c>
      <c r="N40" s="64">
        <v>376.6</v>
      </c>
      <c r="O40" s="64">
        <v>0</v>
      </c>
      <c r="P40" s="64">
        <v>0.59</v>
      </c>
      <c r="Q40" s="64">
        <v>260.66000000000003</v>
      </c>
      <c r="R40" s="198"/>
      <c r="S40" s="198"/>
      <c r="T40" s="198"/>
      <c r="U40" s="198"/>
    </row>
    <row r="41" spans="1:21" s="12" customFormat="1" x14ac:dyDescent="0.25">
      <c r="A41" s="214" t="s">
        <v>1046</v>
      </c>
      <c r="B41" s="64">
        <v>11.47</v>
      </c>
      <c r="C41" s="64">
        <v>13.19</v>
      </c>
      <c r="D41" s="64">
        <v>17.77</v>
      </c>
      <c r="E41" s="64">
        <v>0.51</v>
      </c>
      <c r="F41" s="64">
        <v>0.53</v>
      </c>
      <c r="G41" s="64">
        <v>61.5</v>
      </c>
      <c r="H41" s="64">
        <v>21.53</v>
      </c>
      <c r="I41" s="64">
        <v>1.45</v>
      </c>
      <c r="J41" s="64">
        <v>0.22</v>
      </c>
      <c r="K41" s="64">
        <v>19.739999999999998</v>
      </c>
      <c r="L41" s="64">
        <v>27.9</v>
      </c>
      <c r="M41" s="64">
        <v>66.78</v>
      </c>
      <c r="N41" s="64">
        <v>429</v>
      </c>
      <c r="O41" s="64">
        <v>0</v>
      </c>
      <c r="P41" s="64">
        <v>0.61</v>
      </c>
      <c r="Q41" s="64">
        <v>260.14999999999998</v>
      </c>
      <c r="R41" s="198"/>
      <c r="S41" s="198"/>
      <c r="T41" s="198"/>
      <c r="U41" s="198"/>
    </row>
    <row r="42" spans="1:21" s="12" customFormat="1" x14ac:dyDescent="0.25">
      <c r="A42" s="214" t="s">
        <v>1047</v>
      </c>
      <c r="B42" s="64">
        <v>11.09</v>
      </c>
      <c r="C42" s="64">
        <v>14.14</v>
      </c>
      <c r="D42" s="64">
        <v>17.98</v>
      </c>
      <c r="E42" s="64">
        <v>0.99</v>
      </c>
      <c r="F42" s="64">
        <v>0.34</v>
      </c>
      <c r="G42" s="64">
        <v>61.5</v>
      </c>
      <c r="H42" s="64">
        <v>21.53</v>
      </c>
      <c r="I42" s="64">
        <v>1.48</v>
      </c>
      <c r="J42" s="64">
        <v>0.24</v>
      </c>
      <c r="K42" s="64">
        <v>358.04</v>
      </c>
      <c r="L42" s="64">
        <v>28.94</v>
      </c>
      <c r="M42" s="64">
        <v>62.98</v>
      </c>
      <c r="N42" s="64">
        <v>489.5</v>
      </c>
      <c r="O42" s="64">
        <v>0</v>
      </c>
      <c r="P42" s="64">
        <v>0.64</v>
      </c>
      <c r="Q42" s="64">
        <v>265.69</v>
      </c>
      <c r="R42" s="198"/>
      <c r="S42" s="198"/>
      <c r="T42" s="198"/>
      <c r="U42" s="198"/>
    </row>
    <row r="43" spans="1:21" s="12" customFormat="1" x14ac:dyDescent="0.25">
      <c r="A43" s="214" t="s">
        <v>1048</v>
      </c>
      <c r="B43" s="64">
        <v>10.71</v>
      </c>
      <c r="C43" s="64">
        <v>14.19</v>
      </c>
      <c r="D43" s="64">
        <v>17.71</v>
      </c>
      <c r="E43" s="64">
        <v>0.49</v>
      </c>
      <c r="F43" s="64">
        <v>0.57999999999999996</v>
      </c>
      <c r="G43" s="64">
        <v>61.5</v>
      </c>
      <c r="H43" s="64">
        <v>21.53</v>
      </c>
      <c r="I43" s="64">
        <v>1.45</v>
      </c>
      <c r="J43" s="64">
        <v>0.24</v>
      </c>
      <c r="K43" s="64">
        <v>355.23</v>
      </c>
      <c r="L43" s="64">
        <v>29.84</v>
      </c>
      <c r="M43" s="64">
        <v>61.3</v>
      </c>
      <c r="N43" s="64">
        <v>535</v>
      </c>
      <c r="O43" s="64">
        <v>0</v>
      </c>
      <c r="P43" s="64">
        <v>0.66</v>
      </c>
      <c r="Q43" s="64">
        <v>264.36</v>
      </c>
      <c r="R43" s="198"/>
      <c r="S43" s="198"/>
      <c r="T43" s="198"/>
      <c r="U43" s="198"/>
    </row>
    <row r="44" spans="1:21" s="12" customFormat="1" x14ac:dyDescent="0.25">
      <c r="A44" s="214" t="s">
        <v>1049</v>
      </c>
      <c r="B44" s="64">
        <v>10.39</v>
      </c>
      <c r="C44" s="64">
        <v>14.87</v>
      </c>
      <c r="D44" s="64">
        <v>17.829999999999998</v>
      </c>
      <c r="E44" s="64">
        <v>0.87</v>
      </c>
      <c r="F44" s="64">
        <v>0.34</v>
      </c>
      <c r="G44" s="64">
        <v>66.12</v>
      </c>
      <c r="H44" s="64">
        <v>21.76</v>
      </c>
      <c r="I44" s="64">
        <v>1.58</v>
      </c>
      <c r="J44" s="64">
        <v>0.37</v>
      </c>
      <c r="K44" s="64">
        <v>338.86</v>
      </c>
      <c r="L44" s="64">
        <v>31.79</v>
      </c>
      <c r="M44" s="64">
        <v>53.62</v>
      </c>
      <c r="N44" s="64">
        <v>584.9</v>
      </c>
      <c r="O44" s="64">
        <v>0</v>
      </c>
      <c r="P44" s="64">
        <v>0.68</v>
      </c>
      <c r="Q44" s="64">
        <v>263.01</v>
      </c>
      <c r="R44" s="198"/>
      <c r="S44" s="198"/>
      <c r="T44" s="198"/>
      <c r="U44" s="198"/>
    </row>
    <row r="45" spans="1:21" s="12" customFormat="1" x14ac:dyDescent="0.25">
      <c r="A45" s="214" t="s">
        <v>1050</v>
      </c>
      <c r="B45" s="64">
        <v>9.9</v>
      </c>
      <c r="C45" s="64">
        <v>14.98</v>
      </c>
      <c r="D45" s="64">
        <v>17.5</v>
      </c>
      <c r="E45" s="64">
        <v>0.79</v>
      </c>
      <c r="F45" s="64">
        <v>0.75</v>
      </c>
      <c r="G45" s="64">
        <v>70.16</v>
      </c>
      <c r="H45" s="64">
        <v>21.85</v>
      </c>
      <c r="I45" s="64">
        <v>1.49</v>
      </c>
      <c r="J45" s="64">
        <v>0.4</v>
      </c>
      <c r="K45" s="64">
        <v>330.66</v>
      </c>
      <c r="L45" s="64">
        <v>33.65</v>
      </c>
      <c r="M45" s="64">
        <v>45.85</v>
      </c>
      <c r="N45" s="64">
        <v>629.20000000000005</v>
      </c>
      <c r="O45" s="64">
        <v>0</v>
      </c>
      <c r="P45" s="64">
        <v>0.7</v>
      </c>
      <c r="Q45" s="64">
        <v>262.08999999999997</v>
      </c>
      <c r="R45" s="198"/>
      <c r="S45" s="198"/>
      <c r="T45" s="198"/>
      <c r="U45" s="198"/>
    </row>
    <row r="46" spans="1:21" s="12" customFormat="1" x14ac:dyDescent="0.25">
      <c r="A46" s="214" t="s">
        <v>1051</v>
      </c>
      <c r="B46" s="64">
        <v>9.24</v>
      </c>
      <c r="C46" s="64">
        <v>15.55</v>
      </c>
      <c r="D46" s="64">
        <v>17.28</v>
      </c>
      <c r="E46" s="64">
        <v>0.63</v>
      </c>
      <c r="F46" s="64">
        <v>0.66</v>
      </c>
      <c r="G46" s="64">
        <v>70.16</v>
      </c>
      <c r="H46" s="64">
        <v>21.85</v>
      </c>
      <c r="I46" s="64">
        <v>1.44</v>
      </c>
      <c r="J46" s="64">
        <v>0.66</v>
      </c>
      <c r="K46" s="64">
        <v>326.32</v>
      </c>
      <c r="L46" s="64">
        <v>34.72</v>
      </c>
      <c r="M46" s="64">
        <v>43.21</v>
      </c>
      <c r="N46" s="64">
        <v>669.4</v>
      </c>
      <c r="O46" s="64">
        <v>0</v>
      </c>
      <c r="P46" s="64">
        <v>0.71</v>
      </c>
      <c r="Q46" s="64">
        <v>235.71</v>
      </c>
      <c r="R46" s="198"/>
      <c r="S46" s="198"/>
      <c r="T46" s="198"/>
      <c r="U46" s="198"/>
    </row>
    <row r="47" spans="1:21" s="12" customFormat="1" x14ac:dyDescent="0.25">
      <c r="A47" s="214" t="s">
        <v>1052</v>
      </c>
      <c r="B47" s="64">
        <v>8.81</v>
      </c>
      <c r="C47" s="64">
        <v>15.88</v>
      </c>
      <c r="D47" s="64">
        <v>17.12</v>
      </c>
      <c r="E47" s="64">
        <v>1.07</v>
      </c>
      <c r="F47" s="64">
        <v>0.47</v>
      </c>
      <c r="G47" s="64">
        <v>70.16</v>
      </c>
      <c r="H47" s="64">
        <v>21.85</v>
      </c>
      <c r="I47" s="64">
        <v>1.58</v>
      </c>
      <c r="J47" s="64">
        <v>0.53</v>
      </c>
      <c r="K47" s="64">
        <v>328.1</v>
      </c>
      <c r="L47" s="64">
        <v>35.22</v>
      </c>
      <c r="M47" s="64">
        <v>43.08</v>
      </c>
      <c r="N47" s="64">
        <v>702.1</v>
      </c>
      <c r="O47" s="64">
        <v>0</v>
      </c>
      <c r="P47" s="64">
        <v>0.7</v>
      </c>
      <c r="Q47" s="64">
        <v>238.14</v>
      </c>
      <c r="R47" s="198"/>
      <c r="S47" s="198"/>
      <c r="T47" s="198"/>
      <c r="U47" s="198"/>
    </row>
    <row r="48" spans="1:21" s="12" customFormat="1" x14ac:dyDescent="0.25">
      <c r="A48" s="214" t="s">
        <v>1053</v>
      </c>
      <c r="B48" s="64">
        <v>8.26</v>
      </c>
      <c r="C48" s="64">
        <v>16.760000000000002</v>
      </c>
      <c r="D48" s="64">
        <v>17.16</v>
      </c>
      <c r="E48" s="64">
        <v>1.17</v>
      </c>
      <c r="F48" s="64">
        <v>0.53</v>
      </c>
      <c r="G48" s="64">
        <v>73.87</v>
      </c>
      <c r="H48" s="64">
        <v>25.03</v>
      </c>
      <c r="I48" s="64">
        <v>1.51</v>
      </c>
      <c r="J48" s="64">
        <v>0.93</v>
      </c>
      <c r="K48" s="64">
        <v>333.39</v>
      </c>
      <c r="L48" s="64">
        <v>35.630000000000003</v>
      </c>
      <c r="M48" s="64">
        <v>41.8</v>
      </c>
      <c r="N48" s="64">
        <v>728.7</v>
      </c>
      <c r="O48" s="64">
        <v>0</v>
      </c>
      <c r="P48" s="64">
        <v>0.73</v>
      </c>
      <c r="Q48" s="64">
        <v>221.87</v>
      </c>
      <c r="R48" s="198"/>
      <c r="S48" s="198"/>
      <c r="T48" s="198"/>
      <c r="U48" s="198"/>
    </row>
    <row r="49" spans="1:21" s="12" customFormat="1" x14ac:dyDescent="0.25">
      <c r="A49" s="214" t="s">
        <v>1054</v>
      </c>
      <c r="B49" s="64">
        <v>7.7</v>
      </c>
      <c r="C49" s="64">
        <v>16.809999999999999</v>
      </c>
      <c r="D49" s="64">
        <v>16.739999999999998</v>
      </c>
      <c r="E49" s="64">
        <v>0.41</v>
      </c>
      <c r="F49" s="64">
        <v>0.59</v>
      </c>
      <c r="G49" s="64">
        <v>77.12</v>
      </c>
      <c r="H49" s="64">
        <v>26.31</v>
      </c>
      <c r="I49" s="64">
        <v>1.45</v>
      </c>
      <c r="J49" s="64">
        <v>1.28</v>
      </c>
      <c r="K49" s="64">
        <v>335.33</v>
      </c>
      <c r="L49" s="64">
        <v>36.19</v>
      </c>
      <c r="M49" s="64">
        <v>38.799999999999997</v>
      </c>
      <c r="N49" s="64">
        <v>767.6</v>
      </c>
      <c r="O49" s="64">
        <v>0</v>
      </c>
      <c r="P49" s="64">
        <v>0.75</v>
      </c>
      <c r="Q49" s="64">
        <v>227</v>
      </c>
      <c r="R49" s="198"/>
      <c r="S49" s="198"/>
      <c r="T49" s="198"/>
      <c r="U49" s="198"/>
    </row>
    <row r="50" spans="1:21" s="12" customFormat="1" x14ac:dyDescent="0.25">
      <c r="A50" s="214" t="s">
        <v>1055</v>
      </c>
      <c r="B50" s="64">
        <v>7.13</v>
      </c>
      <c r="C50" s="64">
        <v>19.29</v>
      </c>
      <c r="D50" s="64">
        <v>17.66</v>
      </c>
      <c r="E50" s="64">
        <v>0.88</v>
      </c>
      <c r="F50" s="64">
        <v>0.47</v>
      </c>
      <c r="G50" s="64">
        <v>77.12</v>
      </c>
      <c r="H50" s="64">
        <v>26.31</v>
      </c>
      <c r="I50" s="64">
        <v>1.48</v>
      </c>
      <c r="J50" s="64">
        <v>1.58</v>
      </c>
      <c r="K50" s="64">
        <v>336.25</v>
      </c>
      <c r="L50" s="64">
        <v>36.07</v>
      </c>
      <c r="M50" s="64">
        <v>37.979999999999997</v>
      </c>
      <c r="N50" s="64">
        <v>802.1</v>
      </c>
      <c r="O50" s="64">
        <v>0</v>
      </c>
      <c r="P50" s="64">
        <v>0.76</v>
      </c>
      <c r="Q50" s="64">
        <v>232.77</v>
      </c>
      <c r="R50" s="198"/>
      <c r="S50" s="198"/>
      <c r="T50" s="198"/>
      <c r="U50" s="198"/>
    </row>
    <row r="51" spans="1:21" s="12" customFormat="1" x14ac:dyDescent="0.25">
      <c r="A51" s="214" t="s">
        <v>1056</v>
      </c>
      <c r="B51" s="64">
        <v>6.3</v>
      </c>
      <c r="C51" s="64">
        <v>20.89</v>
      </c>
      <c r="D51" s="64">
        <v>17.87</v>
      </c>
      <c r="E51" s="64">
        <v>0.21</v>
      </c>
      <c r="F51" s="64">
        <v>0.7</v>
      </c>
      <c r="G51" s="64">
        <v>77.12</v>
      </c>
      <c r="H51" s="64">
        <v>26.31</v>
      </c>
      <c r="I51" s="64">
        <v>1.49</v>
      </c>
      <c r="J51" s="64">
        <v>1.22</v>
      </c>
      <c r="K51" s="64">
        <v>332.76</v>
      </c>
      <c r="L51" s="64">
        <v>36.520000000000003</v>
      </c>
      <c r="M51" s="64">
        <v>37.119999999999997</v>
      </c>
      <c r="N51" s="64">
        <v>823.1</v>
      </c>
      <c r="O51" s="64">
        <v>0</v>
      </c>
      <c r="P51" s="64">
        <v>0.76</v>
      </c>
      <c r="Q51" s="64">
        <v>240.52</v>
      </c>
      <c r="R51" s="198"/>
      <c r="S51" s="198"/>
      <c r="T51" s="198"/>
      <c r="U51" s="198"/>
    </row>
    <row r="52" spans="1:21" s="12" customFormat="1" x14ac:dyDescent="0.25">
      <c r="A52" s="214" t="s">
        <v>1057</v>
      </c>
      <c r="B52" s="64">
        <v>5.43</v>
      </c>
      <c r="C52" s="64">
        <v>20.079999999999998</v>
      </c>
      <c r="D52" s="64">
        <v>16.73</v>
      </c>
      <c r="E52" s="64">
        <v>0.21</v>
      </c>
      <c r="F52" s="64">
        <v>1.06</v>
      </c>
      <c r="G52" s="64">
        <v>75.91</v>
      </c>
      <c r="H52" s="64">
        <v>24.61</v>
      </c>
      <c r="I52" s="64">
        <v>1.52</v>
      </c>
      <c r="J52" s="64">
        <v>0.97</v>
      </c>
      <c r="K52" s="64">
        <v>333.62</v>
      </c>
      <c r="L52" s="64">
        <v>36.47</v>
      </c>
      <c r="M52" s="64">
        <v>36.25</v>
      </c>
      <c r="N52" s="64">
        <v>821.2</v>
      </c>
      <c r="O52" s="64">
        <v>0</v>
      </c>
      <c r="P52" s="64">
        <v>0.73</v>
      </c>
      <c r="Q52" s="64">
        <v>241.93</v>
      </c>
      <c r="R52" s="198"/>
      <c r="S52" s="198"/>
      <c r="T52" s="198"/>
      <c r="U52" s="198"/>
    </row>
    <row r="53" spans="1:21" s="12" customFormat="1" x14ac:dyDescent="0.25">
      <c r="A53" s="214" t="s">
        <v>1058</v>
      </c>
      <c r="B53" s="64">
        <v>5</v>
      </c>
      <c r="C53" s="64">
        <v>20.03</v>
      </c>
      <c r="D53" s="64">
        <v>16.36</v>
      </c>
      <c r="E53" s="64">
        <v>0.76</v>
      </c>
      <c r="F53" s="64">
        <v>0.91</v>
      </c>
      <c r="G53" s="64">
        <v>74.84</v>
      </c>
      <c r="H53" s="64">
        <v>23.92</v>
      </c>
      <c r="I53" s="64">
        <v>1.52</v>
      </c>
      <c r="J53" s="64">
        <v>0.99</v>
      </c>
      <c r="K53" s="64">
        <v>336.67</v>
      </c>
      <c r="L53" s="64">
        <v>36.590000000000003</v>
      </c>
      <c r="M53" s="64">
        <v>36.17</v>
      </c>
      <c r="N53" s="64">
        <v>832</v>
      </c>
      <c r="O53" s="64">
        <v>0</v>
      </c>
      <c r="P53" s="64">
        <v>0.76</v>
      </c>
      <c r="Q53" s="64">
        <v>254.38</v>
      </c>
      <c r="R53" s="198"/>
      <c r="S53" s="198"/>
      <c r="T53" s="198"/>
      <c r="U53" s="198"/>
    </row>
    <row r="54" spans="1:21" s="12" customFormat="1" x14ac:dyDescent="0.25">
      <c r="A54" s="214" t="s">
        <v>1059</v>
      </c>
      <c r="B54" s="64">
        <v>4.75</v>
      </c>
      <c r="C54" s="64">
        <v>20.41</v>
      </c>
      <c r="D54" s="64">
        <v>16.37</v>
      </c>
      <c r="E54" s="64">
        <v>0.33</v>
      </c>
      <c r="F54" s="64">
        <v>0.85</v>
      </c>
      <c r="G54" s="64">
        <v>74.84</v>
      </c>
      <c r="H54" s="64">
        <v>23.92</v>
      </c>
      <c r="I54" s="64">
        <v>1.52</v>
      </c>
      <c r="J54" s="64">
        <v>0.79</v>
      </c>
      <c r="K54" s="64">
        <v>326.29000000000002</v>
      </c>
      <c r="L54" s="64">
        <v>36.42</v>
      </c>
      <c r="M54" s="64">
        <v>36.07</v>
      </c>
      <c r="N54" s="64">
        <v>838.5</v>
      </c>
      <c r="O54" s="64">
        <v>0</v>
      </c>
      <c r="P54" s="64">
        <v>0.79</v>
      </c>
      <c r="Q54" s="64">
        <v>252.53</v>
      </c>
      <c r="R54" s="198"/>
      <c r="S54" s="198"/>
      <c r="T54" s="198"/>
      <c r="U54" s="198"/>
    </row>
    <row r="55" spans="1:21" s="12" customFormat="1" x14ac:dyDescent="0.25">
      <c r="A55" s="214" t="s">
        <v>1060</v>
      </c>
      <c r="B55" s="64">
        <v>4.4400000000000004</v>
      </c>
      <c r="C55" s="64">
        <v>20.11</v>
      </c>
      <c r="D55" s="64">
        <v>15.95</v>
      </c>
      <c r="E55" s="64">
        <v>0.14000000000000001</v>
      </c>
      <c r="F55" s="64">
        <v>1.31</v>
      </c>
      <c r="G55" s="64">
        <v>74.84</v>
      </c>
      <c r="H55" s="64">
        <v>23.92</v>
      </c>
      <c r="I55" s="64">
        <v>1.49</v>
      </c>
      <c r="J55" s="64">
        <v>0.7</v>
      </c>
      <c r="K55" s="64">
        <v>338.09</v>
      </c>
      <c r="L55" s="64">
        <v>36.270000000000003</v>
      </c>
      <c r="M55" s="64">
        <v>34.840000000000003</v>
      </c>
      <c r="N55" s="64">
        <v>847.5</v>
      </c>
      <c r="O55" s="64">
        <v>0</v>
      </c>
      <c r="P55" s="64">
        <v>0.8</v>
      </c>
      <c r="Q55" s="64">
        <v>250.91</v>
      </c>
      <c r="R55" s="198"/>
      <c r="S55" s="198"/>
      <c r="T55" s="198"/>
      <c r="U55" s="198"/>
    </row>
    <row r="56" spans="1:21" s="12" customFormat="1" x14ac:dyDescent="0.25">
      <c r="A56" s="214" t="s">
        <v>1061</v>
      </c>
      <c r="B56" s="64">
        <v>3.89</v>
      </c>
      <c r="C56" s="64">
        <v>20.51</v>
      </c>
      <c r="D56" s="64">
        <v>15.73</v>
      </c>
      <c r="E56" s="64">
        <v>0.5</v>
      </c>
      <c r="F56" s="64">
        <v>1.1499999999999999</v>
      </c>
      <c r="G56" s="64">
        <v>72.53</v>
      </c>
      <c r="H56" s="64">
        <v>22.63</v>
      </c>
      <c r="I56" s="64">
        <v>1.57</v>
      </c>
      <c r="J56" s="64">
        <v>1.49</v>
      </c>
      <c r="K56" s="64">
        <v>331.08</v>
      </c>
      <c r="L56" s="64">
        <v>35.86</v>
      </c>
      <c r="M56" s="64">
        <v>34.78</v>
      </c>
      <c r="N56" s="64">
        <v>858.1</v>
      </c>
      <c r="O56" s="64">
        <v>0</v>
      </c>
      <c r="P56" s="64">
        <v>0.78</v>
      </c>
      <c r="Q56" s="64">
        <v>257.47000000000003</v>
      </c>
      <c r="R56" s="198"/>
      <c r="S56" s="198"/>
      <c r="T56" s="198"/>
      <c r="U56" s="198"/>
    </row>
    <row r="57" spans="1:21" s="12" customFormat="1" x14ac:dyDescent="0.25">
      <c r="A57" s="214" t="s">
        <v>1062</v>
      </c>
      <c r="B57" s="64">
        <v>3.48</v>
      </c>
      <c r="C57" s="64">
        <v>20.62</v>
      </c>
      <c r="D57" s="64">
        <v>15.46</v>
      </c>
      <c r="E57" s="64">
        <v>1.21</v>
      </c>
      <c r="F57" s="64">
        <v>1.2</v>
      </c>
      <c r="G57" s="64">
        <v>70.510000000000005</v>
      </c>
      <c r="H57" s="64">
        <v>21.61</v>
      </c>
      <c r="I57" s="64">
        <v>1.47</v>
      </c>
      <c r="J57" s="64">
        <v>1.03</v>
      </c>
      <c r="K57" s="64">
        <v>336.49</v>
      </c>
      <c r="L57" s="64">
        <v>36.1</v>
      </c>
      <c r="M57" s="64">
        <v>35.11</v>
      </c>
      <c r="N57" s="64">
        <v>834.8</v>
      </c>
      <c r="O57" s="64">
        <v>0</v>
      </c>
      <c r="P57" s="64">
        <v>0.74</v>
      </c>
      <c r="Q57" s="64">
        <v>244.9</v>
      </c>
      <c r="R57" s="198"/>
      <c r="S57" s="198"/>
      <c r="T57" s="198"/>
      <c r="U57" s="198"/>
    </row>
    <row r="58" spans="1:21" s="12" customFormat="1" x14ac:dyDescent="0.25">
      <c r="A58" s="214" t="s">
        <v>1063</v>
      </c>
      <c r="B58" s="64">
        <v>3.36</v>
      </c>
      <c r="C58" s="64">
        <v>19.809999999999999</v>
      </c>
      <c r="D58" s="64">
        <v>14.92</v>
      </c>
      <c r="E58" s="64">
        <v>0.78</v>
      </c>
      <c r="F58" s="64">
        <v>1.23</v>
      </c>
      <c r="G58" s="64">
        <v>70.510000000000005</v>
      </c>
      <c r="H58" s="64">
        <v>21.61</v>
      </c>
      <c r="I58" s="64">
        <v>1.55</v>
      </c>
      <c r="J58" s="64">
        <v>0.5</v>
      </c>
      <c r="K58" s="64">
        <v>337.26</v>
      </c>
      <c r="L58" s="64">
        <v>35.700000000000003</v>
      </c>
      <c r="M58" s="64">
        <v>34.74</v>
      </c>
      <c r="N58" s="64">
        <v>819.6</v>
      </c>
      <c r="O58" s="64">
        <v>0</v>
      </c>
      <c r="P58" s="64">
        <v>0.71</v>
      </c>
      <c r="Q58" s="64">
        <v>216.99</v>
      </c>
      <c r="R58" s="198"/>
      <c r="S58" s="198"/>
      <c r="T58" s="198"/>
      <c r="U58" s="198"/>
    </row>
    <row r="59" spans="1:21" s="12" customFormat="1" x14ac:dyDescent="0.25">
      <c r="A59" s="214" t="s">
        <v>1064</v>
      </c>
      <c r="B59" s="64">
        <v>3.12</v>
      </c>
      <c r="C59" s="64">
        <v>18.39</v>
      </c>
      <c r="D59" s="64">
        <v>13.94</v>
      </c>
      <c r="E59" s="64">
        <v>0.79</v>
      </c>
      <c r="F59" s="64">
        <v>1.37</v>
      </c>
      <c r="G59" s="64">
        <v>70.510000000000005</v>
      </c>
      <c r="H59" s="64">
        <v>21.61</v>
      </c>
      <c r="I59" s="64">
        <v>1.46</v>
      </c>
      <c r="J59" s="64">
        <v>0.77</v>
      </c>
      <c r="K59" s="64">
        <v>326.39999999999998</v>
      </c>
      <c r="L59" s="64">
        <v>35.25</v>
      </c>
      <c r="M59" s="64">
        <v>36.06</v>
      </c>
      <c r="N59" s="64">
        <v>770.3</v>
      </c>
      <c r="O59" s="64">
        <v>0</v>
      </c>
      <c r="P59" s="64">
        <v>0.74</v>
      </c>
      <c r="Q59" s="64">
        <v>202.63</v>
      </c>
      <c r="R59" s="198"/>
      <c r="S59" s="198"/>
      <c r="T59" s="198"/>
      <c r="U59" s="198"/>
    </row>
    <row r="60" spans="1:21" s="12" customFormat="1" x14ac:dyDescent="0.25">
      <c r="A60" s="214" t="s">
        <v>1065</v>
      </c>
      <c r="B60" s="64">
        <v>3.03</v>
      </c>
      <c r="C60" s="64">
        <v>18.2</v>
      </c>
      <c r="D60" s="64">
        <v>13.76</v>
      </c>
      <c r="E60" s="64">
        <v>1.37</v>
      </c>
      <c r="F60" s="64">
        <v>1.08</v>
      </c>
      <c r="G60" s="64">
        <v>67.89</v>
      </c>
      <c r="H60" s="64">
        <v>20.260000000000002</v>
      </c>
      <c r="I60" s="64">
        <v>1.52</v>
      </c>
      <c r="J60" s="64">
        <v>1.1499999999999999</v>
      </c>
      <c r="K60" s="64">
        <v>327.33</v>
      </c>
      <c r="L60" s="64">
        <v>35.75</v>
      </c>
      <c r="M60" s="64">
        <v>34.47</v>
      </c>
      <c r="N60" s="64">
        <v>496.8</v>
      </c>
      <c r="O60" s="64">
        <v>0</v>
      </c>
      <c r="P60" s="64">
        <v>0.71</v>
      </c>
      <c r="Q60" s="64">
        <v>202.84</v>
      </c>
      <c r="R60" s="198"/>
      <c r="S60" s="198"/>
      <c r="T60" s="198"/>
      <c r="U60" s="198"/>
    </row>
    <row r="61" spans="1:21" s="12" customFormat="1" x14ac:dyDescent="0.25">
      <c r="A61" s="214" t="s">
        <v>1066</v>
      </c>
      <c r="B61" s="64">
        <v>3.18</v>
      </c>
      <c r="C61" s="64">
        <v>18.190000000000001</v>
      </c>
      <c r="D61" s="64">
        <v>13.88</v>
      </c>
      <c r="E61" s="64">
        <v>1.06</v>
      </c>
      <c r="F61" s="64">
        <v>1.19</v>
      </c>
      <c r="G61" s="64">
        <v>65.599999999999994</v>
      </c>
      <c r="H61" s="64">
        <v>19.73</v>
      </c>
      <c r="I61" s="64">
        <v>1.49</v>
      </c>
      <c r="J61" s="64">
        <v>1.36</v>
      </c>
      <c r="K61" s="64">
        <v>330.21</v>
      </c>
      <c r="L61" s="64">
        <v>35.71</v>
      </c>
      <c r="M61" s="64">
        <v>33.450000000000003</v>
      </c>
      <c r="N61" s="64">
        <v>629.1</v>
      </c>
      <c r="O61" s="64">
        <v>0</v>
      </c>
      <c r="P61" s="64">
        <v>0.65</v>
      </c>
      <c r="Q61" s="64">
        <v>197.29</v>
      </c>
      <c r="R61" s="198"/>
      <c r="S61" s="198"/>
      <c r="T61" s="198"/>
      <c r="U61" s="198"/>
    </row>
    <row r="62" spans="1:21" s="12" customFormat="1" x14ac:dyDescent="0.25">
      <c r="A62" s="214" t="s">
        <v>1067</v>
      </c>
      <c r="B62" s="64">
        <v>3.1</v>
      </c>
      <c r="C62" s="64">
        <v>18.239999999999998</v>
      </c>
      <c r="D62" s="64">
        <v>13.84</v>
      </c>
      <c r="E62" s="64">
        <v>0.47</v>
      </c>
      <c r="F62" s="64">
        <v>1.44</v>
      </c>
      <c r="G62" s="64">
        <v>65.599999999999994</v>
      </c>
      <c r="H62" s="64">
        <v>19.73</v>
      </c>
      <c r="I62" s="64">
        <v>1.52</v>
      </c>
      <c r="J62" s="64">
        <v>1.34</v>
      </c>
      <c r="K62" s="64">
        <v>333.62</v>
      </c>
      <c r="L62" s="64">
        <v>35.25</v>
      </c>
      <c r="M62" s="64">
        <v>35.479999999999997</v>
      </c>
      <c r="N62" s="64">
        <v>560.79999999999995</v>
      </c>
      <c r="O62" s="64">
        <v>0</v>
      </c>
      <c r="P62" s="64">
        <v>0.68</v>
      </c>
      <c r="Q62" s="64">
        <v>215.85</v>
      </c>
      <c r="R62" s="198"/>
      <c r="S62" s="198"/>
      <c r="T62" s="198"/>
      <c r="U62" s="198"/>
    </row>
    <row r="63" spans="1:21" s="12" customFormat="1" x14ac:dyDescent="0.25">
      <c r="A63" s="214" t="s">
        <v>1068</v>
      </c>
      <c r="B63" s="64">
        <v>3.12</v>
      </c>
      <c r="C63" s="64">
        <v>19.260000000000002</v>
      </c>
      <c r="D63" s="64">
        <v>14.42</v>
      </c>
      <c r="E63" s="64">
        <v>2.08</v>
      </c>
      <c r="F63" s="64">
        <v>1.25</v>
      </c>
      <c r="G63" s="64">
        <v>65.599999999999994</v>
      </c>
      <c r="H63" s="64">
        <v>19.73</v>
      </c>
      <c r="I63" s="64">
        <v>1.51</v>
      </c>
      <c r="J63" s="64">
        <v>1.0900000000000001</v>
      </c>
      <c r="K63" s="64">
        <v>333.7</v>
      </c>
      <c r="L63" s="64">
        <v>34.67</v>
      </c>
      <c r="M63" s="64">
        <v>36.590000000000003</v>
      </c>
      <c r="N63" s="212" t="s">
        <v>42</v>
      </c>
      <c r="O63" s="64">
        <v>0</v>
      </c>
      <c r="P63" s="64">
        <v>0.68</v>
      </c>
      <c r="Q63" s="64">
        <v>230.13</v>
      </c>
      <c r="R63" s="198"/>
      <c r="S63" s="198"/>
      <c r="T63" s="198"/>
      <c r="U63" s="198"/>
    </row>
    <row r="64" spans="1:21" s="12" customFormat="1" x14ac:dyDescent="0.25">
      <c r="A64" s="214" t="s">
        <v>1069</v>
      </c>
      <c r="B64" s="64">
        <v>3.17</v>
      </c>
      <c r="C64" s="64">
        <v>18.61</v>
      </c>
      <c r="D64" s="64">
        <v>14.11</v>
      </c>
      <c r="E64" s="64">
        <v>1.2</v>
      </c>
      <c r="F64" s="64">
        <v>1.29</v>
      </c>
      <c r="G64" s="64">
        <v>63.56</v>
      </c>
      <c r="H64" s="64">
        <v>17.59</v>
      </c>
      <c r="I64" s="64">
        <v>1.59</v>
      </c>
      <c r="J64" s="64">
        <v>1.1599999999999999</v>
      </c>
      <c r="K64" s="64">
        <v>336.94</v>
      </c>
      <c r="L64" s="64">
        <v>34.450000000000003</v>
      </c>
      <c r="M64" s="64">
        <v>37.61</v>
      </c>
      <c r="N64" s="212" t="s">
        <v>42</v>
      </c>
      <c r="O64" s="64">
        <v>0</v>
      </c>
      <c r="P64" s="64">
        <v>0.67</v>
      </c>
      <c r="Q64" s="64">
        <v>232.13</v>
      </c>
      <c r="R64" s="198"/>
      <c r="S64" s="198"/>
      <c r="T64" s="198"/>
      <c r="U64" s="198"/>
    </row>
    <row r="65" spans="1:21" s="12" customFormat="1" x14ac:dyDescent="0.25">
      <c r="A65" s="214" t="s">
        <v>1070</v>
      </c>
      <c r="B65" s="64">
        <v>3.12</v>
      </c>
      <c r="C65" s="64">
        <v>17.98</v>
      </c>
      <c r="D65" s="64">
        <v>13.72</v>
      </c>
      <c r="E65" s="64">
        <v>1.1299999999999999</v>
      </c>
      <c r="F65" s="64">
        <v>1.45</v>
      </c>
      <c r="G65" s="64">
        <v>61.77</v>
      </c>
      <c r="H65" s="64">
        <v>16.73</v>
      </c>
      <c r="I65" s="64">
        <v>1.48</v>
      </c>
      <c r="J65" s="64">
        <v>1.29</v>
      </c>
      <c r="K65" s="64">
        <v>338.22</v>
      </c>
      <c r="L65" s="64">
        <v>33.68</v>
      </c>
      <c r="M65" s="64">
        <v>38.24</v>
      </c>
      <c r="N65" s="64">
        <v>198.1</v>
      </c>
      <c r="O65" s="64">
        <v>0</v>
      </c>
      <c r="P65" s="64">
        <v>0.69</v>
      </c>
      <c r="Q65" s="64">
        <v>233.9</v>
      </c>
      <c r="R65" s="198"/>
      <c r="S65" s="198"/>
      <c r="T65" s="198"/>
      <c r="U65" s="198"/>
    </row>
    <row r="66" spans="1:21" s="12" customFormat="1" x14ac:dyDescent="0.25">
      <c r="A66" s="214" t="s">
        <v>1071</v>
      </c>
      <c r="B66" s="64">
        <v>3.11</v>
      </c>
      <c r="C66" s="64">
        <v>18.7</v>
      </c>
      <c r="D66" s="64">
        <v>14.1</v>
      </c>
      <c r="E66" s="64">
        <v>1.1599999999999999</v>
      </c>
      <c r="F66" s="64">
        <v>1.28</v>
      </c>
      <c r="G66" s="64">
        <v>61.77</v>
      </c>
      <c r="H66" s="64">
        <v>16.73</v>
      </c>
      <c r="I66" s="64">
        <v>1.58</v>
      </c>
      <c r="J66" s="64">
        <v>0.49</v>
      </c>
      <c r="K66" s="64">
        <v>329.36</v>
      </c>
      <c r="L66" s="64">
        <v>32.92</v>
      </c>
      <c r="M66" s="64">
        <v>39.11</v>
      </c>
      <c r="N66" s="64">
        <v>189.8</v>
      </c>
      <c r="O66" s="64">
        <v>0</v>
      </c>
      <c r="P66" s="64">
        <v>0.67</v>
      </c>
      <c r="Q66" s="64">
        <v>248.01</v>
      </c>
      <c r="R66" s="198"/>
      <c r="S66" s="198"/>
      <c r="T66" s="198"/>
      <c r="U66" s="198"/>
    </row>
    <row r="67" spans="1:21" s="12" customFormat="1" x14ac:dyDescent="0.25">
      <c r="A67" s="214" t="s">
        <v>1072</v>
      </c>
      <c r="B67" s="64">
        <v>3.03</v>
      </c>
      <c r="C67" s="64">
        <v>18.739999999999998</v>
      </c>
      <c r="D67" s="64">
        <v>14.06</v>
      </c>
      <c r="E67" s="64">
        <v>1.1599999999999999</v>
      </c>
      <c r="F67" s="64">
        <v>1.44</v>
      </c>
      <c r="G67" s="64">
        <v>61.77</v>
      </c>
      <c r="H67" s="64">
        <v>16.73</v>
      </c>
      <c r="I67" s="64">
        <v>1.44</v>
      </c>
      <c r="J67" s="64">
        <v>1.19</v>
      </c>
      <c r="K67" s="64">
        <v>337.8</v>
      </c>
      <c r="L67" s="64">
        <v>32.619999999999997</v>
      </c>
      <c r="M67" s="64">
        <v>41.02</v>
      </c>
      <c r="N67" s="64">
        <v>172.1</v>
      </c>
      <c r="O67" s="64">
        <v>0</v>
      </c>
      <c r="P67" s="64">
        <v>0.67</v>
      </c>
      <c r="Q67" s="64">
        <v>245.62</v>
      </c>
      <c r="R67" s="198"/>
      <c r="S67" s="198"/>
      <c r="T67" s="198"/>
      <c r="U67" s="198"/>
    </row>
    <row r="68" spans="1:21" s="12" customFormat="1" x14ac:dyDescent="0.25">
      <c r="A68" s="214" t="s">
        <v>1073</v>
      </c>
      <c r="B68" s="64">
        <v>3.24</v>
      </c>
      <c r="C68" s="64">
        <v>18.350000000000001</v>
      </c>
      <c r="D68" s="64">
        <v>14.02</v>
      </c>
      <c r="E68" s="64">
        <v>0.78</v>
      </c>
      <c r="F68" s="64">
        <v>1.66</v>
      </c>
      <c r="G68" s="64">
        <v>69.17</v>
      </c>
      <c r="H68" s="64">
        <v>17.13</v>
      </c>
      <c r="I68" s="64">
        <v>1.53</v>
      </c>
      <c r="J68" s="64">
        <v>1.26</v>
      </c>
      <c r="K68" s="64">
        <v>330.99</v>
      </c>
      <c r="L68" s="64">
        <v>32.26</v>
      </c>
      <c r="M68" s="64">
        <v>41.72</v>
      </c>
      <c r="N68" s="64">
        <v>137.5</v>
      </c>
      <c r="O68" s="64">
        <v>0</v>
      </c>
      <c r="P68" s="64">
        <v>0.66</v>
      </c>
      <c r="Q68" s="64">
        <v>244.19</v>
      </c>
      <c r="R68" s="198"/>
      <c r="S68" s="198"/>
      <c r="T68" s="198"/>
      <c r="U68" s="198"/>
    </row>
    <row r="69" spans="1:21" s="12" customFormat="1" x14ac:dyDescent="0.25">
      <c r="A69" s="214" t="s">
        <v>1074</v>
      </c>
      <c r="B69" s="64">
        <v>3.41</v>
      </c>
      <c r="C69" s="64">
        <v>18.5</v>
      </c>
      <c r="D69" s="64">
        <v>14.24</v>
      </c>
      <c r="E69" s="64">
        <v>1.28</v>
      </c>
      <c r="F69" s="64">
        <v>0.93</v>
      </c>
      <c r="G69" s="64">
        <v>75.64</v>
      </c>
      <c r="H69" s="64">
        <v>17.3</v>
      </c>
      <c r="I69" s="64">
        <v>1.48</v>
      </c>
      <c r="J69" s="64">
        <v>0.86</v>
      </c>
      <c r="K69" s="64">
        <v>332.8</v>
      </c>
      <c r="L69" s="64">
        <v>32.08</v>
      </c>
      <c r="M69" s="64">
        <v>42.95</v>
      </c>
      <c r="N69" s="64">
        <v>114.2</v>
      </c>
      <c r="O69" s="64">
        <v>0</v>
      </c>
      <c r="P69" s="64">
        <v>0.68</v>
      </c>
      <c r="Q69" s="64">
        <v>236.18</v>
      </c>
      <c r="R69" s="198"/>
      <c r="S69" s="198"/>
      <c r="T69" s="198"/>
      <c r="U69" s="198"/>
    </row>
    <row r="70" spans="1:21" s="12" customFormat="1" x14ac:dyDescent="0.25">
      <c r="A70" s="214" t="s">
        <v>1075</v>
      </c>
      <c r="B70" s="64">
        <v>3.59</v>
      </c>
      <c r="C70" s="64">
        <v>18.149999999999999</v>
      </c>
      <c r="D70" s="64">
        <v>14.18</v>
      </c>
      <c r="E70" s="64">
        <v>1.38</v>
      </c>
      <c r="F70" s="64">
        <v>0.78</v>
      </c>
      <c r="G70" s="64">
        <v>75.64</v>
      </c>
      <c r="H70" s="64">
        <v>17.3</v>
      </c>
      <c r="I70" s="64">
        <v>1.51</v>
      </c>
      <c r="J70" s="64">
        <v>0.65</v>
      </c>
      <c r="K70" s="64">
        <v>332.42</v>
      </c>
      <c r="L70" s="64">
        <v>31.86</v>
      </c>
      <c r="M70" s="64">
        <v>43.26</v>
      </c>
      <c r="N70" s="64">
        <v>114.8</v>
      </c>
      <c r="O70" s="64">
        <v>0</v>
      </c>
      <c r="P70" s="64">
        <v>0.69</v>
      </c>
      <c r="Q70" s="64">
        <v>208.7</v>
      </c>
      <c r="R70" s="198"/>
      <c r="S70" s="198"/>
      <c r="T70" s="198"/>
      <c r="U70" s="198"/>
    </row>
    <row r="71" spans="1:21" s="12" customFormat="1" x14ac:dyDescent="0.25">
      <c r="A71" s="214" t="s">
        <v>1076</v>
      </c>
      <c r="B71" s="64">
        <v>3.9</v>
      </c>
      <c r="C71" s="64">
        <v>17.47</v>
      </c>
      <c r="D71" s="64">
        <v>14.06</v>
      </c>
      <c r="E71" s="64">
        <v>1.1399999999999999</v>
      </c>
      <c r="F71" s="64">
        <v>0.73</v>
      </c>
      <c r="G71" s="64">
        <v>75.64</v>
      </c>
      <c r="H71" s="64">
        <v>17.3</v>
      </c>
      <c r="I71" s="64">
        <v>1.49</v>
      </c>
      <c r="J71" s="64">
        <v>0.49</v>
      </c>
      <c r="K71" s="64">
        <v>337.61</v>
      </c>
      <c r="L71" s="64">
        <v>31.56</v>
      </c>
      <c r="M71" s="64">
        <v>43.71</v>
      </c>
      <c r="N71" s="64">
        <v>102.8</v>
      </c>
      <c r="O71" s="64">
        <v>0</v>
      </c>
      <c r="P71" s="64">
        <v>0.71</v>
      </c>
      <c r="Q71" s="64">
        <v>203.76</v>
      </c>
      <c r="R71" s="198"/>
      <c r="S71" s="198"/>
      <c r="T71" s="198"/>
      <c r="U71" s="198"/>
    </row>
    <row r="72" spans="1:21" s="12" customFormat="1" x14ac:dyDescent="0.25">
      <c r="A72" s="214" t="s">
        <v>1077</v>
      </c>
      <c r="B72" s="64">
        <v>4.49</v>
      </c>
      <c r="C72" s="64">
        <v>17.7</v>
      </c>
      <c r="D72" s="64">
        <v>14.66</v>
      </c>
      <c r="E72" s="64">
        <v>0.99</v>
      </c>
      <c r="F72" s="64">
        <v>0.49</v>
      </c>
      <c r="G72" s="64">
        <v>75.7</v>
      </c>
      <c r="H72" s="64">
        <v>20.309999999999999</v>
      </c>
      <c r="I72" s="64">
        <v>1.53</v>
      </c>
      <c r="J72" s="64">
        <v>0.3</v>
      </c>
      <c r="K72" s="64">
        <v>331.22</v>
      </c>
      <c r="L72" s="64">
        <v>31.29</v>
      </c>
      <c r="M72" s="64">
        <v>44.9</v>
      </c>
      <c r="N72" s="64">
        <v>88.6</v>
      </c>
      <c r="O72" s="64">
        <v>0</v>
      </c>
      <c r="P72" s="64">
        <v>0.68</v>
      </c>
      <c r="Q72" s="64">
        <v>205.86</v>
      </c>
      <c r="R72" s="198"/>
      <c r="S72" s="198"/>
      <c r="T72" s="198"/>
      <c r="U72" s="198"/>
    </row>
    <row r="73" spans="1:21" s="12" customFormat="1" x14ac:dyDescent="0.25">
      <c r="A73" s="214" t="s">
        <v>1078</v>
      </c>
      <c r="B73" s="64">
        <v>4.5999999999999996</v>
      </c>
      <c r="C73" s="64">
        <v>17.29</v>
      </c>
      <c r="D73" s="64">
        <v>14.53</v>
      </c>
      <c r="E73" s="64">
        <v>1.71</v>
      </c>
      <c r="F73" s="64">
        <v>1.08</v>
      </c>
      <c r="G73" s="64">
        <v>75.760000000000005</v>
      </c>
      <c r="H73" s="64">
        <v>21.53</v>
      </c>
      <c r="I73" s="64">
        <v>1.48</v>
      </c>
      <c r="J73" s="64">
        <v>0.41</v>
      </c>
      <c r="K73" s="64">
        <v>340.2</v>
      </c>
      <c r="L73" s="64">
        <v>30.96</v>
      </c>
      <c r="M73" s="64">
        <v>44.65</v>
      </c>
      <c r="N73" s="64">
        <v>74.2</v>
      </c>
      <c r="O73" s="64">
        <v>0</v>
      </c>
      <c r="P73" s="64">
        <v>0.72</v>
      </c>
      <c r="Q73" s="64">
        <v>211.07</v>
      </c>
      <c r="R73" s="198"/>
      <c r="S73" s="198"/>
      <c r="T73" s="198"/>
      <c r="U73" s="198"/>
    </row>
    <row r="74" spans="1:21" s="12" customFormat="1" x14ac:dyDescent="0.25">
      <c r="A74" s="214" t="s">
        <v>1079</v>
      </c>
      <c r="B74" s="64">
        <v>4.59</v>
      </c>
      <c r="C74" s="64">
        <v>19.27</v>
      </c>
      <c r="D74" s="64">
        <v>15.61</v>
      </c>
      <c r="E74" s="64">
        <v>1.53</v>
      </c>
      <c r="F74" s="64">
        <v>0.51</v>
      </c>
      <c r="G74" s="64">
        <v>75.760000000000005</v>
      </c>
      <c r="H74" s="64">
        <v>21.53</v>
      </c>
      <c r="I74" s="64">
        <v>1.55</v>
      </c>
      <c r="J74" s="64">
        <v>0.45</v>
      </c>
      <c r="K74" s="64">
        <v>327.27</v>
      </c>
      <c r="L74" s="64">
        <v>30.7</v>
      </c>
      <c r="M74" s="64">
        <v>45.79</v>
      </c>
      <c r="N74" s="64">
        <v>62</v>
      </c>
      <c r="O74" s="64">
        <v>0</v>
      </c>
      <c r="P74" s="64">
        <v>0.72</v>
      </c>
      <c r="Q74" s="64">
        <v>227.32</v>
      </c>
      <c r="R74" s="198"/>
      <c r="S74" s="198"/>
      <c r="T74" s="198"/>
      <c r="U74" s="198"/>
    </row>
    <row r="75" spans="1:21" s="12" customFormat="1" x14ac:dyDescent="0.25">
      <c r="A75" s="214" t="s">
        <v>1080</v>
      </c>
      <c r="B75" s="64">
        <v>4.6100000000000003</v>
      </c>
      <c r="C75" s="64">
        <v>19.73</v>
      </c>
      <c r="D75" s="64">
        <v>15.88</v>
      </c>
      <c r="E75" s="64">
        <v>1.36</v>
      </c>
      <c r="F75" s="64">
        <v>0.88</v>
      </c>
      <c r="G75" s="64">
        <v>75.760000000000005</v>
      </c>
      <c r="H75" s="64">
        <v>21.53</v>
      </c>
      <c r="I75" s="64">
        <v>1.58</v>
      </c>
      <c r="J75" s="64">
        <v>0.48</v>
      </c>
      <c r="K75" s="64">
        <v>327.27999999999997</v>
      </c>
      <c r="L75" s="64">
        <v>30.38</v>
      </c>
      <c r="M75" s="64">
        <v>47.19</v>
      </c>
      <c r="N75" s="64">
        <v>49.8</v>
      </c>
      <c r="O75" s="64">
        <v>0</v>
      </c>
      <c r="P75" s="64">
        <v>0.73</v>
      </c>
      <c r="Q75" s="64">
        <v>229.18</v>
      </c>
      <c r="R75" s="198"/>
      <c r="S75" s="198"/>
      <c r="T75" s="198"/>
      <c r="U75" s="198"/>
    </row>
    <row r="76" spans="1:21" s="12" customFormat="1" x14ac:dyDescent="0.25">
      <c r="A76" s="214" t="s">
        <v>1081</v>
      </c>
      <c r="B76" s="64">
        <v>4.32</v>
      </c>
      <c r="C76" s="64">
        <v>19.11</v>
      </c>
      <c r="D76" s="64">
        <v>15.31</v>
      </c>
      <c r="E76" s="64">
        <v>1.17</v>
      </c>
      <c r="F76" s="64">
        <v>1.01</v>
      </c>
      <c r="G76" s="64">
        <v>74.02</v>
      </c>
      <c r="H76" s="64">
        <v>21.89</v>
      </c>
      <c r="I76" s="64">
        <v>1.56</v>
      </c>
      <c r="J76" s="64">
        <v>0.21</v>
      </c>
      <c r="K76" s="64">
        <v>23.7</v>
      </c>
      <c r="L76" s="64">
        <v>29.78</v>
      </c>
      <c r="M76" s="64">
        <v>48.31</v>
      </c>
      <c r="N76" s="64">
        <v>40.4</v>
      </c>
      <c r="O76" s="64">
        <v>0</v>
      </c>
      <c r="P76" s="64">
        <v>0.7</v>
      </c>
      <c r="Q76" s="64">
        <v>228.81</v>
      </c>
      <c r="R76" s="198"/>
      <c r="S76" s="198"/>
      <c r="T76" s="198"/>
      <c r="U76" s="198"/>
    </row>
    <row r="77" spans="1:21" s="12" customFormat="1" x14ac:dyDescent="0.25">
      <c r="A77" s="214" t="s">
        <v>1082</v>
      </c>
      <c r="B77" s="64">
        <v>3.58</v>
      </c>
      <c r="C77" s="64">
        <v>18.22</v>
      </c>
      <c r="D77" s="64">
        <v>14.21</v>
      </c>
      <c r="E77" s="64">
        <v>1.34</v>
      </c>
      <c r="F77" s="64">
        <v>1.37</v>
      </c>
      <c r="G77" s="64">
        <v>72.5</v>
      </c>
      <c r="H77" s="64">
        <v>22.04</v>
      </c>
      <c r="I77" s="64">
        <v>1.53</v>
      </c>
      <c r="J77" s="64">
        <v>0.1</v>
      </c>
      <c r="K77" s="64">
        <v>24.51</v>
      </c>
      <c r="L77" s="64">
        <v>29.37</v>
      </c>
      <c r="M77" s="64">
        <v>49.63</v>
      </c>
      <c r="N77" s="64">
        <v>29.3</v>
      </c>
      <c r="O77" s="64">
        <v>0</v>
      </c>
      <c r="P77" s="64">
        <v>0.7</v>
      </c>
      <c r="Q77" s="64">
        <v>233.91</v>
      </c>
      <c r="R77" s="198"/>
      <c r="S77" s="198"/>
      <c r="T77" s="198"/>
      <c r="U77" s="198"/>
    </row>
    <row r="78" spans="1:21" s="12" customFormat="1" x14ac:dyDescent="0.25">
      <c r="A78" s="214" t="s">
        <v>1083</v>
      </c>
      <c r="B78" s="64">
        <v>3.12</v>
      </c>
      <c r="C78" s="64">
        <v>17.79</v>
      </c>
      <c r="D78" s="64">
        <v>13.61</v>
      </c>
      <c r="E78" s="64">
        <v>1.76</v>
      </c>
      <c r="F78" s="64">
        <v>0.82</v>
      </c>
      <c r="G78" s="64">
        <v>72.5</v>
      </c>
      <c r="H78" s="64">
        <v>22.04</v>
      </c>
      <c r="I78" s="64">
        <v>1.58</v>
      </c>
      <c r="J78" s="64">
        <v>0.05</v>
      </c>
      <c r="K78" s="64">
        <v>319.87</v>
      </c>
      <c r="L78" s="64">
        <v>29</v>
      </c>
      <c r="M78" s="64">
        <v>51.92</v>
      </c>
      <c r="N78" s="64">
        <v>18.399999999999999</v>
      </c>
      <c r="O78" s="64">
        <v>0</v>
      </c>
      <c r="P78" s="64">
        <v>0.8</v>
      </c>
      <c r="Q78" s="64">
        <v>244.14</v>
      </c>
      <c r="R78" s="198"/>
      <c r="S78" s="198"/>
      <c r="T78" s="198"/>
      <c r="U78" s="198"/>
    </row>
    <row r="79" spans="1:21" s="12" customFormat="1" x14ac:dyDescent="0.25">
      <c r="A79" s="214" t="s">
        <v>1084</v>
      </c>
      <c r="B79" s="64">
        <v>3.6</v>
      </c>
      <c r="C79" s="64">
        <v>17.7</v>
      </c>
      <c r="D79" s="64">
        <v>13.95</v>
      </c>
      <c r="E79" s="64">
        <v>1.27</v>
      </c>
      <c r="F79" s="64">
        <v>0.81</v>
      </c>
      <c r="G79" s="64">
        <v>72.5</v>
      </c>
      <c r="H79" s="64">
        <v>22.04</v>
      </c>
      <c r="I79" s="64">
        <v>1.46</v>
      </c>
      <c r="J79" s="64">
        <v>0.08</v>
      </c>
      <c r="K79" s="64">
        <v>271.45</v>
      </c>
      <c r="L79" s="64">
        <v>28.49</v>
      </c>
      <c r="M79" s="64">
        <v>55.04</v>
      </c>
      <c r="N79" s="64">
        <v>11.4</v>
      </c>
      <c r="O79" s="64">
        <v>0</v>
      </c>
      <c r="P79" s="64">
        <v>0.89</v>
      </c>
      <c r="Q79" s="64">
        <v>237.4</v>
      </c>
      <c r="R79" s="198"/>
      <c r="S79" s="198"/>
      <c r="T79" s="198"/>
      <c r="U79" s="198"/>
    </row>
    <row r="80" spans="1:21" s="12" customFormat="1" x14ac:dyDescent="0.25">
      <c r="A80" s="214" t="s">
        <v>1085</v>
      </c>
      <c r="B80" s="64">
        <v>4.01</v>
      </c>
      <c r="C80" s="64">
        <v>17.25</v>
      </c>
      <c r="D80" s="64">
        <v>14.02</v>
      </c>
      <c r="E80" s="64">
        <v>1.06</v>
      </c>
      <c r="F80" s="64">
        <v>0.93</v>
      </c>
      <c r="G80" s="64">
        <v>72.09</v>
      </c>
      <c r="H80" s="64">
        <v>21.6</v>
      </c>
      <c r="I80" s="64">
        <v>1.49</v>
      </c>
      <c r="J80" s="64">
        <v>0.11</v>
      </c>
      <c r="K80" s="64">
        <v>227.15</v>
      </c>
      <c r="L80" s="64">
        <v>27.99</v>
      </c>
      <c r="M80" s="64">
        <v>58.53</v>
      </c>
      <c r="N80" s="64">
        <v>6.8</v>
      </c>
      <c r="O80" s="64">
        <v>0</v>
      </c>
      <c r="P80" s="64">
        <v>1.1200000000000001</v>
      </c>
      <c r="Q80" s="64">
        <v>240.18</v>
      </c>
      <c r="R80" s="198"/>
      <c r="S80" s="198"/>
      <c r="T80" s="198"/>
      <c r="U80" s="198"/>
    </row>
    <row r="81" spans="1:26" s="12" customFormat="1" x14ac:dyDescent="0.25">
      <c r="A81" s="214" t="s">
        <v>1086</v>
      </c>
      <c r="B81" s="64">
        <v>4.33</v>
      </c>
      <c r="C81" s="64">
        <v>17.36</v>
      </c>
      <c r="D81" s="64">
        <v>14.35</v>
      </c>
      <c r="E81" s="64">
        <v>1.27</v>
      </c>
      <c r="F81" s="64">
        <v>0.54</v>
      </c>
      <c r="G81" s="64">
        <v>71.73</v>
      </c>
      <c r="H81" s="64">
        <v>21.27</v>
      </c>
      <c r="I81" s="64">
        <v>1.55</v>
      </c>
      <c r="J81" s="64">
        <v>7.0000000000000007E-2</v>
      </c>
      <c r="K81" s="64">
        <v>240.92</v>
      </c>
      <c r="L81" s="64">
        <v>27.68</v>
      </c>
      <c r="M81" s="64">
        <v>61.04</v>
      </c>
      <c r="N81" s="64">
        <v>1.2</v>
      </c>
      <c r="O81" s="64">
        <v>0</v>
      </c>
      <c r="P81" s="64">
        <v>0.76</v>
      </c>
      <c r="Q81" s="64">
        <v>223.32</v>
      </c>
      <c r="R81" s="198"/>
      <c r="S81" s="198"/>
      <c r="T81" s="198"/>
      <c r="U81" s="198"/>
    </row>
    <row r="82" spans="1:26" s="12" customFormat="1" x14ac:dyDescent="0.25">
      <c r="A82" s="214" t="s">
        <v>1087</v>
      </c>
      <c r="B82" s="64">
        <v>4.4800000000000004</v>
      </c>
      <c r="C82" s="64">
        <v>16.920000000000002</v>
      </c>
      <c r="D82" s="64">
        <v>14.22</v>
      </c>
      <c r="E82" s="64">
        <v>1.46</v>
      </c>
      <c r="F82" s="64">
        <v>0.43</v>
      </c>
      <c r="G82" s="64">
        <v>71.73</v>
      </c>
      <c r="H82" s="64">
        <v>21.27</v>
      </c>
      <c r="I82" s="64">
        <v>1.55</v>
      </c>
      <c r="J82" s="64">
        <v>0.11</v>
      </c>
      <c r="K82" s="64">
        <v>18.23</v>
      </c>
      <c r="L82" s="64">
        <v>26.79</v>
      </c>
      <c r="M82" s="64">
        <v>65.95</v>
      </c>
      <c r="N82" s="64">
        <v>9.1</v>
      </c>
      <c r="O82" s="64">
        <v>0</v>
      </c>
      <c r="P82" s="64">
        <v>0.8</v>
      </c>
      <c r="Q82" s="64">
        <v>213.27</v>
      </c>
      <c r="R82" s="198"/>
      <c r="S82" s="198"/>
      <c r="T82" s="198"/>
      <c r="U82" s="198"/>
    </row>
    <row r="83" spans="1:26" s="12" customFormat="1" x14ac:dyDescent="0.25">
      <c r="A83" s="214" t="s">
        <v>1088</v>
      </c>
      <c r="B83" s="64">
        <v>4.51</v>
      </c>
      <c r="C83" s="64">
        <v>16.239999999999998</v>
      </c>
      <c r="D83" s="64">
        <v>13.87</v>
      </c>
      <c r="E83" s="64">
        <v>2.0099999999999998</v>
      </c>
      <c r="F83" s="64">
        <v>0.47</v>
      </c>
      <c r="G83" s="64">
        <v>71.73</v>
      </c>
      <c r="H83" s="64">
        <v>21.27</v>
      </c>
      <c r="I83" s="64">
        <v>1.48</v>
      </c>
      <c r="J83" s="64">
        <v>0.02</v>
      </c>
      <c r="K83" s="64">
        <v>346.01</v>
      </c>
      <c r="L83" s="64">
        <v>27.41</v>
      </c>
      <c r="M83" s="64">
        <v>58.38</v>
      </c>
      <c r="N83" s="64">
        <v>4.9000000000000004</v>
      </c>
      <c r="O83" s="64">
        <v>0</v>
      </c>
      <c r="P83" s="64">
        <v>0.78</v>
      </c>
      <c r="Q83" s="64">
        <v>208.7</v>
      </c>
      <c r="R83" s="198"/>
      <c r="S83" s="198"/>
      <c r="T83" s="198"/>
      <c r="U83" s="198"/>
    </row>
    <row r="84" spans="1:26" s="12" customFormat="1" x14ac:dyDescent="0.25">
      <c r="A84" s="214" t="s">
        <v>1089</v>
      </c>
      <c r="B84" s="64">
        <v>4.47</v>
      </c>
      <c r="C84" s="64">
        <v>15.52</v>
      </c>
      <c r="D84" s="64">
        <v>13.44</v>
      </c>
      <c r="E84" s="64">
        <v>1.42</v>
      </c>
      <c r="F84" s="64">
        <v>0.27</v>
      </c>
      <c r="G84" s="64">
        <v>69.89</v>
      </c>
      <c r="H84" s="64">
        <v>20.190000000000001</v>
      </c>
      <c r="I84" s="64">
        <v>1.48</v>
      </c>
      <c r="J84" s="64">
        <v>0.17</v>
      </c>
      <c r="K84" s="64">
        <v>221.07</v>
      </c>
      <c r="L84" s="64">
        <v>27.09</v>
      </c>
      <c r="M84" s="64">
        <v>61.44</v>
      </c>
      <c r="N84" s="212" t="s">
        <v>42</v>
      </c>
      <c r="O84" s="64">
        <v>0</v>
      </c>
      <c r="P84" s="64">
        <v>0.81</v>
      </c>
      <c r="Q84" s="64">
        <v>207.01</v>
      </c>
      <c r="R84" s="198"/>
      <c r="S84" s="198"/>
      <c r="T84" s="198"/>
      <c r="U84" s="198"/>
    </row>
    <row r="85" spans="1:26" s="12" customFormat="1" x14ac:dyDescent="0.25">
      <c r="A85" s="214" t="s">
        <v>1090</v>
      </c>
      <c r="B85" s="64">
        <v>4.53</v>
      </c>
      <c r="C85" s="64">
        <v>15.49</v>
      </c>
      <c r="D85" s="64">
        <v>13.48</v>
      </c>
      <c r="E85" s="64">
        <v>1.49</v>
      </c>
      <c r="F85" s="64">
        <v>0.28999999999999998</v>
      </c>
      <c r="G85" s="64">
        <v>68.290000000000006</v>
      </c>
      <c r="H85" s="64">
        <v>19.77</v>
      </c>
      <c r="I85" s="64">
        <v>1.46</v>
      </c>
      <c r="J85" s="64">
        <v>0.14000000000000001</v>
      </c>
      <c r="K85" s="64">
        <v>191.3</v>
      </c>
      <c r="L85" s="64">
        <v>26.83</v>
      </c>
      <c r="M85" s="64">
        <v>65.05</v>
      </c>
      <c r="N85" s="212" t="s">
        <v>42</v>
      </c>
      <c r="O85" s="64">
        <v>0</v>
      </c>
      <c r="P85" s="64">
        <v>0.84</v>
      </c>
      <c r="Q85" s="64">
        <v>208.95</v>
      </c>
      <c r="R85" s="198"/>
      <c r="S85" s="198"/>
      <c r="T85" s="198"/>
      <c r="U85" s="198"/>
    </row>
    <row r="86" spans="1:26" s="12" customFormat="1" x14ac:dyDescent="0.25">
      <c r="A86" s="214" t="s">
        <v>1091</v>
      </c>
      <c r="B86" s="64">
        <v>4.7699999999999996</v>
      </c>
      <c r="C86" s="64">
        <v>16.8</v>
      </c>
      <c r="D86" s="64">
        <v>14.39</v>
      </c>
      <c r="E86" s="64">
        <v>1.7</v>
      </c>
      <c r="F86" s="64">
        <v>0.17</v>
      </c>
      <c r="G86" s="64">
        <v>68.290000000000006</v>
      </c>
      <c r="H86" s="64">
        <v>19.77</v>
      </c>
      <c r="I86" s="64">
        <v>1.5</v>
      </c>
      <c r="J86" s="64">
        <v>0.17</v>
      </c>
      <c r="K86" s="64">
        <v>201.72</v>
      </c>
      <c r="L86" s="64">
        <v>26.59</v>
      </c>
      <c r="M86" s="64">
        <v>66.98</v>
      </c>
      <c r="N86" s="212" t="s">
        <v>42</v>
      </c>
      <c r="O86" s="64">
        <v>0</v>
      </c>
      <c r="P86" s="64">
        <v>0.87</v>
      </c>
      <c r="Q86" s="64">
        <v>220.25</v>
      </c>
      <c r="R86" s="198"/>
      <c r="S86" s="198"/>
      <c r="T86" s="198"/>
      <c r="U86" s="198"/>
    </row>
    <row r="87" spans="1:26" s="12" customFormat="1" x14ac:dyDescent="0.25">
      <c r="A87" s="214" t="s">
        <v>1092</v>
      </c>
      <c r="B87" s="64">
        <v>4.9000000000000004</v>
      </c>
      <c r="C87" s="64">
        <v>16.25</v>
      </c>
      <c r="D87" s="64">
        <v>14.19</v>
      </c>
      <c r="E87" s="64">
        <v>1.27</v>
      </c>
      <c r="F87" s="64">
        <v>0.73</v>
      </c>
      <c r="G87" s="64">
        <v>68.290000000000006</v>
      </c>
      <c r="H87" s="64">
        <v>19.77</v>
      </c>
      <c r="I87" s="64">
        <v>1.49</v>
      </c>
      <c r="J87" s="64">
        <v>0.13</v>
      </c>
      <c r="K87" s="64">
        <v>217.17</v>
      </c>
      <c r="L87" s="64">
        <v>26.52</v>
      </c>
      <c r="M87" s="64">
        <v>67.45</v>
      </c>
      <c r="N87" s="212" t="s">
        <v>42</v>
      </c>
      <c r="O87" s="64">
        <v>0</v>
      </c>
      <c r="P87" s="64">
        <v>0.87</v>
      </c>
      <c r="Q87" s="64">
        <v>221.21</v>
      </c>
      <c r="R87" s="198"/>
      <c r="S87" s="198"/>
      <c r="T87" s="198"/>
      <c r="U87" s="198"/>
    </row>
    <row r="88" spans="1:26" s="12" customFormat="1" x14ac:dyDescent="0.25">
      <c r="A88" s="214" t="s">
        <v>1093</v>
      </c>
      <c r="B88" s="64">
        <v>4.97</v>
      </c>
      <c r="C88" s="64">
        <v>16.02</v>
      </c>
      <c r="D88" s="64">
        <v>14.12</v>
      </c>
      <c r="E88" s="64">
        <v>0.31</v>
      </c>
      <c r="F88" s="64">
        <v>0.44</v>
      </c>
      <c r="G88" s="64">
        <v>70.599999999999994</v>
      </c>
      <c r="H88" s="64">
        <v>16.25</v>
      </c>
      <c r="I88" s="64">
        <v>1.49</v>
      </c>
      <c r="J88" s="64">
        <v>0.09</v>
      </c>
      <c r="K88" s="64">
        <v>197.3</v>
      </c>
      <c r="L88" s="64">
        <v>26.22</v>
      </c>
      <c r="M88" s="64">
        <v>68.510000000000005</v>
      </c>
      <c r="N88" s="212" t="s">
        <v>42</v>
      </c>
      <c r="O88" s="64">
        <v>0</v>
      </c>
      <c r="P88" s="64">
        <v>0.86</v>
      </c>
      <c r="Q88" s="64">
        <v>232.86</v>
      </c>
      <c r="R88" s="198"/>
      <c r="S88" s="198"/>
      <c r="T88" s="198"/>
      <c r="U88" s="198"/>
    </row>
    <row r="89" spans="1:26" s="12" customFormat="1" x14ac:dyDescent="0.25">
      <c r="A89" s="214" t="s">
        <v>1094</v>
      </c>
      <c r="B89" s="64">
        <v>4.9800000000000004</v>
      </c>
      <c r="C89" s="64">
        <v>16.14</v>
      </c>
      <c r="D89" s="64">
        <v>14.19</v>
      </c>
      <c r="E89" s="64">
        <v>1.47</v>
      </c>
      <c r="F89" s="64">
        <v>0.63</v>
      </c>
      <c r="G89" s="64">
        <v>72.62</v>
      </c>
      <c r="H89" s="64">
        <v>14.85</v>
      </c>
      <c r="I89" s="64">
        <v>1.53</v>
      </c>
      <c r="J89" s="64">
        <v>0.21</v>
      </c>
      <c r="K89" s="64">
        <v>157.1</v>
      </c>
      <c r="L89" s="64">
        <v>25.94</v>
      </c>
      <c r="M89" s="64">
        <v>71.25</v>
      </c>
      <c r="N89" s="212" t="s">
        <v>42</v>
      </c>
      <c r="O89" s="64">
        <v>0</v>
      </c>
      <c r="P89" s="64">
        <v>0.87</v>
      </c>
      <c r="Q89" s="64">
        <v>228.24</v>
      </c>
      <c r="R89" s="198"/>
      <c r="S89" s="198"/>
      <c r="T89" s="198"/>
      <c r="U89" s="198"/>
    </row>
    <row r="90" spans="1:26" s="12" customFormat="1" x14ac:dyDescent="0.25">
      <c r="A90" s="214" t="s">
        <v>1095</v>
      </c>
      <c r="B90" s="64">
        <v>4.95</v>
      </c>
      <c r="C90" s="64">
        <v>15.72</v>
      </c>
      <c r="D90" s="64">
        <v>13.94</v>
      </c>
      <c r="E90" s="64">
        <v>1.22</v>
      </c>
      <c r="F90" s="64">
        <v>0.47</v>
      </c>
      <c r="G90" s="64">
        <v>72.62</v>
      </c>
      <c r="H90" s="64">
        <v>14.85</v>
      </c>
      <c r="I90" s="64">
        <v>1.51</v>
      </c>
      <c r="J90" s="64">
        <v>0.24</v>
      </c>
      <c r="K90" s="64">
        <v>189.8</v>
      </c>
      <c r="L90" s="64">
        <v>25.78</v>
      </c>
      <c r="M90" s="64">
        <v>72.67</v>
      </c>
      <c r="N90" s="64">
        <v>4.5999999999999996</v>
      </c>
      <c r="O90" s="64">
        <v>0</v>
      </c>
      <c r="P90" s="64">
        <v>0.81</v>
      </c>
      <c r="Q90" s="64">
        <v>235.83</v>
      </c>
      <c r="R90" s="198"/>
      <c r="S90" s="198"/>
      <c r="T90" s="198"/>
      <c r="U90" s="198"/>
    </row>
    <row r="91" spans="1:26" s="12" customFormat="1" x14ac:dyDescent="0.25">
      <c r="A91" s="214" t="s">
        <v>1096</v>
      </c>
      <c r="B91" s="64">
        <v>4.92</v>
      </c>
      <c r="C91" s="64">
        <v>15.8</v>
      </c>
      <c r="D91" s="64">
        <v>13.95</v>
      </c>
      <c r="E91" s="64">
        <v>0.9</v>
      </c>
      <c r="F91" s="64">
        <v>0.52</v>
      </c>
      <c r="G91" s="64">
        <v>72.62</v>
      </c>
      <c r="H91" s="64">
        <v>14.85</v>
      </c>
      <c r="I91" s="64">
        <v>1.51</v>
      </c>
      <c r="J91" s="64">
        <v>0.17</v>
      </c>
      <c r="K91" s="64">
        <v>196.22</v>
      </c>
      <c r="L91" s="64">
        <v>25.58</v>
      </c>
      <c r="M91" s="64">
        <v>75.290000000000006</v>
      </c>
      <c r="N91" s="64">
        <v>8.8000000000000007</v>
      </c>
      <c r="O91" s="64">
        <v>0</v>
      </c>
      <c r="P91" s="64">
        <v>0.77</v>
      </c>
      <c r="Q91" s="64">
        <v>232.46</v>
      </c>
      <c r="R91" s="198"/>
      <c r="S91" s="198"/>
      <c r="T91" s="198"/>
      <c r="U91" s="198"/>
    </row>
    <row r="92" spans="1:26" s="12" customFormat="1" x14ac:dyDescent="0.25">
      <c r="A92" s="214" t="s">
        <v>1097</v>
      </c>
      <c r="B92" s="64">
        <v>4.7300000000000004</v>
      </c>
      <c r="C92" s="64">
        <v>14.77</v>
      </c>
      <c r="D92" s="64">
        <v>13.23</v>
      </c>
      <c r="E92" s="64">
        <v>0.28999999999999998</v>
      </c>
      <c r="F92" s="64">
        <v>0.6</v>
      </c>
      <c r="G92" s="64">
        <v>71.89</v>
      </c>
      <c r="H92" s="64">
        <v>19.14</v>
      </c>
      <c r="I92" s="64">
        <v>1.44</v>
      </c>
      <c r="J92" s="64">
        <v>0.17</v>
      </c>
      <c r="K92" s="64">
        <v>194.91</v>
      </c>
      <c r="L92" s="64">
        <v>25.43</v>
      </c>
      <c r="M92" s="64">
        <v>76.41</v>
      </c>
      <c r="N92" s="64">
        <v>8.6</v>
      </c>
      <c r="O92" s="64">
        <v>0</v>
      </c>
      <c r="P92" s="64">
        <v>0.75</v>
      </c>
      <c r="Q92" s="64">
        <v>232.04</v>
      </c>
      <c r="R92" s="198"/>
      <c r="S92" s="198"/>
      <c r="T92" s="198"/>
      <c r="U92" s="198"/>
    </row>
    <row r="93" spans="1:26" s="12" customFormat="1" x14ac:dyDescent="0.25">
      <c r="A93" s="214" t="s">
        <v>1098</v>
      </c>
      <c r="B93" s="64">
        <v>4.75</v>
      </c>
      <c r="C93" s="64">
        <v>14.28</v>
      </c>
      <c r="D93" s="64">
        <v>12.99</v>
      </c>
      <c r="E93" s="64">
        <v>1.2</v>
      </c>
      <c r="F93" s="64">
        <v>0.43</v>
      </c>
      <c r="G93" s="64">
        <v>71.239999999999995</v>
      </c>
      <c r="H93" s="64">
        <v>20.87</v>
      </c>
      <c r="I93" s="64">
        <v>1.48</v>
      </c>
      <c r="J93" s="64">
        <v>0.22</v>
      </c>
      <c r="K93" s="64">
        <v>192.5</v>
      </c>
      <c r="L93" s="64">
        <v>25.34</v>
      </c>
      <c r="M93" s="64">
        <v>77.150000000000006</v>
      </c>
      <c r="N93" s="64">
        <v>8.6</v>
      </c>
      <c r="O93" s="64">
        <v>0</v>
      </c>
      <c r="P93" s="64">
        <v>0.75</v>
      </c>
      <c r="Q93" s="64">
        <v>200.89</v>
      </c>
      <c r="R93" s="198"/>
      <c r="S93" s="198"/>
      <c r="T93" s="198"/>
      <c r="U93" s="198"/>
    </row>
    <row r="94" spans="1:26" s="12" customFormat="1" x14ac:dyDescent="0.25">
      <c r="A94" s="214" t="s">
        <v>1099</v>
      </c>
      <c r="B94" s="64">
        <v>4.9000000000000004</v>
      </c>
      <c r="C94" s="64">
        <v>13.03</v>
      </c>
      <c r="D94" s="64">
        <v>12.41</v>
      </c>
      <c r="E94" s="64">
        <v>0.6</v>
      </c>
      <c r="F94" s="64">
        <v>0.62</v>
      </c>
      <c r="G94" s="64">
        <v>71.239999999999995</v>
      </c>
      <c r="H94" s="64">
        <v>20.87</v>
      </c>
      <c r="I94" s="64">
        <v>1.52</v>
      </c>
      <c r="J94" s="64">
        <v>0.23</v>
      </c>
      <c r="K94" s="64">
        <v>189.94</v>
      </c>
      <c r="L94" s="64">
        <v>25.1</v>
      </c>
      <c r="M94" s="64">
        <v>79.510000000000005</v>
      </c>
      <c r="N94" s="64">
        <v>8.8000000000000007</v>
      </c>
      <c r="O94" s="64">
        <v>0</v>
      </c>
      <c r="P94" s="64">
        <v>0.72</v>
      </c>
      <c r="Q94" s="64">
        <v>189.81</v>
      </c>
      <c r="R94" s="198"/>
      <c r="S94" s="198"/>
      <c r="T94" s="198"/>
      <c r="U94" s="198"/>
    </row>
    <row r="95" spans="1:26" s="12" customFormat="1" x14ac:dyDescent="0.25">
      <c r="A95" s="214" t="s">
        <v>1100</v>
      </c>
      <c r="B95" s="64">
        <v>5.07</v>
      </c>
      <c r="C95" s="64">
        <v>13.3</v>
      </c>
      <c r="D95" s="64">
        <v>12.7</v>
      </c>
      <c r="E95" s="64">
        <v>1.57</v>
      </c>
      <c r="F95" s="64">
        <v>0.1</v>
      </c>
      <c r="G95" s="64">
        <v>71.239999999999995</v>
      </c>
      <c r="H95" s="64">
        <v>20.87</v>
      </c>
      <c r="I95" s="64">
        <v>1.47</v>
      </c>
      <c r="J95" s="64">
        <v>0.15</v>
      </c>
      <c r="K95" s="64">
        <v>199.93</v>
      </c>
      <c r="L95" s="64">
        <v>24.98</v>
      </c>
      <c r="M95" s="64">
        <v>80.430000000000007</v>
      </c>
      <c r="N95" s="64">
        <v>8.8000000000000007</v>
      </c>
      <c r="O95" s="64">
        <v>0</v>
      </c>
      <c r="P95" s="64">
        <v>0.72</v>
      </c>
      <c r="Q95" s="64">
        <v>201.08</v>
      </c>
      <c r="R95" s="198"/>
      <c r="S95" s="198"/>
      <c r="T95" s="198"/>
      <c r="U95" s="198"/>
    </row>
    <row r="96" spans="1:26" s="12" customFormat="1" x14ac:dyDescent="0.25">
      <c r="A96" s="214" t="s">
        <v>1101</v>
      </c>
      <c r="B96" s="64">
        <v>5.17</v>
      </c>
      <c r="C96" s="64">
        <v>12.87</v>
      </c>
      <c r="D96" s="64">
        <v>12.54</v>
      </c>
      <c r="E96" s="64">
        <v>1.3</v>
      </c>
      <c r="F96" s="64">
        <v>0.55000000000000004</v>
      </c>
      <c r="G96" s="64">
        <v>69.94</v>
      </c>
      <c r="H96" s="64">
        <v>21.41</v>
      </c>
      <c r="I96" s="64">
        <v>1.48</v>
      </c>
      <c r="J96" s="64">
        <v>0.15</v>
      </c>
      <c r="K96" s="64">
        <v>226.4</v>
      </c>
      <c r="L96" s="64">
        <v>24.83</v>
      </c>
      <c r="M96" s="64">
        <v>81.27</v>
      </c>
      <c r="N96" s="64">
        <v>8.6999999999999993</v>
      </c>
      <c r="O96" s="64">
        <v>0</v>
      </c>
      <c r="P96" s="64">
        <v>0.71</v>
      </c>
      <c r="Q96" s="64">
        <v>186.47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1102</v>
      </c>
      <c r="B97" s="64">
        <v>5.25</v>
      </c>
      <c r="C97" s="64">
        <v>12.26</v>
      </c>
      <c r="D97" s="64">
        <v>12.27</v>
      </c>
      <c r="E97" s="64">
        <v>1.18</v>
      </c>
      <c r="F97" s="64">
        <v>0.22</v>
      </c>
      <c r="G97" s="64">
        <v>68.81</v>
      </c>
      <c r="H97" s="64">
        <v>21.62</v>
      </c>
      <c r="I97" s="64">
        <v>1.52</v>
      </c>
      <c r="J97" s="64">
        <v>0.13</v>
      </c>
      <c r="K97" s="64">
        <v>197.93</v>
      </c>
      <c r="L97" s="64">
        <v>24.71</v>
      </c>
      <c r="M97" s="64">
        <v>81.92</v>
      </c>
      <c r="N97" s="64">
        <v>8.6</v>
      </c>
      <c r="O97" s="64">
        <v>0</v>
      </c>
      <c r="P97" s="64">
        <v>0.75</v>
      </c>
      <c r="Q97" s="64">
        <v>201.13</v>
      </c>
      <c r="R97" s="198"/>
      <c r="S97" s="198"/>
      <c r="T97" s="198"/>
      <c r="U97" s="198"/>
    </row>
    <row r="98" spans="1:33" s="12" customFormat="1" x14ac:dyDescent="0.25">
      <c r="A98" s="214" t="s">
        <v>1103</v>
      </c>
      <c r="B98" s="64">
        <v>5.32</v>
      </c>
      <c r="C98" s="64">
        <v>13</v>
      </c>
      <c r="D98" s="64">
        <v>12.73</v>
      </c>
      <c r="E98" s="64">
        <v>1.03</v>
      </c>
      <c r="F98" s="64">
        <v>0.3</v>
      </c>
      <c r="G98" s="64">
        <v>68.81</v>
      </c>
      <c r="H98" s="64">
        <v>21.62</v>
      </c>
      <c r="I98" s="64">
        <v>1.43</v>
      </c>
      <c r="J98" s="64">
        <v>0.31</v>
      </c>
      <c r="K98" s="64">
        <v>191.25</v>
      </c>
      <c r="L98" s="64">
        <v>24.62</v>
      </c>
      <c r="M98" s="64">
        <v>83.06</v>
      </c>
      <c r="N98" s="64">
        <v>8.5</v>
      </c>
      <c r="O98" s="64">
        <v>0</v>
      </c>
      <c r="P98" s="64">
        <v>0.77</v>
      </c>
      <c r="Q98" s="64">
        <v>213.4</v>
      </c>
      <c r="R98" s="198"/>
      <c r="S98" s="198"/>
      <c r="T98" s="198"/>
      <c r="U98" s="198"/>
    </row>
    <row r="99" spans="1:33" s="12" customFormat="1" x14ac:dyDescent="0.25">
      <c r="A99" s="214" t="s">
        <v>1104</v>
      </c>
      <c r="B99" s="64">
        <v>5.18</v>
      </c>
      <c r="C99" s="64">
        <v>12.66</v>
      </c>
      <c r="D99" s="64">
        <v>12.43</v>
      </c>
      <c r="E99" s="64">
        <v>1.1200000000000001</v>
      </c>
      <c r="F99" s="64">
        <v>0.31</v>
      </c>
      <c r="G99" s="64">
        <v>68.81</v>
      </c>
      <c r="H99" s="64">
        <v>21.62</v>
      </c>
      <c r="I99" s="64">
        <v>1.49</v>
      </c>
      <c r="J99" s="64">
        <v>0.18</v>
      </c>
      <c r="K99" s="64">
        <v>205.69</v>
      </c>
      <c r="L99" s="64">
        <v>24.39</v>
      </c>
      <c r="M99" s="64">
        <v>84.41</v>
      </c>
      <c r="N99" s="64">
        <v>8.6999999999999993</v>
      </c>
      <c r="O99" s="64">
        <v>0</v>
      </c>
      <c r="P99" s="64">
        <v>0.68</v>
      </c>
      <c r="Q99" s="64">
        <v>221.65</v>
      </c>
      <c r="R99" s="198"/>
      <c r="S99" s="198"/>
      <c r="T99" s="198"/>
      <c r="U99" s="198"/>
    </row>
    <row r="100" spans="1:33" s="12" customFormat="1" x14ac:dyDescent="0.25">
      <c r="A100" s="214" t="s">
        <v>1105</v>
      </c>
      <c r="B100" s="64">
        <v>4.88</v>
      </c>
      <c r="C100" s="64">
        <v>12</v>
      </c>
      <c r="D100" s="64">
        <v>11.83</v>
      </c>
      <c r="E100" s="64">
        <v>0.93</v>
      </c>
      <c r="F100" s="64">
        <v>0.69</v>
      </c>
      <c r="G100" s="64">
        <v>64.92</v>
      </c>
      <c r="H100" s="64">
        <v>23.5</v>
      </c>
      <c r="I100" s="64">
        <v>1.46</v>
      </c>
      <c r="J100" s="64">
        <v>0.15</v>
      </c>
      <c r="K100" s="64">
        <v>180</v>
      </c>
      <c r="L100" s="64">
        <v>24.27</v>
      </c>
      <c r="M100" s="64">
        <v>85.08</v>
      </c>
      <c r="N100" s="64">
        <v>8.6999999999999993</v>
      </c>
      <c r="O100" s="64">
        <v>0</v>
      </c>
      <c r="P100" s="64">
        <v>0.72</v>
      </c>
      <c r="Q100" s="64">
        <v>222.05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1106</v>
      </c>
      <c r="B101" s="64">
        <v>4.68</v>
      </c>
      <c r="C101" s="64">
        <v>12</v>
      </c>
      <c r="D101" s="64">
        <v>11.67</v>
      </c>
      <c r="E101" s="64">
        <v>1.5</v>
      </c>
      <c r="F101" s="64">
        <v>0.35</v>
      </c>
      <c r="G101" s="64">
        <v>61.51</v>
      </c>
      <c r="H101" s="64">
        <v>24.27</v>
      </c>
      <c r="I101" s="64">
        <v>1.45</v>
      </c>
      <c r="J101" s="64">
        <v>0.19</v>
      </c>
      <c r="K101" s="64">
        <v>197</v>
      </c>
      <c r="L101" s="64">
        <v>24.21</v>
      </c>
      <c r="M101" s="64">
        <v>85.54</v>
      </c>
      <c r="N101" s="64">
        <v>8.6</v>
      </c>
      <c r="O101" s="64">
        <v>0</v>
      </c>
      <c r="P101" s="64">
        <v>0.66</v>
      </c>
      <c r="Q101" s="64">
        <v>230.19</v>
      </c>
      <c r="R101" s="198"/>
      <c r="S101" s="198"/>
      <c r="T101" s="198"/>
      <c r="U101" s="198"/>
    </row>
    <row r="102" spans="1:33" s="12" customFormat="1" x14ac:dyDescent="0.25">
      <c r="A102" s="214" t="s">
        <v>1107</v>
      </c>
      <c r="B102" s="64">
        <v>4.43</v>
      </c>
      <c r="C102" s="64">
        <v>11.58</v>
      </c>
      <c r="D102" s="64">
        <v>11.24</v>
      </c>
      <c r="E102" s="64">
        <v>1.01</v>
      </c>
      <c r="F102" s="64">
        <v>0.71</v>
      </c>
      <c r="G102" s="64">
        <v>61.51</v>
      </c>
      <c r="H102" s="64">
        <v>24.27</v>
      </c>
      <c r="I102" s="64">
        <v>1.53</v>
      </c>
      <c r="J102" s="64">
        <v>0.18</v>
      </c>
      <c r="K102" s="64">
        <v>196.23</v>
      </c>
      <c r="L102" s="64">
        <v>24.07</v>
      </c>
      <c r="M102" s="64">
        <v>86.53</v>
      </c>
      <c r="N102" s="64">
        <v>8.6999999999999993</v>
      </c>
      <c r="O102" s="64">
        <v>0</v>
      </c>
      <c r="P102" s="64">
        <v>0.7</v>
      </c>
      <c r="Q102" s="64">
        <v>226.08</v>
      </c>
      <c r="R102" s="198"/>
      <c r="S102" s="198"/>
      <c r="T102" s="198"/>
      <c r="U102" s="198"/>
    </row>
    <row r="103" spans="1:33" s="12" customFormat="1" x14ac:dyDescent="0.25">
      <c r="A103" s="214" t="s">
        <v>1108</v>
      </c>
      <c r="B103" s="64">
        <v>4.21</v>
      </c>
      <c r="C103" s="64">
        <v>11.24</v>
      </c>
      <c r="D103" s="64">
        <v>10.87</v>
      </c>
      <c r="E103" s="64">
        <v>1.48</v>
      </c>
      <c r="F103" s="64">
        <v>0.55000000000000004</v>
      </c>
      <c r="G103" s="64">
        <v>61.51</v>
      </c>
      <c r="H103" s="64">
        <v>24.27</v>
      </c>
      <c r="I103" s="64">
        <v>1.49</v>
      </c>
      <c r="J103" s="64">
        <v>0.19</v>
      </c>
      <c r="K103" s="64">
        <v>203.87</v>
      </c>
      <c r="L103" s="64">
        <v>23.95</v>
      </c>
      <c r="M103" s="64">
        <v>87.45</v>
      </c>
      <c r="N103" s="64">
        <v>8.6999999999999993</v>
      </c>
      <c r="O103" s="64">
        <v>0</v>
      </c>
      <c r="P103" s="64">
        <v>0.66</v>
      </c>
      <c r="Q103" s="64">
        <v>227.37</v>
      </c>
      <c r="R103" s="198"/>
      <c r="S103" s="198"/>
      <c r="T103" s="198"/>
      <c r="U103" s="198"/>
    </row>
    <row r="104" spans="1:33" s="12" customFormat="1" x14ac:dyDescent="0.25">
      <c r="A104" s="214" t="s">
        <v>1109</v>
      </c>
      <c r="B104" s="64">
        <v>4</v>
      </c>
      <c r="C104" s="64">
        <v>11.78</v>
      </c>
      <c r="D104" s="64">
        <v>11</v>
      </c>
      <c r="E104" s="64">
        <v>0.1</v>
      </c>
      <c r="F104" s="64">
        <v>0.75</v>
      </c>
      <c r="G104" s="64">
        <v>60.8</v>
      </c>
      <c r="H104" s="64">
        <v>25.69</v>
      </c>
      <c r="I104" s="64">
        <v>1.63</v>
      </c>
      <c r="J104" s="64">
        <v>0.12</v>
      </c>
      <c r="K104" s="64">
        <v>195.76</v>
      </c>
      <c r="L104" s="64">
        <v>23.83</v>
      </c>
      <c r="M104" s="64">
        <v>88.47</v>
      </c>
      <c r="N104" s="64">
        <v>8.8000000000000007</v>
      </c>
      <c r="O104" s="64">
        <v>0</v>
      </c>
      <c r="P104" s="64">
        <v>0.59</v>
      </c>
      <c r="Q104" s="64">
        <v>210.35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3.03</v>
      </c>
      <c r="C106" s="67">
        <f>MIN(C9:C104)</f>
        <v>10.220000000000001</v>
      </c>
      <c r="D106" s="67">
        <f t="shared" ref="D106:Q106" si="0">MIN(D9:D104)</f>
        <v>10.87</v>
      </c>
      <c r="E106" s="67">
        <f t="shared" si="0"/>
        <v>0.04</v>
      </c>
      <c r="F106" s="67">
        <f t="shared" si="0"/>
        <v>0.03</v>
      </c>
      <c r="G106" s="67">
        <f t="shared" si="0"/>
        <v>46.27</v>
      </c>
      <c r="H106" s="67">
        <f t="shared" si="0"/>
        <v>14.85</v>
      </c>
      <c r="I106" s="67">
        <f t="shared" si="0"/>
        <v>1.42</v>
      </c>
      <c r="J106" s="67">
        <f t="shared" si="0"/>
        <v>0.01</v>
      </c>
      <c r="K106" s="67">
        <f t="shared" si="0"/>
        <v>0.87</v>
      </c>
      <c r="L106" s="67">
        <f t="shared" si="0"/>
        <v>21.09</v>
      </c>
      <c r="M106" s="67">
        <f t="shared" si="0"/>
        <v>33.450000000000003</v>
      </c>
      <c r="N106" s="67">
        <f t="shared" si="0"/>
        <v>1.2</v>
      </c>
      <c r="O106" s="67">
        <f t="shared" si="0"/>
        <v>0</v>
      </c>
      <c r="P106" s="67">
        <f t="shared" si="0"/>
        <v>0.48</v>
      </c>
      <c r="Q106" s="67">
        <f t="shared" si="0"/>
        <v>186.47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11.92</v>
      </c>
      <c r="C107" s="66">
        <f t="shared" ref="C107:Q107" si="1">MAX(C9:C104)</f>
        <v>20.89</v>
      </c>
      <c r="D107" s="66">
        <f t="shared" si="1"/>
        <v>18.32</v>
      </c>
      <c r="E107" s="66">
        <f t="shared" si="1"/>
        <v>2.08</v>
      </c>
      <c r="F107" s="66">
        <f t="shared" si="1"/>
        <v>1.66</v>
      </c>
      <c r="G107" s="66">
        <f t="shared" si="1"/>
        <v>77.12</v>
      </c>
      <c r="H107" s="66">
        <f t="shared" si="1"/>
        <v>26.31</v>
      </c>
      <c r="I107" s="66">
        <f t="shared" si="1"/>
        <v>1.63</v>
      </c>
      <c r="J107" s="66">
        <f t="shared" si="1"/>
        <v>1.58</v>
      </c>
      <c r="K107" s="66">
        <f t="shared" si="1"/>
        <v>358.04</v>
      </c>
      <c r="L107" s="66">
        <f t="shared" si="1"/>
        <v>36.590000000000003</v>
      </c>
      <c r="M107" s="66">
        <f t="shared" si="1"/>
        <v>98.79</v>
      </c>
      <c r="N107" s="66">
        <f t="shared" si="1"/>
        <v>858.1</v>
      </c>
      <c r="O107" s="66">
        <f t="shared" si="1"/>
        <v>0</v>
      </c>
      <c r="P107" s="66">
        <f t="shared" si="1"/>
        <v>1.1200000000000001</v>
      </c>
      <c r="Q107" s="66">
        <f t="shared" si="1"/>
        <v>305.93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5.7537499999999993</v>
      </c>
      <c r="C108" s="67">
        <f t="shared" ref="C108:Q108" si="2">AVERAGE(C9:C104)</f>
        <v>15.093541666666665</v>
      </c>
      <c r="D108" s="67">
        <f t="shared" si="2"/>
        <v>14.235729166666665</v>
      </c>
      <c r="E108" s="67">
        <f t="shared" si="2"/>
        <v>0.96020833333333355</v>
      </c>
      <c r="F108" s="67">
        <f t="shared" si="2"/>
        <v>0.63291666666666646</v>
      </c>
      <c r="G108" s="67">
        <f t="shared" si="2"/>
        <v>64.020937500000016</v>
      </c>
      <c r="H108" s="67">
        <f t="shared" si="2"/>
        <v>20.920104166666651</v>
      </c>
      <c r="I108" s="67">
        <f t="shared" si="2"/>
        <v>1.5031249999999998</v>
      </c>
      <c r="J108" s="67">
        <f t="shared" si="2"/>
        <v>0.37520833333333342</v>
      </c>
      <c r="K108" s="67">
        <f t="shared" si="2"/>
        <v>245.00729166666656</v>
      </c>
      <c r="L108" s="67">
        <f t="shared" si="2"/>
        <v>27.78031249999999</v>
      </c>
      <c r="M108" s="67">
        <f t="shared" si="2"/>
        <v>66.84770833333333</v>
      </c>
      <c r="N108" s="67">
        <f t="shared" si="2"/>
        <v>213.26704545454533</v>
      </c>
      <c r="O108" s="67">
        <f t="shared" si="2"/>
        <v>0</v>
      </c>
      <c r="P108" s="67">
        <f t="shared" si="2"/>
        <v>0.67770833333333325</v>
      </c>
      <c r="Q108" s="67">
        <f t="shared" si="2"/>
        <v>239.05072916666677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2.3523686830623816</v>
      </c>
      <c r="C109" s="67">
        <f t="shared" ref="C109:Q109" si="3">STDEV(C9:C104)</f>
        <v>3.1201585584429377</v>
      </c>
      <c r="D109" s="67">
        <f t="shared" si="3"/>
        <v>1.8597513952657738</v>
      </c>
      <c r="E109" s="67">
        <f t="shared" si="3"/>
        <v>0.46558843168542957</v>
      </c>
      <c r="F109" s="67">
        <f t="shared" si="3"/>
        <v>0.36811301658927587</v>
      </c>
      <c r="G109" s="67">
        <f t="shared" si="3"/>
        <v>9.6552402001382926</v>
      </c>
      <c r="H109" s="67">
        <f t="shared" si="3"/>
        <v>2.3698889579992142</v>
      </c>
      <c r="I109" s="67">
        <f t="shared" si="3"/>
        <v>4.4088726330817125E-2</v>
      </c>
      <c r="J109" s="67">
        <f t="shared" si="3"/>
        <v>0.4220351174379654</v>
      </c>
      <c r="K109" s="67">
        <f t="shared" si="3"/>
        <v>96.991155782144247</v>
      </c>
      <c r="L109" s="67">
        <f t="shared" si="3"/>
        <v>5.1230622941496033</v>
      </c>
      <c r="M109" s="67">
        <f t="shared" si="3"/>
        <v>22.439718756055701</v>
      </c>
      <c r="N109" s="67">
        <f t="shared" si="3"/>
        <v>300.53246949931099</v>
      </c>
      <c r="O109" s="67">
        <f t="shared" si="3"/>
        <v>0</v>
      </c>
      <c r="P109" s="67">
        <f t="shared" si="3"/>
        <v>0.10992321881699085</v>
      </c>
      <c r="Q109" s="67">
        <f t="shared" si="3"/>
        <v>26.543287118245285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COUNT(N9:N104)+8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7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E53" sqref="E53:E5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1110</v>
      </c>
      <c r="B9" s="64">
        <v>4.0599999999999996</v>
      </c>
      <c r="C9" s="64">
        <v>12.4</v>
      </c>
      <c r="D9" s="64">
        <v>11.39</v>
      </c>
      <c r="E9" s="64">
        <v>1.0900000000000001</v>
      </c>
      <c r="F9" s="64">
        <v>0.61</v>
      </c>
      <c r="G9" s="64">
        <v>60.18</v>
      </c>
      <c r="H9" s="64">
        <v>26.78</v>
      </c>
      <c r="I9" s="64">
        <v>1.54</v>
      </c>
      <c r="J9" s="64">
        <v>0.05</v>
      </c>
      <c r="K9" s="64">
        <v>234.83</v>
      </c>
      <c r="L9" s="64">
        <v>23.72</v>
      </c>
      <c r="M9" s="64">
        <v>89.18</v>
      </c>
      <c r="N9" s="64">
        <v>8.6999999999999993</v>
      </c>
      <c r="O9" s="64">
        <v>0</v>
      </c>
      <c r="P9" s="64">
        <v>0.6</v>
      </c>
      <c r="Q9" s="64">
        <v>190.02</v>
      </c>
      <c r="R9" s="198"/>
      <c r="S9" s="198"/>
      <c r="T9" s="198"/>
      <c r="U9" s="198"/>
    </row>
    <row r="10" spans="1:21" s="12" customFormat="1" x14ac:dyDescent="0.25">
      <c r="A10" s="214" t="s">
        <v>1111</v>
      </c>
      <c r="B10" s="64">
        <v>4.2</v>
      </c>
      <c r="C10" s="64">
        <v>12.67</v>
      </c>
      <c r="D10" s="64">
        <v>11.65</v>
      </c>
      <c r="E10" s="64">
        <v>0.47</v>
      </c>
      <c r="F10" s="64">
        <v>0.62</v>
      </c>
      <c r="G10" s="64">
        <v>60.18</v>
      </c>
      <c r="H10" s="64">
        <v>26.78</v>
      </c>
      <c r="I10" s="64">
        <v>1.41</v>
      </c>
      <c r="J10" s="64">
        <v>0.24</v>
      </c>
      <c r="K10" s="64">
        <v>196.26</v>
      </c>
      <c r="L10" s="64">
        <v>23.61</v>
      </c>
      <c r="M10" s="64">
        <v>89.94</v>
      </c>
      <c r="N10" s="64">
        <v>8.6</v>
      </c>
      <c r="O10" s="64">
        <v>0</v>
      </c>
      <c r="P10" s="64">
        <v>0.57999999999999996</v>
      </c>
      <c r="Q10" s="64">
        <v>182.21</v>
      </c>
      <c r="R10" s="198"/>
      <c r="S10" s="198"/>
      <c r="T10" s="198"/>
      <c r="U10" s="198"/>
    </row>
    <row r="11" spans="1:21" s="12" customFormat="1" x14ac:dyDescent="0.25">
      <c r="A11" s="214" t="s">
        <v>1112</v>
      </c>
      <c r="B11" s="64">
        <v>4.29</v>
      </c>
      <c r="C11" s="64">
        <v>12.64</v>
      </c>
      <c r="D11" s="64">
        <v>11.71</v>
      </c>
      <c r="E11" s="64">
        <v>0.8</v>
      </c>
      <c r="F11" s="64">
        <v>0.33</v>
      </c>
      <c r="G11" s="64">
        <v>60.18</v>
      </c>
      <c r="H11" s="64">
        <v>26.78</v>
      </c>
      <c r="I11" s="64">
        <v>1.49</v>
      </c>
      <c r="J11" s="64">
        <v>0.23</v>
      </c>
      <c r="K11" s="64">
        <v>191.08</v>
      </c>
      <c r="L11" s="64">
        <v>23.43</v>
      </c>
      <c r="M11" s="64">
        <v>90.67</v>
      </c>
      <c r="N11" s="64">
        <v>8.6999999999999993</v>
      </c>
      <c r="O11" s="64">
        <v>0</v>
      </c>
      <c r="P11" s="64">
        <v>0.55000000000000004</v>
      </c>
      <c r="Q11" s="64">
        <v>178.91</v>
      </c>
      <c r="R11" s="198"/>
      <c r="S11" s="198"/>
      <c r="T11" s="198"/>
      <c r="U11" s="198"/>
    </row>
    <row r="12" spans="1:21" s="12" customFormat="1" x14ac:dyDescent="0.25">
      <c r="A12" s="214" t="s">
        <v>1113</v>
      </c>
      <c r="B12" s="64">
        <v>4.3600000000000003</v>
      </c>
      <c r="C12" s="64">
        <v>11.33</v>
      </c>
      <c r="D12" s="64">
        <v>11.04</v>
      </c>
      <c r="E12" s="64">
        <v>1.1399999999999999</v>
      </c>
      <c r="F12" s="64">
        <v>0.81</v>
      </c>
      <c r="G12" s="64">
        <v>59.47</v>
      </c>
      <c r="H12" s="64">
        <v>20.059999999999999</v>
      </c>
      <c r="I12" s="64">
        <v>1.48</v>
      </c>
      <c r="J12" s="64">
        <v>0.1</v>
      </c>
      <c r="K12" s="64">
        <v>194.13</v>
      </c>
      <c r="L12" s="64">
        <v>23.28</v>
      </c>
      <c r="M12" s="64">
        <v>91.44</v>
      </c>
      <c r="N12" s="64">
        <v>8.8000000000000007</v>
      </c>
      <c r="O12" s="64">
        <v>0</v>
      </c>
      <c r="P12" s="64">
        <v>0.59</v>
      </c>
      <c r="Q12" s="64">
        <v>172.81</v>
      </c>
      <c r="R12" s="198"/>
      <c r="S12" s="198"/>
      <c r="T12" s="198"/>
      <c r="U12" s="198"/>
    </row>
    <row r="13" spans="1:21" s="12" customFormat="1" x14ac:dyDescent="0.25">
      <c r="A13" s="214" t="s">
        <v>1114</v>
      </c>
      <c r="B13" s="64">
        <v>4.41</v>
      </c>
      <c r="C13" s="64">
        <v>10.72</v>
      </c>
      <c r="D13" s="64">
        <v>10.75</v>
      </c>
      <c r="E13" s="64">
        <v>1.37</v>
      </c>
      <c r="F13" s="64">
        <v>0.4</v>
      </c>
      <c r="G13" s="64">
        <v>58.85</v>
      </c>
      <c r="H13" s="64">
        <v>17.41</v>
      </c>
      <c r="I13" s="64">
        <v>1.49</v>
      </c>
      <c r="J13" s="64">
        <v>0.14000000000000001</v>
      </c>
      <c r="K13" s="64">
        <v>201.04</v>
      </c>
      <c r="L13" s="64">
        <v>23.16</v>
      </c>
      <c r="M13" s="64">
        <v>92.13</v>
      </c>
      <c r="N13" s="64">
        <v>8.6999999999999993</v>
      </c>
      <c r="O13" s="64">
        <v>0</v>
      </c>
      <c r="P13" s="64">
        <v>0.62</v>
      </c>
      <c r="Q13" s="64">
        <v>199.94</v>
      </c>
      <c r="R13" s="198"/>
      <c r="S13" s="198"/>
      <c r="T13" s="198"/>
      <c r="U13" s="198"/>
    </row>
    <row r="14" spans="1:21" s="12" customFormat="1" x14ac:dyDescent="0.25">
      <c r="A14" s="214" t="s">
        <v>1115</v>
      </c>
      <c r="B14" s="64">
        <v>4.34</v>
      </c>
      <c r="C14" s="64">
        <v>10.86</v>
      </c>
      <c r="D14" s="64">
        <v>10.77</v>
      </c>
      <c r="E14" s="64">
        <v>1.54</v>
      </c>
      <c r="F14" s="64">
        <v>0.27</v>
      </c>
      <c r="G14" s="64">
        <v>58.85</v>
      </c>
      <c r="H14" s="64">
        <v>17.41</v>
      </c>
      <c r="I14" s="64">
        <v>1.47</v>
      </c>
      <c r="J14" s="64">
        <v>0.14000000000000001</v>
      </c>
      <c r="K14" s="64">
        <v>174.37</v>
      </c>
      <c r="L14" s="64">
        <v>22.92</v>
      </c>
      <c r="M14" s="64">
        <v>93.75</v>
      </c>
      <c r="N14" s="64">
        <v>8.8000000000000007</v>
      </c>
      <c r="O14" s="64">
        <v>0</v>
      </c>
      <c r="P14" s="64">
        <v>0.63</v>
      </c>
      <c r="Q14" s="64">
        <v>208.81</v>
      </c>
      <c r="R14" s="198"/>
      <c r="S14" s="198"/>
      <c r="T14" s="198"/>
      <c r="U14" s="198"/>
    </row>
    <row r="15" spans="1:21" s="12" customFormat="1" x14ac:dyDescent="0.25">
      <c r="A15" s="214" t="s">
        <v>1116</v>
      </c>
      <c r="B15" s="64">
        <v>4.25</v>
      </c>
      <c r="C15" s="64">
        <v>9.94</v>
      </c>
      <c r="D15" s="64">
        <v>10.19</v>
      </c>
      <c r="E15" s="64">
        <v>1.1200000000000001</v>
      </c>
      <c r="F15" s="64">
        <v>0.2</v>
      </c>
      <c r="G15" s="64">
        <v>58.85</v>
      </c>
      <c r="H15" s="64">
        <v>17.41</v>
      </c>
      <c r="I15" s="64">
        <v>1.59</v>
      </c>
      <c r="J15" s="64">
        <v>0.09</v>
      </c>
      <c r="K15" s="64">
        <v>212.76</v>
      </c>
      <c r="L15" s="64">
        <v>22.88</v>
      </c>
      <c r="M15" s="64">
        <v>93.13</v>
      </c>
      <c r="N15" s="64">
        <v>8.6999999999999993</v>
      </c>
      <c r="O15" s="64">
        <v>0</v>
      </c>
      <c r="P15" s="64">
        <v>0.56999999999999995</v>
      </c>
      <c r="Q15" s="64">
        <v>218.11</v>
      </c>
      <c r="R15" s="198"/>
      <c r="S15" s="198"/>
      <c r="T15" s="198"/>
      <c r="U15" s="198"/>
    </row>
    <row r="16" spans="1:21" s="12" customFormat="1" x14ac:dyDescent="0.25">
      <c r="A16" s="214" t="s">
        <v>1117</v>
      </c>
      <c r="B16" s="64">
        <v>4.24</v>
      </c>
      <c r="C16" s="64">
        <v>9.3800000000000008</v>
      </c>
      <c r="D16" s="64">
        <v>9.8699999999999992</v>
      </c>
      <c r="E16" s="64">
        <v>1.46</v>
      </c>
      <c r="F16" s="64">
        <v>0.84</v>
      </c>
      <c r="G16" s="64">
        <v>54.62</v>
      </c>
      <c r="H16" s="64">
        <v>13.29</v>
      </c>
      <c r="I16" s="64">
        <v>1.48</v>
      </c>
      <c r="J16" s="64">
        <v>0.11</v>
      </c>
      <c r="K16" s="64">
        <v>208.16</v>
      </c>
      <c r="L16" s="64">
        <v>22.88</v>
      </c>
      <c r="M16" s="64">
        <v>93.3</v>
      </c>
      <c r="N16" s="64">
        <v>8.6999999999999993</v>
      </c>
      <c r="O16" s="64">
        <v>0</v>
      </c>
      <c r="P16" s="64">
        <v>0.57999999999999996</v>
      </c>
      <c r="Q16" s="64">
        <v>212.08</v>
      </c>
      <c r="R16" s="198"/>
      <c r="S16" s="198"/>
      <c r="T16" s="198"/>
      <c r="U16" s="198"/>
    </row>
    <row r="17" spans="1:21" s="12" customFormat="1" x14ac:dyDescent="0.25">
      <c r="A17" s="214" t="s">
        <v>1118</v>
      </c>
      <c r="B17" s="64">
        <v>4.1900000000000004</v>
      </c>
      <c r="C17" s="64">
        <v>9.25</v>
      </c>
      <c r="D17" s="64">
        <v>9.76</v>
      </c>
      <c r="E17" s="64">
        <v>1.1599999999999999</v>
      </c>
      <c r="F17" s="64">
        <v>0.3</v>
      </c>
      <c r="G17" s="64">
        <v>51.8</v>
      </c>
      <c r="H17" s="64">
        <v>11.66</v>
      </c>
      <c r="I17" s="64">
        <v>1.53</v>
      </c>
      <c r="J17" s="64">
        <v>0.11</v>
      </c>
      <c r="K17" s="64">
        <v>206.91</v>
      </c>
      <c r="L17" s="64">
        <v>22.69</v>
      </c>
      <c r="M17" s="64">
        <v>94.6</v>
      </c>
      <c r="N17" s="64">
        <v>8.8000000000000007</v>
      </c>
      <c r="O17" s="64">
        <v>0</v>
      </c>
      <c r="P17" s="64">
        <v>0.6</v>
      </c>
      <c r="Q17" s="64">
        <v>223.65</v>
      </c>
      <c r="R17" s="198"/>
      <c r="S17" s="198"/>
      <c r="T17" s="198"/>
      <c r="U17" s="198"/>
    </row>
    <row r="18" spans="1:21" s="12" customFormat="1" x14ac:dyDescent="0.25">
      <c r="A18" s="214" t="s">
        <v>1119</v>
      </c>
      <c r="B18" s="64">
        <v>4.24</v>
      </c>
      <c r="C18" s="64">
        <v>9.42</v>
      </c>
      <c r="D18" s="64">
        <v>9.89</v>
      </c>
      <c r="E18" s="64">
        <v>1.28</v>
      </c>
      <c r="F18" s="64">
        <v>0.62</v>
      </c>
      <c r="G18" s="64">
        <v>51.8</v>
      </c>
      <c r="H18" s="64">
        <v>11.66</v>
      </c>
      <c r="I18" s="64">
        <v>1.46</v>
      </c>
      <c r="J18" s="64">
        <v>0.09</v>
      </c>
      <c r="K18" s="64">
        <v>209.14</v>
      </c>
      <c r="L18" s="64">
        <v>22.55</v>
      </c>
      <c r="M18" s="64">
        <v>95.26</v>
      </c>
      <c r="N18" s="64">
        <v>8.6999999999999993</v>
      </c>
      <c r="O18" s="64">
        <v>0</v>
      </c>
      <c r="P18" s="64">
        <v>0.56999999999999995</v>
      </c>
      <c r="Q18" s="64">
        <v>220.02</v>
      </c>
      <c r="R18" s="198"/>
      <c r="S18" s="198"/>
      <c r="T18" s="198"/>
      <c r="U18" s="198"/>
    </row>
    <row r="19" spans="1:21" s="12" customFormat="1" x14ac:dyDescent="0.25">
      <c r="A19" s="214" t="s">
        <v>1120</v>
      </c>
      <c r="B19" s="64">
        <v>4.24</v>
      </c>
      <c r="C19" s="64">
        <v>9.61</v>
      </c>
      <c r="D19" s="64">
        <v>10</v>
      </c>
      <c r="E19" s="64">
        <v>1.63</v>
      </c>
      <c r="F19" s="64">
        <v>0.28000000000000003</v>
      </c>
      <c r="G19" s="64">
        <v>51.8</v>
      </c>
      <c r="H19" s="64">
        <v>11.66</v>
      </c>
      <c r="I19" s="64">
        <v>1.56</v>
      </c>
      <c r="J19" s="64">
        <v>0.11</v>
      </c>
      <c r="K19" s="64">
        <v>218.96</v>
      </c>
      <c r="L19" s="64">
        <v>22.57</v>
      </c>
      <c r="M19" s="64">
        <v>94.97</v>
      </c>
      <c r="N19" s="64">
        <v>8.5</v>
      </c>
      <c r="O19" s="64">
        <v>0</v>
      </c>
      <c r="P19" s="64">
        <v>0.57999999999999996</v>
      </c>
      <c r="Q19" s="64">
        <v>226.21</v>
      </c>
      <c r="R19" s="198"/>
      <c r="S19" s="198"/>
      <c r="T19" s="198"/>
      <c r="U19" s="198"/>
    </row>
    <row r="20" spans="1:21" s="12" customFormat="1" x14ac:dyDescent="0.25">
      <c r="A20" s="214" t="s">
        <v>1121</v>
      </c>
      <c r="B20" s="64">
        <v>4.37</v>
      </c>
      <c r="C20" s="64">
        <v>10.55</v>
      </c>
      <c r="D20" s="64">
        <v>10.62</v>
      </c>
      <c r="E20" s="64">
        <v>0.8</v>
      </c>
      <c r="F20" s="64">
        <v>0.43</v>
      </c>
      <c r="G20" s="64">
        <v>51.22</v>
      </c>
      <c r="H20" s="64">
        <v>9.07</v>
      </c>
      <c r="I20" s="64">
        <v>1.53</v>
      </c>
      <c r="J20" s="64">
        <v>0.1</v>
      </c>
      <c r="K20" s="64">
        <v>196.6</v>
      </c>
      <c r="L20" s="64">
        <v>22.44</v>
      </c>
      <c r="M20" s="64">
        <v>95.81</v>
      </c>
      <c r="N20" s="64">
        <v>8.6999999999999993</v>
      </c>
      <c r="O20" s="64">
        <v>0</v>
      </c>
      <c r="P20" s="64">
        <v>0.48</v>
      </c>
      <c r="Q20" s="64">
        <v>197.17</v>
      </c>
      <c r="R20" s="198"/>
      <c r="S20" s="198"/>
      <c r="T20" s="198"/>
      <c r="U20" s="198"/>
    </row>
    <row r="21" spans="1:21" s="12" customFormat="1" x14ac:dyDescent="0.25">
      <c r="A21" s="214" t="s">
        <v>1122</v>
      </c>
      <c r="B21" s="64">
        <v>4.59</v>
      </c>
      <c r="C21" s="64">
        <v>11.16</v>
      </c>
      <c r="D21" s="64">
        <v>11.14</v>
      </c>
      <c r="E21" s="64">
        <v>1.49</v>
      </c>
      <c r="F21" s="64">
        <v>0.41</v>
      </c>
      <c r="G21" s="64">
        <v>50.72</v>
      </c>
      <c r="H21" s="64">
        <v>8.0500000000000007</v>
      </c>
      <c r="I21" s="64">
        <v>1.49</v>
      </c>
      <c r="J21" s="64">
        <v>0.03</v>
      </c>
      <c r="K21" s="64">
        <v>228.44</v>
      </c>
      <c r="L21" s="64">
        <v>22.35</v>
      </c>
      <c r="M21" s="64">
        <v>96.38</v>
      </c>
      <c r="N21" s="64">
        <v>8.6999999999999993</v>
      </c>
      <c r="O21" s="64">
        <v>0</v>
      </c>
      <c r="P21" s="64">
        <v>0.51</v>
      </c>
      <c r="Q21" s="64">
        <v>181.04</v>
      </c>
      <c r="R21" s="198"/>
      <c r="S21" s="198"/>
      <c r="T21" s="198"/>
      <c r="U21" s="198"/>
    </row>
    <row r="22" spans="1:21" s="12" customFormat="1" x14ac:dyDescent="0.25">
      <c r="A22" s="214" t="s">
        <v>1123</v>
      </c>
      <c r="B22" s="64">
        <v>4.8</v>
      </c>
      <c r="C22" s="64">
        <v>11.2</v>
      </c>
      <c r="D22" s="64">
        <v>11.33</v>
      </c>
      <c r="E22" s="64">
        <v>1.19</v>
      </c>
      <c r="F22" s="64">
        <v>0.56000000000000005</v>
      </c>
      <c r="G22" s="64">
        <v>50.72</v>
      </c>
      <c r="H22" s="64">
        <v>8.0500000000000007</v>
      </c>
      <c r="I22" s="64">
        <v>1.43</v>
      </c>
      <c r="J22" s="64">
        <v>0.06</v>
      </c>
      <c r="K22" s="64">
        <v>176.87</v>
      </c>
      <c r="L22" s="64">
        <v>22.26</v>
      </c>
      <c r="M22" s="64">
        <v>97.52</v>
      </c>
      <c r="N22" s="64">
        <v>8.6</v>
      </c>
      <c r="O22" s="64">
        <v>0</v>
      </c>
      <c r="P22" s="64">
        <v>0.52</v>
      </c>
      <c r="Q22" s="64">
        <v>172.88</v>
      </c>
      <c r="R22" s="198"/>
      <c r="S22" s="198"/>
      <c r="T22" s="198"/>
      <c r="U22" s="198"/>
    </row>
    <row r="23" spans="1:21" s="12" customFormat="1" x14ac:dyDescent="0.25">
      <c r="A23" s="214" t="s">
        <v>1124</v>
      </c>
      <c r="B23" s="64">
        <v>4.9400000000000004</v>
      </c>
      <c r="C23" s="64">
        <v>11.19</v>
      </c>
      <c r="D23" s="64">
        <v>11.43</v>
      </c>
      <c r="E23" s="64">
        <v>1.44</v>
      </c>
      <c r="F23" s="64">
        <v>0.48</v>
      </c>
      <c r="G23" s="64">
        <v>50.72</v>
      </c>
      <c r="H23" s="64">
        <v>8.0500000000000007</v>
      </c>
      <c r="I23" s="64">
        <v>1.43</v>
      </c>
      <c r="J23" s="64">
        <v>0.1</v>
      </c>
      <c r="K23" s="64">
        <v>198.88</v>
      </c>
      <c r="L23" s="64">
        <v>22.11</v>
      </c>
      <c r="M23" s="64">
        <v>98.6</v>
      </c>
      <c r="N23" s="64">
        <v>8.6999999999999993</v>
      </c>
      <c r="O23" s="64">
        <v>0</v>
      </c>
      <c r="P23" s="64">
        <v>0.49</v>
      </c>
      <c r="Q23" s="64">
        <v>170.16</v>
      </c>
      <c r="R23" s="198"/>
      <c r="S23" s="198"/>
      <c r="T23" s="198"/>
      <c r="U23" s="198"/>
    </row>
    <row r="24" spans="1:21" s="12" customFormat="1" x14ac:dyDescent="0.25">
      <c r="A24" s="214" t="s">
        <v>1125</v>
      </c>
      <c r="B24" s="64">
        <v>5.05</v>
      </c>
      <c r="C24" s="64">
        <v>10.85</v>
      </c>
      <c r="D24" s="64">
        <v>11.33</v>
      </c>
      <c r="E24" s="64">
        <v>0.74</v>
      </c>
      <c r="F24" s="64">
        <v>0.65</v>
      </c>
      <c r="G24" s="64">
        <v>49.98</v>
      </c>
      <c r="H24" s="64">
        <v>21.91</v>
      </c>
      <c r="I24" s="64">
        <v>1.5</v>
      </c>
      <c r="J24" s="64">
        <v>0.01</v>
      </c>
      <c r="K24" s="64">
        <v>233.77</v>
      </c>
      <c r="L24" s="64">
        <v>21.99</v>
      </c>
      <c r="M24" s="64">
        <v>98.78</v>
      </c>
      <c r="N24" s="64">
        <v>8.6999999999999993</v>
      </c>
      <c r="O24" s="64">
        <v>0</v>
      </c>
      <c r="P24" s="64">
        <v>0.56000000000000005</v>
      </c>
      <c r="Q24" s="64">
        <v>173.88</v>
      </c>
      <c r="R24" s="198"/>
      <c r="S24" s="198"/>
      <c r="T24" s="198"/>
      <c r="U24" s="198"/>
    </row>
    <row r="25" spans="1:21" s="12" customFormat="1" x14ac:dyDescent="0.25">
      <c r="A25" s="214" t="s">
        <v>1126</v>
      </c>
      <c r="B25" s="64">
        <v>5.09</v>
      </c>
      <c r="C25" s="64">
        <v>10.51</v>
      </c>
      <c r="D25" s="64">
        <v>11.17</v>
      </c>
      <c r="E25" s="64">
        <v>1.32</v>
      </c>
      <c r="F25" s="64">
        <v>0.11</v>
      </c>
      <c r="G25" s="64">
        <v>49.34</v>
      </c>
      <c r="H25" s="64">
        <v>27.4</v>
      </c>
      <c r="I25" s="64">
        <v>1.5</v>
      </c>
      <c r="J25" s="64">
        <v>0.06</v>
      </c>
      <c r="K25" s="64">
        <v>226.49</v>
      </c>
      <c r="L25" s="64">
        <v>21.93</v>
      </c>
      <c r="M25" s="64">
        <v>98.81</v>
      </c>
      <c r="N25" s="64">
        <v>8.5</v>
      </c>
      <c r="O25" s="64">
        <v>0</v>
      </c>
      <c r="P25" s="64">
        <v>0.55000000000000004</v>
      </c>
      <c r="Q25" s="64">
        <v>199.04</v>
      </c>
      <c r="R25" s="198"/>
      <c r="S25" s="198"/>
      <c r="T25" s="198"/>
      <c r="U25" s="198"/>
    </row>
    <row r="26" spans="1:21" s="12" customFormat="1" x14ac:dyDescent="0.25">
      <c r="A26" s="214" t="s">
        <v>1127</v>
      </c>
      <c r="B26" s="64">
        <v>5.03</v>
      </c>
      <c r="C26" s="64">
        <v>9.93</v>
      </c>
      <c r="D26" s="64">
        <v>10.81</v>
      </c>
      <c r="E26" s="64">
        <v>0.88</v>
      </c>
      <c r="F26" s="64">
        <v>0.38</v>
      </c>
      <c r="G26" s="64">
        <v>49.34</v>
      </c>
      <c r="H26" s="64">
        <v>27.4</v>
      </c>
      <c r="I26" s="64">
        <v>1.59</v>
      </c>
      <c r="J26" s="64">
        <v>0.14000000000000001</v>
      </c>
      <c r="K26" s="64">
        <v>208.75</v>
      </c>
      <c r="L26" s="64">
        <v>21.89</v>
      </c>
      <c r="M26" s="64">
        <v>98.82</v>
      </c>
      <c r="N26" s="64">
        <v>8.4</v>
      </c>
      <c r="O26" s="64">
        <v>0</v>
      </c>
      <c r="P26" s="64">
        <v>0.55000000000000004</v>
      </c>
      <c r="Q26" s="64">
        <v>205.04</v>
      </c>
      <c r="R26" s="198"/>
      <c r="S26" s="198"/>
      <c r="T26" s="198"/>
      <c r="U26" s="198"/>
    </row>
    <row r="27" spans="1:21" s="12" customFormat="1" x14ac:dyDescent="0.25">
      <c r="A27" s="214" t="s">
        <v>1128</v>
      </c>
      <c r="B27" s="64">
        <v>5.03</v>
      </c>
      <c r="C27" s="64">
        <v>9.5399999999999991</v>
      </c>
      <c r="D27" s="64">
        <v>10.59</v>
      </c>
      <c r="E27" s="64">
        <v>1.29</v>
      </c>
      <c r="F27" s="64">
        <v>0.15</v>
      </c>
      <c r="G27" s="64">
        <v>49.34</v>
      </c>
      <c r="H27" s="64">
        <v>27.4</v>
      </c>
      <c r="I27" s="64">
        <v>1.51</v>
      </c>
      <c r="J27" s="64">
        <v>0.13</v>
      </c>
      <c r="K27" s="64">
        <v>214.71</v>
      </c>
      <c r="L27" s="64">
        <v>21.91</v>
      </c>
      <c r="M27" s="64">
        <v>98.82</v>
      </c>
      <c r="N27" s="64">
        <v>8.5</v>
      </c>
      <c r="O27" s="64">
        <v>0</v>
      </c>
      <c r="P27" s="64">
        <v>0.54</v>
      </c>
      <c r="Q27" s="64">
        <v>213.87</v>
      </c>
      <c r="R27" s="198"/>
      <c r="S27" s="198"/>
      <c r="T27" s="198"/>
      <c r="U27" s="198"/>
    </row>
    <row r="28" spans="1:21" s="12" customFormat="1" x14ac:dyDescent="0.25">
      <c r="A28" s="214" t="s">
        <v>1129</v>
      </c>
      <c r="B28" s="64">
        <v>5.07</v>
      </c>
      <c r="C28" s="64">
        <v>9.3000000000000007</v>
      </c>
      <c r="D28" s="64">
        <v>10.49</v>
      </c>
      <c r="E28" s="64">
        <v>1.48</v>
      </c>
      <c r="F28" s="64">
        <v>0.2</v>
      </c>
      <c r="G28" s="64">
        <v>48.58</v>
      </c>
      <c r="H28" s="64">
        <v>31.22</v>
      </c>
      <c r="I28" s="64">
        <v>1.49</v>
      </c>
      <c r="J28" s="64">
        <v>0.12</v>
      </c>
      <c r="K28" s="64">
        <v>204.54</v>
      </c>
      <c r="L28" s="64">
        <v>21.84</v>
      </c>
      <c r="M28" s="64">
        <v>98.82</v>
      </c>
      <c r="N28" s="64">
        <v>8.6</v>
      </c>
      <c r="O28" s="64">
        <v>0</v>
      </c>
      <c r="P28" s="64">
        <v>0.52</v>
      </c>
      <c r="Q28" s="64">
        <v>217.57</v>
      </c>
      <c r="R28" s="198"/>
      <c r="S28" s="198"/>
      <c r="T28" s="198"/>
      <c r="U28" s="198"/>
    </row>
    <row r="29" spans="1:21" s="12" customFormat="1" x14ac:dyDescent="0.25">
      <c r="A29" s="214" t="s">
        <v>1130</v>
      </c>
      <c r="B29" s="64">
        <v>5.2</v>
      </c>
      <c r="C29" s="64">
        <v>9.31</v>
      </c>
      <c r="D29" s="64">
        <v>10.6</v>
      </c>
      <c r="E29" s="64">
        <v>0.36</v>
      </c>
      <c r="F29" s="64">
        <v>0.45</v>
      </c>
      <c r="G29" s="64">
        <v>47.92</v>
      </c>
      <c r="H29" s="64">
        <v>32.770000000000003</v>
      </c>
      <c r="I29" s="64">
        <v>1.56</v>
      </c>
      <c r="J29" s="64">
        <v>0.15</v>
      </c>
      <c r="K29" s="64">
        <v>200.38</v>
      </c>
      <c r="L29" s="64">
        <v>21.81</v>
      </c>
      <c r="M29" s="64">
        <v>98.83</v>
      </c>
      <c r="N29" s="64">
        <v>8.5</v>
      </c>
      <c r="O29" s="64">
        <v>0</v>
      </c>
      <c r="P29" s="64">
        <v>0.53</v>
      </c>
      <c r="Q29" s="64">
        <v>218.35</v>
      </c>
      <c r="R29" s="198"/>
      <c r="S29" s="198"/>
      <c r="T29" s="198"/>
      <c r="U29" s="198"/>
    </row>
    <row r="30" spans="1:21" s="12" customFormat="1" x14ac:dyDescent="0.25">
      <c r="A30" s="214" t="s">
        <v>1131</v>
      </c>
      <c r="B30" s="64">
        <v>5.41</v>
      </c>
      <c r="C30" s="64">
        <v>9.7799999999999994</v>
      </c>
      <c r="D30" s="64">
        <v>11.03</v>
      </c>
      <c r="E30" s="64">
        <v>0.74</v>
      </c>
      <c r="F30" s="64">
        <v>0.12</v>
      </c>
      <c r="G30" s="64">
        <v>47.92</v>
      </c>
      <c r="H30" s="64">
        <v>32.770000000000003</v>
      </c>
      <c r="I30" s="64">
        <v>1.52</v>
      </c>
      <c r="J30" s="64">
        <v>0.08</v>
      </c>
      <c r="K30" s="64">
        <v>182.73</v>
      </c>
      <c r="L30" s="64">
        <v>21.65</v>
      </c>
      <c r="M30" s="64">
        <v>98.83</v>
      </c>
      <c r="N30" s="64">
        <v>8.8000000000000007</v>
      </c>
      <c r="O30" s="64">
        <v>0</v>
      </c>
      <c r="P30" s="64">
        <v>0.51</v>
      </c>
      <c r="Q30" s="64">
        <v>219.58</v>
      </c>
      <c r="R30" s="198"/>
      <c r="S30" s="198"/>
      <c r="T30" s="198"/>
      <c r="U30" s="198"/>
    </row>
    <row r="31" spans="1:21" s="12" customFormat="1" x14ac:dyDescent="0.25">
      <c r="A31" s="214" t="s">
        <v>1132</v>
      </c>
      <c r="B31" s="64">
        <v>5.48</v>
      </c>
      <c r="C31" s="64">
        <v>9.5399999999999991</v>
      </c>
      <c r="D31" s="64">
        <v>10.95</v>
      </c>
      <c r="E31" s="64">
        <v>0.59</v>
      </c>
      <c r="F31" s="64">
        <v>0.18</v>
      </c>
      <c r="G31" s="64">
        <v>47.92</v>
      </c>
      <c r="H31" s="64">
        <v>32.770000000000003</v>
      </c>
      <c r="I31" s="64">
        <v>1.49</v>
      </c>
      <c r="J31" s="64">
        <v>0.16</v>
      </c>
      <c r="K31" s="64">
        <v>177.21</v>
      </c>
      <c r="L31" s="64">
        <v>21.48</v>
      </c>
      <c r="M31" s="64">
        <v>98.83</v>
      </c>
      <c r="N31" s="64">
        <v>9.4</v>
      </c>
      <c r="O31" s="64">
        <v>0</v>
      </c>
      <c r="P31" s="64">
        <v>0.51</v>
      </c>
      <c r="Q31" s="64">
        <v>220.37</v>
      </c>
      <c r="R31" s="198"/>
      <c r="S31" s="198"/>
      <c r="T31" s="198"/>
      <c r="U31" s="198"/>
    </row>
    <row r="32" spans="1:21" s="12" customFormat="1" x14ac:dyDescent="0.25">
      <c r="A32" s="214" t="s">
        <v>1133</v>
      </c>
      <c r="B32" s="64">
        <v>5.9</v>
      </c>
      <c r="C32" s="64">
        <v>10.01</v>
      </c>
      <c r="D32" s="64">
        <v>11.55</v>
      </c>
      <c r="E32" s="64">
        <v>1.27</v>
      </c>
      <c r="F32" s="64">
        <v>0.13</v>
      </c>
      <c r="G32" s="64">
        <v>49.37</v>
      </c>
      <c r="H32" s="64">
        <v>30.58</v>
      </c>
      <c r="I32" s="64">
        <v>1.48</v>
      </c>
      <c r="J32" s="64">
        <v>0.09</v>
      </c>
      <c r="K32" s="64">
        <v>206.58</v>
      </c>
      <c r="L32" s="64">
        <v>21.61</v>
      </c>
      <c r="M32" s="64">
        <v>98.83</v>
      </c>
      <c r="N32" s="64">
        <v>14.8</v>
      </c>
      <c r="O32" s="64">
        <v>0</v>
      </c>
      <c r="P32" s="64">
        <v>0.47</v>
      </c>
      <c r="Q32" s="64">
        <v>189.2</v>
      </c>
      <c r="R32" s="198"/>
      <c r="S32" s="198"/>
      <c r="T32" s="198"/>
      <c r="U32" s="198"/>
    </row>
    <row r="33" spans="1:21" s="12" customFormat="1" x14ac:dyDescent="0.25">
      <c r="A33" s="214" t="s">
        <v>1134</v>
      </c>
      <c r="B33" s="64">
        <v>6.42</v>
      </c>
      <c r="C33" s="64">
        <v>9.5299999999999994</v>
      </c>
      <c r="D33" s="64">
        <v>11.7</v>
      </c>
      <c r="E33" s="64">
        <v>1.02</v>
      </c>
      <c r="F33" s="64">
        <v>0.59</v>
      </c>
      <c r="G33" s="64">
        <v>50.64</v>
      </c>
      <c r="H33" s="64">
        <v>28.85</v>
      </c>
      <c r="I33" s="64">
        <v>1.58</v>
      </c>
      <c r="J33" s="64">
        <v>0.15</v>
      </c>
      <c r="K33" s="64">
        <v>193.95</v>
      </c>
      <c r="L33" s="64">
        <v>21.75</v>
      </c>
      <c r="M33" s="64">
        <v>98.83</v>
      </c>
      <c r="N33" s="64">
        <v>29.4</v>
      </c>
      <c r="O33" s="64">
        <v>0</v>
      </c>
      <c r="P33" s="64">
        <v>0.51</v>
      </c>
      <c r="Q33" s="64">
        <v>177.27</v>
      </c>
      <c r="R33" s="198"/>
      <c r="S33" s="198"/>
      <c r="T33" s="198"/>
      <c r="U33" s="198"/>
    </row>
    <row r="34" spans="1:21" s="12" customFormat="1" x14ac:dyDescent="0.25">
      <c r="A34" s="214" t="s">
        <v>1135</v>
      </c>
      <c r="B34" s="64">
        <v>6.84</v>
      </c>
      <c r="C34" s="64">
        <v>10.72</v>
      </c>
      <c r="D34" s="64">
        <v>12.7</v>
      </c>
      <c r="E34" s="64">
        <v>1.55</v>
      </c>
      <c r="F34" s="64">
        <v>0.22</v>
      </c>
      <c r="G34" s="64">
        <v>50.64</v>
      </c>
      <c r="H34" s="64">
        <v>28.85</v>
      </c>
      <c r="I34" s="64">
        <v>1.47</v>
      </c>
      <c r="J34" s="64">
        <v>0.23</v>
      </c>
      <c r="K34" s="64">
        <v>202.62</v>
      </c>
      <c r="L34" s="64">
        <v>22.05</v>
      </c>
      <c r="M34" s="64">
        <v>98.63</v>
      </c>
      <c r="N34" s="64">
        <v>55.6</v>
      </c>
      <c r="O34" s="64">
        <v>0</v>
      </c>
      <c r="P34" s="64">
        <v>0.49</v>
      </c>
      <c r="Q34" s="64">
        <v>178.26</v>
      </c>
      <c r="R34" s="198"/>
      <c r="S34" s="198"/>
      <c r="T34" s="198"/>
      <c r="U34" s="198"/>
    </row>
    <row r="35" spans="1:21" s="12" customFormat="1" x14ac:dyDescent="0.25">
      <c r="A35" s="214" t="s">
        <v>1136</v>
      </c>
      <c r="B35" s="64">
        <v>7.17</v>
      </c>
      <c r="C35" s="64">
        <v>10.96</v>
      </c>
      <c r="D35" s="64">
        <v>13.09</v>
      </c>
      <c r="E35" s="64">
        <v>1.72</v>
      </c>
      <c r="F35" s="64">
        <v>0.2</v>
      </c>
      <c r="G35" s="64">
        <v>50.64</v>
      </c>
      <c r="H35" s="64">
        <v>28.85</v>
      </c>
      <c r="I35" s="64">
        <v>1.44</v>
      </c>
      <c r="J35" s="64">
        <v>0.27</v>
      </c>
      <c r="K35" s="64">
        <v>192.56</v>
      </c>
      <c r="L35" s="64">
        <v>22.51</v>
      </c>
      <c r="M35" s="64">
        <v>96.8</v>
      </c>
      <c r="N35" s="64">
        <v>100.2</v>
      </c>
      <c r="O35" s="64">
        <v>0</v>
      </c>
      <c r="P35" s="64">
        <v>0.51</v>
      </c>
      <c r="Q35" s="64">
        <v>180.58</v>
      </c>
      <c r="R35" s="198"/>
      <c r="S35" s="198"/>
      <c r="T35" s="198"/>
      <c r="U35" s="198"/>
    </row>
    <row r="36" spans="1:21" s="12" customFormat="1" x14ac:dyDescent="0.25">
      <c r="A36" s="214" t="s">
        <v>1137</v>
      </c>
      <c r="B36" s="64">
        <v>7.42</v>
      </c>
      <c r="C36" s="64">
        <v>11.86</v>
      </c>
      <c r="D36" s="64">
        <v>13.79</v>
      </c>
      <c r="E36" s="64">
        <v>1.26</v>
      </c>
      <c r="F36" s="64">
        <v>0.37</v>
      </c>
      <c r="G36" s="64">
        <v>50.7</v>
      </c>
      <c r="H36" s="64">
        <v>27.76</v>
      </c>
      <c r="I36" s="64">
        <v>1.49</v>
      </c>
      <c r="J36" s="64">
        <v>0.17</v>
      </c>
      <c r="K36" s="64">
        <v>187.94</v>
      </c>
      <c r="L36" s="64">
        <v>23.48</v>
      </c>
      <c r="M36" s="64">
        <v>91.63</v>
      </c>
      <c r="N36" s="64">
        <v>94.9</v>
      </c>
      <c r="O36" s="64">
        <v>0</v>
      </c>
      <c r="P36" s="64">
        <v>0.51</v>
      </c>
      <c r="Q36" s="64">
        <v>174.57</v>
      </c>
      <c r="R36" s="198"/>
      <c r="S36" s="198"/>
      <c r="T36" s="198"/>
      <c r="U36" s="198"/>
    </row>
    <row r="37" spans="1:21" s="12" customFormat="1" x14ac:dyDescent="0.25">
      <c r="A37" s="214" t="s">
        <v>1138</v>
      </c>
      <c r="B37" s="64">
        <v>7.54</v>
      </c>
      <c r="C37" s="64">
        <v>13.98</v>
      </c>
      <c r="D37" s="64">
        <v>15.05</v>
      </c>
      <c r="E37" s="64">
        <v>1.61</v>
      </c>
      <c r="F37" s="64">
        <v>0.2</v>
      </c>
      <c r="G37" s="64">
        <v>50.75</v>
      </c>
      <c r="H37" s="64">
        <v>27.32</v>
      </c>
      <c r="I37" s="64">
        <v>1.52</v>
      </c>
      <c r="J37" s="64">
        <v>0.06</v>
      </c>
      <c r="K37" s="64">
        <v>202.88</v>
      </c>
      <c r="L37" s="64">
        <v>24.22</v>
      </c>
      <c r="M37" s="64">
        <v>87.9</v>
      </c>
      <c r="N37" s="64">
        <v>200.5</v>
      </c>
      <c r="O37" s="64">
        <v>0</v>
      </c>
      <c r="P37" s="64">
        <v>0.53</v>
      </c>
      <c r="Q37" s="64">
        <v>197.51</v>
      </c>
      <c r="R37" s="198"/>
      <c r="S37" s="198"/>
      <c r="T37" s="198"/>
      <c r="U37" s="198"/>
    </row>
    <row r="38" spans="1:21" s="12" customFormat="1" x14ac:dyDescent="0.25">
      <c r="A38" s="214" t="s">
        <v>1139</v>
      </c>
      <c r="B38" s="64">
        <v>7.5</v>
      </c>
      <c r="C38" s="64">
        <v>13.17</v>
      </c>
      <c r="D38" s="64">
        <v>14.58</v>
      </c>
      <c r="E38" s="64">
        <v>1.06</v>
      </c>
      <c r="F38" s="64">
        <v>0.62</v>
      </c>
      <c r="G38" s="64">
        <v>50.75</v>
      </c>
      <c r="H38" s="64">
        <v>27.32</v>
      </c>
      <c r="I38" s="64">
        <v>1.47</v>
      </c>
      <c r="J38" s="64">
        <v>7.0000000000000007E-2</v>
      </c>
      <c r="K38" s="64">
        <v>244.01</v>
      </c>
      <c r="L38" s="64">
        <v>25.07</v>
      </c>
      <c r="M38" s="64">
        <v>83.69</v>
      </c>
      <c r="N38" s="64">
        <v>254.6</v>
      </c>
      <c r="O38" s="64">
        <v>0</v>
      </c>
      <c r="P38" s="64">
        <v>0.56999999999999995</v>
      </c>
      <c r="Q38" s="64">
        <v>203.9</v>
      </c>
      <c r="R38" s="198"/>
      <c r="S38" s="198"/>
      <c r="T38" s="198"/>
      <c r="U38" s="198"/>
    </row>
    <row r="39" spans="1:21" s="12" customFormat="1" x14ac:dyDescent="0.25">
      <c r="A39" s="214" t="s">
        <v>1140</v>
      </c>
      <c r="B39" s="64">
        <v>7.47</v>
      </c>
      <c r="C39" s="64">
        <v>13.58</v>
      </c>
      <c r="D39" s="64">
        <v>14.77</v>
      </c>
      <c r="E39" s="64">
        <v>1.49</v>
      </c>
      <c r="F39" s="64">
        <v>0.24</v>
      </c>
      <c r="G39" s="64">
        <v>50.75</v>
      </c>
      <c r="H39" s="64">
        <v>27.32</v>
      </c>
      <c r="I39" s="64">
        <v>1.53</v>
      </c>
      <c r="J39" s="64">
        <v>0.1</v>
      </c>
      <c r="K39" s="64">
        <v>359.4</v>
      </c>
      <c r="L39" s="64">
        <v>25.87</v>
      </c>
      <c r="M39" s="64">
        <v>80.56</v>
      </c>
      <c r="N39" s="64">
        <v>309.89999999999998</v>
      </c>
      <c r="O39" s="64">
        <v>0</v>
      </c>
      <c r="P39" s="64">
        <v>0.57999999999999996</v>
      </c>
      <c r="Q39" s="64">
        <v>210.1</v>
      </c>
      <c r="R39" s="198"/>
      <c r="S39" s="198"/>
      <c r="T39" s="198"/>
      <c r="U39" s="198"/>
    </row>
    <row r="40" spans="1:21" s="12" customFormat="1" x14ac:dyDescent="0.25">
      <c r="A40" s="214" t="s">
        <v>1141</v>
      </c>
      <c r="B40" s="64">
        <v>7.44</v>
      </c>
      <c r="C40" s="64">
        <v>12.98</v>
      </c>
      <c r="D40" s="64">
        <v>14.42</v>
      </c>
      <c r="E40" s="64">
        <v>0.1</v>
      </c>
      <c r="F40" s="64">
        <v>0.46</v>
      </c>
      <c r="G40" s="64">
        <v>53.73</v>
      </c>
      <c r="H40" s="64">
        <v>24.35</v>
      </c>
      <c r="I40" s="64">
        <v>1.5</v>
      </c>
      <c r="J40" s="64">
        <v>0.25</v>
      </c>
      <c r="K40" s="64">
        <v>11.72</v>
      </c>
      <c r="L40" s="64">
        <v>26.96</v>
      </c>
      <c r="M40" s="64">
        <v>74.23</v>
      </c>
      <c r="N40" s="64">
        <v>369.6</v>
      </c>
      <c r="O40" s="64">
        <v>0</v>
      </c>
      <c r="P40" s="64">
        <v>0.61</v>
      </c>
      <c r="Q40" s="64">
        <v>212.09</v>
      </c>
      <c r="R40" s="198"/>
      <c r="S40" s="198"/>
      <c r="T40" s="198"/>
      <c r="U40" s="198"/>
    </row>
    <row r="41" spans="1:21" s="12" customFormat="1" x14ac:dyDescent="0.25">
      <c r="A41" s="214" t="s">
        <v>1142</v>
      </c>
      <c r="B41" s="64">
        <v>7.26</v>
      </c>
      <c r="C41" s="64">
        <v>13.8</v>
      </c>
      <c r="D41" s="64">
        <v>14.73</v>
      </c>
      <c r="E41" s="64">
        <v>0.14000000000000001</v>
      </c>
      <c r="F41" s="64">
        <v>0.28999999999999998</v>
      </c>
      <c r="G41" s="64">
        <v>56.35</v>
      </c>
      <c r="H41" s="64">
        <v>23.15</v>
      </c>
      <c r="I41" s="64">
        <v>1.58</v>
      </c>
      <c r="J41" s="64">
        <v>0.02</v>
      </c>
      <c r="K41" s="64">
        <v>236.75</v>
      </c>
      <c r="L41" s="64">
        <v>26.75</v>
      </c>
      <c r="M41" s="64">
        <v>72.78</v>
      </c>
      <c r="N41" s="64">
        <v>180.8</v>
      </c>
      <c r="O41" s="64">
        <v>0</v>
      </c>
      <c r="P41" s="64">
        <v>0.61</v>
      </c>
      <c r="Q41" s="64">
        <v>211.22</v>
      </c>
      <c r="R41" s="198"/>
      <c r="S41" s="198"/>
      <c r="T41" s="198"/>
      <c r="U41" s="198"/>
    </row>
    <row r="42" spans="1:21" s="12" customFormat="1" x14ac:dyDescent="0.25">
      <c r="A42" s="214" t="s">
        <v>1143</v>
      </c>
      <c r="B42" s="64">
        <v>6.66</v>
      </c>
      <c r="C42" s="64">
        <v>13.21</v>
      </c>
      <c r="D42" s="64">
        <v>13.92</v>
      </c>
      <c r="E42" s="64">
        <v>0.03</v>
      </c>
      <c r="F42" s="64">
        <v>0.98</v>
      </c>
      <c r="G42" s="64">
        <v>56.35</v>
      </c>
      <c r="H42" s="64">
        <v>23.15</v>
      </c>
      <c r="I42" s="64">
        <v>1.48</v>
      </c>
      <c r="J42" s="64">
        <v>0.19</v>
      </c>
      <c r="K42" s="64">
        <v>336.89</v>
      </c>
      <c r="L42" s="64">
        <v>27.66</v>
      </c>
      <c r="M42" s="64">
        <v>69.39</v>
      </c>
      <c r="N42" s="212" t="s">
        <v>42</v>
      </c>
      <c r="O42" s="64">
        <v>0</v>
      </c>
      <c r="P42" s="64">
        <v>0.63</v>
      </c>
      <c r="Q42" s="64">
        <v>209.25</v>
      </c>
      <c r="R42" s="198"/>
      <c r="S42" s="198"/>
      <c r="T42" s="198"/>
      <c r="U42" s="198"/>
    </row>
    <row r="43" spans="1:21" s="12" customFormat="1" x14ac:dyDescent="0.25">
      <c r="A43" s="214" t="s">
        <v>1144</v>
      </c>
      <c r="B43" s="64">
        <v>6.24</v>
      </c>
      <c r="C43" s="64">
        <v>13.85</v>
      </c>
      <c r="D43" s="64">
        <v>13.94</v>
      </c>
      <c r="E43" s="64">
        <v>0.53</v>
      </c>
      <c r="F43" s="64">
        <v>0.73</v>
      </c>
      <c r="G43" s="64">
        <v>56.35</v>
      </c>
      <c r="H43" s="64">
        <v>23.15</v>
      </c>
      <c r="I43" s="64">
        <v>1.55</v>
      </c>
      <c r="J43" s="64">
        <v>0.19</v>
      </c>
      <c r="K43" s="64">
        <v>5.79</v>
      </c>
      <c r="L43" s="64">
        <v>28.62</v>
      </c>
      <c r="M43" s="64">
        <v>63.91</v>
      </c>
      <c r="N43" s="212" t="s">
        <v>42</v>
      </c>
      <c r="O43" s="64">
        <v>0</v>
      </c>
      <c r="P43" s="64">
        <v>0.65</v>
      </c>
      <c r="Q43" s="64">
        <v>207.55</v>
      </c>
      <c r="R43" s="198"/>
      <c r="S43" s="198"/>
      <c r="T43" s="198"/>
      <c r="U43" s="198"/>
    </row>
    <row r="44" spans="1:21" s="12" customFormat="1" x14ac:dyDescent="0.25">
      <c r="A44" s="214" t="s">
        <v>1145</v>
      </c>
      <c r="B44" s="64">
        <v>6</v>
      </c>
      <c r="C44" s="64">
        <v>13.83</v>
      </c>
      <c r="D44" s="64">
        <v>13.74</v>
      </c>
      <c r="E44" s="64">
        <v>0.16</v>
      </c>
      <c r="F44" s="64">
        <v>0.51</v>
      </c>
      <c r="G44" s="64">
        <v>60.68</v>
      </c>
      <c r="H44" s="64">
        <v>29.57</v>
      </c>
      <c r="I44" s="64">
        <v>1.52</v>
      </c>
      <c r="J44" s="64">
        <v>0.33</v>
      </c>
      <c r="K44" s="64">
        <v>336.52</v>
      </c>
      <c r="L44" s="64">
        <v>31.29</v>
      </c>
      <c r="M44" s="64">
        <v>54.24</v>
      </c>
      <c r="N44" s="64">
        <v>569.9</v>
      </c>
      <c r="O44" s="64">
        <v>0</v>
      </c>
      <c r="P44" s="64">
        <v>0.71</v>
      </c>
      <c r="Q44" s="64">
        <v>177.42</v>
      </c>
      <c r="R44" s="198"/>
      <c r="S44" s="198"/>
      <c r="T44" s="198"/>
      <c r="U44" s="198"/>
    </row>
    <row r="45" spans="1:21" s="12" customFormat="1" x14ac:dyDescent="0.25">
      <c r="A45" s="214" t="s">
        <v>1146</v>
      </c>
      <c r="B45" s="64">
        <v>6.13</v>
      </c>
      <c r="C45" s="64">
        <v>13.31</v>
      </c>
      <c r="D45" s="64">
        <v>13.56</v>
      </c>
      <c r="E45" s="64">
        <v>0.36</v>
      </c>
      <c r="F45" s="64">
        <v>0.88</v>
      </c>
      <c r="G45" s="64">
        <v>64.47</v>
      </c>
      <c r="H45" s="64">
        <v>32.159999999999997</v>
      </c>
      <c r="I45" s="64">
        <v>1.5</v>
      </c>
      <c r="J45" s="64">
        <v>0.46</v>
      </c>
      <c r="K45" s="64">
        <v>335.68</v>
      </c>
      <c r="L45" s="64">
        <v>33.880000000000003</v>
      </c>
      <c r="M45" s="64">
        <v>45.6</v>
      </c>
      <c r="N45" s="64">
        <v>618.20000000000005</v>
      </c>
      <c r="O45" s="64">
        <v>0</v>
      </c>
      <c r="P45" s="64">
        <v>0.68</v>
      </c>
      <c r="Q45" s="64">
        <v>166.19</v>
      </c>
      <c r="R45" s="198"/>
      <c r="S45" s="198"/>
      <c r="T45" s="198"/>
      <c r="U45" s="198"/>
    </row>
    <row r="46" spans="1:21" s="12" customFormat="1" x14ac:dyDescent="0.25">
      <c r="A46" s="214" t="s">
        <v>1147</v>
      </c>
      <c r="B46" s="64">
        <v>6.23</v>
      </c>
      <c r="C46" s="64">
        <v>14.5</v>
      </c>
      <c r="D46" s="64">
        <v>14.29</v>
      </c>
      <c r="E46" s="64">
        <v>0.2</v>
      </c>
      <c r="F46" s="64">
        <v>0.3</v>
      </c>
      <c r="G46" s="64">
        <v>64.47</v>
      </c>
      <c r="H46" s="64">
        <v>32.159999999999997</v>
      </c>
      <c r="I46" s="64">
        <v>1.51</v>
      </c>
      <c r="J46" s="64">
        <v>0.52</v>
      </c>
      <c r="K46" s="64">
        <v>340.95</v>
      </c>
      <c r="L46" s="64">
        <v>34.700000000000003</v>
      </c>
      <c r="M46" s="64">
        <v>43.85</v>
      </c>
      <c r="N46" s="64">
        <v>659.1</v>
      </c>
      <c r="O46" s="64">
        <v>0</v>
      </c>
      <c r="P46" s="64">
        <v>0.75</v>
      </c>
      <c r="Q46" s="64">
        <v>170.32</v>
      </c>
      <c r="R46" s="198"/>
      <c r="S46" s="198"/>
      <c r="T46" s="198"/>
      <c r="U46" s="198"/>
    </row>
    <row r="47" spans="1:21" s="12" customFormat="1" x14ac:dyDescent="0.25">
      <c r="A47" s="214" t="s">
        <v>1148</v>
      </c>
      <c r="B47" s="64">
        <v>6.23</v>
      </c>
      <c r="C47" s="64">
        <v>15.09</v>
      </c>
      <c r="D47" s="64">
        <v>14.62</v>
      </c>
      <c r="E47" s="64">
        <v>0.37</v>
      </c>
      <c r="F47" s="64">
        <v>0.65</v>
      </c>
      <c r="G47" s="64">
        <v>64.47</v>
      </c>
      <c r="H47" s="64">
        <v>32.159999999999997</v>
      </c>
      <c r="I47" s="64">
        <v>1.47</v>
      </c>
      <c r="J47" s="64">
        <v>1.03</v>
      </c>
      <c r="K47" s="64">
        <v>331.86</v>
      </c>
      <c r="L47" s="64">
        <v>35.96</v>
      </c>
      <c r="M47" s="64">
        <v>40.24</v>
      </c>
      <c r="N47" s="64">
        <v>699.9</v>
      </c>
      <c r="O47" s="64">
        <v>0</v>
      </c>
      <c r="P47" s="64">
        <v>0.74</v>
      </c>
      <c r="Q47" s="64">
        <v>159.43</v>
      </c>
      <c r="R47" s="198"/>
      <c r="S47" s="198"/>
      <c r="T47" s="198"/>
      <c r="U47" s="198"/>
    </row>
    <row r="48" spans="1:21" s="12" customFormat="1" x14ac:dyDescent="0.25">
      <c r="A48" s="214" t="s">
        <v>1149</v>
      </c>
      <c r="B48" s="64">
        <v>5.79</v>
      </c>
      <c r="C48" s="64">
        <v>15.71</v>
      </c>
      <c r="D48" s="64">
        <v>14.61</v>
      </c>
      <c r="E48" s="64">
        <v>0.22</v>
      </c>
      <c r="F48" s="64">
        <v>1.01</v>
      </c>
      <c r="G48" s="64">
        <v>70.87</v>
      </c>
      <c r="H48" s="64">
        <v>31.05</v>
      </c>
      <c r="I48" s="64">
        <v>1.54</v>
      </c>
      <c r="J48" s="64">
        <v>0.65</v>
      </c>
      <c r="K48" s="64">
        <v>328.92</v>
      </c>
      <c r="L48" s="64">
        <v>36.020000000000003</v>
      </c>
      <c r="M48" s="64">
        <v>41.21</v>
      </c>
      <c r="N48" s="64">
        <v>723.1</v>
      </c>
      <c r="O48" s="64">
        <v>0</v>
      </c>
      <c r="P48" s="64">
        <v>0.73</v>
      </c>
      <c r="Q48" s="64">
        <v>171.23</v>
      </c>
      <c r="R48" s="198"/>
      <c r="S48" s="198"/>
      <c r="T48" s="198"/>
      <c r="U48" s="198"/>
    </row>
    <row r="49" spans="1:21" s="12" customFormat="1" x14ac:dyDescent="0.25">
      <c r="A49" s="214" t="s">
        <v>1150</v>
      </c>
      <c r="B49" s="64">
        <v>5.07</v>
      </c>
      <c r="C49" s="64">
        <v>18.13</v>
      </c>
      <c r="D49" s="64">
        <v>15.36</v>
      </c>
      <c r="E49" s="64">
        <v>0.25</v>
      </c>
      <c r="F49" s="64">
        <v>0.93</v>
      </c>
      <c r="G49" s="64">
        <v>76.47</v>
      </c>
      <c r="H49" s="64">
        <v>30.61</v>
      </c>
      <c r="I49" s="64">
        <v>1.53</v>
      </c>
      <c r="J49" s="64">
        <v>0.82</v>
      </c>
      <c r="K49" s="64">
        <v>328.48</v>
      </c>
      <c r="L49" s="64">
        <v>36.119999999999997</v>
      </c>
      <c r="M49" s="64">
        <v>39.03</v>
      </c>
      <c r="N49" s="64">
        <v>757.8</v>
      </c>
      <c r="O49" s="64">
        <v>0</v>
      </c>
      <c r="P49" s="64">
        <v>0.75</v>
      </c>
      <c r="Q49" s="64">
        <v>187.8</v>
      </c>
      <c r="R49" s="198"/>
      <c r="S49" s="198"/>
      <c r="T49" s="198"/>
      <c r="U49" s="198"/>
    </row>
    <row r="50" spans="1:21" s="12" customFormat="1" x14ac:dyDescent="0.25">
      <c r="A50" s="214" t="s">
        <v>1151</v>
      </c>
      <c r="B50" s="64">
        <v>4.4800000000000004</v>
      </c>
      <c r="C50" s="64">
        <v>18.32</v>
      </c>
      <c r="D50" s="64">
        <v>15</v>
      </c>
      <c r="E50" s="64">
        <v>0.33</v>
      </c>
      <c r="F50" s="64">
        <v>1.21</v>
      </c>
      <c r="G50" s="64">
        <v>76.47</v>
      </c>
      <c r="H50" s="64">
        <v>30.61</v>
      </c>
      <c r="I50" s="64">
        <v>1.56</v>
      </c>
      <c r="J50" s="64">
        <v>1.02</v>
      </c>
      <c r="K50" s="64">
        <v>329.68</v>
      </c>
      <c r="L50" s="64">
        <v>36.94</v>
      </c>
      <c r="M50" s="64">
        <v>35.57</v>
      </c>
      <c r="N50" s="64">
        <v>796.7</v>
      </c>
      <c r="O50" s="64">
        <v>0</v>
      </c>
      <c r="P50" s="64">
        <v>0.78</v>
      </c>
      <c r="Q50" s="64">
        <v>189.02</v>
      </c>
      <c r="R50" s="198"/>
      <c r="S50" s="198"/>
      <c r="T50" s="198"/>
      <c r="U50" s="198"/>
    </row>
    <row r="51" spans="1:21" s="12" customFormat="1" x14ac:dyDescent="0.25">
      <c r="A51" s="214" t="s">
        <v>1152</v>
      </c>
      <c r="B51" s="64">
        <v>4.34</v>
      </c>
      <c r="C51" s="64">
        <v>18.309999999999999</v>
      </c>
      <c r="D51" s="64">
        <v>14.87</v>
      </c>
      <c r="E51" s="64">
        <v>0.67</v>
      </c>
      <c r="F51" s="64">
        <v>1</v>
      </c>
      <c r="G51" s="64">
        <v>76.47</v>
      </c>
      <c r="H51" s="64">
        <v>30.61</v>
      </c>
      <c r="I51" s="64">
        <v>1.53</v>
      </c>
      <c r="J51" s="64">
        <v>0.59</v>
      </c>
      <c r="K51" s="64">
        <v>326.92</v>
      </c>
      <c r="L51" s="64">
        <v>36.89</v>
      </c>
      <c r="M51" s="64">
        <v>35.99</v>
      </c>
      <c r="N51" s="64">
        <v>809.2</v>
      </c>
      <c r="O51" s="64">
        <v>0</v>
      </c>
      <c r="P51" s="64">
        <v>0.79</v>
      </c>
      <c r="Q51" s="64">
        <v>200.56</v>
      </c>
      <c r="R51" s="198"/>
      <c r="S51" s="198"/>
      <c r="T51" s="198"/>
      <c r="U51" s="198"/>
    </row>
    <row r="52" spans="1:21" s="12" customFormat="1" x14ac:dyDescent="0.25">
      <c r="A52" s="214" t="s">
        <v>1153</v>
      </c>
      <c r="B52" s="64">
        <v>4.0599999999999996</v>
      </c>
      <c r="C52" s="64">
        <v>18.989999999999998</v>
      </c>
      <c r="D52" s="64">
        <v>15.03</v>
      </c>
      <c r="E52" s="64">
        <v>0.09</v>
      </c>
      <c r="F52" s="64">
        <v>1.3</v>
      </c>
      <c r="G52" s="64">
        <v>75.98</v>
      </c>
      <c r="H52" s="64">
        <v>29.85</v>
      </c>
      <c r="I52" s="64">
        <v>1.48</v>
      </c>
      <c r="J52" s="64">
        <v>0.4</v>
      </c>
      <c r="K52" s="64">
        <v>342.25</v>
      </c>
      <c r="L52" s="64">
        <v>36.43</v>
      </c>
      <c r="M52" s="64">
        <v>36.46</v>
      </c>
      <c r="N52" s="64">
        <v>797.3</v>
      </c>
      <c r="O52" s="64">
        <v>0</v>
      </c>
      <c r="P52" s="64">
        <v>0.79</v>
      </c>
      <c r="Q52" s="64">
        <v>199.07</v>
      </c>
      <c r="R52" s="198"/>
      <c r="S52" s="198"/>
      <c r="T52" s="198"/>
      <c r="U52" s="198"/>
    </row>
    <row r="53" spans="1:21" s="12" customFormat="1" x14ac:dyDescent="0.25">
      <c r="A53" s="214" t="s">
        <v>1154</v>
      </c>
      <c r="B53" s="64">
        <v>2.92</v>
      </c>
      <c r="C53" s="64">
        <v>23.13</v>
      </c>
      <c r="D53" s="64">
        <v>16.399999999999999</v>
      </c>
      <c r="E53" s="210" t="s">
        <v>43</v>
      </c>
      <c r="F53" s="64">
        <v>9.36</v>
      </c>
      <c r="G53" s="64">
        <v>75.55</v>
      </c>
      <c r="H53" s="64">
        <v>29.56</v>
      </c>
      <c r="I53" s="64">
        <v>1.47</v>
      </c>
      <c r="J53" s="64">
        <v>1.25</v>
      </c>
      <c r="K53" s="64">
        <v>339.63</v>
      </c>
      <c r="L53" s="64">
        <v>36.42</v>
      </c>
      <c r="M53" s="64">
        <v>36.07</v>
      </c>
      <c r="N53" s="64">
        <v>810.7</v>
      </c>
      <c r="O53" s="64">
        <v>0</v>
      </c>
      <c r="P53" s="64">
        <v>0.78</v>
      </c>
      <c r="Q53" s="64">
        <v>197.16</v>
      </c>
      <c r="R53" s="198"/>
      <c r="S53" s="198"/>
      <c r="T53" s="198"/>
      <c r="U53" s="198"/>
    </row>
    <row r="54" spans="1:21" s="12" customFormat="1" x14ac:dyDescent="0.25">
      <c r="A54" s="214" t="s">
        <v>1155</v>
      </c>
      <c r="B54" s="64">
        <v>2.2599999999999998</v>
      </c>
      <c r="C54" s="64">
        <v>26.77</v>
      </c>
      <c r="D54" s="64">
        <v>17.88</v>
      </c>
      <c r="E54" s="210" t="s">
        <v>43</v>
      </c>
      <c r="F54" s="64">
        <v>6.97</v>
      </c>
      <c r="G54" s="64">
        <v>75.55</v>
      </c>
      <c r="H54" s="64">
        <v>29.56</v>
      </c>
      <c r="I54" s="64">
        <v>1.52</v>
      </c>
      <c r="J54" s="64">
        <v>0.9</v>
      </c>
      <c r="K54" s="64">
        <v>336.35</v>
      </c>
      <c r="L54" s="64">
        <v>36.200000000000003</v>
      </c>
      <c r="M54" s="64">
        <v>35.049999999999997</v>
      </c>
      <c r="N54" s="64">
        <v>829.7</v>
      </c>
      <c r="O54" s="64">
        <v>0</v>
      </c>
      <c r="P54" s="64">
        <v>0.79</v>
      </c>
      <c r="Q54" s="64">
        <v>198.09</v>
      </c>
      <c r="R54" s="198"/>
      <c r="S54" s="198"/>
      <c r="T54" s="198"/>
      <c r="U54" s="198"/>
    </row>
    <row r="55" spans="1:21" s="12" customFormat="1" x14ac:dyDescent="0.25">
      <c r="A55" s="214" t="s">
        <v>1156</v>
      </c>
      <c r="B55" s="64">
        <v>2.5499999999999998</v>
      </c>
      <c r="C55" s="64">
        <v>26.22</v>
      </c>
      <c r="D55" s="64">
        <v>17.809999999999999</v>
      </c>
      <c r="E55" s="64">
        <v>0.42</v>
      </c>
      <c r="F55" s="64">
        <v>3.16</v>
      </c>
      <c r="G55" s="64">
        <v>75.55</v>
      </c>
      <c r="H55" s="64">
        <v>29.56</v>
      </c>
      <c r="I55" s="64">
        <v>1.46</v>
      </c>
      <c r="J55" s="64">
        <v>1.1200000000000001</v>
      </c>
      <c r="K55" s="64">
        <v>335.62</v>
      </c>
      <c r="L55" s="64">
        <v>36.36</v>
      </c>
      <c r="M55" s="64">
        <v>34.130000000000003</v>
      </c>
      <c r="N55" s="64">
        <v>822.6</v>
      </c>
      <c r="O55" s="64">
        <v>0</v>
      </c>
      <c r="P55" s="64">
        <v>0.8</v>
      </c>
      <c r="Q55" s="64">
        <v>193.41</v>
      </c>
      <c r="R55" s="198"/>
      <c r="S55" s="198"/>
      <c r="T55" s="198"/>
      <c r="U55" s="198"/>
    </row>
    <row r="56" spans="1:21" s="12" customFormat="1" x14ac:dyDescent="0.25">
      <c r="A56" s="214" t="s">
        <v>1157</v>
      </c>
      <c r="B56" s="64">
        <v>3.39</v>
      </c>
      <c r="C56" s="64">
        <v>25.86</v>
      </c>
      <c r="D56" s="64">
        <v>18.28</v>
      </c>
      <c r="E56" s="64">
        <v>1.08</v>
      </c>
      <c r="F56" s="64">
        <v>2.19</v>
      </c>
      <c r="G56" s="64">
        <v>75.92</v>
      </c>
      <c r="H56" s="64">
        <v>23.51</v>
      </c>
      <c r="I56" s="64">
        <v>1.48</v>
      </c>
      <c r="J56" s="64">
        <v>0.42</v>
      </c>
      <c r="K56" s="64">
        <v>324.52999999999997</v>
      </c>
      <c r="L56" s="64">
        <v>35.75</v>
      </c>
      <c r="M56" s="64">
        <v>34.71</v>
      </c>
      <c r="N56" s="64">
        <v>839.1</v>
      </c>
      <c r="O56" s="64">
        <v>0</v>
      </c>
      <c r="P56" s="64">
        <v>0.79</v>
      </c>
      <c r="Q56" s="64">
        <v>177.08</v>
      </c>
      <c r="R56" s="198"/>
      <c r="S56" s="198"/>
      <c r="T56" s="198"/>
      <c r="U56" s="198"/>
    </row>
    <row r="57" spans="1:21" s="12" customFormat="1" x14ac:dyDescent="0.25">
      <c r="A57" s="214" t="s">
        <v>1158</v>
      </c>
      <c r="B57" s="64">
        <v>2.74</v>
      </c>
      <c r="C57" s="64">
        <v>24.27</v>
      </c>
      <c r="D57" s="64">
        <v>16.88</v>
      </c>
      <c r="E57" s="64">
        <v>1.34</v>
      </c>
      <c r="F57" s="64">
        <v>3.05</v>
      </c>
      <c r="G57" s="64">
        <v>76.25</v>
      </c>
      <c r="H57" s="64">
        <v>18.920000000000002</v>
      </c>
      <c r="I57" s="64">
        <v>1.52</v>
      </c>
      <c r="J57" s="64">
        <v>1.01</v>
      </c>
      <c r="K57" s="64">
        <v>333.76</v>
      </c>
      <c r="L57" s="64">
        <v>35.78</v>
      </c>
      <c r="M57" s="64">
        <v>35.33</v>
      </c>
      <c r="N57" s="64">
        <v>815.7</v>
      </c>
      <c r="O57" s="64">
        <v>0</v>
      </c>
      <c r="P57" s="64">
        <v>0.74</v>
      </c>
      <c r="Q57" s="64">
        <v>168.73</v>
      </c>
      <c r="R57" s="198"/>
      <c r="S57" s="198"/>
      <c r="T57" s="198"/>
      <c r="U57" s="198"/>
    </row>
    <row r="58" spans="1:21" s="12" customFormat="1" x14ac:dyDescent="0.25">
      <c r="A58" s="214" t="s">
        <v>1159</v>
      </c>
      <c r="B58" s="64">
        <v>2.66</v>
      </c>
      <c r="C58" s="64">
        <v>22.89</v>
      </c>
      <c r="D58" s="64">
        <v>16.059999999999999</v>
      </c>
      <c r="E58" s="64">
        <v>2.1800000000000002</v>
      </c>
      <c r="F58" s="64">
        <v>2.58</v>
      </c>
      <c r="G58" s="64">
        <v>76.25</v>
      </c>
      <c r="H58" s="64">
        <v>18.920000000000002</v>
      </c>
      <c r="I58" s="64">
        <v>1.47</v>
      </c>
      <c r="J58" s="64">
        <v>1.04</v>
      </c>
      <c r="K58" s="64">
        <v>331.9</v>
      </c>
      <c r="L58" s="64">
        <v>36.4</v>
      </c>
      <c r="M58" s="64">
        <v>34.21</v>
      </c>
      <c r="N58" s="64">
        <v>757.2</v>
      </c>
      <c r="O58" s="64">
        <v>0</v>
      </c>
      <c r="P58" s="64">
        <v>0.73</v>
      </c>
      <c r="Q58" s="64">
        <v>150.53</v>
      </c>
      <c r="R58" s="198"/>
      <c r="S58" s="198"/>
      <c r="T58" s="198"/>
      <c r="U58" s="198"/>
    </row>
    <row r="59" spans="1:21" s="12" customFormat="1" x14ac:dyDescent="0.25">
      <c r="A59" s="214" t="s">
        <v>1160</v>
      </c>
      <c r="B59" s="64">
        <v>2.94</v>
      </c>
      <c r="C59" s="64">
        <v>21.47</v>
      </c>
      <c r="D59" s="64">
        <v>15.5</v>
      </c>
      <c r="E59" s="64">
        <v>2.39</v>
      </c>
      <c r="F59" s="64">
        <v>1.9</v>
      </c>
      <c r="G59" s="64">
        <v>76.25</v>
      </c>
      <c r="H59" s="64">
        <v>18.920000000000002</v>
      </c>
      <c r="I59" s="64">
        <v>1.54</v>
      </c>
      <c r="J59" s="64">
        <v>1.1100000000000001</v>
      </c>
      <c r="K59" s="64">
        <v>337.16</v>
      </c>
      <c r="L59" s="64">
        <v>36.01</v>
      </c>
      <c r="M59" s="64">
        <v>34.74</v>
      </c>
      <c r="N59" s="64">
        <v>704.2</v>
      </c>
      <c r="O59" s="64">
        <v>0</v>
      </c>
      <c r="P59" s="64">
        <v>0.73</v>
      </c>
      <c r="Q59" s="64">
        <v>150.97</v>
      </c>
      <c r="R59" s="198"/>
      <c r="S59" s="198"/>
      <c r="T59" s="198"/>
      <c r="U59" s="198"/>
    </row>
    <row r="60" spans="1:21" s="12" customFormat="1" x14ac:dyDescent="0.25">
      <c r="A60" s="214" t="s">
        <v>1161</v>
      </c>
      <c r="B60" s="64">
        <v>2.97</v>
      </c>
      <c r="C60" s="64">
        <v>21.58</v>
      </c>
      <c r="D60" s="64">
        <v>15.58</v>
      </c>
      <c r="E60" s="64">
        <v>2.3199999999999998</v>
      </c>
      <c r="F60" s="64">
        <v>3.11</v>
      </c>
      <c r="G60" s="64">
        <v>77.010000000000005</v>
      </c>
      <c r="H60" s="64">
        <v>17.739999999999998</v>
      </c>
      <c r="I60" s="64">
        <v>1.58</v>
      </c>
      <c r="J60" s="64">
        <v>1.1000000000000001</v>
      </c>
      <c r="K60" s="64">
        <v>335.32</v>
      </c>
      <c r="L60" s="64">
        <v>35.799999999999997</v>
      </c>
      <c r="M60" s="64">
        <v>35.08</v>
      </c>
      <c r="N60" s="64">
        <v>749.1</v>
      </c>
      <c r="O60" s="64">
        <v>0</v>
      </c>
      <c r="P60" s="64">
        <v>0.72</v>
      </c>
      <c r="Q60" s="64">
        <v>184.19</v>
      </c>
      <c r="R60" s="198"/>
      <c r="S60" s="198"/>
      <c r="T60" s="198"/>
      <c r="U60" s="198"/>
    </row>
    <row r="61" spans="1:21" s="12" customFormat="1" x14ac:dyDescent="0.25">
      <c r="A61" s="214" t="s">
        <v>1162</v>
      </c>
      <c r="B61" s="64">
        <v>2.58</v>
      </c>
      <c r="C61" s="64">
        <v>25</v>
      </c>
      <c r="D61" s="64">
        <v>17.16</v>
      </c>
      <c r="E61" s="64">
        <v>2.52</v>
      </c>
      <c r="F61" s="64">
        <v>6.47</v>
      </c>
      <c r="G61" s="64">
        <v>77.67</v>
      </c>
      <c r="H61" s="64">
        <v>17.27</v>
      </c>
      <c r="I61" s="64">
        <v>1.58</v>
      </c>
      <c r="J61" s="64">
        <v>0.89</v>
      </c>
      <c r="K61" s="64">
        <v>332.43</v>
      </c>
      <c r="L61" s="64">
        <v>36.14</v>
      </c>
      <c r="M61" s="64">
        <v>35.39</v>
      </c>
      <c r="N61" s="64">
        <v>718.9</v>
      </c>
      <c r="O61" s="64">
        <v>0</v>
      </c>
      <c r="P61" s="64">
        <v>0.7</v>
      </c>
      <c r="Q61" s="64">
        <v>191.13</v>
      </c>
      <c r="R61" s="198"/>
      <c r="S61" s="198"/>
      <c r="T61" s="198"/>
      <c r="U61" s="198"/>
    </row>
    <row r="62" spans="1:21" s="12" customFormat="1" x14ac:dyDescent="0.25">
      <c r="A62" s="214" t="s">
        <v>1163</v>
      </c>
      <c r="B62" s="64">
        <v>2.79</v>
      </c>
      <c r="C62" s="64">
        <v>32.32</v>
      </c>
      <c r="D62" s="64">
        <v>21.37</v>
      </c>
      <c r="E62" s="64">
        <v>3.02</v>
      </c>
      <c r="F62" s="64">
        <v>6.9</v>
      </c>
      <c r="G62" s="64">
        <v>77.67</v>
      </c>
      <c r="H62" s="64">
        <v>17.27</v>
      </c>
      <c r="I62" s="64">
        <v>1.51</v>
      </c>
      <c r="J62" s="64">
        <v>1.03</v>
      </c>
      <c r="K62" s="64">
        <v>331.04</v>
      </c>
      <c r="L62" s="64">
        <v>35.9</v>
      </c>
      <c r="M62" s="64">
        <v>35.78</v>
      </c>
      <c r="N62" s="64">
        <v>494.9</v>
      </c>
      <c r="O62" s="64">
        <v>0</v>
      </c>
      <c r="P62" s="64">
        <v>0.73</v>
      </c>
      <c r="Q62" s="64">
        <v>195.61</v>
      </c>
      <c r="R62" s="198"/>
      <c r="S62" s="198"/>
      <c r="T62" s="198"/>
      <c r="U62" s="198"/>
    </row>
    <row r="63" spans="1:21" s="12" customFormat="1" x14ac:dyDescent="0.25">
      <c r="A63" s="214" t="s">
        <v>1164</v>
      </c>
      <c r="B63" s="64">
        <v>2.7</v>
      </c>
      <c r="C63" s="64">
        <v>33.35</v>
      </c>
      <c r="D63" s="64">
        <v>21.86</v>
      </c>
      <c r="E63" s="64">
        <v>4.3099999999999996</v>
      </c>
      <c r="F63" s="64">
        <v>3.31</v>
      </c>
      <c r="G63" s="64">
        <v>77.67</v>
      </c>
      <c r="H63" s="64">
        <v>17.27</v>
      </c>
      <c r="I63" s="64">
        <v>1.42</v>
      </c>
      <c r="J63" s="64">
        <v>1.23</v>
      </c>
      <c r="K63" s="64">
        <v>333.35</v>
      </c>
      <c r="L63" s="64">
        <v>34.270000000000003</v>
      </c>
      <c r="M63" s="64">
        <v>38.26</v>
      </c>
      <c r="N63" s="64">
        <v>418.2</v>
      </c>
      <c r="O63" s="64">
        <v>0</v>
      </c>
      <c r="P63" s="64">
        <v>0.72</v>
      </c>
      <c r="Q63" s="64">
        <v>196.87</v>
      </c>
      <c r="R63" s="198"/>
      <c r="S63" s="198"/>
      <c r="T63" s="198"/>
      <c r="U63" s="198"/>
    </row>
    <row r="64" spans="1:21" s="12" customFormat="1" x14ac:dyDescent="0.25">
      <c r="A64" s="214" t="s">
        <v>1165</v>
      </c>
      <c r="B64" s="64">
        <v>3.38</v>
      </c>
      <c r="C64" s="64">
        <v>31.13</v>
      </c>
      <c r="D64" s="64">
        <v>21.18</v>
      </c>
      <c r="E64" s="64">
        <v>2.1</v>
      </c>
      <c r="F64" s="64">
        <v>2.3199999999999998</v>
      </c>
      <c r="G64" s="64">
        <v>78.14</v>
      </c>
      <c r="H64" s="64">
        <v>21.65</v>
      </c>
      <c r="I64" s="64">
        <v>1.46</v>
      </c>
      <c r="J64" s="64">
        <v>0.82</v>
      </c>
      <c r="K64" s="64">
        <v>337.97</v>
      </c>
      <c r="L64" s="64">
        <v>33.43</v>
      </c>
      <c r="M64" s="64">
        <v>37.46</v>
      </c>
      <c r="N64" s="64">
        <v>249.5</v>
      </c>
      <c r="O64" s="64">
        <v>0</v>
      </c>
      <c r="P64" s="64">
        <v>0.79</v>
      </c>
      <c r="Q64" s="64">
        <v>196.87</v>
      </c>
      <c r="R64" s="198"/>
      <c r="S64" s="198"/>
      <c r="T64" s="198"/>
      <c r="U64" s="198"/>
    </row>
    <row r="65" spans="1:21" s="12" customFormat="1" x14ac:dyDescent="0.25">
      <c r="A65" s="214" t="s">
        <v>1166</v>
      </c>
      <c r="B65" s="64">
        <v>3.14</v>
      </c>
      <c r="C65" s="64">
        <v>30.78</v>
      </c>
      <c r="D65" s="64">
        <v>20.8</v>
      </c>
      <c r="E65" s="64">
        <v>2.1</v>
      </c>
      <c r="F65" s="64">
        <v>7.6</v>
      </c>
      <c r="G65" s="64">
        <v>78.55</v>
      </c>
      <c r="H65" s="64">
        <v>23.42</v>
      </c>
      <c r="I65" s="64">
        <v>1.5</v>
      </c>
      <c r="J65" s="64">
        <v>0.61</v>
      </c>
      <c r="K65" s="64">
        <v>344.94</v>
      </c>
      <c r="L65" s="64">
        <v>33.19</v>
      </c>
      <c r="M65" s="64">
        <v>39.090000000000003</v>
      </c>
      <c r="N65" s="64">
        <v>241.3</v>
      </c>
      <c r="O65" s="64">
        <v>0</v>
      </c>
      <c r="P65" s="64">
        <v>0.81</v>
      </c>
      <c r="Q65" s="212" t="s">
        <v>42</v>
      </c>
      <c r="R65" s="198"/>
      <c r="S65" s="198"/>
      <c r="T65" s="198"/>
      <c r="U65" s="198"/>
    </row>
    <row r="66" spans="1:21" s="12" customFormat="1" x14ac:dyDescent="0.25">
      <c r="A66" s="214" t="s">
        <v>1167</v>
      </c>
      <c r="B66" s="64">
        <v>2.12</v>
      </c>
      <c r="C66" s="64">
        <v>31.09</v>
      </c>
      <c r="D66" s="64">
        <v>20.149999999999999</v>
      </c>
      <c r="E66" s="64">
        <v>2.1</v>
      </c>
      <c r="F66" s="64">
        <v>6.31</v>
      </c>
      <c r="G66" s="64">
        <v>78.55</v>
      </c>
      <c r="H66" s="64">
        <v>23.42</v>
      </c>
      <c r="I66" s="64">
        <v>1.59</v>
      </c>
      <c r="J66" s="64">
        <v>0.93</v>
      </c>
      <c r="K66" s="64">
        <v>340.05</v>
      </c>
      <c r="L66" s="64">
        <v>32.54</v>
      </c>
      <c r="M66" s="64">
        <v>40.520000000000003</v>
      </c>
      <c r="N66" s="64">
        <v>225.3</v>
      </c>
      <c r="O66" s="64">
        <v>0</v>
      </c>
      <c r="P66" s="64">
        <v>0.88</v>
      </c>
      <c r="Q66" s="212" t="s">
        <v>42</v>
      </c>
      <c r="R66" s="198"/>
      <c r="S66" s="198"/>
      <c r="T66" s="198"/>
      <c r="U66" s="198"/>
    </row>
    <row r="67" spans="1:21" s="12" customFormat="1" x14ac:dyDescent="0.25">
      <c r="A67" s="214" t="s">
        <v>1168</v>
      </c>
      <c r="B67" s="64">
        <v>2.41</v>
      </c>
      <c r="C67" s="64">
        <v>30.21</v>
      </c>
      <c r="D67" s="64">
        <v>19.899999999999999</v>
      </c>
      <c r="E67" s="64">
        <v>1.6</v>
      </c>
      <c r="F67" s="64">
        <v>3.01</v>
      </c>
      <c r="G67" s="64">
        <v>78.55</v>
      </c>
      <c r="H67" s="64">
        <v>23.42</v>
      </c>
      <c r="I67" s="64">
        <v>1.5</v>
      </c>
      <c r="J67" s="64">
        <v>0.95</v>
      </c>
      <c r="K67" s="64">
        <v>337.17</v>
      </c>
      <c r="L67" s="64">
        <v>32.14</v>
      </c>
      <c r="M67" s="64">
        <v>41.99</v>
      </c>
      <c r="N67" s="64">
        <v>172.7</v>
      </c>
      <c r="O67" s="64">
        <v>0</v>
      </c>
      <c r="P67" s="64">
        <v>0.84</v>
      </c>
      <c r="Q67" s="212" t="s">
        <v>42</v>
      </c>
      <c r="R67" s="198"/>
      <c r="S67" s="198"/>
      <c r="T67" s="198"/>
      <c r="U67" s="198"/>
    </row>
    <row r="68" spans="1:21" s="12" customFormat="1" x14ac:dyDescent="0.25">
      <c r="A68" s="214" t="s">
        <v>1169</v>
      </c>
      <c r="B68" s="64">
        <v>2.82</v>
      </c>
      <c r="C68" s="64">
        <v>26.68</v>
      </c>
      <c r="D68" s="64">
        <v>18.28</v>
      </c>
      <c r="E68" s="64">
        <v>1.81</v>
      </c>
      <c r="F68" s="64">
        <v>1.57</v>
      </c>
      <c r="G68" s="64">
        <v>80.47</v>
      </c>
      <c r="H68" s="64">
        <v>28.06</v>
      </c>
      <c r="I68" s="64">
        <v>1.43</v>
      </c>
      <c r="J68" s="64">
        <v>0.97</v>
      </c>
      <c r="K68" s="64">
        <v>335.65</v>
      </c>
      <c r="L68" s="64">
        <v>31.51</v>
      </c>
      <c r="M68" s="64">
        <v>44.21</v>
      </c>
      <c r="N68" s="64">
        <v>125.7</v>
      </c>
      <c r="O68" s="64">
        <v>0</v>
      </c>
      <c r="P68" s="64">
        <v>0.82</v>
      </c>
      <c r="Q68" s="212" t="s">
        <v>42</v>
      </c>
      <c r="R68" s="198"/>
      <c r="S68" s="198"/>
      <c r="T68" s="198"/>
      <c r="U68" s="198"/>
    </row>
    <row r="69" spans="1:21" s="12" customFormat="1" x14ac:dyDescent="0.25">
      <c r="A69" s="214" t="s">
        <v>1170</v>
      </c>
      <c r="B69" s="64">
        <v>3.37</v>
      </c>
      <c r="C69" s="64">
        <v>23.26</v>
      </c>
      <c r="D69" s="64">
        <v>16.829999999999998</v>
      </c>
      <c r="E69" s="64">
        <v>1.94</v>
      </c>
      <c r="F69" s="64">
        <v>1.52</v>
      </c>
      <c r="G69" s="64">
        <v>82.16</v>
      </c>
      <c r="H69" s="64">
        <v>29.93</v>
      </c>
      <c r="I69" s="64">
        <v>1.52</v>
      </c>
      <c r="J69" s="64">
        <v>0.45</v>
      </c>
      <c r="K69" s="64">
        <v>346.89</v>
      </c>
      <c r="L69" s="64">
        <v>30.95</v>
      </c>
      <c r="M69" s="64">
        <v>45.52</v>
      </c>
      <c r="N69" s="64">
        <v>118</v>
      </c>
      <c r="O69" s="64">
        <v>0</v>
      </c>
      <c r="P69" s="64">
        <v>0.78</v>
      </c>
      <c r="Q69" s="212" t="s">
        <v>42</v>
      </c>
      <c r="R69" s="198"/>
      <c r="S69" s="198"/>
      <c r="T69" s="198"/>
      <c r="U69" s="198"/>
    </row>
    <row r="70" spans="1:21" s="12" customFormat="1" x14ac:dyDescent="0.25">
      <c r="A70" s="214" t="s">
        <v>1171</v>
      </c>
      <c r="B70" s="64">
        <v>3.6</v>
      </c>
      <c r="C70" s="64">
        <v>21.91</v>
      </c>
      <c r="D70" s="64">
        <v>16.27</v>
      </c>
      <c r="E70" s="64">
        <v>2.5299999999999998</v>
      </c>
      <c r="F70" s="64">
        <v>0.83</v>
      </c>
      <c r="G70" s="64">
        <v>82.16</v>
      </c>
      <c r="H70" s="64">
        <v>29.93</v>
      </c>
      <c r="I70" s="64">
        <v>1.46</v>
      </c>
      <c r="J70" s="64">
        <v>0.42</v>
      </c>
      <c r="K70" s="64">
        <v>333.6</v>
      </c>
      <c r="L70" s="64">
        <v>30.7</v>
      </c>
      <c r="M70" s="64">
        <v>45.45</v>
      </c>
      <c r="N70" s="64">
        <v>95.3</v>
      </c>
      <c r="O70" s="64">
        <v>0</v>
      </c>
      <c r="P70" s="64">
        <v>0.86</v>
      </c>
      <c r="Q70" s="212" t="s">
        <v>42</v>
      </c>
      <c r="R70" s="198"/>
      <c r="S70" s="198"/>
      <c r="T70" s="198"/>
      <c r="U70" s="198"/>
    </row>
    <row r="71" spans="1:21" s="12" customFormat="1" x14ac:dyDescent="0.25">
      <c r="A71" s="214" t="s">
        <v>1172</v>
      </c>
      <c r="B71" s="64">
        <v>3.91</v>
      </c>
      <c r="C71" s="64">
        <v>20.68</v>
      </c>
      <c r="D71" s="64">
        <v>15.84</v>
      </c>
      <c r="E71" s="64">
        <v>1.65</v>
      </c>
      <c r="F71" s="64">
        <v>1.1200000000000001</v>
      </c>
      <c r="G71" s="64">
        <v>82.16</v>
      </c>
      <c r="H71" s="64">
        <v>29.93</v>
      </c>
      <c r="I71" s="64">
        <v>1.5</v>
      </c>
      <c r="J71" s="64">
        <v>0.6</v>
      </c>
      <c r="K71" s="64">
        <v>343.1</v>
      </c>
      <c r="L71" s="64">
        <v>30.76</v>
      </c>
      <c r="M71" s="64">
        <v>44.38</v>
      </c>
      <c r="N71" s="64">
        <v>86.9</v>
      </c>
      <c r="O71" s="64">
        <v>0</v>
      </c>
      <c r="P71" s="64">
        <v>0.85</v>
      </c>
      <c r="Q71" s="212" t="s">
        <v>42</v>
      </c>
      <c r="R71" s="198"/>
      <c r="S71" s="198"/>
      <c r="T71" s="198"/>
      <c r="U71" s="198"/>
    </row>
    <row r="72" spans="1:21" s="12" customFormat="1" x14ac:dyDescent="0.25">
      <c r="A72" s="214" t="s">
        <v>1173</v>
      </c>
      <c r="B72" s="64">
        <v>3.56</v>
      </c>
      <c r="C72" s="64">
        <v>23.19</v>
      </c>
      <c r="D72" s="64">
        <v>16.95</v>
      </c>
      <c r="E72" s="64">
        <v>1.44</v>
      </c>
      <c r="F72" s="64">
        <v>4.4800000000000004</v>
      </c>
      <c r="G72" s="64">
        <v>80.849999999999994</v>
      </c>
      <c r="H72" s="64">
        <v>28.11</v>
      </c>
      <c r="I72" s="64">
        <v>1.49</v>
      </c>
      <c r="J72" s="64">
        <v>0.41</v>
      </c>
      <c r="K72" s="64">
        <v>7.63</v>
      </c>
      <c r="L72" s="64">
        <v>30.11</v>
      </c>
      <c r="M72" s="64">
        <v>44.89</v>
      </c>
      <c r="N72" s="64">
        <v>78</v>
      </c>
      <c r="O72" s="64">
        <v>0</v>
      </c>
      <c r="P72" s="64">
        <v>0.83</v>
      </c>
      <c r="Q72" s="64">
        <v>20.04</v>
      </c>
      <c r="R72" s="198"/>
      <c r="S72" s="198"/>
      <c r="T72" s="198"/>
      <c r="U72" s="198"/>
    </row>
    <row r="73" spans="1:21" s="12" customFormat="1" x14ac:dyDescent="0.25">
      <c r="A73" s="214" t="s">
        <v>1174</v>
      </c>
      <c r="B73" s="64">
        <v>2.25</v>
      </c>
      <c r="C73" s="64">
        <v>28.95</v>
      </c>
      <c r="D73" s="64">
        <v>19.07</v>
      </c>
      <c r="E73" s="64">
        <v>1.5</v>
      </c>
      <c r="F73" s="64">
        <v>5.5</v>
      </c>
      <c r="G73" s="64">
        <v>67.150000000000006</v>
      </c>
      <c r="H73" s="64">
        <v>19.45</v>
      </c>
      <c r="I73" s="64">
        <v>1.51</v>
      </c>
      <c r="J73" s="64">
        <v>0.21</v>
      </c>
      <c r="K73" s="64">
        <v>320.83999999999997</v>
      </c>
      <c r="L73" s="64">
        <v>30.09</v>
      </c>
      <c r="M73" s="64">
        <v>44.71</v>
      </c>
      <c r="N73" s="64">
        <v>67.099999999999994</v>
      </c>
      <c r="O73" s="64">
        <v>0</v>
      </c>
      <c r="P73" s="64">
        <v>0.9</v>
      </c>
      <c r="Q73" s="64">
        <v>16.739999999999998</v>
      </c>
      <c r="R73" s="198"/>
      <c r="S73" s="198"/>
      <c r="T73" s="198"/>
      <c r="U73" s="198"/>
    </row>
    <row r="74" spans="1:21" s="12" customFormat="1" x14ac:dyDescent="0.25">
      <c r="A74" s="214" t="s">
        <v>1175</v>
      </c>
      <c r="B74" s="64">
        <v>2.56</v>
      </c>
      <c r="C74" s="64">
        <v>31.5</v>
      </c>
      <c r="D74" s="64">
        <v>20.73</v>
      </c>
      <c r="E74" s="64">
        <v>1.93</v>
      </c>
      <c r="F74" s="64">
        <v>4.04</v>
      </c>
      <c r="G74" s="211" t="s">
        <v>40</v>
      </c>
      <c r="H74" s="211" t="s">
        <v>40</v>
      </c>
      <c r="I74" s="64">
        <v>1.53</v>
      </c>
      <c r="J74" s="64">
        <v>0.15</v>
      </c>
      <c r="K74" s="64">
        <v>1.34</v>
      </c>
      <c r="L74" s="64">
        <v>29.81</v>
      </c>
      <c r="M74" s="64">
        <v>46.03</v>
      </c>
      <c r="N74" s="64">
        <v>58.2</v>
      </c>
      <c r="O74" s="64">
        <v>0</v>
      </c>
      <c r="P74" s="64">
        <v>0.91</v>
      </c>
      <c r="Q74" s="64">
        <v>14.2</v>
      </c>
      <c r="R74" s="198"/>
      <c r="S74" s="198"/>
      <c r="T74" s="198"/>
      <c r="U74" s="198"/>
    </row>
    <row r="75" spans="1:21" s="12" customFormat="1" x14ac:dyDescent="0.25">
      <c r="A75" s="214" t="s">
        <v>1176</v>
      </c>
      <c r="B75" s="64">
        <v>2.44</v>
      </c>
      <c r="C75" s="64">
        <v>30.56</v>
      </c>
      <c r="D75" s="64">
        <v>20.11</v>
      </c>
      <c r="E75" s="64">
        <v>1.74</v>
      </c>
      <c r="F75" s="64">
        <v>3.54</v>
      </c>
      <c r="G75" s="211" t="s">
        <v>40</v>
      </c>
      <c r="H75" s="211" t="s">
        <v>40</v>
      </c>
      <c r="I75" s="64">
        <v>1.52</v>
      </c>
      <c r="J75" s="64">
        <v>0.25</v>
      </c>
      <c r="K75" s="64">
        <v>17.329999999999998</v>
      </c>
      <c r="L75" s="64">
        <v>29.65</v>
      </c>
      <c r="M75" s="64">
        <v>46.76</v>
      </c>
      <c r="N75" s="64">
        <v>48.7</v>
      </c>
      <c r="O75" s="64">
        <v>0</v>
      </c>
      <c r="P75" s="64">
        <v>0.93</v>
      </c>
      <c r="Q75" s="64">
        <v>14.71</v>
      </c>
      <c r="R75" s="198"/>
      <c r="S75" s="198"/>
      <c r="T75" s="198"/>
      <c r="U75" s="198"/>
    </row>
    <row r="76" spans="1:21" s="12" customFormat="1" x14ac:dyDescent="0.25">
      <c r="A76" s="214" t="s">
        <v>1177</v>
      </c>
      <c r="B76" s="64">
        <v>2.56</v>
      </c>
      <c r="C76" s="64">
        <v>27.79</v>
      </c>
      <c r="D76" s="64">
        <v>18.68</v>
      </c>
      <c r="E76" s="64">
        <v>1.36</v>
      </c>
      <c r="F76" s="64">
        <v>2.2599999999999998</v>
      </c>
      <c r="G76" s="211" t="s">
        <v>40</v>
      </c>
      <c r="H76" s="211" t="s">
        <v>40</v>
      </c>
      <c r="I76" s="64">
        <v>1.43</v>
      </c>
      <c r="J76" s="64">
        <v>0.41</v>
      </c>
      <c r="K76" s="64">
        <v>100.56</v>
      </c>
      <c r="L76" s="64">
        <v>29.1</v>
      </c>
      <c r="M76" s="64">
        <v>48.58</v>
      </c>
      <c r="N76" s="64">
        <v>39</v>
      </c>
      <c r="O76" s="64">
        <v>0</v>
      </c>
      <c r="P76" s="64">
        <v>0.71</v>
      </c>
      <c r="Q76" s="64">
        <v>9.64</v>
      </c>
      <c r="R76" s="198"/>
      <c r="S76" s="198"/>
      <c r="T76" s="198"/>
      <c r="U76" s="198"/>
    </row>
    <row r="77" spans="1:21" s="12" customFormat="1" x14ac:dyDescent="0.25">
      <c r="A77" s="214" t="s">
        <v>1178</v>
      </c>
      <c r="B77" s="64">
        <v>3.01</v>
      </c>
      <c r="C77" s="64">
        <v>24.59</v>
      </c>
      <c r="D77" s="64">
        <v>17.28</v>
      </c>
      <c r="E77" s="64">
        <v>1.0900000000000001</v>
      </c>
      <c r="F77" s="64">
        <v>1.25</v>
      </c>
      <c r="G77" s="211" t="s">
        <v>40</v>
      </c>
      <c r="H77" s="211" t="s">
        <v>40</v>
      </c>
      <c r="I77" s="64">
        <v>1.59</v>
      </c>
      <c r="J77" s="64">
        <v>0.36</v>
      </c>
      <c r="K77" s="64">
        <v>98.38</v>
      </c>
      <c r="L77" s="64">
        <v>28.65</v>
      </c>
      <c r="M77" s="64">
        <v>50.09</v>
      </c>
      <c r="N77" s="64">
        <v>27.7</v>
      </c>
      <c r="O77" s="64">
        <v>0</v>
      </c>
      <c r="P77" s="64">
        <v>0.8</v>
      </c>
      <c r="Q77" s="64">
        <v>25.73</v>
      </c>
      <c r="R77" s="198"/>
      <c r="S77" s="198"/>
      <c r="T77" s="198"/>
      <c r="U77" s="198"/>
    </row>
    <row r="78" spans="1:21" s="12" customFormat="1" x14ac:dyDescent="0.25">
      <c r="A78" s="214" t="s">
        <v>1179</v>
      </c>
      <c r="B78" s="64">
        <v>3.3</v>
      </c>
      <c r="C78" s="64">
        <v>22.52</v>
      </c>
      <c r="D78" s="64">
        <v>16.37</v>
      </c>
      <c r="E78" s="64">
        <v>1.46</v>
      </c>
      <c r="F78" s="64">
        <v>2.2200000000000002</v>
      </c>
      <c r="G78" s="64">
        <v>119.15</v>
      </c>
      <c r="H78" s="64">
        <v>188.07</v>
      </c>
      <c r="I78" s="64">
        <v>1.54</v>
      </c>
      <c r="J78" s="64">
        <v>0.21</v>
      </c>
      <c r="K78" s="64">
        <v>91.43</v>
      </c>
      <c r="L78" s="64">
        <v>28.32</v>
      </c>
      <c r="M78" s="64">
        <v>50.56</v>
      </c>
      <c r="N78" s="64">
        <v>17.100000000000001</v>
      </c>
      <c r="O78" s="64">
        <v>0</v>
      </c>
      <c r="P78" s="64">
        <v>0.7</v>
      </c>
      <c r="Q78" s="64">
        <v>92.08</v>
      </c>
      <c r="R78" s="198"/>
      <c r="S78" s="198"/>
      <c r="T78" s="198"/>
      <c r="U78" s="198"/>
    </row>
    <row r="79" spans="1:21" s="12" customFormat="1" x14ac:dyDescent="0.25">
      <c r="A79" s="214" t="s">
        <v>1180</v>
      </c>
      <c r="B79" s="64">
        <v>2.59</v>
      </c>
      <c r="C79" s="64">
        <v>23.52</v>
      </c>
      <c r="D79" s="64">
        <v>16.350000000000001</v>
      </c>
      <c r="E79" s="64">
        <v>0.74</v>
      </c>
      <c r="F79" s="64">
        <v>2.04</v>
      </c>
      <c r="G79" s="64">
        <v>121.85</v>
      </c>
      <c r="H79" s="64">
        <v>190.18</v>
      </c>
      <c r="I79" s="64">
        <v>1.48</v>
      </c>
      <c r="J79" s="64">
        <v>0.19</v>
      </c>
      <c r="K79" s="64">
        <v>80.34</v>
      </c>
      <c r="L79" s="64">
        <v>27.98</v>
      </c>
      <c r="M79" s="64">
        <v>51.44</v>
      </c>
      <c r="N79" s="64">
        <v>10.5</v>
      </c>
      <c r="O79" s="64">
        <v>0</v>
      </c>
      <c r="P79" s="64">
        <v>0.87</v>
      </c>
      <c r="Q79" s="64">
        <v>121.18</v>
      </c>
      <c r="R79" s="198"/>
      <c r="S79" s="198"/>
      <c r="T79" s="198"/>
      <c r="U79" s="198"/>
    </row>
    <row r="80" spans="1:21" s="12" customFormat="1" x14ac:dyDescent="0.25">
      <c r="A80" s="214" t="s">
        <v>1181</v>
      </c>
      <c r="B80" s="64">
        <v>3.11</v>
      </c>
      <c r="C80" s="64">
        <v>26.44</v>
      </c>
      <c r="D80" s="64">
        <v>18.38</v>
      </c>
      <c r="E80" s="64">
        <v>1.71</v>
      </c>
      <c r="F80" s="64">
        <v>1.08</v>
      </c>
      <c r="G80" s="64">
        <v>121.85</v>
      </c>
      <c r="H80" s="64">
        <v>190.18</v>
      </c>
      <c r="I80" s="64">
        <v>1.42</v>
      </c>
      <c r="J80" s="64">
        <v>0.03</v>
      </c>
      <c r="K80" s="64">
        <v>211.22</v>
      </c>
      <c r="L80" s="64">
        <v>27.54</v>
      </c>
      <c r="M80" s="64">
        <v>55.35</v>
      </c>
      <c r="N80" s="64">
        <v>9</v>
      </c>
      <c r="O80" s="64">
        <v>0</v>
      </c>
      <c r="P80" s="64">
        <v>1.75</v>
      </c>
      <c r="Q80" s="64">
        <v>126.88</v>
      </c>
      <c r="R80" s="198"/>
      <c r="S80" s="198"/>
      <c r="T80" s="198"/>
      <c r="U80" s="198"/>
    </row>
    <row r="81" spans="1:26" s="12" customFormat="1" x14ac:dyDescent="0.25">
      <c r="A81" s="214" t="s">
        <v>1182</v>
      </c>
      <c r="B81" s="64">
        <v>4.43</v>
      </c>
      <c r="C81" s="64">
        <v>32.380000000000003</v>
      </c>
      <c r="D81" s="64">
        <v>22.71</v>
      </c>
      <c r="E81" s="64">
        <v>2.06</v>
      </c>
      <c r="F81" s="64">
        <v>0.81</v>
      </c>
      <c r="G81" s="64">
        <v>121.85</v>
      </c>
      <c r="H81" s="64">
        <v>190.18</v>
      </c>
      <c r="I81" s="64">
        <v>1.61</v>
      </c>
      <c r="J81" s="64">
        <v>0.16</v>
      </c>
      <c r="K81" s="64">
        <v>254.78</v>
      </c>
      <c r="L81" s="64">
        <v>26.29</v>
      </c>
      <c r="M81" s="64">
        <v>66.150000000000006</v>
      </c>
      <c r="N81" s="64">
        <v>8.8000000000000007</v>
      </c>
      <c r="O81" s="64">
        <v>0</v>
      </c>
      <c r="P81" s="64">
        <v>1.24</v>
      </c>
      <c r="Q81" s="64">
        <v>136.71</v>
      </c>
      <c r="R81" s="198"/>
      <c r="S81" s="198"/>
      <c r="T81" s="198"/>
      <c r="U81" s="198"/>
    </row>
    <row r="82" spans="1:26" s="12" customFormat="1" x14ac:dyDescent="0.25">
      <c r="A82" s="214" t="s">
        <v>1183</v>
      </c>
      <c r="B82" s="64">
        <v>5.1100000000000003</v>
      </c>
      <c r="C82" s="64">
        <v>31.41</v>
      </c>
      <c r="D82" s="64">
        <v>22.73</v>
      </c>
      <c r="E82" s="64">
        <v>2.2000000000000002</v>
      </c>
      <c r="F82" s="64">
        <v>0.15</v>
      </c>
      <c r="G82" s="64">
        <v>105.38</v>
      </c>
      <c r="H82" s="64">
        <v>53.85</v>
      </c>
      <c r="I82" s="64">
        <v>1.58</v>
      </c>
      <c r="J82" s="64">
        <v>0.09</v>
      </c>
      <c r="K82" s="64">
        <v>257.35000000000002</v>
      </c>
      <c r="L82" s="64">
        <v>25.87</v>
      </c>
      <c r="M82" s="64">
        <v>65.86</v>
      </c>
      <c r="N82" s="64">
        <v>8.8000000000000007</v>
      </c>
      <c r="O82" s="64">
        <v>0</v>
      </c>
      <c r="P82" s="64">
        <v>1.29</v>
      </c>
      <c r="Q82" s="64">
        <v>143.94</v>
      </c>
      <c r="R82" s="198"/>
      <c r="S82" s="198"/>
      <c r="T82" s="198"/>
      <c r="U82" s="198"/>
    </row>
    <row r="83" spans="1:26" s="12" customFormat="1" x14ac:dyDescent="0.25">
      <c r="A83" s="214" t="s">
        <v>1184</v>
      </c>
      <c r="B83" s="64">
        <v>5.56</v>
      </c>
      <c r="C83" s="64">
        <v>28.57</v>
      </c>
      <c r="D83" s="64">
        <v>21.52</v>
      </c>
      <c r="E83" s="64">
        <v>1.96</v>
      </c>
      <c r="F83" s="64">
        <v>0.6</v>
      </c>
      <c r="G83" s="64">
        <v>105.01</v>
      </c>
      <c r="H83" s="64">
        <v>52.32</v>
      </c>
      <c r="I83" s="64">
        <v>1.54</v>
      </c>
      <c r="J83" s="64">
        <v>0.09</v>
      </c>
      <c r="K83" s="64">
        <v>241.39</v>
      </c>
      <c r="L83" s="64">
        <v>26.75</v>
      </c>
      <c r="M83" s="64">
        <v>55.77</v>
      </c>
      <c r="N83" s="64">
        <v>8.3000000000000007</v>
      </c>
      <c r="O83" s="64">
        <v>0</v>
      </c>
      <c r="P83" s="64">
        <v>1.18</v>
      </c>
      <c r="Q83" s="64">
        <v>145.63999999999999</v>
      </c>
      <c r="R83" s="198"/>
      <c r="S83" s="198"/>
      <c r="T83" s="198"/>
      <c r="U83" s="198"/>
    </row>
    <row r="84" spans="1:26" s="12" customFormat="1" x14ac:dyDescent="0.25">
      <c r="A84" s="214" t="s">
        <v>1185</v>
      </c>
      <c r="B84" s="64">
        <v>5.57</v>
      </c>
      <c r="C84" s="64">
        <v>25.73</v>
      </c>
      <c r="D84" s="64">
        <v>19.95</v>
      </c>
      <c r="E84" s="64">
        <v>1.46</v>
      </c>
      <c r="F84" s="64">
        <v>0.47</v>
      </c>
      <c r="G84" s="64">
        <v>105.01</v>
      </c>
      <c r="H84" s="64">
        <v>52.32</v>
      </c>
      <c r="I84" s="64">
        <v>1.47</v>
      </c>
      <c r="J84" s="64">
        <v>0.12</v>
      </c>
      <c r="K84" s="64">
        <v>296.63</v>
      </c>
      <c r="L84" s="64">
        <v>26.42</v>
      </c>
      <c r="M84" s="64">
        <v>56.51</v>
      </c>
      <c r="N84" s="64">
        <v>8.8000000000000007</v>
      </c>
      <c r="O84" s="64">
        <v>0</v>
      </c>
      <c r="P84" s="64">
        <v>1.1000000000000001</v>
      </c>
      <c r="Q84" s="64">
        <v>161.75</v>
      </c>
      <c r="R84" s="198"/>
      <c r="S84" s="198"/>
      <c r="T84" s="198"/>
      <c r="U84" s="198"/>
    </row>
    <row r="85" spans="1:26" s="12" customFormat="1" x14ac:dyDescent="0.25">
      <c r="A85" s="214" t="s">
        <v>1186</v>
      </c>
      <c r="B85" s="64">
        <v>5.88</v>
      </c>
      <c r="C85" s="64">
        <v>23.84</v>
      </c>
      <c r="D85" s="64">
        <v>19.16</v>
      </c>
      <c r="E85" s="64">
        <v>1.42</v>
      </c>
      <c r="F85" s="64">
        <v>0.75</v>
      </c>
      <c r="G85" s="64">
        <v>105.01</v>
      </c>
      <c r="H85" s="64">
        <v>52.32</v>
      </c>
      <c r="I85" s="64">
        <v>1.55</v>
      </c>
      <c r="J85" s="64">
        <v>0.05</v>
      </c>
      <c r="K85" s="64">
        <v>231.25</v>
      </c>
      <c r="L85" s="64">
        <v>25.92</v>
      </c>
      <c r="M85" s="64">
        <v>61.2</v>
      </c>
      <c r="N85" s="64">
        <v>8.8000000000000007</v>
      </c>
      <c r="O85" s="64">
        <v>0</v>
      </c>
      <c r="P85" s="64">
        <v>1.43</v>
      </c>
      <c r="Q85" s="64">
        <v>167.33</v>
      </c>
      <c r="R85" s="198"/>
      <c r="S85" s="198"/>
      <c r="T85" s="198"/>
      <c r="U85" s="198"/>
    </row>
    <row r="86" spans="1:26" s="12" customFormat="1" x14ac:dyDescent="0.25">
      <c r="A86" s="214" t="s">
        <v>1187</v>
      </c>
      <c r="B86" s="64">
        <v>9.5399999999999991</v>
      </c>
      <c r="C86" s="64">
        <v>23.04</v>
      </c>
      <c r="D86" s="64">
        <v>21.66</v>
      </c>
      <c r="E86" s="64">
        <v>1.85</v>
      </c>
      <c r="F86" s="64">
        <v>0.56999999999999995</v>
      </c>
      <c r="G86" s="64">
        <v>125.64</v>
      </c>
      <c r="H86" s="64">
        <v>53.32</v>
      </c>
      <c r="I86" s="64">
        <v>1.47</v>
      </c>
      <c r="J86" s="64">
        <v>0.12</v>
      </c>
      <c r="K86" s="64">
        <v>264.66000000000003</v>
      </c>
      <c r="L86" s="64">
        <v>25.62</v>
      </c>
      <c r="M86" s="64">
        <v>64.94</v>
      </c>
      <c r="N86" s="64">
        <v>8.5</v>
      </c>
      <c r="O86" s="64">
        <v>0</v>
      </c>
      <c r="P86" s="64">
        <v>1.5</v>
      </c>
      <c r="Q86" s="64">
        <v>169.03</v>
      </c>
      <c r="R86" s="198"/>
      <c r="S86" s="198"/>
      <c r="T86" s="198"/>
      <c r="U86" s="198"/>
    </row>
    <row r="87" spans="1:26" s="12" customFormat="1" x14ac:dyDescent="0.25">
      <c r="A87" s="214" t="s">
        <v>1188</v>
      </c>
      <c r="B87" s="64">
        <v>13.73</v>
      </c>
      <c r="C87" s="64">
        <v>22.9</v>
      </c>
      <c r="D87" s="64">
        <v>24.94</v>
      </c>
      <c r="E87" s="64">
        <v>1.39</v>
      </c>
      <c r="F87" s="64">
        <v>0.43</v>
      </c>
      <c r="G87" s="64">
        <v>125.87</v>
      </c>
      <c r="H87" s="64">
        <v>53.33</v>
      </c>
      <c r="I87" s="64">
        <v>1.42</v>
      </c>
      <c r="J87" s="64">
        <v>0.1</v>
      </c>
      <c r="K87" s="64">
        <v>267.89</v>
      </c>
      <c r="L87" s="64">
        <v>25.52</v>
      </c>
      <c r="M87" s="64">
        <v>64.760000000000005</v>
      </c>
      <c r="N87" s="64">
        <v>8.6</v>
      </c>
      <c r="O87" s="64">
        <v>0</v>
      </c>
      <c r="P87" s="64">
        <v>1.64</v>
      </c>
      <c r="Q87" s="64">
        <v>169.61</v>
      </c>
      <c r="R87" s="198"/>
      <c r="S87" s="198"/>
      <c r="T87" s="198"/>
      <c r="U87" s="198"/>
    </row>
    <row r="88" spans="1:26" s="12" customFormat="1" x14ac:dyDescent="0.25">
      <c r="A88" s="214" t="s">
        <v>1189</v>
      </c>
      <c r="B88" s="64">
        <v>18.3</v>
      </c>
      <c r="C88" s="64">
        <v>22.75</v>
      </c>
      <c r="D88" s="64">
        <v>28.52</v>
      </c>
      <c r="E88" s="64">
        <v>0.83</v>
      </c>
      <c r="F88" s="64">
        <v>0.44</v>
      </c>
      <c r="G88" s="64">
        <v>125.87</v>
      </c>
      <c r="H88" s="64">
        <v>53.33</v>
      </c>
      <c r="I88" s="64">
        <v>1.44</v>
      </c>
      <c r="J88" s="64">
        <v>0.09</v>
      </c>
      <c r="K88" s="64">
        <v>327.01</v>
      </c>
      <c r="L88" s="64">
        <v>25.35</v>
      </c>
      <c r="M88" s="64">
        <v>71</v>
      </c>
      <c r="N88" s="64">
        <v>8.6999999999999993</v>
      </c>
      <c r="O88" s="64">
        <v>0</v>
      </c>
      <c r="P88" s="64">
        <v>2.2999999999999998</v>
      </c>
      <c r="Q88" s="64">
        <v>169.14</v>
      </c>
      <c r="R88" s="198"/>
      <c r="S88" s="198"/>
      <c r="T88" s="198"/>
      <c r="U88" s="198"/>
    </row>
    <row r="89" spans="1:26" s="12" customFormat="1" x14ac:dyDescent="0.25">
      <c r="A89" s="214" t="s">
        <v>1190</v>
      </c>
      <c r="B89" s="64">
        <v>22.92</v>
      </c>
      <c r="C89" s="64">
        <v>21.76</v>
      </c>
      <c r="D89" s="64">
        <v>31.68</v>
      </c>
      <c r="E89" s="64">
        <v>1.28</v>
      </c>
      <c r="F89" s="64">
        <v>0.66</v>
      </c>
      <c r="G89" s="64">
        <v>125.87</v>
      </c>
      <c r="H89" s="64">
        <v>53.33</v>
      </c>
      <c r="I89" s="64">
        <v>1.48</v>
      </c>
      <c r="J89" s="64">
        <v>0.08</v>
      </c>
      <c r="K89" s="64">
        <v>250.79</v>
      </c>
      <c r="L89" s="64">
        <v>25.2</v>
      </c>
      <c r="M89" s="64">
        <v>67.569999999999993</v>
      </c>
      <c r="N89" s="64">
        <v>8.5</v>
      </c>
      <c r="O89" s="64">
        <v>0</v>
      </c>
      <c r="P89" s="64">
        <v>1.64</v>
      </c>
      <c r="Q89" s="64">
        <v>180.14</v>
      </c>
      <c r="R89" s="198"/>
      <c r="S89" s="198"/>
      <c r="T89" s="198"/>
      <c r="U89" s="198"/>
    </row>
    <row r="90" spans="1:26" s="12" customFormat="1" x14ac:dyDescent="0.25">
      <c r="A90" s="214" t="s">
        <v>1191</v>
      </c>
      <c r="B90" s="64">
        <v>23.99</v>
      </c>
      <c r="C90" s="64">
        <v>20.49</v>
      </c>
      <c r="D90" s="64">
        <v>31.83</v>
      </c>
      <c r="E90" s="64">
        <v>1.53</v>
      </c>
      <c r="F90" s="64">
        <v>0.15</v>
      </c>
      <c r="G90" s="64">
        <v>144.97999999999999</v>
      </c>
      <c r="H90" s="64">
        <v>76.09</v>
      </c>
      <c r="I90" s="64">
        <v>1.48</v>
      </c>
      <c r="J90" s="64">
        <v>0.1</v>
      </c>
      <c r="K90" s="64">
        <v>226.22</v>
      </c>
      <c r="L90" s="64">
        <v>25.36</v>
      </c>
      <c r="M90" s="64">
        <v>67.099999999999994</v>
      </c>
      <c r="N90" s="64">
        <v>8.3000000000000007</v>
      </c>
      <c r="O90" s="64">
        <v>0</v>
      </c>
      <c r="P90" s="64">
        <v>1.64</v>
      </c>
      <c r="Q90" s="64">
        <v>186.08</v>
      </c>
      <c r="R90" s="198"/>
      <c r="S90" s="198"/>
      <c r="T90" s="198"/>
      <c r="U90" s="198"/>
    </row>
    <row r="91" spans="1:26" s="12" customFormat="1" x14ac:dyDescent="0.25">
      <c r="A91" s="214" t="s">
        <v>1192</v>
      </c>
      <c r="B91" s="64">
        <v>24.66</v>
      </c>
      <c r="C91" s="64">
        <v>20.46</v>
      </c>
      <c r="D91" s="64">
        <v>32.36</v>
      </c>
      <c r="E91" s="64">
        <v>1.56</v>
      </c>
      <c r="F91" s="64">
        <v>0.15</v>
      </c>
      <c r="G91" s="64">
        <v>145.19999999999999</v>
      </c>
      <c r="H91" s="64">
        <v>76.61</v>
      </c>
      <c r="I91" s="64">
        <v>1.45</v>
      </c>
      <c r="J91" s="64">
        <v>0.1</v>
      </c>
      <c r="K91" s="64">
        <v>280.57</v>
      </c>
      <c r="L91" s="64">
        <v>25.51</v>
      </c>
      <c r="M91" s="64">
        <v>66.23</v>
      </c>
      <c r="N91" s="64">
        <v>8.3000000000000007</v>
      </c>
      <c r="O91" s="64">
        <v>0</v>
      </c>
      <c r="P91" s="64">
        <v>1.28</v>
      </c>
      <c r="Q91" s="64">
        <v>159.41</v>
      </c>
      <c r="R91" s="198"/>
      <c r="S91" s="198"/>
      <c r="T91" s="198"/>
      <c r="U91" s="198"/>
    </row>
    <row r="92" spans="1:26" s="12" customFormat="1" x14ac:dyDescent="0.25">
      <c r="A92" s="214" t="s">
        <v>1193</v>
      </c>
      <c r="B92" s="64">
        <v>24.54</v>
      </c>
      <c r="C92" s="64">
        <v>18.079999999999998</v>
      </c>
      <c r="D92" s="64">
        <v>30.95</v>
      </c>
      <c r="E92" s="64">
        <v>1.55</v>
      </c>
      <c r="F92" s="64">
        <v>0.69</v>
      </c>
      <c r="G92" s="64">
        <v>145.19999999999999</v>
      </c>
      <c r="H92" s="64">
        <v>76.61</v>
      </c>
      <c r="I92" s="64">
        <v>1.48</v>
      </c>
      <c r="J92" s="64">
        <v>7.0000000000000007E-2</v>
      </c>
      <c r="K92" s="64">
        <v>282.48</v>
      </c>
      <c r="L92" s="64">
        <v>25.3</v>
      </c>
      <c r="M92" s="64">
        <v>68.53</v>
      </c>
      <c r="N92" s="64">
        <v>8.6</v>
      </c>
      <c r="O92" s="64">
        <v>0</v>
      </c>
      <c r="P92" s="64">
        <v>1.45</v>
      </c>
      <c r="Q92" s="64">
        <v>154.09</v>
      </c>
      <c r="R92" s="198"/>
      <c r="S92" s="198"/>
      <c r="T92" s="198"/>
      <c r="U92" s="198"/>
    </row>
    <row r="93" spans="1:26" s="12" customFormat="1" x14ac:dyDescent="0.25">
      <c r="A93" s="214" t="s">
        <v>1194</v>
      </c>
      <c r="B93" s="64">
        <v>24.71</v>
      </c>
      <c r="C93" s="64">
        <v>18.350000000000001</v>
      </c>
      <c r="D93" s="64">
        <v>31.23</v>
      </c>
      <c r="E93" s="64">
        <v>1.93</v>
      </c>
      <c r="F93" s="64">
        <v>7.0000000000000007E-2</v>
      </c>
      <c r="G93" s="64">
        <v>145.19999999999999</v>
      </c>
      <c r="H93" s="64">
        <v>76.61</v>
      </c>
      <c r="I93" s="64">
        <v>1.49</v>
      </c>
      <c r="J93" s="64">
        <v>0.09</v>
      </c>
      <c r="K93" s="64">
        <v>160.46</v>
      </c>
      <c r="L93" s="64">
        <v>25.38</v>
      </c>
      <c r="M93" s="64">
        <v>68.3</v>
      </c>
      <c r="N93" s="64">
        <v>8.1999999999999993</v>
      </c>
      <c r="O93" s="64">
        <v>0</v>
      </c>
      <c r="P93" s="64">
        <v>1.18</v>
      </c>
      <c r="Q93" s="64">
        <v>154.69</v>
      </c>
      <c r="R93" s="198"/>
      <c r="S93" s="198"/>
      <c r="T93" s="198"/>
      <c r="U93" s="198"/>
    </row>
    <row r="94" spans="1:26" s="12" customFormat="1" x14ac:dyDescent="0.25">
      <c r="A94" s="214" t="s">
        <v>1195</v>
      </c>
      <c r="B94" s="64">
        <v>24.43</v>
      </c>
      <c r="C94" s="64">
        <v>17</v>
      </c>
      <c r="D94" s="64">
        <v>30.27</v>
      </c>
      <c r="E94" s="64">
        <v>1.46</v>
      </c>
      <c r="F94" s="64">
        <v>0.79</v>
      </c>
      <c r="G94" s="64">
        <v>130.26</v>
      </c>
      <c r="H94" s="64">
        <v>61.82</v>
      </c>
      <c r="I94" s="64">
        <v>1.47</v>
      </c>
      <c r="J94" s="64">
        <v>0.13</v>
      </c>
      <c r="K94" s="64">
        <v>135.96</v>
      </c>
      <c r="L94" s="64">
        <v>25.23</v>
      </c>
      <c r="M94" s="64">
        <v>72.08</v>
      </c>
      <c r="N94" s="64">
        <v>8.1</v>
      </c>
      <c r="O94" s="64">
        <v>0</v>
      </c>
      <c r="P94" s="64">
        <v>1.1399999999999999</v>
      </c>
      <c r="Q94" s="64">
        <v>145.22999999999999</v>
      </c>
      <c r="R94" s="198"/>
      <c r="S94" s="198"/>
      <c r="T94" s="198"/>
      <c r="U94" s="198"/>
    </row>
    <row r="95" spans="1:26" s="12" customFormat="1" x14ac:dyDescent="0.25">
      <c r="A95" s="214" t="s">
        <v>1196</v>
      </c>
      <c r="B95" s="64">
        <v>23.38</v>
      </c>
      <c r="C95" s="64">
        <v>15.83</v>
      </c>
      <c r="D95" s="64">
        <v>28.77</v>
      </c>
      <c r="E95" s="64">
        <v>1.56</v>
      </c>
      <c r="F95" s="64">
        <v>0.15</v>
      </c>
      <c r="G95" s="64">
        <v>130.09</v>
      </c>
      <c r="H95" s="64">
        <v>61.49</v>
      </c>
      <c r="I95" s="64">
        <v>1.49</v>
      </c>
      <c r="J95" s="64">
        <v>0.01</v>
      </c>
      <c r="K95" s="64">
        <v>193.98</v>
      </c>
      <c r="L95" s="64">
        <v>25.18</v>
      </c>
      <c r="M95" s="64">
        <v>73.709999999999994</v>
      </c>
      <c r="N95" s="64">
        <v>8.4</v>
      </c>
      <c r="O95" s="64">
        <v>0</v>
      </c>
      <c r="P95" s="64">
        <v>1.1399999999999999</v>
      </c>
      <c r="Q95" s="64">
        <v>161.47999999999999</v>
      </c>
      <c r="R95" s="198"/>
      <c r="S95" s="198"/>
      <c r="T95" s="198"/>
      <c r="U95" s="198"/>
    </row>
    <row r="96" spans="1:26" s="12" customFormat="1" x14ac:dyDescent="0.25">
      <c r="A96" s="214" t="s">
        <v>1197</v>
      </c>
      <c r="B96" s="64">
        <v>21.84</v>
      </c>
      <c r="C96" s="64">
        <v>16.3</v>
      </c>
      <c r="D96" s="64">
        <v>27.8</v>
      </c>
      <c r="E96" s="64">
        <v>1.71</v>
      </c>
      <c r="F96" s="64">
        <v>0.38</v>
      </c>
      <c r="G96" s="64">
        <v>130.09</v>
      </c>
      <c r="H96" s="64">
        <v>61.49</v>
      </c>
      <c r="I96" s="64">
        <v>1.46</v>
      </c>
      <c r="J96" s="64">
        <v>0.03</v>
      </c>
      <c r="K96" s="64">
        <v>265.07</v>
      </c>
      <c r="L96" s="64">
        <v>24.96</v>
      </c>
      <c r="M96" s="64">
        <v>76.349999999999994</v>
      </c>
      <c r="N96" s="64">
        <v>8.6</v>
      </c>
      <c r="O96" s="64">
        <v>0</v>
      </c>
      <c r="P96" s="64">
        <v>1.08</v>
      </c>
      <c r="Q96" s="64">
        <v>166.68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1198</v>
      </c>
      <c r="B97" s="64">
        <v>20.18</v>
      </c>
      <c r="C97" s="64">
        <v>15.6</v>
      </c>
      <c r="D97" s="64">
        <v>26.09</v>
      </c>
      <c r="E97" s="64">
        <v>1.54</v>
      </c>
      <c r="F97" s="64">
        <v>0.59</v>
      </c>
      <c r="G97" s="64">
        <v>130.09</v>
      </c>
      <c r="H97" s="64">
        <v>61.49</v>
      </c>
      <c r="I97" s="64">
        <v>1.46</v>
      </c>
      <c r="J97" s="64">
        <v>0.06</v>
      </c>
      <c r="K97" s="64">
        <v>272.66000000000003</v>
      </c>
      <c r="L97" s="64">
        <v>24.79</v>
      </c>
      <c r="M97" s="64">
        <v>78.209999999999994</v>
      </c>
      <c r="N97" s="64">
        <v>8.6</v>
      </c>
      <c r="O97" s="64">
        <v>0</v>
      </c>
      <c r="P97" s="64">
        <v>1.04</v>
      </c>
      <c r="Q97" s="64">
        <v>167.35</v>
      </c>
      <c r="R97" s="198"/>
      <c r="S97" s="198"/>
      <c r="T97" s="198"/>
      <c r="U97" s="198"/>
    </row>
    <row r="98" spans="1:33" s="12" customFormat="1" x14ac:dyDescent="0.25">
      <c r="A98" s="214" t="s">
        <v>1199</v>
      </c>
      <c r="B98" s="64">
        <v>18.59</v>
      </c>
      <c r="C98" s="64">
        <v>15.03</v>
      </c>
      <c r="D98" s="64">
        <v>24.49</v>
      </c>
      <c r="E98" s="64">
        <v>1.03</v>
      </c>
      <c r="F98" s="64">
        <v>0.73</v>
      </c>
      <c r="G98" s="64">
        <v>98.41</v>
      </c>
      <c r="H98" s="64">
        <v>50.45</v>
      </c>
      <c r="I98" s="64">
        <v>1.53</v>
      </c>
      <c r="J98" s="64">
        <v>0.08</v>
      </c>
      <c r="K98" s="64">
        <v>262.62</v>
      </c>
      <c r="L98" s="64">
        <v>24.62</v>
      </c>
      <c r="M98" s="64">
        <v>79.45</v>
      </c>
      <c r="N98" s="64">
        <v>8.6</v>
      </c>
      <c r="O98" s="64">
        <v>0</v>
      </c>
      <c r="P98" s="64">
        <v>1.06</v>
      </c>
      <c r="Q98" s="64">
        <v>170.33</v>
      </c>
      <c r="R98" s="198"/>
      <c r="S98" s="198"/>
      <c r="T98" s="198"/>
      <c r="U98" s="198"/>
    </row>
    <row r="99" spans="1:33" s="12" customFormat="1" x14ac:dyDescent="0.25">
      <c r="A99" s="214" t="s">
        <v>1200</v>
      </c>
      <c r="B99" s="64">
        <v>17.239999999999998</v>
      </c>
      <c r="C99" s="64">
        <v>14.45</v>
      </c>
      <c r="D99" s="64">
        <v>23.1</v>
      </c>
      <c r="E99" s="64">
        <v>1.54</v>
      </c>
      <c r="F99" s="64">
        <v>0.43</v>
      </c>
      <c r="G99" s="64">
        <v>97.69</v>
      </c>
      <c r="H99" s="64">
        <v>50.32</v>
      </c>
      <c r="I99" s="64">
        <v>1.54</v>
      </c>
      <c r="J99" s="64">
        <v>0.09</v>
      </c>
      <c r="K99" s="64">
        <v>35.47</v>
      </c>
      <c r="L99" s="64">
        <v>24.56</v>
      </c>
      <c r="M99" s="64">
        <v>80.41</v>
      </c>
      <c r="N99" s="64">
        <v>8.6</v>
      </c>
      <c r="O99" s="64">
        <v>0</v>
      </c>
      <c r="P99" s="64">
        <v>1.21</v>
      </c>
      <c r="Q99" s="64">
        <v>184.54</v>
      </c>
      <c r="R99" s="198"/>
      <c r="S99" s="198"/>
      <c r="T99" s="198"/>
      <c r="U99" s="198"/>
    </row>
    <row r="100" spans="1:33" s="12" customFormat="1" x14ac:dyDescent="0.25">
      <c r="A100" s="214" t="s">
        <v>1201</v>
      </c>
      <c r="B100" s="64">
        <v>16.510000000000002</v>
      </c>
      <c r="C100" s="64">
        <v>15.31</v>
      </c>
      <c r="D100" s="64">
        <v>22.99</v>
      </c>
      <c r="E100" s="64">
        <v>1.3</v>
      </c>
      <c r="F100" s="64">
        <v>0.31</v>
      </c>
      <c r="G100" s="64">
        <v>97.69</v>
      </c>
      <c r="H100" s="64">
        <v>50.32</v>
      </c>
      <c r="I100" s="64">
        <v>1.51</v>
      </c>
      <c r="J100" s="64">
        <v>0.03</v>
      </c>
      <c r="K100" s="64">
        <v>54.37</v>
      </c>
      <c r="L100" s="64">
        <v>24.6</v>
      </c>
      <c r="M100" s="64">
        <v>78.92</v>
      </c>
      <c r="N100" s="64">
        <v>8.3000000000000007</v>
      </c>
      <c r="O100" s="64">
        <v>0</v>
      </c>
      <c r="P100" s="64">
        <v>1.04</v>
      </c>
      <c r="Q100" s="64">
        <v>179.76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1202</v>
      </c>
      <c r="B101" s="64">
        <v>15.22</v>
      </c>
      <c r="C101" s="64">
        <v>15.2</v>
      </c>
      <c r="D101" s="64">
        <v>21.88</v>
      </c>
      <c r="E101" s="64">
        <v>1.07</v>
      </c>
      <c r="F101" s="64">
        <v>0.52</v>
      </c>
      <c r="G101" s="64">
        <v>97.69</v>
      </c>
      <c r="H101" s="64">
        <v>50.32</v>
      </c>
      <c r="I101" s="64">
        <v>1.47</v>
      </c>
      <c r="J101" s="64">
        <v>7.0000000000000007E-2</v>
      </c>
      <c r="K101" s="64">
        <v>217.61</v>
      </c>
      <c r="L101" s="64">
        <v>24.49</v>
      </c>
      <c r="M101" s="64">
        <v>80.61</v>
      </c>
      <c r="N101" s="64">
        <v>8.5</v>
      </c>
      <c r="O101" s="64">
        <v>0</v>
      </c>
      <c r="P101" s="64">
        <v>0.84</v>
      </c>
      <c r="Q101" s="64">
        <v>172.87</v>
      </c>
      <c r="R101" s="198"/>
      <c r="S101" s="198"/>
      <c r="T101" s="198"/>
      <c r="U101" s="198"/>
    </row>
    <row r="102" spans="1:33" s="12" customFormat="1" x14ac:dyDescent="0.25">
      <c r="A102" s="214" t="s">
        <v>1203</v>
      </c>
      <c r="B102" s="64">
        <v>14.11</v>
      </c>
      <c r="C102" s="64">
        <v>18.420000000000002</v>
      </c>
      <c r="D102" s="64">
        <v>22.77</v>
      </c>
      <c r="E102" s="64">
        <v>1.63</v>
      </c>
      <c r="F102" s="64">
        <v>0.52</v>
      </c>
      <c r="G102" s="64">
        <v>93.11</v>
      </c>
      <c r="H102" s="64">
        <v>29.18</v>
      </c>
      <c r="I102" s="64">
        <v>1.54</v>
      </c>
      <c r="J102" s="64">
        <v>0.03</v>
      </c>
      <c r="K102" s="64">
        <v>226.38</v>
      </c>
      <c r="L102" s="64">
        <v>24.45</v>
      </c>
      <c r="M102" s="64">
        <v>81.47</v>
      </c>
      <c r="N102" s="64">
        <v>8.4</v>
      </c>
      <c r="O102" s="64">
        <v>0</v>
      </c>
      <c r="P102" s="64">
        <v>0.86</v>
      </c>
      <c r="Q102" s="64">
        <v>167.01</v>
      </c>
      <c r="R102" s="198"/>
      <c r="S102" s="198"/>
      <c r="T102" s="198"/>
      <c r="U102" s="198"/>
    </row>
    <row r="103" spans="1:33" s="12" customFormat="1" x14ac:dyDescent="0.25">
      <c r="A103" s="214" t="s">
        <v>1204</v>
      </c>
      <c r="B103" s="64">
        <v>13.86</v>
      </c>
      <c r="C103" s="64">
        <v>20.6</v>
      </c>
      <c r="D103" s="64">
        <v>23.77</v>
      </c>
      <c r="E103" s="64">
        <v>1.89</v>
      </c>
      <c r="F103" s="64">
        <v>0.35</v>
      </c>
      <c r="G103" s="64">
        <v>93.06</v>
      </c>
      <c r="H103" s="64">
        <v>28.7</v>
      </c>
      <c r="I103" s="64">
        <v>1.53</v>
      </c>
      <c r="J103" s="64">
        <v>0.06</v>
      </c>
      <c r="K103" s="64">
        <v>246.3</v>
      </c>
      <c r="L103" s="64">
        <v>23.99</v>
      </c>
      <c r="M103" s="64">
        <v>84.85</v>
      </c>
      <c r="N103" s="64">
        <v>8.8000000000000007</v>
      </c>
      <c r="O103" s="64">
        <v>0</v>
      </c>
      <c r="P103" s="64">
        <v>0.91</v>
      </c>
      <c r="Q103" s="64">
        <v>155.52000000000001</v>
      </c>
      <c r="R103" s="198"/>
      <c r="S103" s="198"/>
      <c r="T103" s="198"/>
      <c r="U103" s="198"/>
    </row>
    <row r="104" spans="1:33" s="12" customFormat="1" x14ac:dyDescent="0.25">
      <c r="A104" s="214" t="s">
        <v>1205</v>
      </c>
      <c r="B104" s="64">
        <v>13.65</v>
      </c>
      <c r="C104" s="64">
        <v>18.760000000000002</v>
      </c>
      <c r="D104" s="64">
        <v>22.59</v>
      </c>
      <c r="E104" s="64">
        <v>1.27</v>
      </c>
      <c r="F104" s="64">
        <v>0.49</v>
      </c>
      <c r="G104" s="64">
        <v>93.06</v>
      </c>
      <c r="H104" s="64">
        <v>28.7</v>
      </c>
      <c r="I104" s="64">
        <v>1.5</v>
      </c>
      <c r="J104" s="64">
        <v>0.1</v>
      </c>
      <c r="K104" s="64">
        <v>148.49</v>
      </c>
      <c r="L104" s="64">
        <v>23.71</v>
      </c>
      <c r="M104" s="64">
        <v>87.2</v>
      </c>
      <c r="N104" s="64">
        <v>8.6</v>
      </c>
      <c r="O104" s="64">
        <v>0</v>
      </c>
      <c r="P104" s="64">
        <v>0.85</v>
      </c>
      <c r="Q104" s="64">
        <v>146.5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2.12</v>
      </c>
      <c r="C106" s="67">
        <f>MIN(C9:C104)</f>
        <v>9.25</v>
      </c>
      <c r="D106" s="67">
        <f t="shared" ref="D106:Q106" si="0">MIN(D9:D104)</f>
        <v>9.76</v>
      </c>
      <c r="E106" s="67">
        <f t="shared" si="0"/>
        <v>0.03</v>
      </c>
      <c r="F106" s="67">
        <f t="shared" si="0"/>
        <v>7.0000000000000007E-2</v>
      </c>
      <c r="G106" s="67">
        <f t="shared" si="0"/>
        <v>47.92</v>
      </c>
      <c r="H106" s="67">
        <f t="shared" si="0"/>
        <v>8.0500000000000007</v>
      </c>
      <c r="I106" s="67">
        <f t="shared" si="0"/>
        <v>1.41</v>
      </c>
      <c r="J106" s="67">
        <f t="shared" si="0"/>
        <v>0.01</v>
      </c>
      <c r="K106" s="67">
        <f t="shared" si="0"/>
        <v>1.34</v>
      </c>
      <c r="L106" s="67">
        <f t="shared" si="0"/>
        <v>21.48</v>
      </c>
      <c r="M106" s="67">
        <f t="shared" si="0"/>
        <v>34.130000000000003</v>
      </c>
      <c r="N106" s="67">
        <f t="shared" si="0"/>
        <v>8.1</v>
      </c>
      <c r="O106" s="67">
        <f t="shared" si="0"/>
        <v>0</v>
      </c>
      <c r="P106" s="67">
        <f t="shared" si="0"/>
        <v>0.47</v>
      </c>
      <c r="Q106" s="67">
        <f t="shared" si="0"/>
        <v>9.64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24.71</v>
      </c>
      <c r="C107" s="66">
        <f t="shared" ref="C107:Q107" si="1">MAX(C9:C104)</f>
        <v>33.35</v>
      </c>
      <c r="D107" s="66">
        <f t="shared" si="1"/>
        <v>32.36</v>
      </c>
      <c r="E107" s="66">
        <f t="shared" si="1"/>
        <v>4.3099999999999996</v>
      </c>
      <c r="F107" s="66">
        <f t="shared" si="1"/>
        <v>9.36</v>
      </c>
      <c r="G107" s="66">
        <f t="shared" si="1"/>
        <v>145.19999999999999</v>
      </c>
      <c r="H107" s="66">
        <f t="shared" si="1"/>
        <v>190.18</v>
      </c>
      <c r="I107" s="66">
        <f t="shared" si="1"/>
        <v>1.61</v>
      </c>
      <c r="J107" s="66">
        <f t="shared" si="1"/>
        <v>1.25</v>
      </c>
      <c r="K107" s="66">
        <f t="shared" si="1"/>
        <v>359.4</v>
      </c>
      <c r="L107" s="66">
        <f t="shared" si="1"/>
        <v>36.94</v>
      </c>
      <c r="M107" s="66">
        <f t="shared" si="1"/>
        <v>98.83</v>
      </c>
      <c r="N107" s="66">
        <f t="shared" si="1"/>
        <v>839.1</v>
      </c>
      <c r="O107" s="66">
        <f t="shared" si="1"/>
        <v>0</v>
      </c>
      <c r="P107" s="66">
        <f t="shared" si="1"/>
        <v>2.2999999999999998</v>
      </c>
      <c r="Q107" s="66">
        <f t="shared" si="1"/>
        <v>226.21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7.3713541666666673</v>
      </c>
      <c r="C108" s="67">
        <f t="shared" ref="C108:Q108" si="2">AVERAGE(C9:C104)</f>
        <v>18.383749999999996</v>
      </c>
      <c r="D108" s="67">
        <f t="shared" si="2"/>
        <v>17.349374999999998</v>
      </c>
      <c r="E108" s="67">
        <f t="shared" si="2"/>
        <v>1.3320212765957444</v>
      </c>
      <c r="F108" s="67">
        <f t="shared" si="2"/>
        <v>1.3865625000000001</v>
      </c>
      <c r="G108" s="67">
        <f t="shared" si="2"/>
        <v>79.216630434782616</v>
      </c>
      <c r="H108" s="67">
        <f t="shared" si="2"/>
        <v>38.977608695652172</v>
      </c>
      <c r="I108" s="67">
        <f t="shared" si="2"/>
        <v>1.502604166666667</v>
      </c>
      <c r="J108" s="67">
        <f t="shared" si="2"/>
        <v>0.32479166666666676</v>
      </c>
      <c r="K108" s="67">
        <f t="shared" si="2"/>
        <v>237.49250000000004</v>
      </c>
      <c r="L108" s="67">
        <f t="shared" si="2"/>
        <v>27.590624999999999</v>
      </c>
      <c r="M108" s="67">
        <f t="shared" si="2"/>
        <v>67.39114583333334</v>
      </c>
      <c r="N108" s="67">
        <f t="shared" si="2"/>
        <v>192.30106382978715</v>
      </c>
      <c r="O108" s="67">
        <f t="shared" si="2"/>
        <v>0</v>
      </c>
      <c r="P108" s="67">
        <f t="shared" si="2"/>
        <v>0.82739583333333344</v>
      </c>
      <c r="Q108" s="67">
        <f t="shared" si="2"/>
        <v>170.23516853932585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6.3315162597066577</v>
      </c>
      <c r="C109" s="67">
        <f t="shared" ref="C109:Q109" si="3">STDEV(C9:C104)</f>
        <v>7.1712473039727902</v>
      </c>
      <c r="D109" s="67">
        <f t="shared" si="3"/>
        <v>5.9672752862680349</v>
      </c>
      <c r="E109" s="67">
        <f t="shared" si="3"/>
        <v>0.69810123397382184</v>
      </c>
      <c r="F109" s="67">
        <f t="shared" si="3"/>
        <v>1.870951251509861</v>
      </c>
      <c r="G109" s="67">
        <f t="shared" si="3"/>
        <v>28.616092578395861</v>
      </c>
      <c r="H109" s="67">
        <f t="shared" si="3"/>
        <v>36.093188038607146</v>
      </c>
      <c r="I109" s="67">
        <f t="shared" si="3"/>
        <v>4.512543434208037E-2</v>
      </c>
      <c r="J109" s="67">
        <f t="shared" si="3"/>
        <v>0.35426715808587944</v>
      </c>
      <c r="K109" s="67">
        <f t="shared" si="3"/>
        <v>92.40451929025528</v>
      </c>
      <c r="L109" s="67">
        <f t="shared" si="3"/>
        <v>5.0672153283840702</v>
      </c>
      <c r="M109" s="67">
        <f t="shared" si="3"/>
        <v>23.381798088067182</v>
      </c>
      <c r="N109" s="67">
        <f t="shared" si="3"/>
        <v>289.60273475461315</v>
      </c>
      <c r="O109" s="67">
        <f t="shared" si="3"/>
        <v>0</v>
      </c>
      <c r="P109" s="67">
        <f t="shared" si="3"/>
        <v>0.33357472071223432</v>
      </c>
      <c r="Q109" s="67">
        <f t="shared" si="3"/>
        <v>48.308479236718334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94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COUNT(N9:N104)+2</f>
        <v>96</v>
      </c>
      <c r="O110" s="66">
        <f t="shared" si="4"/>
        <v>96</v>
      </c>
      <c r="P110" s="66">
        <f t="shared" si="4"/>
        <v>96</v>
      </c>
      <c r="Q110" s="66">
        <f>COUNT(Q9:Q104)+7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1206</v>
      </c>
      <c r="B9" s="64">
        <v>13.38</v>
      </c>
      <c r="C9" s="64">
        <v>17.16</v>
      </c>
      <c r="D9" s="64">
        <v>21.49</v>
      </c>
      <c r="E9" s="64">
        <v>1.62</v>
      </c>
      <c r="F9" s="64">
        <v>0.45</v>
      </c>
      <c r="G9" s="64">
        <v>93.06</v>
      </c>
      <c r="H9" s="64">
        <v>28.7</v>
      </c>
      <c r="I9" s="64">
        <v>1.44</v>
      </c>
      <c r="J9" s="64">
        <v>0.03</v>
      </c>
      <c r="K9" s="64">
        <v>209.71</v>
      </c>
      <c r="L9" s="64">
        <v>23.54</v>
      </c>
      <c r="M9" s="64">
        <v>88.82</v>
      </c>
      <c r="N9" s="64">
        <v>8.6999999999999993</v>
      </c>
      <c r="O9" s="64">
        <v>0</v>
      </c>
      <c r="P9" s="64">
        <v>0.9</v>
      </c>
      <c r="Q9" s="64">
        <v>139.72999999999999</v>
      </c>
      <c r="R9" s="198"/>
      <c r="S9" s="198"/>
      <c r="T9" s="198"/>
      <c r="U9" s="198"/>
    </row>
    <row r="10" spans="1:21" s="12" customFormat="1" x14ac:dyDescent="0.25">
      <c r="A10" s="214" t="s">
        <v>1207</v>
      </c>
      <c r="B10" s="64">
        <v>13.15</v>
      </c>
      <c r="C10" s="64">
        <v>16.28</v>
      </c>
      <c r="D10" s="64">
        <v>20.82</v>
      </c>
      <c r="E10" s="64">
        <v>1.68</v>
      </c>
      <c r="F10" s="64">
        <v>0.41</v>
      </c>
      <c r="G10" s="64">
        <v>85.62</v>
      </c>
      <c r="H10" s="64">
        <v>36.4</v>
      </c>
      <c r="I10" s="64">
        <v>1.49</v>
      </c>
      <c r="J10" s="64">
        <v>0.08</v>
      </c>
      <c r="K10" s="64">
        <v>223.57</v>
      </c>
      <c r="L10" s="64">
        <v>23.64</v>
      </c>
      <c r="M10" s="64">
        <v>89.42</v>
      </c>
      <c r="N10" s="64">
        <v>8.5</v>
      </c>
      <c r="O10" s="64">
        <v>0</v>
      </c>
      <c r="P10" s="64">
        <v>0.91</v>
      </c>
      <c r="Q10" s="64">
        <v>146.1</v>
      </c>
      <c r="R10" s="198"/>
      <c r="S10" s="198"/>
      <c r="T10" s="198"/>
      <c r="U10" s="198"/>
    </row>
    <row r="11" spans="1:21" s="12" customFormat="1" x14ac:dyDescent="0.25">
      <c r="A11" s="214" t="s">
        <v>1208</v>
      </c>
      <c r="B11" s="64">
        <v>12.97</v>
      </c>
      <c r="C11" s="64">
        <v>15.92</v>
      </c>
      <c r="D11" s="64">
        <v>20.48</v>
      </c>
      <c r="E11" s="64">
        <v>2.56</v>
      </c>
      <c r="F11" s="64">
        <v>0.18</v>
      </c>
      <c r="G11" s="64">
        <v>85.54</v>
      </c>
      <c r="H11" s="64">
        <v>36.49</v>
      </c>
      <c r="I11" s="64">
        <v>1.56</v>
      </c>
      <c r="J11" s="64">
        <v>0.1</v>
      </c>
      <c r="K11" s="64">
        <v>220.81</v>
      </c>
      <c r="L11" s="64">
        <v>23.78</v>
      </c>
      <c r="M11" s="64">
        <v>89.92</v>
      </c>
      <c r="N11" s="64">
        <v>8.1</v>
      </c>
      <c r="O11" s="64">
        <v>0</v>
      </c>
      <c r="P11" s="64">
        <v>0.84</v>
      </c>
      <c r="Q11" s="64">
        <v>160.38</v>
      </c>
      <c r="R11" s="198"/>
      <c r="S11" s="198"/>
      <c r="T11" s="198"/>
      <c r="U11" s="198"/>
    </row>
    <row r="12" spans="1:21" s="12" customFormat="1" x14ac:dyDescent="0.25">
      <c r="A12" s="214" t="s">
        <v>1209</v>
      </c>
      <c r="B12" s="64">
        <v>12.56</v>
      </c>
      <c r="C12" s="64">
        <v>13.76</v>
      </c>
      <c r="D12" s="64">
        <v>18.96</v>
      </c>
      <c r="E12" s="64">
        <v>1.67</v>
      </c>
      <c r="F12" s="64">
        <v>0.45</v>
      </c>
      <c r="G12" s="64">
        <v>85.54</v>
      </c>
      <c r="H12" s="64">
        <v>36.49</v>
      </c>
      <c r="I12" s="64">
        <v>1.46</v>
      </c>
      <c r="J12" s="64">
        <v>0.08</v>
      </c>
      <c r="K12" s="64">
        <v>232.62</v>
      </c>
      <c r="L12" s="64">
        <v>23.5</v>
      </c>
      <c r="M12" s="64">
        <v>91.47</v>
      </c>
      <c r="N12" s="64">
        <v>8.6999999999999993</v>
      </c>
      <c r="O12" s="64">
        <v>0</v>
      </c>
      <c r="P12" s="64">
        <v>0.78</v>
      </c>
      <c r="Q12" s="64">
        <v>163.49</v>
      </c>
      <c r="R12" s="198"/>
      <c r="S12" s="198"/>
      <c r="T12" s="198"/>
      <c r="U12" s="198"/>
    </row>
    <row r="13" spans="1:21" s="12" customFormat="1" x14ac:dyDescent="0.25">
      <c r="A13" s="214" t="s">
        <v>1210</v>
      </c>
      <c r="B13" s="64">
        <v>11.95</v>
      </c>
      <c r="C13" s="64">
        <v>12.1</v>
      </c>
      <c r="D13" s="64">
        <v>17.55</v>
      </c>
      <c r="E13" s="64">
        <v>2.21</v>
      </c>
      <c r="F13" s="64">
        <v>0.56999999999999995</v>
      </c>
      <c r="G13" s="64">
        <v>85.54</v>
      </c>
      <c r="H13" s="64">
        <v>36.49</v>
      </c>
      <c r="I13" s="64">
        <v>1.49</v>
      </c>
      <c r="J13" s="64">
        <v>0.08</v>
      </c>
      <c r="K13" s="64">
        <v>231.29</v>
      </c>
      <c r="L13" s="64">
        <v>23.2</v>
      </c>
      <c r="M13" s="64">
        <v>93.92</v>
      </c>
      <c r="N13" s="64">
        <v>8.6</v>
      </c>
      <c r="O13" s="64">
        <v>0</v>
      </c>
      <c r="P13" s="64">
        <v>0.72</v>
      </c>
      <c r="Q13" s="64">
        <v>163.19</v>
      </c>
      <c r="R13" s="198"/>
      <c r="S13" s="198"/>
      <c r="T13" s="198"/>
      <c r="U13" s="198"/>
    </row>
    <row r="14" spans="1:21" s="12" customFormat="1" x14ac:dyDescent="0.25">
      <c r="A14" s="214" t="s">
        <v>1211</v>
      </c>
      <c r="B14" s="64">
        <v>11.38</v>
      </c>
      <c r="C14" s="64">
        <v>11.15</v>
      </c>
      <c r="D14" s="64">
        <v>16.579999999999998</v>
      </c>
      <c r="E14" s="64">
        <v>1.17</v>
      </c>
      <c r="F14" s="64">
        <v>0.7</v>
      </c>
      <c r="G14" s="64">
        <v>75.28</v>
      </c>
      <c r="H14" s="64">
        <v>15.17</v>
      </c>
      <c r="I14" s="64">
        <v>1.53</v>
      </c>
      <c r="J14" s="64">
        <v>0.08</v>
      </c>
      <c r="K14" s="64">
        <v>267.36</v>
      </c>
      <c r="L14" s="64">
        <v>23.01</v>
      </c>
      <c r="M14" s="64">
        <v>95.37</v>
      </c>
      <c r="N14" s="64">
        <v>8.6999999999999993</v>
      </c>
      <c r="O14" s="64">
        <v>0</v>
      </c>
      <c r="P14" s="64">
        <v>0.82</v>
      </c>
      <c r="Q14" s="64">
        <v>171.33</v>
      </c>
      <c r="R14" s="198"/>
      <c r="S14" s="198"/>
      <c r="T14" s="198"/>
      <c r="U14" s="198"/>
    </row>
    <row r="15" spans="1:21" s="12" customFormat="1" x14ac:dyDescent="0.25">
      <c r="A15" s="214" t="s">
        <v>1212</v>
      </c>
      <c r="B15" s="64">
        <v>11.19</v>
      </c>
      <c r="C15" s="64">
        <v>11.56</v>
      </c>
      <c r="D15" s="64">
        <v>16.649999999999999</v>
      </c>
      <c r="E15" s="64">
        <v>1.8</v>
      </c>
      <c r="F15" s="64">
        <v>7.0000000000000007E-2</v>
      </c>
      <c r="G15" s="64">
        <v>75.05</v>
      </c>
      <c r="H15" s="64">
        <v>14.69</v>
      </c>
      <c r="I15" s="64">
        <v>1.51</v>
      </c>
      <c r="J15" s="64">
        <v>0.08</v>
      </c>
      <c r="K15" s="64">
        <v>239.9</v>
      </c>
      <c r="L15" s="64">
        <v>23.04</v>
      </c>
      <c r="M15" s="64">
        <v>94.83</v>
      </c>
      <c r="N15" s="64">
        <v>8.3000000000000007</v>
      </c>
      <c r="O15" s="64">
        <v>0</v>
      </c>
      <c r="P15" s="64">
        <v>0.73</v>
      </c>
      <c r="Q15" s="64">
        <v>182.38</v>
      </c>
      <c r="R15" s="198"/>
      <c r="S15" s="198"/>
      <c r="T15" s="198"/>
      <c r="U15" s="198"/>
    </row>
    <row r="16" spans="1:21" s="12" customFormat="1" x14ac:dyDescent="0.25">
      <c r="A16" s="214" t="s">
        <v>1213</v>
      </c>
      <c r="B16" s="64">
        <v>11.2</v>
      </c>
      <c r="C16" s="64">
        <v>11.71</v>
      </c>
      <c r="D16" s="64">
        <v>16.739999999999998</v>
      </c>
      <c r="E16" s="64">
        <v>1.29</v>
      </c>
      <c r="F16" s="64">
        <v>0.41</v>
      </c>
      <c r="G16" s="64">
        <v>75.05</v>
      </c>
      <c r="H16" s="64">
        <v>14.69</v>
      </c>
      <c r="I16" s="64">
        <v>1.42</v>
      </c>
      <c r="J16" s="64">
        <v>0.09</v>
      </c>
      <c r="K16" s="64">
        <v>216.07</v>
      </c>
      <c r="L16" s="64">
        <v>23.09</v>
      </c>
      <c r="M16" s="64">
        <v>94.03</v>
      </c>
      <c r="N16" s="64">
        <v>8.1</v>
      </c>
      <c r="O16" s="64">
        <v>0</v>
      </c>
      <c r="P16" s="64">
        <v>0.7</v>
      </c>
      <c r="Q16" s="64">
        <v>174.69</v>
      </c>
      <c r="R16" s="198"/>
      <c r="S16" s="198"/>
      <c r="T16" s="198"/>
      <c r="U16" s="198"/>
    </row>
    <row r="17" spans="1:21" s="12" customFormat="1" x14ac:dyDescent="0.25">
      <c r="A17" s="214" t="s">
        <v>1214</v>
      </c>
      <c r="B17" s="64">
        <v>10.8</v>
      </c>
      <c r="C17" s="64">
        <v>11.09</v>
      </c>
      <c r="D17" s="64">
        <v>16.07</v>
      </c>
      <c r="E17" s="64">
        <v>1.56</v>
      </c>
      <c r="F17" s="64">
        <v>0.43</v>
      </c>
      <c r="G17" s="64">
        <v>75.05</v>
      </c>
      <c r="H17" s="64">
        <v>14.69</v>
      </c>
      <c r="I17" s="64">
        <v>1.46</v>
      </c>
      <c r="J17" s="64">
        <v>0.12</v>
      </c>
      <c r="K17" s="64">
        <v>211.62</v>
      </c>
      <c r="L17" s="64">
        <v>23.03</v>
      </c>
      <c r="M17" s="64">
        <v>94.78</v>
      </c>
      <c r="N17" s="64">
        <v>8.1999999999999993</v>
      </c>
      <c r="O17" s="64">
        <v>0</v>
      </c>
      <c r="P17" s="64">
        <v>0.65</v>
      </c>
      <c r="Q17" s="64">
        <v>167.41</v>
      </c>
      <c r="R17" s="198"/>
      <c r="S17" s="198"/>
      <c r="T17" s="198"/>
      <c r="U17" s="198"/>
    </row>
    <row r="18" spans="1:21" s="12" customFormat="1" x14ac:dyDescent="0.25">
      <c r="A18" s="214" t="s">
        <v>1215</v>
      </c>
      <c r="B18" s="64">
        <v>10.44</v>
      </c>
      <c r="C18" s="64">
        <v>11.84</v>
      </c>
      <c r="D18" s="64">
        <v>16.2</v>
      </c>
      <c r="E18" s="64">
        <v>1.56</v>
      </c>
      <c r="F18" s="64">
        <v>0.28999999999999998</v>
      </c>
      <c r="G18" s="64">
        <v>67.900000000000006</v>
      </c>
      <c r="H18" s="64">
        <v>41.61</v>
      </c>
      <c r="I18" s="64">
        <v>1.5</v>
      </c>
      <c r="J18" s="64">
        <v>0.14000000000000001</v>
      </c>
      <c r="K18" s="64">
        <v>210.88</v>
      </c>
      <c r="L18" s="64">
        <v>22.83</v>
      </c>
      <c r="M18" s="64">
        <v>96.8</v>
      </c>
      <c r="N18" s="64">
        <v>8.3000000000000007</v>
      </c>
      <c r="O18" s="64">
        <v>0</v>
      </c>
      <c r="P18" s="64">
        <v>0.62</v>
      </c>
      <c r="Q18" s="64">
        <v>155.28</v>
      </c>
      <c r="R18" s="198"/>
      <c r="S18" s="198"/>
      <c r="T18" s="198"/>
      <c r="U18" s="198"/>
    </row>
    <row r="19" spans="1:21" s="12" customFormat="1" x14ac:dyDescent="0.25">
      <c r="A19" s="214" t="s">
        <v>1216</v>
      </c>
      <c r="B19" s="64">
        <v>10.25</v>
      </c>
      <c r="C19" s="64">
        <v>12.02</v>
      </c>
      <c r="D19" s="64">
        <v>16.14</v>
      </c>
      <c r="E19" s="64">
        <v>2.0299999999999998</v>
      </c>
      <c r="F19" s="64">
        <v>0.56999999999999995</v>
      </c>
      <c r="G19" s="64">
        <v>67.739999999999995</v>
      </c>
      <c r="H19" s="64">
        <v>42.22</v>
      </c>
      <c r="I19" s="64">
        <v>1.53</v>
      </c>
      <c r="J19" s="64">
        <v>0.18</v>
      </c>
      <c r="K19" s="64">
        <v>207.47</v>
      </c>
      <c r="L19" s="64">
        <v>22.74</v>
      </c>
      <c r="M19" s="64">
        <v>96.78</v>
      </c>
      <c r="N19" s="64">
        <v>8.1</v>
      </c>
      <c r="O19" s="64">
        <v>0</v>
      </c>
      <c r="P19" s="64">
        <v>0.66</v>
      </c>
      <c r="Q19" s="64">
        <v>144.36000000000001</v>
      </c>
      <c r="R19" s="198"/>
      <c r="S19" s="198"/>
      <c r="T19" s="198"/>
      <c r="U19" s="198"/>
    </row>
    <row r="20" spans="1:21" s="12" customFormat="1" x14ac:dyDescent="0.25">
      <c r="A20" s="214" t="s">
        <v>1217</v>
      </c>
      <c r="B20" s="64">
        <v>10.01</v>
      </c>
      <c r="C20" s="64">
        <v>11.79</v>
      </c>
      <c r="D20" s="64">
        <v>15.83</v>
      </c>
      <c r="E20" s="64">
        <v>1.7</v>
      </c>
      <c r="F20" s="64">
        <v>0.5</v>
      </c>
      <c r="G20" s="64">
        <v>67.739999999999995</v>
      </c>
      <c r="H20" s="64">
        <v>42.22</v>
      </c>
      <c r="I20" s="64">
        <v>1.5</v>
      </c>
      <c r="J20" s="64">
        <v>7.0000000000000007E-2</v>
      </c>
      <c r="K20" s="64">
        <v>237.64</v>
      </c>
      <c r="L20" s="64">
        <v>22.68</v>
      </c>
      <c r="M20" s="64">
        <v>97.01</v>
      </c>
      <c r="N20" s="64">
        <v>8.5</v>
      </c>
      <c r="O20" s="64">
        <v>0</v>
      </c>
      <c r="P20" s="64">
        <v>0.6</v>
      </c>
      <c r="Q20" s="64">
        <v>137.55000000000001</v>
      </c>
      <c r="R20" s="198"/>
      <c r="S20" s="198"/>
      <c r="T20" s="198"/>
      <c r="U20" s="198"/>
    </row>
    <row r="21" spans="1:21" s="12" customFormat="1" x14ac:dyDescent="0.25">
      <c r="A21" s="214" t="s">
        <v>1218</v>
      </c>
      <c r="B21" s="64">
        <v>9.82</v>
      </c>
      <c r="C21" s="64">
        <v>11.81</v>
      </c>
      <c r="D21" s="64">
        <v>15.69</v>
      </c>
      <c r="E21" s="64">
        <v>1.99</v>
      </c>
      <c r="F21" s="64">
        <v>0.33</v>
      </c>
      <c r="G21" s="64">
        <v>67.739999999999995</v>
      </c>
      <c r="H21" s="64">
        <v>42.22</v>
      </c>
      <c r="I21" s="64">
        <v>1.54</v>
      </c>
      <c r="J21" s="64">
        <v>0.06</v>
      </c>
      <c r="K21" s="64">
        <v>232.66</v>
      </c>
      <c r="L21" s="64">
        <v>22.49</v>
      </c>
      <c r="M21" s="64">
        <v>98.28</v>
      </c>
      <c r="N21" s="64">
        <v>8.5</v>
      </c>
      <c r="O21" s="64">
        <v>0</v>
      </c>
      <c r="P21" s="64">
        <v>0.59</v>
      </c>
      <c r="Q21" s="64">
        <v>134.79</v>
      </c>
      <c r="R21" s="198"/>
      <c r="S21" s="198"/>
      <c r="T21" s="198"/>
      <c r="U21" s="198"/>
    </row>
    <row r="22" spans="1:21" s="12" customFormat="1" x14ac:dyDescent="0.25">
      <c r="A22" s="214" t="s">
        <v>1219</v>
      </c>
      <c r="B22" s="64">
        <v>9.68</v>
      </c>
      <c r="C22" s="64">
        <v>11.61</v>
      </c>
      <c r="D22" s="64">
        <v>15.47</v>
      </c>
      <c r="E22" s="64">
        <v>1.89</v>
      </c>
      <c r="F22" s="64">
        <v>0.24</v>
      </c>
      <c r="G22" s="64">
        <v>64.64</v>
      </c>
      <c r="H22" s="64">
        <v>26.88</v>
      </c>
      <c r="I22" s="64">
        <v>1.51</v>
      </c>
      <c r="J22" s="64">
        <v>0.1</v>
      </c>
      <c r="K22" s="64">
        <v>217.38</v>
      </c>
      <c r="L22" s="64">
        <v>22.47</v>
      </c>
      <c r="M22" s="64">
        <v>97.53</v>
      </c>
      <c r="N22" s="64">
        <v>8.4</v>
      </c>
      <c r="O22" s="64">
        <v>0</v>
      </c>
      <c r="P22" s="64">
        <v>0.66</v>
      </c>
      <c r="Q22" s="64">
        <v>141.36000000000001</v>
      </c>
      <c r="R22" s="198"/>
      <c r="S22" s="198"/>
      <c r="T22" s="198"/>
      <c r="U22" s="198"/>
    </row>
    <row r="23" spans="1:21" s="12" customFormat="1" x14ac:dyDescent="0.25">
      <c r="A23" s="214" t="s">
        <v>1220</v>
      </c>
      <c r="B23" s="64">
        <v>9.32</v>
      </c>
      <c r="C23" s="64">
        <v>10.220000000000001</v>
      </c>
      <c r="D23" s="64">
        <v>14.4</v>
      </c>
      <c r="E23" s="64">
        <v>1.4</v>
      </c>
      <c r="F23" s="64">
        <v>0.2</v>
      </c>
      <c r="G23" s="64">
        <v>64.569999999999993</v>
      </c>
      <c r="H23" s="64">
        <v>26.53</v>
      </c>
      <c r="I23" s="64">
        <v>1.5</v>
      </c>
      <c r="J23" s="64">
        <v>0.14000000000000001</v>
      </c>
      <c r="K23" s="64">
        <v>184.82</v>
      </c>
      <c r="L23" s="64">
        <v>22.24</v>
      </c>
      <c r="M23" s="64">
        <v>98.78</v>
      </c>
      <c r="N23" s="64">
        <v>8.3000000000000007</v>
      </c>
      <c r="O23" s="64">
        <v>0</v>
      </c>
      <c r="P23" s="64">
        <v>0.6</v>
      </c>
      <c r="Q23" s="64">
        <v>153.15</v>
      </c>
      <c r="R23" s="198"/>
      <c r="S23" s="198"/>
      <c r="T23" s="198"/>
      <c r="U23" s="198"/>
    </row>
    <row r="24" spans="1:21" s="12" customFormat="1" x14ac:dyDescent="0.25">
      <c r="A24" s="214" t="s">
        <v>1221</v>
      </c>
      <c r="B24" s="64">
        <v>8.8699999999999992</v>
      </c>
      <c r="C24" s="64">
        <v>9.16</v>
      </c>
      <c r="D24" s="64">
        <v>13.46</v>
      </c>
      <c r="E24" s="64">
        <v>0.41</v>
      </c>
      <c r="F24" s="64">
        <v>0.42</v>
      </c>
      <c r="G24" s="64">
        <v>64.569999999999993</v>
      </c>
      <c r="H24" s="64">
        <v>26.53</v>
      </c>
      <c r="I24" s="64">
        <v>1.53</v>
      </c>
      <c r="J24" s="64">
        <v>0.06</v>
      </c>
      <c r="K24" s="64">
        <v>338.4</v>
      </c>
      <c r="L24" s="64">
        <v>22.31</v>
      </c>
      <c r="M24" s="64">
        <v>98.23</v>
      </c>
      <c r="N24" s="64">
        <v>8.3000000000000007</v>
      </c>
      <c r="O24" s="64">
        <v>0</v>
      </c>
      <c r="P24" s="64">
        <v>0.67</v>
      </c>
      <c r="Q24" s="64">
        <v>156.87</v>
      </c>
      <c r="R24" s="198"/>
      <c r="S24" s="198"/>
      <c r="T24" s="198"/>
      <c r="U24" s="198"/>
    </row>
    <row r="25" spans="1:21" s="12" customFormat="1" x14ac:dyDescent="0.25">
      <c r="A25" s="214" t="s">
        <v>1222</v>
      </c>
      <c r="B25" s="64">
        <v>8.27</v>
      </c>
      <c r="C25" s="64">
        <v>9.18</v>
      </c>
      <c r="D25" s="64">
        <v>12.99</v>
      </c>
      <c r="E25" s="64">
        <v>0.76</v>
      </c>
      <c r="F25" s="64">
        <v>0.46</v>
      </c>
      <c r="G25" s="64">
        <v>64.569999999999993</v>
      </c>
      <c r="H25" s="64">
        <v>26.53</v>
      </c>
      <c r="I25" s="64">
        <v>1.42</v>
      </c>
      <c r="J25" s="64">
        <v>0.11</v>
      </c>
      <c r="K25" s="64">
        <v>221.49</v>
      </c>
      <c r="L25" s="64">
        <v>22.1</v>
      </c>
      <c r="M25" s="64">
        <v>98.85</v>
      </c>
      <c r="N25" s="64">
        <v>8.3000000000000007</v>
      </c>
      <c r="O25" s="64">
        <v>0</v>
      </c>
      <c r="P25" s="64">
        <v>0.66</v>
      </c>
      <c r="Q25" s="64">
        <v>172.2</v>
      </c>
      <c r="R25" s="198"/>
      <c r="S25" s="198"/>
      <c r="T25" s="198"/>
      <c r="U25" s="198"/>
    </row>
    <row r="26" spans="1:21" s="12" customFormat="1" x14ac:dyDescent="0.25">
      <c r="A26" s="214" t="s">
        <v>1223</v>
      </c>
      <c r="B26" s="64">
        <v>8.0500000000000007</v>
      </c>
      <c r="C26" s="64">
        <v>9.5</v>
      </c>
      <c r="D26" s="64">
        <v>12.99</v>
      </c>
      <c r="E26" s="64">
        <v>1.3</v>
      </c>
      <c r="F26" s="64">
        <v>0.13</v>
      </c>
      <c r="G26" s="64">
        <v>59.85</v>
      </c>
      <c r="H26" s="64">
        <v>15.77</v>
      </c>
      <c r="I26" s="64">
        <v>1.51</v>
      </c>
      <c r="J26" s="64">
        <v>0.04</v>
      </c>
      <c r="K26" s="64">
        <v>265.44</v>
      </c>
      <c r="L26" s="64">
        <v>21.99</v>
      </c>
      <c r="M26" s="64">
        <v>98.85</v>
      </c>
      <c r="N26" s="64">
        <v>8.6</v>
      </c>
      <c r="O26" s="64">
        <v>0</v>
      </c>
      <c r="P26" s="64">
        <v>0.57999999999999996</v>
      </c>
      <c r="Q26" s="64">
        <v>171.4</v>
      </c>
      <c r="R26" s="198"/>
      <c r="S26" s="198"/>
      <c r="T26" s="198"/>
      <c r="U26" s="198"/>
    </row>
    <row r="27" spans="1:21" s="12" customFormat="1" x14ac:dyDescent="0.25">
      <c r="A27" s="214" t="s">
        <v>1224</v>
      </c>
      <c r="B27" s="64">
        <v>8.0500000000000007</v>
      </c>
      <c r="C27" s="64">
        <v>9.1</v>
      </c>
      <c r="D27" s="64">
        <v>12.77</v>
      </c>
      <c r="E27" s="64">
        <v>0.94</v>
      </c>
      <c r="F27" s="64">
        <v>0.62</v>
      </c>
      <c r="G27" s="64">
        <v>59.74</v>
      </c>
      <c r="H27" s="64">
        <v>15.53</v>
      </c>
      <c r="I27" s="64">
        <v>1.49</v>
      </c>
      <c r="J27" s="64">
        <v>0.06</v>
      </c>
      <c r="K27" s="64">
        <v>319.72000000000003</v>
      </c>
      <c r="L27" s="64">
        <v>21.64</v>
      </c>
      <c r="M27" s="64">
        <v>98.85</v>
      </c>
      <c r="N27" s="64">
        <v>8.5</v>
      </c>
      <c r="O27" s="64">
        <v>0</v>
      </c>
      <c r="P27" s="64">
        <v>0.7</v>
      </c>
      <c r="Q27" s="64">
        <v>168.13</v>
      </c>
      <c r="R27" s="198"/>
      <c r="S27" s="198"/>
      <c r="T27" s="198"/>
      <c r="U27" s="198"/>
    </row>
    <row r="28" spans="1:21" s="12" customFormat="1" x14ac:dyDescent="0.25">
      <c r="A28" s="214" t="s">
        <v>1225</v>
      </c>
      <c r="B28" s="64">
        <v>8.14</v>
      </c>
      <c r="C28" s="64">
        <v>9.51</v>
      </c>
      <c r="D28" s="64">
        <v>13.07</v>
      </c>
      <c r="E28" s="64">
        <v>0.87</v>
      </c>
      <c r="F28" s="64">
        <v>0.21</v>
      </c>
      <c r="G28" s="64">
        <v>59.74</v>
      </c>
      <c r="H28" s="64">
        <v>15.53</v>
      </c>
      <c r="I28" s="64">
        <v>1.49</v>
      </c>
      <c r="J28" s="64">
        <v>0.09</v>
      </c>
      <c r="K28" s="64">
        <v>271.81</v>
      </c>
      <c r="L28" s="64">
        <v>21.58</v>
      </c>
      <c r="M28" s="64">
        <v>98.86</v>
      </c>
      <c r="N28" s="64">
        <v>8.4</v>
      </c>
      <c r="O28" s="64">
        <v>0</v>
      </c>
      <c r="P28" s="64">
        <v>0.69</v>
      </c>
      <c r="Q28" s="64">
        <v>179.83</v>
      </c>
      <c r="R28" s="198"/>
      <c r="S28" s="198"/>
      <c r="T28" s="198"/>
      <c r="U28" s="198"/>
    </row>
    <row r="29" spans="1:21" s="12" customFormat="1" x14ac:dyDescent="0.25">
      <c r="A29" s="214" t="s">
        <v>1226</v>
      </c>
      <c r="B29" s="64">
        <v>8.58</v>
      </c>
      <c r="C29" s="64">
        <v>10.42</v>
      </c>
      <c r="D29" s="64">
        <v>13.92</v>
      </c>
      <c r="E29" s="64">
        <v>0.7</v>
      </c>
      <c r="F29" s="64">
        <v>0.06</v>
      </c>
      <c r="G29" s="64">
        <v>59.74</v>
      </c>
      <c r="H29" s="64">
        <v>15.53</v>
      </c>
      <c r="I29" s="64">
        <v>1.5</v>
      </c>
      <c r="J29" s="64">
        <v>0.09</v>
      </c>
      <c r="K29" s="64">
        <v>283.31</v>
      </c>
      <c r="L29" s="64">
        <v>21.36</v>
      </c>
      <c r="M29" s="64">
        <v>98.88</v>
      </c>
      <c r="N29" s="64">
        <v>8.6</v>
      </c>
      <c r="O29" s="64">
        <v>0</v>
      </c>
      <c r="P29" s="64">
        <v>0.72</v>
      </c>
      <c r="Q29" s="64">
        <v>169.56</v>
      </c>
      <c r="R29" s="198"/>
      <c r="S29" s="198"/>
      <c r="T29" s="198"/>
      <c r="U29" s="198"/>
    </row>
    <row r="30" spans="1:21" s="12" customFormat="1" x14ac:dyDescent="0.25">
      <c r="A30" s="214" t="s">
        <v>1227</v>
      </c>
      <c r="B30" s="64">
        <v>9.2200000000000006</v>
      </c>
      <c r="C30" s="64">
        <v>10.93</v>
      </c>
      <c r="D30" s="64">
        <v>14.72</v>
      </c>
      <c r="E30" s="64">
        <v>1.29</v>
      </c>
      <c r="F30" s="64">
        <v>0.28000000000000003</v>
      </c>
      <c r="G30" s="64">
        <v>59.12</v>
      </c>
      <c r="H30" s="64">
        <v>24.74</v>
      </c>
      <c r="I30" s="64">
        <v>1.45</v>
      </c>
      <c r="J30" s="64">
        <v>0.09</v>
      </c>
      <c r="K30" s="64">
        <v>216.73</v>
      </c>
      <c r="L30" s="64">
        <v>21.71</v>
      </c>
      <c r="M30" s="64">
        <v>98.86</v>
      </c>
      <c r="N30" s="64">
        <v>8</v>
      </c>
      <c r="O30" s="64">
        <v>0</v>
      </c>
      <c r="P30" s="64">
        <v>0.63</v>
      </c>
      <c r="Q30" s="64">
        <v>149.31</v>
      </c>
      <c r="R30" s="198"/>
      <c r="S30" s="198"/>
      <c r="T30" s="198"/>
      <c r="U30" s="198"/>
    </row>
    <row r="31" spans="1:21" s="12" customFormat="1" x14ac:dyDescent="0.25">
      <c r="A31" s="214" t="s">
        <v>1228</v>
      </c>
      <c r="B31" s="64">
        <v>9.56</v>
      </c>
      <c r="C31" s="64">
        <v>11.14</v>
      </c>
      <c r="D31" s="64">
        <v>15.1</v>
      </c>
      <c r="E31" s="64">
        <v>0.96</v>
      </c>
      <c r="F31" s="64">
        <v>0.4</v>
      </c>
      <c r="G31" s="64">
        <v>59.11</v>
      </c>
      <c r="H31" s="64">
        <v>24.95</v>
      </c>
      <c r="I31" s="64">
        <v>1.5</v>
      </c>
      <c r="J31" s="64">
        <v>0.21</v>
      </c>
      <c r="K31" s="64">
        <v>167.81</v>
      </c>
      <c r="L31" s="64">
        <v>21.71</v>
      </c>
      <c r="M31" s="64">
        <v>98.88</v>
      </c>
      <c r="N31" s="64">
        <v>8.8000000000000007</v>
      </c>
      <c r="O31" s="64">
        <v>0</v>
      </c>
      <c r="P31" s="64">
        <v>0.63</v>
      </c>
      <c r="Q31" s="64">
        <v>140.19999999999999</v>
      </c>
      <c r="R31" s="198"/>
      <c r="S31" s="198"/>
      <c r="T31" s="198"/>
      <c r="U31" s="198"/>
    </row>
    <row r="32" spans="1:21" s="12" customFormat="1" x14ac:dyDescent="0.25">
      <c r="A32" s="214" t="s">
        <v>1229</v>
      </c>
      <c r="B32" s="64">
        <v>9.93</v>
      </c>
      <c r="C32" s="64">
        <v>11.35</v>
      </c>
      <c r="D32" s="64">
        <v>15.52</v>
      </c>
      <c r="E32" s="64">
        <v>1.28</v>
      </c>
      <c r="F32" s="64">
        <v>0.36</v>
      </c>
      <c r="G32" s="64">
        <v>59.11</v>
      </c>
      <c r="H32" s="64">
        <v>24.95</v>
      </c>
      <c r="I32" s="64">
        <v>1.54</v>
      </c>
      <c r="J32" s="64">
        <v>0.14000000000000001</v>
      </c>
      <c r="K32" s="64">
        <v>183.02</v>
      </c>
      <c r="L32" s="64">
        <v>21.81</v>
      </c>
      <c r="M32" s="64">
        <v>98.86</v>
      </c>
      <c r="N32" s="64">
        <v>14.4</v>
      </c>
      <c r="O32" s="64">
        <v>0</v>
      </c>
      <c r="P32" s="64">
        <v>0.64</v>
      </c>
      <c r="Q32" s="64">
        <v>135.36000000000001</v>
      </c>
      <c r="R32" s="198"/>
      <c r="S32" s="198"/>
      <c r="T32" s="198"/>
      <c r="U32" s="198"/>
    </row>
    <row r="33" spans="1:21" s="12" customFormat="1" x14ac:dyDescent="0.25">
      <c r="A33" s="214" t="s">
        <v>1230</v>
      </c>
      <c r="B33" s="64">
        <v>10.25</v>
      </c>
      <c r="C33" s="64">
        <v>11.34</v>
      </c>
      <c r="D33" s="64">
        <v>15.77</v>
      </c>
      <c r="E33" s="64">
        <v>1.25</v>
      </c>
      <c r="F33" s="64">
        <v>0.32</v>
      </c>
      <c r="G33" s="64">
        <v>59.11</v>
      </c>
      <c r="H33" s="64">
        <v>24.95</v>
      </c>
      <c r="I33" s="64">
        <v>1.47</v>
      </c>
      <c r="J33" s="64">
        <v>0.03</v>
      </c>
      <c r="K33" s="64">
        <v>311.76</v>
      </c>
      <c r="L33" s="64">
        <v>21.73</v>
      </c>
      <c r="M33" s="64">
        <v>98.86</v>
      </c>
      <c r="N33" s="64">
        <v>28.7</v>
      </c>
      <c r="O33" s="64">
        <v>0</v>
      </c>
      <c r="P33" s="64">
        <v>0.66</v>
      </c>
      <c r="Q33" s="64">
        <v>130.6</v>
      </c>
      <c r="R33" s="198"/>
      <c r="S33" s="198"/>
      <c r="T33" s="198"/>
      <c r="U33" s="198"/>
    </row>
    <row r="34" spans="1:21" s="12" customFormat="1" x14ac:dyDescent="0.25">
      <c r="A34" s="214" t="s">
        <v>1231</v>
      </c>
      <c r="B34" s="64">
        <v>10.220000000000001</v>
      </c>
      <c r="C34" s="64">
        <v>11.04</v>
      </c>
      <c r="D34" s="64">
        <v>15.58</v>
      </c>
      <c r="E34" s="64">
        <v>1.56</v>
      </c>
      <c r="F34" s="64">
        <v>0.27</v>
      </c>
      <c r="G34" s="64">
        <v>63.81</v>
      </c>
      <c r="H34" s="64">
        <v>24.95</v>
      </c>
      <c r="I34" s="64">
        <v>1.52</v>
      </c>
      <c r="J34" s="64">
        <v>0.27</v>
      </c>
      <c r="K34" s="64">
        <v>198.84</v>
      </c>
      <c r="L34" s="64">
        <v>21.82</v>
      </c>
      <c r="M34" s="64">
        <v>98.86</v>
      </c>
      <c r="N34" s="64">
        <v>55</v>
      </c>
      <c r="O34" s="64">
        <v>0</v>
      </c>
      <c r="P34" s="64">
        <v>0.67</v>
      </c>
      <c r="Q34" s="64">
        <v>142.11000000000001</v>
      </c>
      <c r="R34" s="198"/>
      <c r="S34" s="198"/>
      <c r="T34" s="198"/>
      <c r="U34" s="198"/>
    </row>
    <row r="35" spans="1:21" s="12" customFormat="1" x14ac:dyDescent="0.25">
      <c r="A35" s="214" t="s">
        <v>1232</v>
      </c>
      <c r="B35" s="64">
        <v>10.29</v>
      </c>
      <c r="C35" s="64">
        <v>10.31</v>
      </c>
      <c r="D35" s="64">
        <v>15.24</v>
      </c>
      <c r="E35" s="64">
        <v>1.75</v>
      </c>
      <c r="F35" s="64">
        <v>0.33</v>
      </c>
      <c r="G35" s="64">
        <v>63.92</v>
      </c>
      <c r="H35" s="64">
        <v>24.95</v>
      </c>
      <c r="I35" s="64">
        <v>1.56</v>
      </c>
      <c r="J35" s="64">
        <v>0.4</v>
      </c>
      <c r="K35" s="64">
        <v>160.28</v>
      </c>
      <c r="L35" s="64">
        <v>22.31</v>
      </c>
      <c r="M35" s="64">
        <v>98.84</v>
      </c>
      <c r="N35" s="64">
        <v>101.7</v>
      </c>
      <c r="O35" s="64">
        <v>0</v>
      </c>
      <c r="P35" s="64">
        <v>0.61</v>
      </c>
      <c r="Q35" s="64">
        <v>153.1</v>
      </c>
      <c r="R35" s="198"/>
      <c r="S35" s="198"/>
      <c r="T35" s="198"/>
      <c r="U35" s="198"/>
    </row>
    <row r="36" spans="1:21" s="12" customFormat="1" x14ac:dyDescent="0.25">
      <c r="A36" s="214" t="s">
        <v>1233</v>
      </c>
      <c r="B36" s="64">
        <v>10.3</v>
      </c>
      <c r="C36" s="64">
        <v>9.4499999999999993</v>
      </c>
      <c r="D36" s="64">
        <v>14.77</v>
      </c>
      <c r="E36" s="64">
        <v>0.49</v>
      </c>
      <c r="F36" s="64">
        <v>0.56000000000000005</v>
      </c>
      <c r="G36" s="64">
        <v>63.92</v>
      </c>
      <c r="H36" s="64">
        <v>24.95</v>
      </c>
      <c r="I36" s="64">
        <v>1.52</v>
      </c>
      <c r="J36" s="64">
        <v>0.18</v>
      </c>
      <c r="K36" s="64">
        <v>182.54</v>
      </c>
      <c r="L36" s="64">
        <v>23.05</v>
      </c>
      <c r="M36" s="64">
        <v>96.95</v>
      </c>
      <c r="N36" s="64">
        <v>153.4</v>
      </c>
      <c r="O36" s="64">
        <v>0</v>
      </c>
      <c r="P36" s="64">
        <v>0.63</v>
      </c>
      <c r="Q36" s="64">
        <v>153.56</v>
      </c>
      <c r="R36" s="198"/>
      <c r="S36" s="198"/>
      <c r="T36" s="198"/>
      <c r="U36" s="198"/>
    </row>
    <row r="37" spans="1:21" s="12" customFormat="1" x14ac:dyDescent="0.25">
      <c r="A37" s="214" t="s">
        <v>1234</v>
      </c>
      <c r="B37" s="64">
        <v>10.07</v>
      </c>
      <c r="C37" s="64">
        <v>9.08</v>
      </c>
      <c r="D37" s="64">
        <v>14.38</v>
      </c>
      <c r="E37" s="64">
        <v>1.2</v>
      </c>
      <c r="F37" s="64">
        <v>0.59</v>
      </c>
      <c r="G37" s="64">
        <v>63.92</v>
      </c>
      <c r="H37" s="64">
        <v>24.95</v>
      </c>
      <c r="I37" s="64">
        <v>1.57</v>
      </c>
      <c r="J37" s="64">
        <v>0.2</v>
      </c>
      <c r="K37" s="64">
        <v>206.7</v>
      </c>
      <c r="L37" s="64">
        <v>23.82</v>
      </c>
      <c r="M37" s="64">
        <v>92.18</v>
      </c>
      <c r="N37" s="64">
        <v>211.2</v>
      </c>
      <c r="O37" s="64">
        <v>0</v>
      </c>
      <c r="P37" s="64">
        <v>0.63</v>
      </c>
      <c r="Q37" s="64">
        <v>165.88</v>
      </c>
      <c r="R37" s="198"/>
      <c r="S37" s="198"/>
      <c r="T37" s="198"/>
      <c r="U37" s="198"/>
    </row>
    <row r="38" spans="1:21" s="12" customFormat="1" x14ac:dyDescent="0.25">
      <c r="A38" s="214" t="s">
        <v>1235</v>
      </c>
      <c r="B38" s="64">
        <v>9.6999999999999993</v>
      </c>
      <c r="C38" s="64">
        <v>9.69</v>
      </c>
      <c r="D38" s="64">
        <v>14.42</v>
      </c>
      <c r="E38" s="64">
        <v>0.81</v>
      </c>
      <c r="F38" s="64">
        <v>0.06</v>
      </c>
      <c r="G38" s="64">
        <v>62.27</v>
      </c>
      <c r="H38" s="64">
        <v>22.77</v>
      </c>
      <c r="I38" s="64">
        <v>1.54</v>
      </c>
      <c r="J38" s="64">
        <v>0.05</v>
      </c>
      <c r="K38" s="64">
        <v>31.75</v>
      </c>
      <c r="L38" s="64">
        <v>24.58</v>
      </c>
      <c r="M38" s="64">
        <v>88.61</v>
      </c>
      <c r="N38" s="64">
        <v>266.3</v>
      </c>
      <c r="O38" s="64">
        <v>0</v>
      </c>
      <c r="P38" s="64">
        <v>0.64</v>
      </c>
      <c r="Q38" s="64">
        <v>168.7</v>
      </c>
      <c r="R38" s="198"/>
      <c r="S38" s="198"/>
      <c r="T38" s="198"/>
      <c r="U38" s="198"/>
    </row>
    <row r="39" spans="1:21" s="12" customFormat="1" x14ac:dyDescent="0.25">
      <c r="A39" s="214" t="s">
        <v>1236</v>
      </c>
      <c r="B39" s="64">
        <v>9.2100000000000009</v>
      </c>
      <c r="C39" s="64">
        <v>9.65</v>
      </c>
      <c r="D39" s="64">
        <v>14</v>
      </c>
      <c r="E39" s="64">
        <v>0.85</v>
      </c>
      <c r="F39" s="64">
        <v>0.49</v>
      </c>
      <c r="G39" s="64">
        <v>62.23</v>
      </c>
      <c r="H39" s="64">
        <v>22.74</v>
      </c>
      <c r="I39" s="64">
        <v>1.49</v>
      </c>
      <c r="J39" s="64">
        <v>0.05</v>
      </c>
      <c r="K39" s="64">
        <v>326.54000000000002</v>
      </c>
      <c r="L39" s="64">
        <v>25.1</v>
      </c>
      <c r="M39" s="64">
        <v>85.77</v>
      </c>
      <c r="N39" s="64">
        <v>322.39999999999998</v>
      </c>
      <c r="O39" s="64">
        <v>0</v>
      </c>
      <c r="P39" s="64">
        <v>0.64</v>
      </c>
      <c r="Q39" s="64">
        <v>160.26</v>
      </c>
      <c r="R39" s="198"/>
      <c r="S39" s="198"/>
      <c r="T39" s="198"/>
      <c r="U39" s="198"/>
    </row>
    <row r="40" spans="1:21" s="12" customFormat="1" x14ac:dyDescent="0.25">
      <c r="A40" s="214" t="s">
        <v>1237</v>
      </c>
      <c r="B40" s="64">
        <v>8.69</v>
      </c>
      <c r="C40" s="64">
        <v>9.65</v>
      </c>
      <c r="D40" s="64">
        <v>13.59</v>
      </c>
      <c r="E40" s="10" t="s">
        <v>43</v>
      </c>
      <c r="F40" s="64">
        <v>0.73</v>
      </c>
      <c r="G40" s="64">
        <v>62.23</v>
      </c>
      <c r="H40" s="64">
        <v>22.74</v>
      </c>
      <c r="I40" s="64">
        <v>1.49</v>
      </c>
      <c r="J40" s="64">
        <v>0.27</v>
      </c>
      <c r="K40" s="64">
        <v>8.49</v>
      </c>
      <c r="L40" s="64">
        <v>27.86</v>
      </c>
      <c r="M40" s="64">
        <v>72.099999999999994</v>
      </c>
      <c r="N40" s="64">
        <v>371.6</v>
      </c>
      <c r="O40" s="64">
        <v>0</v>
      </c>
      <c r="P40" s="64">
        <v>0.66</v>
      </c>
      <c r="Q40" s="64">
        <v>165.03</v>
      </c>
      <c r="R40" s="198"/>
      <c r="S40" s="198"/>
      <c r="T40" s="198"/>
      <c r="U40" s="198"/>
    </row>
    <row r="41" spans="1:21" s="12" customFormat="1" x14ac:dyDescent="0.25">
      <c r="A41" s="214" t="s">
        <v>1238</v>
      </c>
      <c r="B41" s="64">
        <v>8.68</v>
      </c>
      <c r="C41" s="64">
        <v>11.29</v>
      </c>
      <c r="D41" s="64">
        <v>14.49</v>
      </c>
      <c r="E41" s="64">
        <v>0.7</v>
      </c>
      <c r="F41" s="64">
        <v>0.08</v>
      </c>
      <c r="G41" s="64">
        <v>62.23</v>
      </c>
      <c r="H41" s="64">
        <v>22.74</v>
      </c>
      <c r="I41" s="64">
        <v>1.55</v>
      </c>
      <c r="J41" s="64">
        <v>0.48</v>
      </c>
      <c r="K41" s="64">
        <v>339.81</v>
      </c>
      <c r="L41" s="64">
        <v>29.52</v>
      </c>
      <c r="M41" s="64">
        <v>64.7</v>
      </c>
      <c r="N41" s="64">
        <v>427.9</v>
      </c>
      <c r="O41" s="64">
        <v>0</v>
      </c>
      <c r="P41" s="64">
        <v>0.71</v>
      </c>
      <c r="Q41" s="64">
        <v>163.92</v>
      </c>
      <c r="R41" s="198"/>
      <c r="S41" s="198"/>
      <c r="T41" s="198"/>
      <c r="U41" s="198"/>
    </row>
    <row r="42" spans="1:21" s="12" customFormat="1" x14ac:dyDescent="0.25">
      <c r="A42" s="214" t="s">
        <v>1239</v>
      </c>
      <c r="B42" s="64">
        <v>8.84</v>
      </c>
      <c r="C42" s="64">
        <v>12.18</v>
      </c>
      <c r="D42" s="64">
        <v>15.1</v>
      </c>
      <c r="E42" s="64">
        <v>0.62</v>
      </c>
      <c r="F42" s="64">
        <v>0.46</v>
      </c>
      <c r="G42" s="64">
        <v>66.069999999999993</v>
      </c>
      <c r="H42" s="64">
        <v>35.36</v>
      </c>
      <c r="I42" s="64">
        <v>1.51</v>
      </c>
      <c r="J42" s="64">
        <v>0.31</v>
      </c>
      <c r="K42" s="64">
        <v>349.43</v>
      </c>
      <c r="L42" s="64">
        <v>30.64</v>
      </c>
      <c r="M42" s="64">
        <v>60.42</v>
      </c>
      <c r="N42" s="64">
        <v>483</v>
      </c>
      <c r="O42" s="64">
        <v>0</v>
      </c>
      <c r="P42" s="64">
        <v>0.7</v>
      </c>
      <c r="Q42" s="64">
        <v>140.91999999999999</v>
      </c>
      <c r="R42" s="198"/>
      <c r="S42" s="198"/>
      <c r="T42" s="198"/>
      <c r="U42" s="198"/>
    </row>
    <row r="43" spans="1:21" s="12" customFormat="1" x14ac:dyDescent="0.25">
      <c r="A43" s="214" t="s">
        <v>1240</v>
      </c>
      <c r="B43" s="64">
        <v>8.8000000000000007</v>
      </c>
      <c r="C43" s="64">
        <v>13.28</v>
      </c>
      <c r="D43" s="64">
        <v>15.68</v>
      </c>
      <c r="E43" s="64">
        <v>1.02</v>
      </c>
      <c r="F43" s="64">
        <v>0.22</v>
      </c>
      <c r="G43" s="64">
        <v>66.16</v>
      </c>
      <c r="H43" s="64">
        <v>35.65</v>
      </c>
      <c r="I43" s="64">
        <v>1.5</v>
      </c>
      <c r="J43" s="64">
        <v>0.3</v>
      </c>
      <c r="K43" s="64">
        <v>349.94</v>
      </c>
      <c r="L43" s="64">
        <v>31.65</v>
      </c>
      <c r="M43" s="64">
        <v>56.57</v>
      </c>
      <c r="N43" s="64">
        <v>531.4</v>
      </c>
      <c r="O43" s="64">
        <v>0</v>
      </c>
      <c r="P43" s="64">
        <v>0.71</v>
      </c>
      <c r="Q43" s="64">
        <v>135.52000000000001</v>
      </c>
      <c r="R43" s="198"/>
      <c r="S43" s="198"/>
      <c r="T43" s="198"/>
      <c r="U43" s="198"/>
    </row>
    <row r="44" spans="1:21" s="12" customFormat="1" x14ac:dyDescent="0.25">
      <c r="A44" s="214" t="s">
        <v>1241</v>
      </c>
      <c r="B44" s="64">
        <v>8.6300000000000008</v>
      </c>
      <c r="C44" s="64">
        <v>13.39</v>
      </c>
      <c r="D44" s="64">
        <v>15.6</v>
      </c>
      <c r="E44" s="64">
        <v>0.76</v>
      </c>
      <c r="F44" s="64">
        <v>0.5</v>
      </c>
      <c r="G44" s="64">
        <v>66.16</v>
      </c>
      <c r="H44" s="64">
        <v>35.65</v>
      </c>
      <c r="I44" s="64">
        <v>1.42</v>
      </c>
      <c r="J44" s="64">
        <v>0.27</v>
      </c>
      <c r="K44" s="64">
        <v>356.34</v>
      </c>
      <c r="L44" s="64">
        <v>32.369999999999997</v>
      </c>
      <c r="M44" s="64">
        <v>51.09</v>
      </c>
      <c r="N44" s="64">
        <v>585.4</v>
      </c>
      <c r="O44" s="64">
        <v>0</v>
      </c>
      <c r="P44" s="64">
        <v>0.71</v>
      </c>
      <c r="Q44" s="64">
        <v>131.12</v>
      </c>
      <c r="R44" s="198"/>
      <c r="S44" s="198"/>
      <c r="T44" s="198"/>
      <c r="U44" s="198"/>
    </row>
    <row r="45" spans="1:21" s="12" customFormat="1" x14ac:dyDescent="0.25">
      <c r="A45" s="214" t="s">
        <v>1242</v>
      </c>
      <c r="B45" s="64">
        <v>8.34</v>
      </c>
      <c r="C45" s="64">
        <v>14.21</v>
      </c>
      <c r="D45" s="64">
        <v>15.82</v>
      </c>
      <c r="E45" s="64">
        <v>0.12</v>
      </c>
      <c r="F45" s="64">
        <v>0.52</v>
      </c>
      <c r="G45" s="64">
        <v>66.16</v>
      </c>
      <c r="H45" s="64">
        <v>35.65</v>
      </c>
      <c r="I45" s="64">
        <v>1.57</v>
      </c>
      <c r="J45" s="64">
        <v>0.3</v>
      </c>
      <c r="K45" s="64">
        <v>338.14</v>
      </c>
      <c r="L45" s="64">
        <v>32.770000000000003</v>
      </c>
      <c r="M45" s="64">
        <v>49.39</v>
      </c>
      <c r="N45" s="64">
        <v>639.20000000000005</v>
      </c>
      <c r="O45" s="64">
        <v>0</v>
      </c>
      <c r="P45" s="64">
        <v>0.73</v>
      </c>
      <c r="Q45" s="64">
        <v>127.68</v>
      </c>
      <c r="R45" s="198"/>
      <c r="S45" s="198"/>
      <c r="T45" s="198"/>
      <c r="U45" s="198"/>
    </row>
    <row r="46" spans="1:21" s="12" customFormat="1" x14ac:dyDescent="0.25">
      <c r="A46" s="214" t="s">
        <v>1243</v>
      </c>
      <c r="B46" s="64">
        <v>7.98</v>
      </c>
      <c r="C46" s="64">
        <v>14.96</v>
      </c>
      <c r="D46" s="64">
        <v>15.95</v>
      </c>
      <c r="E46" s="64">
        <v>0.41</v>
      </c>
      <c r="F46" s="64">
        <v>0.63</v>
      </c>
      <c r="G46" s="64">
        <v>81.83</v>
      </c>
      <c r="H46" s="64">
        <v>36.659999999999997</v>
      </c>
      <c r="I46" s="64">
        <v>1.53</v>
      </c>
      <c r="J46" s="64">
        <v>0.4</v>
      </c>
      <c r="K46" s="64">
        <v>333.41</v>
      </c>
      <c r="L46" s="64">
        <v>33.83</v>
      </c>
      <c r="M46" s="64">
        <v>46.26</v>
      </c>
      <c r="N46" s="64">
        <v>677.6</v>
      </c>
      <c r="O46" s="64">
        <v>0</v>
      </c>
      <c r="P46" s="64">
        <v>0.7</v>
      </c>
      <c r="Q46" s="64">
        <v>141.62</v>
      </c>
      <c r="R46" s="198"/>
      <c r="S46" s="198"/>
      <c r="T46" s="198"/>
      <c r="U46" s="198"/>
    </row>
    <row r="47" spans="1:21" s="12" customFormat="1" x14ac:dyDescent="0.25">
      <c r="A47" s="214" t="s">
        <v>1244</v>
      </c>
      <c r="B47" s="64">
        <v>7.5</v>
      </c>
      <c r="C47" s="64">
        <v>16.2</v>
      </c>
      <c r="D47" s="64">
        <v>16.25</v>
      </c>
      <c r="E47" s="64">
        <v>0.56999999999999995</v>
      </c>
      <c r="F47" s="64">
        <v>0.72</v>
      </c>
      <c r="G47" s="64">
        <v>82.01</v>
      </c>
      <c r="H47" s="64">
        <v>36.68</v>
      </c>
      <c r="I47" s="64">
        <v>1.5</v>
      </c>
      <c r="J47" s="64">
        <v>0.41</v>
      </c>
      <c r="K47" s="64">
        <v>337.44</v>
      </c>
      <c r="L47" s="64">
        <v>34.799999999999997</v>
      </c>
      <c r="M47" s="64">
        <v>43.7</v>
      </c>
      <c r="N47" s="64">
        <v>702.1</v>
      </c>
      <c r="O47" s="64">
        <v>0</v>
      </c>
      <c r="P47" s="64">
        <v>0.73</v>
      </c>
      <c r="Q47" s="64">
        <v>150.63</v>
      </c>
      <c r="R47" s="198"/>
      <c r="S47" s="198"/>
      <c r="T47" s="198"/>
      <c r="U47" s="198"/>
    </row>
    <row r="48" spans="1:21" s="12" customFormat="1" x14ac:dyDescent="0.25">
      <c r="A48" s="214" t="s">
        <v>1245</v>
      </c>
      <c r="B48" s="64">
        <v>6.81</v>
      </c>
      <c r="C48" s="64">
        <v>16.690000000000001</v>
      </c>
      <c r="D48" s="64">
        <v>15.96</v>
      </c>
      <c r="E48" s="10" t="s">
        <v>43</v>
      </c>
      <c r="F48" s="64">
        <v>1.06</v>
      </c>
      <c r="G48" s="64">
        <v>82.01</v>
      </c>
      <c r="H48" s="64">
        <v>36.68</v>
      </c>
      <c r="I48" s="64">
        <v>1.59</v>
      </c>
      <c r="J48" s="64">
        <v>0.78</v>
      </c>
      <c r="K48" s="64">
        <v>326.32</v>
      </c>
      <c r="L48" s="64">
        <v>35.49</v>
      </c>
      <c r="M48" s="64">
        <v>42.85</v>
      </c>
      <c r="N48" s="64">
        <v>733.8</v>
      </c>
      <c r="O48" s="64">
        <v>0</v>
      </c>
      <c r="P48" s="64">
        <v>0.75</v>
      </c>
      <c r="Q48" s="64">
        <v>153.19999999999999</v>
      </c>
      <c r="R48" s="198"/>
      <c r="S48" s="198"/>
      <c r="T48" s="198"/>
      <c r="U48" s="198"/>
    </row>
    <row r="49" spans="1:21" s="12" customFormat="1" x14ac:dyDescent="0.25">
      <c r="A49" s="214" t="s">
        <v>1246</v>
      </c>
      <c r="B49" s="64">
        <v>6.15</v>
      </c>
      <c r="C49" s="64">
        <v>17.48</v>
      </c>
      <c r="D49" s="64">
        <v>15.87</v>
      </c>
      <c r="E49" s="64">
        <v>0.14000000000000001</v>
      </c>
      <c r="F49" s="64">
        <v>0.83</v>
      </c>
      <c r="G49" s="64">
        <v>82.01</v>
      </c>
      <c r="H49" s="64">
        <v>36.68</v>
      </c>
      <c r="I49" s="64">
        <v>1.51</v>
      </c>
      <c r="J49" s="64">
        <v>0.69</v>
      </c>
      <c r="K49" s="64">
        <v>337.27</v>
      </c>
      <c r="L49" s="64">
        <v>36.22</v>
      </c>
      <c r="M49" s="64">
        <v>40.65</v>
      </c>
      <c r="N49" s="64">
        <v>746.7</v>
      </c>
      <c r="O49" s="64">
        <v>0</v>
      </c>
      <c r="P49" s="64">
        <v>0.77</v>
      </c>
      <c r="Q49" s="64">
        <v>153.61000000000001</v>
      </c>
      <c r="R49" s="198"/>
      <c r="S49" s="198"/>
      <c r="T49" s="198"/>
      <c r="U49" s="198"/>
    </row>
    <row r="50" spans="1:21" s="12" customFormat="1" x14ac:dyDescent="0.25">
      <c r="A50" s="214" t="s">
        <v>1247</v>
      </c>
      <c r="B50" s="64">
        <v>5.43</v>
      </c>
      <c r="C50" s="64">
        <v>18.37</v>
      </c>
      <c r="D50" s="64">
        <v>15.79</v>
      </c>
      <c r="E50" s="64">
        <v>7.0000000000000007E-2</v>
      </c>
      <c r="F50" s="64">
        <v>1.04</v>
      </c>
      <c r="G50" s="64">
        <v>87.57</v>
      </c>
      <c r="H50" s="64">
        <v>33.92</v>
      </c>
      <c r="I50" s="64">
        <v>1.5</v>
      </c>
      <c r="J50" s="64">
        <v>0.55000000000000004</v>
      </c>
      <c r="K50" s="64">
        <v>334.72</v>
      </c>
      <c r="L50" s="64">
        <v>34.46</v>
      </c>
      <c r="M50" s="64">
        <v>43.23</v>
      </c>
      <c r="N50" s="64">
        <v>764.7</v>
      </c>
      <c r="O50" s="64">
        <v>0</v>
      </c>
      <c r="P50" s="64">
        <v>0.76</v>
      </c>
      <c r="Q50" s="64">
        <v>154.22999999999999</v>
      </c>
      <c r="R50" s="198"/>
      <c r="S50" s="198"/>
      <c r="T50" s="198"/>
      <c r="U50" s="198"/>
    </row>
    <row r="51" spans="1:21" s="12" customFormat="1" x14ac:dyDescent="0.25">
      <c r="A51" s="214" t="s">
        <v>1248</v>
      </c>
      <c r="B51" s="64">
        <v>4.29</v>
      </c>
      <c r="C51" s="64">
        <v>21.09</v>
      </c>
      <c r="D51" s="64">
        <v>16.37</v>
      </c>
      <c r="E51" s="64">
        <v>7.0000000000000007E-2</v>
      </c>
      <c r="F51" s="64">
        <v>4.1500000000000004</v>
      </c>
      <c r="G51" s="64">
        <v>87.63</v>
      </c>
      <c r="H51" s="64">
        <v>33.86</v>
      </c>
      <c r="I51" s="64">
        <v>1.43</v>
      </c>
      <c r="J51" s="64">
        <v>0.9</v>
      </c>
      <c r="K51" s="64">
        <v>327.44</v>
      </c>
      <c r="L51" s="64">
        <v>36.08</v>
      </c>
      <c r="M51" s="64">
        <v>39.21</v>
      </c>
      <c r="N51" s="64">
        <v>793.6</v>
      </c>
      <c r="O51" s="64">
        <v>0</v>
      </c>
      <c r="P51" s="64">
        <v>0.81</v>
      </c>
      <c r="Q51" s="64">
        <v>163.97</v>
      </c>
      <c r="R51" s="198"/>
      <c r="S51" s="198"/>
      <c r="T51" s="198"/>
      <c r="U51" s="198"/>
    </row>
    <row r="52" spans="1:21" s="12" customFormat="1" x14ac:dyDescent="0.25">
      <c r="A52" s="214" t="s">
        <v>1249</v>
      </c>
      <c r="B52" s="64">
        <v>2.8</v>
      </c>
      <c r="C52" s="64">
        <v>31.92</v>
      </c>
      <c r="D52" s="64">
        <v>21.15</v>
      </c>
      <c r="E52" s="10" t="s">
        <v>43</v>
      </c>
      <c r="F52" s="64">
        <v>8.58</v>
      </c>
      <c r="G52" s="64">
        <v>87.63</v>
      </c>
      <c r="H52" s="64">
        <v>33.86</v>
      </c>
      <c r="I52" s="64">
        <v>1.51</v>
      </c>
      <c r="J52" s="64">
        <v>0.99</v>
      </c>
      <c r="K52" s="64">
        <v>332.91</v>
      </c>
      <c r="L52" s="64">
        <v>36.54</v>
      </c>
      <c r="M52" s="64">
        <v>37.159999999999997</v>
      </c>
      <c r="N52" s="64">
        <v>825.6</v>
      </c>
      <c r="O52" s="64">
        <v>0</v>
      </c>
      <c r="P52" s="64">
        <v>0.82</v>
      </c>
      <c r="Q52" s="64">
        <v>164.86</v>
      </c>
      <c r="R52" s="198"/>
      <c r="S52" s="198"/>
      <c r="T52" s="198"/>
      <c r="U52" s="198"/>
    </row>
    <row r="53" spans="1:21" s="12" customFormat="1" x14ac:dyDescent="0.25">
      <c r="A53" s="214" t="s">
        <v>1250</v>
      </c>
      <c r="B53" s="64">
        <v>2.23</v>
      </c>
      <c r="C53" s="64">
        <v>34.299999999999997</v>
      </c>
      <c r="D53" s="64">
        <v>22.01</v>
      </c>
      <c r="E53" s="10" t="s">
        <v>43</v>
      </c>
      <c r="F53" s="64">
        <v>8</v>
      </c>
      <c r="G53" s="64">
        <v>87.63</v>
      </c>
      <c r="H53" s="64">
        <v>33.86</v>
      </c>
      <c r="I53" s="64">
        <v>1.51</v>
      </c>
      <c r="J53" s="64">
        <v>1.02</v>
      </c>
      <c r="K53" s="64">
        <v>329.63</v>
      </c>
      <c r="L53" s="64">
        <v>35.909999999999997</v>
      </c>
      <c r="M53" s="64">
        <v>38.43</v>
      </c>
      <c r="N53" s="64">
        <v>820.7</v>
      </c>
      <c r="O53" s="64">
        <v>0</v>
      </c>
      <c r="P53" s="64">
        <v>0.79</v>
      </c>
      <c r="Q53" s="64">
        <v>150.41</v>
      </c>
      <c r="R53" s="198"/>
      <c r="S53" s="198"/>
      <c r="T53" s="198"/>
      <c r="U53" s="198"/>
    </row>
    <row r="54" spans="1:21" s="12" customFormat="1" x14ac:dyDescent="0.25">
      <c r="A54" s="214" t="s">
        <v>1251</v>
      </c>
      <c r="B54" s="64">
        <v>2.27</v>
      </c>
      <c r="C54" s="64">
        <v>31.59</v>
      </c>
      <c r="D54" s="64">
        <v>20.54</v>
      </c>
      <c r="E54" s="64">
        <v>2.95</v>
      </c>
      <c r="F54" s="64">
        <v>4.3</v>
      </c>
      <c r="G54" s="64">
        <v>87.63</v>
      </c>
      <c r="H54" s="64">
        <v>33.86</v>
      </c>
      <c r="I54" s="64">
        <v>1.49</v>
      </c>
      <c r="J54" s="64">
        <v>1.1200000000000001</v>
      </c>
      <c r="K54" s="64">
        <v>332.17</v>
      </c>
      <c r="L54" s="64">
        <v>36.299999999999997</v>
      </c>
      <c r="M54" s="64">
        <v>34.07</v>
      </c>
      <c r="N54" s="64">
        <v>835.5</v>
      </c>
      <c r="O54" s="64">
        <v>0</v>
      </c>
      <c r="P54" s="64">
        <v>0.75</v>
      </c>
      <c r="Q54" s="64">
        <v>124.46</v>
      </c>
      <c r="R54" s="198"/>
      <c r="S54" s="198"/>
      <c r="T54" s="198"/>
      <c r="U54" s="198"/>
    </row>
    <row r="55" spans="1:21" s="12" customFormat="1" x14ac:dyDescent="0.25">
      <c r="A55" s="214" t="s">
        <v>1252</v>
      </c>
      <c r="B55" s="64">
        <v>2.71</v>
      </c>
      <c r="C55" s="64">
        <v>29.22</v>
      </c>
      <c r="D55" s="64">
        <v>19.59</v>
      </c>
      <c r="E55" s="64">
        <v>6.17</v>
      </c>
      <c r="F55" s="64">
        <v>4.33</v>
      </c>
      <c r="G55" s="64">
        <v>87.63</v>
      </c>
      <c r="H55" s="64">
        <v>33.86</v>
      </c>
      <c r="I55" s="64">
        <v>1.52</v>
      </c>
      <c r="J55" s="64">
        <v>0.64</v>
      </c>
      <c r="K55" s="64">
        <v>322.33</v>
      </c>
      <c r="L55" s="64">
        <v>36.450000000000003</v>
      </c>
      <c r="M55" s="64">
        <v>33.369999999999997</v>
      </c>
      <c r="N55" s="64">
        <v>841.1</v>
      </c>
      <c r="O55" s="64">
        <v>0</v>
      </c>
      <c r="P55" s="64">
        <v>0.77</v>
      </c>
      <c r="Q55" s="64">
        <v>109.28</v>
      </c>
      <c r="R55" s="198"/>
      <c r="S55" s="198"/>
      <c r="T55" s="198"/>
      <c r="U55" s="198"/>
    </row>
    <row r="56" spans="1:21" s="12" customFormat="1" x14ac:dyDescent="0.25">
      <c r="A56" s="214" t="s">
        <v>1253</v>
      </c>
      <c r="B56" s="64">
        <v>2.4500000000000002</v>
      </c>
      <c r="C56" s="64">
        <v>28.08</v>
      </c>
      <c r="D56" s="64">
        <v>18.75</v>
      </c>
      <c r="E56" s="64">
        <v>11.56</v>
      </c>
      <c r="F56" s="64">
        <v>4.3</v>
      </c>
      <c r="G56" s="64">
        <v>87.63</v>
      </c>
      <c r="H56" s="64">
        <v>33.86</v>
      </c>
      <c r="I56" s="64">
        <v>1.52</v>
      </c>
      <c r="J56" s="64">
        <v>1.25</v>
      </c>
      <c r="K56" s="64">
        <v>332.43</v>
      </c>
      <c r="L56" s="64">
        <v>36</v>
      </c>
      <c r="M56" s="64">
        <v>33.67</v>
      </c>
      <c r="N56" s="64">
        <v>838.3</v>
      </c>
      <c r="O56" s="64">
        <v>0</v>
      </c>
      <c r="P56" s="64">
        <v>0.72</v>
      </c>
      <c r="Q56" s="64">
        <v>112.4</v>
      </c>
      <c r="R56" s="198"/>
      <c r="S56" s="198"/>
      <c r="T56" s="198"/>
      <c r="U56" s="198"/>
    </row>
    <row r="57" spans="1:21" s="12" customFormat="1" x14ac:dyDescent="0.25">
      <c r="A57" s="214" t="s">
        <v>1254</v>
      </c>
      <c r="B57" s="64">
        <v>2.2400000000000002</v>
      </c>
      <c r="C57" s="64">
        <v>26.9</v>
      </c>
      <c r="D57" s="64">
        <v>17.93</v>
      </c>
      <c r="E57" s="64">
        <v>39.32</v>
      </c>
      <c r="F57" s="64">
        <v>3.14</v>
      </c>
      <c r="G57" s="64">
        <v>87.63</v>
      </c>
      <c r="H57" s="64">
        <v>33.86</v>
      </c>
      <c r="I57" s="64">
        <v>1.44</v>
      </c>
      <c r="J57" s="64">
        <v>1.41</v>
      </c>
      <c r="K57" s="64">
        <v>332.79</v>
      </c>
      <c r="L57" s="64">
        <v>36.270000000000003</v>
      </c>
      <c r="M57" s="64">
        <v>31.86</v>
      </c>
      <c r="N57" s="64">
        <v>797.9</v>
      </c>
      <c r="O57" s="64">
        <v>0</v>
      </c>
      <c r="P57" s="64">
        <v>0.69</v>
      </c>
      <c r="Q57" s="64">
        <v>113.15</v>
      </c>
      <c r="R57" s="198"/>
      <c r="S57" s="198"/>
      <c r="T57" s="198"/>
      <c r="U57" s="198"/>
    </row>
    <row r="58" spans="1:21" s="12" customFormat="1" x14ac:dyDescent="0.25">
      <c r="A58" s="214" t="s">
        <v>1255</v>
      </c>
      <c r="B58" s="64">
        <v>2</v>
      </c>
      <c r="C58" s="64">
        <v>3.81</v>
      </c>
      <c r="D58" s="64">
        <v>5</v>
      </c>
      <c r="E58" s="64">
        <v>9.6199999999999992</v>
      </c>
      <c r="F58" s="64">
        <v>2.44</v>
      </c>
      <c r="G58" s="64">
        <v>87.63</v>
      </c>
      <c r="H58" s="64">
        <v>33.86</v>
      </c>
      <c r="I58" s="64">
        <v>1.52</v>
      </c>
      <c r="J58" s="64">
        <v>0.73</v>
      </c>
      <c r="K58" s="64">
        <v>327.71</v>
      </c>
      <c r="L58" s="64">
        <v>35.950000000000003</v>
      </c>
      <c r="M58" s="64">
        <v>32.6</v>
      </c>
      <c r="N58" s="64">
        <v>778</v>
      </c>
      <c r="O58" s="64">
        <v>0</v>
      </c>
      <c r="P58" s="64">
        <v>0.7</v>
      </c>
      <c r="Q58" s="64">
        <v>134.59</v>
      </c>
      <c r="R58" s="198"/>
      <c r="S58" s="198"/>
      <c r="T58" s="198"/>
      <c r="U58" s="198"/>
    </row>
    <row r="59" spans="1:21" s="12" customFormat="1" x14ac:dyDescent="0.25">
      <c r="A59" s="214" t="s">
        <v>1256</v>
      </c>
      <c r="B59" s="64">
        <v>2</v>
      </c>
      <c r="C59" s="64">
        <v>2.33</v>
      </c>
      <c r="D59" s="64">
        <v>4.18</v>
      </c>
      <c r="E59" s="64">
        <v>18.149999999999999</v>
      </c>
      <c r="F59" s="64">
        <v>3.84</v>
      </c>
      <c r="G59" s="64">
        <v>74</v>
      </c>
      <c r="H59" s="64">
        <v>28.59</v>
      </c>
      <c r="I59" s="64">
        <v>1.5</v>
      </c>
      <c r="J59" s="64">
        <v>1.44</v>
      </c>
      <c r="K59" s="64">
        <v>334.47</v>
      </c>
      <c r="L59" s="64">
        <v>35.590000000000003</v>
      </c>
      <c r="M59" s="64">
        <v>32.61</v>
      </c>
      <c r="N59" s="64">
        <v>760.1</v>
      </c>
      <c r="O59" s="64">
        <v>0</v>
      </c>
      <c r="P59" s="64">
        <v>0.69</v>
      </c>
      <c r="Q59" s="64">
        <v>41.1</v>
      </c>
      <c r="R59" s="198"/>
      <c r="S59" s="198"/>
      <c r="T59" s="198"/>
      <c r="U59" s="198"/>
    </row>
    <row r="60" spans="1:21" s="12" customFormat="1" x14ac:dyDescent="0.25">
      <c r="A60" s="214" t="s">
        <v>1257</v>
      </c>
      <c r="B60" s="64">
        <v>2</v>
      </c>
      <c r="C60" s="64">
        <v>2.08</v>
      </c>
      <c r="D60" s="64">
        <v>4.05</v>
      </c>
      <c r="E60" s="64">
        <v>18.98</v>
      </c>
      <c r="F60" s="64">
        <v>2.69</v>
      </c>
      <c r="G60" s="212" t="s">
        <v>42</v>
      </c>
      <c r="H60" s="212" t="s">
        <v>42</v>
      </c>
      <c r="I60" s="64">
        <v>1.54</v>
      </c>
      <c r="J60" s="64">
        <v>0.99</v>
      </c>
      <c r="K60" s="64">
        <v>336.35</v>
      </c>
      <c r="L60" s="64">
        <v>35.69</v>
      </c>
      <c r="M60" s="64">
        <v>33</v>
      </c>
      <c r="N60" s="64">
        <v>726.9</v>
      </c>
      <c r="O60" s="64">
        <v>0</v>
      </c>
      <c r="P60" s="64">
        <v>0.69</v>
      </c>
      <c r="Q60" s="64">
        <v>1.64</v>
      </c>
      <c r="R60" s="198"/>
      <c r="S60" s="198"/>
      <c r="T60" s="198"/>
      <c r="U60" s="198"/>
    </row>
    <row r="61" spans="1:21" s="12" customFormat="1" x14ac:dyDescent="0.25">
      <c r="A61" s="214" t="s">
        <v>1258</v>
      </c>
      <c r="B61" s="64">
        <v>12.92</v>
      </c>
      <c r="C61" s="64">
        <v>1.97</v>
      </c>
      <c r="D61" s="64">
        <v>13.57</v>
      </c>
      <c r="E61" s="64">
        <v>8.34</v>
      </c>
      <c r="F61" s="64">
        <v>2.46</v>
      </c>
      <c r="G61" s="212" t="s">
        <v>42</v>
      </c>
      <c r="H61" s="212" t="s">
        <v>42</v>
      </c>
      <c r="I61" s="64">
        <v>1.53</v>
      </c>
      <c r="J61" s="64">
        <v>1.22</v>
      </c>
      <c r="K61" s="64">
        <v>329.49</v>
      </c>
      <c r="L61" s="64">
        <v>35.53</v>
      </c>
      <c r="M61" s="64">
        <v>33.479999999999997</v>
      </c>
      <c r="N61" s="64">
        <v>706</v>
      </c>
      <c r="O61" s="64">
        <v>0</v>
      </c>
      <c r="P61" s="64">
        <v>0.65</v>
      </c>
      <c r="Q61" s="64">
        <v>10.26</v>
      </c>
      <c r="R61" s="198"/>
      <c r="S61" s="198"/>
      <c r="T61" s="198"/>
      <c r="U61" s="198"/>
    </row>
    <row r="62" spans="1:21" s="12" customFormat="1" x14ac:dyDescent="0.25">
      <c r="A62" s="214" t="s">
        <v>1259</v>
      </c>
      <c r="B62" s="64">
        <v>141.93</v>
      </c>
      <c r="C62" s="64">
        <v>10.51</v>
      </c>
      <c r="D62" s="64">
        <v>152.41</v>
      </c>
      <c r="E62" s="64">
        <v>0.31</v>
      </c>
      <c r="F62" s="64">
        <v>2.93</v>
      </c>
      <c r="G62" s="212" t="s">
        <v>42</v>
      </c>
      <c r="H62" s="212" t="s">
        <v>42</v>
      </c>
      <c r="I62" s="64">
        <v>1.57</v>
      </c>
      <c r="J62" s="64">
        <v>0.7</v>
      </c>
      <c r="K62" s="64">
        <v>323.20999999999998</v>
      </c>
      <c r="L62" s="64">
        <v>34.85</v>
      </c>
      <c r="M62" s="64">
        <v>33.6</v>
      </c>
      <c r="N62" s="64">
        <v>664.5</v>
      </c>
      <c r="O62" s="64">
        <v>0</v>
      </c>
      <c r="P62" s="64">
        <v>0.64</v>
      </c>
      <c r="Q62" s="64">
        <v>42.1</v>
      </c>
      <c r="R62" s="198"/>
      <c r="S62" s="198"/>
      <c r="T62" s="198"/>
      <c r="U62" s="198"/>
    </row>
    <row r="63" spans="1:21" s="12" customFormat="1" x14ac:dyDescent="0.25">
      <c r="A63" s="214" t="s">
        <v>1260</v>
      </c>
      <c r="B63" s="64">
        <v>2.0499999999999998</v>
      </c>
      <c r="C63" s="64">
        <v>21.56</v>
      </c>
      <c r="D63" s="64">
        <v>15.06</v>
      </c>
      <c r="E63" s="64">
        <v>5.99</v>
      </c>
      <c r="F63" s="64">
        <v>3.47</v>
      </c>
      <c r="G63" s="64">
        <v>22.65</v>
      </c>
      <c r="H63" s="64">
        <v>2.27</v>
      </c>
      <c r="I63" s="64">
        <v>1.51</v>
      </c>
      <c r="J63" s="64">
        <v>0.39</v>
      </c>
      <c r="K63" s="64">
        <v>324.19</v>
      </c>
      <c r="L63" s="64">
        <v>34.299999999999997</v>
      </c>
      <c r="M63" s="64">
        <v>34.159999999999997</v>
      </c>
      <c r="N63" s="64">
        <v>512.6</v>
      </c>
      <c r="O63" s="64">
        <v>0</v>
      </c>
      <c r="P63" s="64">
        <v>0.61</v>
      </c>
      <c r="Q63" s="64">
        <v>39.520000000000003</v>
      </c>
      <c r="R63" s="198"/>
      <c r="S63" s="198"/>
      <c r="T63" s="198"/>
      <c r="U63" s="198"/>
    </row>
    <row r="64" spans="1:21" s="12" customFormat="1" x14ac:dyDescent="0.25">
      <c r="A64" s="214" t="s">
        <v>1261</v>
      </c>
      <c r="B64" s="64">
        <v>2</v>
      </c>
      <c r="C64" s="64">
        <v>20.09</v>
      </c>
      <c r="D64" s="64">
        <v>13.98</v>
      </c>
      <c r="E64" s="64">
        <v>8.0299999999999994</v>
      </c>
      <c r="F64" s="64">
        <v>3.39</v>
      </c>
      <c r="G64" s="64">
        <v>127.39</v>
      </c>
      <c r="H64" s="64">
        <v>12.75</v>
      </c>
      <c r="I64" s="64">
        <v>1.58</v>
      </c>
      <c r="J64" s="64">
        <v>0.8</v>
      </c>
      <c r="K64" s="64">
        <v>329.45</v>
      </c>
      <c r="L64" s="64">
        <v>34.119999999999997</v>
      </c>
      <c r="M64" s="64">
        <v>33.86</v>
      </c>
      <c r="N64" s="64">
        <v>235.9</v>
      </c>
      <c r="O64" s="64">
        <v>0</v>
      </c>
      <c r="P64" s="64">
        <v>0.62</v>
      </c>
      <c r="Q64" s="64">
        <v>2.58</v>
      </c>
      <c r="R64" s="198"/>
      <c r="S64" s="198"/>
      <c r="T64" s="198"/>
      <c r="U64" s="198"/>
    </row>
    <row r="65" spans="1:21" s="12" customFormat="1" x14ac:dyDescent="0.25">
      <c r="A65" s="214" t="s">
        <v>1262</v>
      </c>
      <c r="B65" s="64">
        <v>2.02</v>
      </c>
      <c r="C65" s="64">
        <v>20.09</v>
      </c>
      <c r="D65" s="64">
        <v>14</v>
      </c>
      <c r="E65" s="64">
        <v>7.25</v>
      </c>
      <c r="F65" s="64">
        <v>3.91</v>
      </c>
      <c r="G65" s="64">
        <v>127.39</v>
      </c>
      <c r="H65" s="64">
        <v>12.75</v>
      </c>
      <c r="I65" s="64">
        <v>1.55</v>
      </c>
      <c r="J65" s="64">
        <v>0.66</v>
      </c>
      <c r="K65" s="64">
        <v>339.28</v>
      </c>
      <c r="L65" s="64">
        <v>33.450000000000003</v>
      </c>
      <c r="M65" s="64">
        <v>34.17</v>
      </c>
      <c r="N65" s="64">
        <v>235.1</v>
      </c>
      <c r="O65" s="64">
        <v>0</v>
      </c>
      <c r="P65" s="64">
        <v>0.63</v>
      </c>
      <c r="Q65" s="64">
        <v>0</v>
      </c>
      <c r="R65" s="198"/>
      <c r="S65" s="198"/>
      <c r="T65" s="198"/>
      <c r="U65" s="198"/>
    </row>
    <row r="66" spans="1:21" s="12" customFormat="1" x14ac:dyDescent="0.25">
      <c r="A66" s="214" t="s">
        <v>1263</v>
      </c>
      <c r="B66" s="64">
        <v>2.88</v>
      </c>
      <c r="C66" s="64">
        <v>25.22</v>
      </c>
      <c r="D66" s="64">
        <v>17.52</v>
      </c>
      <c r="E66" s="64">
        <v>10.56</v>
      </c>
      <c r="F66" s="64">
        <v>3.81</v>
      </c>
      <c r="G66" s="64">
        <v>127.39</v>
      </c>
      <c r="H66" s="64">
        <v>12.75</v>
      </c>
      <c r="I66" s="64">
        <v>1.49</v>
      </c>
      <c r="J66" s="64">
        <v>0.95</v>
      </c>
      <c r="K66" s="64">
        <v>330.85</v>
      </c>
      <c r="L66" s="64">
        <v>33.79</v>
      </c>
      <c r="M66" s="64">
        <v>33.81</v>
      </c>
      <c r="N66" s="64">
        <v>207.8</v>
      </c>
      <c r="O66" s="64">
        <v>0</v>
      </c>
      <c r="P66" s="64">
        <v>0.64</v>
      </c>
      <c r="Q66" s="64">
        <v>0</v>
      </c>
      <c r="R66" s="198"/>
      <c r="S66" s="198"/>
      <c r="T66" s="198"/>
      <c r="U66" s="198"/>
    </row>
    <row r="67" spans="1:21" s="12" customFormat="1" x14ac:dyDescent="0.25">
      <c r="A67" s="214" t="s">
        <v>1264</v>
      </c>
      <c r="B67" s="64">
        <v>2.77</v>
      </c>
      <c r="C67" s="64">
        <v>28.03</v>
      </c>
      <c r="D67" s="64">
        <v>18.98</v>
      </c>
      <c r="E67" s="64">
        <v>34.06</v>
      </c>
      <c r="F67" s="64">
        <v>3.12</v>
      </c>
      <c r="G67" s="64">
        <v>124.42</v>
      </c>
      <c r="H67" s="64">
        <v>13.37</v>
      </c>
      <c r="I67" s="64">
        <v>1.51</v>
      </c>
      <c r="J67" s="64">
        <v>1.04</v>
      </c>
      <c r="K67" s="64">
        <v>340.7</v>
      </c>
      <c r="L67" s="64">
        <v>33.67</v>
      </c>
      <c r="M67" s="64">
        <v>33.14</v>
      </c>
      <c r="N67" s="64">
        <v>172.9</v>
      </c>
      <c r="O67" s="64">
        <v>0</v>
      </c>
      <c r="P67" s="64">
        <v>0.68</v>
      </c>
      <c r="Q67" s="64">
        <v>9.76</v>
      </c>
      <c r="R67" s="198"/>
      <c r="S67" s="198"/>
      <c r="T67" s="198"/>
      <c r="U67" s="198"/>
    </row>
    <row r="68" spans="1:21" s="12" customFormat="1" x14ac:dyDescent="0.25">
      <c r="A68" s="214" t="s">
        <v>1265</v>
      </c>
      <c r="B68" s="64">
        <v>2.4300000000000002</v>
      </c>
      <c r="C68" s="64">
        <v>27.94</v>
      </c>
      <c r="D68" s="64">
        <v>18.66</v>
      </c>
      <c r="E68" s="64">
        <v>16.77</v>
      </c>
      <c r="F68" s="64">
        <v>3.06</v>
      </c>
      <c r="G68" s="64">
        <v>110.65</v>
      </c>
      <c r="H68" s="64">
        <v>16.2</v>
      </c>
      <c r="I68" s="64">
        <v>1.44</v>
      </c>
      <c r="J68" s="64">
        <v>0.41</v>
      </c>
      <c r="K68" s="64">
        <v>335.36</v>
      </c>
      <c r="L68" s="64">
        <v>32.71</v>
      </c>
      <c r="M68" s="64">
        <v>35.86</v>
      </c>
      <c r="N68" s="64">
        <v>150.4</v>
      </c>
      <c r="O68" s="64">
        <v>0</v>
      </c>
      <c r="P68" s="64">
        <v>0.67</v>
      </c>
      <c r="Q68" s="64">
        <v>30.02</v>
      </c>
      <c r="R68" s="198"/>
      <c r="S68" s="198"/>
      <c r="T68" s="198"/>
      <c r="U68" s="198"/>
    </row>
    <row r="69" spans="1:21" s="12" customFormat="1" x14ac:dyDescent="0.25">
      <c r="A69" s="214" t="s">
        <v>1266</v>
      </c>
      <c r="B69" s="64">
        <v>2.34</v>
      </c>
      <c r="C69" s="64">
        <v>25.8</v>
      </c>
      <c r="D69" s="64">
        <v>17.41</v>
      </c>
      <c r="E69" s="64">
        <v>15.92</v>
      </c>
      <c r="F69" s="64">
        <v>2.4900000000000002</v>
      </c>
      <c r="G69" s="64">
        <v>110.65</v>
      </c>
      <c r="H69" s="64">
        <v>16.2</v>
      </c>
      <c r="I69" s="64">
        <v>1.48</v>
      </c>
      <c r="J69" s="64">
        <v>0.73</v>
      </c>
      <c r="K69" s="64">
        <v>343.16</v>
      </c>
      <c r="L69" s="64">
        <v>31.91</v>
      </c>
      <c r="M69" s="64">
        <v>37.700000000000003</v>
      </c>
      <c r="N69" s="64">
        <v>125.4</v>
      </c>
      <c r="O69" s="64">
        <v>0</v>
      </c>
      <c r="P69" s="64">
        <v>0.65</v>
      </c>
      <c r="Q69" s="64">
        <v>32.18</v>
      </c>
      <c r="R69" s="198"/>
      <c r="S69" s="198"/>
      <c r="T69" s="198"/>
      <c r="U69" s="198"/>
    </row>
    <row r="70" spans="1:21" s="12" customFormat="1" x14ac:dyDescent="0.25">
      <c r="A70" s="214" t="s">
        <v>1267</v>
      </c>
      <c r="B70" s="64">
        <v>2.33</v>
      </c>
      <c r="C70" s="64">
        <v>25.24</v>
      </c>
      <c r="D70" s="64">
        <v>17.079999999999998</v>
      </c>
      <c r="E70" s="64">
        <v>5.72</v>
      </c>
      <c r="F70" s="64">
        <v>3.42</v>
      </c>
      <c r="G70" s="64">
        <v>110.65</v>
      </c>
      <c r="H70" s="64">
        <v>16.2</v>
      </c>
      <c r="I70" s="64">
        <v>1.5</v>
      </c>
      <c r="J70" s="64">
        <v>0.2</v>
      </c>
      <c r="K70" s="64">
        <v>3.75</v>
      </c>
      <c r="L70" s="64">
        <v>31.18</v>
      </c>
      <c r="M70" s="64">
        <v>40.159999999999997</v>
      </c>
      <c r="N70" s="64">
        <v>104.8</v>
      </c>
      <c r="O70" s="64">
        <v>0</v>
      </c>
      <c r="P70" s="64">
        <v>0.68</v>
      </c>
      <c r="Q70" s="64">
        <v>0.47</v>
      </c>
      <c r="R70" s="198"/>
      <c r="S70" s="198"/>
      <c r="T70" s="198"/>
      <c r="U70" s="198"/>
    </row>
    <row r="71" spans="1:21" s="12" customFormat="1" x14ac:dyDescent="0.25">
      <c r="A71" s="214" t="s">
        <v>1268</v>
      </c>
      <c r="B71" s="64">
        <v>2.1800000000000002</v>
      </c>
      <c r="C71" s="64">
        <v>23.98</v>
      </c>
      <c r="D71" s="64">
        <v>16.28</v>
      </c>
      <c r="E71" s="64">
        <v>4.84</v>
      </c>
      <c r="F71" s="64">
        <v>1.65</v>
      </c>
      <c r="G71" s="64">
        <v>107.45</v>
      </c>
      <c r="H71" s="64">
        <v>16.39</v>
      </c>
      <c r="I71" s="64">
        <v>1.43</v>
      </c>
      <c r="J71" s="64">
        <v>0.91</v>
      </c>
      <c r="K71" s="64">
        <v>112.4</v>
      </c>
      <c r="L71" s="64">
        <v>30.28</v>
      </c>
      <c r="M71" s="64">
        <v>42.12</v>
      </c>
      <c r="N71" s="64">
        <v>92</v>
      </c>
      <c r="O71" s="64">
        <v>0</v>
      </c>
      <c r="P71" s="64">
        <v>0.6</v>
      </c>
      <c r="Q71" s="64">
        <v>4</v>
      </c>
      <c r="R71" s="198"/>
      <c r="S71" s="198"/>
      <c r="T71" s="198"/>
      <c r="U71" s="198"/>
    </row>
    <row r="72" spans="1:21" s="12" customFormat="1" x14ac:dyDescent="0.25">
      <c r="A72" s="214" t="s">
        <v>1269</v>
      </c>
      <c r="B72" s="64">
        <v>2.0299999999999998</v>
      </c>
      <c r="C72" s="64">
        <v>21.26</v>
      </c>
      <c r="D72" s="64">
        <v>14.66</v>
      </c>
      <c r="E72" s="64">
        <v>3.31</v>
      </c>
      <c r="F72" s="64">
        <v>1.83</v>
      </c>
      <c r="G72" s="64">
        <v>91.43</v>
      </c>
      <c r="H72" s="64">
        <v>17.260000000000002</v>
      </c>
      <c r="I72" s="64">
        <v>1.56</v>
      </c>
      <c r="J72" s="64">
        <v>0.82</v>
      </c>
      <c r="K72" s="64">
        <v>109.01</v>
      </c>
      <c r="L72" s="64">
        <v>29.9</v>
      </c>
      <c r="M72" s="64">
        <v>42.85</v>
      </c>
      <c r="N72" s="64">
        <v>79.8</v>
      </c>
      <c r="O72" s="64">
        <v>0</v>
      </c>
      <c r="P72" s="64">
        <v>0.56999999999999995</v>
      </c>
      <c r="Q72" s="64">
        <v>4.8600000000000003</v>
      </c>
      <c r="R72" s="198"/>
      <c r="S72" s="198"/>
      <c r="T72" s="198"/>
      <c r="U72" s="198"/>
    </row>
    <row r="73" spans="1:21" s="12" customFormat="1" x14ac:dyDescent="0.25">
      <c r="A73" s="214" t="s">
        <v>1270</v>
      </c>
      <c r="B73" s="64">
        <v>2</v>
      </c>
      <c r="C73" s="64">
        <v>18.559999999999999</v>
      </c>
      <c r="D73" s="64">
        <v>13.14</v>
      </c>
      <c r="E73" s="64">
        <v>2.58</v>
      </c>
      <c r="F73" s="64">
        <v>4.1399999999999997</v>
      </c>
      <c r="G73" s="64">
        <v>91.43</v>
      </c>
      <c r="H73" s="64">
        <v>17.260000000000002</v>
      </c>
      <c r="I73" s="64">
        <v>1.47</v>
      </c>
      <c r="J73" s="64">
        <v>0.19</v>
      </c>
      <c r="K73" s="64">
        <v>69.03</v>
      </c>
      <c r="L73" s="64">
        <v>29.86</v>
      </c>
      <c r="M73" s="64">
        <v>42.8</v>
      </c>
      <c r="N73" s="64">
        <v>68.3</v>
      </c>
      <c r="O73" s="64">
        <v>0</v>
      </c>
      <c r="P73" s="64">
        <v>0.52</v>
      </c>
      <c r="Q73" s="64">
        <v>5.04</v>
      </c>
      <c r="R73" s="198"/>
      <c r="S73" s="198"/>
      <c r="T73" s="198"/>
      <c r="U73" s="198"/>
    </row>
    <row r="74" spans="1:21" s="12" customFormat="1" x14ac:dyDescent="0.25">
      <c r="A74" s="214" t="s">
        <v>1271</v>
      </c>
      <c r="B74" s="64">
        <v>2.52</v>
      </c>
      <c r="C74" s="64">
        <v>20.149999999999999</v>
      </c>
      <c r="D74" s="64">
        <v>14.43</v>
      </c>
      <c r="E74" s="64">
        <v>1.51</v>
      </c>
      <c r="F74" s="64">
        <v>5.32</v>
      </c>
      <c r="G74" s="64">
        <v>91.43</v>
      </c>
      <c r="H74" s="64">
        <v>17.260000000000002</v>
      </c>
      <c r="I74" s="64">
        <v>1.47</v>
      </c>
      <c r="J74" s="64">
        <v>0.38</v>
      </c>
      <c r="K74" s="64">
        <v>100.66</v>
      </c>
      <c r="L74" s="64">
        <v>29.78</v>
      </c>
      <c r="M74" s="64">
        <v>41.85</v>
      </c>
      <c r="N74" s="64">
        <v>58.2</v>
      </c>
      <c r="O74" s="64">
        <v>0</v>
      </c>
      <c r="P74" s="64">
        <v>0.62</v>
      </c>
      <c r="Q74" s="64">
        <v>4.8099999999999996</v>
      </c>
      <c r="R74" s="198"/>
      <c r="S74" s="198"/>
      <c r="T74" s="198"/>
      <c r="U74" s="198"/>
    </row>
    <row r="75" spans="1:21" s="12" customFormat="1" x14ac:dyDescent="0.25">
      <c r="A75" s="214" t="s">
        <v>1272</v>
      </c>
      <c r="B75" s="64">
        <v>2.2799999999999998</v>
      </c>
      <c r="C75" s="64">
        <v>23.48</v>
      </c>
      <c r="D75" s="64">
        <v>16.079999999999998</v>
      </c>
      <c r="E75" s="64">
        <v>1.74</v>
      </c>
      <c r="F75" s="64">
        <v>6.89</v>
      </c>
      <c r="G75" s="64">
        <v>90.57</v>
      </c>
      <c r="H75" s="64">
        <v>17.73</v>
      </c>
      <c r="I75" s="64">
        <v>1.42</v>
      </c>
      <c r="J75" s="64">
        <v>0.27</v>
      </c>
      <c r="K75" s="64">
        <v>98.91</v>
      </c>
      <c r="L75" s="64">
        <v>29.69</v>
      </c>
      <c r="M75" s="64">
        <v>41.67</v>
      </c>
      <c r="N75" s="64">
        <v>48.4</v>
      </c>
      <c r="O75" s="64">
        <v>0</v>
      </c>
      <c r="P75" s="64">
        <v>0.61</v>
      </c>
      <c r="Q75" s="64">
        <v>4.42</v>
      </c>
      <c r="R75" s="198"/>
      <c r="S75" s="198"/>
      <c r="T75" s="198"/>
      <c r="U75" s="198"/>
    </row>
    <row r="76" spans="1:21" s="12" customFormat="1" x14ac:dyDescent="0.25">
      <c r="A76" s="214" t="s">
        <v>1273</v>
      </c>
      <c r="B76" s="64">
        <v>2.0099999999999998</v>
      </c>
      <c r="C76" s="64">
        <v>24.29</v>
      </c>
      <c r="D76" s="64">
        <v>16.309999999999999</v>
      </c>
      <c r="E76" s="64">
        <v>1.1399999999999999</v>
      </c>
      <c r="F76" s="64">
        <v>15.93</v>
      </c>
      <c r="G76" s="64">
        <v>87.37</v>
      </c>
      <c r="H76" s="64">
        <v>19.47</v>
      </c>
      <c r="I76" s="64">
        <v>1.47</v>
      </c>
      <c r="J76" s="64">
        <v>0.32</v>
      </c>
      <c r="K76" s="64">
        <v>98.92</v>
      </c>
      <c r="L76" s="64">
        <v>29.24</v>
      </c>
      <c r="M76" s="64">
        <v>41.97</v>
      </c>
      <c r="N76" s="64">
        <v>36.799999999999997</v>
      </c>
      <c r="O76" s="64">
        <v>0</v>
      </c>
      <c r="P76" s="64">
        <v>0.38</v>
      </c>
      <c r="Q76" s="64">
        <v>4.32</v>
      </c>
      <c r="R76" s="198"/>
      <c r="S76" s="198"/>
      <c r="T76" s="198"/>
      <c r="U76" s="198"/>
    </row>
    <row r="77" spans="1:21" s="12" customFormat="1" x14ac:dyDescent="0.25">
      <c r="A77" s="214" t="s">
        <v>1274</v>
      </c>
      <c r="B77" s="64">
        <v>2</v>
      </c>
      <c r="C77" s="64">
        <v>23.16</v>
      </c>
      <c r="D77" s="64">
        <v>15.68</v>
      </c>
      <c r="E77" s="64">
        <v>0.79</v>
      </c>
      <c r="F77" s="64">
        <v>9.9700000000000006</v>
      </c>
      <c r="G77" s="64">
        <v>87.37</v>
      </c>
      <c r="H77" s="64">
        <v>19.47</v>
      </c>
      <c r="I77" s="64">
        <v>1.5</v>
      </c>
      <c r="J77" s="64">
        <v>0.22</v>
      </c>
      <c r="K77" s="64">
        <v>96.29</v>
      </c>
      <c r="L77" s="64">
        <v>28.92</v>
      </c>
      <c r="M77" s="64">
        <v>41.15</v>
      </c>
      <c r="N77" s="64">
        <v>24.9</v>
      </c>
      <c r="O77" s="64">
        <v>0</v>
      </c>
      <c r="P77" s="64">
        <v>0.56999999999999995</v>
      </c>
      <c r="Q77" s="64">
        <v>4.51</v>
      </c>
      <c r="R77" s="198"/>
      <c r="S77" s="198"/>
      <c r="T77" s="198"/>
      <c r="U77" s="198"/>
    </row>
    <row r="78" spans="1:21" s="12" customFormat="1" x14ac:dyDescent="0.25">
      <c r="A78" s="214" t="s">
        <v>1275</v>
      </c>
      <c r="B78" s="64">
        <v>2</v>
      </c>
      <c r="C78" s="64">
        <v>22.09</v>
      </c>
      <c r="D78" s="64">
        <v>15.09</v>
      </c>
      <c r="E78" s="64">
        <v>1.1499999999999999</v>
      </c>
      <c r="F78" s="64">
        <v>4.28</v>
      </c>
      <c r="G78" s="64">
        <v>87.37</v>
      </c>
      <c r="H78" s="64">
        <v>19.47</v>
      </c>
      <c r="I78" s="64">
        <v>1.5</v>
      </c>
      <c r="J78" s="64">
        <v>0.19</v>
      </c>
      <c r="K78" s="64">
        <v>89.97</v>
      </c>
      <c r="L78" s="64">
        <v>28.65</v>
      </c>
      <c r="M78" s="64">
        <v>41.61</v>
      </c>
      <c r="N78" s="64">
        <v>14.9</v>
      </c>
      <c r="O78" s="64">
        <v>0</v>
      </c>
      <c r="P78" s="64">
        <v>0.56000000000000005</v>
      </c>
      <c r="Q78" s="64">
        <v>4.72</v>
      </c>
      <c r="R78" s="198"/>
      <c r="S78" s="198"/>
      <c r="T78" s="198"/>
      <c r="U78" s="198"/>
    </row>
    <row r="79" spans="1:21" s="12" customFormat="1" x14ac:dyDescent="0.25">
      <c r="A79" s="214" t="s">
        <v>1276</v>
      </c>
      <c r="B79" s="64">
        <v>2.0299999999999998</v>
      </c>
      <c r="C79" s="64">
        <v>23.32</v>
      </c>
      <c r="D79" s="64">
        <v>15.79</v>
      </c>
      <c r="E79" s="64">
        <v>1.74</v>
      </c>
      <c r="F79" s="64">
        <v>1.85</v>
      </c>
      <c r="G79" s="64">
        <v>86.18</v>
      </c>
      <c r="H79" s="64">
        <v>18.53</v>
      </c>
      <c r="I79" s="64">
        <v>1.52</v>
      </c>
      <c r="J79" s="64">
        <v>0.11</v>
      </c>
      <c r="K79" s="64">
        <v>175.99</v>
      </c>
      <c r="L79" s="64">
        <v>28.28</v>
      </c>
      <c r="M79" s="64">
        <v>43.09</v>
      </c>
      <c r="N79" s="64">
        <v>9.6999999999999993</v>
      </c>
      <c r="O79" s="64">
        <v>0</v>
      </c>
      <c r="P79" s="64">
        <v>0.59</v>
      </c>
      <c r="Q79" s="64">
        <v>4.51</v>
      </c>
      <c r="R79" s="198"/>
      <c r="S79" s="198"/>
      <c r="T79" s="198"/>
      <c r="U79" s="198"/>
    </row>
    <row r="80" spans="1:21" s="12" customFormat="1" x14ac:dyDescent="0.25">
      <c r="A80" s="214" t="s">
        <v>1277</v>
      </c>
      <c r="B80" s="64">
        <v>2</v>
      </c>
      <c r="C80" s="64">
        <v>24.26</v>
      </c>
      <c r="D80" s="64">
        <v>16.28</v>
      </c>
      <c r="E80" s="64">
        <v>1.52</v>
      </c>
      <c r="F80" s="64">
        <v>1.71</v>
      </c>
      <c r="G80" s="64">
        <v>81.73</v>
      </c>
      <c r="H80" s="64">
        <v>16.03</v>
      </c>
      <c r="I80" s="64">
        <v>1.54</v>
      </c>
      <c r="J80" s="64">
        <v>0.18</v>
      </c>
      <c r="K80" s="64">
        <v>207.25</v>
      </c>
      <c r="L80" s="64">
        <v>28.1</v>
      </c>
      <c r="M80" s="64">
        <v>45.73</v>
      </c>
      <c r="N80" s="64">
        <v>8.1</v>
      </c>
      <c r="O80" s="64">
        <v>0</v>
      </c>
      <c r="P80" s="64">
        <v>0.65</v>
      </c>
      <c r="Q80" s="64">
        <v>4.42</v>
      </c>
      <c r="R80" s="198"/>
      <c r="S80" s="198"/>
      <c r="T80" s="198"/>
      <c r="U80" s="198"/>
    </row>
    <row r="81" spans="1:26" s="12" customFormat="1" x14ac:dyDescent="0.25">
      <c r="A81" s="214" t="s">
        <v>1278</v>
      </c>
      <c r="B81" s="64">
        <v>2.15</v>
      </c>
      <c r="C81" s="64">
        <v>22.66</v>
      </c>
      <c r="D81" s="64">
        <v>15.52</v>
      </c>
      <c r="E81" s="64">
        <v>1.7</v>
      </c>
      <c r="F81" s="64">
        <v>0.65</v>
      </c>
      <c r="G81" s="64">
        <v>81.73</v>
      </c>
      <c r="H81" s="64">
        <v>16.03</v>
      </c>
      <c r="I81" s="64">
        <v>1.49</v>
      </c>
      <c r="J81" s="64">
        <v>0.1</v>
      </c>
      <c r="K81" s="64">
        <v>239.81</v>
      </c>
      <c r="L81" s="64">
        <v>27.74</v>
      </c>
      <c r="M81" s="64">
        <v>45.58</v>
      </c>
      <c r="N81" s="64">
        <v>8.1999999999999993</v>
      </c>
      <c r="O81" s="64">
        <v>0</v>
      </c>
      <c r="P81" s="64">
        <v>0.69</v>
      </c>
      <c r="Q81" s="64">
        <v>4.55</v>
      </c>
      <c r="R81" s="198"/>
      <c r="S81" s="198"/>
      <c r="T81" s="198"/>
      <c r="U81" s="198"/>
    </row>
    <row r="82" spans="1:26" s="12" customFormat="1" x14ac:dyDescent="0.25">
      <c r="A82" s="214" t="s">
        <v>1279</v>
      </c>
      <c r="B82" s="64">
        <v>2.44</v>
      </c>
      <c r="C82" s="64">
        <v>22.67</v>
      </c>
      <c r="D82" s="64">
        <v>15.76</v>
      </c>
      <c r="E82" s="64">
        <v>1.47</v>
      </c>
      <c r="F82" s="64">
        <v>0.51</v>
      </c>
      <c r="G82" s="64">
        <v>81.73</v>
      </c>
      <c r="H82" s="64">
        <v>16.03</v>
      </c>
      <c r="I82" s="64">
        <v>1.5</v>
      </c>
      <c r="J82" s="64">
        <v>0.12</v>
      </c>
      <c r="K82" s="64">
        <v>211.79</v>
      </c>
      <c r="L82" s="64">
        <v>27.58</v>
      </c>
      <c r="M82" s="64">
        <v>48.2</v>
      </c>
      <c r="N82" s="64">
        <v>8</v>
      </c>
      <c r="O82" s="64">
        <v>0</v>
      </c>
      <c r="P82" s="64">
        <v>0.74</v>
      </c>
      <c r="Q82" s="64">
        <v>4.62</v>
      </c>
      <c r="R82" s="198"/>
      <c r="S82" s="198"/>
      <c r="T82" s="198"/>
      <c r="U82" s="198"/>
    </row>
    <row r="83" spans="1:26" s="12" customFormat="1" x14ac:dyDescent="0.25">
      <c r="A83" s="214" t="s">
        <v>1280</v>
      </c>
      <c r="B83" s="64">
        <v>4.24</v>
      </c>
      <c r="C83" s="64">
        <v>22.57</v>
      </c>
      <c r="D83" s="64">
        <v>17.149999999999999</v>
      </c>
      <c r="E83" s="64">
        <v>1.1299999999999999</v>
      </c>
      <c r="F83" s="64">
        <v>0.54</v>
      </c>
      <c r="G83" s="64">
        <v>87.44</v>
      </c>
      <c r="H83" s="64">
        <v>19.510000000000002</v>
      </c>
      <c r="I83" s="64">
        <v>1.53</v>
      </c>
      <c r="J83" s="64">
        <v>0.16</v>
      </c>
      <c r="K83" s="64">
        <v>325.83999999999997</v>
      </c>
      <c r="L83" s="64">
        <v>26.93</v>
      </c>
      <c r="M83" s="64">
        <v>58.39</v>
      </c>
      <c r="N83" s="64">
        <v>8.5</v>
      </c>
      <c r="O83" s="64">
        <v>0</v>
      </c>
      <c r="P83" s="64">
        <v>2.0499999999999998</v>
      </c>
      <c r="Q83" s="64">
        <v>4.47</v>
      </c>
      <c r="R83" s="198"/>
      <c r="S83" s="198"/>
      <c r="T83" s="198"/>
      <c r="U83" s="198"/>
    </row>
    <row r="84" spans="1:26" s="12" customFormat="1" x14ac:dyDescent="0.25">
      <c r="A84" s="214" t="s">
        <v>1281</v>
      </c>
      <c r="B84" s="64">
        <v>8.1300000000000008</v>
      </c>
      <c r="C84" s="64">
        <v>22.19</v>
      </c>
      <c r="D84" s="64">
        <v>20.059999999999999</v>
      </c>
      <c r="E84" s="64">
        <v>1.25</v>
      </c>
      <c r="F84" s="64">
        <v>0.8</v>
      </c>
      <c r="G84" s="64">
        <v>108.79</v>
      </c>
      <c r="H84" s="64">
        <v>36.21</v>
      </c>
      <c r="I84" s="64">
        <v>1.53</v>
      </c>
      <c r="J84" s="64">
        <v>0.13</v>
      </c>
      <c r="K84" s="64">
        <v>202.12</v>
      </c>
      <c r="L84" s="64">
        <v>26.41</v>
      </c>
      <c r="M84" s="64">
        <v>58.34</v>
      </c>
      <c r="N84" s="64">
        <v>8.6</v>
      </c>
      <c r="O84" s="64">
        <v>0</v>
      </c>
      <c r="P84" s="64">
        <v>1.26</v>
      </c>
      <c r="Q84" s="64">
        <v>4.46</v>
      </c>
      <c r="R84" s="198"/>
      <c r="S84" s="198"/>
      <c r="T84" s="198"/>
      <c r="U84" s="198"/>
    </row>
    <row r="85" spans="1:26" s="12" customFormat="1" x14ac:dyDescent="0.25">
      <c r="A85" s="214" t="s">
        <v>1282</v>
      </c>
      <c r="B85" s="64">
        <v>9.7899999999999991</v>
      </c>
      <c r="C85" s="64">
        <v>22.07</v>
      </c>
      <c r="D85" s="64">
        <v>21.32</v>
      </c>
      <c r="E85" s="64">
        <v>2.2799999999999998</v>
      </c>
      <c r="F85" s="64">
        <v>0.15</v>
      </c>
      <c r="G85" s="64">
        <v>108.79</v>
      </c>
      <c r="H85" s="64">
        <v>36.21</v>
      </c>
      <c r="I85" s="64">
        <v>1.41</v>
      </c>
      <c r="J85" s="64">
        <v>7.0000000000000007E-2</v>
      </c>
      <c r="K85" s="64">
        <v>228.23</v>
      </c>
      <c r="L85" s="64">
        <v>26.84</v>
      </c>
      <c r="M85" s="64">
        <v>56.49</v>
      </c>
      <c r="N85" s="64">
        <v>8.5</v>
      </c>
      <c r="O85" s="64">
        <v>0</v>
      </c>
      <c r="P85" s="64">
        <v>0.97</v>
      </c>
      <c r="Q85" s="64">
        <v>4.4400000000000004</v>
      </c>
      <c r="R85" s="198"/>
      <c r="S85" s="198"/>
      <c r="T85" s="198"/>
      <c r="U85" s="198"/>
    </row>
    <row r="86" spans="1:26" s="12" customFormat="1" x14ac:dyDescent="0.25">
      <c r="A86" s="214" t="s">
        <v>1283</v>
      </c>
      <c r="B86" s="64">
        <v>9.73</v>
      </c>
      <c r="C86" s="64">
        <v>22.55</v>
      </c>
      <c r="D86" s="64">
        <v>21.54</v>
      </c>
      <c r="E86" s="64">
        <v>1.58</v>
      </c>
      <c r="F86" s="64">
        <v>0.43</v>
      </c>
      <c r="G86" s="64">
        <v>108.79</v>
      </c>
      <c r="H86" s="64">
        <v>36.21</v>
      </c>
      <c r="I86" s="64">
        <v>1.51</v>
      </c>
      <c r="J86" s="64">
        <v>0.12</v>
      </c>
      <c r="K86" s="64">
        <v>226.6</v>
      </c>
      <c r="L86" s="64">
        <v>26.56</v>
      </c>
      <c r="M86" s="64">
        <v>57.23</v>
      </c>
      <c r="N86" s="64">
        <v>8.8000000000000007</v>
      </c>
      <c r="O86" s="64">
        <v>0</v>
      </c>
      <c r="P86" s="64">
        <v>0.88</v>
      </c>
      <c r="Q86" s="64">
        <v>4.6100000000000003</v>
      </c>
      <c r="R86" s="198"/>
      <c r="S86" s="198"/>
      <c r="T86" s="198"/>
      <c r="U86" s="198"/>
    </row>
    <row r="87" spans="1:26" s="12" customFormat="1" x14ac:dyDescent="0.25">
      <c r="A87" s="214" t="s">
        <v>1284</v>
      </c>
      <c r="B87" s="64">
        <v>9.08</v>
      </c>
      <c r="C87" s="64">
        <v>21.08</v>
      </c>
      <c r="D87" s="64">
        <v>20.21</v>
      </c>
      <c r="E87" s="64">
        <v>1.62</v>
      </c>
      <c r="F87" s="64">
        <v>0.63</v>
      </c>
      <c r="G87" s="64">
        <v>109.13</v>
      </c>
      <c r="H87" s="64">
        <v>37.369999999999997</v>
      </c>
      <c r="I87" s="64">
        <v>1.48</v>
      </c>
      <c r="J87" s="64">
        <v>0.03</v>
      </c>
      <c r="K87" s="64">
        <v>268.36</v>
      </c>
      <c r="L87" s="64">
        <v>26.05</v>
      </c>
      <c r="M87" s="64">
        <v>60.61</v>
      </c>
      <c r="N87" s="64">
        <v>8.9</v>
      </c>
      <c r="O87" s="64">
        <v>0</v>
      </c>
      <c r="P87" s="64">
        <v>1.07</v>
      </c>
      <c r="Q87" s="64">
        <v>4.59</v>
      </c>
      <c r="R87" s="198"/>
      <c r="S87" s="198"/>
      <c r="T87" s="198"/>
      <c r="U87" s="198"/>
    </row>
    <row r="88" spans="1:26" s="12" customFormat="1" x14ac:dyDescent="0.25">
      <c r="A88" s="214" t="s">
        <v>1285</v>
      </c>
      <c r="B88" s="64">
        <v>8.89</v>
      </c>
      <c r="C88" s="64">
        <v>22.58</v>
      </c>
      <c r="D88" s="64">
        <v>20.88</v>
      </c>
      <c r="E88" s="64">
        <v>0.12</v>
      </c>
      <c r="F88" s="64">
        <v>0.19</v>
      </c>
      <c r="G88" s="64">
        <v>110.38</v>
      </c>
      <c r="H88" s="64">
        <v>40.31</v>
      </c>
      <c r="I88" s="64">
        <v>1.52</v>
      </c>
      <c r="J88" s="64">
        <v>0.04</v>
      </c>
      <c r="K88" s="64">
        <v>201.98</v>
      </c>
      <c r="L88" s="64">
        <v>25.81</v>
      </c>
      <c r="M88" s="64">
        <v>63.71</v>
      </c>
      <c r="N88" s="64">
        <v>8.8000000000000007</v>
      </c>
      <c r="O88" s="64">
        <v>0</v>
      </c>
      <c r="P88" s="64">
        <v>0.88</v>
      </c>
      <c r="Q88" s="64">
        <v>4.37</v>
      </c>
      <c r="R88" s="198"/>
      <c r="S88" s="198"/>
      <c r="T88" s="198"/>
      <c r="U88" s="198"/>
    </row>
    <row r="89" spans="1:26" s="12" customFormat="1" x14ac:dyDescent="0.25">
      <c r="A89" s="214" t="s">
        <v>1286</v>
      </c>
      <c r="B89" s="64">
        <v>8.8699999999999992</v>
      </c>
      <c r="C89" s="64">
        <v>22.67</v>
      </c>
      <c r="D89" s="64">
        <v>20.92</v>
      </c>
      <c r="E89" s="64">
        <v>0.8</v>
      </c>
      <c r="F89" s="64">
        <v>0.36</v>
      </c>
      <c r="G89" s="64">
        <v>110.38</v>
      </c>
      <c r="H89" s="64">
        <v>40.31</v>
      </c>
      <c r="I89" s="64">
        <v>1.44</v>
      </c>
      <c r="J89" s="64">
        <v>0.03</v>
      </c>
      <c r="K89" s="64">
        <v>229.8</v>
      </c>
      <c r="L89" s="64">
        <v>25.67</v>
      </c>
      <c r="M89" s="64">
        <v>66.19</v>
      </c>
      <c r="N89" s="64">
        <v>9</v>
      </c>
      <c r="O89" s="64">
        <v>0</v>
      </c>
      <c r="P89" s="64">
        <v>1.23</v>
      </c>
      <c r="Q89" s="64">
        <v>4.18</v>
      </c>
      <c r="R89" s="198"/>
      <c r="S89" s="198"/>
      <c r="T89" s="198"/>
      <c r="U89" s="198"/>
    </row>
    <row r="90" spans="1:26" s="12" customFormat="1" x14ac:dyDescent="0.25">
      <c r="A90" s="214" t="s">
        <v>1287</v>
      </c>
      <c r="B90" s="64">
        <v>9.34</v>
      </c>
      <c r="C90" s="64">
        <v>21.59</v>
      </c>
      <c r="D90" s="64">
        <v>20.7</v>
      </c>
      <c r="E90" s="64">
        <v>1.64</v>
      </c>
      <c r="F90" s="64">
        <v>0.23</v>
      </c>
      <c r="G90" s="64">
        <v>110.38</v>
      </c>
      <c r="H90" s="64">
        <v>40.31</v>
      </c>
      <c r="I90" s="64">
        <v>1.51</v>
      </c>
      <c r="J90" s="64">
        <v>0.11</v>
      </c>
      <c r="K90" s="64">
        <v>321.86</v>
      </c>
      <c r="L90" s="64">
        <v>25.3</v>
      </c>
      <c r="M90" s="64">
        <v>73.22</v>
      </c>
      <c r="N90" s="64">
        <v>8.9</v>
      </c>
      <c r="O90" s="64">
        <v>0</v>
      </c>
      <c r="P90" s="64">
        <v>2.1800000000000002</v>
      </c>
      <c r="Q90" s="64">
        <v>4.2300000000000004</v>
      </c>
      <c r="R90" s="198"/>
      <c r="S90" s="198"/>
      <c r="T90" s="198"/>
      <c r="U90" s="198"/>
    </row>
    <row r="91" spans="1:26" s="12" customFormat="1" x14ac:dyDescent="0.25">
      <c r="A91" s="214" t="s">
        <v>1288</v>
      </c>
      <c r="B91" s="64">
        <v>11.56</v>
      </c>
      <c r="C91" s="64">
        <v>22.4</v>
      </c>
      <c r="D91" s="64">
        <v>22.93</v>
      </c>
      <c r="E91" s="64">
        <v>1.27</v>
      </c>
      <c r="F91" s="64">
        <v>0.23</v>
      </c>
      <c r="G91" s="64">
        <v>111.5</v>
      </c>
      <c r="H91" s="64">
        <v>39.08</v>
      </c>
      <c r="I91" s="64">
        <v>1.55</v>
      </c>
      <c r="J91" s="64">
        <v>0.03</v>
      </c>
      <c r="K91" s="64">
        <v>192.7</v>
      </c>
      <c r="L91" s="64">
        <v>25.15</v>
      </c>
      <c r="M91" s="64">
        <v>71.349999999999994</v>
      </c>
      <c r="N91" s="64">
        <v>8.6999999999999993</v>
      </c>
      <c r="O91" s="64">
        <v>0</v>
      </c>
      <c r="P91" s="64">
        <v>1.27</v>
      </c>
      <c r="Q91" s="64">
        <v>4.29</v>
      </c>
      <c r="R91" s="198"/>
      <c r="S91" s="198"/>
      <c r="T91" s="198"/>
      <c r="U91" s="198"/>
    </row>
    <row r="92" spans="1:26" s="12" customFormat="1" x14ac:dyDescent="0.25">
      <c r="A92" s="214" t="s">
        <v>1289</v>
      </c>
      <c r="B92" s="64">
        <v>12.49</v>
      </c>
      <c r="C92" s="64">
        <v>20.12</v>
      </c>
      <c r="D92" s="64">
        <v>22.42</v>
      </c>
      <c r="E92" s="64">
        <v>1.59</v>
      </c>
      <c r="F92" s="64">
        <v>0.5</v>
      </c>
      <c r="G92" s="64">
        <v>115.65</v>
      </c>
      <c r="H92" s="64">
        <v>35.81</v>
      </c>
      <c r="I92" s="64">
        <v>1.5</v>
      </c>
      <c r="J92" s="64">
        <v>0.11</v>
      </c>
      <c r="K92" s="64">
        <v>342.69</v>
      </c>
      <c r="L92" s="64">
        <v>25.27</v>
      </c>
      <c r="M92" s="64">
        <v>70.489999999999995</v>
      </c>
      <c r="N92" s="64">
        <v>8.6</v>
      </c>
      <c r="O92" s="64">
        <v>0</v>
      </c>
      <c r="P92" s="64">
        <v>1.1200000000000001</v>
      </c>
      <c r="Q92" s="64">
        <v>4.41</v>
      </c>
      <c r="R92" s="198"/>
      <c r="S92" s="198"/>
      <c r="T92" s="198"/>
      <c r="U92" s="198"/>
    </row>
    <row r="93" spans="1:26" s="12" customFormat="1" x14ac:dyDescent="0.25">
      <c r="A93" s="214" t="s">
        <v>1290</v>
      </c>
      <c r="B93" s="64">
        <v>12.96</v>
      </c>
      <c r="C93" s="64">
        <v>20.82</v>
      </c>
      <c r="D93" s="64">
        <v>23.17</v>
      </c>
      <c r="E93" s="64">
        <v>1.42</v>
      </c>
      <c r="F93" s="64">
        <v>0.11</v>
      </c>
      <c r="G93" s="64">
        <v>115.65</v>
      </c>
      <c r="H93" s="64">
        <v>35.81</v>
      </c>
      <c r="I93" s="64">
        <v>1.56</v>
      </c>
      <c r="J93" s="64">
        <v>0.12</v>
      </c>
      <c r="K93" s="64">
        <v>178.09</v>
      </c>
      <c r="L93" s="64">
        <v>25.38</v>
      </c>
      <c r="M93" s="64">
        <v>71.97</v>
      </c>
      <c r="N93" s="64">
        <v>8.6</v>
      </c>
      <c r="O93" s="64">
        <v>0</v>
      </c>
      <c r="P93" s="64">
        <v>1.48</v>
      </c>
      <c r="Q93" s="64">
        <v>4.33</v>
      </c>
      <c r="R93" s="198"/>
      <c r="S93" s="198"/>
      <c r="T93" s="198"/>
      <c r="U93" s="198"/>
    </row>
    <row r="94" spans="1:26" s="12" customFormat="1" x14ac:dyDescent="0.25">
      <c r="A94" s="214" t="s">
        <v>1291</v>
      </c>
      <c r="B94" s="64">
        <v>13.66</v>
      </c>
      <c r="C94" s="64">
        <v>20.83</v>
      </c>
      <c r="D94" s="64">
        <v>23.75</v>
      </c>
      <c r="E94" s="64">
        <v>1.54</v>
      </c>
      <c r="F94" s="64">
        <v>0.47</v>
      </c>
      <c r="G94" s="64">
        <v>115.65</v>
      </c>
      <c r="H94" s="64">
        <v>35.81</v>
      </c>
      <c r="I94" s="64">
        <v>1.49</v>
      </c>
      <c r="J94" s="64">
        <v>0.09</v>
      </c>
      <c r="K94" s="64">
        <v>113.98</v>
      </c>
      <c r="L94" s="64">
        <v>25.75</v>
      </c>
      <c r="M94" s="64">
        <v>68.41</v>
      </c>
      <c r="N94" s="64">
        <v>8.3000000000000007</v>
      </c>
      <c r="O94" s="64">
        <v>0</v>
      </c>
      <c r="P94" s="64">
        <v>1.08</v>
      </c>
      <c r="Q94" s="64">
        <v>4.4800000000000004</v>
      </c>
      <c r="R94" s="198"/>
      <c r="S94" s="198"/>
      <c r="T94" s="198"/>
      <c r="U94" s="198"/>
    </row>
    <row r="95" spans="1:26" s="12" customFormat="1" x14ac:dyDescent="0.25">
      <c r="A95" s="214" t="s">
        <v>1292</v>
      </c>
      <c r="B95" s="64">
        <v>13.62</v>
      </c>
      <c r="C95" s="64">
        <v>19.52</v>
      </c>
      <c r="D95" s="64">
        <v>22.99</v>
      </c>
      <c r="E95" s="64">
        <v>1.49</v>
      </c>
      <c r="F95" s="64">
        <v>0.75</v>
      </c>
      <c r="G95" s="64">
        <v>114.56</v>
      </c>
      <c r="H95" s="64">
        <v>36.159999999999997</v>
      </c>
      <c r="I95" s="64">
        <v>1.45</v>
      </c>
      <c r="J95" s="64">
        <v>0.24</v>
      </c>
      <c r="K95" s="64">
        <v>169.98</v>
      </c>
      <c r="L95" s="64">
        <v>25.49</v>
      </c>
      <c r="M95" s="64">
        <v>70.89</v>
      </c>
      <c r="N95" s="64">
        <v>8.6999999999999993</v>
      </c>
      <c r="O95" s="64">
        <v>0</v>
      </c>
      <c r="P95" s="64">
        <v>1.1299999999999999</v>
      </c>
      <c r="Q95" s="64">
        <v>4.68</v>
      </c>
      <c r="R95" s="198"/>
      <c r="S95" s="198"/>
      <c r="T95" s="198"/>
      <c r="U95" s="198"/>
    </row>
    <row r="96" spans="1:26" s="12" customFormat="1" x14ac:dyDescent="0.25">
      <c r="A96" s="214" t="s">
        <v>1293</v>
      </c>
      <c r="B96" s="64">
        <v>13.16</v>
      </c>
      <c r="C96" s="64">
        <v>17.77</v>
      </c>
      <c r="D96" s="64">
        <v>21.65</v>
      </c>
      <c r="E96" s="64">
        <v>1.17</v>
      </c>
      <c r="F96" s="64">
        <v>0.39</v>
      </c>
      <c r="G96" s="64">
        <v>110.51</v>
      </c>
      <c r="H96" s="64">
        <v>37.07</v>
      </c>
      <c r="I96" s="64">
        <v>1.52</v>
      </c>
      <c r="J96" s="64">
        <v>0.69</v>
      </c>
      <c r="K96" s="64">
        <v>151.31</v>
      </c>
      <c r="L96" s="64">
        <v>25.65</v>
      </c>
      <c r="M96" s="64">
        <v>68.25</v>
      </c>
      <c r="N96" s="64">
        <v>8</v>
      </c>
      <c r="O96" s="64">
        <v>0</v>
      </c>
      <c r="P96" s="64">
        <v>1.01</v>
      </c>
      <c r="Q96" s="64">
        <v>4.74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1294</v>
      </c>
      <c r="B97" s="64">
        <v>12.25</v>
      </c>
      <c r="C97" s="64">
        <v>18.41</v>
      </c>
      <c r="D97" s="64">
        <v>21.27</v>
      </c>
      <c r="E97" s="64">
        <v>1.94</v>
      </c>
      <c r="F97" s="64">
        <v>0.47</v>
      </c>
      <c r="G97" s="64">
        <v>110.51</v>
      </c>
      <c r="H97" s="64">
        <v>37.07</v>
      </c>
      <c r="I97" s="64">
        <v>1.51</v>
      </c>
      <c r="J97" s="64">
        <v>0.12</v>
      </c>
      <c r="K97" s="64">
        <v>168.46</v>
      </c>
      <c r="L97" s="64">
        <v>25.66</v>
      </c>
      <c r="M97" s="64">
        <v>68.66</v>
      </c>
      <c r="N97" s="64">
        <v>8.8000000000000007</v>
      </c>
      <c r="O97" s="64">
        <v>0</v>
      </c>
      <c r="P97" s="64">
        <v>0.87</v>
      </c>
      <c r="Q97" s="64">
        <v>4.6500000000000004</v>
      </c>
      <c r="R97" s="198"/>
      <c r="S97" s="198"/>
      <c r="T97" s="198"/>
      <c r="U97" s="198"/>
    </row>
    <row r="98" spans="1:33" s="12" customFormat="1" x14ac:dyDescent="0.25">
      <c r="A98" s="214" t="s">
        <v>1295</v>
      </c>
      <c r="B98" s="64">
        <v>11.09</v>
      </c>
      <c r="C98" s="64">
        <v>18.21</v>
      </c>
      <c r="D98" s="64">
        <v>20.23</v>
      </c>
      <c r="E98" s="64">
        <v>1.63</v>
      </c>
      <c r="F98" s="64">
        <v>0.71</v>
      </c>
      <c r="G98" s="64">
        <v>110.51</v>
      </c>
      <c r="H98" s="64">
        <v>37.07</v>
      </c>
      <c r="I98" s="64">
        <v>1.5</v>
      </c>
      <c r="J98" s="64">
        <v>0.06</v>
      </c>
      <c r="K98" s="64">
        <v>211.18</v>
      </c>
      <c r="L98" s="64">
        <v>25.39</v>
      </c>
      <c r="M98" s="64">
        <v>69.62</v>
      </c>
      <c r="N98" s="64">
        <v>8.9</v>
      </c>
      <c r="O98" s="64">
        <v>0</v>
      </c>
      <c r="P98" s="64">
        <v>0.87</v>
      </c>
      <c r="Q98" s="64">
        <v>4.7</v>
      </c>
      <c r="R98" s="198"/>
      <c r="S98" s="198"/>
      <c r="T98" s="198"/>
      <c r="U98" s="198"/>
    </row>
    <row r="99" spans="1:33" s="12" customFormat="1" x14ac:dyDescent="0.25">
      <c r="A99" s="214" t="s">
        <v>1296</v>
      </c>
      <c r="B99" s="64">
        <v>10.130000000000001</v>
      </c>
      <c r="C99" s="64">
        <v>17.600000000000001</v>
      </c>
      <c r="D99" s="64">
        <v>19.13</v>
      </c>
      <c r="E99" s="64">
        <v>1.35</v>
      </c>
      <c r="F99" s="64">
        <v>0.71</v>
      </c>
      <c r="G99" s="64">
        <v>110.14</v>
      </c>
      <c r="H99" s="64">
        <v>36.380000000000003</v>
      </c>
      <c r="I99" s="64">
        <v>1.5</v>
      </c>
      <c r="J99" s="64">
        <v>0.09</v>
      </c>
      <c r="K99" s="64">
        <v>265.07</v>
      </c>
      <c r="L99" s="64">
        <v>25.28</v>
      </c>
      <c r="M99" s="64">
        <v>68.540000000000006</v>
      </c>
      <c r="N99" s="64">
        <v>9</v>
      </c>
      <c r="O99" s="64">
        <v>0</v>
      </c>
      <c r="P99" s="64">
        <v>0.9</v>
      </c>
      <c r="Q99" s="64">
        <v>4.7699999999999996</v>
      </c>
      <c r="R99" s="198"/>
      <c r="S99" s="198"/>
      <c r="T99" s="198"/>
      <c r="U99" s="198"/>
    </row>
    <row r="100" spans="1:33" s="12" customFormat="1" x14ac:dyDescent="0.25">
      <c r="A100" s="214" t="s">
        <v>1297</v>
      </c>
      <c r="B100" s="64">
        <v>9.66</v>
      </c>
      <c r="C100" s="64">
        <v>19.28</v>
      </c>
      <c r="D100" s="64">
        <v>19.68</v>
      </c>
      <c r="E100" s="64">
        <v>2.0099999999999998</v>
      </c>
      <c r="F100" s="64">
        <v>0.22</v>
      </c>
      <c r="G100" s="64">
        <v>108.77</v>
      </c>
      <c r="H100" s="64">
        <v>34.520000000000003</v>
      </c>
      <c r="I100" s="64">
        <v>1.48</v>
      </c>
      <c r="J100" s="64">
        <v>0.14000000000000001</v>
      </c>
      <c r="K100" s="64">
        <v>307.43</v>
      </c>
      <c r="L100" s="64">
        <v>24.98</v>
      </c>
      <c r="M100" s="64">
        <v>71.209999999999994</v>
      </c>
      <c r="N100" s="64">
        <v>9</v>
      </c>
      <c r="O100" s="64">
        <v>0</v>
      </c>
      <c r="P100" s="64">
        <v>1.1499999999999999</v>
      </c>
      <c r="Q100" s="64">
        <v>4.68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1298</v>
      </c>
      <c r="B101" s="64">
        <v>9.69</v>
      </c>
      <c r="C101" s="64">
        <v>19.04</v>
      </c>
      <c r="D101" s="64">
        <v>19.579999999999998</v>
      </c>
      <c r="E101" s="64">
        <v>1.51</v>
      </c>
      <c r="F101" s="64">
        <v>0.35</v>
      </c>
      <c r="G101" s="64">
        <v>108.77</v>
      </c>
      <c r="H101" s="64">
        <v>34.520000000000003</v>
      </c>
      <c r="I101" s="64">
        <v>1.59</v>
      </c>
      <c r="J101" s="64">
        <v>0.13</v>
      </c>
      <c r="K101" s="64">
        <v>322.12</v>
      </c>
      <c r="L101" s="64">
        <v>24.39</v>
      </c>
      <c r="M101" s="64">
        <v>77.78</v>
      </c>
      <c r="N101" s="64">
        <v>9.4</v>
      </c>
      <c r="O101" s="64">
        <v>0</v>
      </c>
      <c r="P101" s="64">
        <v>1.01</v>
      </c>
      <c r="Q101" s="64">
        <v>4.62</v>
      </c>
      <c r="R101" s="198"/>
      <c r="S101" s="198"/>
      <c r="T101" s="198"/>
      <c r="U101" s="198"/>
    </row>
    <row r="102" spans="1:33" s="12" customFormat="1" x14ac:dyDescent="0.25">
      <c r="A102" s="214" t="s">
        <v>1299</v>
      </c>
      <c r="B102" s="64">
        <v>10.02</v>
      </c>
      <c r="C102" s="64">
        <v>18.48</v>
      </c>
      <c r="D102" s="64">
        <v>19.53</v>
      </c>
      <c r="E102" s="64">
        <v>1.69</v>
      </c>
      <c r="F102" s="64">
        <v>0.47</v>
      </c>
      <c r="G102" s="64">
        <v>108.77</v>
      </c>
      <c r="H102" s="64">
        <v>34.520000000000003</v>
      </c>
      <c r="I102" s="64">
        <v>1.55</v>
      </c>
      <c r="J102" s="64">
        <v>0.13</v>
      </c>
      <c r="K102" s="64">
        <v>214.07</v>
      </c>
      <c r="L102" s="64">
        <v>24.41</v>
      </c>
      <c r="M102" s="64">
        <v>72.34</v>
      </c>
      <c r="N102" s="64">
        <v>8.5</v>
      </c>
      <c r="O102" s="64">
        <v>0</v>
      </c>
      <c r="P102" s="64">
        <v>0.82</v>
      </c>
      <c r="Q102" s="64">
        <v>4.6399999999999997</v>
      </c>
      <c r="R102" s="198"/>
      <c r="S102" s="198"/>
      <c r="T102" s="198"/>
      <c r="U102" s="198"/>
    </row>
    <row r="103" spans="1:33" s="12" customFormat="1" x14ac:dyDescent="0.25">
      <c r="A103" s="214" t="s">
        <v>1300</v>
      </c>
      <c r="B103" s="64">
        <v>9.86</v>
      </c>
      <c r="C103" s="64">
        <v>18.079999999999998</v>
      </c>
      <c r="D103" s="64">
        <v>19.18</v>
      </c>
      <c r="E103" s="64">
        <v>1.65</v>
      </c>
      <c r="F103" s="64">
        <v>0.09</v>
      </c>
      <c r="G103" s="64">
        <v>106.33</v>
      </c>
      <c r="H103" s="64">
        <v>34.74</v>
      </c>
      <c r="I103" s="64">
        <v>1.52</v>
      </c>
      <c r="J103" s="64">
        <v>0.03</v>
      </c>
      <c r="K103" s="64">
        <v>313.08</v>
      </c>
      <c r="L103" s="64">
        <v>24.44</v>
      </c>
      <c r="M103" s="64">
        <v>71.81</v>
      </c>
      <c r="N103" s="64">
        <v>8.8000000000000007</v>
      </c>
      <c r="O103" s="64">
        <v>0</v>
      </c>
      <c r="P103" s="64">
        <v>0.73</v>
      </c>
      <c r="Q103" s="64">
        <v>4.62</v>
      </c>
      <c r="R103" s="198"/>
      <c r="S103" s="198"/>
      <c r="T103" s="198"/>
      <c r="U103" s="198"/>
    </row>
    <row r="104" spans="1:33" s="12" customFormat="1" x14ac:dyDescent="0.25">
      <c r="A104" s="214" t="s">
        <v>1301</v>
      </c>
      <c r="B104" s="64">
        <v>9.39</v>
      </c>
      <c r="C104" s="64">
        <v>15.89</v>
      </c>
      <c r="D104" s="64">
        <v>17.59</v>
      </c>
      <c r="E104" s="64">
        <v>0.33</v>
      </c>
      <c r="F104" s="64">
        <v>0.46</v>
      </c>
      <c r="G104" s="64">
        <v>97.2</v>
      </c>
      <c r="H104" s="64">
        <v>35.32</v>
      </c>
      <c r="I104" s="64">
        <v>1.45</v>
      </c>
      <c r="J104" s="64">
        <v>0.05</v>
      </c>
      <c r="K104" s="64">
        <v>181.6</v>
      </c>
      <c r="L104" s="64">
        <v>24.25</v>
      </c>
      <c r="M104" s="64">
        <v>72.67</v>
      </c>
      <c r="N104" s="64">
        <v>8.6</v>
      </c>
      <c r="O104" s="64">
        <v>0</v>
      </c>
      <c r="P104" s="64">
        <v>0.91</v>
      </c>
      <c r="Q104" s="64">
        <v>4.6399999999999997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</v>
      </c>
      <c r="C106" s="67">
        <f>MIN(C9:C104)</f>
        <v>1.97</v>
      </c>
      <c r="D106" s="67">
        <f t="shared" ref="D106:Q106" si="0">MIN(D9:D104)</f>
        <v>4.05</v>
      </c>
      <c r="E106" s="67">
        <f t="shared" si="0"/>
        <v>7.0000000000000007E-2</v>
      </c>
      <c r="F106" s="67">
        <f t="shared" si="0"/>
        <v>0.06</v>
      </c>
      <c r="G106" s="67">
        <f t="shared" si="0"/>
        <v>22.65</v>
      </c>
      <c r="H106" s="67">
        <f t="shared" si="0"/>
        <v>2.27</v>
      </c>
      <c r="I106" s="67">
        <f t="shared" si="0"/>
        <v>1.41</v>
      </c>
      <c r="J106" s="67">
        <f t="shared" si="0"/>
        <v>0.03</v>
      </c>
      <c r="K106" s="67">
        <f t="shared" si="0"/>
        <v>3.75</v>
      </c>
      <c r="L106" s="67">
        <f t="shared" si="0"/>
        <v>21.36</v>
      </c>
      <c r="M106" s="67">
        <f t="shared" si="0"/>
        <v>31.86</v>
      </c>
      <c r="N106" s="67">
        <f t="shared" si="0"/>
        <v>8</v>
      </c>
      <c r="O106" s="67">
        <f t="shared" si="0"/>
        <v>0</v>
      </c>
      <c r="P106" s="67">
        <f t="shared" si="0"/>
        <v>0.38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141.93</v>
      </c>
      <c r="C107" s="66">
        <f t="shared" ref="C107:Q107" si="1">MAX(C9:C104)</f>
        <v>34.299999999999997</v>
      </c>
      <c r="D107" s="66">
        <f t="shared" si="1"/>
        <v>152.41</v>
      </c>
      <c r="E107" s="66">
        <f t="shared" si="1"/>
        <v>39.32</v>
      </c>
      <c r="F107" s="66">
        <f t="shared" si="1"/>
        <v>15.93</v>
      </c>
      <c r="G107" s="66">
        <f t="shared" si="1"/>
        <v>127.39</v>
      </c>
      <c r="H107" s="66">
        <f t="shared" si="1"/>
        <v>42.22</v>
      </c>
      <c r="I107" s="66">
        <f t="shared" si="1"/>
        <v>1.59</v>
      </c>
      <c r="J107" s="66">
        <f t="shared" si="1"/>
        <v>1.44</v>
      </c>
      <c r="K107" s="66">
        <f t="shared" si="1"/>
        <v>356.34</v>
      </c>
      <c r="L107" s="66">
        <f t="shared" si="1"/>
        <v>36.54</v>
      </c>
      <c r="M107" s="66">
        <f t="shared" si="1"/>
        <v>98.88</v>
      </c>
      <c r="N107" s="66">
        <f t="shared" si="1"/>
        <v>841.1</v>
      </c>
      <c r="O107" s="66">
        <f t="shared" si="1"/>
        <v>0</v>
      </c>
      <c r="P107" s="66">
        <f t="shared" si="1"/>
        <v>2.1800000000000002</v>
      </c>
      <c r="Q107" s="66">
        <f t="shared" si="1"/>
        <v>182.38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8.9017708333333321</v>
      </c>
      <c r="C108" s="67">
        <f t="shared" ref="C108:Q108" si="2">AVERAGE(C9:C104)</f>
        <v>17.083020833333325</v>
      </c>
      <c r="D108" s="67">
        <f t="shared" si="2"/>
        <v>18.198020833333338</v>
      </c>
      <c r="E108" s="67">
        <f t="shared" si="2"/>
        <v>3.4916304347826084</v>
      </c>
      <c r="F108" s="67">
        <f t="shared" si="2"/>
        <v>1.6663541666666666</v>
      </c>
      <c r="G108" s="67">
        <f t="shared" si="2"/>
        <v>86.299462365591395</v>
      </c>
      <c r="H108" s="67">
        <f t="shared" si="2"/>
        <v>27.821827956989246</v>
      </c>
      <c r="I108" s="67">
        <f t="shared" si="2"/>
        <v>1.5033333333333336</v>
      </c>
      <c r="J108" s="67">
        <f t="shared" si="2"/>
        <v>0.33729166666666671</v>
      </c>
      <c r="K108" s="67">
        <f t="shared" si="2"/>
        <v>244.74479166666666</v>
      </c>
      <c r="L108" s="67">
        <f t="shared" si="2"/>
        <v>27.80083333333333</v>
      </c>
      <c r="M108" s="67">
        <f t="shared" si="2"/>
        <v>65.006249999999994</v>
      </c>
      <c r="N108" s="67">
        <f t="shared" si="2"/>
        <v>206.1697916666667</v>
      </c>
      <c r="O108" s="67">
        <f t="shared" si="2"/>
        <v>0</v>
      </c>
      <c r="P108" s="67">
        <f t="shared" si="2"/>
        <v>0.78104166666666686</v>
      </c>
      <c r="Q108" s="67">
        <f t="shared" si="2"/>
        <v>82.363229166666684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14.257253961242013</v>
      </c>
      <c r="C109" s="67">
        <f t="shared" ref="C109:Q109" si="3">STDEV(C9:C104)</f>
        <v>6.8645062872709728</v>
      </c>
      <c r="D109" s="67">
        <f t="shared" si="3"/>
        <v>14.297062681013335</v>
      </c>
      <c r="E109" s="67">
        <f t="shared" si="3"/>
        <v>6.3130199104226854</v>
      </c>
      <c r="F109" s="67">
        <f t="shared" si="3"/>
        <v>2.4693408964173611</v>
      </c>
      <c r="G109" s="67">
        <f t="shared" si="3"/>
        <v>21.081977898174291</v>
      </c>
      <c r="H109" s="67">
        <f t="shared" si="3"/>
        <v>9.5957683094341188</v>
      </c>
      <c r="I109" s="67">
        <f t="shared" si="3"/>
        <v>4.0279723687618306E-2</v>
      </c>
      <c r="J109" s="67">
        <f t="shared" si="3"/>
        <v>0.36016802852547841</v>
      </c>
      <c r="K109" s="67">
        <f t="shared" si="3"/>
        <v>88.118602480486715</v>
      </c>
      <c r="L109" s="67">
        <f t="shared" si="3"/>
        <v>4.9711423375669783</v>
      </c>
      <c r="M109" s="67">
        <f t="shared" si="3"/>
        <v>24.627097965666319</v>
      </c>
      <c r="N109" s="67">
        <f t="shared" si="3"/>
        <v>295.69200801537852</v>
      </c>
      <c r="O109" s="67">
        <f t="shared" si="3"/>
        <v>0</v>
      </c>
      <c r="P109" s="67">
        <f t="shared" si="3"/>
        <v>0.26735538803018682</v>
      </c>
      <c r="Q109" s="67">
        <f t="shared" si="3"/>
        <v>73.23490734392476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92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1302</v>
      </c>
      <c r="B9" s="64">
        <v>8.5399999999999991</v>
      </c>
      <c r="C9" s="64">
        <v>15.8</v>
      </c>
      <c r="D9" s="64">
        <v>16.86</v>
      </c>
      <c r="E9" s="64">
        <v>1.1599999999999999</v>
      </c>
      <c r="F9" s="64">
        <v>0.41</v>
      </c>
      <c r="G9" s="64">
        <v>97.2</v>
      </c>
      <c r="H9" s="64">
        <v>35.32</v>
      </c>
      <c r="I9" s="64">
        <v>1.49</v>
      </c>
      <c r="J9" s="64">
        <v>0.13</v>
      </c>
      <c r="K9" s="64">
        <v>175.83</v>
      </c>
      <c r="L9" s="64">
        <v>24.19</v>
      </c>
      <c r="M9" s="64">
        <v>74.180000000000007</v>
      </c>
      <c r="N9" s="64">
        <v>8.4</v>
      </c>
      <c r="O9" s="64">
        <v>0</v>
      </c>
      <c r="P9" s="64">
        <v>0.78</v>
      </c>
      <c r="Q9" s="64">
        <v>4.67</v>
      </c>
      <c r="R9" s="198"/>
      <c r="S9" s="198"/>
      <c r="T9" s="198"/>
      <c r="U9" s="198"/>
    </row>
    <row r="10" spans="1:21" s="12" customFormat="1" x14ac:dyDescent="0.25">
      <c r="A10" s="214" t="s">
        <v>1303</v>
      </c>
      <c r="B10" s="64">
        <v>7.37</v>
      </c>
      <c r="C10" s="64">
        <v>14.87</v>
      </c>
      <c r="D10" s="64">
        <v>15.41</v>
      </c>
      <c r="E10" s="64">
        <v>0.73</v>
      </c>
      <c r="F10" s="64">
        <v>0.93</v>
      </c>
      <c r="G10" s="64">
        <v>97.2</v>
      </c>
      <c r="H10" s="64">
        <v>35.32</v>
      </c>
      <c r="I10" s="64">
        <v>1.55</v>
      </c>
      <c r="J10" s="64">
        <v>7.0000000000000007E-2</v>
      </c>
      <c r="K10" s="64">
        <v>4.33</v>
      </c>
      <c r="L10" s="64">
        <v>23.92</v>
      </c>
      <c r="M10" s="64">
        <v>78.989999999999995</v>
      </c>
      <c r="N10" s="64">
        <v>8.8000000000000007</v>
      </c>
      <c r="O10" s="64">
        <v>0</v>
      </c>
      <c r="P10" s="64">
        <v>0.84</v>
      </c>
      <c r="Q10" s="64">
        <v>4.96</v>
      </c>
      <c r="R10" s="198"/>
      <c r="S10" s="198"/>
      <c r="T10" s="198"/>
      <c r="U10" s="198"/>
    </row>
    <row r="11" spans="1:21" s="12" customFormat="1" x14ac:dyDescent="0.25">
      <c r="A11" s="214" t="s">
        <v>1304</v>
      </c>
      <c r="B11" s="64">
        <v>6.28</v>
      </c>
      <c r="C11" s="64">
        <v>13.14</v>
      </c>
      <c r="D11" s="64">
        <v>13.58</v>
      </c>
      <c r="E11" s="64">
        <v>0.57999999999999996</v>
      </c>
      <c r="F11" s="64">
        <v>0.72</v>
      </c>
      <c r="G11" s="64">
        <v>94.63</v>
      </c>
      <c r="H11" s="64">
        <v>33.61</v>
      </c>
      <c r="I11" s="64">
        <v>1.46</v>
      </c>
      <c r="J11" s="64">
        <v>0.04</v>
      </c>
      <c r="K11" s="64">
        <v>181.75</v>
      </c>
      <c r="L11" s="64">
        <v>23.5</v>
      </c>
      <c r="M11" s="64">
        <v>82.96</v>
      </c>
      <c r="N11" s="64">
        <v>8.9</v>
      </c>
      <c r="O11" s="64">
        <v>0</v>
      </c>
      <c r="P11" s="64">
        <v>0.84</v>
      </c>
      <c r="Q11" s="64">
        <v>5.2</v>
      </c>
      <c r="R11" s="198"/>
      <c r="S11" s="198"/>
      <c r="T11" s="198"/>
      <c r="U11" s="198"/>
    </row>
    <row r="12" spans="1:21" s="12" customFormat="1" x14ac:dyDescent="0.25">
      <c r="A12" s="214" t="s">
        <v>1305</v>
      </c>
      <c r="B12" s="64">
        <v>5.47</v>
      </c>
      <c r="C12" s="64">
        <v>13.1</v>
      </c>
      <c r="D12" s="64">
        <v>12.9</v>
      </c>
      <c r="E12" s="64">
        <v>1.1200000000000001</v>
      </c>
      <c r="F12" s="64">
        <v>0.32</v>
      </c>
      <c r="G12" s="64">
        <v>85.04</v>
      </c>
      <c r="H12" s="64">
        <v>25.38</v>
      </c>
      <c r="I12" s="64">
        <v>1.53</v>
      </c>
      <c r="J12" s="64">
        <v>0.08</v>
      </c>
      <c r="K12" s="64">
        <v>176.14</v>
      </c>
      <c r="L12" s="64">
        <v>23.29</v>
      </c>
      <c r="M12" s="64">
        <v>85.07</v>
      </c>
      <c r="N12" s="64">
        <v>8.6999999999999993</v>
      </c>
      <c r="O12" s="64">
        <v>0</v>
      </c>
      <c r="P12" s="64">
        <v>0.74</v>
      </c>
      <c r="Q12" s="64">
        <v>5.21</v>
      </c>
      <c r="R12" s="198"/>
      <c r="S12" s="198"/>
      <c r="T12" s="198"/>
      <c r="U12" s="198"/>
    </row>
    <row r="13" spans="1:21" s="12" customFormat="1" x14ac:dyDescent="0.25">
      <c r="A13" s="214" t="s">
        <v>1306</v>
      </c>
      <c r="B13" s="64">
        <v>4.82</v>
      </c>
      <c r="C13" s="64">
        <v>11.91</v>
      </c>
      <c r="D13" s="64">
        <v>11.73</v>
      </c>
      <c r="E13" s="64">
        <v>0.76</v>
      </c>
      <c r="F13" s="64">
        <v>0.87</v>
      </c>
      <c r="G13" s="64">
        <v>85.04</v>
      </c>
      <c r="H13" s="64">
        <v>25.38</v>
      </c>
      <c r="I13" s="64">
        <v>1.5</v>
      </c>
      <c r="J13" s="64">
        <v>0.13</v>
      </c>
      <c r="K13" s="64">
        <v>172.87</v>
      </c>
      <c r="L13" s="64">
        <v>23.12</v>
      </c>
      <c r="M13" s="64">
        <v>87.11</v>
      </c>
      <c r="N13" s="64">
        <v>8.6</v>
      </c>
      <c r="O13" s="64">
        <v>0</v>
      </c>
      <c r="P13" s="64">
        <v>0.91</v>
      </c>
      <c r="Q13" s="64">
        <v>5.21</v>
      </c>
      <c r="R13" s="198"/>
      <c r="S13" s="198"/>
      <c r="T13" s="198"/>
      <c r="U13" s="198"/>
    </row>
    <row r="14" spans="1:21" s="12" customFormat="1" x14ac:dyDescent="0.25">
      <c r="A14" s="214" t="s">
        <v>1307</v>
      </c>
      <c r="B14" s="64">
        <v>4.28</v>
      </c>
      <c r="C14" s="64">
        <v>11.83</v>
      </c>
      <c r="D14" s="64">
        <v>11.26</v>
      </c>
      <c r="E14" s="64">
        <v>0.67</v>
      </c>
      <c r="F14" s="64">
        <v>0.28999999999999998</v>
      </c>
      <c r="G14" s="64">
        <v>85.04</v>
      </c>
      <c r="H14" s="64">
        <v>25.38</v>
      </c>
      <c r="I14" s="64">
        <v>1.44</v>
      </c>
      <c r="J14" s="64">
        <v>0.09</v>
      </c>
      <c r="K14" s="64">
        <v>30.84</v>
      </c>
      <c r="L14" s="64">
        <v>23</v>
      </c>
      <c r="M14" s="64">
        <v>89.19</v>
      </c>
      <c r="N14" s="64">
        <v>8.6999999999999993</v>
      </c>
      <c r="O14" s="64">
        <v>0</v>
      </c>
      <c r="P14" s="64">
        <v>0.86</v>
      </c>
      <c r="Q14" s="64">
        <v>5.21</v>
      </c>
      <c r="R14" s="198"/>
      <c r="S14" s="198"/>
      <c r="T14" s="198"/>
      <c r="U14" s="198"/>
    </row>
    <row r="15" spans="1:21" s="12" customFormat="1" x14ac:dyDescent="0.25">
      <c r="A15" s="214" t="s">
        <v>1308</v>
      </c>
      <c r="B15" s="64">
        <v>3.85</v>
      </c>
      <c r="C15" s="64">
        <v>12.52</v>
      </c>
      <c r="D15" s="64">
        <v>11.29</v>
      </c>
      <c r="E15" s="64">
        <v>0.89</v>
      </c>
      <c r="F15" s="64">
        <v>0.55000000000000004</v>
      </c>
      <c r="G15" s="64">
        <v>82.07</v>
      </c>
      <c r="H15" s="64">
        <v>26.71</v>
      </c>
      <c r="I15" s="64">
        <v>1.54</v>
      </c>
      <c r="J15" s="64">
        <v>0.09</v>
      </c>
      <c r="K15" s="64">
        <v>21.11</v>
      </c>
      <c r="L15" s="64">
        <v>22.95</v>
      </c>
      <c r="M15" s="64">
        <v>89.72</v>
      </c>
      <c r="N15" s="64">
        <v>8.6999999999999993</v>
      </c>
      <c r="O15" s="64">
        <v>0</v>
      </c>
      <c r="P15" s="64">
        <v>0.85</v>
      </c>
      <c r="Q15" s="64">
        <v>5.21</v>
      </c>
      <c r="R15" s="198"/>
      <c r="S15" s="198"/>
      <c r="T15" s="198"/>
      <c r="U15" s="198"/>
    </row>
    <row r="16" spans="1:21" s="12" customFormat="1" x14ac:dyDescent="0.25">
      <c r="A16" s="214" t="s">
        <v>1309</v>
      </c>
      <c r="B16" s="64">
        <v>3.68</v>
      </c>
      <c r="C16" s="64">
        <v>13.62</v>
      </c>
      <c r="D16" s="64">
        <v>11.76</v>
      </c>
      <c r="E16" s="64">
        <v>0.99</v>
      </c>
      <c r="F16" s="64">
        <v>0.53</v>
      </c>
      <c r="G16" s="64">
        <v>67.19</v>
      </c>
      <c r="H16" s="64">
        <v>31.33</v>
      </c>
      <c r="I16" s="64">
        <v>1.5</v>
      </c>
      <c r="J16" s="64">
        <v>0.15</v>
      </c>
      <c r="K16" s="64">
        <v>16.03</v>
      </c>
      <c r="L16" s="64">
        <v>23.21</v>
      </c>
      <c r="M16" s="64">
        <v>86.85</v>
      </c>
      <c r="N16" s="64">
        <v>8.3000000000000007</v>
      </c>
      <c r="O16" s="64">
        <v>0</v>
      </c>
      <c r="P16" s="64">
        <v>0.84</v>
      </c>
      <c r="Q16" s="64">
        <v>5.21</v>
      </c>
      <c r="R16" s="198"/>
      <c r="S16" s="198"/>
      <c r="T16" s="198"/>
      <c r="U16" s="198"/>
    </row>
    <row r="17" spans="1:21" s="12" customFormat="1" x14ac:dyDescent="0.25">
      <c r="A17" s="214" t="s">
        <v>1310</v>
      </c>
      <c r="B17" s="64">
        <v>3.58</v>
      </c>
      <c r="C17" s="64">
        <v>13.29</v>
      </c>
      <c r="D17" s="64">
        <v>11.5</v>
      </c>
      <c r="E17" s="64">
        <v>1</v>
      </c>
      <c r="F17" s="64">
        <v>0.42</v>
      </c>
      <c r="G17" s="64">
        <v>67.19</v>
      </c>
      <c r="H17" s="64">
        <v>31.33</v>
      </c>
      <c r="I17" s="64">
        <v>1.42</v>
      </c>
      <c r="J17" s="64">
        <v>0.1</v>
      </c>
      <c r="K17" s="64">
        <v>17.39</v>
      </c>
      <c r="L17" s="64">
        <v>23.37</v>
      </c>
      <c r="M17" s="64">
        <v>85.89</v>
      </c>
      <c r="N17" s="64">
        <v>8.5</v>
      </c>
      <c r="O17" s="64">
        <v>0</v>
      </c>
      <c r="P17" s="64">
        <v>0.76</v>
      </c>
      <c r="Q17" s="64">
        <v>5.21</v>
      </c>
      <c r="R17" s="198"/>
      <c r="S17" s="198"/>
      <c r="T17" s="198"/>
      <c r="U17" s="198"/>
    </row>
    <row r="18" spans="1:21" s="12" customFormat="1" x14ac:dyDescent="0.25">
      <c r="A18" s="214" t="s">
        <v>1311</v>
      </c>
      <c r="B18" s="64">
        <v>3.45</v>
      </c>
      <c r="C18" s="64">
        <v>13.37</v>
      </c>
      <c r="D18" s="64">
        <v>11.44</v>
      </c>
      <c r="E18" s="64">
        <v>0.69</v>
      </c>
      <c r="F18" s="64">
        <v>0.28999999999999998</v>
      </c>
      <c r="G18" s="64">
        <v>67.19</v>
      </c>
      <c r="H18" s="64">
        <v>31.33</v>
      </c>
      <c r="I18" s="64">
        <v>1.44</v>
      </c>
      <c r="J18" s="64">
        <v>0.06</v>
      </c>
      <c r="K18" s="64">
        <v>316.26</v>
      </c>
      <c r="L18" s="64">
        <v>23.13</v>
      </c>
      <c r="M18" s="64">
        <v>87.85</v>
      </c>
      <c r="N18" s="64">
        <v>8.8000000000000007</v>
      </c>
      <c r="O18" s="64">
        <v>0</v>
      </c>
      <c r="P18" s="64">
        <v>0.68</v>
      </c>
      <c r="Q18" s="64">
        <v>5.21</v>
      </c>
      <c r="R18" s="198"/>
      <c r="S18" s="198"/>
      <c r="T18" s="198"/>
      <c r="U18" s="198"/>
    </row>
    <row r="19" spans="1:21" s="12" customFormat="1" x14ac:dyDescent="0.25">
      <c r="A19" s="214" t="s">
        <v>1312</v>
      </c>
      <c r="B19" s="64">
        <v>3.44</v>
      </c>
      <c r="C19" s="64">
        <v>13.11</v>
      </c>
      <c r="D19" s="64">
        <v>11.28</v>
      </c>
      <c r="E19" s="64">
        <v>1.1000000000000001</v>
      </c>
      <c r="F19" s="64">
        <v>0.28999999999999998</v>
      </c>
      <c r="G19" s="64">
        <v>67.650000000000006</v>
      </c>
      <c r="H19" s="64">
        <v>31.45</v>
      </c>
      <c r="I19" s="64">
        <v>1.48</v>
      </c>
      <c r="J19" s="64">
        <v>0.13</v>
      </c>
      <c r="K19" s="64">
        <v>327.08</v>
      </c>
      <c r="L19" s="64">
        <v>23.08</v>
      </c>
      <c r="M19" s="64">
        <v>89.89</v>
      </c>
      <c r="N19" s="64">
        <v>8.6999999999999993</v>
      </c>
      <c r="O19" s="64">
        <v>0</v>
      </c>
      <c r="P19" s="64">
        <v>0.72</v>
      </c>
      <c r="Q19" s="64">
        <v>5.21</v>
      </c>
      <c r="R19" s="198"/>
      <c r="S19" s="198"/>
      <c r="T19" s="198"/>
      <c r="U19" s="198"/>
    </row>
    <row r="20" spans="1:21" s="12" customFormat="1" x14ac:dyDescent="0.25">
      <c r="A20" s="214" t="s">
        <v>1313</v>
      </c>
      <c r="B20" s="64">
        <v>3.43</v>
      </c>
      <c r="C20" s="64">
        <v>12.33</v>
      </c>
      <c r="D20" s="64">
        <v>10.85</v>
      </c>
      <c r="E20" s="64">
        <v>1.1599999999999999</v>
      </c>
      <c r="F20" s="64">
        <v>0.53</v>
      </c>
      <c r="G20" s="64">
        <v>69.91</v>
      </c>
      <c r="H20" s="64">
        <v>31.86</v>
      </c>
      <c r="I20" s="64">
        <v>1.45</v>
      </c>
      <c r="J20" s="64">
        <v>0.13</v>
      </c>
      <c r="K20" s="64">
        <v>352.61</v>
      </c>
      <c r="L20" s="64">
        <v>23.01</v>
      </c>
      <c r="M20" s="64">
        <v>90.33</v>
      </c>
      <c r="N20" s="64">
        <v>8.6999999999999993</v>
      </c>
      <c r="O20" s="64">
        <v>0</v>
      </c>
      <c r="P20" s="64">
        <v>0.82</v>
      </c>
      <c r="Q20" s="64">
        <v>5.21</v>
      </c>
      <c r="R20" s="198"/>
      <c r="S20" s="198"/>
      <c r="T20" s="198"/>
      <c r="U20" s="198"/>
    </row>
    <row r="21" spans="1:21" s="12" customFormat="1" x14ac:dyDescent="0.25">
      <c r="A21" s="214" t="s">
        <v>1314</v>
      </c>
      <c r="B21" s="64">
        <v>3.25</v>
      </c>
      <c r="C21" s="64">
        <v>11.13</v>
      </c>
      <c r="D21" s="64">
        <v>10.039999999999999</v>
      </c>
      <c r="E21" s="64">
        <v>0.73</v>
      </c>
      <c r="F21" s="64">
        <v>0.61</v>
      </c>
      <c r="G21" s="64">
        <v>69.91</v>
      </c>
      <c r="H21" s="64">
        <v>31.86</v>
      </c>
      <c r="I21" s="64">
        <v>1.45</v>
      </c>
      <c r="J21" s="64">
        <v>0.18</v>
      </c>
      <c r="K21" s="64">
        <v>353.23</v>
      </c>
      <c r="L21" s="64">
        <v>23.1</v>
      </c>
      <c r="M21" s="64">
        <v>86.41</v>
      </c>
      <c r="N21" s="64">
        <v>8.5</v>
      </c>
      <c r="O21" s="64">
        <v>0</v>
      </c>
      <c r="P21" s="64">
        <v>0.75</v>
      </c>
      <c r="Q21" s="64">
        <v>5.21</v>
      </c>
      <c r="R21" s="198"/>
      <c r="S21" s="198"/>
      <c r="T21" s="198"/>
      <c r="U21" s="198"/>
    </row>
    <row r="22" spans="1:21" s="12" customFormat="1" x14ac:dyDescent="0.25">
      <c r="A22" s="214" t="s">
        <v>1315</v>
      </c>
      <c r="B22" s="64">
        <v>2.9</v>
      </c>
      <c r="C22" s="64">
        <v>10.01</v>
      </c>
      <c r="D22" s="64">
        <v>9.14</v>
      </c>
      <c r="E22" s="64">
        <v>0.81</v>
      </c>
      <c r="F22" s="64">
        <v>1.1200000000000001</v>
      </c>
      <c r="G22" s="64">
        <v>69.91</v>
      </c>
      <c r="H22" s="64">
        <v>31.86</v>
      </c>
      <c r="I22" s="64">
        <v>1.5</v>
      </c>
      <c r="J22" s="64">
        <v>0.09</v>
      </c>
      <c r="K22" s="64">
        <v>347.42</v>
      </c>
      <c r="L22" s="64">
        <v>23.08</v>
      </c>
      <c r="M22" s="64">
        <v>84.3</v>
      </c>
      <c r="N22" s="64">
        <v>8.6999999999999993</v>
      </c>
      <c r="O22" s="64">
        <v>0</v>
      </c>
      <c r="P22" s="64">
        <v>0.74</v>
      </c>
      <c r="Q22" s="64">
        <v>5.21</v>
      </c>
      <c r="R22" s="198"/>
      <c r="S22" s="198"/>
      <c r="T22" s="198"/>
      <c r="U22" s="198"/>
    </row>
    <row r="23" spans="1:21" s="12" customFormat="1" x14ac:dyDescent="0.25">
      <c r="A23" s="214" t="s">
        <v>1316</v>
      </c>
      <c r="B23" s="64">
        <v>2.67</v>
      </c>
      <c r="C23" s="64">
        <v>9.2100000000000009</v>
      </c>
      <c r="D23" s="64">
        <v>8.52</v>
      </c>
      <c r="E23" s="64">
        <v>0.66</v>
      </c>
      <c r="F23" s="64">
        <v>0.81</v>
      </c>
      <c r="G23" s="64">
        <v>68.59</v>
      </c>
      <c r="H23" s="64">
        <v>29.31</v>
      </c>
      <c r="I23" s="64">
        <v>1.57</v>
      </c>
      <c r="J23" s="64">
        <v>0.1</v>
      </c>
      <c r="K23" s="64">
        <v>338.4</v>
      </c>
      <c r="L23" s="64">
        <v>23.01</v>
      </c>
      <c r="M23" s="64">
        <v>83.9</v>
      </c>
      <c r="N23" s="64">
        <v>8.8000000000000007</v>
      </c>
      <c r="O23" s="64">
        <v>0</v>
      </c>
      <c r="P23" s="64">
        <v>0.73</v>
      </c>
      <c r="Q23" s="64">
        <v>5.21</v>
      </c>
      <c r="R23" s="198"/>
      <c r="S23" s="198"/>
      <c r="T23" s="198"/>
      <c r="U23" s="198"/>
    </row>
    <row r="24" spans="1:21" s="12" customFormat="1" x14ac:dyDescent="0.25">
      <c r="A24" s="214" t="s">
        <v>1317</v>
      </c>
      <c r="B24" s="64">
        <v>2.67</v>
      </c>
      <c r="C24" s="64">
        <v>9.84</v>
      </c>
      <c r="D24" s="64">
        <v>8.86</v>
      </c>
      <c r="E24" s="64">
        <v>0.13</v>
      </c>
      <c r="F24" s="64">
        <v>0.25</v>
      </c>
      <c r="G24" s="64">
        <v>61.97</v>
      </c>
      <c r="H24" s="64">
        <v>20.440000000000001</v>
      </c>
      <c r="I24" s="64">
        <v>1.44</v>
      </c>
      <c r="J24" s="64">
        <v>0.1</v>
      </c>
      <c r="K24" s="64">
        <v>346.89</v>
      </c>
      <c r="L24" s="64">
        <v>22.9</v>
      </c>
      <c r="M24" s="64">
        <v>84.34</v>
      </c>
      <c r="N24" s="64">
        <v>8.8000000000000007</v>
      </c>
      <c r="O24" s="64">
        <v>0</v>
      </c>
      <c r="P24" s="64">
        <v>0.68</v>
      </c>
      <c r="Q24" s="64">
        <v>5.21</v>
      </c>
      <c r="R24" s="198"/>
      <c r="S24" s="198"/>
      <c r="T24" s="198"/>
      <c r="U24" s="198"/>
    </row>
    <row r="25" spans="1:21" s="12" customFormat="1" x14ac:dyDescent="0.25">
      <c r="A25" s="214" t="s">
        <v>1318</v>
      </c>
      <c r="B25" s="64">
        <v>2.76</v>
      </c>
      <c r="C25" s="64">
        <v>9.27</v>
      </c>
      <c r="D25" s="64">
        <v>8.6199999999999992</v>
      </c>
      <c r="E25" s="64">
        <v>1.1200000000000001</v>
      </c>
      <c r="F25" s="64">
        <v>0.8</v>
      </c>
      <c r="G25" s="64">
        <v>61.97</v>
      </c>
      <c r="H25" s="64">
        <v>20.440000000000001</v>
      </c>
      <c r="I25" s="64">
        <v>1.53</v>
      </c>
      <c r="J25" s="64">
        <v>0.05</v>
      </c>
      <c r="K25" s="64">
        <v>144.09</v>
      </c>
      <c r="L25" s="64">
        <v>23.02</v>
      </c>
      <c r="M25" s="64">
        <v>83.81</v>
      </c>
      <c r="N25" s="64">
        <v>8.6</v>
      </c>
      <c r="O25" s="64">
        <v>0</v>
      </c>
      <c r="P25" s="64">
        <v>0.68</v>
      </c>
      <c r="Q25" s="64">
        <v>5.21</v>
      </c>
      <c r="R25" s="198"/>
      <c r="S25" s="198"/>
      <c r="T25" s="198"/>
      <c r="U25" s="198"/>
    </row>
    <row r="26" spans="1:21" s="12" customFormat="1" x14ac:dyDescent="0.25">
      <c r="A26" s="214" t="s">
        <v>1319</v>
      </c>
      <c r="B26" s="64">
        <v>2.74</v>
      </c>
      <c r="C26" s="64">
        <v>9.56</v>
      </c>
      <c r="D26" s="64">
        <v>8.76</v>
      </c>
      <c r="E26" s="64">
        <v>1.58</v>
      </c>
      <c r="F26" s="64">
        <v>0.42</v>
      </c>
      <c r="G26" s="64">
        <v>61.97</v>
      </c>
      <c r="H26" s="64">
        <v>20.440000000000001</v>
      </c>
      <c r="I26" s="64">
        <v>1.51</v>
      </c>
      <c r="J26" s="64">
        <v>0.21</v>
      </c>
      <c r="K26" s="64">
        <v>149.61000000000001</v>
      </c>
      <c r="L26" s="64">
        <v>22.95</v>
      </c>
      <c r="M26" s="64">
        <v>86.38</v>
      </c>
      <c r="N26" s="64">
        <v>8.5</v>
      </c>
      <c r="O26" s="64">
        <v>0</v>
      </c>
      <c r="P26" s="64">
        <v>0.6</v>
      </c>
      <c r="Q26" s="64">
        <v>5.21</v>
      </c>
      <c r="R26" s="198"/>
      <c r="S26" s="198"/>
      <c r="T26" s="198"/>
      <c r="U26" s="198"/>
    </row>
    <row r="27" spans="1:21" s="12" customFormat="1" x14ac:dyDescent="0.25">
      <c r="A27" s="214" t="s">
        <v>1320</v>
      </c>
      <c r="B27" s="64">
        <v>2.76</v>
      </c>
      <c r="C27" s="64">
        <v>10.33</v>
      </c>
      <c r="D27" s="64">
        <v>9.1999999999999993</v>
      </c>
      <c r="E27" s="64">
        <v>1.36</v>
      </c>
      <c r="F27" s="64">
        <v>0.47</v>
      </c>
      <c r="G27" s="64">
        <v>61.07</v>
      </c>
      <c r="H27" s="64">
        <v>22.62</v>
      </c>
      <c r="I27" s="64">
        <v>1.48</v>
      </c>
      <c r="J27" s="64">
        <v>0.13</v>
      </c>
      <c r="K27" s="64">
        <v>186.94</v>
      </c>
      <c r="L27" s="64">
        <v>22.8</v>
      </c>
      <c r="M27" s="64">
        <v>89.28</v>
      </c>
      <c r="N27" s="64">
        <v>8.8000000000000007</v>
      </c>
      <c r="O27" s="64">
        <v>0</v>
      </c>
      <c r="P27" s="64">
        <v>0.64</v>
      </c>
      <c r="Q27" s="64">
        <v>5.21</v>
      </c>
      <c r="R27" s="198"/>
      <c r="S27" s="198"/>
      <c r="T27" s="198"/>
      <c r="U27" s="198"/>
    </row>
    <row r="28" spans="1:21" s="12" customFormat="1" x14ac:dyDescent="0.25">
      <c r="A28" s="214" t="s">
        <v>1321</v>
      </c>
      <c r="B28" s="64">
        <v>2.91</v>
      </c>
      <c r="C28" s="64">
        <v>11</v>
      </c>
      <c r="D28" s="64">
        <v>9.6999999999999993</v>
      </c>
      <c r="E28" s="64">
        <v>0.84</v>
      </c>
      <c r="F28" s="64">
        <v>0.41</v>
      </c>
      <c r="G28" s="64">
        <v>56.95</v>
      </c>
      <c r="H28" s="64">
        <v>30.16</v>
      </c>
      <c r="I28" s="64">
        <v>1.54</v>
      </c>
      <c r="J28" s="64">
        <v>0.01</v>
      </c>
      <c r="K28" s="64">
        <v>142.29</v>
      </c>
      <c r="L28" s="64">
        <v>22.66</v>
      </c>
      <c r="M28" s="64">
        <v>89.61</v>
      </c>
      <c r="N28" s="64">
        <v>9</v>
      </c>
      <c r="O28" s="64">
        <v>0</v>
      </c>
      <c r="P28" s="64">
        <v>0.6</v>
      </c>
      <c r="Q28" s="64">
        <v>5.21</v>
      </c>
      <c r="R28" s="198"/>
      <c r="S28" s="198"/>
      <c r="T28" s="198"/>
      <c r="U28" s="198"/>
    </row>
    <row r="29" spans="1:21" s="12" customFormat="1" x14ac:dyDescent="0.25">
      <c r="A29" s="214" t="s">
        <v>1322</v>
      </c>
      <c r="B29" s="64">
        <v>3.08</v>
      </c>
      <c r="C29" s="64">
        <v>10.99</v>
      </c>
      <c r="D29" s="64">
        <v>9.83</v>
      </c>
      <c r="E29" s="64">
        <v>0.94</v>
      </c>
      <c r="F29" s="64">
        <v>0.36</v>
      </c>
      <c r="G29" s="64">
        <v>56.95</v>
      </c>
      <c r="H29" s="64">
        <v>30.16</v>
      </c>
      <c r="I29" s="64">
        <v>1.52</v>
      </c>
      <c r="J29" s="64">
        <v>0.18</v>
      </c>
      <c r="K29" s="64">
        <v>154.58000000000001</v>
      </c>
      <c r="L29" s="64">
        <v>22.59</v>
      </c>
      <c r="M29" s="64">
        <v>91.14</v>
      </c>
      <c r="N29" s="64">
        <v>8.8000000000000007</v>
      </c>
      <c r="O29" s="64">
        <v>0</v>
      </c>
      <c r="P29" s="64">
        <v>0.57999999999999996</v>
      </c>
      <c r="Q29" s="64">
        <v>5.21</v>
      </c>
      <c r="R29" s="198"/>
      <c r="S29" s="198"/>
      <c r="T29" s="198"/>
      <c r="U29" s="198"/>
    </row>
    <row r="30" spans="1:21" s="12" customFormat="1" x14ac:dyDescent="0.25">
      <c r="A30" s="214" t="s">
        <v>1323</v>
      </c>
      <c r="B30" s="64">
        <v>3.28</v>
      </c>
      <c r="C30" s="64">
        <v>10.98</v>
      </c>
      <c r="D30" s="64">
        <v>9.98</v>
      </c>
      <c r="E30" s="64">
        <v>1.04</v>
      </c>
      <c r="F30" s="64">
        <v>0.37</v>
      </c>
      <c r="G30" s="64">
        <v>56.95</v>
      </c>
      <c r="H30" s="64">
        <v>30.16</v>
      </c>
      <c r="I30" s="64">
        <v>1.52</v>
      </c>
      <c r="J30" s="64">
        <v>0.35</v>
      </c>
      <c r="K30" s="64">
        <v>154.88</v>
      </c>
      <c r="L30" s="64">
        <v>22.6</v>
      </c>
      <c r="M30" s="64">
        <v>91.05</v>
      </c>
      <c r="N30" s="64">
        <v>8.8000000000000007</v>
      </c>
      <c r="O30" s="64">
        <v>0</v>
      </c>
      <c r="P30" s="64">
        <v>0.62</v>
      </c>
      <c r="Q30" s="64">
        <v>5.21</v>
      </c>
      <c r="R30" s="198"/>
      <c r="S30" s="198"/>
      <c r="T30" s="198"/>
      <c r="U30" s="198"/>
    </row>
    <row r="31" spans="1:21" s="12" customFormat="1" x14ac:dyDescent="0.25">
      <c r="A31" s="214" t="s">
        <v>1324</v>
      </c>
      <c r="B31" s="64">
        <v>3.45</v>
      </c>
      <c r="C31" s="64">
        <v>11.14</v>
      </c>
      <c r="D31" s="64">
        <v>10.210000000000001</v>
      </c>
      <c r="E31" s="64">
        <v>0.91</v>
      </c>
      <c r="F31" s="64">
        <v>0.39</v>
      </c>
      <c r="G31" s="64">
        <v>57.09</v>
      </c>
      <c r="H31" s="64">
        <v>27.6</v>
      </c>
      <c r="I31" s="64">
        <v>1.54</v>
      </c>
      <c r="J31" s="64">
        <v>0.55000000000000004</v>
      </c>
      <c r="K31" s="64">
        <v>147.24</v>
      </c>
      <c r="L31" s="64">
        <v>22.42</v>
      </c>
      <c r="M31" s="64">
        <v>92.72</v>
      </c>
      <c r="N31" s="64">
        <v>9.6</v>
      </c>
      <c r="O31" s="64">
        <v>0</v>
      </c>
      <c r="P31" s="64">
        <v>0.66</v>
      </c>
      <c r="Q31" s="64">
        <v>5.21</v>
      </c>
      <c r="R31" s="198"/>
      <c r="S31" s="198"/>
      <c r="T31" s="198"/>
      <c r="U31" s="198"/>
    </row>
    <row r="32" spans="1:21" s="12" customFormat="1" x14ac:dyDescent="0.25">
      <c r="A32" s="214" t="s">
        <v>1325</v>
      </c>
      <c r="B32" s="64">
        <v>3.53</v>
      </c>
      <c r="C32" s="64">
        <v>10.19</v>
      </c>
      <c r="D32" s="64">
        <v>9.75</v>
      </c>
      <c r="E32" s="64">
        <v>1.31</v>
      </c>
      <c r="F32" s="64">
        <v>0.48</v>
      </c>
      <c r="G32" s="64">
        <v>57.8</v>
      </c>
      <c r="H32" s="64">
        <v>18.739999999999998</v>
      </c>
      <c r="I32" s="64">
        <v>1.52</v>
      </c>
      <c r="J32" s="64">
        <v>0.25</v>
      </c>
      <c r="K32" s="64">
        <v>173</v>
      </c>
      <c r="L32" s="64">
        <v>22.29</v>
      </c>
      <c r="M32" s="64">
        <v>93.35</v>
      </c>
      <c r="N32" s="64">
        <v>12.6</v>
      </c>
      <c r="O32" s="64">
        <v>0</v>
      </c>
      <c r="P32" s="64">
        <v>0.68</v>
      </c>
      <c r="Q32" s="64">
        <v>5.21</v>
      </c>
      <c r="R32" s="198"/>
      <c r="S32" s="198"/>
      <c r="T32" s="198"/>
      <c r="U32" s="198"/>
    </row>
    <row r="33" spans="1:21" s="12" customFormat="1" x14ac:dyDescent="0.25">
      <c r="A33" s="214" t="s">
        <v>1326</v>
      </c>
      <c r="B33" s="64">
        <v>3.58</v>
      </c>
      <c r="C33" s="64">
        <v>10</v>
      </c>
      <c r="D33" s="64">
        <v>9.68</v>
      </c>
      <c r="E33" s="64">
        <v>0.86</v>
      </c>
      <c r="F33" s="64">
        <v>0.26</v>
      </c>
      <c r="G33" s="64">
        <v>57.8</v>
      </c>
      <c r="H33" s="64">
        <v>18.739999999999998</v>
      </c>
      <c r="I33" s="64">
        <v>1.59</v>
      </c>
      <c r="J33" s="64">
        <v>0.6</v>
      </c>
      <c r="K33" s="64">
        <v>167.47</v>
      </c>
      <c r="L33" s="64">
        <v>22.12</v>
      </c>
      <c r="M33" s="64">
        <v>94.15</v>
      </c>
      <c r="N33" s="64">
        <v>22.5</v>
      </c>
      <c r="O33" s="64">
        <v>0</v>
      </c>
      <c r="P33" s="64">
        <v>0.66</v>
      </c>
      <c r="Q33" s="64">
        <v>5.21</v>
      </c>
      <c r="R33" s="198"/>
      <c r="S33" s="198"/>
      <c r="T33" s="198"/>
      <c r="U33" s="198"/>
    </row>
    <row r="34" spans="1:21" s="12" customFormat="1" x14ac:dyDescent="0.25">
      <c r="A34" s="214" t="s">
        <v>1327</v>
      </c>
      <c r="B34" s="64">
        <v>3.53</v>
      </c>
      <c r="C34" s="64">
        <v>9.23</v>
      </c>
      <c r="D34" s="64">
        <v>9.2100000000000009</v>
      </c>
      <c r="E34" s="64">
        <v>1.61</v>
      </c>
      <c r="F34" s="64">
        <v>0.47</v>
      </c>
      <c r="G34" s="64">
        <v>57.8</v>
      </c>
      <c r="H34" s="64">
        <v>18.739999999999998</v>
      </c>
      <c r="I34" s="64">
        <v>1.42</v>
      </c>
      <c r="J34" s="64">
        <v>0.38</v>
      </c>
      <c r="K34" s="64">
        <v>159.5</v>
      </c>
      <c r="L34" s="64">
        <v>22.17</v>
      </c>
      <c r="M34" s="64">
        <v>94.03</v>
      </c>
      <c r="N34" s="64">
        <v>37.299999999999997</v>
      </c>
      <c r="O34" s="64">
        <v>0</v>
      </c>
      <c r="P34" s="64">
        <v>0.68</v>
      </c>
      <c r="Q34" s="64">
        <v>5.21</v>
      </c>
      <c r="R34" s="198"/>
      <c r="S34" s="198"/>
      <c r="T34" s="198"/>
      <c r="U34" s="198"/>
    </row>
    <row r="35" spans="1:21" s="12" customFormat="1" x14ac:dyDescent="0.25">
      <c r="A35" s="214" t="s">
        <v>1328</v>
      </c>
      <c r="B35" s="64">
        <v>3.5</v>
      </c>
      <c r="C35" s="64">
        <v>9.3800000000000008</v>
      </c>
      <c r="D35" s="64">
        <v>9.2799999999999994</v>
      </c>
      <c r="E35" s="64">
        <v>0.97</v>
      </c>
      <c r="F35" s="64">
        <v>0.45</v>
      </c>
      <c r="G35" s="64">
        <v>56.71</v>
      </c>
      <c r="H35" s="64">
        <v>19.84</v>
      </c>
      <c r="I35" s="64">
        <v>1.51</v>
      </c>
      <c r="J35" s="64">
        <v>0.04</v>
      </c>
      <c r="K35" s="64">
        <v>217.13</v>
      </c>
      <c r="L35" s="64">
        <v>22.31</v>
      </c>
      <c r="M35" s="64">
        <v>93.43</v>
      </c>
      <c r="N35" s="64">
        <v>58.9</v>
      </c>
      <c r="O35" s="64">
        <v>0</v>
      </c>
      <c r="P35" s="64">
        <v>0.64</v>
      </c>
      <c r="Q35" s="64">
        <v>5.21</v>
      </c>
      <c r="R35" s="198"/>
      <c r="S35" s="198"/>
      <c r="T35" s="198"/>
      <c r="U35" s="198"/>
    </row>
    <row r="36" spans="1:21" s="12" customFormat="1" x14ac:dyDescent="0.25">
      <c r="A36" s="214" t="s">
        <v>1329</v>
      </c>
      <c r="B36" s="64">
        <v>3.56</v>
      </c>
      <c r="C36" s="64">
        <v>8.69</v>
      </c>
      <c r="D36" s="64">
        <v>8.94</v>
      </c>
      <c r="E36" s="64">
        <v>1.9</v>
      </c>
      <c r="F36" s="64">
        <v>0.83</v>
      </c>
      <c r="G36" s="64">
        <v>51.65</v>
      </c>
      <c r="H36" s="64">
        <v>25.02</v>
      </c>
      <c r="I36" s="64">
        <v>1.5</v>
      </c>
      <c r="J36" s="64">
        <v>0.06</v>
      </c>
      <c r="K36" s="64">
        <v>140.41</v>
      </c>
      <c r="L36" s="64">
        <v>22.54</v>
      </c>
      <c r="M36" s="64">
        <v>93.09</v>
      </c>
      <c r="N36" s="64">
        <v>89.6</v>
      </c>
      <c r="O36" s="64">
        <v>0</v>
      </c>
      <c r="P36" s="64">
        <v>0.67</v>
      </c>
      <c r="Q36" s="64">
        <v>5.21</v>
      </c>
      <c r="R36" s="198"/>
      <c r="S36" s="198"/>
      <c r="T36" s="198"/>
      <c r="U36" s="198"/>
    </row>
    <row r="37" spans="1:21" s="12" customFormat="1" x14ac:dyDescent="0.25">
      <c r="A37" s="214" t="s">
        <v>1330</v>
      </c>
      <c r="B37" s="64">
        <v>3.73</v>
      </c>
      <c r="C37" s="64">
        <v>9.0399999999999991</v>
      </c>
      <c r="D37" s="64">
        <v>9.27</v>
      </c>
      <c r="E37" s="64">
        <v>1.1100000000000001</v>
      </c>
      <c r="F37" s="64">
        <v>0.27</v>
      </c>
      <c r="G37" s="64">
        <v>51.65</v>
      </c>
      <c r="H37" s="64">
        <v>25.02</v>
      </c>
      <c r="I37" s="64">
        <v>1.51</v>
      </c>
      <c r="J37" s="64">
        <v>0.11</v>
      </c>
      <c r="K37" s="64">
        <v>142.75</v>
      </c>
      <c r="L37" s="64">
        <v>23.03</v>
      </c>
      <c r="M37" s="64">
        <v>90.29</v>
      </c>
      <c r="N37" s="64">
        <v>107.6</v>
      </c>
      <c r="O37" s="64">
        <v>0</v>
      </c>
      <c r="P37" s="64">
        <v>0.64</v>
      </c>
      <c r="Q37" s="64">
        <v>5.21</v>
      </c>
      <c r="R37" s="198"/>
      <c r="S37" s="198"/>
      <c r="T37" s="198"/>
      <c r="U37" s="198"/>
    </row>
    <row r="38" spans="1:21" s="12" customFormat="1" x14ac:dyDescent="0.25">
      <c r="A38" s="214" t="s">
        <v>1331</v>
      </c>
      <c r="B38" s="64">
        <v>3.83</v>
      </c>
      <c r="C38" s="64">
        <v>9.76</v>
      </c>
      <c r="D38" s="64">
        <v>9.75</v>
      </c>
      <c r="E38" s="64">
        <v>1.28</v>
      </c>
      <c r="F38" s="64">
        <v>0.32</v>
      </c>
      <c r="G38" s="64">
        <v>51.65</v>
      </c>
      <c r="H38" s="64">
        <v>25.02</v>
      </c>
      <c r="I38" s="64">
        <v>1.51</v>
      </c>
      <c r="J38" s="64">
        <v>0.05</v>
      </c>
      <c r="K38" s="64">
        <v>129.41</v>
      </c>
      <c r="L38" s="64">
        <v>23.59</v>
      </c>
      <c r="M38" s="64">
        <v>87.07</v>
      </c>
      <c r="N38" s="64">
        <v>127</v>
      </c>
      <c r="O38" s="64">
        <v>0</v>
      </c>
      <c r="P38" s="64">
        <v>0.66</v>
      </c>
      <c r="Q38" s="64">
        <v>5.21</v>
      </c>
      <c r="R38" s="198"/>
      <c r="S38" s="198"/>
      <c r="T38" s="198"/>
      <c r="U38" s="198"/>
    </row>
    <row r="39" spans="1:21" s="12" customFormat="1" x14ac:dyDescent="0.25">
      <c r="A39" s="214" t="s">
        <v>1332</v>
      </c>
      <c r="B39" s="64">
        <v>4.07</v>
      </c>
      <c r="C39" s="64">
        <v>10.43</v>
      </c>
      <c r="D39" s="64">
        <v>10.31</v>
      </c>
      <c r="E39" s="64">
        <v>1.85</v>
      </c>
      <c r="F39" s="64">
        <v>0.28000000000000003</v>
      </c>
      <c r="G39" s="64">
        <v>53.21</v>
      </c>
      <c r="H39" s="64">
        <v>25.95</v>
      </c>
      <c r="I39" s="64">
        <v>1.53</v>
      </c>
      <c r="J39" s="64">
        <v>0.12</v>
      </c>
      <c r="K39" s="64">
        <v>350.15</v>
      </c>
      <c r="L39" s="64">
        <v>24.19</v>
      </c>
      <c r="M39" s="64">
        <v>83.95</v>
      </c>
      <c r="N39" s="64">
        <v>139</v>
      </c>
      <c r="O39" s="64">
        <v>0</v>
      </c>
      <c r="P39" s="64">
        <v>0.78</v>
      </c>
      <c r="Q39" s="64">
        <v>5.21</v>
      </c>
      <c r="R39" s="198"/>
      <c r="S39" s="198"/>
      <c r="T39" s="198"/>
      <c r="U39" s="198"/>
    </row>
    <row r="40" spans="1:21" s="12" customFormat="1" x14ac:dyDescent="0.25">
      <c r="A40" s="214" t="s">
        <v>1333</v>
      </c>
      <c r="B40" s="64">
        <v>4.6399999999999997</v>
      </c>
      <c r="C40" s="64">
        <v>11.07</v>
      </c>
      <c r="D40" s="64">
        <v>11.12</v>
      </c>
      <c r="E40" s="64">
        <v>0.81</v>
      </c>
      <c r="F40" s="64">
        <v>0.24</v>
      </c>
      <c r="G40" s="64">
        <v>60.96</v>
      </c>
      <c r="H40" s="64">
        <v>29.15</v>
      </c>
      <c r="I40" s="64">
        <v>1.49</v>
      </c>
      <c r="J40" s="64">
        <v>0.2</v>
      </c>
      <c r="K40" s="64">
        <v>162.26</v>
      </c>
      <c r="L40" s="64">
        <v>24.73</v>
      </c>
      <c r="M40" s="64">
        <v>79.900000000000006</v>
      </c>
      <c r="N40" s="64">
        <v>178.8</v>
      </c>
      <c r="O40" s="64">
        <v>0</v>
      </c>
      <c r="P40" s="64">
        <v>0.72</v>
      </c>
      <c r="Q40" s="64">
        <v>5.21</v>
      </c>
      <c r="R40" s="198"/>
      <c r="S40" s="198"/>
      <c r="T40" s="198"/>
      <c r="U40" s="198"/>
    </row>
    <row r="41" spans="1:21" s="12" customFormat="1" x14ac:dyDescent="0.25">
      <c r="A41" s="214" t="s">
        <v>1334</v>
      </c>
      <c r="B41" s="64">
        <v>4.9800000000000004</v>
      </c>
      <c r="C41" s="64">
        <v>11.38</v>
      </c>
      <c r="D41" s="64">
        <v>11.57</v>
      </c>
      <c r="E41" s="64">
        <v>1.1499999999999999</v>
      </c>
      <c r="F41" s="64">
        <v>0.41</v>
      </c>
      <c r="G41" s="64">
        <v>60.96</v>
      </c>
      <c r="H41" s="64">
        <v>29.15</v>
      </c>
      <c r="I41" s="64">
        <v>1.56</v>
      </c>
      <c r="J41" s="64">
        <v>0.1</v>
      </c>
      <c r="K41" s="64">
        <v>177.37</v>
      </c>
      <c r="L41" s="64">
        <v>24.41</v>
      </c>
      <c r="M41" s="64">
        <v>81.95</v>
      </c>
      <c r="N41" s="64">
        <v>219.2</v>
      </c>
      <c r="O41" s="64">
        <v>0</v>
      </c>
      <c r="P41" s="64">
        <v>0.67</v>
      </c>
      <c r="Q41" s="64">
        <v>5.21</v>
      </c>
      <c r="R41" s="198"/>
      <c r="S41" s="198"/>
      <c r="T41" s="198"/>
      <c r="U41" s="198"/>
    </row>
    <row r="42" spans="1:21" s="12" customFormat="1" x14ac:dyDescent="0.25">
      <c r="A42" s="214" t="s">
        <v>1335</v>
      </c>
      <c r="B42" s="64">
        <v>4.9400000000000004</v>
      </c>
      <c r="C42" s="64">
        <v>11.29</v>
      </c>
      <c r="D42" s="64">
        <v>11.49</v>
      </c>
      <c r="E42" s="64">
        <v>1.24</v>
      </c>
      <c r="F42" s="64">
        <v>0.49</v>
      </c>
      <c r="G42" s="64">
        <v>60.96</v>
      </c>
      <c r="H42" s="64">
        <v>29.15</v>
      </c>
      <c r="I42" s="64">
        <v>1.48</v>
      </c>
      <c r="J42" s="64">
        <v>0.33</v>
      </c>
      <c r="K42" s="64">
        <v>151.28</v>
      </c>
      <c r="L42" s="64">
        <v>24.79</v>
      </c>
      <c r="M42" s="64">
        <v>79.64</v>
      </c>
      <c r="N42" s="64">
        <v>243.3</v>
      </c>
      <c r="O42" s="64">
        <v>0</v>
      </c>
      <c r="P42" s="64">
        <v>0.68</v>
      </c>
      <c r="Q42" s="64">
        <v>5.21</v>
      </c>
      <c r="R42" s="198"/>
      <c r="S42" s="198"/>
      <c r="T42" s="198"/>
      <c r="U42" s="198"/>
    </row>
    <row r="43" spans="1:21" s="12" customFormat="1" x14ac:dyDescent="0.25">
      <c r="A43" s="214" t="s">
        <v>1336</v>
      </c>
      <c r="B43" s="64">
        <v>4.75</v>
      </c>
      <c r="C43" s="64">
        <v>11.42</v>
      </c>
      <c r="D43" s="64">
        <v>11.41</v>
      </c>
      <c r="E43" s="64">
        <v>1.76</v>
      </c>
      <c r="F43" s="64">
        <v>0.48</v>
      </c>
      <c r="G43" s="64">
        <v>62.46</v>
      </c>
      <c r="H43" s="64">
        <v>29.8</v>
      </c>
      <c r="I43" s="64">
        <v>1.5</v>
      </c>
      <c r="J43" s="64">
        <v>7.0000000000000007E-2</v>
      </c>
      <c r="K43" s="64">
        <v>101.66</v>
      </c>
      <c r="L43" s="64">
        <v>25.36</v>
      </c>
      <c r="M43" s="64">
        <v>80.650000000000006</v>
      </c>
      <c r="N43" s="64">
        <v>287.89999999999998</v>
      </c>
      <c r="O43" s="64">
        <v>0</v>
      </c>
      <c r="P43" s="64">
        <v>0.64</v>
      </c>
      <c r="Q43" s="64">
        <v>5.21</v>
      </c>
      <c r="R43" s="198"/>
      <c r="S43" s="198"/>
      <c r="T43" s="198"/>
      <c r="U43" s="198"/>
    </row>
    <row r="44" spans="1:21" s="12" customFormat="1" x14ac:dyDescent="0.25">
      <c r="A44" s="214" t="s">
        <v>1337</v>
      </c>
      <c r="B44" s="64">
        <v>4.5999999999999996</v>
      </c>
      <c r="C44" s="64">
        <v>11.13</v>
      </c>
      <c r="D44" s="64">
        <v>11.12</v>
      </c>
      <c r="E44" s="64">
        <v>1.21</v>
      </c>
      <c r="F44" s="64">
        <v>0.47</v>
      </c>
      <c r="G44" s="64">
        <v>69.39</v>
      </c>
      <c r="H44" s="64">
        <v>32.049999999999997</v>
      </c>
      <c r="I44" s="64">
        <v>1.47</v>
      </c>
      <c r="J44" s="64">
        <v>0.21</v>
      </c>
      <c r="K44" s="64">
        <v>167.37</v>
      </c>
      <c r="L44" s="64">
        <v>25.76</v>
      </c>
      <c r="M44" s="64">
        <v>76.2</v>
      </c>
      <c r="N44" s="64">
        <v>348.5</v>
      </c>
      <c r="O44" s="64">
        <v>0</v>
      </c>
      <c r="P44" s="64">
        <v>0.68</v>
      </c>
      <c r="Q44" s="64">
        <v>5.21</v>
      </c>
      <c r="R44" s="198"/>
      <c r="S44" s="198"/>
      <c r="T44" s="198"/>
      <c r="U44" s="198"/>
    </row>
    <row r="45" spans="1:21" s="12" customFormat="1" x14ac:dyDescent="0.25">
      <c r="A45" s="214" t="s">
        <v>1338</v>
      </c>
      <c r="B45" s="64">
        <v>4.17</v>
      </c>
      <c r="C45" s="64">
        <v>11.73</v>
      </c>
      <c r="D45" s="64">
        <v>11.11</v>
      </c>
      <c r="E45" s="64">
        <v>1.84</v>
      </c>
      <c r="F45" s="64">
        <v>0.74</v>
      </c>
      <c r="G45" s="64">
        <v>69.39</v>
      </c>
      <c r="H45" s="64">
        <v>32.049999999999997</v>
      </c>
      <c r="I45" s="64">
        <v>1.46</v>
      </c>
      <c r="J45" s="64">
        <v>0.71</v>
      </c>
      <c r="K45" s="64">
        <v>138.84</v>
      </c>
      <c r="L45" s="64">
        <v>26.6</v>
      </c>
      <c r="M45" s="64">
        <v>72.94</v>
      </c>
      <c r="N45" s="64">
        <v>463.7</v>
      </c>
      <c r="O45" s="64">
        <v>0</v>
      </c>
      <c r="P45" s="64">
        <v>0.64</v>
      </c>
      <c r="Q45" s="64">
        <v>5.21</v>
      </c>
      <c r="R45" s="198"/>
      <c r="S45" s="198"/>
      <c r="T45" s="198"/>
      <c r="U45" s="198"/>
    </row>
    <row r="46" spans="1:21" s="12" customFormat="1" x14ac:dyDescent="0.25">
      <c r="A46" s="214" t="s">
        <v>1339</v>
      </c>
      <c r="B46" s="64">
        <v>3.85</v>
      </c>
      <c r="C46" s="64">
        <v>11.01</v>
      </c>
      <c r="D46" s="64">
        <v>10.46</v>
      </c>
      <c r="E46" s="64">
        <v>1.52</v>
      </c>
      <c r="F46" s="64">
        <v>1.1399999999999999</v>
      </c>
      <c r="G46" s="64">
        <v>69.39</v>
      </c>
      <c r="H46" s="64">
        <v>32.049999999999997</v>
      </c>
      <c r="I46" s="64">
        <v>1.5</v>
      </c>
      <c r="J46" s="64">
        <v>0.08</v>
      </c>
      <c r="K46" s="64">
        <v>86.06</v>
      </c>
      <c r="L46" s="64">
        <v>27.71</v>
      </c>
      <c r="M46" s="64">
        <v>68.62</v>
      </c>
      <c r="N46" s="64">
        <v>457.6</v>
      </c>
      <c r="O46" s="64">
        <v>0</v>
      </c>
      <c r="P46" s="64">
        <v>0.67</v>
      </c>
      <c r="Q46" s="64">
        <v>5.21</v>
      </c>
      <c r="R46" s="198"/>
      <c r="S46" s="198"/>
      <c r="T46" s="198"/>
      <c r="U46" s="198"/>
    </row>
    <row r="47" spans="1:21" s="12" customFormat="1" x14ac:dyDescent="0.25">
      <c r="A47" s="214" t="s">
        <v>1340</v>
      </c>
      <c r="B47" s="64">
        <v>3.55</v>
      </c>
      <c r="C47" s="64">
        <v>11.06</v>
      </c>
      <c r="D47" s="64">
        <v>10.25</v>
      </c>
      <c r="E47" s="64">
        <v>1.79</v>
      </c>
      <c r="F47" s="64">
        <v>0.56999999999999995</v>
      </c>
      <c r="G47" s="64">
        <v>69.34</v>
      </c>
      <c r="H47" s="64">
        <v>31.5</v>
      </c>
      <c r="I47" s="64">
        <v>1.56</v>
      </c>
      <c r="J47" s="64">
        <v>0.15</v>
      </c>
      <c r="K47" s="64">
        <v>160.24</v>
      </c>
      <c r="L47" s="64">
        <v>28.76</v>
      </c>
      <c r="M47" s="64">
        <v>61.26</v>
      </c>
      <c r="N47" s="64">
        <v>647.70000000000005</v>
      </c>
      <c r="O47" s="64">
        <v>0</v>
      </c>
      <c r="P47" s="64">
        <v>0.73</v>
      </c>
      <c r="Q47" s="64">
        <v>5.21</v>
      </c>
      <c r="R47" s="198"/>
      <c r="S47" s="198"/>
      <c r="T47" s="198"/>
      <c r="U47" s="198"/>
    </row>
    <row r="48" spans="1:21" s="12" customFormat="1" x14ac:dyDescent="0.25">
      <c r="A48" s="214" t="s">
        <v>1341</v>
      </c>
      <c r="B48" s="64">
        <v>3.21</v>
      </c>
      <c r="C48" s="64">
        <v>11.72</v>
      </c>
      <c r="D48" s="64">
        <v>10.33</v>
      </c>
      <c r="E48" s="64">
        <v>1.36</v>
      </c>
      <c r="F48" s="64">
        <v>1.03</v>
      </c>
      <c r="G48" s="64">
        <v>69.13</v>
      </c>
      <c r="H48" s="64">
        <v>29.6</v>
      </c>
      <c r="I48" s="64">
        <v>1.51</v>
      </c>
      <c r="J48" s="64">
        <v>0.2</v>
      </c>
      <c r="K48" s="64">
        <v>338.96</v>
      </c>
      <c r="L48" s="64">
        <v>30.29</v>
      </c>
      <c r="M48" s="64">
        <v>53.75</v>
      </c>
      <c r="N48" s="64">
        <v>696.1</v>
      </c>
      <c r="O48" s="64">
        <v>0</v>
      </c>
      <c r="P48" s="64">
        <v>0.77</v>
      </c>
      <c r="Q48" s="64">
        <v>5.21</v>
      </c>
      <c r="R48" s="198"/>
      <c r="S48" s="198"/>
      <c r="T48" s="198"/>
      <c r="U48" s="198"/>
    </row>
    <row r="49" spans="1:21" s="12" customFormat="1" x14ac:dyDescent="0.25">
      <c r="A49" s="214" t="s">
        <v>1342</v>
      </c>
      <c r="B49" s="64">
        <v>2.85</v>
      </c>
      <c r="C49" s="64">
        <v>11.95</v>
      </c>
      <c r="D49" s="64">
        <v>10.18</v>
      </c>
      <c r="E49" s="64">
        <v>1.41</v>
      </c>
      <c r="F49" s="64">
        <v>1.42</v>
      </c>
      <c r="G49" s="64">
        <v>69.13</v>
      </c>
      <c r="H49" s="64">
        <v>29.6</v>
      </c>
      <c r="I49" s="64">
        <v>1.47</v>
      </c>
      <c r="J49" s="64">
        <v>0.26</v>
      </c>
      <c r="K49" s="64">
        <v>352.78</v>
      </c>
      <c r="L49" s="64">
        <v>30.83</v>
      </c>
      <c r="M49" s="64">
        <v>51.63</v>
      </c>
      <c r="N49" s="64">
        <v>683.1</v>
      </c>
      <c r="O49" s="64">
        <v>0</v>
      </c>
      <c r="P49" s="64">
        <v>0.78</v>
      </c>
      <c r="Q49" s="64">
        <v>5.21</v>
      </c>
      <c r="R49" s="198"/>
      <c r="S49" s="198"/>
      <c r="T49" s="198"/>
      <c r="U49" s="198"/>
    </row>
    <row r="50" spans="1:21" s="12" customFormat="1" x14ac:dyDescent="0.25">
      <c r="A50" s="214" t="s">
        <v>1343</v>
      </c>
      <c r="B50" s="64">
        <v>2.72</v>
      </c>
      <c r="C50" s="64">
        <v>12.2</v>
      </c>
      <c r="D50" s="64">
        <v>10.199999999999999</v>
      </c>
      <c r="E50" s="64">
        <v>1.5</v>
      </c>
      <c r="F50" s="64">
        <v>1.23</v>
      </c>
      <c r="G50" s="64">
        <v>69.13</v>
      </c>
      <c r="H50" s="64">
        <v>29.6</v>
      </c>
      <c r="I50" s="64">
        <v>1.55</v>
      </c>
      <c r="J50" s="64">
        <v>7.0000000000000007E-2</v>
      </c>
      <c r="K50" s="64">
        <v>177.02</v>
      </c>
      <c r="L50" s="64">
        <v>31.43</v>
      </c>
      <c r="M50" s="64">
        <v>49.53</v>
      </c>
      <c r="N50" s="64">
        <v>697.4</v>
      </c>
      <c r="O50" s="64">
        <v>0</v>
      </c>
      <c r="P50" s="64">
        <v>0.81</v>
      </c>
      <c r="Q50" s="64">
        <v>5.21</v>
      </c>
      <c r="R50" s="198"/>
      <c r="S50" s="198"/>
      <c r="T50" s="198"/>
      <c r="U50" s="198"/>
    </row>
    <row r="51" spans="1:21" s="12" customFormat="1" x14ac:dyDescent="0.25">
      <c r="A51" s="214" t="s">
        <v>1344</v>
      </c>
      <c r="B51" s="64">
        <v>2.52</v>
      </c>
      <c r="C51" s="64">
        <v>13.86</v>
      </c>
      <c r="D51" s="64">
        <v>10.97</v>
      </c>
      <c r="E51" s="64">
        <v>1.67</v>
      </c>
      <c r="F51" s="64">
        <v>1.25</v>
      </c>
      <c r="G51" s="64">
        <v>69.11</v>
      </c>
      <c r="H51" s="64">
        <v>29.29</v>
      </c>
      <c r="I51" s="64">
        <v>1.49</v>
      </c>
      <c r="J51" s="64">
        <v>0.23</v>
      </c>
      <c r="K51" s="64">
        <v>114.81</v>
      </c>
      <c r="L51" s="64">
        <v>31.43</v>
      </c>
      <c r="M51" s="64">
        <v>50.83</v>
      </c>
      <c r="N51" s="64">
        <v>734</v>
      </c>
      <c r="O51" s="64">
        <v>0</v>
      </c>
      <c r="P51" s="64">
        <v>0.92</v>
      </c>
      <c r="Q51" s="64">
        <v>5.21</v>
      </c>
      <c r="R51" s="198"/>
      <c r="S51" s="198"/>
      <c r="T51" s="198"/>
      <c r="U51" s="198"/>
    </row>
    <row r="52" spans="1:21" s="12" customFormat="1" x14ac:dyDescent="0.25">
      <c r="A52" s="214" t="s">
        <v>1345</v>
      </c>
      <c r="B52" s="64">
        <v>2.12</v>
      </c>
      <c r="C52" s="64">
        <v>14.65</v>
      </c>
      <c r="D52" s="64">
        <v>11.08</v>
      </c>
      <c r="E52" s="64">
        <v>0.95</v>
      </c>
      <c r="F52" s="64">
        <v>3.04</v>
      </c>
      <c r="G52" s="64">
        <v>69.040000000000006</v>
      </c>
      <c r="H52" s="64">
        <v>28.21</v>
      </c>
      <c r="I52" s="64">
        <v>1.54</v>
      </c>
      <c r="J52" s="64">
        <v>0.08</v>
      </c>
      <c r="K52" s="64">
        <v>14.71</v>
      </c>
      <c r="L52" s="64">
        <v>31.78</v>
      </c>
      <c r="M52" s="64">
        <v>48.05</v>
      </c>
      <c r="N52" s="64">
        <v>754</v>
      </c>
      <c r="O52" s="64">
        <v>0</v>
      </c>
      <c r="P52" s="64">
        <v>0.94</v>
      </c>
      <c r="Q52" s="64">
        <v>5.21</v>
      </c>
      <c r="R52" s="198"/>
      <c r="S52" s="198"/>
      <c r="T52" s="198"/>
      <c r="U52" s="198"/>
    </row>
    <row r="53" spans="1:21" s="12" customFormat="1" x14ac:dyDescent="0.25">
      <c r="A53" s="214" t="s">
        <v>1346</v>
      </c>
      <c r="B53" s="64">
        <v>2</v>
      </c>
      <c r="C53" s="64">
        <v>16.02</v>
      </c>
      <c r="D53" s="64">
        <v>11.74</v>
      </c>
      <c r="E53" s="64">
        <v>4.8499999999999996</v>
      </c>
      <c r="F53" s="64">
        <v>3.11</v>
      </c>
      <c r="G53" s="64">
        <v>69.040000000000006</v>
      </c>
      <c r="H53" s="64">
        <v>28.21</v>
      </c>
      <c r="I53" s="64">
        <v>1.54</v>
      </c>
      <c r="J53" s="64">
        <v>0.1</v>
      </c>
      <c r="K53" s="64">
        <v>3.64</v>
      </c>
      <c r="L53" s="64">
        <v>31.2</v>
      </c>
      <c r="M53" s="64">
        <v>45.05</v>
      </c>
      <c r="N53" s="64">
        <v>766.7</v>
      </c>
      <c r="O53" s="64">
        <v>0</v>
      </c>
      <c r="P53" s="64">
        <v>0.93</v>
      </c>
      <c r="Q53" s="64">
        <v>4.9400000000000004</v>
      </c>
      <c r="R53" s="198"/>
      <c r="S53" s="198"/>
      <c r="T53" s="198"/>
      <c r="U53" s="198"/>
    </row>
    <row r="54" spans="1:21" s="12" customFormat="1" x14ac:dyDescent="0.25">
      <c r="A54" s="214" t="s">
        <v>1347</v>
      </c>
      <c r="B54" s="64">
        <v>2</v>
      </c>
      <c r="C54" s="64">
        <v>16.05</v>
      </c>
      <c r="D54" s="64">
        <v>11.76</v>
      </c>
      <c r="E54" s="64">
        <v>19.41</v>
      </c>
      <c r="F54" s="64">
        <v>2.71</v>
      </c>
      <c r="G54" s="64">
        <v>69.040000000000006</v>
      </c>
      <c r="H54" s="64">
        <v>28.21</v>
      </c>
      <c r="I54" s="64">
        <v>1.46</v>
      </c>
      <c r="J54" s="64">
        <v>0.65</v>
      </c>
      <c r="K54" s="64">
        <v>326.82</v>
      </c>
      <c r="L54" s="64">
        <v>34.229999999999997</v>
      </c>
      <c r="M54" s="64">
        <v>37.71</v>
      </c>
      <c r="N54" s="64">
        <v>788.6</v>
      </c>
      <c r="O54" s="64">
        <v>0</v>
      </c>
      <c r="P54" s="64">
        <v>0.96</v>
      </c>
      <c r="Q54" s="64">
        <v>4.95</v>
      </c>
      <c r="R54" s="198"/>
      <c r="S54" s="198"/>
      <c r="T54" s="198"/>
      <c r="U54" s="198"/>
    </row>
    <row r="55" spans="1:21" s="12" customFormat="1" x14ac:dyDescent="0.25">
      <c r="A55" s="214" t="s">
        <v>1348</v>
      </c>
      <c r="B55" s="64">
        <v>2.12</v>
      </c>
      <c r="C55" s="64">
        <v>16.13</v>
      </c>
      <c r="D55" s="64">
        <v>11.89</v>
      </c>
      <c r="E55" s="64">
        <v>1.5</v>
      </c>
      <c r="F55" s="64">
        <v>1.6</v>
      </c>
      <c r="G55" s="64">
        <v>71.790000000000006</v>
      </c>
      <c r="H55" s="64">
        <v>26</v>
      </c>
      <c r="I55" s="64">
        <v>1.52</v>
      </c>
      <c r="J55" s="64">
        <v>0.31</v>
      </c>
      <c r="K55" s="64">
        <v>343.01</v>
      </c>
      <c r="L55" s="64">
        <v>33.61</v>
      </c>
      <c r="M55" s="64">
        <v>36.94</v>
      </c>
      <c r="N55" s="64">
        <v>800.3</v>
      </c>
      <c r="O55" s="64">
        <v>0</v>
      </c>
      <c r="P55" s="64">
        <v>0.92</v>
      </c>
      <c r="Q55" s="64">
        <v>4.97</v>
      </c>
      <c r="R55" s="198"/>
      <c r="S55" s="198"/>
      <c r="T55" s="198"/>
      <c r="U55" s="198"/>
    </row>
    <row r="56" spans="1:21" s="12" customFormat="1" x14ac:dyDescent="0.25">
      <c r="A56" s="214" t="s">
        <v>1349</v>
      </c>
      <c r="B56" s="64">
        <v>2.09</v>
      </c>
      <c r="C56" s="64">
        <v>15.88</v>
      </c>
      <c r="D56" s="64">
        <v>11.73</v>
      </c>
      <c r="E56" s="64">
        <v>0.74</v>
      </c>
      <c r="F56" s="64">
        <v>1.71</v>
      </c>
      <c r="G56" s="64">
        <v>84.49</v>
      </c>
      <c r="H56" s="64">
        <v>18.34</v>
      </c>
      <c r="I56" s="64">
        <v>1.48</v>
      </c>
      <c r="J56" s="64">
        <v>0.12</v>
      </c>
      <c r="K56" s="64">
        <v>159.37</v>
      </c>
      <c r="L56" s="64">
        <v>33.01</v>
      </c>
      <c r="M56" s="64">
        <v>39.39</v>
      </c>
      <c r="N56" s="64">
        <v>790.4</v>
      </c>
      <c r="O56" s="64">
        <v>0</v>
      </c>
      <c r="P56" s="64">
        <v>0.88</v>
      </c>
      <c r="Q56" s="64">
        <v>4.9800000000000004</v>
      </c>
      <c r="R56" s="198"/>
      <c r="S56" s="198"/>
      <c r="T56" s="198"/>
      <c r="U56" s="198"/>
    </row>
    <row r="57" spans="1:21" s="12" customFormat="1" x14ac:dyDescent="0.25">
      <c r="A57" s="214" t="s">
        <v>1350</v>
      </c>
      <c r="B57" s="64">
        <v>2.0099999999999998</v>
      </c>
      <c r="C57" s="64">
        <v>14.83</v>
      </c>
      <c r="D57" s="64">
        <v>11.09</v>
      </c>
      <c r="E57" s="64">
        <v>1.25</v>
      </c>
      <c r="F57" s="64">
        <v>2.2799999999999998</v>
      </c>
      <c r="G57" s="64">
        <v>84.49</v>
      </c>
      <c r="H57" s="64">
        <v>18.34</v>
      </c>
      <c r="I57" s="64">
        <v>1.46</v>
      </c>
      <c r="J57" s="64">
        <v>0.22</v>
      </c>
      <c r="K57" s="64">
        <v>17.239999999999998</v>
      </c>
      <c r="L57" s="64">
        <v>32.159999999999997</v>
      </c>
      <c r="M57" s="64">
        <v>38.21</v>
      </c>
      <c r="N57" s="64">
        <v>787.8</v>
      </c>
      <c r="O57" s="64">
        <v>0</v>
      </c>
      <c r="P57" s="64">
        <v>0.83</v>
      </c>
      <c r="Q57" s="64">
        <v>5.04</v>
      </c>
      <c r="R57" s="198"/>
      <c r="S57" s="198"/>
      <c r="T57" s="198"/>
      <c r="U57" s="198"/>
    </row>
    <row r="58" spans="1:21" s="12" customFormat="1" x14ac:dyDescent="0.25">
      <c r="A58" s="214" t="s">
        <v>1351</v>
      </c>
      <c r="B58" s="64">
        <v>2</v>
      </c>
      <c r="C58" s="64">
        <v>15.29</v>
      </c>
      <c r="D58" s="64">
        <v>11.34</v>
      </c>
      <c r="E58" s="64">
        <v>4.0199999999999996</v>
      </c>
      <c r="F58" s="64">
        <v>4.04</v>
      </c>
      <c r="G58" s="64">
        <v>84.49</v>
      </c>
      <c r="H58" s="64">
        <v>18.34</v>
      </c>
      <c r="I58" s="64">
        <v>1.43</v>
      </c>
      <c r="J58" s="64">
        <v>0.1</v>
      </c>
      <c r="K58" s="64">
        <v>340.82</v>
      </c>
      <c r="L58" s="64">
        <v>32.47</v>
      </c>
      <c r="M58" s="64">
        <v>35.21</v>
      </c>
      <c r="N58" s="64">
        <v>780.6</v>
      </c>
      <c r="O58" s="64">
        <v>0</v>
      </c>
      <c r="P58" s="64">
        <v>0.77</v>
      </c>
      <c r="Q58" s="64">
        <v>5.09</v>
      </c>
      <c r="R58" s="198"/>
      <c r="S58" s="198"/>
      <c r="T58" s="198"/>
      <c r="U58" s="198"/>
    </row>
    <row r="59" spans="1:21" s="12" customFormat="1" x14ac:dyDescent="0.25">
      <c r="A59" s="214" t="s">
        <v>1352</v>
      </c>
      <c r="B59" s="64">
        <v>2</v>
      </c>
      <c r="C59" s="64">
        <v>16.059999999999999</v>
      </c>
      <c r="D59" s="64">
        <v>11.76</v>
      </c>
      <c r="E59" s="64">
        <v>3.79</v>
      </c>
      <c r="F59" s="64">
        <v>3.57</v>
      </c>
      <c r="G59" s="64">
        <v>80.37</v>
      </c>
      <c r="H59" s="64">
        <v>17.670000000000002</v>
      </c>
      <c r="I59" s="64">
        <v>1.47</v>
      </c>
      <c r="J59" s="64">
        <v>0.19</v>
      </c>
      <c r="K59" s="64">
        <v>336.65</v>
      </c>
      <c r="L59" s="64">
        <v>32.520000000000003</v>
      </c>
      <c r="M59" s="64">
        <v>36.18</v>
      </c>
      <c r="N59" s="64">
        <v>767</v>
      </c>
      <c r="O59" s="64">
        <v>0</v>
      </c>
      <c r="P59" s="64">
        <v>0.72</v>
      </c>
      <c r="Q59" s="64">
        <v>5.13</v>
      </c>
      <c r="R59" s="198"/>
      <c r="S59" s="198"/>
      <c r="T59" s="198"/>
      <c r="U59" s="198"/>
    </row>
    <row r="60" spans="1:21" s="12" customFormat="1" x14ac:dyDescent="0.25">
      <c r="A60" s="214" t="s">
        <v>1353</v>
      </c>
      <c r="B60" s="64">
        <v>2</v>
      </c>
      <c r="C60" s="64">
        <v>15.23</v>
      </c>
      <c r="D60" s="64">
        <v>11.3</v>
      </c>
      <c r="E60" s="64">
        <v>3.81</v>
      </c>
      <c r="F60" s="64">
        <v>2.62</v>
      </c>
      <c r="G60" s="64">
        <v>61.35</v>
      </c>
      <c r="H60" s="64">
        <v>14.53</v>
      </c>
      <c r="I60" s="64">
        <v>1.45</v>
      </c>
      <c r="J60" s="64">
        <v>0.1</v>
      </c>
      <c r="K60" s="64">
        <v>65.52</v>
      </c>
      <c r="L60" s="64">
        <v>33.549999999999997</v>
      </c>
      <c r="M60" s="64">
        <v>36.17</v>
      </c>
      <c r="N60" s="64">
        <v>763.4</v>
      </c>
      <c r="O60" s="64">
        <v>0</v>
      </c>
      <c r="P60" s="64">
        <v>0.7</v>
      </c>
      <c r="Q60" s="64">
        <v>5.14</v>
      </c>
      <c r="R60" s="198"/>
      <c r="S60" s="198"/>
      <c r="T60" s="198"/>
      <c r="U60" s="198"/>
    </row>
    <row r="61" spans="1:21" s="12" customFormat="1" x14ac:dyDescent="0.25">
      <c r="A61" s="214" t="s">
        <v>1354</v>
      </c>
      <c r="B61" s="64">
        <v>2</v>
      </c>
      <c r="C61" s="64">
        <v>14.39</v>
      </c>
      <c r="D61" s="64">
        <v>10.84</v>
      </c>
      <c r="E61" s="64">
        <v>3.92</v>
      </c>
      <c r="F61" s="64">
        <v>3.28</v>
      </c>
      <c r="G61" s="64">
        <v>61.35</v>
      </c>
      <c r="H61" s="64">
        <v>14.53</v>
      </c>
      <c r="I61" s="64">
        <v>1.48</v>
      </c>
      <c r="J61" s="64">
        <v>0.01</v>
      </c>
      <c r="K61" s="64">
        <v>83.77</v>
      </c>
      <c r="L61" s="64">
        <v>31.91</v>
      </c>
      <c r="M61" s="64">
        <v>37.4</v>
      </c>
      <c r="N61" s="64">
        <v>718.9</v>
      </c>
      <c r="O61" s="64">
        <v>0</v>
      </c>
      <c r="P61" s="64">
        <v>0.55000000000000004</v>
      </c>
      <c r="Q61" s="64">
        <v>5.12</v>
      </c>
      <c r="R61" s="198"/>
      <c r="S61" s="198"/>
      <c r="T61" s="198"/>
      <c r="U61" s="198"/>
    </row>
    <row r="62" spans="1:21" s="12" customFormat="1" x14ac:dyDescent="0.25">
      <c r="A62" s="214" t="s">
        <v>1355</v>
      </c>
      <c r="B62" s="64">
        <v>2</v>
      </c>
      <c r="C62" s="64">
        <v>12.94</v>
      </c>
      <c r="D62" s="64">
        <v>10.039999999999999</v>
      </c>
      <c r="E62" s="64">
        <v>3.7</v>
      </c>
      <c r="F62" s="64">
        <v>3.49</v>
      </c>
      <c r="G62" s="64">
        <v>61.35</v>
      </c>
      <c r="H62" s="64">
        <v>14.53</v>
      </c>
      <c r="I62" s="64">
        <v>1.47</v>
      </c>
      <c r="J62" s="64">
        <v>0.14000000000000001</v>
      </c>
      <c r="K62" s="64">
        <v>41.53</v>
      </c>
      <c r="L62" s="64">
        <v>31.83</v>
      </c>
      <c r="M62" s="64">
        <v>37.47</v>
      </c>
      <c r="N62" s="64">
        <v>498.9</v>
      </c>
      <c r="O62" s="64">
        <v>0</v>
      </c>
      <c r="P62" s="64">
        <v>0.55000000000000004</v>
      </c>
      <c r="Q62" s="64">
        <v>5.1100000000000003</v>
      </c>
      <c r="R62" s="198"/>
      <c r="S62" s="198"/>
      <c r="T62" s="198"/>
      <c r="U62" s="198"/>
    </row>
    <row r="63" spans="1:21" s="12" customFormat="1" x14ac:dyDescent="0.25">
      <c r="A63" s="214" t="s">
        <v>1356</v>
      </c>
      <c r="B63" s="64">
        <v>6.78</v>
      </c>
      <c r="C63" s="64">
        <v>15.14</v>
      </c>
      <c r="D63" s="64">
        <v>15.08</v>
      </c>
      <c r="E63" s="10" t="s">
        <v>43</v>
      </c>
      <c r="F63" s="64">
        <v>1.96</v>
      </c>
      <c r="G63" s="64">
        <v>58.99</v>
      </c>
      <c r="H63" s="64">
        <v>13.52</v>
      </c>
      <c r="I63" s="64">
        <v>1.49</v>
      </c>
      <c r="J63" s="64">
        <v>0.1</v>
      </c>
      <c r="K63" s="64">
        <v>50.61</v>
      </c>
      <c r="L63" s="64">
        <v>31.07</v>
      </c>
      <c r="M63" s="64">
        <v>40.64</v>
      </c>
      <c r="N63" s="64">
        <v>253.1</v>
      </c>
      <c r="O63" s="64">
        <v>0</v>
      </c>
      <c r="P63" s="64">
        <v>0.59</v>
      </c>
      <c r="Q63" s="64">
        <v>5.23</v>
      </c>
      <c r="R63" s="198"/>
      <c r="S63" s="198"/>
      <c r="T63" s="198"/>
      <c r="U63" s="198"/>
    </row>
    <row r="64" spans="1:21" s="12" customFormat="1" x14ac:dyDescent="0.25">
      <c r="A64" s="214" t="s">
        <v>1357</v>
      </c>
      <c r="B64" s="64">
        <v>7.25</v>
      </c>
      <c r="C64" s="64">
        <v>16.829999999999998</v>
      </c>
      <c r="D64" s="64">
        <v>16.399999999999999</v>
      </c>
      <c r="E64" s="64">
        <v>13.79</v>
      </c>
      <c r="F64" s="64">
        <v>1.42</v>
      </c>
      <c r="G64" s="64">
        <v>48.06</v>
      </c>
      <c r="H64" s="64">
        <v>10.029999999999999</v>
      </c>
      <c r="I64" s="64">
        <v>1.49</v>
      </c>
      <c r="J64" s="64">
        <v>0.71</v>
      </c>
      <c r="K64" s="64">
        <v>151.52000000000001</v>
      </c>
      <c r="L64" s="64">
        <v>30.45</v>
      </c>
      <c r="M64" s="64">
        <v>43.23</v>
      </c>
      <c r="N64" s="64">
        <v>220.4</v>
      </c>
      <c r="O64" s="64">
        <v>0</v>
      </c>
      <c r="P64" s="64">
        <v>0.59</v>
      </c>
      <c r="Q64" s="64">
        <v>5.52</v>
      </c>
      <c r="R64" s="198"/>
      <c r="S64" s="198"/>
      <c r="T64" s="198"/>
      <c r="U64" s="198"/>
    </row>
    <row r="65" spans="1:21" s="12" customFormat="1" x14ac:dyDescent="0.25">
      <c r="A65" s="214" t="s">
        <v>1358</v>
      </c>
      <c r="B65" s="64">
        <v>4.54</v>
      </c>
      <c r="C65" s="64">
        <v>18.309999999999999</v>
      </c>
      <c r="D65" s="64">
        <v>15.04</v>
      </c>
      <c r="E65" s="64">
        <v>5.41</v>
      </c>
      <c r="F65" s="64">
        <v>2.36</v>
      </c>
      <c r="G65" s="64">
        <v>48.06</v>
      </c>
      <c r="H65" s="64">
        <v>10.029999999999999</v>
      </c>
      <c r="I65" s="64">
        <v>1.49</v>
      </c>
      <c r="J65" s="64">
        <v>0.6</v>
      </c>
      <c r="K65" s="64">
        <v>142.87</v>
      </c>
      <c r="L65" s="64">
        <v>30.16</v>
      </c>
      <c r="M65" s="64">
        <v>44.2</v>
      </c>
      <c r="N65" s="64">
        <v>215.7</v>
      </c>
      <c r="O65" s="64">
        <v>0</v>
      </c>
      <c r="P65" s="64">
        <v>0.56999999999999995</v>
      </c>
      <c r="Q65" s="64">
        <v>5.51</v>
      </c>
      <c r="R65" s="198"/>
      <c r="S65" s="198"/>
      <c r="T65" s="198"/>
      <c r="U65" s="198"/>
    </row>
    <row r="66" spans="1:21" s="12" customFormat="1" x14ac:dyDescent="0.25">
      <c r="A66" s="214" t="s">
        <v>1359</v>
      </c>
      <c r="B66" s="64">
        <v>2.71</v>
      </c>
      <c r="C66" s="64">
        <v>18.23</v>
      </c>
      <c r="D66" s="64">
        <v>13.52</v>
      </c>
      <c r="E66" s="64">
        <v>2.88</v>
      </c>
      <c r="F66" s="64">
        <v>1.78</v>
      </c>
      <c r="G66" s="64">
        <v>48.06</v>
      </c>
      <c r="H66" s="64">
        <v>10.029999999999999</v>
      </c>
      <c r="I66" s="64">
        <v>1.48</v>
      </c>
      <c r="J66" s="64">
        <v>0.56999999999999995</v>
      </c>
      <c r="K66" s="64">
        <v>147.38999999999999</v>
      </c>
      <c r="L66" s="64">
        <v>30.44</v>
      </c>
      <c r="M66" s="64">
        <v>43.05</v>
      </c>
      <c r="N66" s="64">
        <v>202.6</v>
      </c>
      <c r="O66" s="64">
        <v>0</v>
      </c>
      <c r="P66" s="64">
        <v>0.56000000000000005</v>
      </c>
      <c r="Q66" s="64">
        <v>5.34</v>
      </c>
      <c r="R66" s="198"/>
      <c r="S66" s="198"/>
      <c r="T66" s="198"/>
      <c r="U66" s="198"/>
    </row>
    <row r="67" spans="1:21" s="12" customFormat="1" x14ac:dyDescent="0.25">
      <c r="A67" s="214" t="s">
        <v>1360</v>
      </c>
      <c r="B67" s="64">
        <v>2.1800000000000002</v>
      </c>
      <c r="C67" s="64">
        <v>16.41</v>
      </c>
      <c r="D67" s="64">
        <v>12.09</v>
      </c>
      <c r="E67" s="64">
        <v>5.34</v>
      </c>
      <c r="F67" s="64">
        <v>1.62</v>
      </c>
      <c r="G67" s="64">
        <v>54.58</v>
      </c>
      <c r="H67" s="64">
        <v>14.63</v>
      </c>
      <c r="I67" s="64">
        <v>1.54</v>
      </c>
      <c r="J67" s="64">
        <v>1.03</v>
      </c>
      <c r="K67" s="64">
        <v>150.06</v>
      </c>
      <c r="L67" s="64">
        <v>30.21</v>
      </c>
      <c r="M67" s="64">
        <v>44.45</v>
      </c>
      <c r="N67" s="64">
        <v>195.1</v>
      </c>
      <c r="O67" s="64">
        <v>0</v>
      </c>
      <c r="P67" s="64">
        <v>0.55000000000000004</v>
      </c>
      <c r="Q67" s="64">
        <v>5.25</v>
      </c>
      <c r="R67" s="198"/>
      <c r="S67" s="198"/>
      <c r="T67" s="198"/>
      <c r="U67" s="198"/>
    </row>
    <row r="68" spans="1:21" s="12" customFormat="1" x14ac:dyDescent="0.25">
      <c r="A68" s="214" t="s">
        <v>1361</v>
      </c>
      <c r="B68" s="64">
        <v>2</v>
      </c>
      <c r="C68" s="64">
        <v>14.45</v>
      </c>
      <c r="D68" s="64">
        <v>10.87</v>
      </c>
      <c r="E68" s="64">
        <v>4.3</v>
      </c>
      <c r="F68" s="64">
        <v>1.76</v>
      </c>
      <c r="G68" s="64">
        <v>84.76</v>
      </c>
      <c r="H68" s="64">
        <v>30.61</v>
      </c>
      <c r="I68" s="64">
        <v>1.43</v>
      </c>
      <c r="J68" s="64">
        <v>0.42</v>
      </c>
      <c r="K68" s="64">
        <v>135.82</v>
      </c>
      <c r="L68" s="64">
        <v>29.85</v>
      </c>
      <c r="M68" s="64">
        <v>47.47</v>
      </c>
      <c r="N68" s="64">
        <v>125.4</v>
      </c>
      <c r="O68" s="64">
        <v>0</v>
      </c>
      <c r="P68" s="64">
        <v>0.53</v>
      </c>
      <c r="Q68" s="64">
        <v>5.18</v>
      </c>
      <c r="R68" s="198"/>
      <c r="S68" s="198"/>
      <c r="T68" s="198"/>
      <c r="U68" s="198"/>
    </row>
    <row r="69" spans="1:21" s="12" customFormat="1" x14ac:dyDescent="0.25">
      <c r="A69" s="214" t="s">
        <v>1362</v>
      </c>
      <c r="B69" s="64">
        <v>2</v>
      </c>
      <c r="C69" s="64">
        <v>12.61</v>
      </c>
      <c r="D69" s="64">
        <v>9.85</v>
      </c>
      <c r="E69" s="64">
        <v>3.68</v>
      </c>
      <c r="F69" s="64">
        <v>1.73</v>
      </c>
      <c r="G69" s="64">
        <v>84.76</v>
      </c>
      <c r="H69" s="64">
        <v>30.61</v>
      </c>
      <c r="I69" s="64">
        <v>1.52</v>
      </c>
      <c r="J69" s="64">
        <v>0.21</v>
      </c>
      <c r="K69" s="64">
        <v>126.08</v>
      </c>
      <c r="L69" s="64">
        <v>29.58</v>
      </c>
      <c r="M69" s="64">
        <v>48.37</v>
      </c>
      <c r="N69" s="64">
        <v>102.5</v>
      </c>
      <c r="O69" s="64">
        <v>0</v>
      </c>
      <c r="P69" s="64">
        <v>0.48</v>
      </c>
      <c r="Q69" s="64">
        <v>5.17</v>
      </c>
      <c r="R69" s="198"/>
      <c r="S69" s="198"/>
      <c r="T69" s="198"/>
      <c r="U69" s="198"/>
    </row>
    <row r="70" spans="1:21" s="12" customFormat="1" x14ac:dyDescent="0.25">
      <c r="A70" s="214" t="s">
        <v>1363</v>
      </c>
      <c r="B70" s="64">
        <v>2</v>
      </c>
      <c r="C70" s="64">
        <v>11.42</v>
      </c>
      <c r="D70" s="64">
        <v>9.1999999999999993</v>
      </c>
      <c r="E70" s="64">
        <v>3.49</v>
      </c>
      <c r="F70" s="64">
        <v>1.59</v>
      </c>
      <c r="G70" s="64">
        <v>84.76</v>
      </c>
      <c r="H70" s="64">
        <v>30.61</v>
      </c>
      <c r="I70" s="64">
        <v>1.52</v>
      </c>
      <c r="J70" s="64">
        <v>0.08</v>
      </c>
      <c r="K70" s="64">
        <v>168.6</v>
      </c>
      <c r="L70" s="64">
        <v>29.49</v>
      </c>
      <c r="M70" s="64">
        <v>47.26</v>
      </c>
      <c r="N70" s="64">
        <v>77.7</v>
      </c>
      <c r="O70" s="64">
        <v>0</v>
      </c>
      <c r="P70" s="64">
        <v>0.49</v>
      </c>
      <c r="Q70" s="64">
        <v>5.16</v>
      </c>
      <c r="R70" s="198"/>
      <c r="S70" s="198"/>
      <c r="T70" s="198"/>
      <c r="U70" s="198"/>
    </row>
    <row r="71" spans="1:21" s="12" customFormat="1" x14ac:dyDescent="0.25">
      <c r="A71" s="214" t="s">
        <v>1364</v>
      </c>
      <c r="B71" s="64">
        <v>2</v>
      </c>
      <c r="C71" s="64">
        <v>11.22</v>
      </c>
      <c r="D71" s="64">
        <v>9.09</v>
      </c>
      <c r="E71" s="64">
        <v>2.98</v>
      </c>
      <c r="F71" s="64">
        <v>2.91</v>
      </c>
      <c r="G71" s="64">
        <v>78.680000000000007</v>
      </c>
      <c r="H71" s="64">
        <v>29.84</v>
      </c>
      <c r="I71" s="64">
        <v>1.49</v>
      </c>
      <c r="J71" s="64">
        <v>0.44</v>
      </c>
      <c r="K71" s="64">
        <v>150.84</v>
      </c>
      <c r="L71" s="64">
        <v>29.09</v>
      </c>
      <c r="M71" s="64">
        <v>52.02</v>
      </c>
      <c r="N71" s="64">
        <v>52.3</v>
      </c>
      <c r="O71" s="64">
        <v>0</v>
      </c>
      <c r="P71" s="64">
        <v>0.46</v>
      </c>
      <c r="Q71" s="64">
        <v>5.15</v>
      </c>
      <c r="R71" s="198"/>
      <c r="S71" s="198"/>
      <c r="T71" s="198"/>
      <c r="U71" s="198"/>
    </row>
    <row r="72" spans="1:21" s="12" customFormat="1" x14ac:dyDescent="0.25">
      <c r="A72" s="214" t="s">
        <v>1365</v>
      </c>
      <c r="B72" s="64">
        <v>2</v>
      </c>
      <c r="C72" s="64">
        <v>12.23</v>
      </c>
      <c r="D72" s="64">
        <v>9.65</v>
      </c>
      <c r="E72" s="64">
        <v>1.6</v>
      </c>
      <c r="F72" s="64">
        <v>3.4</v>
      </c>
      <c r="G72" s="64">
        <v>50.54</v>
      </c>
      <c r="H72" s="64">
        <v>27.19</v>
      </c>
      <c r="I72" s="64">
        <v>1.54</v>
      </c>
      <c r="J72" s="64">
        <v>0.08</v>
      </c>
      <c r="K72" s="64">
        <v>12.55</v>
      </c>
      <c r="L72" s="64">
        <v>28.77</v>
      </c>
      <c r="M72" s="64">
        <v>56.94</v>
      </c>
      <c r="N72" s="64">
        <v>44.2</v>
      </c>
      <c r="O72" s="64">
        <v>0</v>
      </c>
      <c r="P72" s="64">
        <v>0.45</v>
      </c>
      <c r="Q72" s="64">
        <v>5.15</v>
      </c>
      <c r="R72" s="198"/>
      <c r="S72" s="198"/>
      <c r="T72" s="198"/>
      <c r="U72" s="198"/>
    </row>
    <row r="73" spans="1:21" s="12" customFormat="1" x14ac:dyDescent="0.25">
      <c r="A73" s="214" t="s">
        <v>1366</v>
      </c>
      <c r="B73" s="64">
        <v>2</v>
      </c>
      <c r="C73" s="64">
        <v>12.94</v>
      </c>
      <c r="D73" s="64">
        <v>10.039999999999999</v>
      </c>
      <c r="E73" s="64">
        <v>13.17</v>
      </c>
      <c r="F73" s="64">
        <v>3.89</v>
      </c>
      <c r="G73" s="64">
        <v>50.54</v>
      </c>
      <c r="H73" s="64">
        <v>27.19</v>
      </c>
      <c r="I73" s="64">
        <v>1.55</v>
      </c>
      <c r="J73" s="64">
        <v>2.58</v>
      </c>
      <c r="K73" s="64">
        <v>337.72</v>
      </c>
      <c r="L73" s="64">
        <v>25.55</v>
      </c>
      <c r="M73" s="64">
        <v>80.739999999999995</v>
      </c>
      <c r="N73" s="64">
        <v>39.700000000000003</v>
      </c>
      <c r="O73" s="64">
        <v>0</v>
      </c>
      <c r="P73" s="64">
        <v>0.46</v>
      </c>
      <c r="Q73" s="64">
        <v>5.12</v>
      </c>
      <c r="R73" s="198"/>
      <c r="S73" s="198"/>
      <c r="T73" s="198"/>
      <c r="U73" s="198"/>
    </row>
    <row r="74" spans="1:21" s="12" customFormat="1" x14ac:dyDescent="0.25">
      <c r="A74" s="214" t="s">
        <v>1367</v>
      </c>
      <c r="B74" s="64">
        <v>2.13</v>
      </c>
      <c r="C74" s="64">
        <v>14.5</v>
      </c>
      <c r="D74" s="64">
        <v>11</v>
      </c>
      <c r="E74" s="64">
        <v>2.68</v>
      </c>
      <c r="F74" s="64">
        <v>3.65</v>
      </c>
      <c r="G74" s="64">
        <v>50.54</v>
      </c>
      <c r="H74" s="64">
        <v>27.19</v>
      </c>
      <c r="I74" s="64">
        <v>1.47</v>
      </c>
      <c r="J74" s="64">
        <v>1.28</v>
      </c>
      <c r="K74" s="64">
        <v>133.74</v>
      </c>
      <c r="L74" s="64">
        <v>22.74</v>
      </c>
      <c r="M74" s="64">
        <v>80.930000000000007</v>
      </c>
      <c r="N74" s="64">
        <v>25.1</v>
      </c>
      <c r="O74" s="64">
        <v>0</v>
      </c>
      <c r="P74" s="64">
        <v>0.45</v>
      </c>
      <c r="Q74" s="64">
        <v>5.13</v>
      </c>
      <c r="R74" s="198"/>
      <c r="S74" s="198"/>
      <c r="T74" s="198"/>
      <c r="U74" s="198"/>
    </row>
    <row r="75" spans="1:21" s="12" customFormat="1" x14ac:dyDescent="0.25">
      <c r="A75" s="214" t="s">
        <v>1368</v>
      </c>
      <c r="B75" s="64">
        <v>5.0199999999999996</v>
      </c>
      <c r="C75" s="64">
        <v>11.15</v>
      </c>
      <c r="D75" s="64">
        <v>11.47</v>
      </c>
      <c r="E75" s="210" t="s">
        <v>43</v>
      </c>
      <c r="F75" s="64">
        <v>3.52</v>
      </c>
      <c r="G75" s="64">
        <v>51.07</v>
      </c>
      <c r="H75" s="64">
        <v>24.98</v>
      </c>
      <c r="I75" s="64">
        <v>1.5</v>
      </c>
      <c r="J75" s="64">
        <v>0.31</v>
      </c>
      <c r="K75" s="64">
        <v>179.15</v>
      </c>
      <c r="L75" s="64">
        <v>22.21</v>
      </c>
      <c r="M75" s="64">
        <v>82.84</v>
      </c>
      <c r="N75" s="64">
        <v>20.6</v>
      </c>
      <c r="O75" s="64">
        <v>0</v>
      </c>
      <c r="P75" s="64">
        <v>0.41</v>
      </c>
      <c r="Q75" s="64">
        <v>5.0999999999999996</v>
      </c>
      <c r="R75" s="198"/>
      <c r="S75" s="198"/>
      <c r="T75" s="198"/>
      <c r="U75" s="198"/>
    </row>
    <row r="76" spans="1:21" s="12" customFormat="1" x14ac:dyDescent="0.25">
      <c r="A76" s="214" t="s">
        <v>1369</v>
      </c>
      <c r="B76" s="64">
        <v>2.74</v>
      </c>
      <c r="C76" s="64">
        <v>15.57</v>
      </c>
      <c r="D76" s="64">
        <v>12.08</v>
      </c>
      <c r="E76" s="210" t="s">
        <v>43</v>
      </c>
      <c r="F76" s="64">
        <v>1.1100000000000001</v>
      </c>
      <c r="G76" s="64">
        <v>53.75</v>
      </c>
      <c r="H76" s="64">
        <v>17.670000000000002</v>
      </c>
      <c r="I76" s="64">
        <v>1.46</v>
      </c>
      <c r="J76" s="64">
        <v>0.33</v>
      </c>
      <c r="K76" s="64">
        <v>350.99</v>
      </c>
      <c r="L76" s="64">
        <v>22.06</v>
      </c>
      <c r="M76" s="64">
        <v>88.89</v>
      </c>
      <c r="N76" s="64">
        <v>22.3</v>
      </c>
      <c r="O76" s="64">
        <v>0</v>
      </c>
      <c r="P76" s="64">
        <v>0.64</v>
      </c>
      <c r="Q76" s="64">
        <v>5.0599999999999996</v>
      </c>
      <c r="R76" s="198"/>
      <c r="S76" s="198"/>
      <c r="T76" s="198"/>
      <c r="U76" s="198"/>
    </row>
    <row r="77" spans="1:21" s="12" customFormat="1" x14ac:dyDescent="0.25">
      <c r="A77" s="214" t="s">
        <v>1370</v>
      </c>
      <c r="B77" s="64">
        <v>2.9</v>
      </c>
      <c r="C77" s="64">
        <v>19.63</v>
      </c>
      <c r="D77" s="64">
        <v>14.45</v>
      </c>
      <c r="E77" s="64">
        <v>1.27</v>
      </c>
      <c r="F77" s="64">
        <v>1.86</v>
      </c>
      <c r="G77" s="64">
        <v>53.75</v>
      </c>
      <c r="H77" s="64">
        <v>17.670000000000002</v>
      </c>
      <c r="I77" s="64">
        <v>1.52</v>
      </c>
      <c r="J77" s="64">
        <v>0.16</v>
      </c>
      <c r="K77" s="64">
        <v>333.77</v>
      </c>
      <c r="L77" s="64">
        <v>22.98</v>
      </c>
      <c r="M77" s="64">
        <v>79.739999999999995</v>
      </c>
      <c r="N77" s="64">
        <v>20.9</v>
      </c>
      <c r="O77" s="64">
        <v>0</v>
      </c>
      <c r="P77" s="64">
        <v>0.71</v>
      </c>
      <c r="Q77" s="64">
        <v>5.07</v>
      </c>
      <c r="R77" s="198"/>
      <c r="S77" s="198"/>
      <c r="T77" s="198"/>
      <c r="U77" s="198"/>
    </row>
    <row r="78" spans="1:21" s="12" customFormat="1" x14ac:dyDescent="0.25">
      <c r="A78" s="214" t="s">
        <v>1371</v>
      </c>
      <c r="B78" s="64">
        <v>3.24</v>
      </c>
      <c r="C78" s="64">
        <v>23.54</v>
      </c>
      <c r="D78" s="64">
        <v>16.88</v>
      </c>
      <c r="E78" s="64">
        <v>1.4</v>
      </c>
      <c r="F78" s="64">
        <v>1.66</v>
      </c>
      <c r="G78" s="64">
        <v>53.75</v>
      </c>
      <c r="H78" s="64">
        <v>17.670000000000002</v>
      </c>
      <c r="I78" s="64">
        <v>1.51</v>
      </c>
      <c r="J78" s="64">
        <v>0.06</v>
      </c>
      <c r="K78" s="64">
        <v>266.27999999999997</v>
      </c>
      <c r="L78" s="64">
        <v>23.4</v>
      </c>
      <c r="M78" s="64">
        <v>78.02</v>
      </c>
      <c r="N78" s="64">
        <v>16.600000000000001</v>
      </c>
      <c r="O78" s="64">
        <v>0</v>
      </c>
      <c r="P78" s="64">
        <v>0.99</v>
      </c>
      <c r="Q78" s="64">
        <v>5.05</v>
      </c>
      <c r="R78" s="198"/>
      <c r="S78" s="198"/>
      <c r="T78" s="198"/>
      <c r="U78" s="198"/>
    </row>
    <row r="79" spans="1:21" s="12" customFormat="1" x14ac:dyDescent="0.25">
      <c r="A79" s="214" t="s">
        <v>1372</v>
      </c>
      <c r="B79" s="64">
        <v>63.96</v>
      </c>
      <c r="C79" s="64">
        <v>90.82</v>
      </c>
      <c r="D79" s="64">
        <v>102.07</v>
      </c>
      <c r="E79" s="64">
        <v>2.0499999999999998</v>
      </c>
      <c r="F79" s="64">
        <v>0.91</v>
      </c>
      <c r="G79" s="64">
        <v>56.83</v>
      </c>
      <c r="H79" s="64">
        <v>19.649999999999999</v>
      </c>
      <c r="I79" s="64">
        <v>1.55</v>
      </c>
      <c r="J79" s="64">
        <v>0.04</v>
      </c>
      <c r="K79" s="64">
        <v>231.15</v>
      </c>
      <c r="L79" s="64">
        <v>23.36</v>
      </c>
      <c r="M79" s="64">
        <v>87.88</v>
      </c>
      <c r="N79" s="64">
        <v>4.4000000000000004</v>
      </c>
      <c r="O79" s="64">
        <v>0</v>
      </c>
      <c r="P79" s="64">
        <v>2.13</v>
      </c>
      <c r="Q79" s="64">
        <v>1.55</v>
      </c>
      <c r="R79" s="198"/>
      <c r="S79" s="198"/>
      <c r="T79" s="198"/>
      <c r="U79" s="198"/>
    </row>
    <row r="80" spans="1:21" s="12" customFormat="1" x14ac:dyDescent="0.25">
      <c r="A80" s="214" t="s">
        <v>1373</v>
      </c>
      <c r="B80" s="64">
        <v>72.959999999999994</v>
      </c>
      <c r="C80" s="64">
        <v>92.2</v>
      </c>
      <c r="D80" s="64">
        <v>110.68</v>
      </c>
      <c r="E80" s="64">
        <v>2.1</v>
      </c>
      <c r="F80" s="64">
        <v>1.62</v>
      </c>
      <c r="G80" s="64">
        <v>71.06</v>
      </c>
      <c r="H80" s="64">
        <v>27.85</v>
      </c>
      <c r="I80" s="64">
        <v>1.46</v>
      </c>
      <c r="J80" s="64">
        <v>0.1</v>
      </c>
      <c r="K80" s="64">
        <v>294.64999999999998</v>
      </c>
      <c r="L80" s="64">
        <v>23.73</v>
      </c>
      <c r="M80" s="64">
        <v>92.7</v>
      </c>
      <c r="N80" s="64">
        <v>0</v>
      </c>
      <c r="O80" s="64">
        <v>0</v>
      </c>
      <c r="P80" s="64">
        <v>2.54</v>
      </c>
      <c r="Q80" s="64">
        <v>0.14000000000000001</v>
      </c>
      <c r="R80" s="198"/>
      <c r="S80" s="198"/>
      <c r="T80" s="198"/>
      <c r="U80" s="198"/>
    </row>
    <row r="81" spans="1:26" s="12" customFormat="1" x14ac:dyDescent="0.25">
      <c r="A81" s="214" t="s">
        <v>1374</v>
      </c>
      <c r="B81" s="64">
        <v>14.95</v>
      </c>
      <c r="C81" s="64">
        <v>74.8</v>
      </c>
      <c r="D81" s="64">
        <v>54.56</v>
      </c>
      <c r="E81" s="64">
        <v>2.25</v>
      </c>
      <c r="F81" s="64">
        <v>8.9499999999999993</v>
      </c>
      <c r="G81" s="64">
        <v>71.06</v>
      </c>
      <c r="H81" s="64">
        <v>27.85</v>
      </c>
      <c r="I81" s="64">
        <v>1.48</v>
      </c>
      <c r="J81" s="64">
        <v>0.11</v>
      </c>
      <c r="K81" s="64">
        <v>201.71</v>
      </c>
      <c r="L81" s="64">
        <v>24.63</v>
      </c>
      <c r="M81" s="64">
        <v>76.900000000000006</v>
      </c>
      <c r="N81" s="64">
        <v>0</v>
      </c>
      <c r="O81" s="64">
        <v>0</v>
      </c>
      <c r="P81" s="64">
        <v>1.19</v>
      </c>
      <c r="Q81" s="64">
        <v>7.81</v>
      </c>
      <c r="R81" s="198"/>
      <c r="S81" s="198"/>
      <c r="T81" s="198"/>
      <c r="U81" s="198"/>
    </row>
    <row r="82" spans="1:26" s="12" customFormat="1" x14ac:dyDescent="0.25">
      <c r="A82" s="214" t="s">
        <v>1375</v>
      </c>
      <c r="B82" s="64">
        <v>21.22</v>
      </c>
      <c r="C82" s="64">
        <v>90.77</v>
      </c>
      <c r="D82" s="64">
        <v>68.400000000000006</v>
      </c>
      <c r="E82" s="64">
        <v>2.0499999999999998</v>
      </c>
      <c r="F82" s="64">
        <v>5.41</v>
      </c>
      <c r="G82" s="64">
        <v>71.06</v>
      </c>
      <c r="H82" s="64">
        <v>27.85</v>
      </c>
      <c r="I82" s="64">
        <v>1.51</v>
      </c>
      <c r="J82" s="64">
        <v>7.0000000000000007E-2</v>
      </c>
      <c r="K82" s="64">
        <v>272.12</v>
      </c>
      <c r="L82" s="64">
        <v>24.21</v>
      </c>
      <c r="M82" s="64">
        <v>79.42</v>
      </c>
      <c r="N82" s="64">
        <v>7.9</v>
      </c>
      <c r="O82" s="64">
        <v>0</v>
      </c>
      <c r="P82" s="64">
        <v>1.29</v>
      </c>
      <c r="Q82" s="64">
        <v>7.32</v>
      </c>
      <c r="R82" s="198"/>
      <c r="S82" s="198"/>
      <c r="T82" s="198"/>
      <c r="U82" s="198"/>
    </row>
    <row r="83" spans="1:26" s="12" customFormat="1" x14ac:dyDescent="0.25">
      <c r="A83" s="214" t="s">
        <v>1376</v>
      </c>
      <c r="B83" s="64">
        <v>31.15</v>
      </c>
      <c r="C83" s="64">
        <v>99.75</v>
      </c>
      <c r="D83" s="64">
        <v>81.319999999999993</v>
      </c>
      <c r="E83" s="64">
        <v>1.53</v>
      </c>
      <c r="F83" s="64">
        <v>0.7</v>
      </c>
      <c r="G83" s="64">
        <v>72.489999999999995</v>
      </c>
      <c r="H83" s="64">
        <v>30.22</v>
      </c>
      <c r="I83" s="64">
        <v>1.45</v>
      </c>
      <c r="J83" s="64">
        <v>7.0000000000000007E-2</v>
      </c>
      <c r="K83" s="64">
        <v>120.62</v>
      </c>
      <c r="L83" s="64">
        <v>23.88</v>
      </c>
      <c r="M83" s="64">
        <v>83.81</v>
      </c>
      <c r="N83" s="64">
        <v>10.5</v>
      </c>
      <c r="O83" s="64">
        <v>0</v>
      </c>
      <c r="P83" s="64">
        <v>1.31</v>
      </c>
      <c r="Q83" s="64">
        <v>3.88</v>
      </c>
      <c r="R83" s="198"/>
      <c r="S83" s="198"/>
      <c r="T83" s="198"/>
      <c r="U83" s="198"/>
    </row>
    <row r="84" spans="1:26" s="12" customFormat="1" x14ac:dyDescent="0.25">
      <c r="A84" s="214" t="s">
        <v>1377</v>
      </c>
      <c r="B84" s="64">
        <v>45</v>
      </c>
      <c r="C84" s="64">
        <v>78.22</v>
      </c>
      <c r="D84" s="64">
        <v>80.55</v>
      </c>
      <c r="E84" s="64">
        <v>1.65</v>
      </c>
      <c r="F84" s="64">
        <v>0.61</v>
      </c>
      <c r="G84" s="64">
        <v>79.099999999999994</v>
      </c>
      <c r="H84" s="64">
        <v>42.55</v>
      </c>
      <c r="I84" s="64">
        <v>1.46</v>
      </c>
      <c r="J84" s="64">
        <v>0.11</v>
      </c>
      <c r="K84" s="64">
        <v>343.08</v>
      </c>
      <c r="L84" s="64">
        <v>23.7</v>
      </c>
      <c r="M84" s="64">
        <v>93.53</v>
      </c>
      <c r="N84" s="64">
        <v>9.6</v>
      </c>
      <c r="O84" s="64">
        <v>0</v>
      </c>
      <c r="P84" s="64">
        <v>1.91</v>
      </c>
      <c r="Q84" s="64">
        <v>4.2300000000000004</v>
      </c>
      <c r="R84" s="198"/>
      <c r="S84" s="198"/>
      <c r="T84" s="198"/>
      <c r="U84" s="198"/>
    </row>
    <row r="85" spans="1:26" s="12" customFormat="1" x14ac:dyDescent="0.25">
      <c r="A85" s="214" t="s">
        <v>1378</v>
      </c>
      <c r="B85" s="64">
        <v>54.63</v>
      </c>
      <c r="C85" s="64">
        <v>77.540000000000006</v>
      </c>
      <c r="D85" s="64">
        <v>87.89</v>
      </c>
      <c r="E85" s="64">
        <v>1.84</v>
      </c>
      <c r="F85" s="64">
        <v>0.79</v>
      </c>
      <c r="G85" s="64">
        <v>79.099999999999994</v>
      </c>
      <c r="H85" s="64">
        <v>42.55</v>
      </c>
      <c r="I85" s="64">
        <v>1.47</v>
      </c>
      <c r="J85" s="64">
        <v>0.02</v>
      </c>
      <c r="K85" s="64">
        <v>37.44</v>
      </c>
      <c r="L85" s="64">
        <v>23.55</v>
      </c>
      <c r="M85" s="64">
        <v>94.06</v>
      </c>
      <c r="N85" s="64">
        <v>10</v>
      </c>
      <c r="O85" s="64">
        <v>0</v>
      </c>
      <c r="P85" s="64">
        <v>2.0499999999999998</v>
      </c>
      <c r="Q85" s="64">
        <v>3.52</v>
      </c>
      <c r="R85" s="198"/>
      <c r="S85" s="198"/>
      <c r="T85" s="198"/>
      <c r="U85" s="198"/>
    </row>
    <row r="86" spans="1:26" s="12" customFormat="1" x14ac:dyDescent="0.25">
      <c r="A86" s="214" t="s">
        <v>1379</v>
      </c>
      <c r="B86" s="64">
        <v>84.88</v>
      </c>
      <c r="C86" s="64">
        <v>112.7</v>
      </c>
      <c r="D86" s="64">
        <v>131.56</v>
      </c>
      <c r="E86" s="64">
        <v>1.95</v>
      </c>
      <c r="F86" s="64">
        <v>1.04</v>
      </c>
      <c r="G86" s="64">
        <v>79.099999999999994</v>
      </c>
      <c r="H86" s="64">
        <v>42.55</v>
      </c>
      <c r="I86" s="64">
        <v>1.45</v>
      </c>
      <c r="J86" s="64">
        <v>0.03</v>
      </c>
      <c r="K86" s="64">
        <v>198.8</v>
      </c>
      <c r="L86" s="64">
        <v>23.71</v>
      </c>
      <c r="M86" s="64">
        <v>91.75</v>
      </c>
      <c r="N86" s="64">
        <v>10.1</v>
      </c>
      <c r="O86" s="64">
        <v>0</v>
      </c>
      <c r="P86" s="64">
        <v>2.79</v>
      </c>
      <c r="Q86" s="64">
        <v>0.5</v>
      </c>
      <c r="R86" s="198"/>
      <c r="S86" s="198"/>
      <c r="T86" s="198"/>
      <c r="U86" s="198"/>
    </row>
    <row r="87" spans="1:26" s="12" customFormat="1" x14ac:dyDescent="0.25">
      <c r="A87" s="214" t="s">
        <v>1380</v>
      </c>
      <c r="B87" s="64">
        <v>136.09</v>
      </c>
      <c r="C87" s="64">
        <v>103.74</v>
      </c>
      <c r="D87" s="64">
        <v>167.68</v>
      </c>
      <c r="E87" s="64">
        <v>1.96</v>
      </c>
      <c r="F87" s="64">
        <v>1</v>
      </c>
      <c r="G87" s="64">
        <v>80.739999999999995</v>
      </c>
      <c r="H87" s="64">
        <v>41.55</v>
      </c>
      <c r="I87" s="64">
        <v>1.51</v>
      </c>
      <c r="J87" s="64">
        <v>0.03</v>
      </c>
      <c r="K87" s="64">
        <v>45.37</v>
      </c>
      <c r="L87" s="64">
        <v>23.7</v>
      </c>
      <c r="M87" s="64">
        <v>90.12</v>
      </c>
      <c r="N87" s="64">
        <v>10.1</v>
      </c>
      <c r="O87" s="64">
        <v>0</v>
      </c>
      <c r="P87" s="64">
        <v>2.75</v>
      </c>
      <c r="Q87" s="64">
        <v>0.03</v>
      </c>
      <c r="R87" s="198"/>
      <c r="S87" s="198"/>
      <c r="T87" s="198"/>
      <c r="U87" s="198"/>
    </row>
    <row r="88" spans="1:26" s="12" customFormat="1" x14ac:dyDescent="0.25">
      <c r="A88" s="214" t="s">
        <v>1381</v>
      </c>
      <c r="B88" s="64">
        <v>104.11</v>
      </c>
      <c r="C88" s="64">
        <v>103.89</v>
      </c>
      <c r="D88" s="64">
        <v>142.11000000000001</v>
      </c>
      <c r="E88" s="64">
        <v>0.32</v>
      </c>
      <c r="F88" s="64">
        <v>0.9</v>
      </c>
      <c r="G88" s="64">
        <v>88.33</v>
      </c>
      <c r="H88" s="64">
        <v>38.07</v>
      </c>
      <c r="I88" s="64">
        <v>1.53</v>
      </c>
      <c r="J88" s="64">
        <v>0.04</v>
      </c>
      <c r="K88" s="64">
        <v>70.47</v>
      </c>
      <c r="L88" s="64">
        <v>23.65</v>
      </c>
      <c r="M88" s="64">
        <v>94.06</v>
      </c>
      <c r="N88" s="64">
        <v>9.4</v>
      </c>
      <c r="O88" s="64">
        <v>0</v>
      </c>
      <c r="P88" s="64">
        <v>3.71</v>
      </c>
      <c r="Q88" s="64">
        <v>0.46</v>
      </c>
      <c r="R88" s="198"/>
      <c r="S88" s="198"/>
      <c r="T88" s="198"/>
      <c r="U88" s="198"/>
    </row>
    <row r="89" spans="1:26" s="12" customFormat="1" x14ac:dyDescent="0.25">
      <c r="A89" s="214" t="s">
        <v>1382</v>
      </c>
      <c r="B89" s="64">
        <v>110.39</v>
      </c>
      <c r="C89" s="64">
        <v>92.77</v>
      </c>
      <c r="D89" s="64">
        <v>141.01</v>
      </c>
      <c r="E89" s="64">
        <v>0.61</v>
      </c>
      <c r="F89" s="64">
        <v>1.26</v>
      </c>
      <c r="G89" s="64">
        <v>88.33</v>
      </c>
      <c r="H89" s="64">
        <v>38.07</v>
      </c>
      <c r="I89" s="64">
        <v>1.48</v>
      </c>
      <c r="J89" s="64">
        <v>0.03</v>
      </c>
      <c r="K89" s="64">
        <v>315.35000000000002</v>
      </c>
      <c r="L89" s="64">
        <v>23.69</v>
      </c>
      <c r="M89" s="64">
        <v>96.26</v>
      </c>
      <c r="N89" s="64">
        <v>9.3000000000000007</v>
      </c>
      <c r="O89" s="64">
        <v>0</v>
      </c>
      <c r="P89" s="64">
        <v>3.61</v>
      </c>
      <c r="Q89" s="64">
        <v>0</v>
      </c>
      <c r="R89" s="198"/>
      <c r="S89" s="198"/>
      <c r="T89" s="198"/>
      <c r="U89" s="198"/>
    </row>
    <row r="90" spans="1:26" s="12" customFormat="1" x14ac:dyDescent="0.25">
      <c r="A90" s="214" t="s">
        <v>1383</v>
      </c>
      <c r="B90" s="64">
        <v>133.58000000000001</v>
      </c>
      <c r="C90" s="64">
        <v>81.31</v>
      </c>
      <c r="D90" s="64">
        <v>153.28</v>
      </c>
      <c r="E90" s="64">
        <v>0.7</v>
      </c>
      <c r="F90" s="64">
        <v>1.48</v>
      </c>
      <c r="G90" s="64">
        <v>88.33</v>
      </c>
      <c r="H90" s="64">
        <v>38.07</v>
      </c>
      <c r="I90" s="64">
        <v>1.58</v>
      </c>
      <c r="J90" s="64">
        <v>7.0000000000000007E-2</v>
      </c>
      <c r="K90" s="64">
        <v>354.49</v>
      </c>
      <c r="L90" s="64">
        <v>23.57</v>
      </c>
      <c r="M90" s="64">
        <v>98.84</v>
      </c>
      <c r="N90" s="64">
        <v>9.1</v>
      </c>
      <c r="O90" s="64">
        <v>0</v>
      </c>
      <c r="P90" s="64">
        <v>3.47</v>
      </c>
      <c r="Q90" s="64">
        <v>0.91</v>
      </c>
      <c r="R90" s="198"/>
      <c r="S90" s="198"/>
      <c r="T90" s="198"/>
      <c r="U90" s="198"/>
    </row>
    <row r="91" spans="1:26" s="12" customFormat="1" x14ac:dyDescent="0.25">
      <c r="A91" s="214" t="s">
        <v>1384</v>
      </c>
      <c r="B91" s="64">
        <v>104.63</v>
      </c>
      <c r="C91" s="64">
        <v>82.86</v>
      </c>
      <c r="D91" s="64">
        <v>130.93</v>
      </c>
      <c r="E91" s="64">
        <v>0.79</v>
      </c>
      <c r="F91" s="64">
        <v>1.01</v>
      </c>
      <c r="G91" s="64">
        <v>96.46</v>
      </c>
      <c r="H91" s="64">
        <v>40.950000000000003</v>
      </c>
      <c r="I91" s="64">
        <v>1.53</v>
      </c>
      <c r="J91" s="64">
        <v>0.14000000000000001</v>
      </c>
      <c r="K91" s="64">
        <v>350.4</v>
      </c>
      <c r="L91" s="64">
        <v>23.52</v>
      </c>
      <c r="M91" s="64">
        <v>98.76</v>
      </c>
      <c r="N91" s="64">
        <v>9.3000000000000007</v>
      </c>
      <c r="O91" s="64">
        <v>0</v>
      </c>
      <c r="P91" s="64">
        <v>4.3099999999999996</v>
      </c>
      <c r="Q91" s="64">
        <v>0.77</v>
      </c>
      <c r="R91" s="198"/>
      <c r="S91" s="198"/>
      <c r="T91" s="198"/>
      <c r="U91" s="198"/>
    </row>
    <row r="92" spans="1:26" s="12" customFormat="1" x14ac:dyDescent="0.25">
      <c r="A92" s="214" t="s">
        <v>1385</v>
      </c>
      <c r="B92" s="64">
        <v>174.74</v>
      </c>
      <c r="C92" s="64">
        <v>96.27</v>
      </c>
      <c r="D92" s="64">
        <v>194.55</v>
      </c>
      <c r="E92" s="64">
        <v>0.81</v>
      </c>
      <c r="F92" s="64">
        <v>0.67</v>
      </c>
      <c r="G92" s="64">
        <v>134.03</v>
      </c>
      <c r="H92" s="64">
        <v>50.93</v>
      </c>
      <c r="I92" s="64">
        <v>1.5</v>
      </c>
      <c r="J92" s="64">
        <v>0.05</v>
      </c>
      <c r="K92" s="64">
        <v>291.33</v>
      </c>
      <c r="L92" s="64">
        <v>23.34</v>
      </c>
      <c r="M92" s="64">
        <v>98.85</v>
      </c>
      <c r="N92" s="64">
        <v>8.9</v>
      </c>
      <c r="O92" s="64">
        <v>0</v>
      </c>
      <c r="P92" s="64">
        <v>4.16</v>
      </c>
      <c r="Q92" s="64">
        <v>0.39</v>
      </c>
      <c r="R92" s="198"/>
      <c r="S92" s="198"/>
      <c r="T92" s="198"/>
      <c r="U92" s="198"/>
    </row>
    <row r="93" spans="1:26" s="12" customFormat="1" x14ac:dyDescent="0.25">
      <c r="A93" s="214" t="s">
        <v>1386</v>
      </c>
      <c r="B93" s="64">
        <v>97.81</v>
      </c>
      <c r="C93" s="64">
        <v>68.459999999999994</v>
      </c>
      <c r="D93" s="64">
        <v>117.51</v>
      </c>
      <c r="E93" s="64">
        <v>0.71</v>
      </c>
      <c r="F93" s="64">
        <v>0.28000000000000003</v>
      </c>
      <c r="G93" s="64">
        <v>134.03</v>
      </c>
      <c r="H93" s="64">
        <v>50.93</v>
      </c>
      <c r="I93" s="64">
        <v>1.46</v>
      </c>
      <c r="J93" s="64">
        <v>0.01</v>
      </c>
      <c r="K93" s="64">
        <v>240.07</v>
      </c>
      <c r="L93" s="64">
        <v>23.3</v>
      </c>
      <c r="M93" s="64">
        <v>97.58</v>
      </c>
      <c r="N93" s="64">
        <v>9.1</v>
      </c>
      <c r="O93" s="64">
        <v>0</v>
      </c>
      <c r="P93" s="64">
        <v>2.72</v>
      </c>
      <c r="Q93" s="64">
        <v>4.59</v>
      </c>
      <c r="R93" s="198"/>
      <c r="S93" s="198"/>
      <c r="T93" s="198"/>
      <c r="U93" s="198"/>
    </row>
    <row r="94" spans="1:26" s="12" customFormat="1" x14ac:dyDescent="0.25">
      <c r="A94" s="214" t="s">
        <v>1387</v>
      </c>
      <c r="B94" s="64">
        <v>123.99</v>
      </c>
      <c r="C94" s="64">
        <v>69.95</v>
      </c>
      <c r="D94" s="64">
        <v>139.32</v>
      </c>
      <c r="E94" s="64">
        <v>0.76</v>
      </c>
      <c r="F94" s="64">
        <v>0.62</v>
      </c>
      <c r="G94" s="64">
        <v>134.03</v>
      </c>
      <c r="H94" s="64">
        <v>50.93</v>
      </c>
      <c r="I94" s="64">
        <v>1.57</v>
      </c>
      <c r="J94" s="64">
        <v>0.16</v>
      </c>
      <c r="K94" s="64">
        <v>345.85</v>
      </c>
      <c r="L94" s="64">
        <v>23.47</v>
      </c>
      <c r="M94" s="64">
        <v>95.99</v>
      </c>
      <c r="N94" s="64">
        <v>9</v>
      </c>
      <c r="O94" s="64">
        <v>0</v>
      </c>
      <c r="P94" s="64">
        <v>3.88</v>
      </c>
      <c r="Q94" s="64">
        <v>3.58</v>
      </c>
      <c r="R94" s="198"/>
      <c r="S94" s="198"/>
      <c r="T94" s="198"/>
      <c r="U94" s="198"/>
    </row>
    <row r="95" spans="1:26" s="12" customFormat="1" x14ac:dyDescent="0.25">
      <c r="A95" s="214" t="s">
        <v>1388</v>
      </c>
      <c r="B95" s="64">
        <v>159.93</v>
      </c>
      <c r="C95" s="64">
        <v>95.65</v>
      </c>
      <c r="D95" s="64">
        <v>182.33</v>
      </c>
      <c r="E95" s="64">
        <v>0.84</v>
      </c>
      <c r="F95" s="64">
        <v>0.4</v>
      </c>
      <c r="G95" s="64">
        <v>137.99</v>
      </c>
      <c r="H95" s="64">
        <v>50.25</v>
      </c>
      <c r="I95" s="64">
        <v>1.5</v>
      </c>
      <c r="J95" s="64">
        <v>0.05</v>
      </c>
      <c r="K95" s="64">
        <v>145.82</v>
      </c>
      <c r="L95" s="64">
        <v>23.12</v>
      </c>
      <c r="M95" s="64">
        <v>98.12</v>
      </c>
      <c r="N95" s="64">
        <v>9.1</v>
      </c>
      <c r="O95" s="64">
        <v>0</v>
      </c>
      <c r="P95" s="64">
        <v>3.92</v>
      </c>
      <c r="Q95" s="64">
        <v>0.41</v>
      </c>
      <c r="R95" s="198"/>
      <c r="S95" s="198"/>
      <c r="T95" s="198"/>
      <c r="U95" s="198"/>
    </row>
    <row r="96" spans="1:26" s="12" customFormat="1" x14ac:dyDescent="0.25">
      <c r="A96" s="214" t="s">
        <v>1389</v>
      </c>
      <c r="B96" s="64">
        <v>154.13999999999999</v>
      </c>
      <c r="C96" s="64">
        <v>74.599999999999994</v>
      </c>
      <c r="D96" s="64">
        <v>166.07</v>
      </c>
      <c r="E96" s="64">
        <v>0.83</v>
      </c>
      <c r="F96" s="64">
        <v>1.39</v>
      </c>
      <c r="G96" s="64">
        <v>156.33000000000001</v>
      </c>
      <c r="H96" s="64">
        <v>47.9</v>
      </c>
      <c r="I96" s="64">
        <v>1.49</v>
      </c>
      <c r="J96" s="64">
        <v>0.06</v>
      </c>
      <c r="K96" s="64">
        <v>258.54000000000002</v>
      </c>
      <c r="L96" s="64">
        <v>22.96</v>
      </c>
      <c r="M96" s="64">
        <v>98.85</v>
      </c>
      <c r="N96" s="64">
        <v>8.6999999999999993</v>
      </c>
      <c r="O96" s="64">
        <v>0</v>
      </c>
      <c r="P96" s="64">
        <v>3.4</v>
      </c>
      <c r="Q96" s="64">
        <v>1.9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1390</v>
      </c>
      <c r="B97" s="64">
        <v>124.46</v>
      </c>
      <c r="C97" s="64">
        <v>67.2</v>
      </c>
      <c r="D97" s="64">
        <v>138.19</v>
      </c>
      <c r="E97" s="64">
        <v>0.68</v>
      </c>
      <c r="F97" s="64">
        <v>1.26</v>
      </c>
      <c r="G97" s="64">
        <v>156.33000000000001</v>
      </c>
      <c r="H97" s="64">
        <v>47.9</v>
      </c>
      <c r="I97" s="64">
        <v>1.51</v>
      </c>
      <c r="J97" s="64">
        <v>0.1</v>
      </c>
      <c r="K97" s="64">
        <v>266.8</v>
      </c>
      <c r="L97" s="64">
        <v>23.17</v>
      </c>
      <c r="M97" s="64">
        <v>97.27</v>
      </c>
      <c r="N97" s="64">
        <v>8.6</v>
      </c>
      <c r="O97" s="64">
        <v>0</v>
      </c>
      <c r="P97" s="64">
        <v>3.02</v>
      </c>
      <c r="Q97" s="64">
        <v>7</v>
      </c>
      <c r="R97" s="198"/>
      <c r="S97" s="198"/>
      <c r="T97" s="198"/>
      <c r="U97" s="198"/>
    </row>
    <row r="98" spans="1:33" s="12" customFormat="1" x14ac:dyDescent="0.25">
      <c r="A98" s="214" t="s">
        <v>1391</v>
      </c>
      <c r="B98" s="64">
        <v>113.89</v>
      </c>
      <c r="C98" s="64">
        <v>74.23</v>
      </c>
      <c r="D98" s="64">
        <v>133.59</v>
      </c>
      <c r="E98" s="64">
        <v>0.75</v>
      </c>
      <c r="F98" s="64">
        <v>1.28</v>
      </c>
      <c r="G98" s="64">
        <v>156.33000000000001</v>
      </c>
      <c r="H98" s="64">
        <v>47.9</v>
      </c>
      <c r="I98" s="64">
        <v>1.5</v>
      </c>
      <c r="J98" s="64">
        <v>0.11</v>
      </c>
      <c r="K98" s="64">
        <v>309.19</v>
      </c>
      <c r="L98" s="64">
        <v>22.97</v>
      </c>
      <c r="M98" s="64">
        <v>98.84</v>
      </c>
      <c r="N98" s="64">
        <v>8.9</v>
      </c>
      <c r="O98" s="64">
        <v>0</v>
      </c>
      <c r="P98" s="64">
        <v>3</v>
      </c>
      <c r="Q98" s="64">
        <v>5.43</v>
      </c>
      <c r="R98" s="198"/>
      <c r="S98" s="198"/>
      <c r="T98" s="198"/>
      <c r="U98" s="198"/>
    </row>
    <row r="99" spans="1:33" s="12" customFormat="1" x14ac:dyDescent="0.25">
      <c r="A99" s="214" t="s">
        <v>1392</v>
      </c>
      <c r="B99" s="64">
        <v>47.38</v>
      </c>
      <c r="C99" s="64">
        <v>48.71</v>
      </c>
      <c r="D99" s="64">
        <v>66.180000000000007</v>
      </c>
      <c r="E99" s="64">
        <v>0.63</v>
      </c>
      <c r="F99" s="64">
        <v>2.27</v>
      </c>
      <c r="G99" s="64">
        <v>157.63</v>
      </c>
      <c r="H99" s="64">
        <v>47.22</v>
      </c>
      <c r="I99" s="64">
        <v>1.45</v>
      </c>
      <c r="J99" s="64">
        <v>0.13</v>
      </c>
      <c r="K99" s="64">
        <v>138.33000000000001</v>
      </c>
      <c r="L99" s="64">
        <v>23.28</v>
      </c>
      <c r="M99" s="64">
        <v>90.16</v>
      </c>
      <c r="N99" s="64">
        <v>8.4</v>
      </c>
      <c r="O99" s="64">
        <v>0</v>
      </c>
      <c r="P99" s="64">
        <v>1.9</v>
      </c>
      <c r="Q99" s="64">
        <v>11.35</v>
      </c>
      <c r="R99" s="198"/>
      <c r="S99" s="198"/>
      <c r="T99" s="198"/>
      <c r="U99" s="198"/>
    </row>
    <row r="100" spans="1:33" s="12" customFormat="1" x14ac:dyDescent="0.25">
      <c r="A100" s="214" t="s">
        <v>1393</v>
      </c>
      <c r="B100" s="64">
        <v>64.94</v>
      </c>
      <c r="C100" s="64">
        <v>37.56</v>
      </c>
      <c r="D100" s="64">
        <v>74.06</v>
      </c>
      <c r="E100" s="64">
        <v>0.43</v>
      </c>
      <c r="F100" s="64">
        <v>3.78</v>
      </c>
      <c r="G100" s="64">
        <v>163.63</v>
      </c>
      <c r="H100" s="64">
        <v>44.88</v>
      </c>
      <c r="I100" s="64">
        <v>1.44</v>
      </c>
      <c r="J100" s="64">
        <v>0.2</v>
      </c>
      <c r="K100" s="64">
        <v>138.38999999999999</v>
      </c>
      <c r="L100" s="64">
        <v>23.44</v>
      </c>
      <c r="M100" s="64">
        <v>86.65</v>
      </c>
      <c r="N100" s="64">
        <v>8.3000000000000007</v>
      </c>
      <c r="O100" s="64">
        <v>0</v>
      </c>
      <c r="P100" s="64">
        <v>2.12</v>
      </c>
      <c r="Q100" s="64">
        <v>14.83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1394</v>
      </c>
      <c r="B101" s="64">
        <v>42.32</v>
      </c>
      <c r="C101" s="64">
        <v>32.57</v>
      </c>
      <c r="D101" s="64">
        <v>53.21</v>
      </c>
      <c r="E101" s="64">
        <v>0.53</v>
      </c>
      <c r="F101" s="64">
        <v>5.25</v>
      </c>
      <c r="G101" s="64">
        <v>163.63</v>
      </c>
      <c r="H101" s="64">
        <v>44.88</v>
      </c>
      <c r="I101" s="64">
        <v>1.57</v>
      </c>
      <c r="J101" s="64">
        <v>0.03</v>
      </c>
      <c r="K101" s="64">
        <v>1.33</v>
      </c>
      <c r="L101" s="64">
        <v>23.26</v>
      </c>
      <c r="M101" s="64">
        <v>88.56</v>
      </c>
      <c r="N101" s="64">
        <v>8.8000000000000007</v>
      </c>
      <c r="O101" s="64">
        <v>0</v>
      </c>
      <c r="P101" s="64">
        <v>1.66</v>
      </c>
      <c r="Q101" s="64">
        <v>14.51</v>
      </c>
      <c r="R101" s="198"/>
      <c r="S101" s="198"/>
      <c r="T101" s="198"/>
      <c r="U101" s="198"/>
    </row>
    <row r="102" spans="1:33" s="12" customFormat="1" x14ac:dyDescent="0.25">
      <c r="A102" s="214" t="s">
        <v>1395</v>
      </c>
      <c r="B102" s="64">
        <v>72.13</v>
      </c>
      <c r="C102" s="64">
        <v>26.49</v>
      </c>
      <c r="D102" s="64">
        <v>73.760000000000005</v>
      </c>
      <c r="E102" s="64">
        <v>0.54</v>
      </c>
      <c r="F102" s="64">
        <v>3.17</v>
      </c>
      <c r="G102" s="64">
        <v>163.63</v>
      </c>
      <c r="H102" s="64">
        <v>44.88</v>
      </c>
      <c r="I102" s="64">
        <v>1.5</v>
      </c>
      <c r="J102" s="64">
        <v>0.38</v>
      </c>
      <c r="K102" s="64">
        <v>133.94</v>
      </c>
      <c r="L102" s="64">
        <v>23.14</v>
      </c>
      <c r="M102" s="64">
        <v>89.16</v>
      </c>
      <c r="N102" s="64">
        <v>8.4</v>
      </c>
      <c r="O102" s="64">
        <v>0</v>
      </c>
      <c r="P102" s="64">
        <v>2.2799999999999998</v>
      </c>
      <c r="Q102" s="64">
        <v>14.11</v>
      </c>
      <c r="R102" s="198"/>
      <c r="S102" s="198"/>
      <c r="T102" s="198"/>
      <c r="U102" s="198"/>
    </row>
    <row r="103" spans="1:33" s="12" customFormat="1" x14ac:dyDescent="0.25">
      <c r="A103" s="214" t="s">
        <v>1396</v>
      </c>
      <c r="B103" s="64">
        <v>42.98</v>
      </c>
      <c r="C103" s="64">
        <v>29.89</v>
      </c>
      <c r="D103" s="64">
        <v>52.26</v>
      </c>
      <c r="E103" s="64">
        <v>0.46</v>
      </c>
      <c r="F103" s="64">
        <v>3.78</v>
      </c>
      <c r="G103" s="64">
        <v>156.55000000000001</v>
      </c>
      <c r="H103" s="64">
        <v>41.46</v>
      </c>
      <c r="I103" s="64">
        <v>1.53</v>
      </c>
      <c r="J103" s="64">
        <v>0.04</v>
      </c>
      <c r="K103" s="64">
        <v>61.76</v>
      </c>
      <c r="L103" s="64">
        <v>22.8</v>
      </c>
      <c r="M103" s="64">
        <v>94.44</v>
      </c>
      <c r="N103" s="64">
        <v>9.1</v>
      </c>
      <c r="O103" s="64">
        <v>0</v>
      </c>
      <c r="P103" s="64">
        <v>1.71</v>
      </c>
      <c r="Q103" s="64">
        <v>14.02</v>
      </c>
      <c r="R103" s="198"/>
      <c r="S103" s="198"/>
      <c r="T103" s="198"/>
      <c r="U103" s="198"/>
    </row>
    <row r="104" spans="1:33" s="12" customFormat="1" x14ac:dyDescent="0.25">
      <c r="A104" s="214" t="s">
        <v>1397</v>
      </c>
      <c r="B104" s="64">
        <v>68.98</v>
      </c>
      <c r="C104" s="64">
        <v>23.03</v>
      </c>
      <c r="D104" s="64">
        <v>69.319999999999993</v>
      </c>
      <c r="E104" s="64">
        <v>0.19</v>
      </c>
      <c r="F104" s="64">
        <v>2.2200000000000002</v>
      </c>
      <c r="G104" s="64">
        <v>123.83</v>
      </c>
      <c r="H104" s="64">
        <v>29.61</v>
      </c>
      <c r="I104" s="64">
        <v>1.42</v>
      </c>
      <c r="J104" s="64">
        <v>0.05</v>
      </c>
      <c r="K104" s="64">
        <v>219.12</v>
      </c>
      <c r="L104" s="64">
        <v>22.49</v>
      </c>
      <c r="M104" s="64">
        <v>95.26</v>
      </c>
      <c r="N104" s="64">
        <v>8.6999999999999993</v>
      </c>
      <c r="O104" s="64">
        <v>0</v>
      </c>
      <c r="P104" s="64">
        <v>2.29</v>
      </c>
      <c r="Q104" s="64">
        <v>13.2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</v>
      </c>
      <c r="C106" s="67">
        <f>MIN(C9:C104)</f>
        <v>8.69</v>
      </c>
      <c r="D106" s="67">
        <f t="shared" ref="D106:Q106" si="0">MIN(D9:D104)</f>
        <v>8.52</v>
      </c>
      <c r="E106" s="67">
        <f t="shared" si="0"/>
        <v>0.13</v>
      </c>
      <c r="F106" s="67">
        <f t="shared" si="0"/>
        <v>0.24</v>
      </c>
      <c r="G106" s="67">
        <f t="shared" si="0"/>
        <v>48.06</v>
      </c>
      <c r="H106" s="67">
        <f t="shared" si="0"/>
        <v>10.029999999999999</v>
      </c>
      <c r="I106" s="67">
        <f t="shared" si="0"/>
        <v>1.42</v>
      </c>
      <c r="J106" s="67">
        <f t="shared" si="0"/>
        <v>0.01</v>
      </c>
      <c r="K106" s="67">
        <f t="shared" si="0"/>
        <v>1.33</v>
      </c>
      <c r="L106" s="67">
        <f t="shared" si="0"/>
        <v>22.06</v>
      </c>
      <c r="M106" s="67">
        <f t="shared" si="0"/>
        <v>35.21</v>
      </c>
      <c r="N106" s="67">
        <f t="shared" si="0"/>
        <v>0</v>
      </c>
      <c r="O106" s="67">
        <f t="shared" si="0"/>
        <v>0</v>
      </c>
      <c r="P106" s="67">
        <f t="shared" si="0"/>
        <v>0.41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174.74</v>
      </c>
      <c r="C107" s="66">
        <f t="shared" ref="C107:Q107" si="1">MAX(C9:C104)</f>
        <v>112.7</v>
      </c>
      <c r="D107" s="66">
        <f t="shared" si="1"/>
        <v>194.55</v>
      </c>
      <c r="E107" s="66">
        <f t="shared" si="1"/>
        <v>19.41</v>
      </c>
      <c r="F107" s="66">
        <f t="shared" si="1"/>
        <v>8.9499999999999993</v>
      </c>
      <c r="G107" s="66">
        <f t="shared" si="1"/>
        <v>163.63</v>
      </c>
      <c r="H107" s="66">
        <f t="shared" si="1"/>
        <v>50.93</v>
      </c>
      <c r="I107" s="66">
        <f t="shared" si="1"/>
        <v>1.59</v>
      </c>
      <c r="J107" s="66">
        <f t="shared" si="1"/>
        <v>2.58</v>
      </c>
      <c r="K107" s="66">
        <f t="shared" si="1"/>
        <v>354.49</v>
      </c>
      <c r="L107" s="66">
        <f t="shared" si="1"/>
        <v>34.229999999999997</v>
      </c>
      <c r="M107" s="66">
        <f t="shared" si="1"/>
        <v>98.85</v>
      </c>
      <c r="N107" s="66">
        <f t="shared" si="1"/>
        <v>800.3</v>
      </c>
      <c r="O107" s="66">
        <f t="shared" si="1"/>
        <v>0</v>
      </c>
      <c r="P107" s="66">
        <f t="shared" si="1"/>
        <v>4.3099999999999996</v>
      </c>
      <c r="Q107" s="66">
        <f t="shared" si="1"/>
        <v>14.83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26.102500000000006</v>
      </c>
      <c r="C108" s="67">
        <f t="shared" ref="C108:Q108" si="2">AVERAGE(C9:C104)</f>
        <v>29.442916666666665</v>
      </c>
      <c r="D108" s="67">
        <f t="shared" si="2"/>
        <v>38.466562500000016</v>
      </c>
      <c r="E108" s="67">
        <f t="shared" si="2"/>
        <v>2.0108602150537642</v>
      </c>
      <c r="F108" s="67">
        <f t="shared" si="2"/>
        <v>1.5073958333333337</v>
      </c>
      <c r="G108" s="67">
        <f t="shared" si="2"/>
        <v>79.142812500000005</v>
      </c>
      <c r="H108" s="67">
        <f t="shared" si="2"/>
        <v>29.409791666666663</v>
      </c>
      <c r="I108" s="67">
        <f t="shared" si="2"/>
        <v>1.4971874999999997</v>
      </c>
      <c r="J108" s="67">
        <f t="shared" si="2"/>
        <v>0.21437500000000001</v>
      </c>
      <c r="K108" s="67">
        <f t="shared" si="2"/>
        <v>185.66114583333331</v>
      </c>
      <c r="L108" s="67">
        <f t="shared" si="2"/>
        <v>25.533333333333335</v>
      </c>
      <c r="M108" s="67">
        <f t="shared" si="2"/>
        <v>76.266875000000027</v>
      </c>
      <c r="N108" s="67">
        <f t="shared" si="2"/>
        <v>172.05208333333329</v>
      </c>
      <c r="O108" s="67">
        <f t="shared" si="2"/>
        <v>0</v>
      </c>
      <c r="P108" s="67">
        <f t="shared" si="2"/>
        <v>1.2275000000000003</v>
      </c>
      <c r="Q108" s="67">
        <f t="shared" si="2"/>
        <v>5.1931249999999993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43.829938914663771</v>
      </c>
      <c r="C109" s="67">
        <f t="shared" ref="C109:Q109" si="3">STDEV(C9:C104)</f>
        <v>30.517573984997952</v>
      </c>
      <c r="D109" s="67">
        <f t="shared" si="3"/>
        <v>50.126420217772207</v>
      </c>
      <c r="E109" s="67">
        <f t="shared" si="3"/>
        <v>2.765438347167934</v>
      </c>
      <c r="F109" s="67">
        <f t="shared" si="3"/>
        <v>1.4323732568467706</v>
      </c>
      <c r="G109" s="67">
        <f t="shared" si="3"/>
        <v>30.741562700515686</v>
      </c>
      <c r="H109" s="67">
        <f t="shared" si="3"/>
        <v>9.9419506694629742</v>
      </c>
      <c r="I109" s="67">
        <f t="shared" si="3"/>
        <v>3.9275092549055118E-2</v>
      </c>
      <c r="J109" s="67">
        <f t="shared" si="3"/>
        <v>0.32503866166803502</v>
      </c>
      <c r="K109" s="67">
        <f t="shared" si="3"/>
        <v>108.04294945086282</v>
      </c>
      <c r="L109" s="67">
        <f t="shared" si="3"/>
        <v>3.6339141335238412</v>
      </c>
      <c r="M109" s="67">
        <f t="shared" si="3"/>
        <v>20.547039039469148</v>
      </c>
      <c r="N109" s="67">
        <f t="shared" si="3"/>
        <v>269.02433620269056</v>
      </c>
      <c r="O109" s="67">
        <f t="shared" si="3"/>
        <v>0</v>
      </c>
      <c r="P109" s="67">
        <f t="shared" si="3"/>
        <v>1.0050409784785155</v>
      </c>
      <c r="Q109" s="67">
        <f t="shared" si="3"/>
        <v>2.7042058129786226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93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E110" sqref="E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1398</v>
      </c>
      <c r="B9" s="64">
        <v>41.87</v>
      </c>
      <c r="C9" s="64">
        <v>25.27</v>
      </c>
      <c r="D9" s="64">
        <v>48.82</v>
      </c>
      <c r="E9" s="64">
        <v>0.41</v>
      </c>
      <c r="F9" s="64">
        <v>4.2300000000000004</v>
      </c>
      <c r="G9" s="64">
        <v>123.83</v>
      </c>
      <c r="H9" s="64">
        <v>29.61</v>
      </c>
      <c r="I9" s="64">
        <v>1.51</v>
      </c>
      <c r="J9" s="64">
        <v>0.06</v>
      </c>
      <c r="K9" s="64">
        <v>261.85000000000002</v>
      </c>
      <c r="L9" s="64">
        <v>22.53</v>
      </c>
      <c r="M9" s="64">
        <v>94.32</v>
      </c>
      <c r="N9" s="64">
        <v>8.8000000000000007</v>
      </c>
      <c r="O9" s="64">
        <v>0</v>
      </c>
      <c r="P9" s="64">
        <v>1.57</v>
      </c>
      <c r="Q9" s="64">
        <v>12.59</v>
      </c>
      <c r="R9" s="198"/>
      <c r="S9" s="198"/>
      <c r="T9" s="198"/>
      <c r="U9" s="198"/>
    </row>
    <row r="10" spans="1:21" s="12" customFormat="1" x14ac:dyDescent="0.25">
      <c r="A10" s="214" t="s">
        <v>1399</v>
      </c>
      <c r="B10" s="64">
        <v>35.08</v>
      </c>
      <c r="C10" s="64">
        <v>25.16</v>
      </c>
      <c r="D10" s="64">
        <v>43.3</v>
      </c>
      <c r="E10" s="64">
        <v>0.28000000000000003</v>
      </c>
      <c r="F10" s="64">
        <v>7.33</v>
      </c>
      <c r="G10" s="64">
        <v>123.83</v>
      </c>
      <c r="H10" s="64">
        <v>29.61</v>
      </c>
      <c r="I10" s="64">
        <v>1.51</v>
      </c>
      <c r="J10" s="64">
        <v>0.14000000000000001</v>
      </c>
      <c r="K10" s="64">
        <v>303.74</v>
      </c>
      <c r="L10" s="64">
        <v>22.26</v>
      </c>
      <c r="M10" s="64">
        <v>96.94</v>
      </c>
      <c r="N10" s="64">
        <v>8.8000000000000007</v>
      </c>
      <c r="O10" s="64">
        <v>0</v>
      </c>
      <c r="P10" s="64">
        <v>1.44</v>
      </c>
      <c r="Q10" s="64">
        <v>14</v>
      </c>
      <c r="R10" s="198"/>
      <c r="S10" s="198"/>
      <c r="T10" s="198"/>
      <c r="U10" s="198"/>
    </row>
    <row r="11" spans="1:21" s="12" customFormat="1" x14ac:dyDescent="0.25">
      <c r="A11" s="214" t="s">
        <v>1400</v>
      </c>
      <c r="B11" s="64">
        <v>57.57</v>
      </c>
      <c r="C11" s="64">
        <v>19.760000000000002</v>
      </c>
      <c r="D11" s="64">
        <v>58.36</v>
      </c>
      <c r="E11" s="64">
        <v>0.4</v>
      </c>
      <c r="F11" s="64">
        <v>2.0299999999999998</v>
      </c>
      <c r="G11" s="64">
        <v>120.28</v>
      </c>
      <c r="H11" s="64">
        <v>28.01</v>
      </c>
      <c r="I11" s="64">
        <v>1.49</v>
      </c>
      <c r="J11" s="64">
        <v>0.06</v>
      </c>
      <c r="K11" s="64">
        <v>292.24</v>
      </c>
      <c r="L11" s="64">
        <v>21.86</v>
      </c>
      <c r="M11" s="64">
        <v>98.84</v>
      </c>
      <c r="N11" s="64">
        <v>9</v>
      </c>
      <c r="O11" s="64">
        <v>0</v>
      </c>
      <c r="P11" s="64">
        <v>2.0099999999999998</v>
      </c>
      <c r="Q11" s="64">
        <v>12.17</v>
      </c>
      <c r="R11" s="198"/>
      <c r="S11" s="198"/>
      <c r="T11" s="198"/>
      <c r="U11" s="198"/>
    </row>
    <row r="12" spans="1:21" s="12" customFormat="1" x14ac:dyDescent="0.25">
      <c r="A12" s="214" t="s">
        <v>1401</v>
      </c>
      <c r="B12" s="64">
        <v>48.62</v>
      </c>
      <c r="C12" s="64">
        <v>19.8</v>
      </c>
      <c r="D12" s="64">
        <v>51.21</v>
      </c>
      <c r="E12" s="64">
        <v>0.5</v>
      </c>
      <c r="F12" s="64">
        <v>1.57</v>
      </c>
      <c r="G12" s="64">
        <v>103.89</v>
      </c>
      <c r="H12" s="64">
        <v>17.77</v>
      </c>
      <c r="I12" s="64">
        <v>1.51</v>
      </c>
      <c r="J12" s="64">
        <v>0.1</v>
      </c>
      <c r="K12" s="64">
        <v>247.36</v>
      </c>
      <c r="L12" s="64">
        <v>21.96</v>
      </c>
      <c r="M12" s="64">
        <v>98.4</v>
      </c>
      <c r="N12" s="64">
        <v>8.6</v>
      </c>
      <c r="O12" s="64">
        <v>0</v>
      </c>
      <c r="P12" s="64">
        <v>1.78</v>
      </c>
      <c r="Q12" s="64">
        <v>11.12</v>
      </c>
      <c r="R12" s="198"/>
      <c r="S12" s="198"/>
      <c r="T12" s="198"/>
      <c r="U12" s="198"/>
    </row>
    <row r="13" spans="1:21" s="12" customFormat="1" x14ac:dyDescent="0.25">
      <c r="A13" s="214" t="s">
        <v>1402</v>
      </c>
      <c r="B13" s="64">
        <v>39.369999999999997</v>
      </c>
      <c r="C13" s="64">
        <v>24.67</v>
      </c>
      <c r="D13" s="64">
        <v>46.47</v>
      </c>
      <c r="E13" s="64">
        <v>0.43</v>
      </c>
      <c r="F13" s="64">
        <v>1.84</v>
      </c>
      <c r="G13" s="64">
        <v>103.89</v>
      </c>
      <c r="H13" s="64">
        <v>17.77</v>
      </c>
      <c r="I13" s="64">
        <v>1.46</v>
      </c>
      <c r="J13" s="64">
        <v>0.1</v>
      </c>
      <c r="K13" s="64">
        <v>334.52</v>
      </c>
      <c r="L13" s="64">
        <v>21.79</v>
      </c>
      <c r="M13" s="64">
        <v>98.85</v>
      </c>
      <c r="N13" s="64">
        <v>8.6999999999999993</v>
      </c>
      <c r="O13" s="64">
        <v>0</v>
      </c>
      <c r="P13" s="64">
        <v>1.4</v>
      </c>
      <c r="Q13" s="64">
        <v>11.25</v>
      </c>
      <c r="R13" s="198"/>
      <c r="S13" s="198"/>
      <c r="T13" s="198"/>
      <c r="U13" s="198"/>
    </row>
    <row r="14" spans="1:21" s="12" customFormat="1" x14ac:dyDescent="0.25">
      <c r="A14" s="214" t="s">
        <v>1403</v>
      </c>
      <c r="B14" s="64">
        <v>26.57</v>
      </c>
      <c r="C14" s="64">
        <v>28.37</v>
      </c>
      <c r="D14" s="64">
        <v>38.26</v>
      </c>
      <c r="E14" s="64">
        <v>0.33</v>
      </c>
      <c r="F14" s="64">
        <v>3.31</v>
      </c>
      <c r="G14" s="64">
        <v>103.89</v>
      </c>
      <c r="H14" s="64">
        <v>17.77</v>
      </c>
      <c r="I14" s="64">
        <v>1.51</v>
      </c>
      <c r="J14" s="64">
        <v>0.08</v>
      </c>
      <c r="K14" s="64">
        <v>250.15</v>
      </c>
      <c r="L14" s="64">
        <v>21.59</v>
      </c>
      <c r="M14" s="64">
        <v>98.89</v>
      </c>
      <c r="N14" s="64">
        <v>8.6999999999999993</v>
      </c>
      <c r="O14" s="64">
        <v>0</v>
      </c>
      <c r="P14" s="64">
        <v>1.07</v>
      </c>
      <c r="Q14" s="64">
        <v>12.1</v>
      </c>
      <c r="R14" s="198"/>
      <c r="S14" s="198"/>
      <c r="T14" s="198"/>
      <c r="U14" s="198"/>
    </row>
    <row r="15" spans="1:21" s="12" customFormat="1" x14ac:dyDescent="0.25">
      <c r="A15" s="214" t="s">
        <v>1404</v>
      </c>
      <c r="B15" s="64">
        <v>30.29</v>
      </c>
      <c r="C15" s="64">
        <v>23.17</v>
      </c>
      <c r="D15" s="64">
        <v>38.369999999999997</v>
      </c>
      <c r="E15" s="64">
        <v>0.45</v>
      </c>
      <c r="F15" s="64">
        <v>2.68</v>
      </c>
      <c r="G15" s="64">
        <v>101.19</v>
      </c>
      <c r="H15" s="64">
        <v>17.77</v>
      </c>
      <c r="I15" s="64">
        <v>1.47</v>
      </c>
      <c r="J15" s="64">
        <v>0.06</v>
      </c>
      <c r="K15" s="64">
        <v>137.97</v>
      </c>
      <c r="L15" s="64">
        <v>21.59</v>
      </c>
      <c r="M15" s="64">
        <v>98.88</v>
      </c>
      <c r="N15" s="64">
        <v>8.6999999999999993</v>
      </c>
      <c r="O15" s="64">
        <v>0</v>
      </c>
      <c r="P15" s="64">
        <v>1.23</v>
      </c>
      <c r="Q15" s="64">
        <v>11.44</v>
      </c>
      <c r="R15" s="198"/>
      <c r="S15" s="198"/>
      <c r="T15" s="198"/>
      <c r="U15" s="198"/>
    </row>
    <row r="16" spans="1:21" s="12" customFormat="1" x14ac:dyDescent="0.25">
      <c r="A16" s="214" t="s">
        <v>1405</v>
      </c>
      <c r="B16" s="64">
        <v>38.08</v>
      </c>
      <c r="C16" s="64">
        <v>22.77</v>
      </c>
      <c r="D16" s="64">
        <v>44.4</v>
      </c>
      <c r="E16" s="64">
        <v>0.4</v>
      </c>
      <c r="F16" s="64">
        <v>3.06</v>
      </c>
      <c r="G16" s="216" t="s">
        <v>42</v>
      </c>
      <c r="H16" s="216" t="s">
        <v>42</v>
      </c>
      <c r="I16" s="64">
        <v>1.48</v>
      </c>
      <c r="J16" s="64">
        <v>0.08</v>
      </c>
      <c r="K16" s="64">
        <v>271.85000000000002</v>
      </c>
      <c r="L16" s="64">
        <v>21.58</v>
      </c>
      <c r="M16" s="64">
        <v>98.88</v>
      </c>
      <c r="N16" s="64">
        <v>8.6</v>
      </c>
      <c r="O16" s="64">
        <v>0</v>
      </c>
      <c r="P16" s="64">
        <v>1.41</v>
      </c>
      <c r="Q16" s="64">
        <v>11.45</v>
      </c>
      <c r="R16" s="198"/>
      <c r="S16" s="198"/>
      <c r="T16" s="198"/>
      <c r="U16" s="198"/>
    </row>
    <row r="17" spans="1:21" s="12" customFormat="1" x14ac:dyDescent="0.25">
      <c r="A17" s="214" t="s">
        <v>1406</v>
      </c>
      <c r="B17" s="64">
        <v>34.36</v>
      </c>
      <c r="C17" s="64">
        <v>22</v>
      </c>
      <c r="D17" s="64">
        <v>40.99</v>
      </c>
      <c r="E17" s="64">
        <v>0.42</v>
      </c>
      <c r="F17" s="64">
        <v>3.01</v>
      </c>
      <c r="G17" s="216" t="s">
        <v>42</v>
      </c>
      <c r="H17" s="216" t="s">
        <v>42</v>
      </c>
      <c r="I17" s="64">
        <v>1.48</v>
      </c>
      <c r="J17" s="64">
        <v>0.23</v>
      </c>
      <c r="K17" s="64">
        <v>142.53</v>
      </c>
      <c r="L17" s="64">
        <v>21.96</v>
      </c>
      <c r="M17" s="64">
        <v>98.72</v>
      </c>
      <c r="N17" s="64">
        <v>8.3000000000000007</v>
      </c>
      <c r="O17" s="64">
        <v>0</v>
      </c>
      <c r="P17" s="64">
        <v>1.29</v>
      </c>
      <c r="Q17" s="64">
        <v>10.8</v>
      </c>
      <c r="R17" s="198"/>
      <c r="S17" s="198"/>
      <c r="T17" s="198"/>
      <c r="U17" s="198"/>
    </row>
    <row r="18" spans="1:21" s="12" customFormat="1" x14ac:dyDescent="0.25">
      <c r="A18" s="214" t="s">
        <v>1407</v>
      </c>
      <c r="B18" s="64">
        <v>39.4</v>
      </c>
      <c r="C18" s="64">
        <v>18.920000000000002</v>
      </c>
      <c r="D18" s="64">
        <v>43.33</v>
      </c>
      <c r="E18" s="64">
        <v>0.56000000000000005</v>
      </c>
      <c r="F18" s="64">
        <v>1.9</v>
      </c>
      <c r="G18" s="216" t="s">
        <v>42</v>
      </c>
      <c r="H18" s="216" t="s">
        <v>42</v>
      </c>
      <c r="I18" s="64">
        <v>1.42</v>
      </c>
      <c r="J18" s="64">
        <v>0.08</v>
      </c>
      <c r="K18" s="64">
        <v>68.23</v>
      </c>
      <c r="L18" s="64">
        <v>21.98</v>
      </c>
      <c r="M18" s="64">
        <v>98.64</v>
      </c>
      <c r="N18" s="64">
        <v>8.6999999999999993</v>
      </c>
      <c r="O18" s="64">
        <v>0</v>
      </c>
      <c r="P18" s="64">
        <v>1.38</v>
      </c>
      <c r="Q18" s="64">
        <v>9.98</v>
      </c>
      <c r="R18" s="198"/>
      <c r="S18" s="198"/>
      <c r="T18" s="198"/>
      <c r="U18" s="198"/>
    </row>
    <row r="19" spans="1:21" s="12" customFormat="1" x14ac:dyDescent="0.25">
      <c r="A19" s="214" t="s">
        <v>1408</v>
      </c>
      <c r="B19" s="64">
        <v>25.64</v>
      </c>
      <c r="C19" s="64">
        <v>21.81</v>
      </c>
      <c r="D19" s="64">
        <v>33.89</v>
      </c>
      <c r="E19" s="64">
        <v>0.41</v>
      </c>
      <c r="F19" s="64">
        <v>3.17</v>
      </c>
      <c r="G19" s="64">
        <v>86.31</v>
      </c>
      <c r="H19" s="64">
        <v>77.81</v>
      </c>
      <c r="I19" s="64">
        <v>1.5</v>
      </c>
      <c r="J19" s="64">
        <v>0.09</v>
      </c>
      <c r="K19" s="64">
        <v>7.22</v>
      </c>
      <c r="L19" s="64">
        <v>21.73</v>
      </c>
      <c r="M19" s="64">
        <v>98.85</v>
      </c>
      <c r="N19" s="64">
        <v>8.8000000000000007</v>
      </c>
      <c r="O19" s="64">
        <v>0</v>
      </c>
      <c r="P19" s="64">
        <v>1.02</v>
      </c>
      <c r="Q19" s="64">
        <v>10.72</v>
      </c>
      <c r="R19" s="198"/>
      <c r="S19" s="198"/>
      <c r="T19" s="198"/>
      <c r="U19" s="198"/>
    </row>
    <row r="20" spans="1:21" s="12" customFormat="1" x14ac:dyDescent="0.25">
      <c r="A20" s="214" t="s">
        <v>1409</v>
      </c>
      <c r="B20" s="64">
        <v>44.44</v>
      </c>
      <c r="C20" s="64">
        <v>16.45</v>
      </c>
      <c r="D20" s="64">
        <v>46.01</v>
      </c>
      <c r="E20" s="64">
        <v>0.47</v>
      </c>
      <c r="F20" s="64">
        <v>1.1200000000000001</v>
      </c>
      <c r="G20" s="64">
        <v>74.38</v>
      </c>
      <c r="H20" s="64">
        <v>77.81</v>
      </c>
      <c r="I20" s="64">
        <v>1.49</v>
      </c>
      <c r="J20" s="64">
        <v>7.0000000000000007E-2</v>
      </c>
      <c r="K20" s="64">
        <v>337.03</v>
      </c>
      <c r="L20" s="64">
        <v>21.62</v>
      </c>
      <c r="M20" s="64">
        <v>98.88</v>
      </c>
      <c r="N20" s="64">
        <v>8.6999999999999993</v>
      </c>
      <c r="O20" s="64">
        <v>0</v>
      </c>
      <c r="P20" s="64">
        <v>1.58</v>
      </c>
      <c r="Q20" s="64">
        <v>9.89</v>
      </c>
      <c r="R20" s="198"/>
      <c r="S20" s="198"/>
      <c r="T20" s="198"/>
      <c r="U20" s="198"/>
    </row>
    <row r="21" spans="1:21" s="12" customFormat="1" x14ac:dyDescent="0.25">
      <c r="A21" s="214" t="s">
        <v>1410</v>
      </c>
      <c r="B21" s="64">
        <v>31.45</v>
      </c>
      <c r="C21" s="64">
        <v>17.25</v>
      </c>
      <c r="D21" s="64">
        <v>36.03</v>
      </c>
      <c r="E21" s="64">
        <v>0.5</v>
      </c>
      <c r="F21" s="64">
        <v>0.8</v>
      </c>
      <c r="G21" s="64">
        <v>74.38</v>
      </c>
      <c r="H21" s="64">
        <v>77.81</v>
      </c>
      <c r="I21" s="64">
        <v>1.55</v>
      </c>
      <c r="J21" s="64">
        <v>0.08</v>
      </c>
      <c r="K21" s="64">
        <v>258.06</v>
      </c>
      <c r="L21" s="64">
        <v>21.35</v>
      </c>
      <c r="M21" s="64">
        <v>98.89</v>
      </c>
      <c r="N21" s="64">
        <v>8.8000000000000007</v>
      </c>
      <c r="O21" s="64">
        <v>0</v>
      </c>
      <c r="P21" s="64">
        <v>1.22</v>
      </c>
      <c r="Q21" s="64">
        <v>9.39</v>
      </c>
      <c r="R21" s="198"/>
      <c r="S21" s="198"/>
      <c r="T21" s="198"/>
      <c r="U21" s="198"/>
    </row>
    <row r="22" spans="1:21" s="12" customFormat="1" x14ac:dyDescent="0.25">
      <c r="A22" s="214" t="s">
        <v>1411</v>
      </c>
      <c r="B22" s="64">
        <v>28.08</v>
      </c>
      <c r="C22" s="64">
        <v>25.66</v>
      </c>
      <c r="D22" s="64">
        <v>37.97</v>
      </c>
      <c r="E22" s="64">
        <v>0.39</v>
      </c>
      <c r="F22" s="64">
        <v>1.66</v>
      </c>
      <c r="G22" s="64">
        <v>74.38</v>
      </c>
      <c r="H22" s="64">
        <v>77.81</v>
      </c>
      <c r="I22" s="64">
        <v>1.51</v>
      </c>
      <c r="J22" s="64">
        <v>0.38</v>
      </c>
      <c r="K22" s="64">
        <v>164.66</v>
      </c>
      <c r="L22" s="64">
        <v>21.61</v>
      </c>
      <c r="M22" s="64">
        <v>98.89</v>
      </c>
      <c r="N22" s="64">
        <v>7.9</v>
      </c>
      <c r="O22" s="64">
        <v>0</v>
      </c>
      <c r="P22" s="64">
        <v>0.96</v>
      </c>
      <c r="Q22" s="64">
        <v>9.6999999999999993</v>
      </c>
      <c r="R22" s="198"/>
      <c r="S22" s="198"/>
      <c r="T22" s="198"/>
      <c r="U22" s="198"/>
    </row>
    <row r="23" spans="1:21" s="12" customFormat="1" x14ac:dyDescent="0.25">
      <c r="A23" s="214" t="s">
        <v>1412</v>
      </c>
      <c r="B23" s="64">
        <v>39.26</v>
      </c>
      <c r="C23" s="64">
        <v>14.87</v>
      </c>
      <c r="D23" s="64">
        <v>40.98</v>
      </c>
      <c r="E23" s="64">
        <v>0.39</v>
      </c>
      <c r="F23" s="64">
        <v>0.86</v>
      </c>
      <c r="G23" s="64">
        <v>75</v>
      </c>
      <c r="H23" s="64">
        <v>76.66</v>
      </c>
      <c r="I23" s="64">
        <v>1.45</v>
      </c>
      <c r="J23" s="64">
        <v>0.13</v>
      </c>
      <c r="K23" s="64">
        <v>195.33</v>
      </c>
      <c r="L23" s="64">
        <v>22.08</v>
      </c>
      <c r="M23" s="64">
        <v>98.85</v>
      </c>
      <c r="N23" s="64">
        <v>8.1999999999999993</v>
      </c>
      <c r="O23" s="64">
        <v>0</v>
      </c>
      <c r="P23" s="64">
        <v>1.42</v>
      </c>
      <c r="Q23" s="64">
        <v>8.8699999999999992</v>
      </c>
      <c r="R23" s="198"/>
      <c r="S23" s="198"/>
      <c r="T23" s="198"/>
      <c r="U23" s="198"/>
    </row>
    <row r="24" spans="1:21" s="12" customFormat="1" x14ac:dyDescent="0.25">
      <c r="A24" s="214" t="s">
        <v>1413</v>
      </c>
      <c r="B24" s="64">
        <v>37.479999999999997</v>
      </c>
      <c r="C24" s="64">
        <v>13.1</v>
      </c>
      <c r="D24" s="64">
        <v>38.57</v>
      </c>
      <c r="E24" s="64">
        <v>0.25</v>
      </c>
      <c r="F24" s="64">
        <v>0.9</v>
      </c>
      <c r="G24" s="64">
        <v>78.14</v>
      </c>
      <c r="H24" s="64">
        <v>72.66</v>
      </c>
      <c r="I24" s="64">
        <v>1.44</v>
      </c>
      <c r="J24" s="64">
        <v>0.05</v>
      </c>
      <c r="K24" s="64">
        <v>334.71</v>
      </c>
      <c r="L24" s="64">
        <v>21.99</v>
      </c>
      <c r="M24" s="64">
        <v>98.85</v>
      </c>
      <c r="N24" s="64">
        <v>8.6999999999999993</v>
      </c>
      <c r="O24" s="64">
        <v>0</v>
      </c>
      <c r="P24" s="64">
        <v>1.3</v>
      </c>
      <c r="Q24" s="64">
        <v>8.49</v>
      </c>
      <c r="R24" s="198"/>
      <c r="S24" s="198"/>
      <c r="T24" s="198"/>
      <c r="U24" s="198"/>
    </row>
    <row r="25" spans="1:21" s="12" customFormat="1" x14ac:dyDescent="0.25">
      <c r="A25" s="214" t="s">
        <v>1414</v>
      </c>
      <c r="B25" s="64">
        <v>25.61</v>
      </c>
      <c r="C25" s="64">
        <v>16.489999999999998</v>
      </c>
      <c r="D25" s="64">
        <v>30.93</v>
      </c>
      <c r="E25" s="64">
        <v>0.39</v>
      </c>
      <c r="F25" s="64">
        <v>1.65</v>
      </c>
      <c r="G25" s="64">
        <v>78.14</v>
      </c>
      <c r="H25" s="64">
        <v>72.66</v>
      </c>
      <c r="I25" s="64">
        <v>1.44</v>
      </c>
      <c r="J25" s="64">
        <v>0.06</v>
      </c>
      <c r="K25" s="64">
        <v>155.44</v>
      </c>
      <c r="L25" s="64">
        <v>21.9</v>
      </c>
      <c r="M25" s="64">
        <v>98.85</v>
      </c>
      <c r="N25" s="64">
        <v>8.8000000000000007</v>
      </c>
      <c r="O25" s="64">
        <v>0</v>
      </c>
      <c r="P25" s="64">
        <v>1.01</v>
      </c>
      <c r="Q25" s="64">
        <v>8.57</v>
      </c>
      <c r="R25" s="198"/>
      <c r="S25" s="198"/>
      <c r="T25" s="198"/>
      <c r="U25" s="198"/>
    </row>
    <row r="26" spans="1:21" s="12" customFormat="1" x14ac:dyDescent="0.25">
      <c r="A26" s="214" t="s">
        <v>1415</v>
      </c>
      <c r="B26" s="64">
        <v>27.99</v>
      </c>
      <c r="C26" s="64">
        <v>18.12</v>
      </c>
      <c r="D26" s="64">
        <v>33.729999999999997</v>
      </c>
      <c r="E26" s="64">
        <v>0.32</v>
      </c>
      <c r="F26" s="64">
        <v>2.29</v>
      </c>
      <c r="G26" s="64">
        <v>78.14</v>
      </c>
      <c r="H26" s="64">
        <v>72.66</v>
      </c>
      <c r="I26" s="64">
        <v>1.49</v>
      </c>
      <c r="J26" s="64">
        <v>0.15</v>
      </c>
      <c r="K26" s="64">
        <v>174.25</v>
      </c>
      <c r="L26" s="64">
        <v>21.82</v>
      </c>
      <c r="M26" s="64">
        <v>98.86</v>
      </c>
      <c r="N26" s="64">
        <v>8.8000000000000007</v>
      </c>
      <c r="O26" s="64">
        <v>0</v>
      </c>
      <c r="P26" s="64">
        <v>1.1000000000000001</v>
      </c>
      <c r="Q26" s="64">
        <v>8.77</v>
      </c>
      <c r="R26" s="198"/>
      <c r="S26" s="198"/>
      <c r="T26" s="198"/>
      <c r="U26" s="198"/>
    </row>
    <row r="27" spans="1:21" s="12" customFormat="1" x14ac:dyDescent="0.25">
      <c r="A27" s="214" t="s">
        <v>1416</v>
      </c>
      <c r="B27" s="64">
        <v>22.9</v>
      </c>
      <c r="C27" s="64">
        <v>19.54</v>
      </c>
      <c r="D27" s="64">
        <v>30.44</v>
      </c>
      <c r="E27" s="64">
        <v>0.32</v>
      </c>
      <c r="F27" s="64">
        <v>1.9</v>
      </c>
      <c r="G27" s="64">
        <v>76.55</v>
      </c>
      <c r="H27" s="64">
        <v>73.87</v>
      </c>
      <c r="I27" s="64">
        <v>1.49</v>
      </c>
      <c r="J27" s="64">
        <v>0.03</v>
      </c>
      <c r="K27" s="64">
        <v>148.77000000000001</v>
      </c>
      <c r="L27" s="64">
        <v>21.75</v>
      </c>
      <c r="M27" s="64">
        <v>98.87</v>
      </c>
      <c r="N27" s="64">
        <v>9.1</v>
      </c>
      <c r="O27" s="64">
        <v>0</v>
      </c>
      <c r="P27" s="64">
        <v>0.82</v>
      </c>
      <c r="Q27" s="64">
        <v>8.56</v>
      </c>
      <c r="R27" s="198"/>
      <c r="S27" s="198"/>
      <c r="T27" s="198"/>
      <c r="U27" s="198"/>
    </row>
    <row r="28" spans="1:21" s="12" customFormat="1" x14ac:dyDescent="0.25">
      <c r="A28" s="214" t="s">
        <v>1417</v>
      </c>
      <c r="B28" s="64">
        <v>28.84</v>
      </c>
      <c r="C28" s="64">
        <v>21.35</v>
      </c>
      <c r="D28" s="64">
        <v>36.200000000000003</v>
      </c>
      <c r="E28" s="64">
        <v>0.34</v>
      </c>
      <c r="F28" s="64">
        <v>1.19</v>
      </c>
      <c r="G28" s="216" t="s">
        <v>42</v>
      </c>
      <c r="H28" s="216" t="s">
        <v>42</v>
      </c>
      <c r="I28" s="64">
        <v>1.49</v>
      </c>
      <c r="J28" s="64">
        <v>0.03</v>
      </c>
      <c r="K28" s="64">
        <v>43.31</v>
      </c>
      <c r="L28" s="64">
        <v>21.71</v>
      </c>
      <c r="M28" s="64">
        <v>98.89</v>
      </c>
      <c r="N28" s="64">
        <v>8.9</v>
      </c>
      <c r="O28" s="64">
        <v>0</v>
      </c>
      <c r="P28" s="64">
        <v>1.06</v>
      </c>
      <c r="Q28" s="64">
        <v>8.1300000000000008</v>
      </c>
      <c r="R28" s="198"/>
      <c r="S28" s="198"/>
      <c r="T28" s="198"/>
      <c r="U28" s="198"/>
    </row>
    <row r="29" spans="1:21" s="12" customFormat="1" x14ac:dyDescent="0.25">
      <c r="A29" s="214" t="s">
        <v>1418</v>
      </c>
      <c r="B29" s="64">
        <v>30</v>
      </c>
      <c r="C29" s="64">
        <v>20.100000000000001</v>
      </c>
      <c r="D29" s="64">
        <v>36.44</v>
      </c>
      <c r="E29" s="64">
        <v>0.34</v>
      </c>
      <c r="F29" s="64">
        <v>0.33</v>
      </c>
      <c r="G29" s="216" t="s">
        <v>42</v>
      </c>
      <c r="H29" s="216" t="s">
        <v>42</v>
      </c>
      <c r="I29" s="64">
        <v>1.48</v>
      </c>
      <c r="J29" s="64">
        <v>0.08</v>
      </c>
      <c r="K29" s="64">
        <v>276.23</v>
      </c>
      <c r="L29" s="64">
        <v>21.62</v>
      </c>
      <c r="M29" s="64">
        <v>98.9</v>
      </c>
      <c r="N29" s="64">
        <v>8.9</v>
      </c>
      <c r="O29" s="64">
        <v>0</v>
      </c>
      <c r="P29" s="64">
        <v>1.08</v>
      </c>
      <c r="Q29" s="64">
        <v>7.72</v>
      </c>
      <c r="R29" s="198"/>
      <c r="S29" s="198"/>
      <c r="T29" s="198"/>
      <c r="U29" s="198"/>
    </row>
    <row r="30" spans="1:21" s="12" customFormat="1" x14ac:dyDescent="0.25">
      <c r="A30" s="214" t="s">
        <v>1419</v>
      </c>
      <c r="B30" s="64">
        <v>39.25</v>
      </c>
      <c r="C30" s="64">
        <v>23.66</v>
      </c>
      <c r="D30" s="64">
        <v>45.83</v>
      </c>
      <c r="E30" s="64">
        <v>0.48</v>
      </c>
      <c r="F30" s="64">
        <v>0.28000000000000003</v>
      </c>
      <c r="G30" s="216" t="s">
        <v>42</v>
      </c>
      <c r="H30" s="216" t="s">
        <v>42</v>
      </c>
      <c r="I30" s="64">
        <v>1.5</v>
      </c>
      <c r="J30" s="64">
        <v>0.05</v>
      </c>
      <c r="K30" s="64">
        <v>342.39</v>
      </c>
      <c r="L30" s="64">
        <v>21.6</v>
      </c>
      <c r="M30" s="64">
        <v>98.9</v>
      </c>
      <c r="N30" s="64">
        <v>9</v>
      </c>
      <c r="O30" s="64">
        <v>0</v>
      </c>
      <c r="P30" s="64">
        <v>1.02</v>
      </c>
      <c r="Q30" s="64">
        <v>7.08</v>
      </c>
      <c r="R30" s="198"/>
      <c r="S30" s="198"/>
      <c r="T30" s="198"/>
      <c r="U30" s="198"/>
    </row>
    <row r="31" spans="1:21" s="12" customFormat="1" x14ac:dyDescent="0.25">
      <c r="A31" s="214" t="s">
        <v>1420</v>
      </c>
      <c r="B31" s="64">
        <v>32.020000000000003</v>
      </c>
      <c r="C31" s="64">
        <v>25.39</v>
      </c>
      <c r="D31" s="64">
        <v>40.98</v>
      </c>
      <c r="E31" s="64">
        <v>0.33</v>
      </c>
      <c r="F31" s="64">
        <v>0.23</v>
      </c>
      <c r="G31" s="64">
        <v>70.56</v>
      </c>
      <c r="H31" s="64">
        <v>68.58</v>
      </c>
      <c r="I31" s="64">
        <v>1.53</v>
      </c>
      <c r="J31" s="6" t="s">
        <v>42</v>
      </c>
      <c r="K31" s="64">
        <v>202.55</v>
      </c>
      <c r="L31" s="64">
        <v>21.56</v>
      </c>
      <c r="M31" s="64">
        <v>98.9</v>
      </c>
      <c r="N31" s="64">
        <v>9.4</v>
      </c>
      <c r="O31" s="64">
        <v>0</v>
      </c>
      <c r="P31" s="64">
        <v>0.86</v>
      </c>
      <c r="Q31" s="64">
        <v>7.09</v>
      </c>
      <c r="R31" s="198"/>
      <c r="S31" s="198"/>
      <c r="T31" s="198"/>
      <c r="U31" s="198"/>
    </row>
    <row r="32" spans="1:21" s="12" customFormat="1" x14ac:dyDescent="0.25">
      <c r="A32" s="214" t="s">
        <v>1421</v>
      </c>
      <c r="B32" s="64">
        <v>41.21</v>
      </c>
      <c r="C32" s="64">
        <v>16.73</v>
      </c>
      <c r="D32" s="64">
        <v>43.58</v>
      </c>
      <c r="E32" s="64">
        <v>0.4</v>
      </c>
      <c r="F32" s="64">
        <v>0.59</v>
      </c>
      <c r="G32" s="64">
        <v>80.42</v>
      </c>
      <c r="H32" s="64">
        <v>35.72</v>
      </c>
      <c r="I32" s="64">
        <v>1.48</v>
      </c>
      <c r="J32" s="64">
        <v>0.05</v>
      </c>
      <c r="K32" s="64">
        <v>108.68</v>
      </c>
      <c r="L32" s="64">
        <v>21.58</v>
      </c>
      <c r="M32" s="64">
        <v>98.9</v>
      </c>
      <c r="N32" s="64">
        <v>14</v>
      </c>
      <c r="O32" s="64">
        <v>0</v>
      </c>
      <c r="P32" s="64">
        <v>1.1399999999999999</v>
      </c>
      <c r="Q32" s="64">
        <v>7.07</v>
      </c>
      <c r="R32" s="198"/>
      <c r="S32" s="198"/>
      <c r="T32" s="198"/>
      <c r="U32" s="198"/>
    </row>
    <row r="33" spans="1:21" s="12" customFormat="1" x14ac:dyDescent="0.25">
      <c r="A33" s="214" t="s">
        <v>1422</v>
      </c>
      <c r="B33" s="64">
        <v>41.37</v>
      </c>
      <c r="C33" s="64">
        <v>26.85</v>
      </c>
      <c r="D33" s="64">
        <v>49.29</v>
      </c>
      <c r="E33" s="64">
        <v>0.43</v>
      </c>
      <c r="F33" s="64">
        <v>0.51</v>
      </c>
      <c r="G33" s="64">
        <v>80.42</v>
      </c>
      <c r="H33" s="64">
        <v>35.72</v>
      </c>
      <c r="I33" s="64">
        <v>1.55</v>
      </c>
      <c r="J33" s="64">
        <v>0.05</v>
      </c>
      <c r="K33" s="64">
        <v>186.13</v>
      </c>
      <c r="L33" s="64">
        <v>21.95</v>
      </c>
      <c r="M33" s="64">
        <v>98.88</v>
      </c>
      <c r="N33" s="64">
        <v>27.6</v>
      </c>
      <c r="O33" s="64">
        <v>0</v>
      </c>
      <c r="P33" s="64">
        <v>1.03</v>
      </c>
      <c r="Q33" s="64">
        <v>7.05</v>
      </c>
      <c r="R33" s="198"/>
      <c r="S33" s="198"/>
      <c r="T33" s="198"/>
      <c r="U33" s="198"/>
    </row>
    <row r="34" spans="1:21" s="12" customFormat="1" x14ac:dyDescent="0.25">
      <c r="A34" s="214" t="s">
        <v>1423</v>
      </c>
      <c r="B34" s="64">
        <v>52.76</v>
      </c>
      <c r="C34" s="64">
        <v>41.14</v>
      </c>
      <c r="D34" s="64">
        <v>66.31</v>
      </c>
      <c r="E34" s="64">
        <v>0.48</v>
      </c>
      <c r="F34" s="64">
        <v>0.48</v>
      </c>
      <c r="G34" s="64">
        <v>80.42</v>
      </c>
      <c r="H34" s="64">
        <v>35.72</v>
      </c>
      <c r="I34" s="64">
        <v>1.48</v>
      </c>
      <c r="J34" s="64">
        <v>0.08</v>
      </c>
      <c r="K34" s="64">
        <v>279.16000000000003</v>
      </c>
      <c r="L34" s="64">
        <v>22.15</v>
      </c>
      <c r="M34" s="64">
        <v>98.89</v>
      </c>
      <c r="N34" s="64">
        <v>42.8</v>
      </c>
      <c r="O34" s="64">
        <v>0</v>
      </c>
      <c r="P34" s="64">
        <v>1.2</v>
      </c>
      <c r="Q34" s="64">
        <v>5.72</v>
      </c>
      <c r="R34" s="198"/>
      <c r="S34" s="198"/>
      <c r="T34" s="198"/>
      <c r="U34" s="198"/>
    </row>
    <row r="35" spans="1:21" s="12" customFormat="1" x14ac:dyDescent="0.25">
      <c r="A35" s="214" t="s">
        <v>1424</v>
      </c>
      <c r="B35" s="64">
        <v>46.77</v>
      </c>
      <c r="C35" s="64">
        <v>22.86</v>
      </c>
      <c r="D35" s="64">
        <v>51.41</v>
      </c>
      <c r="E35" s="64">
        <v>0.45</v>
      </c>
      <c r="F35" s="64">
        <v>1.83</v>
      </c>
      <c r="G35" s="64">
        <v>84.62</v>
      </c>
      <c r="H35" s="64">
        <v>41.45</v>
      </c>
      <c r="I35" s="64">
        <v>1.45</v>
      </c>
      <c r="J35" s="64">
        <v>0.11</v>
      </c>
      <c r="K35" s="64">
        <v>225.42</v>
      </c>
      <c r="L35" s="64">
        <v>22.44</v>
      </c>
      <c r="M35" s="64">
        <v>98.88</v>
      </c>
      <c r="N35" s="64">
        <v>69.400000000000006</v>
      </c>
      <c r="O35" s="64">
        <v>0</v>
      </c>
      <c r="P35" s="64">
        <v>1.1399999999999999</v>
      </c>
      <c r="Q35" s="64">
        <v>6.64</v>
      </c>
      <c r="R35" s="198"/>
      <c r="S35" s="198"/>
      <c r="T35" s="198"/>
      <c r="U35" s="198"/>
    </row>
    <row r="36" spans="1:21" s="12" customFormat="1" x14ac:dyDescent="0.25">
      <c r="A36" s="214" t="s">
        <v>1425</v>
      </c>
      <c r="B36" s="64">
        <v>41.32</v>
      </c>
      <c r="C36" s="64">
        <v>14.27</v>
      </c>
      <c r="D36" s="64">
        <v>42.3</v>
      </c>
      <c r="E36" s="64">
        <v>0.44</v>
      </c>
      <c r="F36" s="64">
        <v>1.18</v>
      </c>
      <c r="G36" s="64">
        <v>105.64</v>
      </c>
      <c r="H36" s="64">
        <v>68.5</v>
      </c>
      <c r="I36" s="64">
        <v>1.47</v>
      </c>
      <c r="J36" s="64">
        <v>0.09</v>
      </c>
      <c r="K36" s="64">
        <v>221.72</v>
      </c>
      <c r="L36" s="64">
        <v>22.53</v>
      </c>
      <c r="M36" s="64">
        <v>98.85</v>
      </c>
      <c r="N36" s="64">
        <v>102</v>
      </c>
      <c r="O36" s="64">
        <v>0</v>
      </c>
      <c r="P36" s="64">
        <v>1.1299999999999999</v>
      </c>
      <c r="Q36" s="64">
        <v>7.89</v>
      </c>
      <c r="R36" s="198"/>
      <c r="S36" s="198"/>
      <c r="T36" s="198"/>
      <c r="U36" s="198"/>
    </row>
    <row r="37" spans="1:21" s="12" customFormat="1" x14ac:dyDescent="0.25">
      <c r="A37" s="214" t="s">
        <v>1426</v>
      </c>
      <c r="B37" s="64">
        <v>33.590000000000003</v>
      </c>
      <c r="C37" s="64">
        <v>14.53</v>
      </c>
      <c r="D37" s="64">
        <v>36.25</v>
      </c>
      <c r="E37" s="64">
        <v>0.47</v>
      </c>
      <c r="F37" s="64">
        <v>0.41</v>
      </c>
      <c r="G37" s="64">
        <v>105.64</v>
      </c>
      <c r="H37" s="64">
        <v>68.5</v>
      </c>
      <c r="I37" s="64">
        <v>1.45</v>
      </c>
      <c r="J37" s="64">
        <v>0.26</v>
      </c>
      <c r="K37" s="64">
        <v>188.73</v>
      </c>
      <c r="L37" s="64">
        <v>22.98</v>
      </c>
      <c r="M37" s="64">
        <v>97.99</v>
      </c>
      <c r="N37" s="64">
        <v>185.5</v>
      </c>
      <c r="O37" s="64">
        <v>0</v>
      </c>
      <c r="P37" s="64">
        <v>1.08</v>
      </c>
      <c r="Q37" s="64">
        <v>8.11</v>
      </c>
      <c r="R37" s="198"/>
      <c r="S37" s="198"/>
      <c r="T37" s="198"/>
      <c r="U37" s="198"/>
    </row>
    <row r="38" spans="1:21" s="12" customFormat="1" x14ac:dyDescent="0.25">
      <c r="A38" s="214" t="s">
        <v>1427</v>
      </c>
      <c r="B38" s="64">
        <v>34.49</v>
      </c>
      <c r="C38" s="64">
        <v>13.82</v>
      </c>
      <c r="D38" s="64">
        <v>36.58</v>
      </c>
      <c r="E38" s="64">
        <v>0.43</v>
      </c>
      <c r="F38" s="64">
        <v>1.3</v>
      </c>
      <c r="G38" s="64">
        <v>105.64</v>
      </c>
      <c r="H38" s="64">
        <v>68.5</v>
      </c>
      <c r="I38" s="64">
        <v>1.42</v>
      </c>
      <c r="J38" s="64">
        <v>0.64</v>
      </c>
      <c r="K38" s="64">
        <v>147.99</v>
      </c>
      <c r="L38" s="64">
        <v>23.55</v>
      </c>
      <c r="M38" s="64">
        <v>95.67</v>
      </c>
      <c r="N38" s="64">
        <v>224.9</v>
      </c>
      <c r="O38" s="64">
        <v>0</v>
      </c>
      <c r="P38" s="64">
        <v>1.17</v>
      </c>
      <c r="Q38" s="64">
        <v>8.11</v>
      </c>
      <c r="R38" s="198"/>
      <c r="S38" s="198"/>
      <c r="T38" s="198"/>
      <c r="U38" s="198"/>
    </row>
    <row r="39" spans="1:21" s="12" customFormat="1" x14ac:dyDescent="0.25">
      <c r="A39" s="214" t="s">
        <v>1428</v>
      </c>
      <c r="B39" s="64">
        <v>29.62</v>
      </c>
      <c r="C39" s="64">
        <v>15.24</v>
      </c>
      <c r="D39" s="64">
        <v>33.46</v>
      </c>
      <c r="E39" s="64">
        <v>0.44</v>
      </c>
      <c r="F39" s="64">
        <v>2.12</v>
      </c>
      <c r="G39" s="64">
        <v>102.64</v>
      </c>
      <c r="H39" s="64">
        <v>54.91</v>
      </c>
      <c r="I39" s="64">
        <v>1.49</v>
      </c>
      <c r="J39" s="64">
        <v>0.28999999999999998</v>
      </c>
      <c r="K39" s="64">
        <v>163.65</v>
      </c>
      <c r="L39" s="64">
        <v>24.41</v>
      </c>
      <c r="M39" s="64">
        <v>91.04</v>
      </c>
      <c r="N39" s="64">
        <v>306.8</v>
      </c>
      <c r="O39" s="64">
        <v>0</v>
      </c>
      <c r="P39" s="64">
        <v>1.0900000000000001</v>
      </c>
      <c r="Q39" s="64">
        <v>8.0399999999999991</v>
      </c>
      <c r="R39" s="198"/>
      <c r="S39" s="198"/>
      <c r="T39" s="198"/>
      <c r="U39" s="198"/>
    </row>
    <row r="40" spans="1:21" s="12" customFormat="1" x14ac:dyDescent="0.25">
      <c r="A40" s="214" t="s">
        <v>1429</v>
      </c>
      <c r="B40" s="64">
        <v>29.51</v>
      </c>
      <c r="C40" s="64">
        <v>14.45</v>
      </c>
      <c r="D40" s="64">
        <v>32.93</v>
      </c>
      <c r="E40" s="64">
        <v>0.16</v>
      </c>
      <c r="F40" s="64">
        <v>2.54</v>
      </c>
      <c r="G40" s="64">
        <v>87.63</v>
      </c>
      <c r="H40" s="64">
        <v>7.8</v>
      </c>
      <c r="I40" s="64">
        <v>1.46</v>
      </c>
      <c r="J40" s="64">
        <v>0.32</v>
      </c>
      <c r="K40" s="64">
        <v>152.31</v>
      </c>
      <c r="L40" s="64">
        <v>25.7</v>
      </c>
      <c r="M40" s="64">
        <v>83.8</v>
      </c>
      <c r="N40" s="64">
        <v>249.3</v>
      </c>
      <c r="O40" s="64">
        <v>0</v>
      </c>
      <c r="P40" s="64">
        <v>1.1000000000000001</v>
      </c>
      <c r="Q40" s="64">
        <v>8.0299999999999994</v>
      </c>
      <c r="R40" s="198"/>
      <c r="S40" s="198"/>
      <c r="T40" s="198"/>
      <c r="U40" s="198"/>
    </row>
    <row r="41" spans="1:21" s="12" customFormat="1" x14ac:dyDescent="0.25">
      <c r="A41" s="214" t="s">
        <v>1430</v>
      </c>
      <c r="B41" s="64">
        <v>27.05</v>
      </c>
      <c r="C41" s="64">
        <v>17.72</v>
      </c>
      <c r="D41" s="64">
        <v>32.770000000000003</v>
      </c>
      <c r="E41" s="64">
        <v>0.28000000000000003</v>
      </c>
      <c r="F41" s="64">
        <v>2.56</v>
      </c>
      <c r="G41" s="64">
        <v>87.63</v>
      </c>
      <c r="H41" s="64">
        <v>7.8</v>
      </c>
      <c r="I41" s="64">
        <v>1.49</v>
      </c>
      <c r="J41" s="64">
        <v>0.52</v>
      </c>
      <c r="K41" s="64">
        <v>136.24</v>
      </c>
      <c r="L41" s="64">
        <v>26.57</v>
      </c>
      <c r="M41" s="64">
        <v>77.27</v>
      </c>
      <c r="N41" s="216" t="s">
        <v>42</v>
      </c>
      <c r="O41" s="64">
        <v>0</v>
      </c>
      <c r="P41" s="64">
        <v>1.03</v>
      </c>
      <c r="Q41" s="64">
        <v>7.96</v>
      </c>
      <c r="R41" s="198"/>
      <c r="S41" s="198"/>
      <c r="T41" s="198"/>
      <c r="U41" s="198"/>
    </row>
    <row r="42" spans="1:21" s="12" customFormat="1" x14ac:dyDescent="0.25">
      <c r="A42" s="214" t="s">
        <v>1431</v>
      </c>
      <c r="B42" s="64">
        <v>23.7</v>
      </c>
      <c r="C42" s="64">
        <v>17.57</v>
      </c>
      <c r="D42" s="64">
        <v>29.99</v>
      </c>
      <c r="E42" s="64">
        <v>0.3</v>
      </c>
      <c r="F42" s="64">
        <v>6.61</v>
      </c>
      <c r="G42" s="64">
        <v>87.63</v>
      </c>
      <c r="H42" s="64">
        <v>7.8</v>
      </c>
      <c r="I42" s="64">
        <v>1.44</v>
      </c>
      <c r="J42" s="64">
        <v>0.49</v>
      </c>
      <c r="K42" s="64">
        <v>151.4</v>
      </c>
      <c r="L42" s="64">
        <v>27.48</v>
      </c>
      <c r="M42" s="64">
        <v>70.84</v>
      </c>
      <c r="N42" s="216" t="s">
        <v>42</v>
      </c>
      <c r="O42" s="64">
        <v>0</v>
      </c>
      <c r="P42" s="64">
        <v>0.97</v>
      </c>
      <c r="Q42" s="64">
        <v>7.85</v>
      </c>
      <c r="R42" s="198"/>
      <c r="S42" s="198"/>
      <c r="T42" s="198"/>
      <c r="U42" s="198"/>
    </row>
    <row r="43" spans="1:21" s="12" customFormat="1" x14ac:dyDescent="0.25">
      <c r="A43" s="214" t="s">
        <v>1432</v>
      </c>
      <c r="B43" s="64">
        <v>23.34</v>
      </c>
      <c r="C43" s="64">
        <v>16.649999999999999</v>
      </c>
      <c r="D43" s="64">
        <v>29.2</v>
      </c>
      <c r="E43" s="64">
        <v>0.28999999999999998</v>
      </c>
      <c r="F43" s="64">
        <v>6.5</v>
      </c>
      <c r="G43" s="64">
        <v>86.49</v>
      </c>
      <c r="H43" s="64">
        <v>6.27</v>
      </c>
      <c r="I43" s="64">
        <v>1.49</v>
      </c>
      <c r="J43" s="64">
        <v>0.31</v>
      </c>
      <c r="K43" s="64">
        <v>146.59</v>
      </c>
      <c r="L43" s="64">
        <v>27.61</v>
      </c>
      <c r="M43" s="64">
        <v>67.17</v>
      </c>
      <c r="N43" s="64">
        <v>223.7</v>
      </c>
      <c r="O43" s="64">
        <v>0</v>
      </c>
      <c r="P43" s="64">
        <v>0.97</v>
      </c>
      <c r="Q43" s="64">
        <v>7.8</v>
      </c>
      <c r="R43" s="198"/>
      <c r="S43" s="198"/>
      <c r="T43" s="198"/>
      <c r="U43" s="198"/>
    </row>
    <row r="44" spans="1:21" s="12" customFormat="1" x14ac:dyDescent="0.25">
      <c r="A44" s="214" t="s">
        <v>1433</v>
      </c>
      <c r="B44" s="64">
        <v>26.57</v>
      </c>
      <c r="C44" s="64">
        <v>14.42</v>
      </c>
      <c r="D44" s="64">
        <v>30.56</v>
      </c>
      <c r="E44" s="64">
        <v>0.25</v>
      </c>
      <c r="F44" s="64">
        <v>2.2000000000000002</v>
      </c>
      <c r="G44" s="64">
        <v>81.180000000000007</v>
      </c>
      <c r="H44" s="64">
        <v>0.94</v>
      </c>
      <c r="I44" s="64">
        <v>1.41</v>
      </c>
      <c r="J44" s="64">
        <v>0.36</v>
      </c>
      <c r="K44" s="64">
        <v>118.44</v>
      </c>
      <c r="L44" s="64">
        <v>29.45</v>
      </c>
      <c r="M44" s="64">
        <v>60.29</v>
      </c>
      <c r="N44" s="64">
        <v>556.29999999999995</v>
      </c>
      <c r="O44" s="64">
        <v>0</v>
      </c>
      <c r="P44" s="64">
        <v>1.05</v>
      </c>
      <c r="Q44" s="64">
        <v>7.49</v>
      </c>
      <c r="R44" s="198"/>
      <c r="S44" s="198"/>
      <c r="T44" s="198"/>
      <c r="U44" s="198"/>
    </row>
    <row r="45" spans="1:21" s="12" customFormat="1" x14ac:dyDescent="0.25">
      <c r="A45" s="214" t="s">
        <v>1434</v>
      </c>
      <c r="B45" s="64">
        <v>19.63</v>
      </c>
      <c r="C45" s="64">
        <v>20.53</v>
      </c>
      <c r="D45" s="64">
        <v>28.36</v>
      </c>
      <c r="E45" s="64">
        <v>0.32</v>
      </c>
      <c r="F45" s="64">
        <v>7.03</v>
      </c>
      <c r="G45" s="64">
        <v>81.180000000000007</v>
      </c>
      <c r="H45" s="64">
        <v>0.94</v>
      </c>
      <c r="I45" s="64">
        <v>1.45</v>
      </c>
      <c r="J45" s="64">
        <v>0.38</v>
      </c>
      <c r="K45" s="64">
        <v>153.38</v>
      </c>
      <c r="L45" s="64">
        <v>29.39</v>
      </c>
      <c r="M45" s="64">
        <v>57.78</v>
      </c>
      <c r="N45" s="64">
        <v>611.1</v>
      </c>
      <c r="O45" s="64">
        <v>0</v>
      </c>
      <c r="P45" s="64">
        <v>0.94</v>
      </c>
      <c r="Q45" s="64">
        <v>7.26</v>
      </c>
      <c r="R45" s="198"/>
      <c r="S45" s="198"/>
      <c r="T45" s="198"/>
      <c r="U45" s="198"/>
    </row>
    <row r="46" spans="1:21" s="12" customFormat="1" x14ac:dyDescent="0.25">
      <c r="A46" s="214" t="s">
        <v>1435</v>
      </c>
      <c r="B46" s="64">
        <v>18.23</v>
      </c>
      <c r="C46" s="64">
        <v>19.45</v>
      </c>
      <c r="D46" s="64">
        <v>26.64</v>
      </c>
      <c r="E46" s="64">
        <v>0.28999999999999998</v>
      </c>
      <c r="F46" s="64">
        <v>7.56</v>
      </c>
      <c r="G46" s="64">
        <v>81.180000000000007</v>
      </c>
      <c r="H46" s="64">
        <v>0.94</v>
      </c>
      <c r="I46" s="64">
        <v>1.51</v>
      </c>
      <c r="J46" s="64">
        <v>0.81</v>
      </c>
      <c r="K46" s="64">
        <v>146.72</v>
      </c>
      <c r="L46" s="64">
        <v>29.43</v>
      </c>
      <c r="M46" s="64">
        <v>56.87</v>
      </c>
      <c r="N46" s="64">
        <v>654</v>
      </c>
      <c r="O46" s="64">
        <v>0</v>
      </c>
      <c r="P46" s="64">
        <v>0.93</v>
      </c>
      <c r="Q46" s="64">
        <v>7.06</v>
      </c>
      <c r="R46" s="198"/>
      <c r="S46" s="198"/>
      <c r="T46" s="198"/>
      <c r="U46" s="198"/>
    </row>
    <row r="47" spans="1:21" s="12" customFormat="1" x14ac:dyDescent="0.25">
      <c r="A47" s="214" t="s">
        <v>1436</v>
      </c>
      <c r="B47" s="64">
        <v>15.71</v>
      </c>
      <c r="C47" s="64">
        <v>17.87</v>
      </c>
      <c r="D47" s="64">
        <v>23.75</v>
      </c>
      <c r="E47" s="64">
        <v>0.28000000000000003</v>
      </c>
      <c r="F47" s="64">
        <v>9.9700000000000006</v>
      </c>
      <c r="G47" s="64">
        <v>82.34</v>
      </c>
      <c r="H47" s="64">
        <v>0.78</v>
      </c>
      <c r="I47" s="64">
        <v>1.41</v>
      </c>
      <c r="J47" s="64">
        <v>0.66</v>
      </c>
      <c r="K47" s="64">
        <v>145.63999999999999</v>
      </c>
      <c r="L47" s="64">
        <v>29.38</v>
      </c>
      <c r="M47" s="64">
        <v>58.47</v>
      </c>
      <c r="N47" s="64">
        <v>691.6</v>
      </c>
      <c r="O47" s="64">
        <v>0</v>
      </c>
      <c r="P47" s="64">
        <v>0.89</v>
      </c>
      <c r="Q47" s="64">
        <v>7</v>
      </c>
      <c r="R47" s="198"/>
      <c r="S47" s="198"/>
      <c r="T47" s="198"/>
      <c r="U47" s="198"/>
    </row>
    <row r="48" spans="1:21" s="12" customFormat="1" x14ac:dyDescent="0.25">
      <c r="A48" s="214" t="s">
        <v>1437</v>
      </c>
      <c r="B48" s="64">
        <v>14.51</v>
      </c>
      <c r="C48" s="64">
        <v>16.760000000000002</v>
      </c>
      <c r="D48" s="64">
        <v>22.18</v>
      </c>
      <c r="E48" s="64">
        <v>0.32</v>
      </c>
      <c r="F48" s="64">
        <v>9.85</v>
      </c>
      <c r="G48" s="64">
        <v>88.17</v>
      </c>
      <c r="H48" s="64">
        <v>0.13</v>
      </c>
      <c r="I48" s="64">
        <v>1.52</v>
      </c>
      <c r="J48" s="64">
        <v>1.1499999999999999</v>
      </c>
      <c r="K48" s="64">
        <v>137.13999999999999</v>
      </c>
      <c r="L48" s="64">
        <v>29.03</v>
      </c>
      <c r="M48" s="64">
        <v>60.49</v>
      </c>
      <c r="N48" s="64">
        <v>736.3</v>
      </c>
      <c r="O48" s="64">
        <v>0</v>
      </c>
      <c r="P48" s="64">
        <v>0.92</v>
      </c>
      <c r="Q48" s="64">
        <v>6.9</v>
      </c>
      <c r="R48" s="198"/>
      <c r="S48" s="198"/>
      <c r="T48" s="198"/>
      <c r="U48" s="198"/>
    </row>
    <row r="49" spans="1:21" s="12" customFormat="1" x14ac:dyDescent="0.25">
      <c r="A49" s="214" t="s">
        <v>1438</v>
      </c>
      <c r="B49" s="64">
        <v>13.33</v>
      </c>
      <c r="C49" s="64">
        <v>17.39</v>
      </c>
      <c r="D49" s="64">
        <v>21.58</v>
      </c>
      <c r="E49" s="64">
        <v>0.32</v>
      </c>
      <c r="F49" s="64">
        <v>13.35</v>
      </c>
      <c r="G49" s="64">
        <v>88.17</v>
      </c>
      <c r="H49" s="64">
        <v>0.13</v>
      </c>
      <c r="I49" s="64">
        <v>1.46</v>
      </c>
      <c r="J49" s="64">
        <v>0.89</v>
      </c>
      <c r="K49" s="64">
        <v>141.55000000000001</v>
      </c>
      <c r="L49" s="64">
        <v>29.51</v>
      </c>
      <c r="M49" s="64">
        <v>60.16</v>
      </c>
      <c r="N49" s="64">
        <v>140.80000000000001</v>
      </c>
      <c r="O49" s="64">
        <v>0</v>
      </c>
      <c r="P49" s="64">
        <v>0.84</v>
      </c>
      <c r="Q49" s="64">
        <v>6.58</v>
      </c>
      <c r="R49" s="198"/>
      <c r="S49" s="198"/>
      <c r="T49" s="198"/>
      <c r="U49" s="198"/>
    </row>
    <row r="50" spans="1:21" s="12" customFormat="1" x14ac:dyDescent="0.25">
      <c r="A50" s="214" t="s">
        <v>1439</v>
      </c>
      <c r="B50" s="64">
        <v>11.28</v>
      </c>
      <c r="C50" s="64">
        <v>14.54</v>
      </c>
      <c r="D50" s="64">
        <v>18.36</v>
      </c>
      <c r="E50" s="64">
        <v>0.32</v>
      </c>
      <c r="F50" s="64">
        <v>7.65</v>
      </c>
      <c r="G50" s="64">
        <v>88.17</v>
      </c>
      <c r="H50" s="64">
        <v>0.13</v>
      </c>
      <c r="I50" s="64">
        <v>1.46</v>
      </c>
      <c r="J50" s="64">
        <v>0.57999999999999996</v>
      </c>
      <c r="K50" s="64">
        <v>149.41</v>
      </c>
      <c r="L50" s="64">
        <v>29.76</v>
      </c>
      <c r="M50" s="64">
        <v>57.34</v>
      </c>
      <c r="N50" s="216" t="s">
        <v>42</v>
      </c>
      <c r="O50" s="64">
        <v>0</v>
      </c>
      <c r="P50" s="64">
        <v>0.85</v>
      </c>
      <c r="Q50" s="64">
        <v>6.52</v>
      </c>
      <c r="R50" s="198"/>
      <c r="S50" s="198"/>
      <c r="T50" s="198"/>
      <c r="U50" s="198"/>
    </row>
    <row r="51" spans="1:21" s="12" customFormat="1" x14ac:dyDescent="0.25">
      <c r="A51" s="214" t="s">
        <v>1440</v>
      </c>
      <c r="B51" s="64">
        <v>12.01</v>
      </c>
      <c r="C51" s="64">
        <v>15.74</v>
      </c>
      <c r="D51" s="64">
        <v>19.61</v>
      </c>
      <c r="E51" s="64">
        <v>0.35</v>
      </c>
      <c r="F51" s="64">
        <v>3.1</v>
      </c>
      <c r="G51" s="64">
        <v>87.3</v>
      </c>
      <c r="H51" s="64">
        <v>29.26</v>
      </c>
      <c r="I51" s="64">
        <v>1.53</v>
      </c>
      <c r="J51" s="64">
        <v>0.13</v>
      </c>
      <c r="K51" s="64">
        <v>9.3800000000000008</v>
      </c>
      <c r="L51" s="64">
        <v>30.86</v>
      </c>
      <c r="M51" s="64">
        <v>53.26</v>
      </c>
      <c r="N51" s="216" t="s">
        <v>42</v>
      </c>
      <c r="O51" s="64">
        <v>0</v>
      </c>
      <c r="P51" s="64">
        <v>0.9</v>
      </c>
      <c r="Q51" s="64">
        <v>6.09</v>
      </c>
      <c r="R51" s="198"/>
      <c r="S51" s="198"/>
      <c r="T51" s="198"/>
      <c r="U51" s="198"/>
    </row>
    <row r="52" spans="1:21" s="12" customFormat="1" x14ac:dyDescent="0.25">
      <c r="A52" s="214" t="s">
        <v>1441</v>
      </c>
      <c r="B52" s="64">
        <v>6.97</v>
      </c>
      <c r="C52" s="64">
        <v>20.38</v>
      </c>
      <c r="D52" s="64">
        <v>18.13</v>
      </c>
      <c r="E52" s="64">
        <v>0.36</v>
      </c>
      <c r="F52" s="64">
        <v>9.34</v>
      </c>
      <c r="G52" s="216" t="s">
        <v>42</v>
      </c>
      <c r="H52" s="216" t="s">
        <v>42</v>
      </c>
      <c r="I52" s="64">
        <v>1.49</v>
      </c>
      <c r="J52" s="64">
        <v>0.64</v>
      </c>
      <c r="K52" s="64">
        <v>140.22999999999999</v>
      </c>
      <c r="L52" s="64">
        <v>30.95</v>
      </c>
      <c r="M52" s="64">
        <v>51.92</v>
      </c>
      <c r="N52" s="216" t="s">
        <v>42</v>
      </c>
      <c r="O52" s="64">
        <v>0</v>
      </c>
      <c r="P52" s="64">
        <v>0.77</v>
      </c>
      <c r="Q52" s="64">
        <v>5.62</v>
      </c>
      <c r="R52" s="198"/>
      <c r="S52" s="198"/>
      <c r="T52" s="198"/>
      <c r="U52" s="198"/>
    </row>
    <row r="53" spans="1:21" s="12" customFormat="1" x14ac:dyDescent="0.25">
      <c r="A53" s="214" t="s">
        <v>1442</v>
      </c>
      <c r="B53" s="64">
        <v>3.04</v>
      </c>
      <c r="C53" s="64">
        <v>18.45</v>
      </c>
      <c r="D53" s="64">
        <v>13.92</v>
      </c>
      <c r="E53" s="64">
        <v>0.4</v>
      </c>
      <c r="F53" s="64">
        <v>4.6900000000000004</v>
      </c>
      <c r="G53" s="216" t="s">
        <v>42</v>
      </c>
      <c r="H53" s="216" t="s">
        <v>42</v>
      </c>
      <c r="I53" s="64">
        <v>1.51</v>
      </c>
      <c r="J53" s="64">
        <v>0.62</v>
      </c>
      <c r="K53" s="64">
        <v>136.56</v>
      </c>
      <c r="L53" s="64">
        <v>30.24</v>
      </c>
      <c r="M53" s="64">
        <v>52.47</v>
      </c>
      <c r="N53" s="216" t="s">
        <v>42</v>
      </c>
      <c r="O53" s="64">
        <v>0</v>
      </c>
      <c r="P53" s="64">
        <v>0.71</v>
      </c>
      <c r="Q53" s="64">
        <v>5.29</v>
      </c>
      <c r="R53" s="198"/>
      <c r="S53" s="198"/>
      <c r="T53" s="198"/>
      <c r="U53" s="198"/>
    </row>
    <row r="54" spans="1:21" s="12" customFormat="1" x14ac:dyDescent="0.25">
      <c r="A54" s="214" t="s">
        <v>1443</v>
      </c>
      <c r="B54" s="64">
        <v>2.33</v>
      </c>
      <c r="C54" s="64">
        <v>15.95</v>
      </c>
      <c r="D54" s="64">
        <v>11.96</v>
      </c>
      <c r="E54" s="64">
        <v>29.5</v>
      </c>
      <c r="F54" s="64">
        <v>7.47</v>
      </c>
      <c r="G54" s="216" t="s">
        <v>42</v>
      </c>
      <c r="H54" s="216" t="s">
        <v>42</v>
      </c>
      <c r="I54" s="64">
        <v>1.48</v>
      </c>
      <c r="J54" s="64">
        <v>0.9</v>
      </c>
      <c r="K54" s="64">
        <v>147.76</v>
      </c>
      <c r="L54" s="64">
        <v>29.97</v>
      </c>
      <c r="M54" s="64">
        <v>50.45</v>
      </c>
      <c r="N54" s="216" t="s">
        <v>42</v>
      </c>
      <c r="O54" s="64">
        <v>0</v>
      </c>
      <c r="P54" s="64">
        <v>0.65</v>
      </c>
      <c r="Q54" s="64">
        <v>5.13</v>
      </c>
      <c r="R54" s="198"/>
      <c r="S54" s="198"/>
      <c r="T54" s="198"/>
      <c r="U54" s="198"/>
    </row>
    <row r="55" spans="1:21" s="12" customFormat="1" x14ac:dyDescent="0.25">
      <c r="A55" s="214" t="s">
        <v>1444</v>
      </c>
      <c r="B55" s="64">
        <v>2.0099999999999998</v>
      </c>
      <c r="C55" s="64">
        <v>13.92</v>
      </c>
      <c r="D55" s="64">
        <v>10.58</v>
      </c>
      <c r="E55" s="64">
        <v>40.25</v>
      </c>
      <c r="F55" s="64">
        <v>8.14</v>
      </c>
      <c r="G55" s="216" t="s">
        <v>42</v>
      </c>
      <c r="H55" s="216" t="s">
        <v>42</v>
      </c>
      <c r="I55" s="64">
        <v>1.5</v>
      </c>
      <c r="J55" s="64">
        <v>0.53</v>
      </c>
      <c r="K55" s="64">
        <v>149.85</v>
      </c>
      <c r="L55" s="64">
        <v>30.43</v>
      </c>
      <c r="M55" s="64">
        <v>49.21</v>
      </c>
      <c r="N55" s="216" t="s">
        <v>42</v>
      </c>
      <c r="O55" s="64">
        <v>0</v>
      </c>
      <c r="P55" s="64">
        <v>0.59</v>
      </c>
      <c r="Q55" s="64">
        <v>5.12</v>
      </c>
      <c r="R55" s="198"/>
      <c r="S55" s="198"/>
      <c r="T55" s="198"/>
      <c r="U55" s="198"/>
    </row>
    <row r="56" spans="1:21" s="12" customFormat="1" x14ac:dyDescent="0.25">
      <c r="A56" s="214" t="s">
        <v>1445</v>
      </c>
      <c r="B56" s="64">
        <v>2</v>
      </c>
      <c r="C56" s="64">
        <v>12.69</v>
      </c>
      <c r="D56" s="64">
        <v>9.9</v>
      </c>
      <c r="E56" s="64">
        <v>30.78</v>
      </c>
      <c r="F56" s="64">
        <v>10.07</v>
      </c>
      <c r="G56" s="64">
        <v>72.47</v>
      </c>
      <c r="H56" s="64">
        <v>16.760000000000002</v>
      </c>
      <c r="I56" s="64">
        <v>1.53</v>
      </c>
      <c r="J56" s="64">
        <v>0.69</v>
      </c>
      <c r="K56" s="64">
        <v>147.18</v>
      </c>
      <c r="L56" s="64">
        <v>30.42</v>
      </c>
      <c r="M56" s="64">
        <v>50.92</v>
      </c>
      <c r="N56" s="216" t="s">
        <v>42</v>
      </c>
      <c r="O56" s="64">
        <v>0</v>
      </c>
      <c r="P56" s="64">
        <v>0.55000000000000004</v>
      </c>
      <c r="Q56" s="64">
        <v>5.09</v>
      </c>
      <c r="R56" s="198"/>
      <c r="S56" s="198"/>
      <c r="T56" s="198"/>
      <c r="U56" s="198"/>
    </row>
    <row r="57" spans="1:21" s="12" customFormat="1" x14ac:dyDescent="0.25">
      <c r="A57" s="214" t="s">
        <v>1446</v>
      </c>
      <c r="B57" s="64">
        <v>2</v>
      </c>
      <c r="C57" s="64">
        <v>11.75</v>
      </c>
      <c r="D57" s="64">
        <v>9.3800000000000008</v>
      </c>
      <c r="E57" s="64">
        <v>305.04000000000002</v>
      </c>
      <c r="F57" s="64">
        <v>7.29</v>
      </c>
      <c r="G57" s="64">
        <v>72.47</v>
      </c>
      <c r="H57" s="64">
        <v>16.760000000000002</v>
      </c>
      <c r="I57" s="64">
        <v>1.37</v>
      </c>
      <c r="J57" s="64">
        <v>0.63</v>
      </c>
      <c r="K57" s="64">
        <v>145.75</v>
      </c>
      <c r="L57" s="64">
        <v>29.99</v>
      </c>
      <c r="M57" s="64">
        <v>52.38</v>
      </c>
      <c r="N57" s="216" t="s">
        <v>42</v>
      </c>
      <c r="O57" s="64">
        <v>0</v>
      </c>
      <c r="P57" s="64">
        <v>0.52</v>
      </c>
      <c r="Q57" s="64">
        <v>5.0999999999999996</v>
      </c>
      <c r="R57" s="198"/>
      <c r="S57" s="198"/>
      <c r="T57" s="198"/>
      <c r="U57" s="198"/>
    </row>
    <row r="58" spans="1:21" s="12" customFormat="1" x14ac:dyDescent="0.25">
      <c r="A58" s="214" t="s">
        <v>1447</v>
      </c>
      <c r="B58" s="64">
        <v>2</v>
      </c>
      <c r="C58" s="64">
        <v>11.59</v>
      </c>
      <c r="D58" s="64">
        <v>9.2899999999999991</v>
      </c>
      <c r="E58" s="64">
        <v>609.1</v>
      </c>
      <c r="F58" s="64">
        <v>7.57</v>
      </c>
      <c r="G58" s="64">
        <v>72.47</v>
      </c>
      <c r="H58" s="64">
        <v>16.760000000000002</v>
      </c>
      <c r="I58" s="64">
        <v>1.49</v>
      </c>
      <c r="J58" s="64">
        <v>1</v>
      </c>
      <c r="K58" s="64">
        <v>144.16</v>
      </c>
      <c r="L58" s="64">
        <v>30.21</v>
      </c>
      <c r="M58" s="64">
        <v>51.34</v>
      </c>
      <c r="N58" s="216" t="s">
        <v>42</v>
      </c>
      <c r="O58" s="64">
        <v>0</v>
      </c>
      <c r="P58" s="64">
        <v>0.49</v>
      </c>
      <c r="Q58" s="64">
        <v>5.0999999999999996</v>
      </c>
      <c r="R58" s="198"/>
      <c r="S58" s="198"/>
      <c r="T58" s="198"/>
      <c r="U58" s="198"/>
    </row>
    <row r="59" spans="1:21" s="12" customFormat="1" x14ac:dyDescent="0.25">
      <c r="A59" s="214" t="s">
        <v>1448</v>
      </c>
      <c r="B59" s="64">
        <v>2</v>
      </c>
      <c r="C59" s="64">
        <v>11.54</v>
      </c>
      <c r="D59" s="64">
        <v>9.27</v>
      </c>
      <c r="E59" s="64">
        <v>333.26</v>
      </c>
      <c r="F59" s="64">
        <v>5.48</v>
      </c>
      <c r="G59" s="64">
        <v>69.260000000000005</v>
      </c>
      <c r="H59" s="64">
        <v>18.16</v>
      </c>
      <c r="I59" s="64">
        <v>1.54</v>
      </c>
      <c r="J59" s="64">
        <v>1.04</v>
      </c>
      <c r="K59" s="64">
        <v>149.07</v>
      </c>
      <c r="L59" s="64">
        <v>30.16</v>
      </c>
      <c r="M59" s="64">
        <v>50.24</v>
      </c>
      <c r="N59" s="216" t="s">
        <v>42</v>
      </c>
      <c r="O59" s="64">
        <v>0</v>
      </c>
      <c r="P59" s="64">
        <v>0.48</v>
      </c>
      <c r="Q59" s="64">
        <v>5.08</v>
      </c>
      <c r="R59" s="198"/>
      <c r="S59" s="198"/>
      <c r="T59" s="198"/>
      <c r="U59" s="198"/>
    </row>
    <row r="60" spans="1:21" s="12" customFormat="1" x14ac:dyDescent="0.25">
      <c r="A60" s="214" t="s">
        <v>1449</v>
      </c>
      <c r="B60" s="64">
        <v>2</v>
      </c>
      <c r="C60" s="64">
        <v>13.76</v>
      </c>
      <c r="D60" s="64">
        <v>10.49</v>
      </c>
      <c r="E60" s="64">
        <v>146.38999999999999</v>
      </c>
      <c r="F60" s="64">
        <v>12.5</v>
      </c>
      <c r="G60" s="64">
        <v>53.19</v>
      </c>
      <c r="H60" s="64">
        <v>25.44</v>
      </c>
      <c r="I60" s="64">
        <v>1.59</v>
      </c>
      <c r="J60" s="64">
        <v>1.17</v>
      </c>
      <c r="K60" s="64">
        <v>141.69999999999999</v>
      </c>
      <c r="L60" s="64">
        <v>30</v>
      </c>
      <c r="M60" s="64">
        <v>49.07</v>
      </c>
      <c r="N60" s="216" t="s">
        <v>42</v>
      </c>
      <c r="O60" s="64">
        <v>0</v>
      </c>
      <c r="P60" s="64">
        <v>0.44</v>
      </c>
      <c r="Q60" s="64">
        <v>5.03</v>
      </c>
      <c r="R60" s="198"/>
      <c r="S60" s="198"/>
      <c r="T60" s="198"/>
      <c r="U60" s="198"/>
    </row>
    <row r="61" spans="1:21" s="12" customFormat="1" x14ac:dyDescent="0.25">
      <c r="A61" s="214" t="s">
        <v>1450</v>
      </c>
      <c r="B61" s="64">
        <v>2</v>
      </c>
      <c r="C61" s="64">
        <v>12.36</v>
      </c>
      <c r="D61" s="64">
        <v>9.7200000000000006</v>
      </c>
      <c r="E61" s="64">
        <v>168.14</v>
      </c>
      <c r="F61" s="64">
        <v>14.24</v>
      </c>
      <c r="G61" s="64">
        <v>53.19</v>
      </c>
      <c r="H61" s="64">
        <v>25.44</v>
      </c>
      <c r="I61" s="64">
        <v>1.45</v>
      </c>
      <c r="J61" s="64">
        <v>0.11</v>
      </c>
      <c r="K61" s="64">
        <v>125.93</v>
      </c>
      <c r="L61" s="64">
        <v>30.34</v>
      </c>
      <c r="M61" s="64">
        <v>47.16</v>
      </c>
      <c r="N61" s="64">
        <v>223.5</v>
      </c>
      <c r="O61" s="64">
        <v>0</v>
      </c>
      <c r="P61" s="64">
        <v>0.4</v>
      </c>
      <c r="Q61" s="64">
        <v>5.13</v>
      </c>
      <c r="R61" s="198"/>
      <c r="S61" s="198"/>
      <c r="T61" s="198"/>
      <c r="U61" s="198"/>
    </row>
    <row r="62" spans="1:21" s="12" customFormat="1" x14ac:dyDescent="0.25">
      <c r="A62" s="214" t="s">
        <v>1451</v>
      </c>
      <c r="B62" s="64">
        <v>2</v>
      </c>
      <c r="C62" s="64">
        <v>11.15</v>
      </c>
      <c r="D62" s="64">
        <v>9.0500000000000007</v>
      </c>
      <c r="E62" s="64">
        <v>2.48</v>
      </c>
      <c r="F62" s="64">
        <v>13.09</v>
      </c>
      <c r="G62" s="64">
        <v>53.19</v>
      </c>
      <c r="H62" s="64">
        <v>25.44</v>
      </c>
      <c r="I62" s="64">
        <v>1.48</v>
      </c>
      <c r="J62" s="64">
        <v>0.44</v>
      </c>
      <c r="K62" s="64">
        <v>140.85</v>
      </c>
      <c r="L62" s="64">
        <v>30.44</v>
      </c>
      <c r="M62" s="64">
        <v>48.51</v>
      </c>
      <c r="N62" s="64">
        <v>282.2</v>
      </c>
      <c r="O62" s="64">
        <v>0</v>
      </c>
      <c r="P62" s="64">
        <v>0.43</v>
      </c>
      <c r="Q62" s="64">
        <v>5.18</v>
      </c>
      <c r="R62" s="198"/>
      <c r="S62" s="198"/>
      <c r="T62" s="198"/>
      <c r="U62" s="198"/>
    </row>
    <row r="63" spans="1:21" s="12" customFormat="1" x14ac:dyDescent="0.25">
      <c r="A63" s="214" t="s">
        <v>1452</v>
      </c>
      <c r="B63" s="64">
        <v>2</v>
      </c>
      <c r="C63" s="64">
        <v>12.35</v>
      </c>
      <c r="D63" s="64">
        <v>9.7100000000000009</v>
      </c>
      <c r="E63" s="64">
        <v>1.42</v>
      </c>
      <c r="F63" s="64">
        <v>13.17</v>
      </c>
      <c r="G63" s="64">
        <v>51.72</v>
      </c>
      <c r="H63" s="64">
        <v>20.100000000000001</v>
      </c>
      <c r="I63" s="64">
        <v>1.5</v>
      </c>
      <c r="J63" s="64">
        <v>0.44</v>
      </c>
      <c r="K63" s="64">
        <v>144.19</v>
      </c>
      <c r="L63" s="64">
        <v>30.39</v>
      </c>
      <c r="M63" s="64">
        <v>48.87</v>
      </c>
      <c r="N63" s="216" t="s">
        <v>42</v>
      </c>
      <c r="O63" s="64">
        <v>0</v>
      </c>
      <c r="P63" s="64">
        <v>0.4</v>
      </c>
      <c r="Q63" s="64">
        <v>5.1100000000000003</v>
      </c>
      <c r="R63" s="198"/>
      <c r="S63" s="198"/>
      <c r="T63" s="198"/>
      <c r="U63" s="198"/>
    </row>
    <row r="64" spans="1:21" s="12" customFormat="1" x14ac:dyDescent="0.25">
      <c r="A64" s="214" t="s">
        <v>1453</v>
      </c>
      <c r="B64" s="64">
        <v>2</v>
      </c>
      <c r="C64" s="64">
        <v>12.34</v>
      </c>
      <c r="D64" s="64">
        <v>9.7100000000000009</v>
      </c>
      <c r="E64" s="6" t="s">
        <v>42</v>
      </c>
      <c r="F64" s="64">
        <v>6.96</v>
      </c>
      <c r="G64" s="64">
        <v>44.32</v>
      </c>
      <c r="H64" s="64">
        <v>1.61</v>
      </c>
      <c r="I64" s="64">
        <v>1.49</v>
      </c>
      <c r="J64" s="64">
        <v>0.24</v>
      </c>
      <c r="K64" s="64">
        <v>157.51</v>
      </c>
      <c r="L64" s="64">
        <v>29.85</v>
      </c>
      <c r="M64" s="64">
        <v>49.63</v>
      </c>
      <c r="N64" s="216" t="s">
        <v>42</v>
      </c>
      <c r="O64" s="64">
        <v>0</v>
      </c>
      <c r="P64" s="64">
        <v>0.4</v>
      </c>
      <c r="Q64" s="64">
        <v>5.09</v>
      </c>
      <c r="R64" s="198"/>
      <c r="S64" s="198"/>
      <c r="T64" s="198"/>
      <c r="U64" s="198"/>
    </row>
    <row r="65" spans="1:21" s="12" customFormat="1" x14ac:dyDescent="0.25">
      <c r="A65" s="214" t="s">
        <v>1454</v>
      </c>
      <c r="B65" s="64">
        <v>2</v>
      </c>
      <c r="C65" s="64">
        <v>10.67</v>
      </c>
      <c r="D65" s="64">
        <v>8.7799999999999994</v>
      </c>
      <c r="E65" s="64">
        <v>0.23</v>
      </c>
      <c r="F65" s="64">
        <v>6.11</v>
      </c>
      <c r="G65" s="64">
        <v>44.32</v>
      </c>
      <c r="H65" s="64">
        <v>1.61</v>
      </c>
      <c r="I65" s="64">
        <v>1.46</v>
      </c>
      <c r="J65" s="64">
        <v>0.24</v>
      </c>
      <c r="K65" s="64">
        <v>166.6</v>
      </c>
      <c r="L65" s="64">
        <v>29.67</v>
      </c>
      <c r="M65" s="64">
        <v>50.64</v>
      </c>
      <c r="N65" s="64">
        <v>91.3</v>
      </c>
      <c r="O65" s="64">
        <v>0</v>
      </c>
      <c r="P65" s="64">
        <v>0.39</v>
      </c>
      <c r="Q65" s="64">
        <v>5.17</v>
      </c>
      <c r="R65" s="198"/>
      <c r="S65" s="198"/>
      <c r="T65" s="198"/>
      <c r="U65" s="198"/>
    </row>
    <row r="66" spans="1:21" s="12" customFormat="1" x14ac:dyDescent="0.25">
      <c r="A66" s="214" t="s">
        <v>1455</v>
      </c>
      <c r="B66" s="64">
        <v>2.39</v>
      </c>
      <c r="C66" s="64">
        <v>11.49</v>
      </c>
      <c r="D66" s="64">
        <v>9.5500000000000007</v>
      </c>
      <c r="E66" s="64">
        <v>0.31</v>
      </c>
      <c r="F66" s="64">
        <v>3.7</v>
      </c>
      <c r="G66" s="64">
        <v>44.32</v>
      </c>
      <c r="H66" s="64">
        <v>1.61</v>
      </c>
      <c r="I66" s="64">
        <v>1.5</v>
      </c>
      <c r="J66" s="64">
        <v>0.23</v>
      </c>
      <c r="K66" s="64">
        <v>10.77</v>
      </c>
      <c r="L66" s="64">
        <v>30.1</v>
      </c>
      <c r="M66" s="64">
        <v>49.25</v>
      </c>
      <c r="N66" s="64">
        <v>230.6</v>
      </c>
      <c r="O66" s="64">
        <v>0</v>
      </c>
      <c r="P66" s="64">
        <v>0.42</v>
      </c>
      <c r="Q66" s="64">
        <v>5.13</v>
      </c>
      <c r="R66" s="198"/>
      <c r="S66" s="198"/>
      <c r="T66" s="198"/>
      <c r="U66" s="198"/>
    </row>
    <row r="67" spans="1:21" s="12" customFormat="1" x14ac:dyDescent="0.25">
      <c r="A67" s="214" t="s">
        <v>1456</v>
      </c>
      <c r="B67" s="64">
        <v>2.1</v>
      </c>
      <c r="C67" s="64">
        <v>11.84</v>
      </c>
      <c r="D67" s="64">
        <v>9.51</v>
      </c>
      <c r="E67" s="64">
        <v>0.39</v>
      </c>
      <c r="F67" s="64">
        <v>3.94</v>
      </c>
      <c r="G67" s="64">
        <v>48.47</v>
      </c>
      <c r="H67" s="64">
        <v>12.44</v>
      </c>
      <c r="I67" s="64">
        <v>1.43</v>
      </c>
      <c r="J67" s="64">
        <v>0.26</v>
      </c>
      <c r="K67" s="64">
        <v>18.52</v>
      </c>
      <c r="L67" s="64">
        <v>29.74</v>
      </c>
      <c r="M67" s="64">
        <v>49.41</v>
      </c>
      <c r="N67" s="64">
        <v>220.6</v>
      </c>
      <c r="O67" s="64">
        <v>0</v>
      </c>
      <c r="P67" s="64">
        <v>0.42</v>
      </c>
      <c r="Q67" s="64">
        <v>5.0199999999999996</v>
      </c>
      <c r="R67" s="198"/>
      <c r="S67" s="198"/>
      <c r="T67" s="198"/>
      <c r="U67" s="198"/>
    </row>
    <row r="68" spans="1:21" s="12" customFormat="1" x14ac:dyDescent="0.25">
      <c r="A68" s="214" t="s">
        <v>1457</v>
      </c>
      <c r="B68" s="64">
        <v>4.3899999999999997</v>
      </c>
      <c r="C68" s="64">
        <v>20.85</v>
      </c>
      <c r="D68" s="64">
        <v>16.32</v>
      </c>
      <c r="E68" s="64">
        <v>0.39</v>
      </c>
      <c r="F68" s="64">
        <v>13.59</v>
      </c>
      <c r="G68" s="64">
        <v>69.2</v>
      </c>
      <c r="H68" s="64">
        <v>49.98</v>
      </c>
      <c r="I68" s="64">
        <v>1.53</v>
      </c>
      <c r="J68" s="64">
        <v>7.0000000000000007E-2</v>
      </c>
      <c r="K68" s="64">
        <v>82.61</v>
      </c>
      <c r="L68" s="64">
        <v>29.68</v>
      </c>
      <c r="M68" s="64">
        <v>52.26</v>
      </c>
      <c r="N68" s="64">
        <v>164.8</v>
      </c>
      <c r="O68" s="64">
        <v>0</v>
      </c>
      <c r="P68" s="64">
        <v>0.52</v>
      </c>
      <c r="Q68" s="64">
        <v>4.8600000000000003</v>
      </c>
      <c r="R68" s="198"/>
      <c r="S68" s="198"/>
      <c r="T68" s="198"/>
      <c r="U68" s="198"/>
    </row>
    <row r="69" spans="1:21" s="12" customFormat="1" x14ac:dyDescent="0.25">
      <c r="A69" s="214" t="s">
        <v>1458</v>
      </c>
      <c r="B69" s="64">
        <v>2.78</v>
      </c>
      <c r="C69" s="64">
        <v>17.88</v>
      </c>
      <c r="D69" s="64">
        <v>13.39</v>
      </c>
      <c r="E69" s="64">
        <v>0.42</v>
      </c>
      <c r="F69" s="64">
        <v>14.46</v>
      </c>
      <c r="G69" s="64">
        <v>69.2</v>
      </c>
      <c r="H69" s="64">
        <v>49.98</v>
      </c>
      <c r="I69" s="64">
        <v>1.55</v>
      </c>
      <c r="J69" s="64">
        <v>0.14000000000000001</v>
      </c>
      <c r="K69" s="64">
        <v>66.7</v>
      </c>
      <c r="L69" s="64">
        <v>29.14</v>
      </c>
      <c r="M69" s="64">
        <v>52.12</v>
      </c>
      <c r="N69" s="64">
        <v>141</v>
      </c>
      <c r="O69" s="64">
        <v>0</v>
      </c>
      <c r="P69" s="64">
        <v>0.4</v>
      </c>
      <c r="Q69" s="64">
        <v>4.7</v>
      </c>
      <c r="R69" s="198"/>
      <c r="S69" s="198"/>
      <c r="T69" s="198"/>
      <c r="U69" s="198"/>
    </row>
    <row r="70" spans="1:21" s="12" customFormat="1" x14ac:dyDescent="0.25">
      <c r="A70" s="214" t="s">
        <v>1459</v>
      </c>
      <c r="B70" s="64">
        <v>7.29</v>
      </c>
      <c r="C70" s="64">
        <v>23.66</v>
      </c>
      <c r="D70" s="64">
        <v>20.2</v>
      </c>
      <c r="E70" s="64">
        <v>0.42</v>
      </c>
      <c r="F70" s="64">
        <v>14.36</v>
      </c>
      <c r="G70" s="64">
        <v>69.2</v>
      </c>
      <c r="H70" s="64">
        <v>49.98</v>
      </c>
      <c r="I70" s="64">
        <v>1.51</v>
      </c>
      <c r="J70" s="64">
        <v>0.22</v>
      </c>
      <c r="K70" s="64">
        <v>346.37</v>
      </c>
      <c r="L70" s="64">
        <v>29.47</v>
      </c>
      <c r="M70" s="64">
        <v>51.82</v>
      </c>
      <c r="N70" s="64">
        <v>135.30000000000001</v>
      </c>
      <c r="O70" s="64">
        <v>0</v>
      </c>
      <c r="P70" s="64">
        <v>0.45</v>
      </c>
      <c r="Q70" s="64">
        <v>4.3099999999999996</v>
      </c>
      <c r="R70" s="198"/>
      <c r="S70" s="198"/>
      <c r="T70" s="198"/>
      <c r="U70" s="198"/>
    </row>
    <row r="71" spans="1:21" s="12" customFormat="1" x14ac:dyDescent="0.25">
      <c r="A71" s="214" t="s">
        <v>1460</v>
      </c>
      <c r="B71" s="64">
        <v>7.26</v>
      </c>
      <c r="C71" s="64">
        <v>26.42</v>
      </c>
      <c r="D71" s="64">
        <v>21.69</v>
      </c>
      <c r="E71" s="64">
        <v>0.5</v>
      </c>
      <c r="F71" s="64">
        <v>13.48</v>
      </c>
      <c r="G71" s="64">
        <v>66.61</v>
      </c>
      <c r="H71" s="64">
        <v>45.14</v>
      </c>
      <c r="I71" s="64">
        <v>1.44</v>
      </c>
      <c r="J71" s="64">
        <v>0.24</v>
      </c>
      <c r="K71" s="64">
        <v>335</v>
      </c>
      <c r="L71" s="64">
        <v>29.96</v>
      </c>
      <c r="M71" s="64">
        <v>49.94</v>
      </c>
      <c r="N71" s="64">
        <v>144.9</v>
      </c>
      <c r="O71" s="64">
        <v>0</v>
      </c>
      <c r="P71" s="64">
        <v>0.55000000000000004</v>
      </c>
      <c r="Q71" s="64">
        <v>4.13</v>
      </c>
      <c r="R71" s="198"/>
      <c r="S71" s="198"/>
      <c r="T71" s="198"/>
      <c r="U71" s="198"/>
    </row>
    <row r="72" spans="1:21" s="12" customFormat="1" x14ac:dyDescent="0.25">
      <c r="A72" s="214" t="s">
        <v>1461</v>
      </c>
      <c r="B72" s="64">
        <v>7.33</v>
      </c>
      <c r="C72" s="64">
        <v>30.39</v>
      </c>
      <c r="D72" s="64">
        <v>23.94</v>
      </c>
      <c r="E72" s="64">
        <v>0.38</v>
      </c>
      <c r="F72" s="64">
        <v>26.17</v>
      </c>
      <c r="G72" s="64">
        <v>54.65</v>
      </c>
      <c r="H72" s="64">
        <v>28.35</v>
      </c>
      <c r="I72" s="64">
        <v>1.53</v>
      </c>
      <c r="J72" s="64">
        <v>0.23</v>
      </c>
      <c r="K72" s="64">
        <v>334.16</v>
      </c>
      <c r="L72" s="64">
        <v>30.25</v>
      </c>
      <c r="M72" s="64">
        <v>48.44</v>
      </c>
      <c r="N72" s="64">
        <v>139</v>
      </c>
      <c r="O72" s="64">
        <v>0</v>
      </c>
      <c r="P72" s="64">
        <v>0.63</v>
      </c>
      <c r="Q72" s="64">
        <v>4.1100000000000003</v>
      </c>
      <c r="R72" s="198"/>
      <c r="S72" s="198"/>
      <c r="T72" s="198"/>
      <c r="U72" s="198"/>
    </row>
    <row r="73" spans="1:21" s="12" customFormat="1" x14ac:dyDescent="0.25">
      <c r="A73" s="214" t="s">
        <v>1462</v>
      </c>
      <c r="B73" s="64">
        <v>8.23</v>
      </c>
      <c r="C73" s="64">
        <v>27.27</v>
      </c>
      <c r="D73" s="64">
        <v>22.94</v>
      </c>
      <c r="E73" s="64">
        <v>0.46</v>
      </c>
      <c r="F73" s="64">
        <v>24.53</v>
      </c>
      <c r="G73" s="64">
        <v>54.65</v>
      </c>
      <c r="H73" s="64">
        <v>28.35</v>
      </c>
      <c r="I73" s="64">
        <v>1.5</v>
      </c>
      <c r="J73" s="64">
        <v>0.3</v>
      </c>
      <c r="K73" s="64">
        <v>334.01</v>
      </c>
      <c r="L73" s="64">
        <v>29.94</v>
      </c>
      <c r="M73" s="64">
        <v>49.45</v>
      </c>
      <c r="N73" s="64">
        <v>111.8</v>
      </c>
      <c r="O73" s="64">
        <v>0</v>
      </c>
      <c r="P73" s="64">
        <v>0.61</v>
      </c>
      <c r="Q73" s="64">
        <v>3.91</v>
      </c>
      <c r="R73" s="198"/>
      <c r="S73" s="198"/>
      <c r="T73" s="198"/>
      <c r="U73" s="198"/>
    </row>
    <row r="74" spans="1:21" s="12" customFormat="1" x14ac:dyDescent="0.25">
      <c r="A74" s="214" t="s">
        <v>1463</v>
      </c>
      <c r="B74" s="64">
        <v>11.28</v>
      </c>
      <c r="C74" s="64">
        <v>36.090000000000003</v>
      </c>
      <c r="D74" s="64">
        <v>30.25</v>
      </c>
      <c r="E74" s="64">
        <v>0.4</v>
      </c>
      <c r="F74" s="64">
        <v>29.06</v>
      </c>
      <c r="G74" s="64">
        <v>54.65</v>
      </c>
      <c r="H74" s="64">
        <v>28.35</v>
      </c>
      <c r="I74" s="64">
        <v>1.48</v>
      </c>
      <c r="J74" s="64">
        <v>0.32</v>
      </c>
      <c r="K74" s="64">
        <v>343.58</v>
      </c>
      <c r="L74" s="64">
        <v>30.14</v>
      </c>
      <c r="M74" s="64">
        <v>47.43</v>
      </c>
      <c r="N74" s="64">
        <v>102.5</v>
      </c>
      <c r="O74" s="64">
        <v>0</v>
      </c>
      <c r="P74" s="64">
        <v>0.77</v>
      </c>
      <c r="Q74" s="64">
        <v>3.8</v>
      </c>
      <c r="R74" s="198"/>
      <c r="S74" s="198"/>
      <c r="T74" s="198"/>
      <c r="U74" s="198"/>
    </row>
    <row r="75" spans="1:21" s="12" customFormat="1" x14ac:dyDescent="0.25">
      <c r="A75" s="214" t="s">
        <v>1464</v>
      </c>
      <c r="B75" s="64">
        <v>13.45</v>
      </c>
      <c r="C75" s="64">
        <v>49.41</v>
      </c>
      <c r="D75" s="64">
        <v>39.35</v>
      </c>
      <c r="E75" s="64">
        <v>0.52</v>
      </c>
      <c r="F75" s="64">
        <v>28.27</v>
      </c>
      <c r="G75" s="64">
        <v>56.39</v>
      </c>
      <c r="H75" s="64">
        <v>27.06</v>
      </c>
      <c r="I75" s="64">
        <v>1.47</v>
      </c>
      <c r="J75" s="64">
        <v>0.01</v>
      </c>
      <c r="K75" s="64">
        <v>25.14</v>
      </c>
      <c r="L75" s="64">
        <v>29.66</v>
      </c>
      <c r="M75" s="64">
        <v>49.85</v>
      </c>
      <c r="N75" s="64">
        <v>72.099999999999994</v>
      </c>
      <c r="O75" s="64">
        <v>0</v>
      </c>
      <c r="P75" s="64">
        <v>0.99</v>
      </c>
      <c r="Q75" s="64">
        <v>2.78</v>
      </c>
      <c r="R75" s="198"/>
      <c r="S75" s="198"/>
      <c r="T75" s="198"/>
      <c r="U75" s="198"/>
    </row>
    <row r="76" spans="1:21" s="12" customFormat="1" x14ac:dyDescent="0.25">
      <c r="A76" s="214" t="s">
        <v>1465</v>
      </c>
      <c r="B76" s="64">
        <v>3.17</v>
      </c>
      <c r="C76" s="64">
        <v>29.08</v>
      </c>
      <c r="D76" s="64">
        <v>19.88</v>
      </c>
      <c r="E76" s="64">
        <v>0.5</v>
      </c>
      <c r="F76" s="64">
        <v>28.98</v>
      </c>
      <c r="G76" s="64">
        <v>64.47</v>
      </c>
      <c r="H76" s="64">
        <v>22.58</v>
      </c>
      <c r="I76" s="64">
        <v>1.5</v>
      </c>
      <c r="J76" s="64">
        <v>0.43</v>
      </c>
      <c r="K76" s="64">
        <v>116.77</v>
      </c>
      <c r="L76" s="64">
        <v>28.85</v>
      </c>
      <c r="M76" s="64">
        <v>50.89</v>
      </c>
      <c r="N76" s="64">
        <v>48.2</v>
      </c>
      <c r="O76" s="64">
        <v>0</v>
      </c>
      <c r="P76" s="64">
        <v>0.56000000000000005</v>
      </c>
      <c r="Q76" s="64">
        <v>3.01</v>
      </c>
      <c r="R76" s="198"/>
      <c r="S76" s="198"/>
      <c r="T76" s="198"/>
      <c r="U76" s="198"/>
    </row>
    <row r="77" spans="1:21" s="12" customFormat="1" x14ac:dyDescent="0.25">
      <c r="A77" s="214" t="s">
        <v>1466</v>
      </c>
      <c r="B77" s="64">
        <v>3.26</v>
      </c>
      <c r="C77" s="64">
        <v>30.83</v>
      </c>
      <c r="D77" s="64">
        <v>20.92</v>
      </c>
      <c r="E77" s="64">
        <v>0.6</v>
      </c>
      <c r="F77" s="64">
        <v>31.06</v>
      </c>
      <c r="G77" s="64">
        <v>64.47</v>
      </c>
      <c r="H77" s="64">
        <v>22.58</v>
      </c>
      <c r="I77" s="64">
        <v>1.45</v>
      </c>
      <c r="J77" s="64">
        <v>0.06</v>
      </c>
      <c r="K77" s="64">
        <v>141.88</v>
      </c>
      <c r="L77" s="64">
        <v>28.33</v>
      </c>
      <c r="M77" s="64">
        <v>52.74</v>
      </c>
      <c r="N77" s="64">
        <v>25.9</v>
      </c>
      <c r="O77" s="64">
        <v>0</v>
      </c>
      <c r="P77" s="64">
        <v>0.53</v>
      </c>
      <c r="Q77" s="64">
        <v>4.46</v>
      </c>
      <c r="R77" s="198"/>
      <c r="S77" s="198"/>
      <c r="T77" s="198"/>
      <c r="U77" s="198"/>
    </row>
    <row r="78" spans="1:21" s="12" customFormat="1" x14ac:dyDescent="0.25">
      <c r="A78" s="214" t="s">
        <v>1467</v>
      </c>
      <c r="B78" s="64">
        <v>12.95</v>
      </c>
      <c r="C78" s="64">
        <v>48.41</v>
      </c>
      <c r="D78" s="64">
        <v>38.39</v>
      </c>
      <c r="E78" s="64">
        <v>0.59</v>
      </c>
      <c r="F78" s="64">
        <v>22.82</v>
      </c>
      <c r="G78" s="64">
        <v>64.47</v>
      </c>
      <c r="H78" s="64">
        <v>22.58</v>
      </c>
      <c r="I78" s="64">
        <v>1.5</v>
      </c>
      <c r="J78" s="64">
        <v>0.05</v>
      </c>
      <c r="K78" s="64">
        <v>239.73</v>
      </c>
      <c r="L78" s="64">
        <v>27.89</v>
      </c>
      <c r="M78" s="64">
        <v>54.68</v>
      </c>
      <c r="N78" s="64">
        <v>15</v>
      </c>
      <c r="O78" s="64">
        <v>0</v>
      </c>
      <c r="P78" s="64">
        <v>0.83</v>
      </c>
      <c r="Q78" s="64">
        <v>3.56</v>
      </c>
      <c r="R78" s="198"/>
      <c r="S78" s="198"/>
      <c r="T78" s="198"/>
      <c r="U78" s="198"/>
    </row>
    <row r="79" spans="1:21" s="12" customFormat="1" x14ac:dyDescent="0.25">
      <c r="A79" s="214" t="s">
        <v>1468</v>
      </c>
      <c r="B79" s="64">
        <v>27.56</v>
      </c>
      <c r="C79" s="64">
        <v>73.62</v>
      </c>
      <c r="D79" s="64">
        <v>64.02</v>
      </c>
      <c r="E79" s="64">
        <v>0.66</v>
      </c>
      <c r="F79" s="64">
        <v>9.2100000000000009</v>
      </c>
      <c r="G79" s="64">
        <v>65.510000000000005</v>
      </c>
      <c r="H79" s="64">
        <v>22.76</v>
      </c>
      <c r="I79" s="64">
        <v>1.46</v>
      </c>
      <c r="J79" s="64">
        <v>7.0000000000000007E-2</v>
      </c>
      <c r="K79" s="64">
        <v>302.61</v>
      </c>
      <c r="L79" s="64">
        <v>27.46</v>
      </c>
      <c r="M79" s="64">
        <v>57.63</v>
      </c>
      <c r="N79" s="64">
        <v>10.5</v>
      </c>
      <c r="O79" s="64">
        <v>0</v>
      </c>
      <c r="P79" s="64">
        <v>1.6</v>
      </c>
      <c r="Q79" s="216" t="s">
        <v>42</v>
      </c>
      <c r="R79" s="198"/>
      <c r="S79" s="198"/>
      <c r="T79" s="198"/>
      <c r="U79" s="198"/>
    </row>
    <row r="80" spans="1:21" s="12" customFormat="1" x14ac:dyDescent="0.25">
      <c r="A80" s="214" t="s">
        <v>1469</v>
      </c>
      <c r="B80" s="64">
        <v>48.73</v>
      </c>
      <c r="C80" s="64">
        <v>75.2</v>
      </c>
      <c r="D80" s="64">
        <v>81.87</v>
      </c>
      <c r="E80" s="64">
        <v>0.65</v>
      </c>
      <c r="F80" s="64">
        <v>8.73</v>
      </c>
      <c r="G80" s="64">
        <v>70.36</v>
      </c>
      <c r="H80" s="64">
        <v>23.4</v>
      </c>
      <c r="I80" s="64">
        <v>1.44</v>
      </c>
      <c r="J80" s="64">
        <v>0.04</v>
      </c>
      <c r="K80" s="64">
        <v>351.34</v>
      </c>
      <c r="L80" s="64">
        <v>27.01</v>
      </c>
      <c r="M80" s="64">
        <v>60.49</v>
      </c>
      <c r="N80" s="64">
        <v>9.3000000000000007</v>
      </c>
      <c r="O80" s="64">
        <v>0</v>
      </c>
      <c r="P80" s="64">
        <v>1.99</v>
      </c>
      <c r="Q80" s="216" t="s">
        <v>42</v>
      </c>
      <c r="R80" s="198"/>
      <c r="S80" s="198"/>
      <c r="T80" s="198"/>
      <c r="U80" s="198"/>
    </row>
    <row r="81" spans="1:26" s="12" customFormat="1" x14ac:dyDescent="0.25">
      <c r="A81" s="214" t="s">
        <v>1470</v>
      </c>
      <c r="B81" s="64">
        <v>55.4</v>
      </c>
      <c r="C81" s="64">
        <v>83.3</v>
      </c>
      <c r="D81" s="64">
        <v>91.69</v>
      </c>
      <c r="E81" s="64">
        <v>0.64</v>
      </c>
      <c r="F81" s="64">
        <v>2.94</v>
      </c>
      <c r="G81" s="64">
        <v>70.36</v>
      </c>
      <c r="H81" s="64">
        <v>23.4</v>
      </c>
      <c r="I81" s="64">
        <v>1.49</v>
      </c>
      <c r="J81" s="64">
        <v>0.01</v>
      </c>
      <c r="K81" s="64">
        <v>357.11</v>
      </c>
      <c r="L81" s="64">
        <v>26.36</v>
      </c>
      <c r="M81" s="64">
        <v>67.52</v>
      </c>
      <c r="N81" s="64">
        <v>9.1</v>
      </c>
      <c r="O81" s="64">
        <v>0</v>
      </c>
      <c r="P81" s="64">
        <v>2.7</v>
      </c>
      <c r="Q81" s="216" t="s">
        <v>42</v>
      </c>
      <c r="R81" s="198"/>
      <c r="S81" s="198"/>
      <c r="T81" s="198"/>
      <c r="U81" s="198"/>
    </row>
    <row r="82" spans="1:26" s="12" customFormat="1" x14ac:dyDescent="0.25">
      <c r="A82" s="214" t="s">
        <v>1471</v>
      </c>
      <c r="B82" s="64">
        <v>35.44</v>
      </c>
      <c r="C82" s="64">
        <v>87.19</v>
      </c>
      <c r="D82" s="64">
        <v>77.83</v>
      </c>
      <c r="E82" s="64">
        <v>0.63</v>
      </c>
      <c r="F82" s="64">
        <v>3</v>
      </c>
      <c r="G82" s="64">
        <v>70.36</v>
      </c>
      <c r="H82" s="64">
        <v>23.4</v>
      </c>
      <c r="I82" s="64">
        <v>1.52</v>
      </c>
      <c r="J82" s="64">
        <v>0.03</v>
      </c>
      <c r="K82" s="64">
        <v>108.74</v>
      </c>
      <c r="L82" s="64">
        <v>25.92</v>
      </c>
      <c r="M82" s="64">
        <v>66.87</v>
      </c>
      <c r="N82" s="64">
        <v>9</v>
      </c>
      <c r="O82" s="64">
        <v>0</v>
      </c>
      <c r="P82" s="64">
        <v>2.2999999999999998</v>
      </c>
      <c r="Q82" s="64">
        <v>0.45</v>
      </c>
      <c r="R82" s="198"/>
      <c r="S82" s="198"/>
      <c r="T82" s="198"/>
      <c r="U82" s="198"/>
    </row>
    <row r="83" spans="1:26" s="12" customFormat="1" x14ac:dyDescent="0.25">
      <c r="A83" s="214" t="s">
        <v>1472</v>
      </c>
      <c r="B83" s="64">
        <v>41.58</v>
      </c>
      <c r="C83" s="64">
        <v>97.95</v>
      </c>
      <c r="D83" s="64">
        <v>88.69</v>
      </c>
      <c r="E83" s="64">
        <v>0.56000000000000005</v>
      </c>
      <c r="F83" s="64">
        <v>2.68</v>
      </c>
      <c r="G83" s="64">
        <v>98.91</v>
      </c>
      <c r="H83" s="64">
        <v>29.58</v>
      </c>
      <c r="I83" s="64">
        <v>1.56</v>
      </c>
      <c r="J83" s="64">
        <v>0.04</v>
      </c>
      <c r="K83" s="64">
        <v>113.4</v>
      </c>
      <c r="L83" s="64">
        <v>25.64</v>
      </c>
      <c r="M83" s="64">
        <v>66.28</v>
      </c>
      <c r="N83" s="64">
        <v>9.1</v>
      </c>
      <c r="O83" s="64">
        <v>0</v>
      </c>
      <c r="P83" s="64">
        <v>2.6</v>
      </c>
      <c r="Q83" s="64">
        <v>1.5</v>
      </c>
      <c r="R83" s="198"/>
      <c r="S83" s="198"/>
      <c r="T83" s="198"/>
      <c r="U83" s="198"/>
    </row>
    <row r="84" spans="1:26" s="12" customFormat="1" x14ac:dyDescent="0.25">
      <c r="A84" s="214" t="s">
        <v>1473</v>
      </c>
      <c r="B84" s="64">
        <v>34.51</v>
      </c>
      <c r="C84" s="64">
        <v>99.19</v>
      </c>
      <c r="D84" s="64">
        <v>83.71</v>
      </c>
      <c r="E84" s="64">
        <v>0.6</v>
      </c>
      <c r="F84" s="64">
        <v>1.59</v>
      </c>
      <c r="G84" s="64">
        <v>230.98</v>
      </c>
      <c r="H84" s="64">
        <v>61.75</v>
      </c>
      <c r="I84" s="64">
        <v>1.53</v>
      </c>
      <c r="J84" s="64">
        <v>0.06</v>
      </c>
      <c r="K84" s="64">
        <v>238.3</v>
      </c>
      <c r="L84" s="64">
        <v>25.56</v>
      </c>
      <c r="M84" s="64">
        <v>67.819999999999993</v>
      </c>
      <c r="N84" s="64">
        <v>8.8000000000000007</v>
      </c>
      <c r="O84" s="64">
        <v>0</v>
      </c>
      <c r="P84" s="64">
        <v>2.38</v>
      </c>
      <c r="Q84" s="64">
        <v>0.79</v>
      </c>
      <c r="R84" s="198"/>
      <c r="S84" s="198"/>
      <c r="T84" s="198"/>
      <c r="U84" s="198"/>
    </row>
    <row r="85" spans="1:26" s="12" customFormat="1" x14ac:dyDescent="0.25">
      <c r="A85" s="214" t="s">
        <v>1474</v>
      </c>
      <c r="B85" s="64">
        <v>95.89</v>
      </c>
      <c r="C85" s="64">
        <v>115.11</v>
      </c>
      <c r="D85" s="64">
        <v>141.71</v>
      </c>
      <c r="E85" s="64">
        <v>0.66</v>
      </c>
      <c r="F85" s="64">
        <v>0.82</v>
      </c>
      <c r="G85" s="64">
        <v>230.98</v>
      </c>
      <c r="H85" s="64">
        <v>61.75</v>
      </c>
      <c r="I85" s="64">
        <v>1.51</v>
      </c>
      <c r="J85" s="64">
        <v>0.1</v>
      </c>
      <c r="K85" s="64">
        <v>132.18</v>
      </c>
      <c r="L85" s="64">
        <v>25.49</v>
      </c>
      <c r="M85" s="64">
        <v>69.3</v>
      </c>
      <c r="N85" s="64">
        <v>8.9</v>
      </c>
      <c r="O85" s="64">
        <v>0</v>
      </c>
      <c r="P85" s="64">
        <v>2.11</v>
      </c>
      <c r="Q85" s="64">
        <v>0.05</v>
      </c>
      <c r="R85" s="198"/>
      <c r="S85" s="198"/>
      <c r="T85" s="198"/>
      <c r="U85" s="198"/>
    </row>
    <row r="86" spans="1:26" s="12" customFormat="1" x14ac:dyDescent="0.25">
      <c r="A86" s="214" t="s">
        <v>1475</v>
      </c>
      <c r="B86" s="64">
        <v>62.38</v>
      </c>
      <c r="C86" s="64">
        <v>86.65</v>
      </c>
      <c r="D86" s="64">
        <v>99.14</v>
      </c>
      <c r="E86" s="64">
        <v>0.66</v>
      </c>
      <c r="F86" s="64">
        <v>1.54</v>
      </c>
      <c r="G86" s="64">
        <v>230.98</v>
      </c>
      <c r="H86" s="64">
        <v>61.75</v>
      </c>
      <c r="I86" s="64">
        <v>1.46</v>
      </c>
      <c r="J86" s="64">
        <v>0.11</v>
      </c>
      <c r="K86" s="64">
        <v>325.29000000000002</v>
      </c>
      <c r="L86" s="64">
        <v>25.44</v>
      </c>
      <c r="M86" s="64">
        <v>73.17</v>
      </c>
      <c r="N86" s="64">
        <v>8.8000000000000007</v>
      </c>
      <c r="O86" s="64">
        <v>0</v>
      </c>
      <c r="P86" s="64">
        <v>2.44</v>
      </c>
      <c r="Q86" s="64">
        <v>0.13</v>
      </c>
      <c r="R86" s="198"/>
      <c r="S86" s="198"/>
      <c r="T86" s="198"/>
      <c r="U86" s="198"/>
    </row>
    <row r="87" spans="1:26" s="12" customFormat="1" x14ac:dyDescent="0.25">
      <c r="A87" s="214" t="s">
        <v>1476</v>
      </c>
      <c r="B87" s="64">
        <v>67.260000000000005</v>
      </c>
      <c r="C87" s="64">
        <v>86.95</v>
      </c>
      <c r="D87" s="64">
        <v>103.21</v>
      </c>
      <c r="E87" s="64">
        <v>0.73</v>
      </c>
      <c r="F87" s="64">
        <v>1.0900000000000001</v>
      </c>
      <c r="G87" s="64">
        <v>228.95</v>
      </c>
      <c r="H87" s="64">
        <v>57.42</v>
      </c>
      <c r="I87" s="64">
        <v>1.57</v>
      </c>
      <c r="J87" s="64">
        <v>0.05</v>
      </c>
      <c r="K87" s="64">
        <v>12.64</v>
      </c>
      <c r="L87" s="64">
        <v>25.11</v>
      </c>
      <c r="M87" s="64">
        <v>79.86</v>
      </c>
      <c r="N87" s="64">
        <v>9</v>
      </c>
      <c r="O87" s="64">
        <v>0</v>
      </c>
      <c r="P87" s="64">
        <v>3.42</v>
      </c>
      <c r="Q87" s="216" t="s">
        <v>42</v>
      </c>
      <c r="R87" s="198"/>
      <c r="S87" s="198"/>
      <c r="T87" s="198"/>
      <c r="U87" s="198"/>
    </row>
    <row r="88" spans="1:26" s="12" customFormat="1" x14ac:dyDescent="0.25">
      <c r="A88" s="214" t="s">
        <v>1477</v>
      </c>
      <c r="B88" s="64">
        <v>36.369999999999997</v>
      </c>
      <c r="C88" s="64">
        <v>53.86</v>
      </c>
      <c r="D88" s="64">
        <v>60.18</v>
      </c>
      <c r="E88" s="64">
        <v>0.23</v>
      </c>
      <c r="F88" s="64">
        <v>0.63</v>
      </c>
      <c r="G88" s="64">
        <v>219.55</v>
      </c>
      <c r="H88" s="64">
        <v>42.4</v>
      </c>
      <c r="I88" s="64">
        <v>1.44</v>
      </c>
      <c r="J88" s="64">
        <v>0.02</v>
      </c>
      <c r="K88" s="64">
        <v>282.70999999999998</v>
      </c>
      <c r="L88" s="64">
        <v>25.12</v>
      </c>
      <c r="M88" s="64">
        <v>74.27</v>
      </c>
      <c r="N88" s="64">
        <v>8.6999999999999993</v>
      </c>
      <c r="O88" s="64">
        <v>0</v>
      </c>
      <c r="P88" s="64">
        <v>1.72</v>
      </c>
      <c r="Q88" s="64">
        <v>2.21</v>
      </c>
      <c r="R88" s="198"/>
      <c r="S88" s="198"/>
      <c r="T88" s="198"/>
      <c r="U88" s="198"/>
    </row>
    <row r="89" spans="1:26" s="12" customFormat="1" x14ac:dyDescent="0.25">
      <c r="A89" s="214" t="s">
        <v>1478</v>
      </c>
      <c r="B89" s="64">
        <v>52.63</v>
      </c>
      <c r="C89" s="64">
        <v>79.650000000000006</v>
      </c>
      <c r="D89" s="64">
        <v>87.46</v>
      </c>
      <c r="E89" s="64">
        <v>0.51</v>
      </c>
      <c r="F89" s="64">
        <v>1.1399999999999999</v>
      </c>
      <c r="G89" s="64">
        <v>219.55</v>
      </c>
      <c r="H89" s="64">
        <v>42.4</v>
      </c>
      <c r="I89" s="64">
        <v>1.48</v>
      </c>
      <c r="J89" s="64">
        <v>7.0000000000000007E-2</v>
      </c>
      <c r="K89" s="64">
        <v>282.26</v>
      </c>
      <c r="L89" s="64">
        <v>24.89</v>
      </c>
      <c r="M89" s="64">
        <v>75.989999999999995</v>
      </c>
      <c r="N89" s="64">
        <v>8.9</v>
      </c>
      <c r="O89" s="64">
        <v>0</v>
      </c>
      <c r="P89" s="64">
        <v>2.11</v>
      </c>
      <c r="Q89" s="64">
        <v>1.42</v>
      </c>
      <c r="R89" s="198"/>
      <c r="S89" s="198"/>
      <c r="T89" s="198"/>
      <c r="U89" s="198"/>
    </row>
    <row r="90" spans="1:26" s="12" customFormat="1" x14ac:dyDescent="0.25">
      <c r="A90" s="214" t="s">
        <v>1479</v>
      </c>
      <c r="B90" s="64">
        <v>60.34</v>
      </c>
      <c r="C90" s="64">
        <v>76.489999999999995</v>
      </c>
      <c r="D90" s="64">
        <v>91.89</v>
      </c>
      <c r="E90" s="64">
        <v>0.38</v>
      </c>
      <c r="F90" s="64">
        <v>1.55</v>
      </c>
      <c r="G90" s="64">
        <v>219.55</v>
      </c>
      <c r="H90" s="64">
        <v>42.4</v>
      </c>
      <c r="I90" s="64">
        <v>1.52</v>
      </c>
      <c r="J90" s="64">
        <v>0.13</v>
      </c>
      <c r="K90" s="64">
        <v>263.49</v>
      </c>
      <c r="L90" s="64">
        <v>24.74</v>
      </c>
      <c r="M90" s="64">
        <v>79.63</v>
      </c>
      <c r="N90" s="64">
        <v>8.6999999999999993</v>
      </c>
      <c r="O90" s="64">
        <v>0</v>
      </c>
      <c r="P90" s="64">
        <v>2.1800000000000002</v>
      </c>
      <c r="Q90" s="64">
        <v>2.19</v>
      </c>
      <c r="R90" s="198"/>
      <c r="S90" s="198"/>
      <c r="T90" s="198"/>
      <c r="U90" s="198"/>
    </row>
    <row r="91" spans="1:26" s="12" customFormat="1" x14ac:dyDescent="0.25">
      <c r="A91" s="214" t="s">
        <v>1480</v>
      </c>
      <c r="B91" s="64">
        <v>48.71</v>
      </c>
      <c r="C91" s="64">
        <v>66.819999999999993</v>
      </c>
      <c r="D91" s="64">
        <v>77.23</v>
      </c>
      <c r="E91" s="64">
        <v>0.39</v>
      </c>
      <c r="F91" s="64">
        <v>1.05</v>
      </c>
      <c r="G91" s="64">
        <v>205.14</v>
      </c>
      <c r="H91" s="64">
        <v>44.37</v>
      </c>
      <c r="I91" s="64">
        <v>1.45</v>
      </c>
      <c r="J91" s="64">
        <v>0.11</v>
      </c>
      <c r="K91" s="64">
        <v>274.32</v>
      </c>
      <c r="L91" s="64">
        <v>24.76</v>
      </c>
      <c r="M91" s="64">
        <v>77.48</v>
      </c>
      <c r="N91" s="64">
        <v>8.6999999999999993</v>
      </c>
      <c r="O91" s="64">
        <v>0</v>
      </c>
      <c r="P91" s="64">
        <v>1.79</v>
      </c>
      <c r="Q91" s="64">
        <v>2.98</v>
      </c>
      <c r="R91" s="198"/>
      <c r="S91" s="198"/>
      <c r="T91" s="198"/>
      <c r="U91" s="198"/>
    </row>
    <row r="92" spans="1:26" s="12" customFormat="1" x14ac:dyDescent="0.25">
      <c r="A92" s="214" t="s">
        <v>1481</v>
      </c>
      <c r="B92" s="64">
        <v>56.02</v>
      </c>
      <c r="C92" s="64">
        <v>53.06</v>
      </c>
      <c r="D92" s="64">
        <v>75.5</v>
      </c>
      <c r="E92" s="64">
        <v>0.28999999999999998</v>
      </c>
      <c r="F92" s="64">
        <v>1.54</v>
      </c>
      <c r="G92" s="64">
        <v>138.51</v>
      </c>
      <c r="H92" s="64">
        <v>51.19</v>
      </c>
      <c r="I92" s="64">
        <v>1.55</v>
      </c>
      <c r="J92" s="64">
        <v>0.08</v>
      </c>
      <c r="K92" s="64">
        <v>264.58999999999997</v>
      </c>
      <c r="L92" s="64">
        <v>24.6</v>
      </c>
      <c r="M92" s="64">
        <v>82.13</v>
      </c>
      <c r="N92" s="64">
        <v>9</v>
      </c>
      <c r="O92" s="64">
        <v>0</v>
      </c>
      <c r="P92" s="64">
        <v>2.1</v>
      </c>
      <c r="Q92" s="64">
        <v>4.6900000000000004</v>
      </c>
      <c r="R92" s="198"/>
      <c r="S92" s="198"/>
      <c r="T92" s="198"/>
      <c r="U92" s="198"/>
    </row>
    <row r="93" spans="1:26" s="12" customFormat="1" x14ac:dyDescent="0.25">
      <c r="A93" s="214" t="s">
        <v>1482</v>
      </c>
      <c r="B93" s="64">
        <v>102.89</v>
      </c>
      <c r="C93" s="64">
        <v>79.91</v>
      </c>
      <c r="D93" s="64">
        <v>127.9</v>
      </c>
      <c r="E93" s="64">
        <v>0.4</v>
      </c>
      <c r="F93" s="64">
        <v>0.85</v>
      </c>
      <c r="G93" s="64">
        <v>138.51</v>
      </c>
      <c r="H93" s="64">
        <v>51.19</v>
      </c>
      <c r="I93" s="64">
        <v>1.48</v>
      </c>
      <c r="J93" s="64">
        <v>0.09</v>
      </c>
      <c r="K93" s="64">
        <v>306.48</v>
      </c>
      <c r="L93" s="64">
        <v>24.34</v>
      </c>
      <c r="M93" s="64">
        <v>86.41</v>
      </c>
      <c r="N93" s="64">
        <v>9</v>
      </c>
      <c r="O93" s="64">
        <v>0</v>
      </c>
      <c r="P93" s="64">
        <v>3.05</v>
      </c>
      <c r="Q93" s="64">
        <v>1.1000000000000001</v>
      </c>
      <c r="R93" s="198"/>
      <c r="S93" s="198"/>
      <c r="T93" s="198"/>
      <c r="U93" s="198"/>
    </row>
    <row r="94" spans="1:26" s="12" customFormat="1" x14ac:dyDescent="0.25">
      <c r="A94" s="214" t="s">
        <v>1483</v>
      </c>
      <c r="B94" s="64">
        <v>97.83</v>
      </c>
      <c r="C94" s="64">
        <v>74.459999999999994</v>
      </c>
      <c r="D94" s="64">
        <v>120.84</v>
      </c>
      <c r="E94" s="64">
        <v>0.48</v>
      </c>
      <c r="F94" s="64">
        <v>0.86</v>
      </c>
      <c r="G94" s="64">
        <v>138.51</v>
      </c>
      <c r="H94" s="64">
        <v>51.19</v>
      </c>
      <c r="I94" s="64">
        <v>1.54</v>
      </c>
      <c r="J94" s="64">
        <v>0.08</v>
      </c>
      <c r="K94" s="64">
        <v>274.94</v>
      </c>
      <c r="L94" s="64">
        <v>24.04</v>
      </c>
      <c r="M94" s="64">
        <v>87.23</v>
      </c>
      <c r="N94" s="64">
        <v>8.8000000000000007</v>
      </c>
      <c r="O94" s="64">
        <v>0</v>
      </c>
      <c r="P94" s="64">
        <v>3.23</v>
      </c>
      <c r="Q94" s="64">
        <v>0.22</v>
      </c>
      <c r="R94" s="198"/>
      <c r="S94" s="198"/>
      <c r="T94" s="198"/>
      <c r="U94" s="198"/>
    </row>
    <row r="95" spans="1:26" s="12" customFormat="1" x14ac:dyDescent="0.25">
      <c r="A95" s="214" t="s">
        <v>1484</v>
      </c>
      <c r="B95" s="64">
        <v>63.65</v>
      </c>
      <c r="C95" s="64">
        <v>66.819999999999993</v>
      </c>
      <c r="D95" s="64">
        <v>89.21</v>
      </c>
      <c r="E95" s="64">
        <v>0.45</v>
      </c>
      <c r="F95" s="64">
        <v>1.7</v>
      </c>
      <c r="G95" s="64">
        <v>153.38</v>
      </c>
      <c r="H95" s="64">
        <v>52.6</v>
      </c>
      <c r="I95" s="64">
        <v>1.48</v>
      </c>
      <c r="J95" s="64">
        <v>0.04</v>
      </c>
      <c r="K95" s="64">
        <v>325.95</v>
      </c>
      <c r="L95" s="64">
        <v>23.88</v>
      </c>
      <c r="M95" s="64">
        <v>89.29</v>
      </c>
      <c r="N95" s="64">
        <v>8.9</v>
      </c>
      <c r="O95" s="64">
        <v>0</v>
      </c>
      <c r="P95" s="64">
        <v>2.38</v>
      </c>
      <c r="Q95" s="64">
        <v>2.31</v>
      </c>
      <c r="R95" s="198"/>
      <c r="S95" s="198"/>
      <c r="T95" s="198"/>
      <c r="U95" s="198"/>
    </row>
    <row r="96" spans="1:26" s="12" customFormat="1" x14ac:dyDescent="0.25">
      <c r="A96" s="214" t="s">
        <v>1485</v>
      </c>
      <c r="B96" s="64">
        <v>34.6</v>
      </c>
      <c r="C96" s="64">
        <v>72.489999999999995</v>
      </c>
      <c r="D96" s="64">
        <v>69.040000000000006</v>
      </c>
      <c r="E96" s="64">
        <v>0.28999999999999998</v>
      </c>
      <c r="F96" s="64">
        <v>1.26</v>
      </c>
      <c r="G96" s="64">
        <v>222.16</v>
      </c>
      <c r="H96" s="64">
        <v>57.48</v>
      </c>
      <c r="I96" s="64">
        <v>1.46</v>
      </c>
      <c r="J96" s="64">
        <v>0.06</v>
      </c>
      <c r="K96" s="64">
        <v>247.64</v>
      </c>
      <c r="L96" s="64">
        <v>23.7</v>
      </c>
      <c r="M96" s="64">
        <v>86.01</v>
      </c>
      <c r="N96" s="64">
        <v>8.8000000000000007</v>
      </c>
      <c r="O96" s="64">
        <v>0</v>
      </c>
      <c r="P96" s="64">
        <v>1.59</v>
      </c>
      <c r="Q96" s="64">
        <v>5.88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1486</v>
      </c>
      <c r="B97" s="64">
        <v>33.43</v>
      </c>
      <c r="C97" s="64">
        <v>59.83</v>
      </c>
      <c r="D97" s="64">
        <v>61.12</v>
      </c>
      <c r="E97" s="64">
        <v>0.28000000000000003</v>
      </c>
      <c r="F97" s="64">
        <v>7.07</v>
      </c>
      <c r="G97" s="64">
        <v>222.16</v>
      </c>
      <c r="H97" s="64">
        <v>57.48</v>
      </c>
      <c r="I97" s="64">
        <v>1.44</v>
      </c>
      <c r="J97" s="64">
        <v>0.11</v>
      </c>
      <c r="K97" s="64">
        <v>250.37</v>
      </c>
      <c r="L97" s="64">
        <v>23.75</v>
      </c>
      <c r="M97" s="64">
        <v>82.63</v>
      </c>
      <c r="N97" s="64">
        <v>8.6999999999999993</v>
      </c>
      <c r="O97" s="64">
        <v>0</v>
      </c>
      <c r="P97" s="64">
        <v>1.49</v>
      </c>
      <c r="Q97" s="64">
        <v>6.08</v>
      </c>
      <c r="R97" s="198"/>
      <c r="S97" s="198"/>
      <c r="T97" s="198"/>
      <c r="U97" s="198"/>
    </row>
    <row r="98" spans="1:33" s="12" customFormat="1" x14ac:dyDescent="0.25">
      <c r="A98" s="214" t="s">
        <v>1487</v>
      </c>
      <c r="B98" s="64">
        <v>8.4</v>
      </c>
      <c r="C98" s="64">
        <v>42.71</v>
      </c>
      <c r="D98" s="64">
        <v>31.6</v>
      </c>
      <c r="E98" s="64">
        <v>0.25</v>
      </c>
      <c r="F98" s="64">
        <v>12.4</v>
      </c>
      <c r="G98" s="64">
        <v>222.16</v>
      </c>
      <c r="H98" s="64">
        <v>57.48</v>
      </c>
      <c r="I98" s="64">
        <v>1.44</v>
      </c>
      <c r="J98" s="64">
        <v>0.09</v>
      </c>
      <c r="K98" s="64">
        <v>245.49</v>
      </c>
      <c r="L98" s="64">
        <v>24.08</v>
      </c>
      <c r="M98" s="64">
        <v>80.010000000000005</v>
      </c>
      <c r="N98" s="64">
        <v>8.6</v>
      </c>
      <c r="O98" s="64">
        <v>0</v>
      </c>
      <c r="P98" s="64">
        <v>0.84</v>
      </c>
      <c r="Q98" s="64">
        <v>9.16</v>
      </c>
      <c r="R98" s="198"/>
      <c r="S98" s="198"/>
      <c r="T98" s="198"/>
      <c r="U98" s="198"/>
    </row>
    <row r="99" spans="1:33" s="12" customFormat="1" x14ac:dyDescent="0.25">
      <c r="A99" s="214" t="s">
        <v>1488</v>
      </c>
      <c r="B99" s="64">
        <v>44.08</v>
      </c>
      <c r="C99" s="64">
        <v>46.74</v>
      </c>
      <c r="D99" s="64">
        <v>62.44</v>
      </c>
      <c r="E99" s="64">
        <v>0.26</v>
      </c>
      <c r="F99" s="64">
        <v>3.59</v>
      </c>
      <c r="G99" s="64">
        <v>203.53</v>
      </c>
      <c r="H99" s="64">
        <v>53.43</v>
      </c>
      <c r="I99" s="64">
        <v>1.44</v>
      </c>
      <c r="J99" s="64">
        <v>0.09</v>
      </c>
      <c r="K99" s="64">
        <v>345.5</v>
      </c>
      <c r="L99" s="64">
        <v>23.98</v>
      </c>
      <c r="M99" s="64">
        <v>84.86</v>
      </c>
      <c r="N99" s="64">
        <v>9.1</v>
      </c>
      <c r="O99" s="64">
        <v>0</v>
      </c>
      <c r="P99" s="64">
        <v>1.7</v>
      </c>
      <c r="Q99" s="64">
        <v>7.04</v>
      </c>
      <c r="R99" s="198"/>
      <c r="S99" s="198"/>
      <c r="T99" s="198"/>
      <c r="U99" s="198"/>
    </row>
    <row r="100" spans="1:33" s="12" customFormat="1" x14ac:dyDescent="0.25">
      <c r="A100" s="214" t="s">
        <v>1489</v>
      </c>
      <c r="B100" s="64">
        <v>27.62</v>
      </c>
      <c r="C100" s="64">
        <v>42.91</v>
      </c>
      <c r="D100" s="64">
        <v>47.13</v>
      </c>
      <c r="E100" s="64">
        <v>0.28000000000000003</v>
      </c>
      <c r="F100" s="64">
        <v>1</v>
      </c>
      <c r="G100" s="64">
        <v>117.38</v>
      </c>
      <c r="H100" s="64">
        <v>39.380000000000003</v>
      </c>
      <c r="I100" s="64">
        <v>1.49</v>
      </c>
      <c r="J100" s="64">
        <v>0.04</v>
      </c>
      <c r="K100" s="64">
        <v>255.61</v>
      </c>
      <c r="L100" s="64">
        <v>23.43</v>
      </c>
      <c r="M100" s="64">
        <v>87.59</v>
      </c>
      <c r="N100" s="64">
        <v>8.9</v>
      </c>
      <c r="O100" s="64">
        <v>0</v>
      </c>
      <c r="P100" s="64">
        <v>1.51</v>
      </c>
      <c r="Q100" s="64">
        <v>7.22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1490</v>
      </c>
      <c r="B101" s="64">
        <v>23.41</v>
      </c>
      <c r="C101" s="64">
        <v>48.33</v>
      </c>
      <c r="D101" s="64">
        <v>46.74</v>
      </c>
      <c r="E101" s="64">
        <v>0.24</v>
      </c>
      <c r="F101" s="64">
        <v>1.48</v>
      </c>
      <c r="G101" s="64">
        <v>117.38</v>
      </c>
      <c r="H101" s="64">
        <v>39.380000000000003</v>
      </c>
      <c r="I101" s="64">
        <v>1.51</v>
      </c>
      <c r="J101" s="64">
        <v>7.0000000000000007E-2</v>
      </c>
      <c r="K101" s="64">
        <v>252.94</v>
      </c>
      <c r="L101" s="64">
        <v>23.24</v>
      </c>
      <c r="M101" s="64">
        <v>87.91</v>
      </c>
      <c r="N101" s="64">
        <v>8.9</v>
      </c>
      <c r="O101" s="64">
        <v>0</v>
      </c>
      <c r="P101" s="64">
        <v>1.25</v>
      </c>
      <c r="Q101" s="64">
        <v>8.02</v>
      </c>
      <c r="R101" s="198"/>
      <c r="S101" s="198"/>
      <c r="T101" s="198"/>
      <c r="U101" s="198"/>
    </row>
    <row r="102" spans="1:33" s="12" customFormat="1" x14ac:dyDescent="0.25">
      <c r="A102" s="214" t="s">
        <v>1491</v>
      </c>
      <c r="B102" s="64">
        <v>41.44</v>
      </c>
      <c r="C102" s="64">
        <v>40.869999999999997</v>
      </c>
      <c r="D102" s="64">
        <v>57.08</v>
      </c>
      <c r="E102" s="64">
        <v>0.23</v>
      </c>
      <c r="F102" s="64">
        <v>2.4700000000000002</v>
      </c>
      <c r="G102" s="64">
        <v>117.38</v>
      </c>
      <c r="H102" s="64">
        <v>39.380000000000003</v>
      </c>
      <c r="I102" s="64">
        <v>1.56</v>
      </c>
      <c r="J102" s="64">
        <v>0.12</v>
      </c>
      <c r="K102" s="64">
        <v>302.68</v>
      </c>
      <c r="L102" s="64">
        <v>23.12</v>
      </c>
      <c r="M102" s="64">
        <v>91.88</v>
      </c>
      <c r="N102" s="64">
        <v>8.8000000000000007</v>
      </c>
      <c r="O102" s="64">
        <v>0</v>
      </c>
      <c r="P102" s="64">
        <v>1.62</v>
      </c>
      <c r="Q102" s="64">
        <v>7.67</v>
      </c>
      <c r="R102" s="198"/>
      <c r="S102" s="198"/>
      <c r="T102" s="198"/>
      <c r="U102" s="198"/>
    </row>
    <row r="103" spans="1:33" s="12" customFormat="1" x14ac:dyDescent="0.25">
      <c r="A103" s="214" t="s">
        <v>1492</v>
      </c>
      <c r="B103" s="64">
        <v>37.03</v>
      </c>
      <c r="C103" s="64">
        <v>36.450000000000003</v>
      </c>
      <c r="D103" s="64">
        <v>51.1</v>
      </c>
      <c r="E103" s="64">
        <v>0.25</v>
      </c>
      <c r="F103" s="64">
        <v>1.45</v>
      </c>
      <c r="G103" s="64">
        <v>120.3</v>
      </c>
      <c r="H103" s="64">
        <v>39.36</v>
      </c>
      <c r="I103" s="64">
        <v>1.44</v>
      </c>
      <c r="J103" s="64">
        <v>0.06</v>
      </c>
      <c r="K103" s="64">
        <v>185.19</v>
      </c>
      <c r="L103" s="64">
        <v>22.86</v>
      </c>
      <c r="M103" s="64">
        <v>93.41</v>
      </c>
      <c r="N103" s="64">
        <v>8.8000000000000007</v>
      </c>
      <c r="O103" s="64">
        <v>0</v>
      </c>
      <c r="P103" s="64">
        <v>1.56</v>
      </c>
      <c r="Q103" s="64">
        <v>7.27</v>
      </c>
      <c r="R103" s="198"/>
      <c r="S103" s="198"/>
      <c r="T103" s="198"/>
      <c r="U103" s="198"/>
    </row>
    <row r="104" spans="1:33" s="12" customFormat="1" x14ac:dyDescent="0.25">
      <c r="A104" s="214" t="s">
        <v>1493</v>
      </c>
      <c r="B104" s="64">
        <v>25.94</v>
      </c>
      <c r="C104" s="64">
        <v>45.28</v>
      </c>
      <c r="D104" s="64">
        <v>47.08</v>
      </c>
      <c r="E104" s="64">
        <v>0.13</v>
      </c>
      <c r="F104" s="64">
        <v>1.06</v>
      </c>
      <c r="G104" s="64">
        <v>133.82</v>
      </c>
      <c r="H104" s="64">
        <v>39.29</v>
      </c>
      <c r="I104" s="64">
        <v>1.57</v>
      </c>
      <c r="J104" s="64">
        <v>0.12</v>
      </c>
      <c r="K104" s="64">
        <v>263.94</v>
      </c>
      <c r="L104" s="64">
        <v>22.75</v>
      </c>
      <c r="M104" s="64">
        <v>93.3</v>
      </c>
      <c r="N104" s="64">
        <v>8.8000000000000007</v>
      </c>
      <c r="O104" s="64">
        <v>0</v>
      </c>
      <c r="P104" s="64">
        <v>1.0900000000000001</v>
      </c>
      <c r="Q104" s="64">
        <v>7.36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</v>
      </c>
      <c r="C106" s="67">
        <f>MIN(C9:C104)</f>
        <v>10.67</v>
      </c>
      <c r="D106" s="67">
        <f t="shared" ref="D106:Q106" si="0">MIN(D9:D104)</f>
        <v>8.7799999999999994</v>
      </c>
      <c r="E106" s="67">
        <f t="shared" si="0"/>
        <v>0.13</v>
      </c>
      <c r="F106" s="67">
        <f t="shared" si="0"/>
        <v>0.23</v>
      </c>
      <c r="G106" s="67">
        <f t="shared" si="0"/>
        <v>44.32</v>
      </c>
      <c r="H106" s="67">
        <f t="shared" si="0"/>
        <v>0.13</v>
      </c>
      <c r="I106" s="67">
        <f t="shared" si="0"/>
        <v>1.37</v>
      </c>
      <c r="J106" s="67">
        <f t="shared" si="0"/>
        <v>0.01</v>
      </c>
      <c r="K106" s="67">
        <f t="shared" si="0"/>
        <v>7.22</v>
      </c>
      <c r="L106" s="67">
        <f t="shared" si="0"/>
        <v>21.35</v>
      </c>
      <c r="M106" s="67">
        <f t="shared" si="0"/>
        <v>47.16</v>
      </c>
      <c r="N106" s="67">
        <f t="shared" si="0"/>
        <v>7.9</v>
      </c>
      <c r="O106" s="67">
        <f t="shared" si="0"/>
        <v>0</v>
      </c>
      <c r="P106" s="67">
        <f t="shared" si="0"/>
        <v>0.39</v>
      </c>
      <c r="Q106" s="67">
        <f t="shared" si="0"/>
        <v>0.05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102.89</v>
      </c>
      <c r="C107" s="66">
        <f t="shared" ref="C107:Q107" si="1">MAX(C9:C104)</f>
        <v>115.11</v>
      </c>
      <c r="D107" s="66">
        <f t="shared" si="1"/>
        <v>141.71</v>
      </c>
      <c r="E107" s="66">
        <f t="shared" si="1"/>
        <v>609.1</v>
      </c>
      <c r="F107" s="66">
        <f t="shared" si="1"/>
        <v>31.06</v>
      </c>
      <c r="G107" s="66">
        <f t="shared" si="1"/>
        <v>230.98</v>
      </c>
      <c r="H107" s="66">
        <f t="shared" si="1"/>
        <v>77.81</v>
      </c>
      <c r="I107" s="66">
        <f t="shared" si="1"/>
        <v>1.59</v>
      </c>
      <c r="J107" s="66">
        <f t="shared" si="1"/>
        <v>1.17</v>
      </c>
      <c r="K107" s="66">
        <f t="shared" si="1"/>
        <v>357.11</v>
      </c>
      <c r="L107" s="66">
        <f t="shared" si="1"/>
        <v>30.95</v>
      </c>
      <c r="M107" s="66">
        <f t="shared" si="1"/>
        <v>98.9</v>
      </c>
      <c r="N107" s="66">
        <f t="shared" si="1"/>
        <v>736.3</v>
      </c>
      <c r="O107" s="66">
        <f t="shared" si="1"/>
        <v>0</v>
      </c>
      <c r="P107" s="66">
        <f t="shared" si="1"/>
        <v>3.42</v>
      </c>
      <c r="Q107" s="66">
        <f t="shared" si="1"/>
        <v>14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28.578541666666663</v>
      </c>
      <c r="C108" s="67">
        <f t="shared" ref="C108:Q108" si="2">AVERAGE(C9:C104)</f>
        <v>33.297604166666666</v>
      </c>
      <c r="D108" s="67">
        <f t="shared" si="2"/>
        <v>42.5859375</v>
      </c>
      <c r="E108" s="67">
        <f t="shared" si="2"/>
        <v>17.899894736842118</v>
      </c>
      <c r="F108" s="67">
        <f t="shared" si="2"/>
        <v>6.1241666666666674</v>
      </c>
      <c r="G108" s="67">
        <f t="shared" si="2"/>
        <v>103.40697674418598</v>
      </c>
      <c r="H108" s="67">
        <f t="shared" si="2"/>
        <v>36.061046511627914</v>
      </c>
      <c r="I108" s="67">
        <f t="shared" si="2"/>
        <v>1.4866666666666666</v>
      </c>
      <c r="J108" s="67">
        <f t="shared" si="2"/>
        <v>0.24736842105263152</v>
      </c>
      <c r="K108" s="67">
        <f t="shared" si="2"/>
        <v>198.52458333333334</v>
      </c>
      <c r="L108" s="67">
        <f t="shared" si="2"/>
        <v>25.77791666666667</v>
      </c>
      <c r="M108" s="67">
        <f t="shared" si="2"/>
        <v>75.204583333333332</v>
      </c>
      <c r="N108" s="67">
        <f t="shared" si="2"/>
        <v>91.583950617283961</v>
      </c>
      <c r="O108" s="67">
        <f t="shared" si="2"/>
        <v>0</v>
      </c>
      <c r="P108" s="67">
        <f t="shared" si="2"/>
        <v>1.2192708333333335</v>
      </c>
      <c r="Q108" s="67">
        <f t="shared" si="2"/>
        <v>6.3783695652173904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21.827744680815691</v>
      </c>
      <c r="C109" s="67">
        <f t="shared" ref="C109:Q109" si="3">STDEV(C9:C104)</f>
        <v>25.193756901882281</v>
      </c>
      <c r="D109" s="67">
        <f t="shared" si="3"/>
        <v>28.452462388235347</v>
      </c>
      <c r="E109" s="67">
        <f t="shared" si="3"/>
        <v>79.749464634963331</v>
      </c>
      <c r="F109" s="67">
        <f t="shared" si="3"/>
        <v>7.2404976081782593</v>
      </c>
      <c r="G109" s="67">
        <f t="shared" si="3"/>
        <v>53.282097889049879</v>
      </c>
      <c r="H109" s="67">
        <f t="shared" si="3"/>
        <v>23.247413013776494</v>
      </c>
      <c r="I109" s="67">
        <f t="shared" si="3"/>
        <v>4.0305848254425486E-2</v>
      </c>
      <c r="J109" s="67">
        <f t="shared" si="3"/>
        <v>0.2775278806247693</v>
      </c>
      <c r="K109" s="67">
        <f t="shared" si="3"/>
        <v>93.132893594573972</v>
      </c>
      <c r="L109" s="67">
        <f t="shared" si="3"/>
        <v>3.4092372712866204</v>
      </c>
      <c r="M109" s="67">
        <f t="shared" si="3"/>
        <v>20.186230372872178</v>
      </c>
      <c r="N109" s="67">
        <f t="shared" si="3"/>
        <v>164.37440681017688</v>
      </c>
      <c r="O109" s="67">
        <f t="shared" si="3"/>
        <v>0</v>
      </c>
      <c r="P109" s="67">
        <f t="shared" si="3"/>
        <v>0.67186503154579647</v>
      </c>
      <c r="Q109" s="67">
        <f t="shared" si="3"/>
        <v>3.0289334710110141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>COUNT(E9:E104)+1</f>
        <v>96</v>
      </c>
      <c r="F110" s="66">
        <f t="shared" si="4"/>
        <v>96</v>
      </c>
      <c r="G110" s="66">
        <f>COUNT(G9:G104)+10</f>
        <v>96</v>
      </c>
      <c r="H110" s="66">
        <f>COUNT(H9:H104)+10</f>
        <v>96</v>
      </c>
      <c r="I110" s="66">
        <f>COUNT(I9:I104)</f>
        <v>96</v>
      </c>
      <c r="J110" s="66">
        <f>COUNT(J9:J104)+1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COUNT(N9:N104)+15</f>
        <v>96</v>
      </c>
      <c r="O110" s="66">
        <f t="shared" si="4"/>
        <v>96</v>
      </c>
      <c r="P110" s="66">
        <f t="shared" si="4"/>
        <v>96</v>
      </c>
      <c r="Q110" s="66">
        <f>COUNT(Q9:Q104)+4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1494</v>
      </c>
      <c r="B9" s="64">
        <v>25.79</v>
      </c>
      <c r="C9" s="64">
        <v>35.53</v>
      </c>
      <c r="D9" s="64">
        <v>41.58</v>
      </c>
      <c r="E9" s="64">
        <v>0.11</v>
      </c>
      <c r="F9" s="64">
        <v>5.53</v>
      </c>
      <c r="G9" s="64">
        <v>133.82</v>
      </c>
      <c r="H9" s="64">
        <v>39.29</v>
      </c>
      <c r="I9" s="64">
        <v>1.57</v>
      </c>
      <c r="J9" s="64">
        <v>7.0000000000000007E-2</v>
      </c>
      <c r="K9" s="64">
        <v>273.76</v>
      </c>
      <c r="L9" s="64">
        <v>22.92</v>
      </c>
      <c r="M9" s="64">
        <v>88.57</v>
      </c>
      <c r="N9" s="64">
        <v>8.8000000000000007</v>
      </c>
      <c r="O9" s="64">
        <v>0</v>
      </c>
      <c r="P9" s="64">
        <v>1.17</v>
      </c>
      <c r="Q9" s="64">
        <v>8.15</v>
      </c>
      <c r="R9" s="198"/>
      <c r="S9" s="198"/>
      <c r="T9" s="198"/>
      <c r="U9" s="198"/>
    </row>
    <row r="10" spans="1:21" s="12" customFormat="1" x14ac:dyDescent="0.25">
      <c r="A10" s="214" t="s">
        <v>1495</v>
      </c>
      <c r="B10" s="64">
        <v>37.31</v>
      </c>
      <c r="C10" s="64">
        <v>25.17</v>
      </c>
      <c r="D10" s="64">
        <v>45.1</v>
      </c>
      <c r="E10" s="64">
        <v>0.22</v>
      </c>
      <c r="F10" s="64">
        <v>2.27</v>
      </c>
      <c r="G10" s="64">
        <v>133.82</v>
      </c>
      <c r="H10" s="64">
        <v>39.29</v>
      </c>
      <c r="I10" s="64">
        <v>1.47</v>
      </c>
      <c r="J10" s="64">
        <v>0.14000000000000001</v>
      </c>
      <c r="K10" s="64">
        <v>297.87</v>
      </c>
      <c r="L10" s="64">
        <v>22.69</v>
      </c>
      <c r="M10" s="64">
        <v>93.22</v>
      </c>
      <c r="N10" s="64">
        <v>8.8000000000000007</v>
      </c>
      <c r="O10" s="64">
        <v>0</v>
      </c>
      <c r="P10" s="64">
        <v>1.63</v>
      </c>
      <c r="Q10" s="64">
        <v>7.67</v>
      </c>
      <c r="R10" s="198"/>
      <c r="S10" s="198"/>
      <c r="T10" s="198"/>
      <c r="U10" s="198"/>
    </row>
    <row r="11" spans="1:21" s="12" customFormat="1" x14ac:dyDescent="0.25">
      <c r="A11" s="214" t="s">
        <v>1496</v>
      </c>
      <c r="B11" s="64">
        <v>16.34</v>
      </c>
      <c r="C11" s="64">
        <v>45.17</v>
      </c>
      <c r="D11" s="64">
        <v>39.32</v>
      </c>
      <c r="E11" s="64">
        <v>0.24</v>
      </c>
      <c r="F11" s="64">
        <v>2.75</v>
      </c>
      <c r="G11" s="64">
        <v>131.41</v>
      </c>
      <c r="H11" s="64">
        <v>39.31</v>
      </c>
      <c r="I11" s="64">
        <v>1.48</v>
      </c>
      <c r="J11" s="64">
        <v>0.05</v>
      </c>
      <c r="K11" s="64">
        <v>249.6</v>
      </c>
      <c r="L11" s="64">
        <v>22.37</v>
      </c>
      <c r="M11" s="64">
        <v>92.92</v>
      </c>
      <c r="N11" s="64">
        <v>8.9</v>
      </c>
      <c r="O11" s="64">
        <v>0</v>
      </c>
      <c r="P11" s="64">
        <v>1.05</v>
      </c>
      <c r="Q11" s="64">
        <v>7.69</v>
      </c>
      <c r="R11" s="198"/>
      <c r="S11" s="198"/>
      <c r="T11" s="198"/>
      <c r="U11" s="198"/>
    </row>
    <row r="12" spans="1:21" s="12" customFormat="1" x14ac:dyDescent="0.25">
      <c r="A12" s="214" t="s">
        <v>1497</v>
      </c>
      <c r="B12" s="64">
        <v>22.02</v>
      </c>
      <c r="C12" s="64">
        <v>29.44</v>
      </c>
      <c r="D12" s="64">
        <v>35.19</v>
      </c>
      <c r="E12" s="64">
        <v>0.27</v>
      </c>
      <c r="F12" s="64">
        <v>6.72</v>
      </c>
      <c r="G12" s="64">
        <v>120.27</v>
      </c>
      <c r="H12" s="64">
        <v>39.409999999999997</v>
      </c>
      <c r="I12" s="64">
        <v>1.52</v>
      </c>
      <c r="J12" s="64">
        <v>0.14000000000000001</v>
      </c>
      <c r="K12" s="64">
        <v>220.51</v>
      </c>
      <c r="L12" s="64">
        <v>22.66</v>
      </c>
      <c r="M12" s="64">
        <v>88.17</v>
      </c>
      <c r="N12" s="64">
        <v>8.1999999999999993</v>
      </c>
      <c r="O12" s="64">
        <v>0</v>
      </c>
      <c r="P12" s="64">
        <v>1.25</v>
      </c>
      <c r="Q12" s="64">
        <v>8.17</v>
      </c>
      <c r="R12" s="198"/>
      <c r="S12" s="198"/>
      <c r="T12" s="198"/>
      <c r="U12" s="198"/>
    </row>
    <row r="13" spans="1:21" s="12" customFormat="1" x14ac:dyDescent="0.25">
      <c r="A13" s="214" t="s">
        <v>1498</v>
      </c>
      <c r="B13" s="64">
        <v>11.75</v>
      </c>
      <c r="C13" s="64">
        <v>24.65</v>
      </c>
      <c r="D13" s="64">
        <v>24.32</v>
      </c>
      <c r="E13" s="64">
        <v>0.24</v>
      </c>
      <c r="F13" s="64">
        <v>8.5399999999999991</v>
      </c>
      <c r="G13" s="64">
        <v>120.27</v>
      </c>
      <c r="H13" s="64">
        <v>39.409999999999997</v>
      </c>
      <c r="I13" s="64">
        <v>1.48</v>
      </c>
      <c r="J13" s="64">
        <v>0.1</v>
      </c>
      <c r="K13" s="64">
        <v>159.62</v>
      </c>
      <c r="L13" s="64">
        <v>22.93</v>
      </c>
      <c r="M13" s="64">
        <v>92.05</v>
      </c>
      <c r="N13" s="64">
        <v>8.6</v>
      </c>
      <c r="O13" s="64">
        <v>0</v>
      </c>
      <c r="P13" s="64">
        <v>0.79</v>
      </c>
      <c r="Q13" s="64">
        <v>8.6</v>
      </c>
      <c r="R13" s="198"/>
      <c r="S13" s="198"/>
      <c r="T13" s="198"/>
      <c r="U13" s="198"/>
    </row>
    <row r="14" spans="1:21" s="12" customFormat="1" x14ac:dyDescent="0.25">
      <c r="A14" s="214" t="s">
        <v>1499</v>
      </c>
      <c r="B14" s="64">
        <v>18.68</v>
      </c>
      <c r="C14" s="64">
        <v>18.43</v>
      </c>
      <c r="D14" s="64">
        <v>26.44</v>
      </c>
      <c r="E14" s="64">
        <v>0.25</v>
      </c>
      <c r="F14" s="64">
        <v>6.72</v>
      </c>
      <c r="G14" s="64">
        <v>120.27</v>
      </c>
      <c r="H14" s="64">
        <v>39.409999999999997</v>
      </c>
      <c r="I14" s="64">
        <v>1.5</v>
      </c>
      <c r="J14" s="64">
        <v>0.09</v>
      </c>
      <c r="K14" s="64">
        <v>211.14</v>
      </c>
      <c r="L14" s="64">
        <v>22.68</v>
      </c>
      <c r="M14" s="64">
        <v>95.11</v>
      </c>
      <c r="N14" s="64">
        <v>8.6999999999999993</v>
      </c>
      <c r="O14" s="64">
        <v>0</v>
      </c>
      <c r="P14" s="64">
        <v>1.05</v>
      </c>
      <c r="Q14" s="64">
        <v>8.73</v>
      </c>
      <c r="R14" s="198"/>
      <c r="S14" s="198"/>
      <c r="T14" s="198"/>
      <c r="U14" s="198"/>
    </row>
    <row r="15" spans="1:21" s="12" customFormat="1" x14ac:dyDescent="0.25">
      <c r="A15" s="214" t="s">
        <v>1500</v>
      </c>
      <c r="B15" s="64">
        <v>26.73</v>
      </c>
      <c r="C15" s="64">
        <v>21.49</v>
      </c>
      <c r="D15" s="64">
        <v>34.590000000000003</v>
      </c>
      <c r="E15" s="64">
        <v>0.31</v>
      </c>
      <c r="F15" s="64">
        <v>2.87</v>
      </c>
      <c r="G15" s="64">
        <v>114.06</v>
      </c>
      <c r="H15" s="64">
        <v>36.299999999999997</v>
      </c>
      <c r="I15" s="64">
        <v>1.46</v>
      </c>
      <c r="J15" s="64">
        <v>0.02</v>
      </c>
      <c r="K15" s="64">
        <v>358.06</v>
      </c>
      <c r="L15" s="64">
        <v>22.82</v>
      </c>
      <c r="M15" s="64">
        <v>93.69</v>
      </c>
      <c r="N15" s="64">
        <v>8.5</v>
      </c>
      <c r="O15" s="64">
        <v>0</v>
      </c>
      <c r="P15" s="64">
        <v>1.19</v>
      </c>
      <c r="Q15" s="64">
        <v>7.99</v>
      </c>
      <c r="R15" s="198"/>
      <c r="S15" s="198"/>
      <c r="T15" s="198"/>
      <c r="U15" s="198"/>
    </row>
    <row r="16" spans="1:21" s="12" customFormat="1" x14ac:dyDescent="0.25">
      <c r="A16" s="214" t="s">
        <v>1501</v>
      </c>
      <c r="B16" s="64">
        <v>24.79</v>
      </c>
      <c r="C16" s="64">
        <v>18.350000000000001</v>
      </c>
      <c r="D16" s="64">
        <v>31.3</v>
      </c>
      <c r="E16" s="64">
        <v>0.35</v>
      </c>
      <c r="F16" s="64">
        <v>3.68</v>
      </c>
      <c r="G16" s="64">
        <v>82.96</v>
      </c>
      <c r="H16" s="64">
        <v>25.54</v>
      </c>
      <c r="I16" s="64">
        <v>1.48</v>
      </c>
      <c r="J16" s="64">
        <v>0.03</v>
      </c>
      <c r="K16" s="64">
        <v>191.64</v>
      </c>
      <c r="L16" s="64">
        <v>22.64</v>
      </c>
      <c r="M16" s="64">
        <v>96.15</v>
      </c>
      <c r="N16" s="64">
        <v>8.6999999999999993</v>
      </c>
      <c r="O16" s="64">
        <v>0</v>
      </c>
      <c r="P16" s="64">
        <v>1.1499999999999999</v>
      </c>
      <c r="Q16" s="64">
        <v>7.35</v>
      </c>
      <c r="R16" s="198"/>
      <c r="S16" s="198"/>
      <c r="T16" s="198"/>
      <c r="U16" s="198"/>
    </row>
    <row r="17" spans="1:21" s="12" customFormat="1" x14ac:dyDescent="0.25">
      <c r="A17" s="214" t="s">
        <v>1502</v>
      </c>
      <c r="B17" s="64">
        <v>24.4</v>
      </c>
      <c r="C17" s="64">
        <v>16.079999999999998</v>
      </c>
      <c r="D17" s="64">
        <v>29.73</v>
      </c>
      <c r="E17" s="64">
        <v>0.24</v>
      </c>
      <c r="F17" s="64">
        <v>4.54</v>
      </c>
      <c r="G17" s="64">
        <v>82.96</v>
      </c>
      <c r="H17" s="64">
        <v>25.54</v>
      </c>
      <c r="I17" s="64">
        <v>1.51</v>
      </c>
      <c r="J17" s="64">
        <v>0.08</v>
      </c>
      <c r="K17" s="64">
        <v>194.49</v>
      </c>
      <c r="L17" s="64">
        <v>22.45</v>
      </c>
      <c r="M17" s="64">
        <v>98.16</v>
      </c>
      <c r="N17" s="64">
        <v>8.5</v>
      </c>
      <c r="O17" s="64">
        <v>0</v>
      </c>
      <c r="P17" s="64">
        <v>1.1000000000000001</v>
      </c>
      <c r="Q17" s="64">
        <v>7.61</v>
      </c>
      <c r="R17" s="198"/>
      <c r="S17" s="198"/>
      <c r="T17" s="198"/>
      <c r="U17" s="198"/>
    </row>
    <row r="18" spans="1:21" s="12" customFormat="1" x14ac:dyDescent="0.25">
      <c r="A18" s="214" t="s">
        <v>1503</v>
      </c>
      <c r="B18" s="64">
        <v>30.78</v>
      </c>
      <c r="C18" s="64">
        <v>13.1</v>
      </c>
      <c r="D18" s="64">
        <v>33.200000000000003</v>
      </c>
      <c r="E18" s="64">
        <v>0.3</v>
      </c>
      <c r="F18" s="64">
        <v>1.68</v>
      </c>
      <c r="G18" s="64">
        <v>82.96</v>
      </c>
      <c r="H18" s="64">
        <v>25.54</v>
      </c>
      <c r="I18" s="64">
        <v>1.48</v>
      </c>
      <c r="J18" s="64">
        <v>0.02</v>
      </c>
      <c r="K18" s="64">
        <v>155.87</v>
      </c>
      <c r="L18" s="64">
        <v>22.19</v>
      </c>
      <c r="M18" s="64">
        <v>98.84</v>
      </c>
      <c r="N18" s="64">
        <v>8.8000000000000007</v>
      </c>
      <c r="O18" s="64">
        <v>0</v>
      </c>
      <c r="P18" s="64">
        <v>1.39</v>
      </c>
      <c r="Q18" s="64">
        <v>7.06</v>
      </c>
      <c r="R18" s="198"/>
      <c r="S18" s="198"/>
      <c r="T18" s="198"/>
      <c r="U18" s="198"/>
    </row>
    <row r="19" spans="1:21" s="12" customFormat="1" x14ac:dyDescent="0.25">
      <c r="A19" s="214" t="s">
        <v>1504</v>
      </c>
      <c r="B19" s="64">
        <v>14.85</v>
      </c>
      <c r="C19" s="64">
        <v>17.22</v>
      </c>
      <c r="D19" s="64">
        <v>22.7</v>
      </c>
      <c r="E19" s="64">
        <v>0.26</v>
      </c>
      <c r="F19" s="64">
        <v>4.5</v>
      </c>
      <c r="G19" s="64">
        <v>77.069999999999993</v>
      </c>
      <c r="H19" s="64">
        <v>26.78</v>
      </c>
      <c r="I19" s="64">
        <v>1.52</v>
      </c>
      <c r="J19" s="64">
        <v>0.05</v>
      </c>
      <c r="K19" s="64">
        <v>309.33999999999997</v>
      </c>
      <c r="L19" s="64">
        <v>22.12</v>
      </c>
      <c r="M19" s="64">
        <v>98.28</v>
      </c>
      <c r="N19" s="64">
        <v>8.8000000000000007</v>
      </c>
      <c r="O19" s="64">
        <v>0</v>
      </c>
      <c r="P19" s="64">
        <v>0.88</v>
      </c>
      <c r="Q19" s="64">
        <v>7.18</v>
      </c>
      <c r="R19" s="198"/>
      <c r="S19" s="198"/>
      <c r="T19" s="198"/>
      <c r="U19" s="198"/>
    </row>
    <row r="20" spans="1:21" s="12" customFormat="1" x14ac:dyDescent="0.25">
      <c r="A20" s="214" t="s">
        <v>1505</v>
      </c>
      <c r="B20" s="64">
        <v>25.91</v>
      </c>
      <c r="C20" s="64">
        <v>15.29</v>
      </c>
      <c r="D20" s="64">
        <v>30.51</v>
      </c>
      <c r="E20" s="64">
        <v>0.3</v>
      </c>
      <c r="F20" s="64">
        <v>2.2799999999999998</v>
      </c>
      <c r="G20" s="64">
        <v>47.64</v>
      </c>
      <c r="H20" s="64">
        <v>31.08</v>
      </c>
      <c r="I20" s="64">
        <v>1.47</v>
      </c>
      <c r="J20" s="64">
        <v>7.0000000000000007E-2</v>
      </c>
      <c r="K20" s="64">
        <v>260.39999999999998</v>
      </c>
      <c r="L20" s="64">
        <v>22.37</v>
      </c>
      <c r="M20" s="64">
        <v>94.4</v>
      </c>
      <c r="N20" s="64">
        <v>8.6999999999999993</v>
      </c>
      <c r="O20" s="64">
        <v>0</v>
      </c>
      <c r="P20" s="64">
        <v>1.26</v>
      </c>
      <c r="Q20" s="64">
        <v>7.03</v>
      </c>
      <c r="R20" s="198"/>
      <c r="S20" s="198"/>
      <c r="T20" s="198"/>
      <c r="U20" s="198"/>
    </row>
    <row r="21" spans="1:21" s="12" customFormat="1" x14ac:dyDescent="0.25">
      <c r="A21" s="214" t="s">
        <v>1506</v>
      </c>
      <c r="B21" s="64">
        <v>21.87</v>
      </c>
      <c r="C21" s="64">
        <v>13.84</v>
      </c>
      <c r="D21" s="64">
        <v>26.47</v>
      </c>
      <c r="E21" s="64">
        <v>0.28000000000000003</v>
      </c>
      <c r="F21" s="64">
        <v>2.61</v>
      </c>
      <c r="G21" s="64">
        <v>47.64</v>
      </c>
      <c r="H21" s="64">
        <v>31.08</v>
      </c>
      <c r="I21" s="64">
        <v>1.5</v>
      </c>
      <c r="J21" s="64">
        <v>7.0000000000000007E-2</v>
      </c>
      <c r="K21" s="64">
        <v>216.16</v>
      </c>
      <c r="L21" s="64">
        <v>22.49</v>
      </c>
      <c r="M21" s="64">
        <v>93.16</v>
      </c>
      <c r="N21" s="64">
        <v>8.8000000000000007</v>
      </c>
      <c r="O21" s="64">
        <v>0</v>
      </c>
      <c r="P21" s="64">
        <v>1.1000000000000001</v>
      </c>
      <c r="Q21" s="64">
        <v>6.59</v>
      </c>
      <c r="R21" s="198"/>
      <c r="S21" s="198"/>
      <c r="T21" s="198"/>
      <c r="U21" s="198"/>
    </row>
    <row r="22" spans="1:21" s="12" customFormat="1" x14ac:dyDescent="0.25">
      <c r="A22" s="214" t="s">
        <v>1507</v>
      </c>
      <c r="B22" s="64">
        <v>14.26</v>
      </c>
      <c r="C22" s="64">
        <v>17.43</v>
      </c>
      <c r="D22" s="64">
        <v>22.34</v>
      </c>
      <c r="E22" s="64">
        <v>0.25</v>
      </c>
      <c r="F22" s="64">
        <v>7.38</v>
      </c>
      <c r="G22" s="64">
        <v>47.64</v>
      </c>
      <c r="H22" s="64">
        <v>31.08</v>
      </c>
      <c r="I22" s="64">
        <v>1.52</v>
      </c>
      <c r="J22" s="64">
        <v>0.06</v>
      </c>
      <c r="K22" s="64">
        <v>168.8</v>
      </c>
      <c r="L22" s="64">
        <v>22.37</v>
      </c>
      <c r="M22" s="64">
        <v>94.65</v>
      </c>
      <c r="N22" s="64">
        <v>8.9</v>
      </c>
      <c r="O22" s="64">
        <v>0</v>
      </c>
      <c r="P22" s="64">
        <v>0.78</v>
      </c>
      <c r="Q22" s="64">
        <v>6.96</v>
      </c>
      <c r="R22" s="198"/>
      <c r="S22" s="198"/>
      <c r="T22" s="198"/>
      <c r="U22" s="198"/>
    </row>
    <row r="23" spans="1:21" s="12" customFormat="1" x14ac:dyDescent="0.25">
      <c r="A23" s="214" t="s">
        <v>1508</v>
      </c>
      <c r="B23" s="64">
        <v>13.12</v>
      </c>
      <c r="C23" s="64">
        <v>22.32</v>
      </c>
      <c r="D23" s="64">
        <v>24.13</v>
      </c>
      <c r="E23" s="64">
        <v>0.28000000000000003</v>
      </c>
      <c r="F23" s="64">
        <v>7.19</v>
      </c>
      <c r="G23" s="64">
        <v>49.94</v>
      </c>
      <c r="H23" s="64">
        <v>29.72</v>
      </c>
      <c r="I23" s="64">
        <v>1.48</v>
      </c>
      <c r="J23" s="64">
        <v>0.05</v>
      </c>
      <c r="K23" s="64">
        <v>285.70999999999998</v>
      </c>
      <c r="L23" s="64">
        <v>22.5</v>
      </c>
      <c r="M23" s="64">
        <v>96.11</v>
      </c>
      <c r="N23" s="64">
        <v>8.9</v>
      </c>
      <c r="O23" s="64">
        <v>0</v>
      </c>
      <c r="P23" s="64">
        <v>0.72</v>
      </c>
      <c r="Q23" s="64">
        <v>7.04</v>
      </c>
      <c r="R23" s="198"/>
      <c r="S23" s="198"/>
      <c r="T23" s="198"/>
      <c r="U23" s="198"/>
    </row>
    <row r="24" spans="1:21" s="12" customFormat="1" x14ac:dyDescent="0.25">
      <c r="A24" s="214" t="s">
        <v>1509</v>
      </c>
      <c r="B24" s="64">
        <v>11.98</v>
      </c>
      <c r="C24" s="64">
        <v>23.33</v>
      </c>
      <c r="D24" s="64">
        <v>23.77</v>
      </c>
      <c r="E24" s="64">
        <v>0.17</v>
      </c>
      <c r="F24" s="64">
        <v>4.2699999999999996</v>
      </c>
      <c r="G24" s="64">
        <v>61.42</v>
      </c>
      <c r="H24" s="64">
        <v>25</v>
      </c>
      <c r="I24" s="64">
        <v>1.57</v>
      </c>
      <c r="J24" s="64">
        <v>0.04</v>
      </c>
      <c r="K24" s="64">
        <v>280.44</v>
      </c>
      <c r="L24" s="64">
        <v>22.51</v>
      </c>
      <c r="M24" s="64">
        <v>97.88</v>
      </c>
      <c r="N24" s="64">
        <v>9.1</v>
      </c>
      <c r="O24" s="64">
        <v>0</v>
      </c>
      <c r="P24" s="64">
        <v>0.75</v>
      </c>
      <c r="Q24" s="64">
        <v>6.56</v>
      </c>
      <c r="R24" s="198"/>
      <c r="S24" s="198"/>
      <c r="T24" s="198"/>
      <c r="U24" s="198"/>
    </row>
    <row r="25" spans="1:21" s="12" customFormat="1" x14ac:dyDescent="0.25">
      <c r="A25" s="214" t="s">
        <v>1510</v>
      </c>
      <c r="B25" s="64">
        <v>10.029999999999999</v>
      </c>
      <c r="C25" s="64">
        <v>25.1</v>
      </c>
      <c r="D25" s="64">
        <v>23.19</v>
      </c>
      <c r="E25" s="64">
        <v>0.17</v>
      </c>
      <c r="F25" s="64">
        <v>5.46</v>
      </c>
      <c r="G25" s="64">
        <v>61.42</v>
      </c>
      <c r="H25" s="64">
        <v>25</v>
      </c>
      <c r="I25" s="64">
        <v>1.43</v>
      </c>
      <c r="J25" s="64">
        <v>0.1</v>
      </c>
      <c r="K25" s="64">
        <v>201.34</v>
      </c>
      <c r="L25" s="64">
        <v>22.58</v>
      </c>
      <c r="M25" s="64">
        <v>95.41</v>
      </c>
      <c r="N25" s="64">
        <v>8.9</v>
      </c>
      <c r="O25" s="64">
        <v>0</v>
      </c>
      <c r="P25" s="64">
        <v>0.71</v>
      </c>
      <c r="Q25" s="64">
        <v>6.73</v>
      </c>
      <c r="R25" s="198"/>
      <c r="S25" s="198"/>
      <c r="T25" s="198"/>
      <c r="U25" s="198"/>
    </row>
    <row r="26" spans="1:21" s="12" customFormat="1" x14ac:dyDescent="0.25">
      <c r="A26" s="214" t="s">
        <v>1511</v>
      </c>
      <c r="B26" s="64">
        <v>14.54</v>
      </c>
      <c r="C26" s="64">
        <v>21.49</v>
      </c>
      <c r="D26" s="64">
        <v>24.81</v>
      </c>
      <c r="E26" s="64">
        <v>0.32</v>
      </c>
      <c r="F26" s="64">
        <v>4.21</v>
      </c>
      <c r="G26" s="64">
        <v>61.42</v>
      </c>
      <c r="H26" s="64">
        <v>25</v>
      </c>
      <c r="I26" s="64">
        <v>1.52</v>
      </c>
      <c r="J26" s="64">
        <v>0.19</v>
      </c>
      <c r="K26" s="64">
        <v>208.45</v>
      </c>
      <c r="L26" s="64">
        <v>22.82</v>
      </c>
      <c r="M26" s="64">
        <v>92.21</v>
      </c>
      <c r="N26" s="64">
        <v>8.6999999999999993</v>
      </c>
      <c r="O26" s="64">
        <v>0</v>
      </c>
      <c r="P26" s="64">
        <v>0.8</v>
      </c>
      <c r="Q26" s="64">
        <v>6.35</v>
      </c>
      <c r="R26" s="198"/>
      <c r="S26" s="198"/>
      <c r="T26" s="198"/>
      <c r="U26" s="198"/>
    </row>
    <row r="27" spans="1:21" s="12" customFormat="1" x14ac:dyDescent="0.25">
      <c r="A27" s="214" t="s">
        <v>1512</v>
      </c>
      <c r="B27" s="64">
        <v>22.01</v>
      </c>
      <c r="C27" s="64">
        <v>13.75</v>
      </c>
      <c r="D27" s="64">
        <v>26.53</v>
      </c>
      <c r="E27" s="64">
        <v>0.26</v>
      </c>
      <c r="F27" s="64">
        <v>2.5</v>
      </c>
      <c r="G27" s="64">
        <v>63.1</v>
      </c>
      <c r="H27" s="64">
        <v>26.39</v>
      </c>
      <c r="I27" s="64">
        <v>1.47</v>
      </c>
      <c r="J27" s="64">
        <v>0.13</v>
      </c>
      <c r="K27" s="64">
        <v>207.64</v>
      </c>
      <c r="L27" s="64">
        <v>22.6</v>
      </c>
      <c r="M27" s="64">
        <v>93.32</v>
      </c>
      <c r="N27" s="64">
        <v>9</v>
      </c>
      <c r="O27" s="64">
        <v>0</v>
      </c>
      <c r="P27" s="64">
        <v>1.1299999999999999</v>
      </c>
      <c r="Q27" s="64">
        <v>6.08</v>
      </c>
      <c r="R27" s="198"/>
      <c r="S27" s="198"/>
      <c r="T27" s="198"/>
      <c r="U27" s="198"/>
    </row>
    <row r="28" spans="1:21" s="12" customFormat="1" x14ac:dyDescent="0.25">
      <c r="A28" s="214" t="s">
        <v>1513</v>
      </c>
      <c r="B28" s="64">
        <v>21.93</v>
      </c>
      <c r="C28" s="64">
        <v>12.54</v>
      </c>
      <c r="D28" s="64">
        <v>25.8</v>
      </c>
      <c r="E28" s="64">
        <v>0.34</v>
      </c>
      <c r="F28" s="64">
        <v>0.94</v>
      </c>
      <c r="G28" s="64">
        <v>71.540000000000006</v>
      </c>
      <c r="H28" s="64">
        <v>31.18</v>
      </c>
      <c r="I28" s="64">
        <v>1.52</v>
      </c>
      <c r="J28" s="64">
        <v>0.04</v>
      </c>
      <c r="K28" s="64">
        <v>217.63</v>
      </c>
      <c r="L28" s="64">
        <v>22.26</v>
      </c>
      <c r="M28" s="64">
        <v>97.36</v>
      </c>
      <c r="N28" s="64">
        <v>9.1</v>
      </c>
      <c r="O28" s="64">
        <v>0</v>
      </c>
      <c r="P28" s="64">
        <v>1.0900000000000001</v>
      </c>
      <c r="Q28" s="64">
        <v>5.72</v>
      </c>
      <c r="R28" s="198"/>
      <c r="S28" s="198"/>
      <c r="T28" s="198"/>
      <c r="U28" s="198"/>
    </row>
    <row r="29" spans="1:21" s="12" customFormat="1" x14ac:dyDescent="0.25">
      <c r="A29" s="214" t="s">
        <v>1514</v>
      </c>
      <c r="B29" s="64">
        <v>18.760000000000002</v>
      </c>
      <c r="C29" s="64">
        <v>13.65</v>
      </c>
      <c r="D29" s="64">
        <v>23.87</v>
      </c>
      <c r="E29" s="64">
        <v>0.28999999999999998</v>
      </c>
      <c r="F29" s="64">
        <v>2.38</v>
      </c>
      <c r="G29" s="64">
        <v>71.540000000000006</v>
      </c>
      <c r="H29" s="64">
        <v>31.18</v>
      </c>
      <c r="I29" s="64">
        <v>1.54</v>
      </c>
      <c r="J29" s="64">
        <v>0.21</v>
      </c>
      <c r="K29" s="64">
        <v>141.18</v>
      </c>
      <c r="L29" s="64">
        <v>22</v>
      </c>
      <c r="M29" s="64">
        <v>98.86</v>
      </c>
      <c r="N29" s="64">
        <v>8.8000000000000007</v>
      </c>
      <c r="O29" s="64">
        <v>0</v>
      </c>
      <c r="P29" s="64">
        <v>0.88</v>
      </c>
      <c r="Q29" s="64">
        <v>5.71</v>
      </c>
      <c r="R29" s="198"/>
      <c r="S29" s="198"/>
      <c r="T29" s="198"/>
      <c r="U29" s="198"/>
    </row>
    <row r="30" spans="1:21" s="12" customFormat="1" x14ac:dyDescent="0.25">
      <c r="A30" s="214" t="s">
        <v>1515</v>
      </c>
      <c r="B30" s="64">
        <v>15.75</v>
      </c>
      <c r="C30" s="64">
        <v>15.19</v>
      </c>
      <c r="D30" s="64">
        <v>22.3</v>
      </c>
      <c r="E30" s="64">
        <v>0.23</v>
      </c>
      <c r="F30" s="64">
        <v>3.32</v>
      </c>
      <c r="G30" s="64">
        <v>71.540000000000006</v>
      </c>
      <c r="H30" s="64">
        <v>31.18</v>
      </c>
      <c r="I30" s="64">
        <v>1.52</v>
      </c>
      <c r="J30" s="64">
        <v>0.14000000000000001</v>
      </c>
      <c r="K30" s="64">
        <v>140.84</v>
      </c>
      <c r="L30" s="64">
        <v>21.96</v>
      </c>
      <c r="M30" s="64">
        <v>98.55</v>
      </c>
      <c r="N30" s="64">
        <v>8.8000000000000007</v>
      </c>
      <c r="O30" s="64">
        <v>0</v>
      </c>
      <c r="P30" s="64">
        <v>0.88</v>
      </c>
      <c r="Q30" s="64">
        <v>5.84</v>
      </c>
      <c r="R30" s="198"/>
      <c r="S30" s="198"/>
      <c r="T30" s="198"/>
      <c r="U30" s="198"/>
    </row>
    <row r="31" spans="1:21" s="12" customFormat="1" x14ac:dyDescent="0.25">
      <c r="A31" s="214" t="s">
        <v>1516</v>
      </c>
      <c r="B31" s="64">
        <v>19.440000000000001</v>
      </c>
      <c r="C31" s="64">
        <v>11.43</v>
      </c>
      <c r="D31" s="64">
        <v>23.19</v>
      </c>
      <c r="E31" s="64">
        <v>0.27</v>
      </c>
      <c r="F31" s="64">
        <v>1.72</v>
      </c>
      <c r="G31" s="64">
        <v>68.75</v>
      </c>
      <c r="H31" s="64">
        <v>27.93</v>
      </c>
      <c r="I31" s="64">
        <v>1.53</v>
      </c>
      <c r="J31" s="64">
        <v>0.01</v>
      </c>
      <c r="K31" s="64">
        <v>277.79000000000002</v>
      </c>
      <c r="L31" s="64">
        <v>21.97</v>
      </c>
      <c r="M31" s="64">
        <v>98.15</v>
      </c>
      <c r="N31" s="64">
        <v>9.6</v>
      </c>
      <c r="O31" s="64">
        <v>0</v>
      </c>
      <c r="P31" s="64">
        <v>1.03</v>
      </c>
      <c r="Q31" s="64">
        <v>5.63</v>
      </c>
      <c r="R31" s="198"/>
      <c r="S31" s="198"/>
      <c r="T31" s="198"/>
      <c r="U31" s="198"/>
    </row>
    <row r="32" spans="1:21" s="12" customFormat="1" x14ac:dyDescent="0.25">
      <c r="A32" s="214" t="s">
        <v>1517</v>
      </c>
      <c r="B32" s="64">
        <v>17.5</v>
      </c>
      <c r="C32" s="64">
        <v>13.46</v>
      </c>
      <c r="D32" s="64">
        <v>22.75</v>
      </c>
      <c r="E32" s="64">
        <v>0.36</v>
      </c>
      <c r="F32" s="64">
        <v>1.34</v>
      </c>
      <c r="G32" s="64">
        <v>54.82</v>
      </c>
      <c r="H32" s="64">
        <v>16.66</v>
      </c>
      <c r="I32" s="64">
        <v>1.51</v>
      </c>
      <c r="J32" s="64">
        <v>0.08</v>
      </c>
      <c r="K32" s="64">
        <v>214.94</v>
      </c>
      <c r="L32" s="64">
        <v>21.95</v>
      </c>
      <c r="M32" s="64">
        <v>98.73</v>
      </c>
      <c r="N32" s="64">
        <v>13.1</v>
      </c>
      <c r="O32" s="64">
        <v>0</v>
      </c>
      <c r="P32" s="64">
        <v>0.85</v>
      </c>
      <c r="Q32" s="64">
        <v>5.56</v>
      </c>
      <c r="R32" s="198"/>
      <c r="S32" s="198"/>
      <c r="T32" s="198"/>
      <c r="U32" s="198"/>
    </row>
    <row r="33" spans="1:21" s="12" customFormat="1" x14ac:dyDescent="0.25">
      <c r="A33" s="214" t="s">
        <v>1518</v>
      </c>
      <c r="B33" s="64">
        <v>17.47</v>
      </c>
      <c r="C33" s="64">
        <v>16.77</v>
      </c>
      <c r="D33" s="64">
        <v>24.55</v>
      </c>
      <c r="E33" s="64">
        <v>0.25</v>
      </c>
      <c r="F33" s="64">
        <v>0.88</v>
      </c>
      <c r="G33" s="64">
        <v>54.82</v>
      </c>
      <c r="H33" s="64">
        <v>16.66</v>
      </c>
      <c r="I33" s="64">
        <v>1.47</v>
      </c>
      <c r="J33" s="64">
        <v>0.03</v>
      </c>
      <c r="K33" s="64">
        <v>240.58</v>
      </c>
      <c r="L33" s="64">
        <v>22.21</v>
      </c>
      <c r="M33" s="64">
        <v>96.21</v>
      </c>
      <c r="N33" s="64">
        <v>25</v>
      </c>
      <c r="O33" s="64">
        <v>0</v>
      </c>
      <c r="P33" s="64">
        <v>0.91</v>
      </c>
      <c r="Q33" s="64">
        <v>5.32</v>
      </c>
      <c r="R33" s="198"/>
      <c r="S33" s="198"/>
      <c r="T33" s="198"/>
      <c r="U33" s="198"/>
    </row>
    <row r="34" spans="1:21" s="12" customFormat="1" x14ac:dyDescent="0.25">
      <c r="A34" s="214" t="s">
        <v>1519</v>
      </c>
      <c r="B34" s="64">
        <v>20.74</v>
      </c>
      <c r="C34" s="64">
        <v>17.95</v>
      </c>
      <c r="D34" s="64">
        <v>27.83</v>
      </c>
      <c r="E34" s="64">
        <v>0.33</v>
      </c>
      <c r="F34" s="64">
        <v>1.56</v>
      </c>
      <c r="G34" s="64">
        <v>54.82</v>
      </c>
      <c r="H34" s="64">
        <v>16.66</v>
      </c>
      <c r="I34" s="64">
        <v>1.47</v>
      </c>
      <c r="J34" s="64">
        <v>0.11</v>
      </c>
      <c r="K34" s="64">
        <v>318.17</v>
      </c>
      <c r="L34" s="64">
        <v>22.61</v>
      </c>
      <c r="M34" s="64">
        <v>92.2</v>
      </c>
      <c r="N34" s="64">
        <v>45.3</v>
      </c>
      <c r="O34" s="64">
        <v>0</v>
      </c>
      <c r="P34" s="64">
        <v>0.96</v>
      </c>
      <c r="Q34" s="64">
        <v>5.18</v>
      </c>
      <c r="R34" s="198"/>
      <c r="S34" s="198"/>
      <c r="T34" s="198"/>
      <c r="U34" s="198"/>
    </row>
    <row r="35" spans="1:21" s="12" customFormat="1" x14ac:dyDescent="0.25">
      <c r="A35" s="214" t="s">
        <v>1520</v>
      </c>
      <c r="B35" s="64">
        <v>17.829999999999998</v>
      </c>
      <c r="C35" s="64">
        <v>31.62</v>
      </c>
      <c r="D35" s="64">
        <v>33.04</v>
      </c>
      <c r="E35" s="64">
        <v>0.32</v>
      </c>
      <c r="F35" s="64">
        <v>5.09</v>
      </c>
      <c r="G35" s="64">
        <v>56.45</v>
      </c>
      <c r="H35" s="64">
        <v>14.93</v>
      </c>
      <c r="I35" s="64">
        <v>1.44</v>
      </c>
      <c r="J35" s="64">
        <v>0.04</v>
      </c>
      <c r="K35" s="64">
        <v>265.13</v>
      </c>
      <c r="L35" s="64">
        <v>22.97</v>
      </c>
      <c r="M35" s="64">
        <v>91.4</v>
      </c>
      <c r="N35" s="64">
        <v>70.900000000000006</v>
      </c>
      <c r="O35" s="64">
        <v>0</v>
      </c>
      <c r="P35" s="64">
        <v>0.82</v>
      </c>
      <c r="Q35" s="64">
        <v>4.13</v>
      </c>
      <c r="R35" s="198"/>
      <c r="S35" s="198"/>
      <c r="T35" s="198"/>
      <c r="U35" s="198"/>
    </row>
    <row r="36" spans="1:21" s="12" customFormat="1" x14ac:dyDescent="0.25">
      <c r="A36" s="214" t="s">
        <v>1521</v>
      </c>
      <c r="B36" s="64">
        <v>17.13</v>
      </c>
      <c r="C36" s="64">
        <v>23.55</v>
      </c>
      <c r="D36" s="64">
        <v>28.02</v>
      </c>
      <c r="E36" s="64">
        <v>0.33</v>
      </c>
      <c r="F36" s="64">
        <v>3.26</v>
      </c>
      <c r="G36" s="64">
        <v>64.63</v>
      </c>
      <c r="H36" s="64">
        <v>6.72</v>
      </c>
      <c r="I36" s="64">
        <v>1.55</v>
      </c>
      <c r="J36" s="64">
        <v>0.02</v>
      </c>
      <c r="K36" s="64">
        <v>293.76</v>
      </c>
      <c r="L36" s="64">
        <v>23.36</v>
      </c>
      <c r="M36" s="64">
        <v>86.03</v>
      </c>
      <c r="N36" s="64">
        <v>89.6</v>
      </c>
      <c r="O36" s="64">
        <v>0</v>
      </c>
      <c r="P36" s="64">
        <v>0.88</v>
      </c>
      <c r="Q36" s="64">
        <v>4.8</v>
      </c>
      <c r="R36" s="198"/>
      <c r="S36" s="198"/>
      <c r="T36" s="198"/>
      <c r="U36" s="198"/>
    </row>
    <row r="37" spans="1:21" s="12" customFormat="1" x14ac:dyDescent="0.25">
      <c r="A37" s="214" t="s">
        <v>1522</v>
      </c>
      <c r="B37" s="64">
        <v>18.670000000000002</v>
      </c>
      <c r="C37" s="64">
        <v>25.17</v>
      </c>
      <c r="D37" s="64">
        <v>30.15</v>
      </c>
      <c r="E37" s="64">
        <v>0.35</v>
      </c>
      <c r="F37" s="64">
        <v>4.08</v>
      </c>
      <c r="G37" s="64">
        <v>64.63</v>
      </c>
      <c r="H37" s="64">
        <v>6.72</v>
      </c>
      <c r="I37" s="64">
        <v>1.51</v>
      </c>
      <c r="J37" s="64">
        <v>7.0000000000000007E-2</v>
      </c>
      <c r="K37" s="64">
        <v>159.41</v>
      </c>
      <c r="L37" s="64">
        <v>23.58</v>
      </c>
      <c r="M37" s="64">
        <v>85.68</v>
      </c>
      <c r="N37" s="64">
        <v>107.8</v>
      </c>
      <c r="O37" s="64">
        <v>0</v>
      </c>
      <c r="P37" s="64">
        <v>0.87</v>
      </c>
      <c r="Q37" s="64">
        <v>4.5</v>
      </c>
      <c r="R37" s="198"/>
      <c r="S37" s="198"/>
      <c r="T37" s="198"/>
      <c r="U37" s="198"/>
    </row>
    <row r="38" spans="1:21" s="12" customFormat="1" x14ac:dyDescent="0.25">
      <c r="A38" s="214" t="s">
        <v>1523</v>
      </c>
      <c r="B38" s="64">
        <v>17.53</v>
      </c>
      <c r="C38" s="64">
        <v>15</v>
      </c>
      <c r="D38" s="64">
        <v>23.63</v>
      </c>
      <c r="E38" s="64">
        <v>0.4</v>
      </c>
      <c r="F38" s="64">
        <v>2.09</v>
      </c>
      <c r="G38" s="64">
        <v>64.63</v>
      </c>
      <c r="H38" s="64">
        <v>6.72</v>
      </c>
      <c r="I38" s="64">
        <v>1.49</v>
      </c>
      <c r="J38" s="64">
        <v>0.43</v>
      </c>
      <c r="K38" s="64">
        <v>173.09</v>
      </c>
      <c r="L38" s="64">
        <v>23.49</v>
      </c>
      <c r="M38" s="64">
        <v>91.17</v>
      </c>
      <c r="N38" s="64">
        <v>219.5</v>
      </c>
      <c r="O38" s="64">
        <v>0</v>
      </c>
      <c r="P38" s="64">
        <v>0.93</v>
      </c>
      <c r="Q38" s="64">
        <v>5.07</v>
      </c>
      <c r="R38" s="198"/>
      <c r="S38" s="198"/>
      <c r="T38" s="198"/>
      <c r="U38" s="198"/>
    </row>
    <row r="39" spans="1:21" s="12" customFormat="1" x14ac:dyDescent="0.25">
      <c r="A39" s="214" t="s">
        <v>1524</v>
      </c>
      <c r="B39" s="64">
        <v>16.899999999999999</v>
      </c>
      <c r="C39" s="64">
        <v>14.68</v>
      </c>
      <c r="D39" s="64">
        <v>22.95</v>
      </c>
      <c r="E39" s="64">
        <v>0.48</v>
      </c>
      <c r="F39" s="64">
        <v>2.29</v>
      </c>
      <c r="G39" s="64">
        <v>65.64</v>
      </c>
      <c r="H39" s="64">
        <v>6.72</v>
      </c>
      <c r="I39" s="64">
        <v>1.52</v>
      </c>
      <c r="J39" s="64">
        <v>0.66</v>
      </c>
      <c r="K39" s="64">
        <v>138.85</v>
      </c>
      <c r="L39" s="64">
        <v>24.72</v>
      </c>
      <c r="M39" s="64">
        <v>85.97</v>
      </c>
      <c r="N39" s="64">
        <v>298.39999999999998</v>
      </c>
      <c r="O39" s="64">
        <v>0</v>
      </c>
      <c r="P39" s="64">
        <v>0.86</v>
      </c>
      <c r="Q39" s="64">
        <v>5.07</v>
      </c>
      <c r="R39" s="198"/>
      <c r="S39" s="198"/>
      <c r="T39" s="198"/>
      <c r="U39" s="198"/>
    </row>
    <row r="40" spans="1:21" s="12" customFormat="1" x14ac:dyDescent="0.25">
      <c r="A40" s="214" t="s">
        <v>1525</v>
      </c>
      <c r="B40" s="64">
        <v>17.97</v>
      </c>
      <c r="C40" s="64">
        <v>17.63</v>
      </c>
      <c r="D40" s="64">
        <v>25.43</v>
      </c>
      <c r="E40" s="64">
        <v>0.11</v>
      </c>
      <c r="F40" s="64">
        <v>2.89</v>
      </c>
      <c r="G40" s="215" t="s">
        <v>36</v>
      </c>
      <c r="H40" s="215" t="s">
        <v>36</v>
      </c>
      <c r="I40" s="64">
        <v>1.47</v>
      </c>
      <c r="J40" s="64">
        <v>0.13</v>
      </c>
      <c r="K40" s="64">
        <v>27.95</v>
      </c>
      <c r="L40" s="64">
        <v>26.74</v>
      </c>
      <c r="M40" s="64">
        <v>75.78</v>
      </c>
      <c r="N40" s="64">
        <v>319.89999999999998</v>
      </c>
      <c r="O40" s="64">
        <v>0</v>
      </c>
      <c r="P40" s="64">
        <v>0.89</v>
      </c>
      <c r="Q40" s="64">
        <v>5.0199999999999996</v>
      </c>
      <c r="R40" s="198"/>
      <c r="S40" s="198"/>
      <c r="T40" s="198"/>
      <c r="U40" s="198"/>
    </row>
    <row r="41" spans="1:21" s="12" customFormat="1" x14ac:dyDescent="0.25">
      <c r="A41" s="214" t="s">
        <v>1526</v>
      </c>
      <c r="B41" s="64">
        <v>19.010000000000002</v>
      </c>
      <c r="C41" s="64">
        <v>14.73</v>
      </c>
      <c r="D41" s="64">
        <v>24.67</v>
      </c>
      <c r="E41" s="64">
        <v>0.24</v>
      </c>
      <c r="F41" s="64">
        <v>1.9</v>
      </c>
      <c r="G41" s="215" t="s">
        <v>36</v>
      </c>
      <c r="H41" s="215" t="s">
        <v>36</v>
      </c>
      <c r="I41" s="64">
        <v>1.44</v>
      </c>
      <c r="J41" s="64">
        <v>0.19</v>
      </c>
      <c r="K41" s="64">
        <v>7.12</v>
      </c>
      <c r="L41" s="64">
        <v>28.96</v>
      </c>
      <c r="M41" s="64">
        <v>63.09</v>
      </c>
      <c r="N41" s="64">
        <v>351.5</v>
      </c>
      <c r="O41" s="64">
        <v>0</v>
      </c>
      <c r="P41" s="64">
        <v>0.93</v>
      </c>
      <c r="Q41" s="64">
        <v>4.99</v>
      </c>
      <c r="R41" s="198"/>
      <c r="S41" s="198"/>
      <c r="T41" s="198"/>
      <c r="U41" s="198"/>
    </row>
    <row r="42" spans="1:21" s="12" customFormat="1" x14ac:dyDescent="0.25">
      <c r="A42" s="214" t="s">
        <v>1527</v>
      </c>
      <c r="B42" s="64">
        <v>17.97</v>
      </c>
      <c r="C42" s="64">
        <v>13.93</v>
      </c>
      <c r="D42" s="64">
        <v>23.39</v>
      </c>
      <c r="E42" s="64">
        <v>0.27</v>
      </c>
      <c r="F42" s="64">
        <v>1.07</v>
      </c>
      <c r="G42" s="215" t="s">
        <v>36</v>
      </c>
      <c r="H42" s="215" t="s">
        <v>36</v>
      </c>
      <c r="I42" s="64">
        <v>1.45</v>
      </c>
      <c r="J42" s="64">
        <v>7.0000000000000007E-2</v>
      </c>
      <c r="K42" s="64">
        <v>184.66</v>
      </c>
      <c r="L42" s="64">
        <v>27.74</v>
      </c>
      <c r="M42" s="64">
        <v>70.25</v>
      </c>
      <c r="N42" s="64">
        <v>403.7</v>
      </c>
      <c r="O42" s="64">
        <v>0</v>
      </c>
      <c r="P42" s="64">
        <v>0.91</v>
      </c>
      <c r="Q42" s="64">
        <v>5.13</v>
      </c>
      <c r="R42" s="198"/>
      <c r="S42" s="198"/>
      <c r="T42" s="198"/>
      <c r="U42" s="198"/>
    </row>
    <row r="43" spans="1:21" s="12" customFormat="1" x14ac:dyDescent="0.25">
      <c r="A43" s="214" t="s">
        <v>1528</v>
      </c>
      <c r="B43" s="64">
        <v>14.37</v>
      </c>
      <c r="C43" s="64">
        <v>16.57</v>
      </c>
      <c r="D43" s="64">
        <v>21.96</v>
      </c>
      <c r="E43" s="64">
        <v>0.32</v>
      </c>
      <c r="F43" s="64">
        <v>8.4600000000000009</v>
      </c>
      <c r="G43" s="64">
        <v>77.290000000000006</v>
      </c>
      <c r="H43" s="64">
        <v>90.14</v>
      </c>
      <c r="I43" s="64">
        <v>1.46</v>
      </c>
      <c r="J43" s="64">
        <v>0.31</v>
      </c>
      <c r="K43" s="64">
        <v>347.75</v>
      </c>
      <c r="L43" s="64">
        <v>27.85</v>
      </c>
      <c r="M43" s="64">
        <v>72.709999999999994</v>
      </c>
      <c r="N43" s="64">
        <v>454.4</v>
      </c>
      <c r="O43" s="64">
        <v>0</v>
      </c>
      <c r="P43" s="64">
        <v>0.89</v>
      </c>
      <c r="Q43" s="64">
        <v>5.21</v>
      </c>
      <c r="R43" s="198"/>
      <c r="S43" s="198"/>
      <c r="T43" s="198"/>
      <c r="U43" s="198"/>
    </row>
    <row r="44" spans="1:21" s="12" customFormat="1" x14ac:dyDescent="0.25">
      <c r="A44" s="214" t="s">
        <v>1529</v>
      </c>
      <c r="B44" s="64">
        <v>15.2</v>
      </c>
      <c r="C44" s="64">
        <v>15.77</v>
      </c>
      <c r="D44" s="64">
        <v>22.18</v>
      </c>
      <c r="E44" s="64">
        <v>0.2</v>
      </c>
      <c r="F44" s="64">
        <v>2.29</v>
      </c>
      <c r="G44" s="64">
        <v>110.3</v>
      </c>
      <c r="H44" s="64">
        <v>90.14</v>
      </c>
      <c r="I44" s="64">
        <v>1.52</v>
      </c>
      <c r="J44" s="64">
        <v>0.32</v>
      </c>
      <c r="K44" s="64">
        <v>330.06</v>
      </c>
      <c r="L44" s="64">
        <v>28.2</v>
      </c>
      <c r="M44" s="64">
        <v>71.569999999999993</v>
      </c>
      <c r="N44" s="64">
        <v>486.1</v>
      </c>
      <c r="O44" s="64">
        <v>0</v>
      </c>
      <c r="P44" s="64">
        <v>0.93</v>
      </c>
      <c r="Q44" s="64">
        <v>5.12</v>
      </c>
      <c r="R44" s="198"/>
      <c r="S44" s="198"/>
      <c r="T44" s="198"/>
      <c r="U44" s="198"/>
    </row>
    <row r="45" spans="1:21" s="12" customFormat="1" x14ac:dyDescent="0.25">
      <c r="A45" s="214" t="s">
        <v>1530</v>
      </c>
      <c r="B45" s="64">
        <v>14.72</v>
      </c>
      <c r="C45" s="64">
        <v>18.989999999999998</v>
      </c>
      <c r="D45" s="64">
        <v>23.57</v>
      </c>
      <c r="E45" s="64">
        <v>0.24</v>
      </c>
      <c r="F45" s="64">
        <v>4.08</v>
      </c>
      <c r="G45" s="64">
        <v>110.3</v>
      </c>
      <c r="H45" s="64">
        <v>90.14</v>
      </c>
      <c r="I45" s="64">
        <v>1.43</v>
      </c>
      <c r="J45" s="64">
        <v>0.24</v>
      </c>
      <c r="K45" s="64">
        <v>326.39</v>
      </c>
      <c r="L45" s="64">
        <v>28.78</v>
      </c>
      <c r="M45" s="64">
        <v>69.59</v>
      </c>
      <c r="N45" s="64">
        <v>523.79999999999995</v>
      </c>
      <c r="O45" s="64">
        <v>0</v>
      </c>
      <c r="P45" s="64">
        <v>1.05</v>
      </c>
      <c r="Q45" s="64">
        <v>4.99</v>
      </c>
      <c r="R45" s="198"/>
      <c r="S45" s="198"/>
      <c r="T45" s="198"/>
      <c r="U45" s="198"/>
    </row>
    <row r="46" spans="1:21" s="12" customFormat="1" x14ac:dyDescent="0.25">
      <c r="A46" s="214" t="s">
        <v>1531</v>
      </c>
      <c r="B46" s="64">
        <v>13.94</v>
      </c>
      <c r="C46" s="64">
        <v>26.58</v>
      </c>
      <c r="D46" s="64">
        <v>27.14</v>
      </c>
      <c r="E46" s="64">
        <v>0.32</v>
      </c>
      <c r="F46" s="64">
        <v>11</v>
      </c>
      <c r="G46" s="64">
        <v>110.3</v>
      </c>
      <c r="H46" s="64">
        <v>90.14</v>
      </c>
      <c r="I46" s="64">
        <v>1.44</v>
      </c>
      <c r="J46" s="64">
        <v>0.47</v>
      </c>
      <c r="K46" s="64">
        <v>337.07</v>
      </c>
      <c r="L46" s="64">
        <v>29.17</v>
      </c>
      <c r="M46" s="64">
        <v>65.37</v>
      </c>
      <c r="N46" s="64">
        <v>581.4</v>
      </c>
      <c r="O46" s="64">
        <v>0</v>
      </c>
      <c r="P46" s="64">
        <v>1.1000000000000001</v>
      </c>
      <c r="Q46" s="64">
        <v>4.59</v>
      </c>
      <c r="R46" s="198"/>
      <c r="S46" s="198"/>
      <c r="T46" s="198"/>
      <c r="U46" s="198"/>
    </row>
    <row r="47" spans="1:21" s="12" customFormat="1" x14ac:dyDescent="0.25">
      <c r="A47" s="214" t="s">
        <v>1532</v>
      </c>
      <c r="B47" s="64">
        <v>13.76</v>
      </c>
      <c r="C47" s="64">
        <v>25.89</v>
      </c>
      <c r="D47" s="64">
        <v>26.61</v>
      </c>
      <c r="E47" s="64">
        <v>0.28999999999999998</v>
      </c>
      <c r="F47" s="64">
        <v>8.2799999999999994</v>
      </c>
      <c r="G47" s="64">
        <v>112</v>
      </c>
      <c r="H47" s="64">
        <v>69.959999999999994</v>
      </c>
      <c r="I47" s="64">
        <v>1.5</v>
      </c>
      <c r="J47" s="64">
        <v>0.28999999999999998</v>
      </c>
      <c r="K47" s="64">
        <v>332.84</v>
      </c>
      <c r="L47" s="64">
        <v>28.86</v>
      </c>
      <c r="M47" s="64">
        <v>61.16</v>
      </c>
      <c r="N47" s="64">
        <v>635.29999999999995</v>
      </c>
      <c r="O47" s="64">
        <v>0</v>
      </c>
      <c r="P47" s="64">
        <v>1.08</v>
      </c>
      <c r="Q47" s="64">
        <v>4.59</v>
      </c>
      <c r="R47" s="198"/>
      <c r="S47" s="198"/>
      <c r="T47" s="198"/>
      <c r="U47" s="198"/>
    </row>
    <row r="48" spans="1:21" s="12" customFormat="1" x14ac:dyDescent="0.25">
      <c r="A48" s="214" t="s">
        <v>1533</v>
      </c>
      <c r="B48" s="64">
        <v>11.8</v>
      </c>
      <c r="C48" s="64">
        <v>25.08</v>
      </c>
      <c r="D48" s="64">
        <v>24.59</v>
      </c>
      <c r="E48" s="64">
        <v>0.31</v>
      </c>
      <c r="F48" s="64">
        <v>16.21</v>
      </c>
      <c r="G48" s="215" t="s">
        <v>36</v>
      </c>
      <c r="H48" s="215" t="s">
        <v>36</v>
      </c>
      <c r="I48" s="64">
        <v>1.51</v>
      </c>
      <c r="J48" s="64">
        <v>0.43</v>
      </c>
      <c r="K48" s="64">
        <v>354.92</v>
      </c>
      <c r="L48" s="64">
        <v>31.64</v>
      </c>
      <c r="M48" s="64">
        <v>48.77</v>
      </c>
      <c r="N48" s="64">
        <v>681.3</v>
      </c>
      <c r="O48" s="64">
        <v>0</v>
      </c>
      <c r="P48" s="64">
        <v>1.1299999999999999</v>
      </c>
      <c r="Q48" s="64">
        <v>4.8499999999999996</v>
      </c>
      <c r="R48" s="198"/>
      <c r="S48" s="198"/>
      <c r="T48" s="198"/>
      <c r="U48" s="198"/>
    </row>
    <row r="49" spans="1:21" s="12" customFormat="1" x14ac:dyDescent="0.25">
      <c r="A49" s="214" t="s">
        <v>1534</v>
      </c>
      <c r="B49" s="64">
        <v>10.08</v>
      </c>
      <c r="C49" s="64">
        <v>21.56</v>
      </c>
      <c r="D49" s="64">
        <v>21.28</v>
      </c>
      <c r="E49" s="64">
        <v>0.32</v>
      </c>
      <c r="F49" s="64">
        <v>10.78</v>
      </c>
      <c r="G49" s="215" t="s">
        <v>36</v>
      </c>
      <c r="H49" s="215" t="s">
        <v>36</v>
      </c>
      <c r="I49" s="64">
        <v>1.51</v>
      </c>
      <c r="J49" s="64">
        <v>0.1</v>
      </c>
      <c r="K49" s="64">
        <v>110.31</v>
      </c>
      <c r="L49" s="64">
        <v>31.8</v>
      </c>
      <c r="M49" s="64">
        <v>48.47</v>
      </c>
      <c r="N49" s="64">
        <v>717.8</v>
      </c>
      <c r="O49" s="64">
        <v>0</v>
      </c>
      <c r="P49" s="64">
        <v>1.05</v>
      </c>
      <c r="Q49" s="64">
        <v>5.18</v>
      </c>
      <c r="R49" s="198"/>
      <c r="S49" s="198"/>
      <c r="T49" s="198"/>
      <c r="U49" s="198"/>
    </row>
    <row r="50" spans="1:21" s="12" customFormat="1" x14ac:dyDescent="0.25">
      <c r="A50" s="214" t="s">
        <v>1535</v>
      </c>
      <c r="B50" s="64">
        <v>9.59</v>
      </c>
      <c r="C50" s="64">
        <v>25.31</v>
      </c>
      <c r="D50" s="64">
        <v>22.95</v>
      </c>
      <c r="E50" s="64">
        <v>0.34</v>
      </c>
      <c r="F50" s="64">
        <v>7.42</v>
      </c>
      <c r="G50" s="215" t="s">
        <v>36</v>
      </c>
      <c r="H50" s="215" t="s">
        <v>36</v>
      </c>
      <c r="I50" s="64">
        <v>1.53</v>
      </c>
      <c r="J50" s="64">
        <v>0.52</v>
      </c>
      <c r="K50" s="64">
        <v>339.06</v>
      </c>
      <c r="L50" s="64">
        <v>32.75</v>
      </c>
      <c r="M50" s="64">
        <v>46.73</v>
      </c>
      <c r="N50" s="64">
        <v>714.2</v>
      </c>
      <c r="O50" s="64">
        <v>0</v>
      </c>
      <c r="P50" s="64">
        <v>1.1100000000000001</v>
      </c>
      <c r="Q50" s="64">
        <v>5.21</v>
      </c>
      <c r="R50" s="198"/>
      <c r="S50" s="198"/>
      <c r="T50" s="198"/>
      <c r="U50" s="198"/>
    </row>
    <row r="51" spans="1:21" s="12" customFormat="1" x14ac:dyDescent="0.25">
      <c r="A51" s="214" t="s">
        <v>1536</v>
      </c>
      <c r="B51" s="64">
        <v>8.67</v>
      </c>
      <c r="C51" s="64">
        <v>20.63</v>
      </c>
      <c r="D51" s="64">
        <v>19.64</v>
      </c>
      <c r="E51" s="64">
        <v>0.32</v>
      </c>
      <c r="F51" s="64">
        <v>7.22</v>
      </c>
      <c r="G51" s="215" t="s">
        <v>36</v>
      </c>
      <c r="H51" s="215" t="s">
        <v>36</v>
      </c>
      <c r="I51" s="64">
        <v>1.46</v>
      </c>
      <c r="J51" s="64">
        <v>0.28999999999999998</v>
      </c>
      <c r="K51" s="64">
        <v>330.94</v>
      </c>
      <c r="L51" s="64">
        <v>33.65</v>
      </c>
      <c r="M51" s="64">
        <v>44.54</v>
      </c>
      <c r="N51" s="64">
        <v>740</v>
      </c>
      <c r="O51" s="64">
        <v>0</v>
      </c>
      <c r="P51" s="64">
        <v>1.0900000000000001</v>
      </c>
      <c r="Q51" s="64">
        <v>5.21</v>
      </c>
      <c r="R51" s="198"/>
      <c r="S51" s="198"/>
      <c r="T51" s="198"/>
      <c r="U51" s="198"/>
    </row>
    <row r="52" spans="1:21" s="12" customFormat="1" x14ac:dyDescent="0.25">
      <c r="A52" s="214" t="s">
        <v>1537</v>
      </c>
      <c r="B52" s="64">
        <v>8.58</v>
      </c>
      <c r="C52" s="64">
        <v>23.93</v>
      </c>
      <c r="D52" s="64">
        <v>21.37</v>
      </c>
      <c r="E52" s="64">
        <v>0.36</v>
      </c>
      <c r="F52" s="64">
        <v>7.3</v>
      </c>
      <c r="G52" s="215" t="s">
        <v>36</v>
      </c>
      <c r="H52" s="215" t="s">
        <v>36</v>
      </c>
      <c r="I52" s="64">
        <v>1.48</v>
      </c>
      <c r="J52" s="64">
        <v>0.78</v>
      </c>
      <c r="K52" s="64">
        <v>344.11</v>
      </c>
      <c r="L52" s="64">
        <v>34.03</v>
      </c>
      <c r="M52" s="64">
        <v>41.36</v>
      </c>
      <c r="N52" s="64">
        <v>737.9</v>
      </c>
      <c r="O52" s="64">
        <v>0</v>
      </c>
      <c r="P52" s="64">
        <v>1.1000000000000001</v>
      </c>
      <c r="Q52" s="64">
        <v>5.21</v>
      </c>
      <c r="R52" s="198"/>
      <c r="S52" s="198"/>
      <c r="T52" s="198"/>
      <c r="U52" s="198"/>
    </row>
    <row r="53" spans="1:21" s="12" customFormat="1" x14ac:dyDescent="0.25">
      <c r="A53" s="214" t="s">
        <v>1538</v>
      </c>
      <c r="B53" s="64">
        <v>8.19</v>
      </c>
      <c r="C53" s="64">
        <v>27.02</v>
      </c>
      <c r="D53" s="64">
        <v>22.77</v>
      </c>
      <c r="E53" s="64">
        <v>0.42</v>
      </c>
      <c r="F53" s="64">
        <v>16.02</v>
      </c>
      <c r="G53" s="215" t="s">
        <v>36</v>
      </c>
      <c r="H53" s="215" t="s">
        <v>36</v>
      </c>
      <c r="I53" s="64">
        <v>1.5</v>
      </c>
      <c r="J53" s="64">
        <v>0.61</v>
      </c>
      <c r="K53" s="64">
        <v>336.85</v>
      </c>
      <c r="L53" s="64">
        <v>34.24</v>
      </c>
      <c r="M53" s="64">
        <v>40.75</v>
      </c>
      <c r="N53" s="64">
        <v>755</v>
      </c>
      <c r="O53" s="64">
        <v>0</v>
      </c>
      <c r="P53" s="64">
        <v>1.0900000000000001</v>
      </c>
      <c r="Q53" s="64">
        <v>5.21</v>
      </c>
      <c r="R53" s="198"/>
      <c r="S53" s="198"/>
      <c r="T53" s="198"/>
      <c r="U53" s="198"/>
    </row>
    <row r="54" spans="1:21" s="12" customFormat="1" x14ac:dyDescent="0.25">
      <c r="A54" s="214" t="s">
        <v>1539</v>
      </c>
      <c r="B54" s="64">
        <v>6.62</v>
      </c>
      <c r="C54" s="64">
        <v>20.3</v>
      </c>
      <c r="D54" s="64">
        <v>17.809999999999999</v>
      </c>
      <c r="E54" s="64">
        <v>0.34</v>
      </c>
      <c r="F54" s="64">
        <v>4.21</v>
      </c>
      <c r="G54" s="215" t="s">
        <v>36</v>
      </c>
      <c r="H54" s="215" t="s">
        <v>36</v>
      </c>
      <c r="I54" s="64">
        <v>1.53</v>
      </c>
      <c r="J54" s="64">
        <v>0.33</v>
      </c>
      <c r="K54" s="64">
        <v>172.77</v>
      </c>
      <c r="L54" s="64">
        <v>31.92</v>
      </c>
      <c r="M54" s="64">
        <v>42.7</v>
      </c>
      <c r="N54" s="64">
        <v>771.4</v>
      </c>
      <c r="O54" s="64">
        <v>0</v>
      </c>
      <c r="P54" s="64">
        <v>1.08</v>
      </c>
      <c r="Q54" s="64">
        <v>5.21</v>
      </c>
      <c r="R54" s="198"/>
      <c r="S54" s="198"/>
      <c r="T54" s="198"/>
      <c r="U54" s="198"/>
    </row>
    <row r="55" spans="1:21" s="12" customFormat="1" x14ac:dyDescent="0.25">
      <c r="A55" s="214" t="s">
        <v>1540</v>
      </c>
      <c r="B55" s="64">
        <v>5.55</v>
      </c>
      <c r="C55" s="64">
        <v>20.7</v>
      </c>
      <c r="D55" s="64">
        <v>17.170000000000002</v>
      </c>
      <c r="E55" s="64">
        <v>0.41</v>
      </c>
      <c r="F55" s="64">
        <v>12.56</v>
      </c>
      <c r="G55" s="64">
        <v>124.43</v>
      </c>
      <c r="H55" s="64">
        <v>3.07</v>
      </c>
      <c r="I55" s="64">
        <v>1.57</v>
      </c>
      <c r="J55" s="64">
        <v>0.86</v>
      </c>
      <c r="K55" s="64">
        <v>336.54</v>
      </c>
      <c r="L55" s="64">
        <v>33.35</v>
      </c>
      <c r="M55" s="64">
        <v>41.38</v>
      </c>
      <c r="N55" s="64">
        <v>796.2</v>
      </c>
      <c r="O55" s="64">
        <v>0</v>
      </c>
      <c r="P55" s="64">
        <v>1.07</v>
      </c>
      <c r="Q55" s="64">
        <v>5.21</v>
      </c>
      <c r="R55" s="198"/>
      <c r="S55" s="198"/>
      <c r="T55" s="198"/>
      <c r="U55" s="198"/>
    </row>
    <row r="56" spans="1:21" s="12" customFormat="1" x14ac:dyDescent="0.25">
      <c r="A56" s="214" t="s">
        <v>1541</v>
      </c>
      <c r="B56" s="64">
        <v>4.8099999999999996</v>
      </c>
      <c r="C56" s="64">
        <v>20.82</v>
      </c>
      <c r="D56" s="64">
        <v>16.64</v>
      </c>
      <c r="E56" s="64">
        <v>0.1</v>
      </c>
      <c r="F56" s="64">
        <v>4.9800000000000004</v>
      </c>
      <c r="G56" s="64">
        <v>108.47</v>
      </c>
      <c r="H56" s="64">
        <v>3.07</v>
      </c>
      <c r="I56" s="64">
        <v>1.48</v>
      </c>
      <c r="J56" s="64">
        <v>0.62</v>
      </c>
      <c r="K56" s="64">
        <v>336.7</v>
      </c>
      <c r="L56" s="64">
        <v>34.93</v>
      </c>
      <c r="M56" s="64">
        <v>36.31</v>
      </c>
      <c r="N56" s="64">
        <v>780.6</v>
      </c>
      <c r="O56" s="64">
        <v>0</v>
      </c>
      <c r="P56" s="64">
        <v>1.08</v>
      </c>
      <c r="Q56" s="64">
        <v>5.21</v>
      </c>
      <c r="R56" s="198"/>
      <c r="S56" s="198"/>
      <c r="T56" s="198"/>
      <c r="U56" s="198"/>
    </row>
    <row r="57" spans="1:21" s="12" customFormat="1" x14ac:dyDescent="0.25">
      <c r="A57" s="214" t="s">
        <v>1542</v>
      </c>
      <c r="B57" s="64">
        <v>4.7</v>
      </c>
      <c r="C57" s="64">
        <v>23.59</v>
      </c>
      <c r="D57" s="64">
        <v>18.079999999999998</v>
      </c>
      <c r="E57" s="64">
        <v>0.26</v>
      </c>
      <c r="F57" s="64">
        <v>7.2</v>
      </c>
      <c r="G57" s="64">
        <v>108.47</v>
      </c>
      <c r="H57" s="64">
        <v>3.07</v>
      </c>
      <c r="I57" s="64">
        <v>1.49</v>
      </c>
      <c r="J57" s="64">
        <v>0.64</v>
      </c>
      <c r="K57" s="64">
        <v>328.92</v>
      </c>
      <c r="L57" s="64">
        <v>34.51</v>
      </c>
      <c r="M57" s="64">
        <v>37.020000000000003</v>
      </c>
      <c r="N57" s="64">
        <v>734.9</v>
      </c>
      <c r="O57" s="64">
        <v>0</v>
      </c>
      <c r="P57" s="64">
        <v>1.07</v>
      </c>
      <c r="Q57" s="64">
        <v>5.21</v>
      </c>
      <c r="R57" s="198"/>
      <c r="S57" s="198"/>
      <c r="T57" s="198"/>
      <c r="U57" s="198"/>
    </row>
    <row r="58" spans="1:21" s="12" customFormat="1" x14ac:dyDescent="0.25">
      <c r="A58" s="214" t="s">
        <v>1543</v>
      </c>
      <c r="B58" s="64">
        <v>5.31</v>
      </c>
      <c r="C58" s="64">
        <v>27.2</v>
      </c>
      <c r="D58" s="64">
        <v>20.56</v>
      </c>
      <c r="E58" s="64">
        <v>0.45</v>
      </c>
      <c r="F58" s="64">
        <v>28.82</v>
      </c>
      <c r="G58" s="64">
        <v>108.47</v>
      </c>
      <c r="H58" s="64">
        <v>3.07</v>
      </c>
      <c r="I58" s="64">
        <v>1.45</v>
      </c>
      <c r="J58" s="64">
        <v>0.62</v>
      </c>
      <c r="K58" s="64">
        <v>347.83</v>
      </c>
      <c r="L58" s="64">
        <v>34.590000000000003</v>
      </c>
      <c r="M58" s="64">
        <v>35.950000000000003</v>
      </c>
      <c r="N58" s="64">
        <v>708.2</v>
      </c>
      <c r="O58" s="64">
        <v>0</v>
      </c>
      <c r="P58" s="64">
        <v>0.94</v>
      </c>
      <c r="Q58" s="64">
        <v>5.21</v>
      </c>
      <c r="R58" s="198"/>
      <c r="S58" s="198"/>
      <c r="T58" s="198"/>
      <c r="U58" s="198"/>
    </row>
    <row r="59" spans="1:21" s="12" customFormat="1" x14ac:dyDescent="0.25">
      <c r="A59" s="214" t="s">
        <v>1544</v>
      </c>
      <c r="B59" s="64">
        <v>5.65</v>
      </c>
      <c r="C59" s="64">
        <v>18.88</v>
      </c>
      <c r="D59" s="64">
        <v>16.239999999999998</v>
      </c>
      <c r="E59" s="64">
        <v>0.42</v>
      </c>
      <c r="F59" s="64">
        <v>10.92</v>
      </c>
      <c r="G59" s="64">
        <v>108.34</v>
      </c>
      <c r="H59" s="64">
        <v>15.51</v>
      </c>
      <c r="I59" s="64">
        <v>1.49</v>
      </c>
      <c r="J59" s="64">
        <v>1.29</v>
      </c>
      <c r="K59" s="64">
        <v>338.86</v>
      </c>
      <c r="L59" s="64">
        <v>34.130000000000003</v>
      </c>
      <c r="M59" s="64">
        <v>32.17</v>
      </c>
      <c r="N59" s="64">
        <v>388.9</v>
      </c>
      <c r="O59" s="64">
        <v>0</v>
      </c>
      <c r="P59" s="64">
        <v>1.03</v>
      </c>
      <c r="Q59" s="64">
        <v>5.21</v>
      </c>
      <c r="R59" s="198"/>
      <c r="S59" s="198"/>
      <c r="T59" s="198"/>
      <c r="U59" s="198"/>
    </row>
    <row r="60" spans="1:21" s="12" customFormat="1" x14ac:dyDescent="0.25">
      <c r="A60" s="214" t="s">
        <v>1545</v>
      </c>
      <c r="B60" s="64">
        <v>6.51</v>
      </c>
      <c r="C60" s="64">
        <v>34.85</v>
      </c>
      <c r="D60" s="64">
        <v>25.75</v>
      </c>
      <c r="E60" s="64">
        <v>0.56999999999999995</v>
      </c>
      <c r="F60" s="64">
        <v>35.299999999999997</v>
      </c>
      <c r="G60" s="64">
        <v>107.73</v>
      </c>
      <c r="H60" s="64">
        <v>74.28</v>
      </c>
      <c r="I60" s="64">
        <v>1.53</v>
      </c>
      <c r="J60" s="64">
        <v>0.35</v>
      </c>
      <c r="K60" s="64">
        <v>356.06</v>
      </c>
      <c r="L60" s="64">
        <v>33.159999999999997</v>
      </c>
      <c r="M60" s="64">
        <v>30.38</v>
      </c>
      <c r="N60" s="64">
        <v>371.4</v>
      </c>
      <c r="O60" s="64">
        <v>0</v>
      </c>
      <c r="P60" s="64">
        <v>0.8</v>
      </c>
      <c r="Q60" s="64">
        <v>5.21</v>
      </c>
      <c r="R60" s="198"/>
      <c r="S60" s="198"/>
      <c r="T60" s="198"/>
      <c r="U60" s="198"/>
    </row>
    <row r="61" spans="1:21" s="12" customFormat="1" x14ac:dyDescent="0.25">
      <c r="A61" s="214" t="s">
        <v>1546</v>
      </c>
      <c r="B61" s="64">
        <v>5.18</v>
      </c>
      <c r="C61" s="64">
        <v>25.34</v>
      </c>
      <c r="D61" s="64">
        <v>19.43</v>
      </c>
      <c r="E61" s="64">
        <v>0.76</v>
      </c>
      <c r="F61" s="64">
        <v>18.510000000000002</v>
      </c>
      <c r="G61" s="64">
        <v>107.73</v>
      </c>
      <c r="H61" s="64">
        <v>74.28</v>
      </c>
      <c r="I61" s="64">
        <v>1.47</v>
      </c>
      <c r="J61" s="64">
        <v>0.37</v>
      </c>
      <c r="K61" s="64">
        <v>30.91</v>
      </c>
      <c r="L61" s="64">
        <v>31.34</v>
      </c>
      <c r="M61" s="64">
        <v>37.11</v>
      </c>
      <c r="N61" s="64">
        <v>584</v>
      </c>
      <c r="O61" s="64">
        <v>0</v>
      </c>
      <c r="P61" s="64">
        <v>0.98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4" t="s">
        <v>1547</v>
      </c>
      <c r="B62" s="64">
        <v>5.22</v>
      </c>
      <c r="C62" s="64">
        <v>23.36</v>
      </c>
      <c r="D62" s="64">
        <v>18.37</v>
      </c>
      <c r="E62" s="64">
        <v>0.66</v>
      </c>
      <c r="F62" s="64">
        <v>9.66</v>
      </c>
      <c r="G62" s="64">
        <v>107.73</v>
      </c>
      <c r="H62" s="64">
        <v>74.28</v>
      </c>
      <c r="I62" s="64">
        <v>1.5</v>
      </c>
      <c r="J62" s="64">
        <v>0.37</v>
      </c>
      <c r="K62" s="64">
        <v>44.53</v>
      </c>
      <c r="L62" s="64">
        <v>32.32</v>
      </c>
      <c r="M62" s="64">
        <v>36.18</v>
      </c>
      <c r="N62" s="64">
        <v>620.79999999999995</v>
      </c>
      <c r="O62" s="64">
        <v>0</v>
      </c>
      <c r="P62" s="64">
        <v>1.07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4" t="s">
        <v>1548</v>
      </c>
      <c r="B63" s="64">
        <v>5.41</v>
      </c>
      <c r="C63" s="64">
        <v>21.95</v>
      </c>
      <c r="D63" s="64">
        <v>17.75</v>
      </c>
      <c r="E63" s="64">
        <v>0.61</v>
      </c>
      <c r="F63" s="64">
        <v>9.3699999999999992</v>
      </c>
      <c r="G63" s="64">
        <v>108.33</v>
      </c>
      <c r="H63" s="64">
        <v>67.8</v>
      </c>
      <c r="I63" s="64">
        <v>1.54</v>
      </c>
      <c r="J63" s="64">
        <v>0.31</v>
      </c>
      <c r="K63" s="64">
        <v>6.81</v>
      </c>
      <c r="L63" s="64">
        <v>31.88</v>
      </c>
      <c r="M63" s="64">
        <v>36.58</v>
      </c>
      <c r="N63" s="64">
        <v>387</v>
      </c>
      <c r="O63" s="64">
        <v>0</v>
      </c>
      <c r="P63" s="64">
        <v>1.04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4" t="s">
        <v>1549</v>
      </c>
      <c r="B64" s="64">
        <v>5.2</v>
      </c>
      <c r="C64" s="64">
        <v>21.75</v>
      </c>
      <c r="D64" s="64">
        <v>17.46</v>
      </c>
      <c r="E64" s="64">
        <v>0.84</v>
      </c>
      <c r="F64" s="64">
        <v>12.15</v>
      </c>
      <c r="G64" s="64">
        <v>111.08</v>
      </c>
      <c r="H64" s="64">
        <v>41.9</v>
      </c>
      <c r="I64" s="64">
        <v>1.5</v>
      </c>
      <c r="J64" s="64">
        <v>0.61</v>
      </c>
      <c r="K64" s="64">
        <v>97.9</v>
      </c>
      <c r="L64" s="64">
        <v>30.34</v>
      </c>
      <c r="M64" s="64">
        <v>35.58</v>
      </c>
      <c r="N64" s="64">
        <v>200.6</v>
      </c>
      <c r="O64" s="64">
        <v>0</v>
      </c>
      <c r="P64" s="64">
        <v>0.99</v>
      </c>
      <c r="Q64" s="64">
        <v>5.21</v>
      </c>
      <c r="R64" s="198"/>
      <c r="S64" s="198"/>
      <c r="T64" s="198"/>
      <c r="U64" s="198"/>
    </row>
    <row r="65" spans="1:21" s="12" customFormat="1" x14ac:dyDescent="0.25">
      <c r="A65" s="214" t="s">
        <v>1550</v>
      </c>
      <c r="B65" s="64">
        <v>7.55</v>
      </c>
      <c r="C65" s="64">
        <v>31.86</v>
      </c>
      <c r="D65" s="64">
        <v>24.93</v>
      </c>
      <c r="E65" s="64">
        <v>0.96</v>
      </c>
      <c r="F65" s="64">
        <v>14.61</v>
      </c>
      <c r="G65" s="64">
        <v>111.08</v>
      </c>
      <c r="H65" s="64">
        <v>41.9</v>
      </c>
      <c r="I65" s="64">
        <v>1.51</v>
      </c>
      <c r="J65" s="64">
        <v>0.44</v>
      </c>
      <c r="K65" s="64">
        <v>353.43</v>
      </c>
      <c r="L65" s="64">
        <v>30.55</v>
      </c>
      <c r="M65" s="64">
        <v>36.31</v>
      </c>
      <c r="N65" s="64">
        <v>221.5</v>
      </c>
      <c r="O65" s="64">
        <v>0</v>
      </c>
      <c r="P65" s="64">
        <v>1.02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4" t="s">
        <v>1551</v>
      </c>
      <c r="B66" s="64">
        <v>7.57</v>
      </c>
      <c r="C66" s="64">
        <v>28.61</v>
      </c>
      <c r="D66" s="64">
        <v>23.15</v>
      </c>
      <c r="E66" s="64">
        <v>1.19</v>
      </c>
      <c r="F66" s="64">
        <v>17.75</v>
      </c>
      <c r="G66" s="64">
        <v>111.08</v>
      </c>
      <c r="H66" s="64">
        <v>41.9</v>
      </c>
      <c r="I66" s="64">
        <v>1.55</v>
      </c>
      <c r="J66" s="64">
        <v>0.59</v>
      </c>
      <c r="K66" s="64">
        <v>334.3</v>
      </c>
      <c r="L66" s="64">
        <v>31.59</v>
      </c>
      <c r="M66" s="64">
        <v>33.94</v>
      </c>
      <c r="N66" s="64">
        <v>251.4</v>
      </c>
      <c r="O66" s="64">
        <v>0</v>
      </c>
      <c r="P66" s="64">
        <v>0.96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4" t="s">
        <v>1552</v>
      </c>
      <c r="B67" s="64">
        <v>5.88</v>
      </c>
      <c r="C67" s="64">
        <v>19.38</v>
      </c>
      <c r="D67" s="64">
        <v>16.71</v>
      </c>
      <c r="E67" s="64">
        <v>1.28</v>
      </c>
      <c r="F67" s="64">
        <v>11.26</v>
      </c>
      <c r="G67" s="64">
        <v>109.93</v>
      </c>
      <c r="H67" s="64">
        <v>38.369999999999997</v>
      </c>
      <c r="I67" s="64">
        <v>1.49</v>
      </c>
      <c r="J67" s="64">
        <v>1.27</v>
      </c>
      <c r="K67" s="64">
        <v>341.77</v>
      </c>
      <c r="L67" s="64">
        <v>32.130000000000003</v>
      </c>
      <c r="M67" s="64">
        <v>31.95</v>
      </c>
      <c r="N67" s="64">
        <v>237.5</v>
      </c>
      <c r="O67" s="64">
        <v>0</v>
      </c>
      <c r="P67" s="64">
        <v>0.98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4" t="s">
        <v>1553</v>
      </c>
      <c r="B68" s="64">
        <v>5.31</v>
      </c>
      <c r="C68" s="64">
        <v>21.09</v>
      </c>
      <c r="D68" s="64">
        <v>17.190000000000001</v>
      </c>
      <c r="E68" s="64">
        <v>0.81</v>
      </c>
      <c r="F68" s="64">
        <v>7.47</v>
      </c>
      <c r="G68" s="64">
        <v>104.19</v>
      </c>
      <c r="H68" s="64">
        <v>23.04</v>
      </c>
      <c r="I68" s="64">
        <v>1.52</v>
      </c>
      <c r="J68" s="64">
        <v>1.17</v>
      </c>
      <c r="K68" s="64">
        <v>339.38</v>
      </c>
      <c r="L68" s="64">
        <v>31.54</v>
      </c>
      <c r="M68" s="64">
        <v>31.32</v>
      </c>
      <c r="N68" s="64">
        <v>170.6</v>
      </c>
      <c r="O68" s="64">
        <v>0</v>
      </c>
      <c r="P68" s="64">
        <v>0.99</v>
      </c>
      <c r="Q68" s="64">
        <v>5.21</v>
      </c>
      <c r="R68" s="198"/>
      <c r="S68" s="198"/>
      <c r="T68" s="198"/>
      <c r="U68" s="198"/>
    </row>
    <row r="69" spans="1:21" s="12" customFormat="1" x14ac:dyDescent="0.25">
      <c r="A69" s="214" t="s">
        <v>1554</v>
      </c>
      <c r="B69" s="64">
        <v>7.31</v>
      </c>
      <c r="C69" s="64">
        <v>26.22</v>
      </c>
      <c r="D69" s="64">
        <v>21.63</v>
      </c>
      <c r="E69" s="64">
        <v>0.79</v>
      </c>
      <c r="F69" s="64">
        <v>12.65</v>
      </c>
      <c r="G69" s="64">
        <v>104.19</v>
      </c>
      <c r="H69" s="64">
        <v>23.04</v>
      </c>
      <c r="I69" s="64">
        <v>1.5</v>
      </c>
      <c r="J69" s="64">
        <v>1.0900000000000001</v>
      </c>
      <c r="K69" s="64">
        <v>335</v>
      </c>
      <c r="L69" s="64">
        <v>31.24</v>
      </c>
      <c r="M69" s="64">
        <v>32</v>
      </c>
      <c r="N69" s="64">
        <v>140.6</v>
      </c>
      <c r="O69" s="64">
        <v>0</v>
      </c>
      <c r="P69" s="64">
        <v>0.96</v>
      </c>
      <c r="Q69" s="64">
        <v>5.21</v>
      </c>
      <c r="R69" s="198"/>
      <c r="S69" s="198"/>
      <c r="T69" s="198"/>
      <c r="U69" s="198"/>
    </row>
    <row r="70" spans="1:21" s="12" customFormat="1" x14ac:dyDescent="0.25">
      <c r="A70" s="214" t="s">
        <v>1555</v>
      </c>
      <c r="B70" s="64">
        <v>6.62</v>
      </c>
      <c r="C70" s="64">
        <v>22.62</v>
      </c>
      <c r="D70" s="64">
        <v>19.079999999999998</v>
      </c>
      <c r="E70" s="64">
        <v>1.31</v>
      </c>
      <c r="F70" s="64">
        <v>27.35</v>
      </c>
      <c r="G70" s="64">
        <v>104.19</v>
      </c>
      <c r="H70" s="64">
        <v>23.04</v>
      </c>
      <c r="I70" s="64">
        <v>1.56</v>
      </c>
      <c r="J70" s="64">
        <v>0.91</v>
      </c>
      <c r="K70" s="64">
        <v>338.74</v>
      </c>
      <c r="L70" s="64">
        <v>31.06</v>
      </c>
      <c r="M70" s="64">
        <v>30.46</v>
      </c>
      <c r="N70" s="64">
        <v>116.2</v>
      </c>
      <c r="O70" s="64">
        <v>0</v>
      </c>
      <c r="P70" s="64">
        <v>0.78</v>
      </c>
      <c r="Q70" s="64">
        <v>5.21</v>
      </c>
      <c r="R70" s="198"/>
      <c r="S70" s="198"/>
      <c r="T70" s="198"/>
      <c r="U70" s="198"/>
    </row>
    <row r="71" spans="1:21" s="12" customFormat="1" x14ac:dyDescent="0.25">
      <c r="A71" s="214" t="s">
        <v>1556</v>
      </c>
      <c r="B71" s="64">
        <v>8.0299999999999994</v>
      </c>
      <c r="C71" s="64">
        <v>28.31</v>
      </c>
      <c r="D71" s="64">
        <v>23.36</v>
      </c>
      <c r="E71" s="64">
        <v>1.17</v>
      </c>
      <c r="F71" s="64">
        <v>17.41</v>
      </c>
      <c r="G71" s="64">
        <v>103.28</v>
      </c>
      <c r="H71" s="64">
        <v>20.21</v>
      </c>
      <c r="I71" s="64">
        <v>1.44</v>
      </c>
      <c r="J71" s="64">
        <v>1.06</v>
      </c>
      <c r="K71" s="64">
        <v>341.03</v>
      </c>
      <c r="L71" s="64">
        <v>30.89</v>
      </c>
      <c r="M71" s="64">
        <v>33.11</v>
      </c>
      <c r="N71" s="64">
        <v>94.9</v>
      </c>
      <c r="O71" s="64">
        <v>0</v>
      </c>
      <c r="P71" s="64">
        <v>0.9</v>
      </c>
      <c r="Q71" s="64">
        <v>5.21</v>
      </c>
      <c r="R71" s="198"/>
      <c r="S71" s="198"/>
      <c r="T71" s="198"/>
      <c r="U71" s="198"/>
    </row>
    <row r="72" spans="1:21" s="12" customFormat="1" x14ac:dyDescent="0.25">
      <c r="A72" s="214" t="s">
        <v>1557</v>
      </c>
      <c r="B72" s="64">
        <v>9.0500000000000007</v>
      </c>
      <c r="C72" s="64">
        <v>32.81</v>
      </c>
      <c r="D72" s="64">
        <v>26.66</v>
      </c>
      <c r="E72" s="64">
        <v>0.51</v>
      </c>
      <c r="F72" s="64">
        <v>17.47</v>
      </c>
      <c r="G72" s="215" t="s">
        <v>36</v>
      </c>
      <c r="H72" s="215" t="s">
        <v>36</v>
      </c>
      <c r="I72" s="64">
        <v>1.38</v>
      </c>
      <c r="J72" s="64">
        <v>0.97</v>
      </c>
      <c r="K72" s="64">
        <v>338.4</v>
      </c>
      <c r="L72" s="64">
        <v>30.42</v>
      </c>
      <c r="M72" s="64">
        <v>33.26</v>
      </c>
      <c r="N72" s="64">
        <v>79.400000000000006</v>
      </c>
      <c r="O72" s="64">
        <v>0</v>
      </c>
      <c r="P72" s="64">
        <v>0.93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4" t="s">
        <v>1558</v>
      </c>
      <c r="B73" s="64">
        <v>6.7</v>
      </c>
      <c r="C73" s="64">
        <v>36.119999999999997</v>
      </c>
      <c r="D73" s="64">
        <v>26.6</v>
      </c>
      <c r="E73" s="64">
        <v>1.2</v>
      </c>
      <c r="F73" s="64">
        <v>33.869999999999997</v>
      </c>
      <c r="G73" s="215" t="s">
        <v>36</v>
      </c>
      <c r="H73" s="215" t="s">
        <v>36</v>
      </c>
      <c r="I73" s="64">
        <v>1.46</v>
      </c>
      <c r="J73" s="64">
        <v>0.28999999999999998</v>
      </c>
      <c r="K73" s="64">
        <v>57.35</v>
      </c>
      <c r="L73" s="64">
        <v>29.52</v>
      </c>
      <c r="M73" s="64">
        <v>36.020000000000003</v>
      </c>
      <c r="N73" s="64">
        <v>68.400000000000006</v>
      </c>
      <c r="O73" s="64">
        <v>0</v>
      </c>
      <c r="P73" s="64">
        <v>0.81</v>
      </c>
      <c r="Q73" s="64">
        <v>4.97</v>
      </c>
      <c r="R73" s="198"/>
      <c r="S73" s="198"/>
      <c r="T73" s="198"/>
      <c r="U73" s="198"/>
    </row>
    <row r="74" spans="1:21" s="12" customFormat="1" x14ac:dyDescent="0.25">
      <c r="A74" s="214" t="s">
        <v>1559</v>
      </c>
      <c r="B74" s="64">
        <v>5.16</v>
      </c>
      <c r="C74" s="64">
        <v>27.49</v>
      </c>
      <c r="D74" s="64">
        <v>20.6</v>
      </c>
      <c r="E74" s="64">
        <v>1.24</v>
      </c>
      <c r="F74" s="64">
        <v>8.32</v>
      </c>
      <c r="G74" s="215" t="s">
        <v>36</v>
      </c>
      <c r="H74" s="215" t="s">
        <v>36</v>
      </c>
      <c r="I74" s="64">
        <v>1.62</v>
      </c>
      <c r="J74" s="64">
        <v>0.21</v>
      </c>
      <c r="K74" s="64">
        <v>57</v>
      </c>
      <c r="L74" s="64">
        <v>28.89</v>
      </c>
      <c r="M74" s="64">
        <v>36.479999999999997</v>
      </c>
      <c r="N74" s="64">
        <v>57.6</v>
      </c>
      <c r="O74" s="64">
        <v>0</v>
      </c>
      <c r="P74" s="64">
        <v>0.88</v>
      </c>
      <c r="Q74" s="64">
        <v>4.54</v>
      </c>
      <c r="R74" s="198"/>
      <c r="S74" s="198"/>
      <c r="T74" s="198"/>
      <c r="U74" s="198"/>
    </row>
    <row r="75" spans="1:21" s="12" customFormat="1" x14ac:dyDescent="0.25">
      <c r="A75" s="214" t="s">
        <v>1560</v>
      </c>
      <c r="B75" s="64">
        <v>11.58</v>
      </c>
      <c r="C75" s="64">
        <v>44.82</v>
      </c>
      <c r="D75" s="64">
        <v>35.31</v>
      </c>
      <c r="E75" s="64">
        <v>1</v>
      </c>
      <c r="F75" s="64">
        <v>15.02</v>
      </c>
      <c r="G75" s="215" t="s">
        <v>36</v>
      </c>
      <c r="H75" s="215" t="s">
        <v>36</v>
      </c>
      <c r="I75" s="64">
        <v>1.51</v>
      </c>
      <c r="J75" s="64">
        <v>0.41</v>
      </c>
      <c r="K75" s="64">
        <v>342.87</v>
      </c>
      <c r="L75" s="64">
        <v>28.69</v>
      </c>
      <c r="M75" s="64">
        <v>38.21</v>
      </c>
      <c r="N75" s="64">
        <v>48.3</v>
      </c>
      <c r="O75" s="64">
        <v>0</v>
      </c>
      <c r="P75" s="64">
        <v>1.08</v>
      </c>
      <c r="Q75" s="64">
        <v>4.58</v>
      </c>
      <c r="R75" s="198"/>
      <c r="S75" s="198"/>
      <c r="T75" s="198"/>
      <c r="U75" s="198"/>
    </row>
    <row r="76" spans="1:21" s="12" customFormat="1" x14ac:dyDescent="0.25">
      <c r="A76" s="214" t="s">
        <v>1561</v>
      </c>
      <c r="B76" s="64">
        <v>19.690000000000001</v>
      </c>
      <c r="C76" s="64">
        <v>59.93</v>
      </c>
      <c r="D76" s="64">
        <v>50.16</v>
      </c>
      <c r="E76" s="64">
        <v>1.49</v>
      </c>
      <c r="F76" s="64">
        <v>17.7</v>
      </c>
      <c r="G76" s="64">
        <v>96.04</v>
      </c>
      <c r="H76" s="64">
        <v>19.59</v>
      </c>
      <c r="I76" s="64">
        <v>1.51</v>
      </c>
      <c r="J76" s="64">
        <v>0.24</v>
      </c>
      <c r="K76" s="64">
        <v>345.51</v>
      </c>
      <c r="L76" s="64">
        <v>28.57</v>
      </c>
      <c r="M76" s="64">
        <v>37.950000000000003</v>
      </c>
      <c r="N76" s="64">
        <v>38.299999999999997</v>
      </c>
      <c r="O76" s="64">
        <v>0</v>
      </c>
      <c r="P76" s="64">
        <v>1.24</v>
      </c>
      <c r="Q76" s="64">
        <v>3.7</v>
      </c>
      <c r="R76" s="198"/>
      <c r="S76" s="198"/>
      <c r="T76" s="198"/>
      <c r="U76" s="198"/>
    </row>
    <row r="77" spans="1:21" s="12" customFormat="1" x14ac:dyDescent="0.25">
      <c r="A77" s="214" t="s">
        <v>1562</v>
      </c>
      <c r="B77" s="64">
        <v>10.65</v>
      </c>
      <c r="C77" s="64">
        <v>62.21</v>
      </c>
      <c r="D77" s="64">
        <v>44.17</v>
      </c>
      <c r="E77" s="64">
        <v>1.81</v>
      </c>
      <c r="F77" s="64">
        <v>17.989999999999998</v>
      </c>
      <c r="G77" s="64">
        <v>101.69</v>
      </c>
      <c r="H77" s="64">
        <v>19.59</v>
      </c>
      <c r="I77" s="64">
        <v>1.49</v>
      </c>
      <c r="J77" s="64">
        <v>0.09</v>
      </c>
      <c r="K77" s="64">
        <v>53.53</v>
      </c>
      <c r="L77" s="64">
        <v>28.09</v>
      </c>
      <c r="M77" s="64">
        <v>38.06</v>
      </c>
      <c r="N77" s="64">
        <v>26.5</v>
      </c>
      <c r="O77" s="64">
        <v>0</v>
      </c>
      <c r="P77" s="64">
        <v>1.31</v>
      </c>
      <c r="Q77" s="64">
        <v>1.42</v>
      </c>
      <c r="R77" s="198"/>
      <c r="S77" s="198"/>
      <c r="T77" s="198"/>
      <c r="U77" s="198"/>
    </row>
    <row r="78" spans="1:21" s="12" customFormat="1" x14ac:dyDescent="0.25">
      <c r="A78" s="214" t="s">
        <v>1563</v>
      </c>
      <c r="B78" s="64">
        <v>14.3</v>
      </c>
      <c r="C78" s="64">
        <v>60.52</v>
      </c>
      <c r="D78" s="64">
        <v>46.16</v>
      </c>
      <c r="E78" s="64">
        <v>1.1599999999999999</v>
      </c>
      <c r="F78" s="64">
        <v>9.35</v>
      </c>
      <c r="G78" s="64">
        <v>101.69</v>
      </c>
      <c r="H78" s="64">
        <v>19.59</v>
      </c>
      <c r="I78" s="64">
        <v>1.51</v>
      </c>
      <c r="J78" s="64">
        <v>0.12</v>
      </c>
      <c r="K78" s="64">
        <v>84.13</v>
      </c>
      <c r="L78" s="64">
        <v>27.62</v>
      </c>
      <c r="M78" s="64">
        <v>40.65</v>
      </c>
      <c r="N78" s="64">
        <v>15.9</v>
      </c>
      <c r="O78" s="64">
        <v>0</v>
      </c>
      <c r="P78" s="64">
        <v>1.22</v>
      </c>
      <c r="Q78" s="64">
        <v>3.82</v>
      </c>
      <c r="R78" s="198"/>
      <c r="S78" s="198"/>
      <c r="T78" s="198"/>
      <c r="U78" s="198"/>
    </row>
    <row r="79" spans="1:21" s="12" customFormat="1" x14ac:dyDescent="0.25">
      <c r="A79" s="214" t="s">
        <v>1564</v>
      </c>
      <c r="B79" s="64">
        <v>46.09</v>
      </c>
      <c r="C79" s="64">
        <v>88.91</v>
      </c>
      <c r="D79" s="64">
        <v>87.32</v>
      </c>
      <c r="E79" s="64">
        <v>1.33</v>
      </c>
      <c r="F79" s="64">
        <v>3.94</v>
      </c>
      <c r="G79" s="64">
        <v>101.69</v>
      </c>
      <c r="H79" s="64">
        <v>19.59</v>
      </c>
      <c r="I79" s="64">
        <v>1.5</v>
      </c>
      <c r="J79" s="64">
        <v>0.06</v>
      </c>
      <c r="K79" s="64">
        <v>313.95</v>
      </c>
      <c r="L79" s="64">
        <v>26.62</v>
      </c>
      <c r="M79" s="64">
        <v>50.96</v>
      </c>
      <c r="N79" s="64">
        <v>10.5</v>
      </c>
      <c r="O79" s="64">
        <v>0</v>
      </c>
      <c r="P79" s="64">
        <v>2.11</v>
      </c>
      <c r="Q79" s="64">
        <v>0.1</v>
      </c>
      <c r="R79" s="198"/>
      <c r="S79" s="198"/>
      <c r="T79" s="198"/>
      <c r="U79" s="198"/>
    </row>
    <row r="80" spans="1:21" s="12" customFormat="1" x14ac:dyDescent="0.25">
      <c r="A80" s="214" t="s">
        <v>1565</v>
      </c>
      <c r="B80" s="64">
        <v>96.33</v>
      </c>
      <c r="C80" s="64">
        <v>107.56</v>
      </c>
      <c r="D80" s="64">
        <v>137.91</v>
      </c>
      <c r="E80" s="64">
        <v>1.4</v>
      </c>
      <c r="F80" s="64">
        <v>1.51</v>
      </c>
      <c r="G80" s="64">
        <v>105.92</v>
      </c>
      <c r="H80" s="64">
        <v>22.53</v>
      </c>
      <c r="I80" s="64">
        <v>1.52</v>
      </c>
      <c r="J80" s="64">
        <v>0.11</v>
      </c>
      <c r="K80" s="64">
        <v>280.51</v>
      </c>
      <c r="L80" s="64">
        <v>25.18</v>
      </c>
      <c r="M80" s="64">
        <v>63.19</v>
      </c>
      <c r="N80" s="64">
        <v>9.3000000000000007</v>
      </c>
      <c r="O80" s="64">
        <v>0</v>
      </c>
      <c r="P80" s="64">
        <v>2.5499999999999998</v>
      </c>
      <c r="Q80" s="216" t="s">
        <v>42</v>
      </c>
      <c r="R80" s="198"/>
      <c r="S80" s="198"/>
      <c r="T80" s="198"/>
      <c r="U80" s="198"/>
    </row>
    <row r="81" spans="1:26" s="12" customFormat="1" x14ac:dyDescent="0.25">
      <c r="A81" s="214" t="s">
        <v>1566</v>
      </c>
      <c r="B81" s="64">
        <v>101.07</v>
      </c>
      <c r="C81" s="64">
        <v>108.34</v>
      </c>
      <c r="D81" s="64">
        <v>142.13</v>
      </c>
      <c r="E81" s="64">
        <v>1.39</v>
      </c>
      <c r="F81" s="64">
        <v>1.1299999999999999</v>
      </c>
      <c r="G81" s="64">
        <v>106.17</v>
      </c>
      <c r="H81" s="64">
        <v>22.53</v>
      </c>
      <c r="I81" s="64">
        <v>1.55</v>
      </c>
      <c r="J81" s="64">
        <v>0.18</v>
      </c>
      <c r="K81" s="64">
        <v>328.89</v>
      </c>
      <c r="L81" s="64">
        <v>24.68</v>
      </c>
      <c r="M81" s="64">
        <v>66.099999999999994</v>
      </c>
      <c r="N81" s="64">
        <v>9.1</v>
      </c>
      <c r="O81" s="64">
        <v>0</v>
      </c>
      <c r="P81" s="64">
        <v>2.79</v>
      </c>
      <c r="Q81" s="216" t="s">
        <v>42</v>
      </c>
      <c r="R81" s="198"/>
      <c r="S81" s="198"/>
      <c r="T81" s="198"/>
      <c r="U81" s="198"/>
    </row>
    <row r="82" spans="1:26" s="12" customFormat="1" x14ac:dyDescent="0.25">
      <c r="A82" s="214" t="s">
        <v>1567</v>
      </c>
      <c r="B82" s="64">
        <v>97.64</v>
      </c>
      <c r="C82" s="64">
        <v>122.53</v>
      </c>
      <c r="D82" s="64">
        <v>147.22</v>
      </c>
      <c r="E82" s="64">
        <v>1.49</v>
      </c>
      <c r="F82" s="64">
        <v>2.42</v>
      </c>
      <c r="G82" s="64">
        <v>106.17</v>
      </c>
      <c r="H82" s="64">
        <v>22.53</v>
      </c>
      <c r="I82" s="64">
        <v>1.46</v>
      </c>
      <c r="J82" s="64">
        <v>7.0000000000000007E-2</v>
      </c>
      <c r="K82" s="64">
        <v>69.94</v>
      </c>
      <c r="L82" s="64">
        <v>24.75</v>
      </c>
      <c r="M82" s="64">
        <v>60.37</v>
      </c>
      <c r="N82" s="64">
        <v>9</v>
      </c>
      <c r="O82" s="64">
        <v>0</v>
      </c>
      <c r="P82" s="64">
        <v>2.82</v>
      </c>
      <c r="Q82" s="216" t="s">
        <v>42</v>
      </c>
      <c r="R82" s="198"/>
      <c r="S82" s="198"/>
      <c r="T82" s="198"/>
      <c r="U82" s="198"/>
    </row>
    <row r="83" spans="1:26" s="12" customFormat="1" x14ac:dyDescent="0.25">
      <c r="A83" s="214" t="s">
        <v>1568</v>
      </c>
      <c r="B83" s="64">
        <v>196.31</v>
      </c>
      <c r="C83" s="64">
        <v>153.63999999999999</v>
      </c>
      <c r="D83" s="64">
        <v>243.51</v>
      </c>
      <c r="E83" s="64">
        <v>1.77</v>
      </c>
      <c r="F83" s="64">
        <v>1.1399999999999999</v>
      </c>
      <c r="G83" s="64">
        <v>106.17</v>
      </c>
      <c r="H83" s="64">
        <v>22.53</v>
      </c>
      <c r="I83" s="64">
        <v>1.56</v>
      </c>
      <c r="J83" s="64">
        <v>0.1</v>
      </c>
      <c r="K83" s="64">
        <v>279.52999999999997</v>
      </c>
      <c r="L83" s="64">
        <v>24.81</v>
      </c>
      <c r="M83" s="64">
        <v>60.49</v>
      </c>
      <c r="N83" s="64">
        <v>8.8000000000000007</v>
      </c>
      <c r="O83" s="64">
        <v>0</v>
      </c>
      <c r="P83" s="64">
        <v>2.86</v>
      </c>
      <c r="Q83" s="216" t="s">
        <v>42</v>
      </c>
      <c r="R83" s="198"/>
      <c r="S83" s="198"/>
      <c r="T83" s="198"/>
      <c r="U83" s="198"/>
    </row>
    <row r="84" spans="1:26" s="12" customFormat="1" x14ac:dyDescent="0.25">
      <c r="A84" s="214" t="s">
        <v>1569</v>
      </c>
      <c r="B84" s="64">
        <v>226.87</v>
      </c>
      <c r="C84" s="64">
        <v>133.09</v>
      </c>
      <c r="D84" s="64">
        <v>256.67</v>
      </c>
      <c r="E84" s="64">
        <v>1.68</v>
      </c>
      <c r="F84" s="64">
        <v>1.1000000000000001</v>
      </c>
      <c r="G84" s="64">
        <v>141.41999999999999</v>
      </c>
      <c r="H84" s="64">
        <v>23.45</v>
      </c>
      <c r="I84" s="64">
        <v>1.47</v>
      </c>
      <c r="J84" s="64">
        <v>0.1</v>
      </c>
      <c r="K84" s="64">
        <v>265.66000000000003</v>
      </c>
      <c r="L84" s="64">
        <v>24.64</v>
      </c>
      <c r="M84" s="64">
        <v>64.25</v>
      </c>
      <c r="N84" s="64">
        <v>8.9</v>
      </c>
      <c r="O84" s="64">
        <v>0</v>
      </c>
      <c r="P84" s="64">
        <v>4.6100000000000003</v>
      </c>
      <c r="Q84" s="216" t="s">
        <v>42</v>
      </c>
      <c r="R84" s="198"/>
      <c r="S84" s="198"/>
      <c r="T84" s="198"/>
      <c r="U84" s="198"/>
    </row>
    <row r="85" spans="1:26" s="12" customFormat="1" x14ac:dyDescent="0.25">
      <c r="A85" s="214" t="s">
        <v>1570</v>
      </c>
      <c r="B85" s="64">
        <v>85.42</v>
      </c>
      <c r="C85" s="64">
        <v>101.04</v>
      </c>
      <c r="D85" s="64">
        <v>125.55</v>
      </c>
      <c r="E85" s="64">
        <v>1.39</v>
      </c>
      <c r="F85" s="64">
        <v>0.53</v>
      </c>
      <c r="G85" s="64">
        <v>143.49</v>
      </c>
      <c r="H85" s="64">
        <v>23.45</v>
      </c>
      <c r="I85" s="64">
        <v>1.46</v>
      </c>
      <c r="J85" s="64">
        <v>0.12</v>
      </c>
      <c r="K85" s="64">
        <v>224.4</v>
      </c>
      <c r="L85" s="64">
        <v>24.42</v>
      </c>
      <c r="M85" s="64">
        <v>62.25</v>
      </c>
      <c r="N85" s="64">
        <v>8.6999999999999993</v>
      </c>
      <c r="O85" s="64">
        <v>0</v>
      </c>
      <c r="P85" s="64">
        <v>1.93</v>
      </c>
      <c r="Q85" s="216" t="s">
        <v>42</v>
      </c>
      <c r="R85" s="198"/>
      <c r="S85" s="198"/>
      <c r="T85" s="198"/>
      <c r="U85" s="198"/>
    </row>
    <row r="86" spans="1:26" s="12" customFormat="1" x14ac:dyDescent="0.25">
      <c r="A86" s="214" t="s">
        <v>1571</v>
      </c>
      <c r="B86" s="64">
        <v>97.48</v>
      </c>
      <c r="C86" s="64">
        <v>82.92</v>
      </c>
      <c r="D86" s="64">
        <v>125.22</v>
      </c>
      <c r="E86" s="64">
        <v>1.03</v>
      </c>
      <c r="F86" s="64">
        <v>0.56999999999999995</v>
      </c>
      <c r="G86" s="64">
        <v>143.49</v>
      </c>
      <c r="H86" s="64">
        <v>23.45</v>
      </c>
      <c r="I86" s="64">
        <v>1.52</v>
      </c>
      <c r="J86" s="64">
        <v>0.14000000000000001</v>
      </c>
      <c r="K86" s="64">
        <v>281.58</v>
      </c>
      <c r="L86" s="64">
        <v>24.43</v>
      </c>
      <c r="M86" s="64">
        <v>66.489999999999995</v>
      </c>
      <c r="N86" s="64">
        <v>8.6999999999999993</v>
      </c>
      <c r="O86" s="64">
        <v>0</v>
      </c>
      <c r="P86" s="64">
        <v>2.99</v>
      </c>
      <c r="Q86" s="64">
        <v>0.03</v>
      </c>
      <c r="R86" s="198"/>
      <c r="S86" s="198"/>
      <c r="T86" s="198"/>
      <c r="U86" s="198"/>
    </row>
    <row r="87" spans="1:26" s="12" customFormat="1" x14ac:dyDescent="0.25">
      <c r="A87" s="214" t="s">
        <v>1572</v>
      </c>
      <c r="B87" s="64">
        <v>31.66</v>
      </c>
      <c r="C87" s="64">
        <v>68.83</v>
      </c>
      <c r="D87" s="64">
        <v>64.67</v>
      </c>
      <c r="E87" s="64">
        <v>1.05</v>
      </c>
      <c r="F87" s="64">
        <v>5.22</v>
      </c>
      <c r="G87" s="64">
        <v>143.49</v>
      </c>
      <c r="H87" s="64">
        <v>23.45</v>
      </c>
      <c r="I87" s="64">
        <v>1.47</v>
      </c>
      <c r="J87" s="64">
        <v>0.09</v>
      </c>
      <c r="K87" s="64">
        <v>255.44</v>
      </c>
      <c r="L87" s="64">
        <v>24.55</v>
      </c>
      <c r="M87" s="64">
        <v>55.98</v>
      </c>
      <c r="N87" s="64">
        <v>8.6999999999999993</v>
      </c>
      <c r="O87" s="64">
        <v>0</v>
      </c>
      <c r="P87" s="64">
        <v>1.71</v>
      </c>
      <c r="Q87" s="64">
        <v>2.71</v>
      </c>
      <c r="R87" s="198"/>
      <c r="S87" s="198"/>
      <c r="T87" s="198"/>
      <c r="U87" s="198"/>
    </row>
    <row r="88" spans="1:26" s="12" customFormat="1" x14ac:dyDescent="0.25">
      <c r="A88" s="214" t="s">
        <v>1573</v>
      </c>
      <c r="B88" s="64">
        <v>27.38</v>
      </c>
      <c r="C88" s="64">
        <v>46.37</v>
      </c>
      <c r="D88" s="64">
        <v>48.84</v>
      </c>
      <c r="E88" s="64">
        <v>0.44</v>
      </c>
      <c r="F88" s="64">
        <v>5.68</v>
      </c>
      <c r="G88" s="64">
        <v>166.09</v>
      </c>
      <c r="H88" s="64">
        <v>15.24</v>
      </c>
      <c r="I88" s="64">
        <v>1.49</v>
      </c>
      <c r="J88" s="64">
        <v>0.02</v>
      </c>
      <c r="K88" s="64">
        <v>284.39</v>
      </c>
      <c r="L88" s="64">
        <v>24.29</v>
      </c>
      <c r="M88" s="64">
        <v>59.66</v>
      </c>
      <c r="N88" s="64">
        <v>9</v>
      </c>
      <c r="O88" s="64">
        <v>0</v>
      </c>
      <c r="P88" s="64">
        <v>1.45</v>
      </c>
      <c r="Q88" s="64">
        <v>6.92</v>
      </c>
      <c r="R88" s="198"/>
      <c r="S88" s="198"/>
      <c r="T88" s="198"/>
      <c r="U88" s="198"/>
    </row>
    <row r="89" spans="1:26" s="12" customFormat="1" x14ac:dyDescent="0.25">
      <c r="A89" s="214" t="s">
        <v>1574</v>
      </c>
      <c r="B89" s="64">
        <v>68.22</v>
      </c>
      <c r="C89" s="64">
        <v>58.78</v>
      </c>
      <c r="D89" s="64">
        <v>88.44</v>
      </c>
      <c r="E89" s="64">
        <v>0.67</v>
      </c>
      <c r="F89" s="64">
        <v>0.78</v>
      </c>
      <c r="G89" s="64">
        <v>167.42</v>
      </c>
      <c r="H89" s="64">
        <v>15.24</v>
      </c>
      <c r="I89" s="64">
        <v>1.52</v>
      </c>
      <c r="J89" s="64">
        <v>0.06</v>
      </c>
      <c r="K89" s="64">
        <v>295.72000000000003</v>
      </c>
      <c r="L89" s="64">
        <v>23.84</v>
      </c>
      <c r="M89" s="64">
        <v>66.8</v>
      </c>
      <c r="N89" s="64">
        <v>9</v>
      </c>
      <c r="O89" s="64">
        <v>0</v>
      </c>
      <c r="P89" s="64">
        <v>2.04</v>
      </c>
      <c r="Q89" s="64">
        <v>3.36</v>
      </c>
      <c r="R89" s="198"/>
      <c r="S89" s="198"/>
      <c r="T89" s="198"/>
      <c r="U89" s="198"/>
    </row>
    <row r="90" spans="1:26" s="12" customFormat="1" x14ac:dyDescent="0.25">
      <c r="A90" s="214" t="s">
        <v>1575</v>
      </c>
      <c r="B90" s="64">
        <v>85.12</v>
      </c>
      <c r="C90" s="64">
        <v>79.19</v>
      </c>
      <c r="D90" s="64">
        <v>113.25</v>
      </c>
      <c r="E90" s="64">
        <v>0.78</v>
      </c>
      <c r="F90" s="64">
        <v>0.46</v>
      </c>
      <c r="G90" s="64">
        <v>167.42</v>
      </c>
      <c r="H90" s="64">
        <v>15.24</v>
      </c>
      <c r="I90" s="64">
        <v>1.48</v>
      </c>
      <c r="J90" s="64">
        <v>0.06</v>
      </c>
      <c r="K90" s="64">
        <v>165.47</v>
      </c>
      <c r="L90" s="64">
        <v>23.63</v>
      </c>
      <c r="M90" s="64">
        <v>66.55</v>
      </c>
      <c r="N90" s="64">
        <v>8.9</v>
      </c>
      <c r="O90" s="64">
        <v>0</v>
      </c>
      <c r="P90" s="64">
        <v>1.92</v>
      </c>
      <c r="Q90" s="64">
        <v>0.38</v>
      </c>
      <c r="R90" s="198"/>
      <c r="S90" s="198"/>
      <c r="T90" s="198"/>
      <c r="U90" s="198"/>
    </row>
    <row r="91" spans="1:26" s="12" customFormat="1" x14ac:dyDescent="0.25">
      <c r="A91" s="214" t="s">
        <v>1576</v>
      </c>
      <c r="B91" s="64">
        <v>92.81</v>
      </c>
      <c r="C91" s="64">
        <v>79.37</v>
      </c>
      <c r="D91" s="64">
        <v>119.52</v>
      </c>
      <c r="E91" s="64">
        <v>0.72</v>
      </c>
      <c r="F91" s="64">
        <v>0.91</v>
      </c>
      <c r="G91" s="64">
        <v>167.42</v>
      </c>
      <c r="H91" s="64">
        <v>15.24</v>
      </c>
      <c r="I91" s="64">
        <v>1.56</v>
      </c>
      <c r="J91" s="64">
        <v>7.0000000000000007E-2</v>
      </c>
      <c r="K91" s="64">
        <v>215.77</v>
      </c>
      <c r="L91" s="64">
        <v>23.49</v>
      </c>
      <c r="M91" s="64">
        <v>67.010000000000005</v>
      </c>
      <c r="N91" s="64">
        <v>8.6999999999999993</v>
      </c>
      <c r="O91" s="64">
        <v>0</v>
      </c>
      <c r="P91" s="64">
        <v>1.89</v>
      </c>
      <c r="Q91" s="64">
        <v>1.38</v>
      </c>
      <c r="R91" s="198"/>
      <c r="S91" s="198"/>
      <c r="T91" s="198"/>
      <c r="U91" s="198"/>
    </row>
    <row r="92" spans="1:26" s="12" customFormat="1" x14ac:dyDescent="0.25">
      <c r="A92" s="214" t="s">
        <v>1577</v>
      </c>
      <c r="B92" s="64">
        <v>59.49</v>
      </c>
      <c r="C92" s="64">
        <v>47.59</v>
      </c>
      <c r="D92" s="64">
        <v>75.260000000000005</v>
      </c>
      <c r="E92" s="64">
        <v>0.64</v>
      </c>
      <c r="F92" s="64">
        <v>0.88</v>
      </c>
      <c r="G92" s="64">
        <v>168.15</v>
      </c>
      <c r="H92" s="64">
        <v>16.329999999999998</v>
      </c>
      <c r="I92" s="64">
        <v>1.44</v>
      </c>
      <c r="J92" s="64">
        <v>0.12</v>
      </c>
      <c r="K92" s="64">
        <v>287.60000000000002</v>
      </c>
      <c r="L92" s="64">
        <v>23.65</v>
      </c>
      <c r="M92" s="64">
        <v>67.97</v>
      </c>
      <c r="N92" s="64">
        <v>8.6</v>
      </c>
      <c r="O92" s="64">
        <v>0</v>
      </c>
      <c r="P92" s="64">
        <v>1.92</v>
      </c>
      <c r="Q92" s="64">
        <v>4.71</v>
      </c>
      <c r="R92" s="198"/>
      <c r="S92" s="198"/>
      <c r="T92" s="198"/>
      <c r="U92" s="198"/>
    </row>
    <row r="93" spans="1:26" s="12" customFormat="1" x14ac:dyDescent="0.25">
      <c r="A93" s="214" t="s">
        <v>1578</v>
      </c>
      <c r="B93" s="64">
        <v>127.34</v>
      </c>
      <c r="C93" s="64">
        <v>80.14</v>
      </c>
      <c r="D93" s="64">
        <v>147.63</v>
      </c>
      <c r="E93" s="64">
        <v>0.76</v>
      </c>
      <c r="F93" s="64">
        <v>0.61</v>
      </c>
      <c r="G93" s="64">
        <v>168.19</v>
      </c>
      <c r="H93" s="64">
        <v>16.329999999999998</v>
      </c>
      <c r="I93" s="64">
        <v>1.45</v>
      </c>
      <c r="J93" s="64">
        <v>0.12</v>
      </c>
      <c r="K93" s="64">
        <v>313.99</v>
      </c>
      <c r="L93" s="64">
        <v>23.29</v>
      </c>
      <c r="M93" s="64">
        <v>79.66</v>
      </c>
      <c r="N93" s="64">
        <v>8.9</v>
      </c>
      <c r="O93" s="64">
        <v>0</v>
      </c>
      <c r="P93" s="64">
        <v>3.94</v>
      </c>
      <c r="Q93" s="64">
        <v>0.48</v>
      </c>
      <c r="R93" s="198"/>
      <c r="S93" s="198"/>
      <c r="T93" s="198"/>
      <c r="U93" s="198"/>
    </row>
    <row r="94" spans="1:26" s="12" customFormat="1" x14ac:dyDescent="0.25">
      <c r="A94" s="214" t="s">
        <v>1579</v>
      </c>
      <c r="B94" s="64">
        <v>90.53</v>
      </c>
      <c r="C94" s="64">
        <v>69.900000000000006</v>
      </c>
      <c r="D94" s="64">
        <v>112.47</v>
      </c>
      <c r="E94" s="64">
        <v>0.76</v>
      </c>
      <c r="F94" s="64">
        <v>0.91</v>
      </c>
      <c r="G94" s="64">
        <v>168.19</v>
      </c>
      <c r="H94" s="64">
        <v>16.329999999999998</v>
      </c>
      <c r="I94" s="64">
        <v>1.45</v>
      </c>
      <c r="J94" s="64">
        <v>7.0000000000000007E-2</v>
      </c>
      <c r="K94" s="64">
        <v>293.12</v>
      </c>
      <c r="L94" s="64">
        <v>23</v>
      </c>
      <c r="M94" s="64">
        <v>77.459999999999994</v>
      </c>
      <c r="N94" s="64">
        <v>8.9</v>
      </c>
      <c r="O94" s="64">
        <v>0</v>
      </c>
      <c r="P94" s="64">
        <v>2.72</v>
      </c>
      <c r="Q94" s="64">
        <v>1.71</v>
      </c>
      <c r="R94" s="198"/>
      <c r="S94" s="198"/>
      <c r="T94" s="198"/>
      <c r="U94" s="198"/>
    </row>
    <row r="95" spans="1:26" s="12" customFormat="1" x14ac:dyDescent="0.25">
      <c r="A95" s="214" t="s">
        <v>1580</v>
      </c>
      <c r="B95" s="64">
        <v>131.11000000000001</v>
      </c>
      <c r="C95" s="64">
        <v>81.72</v>
      </c>
      <c r="D95" s="64">
        <v>151.53</v>
      </c>
      <c r="E95" s="64">
        <v>0.84</v>
      </c>
      <c r="F95" s="64">
        <v>0.82</v>
      </c>
      <c r="G95" s="64">
        <v>168.19</v>
      </c>
      <c r="H95" s="64">
        <v>16.329999999999998</v>
      </c>
      <c r="I95" s="64">
        <v>1.53</v>
      </c>
      <c r="J95" s="64">
        <v>0.15</v>
      </c>
      <c r="K95" s="64">
        <v>313.16000000000003</v>
      </c>
      <c r="L95" s="64">
        <v>22.96</v>
      </c>
      <c r="M95" s="64">
        <v>80.569999999999993</v>
      </c>
      <c r="N95" s="64">
        <v>8.8000000000000007</v>
      </c>
      <c r="O95" s="64">
        <v>0</v>
      </c>
      <c r="P95" s="64">
        <v>3.53</v>
      </c>
      <c r="Q95" s="64">
        <v>0.24</v>
      </c>
      <c r="R95" s="198"/>
      <c r="S95" s="198"/>
      <c r="T95" s="198"/>
      <c r="U95" s="198"/>
    </row>
    <row r="96" spans="1:26" s="12" customFormat="1" x14ac:dyDescent="0.25">
      <c r="A96" s="214" t="s">
        <v>1581</v>
      </c>
      <c r="B96" s="64">
        <v>74.180000000000007</v>
      </c>
      <c r="C96" s="64">
        <v>56.24</v>
      </c>
      <c r="D96" s="64">
        <v>91.81</v>
      </c>
      <c r="E96" s="64">
        <v>0.75</v>
      </c>
      <c r="F96" s="64">
        <v>1.07</v>
      </c>
      <c r="G96" s="215" t="s">
        <v>36</v>
      </c>
      <c r="H96" s="215" t="s">
        <v>36</v>
      </c>
      <c r="I96" s="64">
        <v>1.53</v>
      </c>
      <c r="J96" s="64">
        <v>0.06</v>
      </c>
      <c r="K96" s="64">
        <v>260.52999999999997</v>
      </c>
      <c r="L96" s="64">
        <v>23.01</v>
      </c>
      <c r="M96" s="64">
        <v>78.459999999999994</v>
      </c>
      <c r="N96" s="64">
        <v>8.6999999999999993</v>
      </c>
      <c r="O96" s="64">
        <v>0</v>
      </c>
      <c r="P96" s="64">
        <v>2.5</v>
      </c>
      <c r="Q96" s="64">
        <v>3.02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1582</v>
      </c>
      <c r="B97" s="64">
        <v>42.8</v>
      </c>
      <c r="C97" s="64">
        <v>48.79</v>
      </c>
      <c r="D97" s="64">
        <v>62.54</v>
      </c>
      <c r="E97" s="64">
        <v>0.57999999999999996</v>
      </c>
      <c r="F97" s="64">
        <v>3.49</v>
      </c>
      <c r="G97" s="215" t="s">
        <v>36</v>
      </c>
      <c r="H97" s="215" t="s">
        <v>36</v>
      </c>
      <c r="I97" s="64">
        <v>1.55</v>
      </c>
      <c r="J97" s="64">
        <v>0.08</v>
      </c>
      <c r="K97" s="64">
        <v>286.75</v>
      </c>
      <c r="L97" s="64">
        <v>23.24</v>
      </c>
      <c r="M97" s="64">
        <v>73.84</v>
      </c>
      <c r="N97" s="64">
        <v>8.8000000000000007</v>
      </c>
      <c r="O97" s="64">
        <v>0</v>
      </c>
      <c r="P97" s="64">
        <v>1.8</v>
      </c>
      <c r="Q97" s="64">
        <v>8.16</v>
      </c>
      <c r="R97" s="198"/>
      <c r="S97" s="198"/>
      <c r="T97" s="198"/>
      <c r="U97" s="198"/>
    </row>
    <row r="98" spans="1:33" s="12" customFormat="1" x14ac:dyDescent="0.25">
      <c r="A98" s="214" t="s">
        <v>1583</v>
      </c>
      <c r="B98" s="64">
        <v>35.42</v>
      </c>
      <c r="C98" s="64">
        <v>44.69</v>
      </c>
      <c r="D98" s="64">
        <v>54.36</v>
      </c>
      <c r="E98" s="64">
        <v>0.66</v>
      </c>
      <c r="F98" s="64">
        <v>5.01</v>
      </c>
      <c r="G98" s="215" t="s">
        <v>36</v>
      </c>
      <c r="H98" s="215" t="s">
        <v>36</v>
      </c>
      <c r="I98" s="64">
        <v>1.54</v>
      </c>
      <c r="J98" s="64">
        <v>0.1</v>
      </c>
      <c r="K98" s="64">
        <v>172.71</v>
      </c>
      <c r="L98" s="64">
        <v>23.06</v>
      </c>
      <c r="M98" s="64">
        <v>74.52</v>
      </c>
      <c r="N98" s="64">
        <v>8.6</v>
      </c>
      <c r="O98" s="64">
        <v>0</v>
      </c>
      <c r="P98" s="64">
        <v>1.49</v>
      </c>
      <c r="Q98" s="64">
        <v>9.24</v>
      </c>
      <c r="R98" s="198"/>
      <c r="S98" s="198"/>
      <c r="T98" s="198"/>
      <c r="U98" s="198"/>
    </row>
    <row r="99" spans="1:33" s="12" customFormat="1" x14ac:dyDescent="0.25">
      <c r="A99" s="214" t="s">
        <v>1584</v>
      </c>
      <c r="B99" s="64">
        <v>48.71</v>
      </c>
      <c r="C99" s="64">
        <v>44.48</v>
      </c>
      <c r="D99" s="64">
        <v>64.900000000000006</v>
      </c>
      <c r="E99" s="64">
        <v>0.59</v>
      </c>
      <c r="F99" s="64">
        <v>2.6</v>
      </c>
      <c r="G99" s="215" t="s">
        <v>36</v>
      </c>
      <c r="H99" s="215" t="s">
        <v>36</v>
      </c>
      <c r="I99" s="64">
        <v>1.49</v>
      </c>
      <c r="J99" s="64">
        <v>0.01</v>
      </c>
      <c r="K99" s="64">
        <v>4.47</v>
      </c>
      <c r="L99" s="64">
        <v>23</v>
      </c>
      <c r="M99" s="64">
        <v>77.069999999999993</v>
      </c>
      <c r="N99" s="64">
        <v>8.6999999999999993</v>
      </c>
      <c r="O99" s="64">
        <v>0</v>
      </c>
      <c r="P99" s="64">
        <v>1.78</v>
      </c>
      <c r="Q99" s="64">
        <v>9</v>
      </c>
      <c r="R99" s="198"/>
      <c r="S99" s="198"/>
      <c r="T99" s="198"/>
      <c r="U99" s="198"/>
    </row>
    <row r="100" spans="1:33" s="12" customFormat="1" x14ac:dyDescent="0.25">
      <c r="A100" s="214" t="s">
        <v>1585</v>
      </c>
      <c r="B100" s="64">
        <v>49.14</v>
      </c>
      <c r="C100" s="64">
        <v>28</v>
      </c>
      <c r="D100" s="64">
        <v>56.16</v>
      </c>
      <c r="E100" s="64">
        <v>0.55000000000000004</v>
      </c>
      <c r="F100" s="64">
        <v>1.85</v>
      </c>
      <c r="G100" s="215" t="s">
        <v>36</v>
      </c>
      <c r="H100" s="215" t="s">
        <v>36</v>
      </c>
      <c r="I100" s="64">
        <v>1.44</v>
      </c>
      <c r="J100" s="64">
        <v>0.08</v>
      </c>
      <c r="K100" s="64">
        <v>211.7</v>
      </c>
      <c r="L100" s="64">
        <v>23.56</v>
      </c>
      <c r="M100" s="64">
        <v>71.75</v>
      </c>
      <c r="N100" s="64">
        <v>8.3000000000000007</v>
      </c>
      <c r="O100" s="64">
        <v>0</v>
      </c>
      <c r="P100" s="64">
        <v>1.74</v>
      </c>
      <c r="Q100" s="64">
        <v>8.98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1586</v>
      </c>
      <c r="B101" s="64">
        <v>29.81</v>
      </c>
      <c r="C101" s="64">
        <v>38.97</v>
      </c>
      <c r="D101" s="64">
        <v>46.71</v>
      </c>
      <c r="E101" s="64">
        <v>0.51</v>
      </c>
      <c r="F101" s="64">
        <v>6.62</v>
      </c>
      <c r="G101" s="215" t="s">
        <v>36</v>
      </c>
      <c r="H101" s="215" t="s">
        <v>36</v>
      </c>
      <c r="I101" s="64">
        <v>1.46</v>
      </c>
      <c r="J101" s="64">
        <v>7.0000000000000007E-2</v>
      </c>
      <c r="K101" s="64">
        <v>253.25</v>
      </c>
      <c r="L101" s="64">
        <v>23.41</v>
      </c>
      <c r="M101" s="64">
        <v>76.61</v>
      </c>
      <c r="N101" s="64">
        <v>8.8000000000000007</v>
      </c>
      <c r="O101" s="64">
        <v>0</v>
      </c>
      <c r="P101" s="64">
        <v>1.35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14" t="s">
        <v>1587</v>
      </c>
      <c r="B102" s="64">
        <v>35.880000000000003</v>
      </c>
      <c r="C102" s="64">
        <v>33.049999999999997</v>
      </c>
      <c r="D102" s="64">
        <v>48.3</v>
      </c>
      <c r="E102" s="64">
        <v>0.46</v>
      </c>
      <c r="F102" s="64">
        <v>5.98</v>
      </c>
      <c r="G102" s="215" t="s">
        <v>36</v>
      </c>
      <c r="H102" s="215" t="s">
        <v>36</v>
      </c>
      <c r="I102" s="64">
        <v>1.45</v>
      </c>
      <c r="J102" s="64">
        <v>7.0000000000000007E-2</v>
      </c>
      <c r="K102" s="64">
        <v>286.48</v>
      </c>
      <c r="L102" s="64">
        <v>23.02</v>
      </c>
      <c r="M102" s="64">
        <v>81.5</v>
      </c>
      <c r="N102" s="64">
        <v>9.1</v>
      </c>
      <c r="O102" s="64">
        <v>0</v>
      </c>
      <c r="P102" s="64">
        <v>1.47</v>
      </c>
      <c r="Q102" s="64">
        <v>10</v>
      </c>
      <c r="R102" s="198"/>
      <c r="S102" s="198"/>
      <c r="T102" s="198"/>
      <c r="U102" s="198"/>
    </row>
    <row r="103" spans="1:33" s="12" customFormat="1" x14ac:dyDescent="0.25">
      <c r="A103" s="214" t="s">
        <v>1588</v>
      </c>
      <c r="B103" s="64">
        <v>43.74</v>
      </c>
      <c r="C103" s="64">
        <v>34.520000000000003</v>
      </c>
      <c r="D103" s="64">
        <v>55.42</v>
      </c>
      <c r="E103" s="64">
        <v>0.49</v>
      </c>
      <c r="F103" s="64">
        <v>1.67</v>
      </c>
      <c r="G103" s="215" t="s">
        <v>36</v>
      </c>
      <c r="H103" s="215" t="s">
        <v>36</v>
      </c>
      <c r="I103" s="64">
        <v>1.53</v>
      </c>
      <c r="J103" s="64">
        <v>0.06</v>
      </c>
      <c r="K103" s="64">
        <v>279.08</v>
      </c>
      <c r="L103" s="64">
        <v>22.59</v>
      </c>
      <c r="M103" s="64">
        <v>85.34</v>
      </c>
      <c r="N103" s="64">
        <v>9</v>
      </c>
      <c r="O103" s="64">
        <v>0</v>
      </c>
      <c r="P103" s="64">
        <v>1.71</v>
      </c>
      <c r="Q103" s="64">
        <v>8.6300000000000008</v>
      </c>
      <c r="R103" s="198"/>
      <c r="S103" s="198"/>
      <c r="T103" s="198"/>
      <c r="U103" s="198"/>
    </row>
    <row r="104" spans="1:33" s="12" customFormat="1" x14ac:dyDescent="0.25">
      <c r="A104" s="214" t="s">
        <v>1589</v>
      </c>
      <c r="B104" s="64">
        <v>38.65</v>
      </c>
      <c r="C104" s="64">
        <v>57.67</v>
      </c>
      <c r="D104" s="64">
        <v>64.11</v>
      </c>
      <c r="E104" s="64">
        <v>0.21</v>
      </c>
      <c r="F104" s="64">
        <v>1.53</v>
      </c>
      <c r="G104" s="215" t="s">
        <v>36</v>
      </c>
      <c r="H104" s="215" t="s">
        <v>36</v>
      </c>
      <c r="I104" s="64">
        <v>1.5</v>
      </c>
      <c r="J104" s="64">
        <v>0.01</v>
      </c>
      <c r="K104" s="64">
        <v>315.05</v>
      </c>
      <c r="L104" s="64">
        <v>22.39</v>
      </c>
      <c r="M104" s="64">
        <v>84.94</v>
      </c>
      <c r="N104" s="64">
        <v>8.9</v>
      </c>
      <c r="O104" s="64">
        <v>0</v>
      </c>
      <c r="P104" s="64">
        <v>1.72</v>
      </c>
      <c r="Q104" s="64">
        <v>7.65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4.7</v>
      </c>
      <c r="C106" s="67">
        <f>MIN(C9:C104)</f>
        <v>11.43</v>
      </c>
      <c r="D106" s="67">
        <f t="shared" ref="D106:Q106" si="0">MIN(D9:D104)</f>
        <v>16.239999999999998</v>
      </c>
      <c r="E106" s="67">
        <f t="shared" si="0"/>
        <v>0.1</v>
      </c>
      <c r="F106" s="67">
        <f t="shared" si="0"/>
        <v>0.46</v>
      </c>
      <c r="G106" s="67">
        <f t="shared" si="0"/>
        <v>47.64</v>
      </c>
      <c r="H106" s="67">
        <f t="shared" si="0"/>
        <v>3.07</v>
      </c>
      <c r="I106" s="67">
        <f t="shared" si="0"/>
        <v>1.38</v>
      </c>
      <c r="J106" s="67">
        <f t="shared" si="0"/>
        <v>0.01</v>
      </c>
      <c r="K106" s="67">
        <f t="shared" si="0"/>
        <v>4.47</v>
      </c>
      <c r="L106" s="67">
        <f t="shared" si="0"/>
        <v>21.95</v>
      </c>
      <c r="M106" s="67">
        <f t="shared" si="0"/>
        <v>30.38</v>
      </c>
      <c r="N106" s="67">
        <f t="shared" si="0"/>
        <v>8.1999999999999993</v>
      </c>
      <c r="O106" s="67">
        <f t="shared" si="0"/>
        <v>0</v>
      </c>
      <c r="P106" s="67">
        <f t="shared" si="0"/>
        <v>0.71</v>
      </c>
      <c r="Q106" s="67">
        <f t="shared" si="0"/>
        <v>0.03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226.87</v>
      </c>
      <c r="C107" s="66">
        <f t="shared" ref="C107:Q107" si="1">MAX(C9:C104)</f>
        <v>153.63999999999999</v>
      </c>
      <c r="D107" s="66">
        <f t="shared" si="1"/>
        <v>256.67</v>
      </c>
      <c r="E107" s="66">
        <f t="shared" si="1"/>
        <v>1.81</v>
      </c>
      <c r="F107" s="66">
        <f t="shared" si="1"/>
        <v>35.299999999999997</v>
      </c>
      <c r="G107" s="66">
        <f t="shared" si="1"/>
        <v>168.19</v>
      </c>
      <c r="H107" s="66">
        <f t="shared" si="1"/>
        <v>90.14</v>
      </c>
      <c r="I107" s="66">
        <f t="shared" si="1"/>
        <v>1.62</v>
      </c>
      <c r="J107" s="66">
        <f t="shared" si="1"/>
        <v>1.29</v>
      </c>
      <c r="K107" s="66">
        <f t="shared" si="1"/>
        <v>358.06</v>
      </c>
      <c r="L107" s="66">
        <f t="shared" si="1"/>
        <v>34.93</v>
      </c>
      <c r="M107" s="66">
        <f t="shared" si="1"/>
        <v>98.86</v>
      </c>
      <c r="N107" s="66">
        <f t="shared" si="1"/>
        <v>796.2</v>
      </c>
      <c r="O107" s="66">
        <f t="shared" si="1"/>
        <v>0</v>
      </c>
      <c r="P107" s="66">
        <f t="shared" si="1"/>
        <v>4.6100000000000003</v>
      </c>
      <c r="Q107" s="66">
        <f t="shared" si="1"/>
        <v>10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31.618958333333335</v>
      </c>
      <c r="C108" s="67">
        <f t="shared" ref="C108:Q108" si="2">AVERAGE(C9:C104)</f>
        <v>37.27989583333332</v>
      </c>
      <c r="D108" s="67">
        <f t="shared" si="2"/>
        <v>47.221562499999997</v>
      </c>
      <c r="E108" s="67">
        <f t="shared" si="2"/>
        <v>0.59489583333333329</v>
      </c>
      <c r="F108" s="67">
        <f t="shared" si="2"/>
        <v>6.8739583333333369</v>
      </c>
      <c r="G108" s="67">
        <f t="shared" si="2"/>
        <v>102.89465753424652</v>
      </c>
      <c r="H108" s="67">
        <f t="shared" si="2"/>
        <v>30.196438356164354</v>
      </c>
      <c r="I108" s="67">
        <f t="shared" si="2"/>
        <v>1.4970833333333331</v>
      </c>
      <c r="J108" s="67">
        <f t="shared" si="2"/>
        <v>0.26562499999999994</v>
      </c>
      <c r="K108" s="67">
        <f t="shared" si="2"/>
        <v>243.14218750000001</v>
      </c>
      <c r="L108" s="67">
        <f t="shared" si="2"/>
        <v>26.343541666666667</v>
      </c>
      <c r="M108" s="67">
        <f t="shared" si="2"/>
        <v>67.121041666666656</v>
      </c>
      <c r="N108" s="67">
        <f t="shared" si="2"/>
        <v>180.38541666666671</v>
      </c>
      <c r="O108" s="67">
        <f t="shared" si="2"/>
        <v>0</v>
      </c>
      <c r="P108" s="67">
        <f t="shared" si="2"/>
        <v>1.3516666666666663</v>
      </c>
      <c r="Q108" s="67">
        <f t="shared" si="2"/>
        <v>5.4545555555555518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39.137009338427241</v>
      </c>
      <c r="C109" s="67">
        <f t="shared" ref="C109:Q109" si="3">STDEV(C9:C104)</f>
        <v>29.001757786828673</v>
      </c>
      <c r="D109" s="67">
        <f t="shared" si="3"/>
        <v>45.894886295307586</v>
      </c>
      <c r="E109" s="67">
        <f t="shared" si="3"/>
        <v>0.42549289014201352</v>
      </c>
      <c r="F109" s="67">
        <f t="shared" si="3"/>
        <v>7.1414330685045115</v>
      </c>
      <c r="G109" s="67">
        <f t="shared" si="3"/>
        <v>34.401208638416669</v>
      </c>
      <c r="H109" s="67">
        <f t="shared" si="3"/>
        <v>21.515467522088983</v>
      </c>
      <c r="I109" s="67">
        <f t="shared" si="3"/>
        <v>3.9387859916120517E-2</v>
      </c>
      <c r="J109" s="67">
        <f t="shared" si="3"/>
        <v>0.3078509977929344</v>
      </c>
      <c r="K109" s="67">
        <f t="shared" si="3"/>
        <v>98.558813680522093</v>
      </c>
      <c r="L109" s="67">
        <f t="shared" si="3"/>
        <v>4.1743963898146674</v>
      </c>
      <c r="M109" s="67">
        <f t="shared" si="3"/>
        <v>23.690075313877635</v>
      </c>
      <c r="N109" s="67">
        <f t="shared" si="3"/>
        <v>259.32717111753749</v>
      </c>
      <c r="O109" s="67">
        <f t="shared" si="3"/>
        <v>0</v>
      </c>
      <c r="P109" s="67">
        <f t="shared" si="3"/>
        <v>0.72097400006652834</v>
      </c>
      <c r="Q109" s="67">
        <f t="shared" si="3"/>
        <v>2.1101744755123111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COUNT(G9:G104)+23</f>
        <v>96</v>
      </c>
      <c r="H110" s="66">
        <f>COUNT(H9:H104)+23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COUNT(Q9:Q104)+6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1590</v>
      </c>
      <c r="B9" s="64">
        <v>20.329999999999998</v>
      </c>
      <c r="C9" s="64">
        <v>59.87</v>
      </c>
      <c r="D9" s="64">
        <v>50.64</v>
      </c>
      <c r="E9" s="64">
        <v>0.4</v>
      </c>
      <c r="F9" s="64">
        <v>3.1</v>
      </c>
      <c r="G9" s="215" t="s">
        <v>36</v>
      </c>
      <c r="H9" s="215" t="s">
        <v>36</v>
      </c>
      <c r="I9" s="64">
        <v>1.52</v>
      </c>
      <c r="J9" s="64">
        <v>0.09</v>
      </c>
      <c r="K9" s="64">
        <v>128.15</v>
      </c>
      <c r="L9" s="64">
        <v>22.41</v>
      </c>
      <c r="M9" s="64">
        <v>84.08</v>
      </c>
      <c r="N9" s="64">
        <v>8.6999999999999993</v>
      </c>
      <c r="O9" s="64">
        <v>0</v>
      </c>
      <c r="P9" s="64">
        <v>1.17</v>
      </c>
      <c r="Q9" s="64">
        <v>7.7</v>
      </c>
      <c r="R9" s="198"/>
      <c r="S9" s="198"/>
      <c r="T9" s="198"/>
      <c r="U9" s="198"/>
    </row>
    <row r="10" spans="1:21" s="12" customFormat="1" x14ac:dyDescent="0.25">
      <c r="A10" s="214" t="s">
        <v>1591</v>
      </c>
      <c r="B10" s="64">
        <v>21.14</v>
      </c>
      <c r="C10" s="64">
        <v>45.18</v>
      </c>
      <c r="D10" s="64">
        <v>43.18</v>
      </c>
      <c r="E10" s="64">
        <v>0.4</v>
      </c>
      <c r="F10" s="64">
        <v>6.42</v>
      </c>
      <c r="G10" s="215" t="s">
        <v>36</v>
      </c>
      <c r="H10" s="215" t="s">
        <v>36</v>
      </c>
      <c r="I10" s="64">
        <v>1.5</v>
      </c>
      <c r="J10" s="64">
        <v>7.0000000000000007E-2</v>
      </c>
      <c r="K10" s="64">
        <v>260.52</v>
      </c>
      <c r="L10" s="64">
        <v>22.45</v>
      </c>
      <c r="M10" s="64">
        <v>83.32</v>
      </c>
      <c r="N10" s="64">
        <v>8.8000000000000007</v>
      </c>
      <c r="O10" s="64">
        <v>0</v>
      </c>
      <c r="P10" s="64">
        <v>1.1000000000000001</v>
      </c>
      <c r="Q10" s="64">
        <v>8.89</v>
      </c>
      <c r="R10" s="198"/>
      <c r="S10" s="198"/>
      <c r="T10" s="198"/>
      <c r="U10" s="198"/>
    </row>
    <row r="11" spans="1:21" s="12" customFormat="1" x14ac:dyDescent="0.25">
      <c r="A11" s="214" t="s">
        <v>1592</v>
      </c>
      <c r="B11" s="64">
        <v>13.5</v>
      </c>
      <c r="C11" s="64">
        <v>34.619999999999997</v>
      </c>
      <c r="D11" s="64">
        <v>31.22</v>
      </c>
      <c r="E11" s="64">
        <v>0.53</v>
      </c>
      <c r="F11" s="64">
        <v>17.239999999999998</v>
      </c>
      <c r="G11" s="215" t="s">
        <v>36</v>
      </c>
      <c r="H11" s="215" t="s">
        <v>36</v>
      </c>
      <c r="I11" s="64">
        <v>1.44</v>
      </c>
      <c r="J11" s="64">
        <v>0.08</v>
      </c>
      <c r="K11" s="64">
        <v>125.55</v>
      </c>
      <c r="L11" s="64">
        <v>22.48</v>
      </c>
      <c r="M11" s="64">
        <v>78.75</v>
      </c>
      <c r="N11" s="64">
        <v>8.8000000000000007</v>
      </c>
      <c r="O11" s="64">
        <v>0</v>
      </c>
      <c r="P11" s="64">
        <v>0.81</v>
      </c>
      <c r="Q11" s="64">
        <v>9.8000000000000007</v>
      </c>
      <c r="R11" s="198"/>
      <c r="S11" s="198"/>
      <c r="T11" s="198"/>
      <c r="U11" s="198"/>
    </row>
    <row r="12" spans="1:21" s="12" customFormat="1" x14ac:dyDescent="0.25">
      <c r="A12" s="214" t="s">
        <v>1593</v>
      </c>
      <c r="B12" s="64">
        <v>15.44</v>
      </c>
      <c r="C12" s="64">
        <v>33.24</v>
      </c>
      <c r="D12" s="64">
        <v>32.020000000000003</v>
      </c>
      <c r="E12" s="64">
        <v>0.52</v>
      </c>
      <c r="F12" s="64">
        <v>12.34</v>
      </c>
      <c r="G12" s="215" t="s">
        <v>36</v>
      </c>
      <c r="H12" s="215" t="s">
        <v>36</v>
      </c>
      <c r="I12" s="64">
        <v>1.49</v>
      </c>
      <c r="J12" s="64">
        <v>0.06</v>
      </c>
      <c r="K12" s="64">
        <v>268.52</v>
      </c>
      <c r="L12" s="64">
        <v>22.51</v>
      </c>
      <c r="M12" s="64">
        <v>79.17</v>
      </c>
      <c r="N12" s="64">
        <v>8.8000000000000007</v>
      </c>
      <c r="O12" s="64">
        <v>0</v>
      </c>
      <c r="P12" s="64">
        <v>0.91</v>
      </c>
      <c r="Q12" s="64">
        <v>9.74</v>
      </c>
      <c r="R12" s="198"/>
      <c r="S12" s="198"/>
      <c r="T12" s="198"/>
      <c r="U12" s="198"/>
    </row>
    <row r="13" spans="1:21" s="12" customFormat="1" x14ac:dyDescent="0.25">
      <c r="A13" s="214" t="s">
        <v>1594</v>
      </c>
      <c r="B13" s="64">
        <v>39.950000000000003</v>
      </c>
      <c r="C13" s="64">
        <v>20.93</v>
      </c>
      <c r="D13" s="64">
        <v>44.88</v>
      </c>
      <c r="E13" s="64">
        <v>0.52</v>
      </c>
      <c r="F13" s="64">
        <v>4.37</v>
      </c>
      <c r="G13" s="215" t="s">
        <v>36</v>
      </c>
      <c r="H13" s="215" t="s">
        <v>36</v>
      </c>
      <c r="I13" s="64">
        <v>1.47</v>
      </c>
      <c r="J13" s="64">
        <v>0.1</v>
      </c>
      <c r="K13" s="64">
        <v>223.71</v>
      </c>
      <c r="L13" s="64">
        <v>22.81</v>
      </c>
      <c r="M13" s="64">
        <v>79.72</v>
      </c>
      <c r="N13" s="64">
        <v>8.5</v>
      </c>
      <c r="O13" s="64">
        <v>0</v>
      </c>
      <c r="P13" s="64">
        <v>1.5</v>
      </c>
      <c r="Q13" s="64">
        <v>8.8800000000000008</v>
      </c>
      <c r="R13" s="198"/>
      <c r="S13" s="198"/>
      <c r="T13" s="198"/>
      <c r="U13" s="198"/>
    </row>
    <row r="14" spans="1:21" s="12" customFormat="1" x14ac:dyDescent="0.25">
      <c r="A14" s="214" t="s">
        <v>1595</v>
      </c>
      <c r="B14" s="64">
        <v>34.549999999999997</v>
      </c>
      <c r="C14" s="64">
        <v>25.8</v>
      </c>
      <c r="D14" s="64">
        <v>43.24</v>
      </c>
      <c r="E14" s="64">
        <v>0.54</v>
      </c>
      <c r="F14" s="64">
        <v>1.99</v>
      </c>
      <c r="G14" s="215" t="s">
        <v>36</v>
      </c>
      <c r="H14" s="215" t="s">
        <v>36</v>
      </c>
      <c r="I14" s="64">
        <v>1.42</v>
      </c>
      <c r="J14" s="64">
        <v>0.04</v>
      </c>
      <c r="K14" s="64">
        <v>79.87</v>
      </c>
      <c r="L14" s="64">
        <v>22.54</v>
      </c>
      <c r="M14" s="64">
        <v>84.33</v>
      </c>
      <c r="N14" s="64">
        <v>8.9</v>
      </c>
      <c r="O14" s="64">
        <v>0</v>
      </c>
      <c r="P14" s="64">
        <v>1.27</v>
      </c>
      <c r="Q14" s="64">
        <v>7.83</v>
      </c>
      <c r="R14" s="198"/>
      <c r="S14" s="198"/>
      <c r="T14" s="198"/>
      <c r="U14" s="198"/>
    </row>
    <row r="15" spans="1:21" s="12" customFormat="1" x14ac:dyDescent="0.25">
      <c r="A15" s="214" t="s">
        <v>1596</v>
      </c>
      <c r="B15" s="64">
        <v>28.34</v>
      </c>
      <c r="C15" s="64">
        <v>23.32</v>
      </c>
      <c r="D15" s="64">
        <v>36.89</v>
      </c>
      <c r="E15" s="64">
        <v>0.56999999999999995</v>
      </c>
      <c r="F15" s="64">
        <v>6.12</v>
      </c>
      <c r="G15" s="215" t="s">
        <v>36</v>
      </c>
      <c r="H15" s="215" t="s">
        <v>36</v>
      </c>
      <c r="I15" s="64">
        <v>1.48</v>
      </c>
      <c r="J15" s="64">
        <v>0.09</v>
      </c>
      <c r="K15" s="64">
        <v>170.88</v>
      </c>
      <c r="L15" s="64">
        <v>22.34</v>
      </c>
      <c r="M15" s="64">
        <v>85.23</v>
      </c>
      <c r="N15" s="64">
        <v>8.6</v>
      </c>
      <c r="O15" s="64">
        <v>0</v>
      </c>
      <c r="P15" s="64">
        <v>1.1299999999999999</v>
      </c>
      <c r="Q15" s="64">
        <v>8.2799999999999994</v>
      </c>
      <c r="R15" s="198"/>
      <c r="S15" s="198"/>
      <c r="T15" s="198"/>
      <c r="U15" s="198"/>
    </row>
    <row r="16" spans="1:21" s="12" customFormat="1" x14ac:dyDescent="0.25">
      <c r="A16" s="214" t="s">
        <v>1597</v>
      </c>
      <c r="B16" s="64">
        <v>35.94</v>
      </c>
      <c r="C16" s="64">
        <v>17.55</v>
      </c>
      <c r="D16" s="64">
        <v>39.799999999999997</v>
      </c>
      <c r="E16" s="64">
        <v>0.56000000000000005</v>
      </c>
      <c r="F16" s="64">
        <v>2.85</v>
      </c>
      <c r="G16" s="64">
        <v>96</v>
      </c>
      <c r="H16" s="64">
        <v>48.06</v>
      </c>
      <c r="I16" s="64">
        <v>1.49</v>
      </c>
      <c r="J16" s="64">
        <v>0.08</v>
      </c>
      <c r="K16" s="64">
        <v>274.45</v>
      </c>
      <c r="L16" s="64">
        <v>22.24</v>
      </c>
      <c r="M16" s="64">
        <v>86.89</v>
      </c>
      <c r="N16" s="64">
        <v>9</v>
      </c>
      <c r="O16" s="64">
        <v>0</v>
      </c>
      <c r="P16" s="64">
        <v>1.43</v>
      </c>
      <c r="Q16" s="64">
        <v>7.85</v>
      </c>
      <c r="R16" s="198"/>
      <c r="S16" s="198"/>
      <c r="T16" s="198"/>
      <c r="U16" s="198"/>
    </row>
    <row r="17" spans="1:21" s="12" customFormat="1" x14ac:dyDescent="0.25">
      <c r="A17" s="214" t="s">
        <v>1598</v>
      </c>
      <c r="B17" s="64">
        <v>24.98</v>
      </c>
      <c r="C17" s="64">
        <v>22.91</v>
      </c>
      <c r="D17" s="64">
        <v>33.96</v>
      </c>
      <c r="E17" s="64">
        <v>0.52</v>
      </c>
      <c r="F17" s="64">
        <v>4.25</v>
      </c>
      <c r="G17" s="64">
        <v>93.98</v>
      </c>
      <c r="H17" s="64">
        <v>48.06</v>
      </c>
      <c r="I17" s="64">
        <v>1.52</v>
      </c>
      <c r="J17" s="64">
        <v>0.06</v>
      </c>
      <c r="K17" s="64">
        <v>291.18</v>
      </c>
      <c r="L17" s="64">
        <v>21.97</v>
      </c>
      <c r="M17" s="64">
        <v>90.01</v>
      </c>
      <c r="N17" s="64">
        <v>9</v>
      </c>
      <c r="O17" s="64">
        <v>0</v>
      </c>
      <c r="P17" s="64">
        <v>1.04</v>
      </c>
      <c r="Q17" s="64">
        <v>7.68</v>
      </c>
      <c r="R17" s="198"/>
      <c r="S17" s="198"/>
      <c r="T17" s="198"/>
      <c r="U17" s="198"/>
    </row>
    <row r="18" spans="1:21" s="12" customFormat="1" x14ac:dyDescent="0.25">
      <c r="A18" s="214" t="s">
        <v>1599</v>
      </c>
      <c r="B18" s="64">
        <v>24.27</v>
      </c>
      <c r="C18" s="64">
        <v>27.85</v>
      </c>
      <c r="D18" s="64">
        <v>36.119999999999997</v>
      </c>
      <c r="E18" s="64">
        <v>0.45</v>
      </c>
      <c r="F18" s="64">
        <v>3.7</v>
      </c>
      <c r="G18" s="64">
        <v>93.98</v>
      </c>
      <c r="H18" s="64">
        <v>48.06</v>
      </c>
      <c r="I18" s="64">
        <v>1.56</v>
      </c>
      <c r="J18" s="64">
        <v>0.05</v>
      </c>
      <c r="K18" s="64">
        <v>300.63</v>
      </c>
      <c r="L18" s="64">
        <v>21.84</v>
      </c>
      <c r="M18" s="64">
        <v>93.44</v>
      </c>
      <c r="N18" s="64">
        <v>9</v>
      </c>
      <c r="O18" s="64">
        <v>0</v>
      </c>
      <c r="P18" s="64">
        <v>0.98</v>
      </c>
      <c r="Q18" s="64">
        <v>7.47</v>
      </c>
      <c r="R18" s="198"/>
      <c r="S18" s="198"/>
      <c r="T18" s="198"/>
      <c r="U18" s="198"/>
    </row>
    <row r="19" spans="1:21" s="12" customFormat="1" x14ac:dyDescent="0.25">
      <c r="A19" s="214" t="s">
        <v>1600</v>
      </c>
      <c r="B19" s="64">
        <v>30</v>
      </c>
      <c r="C19" s="64">
        <v>19.16</v>
      </c>
      <c r="D19" s="64">
        <v>35.92</v>
      </c>
      <c r="E19" s="64">
        <v>0.45</v>
      </c>
      <c r="F19" s="64">
        <v>3.33</v>
      </c>
      <c r="G19" s="64">
        <v>93.98</v>
      </c>
      <c r="H19" s="64">
        <v>48.06</v>
      </c>
      <c r="I19" s="64">
        <v>1.48</v>
      </c>
      <c r="J19" s="64">
        <v>0.35</v>
      </c>
      <c r="K19" s="64">
        <v>153.5</v>
      </c>
      <c r="L19" s="64">
        <v>21.83</v>
      </c>
      <c r="M19" s="64">
        <v>94.52</v>
      </c>
      <c r="N19" s="64">
        <v>8.4</v>
      </c>
      <c r="O19" s="64">
        <v>0</v>
      </c>
      <c r="P19" s="64">
        <v>1.24</v>
      </c>
      <c r="Q19" s="64">
        <v>7.48</v>
      </c>
      <c r="R19" s="198"/>
      <c r="S19" s="198"/>
      <c r="T19" s="198"/>
      <c r="U19" s="198"/>
    </row>
    <row r="20" spans="1:21" s="12" customFormat="1" x14ac:dyDescent="0.25">
      <c r="A20" s="214" t="s">
        <v>1601</v>
      </c>
      <c r="B20" s="64">
        <v>30.28</v>
      </c>
      <c r="C20" s="64">
        <v>15.74</v>
      </c>
      <c r="D20" s="64">
        <v>34.26</v>
      </c>
      <c r="E20" s="64">
        <v>0.49</v>
      </c>
      <c r="F20" s="64">
        <v>2.5</v>
      </c>
      <c r="G20" s="64">
        <v>92.62</v>
      </c>
      <c r="H20" s="64">
        <v>2.88</v>
      </c>
      <c r="I20" s="64">
        <v>1.41</v>
      </c>
      <c r="J20" s="64">
        <v>0.54</v>
      </c>
      <c r="K20" s="64">
        <v>152.44999999999999</v>
      </c>
      <c r="L20" s="64">
        <v>22.18</v>
      </c>
      <c r="M20" s="64">
        <v>92.63</v>
      </c>
      <c r="N20" s="64">
        <v>8.1999999999999993</v>
      </c>
      <c r="O20" s="64">
        <v>0</v>
      </c>
      <c r="P20" s="64">
        <v>1.26</v>
      </c>
      <c r="Q20" s="64">
        <v>6.96</v>
      </c>
      <c r="R20" s="198"/>
      <c r="S20" s="198"/>
      <c r="T20" s="198"/>
      <c r="U20" s="198"/>
    </row>
    <row r="21" spans="1:21" s="12" customFormat="1" x14ac:dyDescent="0.25">
      <c r="A21" s="214" t="s">
        <v>1602</v>
      </c>
      <c r="B21" s="64">
        <v>23.71</v>
      </c>
      <c r="C21" s="64">
        <v>15.7</v>
      </c>
      <c r="D21" s="64">
        <v>28.97</v>
      </c>
      <c r="E21" s="64">
        <v>0.49</v>
      </c>
      <c r="F21" s="64">
        <v>5.12</v>
      </c>
      <c r="G21" s="64">
        <v>92.52</v>
      </c>
      <c r="H21" s="64">
        <v>2.88</v>
      </c>
      <c r="I21" s="64">
        <v>1.52</v>
      </c>
      <c r="J21" s="64">
        <v>0.27</v>
      </c>
      <c r="K21" s="64">
        <v>138.91</v>
      </c>
      <c r="L21" s="64">
        <v>22.13</v>
      </c>
      <c r="M21" s="64">
        <v>94</v>
      </c>
      <c r="N21" s="64">
        <v>8.8000000000000007</v>
      </c>
      <c r="O21" s="64">
        <v>0</v>
      </c>
      <c r="P21" s="64">
        <v>1.05</v>
      </c>
      <c r="Q21" s="64">
        <v>7.07</v>
      </c>
      <c r="R21" s="198"/>
      <c r="S21" s="198"/>
      <c r="T21" s="198"/>
      <c r="U21" s="198"/>
    </row>
    <row r="22" spans="1:21" s="12" customFormat="1" x14ac:dyDescent="0.25">
      <c r="A22" s="214" t="s">
        <v>1603</v>
      </c>
      <c r="B22" s="64">
        <v>26.18</v>
      </c>
      <c r="C22" s="64">
        <v>14.24</v>
      </c>
      <c r="D22" s="64">
        <v>30.15</v>
      </c>
      <c r="E22" s="64">
        <v>0.56999999999999995</v>
      </c>
      <c r="F22" s="64">
        <v>3.41</v>
      </c>
      <c r="G22" s="64">
        <v>92.52</v>
      </c>
      <c r="H22" s="64">
        <v>2.88</v>
      </c>
      <c r="I22" s="64">
        <v>1.5</v>
      </c>
      <c r="J22" s="64">
        <v>0.08</v>
      </c>
      <c r="K22" s="64">
        <v>23.64</v>
      </c>
      <c r="L22" s="64">
        <v>22.03</v>
      </c>
      <c r="M22" s="64">
        <v>93.4</v>
      </c>
      <c r="N22" s="64">
        <v>9.1</v>
      </c>
      <c r="O22" s="64">
        <v>0</v>
      </c>
      <c r="P22" s="64">
        <v>1.1399999999999999</v>
      </c>
      <c r="Q22" s="64">
        <v>6.86</v>
      </c>
      <c r="R22" s="198"/>
      <c r="S22" s="198"/>
      <c r="T22" s="198"/>
      <c r="U22" s="198"/>
    </row>
    <row r="23" spans="1:21" s="12" customFormat="1" x14ac:dyDescent="0.25">
      <c r="A23" s="214" t="s">
        <v>1604</v>
      </c>
      <c r="B23" s="64">
        <v>20.07</v>
      </c>
      <c r="C23" s="64">
        <v>15.22</v>
      </c>
      <c r="D23" s="64">
        <v>25.79</v>
      </c>
      <c r="E23" s="64">
        <v>0.56000000000000005</v>
      </c>
      <c r="F23" s="64">
        <v>7.84</v>
      </c>
      <c r="G23" s="64">
        <v>92.52</v>
      </c>
      <c r="H23" s="64">
        <v>2.88</v>
      </c>
      <c r="I23" s="64">
        <v>1.45</v>
      </c>
      <c r="J23" s="64">
        <v>0.35</v>
      </c>
      <c r="K23" s="64">
        <v>143.44</v>
      </c>
      <c r="L23" s="64">
        <v>21.86</v>
      </c>
      <c r="M23" s="64">
        <v>93.17</v>
      </c>
      <c r="N23" s="64">
        <v>8.8000000000000007</v>
      </c>
      <c r="O23" s="64">
        <v>0</v>
      </c>
      <c r="P23" s="64">
        <v>0.89</v>
      </c>
      <c r="Q23" s="64">
        <v>7.02</v>
      </c>
      <c r="R23" s="198"/>
      <c r="S23" s="198"/>
      <c r="T23" s="198"/>
      <c r="U23" s="198"/>
    </row>
    <row r="24" spans="1:21" s="12" customFormat="1" x14ac:dyDescent="0.25">
      <c r="A24" s="214" t="s">
        <v>1605</v>
      </c>
      <c r="B24" s="64">
        <v>22.08</v>
      </c>
      <c r="C24" s="64">
        <v>13.8</v>
      </c>
      <c r="D24" s="64">
        <v>26.62</v>
      </c>
      <c r="E24" s="64">
        <v>0.12</v>
      </c>
      <c r="F24" s="64">
        <v>5.36</v>
      </c>
      <c r="G24" s="215" t="s">
        <v>36</v>
      </c>
      <c r="H24" s="215" t="s">
        <v>36</v>
      </c>
      <c r="I24" s="64">
        <v>1.49</v>
      </c>
      <c r="J24" s="64">
        <v>0</v>
      </c>
      <c r="K24" s="64">
        <v>13.8</v>
      </c>
      <c r="L24" s="64">
        <v>21.97</v>
      </c>
      <c r="M24" s="64">
        <v>92.22</v>
      </c>
      <c r="N24" s="64">
        <v>8.9</v>
      </c>
      <c r="O24" s="64">
        <v>0</v>
      </c>
      <c r="P24" s="64">
        <v>1.03</v>
      </c>
      <c r="Q24" s="64">
        <v>6.97</v>
      </c>
      <c r="R24" s="198"/>
      <c r="S24" s="198"/>
      <c r="T24" s="198"/>
      <c r="U24" s="198"/>
    </row>
    <row r="25" spans="1:21" s="12" customFormat="1" x14ac:dyDescent="0.25">
      <c r="A25" s="214" t="s">
        <v>1606</v>
      </c>
      <c r="B25" s="64">
        <v>27.42</v>
      </c>
      <c r="C25" s="64">
        <v>14.63</v>
      </c>
      <c r="D25" s="64">
        <v>31.36</v>
      </c>
      <c r="E25" s="64">
        <v>0.41</v>
      </c>
      <c r="F25" s="64">
        <v>0.69</v>
      </c>
      <c r="G25" s="215" t="s">
        <v>36</v>
      </c>
      <c r="H25" s="215" t="s">
        <v>36</v>
      </c>
      <c r="I25" s="64">
        <v>1.5</v>
      </c>
      <c r="J25" s="64">
        <v>0.04</v>
      </c>
      <c r="K25" s="64">
        <v>339</v>
      </c>
      <c r="L25" s="64">
        <v>22.01</v>
      </c>
      <c r="M25" s="64">
        <v>92.14</v>
      </c>
      <c r="N25" s="64">
        <v>9</v>
      </c>
      <c r="O25" s="64">
        <v>0</v>
      </c>
      <c r="P25" s="64">
        <v>1.17</v>
      </c>
      <c r="Q25" s="64">
        <v>6.16</v>
      </c>
      <c r="R25" s="198"/>
      <c r="S25" s="198"/>
      <c r="T25" s="198"/>
      <c r="U25" s="198"/>
    </row>
    <row r="26" spans="1:21" s="12" customFormat="1" x14ac:dyDescent="0.25">
      <c r="A26" s="214" t="s">
        <v>1607</v>
      </c>
      <c r="B26" s="64">
        <v>26.33</v>
      </c>
      <c r="C26" s="64">
        <v>15.14</v>
      </c>
      <c r="D26" s="64">
        <v>30.76</v>
      </c>
      <c r="E26" s="64">
        <v>0.45</v>
      </c>
      <c r="F26" s="64">
        <v>1.1100000000000001</v>
      </c>
      <c r="G26" s="215" t="s">
        <v>36</v>
      </c>
      <c r="H26" s="215" t="s">
        <v>36</v>
      </c>
      <c r="I26" s="64">
        <v>1.5</v>
      </c>
      <c r="J26" s="64">
        <v>0.05</v>
      </c>
      <c r="K26" s="64">
        <v>35.51</v>
      </c>
      <c r="L26" s="64">
        <v>22.01</v>
      </c>
      <c r="M26" s="64">
        <v>91.9</v>
      </c>
      <c r="N26" s="64">
        <v>8.9</v>
      </c>
      <c r="O26" s="64">
        <v>0</v>
      </c>
      <c r="P26" s="64">
        <v>1.1000000000000001</v>
      </c>
      <c r="Q26" s="64">
        <v>5.92</v>
      </c>
      <c r="R26" s="198"/>
      <c r="S26" s="198"/>
      <c r="T26" s="198"/>
      <c r="U26" s="198"/>
    </row>
    <row r="27" spans="1:21" s="12" customFormat="1" x14ac:dyDescent="0.25">
      <c r="A27" s="214" t="s">
        <v>1608</v>
      </c>
      <c r="B27" s="64">
        <v>25.75</v>
      </c>
      <c r="C27" s="64">
        <v>13.09</v>
      </c>
      <c r="D27" s="64">
        <v>29.17</v>
      </c>
      <c r="E27" s="64">
        <v>0.39</v>
      </c>
      <c r="F27" s="64">
        <v>1.53</v>
      </c>
      <c r="G27" s="215" t="s">
        <v>36</v>
      </c>
      <c r="H27" s="215" t="s">
        <v>36</v>
      </c>
      <c r="I27" s="64">
        <v>1.47</v>
      </c>
      <c r="J27" s="64">
        <v>0.05</v>
      </c>
      <c r="K27" s="64">
        <v>9.56</v>
      </c>
      <c r="L27" s="64">
        <v>22.1</v>
      </c>
      <c r="M27" s="64">
        <v>89.68</v>
      </c>
      <c r="N27" s="64">
        <v>8.8000000000000007</v>
      </c>
      <c r="O27" s="64">
        <v>0</v>
      </c>
      <c r="P27" s="64">
        <v>1.1200000000000001</v>
      </c>
      <c r="Q27" s="64">
        <v>5.96</v>
      </c>
      <c r="R27" s="198"/>
      <c r="S27" s="198"/>
      <c r="T27" s="198"/>
      <c r="U27" s="198"/>
    </row>
    <row r="28" spans="1:21" s="12" customFormat="1" x14ac:dyDescent="0.25">
      <c r="A28" s="214" t="s">
        <v>1609</v>
      </c>
      <c r="B28" s="64">
        <v>22.62</v>
      </c>
      <c r="C28" s="64">
        <v>16.93</v>
      </c>
      <c r="D28" s="64">
        <v>28.78</v>
      </c>
      <c r="E28" s="64">
        <v>0.35</v>
      </c>
      <c r="F28" s="64">
        <v>1.82</v>
      </c>
      <c r="G28" s="64">
        <v>59.1</v>
      </c>
      <c r="H28" s="64">
        <v>9.24</v>
      </c>
      <c r="I28" s="64">
        <v>1.48</v>
      </c>
      <c r="J28" s="64">
        <v>0.22</v>
      </c>
      <c r="K28" s="64">
        <v>353.66</v>
      </c>
      <c r="L28" s="64">
        <v>22.15</v>
      </c>
      <c r="M28" s="64">
        <v>89.99</v>
      </c>
      <c r="N28" s="64">
        <v>8.8000000000000007</v>
      </c>
      <c r="O28" s="64">
        <v>0</v>
      </c>
      <c r="P28" s="64">
        <v>0.99</v>
      </c>
      <c r="Q28" s="64">
        <v>5.93</v>
      </c>
      <c r="R28" s="198"/>
      <c r="S28" s="198"/>
      <c r="T28" s="198"/>
      <c r="U28" s="198"/>
    </row>
    <row r="29" spans="1:21" s="12" customFormat="1" x14ac:dyDescent="0.25">
      <c r="A29" s="214" t="s">
        <v>1610</v>
      </c>
      <c r="B29" s="64">
        <v>24.12</v>
      </c>
      <c r="C29" s="64">
        <v>15</v>
      </c>
      <c r="D29" s="64">
        <v>28.91</v>
      </c>
      <c r="E29" s="64">
        <v>0.31</v>
      </c>
      <c r="F29" s="64">
        <v>2.71</v>
      </c>
      <c r="G29" s="64">
        <v>58.2</v>
      </c>
      <c r="H29" s="64">
        <v>9.24</v>
      </c>
      <c r="I29" s="64">
        <v>1.54</v>
      </c>
      <c r="J29" s="64">
        <v>0.14000000000000001</v>
      </c>
      <c r="K29" s="64">
        <v>313.95999999999998</v>
      </c>
      <c r="L29" s="64">
        <v>21.89</v>
      </c>
      <c r="M29" s="64">
        <v>91.3</v>
      </c>
      <c r="N29" s="64">
        <v>8.9</v>
      </c>
      <c r="O29" s="64">
        <v>0</v>
      </c>
      <c r="P29" s="64">
        <v>0.99</v>
      </c>
      <c r="Q29" s="64">
        <v>5.77</v>
      </c>
      <c r="R29" s="198"/>
      <c r="S29" s="198"/>
      <c r="T29" s="198"/>
      <c r="U29" s="198"/>
    </row>
    <row r="30" spans="1:21" s="12" customFormat="1" x14ac:dyDescent="0.25">
      <c r="A30" s="214" t="s">
        <v>1611</v>
      </c>
      <c r="B30" s="64">
        <v>24.21</v>
      </c>
      <c r="C30" s="64">
        <v>12.07</v>
      </c>
      <c r="D30" s="64">
        <v>27.36</v>
      </c>
      <c r="E30" s="64">
        <v>0.38</v>
      </c>
      <c r="F30" s="64">
        <v>1.5</v>
      </c>
      <c r="G30" s="64">
        <v>58.2</v>
      </c>
      <c r="H30" s="64">
        <v>9.24</v>
      </c>
      <c r="I30" s="64">
        <v>1.52</v>
      </c>
      <c r="J30" s="64">
        <v>0.06</v>
      </c>
      <c r="K30" s="64">
        <v>226.03</v>
      </c>
      <c r="L30" s="64">
        <v>21.81</v>
      </c>
      <c r="M30" s="64">
        <v>91.14</v>
      </c>
      <c r="N30" s="64">
        <v>8.9</v>
      </c>
      <c r="O30" s="64">
        <v>0</v>
      </c>
      <c r="P30" s="64">
        <v>1.04</v>
      </c>
      <c r="Q30" s="64">
        <v>5.8</v>
      </c>
      <c r="R30" s="198"/>
      <c r="S30" s="198"/>
      <c r="T30" s="198"/>
      <c r="U30" s="198"/>
    </row>
    <row r="31" spans="1:21" s="12" customFormat="1" x14ac:dyDescent="0.25">
      <c r="A31" s="214" t="s">
        <v>1612</v>
      </c>
      <c r="B31" s="64">
        <v>22.98</v>
      </c>
      <c r="C31" s="64">
        <v>13.03</v>
      </c>
      <c r="D31" s="64">
        <v>26.91</v>
      </c>
      <c r="E31" s="64">
        <v>0.39</v>
      </c>
      <c r="F31" s="64">
        <v>0.51</v>
      </c>
      <c r="G31" s="64">
        <v>58.2</v>
      </c>
      <c r="H31" s="64">
        <v>9.24</v>
      </c>
      <c r="I31" s="64">
        <v>1.54</v>
      </c>
      <c r="J31" s="64">
        <v>0.05</v>
      </c>
      <c r="K31" s="64">
        <v>304.27</v>
      </c>
      <c r="L31" s="64">
        <v>21.81</v>
      </c>
      <c r="M31" s="64">
        <v>91.2</v>
      </c>
      <c r="N31" s="64">
        <v>9.3000000000000007</v>
      </c>
      <c r="O31" s="64">
        <v>0</v>
      </c>
      <c r="P31" s="64">
        <v>0.99</v>
      </c>
      <c r="Q31" s="64">
        <v>5.67</v>
      </c>
      <c r="R31" s="198"/>
      <c r="S31" s="198"/>
      <c r="T31" s="198"/>
      <c r="U31" s="198"/>
    </row>
    <row r="32" spans="1:21" s="12" customFormat="1" x14ac:dyDescent="0.25">
      <c r="A32" s="214" t="s">
        <v>1613</v>
      </c>
      <c r="B32" s="64">
        <v>19.05</v>
      </c>
      <c r="C32" s="64">
        <v>19.78</v>
      </c>
      <c r="D32" s="64">
        <v>27.49</v>
      </c>
      <c r="E32" s="64">
        <v>0.28000000000000003</v>
      </c>
      <c r="F32" s="64">
        <v>3.42</v>
      </c>
      <c r="G32" s="64">
        <v>58.03</v>
      </c>
      <c r="H32" s="64">
        <v>28.46</v>
      </c>
      <c r="I32" s="64">
        <v>1.51</v>
      </c>
      <c r="J32" s="64">
        <v>0.03</v>
      </c>
      <c r="K32" s="64">
        <v>259.12</v>
      </c>
      <c r="L32" s="64">
        <v>21.7</v>
      </c>
      <c r="M32" s="64">
        <v>92.23</v>
      </c>
      <c r="N32" s="64">
        <v>13.7</v>
      </c>
      <c r="O32" s="64">
        <v>0</v>
      </c>
      <c r="P32" s="64">
        <v>0.83</v>
      </c>
      <c r="Q32" s="64">
        <v>5.57</v>
      </c>
      <c r="R32" s="198"/>
      <c r="S32" s="198"/>
      <c r="T32" s="198"/>
      <c r="U32" s="198"/>
    </row>
    <row r="33" spans="1:21" s="12" customFormat="1" x14ac:dyDescent="0.25">
      <c r="A33" s="214" t="s">
        <v>1614</v>
      </c>
      <c r="B33" s="64">
        <v>15.24</v>
      </c>
      <c r="C33" s="64">
        <v>21.79</v>
      </c>
      <c r="D33" s="64">
        <v>25.54</v>
      </c>
      <c r="E33" s="64">
        <v>0.27</v>
      </c>
      <c r="F33" s="64">
        <v>3.52</v>
      </c>
      <c r="G33" s="64">
        <v>58.01</v>
      </c>
      <c r="H33" s="64">
        <v>28.46</v>
      </c>
      <c r="I33" s="64">
        <v>1.51</v>
      </c>
      <c r="J33" s="64">
        <v>0.15</v>
      </c>
      <c r="K33" s="64">
        <v>186.2</v>
      </c>
      <c r="L33" s="64">
        <v>21.46</v>
      </c>
      <c r="M33" s="64">
        <v>94.27</v>
      </c>
      <c r="N33" s="64">
        <v>25.9</v>
      </c>
      <c r="O33" s="64">
        <v>0</v>
      </c>
      <c r="P33" s="64">
        <v>0.77</v>
      </c>
      <c r="Q33" s="64">
        <v>5.53</v>
      </c>
      <c r="R33" s="198"/>
      <c r="S33" s="198"/>
      <c r="T33" s="198"/>
      <c r="U33" s="198"/>
    </row>
    <row r="34" spans="1:21" s="12" customFormat="1" x14ac:dyDescent="0.25">
      <c r="A34" s="214" t="s">
        <v>1615</v>
      </c>
      <c r="B34" s="64">
        <v>19.45</v>
      </c>
      <c r="C34" s="64">
        <v>18.36</v>
      </c>
      <c r="D34" s="64">
        <v>27.02</v>
      </c>
      <c r="E34" s="64">
        <v>0.38</v>
      </c>
      <c r="F34" s="64">
        <v>1.35</v>
      </c>
      <c r="G34" s="64">
        <v>58.01</v>
      </c>
      <c r="H34" s="64">
        <v>28.46</v>
      </c>
      <c r="I34" s="64">
        <v>1.48</v>
      </c>
      <c r="J34" s="64">
        <v>0.49</v>
      </c>
      <c r="K34" s="64">
        <v>188.24</v>
      </c>
      <c r="L34" s="64">
        <v>21.59</v>
      </c>
      <c r="M34" s="64">
        <v>94.22</v>
      </c>
      <c r="N34" s="64">
        <v>48.9</v>
      </c>
      <c r="O34" s="64">
        <v>0</v>
      </c>
      <c r="P34" s="64">
        <v>0.91</v>
      </c>
      <c r="Q34" s="64">
        <v>5.52</v>
      </c>
      <c r="R34" s="198"/>
      <c r="S34" s="198"/>
      <c r="T34" s="198"/>
      <c r="U34" s="198"/>
    </row>
    <row r="35" spans="1:21" s="12" customFormat="1" x14ac:dyDescent="0.25">
      <c r="A35" s="214" t="s">
        <v>1616</v>
      </c>
      <c r="B35" s="64">
        <v>19.98</v>
      </c>
      <c r="C35" s="64">
        <v>20.02</v>
      </c>
      <c r="D35" s="64">
        <v>28.36</v>
      </c>
      <c r="E35" s="64">
        <v>0.37</v>
      </c>
      <c r="F35" s="64">
        <v>1.89</v>
      </c>
      <c r="G35" s="64">
        <v>58.01</v>
      </c>
      <c r="H35" s="64">
        <v>28.46</v>
      </c>
      <c r="I35" s="64">
        <v>1.47</v>
      </c>
      <c r="J35" s="64">
        <v>0.13</v>
      </c>
      <c r="K35" s="64">
        <v>181.08</v>
      </c>
      <c r="L35" s="64">
        <v>22.16</v>
      </c>
      <c r="M35" s="64">
        <v>90.96</v>
      </c>
      <c r="N35" s="64">
        <v>92</v>
      </c>
      <c r="O35" s="64">
        <v>0</v>
      </c>
      <c r="P35" s="64">
        <v>0.87</v>
      </c>
      <c r="Q35" s="64">
        <v>5.44</v>
      </c>
      <c r="R35" s="198"/>
      <c r="S35" s="198"/>
      <c r="T35" s="198"/>
      <c r="U35" s="198"/>
    </row>
    <row r="36" spans="1:21" s="12" customFormat="1" x14ac:dyDescent="0.25">
      <c r="A36" s="214" t="s">
        <v>1617</v>
      </c>
      <c r="B36" s="64">
        <v>19.8</v>
      </c>
      <c r="C36" s="64">
        <v>17.13</v>
      </c>
      <c r="D36" s="64">
        <v>26.63</v>
      </c>
      <c r="E36" s="64">
        <v>0.43</v>
      </c>
      <c r="F36" s="64">
        <v>1.43</v>
      </c>
      <c r="G36" s="64">
        <v>67.599999999999994</v>
      </c>
      <c r="H36" s="64">
        <v>36.01</v>
      </c>
      <c r="I36" s="64">
        <v>1.47</v>
      </c>
      <c r="J36" s="64">
        <v>1.05</v>
      </c>
      <c r="K36" s="64">
        <v>153.18</v>
      </c>
      <c r="L36" s="64">
        <v>22.5</v>
      </c>
      <c r="M36" s="64">
        <v>89.45</v>
      </c>
      <c r="N36" s="64">
        <v>140.80000000000001</v>
      </c>
      <c r="O36" s="64">
        <v>0</v>
      </c>
      <c r="P36" s="64">
        <v>0.89</v>
      </c>
      <c r="Q36" s="64">
        <v>5.39</v>
      </c>
      <c r="R36" s="198"/>
      <c r="S36" s="198"/>
      <c r="T36" s="198"/>
      <c r="U36" s="198"/>
    </row>
    <row r="37" spans="1:21" s="12" customFormat="1" x14ac:dyDescent="0.25">
      <c r="A37" s="214" t="s">
        <v>1618</v>
      </c>
      <c r="B37" s="64">
        <v>20.02</v>
      </c>
      <c r="C37" s="64">
        <v>13.44</v>
      </c>
      <c r="D37" s="64">
        <v>24.76</v>
      </c>
      <c r="E37" s="64">
        <v>0.41</v>
      </c>
      <c r="F37" s="64">
        <v>1.01</v>
      </c>
      <c r="G37" s="64">
        <v>68.17</v>
      </c>
      <c r="H37" s="64">
        <v>36.01</v>
      </c>
      <c r="I37" s="64">
        <v>1.59</v>
      </c>
      <c r="J37" s="64">
        <v>0.75</v>
      </c>
      <c r="K37" s="64">
        <v>152.08000000000001</v>
      </c>
      <c r="L37" s="64">
        <v>23.14</v>
      </c>
      <c r="M37" s="64">
        <v>87.23</v>
      </c>
      <c r="N37" s="64">
        <v>199.9</v>
      </c>
      <c r="O37" s="64">
        <v>0</v>
      </c>
      <c r="P37" s="64">
        <v>0.91</v>
      </c>
      <c r="Q37" s="64">
        <v>5.46</v>
      </c>
      <c r="R37" s="198"/>
      <c r="S37" s="198"/>
      <c r="T37" s="198"/>
      <c r="U37" s="198"/>
    </row>
    <row r="38" spans="1:21" s="12" customFormat="1" x14ac:dyDescent="0.25">
      <c r="A38" s="214" t="s">
        <v>1619</v>
      </c>
      <c r="B38" s="64">
        <v>18.29</v>
      </c>
      <c r="C38" s="64">
        <v>12.83</v>
      </c>
      <c r="D38" s="64">
        <v>23.04</v>
      </c>
      <c r="E38" s="64">
        <v>0.41</v>
      </c>
      <c r="F38" s="64">
        <v>3.28</v>
      </c>
      <c r="G38" s="64">
        <v>68.17</v>
      </c>
      <c r="H38" s="64">
        <v>36.01</v>
      </c>
      <c r="I38" s="64">
        <v>1.47</v>
      </c>
      <c r="J38" s="64">
        <v>0.88</v>
      </c>
      <c r="K38" s="64">
        <v>139.1</v>
      </c>
      <c r="L38" s="64">
        <v>23.87</v>
      </c>
      <c r="M38" s="64">
        <v>83.83</v>
      </c>
      <c r="N38" s="64">
        <v>263.5</v>
      </c>
      <c r="O38" s="64">
        <v>0</v>
      </c>
      <c r="P38" s="64">
        <v>0.92</v>
      </c>
      <c r="Q38" s="64">
        <v>5.46</v>
      </c>
      <c r="R38" s="198"/>
      <c r="S38" s="198"/>
      <c r="T38" s="198"/>
      <c r="U38" s="198"/>
    </row>
    <row r="39" spans="1:21" s="12" customFormat="1" x14ac:dyDescent="0.25">
      <c r="A39" s="214" t="s">
        <v>1620</v>
      </c>
      <c r="B39" s="64">
        <v>17.91</v>
      </c>
      <c r="C39" s="64">
        <v>12.01</v>
      </c>
      <c r="D39" s="64">
        <v>22.28</v>
      </c>
      <c r="E39" s="64">
        <v>0.34</v>
      </c>
      <c r="F39" s="64">
        <v>1.59</v>
      </c>
      <c r="G39" s="64">
        <v>68.17</v>
      </c>
      <c r="H39" s="64">
        <v>36.01</v>
      </c>
      <c r="I39" s="64">
        <v>1.57</v>
      </c>
      <c r="J39" s="64">
        <v>0.7</v>
      </c>
      <c r="K39" s="64">
        <v>154.29</v>
      </c>
      <c r="L39" s="64">
        <v>24.83</v>
      </c>
      <c r="M39" s="64">
        <v>78.239999999999995</v>
      </c>
      <c r="N39" s="64">
        <v>348.3</v>
      </c>
      <c r="O39" s="64">
        <v>0</v>
      </c>
      <c r="P39" s="64">
        <v>0.95</v>
      </c>
      <c r="Q39" s="64">
        <v>5.44</v>
      </c>
      <c r="R39" s="198"/>
      <c r="S39" s="198"/>
      <c r="T39" s="198"/>
      <c r="U39" s="198"/>
    </row>
    <row r="40" spans="1:21" s="12" customFormat="1" x14ac:dyDescent="0.25">
      <c r="A40" s="214" t="s">
        <v>1621</v>
      </c>
      <c r="B40" s="64">
        <v>17.53</v>
      </c>
      <c r="C40" s="64">
        <v>12.32</v>
      </c>
      <c r="D40" s="64">
        <v>22.15</v>
      </c>
      <c r="E40" s="64">
        <v>0.19</v>
      </c>
      <c r="F40" s="64">
        <v>1.0900000000000001</v>
      </c>
      <c r="G40" s="64">
        <v>70.08</v>
      </c>
      <c r="H40" s="64">
        <v>26.38</v>
      </c>
      <c r="I40" s="64">
        <v>1.48</v>
      </c>
      <c r="J40" s="64">
        <v>0.67</v>
      </c>
      <c r="K40" s="64">
        <v>148.49</v>
      </c>
      <c r="L40" s="64">
        <v>25.68</v>
      </c>
      <c r="M40" s="64">
        <v>72.67</v>
      </c>
      <c r="N40" s="64">
        <v>401</v>
      </c>
      <c r="O40" s="64">
        <v>0</v>
      </c>
      <c r="P40" s="64">
        <v>0.93</v>
      </c>
      <c r="Q40" s="64">
        <v>5.33</v>
      </c>
      <c r="R40" s="198"/>
      <c r="S40" s="198"/>
      <c r="T40" s="198"/>
      <c r="U40" s="198"/>
    </row>
    <row r="41" spans="1:21" s="12" customFormat="1" x14ac:dyDescent="0.25">
      <c r="A41" s="214" t="s">
        <v>1622</v>
      </c>
      <c r="B41" s="64">
        <v>16.14</v>
      </c>
      <c r="C41" s="64">
        <v>12.78</v>
      </c>
      <c r="D41" s="64">
        <v>21.28</v>
      </c>
      <c r="E41" s="64">
        <v>0.35</v>
      </c>
      <c r="F41" s="64">
        <v>1.91</v>
      </c>
      <c r="G41" s="64">
        <v>70.22</v>
      </c>
      <c r="H41" s="64">
        <v>26.38</v>
      </c>
      <c r="I41" s="64">
        <v>1.46</v>
      </c>
      <c r="J41" s="64">
        <v>0.78</v>
      </c>
      <c r="K41" s="64">
        <v>142.96</v>
      </c>
      <c r="L41" s="64">
        <v>25.95</v>
      </c>
      <c r="M41" s="64">
        <v>72.790000000000006</v>
      </c>
      <c r="N41" s="64">
        <v>417.8</v>
      </c>
      <c r="O41" s="64">
        <v>0</v>
      </c>
      <c r="P41" s="64">
        <v>0.88</v>
      </c>
      <c r="Q41" s="64">
        <v>5.2</v>
      </c>
      <c r="R41" s="198"/>
      <c r="S41" s="198"/>
      <c r="T41" s="198"/>
      <c r="U41" s="198"/>
    </row>
    <row r="42" spans="1:21" s="12" customFormat="1" x14ac:dyDescent="0.25">
      <c r="A42" s="214" t="s">
        <v>1623</v>
      </c>
      <c r="B42" s="64">
        <v>14.85</v>
      </c>
      <c r="C42" s="64">
        <v>12.1</v>
      </c>
      <c r="D42" s="64">
        <v>19.87</v>
      </c>
      <c r="E42" s="64">
        <v>0.28999999999999998</v>
      </c>
      <c r="F42" s="64">
        <v>1.93</v>
      </c>
      <c r="G42" s="64">
        <v>70.22</v>
      </c>
      <c r="H42" s="64">
        <v>26.38</v>
      </c>
      <c r="I42" s="64">
        <v>1.53</v>
      </c>
      <c r="J42" s="64">
        <v>0.48</v>
      </c>
      <c r="K42" s="64">
        <v>140.88999999999999</v>
      </c>
      <c r="L42" s="64">
        <v>26.46</v>
      </c>
      <c r="M42" s="64">
        <v>68.540000000000006</v>
      </c>
      <c r="N42" s="64">
        <v>449.4</v>
      </c>
      <c r="O42" s="64">
        <v>0</v>
      </c>
      <c r="P42" s="64">
        <v>0.87</v>
      </c>
      <c r="Q42" s="64">
        <v>5.18</v>
      </c>
      <c r="R42" s="198"/>
      <c r="S42" s="198"/>
      <c r="T42" s="198"/>
      <c r="U42" s="198"/>
    </row>
    <row r="43" spans="1:21" s="12" customFormat="1" x14ac:dyDescent="0.25">
      <c r="A43" s="214" t="s">
        <v>1624</v>
      </c>
      <c r="B43" s="64">
        <v>13.58</v>
      </c>
      <c r="C43" s="64">
        <v>12.43</v>
      </c>
      <c r="D43" s="64">
        <v>19.04</v>
      </c>
      <c r="E43" s="64">
        <v>0.32</v>
      </c>
      <c r="F43" s="64">
        <v>3.75</v>
      </c>
      <c r="G43" s="64">
        <v>70.22</v>
      </c>
      <c r="H43" s="64">
        <v>26.38</v>
      </c>
      <c r="I43" s="64">
        <v>1.47</v>
      </c>
      <c r="J43" s="64">
        <v>7.0000000000000007E-2</v>
      </c>
      <c r="K43" s="64">
        <v>112.14</v>
      </c>
      <c r="L43" s="64">
        <v>26.16</v>
      </c>
      <c r="M43" s="64">
        <v>68.69</v>
      </c>
      <c r="N43" s="64">
        <v>394.9</v>
      </c>
      <c r="O43" s="64">
        <v>0</v>
      </c>
      <c r="P43" s="64">
        <v>0.82</v>
      </c>
      <c r="Q43" s="64">
        <v>5.21</v>
      </c>
      <c r="R43" s="198"/>
      <c r="S43" s="198"/>
      <c r="T43" s="198"/>
      <c r="U43" s="198"/>
    </row>
    <row r="44" spans="1:21" s="12" customFormat="1" x14ac:dyDescent="0.25">
      <c r="A44" s="214" t="s">
        <v>1625</v>
      </c>
      <c r="B44" s="64">
        <v>9.1300000000000008</v>
      </c>
      <c r="C44" s="64">
        <v>12.73</v>
      </c>
      <c r="D44" s="64">
        <v>15.64</v>
      </c>
      <c r="E44" s="64">
        <v>0.4</v>
      </c>
      <c r="F44" s="64">
        <v>9.73</v>
      </c>
      <c r="G44" s="64">
        <v>58.21</v>
      </c>
      <c r="H44" s="64">
        <v>24.35</v>
      </c>
      <c r="I44" s="64">
        <v>1.43</v>
      </c>
      <c r="J44" s="64">
        <v>0.41</v>
      </c>
      <c r="K44" s="64">
        <v>142.55000000000001</v>
      </c>
      <c r="L44" s="64">
        <v>27.3</v>
      </c>
      <c r="M44" s="64">
        <v>64.05</v>
      </c>
      <c r="N44" s="64">
        <v>363.6</v>
      </c>
      <c r="O44" s="64">
        <v>0</v>
      </c>
      <c r="P44" s="64">
        <v>0.73</v>
      </c>
      <c r="Q44" s="64">
        <v>5.21</v>
      </c>
      <c r="R44" s="198"/>
      <c r="S44" s="198"/>
      <c r="T44" s="198"/>
      <c r="U44" s="198"/>
    </row>
    <row r="45" spans="1:21" s="12" customFormat="1" x14ac:dyDescent="0.25">
      <c r="A45" s="214" t="s">
        <v>1626</v>
      </c>
      <c r="B45" s="64">
        <v>10.55</v>
      </c>
      <c r="C45" s="64">
        <v>13.47</v>
      </c>
      <c r="D45" s="64">
        <v>17.190000000000001</v>
      </c>
      <c r="E45" s="64">
        <v>0.38</v>
      </c>
      <c r="F45" s="64">
        <v>6.49</v>
      </c>
      <c r="G45" s="64">
        <v>57.36</v>
      </c>
      <c r="H45" s="64">
        <v>24.35</v>
      </c>
      <c r="I45" s="64">
        <v>1.53</v>
      </c>
      <c r="J45" s="64">
        <v>0.26</v>
      </c>
      <c r="K45" s="64">
        <v>106.54</v>
      </c>
      <c r="L45" s="64">
        <v>27.36</v>
      </c>
      <c r="M45" s="64">
        <v>62.96</v>
      </c>
      <c r="N45" s="64">
        <v>569.29999999999995</v>
      </c>
      <c r="O45" s="64">
        <v>0</v>
      </c>
      <c r="P45" s="64">
        <v>0.77</v>
      </c>
      <c r="Q45" s="64">
        <v>5.21</v>
      </c>
      <c r="R45" s="198"/>
      <c r="S45" s="198"/>
      <c r="T45" s="198"/>
      <c r="U45" s="198"/>
    </row>
    <row r="46" spans="1:21" s="12" customFormat="1" x14ac:dyDescent="0.25">
      <c r="A46" s="214" t="s">
        <v>1627</v>
      </c>
      <c r="B46" s="64">
        <v>9.4600000000000009</v>
      </c>
      <c r="C46" s="64">
        <v>13.34</v>
      </c>
      <c r="D46" s="64">
        <v>16.239999999999998</v>
      </c>
      <c r="E46" s="64">
        <v>0.48</v>
      </c>
      <c r="F46" s="64">
        <v>8.4600000000000009</v>
      </c>
      <c r="G46" s="64">
        <v>57.36</v>
      </c>
      <c r="H46" s="64">
        <v>24.35</v>
      </c>
      <c r="I46" s="64">
        <v>1.47</v>
      </c>
      <c r="J46" s="64">
        <v>1.01</v>
      </c>
      <c r="K46" s="64">
        <v>146.38999999999999</v>
      </c>
      <c r="L46" s="64">
        <v>27.77</v>
      </c>
      <c r="M46" s="64">
        <v>61.01</v>
      </c>
      <c r="N46" s="64">
        <v>451.4</v>
      </c>
      <c r="O46" s="64">
        <v>0</v>
      </c>
      <c r="P46" s="64">
        <v>0.73</v>
      </c>
      <c r="Q46" s="64">
        <v>5.21</v>
      </c>
      <c r="R46" s="198"/>
      <c r="S46" s="198"/>
      <c r="T46" s="198"/>
      <c r="U46" s="198"/>
    </row>
    <row r="47" spans="1:21" s="12" customFormat="1" x14ac:dyDescent="0.25">
      <c r="A47" s="214" t="s">
        <v>1628</v>
      </c>
      <c r="B47" s="64">
        <v>8.44</v>
      </c>
      <c r="C47" s="64">
        <v>13.6</v>
      </c>
      <c r="D47" s="64">
        <v>15.57</v>
      </c>
      <c r="E47" s="64">
        <v>0.42</v>
      </c>
      <c r="F47" s="64">
        <v>10.58</v>
      </c>
      <c r="G47" s="64">
        <v>57.36</v>
      </c>
      <c r="H47" s="64">
        <v>24.35</v>
      </c>
      <c r="I47" s="64">
        <v>1.47</v>
      </c>
      <c r="J47" s="64">
        <v>0.53</v>
      </c>
      <c r="K47" s="64">
        <v>149.24</v>
      </c>
      <c r="L47" s="64">
        <v>27.18</v>
      </c>
      <c r="M47" s="64">
        <v>64.02</v>
      </c>
      <c r="N47" s="64">
        <v>480.3</v>
      </c>
      <c r="O47" s="64">
        <v>0</v>
      </c>
      <c r="P47" s="64">
        <v>0.71</v>
      </c>
      <c r="Q47" s="64">
        <v>5.21</v>
      </c>
      <c r="R47" s="198"/>
      <c r="S47" s="198"/>
      <c r="T47" s="198"/>
      <c r="U47" s="198"/>
    </row>
    <row r="48" spans="1:21" s="12" customFormat="1" x14ac:dyDescent="0.25">
      <c r="A48" s="214" t="s">
        <v>1629</v>
      </c>
      <c r="B48" s="64">
        <v>8.5399999999999991</v>
      </c>
      <c r="C48" s="64">
        <v>12.93</v>
      </c>
      <c r="D48" s="64">
        <v>15.27</v>
      </c>
      <c r="E48" s="64">
        <v>0.42</v>
      </c>
      <c r="F48" s="64">
        <v>2.8</v>
      </c>
      <c r="G48" s="64">
        <v>57.99</v>
      </c>
      <c r="H48" s="64">
        <v>27.58</v>
      </c>
      <c r="I48" s="64">
        <v>1.54</v>
      </c>
      <c r="J48" s="64">
        <v>0.59</v>
      </c>
      <c r="K48" s="64">
        <v>161.78</v>
      </c>
      <c r="L48" s="64">
        <v>28.27</v>
      </c>
      <c r="M48" s="64">
        <v>57.74</v>
      </c>
      <c r="N48" s="64">
        <v>720.7</v>
      </c>
      <c r="O48" s="64">
        <v>0</v>
      </c>
      <c r="P48" s="64">
        <v>0.76</v>
      </c>
      <c r="Q48" s="64">
        <v>5.21</v>
      </c>
      <c r="R48" s="198"/>
      <c r="S48" s="198"/>
      <c r="T48" s="198"/>
      <c r="U48" s="198"/>
    </row>
    <row r="49" spans="1:21" s="12" customFormat="1" x14ac:dyDescent="0.25">
      <c r="A49" s="214" t="s">
        <v>1630</v>
      </c>
      <c r="B49" s="64">
        <v>8.09</v>
      </c>
      <c r="C49" s="64">
        <v>13.59</v>
      </c>
      <c r="D49" s="64">
        <v>15.28</v>
      </c>
      <c r="E49" s="64">
        <v>0.54</v>
      </c>
      <c r="F49" s="64">
        <v>0.88</v>
      </c>
      <c r="G49" s="64">
        <v>58.03</v>
      </c>
      <c r="H49" s="64">
        <v>27.58</v>
      </c>
      <c r="I49" s="64">
        <v>1.5</v>
      </c>
      <c r="J49" s="64">
        <v>0.18</v>
      </c>
      <c r="K49" s="64">
        <v>181.71</v>
      </c>
      <c r="L49" s="64">
        <v>28.99</v>
      </c>
      <c r="M49" s="64">
        <v>54.3</v>
      </c>
      <c r="N49" s="64">
        <v>753.1</v>
      </c>
      <c r="O49" s="64">
        <v>0</v>
      </c>
      <c r="P49" s="64">
        <v>0.74</v>
      </c>
      <c r="Q49" s="64">
        <v>5.21</v>
      </c>
      <c r="R49" s="198"/>
      <c r="S49" s="198"/>
      <c r="T49" s="198"/>
      <c r="U49" s="198"/>
    </row>
    <row r="50" spans="1:21" s="12" customFormat="1" x14ac:dyDescent="0.25">
      <c r="A50" s="214" t="s">
        <v>1631</v>
      </c>
      <c r="B50" s="64">
        <v>6.86</v>
      </c>
      <c r="C50" s="64">
        <v>13.22</v>
      </c>
      <c r="D50" s="64">
        <v>14.09</v>
      </c>
      <c r="E50" s="64">
        <v>0.41</v>
      </c>
      <c r="F50" s="64">
        <v>2.61</v>
      </c>
      <c r="G50" s="64">
        <v>58.03</v>
      </c>
      <c r="H50" s="64">
        <v>27.58</v>
      </c>
      <c r="I50" s="64">
        <v>1.54</v>
      </c>
      <c r="J50" s="64">
        <v>0.2</v>
      </c>
      <c r="K50" s="64">
        <v>141.66</v>
      </c>
      <c r="L50" s="64">
        <v>29.65</v>
      </c>
      <c r="M50" s="64">
        <v>52.39</v>
      </c>
      <c r="N50" s="64">
        <v>772.1</v>
      </c>
      <c r="O50" s="64">
        <v>0</v>
      </c>
      <c r="P50" s="64">
        <v>0.71</v>
      </c>
      <c r="Q50" s="64">
        <v>5.21</v>
      </c>
      <c r="R50" s="198"/>
      <c r="S50" s="198"/>
      <c r="T50" s="198"/>
      <c r="U50" s="198"/>
    </row>
    <row r="51" spans="1:21" s="12" customFormat="1" x14ac:dyDescent="0.25">
      <c r="A51" s="214" t="s">
        <v>1632</v>
      </c>
      <c r="B51" s="64">
        <v>5.97</v>
      </c>
      <c r="C51" s="64">
        <v>14.05</v>
      </c>
      <c r="D51" s="64">
        <v>13.83</v>
      </c>
      <c r="E51" s="64">
        <v>0.43</v>
      </c>
      <c r="F51" s="64">
        <v>4.0599999999999996</v>
      </c>
      <c r="G51" s="64">
        <v>58.03</v>
      </c>
      <c r="H51" s="64">
        <v>27.58</v>
      </c>
      <c r="I51" s="64">
        <v>1.51</v>
      </c>
      <c r="J51" s="64">
        <v>0.28999999999999998</v>
      </c>
      <c r="K51" s="64">
        <v>348.69</v>
      </c>
      <c r="L51" s="64">
        <v>31.73</v>
      </c>
      <c r="M51" s="64">
        <v>45.78</v>
      </c>
      <c r="N51" s="64">
        <v>786.4</v>
      </c>
      <c r="O51" s="64">
        <v>0</v>
      </c>
      <c r="P51" s="64">
        <v>0.7</v>
      </c>
      <c r="Q51" s="64">
        <v>5.21</v>
      </c>
      <c r="R51" s="198"/>
      <c r="S51" s="198"/>
      <c r="T51" s="198"/>
      <c r="U51" s="198"/>
    </row>
    <row r="52" spans="1:21" s="12" customFormat="1" x14ac:dyDescent="0.25">
      <c r="A52" s="214" t="s">
        <v>1633</v>
      </c>
      <c r="B52" s="64">
        <v>5.12</v>
      </c>
      <c r="C52" s="64">
        <v>14.9</v>
      </c>
      <c r="D52" s="64">
        <v>13.62</v>
      </c>
      <c r="E52" s="64">
        <v>0.34</v>
      </c>
      <c r="F52" s="64">
        <v>5.23</v>
      </c>
      <c r="G52" s="64">
        <v>53.79</v>
      </c>
      <c r="H52" s="64">
        <v>15.6</v>
      </c>
      <c r="I52" s="64">
        <v>1.49</v>
      </c>
      <c r="J52" s="64">
        <v>0.25</v>
      </c>
      <c r="K52" s="64">
        <v>118.52</v>
      </c>
      <c r="L52" s="64">
        <v>30.84</v>
      </c>
      <c r="M52" s="64">
        <v>44.64</v>
      </c>
      <c r="N52" s="64">
        <v>812.7</v>
      </c>
      <c r="O52" s="64">
        <v>0</v>
      </c>
      <c r="P52" s="64">
        <v>0.68</v>
      </c>
      <c r="Q52" s="64">
        <v>5.21</v>
      </c>
      <c r="R52" s="198"/>
      <c r="S52" s="198"/>
      <c r="T52" s="198"/>
      <c r="U52" s="198"/>
    </row>
    <row r="53" spans="1:21" s="12" customFormat="1" x14ac:dyDescent="0.25">
      <c r="A53" s="214" t="s">
        <v>1634</v>
      </c>
      <c r="B53" s="64">
        <v>3.13</v>
      </c>
      <c r="C53" s="64">
        <v>15.22</v>
      </c>
      <c r="D53" s="64">
        <v>12.2</v>
      </c>
      <c r="E53" s="64">
        <v>0.41</v>
      </c>
      <c r="F53" s="64">
        <v>3.96</v>
      </c>
      <c r="G53" s="64">
        <v>53.49</v>
      </c>
      <c r="H53" s="64">
        <v>15.6</v>
      </c>
      <c r="I53" s="64">
        <v>1.5</v>
      </c>
      <c r="J53" s="64">
        <v>0.3</v>
      </c>
      <c r="K53" s="64">
        <v>347.23</v>
      </c>
      <c r="L53" s="64">
        <v>32.01</v>
      </c>
      <c r="M53" s="64">
        <v>42.6</v>
      </c>
      <c r="N53" s="64">
        <v>810.3</v>
      </c>
      <c r="O53" s="64">
        <v>0</v>
      </c>
      <c r="P53" s="64">
        <v>0.66</v>
      </c>
      <c r="Q53" s="64">
        <v>5.21</v>
      </c>
      <c r="R53" s="198"/>
      <c r="S53" s="198"/>
      <c r="T53" s="198"/>
      <c r="U53" s="198"/>
    </row>
    <row r="54" spans="1:21" s="12" customFormat="1" x14ac:dyDescent="0.25">
      <c r="A54" s="214" t="s">
        <v>1635</v>
      </c>
      <c r="B54" s="64">
        <v>2.82</v>
      </c>
      <c r="C54" s="64">
        <v>15.39</v>
      </c>
      <c r="D54" s="64">
        <v>12.05</v>
      </c>
      <c r="E54" s="64">
        <v>0.51</v>
      </c>
      <c r="F54" s="64">
        <v>7.83</v>
      </c>
      <c r="G54" s="64">
        <v>53.49</v>
      </c>
      <c r="H54" s="64">
        <v>15.6</v>
      </c>
      <c r="I54" s="64">
        <v>1.46</v>
      </c>
      <c r="J54" s="64">
        <v>0.27</v>
      </c>
      <c r="K54" s="64">
        <v>119.26</v>
      </c>
      <c r="L54" s="64">
        <v>33</v>
      </c>
      <c r="M54" s="64">
        <v>38.89</v>
      </c>
      <c r="N54" s="64">
        <v>826.4</v>
      </c>
      <c r="O54" s="64">
        <v>0</v>
      </c>
      <c r="P54" s="64">
        <v>0.65</v>
      </c>
      <c r="Q54" s="64">
        <v>5.01</v>
      </c>
      <c r="R54" s="198"/>
      <c r="S54" s="198"/>
      <c r="T54" s="198"/>
      <c r="U54" s="198"/>
    </row>
    <row r="55" spans="1:21" s="12" customFormat="1" x14ac:dyDescent="0.25">
      <c r="A55" s="214" t="s">
        <v>1636</v>
      </c>
      <c r="B55" s="64">
        <v>2.17</v>
      </c>
      <c r="C55" s="64">
        <v>14.79</v>
      </c>
      <c r="D55" s="64">
        <v>11.19</v>
      </c>
      <c r="E55" s="64">
        <v>0.46</v>
      </c>
      <c r="F55" s="64">
        <v>5.28</v>
      </c>
      <c r="G55" s="64">
        <v>53.49</v>
      </c>
      <c r="H55" s="64">
        <v>15.6</v>
      </c>
      <c r="I55" s="64">
        <v>1.52</v>
      </c>
      <c r="J55" s="64">
        <v>0.11</v>
      </c>
      <c r="K55" s="64">
        <v>78.03</v>
      </c>
      <c r="L55" s="64">
        <v>31.68</v>
      </c>
      <c r="M55" s="64">
        <v>40.75</v>
      </c>
      <c r="N55" s="64">
        <v>835.9</v>
      </c>
      <c r="O55" s="64">
        <v>0</v>
      </c>
      <c r="P55" s="64">
        <v>0.63</v>
      </c>
      <c r="Q55" s="64">
        <v>5.05</v>
      </c>
      <c r="R55" s="198"/>
      <c r="S55" s="198"/>
      <c r="T55" s="198"/>
      <c r="U55" s="198"/>
    </row>
    <row r="56" spans="1:21" s="12" customFormat="1" x14ac:dyDescent="0.25">
      <c r="A56" s="214" t="s">
        <v>1637</v>
      </c>
      <c r="B56" s="64">
        <v>2.62</v>
      </c>
      <c r="C56" s="64">
        <v>18.579999999999998</v>
      </c>
      <c r="D56" s="64">
        <v>13.65</v>
      </c>
      <c r="E56" s="215" t="s">
        <v>36</v>
      </c>
      <c r="F56" s="64">
        <v>14.38</v>
      </c>
      <c r="G56" s="64">
        <v>58.82</v>
      </c>
      <c r="H56" s="64">
        <v>24.5</v>
      </c>
      <c r="I56" s="64">
        <v>1.46</v>
      </c>
      <c r="J56" s="64">
        <v>7.0000000000000007E-2</v>
      </c>
      <c r="K56" s="64">
        <v>20.68</v>
      </c>
      <c r="L56" s="64">
        <v>31.67</v>
      </c>
      <c r="M56" s="64">
        <v>38.520000000000003</v>
      </c>
      <c r="N56" s="64">
        <v>829.9</v>
      </c>
      <c r="O56" s="64">
        <v>0</v>
      </c>
      <c r="P56" s="64">
        <v>0.59</v>
      </c>
      <c r="Q56" s="64">
        <v>4.99</v>
      </c>
      <c r="R56" s="198"/>
      <c r="S56" s="198"/>
      <c r="T56" s="198"/>
      <c r="U56" s="198"/>
    </row>
    <row r="57" spans="1:21" s="12" customFormat="1" x14ac:dyDescent="0.25">
      <c r="A57" s="214" t="s">
        <v>1638</v>
      </c>
      <c r="B57" s="64">
        <v>3.14</v>
      </c>
      <c r="C57" s="64">
        <v>16.96</v>
      </c>
      <c r="D57" s="64">
        <v>13.17</v>
      </c>
      <c r="E57" s="64">
        <v>0.27</v>
      </c>
      <c r="F57" s="64">
        <v>6.31</v>
      </c>
      <c r="G57" s="64">
        <v>59.14</v>
      </c>
      <c r="H57" s="64">
        <v>24.5</v>
      </c>
      <c r="I57" s="64">
        <v>1.47</v>
      </c>
      <c r="J57" s="64">
        <v>0.19</v>
      </c>
      <c r="K57" s="64">
        <v>16.61</v>
      </c>
      <c r="L57" s="64">
        <v>31.6</v>
      </c>
      <c r="M57" s="64">
        <v>37.71</v>
      </c>
      <c r="N57" s="64">
        <v>832.9</v>
      </c>
      <c r="O57" s="64">
        <v>0</v>
      </c>
      <c r="P57" s="64">
        <v>0.6</v>
      </c>
      <c r="Q57" s="64">
        <v>4.99</v>
      </c>
      <c r="R57" s="198"/>
      <c r="S57" s="198"/>
      <c r="T57" s="198"/>
      <c r="U57" s="198"/>
    </row>
    <row r="58" spans="1:21" s="12" customFormat="1" x14ac:dyDescent="0.25">
      <c r="A58" s="214" t="s">
        <v>1639</v>
      </c>
      <c r="B58" s="64">
        <v>2.42</v>
      </c>
      <c r="C58" s="64">
        <v>17.53</v>
      </c>
      <c r="D58" s="64">
        <v>12.91</v>
      </c>
      <c r="E58" s="64">
        <v>0.48</v>
      </c>
      <c r="F58" s="64">
        <v>13.39</v>
      </c>
      <c r="G58" s="64">
        <v>59.14</v>
      </c>
      <c r="H58" s="64">
        <v>24.5</v>
      </c>
      <c r="I58" s="64">
        <v>1.57</v>
      </c>
      <c r="J58" s="64">
        <v>0.14000000000000001</v>
      </c>
      <c r="K58" s="64">
        <v>93.6</v>
      </c>
      <c r="L58" s="64">
        <v>31.53</v>
      </c>
      <c r="M58" s="64">
        <v>37.869999999999997</v>
      </c>
      <c r="N58" s="64">
        <v>818.4</v>
      </c>
      <c r="O58" s="64">
        <v>0</v>
      </c>
      <c r="P58" s="64">
        <v>0.53</v>
      </c>
      <c r="Q58" s="64">
        <v>5.15</v>
      </c>
      <c r="R58" s="198"/>
      <c r="S58" s="198"/>
      <c r="T58" s="198"/>
      <c r="U58" s="198"/>
    </row>
    <row r="59" spans="1:21" s="12" customFormat="1" x14ac:dyDescent="0.25">
      <c r="A59" s="214" t="s">
        <v>1640</v>
      </c>
      <c r="B59" s="64">
        <v>2.5099999999999998</v>
      </c>
      <c r="C59" s="64">
        <v>16.54</v>
      </c>
      <c r="D59" s="64">
        <v>12.43</v>
      </c>
      <c r="E59" s="64">
        <v>0.46</v>
      </c>
      <c r="F59" s="64">
        <v>9.9</v>
      </c>
      <c r="G59" s="64">
        <v>59.14</v>
      </c>
      <c r="H59" s="64">
        <v>24.5</v>
      </c>
      <c r="I59" s="64">
        <v>1.55</v>
      </c>
      <c r="J59" s="64">
        <v>0.32</v>
      </c>
      <c r="K59" s="64">
        <v>145.18</v>
      </c>
      <c r="L59" s="64">
        <v>30.73</v>
      </c>
      <c r="M59" s="64">
        <v>41.63</v>
      </c>
      <c r="N59" s="64">
        <v>800.3</v>
      </c>
      <c r="O59" s="64">
        <v>0</v>
      </c>
      <c r="P59" s="64">
        <v>0.53</v>
      </c>
      <c r="Q59" s="64">
        <v>5.2</v>
      </c>
      <c r="R59" s="198"/>
      <c r="S59" s="198"/>
      <c r="T59" s="198"/>
      <c r="U59" s="198"/>
    </row>
    <row r="60" spans="1:21" s="12" customFormat="1" x14ac:dyDescent="0.25">
      <c r="A60" s="214" t="s">
        <v>1641</v>
      </c>
      <c r="B60" s="64">
        <v>2.0099999999999998</v>
      </c>
      <c r="C60" s="64">
        <v>13.23</v>
      </c>
      <c r="D60" s="64">
        <v>10.199999999999999</v>
      </c>
      <c r="E60" s="64">
        <v>0.45</v>
      </c>
      <c r="F60" s="64">
        <v>4.22</v>
      </c>
      <c r="G60" s="64">
        <v>40.33</v>
      </c>
      <c r="H60" s="64">
        <v>18.29</v>
      </c>
      <c r="I60" s="64">
        <v>1.55</v>
      </c>
      <c r="J60" s="64">
        <v>0.69</v>
      </c>
      <c r="K60" s="64">
        <v>143.19999999999999</v>
      </c>
      <c r="L60" s="64">
        <v>30.91</v>
      </c>
      <c r="M60" s="64">
        <v>40.24</v>
      </c>
      <c r="N60" s="64">
        <v>781.2</v>
      </c>
      <c r="O60" s="64">
        <v>0</v>
      </c>
      <c r="P60" s="64">
        <v>0.55000000000000004</v>
      </c>
      <c r="Q60" s="64">
        <v>5.24</v>
      </c>
      <c r="R60" s="198"/>
      <c r="S60" s="198"/>
      <c r="T60" s="198"/>
      <c r="U60" s="198"/>
    </row>
    <row r="61" spans="1:21" s="12" customFormat="1" x14ac:dyDescent="0.25">
      <c r="A61" s="214" t="s">
        <v>1642</v>
      </c>
      <c r="B61" s="64">
        <v>2</v>
      </c>
      <c r="C61" s="64">
        <v>12.06</v>
      </c>
      <c r="D61" s="64">
        <v>9.5500000000000007</v>
      </c>
      <c r="E61" s="64">
        <v>0.5</v>
      </c>
      <c r="F61" s="64">
        <v>5.3</v>
      </c>
      <c r="G61" s="64">
        <v>38.99</v>
      </c>
      <c r="H61" s="64">
        <v>18.29</v>
      </c>
      <c r="I61" s="64">
        <v>1.42</v>
      </c>
      <c r="J61" s="64">
        <v>0.97</v>
      </c>
      <c r="K61" s="64">
        <v>149.16</v>
      </c>
      <c r="L61" s="64">
        <v>30.48</v>
      </c>
      <c r="M61" s="64">
        <v>40.090000000000003</v>
      </c>
      <c r="N61" s="64">
        <v>760.1</v>
      </c>
      <c r="O61" s="64">
        <v>0</v>
      </c>
      <c r="P61" s="64">
        <v>0.52</v>
      </c>
      <c r="Q61" s="64">
        <v>5.2</v>
      </c>
      <c r="R61" s="198"/>
      <c r="S61" s="198"/>
      <c r="T61" s="198"/>
      <c r="U61" s="198"/>
    </row>
    <row r="62" spans="1:21" s="12" customFormat="1" x14ac:dyDescent="0.25">
      <c r="A62" s="214" t="s">
        <v>1643</v>
      </c>
      <c r="B62" s="64">
        <v>2.23</v>
      </c>
      <c r="C62" s="64">
        <v>12.78</v>
      </c>
      <c r="D62" s="64">
        <v>10.130000000000001</v>
      </c>
      <c r="E62" s="64">
        <v>0.56000000000000005</v>
      </c>
      <c r="F62" s="64">
        <v>8.5500000000000007</v>
      </c>
      <c r="G62" s="64">
        <v>38.99</v>
      </c>
      <c r="H62" s="64">
        <v>18.29</v>
      </c>
      <c r="I62" s="64">
        <v>1.57</v>
      </c>
      <c r="J62" s="64">
        <v>1.23</v>
      </c>
      <c r="K62" s="64">
        <v>149</v>
      </c>
      <c r="L62" s="64">
        <v>30.16</v>
      </c>
      <c r="M62" s="64">
        <v>39.94</v>
      </c>
      <c r="N62" s="64">
        <v>623.9</v>
      </c>
      <c r="O62" s="64">
        <v>0</v>
      </c>
      <c r="P62" s="64">
        <v>0.56999999999999995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4" t="s">
        <v>1644</v>
      </c>
      <c r="B63" s="64">
        <v>2.2400000000000002</v>
      </c>
      <c r="C63" s="64">
        <v>16.38</v>
      </c>
      <c r="D63" s="64">
        <v>12.13</v>
      </c>
      <c r="E63" s="64">
        <v>0.71</v>
      </c>
      <c r="F63" s="64">
        <v>7.32</v>
      </c>
      <c r="G63" s="64">
        <v>38.99</v>
      </c>
      <c r="H63" s="64">
        <v>18.29</v>
      </c>
      <c r="I63" s="64">
        <v>1.45</v>
      </c>
      <c r="J63" s="64">
        <v>1.38</v>
      </c>
      <c r="K63" s="64">
        <v>147.33000000000001</v>
      </c>
      <c r="L63" s="64">
        <v>30.06</v>
      </c>
      <c r="M63" s="64">
        <v>39.020000000000003</v>
      </c>
      <c r="N63" s="64">
        <v>365.5</v>
      </c>
      <c r="O63" s="64">
        <v>0</v>
      </c>
      <c r="P63" s="64">
        <v>0.56999999999999995</v>
      </c>
      <c r="Q63" s="64">
        <v>5.25</v>
      </c>
      <c r="R63" s="198"/>
      <c r="S63" s="198"/>
      <c r="T63" s="198"/>
      <c r="U63" s="198"/>
    </row>
    <row r="64" spans="1:21" s="12" customFormat="1" x14ac:dyDescent="0.25">
      <c r="A64" s="214" t="s">
        <v>1645</v>
      </c>
      <c r="B64" s="64">
        <v>2.04</v>
      </c>
      <c r="C64" s="64">
        <v>15.49</v>
      </c>
      <c r="D64" s="64">
        <v>11.48</v>
      </c>
      <c r="E64" s="64">
        <v>0.51</v>
      </c>
      <c r="F64" s="64">
        <v>8.9499999999999993</v>
      </c>
      <c r="G64" s="64">
        <v>53.28</v>
      </c>
      <c r="H64" s="64">
        <v>15.7</v>
      </c>
      <c r="I64" s="64">
        <v>1.51</v>
      </c>
      <c r="J64" s="64">
        <v>0.48</v>
      </c>
      <c r="K64" s="64">
        <v>154.82</v>
      </c>
      <c r="L64" s="64">
        <v>29.58</v>
      </c>
      <c r="M64" s="64">
        <v>39.19</v>
      </c>
      <c r="N64" s="64">
        <v>201.6</v>
      </c>
      <c r="O64" s="64">
        <v>0</v>
      </c>
      <c r="P64" s="64">
        <v>0.54</v>
      </c>
      <c r="Q64" s="64">
        <v>5.25</v>
      </c>
      <c r="R64" s="198"/>
      <c r="S64" s="198"/>
      <c r="T64" s="198"/>
      <c r="U64" s="198"/>
    </row>
    <row r="65" spans="1:21" s="12" customFormat="1" x14ac:dyDescent="0.25">
      <c r="A65" s="214" t="s">
        <v>1646</v>
      </c>
      <c r="B65" s="64">
        <v>2</v>
      </c>
      <c r="C65" s="64">
        <v>14.38</v>
      </c>
      <c r="D65" s="64">
        <v>10.83</v>
      </c>
      <c r="E65" s="64">
        <v>0.54</v>
      </c>
      <c r="F65" s="64">
        <v>24.27</v>
      </c>
      <c r="G65" s="64">
        <v>54.12</v>
      </c>
      <c r="H65" s="64">
        <v>15.7</v>
      </c>
      <c r="I65" s="64">
        <v>1.54</v>
      </c>
      <c r="J65" s="64">
        <v>0.47</v>
      </c>
      <c r="K65" s="64">
        <v>117</v>
      </c>
      <c r="L65" s="64">
        <v>29.12</v>
      </c>
      <c r="M65" s="64">
        <v>41.12</v>
      </c>
      <c r="N65" s="64">
        <v>79</v>
      </c>
      <c r="O65" s="64">
        <v>0</v>
      </c>
      <c r="P65" s="64">
        <v>0.48</v>
      </c>
      <c r="Q65" s="64">
        <v>5.26</v>
      </c>
      <c r="R65" s="198"/>
      <c r="S65" s="198"/>
      <c r="T65" s="198"/>
      <c r="U65" s="198"/>
    </row>
    <row r="66" spans="1:21" s="12" customFormat="1" x14ac:dyDescent="0.25">
      <c r="A66" s="214" t="s">
        <v>1647</v>
      </c>
      <c r="B66" s="64">
        <v>2</v>
      </c>
      <c r="C66" s="64">
        <v>14.57</v>
      </c>
      <c r="D66" s="64">
        <v>10.94</v>
      </c>
      <c r="E66" s="64">
        <v>0.63</v>
      </c>
      <c r="F66" s="64">
        <v>28.38</v>
      </c>
      <c r="G66" s="64">
        <v>54.12</v>
      </c>
      <c r="H66" s="64">
        <v>15.7</v>
      </c>
      <c r="I66" s="64">
        <v>1.46</v>
      </c>
      <c r="J66" s="64">
        <v>0.28999999999999998</v>
      </c>
      <c r="K66" s="64">
        <v>132.41999999999999</v>
      </c>
      <c r="L66" s="64">
        <v>28.79</v>
      </c>
      <c r="M66" s="64">
        <v>40.61</v>
      </c>
      <c r="N66" s="64">
        <v>65.7</v>
      </c>
      <c r="O66" s="64">
        <v>0</v>
      </c>
      <c r="P66" s="64">
        <v>0.43</v>
      </c>
      <c r="Q66" s="64">
        <v>5.23</v>
      </c>
      <c r="R66" s="198"/>
      <c r="S66" s="198"/>
      <c r="T66" s="198"/>
      <c r="U66" s="198"/>
    </row>
    <row r="67" spans="1:21" s="12" customFormat="1" x14ac:dyDescent="0.25">
      <c r="A67" s="214" t="s">
        <v>1648</v>
      </c>
      <c r="B67" s="64">
        <v>2</v>
      </c>
      <c r="C67" s="64">
        <v>18.059999999999999</v>
      </c>
      <c r="D67" s="64">
        <v>12.86</v>
      </c>
      <c r="E67" s="64">
        <v>0.73</v>
      </c>
      <c r="F67" s="64">
        <v>33.159999999999997</v>
      </c>
      <c r="G67" s="64">
        <v>54.12</v>
      </c>
      <c r="H67" s="64">
        <v>15.7</v>
      </c>
      <c r="I67" s="64">
        <v>1.45</v>
      </c>
      <c r="J67" s="64">
        <v>0.17</v>
      </c>
      <c r="K67" s="64">
        <v>147.69</v>
      </c>
      <c r="L67" s="64">
        <v>28.68</v>
      </c>
      <c r="M67" s="64">
        <v>41.18</v>
      </c>
      <c r="N67" s="64">
        <v>67.8</v>
      </c>
      <c r="O67" s="64">
        <v>0</v>
      </c>
      <c r="P67" s="64">
        <v>0.41</v>
      </c>
      <c r="Q67" s="64">
        <v>5.13</v>
      </c>
      <c r="R67" s="198"/>
      <c r="S67" s="198"/>
      <c r="T67" s="198"/>
      <c r="U67" s="198"/>
    </row>
    <row r="68" spans="1:21" s="12" customFormat="1" x14ac:dyDescent="0.25">
      <c r="A68" s="214" t="s">
        <v>1649</v>
      </c>
      <c r="B68" s="64">
        <v>2</v>
      </c>
      <c r="C68" s="64">
        <v>15.1</v>
      </c>
      <c r="D68" s="64">
        <v>11.23</v>
      </c>
      <c r="E68" s="64">
        <v>0.75</v>
      </c>
      <c r="F68" s="64">
        <v>36.43</v>
      </c>
      <c r="G68" s="64">
        <v>53.3</v>
      </c>
      <c r="H68" s="64">
        <v>3.14</v>
      </c>
      <c r="I68" s="64">
        <v>1.58</v>
      </c>
      <c r="J68" s="64">
        <v>7.0000000000000007E-2</v>
      </c>
      <c r="K68" s="64">
        <v>185.73</v>
      </c>
      <c r="L68" s="64">
        <v>28.58</v>
      </c>
      <c r="M68" s="64">
        <v>42.95</v>
      </c>
      <c r="N68" s="64">
        <v>73.7</v>
      </c>
      <c r="O68" s="64">
        <v>0</v>
      </c>
      <c r="P68" s="64">
        <v>0.42</v>
      </c>
      <c r="Q68" s="64">
        <v>5.07</v>
      </c>
      <c r="R68" s="198"/>
      <c r="S68" s="198"/>
      <c r="T68" s="198"/>
      <c r="U68" s="198"/>
    </row>
    <row r="69" spans="1:21" s="12" customFormat="1" x14ac:dyDescent="0.25">
      <c r="A69" s="214" t="s">
        <v>1650</v>
      </c>
      <c r="B69" s="64">
        <v>2</v>
      </c>
      <c r="C69" s="64">
        <v>13.91</v>
      </c>
      <c r="D69" s="64">
        <v>10.57</v>
      </c>
      <c r="E69" s="64">
        <v>0.84</v>
      </c>
      <c r="F69" s="64">
        <v>39.200000000000003</v>
      </c>
      <c r="G69" s="64">
        <v>53.25</v>
      </c>
      <c r="H69" s="64">
        <v>3.14</v>
      </c>
      <c r="I69" s="64">
        <v>1.56</v>
      </c>
      <c r="J69" s="64">
        <v>0.02</v>
      </c>
      <c r="K69" s="64">
        <v>251.88</v>
      </c>
      <c r="L69" s="64">
        <v>28.54</v>
      </c>
      <c r="M69" s="64">
        <v>42.29</v>
      </c>
      <c r="N69" s="64">
        <v>70.2</v>
      </c>
      <c r="O69" s="64">
        <v>0</v>
      </c>
      <c r="P69" s="64">
        <v>0.39</v>
      </c>
      <c r="Q69" s="64">
        <v>5.1100000000000003</v>
      </c>
      <c r="R69" s="198"/>
      <c r="S69" s="198"/>
      <c r="T69" s="198"/>
      <c r="U69" s="198"/>
    </row>
    <row r="70" spans="1:21" s="12" customFormat="1" x14ac:dyDescent="0.25">
      <c r="A70" s="214" t="s">
        <v>1651</v>
      </c>
      <c r="B70" s="64">
        <v>2</v>
      </c>
      <c r="C70" s="64">
        <v>14.48</v>
      </c>
      <c r="D70" s="64">
        <v>10.89</v>
      </c>
      <c r="E70" s="64">
        <v>0.82</v>
      </c>
      <c r="F70" s="64">
        <v>35.369999999999997</v>
      </c>
      <c r="G70" s="64">
        <v>53.25</v>
      </c>
      <c r="H70" s="64">
        <v>3.14</v>
      </c>
      <c r="I70" s="64">
        <v>1.45</v>
      </c>
      <c r="J70" s="64">
        <v>0.08</v>
      </c>
      <c r="K70" s="64">
        <v>211.31</v>
      </c>
      <c r="L70" s="64">
        <v>28.52</v>
      </c>
      <c r="M70" s="64">
        <v>41.33</v>
      </c>
      <c r="N70" s="64">
        <v>91.6</v>
      </c>
      <c r="O70" s="64">
        <v>0</v>
      </c>
      <c r="P70" s="64">
        <v>0.42</v>
      </c>
      <c r="Q70" s="64">
        <v>5.08</v>
      </c>
      <c r="R70" s="198"/>
      <c r="S70" s="198"/>
      <c r="T70" s="198"/>
      <c r="U70" s="198"/>
    </row>
    <row r="71" spans="1:21" s="12" customFormat="1" x14ac:dyDescent="0.25">
      <c r="A71" s="214" t="s">
        <v>1652</v>
      </c>
      <c r="B71" s="64">
        <v>2</v>
      </c>
      <c r="C71" s="64">
        <v>14.21</v>
      </c>
      <c r="D71" s="64">
        <v>10.74</v>
      </c>
      <c r="E71" s="64">
        <v>0.79</v>
      </c>
      <c r="F71" s="64">
        <v>25.26</v>
      </c>
      <c r="G71" s="64">
        <v>53.25</v>
      </c>
      <c r="H71" s="64">
        <v>3.14</v>
      </c>
      <c r="I71" s="64">
        <v>1.43</v>
      </c>
      <c r="J71" s="64">
        <v>0.09</v>
      </c>
      <c r="K71" s="64">
        <v>222.59</v>
      </c>
      <c r="L71" s="64">
        <v>28.41</v>
      </c>
      <c r="M71" s="64">
        <v>40.92</v>
      </c>
      <c r="N71" s="64">
        <v>85.7</v>
      </c>
      <c r="O71" s="64">
        <v>0</v>
      </c>
      <c r="P71" s="64">
        <v>0.43</v>
      </c>
      <c r="Q71" s="64">
        <v>5.05</v>
      </c>
      <c r="R71" s="198"/>
      <c r="S71" s="198"/>
      <c r="T71" s="198"/>
      <c r="U71" s="198"/>
    </row>
    <row r="72" spans="1:21" s="12" customFormat="1" x14ac:dyDescent="0.25">
      <c r="A72" s="214" t="s">
        <v>1653</v>
      </c>
      <c r="B72" s="64">
        <v>2</v>
      </c>
      <c r="C72" s="64">
        <v>13.08</v>
      </c>
      <c r="D72" s="64">
        <v>10.119999999999999</v>
      </c>
      <c r="E72" s="64">
        <v>0.36</v>
      </c>
      <c r="F72" s="64">
        <v>5.28</v>
      </c>
      <c r="G72" s="64">
        <v>52.64</v>
      </c>
      <c r="H72" s="64">
        <v>21.73</v>
      </c>
      <c r="I72" s="64">
        <v>1.55</v>
      </c>
      <c r="J72" s="64">
        <v>0.17</v>
      </c>
      <c r="K72" s="64">
        <v>216.75</v>
      </c>
      <c r="L72" s="64">
        <v>28.25</v>
      </c>
      <c r="M72" s="64">
        <v>43.13</v>
      </c>
      <c r="N72" s="64">
        <v>87.9</v>
      </c>
      <c r="O72" s="64">
        <v>0</v>
      </c>
      <c r="P72" s="64">
        <v>0.48</v>
      </c>
      <c r="Q72" s="64">
        <v>5.14</v>
      </c>
      <c r="R72" s="198"/>
      <c r="S72" s="198"/>
      <c r="T72" s="198"/>
      <c r="U72" s="198"/>
    </row>
    <row r="73" spans="1:21" s="12" customFormat="1" x14ac:dyDescent="0.25">
      <c r="A73" s="214" t="s">
        <v>1654</v>
      </c>
      <c r="B73" s="64">
        <v>2</v>
      </c>
      <c r="C73" s="64">
        <v>13.84</v>
      </c>
      <c r="D73" s="64">
        <v>10.53</v>
      </c>
      <c r="E73" s="64">
        <v>0.46</v>
      </c>
      <c r="F73" s="64">
        <v>15.26</v>
      </c>
      <c r="G73" s="64">
        <v>52.61</v>
      </c>
      <c r="H73" s="64">
        <v>21.73</v>
      </c>
      <c r="I73" s="64">
        <v>1.56</v>
      </c>
      <c r="J73" s="64">
        <v>0.01</v>
      </c>
      <c r="K73" s="64">
        <v>342.99</v>
      </c>
      <c r="L73" s="64">
        <v>28.1</v>
      </c>
      <c r="M73" s="64">
        <v>46.47</v>
      </c>
      <c r="N73" s="64">
        <v>79.599999999999994</v>
      </c>
      <c r="O73" s="64">
        <v>0</v>
      </c>
      <c r="P73" s="64">
        <v>0.46</v>
      </c>
      <c r="Q73" s="64">
        <v>5.08</v>
      </c>
      <c r="R73" s="198"/>
      <c r="S73" s="198"/>
      <c r="T73" s="198"/>
      <c r="U73" s="198"/>
    </row>
    <row r="74" spans="1:21" s="12" customFormat="1" x14ac:dyDescent="0.25">
      <c r="A74" s="214" t="s">
        <v>1655</v>
      </c>
      <c r="B74" s="64">
        <v>2</v>
      </c>
      <c r="C74" s="64">
        <v>12.56</v>
      </c>
      <c r="D74" s="64">
        <v>9.83</v>
      </c>
      <c r="E74" s="64">
        <v>0.52</v>
      </c>
      <c r="F74" s="64">
        <v>20.71</v>
      </c>
      <c r="G74" s="64">
        <v>52.61</v>
      </c>
      <c r="H74" s="64">
        <v>21.73</v>
      </c>
      <c r="I74" s="64">
        <v>1.53</v>
      </c>
      <c r="J74" s="64">
        <v>0.12</v>
      </c>
      <c r="K74" s="64">
        <v>203.4</v>
      </c>
      <c r="L74" s="64">
        <v>27.93</v>
      </c>
      <c r="M74" s="64">
        <v>47.71</v>
      </c>
      <c r="N74" s="64">
        <v>65.2</v>
      </c>
      <c r="O74" s="64">
        <v>0</v>
      </c>
      <c r="P74" s="64">
        <v>0.45</v>
      </c>
      <c r="Q74" s="64">
        <v>5.08</v>
      </c>
      <c r="R74" s="198"/>
      <c r="S74" s="198"/>
      <c r="T74" s="198"/>
      <c r="U74" s="198"/>
    </row>
    <row r="75" spans="1:21" s="12" customFormat="1" x14ac:dyDescent="0.25">
      <c r="A75" s="214" t="s">
        <v>1656</v>
      </c>
      <c r="B75" s="64">
        <v>2</v>
      </c>
      <c r="C75" s="64">
        <v>14.99</v>
      </c>
      <c r="D75" s="64">
        <v>11.17</v>
      </c>
      <c r="E75" s="64">
        <v>0.48</v>
      </c>
      <c r="F75" s="64">
        <v>31.5</v>
      </c>
      <c r="G75" s="64">
        <v>52.61</v>
      </c>
      <c r="H75" s="64">
        <v>21.73</v>
      </c>
      <c r="I75" s="64">
        <v>1.49</v>
      </c>
      <c r="J75" s="64">
        <v>0.1</v>
      </c>
      <c r="K75" s="64">
        <v>197.16</v>
      </c>
      <c r="L75" s="64">
        <v>27.85</v>
      </c>
      <c r="M75" s="64">
        <v>47.99</v>
      </c>
      <c r="N75" s="64">
        <v>52.3</v>
      </c>
      <c r="O75" s="64">
        <v>0</v>
      </c>
      <c r="P75" s="64">
        <v>0.45</v>
      </c>
      <c r="Q75" s="64">
        <v>4.91</v>
      </c>
      <c r="R75" s="198"/>
      <c r="S75" s="198"/>
      <c r="T75" s="198"/>
      <c r="U75" s="198"/>
    </row>
    <row r="76" spans="1:21" s="12" customFormat="1" x14ac:dyDescent="0.25">
      <c r="A76" s="214" t="s">
        <v>1657</v>
      </c>
      <c r="B76" s="64">
        <v>2</v>
      </c>
      <c r="C76" s="64">
        <v>15.52</v>
      </c>
      <c r="D76" s="64">
        <v>11.46</v>
      </c>
      <c r="E76" s="64">
        <v>0.5</v>
      </c>
      <c r="F76" s="64">
        <v>13.34</v>
      </c>
      <c r="G76" s="215" t="s">
        <v>36</v>
      </c>
      <c r="H76" s="215" t="s">
        <v>36</v>
      </c>
      <c r="I76" s="64">
        <v>1.51</v>
      </c>
      <c r="J76" s="64">
        <v>0.06</v>
      </c>
      <c r="K76" s="64">
        <v>178.9</v>
      </c>
      <c r="L76" s="64">
        <v>27.77</v>
      </c>
      <c r="M76" s="64">
        <v>47.27</v>
      </c>
      <c r="N76" s="64">
        <v>40.200000000000003</v>
      </c>
      <c r="O76" s="64">
        <v>0</v>
      </c>
      <c r="P76" s="64">
        <v>0.46</v>
      </c>
      <c r="Q76" s="64">
        <v>4.84</v>
      </c>
      <c r="R76" s="198"/>
      <c r="S76" s="198"/>
      <c r="T76" s="198"/>
      <c r="U76" s="198"/>
    </row>
    <row r="77" spans="1:21" s="12" customFormat="1" x14ac:dyDescent="0.25">
      <c r="A77" s="214" t="s">
        <v>1658</v>
      </c>
      <c r="B77" s="64">
        <v>2.2599999999999998</v>
      </c>
      <c r="C77" s="64">
        <v>22.07</v>
      </c>
      <c r="D77" s="64">
        <v>15.28</v>
      </c>
      <c r="E77" s="64">
        <v>0.49</v>
      </c>
      <c r="F77" s="64">
        <v>22.15</v>
      </c>
      <c r="G77" s="215" t="s">
        <v>36</v>
      </c>
      <c r="H77" s="215" t="s">
        <v>36</v>
      </c>
      <c r="I77" s="64">
        <v>1.43</v>
      </c>
      <c r="J77" s="64">
        <v>0.16</v>
      </c>
      <c r="K77" s="64">
        <v>143.59</v>
      </c>
      <c r="L77" s="64">
        <v>27.51</v>
      </c>
      <c r="M77" s="64">
        <v>48.46</v>
      </c>
      <c r="N77" s="64">
        <v>27.2</v>
      </c>
      <c r="O77" s="64">
        <v>0</v>
      </c>
      <c r="P77" s="64">
        <v>0.5</v>
      </c>
      <c r="Q77" s="64">
        <v>4.7</v>
      </c>
      <c r="R77" s="198"/>
      <c r="S77" s="198"/>
      <c r="T77" s="198"/>
      <c r="U77" s="198"/>
    </row>
    <row r="78" spans="1:21" s="12" customFormat="1" x14ac:dyDescent="0.25">
      <c r="A78" s="214" t="s">
        <v>1659</v>
      </c>
      <c r="B78" s="64">
        <v>7.45</v>
      </c>
      <c r="C78" s="64">
        <v>50.17</v>
      </c>
      <c r="D78" s="64">
        <v>34.96</v>
      </c>
      <c r="E78" s="64">
        <v>0.57999999999999996</v>
      </c>
      <c r="F78" s="64">
        <v>16.829999999999998</v>
      </c>
      <c r="G78" s="215" t="s">
        <v>36</v>
      </c>
      <c r="H78" s="215" t="s">
        <v>36</v>
      </c>
      <c r="I78" s="64">
        <v>1.52</v>
      </c>
      <c r="J78" s="64">
        <v>0.43</v>
      </c>
      <c r="K78" s="64">
        <v>149.30000000000001</v>
      </c>
      <c r="L78" s="64">
        <v>27.15</v>
      </c>
      <c r="M78" s="64">
        <v>50.38</v>
      </c>
      <c r="N78" s="64">
        <v>15.4</v>
      </c>
      <c r="O78" s="64">
        <v>0</v>
      </c>
      <c r="P78" s="64">
        <v>0.52</v>
      </c>
      <c r="Q78" s="64">
        <v>2.9</v>
      </c>
      <c r="R78" s="198"/>
      <c r="S78" s="198"/>
      <c r="T78" s="198"/>
      <c r="U78" s="198"/>
    </row>
    <row r="79" spans="1:21" s="12" customFormat="1" x14ac:dyDescent="0.25">
      <c r="A79" s="214" t="s">
        <v>1660</v>
      </c>
      <c r="B79" s="64">
        <v>3.34</v>
      </c>
      <c r="C79" s="64">
        <v>55.09</v>
      </c>
      <c r="D79" s="64">
        <v>34.369999999999997</v>
      </c>
      <c r="E79" s="64">
        <v>0.63</v>
      </c>
      <c r="F79" s="64">
        <v>24.5</v>
      </c>
      <c r="G79" s="215" t="s">
        <v>36</v>
      </c>
      <c r="H79" s="215" t="s">
        <v>36</v>
      </c>
      <c r="I79" s="64">
        <v>1.48</v>
      </c>
      <c r="J79" s="64">
        <v>0.05</v>
      </c>
      <c r="K79" s="64">
        <v>208.68</v>
      </c>
      <c r="L79" s="64">
        <v>26.56</v>
      </c>
      <c r="M79" s="64">
        <v>55.68</v>
      </c>
      <c r="N79" s="64">
        <v>10.199999999999999</v>
      </c>
      <c r="O79" s="64">
        <v>0</v>
      </c>
      <c r="P79" s="64">
        <v>0.56999999999999995</v>
      </c>
      <c r="Q79" s="64">
        <v>2.37</v>
      </c>
      <c r="R79" s="198"/>
      <c r="S79" s="198"/>
      <c r="T79" s="198"/>
      <c r="U79" s="198"/>
    </row>
    <row r="80" spans="1:21" s="12" customFormat="1" x14ac:dyDescent="0.25">
      <c r="A80" s="214" t="s">
        <v>1661</v>
      </c>
      <c r="B80" s="64">
        <v>4.4000000000000004</v>
      </c>
      <c r="C80" s="64">
        <v>52.53</v>
      </c>
      <c r="D80" s="64">
        <v>33.81</v>
      </c>
      <c r="E80" s="64">
        <v>0.7</v>
      </c>
      <c r="F80" s="64">
        <v>20.059999999999999</v>
      </c>
      <c r="G80" s="64">
        <v>55.52</v>
      </c>
      <c r="H80" s="64">
        <v>15.73</v>
      </c>
      <c r="I80" s="64">
        <v>1.5</v>
      </c>
      <c r="J80" s="64">
        <v>0.04</v>
      </c>
      <c r="K80" s="64">
        <v>103.84</v>
      </c>
      <c r="L80" s="64">
        <v>26.11</v>
      </c>
      <c r="M80" s="64">
        <v>59.53</v>
      </c>
      <c r="N80" s="64">
        <v>9.1</v>
      </c>
      <c r="O80" s="64">
        <v>0</v>
      </c>
      <c r="P80" s="64">
        <v>0.68</v>
      </c>
      <c r="Q80" s="64">
        <v>2.4900000000000002</v>
      </c>
      <c r="R80" s="198"/>
      <c r="S80" s="198"/>
      <c r="T80" s="198"/>
      <c r="U80" s="198"/>
    </row>
    <row r="81" spans="1:26" s="12" customFormat="1" x14ac:dyDescent="0.25">
      <c r="A81" s="214" t="s">
        <v>1662</v>
      </c>
      <c r="B81" s="64">
        <v>2.04</v>
      </c>
      <c r="C81" s="64">
        <v>40.01</v>
      </c>
      <c r="D81" s="64">
        <v>25.01</v>
      </c>
      <c r="E81" s="64">
        <v>0.7</v>
      </c>
      <c r="F81" s="64">
        <v>27.1</v>
      </c>
      <c r="G81" s="64">
        <v>55.39</v>
      </c>
      <c r="H81" s="64">
        <v>15.73</v>
      </c>
      <c r="I81" s="64">
        <v>1.48</v>
      </c>
      <c r="J81" s="64">
        <v>7.0000000000000007E-2</v>
      </c>
      <c r="K81" s="64">
        <v>150.81</v>
      </c>
      <c r="L81" s="64">
        <v>26.26</v>
      </c>
      <c r="M81" s="64">
        <v>54.47</v>
      </c>
      <c r="N81" s="64">
        <v>8.9</v>
      </c>
      <c r="O81" s="64">
        <v>0</v>
      </c>
      <c r="P81" s="64">
        <v>0.78</v>
      </c>
      <c r="Q81" s="64">
        <v>3.01</v>
      </c>
      <c r="R81" s="198"/>
      <c r="S81" s="198"/>
      <c r="T81" s="198"/>
      <c r="U81" s="198"/>
    </row>
    <row r="82" spans="1:26" s="12" customFormat="1" x14ac:dyDescent="0.25">
      <c r="A82" s="214" t="s">
        <v>1663</v>
      </c>
      <c r="B82" s="64">
        <v>2.1800000000000002</v>
      </c>
      <c r="C82" s="64">
        <v>42.31</v>
      </c>
      <c r="D82" s="64">
        <v>26.39</v>
      </c>
      <c r="E82" s="64">
        <v>0.73</v>
      </c>
      <c r="F82" s="64">
        <v>26.2</v>
      </c>
      <c r="G82" s="64">
        <v>55.39</v>
      </c>
      <c r="H82" s="64">
        <v>15.73</v>
      </c>
      <c r="I82" s="64">
        <v>1.52</v>
      </c>
      <c r="J82" s="64">
        <v>0.08</v>
      </c>
      <c r="K82" s="64">
        <v>151.02000000000001</v>
      </c>
      <c r="L82" s="64">
        <v>26.28</v>
      </c>
      <c r="M82" s="64">
        <v>54.85</v>
      </c>
      <c r="N82" s="64">
        <v>8.9</v>
      </c>
      <c r="O82" s="64">
        <v>0</v>
      </c>
      <c r="P82" s="64">
        <v>0.76</v>
      </c>
      <c r="Q82" s="64">
        <v>3.41</v>
      </c>
      <c r="R82" s="198"/>
      <c r="S82" s="198"/>
      <c r="T82" s="198"/>
      <c r="U82" s="198"/>
    </row>
    <row r="83" spans="1:26" s="12" customFormat="1" x14ac:dyDescent="0.25">
      <c r="A83" s="214" t="s">
        <v>1664</v>
      </c>
      <c r="B83" s="64">
        <v>4.04</v>
      </c>
      <c r="C83" s="64">
        <v>55.46</v>
      </c>
      <c r="D83" s="64">
        <v>35.14</v>
      </c>
      <c r="E83" s="64">
        <v>0.75</v>
      </c>
      <c r="F83" s="64">
        <v>15.24</v>
      </c>
      <c r="G83" s="64">
        <v>55.39</v>
      </c>
      <c r="H83" s="64">
        <v>15.73</v>
      </c>
      <c r="I83" s="64">
        <v>1.5</v>
      </c>
      <c r="J83" s="64">
        <v>0.08</v>
      </c>
      <c r="K83" s="64">
        <v>196.18</v>
      </c>
      <c r="L83" s="64">
        <v>25.98</v>
      </c>
      <c r="M83" s="64">
        <v>56.59</v>
      </c>
      <c r="N83" s="64">
        <v>8.9</v>
      </c>
      <c r="O83" s="64">
        <v>0</v>
      </c>
      <c r="P83" s="64">
        <v>0.79</v>
      </c>
      <c r="Q83" s="64">
        <v>2.93</v>
      </c>
      <c r="R83" s="198"/>
      <c r="S83" s="198"/>
      <c r="T83" s="198"/>
      <c r="U83" s="198"/>
    </row>
    <row r="84" spans="1:26" s="12" customFormat="1" x14ac:dyDescent="0.25">
      <c r="A84" s="214" t="s">
        <v>1665</v>
      </c>
      <c r="B84" s="64">
        <v>6.34</v>
      </c>
      <c r="C84" s="64">
        <v>50.07</v>
      </c>
      <c r="D84" s="64">
        <v>34.01</v>
      </c>
      <c r="E84" s="64">
        <v>0.63</v>
      </c>
      <c r="F84" s="64">
        <v>8.01</v>
      </c>
      <c r="G84" s="64">
        <v>69.75</v>
      </c>
      <c r="H84" s="64">
        <v>53.45</v>
      </c>
      <c r="I84" s="64">
        <v>1.45</v>
      </c>
      <c r="J84" s="64">
        <v>0.1</v>
      </c>
      <c r="K84" s="64">
        <v>285.88</v>
      </c>
      <c r="L84" s="64">
        <v>25.52</v>
      </c>
      <c r="M84" s="64">
        <v>58.78</v>
      </c>
      <c r="N84" s="64">
        <v>9.1</v>
      </c>
      <c r="O84" s="64">
        <v>0</v>
      </c>
      <c r="P84" s="64">
        <v>0.84</v>
      </c>
      <c r="Q84" s="64">
        <v>3.11</v>
      </c>
      <c r="R84" s="198"/>
      <c r="S84" s="198"/>
      <c r="T84" s="198"/>
      <c r="U84" s="198"/>
    </row>
    <row r="85" spans="1:26" s="12" customFormat="1" x14ac:dyDescent="0.25">
      <c r="A85" s="214" t="s">
        <v>1666</v>
      </c>
      <c r="B85" s="64">
        <v>4.51</v>
      </c>
      <c r="C85" s="64">
        <v>46.22</v>
      </c>
      <c r="D85" s="64">
        <v>30.42</v>
      </c>
      <c r="E85" s="64">
        <v>0.73</v>
      </c>
      <c r="F85" s="64">
        <v>17.73</v>
      </c>
      <c r="G85" s="64">
        <v>70.599999999999994</v>
      </c>
      <c r="H85" s="64">
        <v>53.45</v>
      </c>
      <c r="I85" s="64">
        <v>1.5</v>
      </c>
      <c r="J85" s="64">
        <v>7.0000000000000007E-2</v>
      </c>
      <c r="K85" s="64">
        <v>231.5</v>
      </c>
      <c r="L85" s="64">
        <v>25.08</v>
      </c>
      <c r="M85" s="64">
        <v>62.04</v>
      </c>
      <c r="N85" s="64">
        <v>9.1</v>
      </c>
      <c r="O85" s="64">
        <v>0</v>
      </c>
      <c r="P85" s="64">
        <v>0.84</v>
      </c>
      <c r="Q85" s="64">
        <v>3.24</v>
      </c>
      <c r="R85" s="198"/>
      <c r="S85" s="198"/>
      <c r="T85" s="198"/>
      <c r="U85" s="198"/>
    </row>
    <row r="86" spans="1:26" s="12" customFormat="1" x14ac:dyDescent="0.25">
      <c r="A86" s="214" t="s">
        <v>1667</v>
      </c>
      <c r="B86" s="64">
        <v>19.809999999999999</v>
      </c>
      <c r="C86" s="64">
        <v>63</v>
      </c>
      <c r="D86" s="64">
        <v>51.95</v>
      </c>
      <c r="E86" s="64">
        <v>0.65</v>
      </c>
      <c r="F86" s="64">
        <v>7.3</v>
      </c>
      <c r="G86" s="64">
        <v>70.599999999999994</v>
      </c>
      <c r="H86" s="64">
        <v>53.45</v>
      </c>
      <c r="I86" s="64">
        <v>1.5</v>
      </c>
      <c r="J86" s="64">
        <v>0.11</v>
      </c>
      <c r="K86" s="64">
        <v>268.45999999999998</v>
      </c>
      <c r="L86" s="64">
        <v>24.7</v>
      </c>
      <c r="M86" s="64">
        <v>65.3</v>
      </c>
      <c r="N86" s="64">
        <v>8.8000000000000007</v>
      </c>
      <c r="O86" s="64">
        <v>0</v>
      </c>
      <c r="P86" s="64">
        <v>1.23</v>
      </c>
      <c r="Q86" s="64">
        <v>2.0299999999999998</v>
      </c>
      <c r="R86" s="198"/>
      <c r="S86" s="198"/>
      <c r="T86" s="198"/>
      <c r="U86" s="198"/>
    </row>
    <row r="87" spans="1:26" s="12" customFormat="1" x14ac:dyDescent="0.25">
      <c r="A87" s="214" t="s">
        <v>1668</v>
      </c>
      <c r="B87" s="64">
        <v>14.87</v>
      </c>
      <c r="C87" s="64">
        <v>38.880000000000003</v>
      </c>
      <c r="D87" s="64">
        <v>34.67</v>
      </c>
      <c r="E87" s="64">
        <v>0.61</v>
      </c>
      <c r="F87" s="64">
        <v>1.94</v>
      </c>
      <c r="G87" s="64">
        <v>70.599999999999994</v>
      </c>
      <c r="H87" s="64">
        <v>53.45</v>
      </c>
      <c r="I87" s="64">
        <v>1.48</v>
      </c>
      <c r="J87" s="64">
        <v>0.09</v>
      </c>
      <c r="K87" s="64">
        <v>279.91000000000003</v>
      </c>
      <c r="L87" s="64">
        <v>24.16</v>
      </c>
      <c r="M87" s="64">
        <v>69.06</v>
      </c>
      <c r="N87" s="64">
        <v>9.1</v>
      </c>
      <c r="O87" s="64">
        <v>0</v>
      </c>
      <c r="P87" s="64">
        <v>1.08</v>
      </c>
      <c r="Q87" s="64">
        <v>1.57</v>
      </c>
      <c r="R87" s="198"/>
      <c r="S87" s="198"/>
      <c r="T87" s="198"/>
      <c r="U87" s="198"/>
    </row>
    <row r="88" spans="1:26" s="12" customFormat="1" x14ac:dyDescent="0.25">
      <c r="A88" s="214" t="s">
        <v>1669</v>
      </c>
      <c r="B88" s="64">
        <v>34.659999999999997</v>
      </c>
      <c r="C88" s="64">
        <v>56.42</v>
      </c>
      <c r="D88" s="64">
        <v>60.22</v>
      </c>
      <c r="E88" s="64">
        <v>0.23</v>
      </c>
      <c r="F88" s="64">
        <v>1.38</v>
      </c>
      <c r="G88" s="64">
        <v>90.4</v>
      </c>
      <c r="H88" s="64">
        <v>34.47</v>
      </c>
      <c r="I88" s="64">
        <v>1.48</v>
      </c>
      <c r="J88" s="64">
        <v>0.16</v>
      </c>
      <c r="K88" s="64">
        <v>317.10000000000002</v>
      </c>
      <c r="L88" s="64">
        <v>23.86</v>
      </c>
      <c r="M88" s="64">
        <v>74.739999999999995</v>
      </c>
      <c r="N88" s="64">
        <v>8.8000000000000007</v>
      </c>
      <c r="O88" s="64">
        <v>0</v>
      </c>
      <c r="P88" s="64">
        <v>1.81</v>
      </c>
      <c r="Q88" s="64">
        <v>1.45</v>
      </c>
      <c r="R88" s="198"/>
      <c r="S88" s="198"/>
      <c r="T88" s="198"/>
      <c r="U88" s="198"/>
    </row>
    <row r="89" spans="1:26" s="12" customFormat="1" x14ac:dyDescent="0.25">
      <c r="A89" s="214" t="s">
        <v>1670</v>
      </c>
      <c r="B89" s="64">
        <v>67.430000000000007</v>
      </c>
      <c r="C89" s="64">
        <v>73.22</v>
      </c>
      <c r="D89" s="64">
        <v>95.77</v>
      </c>
      <c r="E89" s="64">
        <v>0.57999999999999996</v>
      </c>
      <c r="F89" s="64">
        <v>0.84</v>
      </c>
      <c r="G89" s="64">
        <v>91.57</v>
      </c>
      <c r="H89" s="64">
        <v>34.47</v>
      </c>
      <c r="I89" s="64">
        <v>1.49</v>
      </c>
      <c r="J89" s="64">
        <v>0.06</v>
      </c>
      <c r="K89" s="64">
        <v>315.89</v>
      </c>
      <c r="L89" s="64">
        <v>23.57</v>
      </c>
      <c r="M89" s="64">
        <v>78.53</v>
      </c>
      <c r="N89" s="64">
        <v>9</v>
      </c>
      <c r="O89" s="64">
        <v>0</v>
      </c>
      <c r="P89" s="64">
        <v>2.58</v>
      </c>
      <c r="Q89" s="64">
        <v>0</v>
      </c>
      <c r="R89" s="198"/>
      <c r="S89" s="198"/>
      <c r="T89" s="198"/>
      <c r="U89" s="198"/>
    </row>
    <row r="90" spans="1:26" s="12" customFormat="1" x14ac:dyDescent="0.25">
      <c r="A90" s="214" t="s">
        <v>1671</v>
      </c>
      <c r="B90" s="64">
        <v>14.36</v>
      </c>
      <c r="C90" s="64">
        <v>42.03</v>
      </c>
      <c r="D90" s="64">
        <v>36</v>
      </c>
      <c r="E90" s="64">
        <v>0.42</v>
      </c>
      <c r="F90" s="64">
        <v>6.53</v>
      </c>
      <c r="G90" s="64">
        <v>91.57</v>
      </c>
      <c r="H90" s="64">
        <v>34.47</v>
      </c>
      <c r="I90" s="64">
        <v>1.49</v>
      </c>
      <c r="J90" s="64">
        <v>7.0000000000000007E-2</v>
      </c>
      <c r="K90" s="64">
        <v>250.9</v>
      </c>
      <c r="L90" s="64">
        <v>23.43</v>
      </c>
      <c r="M90" s="64">
        <v>70.760000000000005</v>
      </c>
      <c r="N90" s="64">
        <v>8.8000000000000007</v>
      </c>
      <c r="O90" s="64">
        <v>0</v>
      </c>
      <c r="P90" s="64">
        <v>1.04</v>
      </c>
      <c r="Q90" s="64">
        <v>1.83</v>
      </c>
      <c r="R90" s="198"/>
      <c r="S90" s="198"/>
      <c r="T90" s="198"/>
      <c r="U90" s="198"/>
    </row>
    <row r="91" spans="1:26" s="12" customFormat="1" x14ac:dyDescent="0.25">
      <c r="A91" s="214" t="s">
        <v>1672</v>
      </c>
      <c r="B91" s="64">
        <v>30.62</v>
      </c>
      <c r="C91" s="64">
        <v>71.8</v>
      </c>
      <c r="D91" s="64">
        <v>65.47</v>
      </c>
      <c r="E91" s="64">
        <v>0.36</v>
      </c>
      <c r="F91" s="64">
        <v>5.48</v>
      </c>
      <c r="G91" s="64">
        <v>91.57</v>
      </c>
      <c r="H91" s="64">
        <v>34.47</v>
      </c>
      <c r="I91" s="64">
        <v>1.46</v>
      </c>
      <c r="J91" s="64">
        <v>0.1</v>
      </c>
      <c r="K91" s="64">
        <v>318.98</v>
      </c>
      <c r="L91" s="64">
        <v>23.35</v>
      </c>
      <c r="M91" s="64">
        <v>73.17</v>
      </c>
      <c r="N91" s="64">
        <v>8.8000000000000007</v>
      </c>
      <c r="O91" s="64">
        <v>0</v>
      </c>
      <c r="P91" s="64">
        <v>1.44</v>
      </c>
      <c r="Q91" s="64">
        <v>2.78</v>
      </c>
      <c r="R91" s="198"/>
      <c r="S91" s="198"/>
      <c r="T91" s="198"/>
      <c r="U91" s="198"/>
    </row>
    <row r="92" spans="1:26" s="12" customFormat="1" x14ac:dyDescent="0.25">
      <c r="A92" s="214" t="s">
        <v>1673</v>
      </c>
      <c r="B92" s="64">
        <v>36.1</v>
      </c>
      <c r="C92" s="64">
        <v>72.86</v>
      </c>
      <c r="D92" s="64">
        <v>70.45</v>
      </c>
      <c r="E92" s="64">
        <v>0.42</v>
      </c>
      <c r="F92" s="64">
        <v>2.17</v>
      </c>
      <c r="G92" s="64">
        <v>115.67</v>
      </c>
      <c r="H92" s="64">
        <v>50.17</v>
      </c>
      <c r="I92" s="64">
        <v>1.44</v>
      </c>
      <c r="J92" s="64">
        <v>0.09</v>
      </c>
      <c r="K92" s="64">
        <v>319.52999999999997</v>
      </c>
      <c r="L92" s="64">
        <v>23.04</v>
      </c>
      <c r="M92" s="64">
        <v>77.34</v>
      </c>
      <c r="N92" s="64">
        <v>8.9</v>
      </c>
      <c r="O92" s="64">
        <v>0</v>
      </c>
      <c r="P92" s="64">
        <v>2.0099999999999998</v>
      </c>
      <c r="Q92" s="64">
        <v>0.63</v>
      </c>
      <c r="R92" s="198"/>
      <c r="S92" s="198"/>
      <c r="T92" s="198"/>
      <c r="U92" s="198"/>
    </row>
    <row r="93" spans="1:26" s="12" customFormat="1" x14ac:dyDescent="0.25">
      <c r="A93" s="214" t="s">
        <v>1674</v>
      </c>
      <c r="B93" s="64">
        <v>13.63</v>
      </c>
      <c r="C93" s="64">
        <v>38.03</v>
      </c>
      <c r="D93" s="64">
        <v>33.21</v>
      </c>
      <c r="E93" s="64">
        <v>0.42</v>
      </c>
      <c r="F93" s="64">
        <v>9.2899999999999991</v>
      </c>
      <c r="G93" s="64">
        <v>117.39</v>
      </c>
      <c r="H93" s="64">
        <v>50.17</v>
      </c>
      <c r="I93" s="64">
        <v>1.48</v>
      </c>
      <c r="J93" s="64">
        <v>0.08</v>
      </c>
      <c r="K93" s="64">
        <v>205.67</v>
      </c>
      <c r="L93" s="64">
        <v>23.66</v>
      </c>
      <c r="M93" s="64">
        <v>69.25</v>
      </c>
      <c r="N93" s="64">
        <v>8.1999999999999993</v>
      </c>
      <c r="O93" s="64">
        <v>0</v>
      </c>
      <c r="P93" s="64">
        <v>0.93</v>
      </c>
      <c r="Q93" s="64">
        <v>3.14</v>
      </c>
      <c r="R93" s="198"/>
      <c r="S93" s="198"/>
      <c r="T93" s="198"/>
      <c r="U93" s="198"/>
    </row>
    <row r="94" spans="1:26" s="12" customFormat="1" x14ac:dyDescent="0.25">
      <c r="A94" s="214" t="s">
        <v>1675</v>
      </c>
      <c r="B94" s="64">
        <v>18.46</v>
      </c>
      <c r="C94" s="64">
        <v>48.91</v>
      </c>
      <c r="D94" s="64">
        <v>43.08</v>
      </c>
      <c r="E94" s="64">
        <v>0.44</v>
      </c>
      <c r="F94" s="64">
        <v>8.36</v>
      </c>
      <c r="G94" s="64">
        <v>117.39</v>
      </c>
      <c r="H94" s="64">
        <v>50.17</v>
      </c>
      <c r="I94" s="64">
        <v>1.55</v>
      </c>
      <c r="J94" s="64">
        <v>0.06</v>
      </c>
      <c r="K94" s="64">
        <v>285.70999999999998</v>
      </c>
      <c r="L94" s="64">
        <v>23.47</v>
      </c>
      <c r="M94" s="64">
        <v>73.87</v>
      </c>
      <c r="N94" s="64">
        <v>8.8000000000000007</v>
      </c>
      <c r="O94" s="64">
        <v>0</v>
      </c>
      <c r="P94" s="64">
        <v>1.1399999999999999</v>
      </c>
      <c r="Q94" s="64">
        <v>4.66</v>
      </c>
      <c r="R94" s="198"/>
      <c r="S94" s="198"/>
      <c r="T94" s="198"/>
      <c r="U94" s="198"/>
    </row>
    <row r="95" spans="1:26" s="12" customFormat="1" x14ac:dyDescent="0.25">
      <c r="A95" s="214" t="s">
        <v>1676</v>
      </c>
      <c r="B95" s="64">
        <v>24.75</v>
      </c>
      <c r="C95" s="64">
        <v>39.119999999999997</v>
      </c>
      <c r="D95" s="64">
        <v>42.73</v>
      </c>
      <c r="E95" s="64">
        <v>0.41</v>
      </c>
      <c r="F95" s="64">
        <v>2.83</v>
      </c>
      <c r="G95" s="64">
        <v>117.39</v>
      </c>
      <c r="H95" s="64">
        <v>50.17</v>
      </c>
      <c r="I95" s="64">
        <v>1.47</v>
      </c>
      <c r="J95" s="64">
        <v>0.03</v>
      </c>
      <c r="K95" s="64">
        <v>162.4</v>
      </c>
      <c r="L95" s="64">
        <v>23</v>
      </c>
      <c r="M95" s="64">
        <v>77.56</v>
      </c>
      <c r="N95" s="64">
        <v>8.8000000000000007</v>
      </c>
      <c r="O95" s="64">
        <v>0</v>
      </c>
      <c r="P95" s="64">
        <v>1.27</v>
      </c>
      <c r="Q95" s="64">
        <v>2.0299999999999998</v>
      </c>
      <c r="R95" s="198"/>
      <c r="S95" s="198"/>
      <c r="T95" s="198"/>
      <c r="U95" s="198"/>
    </row>
    <row r="96" spans="1:26" s="12" customFormat="1" x14ac:dyDescent="0.25">
      <c r="A96" s="214" t="s">
        <v>1677</v>
      </c>
      <c r="B96" s="64">
        <v>15.02</v>
      </c>
      <c r="C96" s="64">
        <v>38.89</v>
      </c>
      <c r="D96" s="64">
        <v>34.799999999999997</v>
      </c>
      <c r="E96" s="64">
        <v>0.44</v>
      </c>
      <c r="F96" s="64">
        <v>4.4400000000000004</v>
      </c>
      <c r="G96" s="64">
        <v>107.29</v>
      </c>
      <c r="H96" s="64">
        <v>38.630000000000003</v>
      </c>
      <c r="I96" s="64">
        <v>1.47</v>
      </c>
      <c r="J96" s="64">
        <v>0.03</v>
      </c>
      <c r="K96" s="64">
        <v>340.32</v>
      </c>
      <c r="L96" s="64">
        <v>22.78</v>
      </c>
      <c r="M96" s="64">
        <v>77.02</v>
      </c>
      <c r="N96" s="64">
        <v>8.8000000000000007</v>
      </c>
      <c r="O96" s="64">
        <v>0</v>
      </c>
      <c r="P96" s="64">
        <v>1</v>
      </c>
      <c r="Q96" s="64">
        <v>5.0199999999999996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1678</v>
      </c>
      <c r="B97" s="64">
        <v>50.56</v>
      </c>
      <c r="C97" s="64">
        <v>58.62</v>
      </c>
      <c r="D97" s="64">
        <v>74.180000000000007</v>
      </c>
      <c r="E97" s="64">
        <v>0.38</v>
      </c>
      <c r="F97" s="64">
        <v>1.29</v>
      </c>
      <c r="G97" s="64">
        <v>106.7</v>
      </c>
      <c r="H97" s="64">
        <v>38.630000000000003</v>
      </c>
      <c r="I97" s="64">
        <v>1.48</v>
      </c>
      <c r="J97" s="64">
        <v>7.0000000000000007E-2</v>
      </c>
      <c r="K97" s="64">
        <v>307.14999999999998</v>
      </c>
      <c r="L97" s="64">
        <v>22.53</v>
      </c>
      <c r="M97" s="64">
        <v>83.48</v>
      </c>
      <c r="N97" s="64">
        <v>8.9</v>
      </c>
      <c r="O97" s="64">
        <v>0</v>
      </c>
      <c r="P97" s="64">
        <v>1.77</v>
      </c>
      <c r="Q97" s="64">
        <v>2.56</v>
      </c>
      <c r="R97" s="198"/>
      <c r="S97" s="198"/>
      <c r="T97" s="198"/>
      <c r="U97" s="198"/>
    </row>
    <row r="98" spans="1:33" s="12" customFormat="1" x14ac:dyDescent="0.25">
      <c r="A98" s="214" t="s">
        <v>1679</v>
      </c>
      <c r="B98" s="64">
        <v>24.51</v>
      </c>
      <c r="C98" s="64">
        <v>25.5</v>
      </c>
      <c r="D98" s="64">
        <v>35.020000000000003</v>
      </c>
      <c r="E98" s="64">
        <v>0.31</v>
      </c>
      <c r="F98" s="64">
        <v>0.56000000000000005</v>
      </c>
      <c r="G98" s="64">
        <v>106.7</v>
      </c>
      <c r="H98" s="64">
        <v>38.630000000000003</v>
      </c>
      <c r="I98" s="64">
        <v>1.39</v>
      </c>
      <c r="J98" s="64">
        <v>7.0000000000000007E-2</v>
      </c>
      <c r="K98" s="64">
        <v>122.03</v>
      </c>
      <c r="L98" s="64">
        <v>22.24</v>
      </c>
      <c r="M98" s="64">
        <v>82.9</v>
      </c>
      <c r="N98" s="64">
        <v>8.8000000000000007</v>
      </c>
      <c r="O98" s="64">
        <v>0</v>
      </c>
      <c r="P98" s="64">
        <v>1.17</v>
      </c>
      <c r="Q98" s="64">
        <v>3.42</v>
      </c>
      <c r="R98" s="198"/>
      <c r="S98" s="198"/>
      <c r="T98" s="198"/>
      <c r="U98" s="198"/>
    </row>
    <row r="99" spans="1:33" s="12" customFormat="1" x14ac:dyDescent="0.25">
      <c r="A99" s="214" t="s">
        <v>1680</v>
      </c>
      <c r="B99" s="64">
        <v>49.95</v>
      </c>
      <c r="C99" s="64">
        <v>39.06</v>
      </c>
      <c r="D99" s="64">
        <v>62.91</v>
      </c>
      <c r="E99" s="64">
        <v>0.33</v>
      </c>
      <c r="F99" s="64">
        <v>0.77</v>
      </c>
      <c r="G99" s="64">
        <v>106.7</v>
      </c>
      <c r="H99" s="64">
        <v>38.630000000000003</v>
      </c>
      <c r="I99" s="64">
        <v>1.51</v>
      </c>
      <c r="J99" s="64">
        <v>0.06</v>
      </c>
      <c r="K99" s="64">
        <v>291.75</v>
      </c>
      <c r="L99" s="64">
        <v>22.14</v>
      </c>
      <c r="M99" s="64">
        <v>82.79</v>
      </c>
      <c r="N99" s="64">
        <v>8.6999999999999993</v>
      </c>
      <c r="O99" s="64">
        <v>0</v>
      </c>
      <c r="P99" s="64">
        <v>1.29</v>
      </c>
      <c r="Q99" s="64">
        <v>2.62</v>
      </c>
      <c r="R99" s="198"/>
      <c r="S99" s="198"/>
      <c r="T99" s="198"/>
      <c r="U99" s="198"/>
    </row>
    <row r="100" spans="1:33" s="12" customFormat="1" x14ac:dyDescent="0.25">
      <c r="A100" s="214" t="s">
        <v>1681</v>
      </c>
      <c r="B100" s="64">
        <v>22.97</v>
      </c>
      <c r="C100" s="64">
        <v>45.09</v>
      </c>
      <c r="D100" s="64">
        <v>44.6</v>
      </c>
      <c r="E100" s="64">
        <v>0.36</v>
      </c>
      <c r="F100" s="64">
        <v>1.97</v>
      </c>
      <c r="G100" s="64">
        <v>113.9</v>
      </c>
      <c r="H100" s="64">
        <v>33.520000000000003</v>
      </c>
      <c r="I100" s="64">
        <v>1.46</v>
      </c>
      <c r="J100" s="64">
        <v>0.05</v>
      </c>
      <c r="K100" s="64">
        <v>267.88</v>
      </c>
      <c r="L100" s="64">
        <v>21.93</v>
      </c>
      <c r="M100" s="64">
        <v>81.599999999999994</v>
      </c>
      <c r="N100" s="64">
        <v>8.8000000000000007</v>
      </c>
      <c r="O100" s="64">
        <v>0</v>
      </c>
      <c r="P100" s="64">
        <v>1</v>
      </c>
      <c r="Q100" s="64">
        <v>3.62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1682</v>
      </c>
      <c r="B101" s="64">
        <v>27.4</v>
      </c>
      <c r="C101" s="64">
        <v>18.71</v>
      </c>
      <c r="D101" s="64">
        <v>33.590000000000003</v>
      </c>
      <c r="E101" s="64">
        <v>0.3</v>
      </c>
      <c r="F101" s="64">
        <v>1.02</v>
      </c>
      <c r="G101" s="64">
        <v>114.32</v>
      </c>
      <c r="H101" s="64">
        <v>33.520000000000003</v>
      </c>
      <c r="I101" s="64">
        <v>1.4</v>
      </c>
      <c r="J101" s="64">
        <v>0.34</v>
      </c>
      <c r="K101" s="64">
        <v>152.76</v>
      </c>
      <c r="L101" s="64">
        <v>22.26</v>
      </c>
      <c r="M101" s="64">
        <v>77.75</v>
      </c>
      <c r="N101" s="64">
        <v>7.6</v>
      </c>
      <c r="O101" s="64">
        <v>0</v>
      </c>
      <c r="P101" s="64">
        <v>1.1399999999999999</v>
      </c>
      <c r="Q101" s="64">
        <v>6.14</v>
      </c>
      <c r="R101" s="198"/>
      <c r="S101" s="198"/>
      <c r="T101" s="198"/>
      <c r="U101" s="198"/>
    </row>
    <row r="102" spans="1:33" s="12" customFormat="1" x14ac:dyDescent="0.25">
      <c r="A102" s="214" t="s">
        <v>1683</v>
      </c>
      <c r="B102" s="64">
        <v>18.350000000000001</v>
      </c>
      <c r="C102" s="64">
        <v>23.83</v>
      </c>
      <c r="D102" s="64">
        <v>29.15</v>
      </c>
      <c r="E102" s="64">
        <v>0.33</v>
      </c>
      <c r="F102" s="64">
        <v>6.29</v>
      </c>
      <c r="G102" s="64">
        <v>114.32</v>
      </c>
      <c r="H102" s="64">
        <v>33.520000000000003</v>
      </c>
      <c r="I102" s="64">
        <v>1.5</v>
      </c>
      <c r="J102" s="64">
        <v>0.2</v>
      </c>
      <c r="K102" s="64">
        <v>155.25</v>
      </c>
      <c r="L102" s="64">
        <v>23.05</v>
      </c>
      <c r="M102" s="64">
        <v>73.349999999999994</v>
      </c>
      <c r="N102" s="64">
        <v>8</v>
      </c>
      <c r="O102" s="64">
        <v>0</v>
      </c>
      <c r="P102" s="64">
        <v>0.93</v>
      </c>
      <c r="Q102" s="64">
        <v>7.07</v>
      </c>
      <c r="R102" s="198"/>
      <c r="S102" s="198"/>
      <c r="T102" s="198"/>
      <c r="U102" s="198"/>
    </row>
    <row r="103" spans="1:33" s="12" customFormat="1" x14ac:dyDescent="0.25">
      <c r="A103" s="214" t="s">
        <v>1684</v>
      </c>
      <c r="B103" s="64">
        <v>19.34</v>
      </c>
      <c r="C103" s="64">
        <v>33.590000000000003</v>
      </c>
      <c r="D103" s="64">
        <v>35.340000000000003</v>
      </c>
      <c r="E103" s="64">
        <v>0.28999999999999998</v>
      </c>
      <c r="F103" s="64">
        <v>5.72</v>
      </c>
      <c r="G103" s="64">
        <v>114.32</v>
      </c>
      <c r="H103" s="64">
        <v>33.520000000000003</v>
      </c>
      <c r="I103" s="64">
        <v>1.42</v>
      </c>
      <c r="J103" s="64">
        <v>0.17</v>
      </c>
      <c r="K103" s="64">
        <v>337.6</v>
      </c>
      <c r="L103" s="64">
        <v>22.42</v>
      </c>
      <c r="M103" s="64">
        <v>80.81</v>
      </c>
      <c r="N103" s="64">
        <v>9.1999999999999993</v>
      </c>
      <c r="O103" s="64">
        <v>0</v>
      </c>
      <c r="P103" s="64">
        <v>0.96</v>
      </c>
      <c r="Q103" s="64">
        <v>7.05</v>
      </c>
      <c r="R103" s="198"/>
      <c r="S103" s="198"/>
      <c r="T103" s="198"/>
      <c r="U103" s="198"/>
    </row>
    <row r="104" spans="1:33" s="12" customFormat="1" x14ac:dyDescent="0.25">
      <c r="A104" s="214" t="s">
        <v>1685</v>
      </c>
      <c r="B104" s="64">
        <v>12.28</v>
      </c>
      <c r="C104" s="64">
        <v>28.45</v>
      </c>
      <c r="D104" s="64">
        <v>26.84</v>
      </c>
      <c r="E104" s="64">
        <v>0.15</v>
      </c>
      <c r="F104" s="64">
        <v>10.56</v>
      </c>
      <c r="G104" s="64">
        <v>100.3</v>
      </c>
      <c r="H104" s="64">
        <v>49.07</v>
      </c>
      <c r="I104" s="64">
        <v>1.57</v>
      </c>
      <c r="J104" s="64">
        <v>0.14000000000000001</v>
      </c>
      <c r="K104" s="64">
        <v>183.74</v>
      </c>
      <c r="L104" s="64">
        <v>22.09</v>
      </c>
      <c r="M104" s="64">
        <v>80.62</v>
      </c>
      <c r="N104" s="64">
        <v>8.4</v>
      </c>
      <c r="O104" s="64">
        <v>0</v>
      </c>
      <c r="P104" s="64">
        <v>0.76</v>
      </c>
      <c r="Q104" s="64">
        <v>7.35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</v>
      </c>
      <c r="C106" s="67">
        <f>MIN(C9:C104)</f>
        <v>12.01</v>
      </c>
      <c r="D106" s="67">
        <f t="shared" ref="D106:Q106" si="0">MIN(D9:D104)</f>
        <v>9.5500000000000007</v>
      </c>
      <c r="E106" s="67">
        <f t="shared" si="0"/>
        <v>0.12</v>
      </c>
      <c r="F106" s="67">
        <f t="shared" si="0"/>
        <v>0.51</v>
      </c>
      <c r="G106" s="67">
        <f t="shared" si="0"/>
        <v>38.99</v>
      </c>
      <c r="H106" s="67">
        <f t="shared" si="0"/>
        <v>2.88</v>
      </c>
      <c r="I106" s="67">
        <f t="shared" si="0"/>
        <v>1.39</v>
      </c>
      <c r="J106" s="67">
        <f t="shared" si="0"/>
        <v>0</v>
      </c>
      <c r="K106" s="67">
        <f t="shared" si="0"/>
        <v>9.56</v>
      </c>
      <c r="L106" s="67">
        <f t="shared" si="0"/>
        <v>21.46</v>
      </c>
      <c r="M106" s="67">
        <f t="shared" si="0"/>
        <v>37.71</v>
      </c>
      <c r="N106" s="67">
        <f t="shared" si="0"/>
        <v>7.6</v>
      </c>
      <c r="O106" s="67">
        <f t="shared" si="0"/>
        <v>0</v>
      </c>
      <c r="P106" s="67">
        <f t="shared" si="0"/>
        <v>0.39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67.430000000000007</v>
      </c>
      <c r="C107" s="66">
        <f t="shared" ref="C107:Q107" si="1">MAX(C9:C104)</f>
        <v>73.22</v>
      </c>
      <c r="D107" s="66">
        <f t="shared" si="1"/>
        <v>95.77</v>
      </c>
      <c r="E107" s="66">
        <f t="shared" si="1"/>
        <v>0.84</v>
      </c>
      <c r="F107" s="66">
        <f t="shared" si="1"/>
        <v>39.200000000000003</v>
      </c>
      <c r="G107" s="66">
        <f t="shared" si="1"/>
        <v>117.39</v>
      </c>
      <c r="H107" s="66">
        <f t="shared" si="1"/>
        <v>53.45</v>
      </c>
      <c r="I107" s="66">
        <f t="shared" si="1"/>
        <v>1.59</v>
      </c>
      <c r="J107" s="66">
        <f t="shared" si="1"/>
        <v>1.38</v>
      </c>
      <c r="K107" s="66">
        <f t="shared" si="1"/>
        <v>353.66</v>
      </c>
      <c r="L107" s="66">
        <f t="shared" si="1"/>
        <v>33</v>
      </c>
      <c r="M107" s="66">
        <f t="shared" si="1"/>
        <v>94.52</v>
      </c>
      <c r="N107" s="66">
        <f t="shared" si="1"/>
        <v>835.9</v>
      </c>
      <c r="O107" s="66">
        <f t="shared" si="1"/>
        <v>0</v>
      </c>
      <c r="P107" s="66">
        <f t="shared" si="1"/>
        <v>2.58</v>
      </c>
      <c r="Q107" s="66">
        <f t="shared" si="1"/>
        <v>9.8000000000000007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15.345312499999997</v>
      </c>
      <c r="C108" s="67">
        <f t="shared" ref="C108:Q108" si="2">AVERAGE(C9:C104)</f>
        <v>25.431562499999995</v>
      </c>
      <c r="D108" s="67">
        <f t="shared" si="2"/>
        <v>27.632604166666667</v>
      </c>
      <c r="E108" s="67">
        <f t="shared" si="2"/>
        <v>0.46673684210526312</v>
      </c>
      <c r="F108" s="67">
        <f t="shared" si="2"/>
        <v>8.718020833333334</v>
      </c>
      <c r="G108" s="67">
        <f t="shared" si="2"/>
        <v>71.565432098765399</v>
      </c>
      <c r="H108" s="67">
        <f t="shared" si="2"/>
        <v>26.674444444444468</v>
      </c>
      <c r="I108" s="67">
        <f t="shared" si="2"/>
        <v>1.4931249999999994</v>
      </c>
      <c r="J108" s="67">
        <f t="shared" si="2"/>
        <v>0.24666666666666662</v>
      </c>
      <c r="K108" s="67">
        <f t="shared" si="2"/>
        <v>190.22697916666664</v>
      </c>
      <c r="L108" s="67">
        <f t="shared" si="2"/>
        <v>25.437916666666666</v>
      </c>
      <c r="M108" s="67">
        <f t="shared" si="2"/>
        <v>67.628541666666692</v>
      </c>
      <c r="N108" s="67">
        <f t="shared" si="2"/>
        <v>190.89479166666663</v>
      </c>
      <c r="O108" s="67">
        <f t="shared" si="2"/>
        <v>0</v>
      </c>
      <c r="P108" s="67">
        <f t="shared" si="2"/>
        <v>0.89041666666666697</v>
      </c>
      <c r="Q108" s="67">
        <f t="shared" si="2"/>
        <v>5.1580208333333308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12.856742810322901</v>
      </c>
      <c r="C109" s="67">
        <f t="shared" ref="C109:Q109" si="3">STDEV(C9:C104)</f>
        <v>16.442045738265382</v>
      </c>
      <c r="D109" s="67">
        <f t="shared" si="3"/>
        <v>16.025506987286278</v>
      </c>
      <c r="E109" s="67">
        <f t="shared" si="3"/>
        <v>0.14620331300829845</v>
      </c>
      <c r="F109" s="67">
        <f t="shared" si="3"/>
        <v>9.3039802031503687</v>
      </c>
      <c r="G109" s="67">
        <f t="shared" si="3"/>
        <v>22.610988868766032</v>
      </c>
      <c r="H109" s="67">
        <f t="shared" si="3"/>
        <v>14.292068954493553</v>
      </c>
      <c r="I109" s="67">
        <f t="shared" si="3"/>
        <v>4.2656831377376088E-2</v>
      </c>
      <c r="J109" s="67">
        <f t="shared" si="3"/>
        <v>0.2880375219222101</v>
      </c>
      <c r="K109" s="67">
        <f t="shared" si="3"/>
        <v>85.594921887246144</v>
      </c>
      <c r="L109" s="67">
        <f t="shared" si="3"/>
        <v>3.3744853538737996</v>
      </c>
      <c r="M109" s="67">
        <f t="shared" si="3"/>
        <v>19.493656132953149</v>
      </c>
      <c r="N109" s="67">
        <f t="shared" si="3"/>
        <v>287.65379167903302</v>
      </c>
      <c r="O109" s="67">
        <f t="shared" si="3"/>
        <v>0</v>
      </c>
      <c r="P109" s="67">
        <f t="shared" si="3"/>
        <v>0.3667149091070655</v>
      </c>
      <c r="Q109" s="67">
        <f t="shared" si="3"/>
        <v>1.8533943936757733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>COUNT(E9:E104)+1</f>
        <v>96</v>
      </c>
      <c r="F110" s="66">
        <f t="shared" si="4"/>
        <v>96</v>
      </c>
      <c r="G110" s="66">
        <f>COUNT(G9:G104)+15</f>
        <v>96</v>
      </c>
      <c r="H110" s="66">
        <f>COUNT(H9:H104)+15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1" sqref="H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1686</v>
      </c>
      <c r="B9" s="64">
        <v>11.38</v>
      </c>
      <c r="C9" s="64">
        <v>23.41</v>
      </c>
      <c r="D9" s="64">
        <v>23.33</v>
      </c>
      <c r="E9" s="64">
        <v>0.24</v>
      </c>
      <c r="F9" s="64">
        <v>12.17</v>
      </c>
      <c r="G9" s="64">
        <v>99.47</v>
      </c>
      <c r="H9" s="64">
        <v>49.07</v>
      </c>
      <c r="I9" s="64">
        <v>1.48</v>
      </c>
      <c r="J9" s="64">
        <v>0.14000000000000001</v>
      </c>
      <c r="K9" s="64">
        <v>189.94</v>
      </c>
      <c r="L9" s="64">
        <v>22.31</v>
      </c>
      <c r="M9" s="64">
        <v>77.430000000000007</v>
      </c>
      <c r="N9" s="64">
        <v>8.3000000000000007</v>
      </c>
      <c r="O9" s="64">
        <v>0</v>
      </c>
      <c r="P9" s="64">
        <v>0.76</v>
      </c>
      <c r="Q9" s="64">
        <v>7.58</v>
      </c>
      <c r="R9" s="198"/>
      <c r="S9" s="198"/>
      <c r="T9" s="198"/>
      <c r="U9" s="198"/>
    </row>
    <row r="10" spans="1:21" s="12" customFormat="1" x14ac:dyDescent="0.25">
      <c r="A10" s="214" t="s">
        <v>1687</v>
      </c>
      <c r="B10" s="64">
        <v>20.49</v>
      </c>
      <c r="C10" s="64">
        <v>18.309999999999999</v>
      </c>
      <c r="D10" s="64">
        <v>27.83</v>
      </c>
      <c r="E10" s="64">
        <v>0.23</v>
      </c>
      <c r="F10" s="64">
        <v>5.43</v>
      </c>
      <c r="G10" s="64">
        <v>99.47</v>
      </c>
      <c r="H10" s="64">
        <v>49.07</v>
      </c>
      <c r="I10" s="64">
        <v>1.48</v>
      </c>
      <c r="J10" s="64">
        <v>0.12</v>
      </c>
      <c r="K10" s="64">
        <v>319.27999999999997</v>
      </c>
      <c r="L10" s="64">
        <v>21.69</v>
      </c>
      <c r="M10" s="64">
        <v>85.1</v>
      </c>
      <c r="N10" s="64">
        <v>9.1</v>
      </c>
      <c r="O10" s="64">
        <v>0</v>
      </c>
      <c r="P10" s="64">
        <v>0.98</v>
      </c>
      <c r="Q10" s="64">
        <v>7.46</v>
      </c>
      <c r="R10" s="198"/>
      <c r="S10" s="198"/>
      <c r="T10" s="198"/>
      <c r="U10" s="198"/>
    </row>
    <row r="11" spans="1:21" s="12" customFormat="1" x14ac:dyDescent="0.25">
      <c r="A11" s="214" t="s">
        <v>1688</v>
      </c>
      <c r="B11" s="64">
        <v>20.52</v>
      </c>
      <c r="C11" s="64">
        <v>17.940000000000001</v>
      </c>
      <c r="D11" s="64">
        <v>27.65</v>
      </c>
      <c r="E11" s="64">
        <v>0.31</v>
      </c>
      <c r="F11" s="64">
        <v>4.1399999999999997</v>
      </c>
      <c r="G11" s="64">
        <v>99.47</v>
      </c>
      <c r="H11" s="64">
        <v>49.07</v>
      </c>
      <c r="I11" s="64">
        <v>1.54</v>
      </c>
      <c r="J11" s="64">
        <v>7.0000000000000007E-2</v>
      </c>
      <c r="K11" s="64">
        <v>332.26</v>
      </c>
      <c r="L11" s="64">
        <v>21.23</v>
      </c>
      <c r="M11" s="64">
        <v>85.14</v>
      </c>
      <c r="N11" s="64">
        <v>8.8000000000000007</v>
      </c>
      <c r="O11" s="64">
        <v>0</v>
      </c>
      <c r="P11" s="64">
        <v>0.95</v>
      </c>
      <c r="Q11" s="64">
        <v>7.31</v>
      </c>
      <c r="R11" s="198"/>
      <c r="S11" s="198"/>
      <c r="T11" s="198"/>
      <c r="U11" s="198"/>
    </row>
    <row r="12" spans="1:21" s="12" customFormat="1" x14ac:dyDescent="0.25">
      <c r="A12" s="214" t="s">
        <v>1689</v>
      </c>
      <c r="B12" s="64">
        <v>16.62</v>
      </c>
      <c r="C12" s="64">
        <v>21.8</v>
      </c>
      <c r="D12" s="64">
        <v>26.65</v>
      </c>
      <c r="E12" s="64">
        <v>0.18</v>
      </c>
      <c r="F12" s="64">
        <v>6.08</v>
      </c>
      <c r="G12" s="64">
        <v>89.61</v>
      </c>
      <c r="H12" s="64">
        <v>6.87</v>
      </c>
      <c r="I12" s="64">
        <v>1.51</v>
      </c>
      <c r="J12" s="64">
        <v>0.09</v>
      </c>
      <c r="K12" s="64">
        <v>249.8</v>
      </c>
      <c r="L12" s="64">
        <v>21.08</v>
      </c>
      <c r="M12" s="64">
        <v>88.03</v>
      </c>
      <c r="N12" s="64">
        <v>8.6999999999999993</v>
      </c>
      <c r="O12" s="64">
        <v>0</v>
      </c>
      <c r="P12" s="64">
        <v>0.9</v>
      </c>
      <c r="Q12" s="64">
        <v>7.14</v>
      </c>
      <c r="R12" s="198"/>
      <c r="S12" s="198"/>
      <c r="T12" s="198"/>
      <c r="U12" s="198"/>
    </row>
    <row r="13" spans="1:21" s="12" customFormat="1" x14ac:dyDescent="0.25">
      <c r="A13" s="214" t="s">
        <v>1690</v>
      </c>
      <c r="B13" s="64">
        <v>18.8</v>
      </c>
      <c r="C13" s="64">
        <v>16.96</v>
      </c>
      <c r="D13" s="64">
        <v>25.73</v>
      </c>
      <c r="E13" s="64">
        <v>0.23</v>
      </c>
      <c r="F13" s="64">
        <v>3.64</v>
      </c>
      <c r="G13" s="64">
        <v>89.03</v>
      </c>
      <c r="H13" s="64">
        <v>6.87</v>
      </c>
      <c r="I13" s="64">
        <v>1.51</v>
      </c>
      <c r="J13" s="64">
        <v>0.1</v>
      </c>
      <c r="K13" s="64">
        <v>237.16</v>
      </c>
      <c r="L13" s="64">
        <v>21.28</v>
      </c>
      <c r="M13" s="64">
        <v>84.77</v>
      </c>
      <c r="N13" s="64">
        <v>8.5</v>
      </c>
      <c r="O13" s="64">
        <v>0</v>
      </c>
      <c r="P13" s="64">
        <v>0.84</v>
      </c>
      <c r="Q13" s="64">
        <v>7.26</v>
      </c>
      <c r="R13" s="198"/>
      <c r="S13" s="198"/>
      <c r="T13" s="198"/>
      <c r="U13" s="198"/>
    </row>
    <row r="14" spans="1:21" s="12" customFormat="1" x14ac:dyDescent="0.25">
      <c r="A14" s="214" t="s">
        <v>1691</v>
      </c>
      <c r="B14" s="64">
        <v>20.93</v>
      </c>
      <c r="C14" s="64">
        <v>14.42</v>
      </c>
      <c r="D14" s="64">
        <v>26.03</v>
      </c>
      <c r="E14" s="64">
        <v>0.37</v>
      </c>
      <c r="F14" s="64">
        <v>1.98</v>
      </c>
      <c r="G14" s="64">
        <v>89.03</v>
      </c>
      <c r="H14" s="64">
        <v>6.87</v>
      </c>
      <c r="I14" s="64">
        <v>1.56</v>
      </c>
      <c r="J14" s="64">
        <v>0.45</v>
      </c>
      <c r="K14" s="64">
        <v>142.53</v>
      </c>
      <c r="L14" s="64">
        <v>21.7</v>
      </c>
      <c r="M14" s="64">
        <v>79.650000000000006</v>
      </c>
      <c r="N14" s="64">
        <v>7.5</v>
      </c>
      <c r="O14" s="64">
        <v>0</v>
      </c>
      <c r="P14" s="64">
        <v>0.89</v>
      </c>
      <c r="Q14" s="64">
        <v>6.93</v>
      </c>
      <c r="R14" s="198"/>
      <c r="S14" s="198"/>
      <c r="T14" s="198"/>
      <c r="U14" s="198"/>
    </row>
    <row r="15" spans="1:21" s="12" customFormat="1" x14ac:dyDescent="0.25">
      <c r="A15" s="214" t="s">
        <v>1692</v>
      </c>
      <c r="B15" s="64">
        <v>18.03</v>
      </c>
      <c r="C15" s="64">
        <v>15.86</v>
      </c>
      <c r="D15" s="64">
        <v>24.51</v>
      </c>
      <c r="E15" s="64">
        <v>0.31</v>
      </c>
      <c r="F15" s="64">
        <v>3.8</v>
      </c>
      <c r="G15" s="64">
        <v>89.03</v>
      </c>
      <c r="H15" s="64">
        <v>6.87</v>
      </c>
      <c r="I15" s="64">
        <v>1.52</v>
      </c>
      <c r="J15" s="64">
        <v>0.02</v>
      </c>
      <c r="K15" s="64">
        <v>214.33</v>
      </c>
      <c r="L15" s="64">
        <v>21.86</v>
      </c>
      <c r="M15" s="64">
        <v>79.42</v>
      </c>
      <c r="N15" s="64">
        <v>8.5</v>
      </c>
      <c r="O15" s="64">
        <v>0</v>
      </c>
      <c r="P15" s="64">
        <v>0.81</v>
      </c>
      <c r="Q15" s="64">
        <v>6.85</v>
      </c>
      <c r="R15" s="198"/>
      <c r="S15" s="198"/>
      <c r="T15" s="198"/>
      <c r="U15" s="198"/>
    </row>
    <row r="16" spans="1:21" s="12" customFormat="1" x14ac:dyDescent="0.25">
      <c r="A16" s="214" t="s">
        <v>1693</v>
      </c>
      <c r="B16" s="64">
        <v>19.41</v>
      </c>
      <c r="C16" s="64">
        <v>13.28</v>
      </c>
      <c r="D16" s="64">
        <v>24.18</v>
      </c>
      <c r="E16" s="64">
        <v>0.31</v>
      </c>
      <c r="F16" s="64">
        <v>1.84</v>
      </c>
      <c r="G16" s="64">
        <v>69.569999999999993</v>
      </c>
      <c r="H16" s="64">
        <v>41.19</v>
      </c>
      <c r="I16" s="64">
        <v>1.47</v>
      </c>
      <c r="J16" s="64">
        <v>0.08</v>
      </c>
      <c r="K16" s="64">
        <v>0.98</v>
      </c>
      <c r="L16" s="64">
        <v>21.56</v>
      </c>
      <c r="M16" s="64">
        <v>81.64</v>
      </c>
      <c r="N16" s="64">
        <v>8.8000000000000007</v>
      </c>
      <c r="O16" s="64">
        <v>0</v>
      </c>
      <c r="P16" s="64">
        <v>0.87</v>
      </c>
      <c r="Q16" s="64">
        <v>6.72</v>
      </c>
      <c r="R16" s="198"/>
      <c r="S16" s="198"/>
      <c r="T16" s="198"/>
      <c r="U16" s="198"/>
    </row>
    <row r="17" spans="1:21" s="12" customFormat="1" x14ac:dyDescent="0.25">
      <c r="A17" s="214" t="s">
        <v>1694</v>
      </c>
      <c r="B17" s="64">
        <v>17.690000000000001</v>
      </c>
      <c r="C17" s="64">
        <v>14.41</v>
      </c>
      <c r="D17" s="64">
        <v>23.43</v>
      </c>
      <c r="E17" s="64">
        <v>0.33</v>
      </c>
      <c r="F17" s="64">
        <v>1.39</v>
      </c>
      <c r="G17" s="64">
        <v>68.180000000000007</v>
      </c>
      <c r="H17" s="64">
        <v>41.19</v>
      </c>
      <c r="I17" s="64">
        <v>1.47</v>
      </c>
      <c r="J17" s="64">
        <v>0.03</v>
      </c>
      <c r="K17" s="64">
        <v>88.13</v>
      </c>
      <c r="L17" s="64">
        <v>21.25</v>
      </c>
      <c r="M17" s="64">
        <v>84.22</v>
      </c>
      <c r="N17" s="64">
        <v>8.6</v>
      </c>
      <c r="O17" s="64">
        <v>0</v>
      </c>
      <c r="P17" s="64">
        <v>0.8</v>
      </c>
      <c r="Q17" s="64">
        <v>6.59</v>
      </c>
      <c r="R17" s="198"/>
      <c r="S17" s="198"/>
      <c r="T17" s="198"/>
      <c r="U17" s="198"/>
    </row>
    <row r="18" spans="1:21" s="12" customFormat="1" x14ac:dyDescent="0.25">
      <c r="A18" s="214" t="s">
        <v>1695</v>
      </c>
      <c r="B18" s="64">
        <v>16.7</v>
      </c>
      <c r="C18" s="64">
        <v>17.05</v>
      </c>
      <c r="D18" s="64">
        <v>24.1</v>
      </c>
      <c r="E18" s="64">
        <v>0.25</v>
      </c>
      <c r="F18" s="64">
        <v>4.1399999999999997</v>
      </c>
      <c r="G18" s="64">
        <v>68.180000000000007</v>
      </c>
      <c r="H18" s="64">
        <v>41.19</v>
      </c>
      <c r="I18" s="64">
        <v>1.51</v>
      </c>
      <c r="J18" s="64">
        <v>0.15</v>
      </c>
      <c r="K18" s="64">
        <v>320.56</v>
      </c>
      <c r="L18" s="64">
        <v>20.81</v>
      </c>
      <c r="M18" s="64">
        <v>88.17</v>
      </c>
      <c r="N18" s="64">
        <v>8.9</v>
      </c>
      <c r="O18" s="64">
        <v>0</v>
      </c>
      <c r="P18" s="64">
        <v>0.72</v>
      </c>
      <c r="Q18" s="64">
        <v>6.43</v>
      </c>
      <c r="R18" s="198"/>
      <c r="S18" s="198"/>
      <c r="T18" s="198"/>
      <c r="U18" s="198"/>
    </row>
    <row r="19" spans="1:21" s="12" customFormat="1" x14ac:dyDescent="0.25">
      <c r="A19" s="214" t="s">
        <v>1696</v>
      </c>
      <c r="B19" s="64">
        <v>12.82</v>
      </c>
      <c r="C19" s="64">
        <v>16.079999999999998</v>
      </c>
      <c r="D19" s="64">
        <v>20.45</v>
      </c>
      <c r="E19" s="64">
        <v>0.25</v>
      </c>
      <c r="F19" s="64">
        <v>6.88</v>
      </c>
      <c r="G19" s="64">
        <v>68.180000000000007</v>
      </c>
      <c r="H19" s="64">
        <v>41.19</v>
      </c>
      <c r="I19" s="64">
        <v>1.51</v>
      </c>
      <c r="J19" s="64">
        <v>0.23</v>
      </c>
      <c r="K19" s="64">
        <v>320.41000000000003</v>
      </c>
      <c r="L19" s="64">
        <v>20.329999999999998</v>
      </c>
      <c r="M19" s="64">
        <v>91.16</v>
      </c>
      <c r="N19" s="64">
        <v>8.5</v>
      </c>
      <c r="O19" s="64">
        <v>0</v>
      </c>
      <c r="P19" s="64">
        <v>0.66</v>
      </c>
      <c r="Q19" s="64">
        <v>6.57</v>
      </c>
      <c r="R19" s="198"/>
      <c r="S19" s="198"/>
      <c r="T19" s="198"/>
      <c r="U19" s="198"/>
    </row>
    <row r="20" spans="1:21" s="12" customFormat="1" x14ac:dyDescent="0.25">
      <c r="A20" s="214" t="s">
        <v>1697</v>
      </c>
      <c r="B20" s="64">
        <v>12.24</v>
      </c>
      <c r="C20" s="64">
        <v>14.66</v>
      </c>
      <c r="D20" s="64">
        <v>19.2</v>
      </c>
      <c r="E20" s="64">
        <v>0.28999999999999998</v>
      </c>
      <c r="F20" s="64">
        <v>6.95</v>
      </c>
      <c r="G20" s="64">
        <v>61.91</v>
      </c>
      <c r="H20" s="64">
        <v>7.41</v>
      </c>
      <c r="I20" s="64">
        <v>1.53</v>
      </c>
      <c r="J20" s="64">
        <v>0.27</v>
      </c>
      <c r="K20" s="64">
        <v>350.98</v>
      </c>
      <c r="L20" s="64">
        <v>20.48</v>
      </c>
      <c r="M20" s="64">
        <v>89.16</v>
      </c>
      <c r="N20" s="64">
        <v>8.3000000000000007</v>
      </c>
      <c r="O20" s="64">
        <v>0</v>
      </c>
      <c r="P20" s="64">
        <v>0.68</v>
      </c>
      <c r="Q20" s="64">
        <v>6.71</v>
      </c>
      <c r="R20" s="198"/>
      <c r="S20" s="198"/>
      <c r="T20" s="198"/>
      <c r="U20" s="198"/>
    </row>
    <row r="21" spans="1:21" s="12" customFormat="1" x14ac:dyDescent="0.25">
      <c r="A21" s="214" t="s">
        <v>1698</v>
      </c>
      <c r="B21" s="64">
        <v>11.3</v>
      </c>
      <c r="C21" s="64">
        <v>13.54</v>
      </c>
      <c r="D21" s="64">
        <v>17.829999999999998</v>
      </c>
      <c r="E21" s="64">
        <v>0.27</v>
      </c>
      <c r="F21" s="64">
        <v>9.36</v>
      </c>
      <c r="G21" s="64">
        <v>61.46</v>
      </c>
      <c r="H21" s="64">
        <v>7.41</v>
      </c>
      <c r="I21" s="64">
        <v>1.5</v>
      </c>
      <c r="J21" s="64">
        <v>0.16</v>
      </c>
      <c r="K21" s="64">
        <v>343.51</v>
      </c>
      <c r="L21" s="64">
        <v>20.440000000000001</v>
      </c>
      <c r="M21" s="64">
        <v>88.52</v>
      </c>
      <c r="N21" s="64">
        <v>8.6</v>
      </c>
      <c r="O21" s="64">
        <v>0</v>
      </c>
      <c r="P21" s="64">
        <v>0.61</v>
      </c>
      <c r="Q21" s="64">
        <v>6.73</v>
      </c>
      <c r="R21" s="198"/>
      <c r="S21" s="198"/>
      <c r="T21" s="198"/>
      <c r="U21" s="198"/>
    </row>
    <row r="22" spans="1:21" s="12" customFormat="1" x14ac:dyDescent="0.25">
      <c r="A22" s="214" t="s">
        <v>1699</v>
      </c>
      <c r="B22" s="64">
        <v>10.89</v>
      </c>
      <c r="C22" s="64">
        <v>12.93</v>
      </c>
      <c r="D22" s="64">
        <v>17.16</v>
      </c>
      <c r="E22" s="64">
        <v>0.31</v>
      </c>
      <c r="F22" s="64">
        <v>8.0500000000000007</v>
      </c>
      <c r="G22" s="64">
        <v>61.46</v>
      </c>
      <c r="H22" s="64">
        <v>7.41</v>
      </c>
      <c r="I22" s="64">
        <v>1.41</v>
      </c>
      <c r="J22" s="64">
        <v>0.04</v>
      </c>
      <c r="K22" s="64">
        <v>185.93</v>
      </c>
      <c r="L22" s="64">
        <v>20.29</v>
      </c>
      <c r="M22" s="64">
        <v>89.09</v>
      </c>
      <c r="N22" s="64">
        <v>8.8000000000000007</v>
      </c>
      <c r="O22" s="64">
        <v>0</v>
      </c>
      <c r="P22" s="64">
        <v>0.62</v>
      </c>
      <c r="Q22" s="64">
        <v>6.8</v>
      </c>
      <c r="R22" s="198"/>
      <c r="S22" s="198"/>
      <c r="T22" s="198"/>
      <c r="U22" s="198"/>
    </row>
    <row r="23" spans="1:21" s="12" customFormat="1" x14ac:dyDescent="0.25">
      <c r="A23" s="214" t="s">
        <v>1700</v>
      </c>
      <c r="B23" s="64">
        <v>14.67</v>
      </c>
      <c r="C23" s="64">
        <v>11.74</v>
      </c>
      <c r="D23" s="64">
        <v>19.53</v>
      </c>
      <c r="E23" s="64">
        <v>0.28999999999999998</v>
      </c>
      <c r="F23" s="64">
        <v>1.93</v>
      </c>
      <c r="G23" s="64">
        <v>61.46</v>
      </c>
      <c r="H23" s="64">
        <v>7.41</v>
      </c>
      <c r="I23" s="64">
        <v>1.44</v>
      </c>
      <c r="J23" s="64">
        <v>0.16</v>
      </c>
      <c r="K23" s="64">
        <v>192.77</v>
      </c>
      <c r="L23" s="64">
        <v>20.309999999999999</v>
      </c>
      <c r="M23" s="64">
        <v>90.03</v>
      </c>
      <c r="N23" s="64">
        <v>8.4</v>
      </c>
      <c r="O23" s="64">
        <v>0</v>
      </c>
      <c r="P23" s="64">
        <v>0.75</v>
      </c>
      <c r="Q23" s="64">
        <v>6.56</v>
      </c>
      <c r="R23" s="198"/>
      <c r="S23" s="198"/>
      <c r="T23" s="198"/>
      <c r="U23" s="198"/>
    </row>
    <row r="24" spans="1:21" s="12" customFormat="1" x14ac:dyDescent="0.25">
      <c r="A24" s="214" t="s">
        <v>1701</v>
      </c>
      <c r="B24" s="64">
        <v>13.25</v>
      </c>
      <c r="C24" s="64">
        <v>15.67</v>
      </c>
      <c r="D24" s="64">
        <v>20.57</v>
      </c>
      <c r="E24" s="64">
        <v>0.22</v>
      </c>
      <c r="F24" s="64">
        <v>3.99</v>
      </c>
      <c r="G24" s="64">
        <v>55.95</v>
      </c>
      <c r="H24" s="64">
        <v>1.48</v>
      </c>
      <c r="I24" s="64">
        <v>1.56</v>
      </c>
      <c r="J24" s="64">
        <v>0.12</v>
      </c>
      <c r="K24" s="64">
        <v>291.72000000000003</v>
      </c>
      <c r="L24" s="64">
        <v>20.41</v>
      </c>
      <c r="M24" s="64">
        <v>91.32</v>
      </c>
      <c r="N24" s="64">
        <v>8.6999999999999993</v>
      </c>
      <c r="O24" s="64">
        <v>0</v>
      </c>
      <c r="P24" s="64">
        <v>0.64</v>
      </c>
      <c r="Q24" s="64">
        <v>6.41</v>
      </c>
      <c r="R24" s="198"/>
      <c r="S24" s="198"/>
      <c r="T24" s="198"/>
      <c r="U24" s="198"/>
    </row>
    <row r="25" spans="1:21" s="12" customFormat="1" x14ac:dyDescent="0.25">
      <c r="A25" s="214" t="s">
        <v>1702</v>
      </c>
      <c r="B25" s="64">
        <v>15.56</v>
      </c>
      <c r="C25" s="64">
        <v>13.06</v>
      </c>
      <c r="D25" s="64">
        <v>20.98</v>
      </c>
      <c r="E25" s="64">
        <v>0.28000000000000003</v>
      </c>
      <c r="F25" s="64">
        <v>1.02</v>
      </c>
      <c r="G25" s="64">
        <v>55.56</v>
      </c>
      <c r="H25" s="64">
        <v>1.48</v>
      </c>
      <c r="I25" s="64">
        <v>1.45</v>
      </c>
      <c r="J25" s="64">
        <v>0.1</v>
      </c>
      <c r="K25" s="64">
        <v>269.51</v>
      </c>
      <c r="L25" s="64">
        <v>20.14</v>
      </c>
      <c r="M25" s="64">
        <v>94.54</v>
      </c>
      <c r="N25" s="64">
        <v>8.6999999999999993</v>
      </c>
      <c r="O25" s="64">
        <v>0</v>
      </c>
      <c r="P25" s="64">
        <v>0.74</v>
      </c>
      <c r="Q25" s="64">
        <v>6.22</v>
      </c>
      <c r="R25" s="198"/>
      <c r="S25" s="198"/>
      <c r="T25" s="198"/>
      <c r="U25" s="198"/>
    </row>
    <row r="26" spans="1:21" s="12" customFormat="1" x14ac:dyDescent="0.25">
      <c r="A26" s="214" t="s">
        <v>1703</v>
      </c>
      <c r="B26" s="64">
        <v>16.420000000000002</v>
      </c>
      <c r="C26" s="64">
        <v>13.57</v>
      </c>
      <c r="D26" s="64">
        <v>21.95</v>
      </c>
      <c r="E26" s="64">
        <v>0.33</v>
      </c>
      <c r="F26" s="64">
        <v>0.47</v>
      </c>
      <c r="G26" s="64">
        <v>55.56</v>
      </c>
      <c r="H26" s="64">
        <v>1.48</v>
      </c>
      <c r="I26" s="64">
        <v>1.45</v>
      </c>
      <c r="J26" s="64">
        <v>7.0000000000000007E-2</v>
      </c>
      <c r="K26" s="64">
        <v>263.5</v>
      </c>
      <c r="L26" s="64">
        <v>19.88</v>
      </c>
      <c r="M26" s="64">
        <v>96.31</v>
      </c>
      <c r="N26" s="64">
        <v>8.9</v>
      </c>
      <c r="O26" s="64">
        <v>0</v>
      </c>
      <c r="P26" s="64">
        <v>0.7</v>
      </c>
      <c r="Q26" s="64">
        <v>6.09</v>
      </c>
      <c r="R26" s="198"/>
      <c r="S26" s="198"/>
      <c r="T26" s="198"/>
      <c r="U26" s="198"/>
    </row>
    <row r="27" spans="1:21" s="12" customFormat="1" x14ac:dyDescent="0.25">
      <c r="A27" s="214" t="s">
        <v>1704</v>
      </c>
      <c r="B27" s="64">
        <v>18.23</v>
      </c>
      <c r="C27" s="64">
        <v>13.52</v>
      </c>
      <c r="D27" s="64">
        <v>23.37</v>
      </c>
      <c r="E27" s="64">
        <v>0.27</v>
      </c>
      <c r="F27" s="64">
        <v>0.77</v>
      </c>
      <c r="G27" s="64">
        <v>55.56</v>
      </c>
      <c r="H27" s="64">
        <v>1.48</v>
      </c>
      <c r="I27" s="64">
        <v>1.54</v>
      </c>
      <c r="J27" s="64">
        <v>0.11</v>
      </c>
      <c r="K27" s="64">
        <v>223.38</v>
      </c>
      <c r="L27" s="64">
        <v>19.75</v>
      </c>
      <c r="M27" s="64">
        <v>96.9</v>
      </c>
      <c r="N27" s="64">
        <v>8.6</v>
      </c>
      <c r="O27" s="64">
        <v>0</v>
      </c>
      <c r="P27" s="64">
        <v>0.71</v>
      </c>
      <c r="Q27" s="64">
        <v>6.16</v>
      </c>
      <c r="R27" s="198"/>
      <c r="S27" s="198"/>
      <c r="T27" s="198"/>
      <c r="U27" s="198"/>
    </row>
    <row r="28" spans="1:21" s="12" customFormat="1" x14ac:dyDescent="0.25">
      <c r="A28" s="214" t="s">
        <v>1705</v>
      </c>
      <c r="B28" s="64">
        <v>22.12</v>
      </c>
      <c r="C28" s="64">
        <v>21.03</v>
      </c>
      <c r="D28" s="64">
        <v>30.63</v>
      </c>
      <c r="E28" s="64">
        <v>0.28000000000000003</v>
      </c>
      <c r="F28" s="64">
        <v>0.41</v>
      </c>
      <c r="G28" s="64">
        <v>60.03</v>
      </c>
      <c r="H28" s="64">
        <v>177</v>
      </c>
      <c r="I28" s="64">
        <v>1.55</v>
      </c>
      <c r="J28" s="64">
        <v>0.1</v>
      </c>
      <c r="K28" s="64">
        <v>259.45999999999998</v>
      </c>
      <c r="L28" s="64">
        <v>19.84</v>
      </c>
      <c r="M28" s="64">
        <v>95.87</v>
      </c>
      <c r="N28" s="64">
        <v>8.6999999999999993</v>
      </c>
      <c r="O28" s="64">
        <v>0</v>
      </c>
      <c r="P28" s="64">
        <v>0.67</v>
      </c>
      <c r="Q28" s="64">
        <v>5.58</v>
      </c>
      <c r="R28" s="198"/>
      <c r="S28" s="198"/>
      <c r="T28" s="198"/>
      <c r="U28" s="198"/>
    </row>
    <row r="29" spans="1:21" s="12" customFormat="1" x14ac:dyDescent="0.25">
      <c r="A29" s="214" t="s">
        <v>1706</v>
      </c>
      <c r="B29" s="64">
        <v>18.73</v>
      </c>
      <c r="C29" s="64">
        <v>13.78</v>
      </c>
      <c r="D29" s="64">
        <v>23.92</v>
      </c>
      <c r="E29" s="64">
        <v>0.37</v>
      </c>
      <c r="F29" s="64">
        <v>0.59</v>
      </c>
      <c r="G29" s="64">
        <v>60.35</v>
      </c>
      <c r="H29" s="64">
        <v>177</v>
      </c>
      <c r="I29" s="64">
        <v>1.53</v>
      </c>
      <c r="J29" s="64">
        <v>0.08</v>
      </c>
      <c r="K29" s="64">
        <v>272.01</v>
      </c>
      <c r="L29" s="64">
        <v>19.72</v>
      </c>
      <c r="M29" s="64">
        <v>97.37</v>
      </c>
      <c r="N29" s="64">
        <v>8.6999999999999993</v>
      </c>
      <c r="O29" s="64">
        <v>0</v>
      </c>
      <c r="P29" s="64">
        <v>0.71</v>
      </c>
      <c r="Q29" s="64">
        <v>6.15</v>
      </c>
      <c r="R29" s="198"/>
      <c r="S29" s="198"/>
      <c r="T29" s="198"/>
      <c r="U29" s="198"/>
    </row>
    <row r="30" spans="1:21" s="12" customFormat="1" x14ac:dyDescent="0.25">
      <c r="A30" s="214" t="s">
        <v>1707</v>
      </c>
      <c r="B30" s="64">
        <v>17.43</v>
      </c>
      <c r="C30" s="64">
        <v>20.03</v>
      </c>
      <c r="D30" s="64">
        <v>26.33</v>
      </c>
      <c r="E30" s="64">
        <v>0.28000000000000003</v>
      </c>
      <c r="F30" s="64">
        <v>0.47</v>
      </c>
      <c r="G30" s="64">
        <v>60.35</v>
      </c>
      <c r="H30" s="64">
        <v>177</v>
      </c>
      <c r="I30" s="64">
        <v>1.46</v>
      </c>
      <c r="J30" s="64">
        <v>0.05</v>
      </c>
      <c r="K30" s="64">
        <v>301.95999999999998</v>
      </c>
      <c r="L30" s="64">
        <v>19.829999999999998</v>
      </c>
      <c r="M30" s="64">
        <v>96.6</v>
      </c>
      <c r="N30" s="64">
        <v>8.8000000000000007</v>
      </c>
      <c r="O30" s="64">
        <v>0</v>
      </c>
      <c r="P30" s="64">
        <v>0.64</v>
      </c>
      <c r="Q30" s="64">
        <v>6.1</v>
      </c>
      <c r="R30" s="198"/>
      <c r="S30" s="198"/>
      <c r="T30" s="198"/>
      <c r="U30" s="198"/>
    </row>
    <row r="31" spans="1:21" s="12" customFormat="1" x14ac:dyDescent="0.25">
      <c r="A31" s="214" t="s">
        <v>1708</v>
      </c>
      <c r="B31" s="64">
        <v>16.760000000000002</v>
      </c>
      <c r="C31" s="64">
        <v>21.31</v>
      </c>
      <c r="D31" s="64">
        <v>26.49</v>
      </c>
      <c r="E31" s="64">
        <v>0.35</v>
      </c>
      <c r="F31" s="64">
        <v>0.88</v>
      </c>
      <c r="G31" s="64">
        <v>60.35</v>
      </c>
      <c r="H31" s="64">
        <v>177</v>
      </c>
      <c r="I31" s="64">
        <v>1.52</v>
      </c>
      <c r="J31" s="64">
        <v>0.09</v>
      </c>
      <c r="K31" s="64">
        <v>313.25</v>
      </c>
      <c r="L31" s="64">
        <v>19.649999999999999</v>
      </c>
      <c r="M31" s="64">
        <v>97.4</v>
      </c>
      <c r="N31" s="64">
        <v>9.4</v>
      </c>
      <c r="O31" s="64">
        <v>0</v>
      </c>
      <c r="P31" s="64">
        <v>0.61</v>
      </c>
      <c r="Q31" s="64">
        <v>6.14</v>
      </c>
      <c r="R31" s="198"/>
      <c r="S31" s="198"/>
      <c r="T31" s="198"/>
      <c r="U31" s="198"/>
    </row>
    <row r="32" spans="1:21" s="12" customFormat="1" x14ac:dyDescent="0.25">
      <c r="A32" s="214" t="s">
        <v>1709</v>
      </c>
      <c r="B32" s="64">
        <v>21.63</v>
      </c>
      <c r="C32" s="64">
        <v>22.96</v>
      </c>
      <c r="D32" s="64">
        <v>31.31</v>
      </c>
      <c r="E32" s="64">
        <v>0.28999999999999998</v>
      </c>
      <c r="F32" s="64">
        <v>0.64</v>
      </c>
      <c r="G32" s="64">
        <v>62.27</v>
      </c>
      <c r="H32" s="64">
        <v>20.97</v>
      </c>
      <c r="I32" s="64">
        <v>1.44</v>
      </c>
      <c r="J32" s="64">
        <v>0.15</v>
      </c>
      <c r="K32" s="64">
        <v>195.41</v>
      </c>
      <c r="L32" s="64">
        <v>19.73</v>
      </c>
      <c r="M32" s="64">
        <v>97.43</v>
      </c>
      <c r="N32" s="64">
        <v>13.8</v>
      </c>
      <c r="O32" s="64">
        <v>0</v>
      </c>
      <c r="P32" s="64">
        <v>0.66</v>
      </c>
      <c r="Q32" s="64">
        <v>6.01</v>
      </c>
      <c r="R32" s="198"/>
      <c r="S32" s="198"/>
      <c r="T32" s="198"/>
      <c r="U32" s="198"/>
    </row>
    <row r="33" spans="1:21" s="12" customFormat="1" x14ac:dyDescent="0.25">
      <c r="A33" s="214" t="s">
        <v>1710</v>
      </c>
      <c r="B33" s="64">
        <v>24.53</v>
      </c>
      <c r="C33" s="64">
        <v>22.41</v>
      </c>
      <c r="D33" s="64">
        <v>33.340000000000003</v>
      </c>
      <c r="E33" s="64">
        <v>0.36</v>
      </c>
      <c r="F33" s="64">
        <v>0.65</v>
      </c>
      <c r="G33" s="64">
        <v>62.38</v>
      </c>
      <c r="H33" s="64">
        <v>20.97</v>
      </c>
      <c r="I33" s="64">
        <v>1.53</v>
      </c>
      <c r="J33" s="64">
        <v>0.06</v>
      </c>
      <c r="K33" s="64">
        <v>214.91</v>
      </c>
      <c r="L33" s="64">
        <v>20</v>
      </c>
      <c r="M33" s="64">
        <v>96.99</v>
      </c>
      <c r="N33" s="64">
        <v>27.6</v>
      </c>
      <c r="O33" s="64">
        <v>0</v>
      </c>
      <c r="P33" s="64">
        <v>0.69</v>
      </c>
      <c r="Q33" s="64">
        <v>5.54</v>
      </c>
      <c r="R33" s="198"/>
      <c r="S33" s="198"/>
      <c r="T33" s="198"/>
      <c r="U33" s="198"/>
    </row>
    <row r="34" spans="1:21" s="12" customFormat="1" x14ac:dyDescent="0.25">
      <c r="A34" s="214" t="s">
        <v>1711</v>
      </c>
      <c r="B34" s="64">
        <v>24.95</v>
      </c>
      <c r="C34" s="64">
        <v>21.12</v>
      </c>
      <c r="D34" s="64">
        <v>32.950000000000003</v>
      </c>
      <c r="E34" s="64">
        <v>0.37</v>
      </c>
      <c r="F34" s="64">
        <v>0.62</v>
      </c>
      <c r="G34" s="64">
        <v>62.38</v>
      </c>
      <c r="H34" s="64">
        <v>20.97</v>
      </c>
      <c r="I34" s="64">
        <v>1.47</v>
      </c>
      <c r="J34" s="64">
        <v>7.0000000000000007E-2</v>
      </c>
      <c r="K34" s="64">
        <v>324.74</v>
      </c>
      <c r="L34" s="64">
        <v>20.36</v>
      </c>
      <c r="M34" s="64">
        <v>96.65</v>
      </c>
      <c r="N34" s="64">
        <v>51</v>
      </c>
      <c r="O34" s="64">
        <v>0</v>
      </c>
      <c r="P34" s="64">
        <v>0.7</v>
      </c>
      <c r="Q34" s="64">
        <v>5.26</v>
      </c>
      <c r="R34" s="198"/>
      <c r="S34" s="198"/>
      <c r="T34" s="198"/>
      <c r="U34" s="198"/>
    </row>
    <row r="35" spans="1:21" s="12" customFormat="1" x14ac:dyDescent="0.25">
      <c r="A35" s="214" t="s">
        <v>1712</v>
      </c>
      <c r="B35" s="64">
        <v>24.61</v>
      </c>
      <c r="C35" s="64">
        <v>13.23</v>
      </c>
      <c r="D35" s="64">
        <v>28.33</v>
      </c>
      <c r="E35" s="64">
        <v>0.38</v>
      </c>
      <c r="F35" s="64">
        <v>0.48</v>
      </c>
      <c r="G35" s="64">
        <v>62.38</v>
      </c>
      <c r="H35" s="64">
        <v>20.97</v>
      </c>
      <c r="I35" s="64">
        <v>1.56</v>
      </c>
      <c r="J35" s="64">
        <v>0.13</v>
      </c>
      <c r="K35" s="64">
        <v>190.85</v>
      </c>
      <c r="L35" s="64">
        <v>21.34</v>
      </c>
      <c r="M35" s="64">
        <v>90.83</v>
      </c>
      <c r="N35" s="64">
        <v>102</v>
      </c>
      <c r="O35" s="64">
        <v>0</v>
      </c>
      <c r="P35" s="64">
        <v>0.71</v>
      </c>
      <c r="Q35" s="64">
        <v>6.26</v>
      </c>
      <c r="R35" s="198"/>
      <c r="S35" s="198"/>
      <c r="T35" s="198"/>
      <c r="U35" s="198"/>
    </row>
    <row r="36" spans="1:21" s="12" customFormat="1" x14ac:dyDescent="0.25">
      <c r="A36" s="214" t="s">
        <v>1713</v>
      </c>
      <c r="B36" s="64">
        <v>24.09</v>
      </c>
      <c r="C36" s="64">
        <v>14.94</v>
      </c>
      <c r="D36" s="64">
        <v>28.86</v>
      </c>
      <c r="E36" s="64">
        <v>0.38</v>
      </c>
      <c r="F36" s="64">
        <v>0.82</v>
      </c>
      <c r="G36" s="64">
        <v>76.62</v>
      </c>
      <c r="H36" s="64">
        <v>35.409999999999997</v>
      </c>
      <c r="I36" s="64">
        <v>1.58</v>
      </c>
      <c r="J36" s="64">
        <v>0.05</v>
      </c>
      <c r="K36" s="64">
        <v>256.7</v>
      </c>
      <c r="L36" s="64">
        <v>22.28</v>
      </c>
      <c r="M36" s="64">
        <v>83.94</v>
      </c>
      <c r="N36" s="64">
        <v>153.4</v>
      </c>
      <c r="O36" s="64">
        <v>0</v>
      </c>
      <c r="P36" s="64">
        <v>0.7</v>
      </c>
      <c r="Q36" s="64">
        <v>6.56</v>
      </c>
      <c r="R36" s="198"/>
      <c r="S36" s="198"/>
      <c r="T36" s="198"/>
      <c r="U36" s="198"/>
    </row>
    <row r="37" spans="1:21" s="12" customFormat="1" x14ac:dyDescent="0.25">
      <c r="A37" s="214" t="s">
        <v>1714</v>
      </c>
      <c r="B37" s="64">
        <v>23.65</v>
      </c>
      <c r="C37" s="64">
        <v>13.64</v>
      </c>
      <c r="D37" s="64">
        <v>27.79</v>
      </c>
      <c r="E37" s="64">
        <v>0.33</v>
      </c>
      <c r="F37" s="64">
        <v>0.59</v>
      </c>
      <c r="G37" s="64">
        <v>77.64</v>
      </c>
      <c r="H37" s="64">
        <v>35.409999999999997</v>
      </c>
      <c r="I37" s="64">
        <v>1.55</v>
      </c>
      <c r="J37" s="64">
        <v>0.28000000000000003</v>
      </c>
      <c r="K37" s="64">
        <v>135.57</v>
      </c>
      <c r="L37" s="64">
        <v>23.96</v>
      </c>
      <c r="M37" s="64">
        <v>73.459999999999994</v>
      </c>
      <c r="N37" s="64">
        <v>206.4</v>
      </c>
      <c r="O37" s="64">
        <v>0</v>
      </c>
      <c r="P37" s="64">
        <v>0.68</v>
      </c>
      <c r="Q37" s="64">
        <v>6.76</v>
      </c>
      <c r="R37" s="198"/>
      <c r="S37" s="198"/>
      <c r="T37" s="198"/>
      <c r="U37" s="198"/>
    </row>
    <row r="38" spans="1:21" s="12" customFormat="1" x14ac:dyDescent="0.25">
      <c r="A38" s="214" t="s">
        <v>1715</v>
      </c>
      <c r="B38" s="64">
        <v>21.81</v>
      </c>
      <c r="C38" s="64">
        <v>15.27</v>
      </c>
      <c r="D38" s="64">
        <v>27.21</v>
      </c>
      <c r="E38" s="64">
        <v>0.36</v>
      </c>
      <c r="F38" s="64">
        <v>1.69</v>
      </c>
      <c r="G38" s="64">
        <v>77.64</v>
      </c>
      <c r="H38" s="64">
        <v>35.409999999999997</v>
      </c>
      <c r="I38" s="64">
        <v>1.52</v>
      </c>
      <c r="J38" s="64">
        <v>0.15</v>
      </c>
      <c r="K38" s="64">
        <v>109.39</v>
      </c>
      <c r="L38" s="64">
        <v>24.65</v>
      </c>
      <c r="M38" s="64">
        <v>67.739999999999995</v>
      </c>
      <c r="N38" s="64">
        <v>261.3</v>
      </c>
      <c r="O38" s="64">
        <v>0</v>
      </c>
      <c r="P38" s="64">
        <v>0.67</v>
      </c>
      <c r="Q38" s="64">
        <v>6.77</v>
      </c>
      <c r="R38" s="198"/>
      <c r="S38" s="198"/>
      <c r="T38" s="198"/>
      <c r="U38" s="198"/>
    </row>
    <row r="39" spans="1:21" s="12" customFormat="1" x14ac:dyDescent="0.25">
      <c r="A39" s="214" t="s">
        <v>1716</v>
      </c>
      <c r="B39" s="64">
        <v>22.15</v>
      </c>
      <c r="C39" s="64">
        <v>13.1</v>
      </c>
      <c r="D39" s="64">
        <v>26.28</v>
      </c>
      <c r="E39" s="64">
        <v>0.33</v>
      </c>
      <c r="F39" s="64">
        <v>0.99</v>
      </c>
      <c r="G39" s="64">
        <v>77.64</v>
      </c>
      <c r="H39" s="64">
        <v>35.409999999999997</v>
      </c>
      <c r="I39" s="64">
        <v>1.48</v>
      </c>
      <c r="J39" s="64">
        <v>0.17</v>
      </c>
      <c r="K39" s="64">
        <v>18.28</v>
      </c>
      <c r="L39" s="64">
        <v>26.6</v>
      </c>
      <c r="M39" s="64">
        <v>59.83</v>
      </c>
      <c r="N39" s="64">
        <v>316.8</v>
      </c>
      <c r="O39" s="64">
        <v>0</v>
      </c>
      <c r="P39" s="64">
        <v>0.7</v>
      </c>
      <c r="Q39" s="64">
        <v>6.75</v>
      </c>
      <c r="R39" s="198"/>
      <c r="S39" s="198"/>
      <c r="T39" s="198"/>
      <c r="U39" s="198"/>
    </row>
    <row r="40" spans="1:21" s="12" customFormat="1" x14ac:dyDescent="0.25">
      <c r="A40" s="214" t="s">
        <v>1717</v>
      </c>
      <c r="B40" s="64">
        <v>21.19</v>
      </c>
      <c r="C40" s="64">
        <v>14.48</v>
      </c>
      <c r="D40" s="64">
        <v>26.28</v>
      </c>
      <c r="E40" s="64">
        <v>0.3</v>
      </c>
      <c r="F40" s="64">
        <v>0.09</v>
      </c>
      <c r="G40" s="64">
        <v>79.819999999999993</v>
      </c>
      <c r="H40" s="64">
        <v>31.63</v>
      </c>
      <c r="I40" s="64">
        <v>1.5</v>
      </c>
      <c r="J40" s="64">
        <v>0.24</v>
      </c>
      <c r="K40" s="64">
        <v>21.24</v>
      </c>
      <c r="L40" s="64">
        <v>27.27</v>
      </c>
      <c r="M40" s="64">
        <v>56.69</v>
      </c>
      <c r="N40" s="64">
        <v>373.3</v>
      </c>
      <c r="O40" s="64">
        <v>0</v>
      </c>
      <c r="P40" s="64">
        <v>0.7</v>
      </c>
      <c r="Q40" s="64">
        <v>6.62</v>
      </c>
      <c r="R40" s="198"/>
      <c r="S40" s="198"/>
      <c r="T40" s="198"/>
      <c r="U40" s="198"/>
    </row>
    <row r="41" spans="1:21" s="12" customFormat="1" x14ac:dyDescent="0.25">
      <c r="A41" s="214" t="s">
        <v>1718</v>
      </c>
      <c r="B41" s="64">
        <v>19.53</v>
      </c>
      <c r="C41" s="64">
        <v>15.27</v>
      </c>
      <c r="D41" s="64">
        <v>25.38</v>
      </c>
      <c r="E41" s="64">
        <v>0.35</v>
      </c>
      <c r="F41" s="64">
        <v>0.97</v>
      </c>
      <c r="G41" s="64">
        <v>79.95</v>
      </c>
      <c r="H41" s="64">
        <v>31.63</v>
      </c>
      <c r="I41" s="64">
        <v>1.55</v>
      </c>
      <c r="J41" s="64">
        <v>0.03</v>
      </c>
      <c r="K41" s="64">
        <v>22.22</v>
      </c>
      <c r="L41" s="64">
        <v>27.11</v>
      </c>
      <c r="M41" s="64">
        <v>59</v>
      </c>
      <c r="N41" s="64">
        <v>431.3</v>
      </c>
      <c r="O41" s="64">
        <v>0</v>
      </c>
      <c r="P41" s="64">
        <v>0.67</v>
      </c>
      <c r="Q41" s="64">
        <v>6.46</v>
      </c>
      <c r="R41" s="198"/>
      <c r="S41" s="198"/>
      <c r="T41" s="198"/>
      <c r="U41" s="198"/>
    </row>
    <row r="42" spans="1:21" s="12" customFormat="1" x14ac:dyDescent="0.25">
      <c r="A42" s="214" t="s">
        <v>1719</v>
      </c>
      <c r="B42" s="64">
        <v>16.63</v>
      </c>
      <c r="C42" s="64">
        <v>17.690000000000001</v>
      </c>
      <c r="D42" s="64">
        <v>24.39</v>
      </c>
      <c r="E42" s="64">
        <v>0.34</v>
      </c>
      <c r="F42" s="64">
        <v>4.74</v>
      </c>
      <c r="G42" s="64">
        <v>79.95</v>
      </c>
      <c r="H42" s="64">
        <v>31.63</v>
      </c>
      <c r="I42" s="64">
        <v>1.47</v>
      </c>
      <c r="J42" s="64">
        <v>7.0000000000000007E-2</v>
      </c>
      <c r="K42" s="64">
        <v>108.2</v>
      </c>
      <c r="L42" s="64">
        <v>27.27</v>
      </c>
      <c r="M42" s="64">
        <v>59.92</v>
      </c>
      <c r="N42" s="64">
        <v>488.1</v>
      </c>
      <c r="O42" s="64">
        <v>0</v>
      </c>
      <c r="P42" s="64">
        <v>0.65</v>
      </c>
      <c r="Q42" s="64">
        <v>6.4</v>
      </c>
      <c r="R42" s="198"/>
      <c r="S42" s="198"/>
      <c r="T42" s="198"/>
      <c r="U42" s="198"/>
    </row>
    <row r="43" spans="1:21" s="12" customFormat="1" x14ac:dyDescent="0.25">
      <c r="A43" s="214" t="s">
        <v>1720</v>
      </c>
      <c r="B43" s="64">
        <v>14.44</v>
      </c>
      <c r="C43" s="64">
        <v>17.02</v>
      </c>
      <c r="D43" s="64">
        <v>22.27</v>
      </c>
      <c r="E43" s="64">
        <v>0.37</v>
      </c>
      <c r="F43" s="64">
        <v>7.5</v>
      </c>
      <c r="G43" s="64">
        <v>79.95</v>
      </c>
      <c r="H43" s="64">
        <v>31.63</v>
      </c>
      <c r="I43" s="64">
        <v>1.53</v>
      </c>
      <c r="J43" s="64">
        <v>0.2</v>
      </c>
      <c r="K43" s="64">
        <v>171.62</v>
      </c>
      <c r="L43" s="64">
        <v>27.39</v>
      </c>
      <c r="M43" s="64">
        <v>56.64</v>
      </c>
      <c r="N43" s="64">
        <v>542.5</v>
      </c>
      <c r="O43" s="64">
        <v>0</v>
      </c>
      <c r="P43" s="64">
        <v>0.62</v>
      </c>
      <c r="Q43" s="64">
        <v>6.39</v>
      </c>
      <c r="R43" s="198"/>
      <c r="S43" s="198"/>
      <c r="T43" s="198"/>
      <c r="U43" s="198"/>
    </row>
    <row r="44" spans="1:21" s="12" customFormat="1" x14ac:dyDescent="0.25">
      <c r="A44" s="214" t="s">
        <v>1721</v>
      </c>
      <c r="B44" s="64">
        <v>11.64</v>
      </c>
      <c r="C44" s="64">
        <v>16.04</v>
      </c>
      <c r="D44" s="64">
        <v>19.48</v>
      </c>
      <c r="E44" s="64">
        <v>0.39</v>
      </c>
      <c r="F44" s="64">
        <v>12.13</v>
      </c>
      <c r="G44" s="64">
        <v>73.67</v>
      </c>
      <c r="H44" s="64">
        <v>31.81</v>
      </c>
      <c r="I44" s="64">
        <v>1.52</v>
      </c>
      <c r="J44" s="64">
        <v>0.5</v>
      </c>
      <c r="K44" s="64">
        <v>136.46</v>
      </c>
      <c r="L44" s="64">
        <v>27.82</v>
      </c>
      <c r="M44" s="64">
        <v>54.08</v>
      </c>
      <c r="N44" s="64">
        <v>590.20000000000005</v>
      </c>
      <c r="O44" s="64">
        <v>0</v>
      </c>
      <c r="P44" s="64">
        <v>0.54</v>
      </c>
      <c r="Q44" s="64">
        <v>6.4</v>
      </c>
      <c r="R44" s="198"/>
      <c r="S44" s="198"/>
      <c r="T44" s="198"/>
      <c r="U44" s="198"/>
    </row>
    <row r="45" spans="1:21" s="12" customFormat="1" x14ac:dyDescent="0.25">
      <c r="A45" s="214" t="s">
        <v>1722</v>
      </c>
      <c r="B45" s="64">
        <v>10.56</v>
      </c>
      <c r="C45" s="64">
        <v>15.43</v>
      </c>
      <c r="D45" s="64">
        <v>18.28</v>
      </c>
      <c r="E45" s="64">
        <v>0.4</v>
      </c>
      <c r="F45" s="64">
        <v>11.2</v>
      </c>
      <c r="G45" s="64">
        <v>73.23</v>
      </c>
      <c r="H45" s="64">
        <v>31.81</v>
      </c>
      <c r="I45" s="64">
        <v>1.48</v>
      </c>
      <c r="J45" s="64">
        <v>1.1100000000000001</v>
      </c>
      <c r="K45" s="64">
        <v>148.18</v>
      </c>
      <c r="L45" s="64">
        <v>27.97</v>
      </c>
      <c r="M45" s="64">
        <v>53.81</v>
      </c>
      <c r="N45" s="64">
        <v>635.6</v>
      </c>
      <c r="O45" s="64">
        <v>0</v>
      </c>
      <c r="P45" s="64">
        <v>0.57999999999999996</v>
      </c>
      <c r="Q45" s="64">
        <v>6.33</v>
      </c>
      <c r="R45" s="198"/>
      <c r="S45" s="198"/>
      <c r="T45" s="198"/>
      <c r="U45" s="198"/>
    </row>
    <row r="46" spans="1:21" s="12" customFormat="1" x14ac:dyDescent="0.25">
      <c r="A46" s="214" t="s">
        <v>1723</v>
      </c>
      <c r="B46" s="64">
        <v>10.88</v>
      </c>
      <c r="C46" s="64">
        <v>15.11</v>
      </c>
      <c r="D46" s="64">
        <v>18.350000000000001</v>
      </c>
      <c r="E46" s="64">
        <v>0.36</v>
      </c>
      <c r="F46" s="64">
        <v>2.99</v>
      </c>
      <c r="G46" s="64">
        <v>73.23</v>
      </c>
      <c r="H46" s="64">
        <v>31.81</v>
      </c>
      <c r="I46" s="64">
        <v>1.54</v>
      </c>
      <c r="J46" s="64">
        <v>0.38</v>
      </c>
      <c r="K46" s="64">
        <v>130.38999999999999</v>
      </c>
      <c r="L46" s="64">
        <v>28.79</v>
      </c>
      <c r="M46" s="64">
        <v>52.72</v>
      </c>
      <c r="N46" s="64">
        <v>672.1</v>
      </c>
      <c r="O46" s="64">
        <v>0</v>
      </c>
      <c r="P46" s="64">
        <v>0.61</v>
      </c>
      <c r="Q46" s="64">
        <v>6.11</v>
      </c>
      <c r="R46" s="198"/>
      <c r="S46" s="198"/>
      <c r="T46" s="198"/>
      <c r="U46" s="198"/>
    </row>
    <row r="47" spans="1:21" s="12" customFormat="1" x14ac:dyDescent="0.25">
      <c r="A47" s="214" t="s">
        <v>1724</v>
      </c>
      <c r="B47" s="64">
        <v>10.48</v>
      </c>
      <c r="C47" s="64">
        <v>14.41</v>
      </c>
      <c r="D47" s="64">
        <v>17.649999999999999</v>
      </c>
      <c r="E47" s="64">
        <v>0.44</v>
      </c>
      <c r="F47" s="64">
        <v>1.77</v>
      </c>
      <c r="G47" s="64">
        <v>73.23</v>
      </c>
      <c r="H47" s="64">
        <v>31.81</v>
      </c>
      <c r="I47" s="64">
        <v>1.48</v>
      </c>
      <c r="J47" s="64">
        <v>0.15</v>
      </c>
      <c r="K47" s="64">
        <v>355.77</v>
      </c>
      <c r="L47" s="64">
        <v>29.33</v>
      </c>
      <c r="M47" s="64">
        <v>50.78</v>
      </c>
      <c r="N47" s="64">
        <v>704.8</v>
      </c>
      <c r="O47" s="64">
        <v>0</v>
      </c>
      <c r="P47" s="64">
        <v>0.59</v>
      </c>
      <c r="Q47" s="64">
        <v>5.91</v>
      </c>
      <c r="R47" s="198"/>
      <c r="S47" s="198"/>
      <c r="T47" s="198"/>
      <c r="U47" s="198"/>
    </row>
    <row r="48" spans="1:21" s="12" customFormat="1" x14ac:dyDescent="0.25">
      <c r="A48" s="214" t="s">
        <v>1725</v>
      </c>
      <c r="B48" s="64">
        <v>8.66</v>
      </c>
      <c r="C48" s="64">
        <v>14.55</v>
      </c>
      <c r="D48" s="64">
        <v>16.27</v>
      </c>
      <c r="E48" s="64">
        <v>0.4</v>
      </c>
      <c r="F48" s="64">
        <v>6.99</v>
      </c>
      <c r="G48" s="64">
        <v>69.36</v>
      </c>
      <c r="H48" s="64">
        <v>2.54</v>
      </c>
      <c r="I48" s="64">
        <v>1.47</v>
      </c>
      <c r="J48" s="64">
        <v>0.68</v>
      </c>
      <c r="K48" s="64">
        <v>145.6</v>
      </c>
      <c r="L48" s="64">
        <v>29.19</v>
      </c>
      <c r="M48" s="64">
        <v>48.96</v>
      </c>
      <c r="N48" s="64">
        <v>747.2</v>
      </c>
      <c r="O48" s="64">
        <v>0</v>
      </c>
      <c r="P48" s="64">
        <v>0.54</v>
      </c>
      <c r="Q48" s="64">
        <v>5.74</v>
      </c>
      <c r="R48" s="198"/>
      <c r="S48" s="198"/>
      <c r="T48" s="198"/>
      <c r="U48" s="198"/>
    </row>
    <row r="49" spans="1:21" s="12" customFormat="1" x14ac:dyDescent="0.25">
      <c r="A49" s="214" t="s">
        <v>1726</v>
      </c>
      <c r="B49" s="64">
        <v>7.3</v>
      </c>
      <c r="C49" s="64">
        <v>13.99</v>
      </c>
      <c r="D49" s="64">
        <v>14.87</v>
      </c>
      <c r="E49" s="64">
        <v>0.35</v>
      </c>
      <c r="F49" s="64">
        <v>3.72</v>
      </c>
      <c r="G49" s="64">
        <v>69.13</v>
      </c>
      <c r="H49" s="64">
        <v>2.54</v>
      </c>
      <c r="I49" s="64">
        <v>1.38</v>
      </c>
      <c r="J49" s="64">
        <v>0.53</v>
      </c>
      <c r="K49" s="64">
        <v>137.18</v>
      </c>
      <c r="L49" s="64">
        <v>29.52</v>
      </c>
      <c r="M49" s="64">
        <v>47.31</v>
      </c>
      <c r="N49" s="64">
        <v>773.4</v>
      </c>
      <c r="O49" s="64">
        <v>0</v>
      </c>
      <c r="P49" s="64">
        <v>0.56999999999999995</v>
      </c>
      <c r="Q49" s="64">
        <v>5.62</v>
      </c>
      <c r="R49" s="198"/>
      <c r="S49" s="198"/>
      <c r="T49" s="198"/>
      <c r="U49" s="198"/>
    </row>
    <row r="50" spans="1:21" s="12" customFormat="1" x14ac:dyDescent="0.25">
      <c r="A50" s="214" t="s">
        <v>1727</v>
      </c>
      <c r="B50" s="64">
        <v>5.93</v>
      </c>
      <c r="C50" s="64">
        <v>14.13</v>
      </c>
      <c r="D50" s="64">
        <v>13.85</v>
      </c>
      <c r="E50" s="64">
        <v>0.43</v>
      </c>
      <c r="F50" s="64">
        <v>5</v>
      </c>
      <c r="G50" s="64">
        <v>69.13</v>
      </c>
      <c r="H50" s="64">
        <v>2.54</v>
      </c>
      <c r="I50" s="64">
        <v>1.53</v>
      </c>
      <c r="J50" s="64">
        <v>1.22</v>
      </c>
      <c r="K50" s="64">
        <v>140.57</v>
      </c>
      <c r="L50" s="64">
        <v>29.29</v>
      </c>
      <c r="M50" s="64">
        <v>44.9</v>
      </c>
      <c r="N50" s="64">
        <v>797.8</v>
      </c>
      <c r="O50" s="64">
        <v>0</v>
      </c>
      <c r="P50" s="64">
        <v>0.53</v>
      </c>
      <c r="Q50" s="64">
        <v>5.5</v>
      </c>
      <c r="R50" s="198"/>
      <c r="S50" s="198"/>
      <c r="T50" s="198"/>
      <c r="U50" s="198"/>
    </row>
    <row r="51" spans="1:21" s="12" customFormat="1" x14ac:dyDescent="0.25">
      <c r="A51" s="214" t="s">
        <v>1728</v>
      </c>
      <c r="B51" s="64">
        <v>4.79</v>
      </c>
      <c r="C51" s="64">
        <v>13.5</v>
      </c>
      <c r="D51" s="64">
        <v>12.59</v>
      </c>
      <c r="E51" s="64">
        <v>0.42</v>
      </c>
      <c r="F51" s="64">
        <v>6.85</v>
      </c>
      <c r="G51" s="64">
        <v>69.13</v>
      </c>
      <c r="H51" s="64">
        <v>2.54</v>
      </c>
      <c r="I51" s="64">
        <v>1.57</v>
      </c>
      <c r="J51" s="64">
        <v>0.91</v>
      </c>
      <c r="K51" s="64">
        <v>143.6</v>
      </c>
      <c r="L51" s="64">
        <v>29.5</v>
      </c>
      <c r="M51" s="64">
        <v>42.01</v>
      </c>
      <c r="N51" s="64">
        <v>817.3</v>
      </c>
      <c r="O51" s="64">
        <v>0</v>
      </c>
      <c r="P51" s="64">
        <v>0.5</v>
      </c>
      <c r="Q51" s="64">
        <v>5.38</v>
      </c>
      <c r="R51" s="198"/>
      <c r="S51" s="198"/>
      <c r="T51" s="198"/>
      <c r="U51" s="198"/>
    </row>
    <row r="52" spans="1:21" s="12" customFormat="1" x14ac:dyDescent="0.25">
      <c r="A52" s="214" t="s">
        <v>1729</v>
      </c>
      <c r="B52" s="64">
        <v>3.92</v>
      </c>
      <c r="C52" s="64">
        <v>13.03</v>
      </c>
      <c r="D52" s="64">
        <v>11.62</v>
      </c>
      <c r="E52" s="64">
        <v>0.37</v>
      </c>
      <c r="F52" s="64">
        <v>6.02</v>
      </c>
      <c r="G52" s="216" t="s">
        <v>42</v>
      </c>
      <c r="H52" s="216" t="s">
        <v>42</v>
      </c>
      <c r="I52" s="64">
        <v>1.53</v>
      </c>
      <c r="J52" s="64">
        <v>0.42</v>
      </c>
      <c r="K52" s="64">
        <v>147.82</v>
      </c>
      <c r="L52" s="64">
        <v>30.23</v>
      </c>
      <c r="M52" s="64">
        <v>40.33</v>
      </c>
      <c r="N52" s="64">
        <v>827.4</v>
      </c>
      <c r="O52" s="64">
        <v>0</v>
      </c>
      <c r="P52" s="64">
        <v>0.49</v>
      </c>
      <c r="Q52" s="64">
        <v>5.3</v>
      </c>
      <c r="R52" s="198"/>
      <c r="S52" s="198"/>
      <c r="T52" s="198"/>
      <c r="U52" s="198"/>
    </row>
    <row r="53" spans="1:21" s="12" customFormat="1" x14ac:dyDescent="0.25">
      <c r="A53" s="214" t="s">
        <v>1730</v>
      </c>
      <c r="B53" s="64">
        <v>3.56</v>
      </c>
      <c r="C53" s="64">
        <v>12.35</v>
      </c>
      <c r="D53" s="64">
        <v>10.96</v>
      </c>
      <c r="E53" s="64">
        <v>0.36</v>
      </c>
      <c r="F53" s="64">
        <v>5.92</v>
      </c>
      <c r="G53" s="216" t="s">
        <v>42</v>
      </c>
      <c r="H53" s="216" t="s">
        <v>42</v>
      </c>
      <c r="I53" s="64">
        <v>1.54</v>
      </c>
      <c r="J53" s="64">
        <v>0.21</v>
      </c>
      <c r="K53" s="64">
        <v>156.85</v>
      </c>
      <c r="L53" s="64">
        <v>30.86</v>
      </c>
      <c r="M53" s="64">
        <v>37.17</v>
      </c>
      <c r="N53" s="64">
        <v>836.3</v>
      </c>
      <c r="O53" s="64">
        <v>0</v>
      </c>
      <c r="P53" s="64">
        <v>0.49</v>
      </c>
      <c r="Q53" s="64">
        <v>5.22</v>
      </c>
      <c r="R53" s="198"/>
      <c r="S53" s="198"/>
      <c r="T53" s="198"/>
      <c r="U53" s="198"/>
    </row>
    <row r="54" spans="1:21" s="12" customFormat="1" x14ac:dyDescent="0.25">
      <c r="A54" s="214" t="s">
        <v>1731</v>
      </c>
      <c r="B54" s="64">
        <v>2.9</v>
      </c>
      <c r="C54" s="64">
        <v>13.19</v>
      </c>
      <c r="D54" s="64">
        <v>10.9</v>
      </c>
      <c r="E54" s="64">
        <v>0.4</v>
      </c>
      <c r="F54" s="64">
        <v>6.84</v>
      </c>
      <c r="G54" s="216" t="s">
        <v>42</v>
      </c>
      <c r="H54" s="216" t="s">
        <v>42</v>
      </c>
      <c r="I54" s="64">
        <v>1.48</v>
      </c>
      <c r="J54" s="64">
        <v>0.51</v>
      </c>
      <c r="K54" s="64">
        <v>139.07</v>
      </c>
      <c r="L54" s="64">
        <v>30.34</v>
      </c>
      <c r="M54" s="64">
        <v>40.03</v>
      </c>
      <c r="N54" s="64">
        <v>839</v>
      </c>
      <c r="O54" s="64">
        <v>0</v>
      </c>
      <c r="P54" s="64">
        <v>0.47</v>
      </c>
      <c r="Q54" s="64">
        <v>5.18</v>
      </c>
      <c r="R54" s="198"/>
      <c r="S54" s="198"/>
      <c r="T54" s="198"/>
      <c r="U54" s="198"/>
    </row>
    <row r="55" spans="1:21" s="12" customFormat="1" x14ac:dyDescent="0.25">
      <c r="A55" s="214" t="s">
        <v>1732</v>
      </c>
      <c r="B55" s="64">
        <v>2.78</v>
      </c>
      <c r="C55" s="64">
        <v>13.15</v>
      </c>
      <c r="D55" s="64">
        <v>10.78</v>
      </c>
      <c r="E55" s="64">
        <v>0.48</v>
      </c>
      <c r="F55" s="64">
        <v>8.5500000000000007</v>
      </c>
      <c r="G55" s="216" t="s">
        <v>42</v>
      </c>
      <c r="H55" s="216" t="s">
        <v>42</v>
      </c>
      <c r="I55" s="64">
        <v>1.58</v>
      </c>
      <c r="J55" s="64">
        <v>0.01</v>
      </c>
      <c r="K55" s="64">
        <v>47.01</v>
      </c>
      <c r="L55" s="64">
        <v>30.92</v>
      </c>
      <c r="M55" s="64">
        <v>39.6</v>
      </c>
      <c r="N55" s="64">
        <v>844.6</v>
      </c>
      <c r="O55" s="64">
        <v>0</v>
      </c>
      <c r="P55" s="64">
        <v>0.46</v>
      </c>
      <c r="Q55" s="64">
        <v>5.08</v>
      </c>
      <c r="R55" s="198"/>
      <c r="S55" s="198"/>
      <c r="T55" s="198"/>
      <c r="U55" s="198"/>
    </row>
    <row r="56" spans="1:21" s="12" customFormat="1" x14ac:dyDescent="0.25">
      <c r="A56" s="214" t="s">
        <v>1733</v>
      </c>
      <c r="B56" s="64">
        <v>2.54</v>
      </c>
      <c r="C56" s="64">
        <v>13.17</v>
      </c>
      <c r="D56" s="64">
        <v>10.6</v>
      </c>
      <c r="E56" s="64">
        <v>0.26</v>
      </c>
      <c r="F56" s="64">
        <v>10.28</v>
      </c>
      <c r="G56" s="216" t="s">
        <v>42</v>
      </c>
      <c r="H56" s="216" t="s">
        <v>42</v>
      </c>
      <c r="I56" s="64">
        <v>1.46</v>
      </c>
      <c r="J56" s="64">
        <v>1.02</v>
      </c>
      <c r="K56" s="64">
        <v>135.11000000000001</v>
      </c>
      <c r="L56" s="64">
        <v>29.9</v>
      </c>
      <c r="M56" s="64">
        <v>38.26</v>
      </c>
      <c r="N56" s="64">
        <v>849.1</v>
      </c>
      <c r="O56" s="64">
        <v>0</v>
      </c>
      <c r="P56" s="64">
        <v>0.45</v>
      </c>
      <c r="Q56" s="64">
        <v>5.04</v>
      </c>
      <c r="R56" s="198"/>
      <c r="S56" s="198"/>
      <c r="T56" s="198"/>
      <c r="U56" s="198"/>
    </row>
    <row r="57" spans="1:21" s="12" customFormat="1" x14ac:dyDescent="0.25">
      <c r="A57" s="214" t="s">
        <v>1734</v>
      </c>
      <c r="B57" s="64">
        <v>2.2200000000000002</v>
      </c>
      <c r="C57" s="64">
        <v>11.91</v>
      </c>
      <c r="D57" s="64">
        <v>9.65</v>
      </c>
      <c r="E57" s="64">
        <v>0.45</v>
      </c>
      <c r="F57" s="64">
        <v>10.76</v>
      </c>
      <c r="G57" s="216" t="s">
        <v>42</v>
      </c>
      <c r="H57" s="216" t="s">
        <v>42</v>
      </c>
      <c r="I57" s="64">
        <v>1.49</v>
      </c>
      <c r="J57" s="64">
        <v>0.3</v>
      </c>
      <c r="K57" s="64">
        <v>161.57</v>
      </c>
      <c r="L57" s="64">
        <v>30.02</v>
      </c>
      <c r="M57" s="64">
        <v>37.92</v>
      </c>
      <c r="N57" s="64">
        <v>838.4</v>
      </c>
      <c r="O57" s="64">
        <v>0</v>
      </c>
      <c r="P57" s="64">
        <v>0.43</v>
      </c>
      <c r="Q57" s="64">
        <v>5.07</v>
      </c>
      <c r="R57" s="198"/>
      <c r="S57" s="198"/>
      <c r="T57" s="198"/>
      <c r="U57" s="198"/>
    </row>
    <row r="58" spans="1:21" s="12" customFormat="1" x14ac:dyDescent="0.25">
      <c r="A58" s="214" t="s">
        <v>1735</v>
      </c>
      <c r="B58" s="64">
        <v>2.0099999999999998</v>
      </c>
      <c r="C58" s="64">
        <v>12.25</v>
      </c>
      <c r="D58" s="64">
        <v>9.67</v>
      </c>
      <c r="E58" s="64">
        <v>0.43</v>
      </c>
      <c r="F58" s="64">
        <v>4.45</v>
      </c>
      <c r="G58" s="216" t="s">
        <v>42</v>
      </c>
      <c r="H58" s="216" t="s">
        <v>42</v>
      </c>
      <c r="I58" s="64">
        <v>1.49</v>
      </c>
      <c r="J58" s="64">
        <v>0.16</v>
      </c>
      <c r="K58" s="64">
        <v>138.91999999999999</v>
      </c>
      <c r="L58" s="64">
        <v>30.52</v>
      </c>
      <c r="M58" s="64">
        <v>34.520000000000003</v>
      </c>
      <c r="N58" s="64">
        <v>823.9</v>
      </c>
      <c r="O58" s="64">
        <v>0</v>
      </c>
      <c r="P58" s="64">
        <v>0.44</v>
      </c>
      <c r="Q58" s="64">
        <v>5</v>
      </c>
      <c r="R58" s="198"/>
      <c r="S58" s="198"/>
      <c r="T58" s="198"/>
      <c r="U58" s="198"/>
    </row>
    <row r="59" spans="1:21" s="12" customFormat="1" x14ac:dyDescent="0.25">
      <c r="A59" s="214" t="s">
        <v>1736</v>
      </c>
      <c r="B59" s="64">
        <v>2.65</v>
      </c>
      <c r="C59" s="64">
        <v>13.3</v>
      </c>
      <c r="D59" s="64">
        <v>10.76</v>
      </c>
      <c r="E59" s="64">
        <v>0.47</v>
      </c>
      <c r="F59" s="64">
        <v>6.21</v>
      </c>
      <c r="G59" s="216" t="s">
        <v>42</v>
      </c>
      <c r="H59" s="216" t="s">
        <v>42</v>
      </c>
      <c r="I59" s="64">
        <v>1.52</v>
      </c>
      <c r="J59" s="64">
        <v>0.11</v>
      </c>
      <c r="K59" s="64">
        <v>105.49</v>
      </c>
      <c r="L59" s="64">
        <v>31.91</v>
      </c>
      <c r="M59" s="64">
        <v>34.25</v>
      </c>
      <c r="N59" s="64">
        <v>803.7</v>
      </c>
      <c r="O59" s="64">
        <v>0</v>
      </c>
      <c r="P59" s="64">
        <v>0.43</v>
      </c>
      <c r="Q59" s="64">
        <v>4.96</v>
      </c>
      <c r="R59" s="198"/>
      <c r="S59" s="198"/>
      <c r="T59" s="198"/>
      <c r="U59" s="198"/>
    </row>
    <row r="60" spans="1:21" s="12" customFormat="1" x14ac:dyDescent="0.25">
      <c r="A60" s="214" t="s">
        <v>1737</v>
      </c>
      <c r="B60" s="64">
        <v>2.42</v>
      </c>
      <c r="C60" s="64">
        <v>11.99</v>
      </c>
      <c r="D60" s="64">
        <v>9.85</v>
      </c>
      <c r="E60" s="64">
        <v>0.49</v>
      </c>
      <c r="F60" s="64">
        <v>10.17</v>
      </c>
      <c r="G60" s="216" t="s">
        <v>42</v>
      </c>
      <c r="H60" s="216" t="s">
        <v>42</v>
      </c>
      <c r="I60" s="64">
        <v>1.55</v>
      </c>
      <c r="J60" s="64">
        <v>0.23</v>
      </c>
      <c r="K60" s="64">
        <v>142.24</v>
      </c>
      <c r="L60" s="64">
        <v>30.92</v>
      </c>
      <c r="M60" s="64">
        <v>37.229999999999997</v>
      </c>
      <c r="N60" s="64">
        <v>763.5</v>
      </c>
      <c r="O60" s="64">
        <v>0</v>
      </c>
      <c r="P60" s="64">
        <v>0.4</v>
      </c>
      <c r="Q60" s="64">
        <v>5.14</v>
      </c>
      <c r="R60" s="198"/>
      <c r="S60" s="198"/>
      <c r="T60" s="198"/>
      <c r="U60" s="198"/>
    </row>
    <row r="61" spans="1:21" s="12" customFormat="1" x14ac:dyDescent="0.25">
      <c r="A61" s="214" t="s">
        <v>1738</v>
      </c>
      <c r="B61" s="64">
        <v>2.0499999999999998</v>
      </c>
      <c r="C61" s="64">
        <v>10.24</v>
      </c>
      <c r="D61" s="64">
        <v>8.59</v>
      </c>
      <c r="E61" s="64">
        <v>0.47</v>
      </c>
      <c r="F61" s="64">
        <v>6.72</v>
      </c>
      <c r="G61" s="216" t="s">
        <v>42</v>
      </c>
      <c r="H61" s="216" t="s">
        <v>42</v>
      </c>
      <c r="I61" s="64">
        <v>1.53</v>
      </c>
      <c r="J61" s="64">
        <v>0.52</v>
      </c>
      <c r="K61" s="64">
        <v>127.55</v>
      </c>
      <c r="L61" s="64">
        <v>30.19</v>
      </c>
      <c r="M61" s="64">
        <v>37.299999999999997</v>
      </c>
      <c r="N61" s="64">
        <v>738.7</v>
      </c>
      <c r="O61" s="64">
        <v>0</v>
      </c>
      <c r="P61" s="64">
        <v>0.45</v>
      </c>
      <c r="Q61" s="64">
        <v>5.21</v>
      </c>
      <c r="R61" s="198"/>
      <c r="S61" s="198"/>
      <c r="T61" s="198"/>
      <c r="U61" s="198"/>
    </row>
    <row r="62" spans="1:21" s="12" customFormat="1" x14ac:dyDescent="0.25">
      <c r="A62" s="214" t="s">
        <v>1739</v>
      </c>
      <c r="B62" s="64">
        <v>2.66</v>
      </c>
      <c r="C62" s="64">
        <v>12.59</v>
      </c>
      <c r="D62" s="64">
        <v>10.38</v>
      </c>
      <c r="E62" s="64">
        <v>0.43</v>
      </c>
      <c r="F62" s="64">
        <v>5.37</v>
      </c>
      <c r="G62" s="216" t="s">
        <v>42</v>
      </c>
      <c r="H62" s="216" t="s">
        <v>42</v>
      </c>
      <c r="I62" s="64">
        <v>1.4</v>
      </c>
      <c r="J62" s="64">
        <v>0.03</v>
      </c>
      <c r="K62" s="64">
        <v>18.989999999999998</v>
      </c>
      <c r="L62" s="64">
        <v>30.67</v>
      </c>
      <c r="M62" s="64">
        <v>37.67</v>
      </c>
      <c r="N62" s="64">
        <v>501.4</v>
      </c>
      <c r="O62" s="64">
        <v>0</v>
      </c>
      <c r="P62" s="64">
        <v>0.48</v>
      </c>
      <c r="Q62" s="64">
        <v>5.21</v>
      </c>
      <c r="R62" s="198"/>
      <c r="S62" s="198"/>
      <c r="T62" s="198"/>
      <c r="U62" s="198"/>
    </row>
    <row r="63" spans="1:21" s="12" customFormat="1" x14ac:dyDescent="0.25">
      <c r="A63" s="214" t="s">
        <v>1740</v>
      </c>
      <c r="B63" s="64">
        <v>2.27</v>
      </c>
      <c r="C63" s="64">
        <v>11.95</v>
      </c>
      <c r="D63" s="64">
        <v>9.7100000000000009</v>
      </c>
      <c r="E63" s="64">
        <v>0.44</v>
      </c>
      <c r="F63" s="64">
        <v>10.039999999999999</v>
      </c>
      <c r="G63" s="216" t="s">
        <v>42</v>
      </c>
      <c r="H63" s="216" t="s">
        <v>42</v>
      </c>
      <c r="I63" s="64">
        <v>1.51</v>
      </c>
      <c r="J63" s="64">
        <v>0.28000000000000003</v>
      </c>
      <c r="K63" s="64">
        <v>151.49</v>
      </c>
      <c r="L63" s="64">
        <v>30.3</v>
      </c>
      <c r="M63" s="64">
        <v>37.6</v>
      </c>
      <c r="N63" s="64">
        <v>417.3</v>
      </c>
      <c r="O63" s="64">
        <v>0</v>
      </c>
      <c r="P63" s="64">
        <v>0.45</v>
      </c>
      <c r="Q63" s="64">
        <v>5.21</v>
      </c>
      <c r="R63" s="198"/>
      <c r="S63" s="198"/>
      <c r="T63" s="198"/>
      <c r="U63" s="198"/>
    </row>
    <row r="64" spans="1:21" s="12" customFormat="1" x14ac:dyDescent="0.25">
      <c r="A64" s="214" t="s">
        <v>1741</v>
      </c>
      <c r="B64" s="64">
        <v>2</v>
      </c>
      <c r="C64" s="64">
        <v>11.15</v>
      </c>
      <c r="D64" s="64">
        <v>9.0500000000000007</v>
      </c>
      <c r="E64" s="64">
        <v>0.4</v>
      </c>
      <c r="F64" s="64">
        <v>4.21</v>
      </c>
      <c r="G64" s="216" t="s">
        <v>42</v>
      </c>
      <c r="H64" s="216" t="s">
        <v>42</v>
      </c>
      <c r="I64" s="64">
        <v>1.56</v>
      </c>
      <c r="J64" s="64">
        <v>0.23</v>
      </c>
      <c r="K64" s="64">
        <v>137.19</v>
      </c>
      <c r="L64" s="64">
        <v>29.98</v>
      </c>
      <c r="M64" s="64">
        <v>38.79</v>
      </c>
      <c r="N64" s="64">
        <v>416.6</v>
      </c>
      <c r="O64" s="64">
        <v>0</v>
      </c>
      <c r="P64" s="64">
        <v>0.46</v>
      </c>
      <c r="Q64" s="64">
        <v>5.2</v>
      </c>
      <c r="R64" s="198"/>
      <c r="S64" s="198"/>
      <c r="T64" s="198"/>
      <c r="U64" s="198"/>
    </row>
    <row r="65" spans="1:21" s="12" customFormat="1" x14ac:dyDescent="0.25">
      <c r="A65" s="214" t="s">
        <v>1742</v>
      </c>
      <c r="B65" s="64">
        <v>2</v>
      </c>
      <c r="C65" s="64">
        <v>11.57</v>
      </c>
      <c r="D65" s="64">
        <v>9.2799999999999994</v>
      </c>
      <c r="E65" s="64">
        <v>0.5</v>
      </c>
      <c r="F65" s="64">
        <v>15.73</v>
      </c>
      <c r="G65" s="216" t="s">
        <v>42</v>
      </c>
      <c r="H65" s="216" t="s">
        <v>42</v>
      </c>
      <c r="I65" s="64">
        <v>1.52</v>
      </c>
      <c r="J65" s="64">
        <v>0.69</v>
      </c>
      <c r="K65" s="64">
        <v>150.99</v>
      </c>
      <c r="L65" s="64">
        <v>29.76</v>
      </c>
      <c r="M65" s="64">
        <v>36.22</v>
      </c>
      <c r="N65" s="64">
        <v>420.1</v>
      </c>
      <c r="O65" s="64">
        <v>0</v>
      </c>
      <c r="P65" s="64">
        <v>0.39</v>
      </c>
      <c r="Q65" s="64">
        <v>5.08</v>
      </c>
      <c r="R65" s="198"/>
      <c r="S65" s="198"/>
      <c r="T65" s="198"/>
      <c r="U65" s="198"/>
    </row>
    <row r="66" spans="1:21" s="12" customFormat="1" x14ac:dyDescent="0.25">
      <c r="A66" s="214" t="s">
        <v>1743</v>
      </c>
      <c r="B66" s="64">
        <v>2</v>
      </c>
      <c r="C66" s="64">
        <v>11.01</v>
      </c>
      <c r="D66" s="64">
        <v>8.9700000000000006</v>
      </c>
      <c r="E66" s="64">
        <v>0.51</v>
      </c>
      <c r="F66" s="64">
        <v>9.61</v>
      </c>
      <c r="G66" s="216" t="s">
        <v>42</v>
      </c>
      <c r="H66" s="216" t="s">
        <v>42</v>
      </c>
      <c r="I66" s="64">
        <v>1.5</v>
      </c>
      <c r="J66" s="64">
        <v>0.28000000000000003</v>
      </c>
      <c r="K66" s="64">
        <v>140.91999999999999</v>
      </c>
      <c r="L66" s="64">
        <v>29.69</v>
      </c>
      <c r="M66" s="64">
        <v>35.93</v>
      </c>
      <c r="N66" s="64">
        <v>216.6</v>
      </c>
      <c r="O66" s="64">
        <v>0</v>
      </c>
      <c r="P66" s="64">
        <v>0.41</v>
      </c>
      <c r="Q66" s="64">
        <v>5.09</v>
      </c>
      <c r="R66" s="198"/>
      <c r="S66" s="198"/>
      <c r="T66" s="198"/>
      <c r="U66" s="198"/>
    </row>
    <row r="67" spans="1:21" s="12" customFormat="1" x14ac:dyDescent="0.25">
      <c r="A67" s="214" t="s">
        <v>1744</v>
      </c>
      <c r="B67" s="64">
        <v>2</v>
      </c>
      <c r="C67" s="64">
        <v>12.42</v>
      </c>
      <c r="D67" s="64">
        <v>9.75</v>
      </c>
      <c r="E67" s="64">
        <v>0.48</v>
      </c>
      <c r="F67" s="64">
        <v>11.78</v>
      </c>
      <c r="G67" s="64">
        <v>38.89</v>
      </c>
      <c r="H67" s="64">
        <v>11.2</v>
      </c>
      <c r="I67" s="64">
        <v>1.49</v>
      </c>
      <c r="J67" s="64">
        <v>1.03</v>
      </c>
      <c r="K67" s="64">
        <v>142.91</v>
      </c>
      <c r="L67" s="64">
        <v>29.38</v>
      </c>
      <c r="M67" s="64">
        <v>35.119999999999997</v>
      </c>
      <c r="N67" s="64">
        <v>299.7</v>
      </c>
      <c r="O67" s="64">
        <v>0</v>
      </c>
      <c r="P67" s="64">
        <v>0.4</v>
      </c>
      <c r="Q67" s="64">
        <v>5.01</v>
      </c>
      <c r="R67" s="198"/>
      <c r="S67" s="198"/>
      <c r="T67" s="198"/>
      <c r="U67" s="198"/>
    </row>
    <row r="68" spans="1:21" s="12" customFormat="1" x14ac:dyDescent="0.25">
      <c r="A68" s="214" t="s">
        <v>1745</v>
      </c>
      <c r="B68" s="64">
        <v>2.56</v>
      </c>
      <c r="C68" s="64">
        <v>13.87</v>
      </c>
      <c r="D68" s="64">
        <v>11</v>
      </c>
      <c r="E68" s="64">
        <v>0.56999999999999995</v>
      </c>
      <c r="F68" s="64">
        <v>18.920000000000002</v>
      </c>
      <c r="G68" s="64">
        <v>74.47</v>
      </c>
      <c r="H68" s="64">
        <v>21.44</v>
      </c>
      <c r="I68" s="64">
        <v>1.48</v>
      </c>
      <c r="J68" s="64">
        <v>0.44</v>
      </c>
      <c r="K68" s="64">
        <v>137.07</v>
      </c>
      <c r="L68" s="64">
        <v>29.2</v>
      </c>
      <c r="M68" s="64">
        <v>35.369999999999997</v>
      </c>
      <c r="N68" s="64">
        <v>134.4</v>
      </c>
      <c r="O68" s="64">
        <v>0</v>
      </c>
      <c r="P68" s="64">
        <v>0.39</v>
      </c>
      <c r="Q68" s="64">
        <v>4.96</v>
      </c>
      <c r="R68" s="198"/>
      <c r="S68" s="198"/>
      <c r="T68" s="198"/>
      <c r="U68" s="198"/>
    </row>
    <row r="69" spans="1:21" s="12" customFormat="1" x14ac:dyDescent="0.25">
      <c r="A69" s="214" t="s">
        <v>1746</v>
      </c>
      <c r="B69" s="64">
        <v>2.68</v>
      </c>
      <c r="C69" s="64">
        <v>14.71</v>
      </c>
      <c r="D69" s="64">
        <v>11.56</v>
      </c>
      <c r="E69" s="64">
        <v>0.49</v>
      </c>
      <c r="F69" s="64">
        <v>9.61</v>
      </c>
      <c r="G69" s="64">
        <v>74.47</v>
      </c>
      <c r="H69" s="64">
        <v>21.44</v>
      </c>
      <c r="I69" s="64">
        <v>1.45</v>
      </c>
      <c r="J69" s="64">
        <v>0.65</v>
      </c>
      <c r="K69" s="64">
        <v>139.9</v>
      </c>
      <c r="L69" s="64">
        <v>29.09</v>
      </c>
      <c r="M69" s="64">
        <v>37.04</v>
      </c>
      <c r="N69" s="64">
        <v>119.3</v>
      </c>
      <c r="O69" s="64">
        <v>0</v>
      </c>
      <c r="P69" s="64">
        <v>0.39</v>
      </c>
      <c r="Q69" s="64">
        <v>4.9000000000000004</v>
      </c>
      <c r="R69" s="198"/>
      <c r="S69" s="198"/>
      <c r="T69" s="198"/>
      <c r="U69" s="198"/>
    </row>
    <row r="70" spans="1:21" s="12" customFormat="1" x14ac:dyDescent="0.25">
      <c r="A70" s="214" t="s">
        <v>1747</v>
      </c>
      <c r="B70" s="64">
        <v>2.04</v>
      </c>
      <c r="C70" s="64">
        <v>13.14</v>
      </c>
      <c r="D70" s="64">
        <v>10.18</v>
      </c>
      <c r="E70" s="64">
        <v>0.54</v>
      </c>
      <c r="F70" s="64">
        <v>8.4600000000000009</v>
      </c>
      <c r="G70" s="64">
        <v>74.47</v>
      </c>
      <c r="H70" s="64">
        <v>21.44</v>
      </c>
      <c r="I70" s="64">
        <v>1.55</v>
      </c>
      <c r="J70" s="64">
        <v>0.17</v>
      </c>
      <c r="K70" s="64">
        <v>134.28</v>
      </c>
      <c r="L70" s="64">
        <v>28.94</v>
      </c>
      <c r="M70" s="64">
        <v>36.700000000000003</v>
      </c>
      <c r="N70" s="64">
        <v>105.3</v>
      </c>
      <c r="O70" s="64">
        <v>0</v>
      </c>
      <c r="P70" s="64">
        <v>0.39</v>
      </c>
      <c r="Q70" s="64">
        <v>4.9800000000000004</v>
      </c>
      <c r="R70" s="198"/>
      <c r="S70" s="198"/>
      <c r="T70" s="198"/>
      <c r="U70" s="198"/>
    </row>
    <row r="71" spans="1:21" s="12" customFormat="1" x14ac:dyDescent="0.25">
      <c r="A71" s="214" t="s">
        <v>1748</v>
      </c>
      <c r="B71" s="64">
        <v>2</v>
      </c>
      <c r="C71" s="64">
        <v>11.2</v>
      </c>
      <c r="D71" s="64">
        <v>9.08</v>
      </c>
      <c r="E71" s="64">
        <v>0.56000000000000005</v>
      </c>
      <c r="F71" s="64">
        <v>13.05</v>
      </c>
      <c r="G71" s="64">
        <v>69.7</v>
      </c>
      <c r="H71" s="64">
        <v>15.01</v>
      </c>
      <c r="I71" s="64">
        <v>1.58</v>
      </c>
      <c r="J71" s="64">
        <v>7.0000000000000007E-2</v>
      </c>
      <c r="K71" s="64">
        <v>157.29</v>
      </c>
      <c r="L71" s="64">
        <v>28.71</v>
      </c>
      <c r="M71" s="64">
        <v>38.130000000000003</v>
      </c>
      <c r="N71" s="64">
        <v>93.5</v>
      </c>
      <c r="O71" s="64">
        <v>0</v>
      </c>
      <c r="P71" s="64">
        <v>0.37</v>
      </c>
      <c r="Q71" s="64">
        <v>5.03</v>
      </c>
      <c r="R71" s="198"/>
      <c r="S71" s="198"/>
      <c r="T71" s="198"/>
      <c r="U71" s="198"/>
    </row>
    <row r="72" spans="1:21" s="12" customFormat="1" x14ac:dyDescent="0.25">
      <c r="A72" s="214" t="s">
        <v>1749</v>
      </c>
      <c r="B72" s="64">
        <v>2.02</v>
      </c>
      <c r="C72" s="64">
        <v>11.55</v>
      </c>
      <c r="D72" s="64">
        <v>9.2899999999999991</v>
      </c>
      <c r="E72" s="64">
        <v>0.23</v>
      </c>
      <c r="F72" s="64">
        <v>16.260000000000002</v>
      </c>
      <c r="G72" s="64">
        <v>68.989999999999995</v>
      </c>
      <c r="H72" s="64">
        <v>15.01</v>
      </c>
      <c r="I72" s="64">
        <v>1.42</v>
      </c>
      <c r="J72" s="64">
        <v>0.28999999999999998</v>
      </c>
      <c r="K72" s="64">
        <v>138.66</v>
      </c>
      <c r="L72" s="64">
        <v>28.65</v>
      </c>
      <c r="M72" s="64">
        <v>39.65</v>
      </c>
      <c r="N72" s="64">
        <v>83.8</v>
      </c>
      <c r="O72" s="64">
        <v>0</v>
      </c>
      <c r="P72" s="64">
        <v>0.35</v>
      </c>
      <c r="Q72" s="64">
        <v>5.13</v>
      </c>
      <c r="R72" s="198"/>
      <c r="S72" s="198"/>
      <c r="T72" s="198"/>
      <c r="U72" s="198"/>
    </row>
    <row r="73" spans="1:21" s="12" customFormat="1" x14ac:dyDescent="0.25">
      <c r="A73" s="214" t="s">
        <v>1750</v>
      </c>
      <c r="B73" s="64">
        <v>2.13</v>
      </c>
      <c r="C73" s="64">
        <v>18.25</v>
      </c>
      <c r="D73" s="64">
        <v>13.07</v>
      </c>
      <c r="E73" s="64">
        <v>0.38</v>
      </c>
      <c r="F73" s="64">
        <v>15.6</v>
      </c>
      <c r="G73" s="64">
        <v>68.989999999999995</v>
      </c>
      <c r="H73" s="64">
        <v>15.01</v>
      </c>
      <c r="I73" s="64">
        <v>1.42</v>
      </c>
      <c r="J73" s="64">
        <v>0.61</v>
      </c>
      <c r="K73" s="64">
        <v>150</v>
      </c>
      <c r="L73" s="64">
        <v>28.51</v>
      </c>
      <c r="M73" s="64">
        <v>37.5</v>
      </c>
      <c r="N73" s="64">
        <v>76</v>
      </c>
      <c r="O73" s="64">
        <v>0</v>
      </c>
      <c r="P73" s="64">
        <v>0.36</v>
      </c>
      <c r="Q73" s="64">
        <v>5.0199999999999996</v>
      </c>
      <c r="R73" s="198"/>
      <c r="S73" s="198"/>
      <c r="T73" s="198"/>
      <c r="U73" s="198"/>
    </row>
    <row r="74" spans="1:21" s="12" customFormat="1" x14ac:dyDescent="0.25">
      <c r="A74" s="214" t="s">
        <v>1751</v>
      </c>
      <c r="B74" s="64">
        <v>2</v>
      </c>
      <c r="C74" s="64">
        <v>15.82</v>
      </c>
      <c r="D74" s="64">
        <v>11.63</v>
      </c>
      <c r="E74" s="64">
        <v>0.47</v>
      </c>
      <c r="F74" s="64">
        <v>23.19</v>
      </c>
      <c r="G74" s="64">
        <v>68.989999999999995</v>
      </c>
      <c r="H74" s="64">
        <v>15.01</v>
      </c>
      <c r="I74" s="64">
        <v>1.51</v>
      </c>
      <c r="J74" s="64">
        <v>1.04</v>
      </c>
      <c r="K74" s="64">
        <v>144.34</v>
      </c>
      <c r="L74" s="64">
        <v>28.29</v>
      </c>
      <c r="M74" s="64">
        <v>36.11</v>
      </c>
      <c r="N74" s="64">
        <v>62.7</v>
      </c>
      <c r="O74" s="64">
        <v>0</v>
      </c>
      <c r="P74" s="64">
        <v>0.33</v>
      </c>
      <c r="Q74" s="64">
        <v>5</v>
      </c>
      <c r="R74" s="198"/>
      <c r="S74" s="198"/>
      <c r="T74" s="198"/>
      <c r="U74" s="198"/>
    </row>
    <row r="75" spans="1:21" s="12" customFormat="1" x14ac:dyDescent="0.25">
      <c r="A75" s="214" t="s">
        <v>1752</v>
      </c>
      <c r="B75" s="64">
        <v>2</v>
      </c>
      <c r="C75" s="64">
        <v>16.36</v>
      </c>
      <c r="D75" s="64">
        <v>11.93</v>
      </c>
      <c r="E75" s="64">
        <v>0.52</v>
      </c>
      <c r="F75" s="64">
        <v>17.579999999999998</v>
      </c>
      <c r="G75" s="64">
        <v>63.11</v>
      </c>
      <c r="H75" s="64">
        <v>11.89</v>
      </c>
      <c r="I75" s="64">
        <v>1.54</v>
      </c>
      <c r="J75" s="64">
        <v>0.17</v>
      </c>
      <c r="K75" s="64">
        <v>158.56</v>
      </c>
      <c r="L75" s="64">
        <v>28.12</v>
      </c>
      <c r="M75" s="64">
        <v>38.369999999999997</v>
      </c>
      <c r="N75" s="64">
        <v>47.7</v>
      </c>
      <c r="O75" s="64">
        <v>0</v>
      </c>
      <c r="P75" s="64">
        <v>0.35</v>
      </c>
      <c r="Q75" s="64">
        <v>4.88</v>
      </c>
      <c r="R75" s="198"/>
      <c r="S75" s="198"/>
      <c r="T75" s="198"/>
      <c r="U75" s="198"/>
    </row>
    <row r="76" spans="1:21" s="12" customFormat="1" x14ac:dyDescent="0.25">
      <c r="A76" s="214" t="s">
        <v>1753</v>
      </c>
      <c r="B76" s="64">
        <v>2</v>
      </c>
      <c r="C76" s="64">
        <v>14.99</v>
      </c>
      <c r="D76" s="64">
        <v>11.17</v>
      </c>
      <c r="E76" s="64">
        <v>0.43</v>
      </c>
      <c r="F76" s="64">
        <v>6.25</v>
      </c>
      <c r="G76" s="64">
        <v>57.73</v>
      </c>
      <c r="H76" s="64">
        <v>10.51</v>
      </c>
      <c r="I76" s="64">
        <v>1.5</v>
      </c>
      <c r="J76" s="64">
        <v>0.05</v>
      </c>
      <c r="K76" s="64">
        <v>355.79</v>
      </c>
      <c r="L76" s="64">
        <v>27.8</v>
      </c>
      <c r="M76" s="64">
        <v>39.47</v>
      </c>
      <c r="N76" s="64">
        <v>35</v>
      </c>
      <c r="O76" s="64">
        <v>0</v>
      </c>
      <c r="P76" s="64">
        <v>0.38</v>
      </c>
      <c r="Q76" s="64">
        <v>4.9400000000000004</v>
      </c>
      <c r="R76" s="198"/>
      <c r="S76" s="198"/>
      <c r="T76" s="198"/>
      <c r="U76" s="198"/>
    </row>
    <row r="77" spans="1:21" s="12" customFormat="1" x14ac:dyDescent="0.25">
      <c r="A77" s="214" t="s">
        <v>1754</v>
      </c>
      <c r="B77" s="64">
        <v>2</v>
      </c>
      <c r="C77" s="64">
        <v>21.44</v>
      </c>
      <c r="D77" s="64">
        <v>14.73</v>
      </c>
      <c r="E77" s="64">
        <v>0.5</v>
      </c>
      <c r="F77" s="64">
        <v>30.12</v>
      </c>
      <c r="G77" s="64">
        <v>57.73</v>
      </c>
      <c r="H77" s="64">
        <v>10.51</v>
      </c>
      <c r="I77" s="64">
        <v>1.5</v>
      </c>
      <c r="J77" s="64">
        <v>0.06</v>
      </c>
      <c r="K77" s="64">
        <v>205.42</v>
      </c>
      <c r="L77" s="64">
        <v>27.4</v>
      </c>
      <c r="M77" s="64">
        <v>42.17</v>
      </c>
      <c r="N77" s="64">
        <v>23.3</v>
      </c>
      <c r="O77" s="64">
        <v>0</v>
      </c>
      <c r="P77" s="64">
        <v>0.39</v>
      </c>
      <c r="Q77" s="64">
        <v>4.6900000000000004</v>
      </c>
      <c r="R77" s="198"/>
      <c r="S77" s="198"/>
      <c r="T77" s="198"/>
      <c r="U77" s="198"/>
    </row>
    <row r="78" spans="1:21" s="12" customFormat="1" x14ac:dyDescent="0.25">
      <c r="A78" s="214" t="s">
        <v>1755</v>
      </c>
      <c r="B78" s="64">
        <v>2.0299999999999998</v>
      </c>
      <c r="C78" s="64">
        <v>26.56</v>
      </c>
      <c r="D78" s="64">
        <v>17.579999999999998</v>
      </c>
      <c r="E78" s="64">
        <v>0.5</v>
      </c>
      <c r="F78" s="64">
        <v>19.809999999999999</v>
      </c>
      <c r="G78" s="64">
        <v>57.73</v>
      </c>
      <c r="H78" s="64">
        <v>10.51</v>
      </c>
      <c r="I78" s="64">
        <v>1.54</v>
      </c>
      <c r="J78" s="64">
        <v>0.03</v>
      </c>
      <c r="K78" s="64">
        <v>220.47</v>
      </c>
      <c r="L78" s="64">
        <v>27.02</v>
      </c>
      <c r="M78" s="64">
        <v>45.1</v>
      </c>
      <c r="N78" s="64">
        <v>14.1</v>
      </c>
      <c r="O78" s="64">
        <v>0</v>
      </c>
      <c r="P78" s="64">
        <v>0.43</v>
      </c>
      <c r="Q78" s="64">
        <v>4.32</v>
      </c>
      <c r="R78" s="198"/>
      <c r="S78" s="198"/>
      <c r="T78" s="198"/>
      <c r="U78" s="198"/>
    </row>
    <row r="79" spans="1:21" s="12" customFormat="1" x14ac:dyDescent="0.25">
      <c r="A79" s="214" t="s">
        <v>1756</v>
      </c>
      <c r="B79" s="64">
        <v>2</v>
      </c>
      <c r="C79" s="64">
        <v>36.22</v>
      </c>
      <c r="D79" s="64">
        <v>22.88</v>
      </c>
      <c r="E79" s="64">
        <v>0.52</v>
      </c>
      <c r="F79" s="64">
        <v>28.49</v>
      </c>
      <c r="G79" s="64">
        <v>59.69</v>
      </c>
      <c r="H79" s="64">
        <v>8.31</v>
      </c>
      <c r="I79" s="64">
        <v>1.42</v>
      </c>
      <c r="J79" s="64">
        <v>0.06</v>
      </c>
      <c r="K79" s="64">
        <v>331.85</v>
      </c>
      <c r="L79" s="64">
        <v>26.17</v>
      </c>
      <c r="M79" s="64">
        <v>53.57</v>
      </c>
      <c r="N79" s="64">
        <v>10</v>
      </c>
      <c r="O79" s="64">
        <v>0</v>
      </c>
      <c r="P79" s="64">
        <v>0.51</v>
      </c>
      <c r="Q79" s="64">
        <v>4.03</v>
      </c>
      <c r="R79" s="198"/>
      <c r="S79" s="198"/>
      <c r="T79" s="198"/>
      <c r="U79" s="198"/>
    </row>
    <row r="80" spans="1:21" s="12" customFormat="1" x14ac:dyDescent="0.25">
      <c r="A80" s="214" t="s">
        <v>1757</v>
      </c>
      <c r="B80" s="64">
        <v>3.11</v>
      </c>
      <c r="C80" s="64">
        <v>44.67</v>
      </c>
      <c r="D80" s="64">
        <v>28.44</v>
      </c>
      <c r="E80" s="64">
        <v>0.56000000000000005</v>
      </c>
      <c r="F80" s="64">
        <v>17.809999999999999</v>
      </c>
      <c r="G80" s="64">
        <v>61.48</v>
      </c>
      <c r="H80" s="64">
        <v>7.36</v>
      </c>
      <c r="I80" s="64">
        <v>1.48</v>
      </c>
      <c r="J80" s="64">
        <v>0.09</v>
      </c>
      <c r="K80" s="64">
        <v>291.10000000000002</v>
      </c>
      <c r="L80" s="64">
        <v>25.15</v>
      </c>
      <c r="M80" s="64">
        <v>59.66</v>
      </c>
      <c r="N80" s="64">
        <v>9.1999999999999993</v>
      </c>
      <c r="O80" s="64">
        <v>0</v>
      </c>
      <c r="P80" s="64">
        <v>0.63</v>
      </c>
      <c r="Q80" s="64">
        <v>3.54</v>
      </c>
      <c r="R80" s="198"/>
      <c r="S80" s="198"/>
      <c r="T80" s="198"/>
      <c r="U80" s="198"/>
    </row>
    <row r="81" spans="1:26" s="12" customFormat="1" x14ac:dyDescent="0.25">
      <c r="A81" s="214" t="s">
        <v>1758</v>
      </c>
      <c r="B81" s="64">
        <v>3.4</v>
      </c>
      <c r="C81" s="64">
        <v>33.61</v>
      </c>
      <c r="D81" s="64">
        <v>22.57</v>
      </c>
      <c r="E81" s="64">
        <v>0.62</v>
      </c>
      <c r="F81" s="64">
        <v>14.03</v>
      </c>
      <c r="G81" s="64">
        <v>61.48</v>
      </c>
      <c r="H81" s="64">
        <v>7.36</v>
      </c>
      <c r="I81" s="64">
        <v>1.54</v>
      </c>
      <c r="J81" s="64">
        <v>0.31</v>
      </c>
      <c r="K81" s="64">
        <v>151.01</v>
      </c>
      <c r="L81" s="64">
        <v>25.35</v>
      </c>
      <c r="M81" s="64">
        <v>55.22</v>
      </c>
      <c r="N81" s="64">
        <v>8.1999999999999993</v>
      </c>
      <c r="O81" s="64">
        <v>0</v>
      </c>
      <c r="P81" s="64">
        <v>0.51</v>
      </c>
      <c r="Q81" s="64">
        <v>3.26</v>
      </c>
      <c r="R81" s="198"/>
      <c r="S81" s="198"/>
      <c r="T81" s="198"/>
      <c r="U81" s="198"/>
    </row>
    <row r="82" spans="1:26" s="12" customFormat="1" x14ac:dyDescent="0.25">
      <c r="A82" s="214" t="s">
        <v>1759</v>
      </c>
      <c r="B82" s="64">
        <v>2.77</v>
      </c>
      <c r="C82" s="64">
        <v>37.92</v>
      </c>
      <c r="D82" s="64">
        <v>24.44</v>
      </c>
      <c r="E82" s="64">
        <v>0.68</v>
      </c>
      <c r="F82" s="64">
        <v>19.03</v>
      </c>
      <c r="G82" s="64">
        <v>61.48</v>
      </c>
      <c r="H82" s="64">
        <v>7.36</v>
      </c>
      <c r="I82" s="64">
        <v>1.45</v>
      </c>
      <c r="J82" s="64">
        <v>0.2</v>
      </c>
      <c r="K82" s="64">
        <v>142.27000000000001</v>
      </c>
      <c r="L82" s="64">
        <v>25.63</v>
      </c>
      <c r="M82" s="64">
        <v>52.75</v>
      </c>
      <c r="N82" s="64">
        <v>8.5</v>
      </c>
      <c r="O82" s="64">
        <v>0</v>
      </c>
      <c r="P82" s="64">
        <v>0.55000000000000004</v>
      </c>
      <c r="Q82" s="64">
        <v>3.9</v>
      </c>
      <c r="R82" s="198"/>
      <c r="S82" s="198"/>
      <c r="T82" s="198"/>
      <c r="U82" s="198"/>
    </row>
    <row r="83" spans="1:26" s="12" customFormat="1" x14ac:dyDescent="0.25">
      <c r="A83" s="214" t="s">
        <v>1760</v>
      </c>
      <c r="B83" s="64">
        <v>2.72</v>
      </c>
      <c r="C83" s="64">
        <v>51.22</v>
      </c>
      <c r="D83" s="64">
        <v>31.75</v>
      </c>
      <c r="E83" s="64">
        <v>0.56000000000000005</v>
      </c>
      <c r="F83" s="64">
        <v>19.34</v>
      </c>
      <c r="G83" s="64">
        <v>61.49</v>
      </c>
      <c r="H83" s="64">
        <v>83.26</v>
      </c>
      <c r="I83" s="64">
        <v>1.55</v>
      </c>
      <c r="J83" s="64">
        <v>0.04</v>
      </c>
      <c r="K83" s="64">
        <v>226.37</v>
      </c>
      <c r="L83" s="64">
        <v>25.45</v>
      </c>
      <c r="M83" s="64">
        <v>54.23</v>
      </c>
      <c r="N83" s="64">
        <v>8.9</v>
      </c>
      <c r="O83" s="64">
        <v>0</v>
      </c>
      <c r="P83" s="64">
        <v>0.68</v>
      </c>
      <c r="Q83" s="64">
        <v>3.3</v>
      </c>
      <c r="R83" s="198"/>
      <c r="S83" s="198"/>
      <c r="T83" s="198"/>
      <c r="U83" s="198"/>
    </row>
    <row r="84" spans="1:26" s="12" customFormat="1" x14ac:dyDescent="0.25">
      <c r="A84" s="214" t="s">
        <v>1761</v>
      </c>
      <c r="B84" s="64">
        <v>3.79</v>
      </c>
      <c r="C84" s="64">
        <v>31.53</v>
      </c>
      <c r="D84" s="64">
        <v>21.74</v>
      </c>
      <c r="E84" s="64">
        <v>0.49</v>
      </c>
      <c r="F84" s="64">
        <v>11.23</v>
      </c>
      <c r="G84" s="64">
        <v>61.49</v>
      </c>
      <c r="H84" s="64">
        <v>115.56</v>
      </c>
      <c r="I84" s="64">
        <v>1.52</v>
      </c>
      <c r="J84" s="64">
        <v>0.05</v>
      </c>
      <c r="K84" s="64">
        <v>262.94</v>
      </c>
      <c r="L84" s="64">
        <v>25.1</v>
      </c>
      <c r="M84" s="64">
        <v>55.64</v>
      </c>
      <c r="N84" s="64">
        <v>8.8000000000000007</v>
      </c>
      <c r="O84" s="64">
        <v>0</v>
      </c>
      <c r="P84" s="64">
        <v>0.6</v>
      </c>
      <c r="Q84" s="64">
        <v>3.52</v>
      </c>
      <c r="R84" s="198"/>
      <c r="S84" s="198"/>
      <c r="T84" s="198"/>
      <c r="U84" s="198"/>
    </row>
    <row r="85" spans="1:26" s="12" customFormat="1" x14ac:dyDescent="0.25">
      <c r="A85" s="214" t="s">
        <v>1762</v>
      </c>
      <c r="B85" s="64">
        <v>34.92</v>
      </c>
      <c r="C85" s="64">
        <v>72.37</v>
      </c>
      <c r="D85" s="64">
        <v>69.239999999999995</v>
      </c>
      <c r="E85" s="64">
        <v>0.53</v>
      </c>
      <c r="F85" s="64">
        <v>3.61</v>
      </c>
      <c r="G85" s="64">
        <v>61.49</v>
      </c>
      <c r="H85" s="64">
        <v>115.56</v>
      </c>
      <c r="I85" s="64">
        <v>1.44</v>
      </c>
      <c r="J85" s="64">
        <v>0.12</v>
      </c>
      <c r="K85" s="64">
        <v>326.29000000000002</v>
      </c>
      <c r="L85" s="64">
        <v>24.57</v>
      </c>
      <c r="M85" s="64">
        <v>60.71</v>
      </c>
      <c r="N85" s="64">
        <v>9</v>
      </c>
      <c r="O85" s="64">
        <v>0</v>
      </c>
      <c r="P85" s="64">
        <v>1.66</v>
      </c>
      <c r="Q85" s="64">
        <v>1.31</v>
      </c>
      <c r="R85" s="198"/>
      <c r="S85" s="198"/>
      <c r="T85" s="198"/>
      <c r="U85" s="198"/>
    </row>
    <row r="86" spans="1:26" s="12" customFormat="1" x14ac:dyDescent="0.25">
      <c r="A86" s="214" t="s">
        <v>1763</v>
      </c>
      <c r="B86" s="64">
        <v>20.78</v>
      </c>
      <c r="C86" s="64">
        <v>74.45</v>
      </c>
      <c r="D86" s="64">
        <v>59.05</v>
      </c>
      <c r="E86" s="64">
        <v>0.56000000000000005</v>
      </c>
      <c r="F86" s="64">
        <v>2.48</v>
      </c>
      <c r="G86" s="64">
        <v>61.49</v>
      </c>
      <c r="H86" s="64">
        <v>115.56</v>
      </c>
      <c r="I86" s="64">
        <v>1.49</v>
      </c>
      <c r="J86" s="64">
        <v>0.13</v>
      </c>
      <c r="K86" s="64">
        <v>270.07</v>
      </c>
      <c r="L86" s="64">
        <v>24.14</v>
      </c>
      <c r="M86" s="64">
        <v>60.27</v>
      </c>
      <c r="N86" s="64">
        <v>8.6999999999999993</v>
      </c>
      <c r="O86" s="64">
        <v>0</v>
      </c>
      <c r="P86" s="64">
        <v>1.1599999999999999</v>
      </c>
      <c r="Q86" s="64">
        <v>7.0000000000000007E-2</v>
      </c>
      <c r="R86" s="198"/>
      <c r="S86" s="198"/>
      <c r="T86" s="198"/>
      <c r="U86" s="198"/>
    </row>
    <row r="87" spans="1:26" s="12" customFormat="1" x14ac:dyDescent="0.25">
      <c r="A87" s="214" t="s">
        <v>1764</v>
      </c>
      <c r="B87" s="64">
        <v>11.18</v>
      </c>
      <c r="C87" s="64">
        <v>46.12</v>
      </c>
      <c r="D87" s="64">
        <v>35.71</v>
      </c>
      <c r="E87" s="64">
        <v>0.5</v>
      </c>
      <c r="F87" s="64">
        <v>4.62</v>
      </c>
      <c r="G87" s="64">
        <v>72.75</v>
      </c>
      <c r="H87" s="64">
        <v>81.88</v>
      </c>
      <c r="I87" s="64">
        <v>1.56</v>
      </c>
      <c r="J87" s="64">
        <v>0.08</v>
      </c>
      <c r="K87" s="64">
        <v>220.22</v>
      </c>
      <c r="L87" s="64">
        <v>24.39</v>
      </c>
      <c r="M87" s="64">
        <v>58.52</v>
      </c>
      <c r="N87" s="64">
        <v>8.6</v>
      </c>
      <c r="O87" s="64">
        <v>0</v>
      </c>
      <c r="P87" s="64">
        <v>0.85</v>
      </c>
      <c r="Q87" s="64">
        <v>1.8</v>
      </c>
      <c r="R87" s="198"/>
      <c r="S87" s="198"/>
      <c r="T87" s="198"/>
      <c r="U87" s="198"/>
    </row>
    <row r="88" spans="1:26" s="12" customFormat="1" x14ac:dyDescent="0.25">
      <c r="A88" s="214" t="s">
        <v>1765</v>
      </c>
      <c r="B88" s="64">
        <v>27.46</v>
      </c>
      <c r="C88" s="64">
        <v>60.15</v>
      </c>
      <c r="D88" s="64">
        <v>56.51</v>
      </c>
      <c r="E88" s="64">
        <v>0.33</v>
      </c>
      <c r="F88" s="64">
        <v>3.07</v>
      </c>
      <c r="G88" s="64">
        <v>83.05</v>
      </c>
      <c r="H88" s="64">
        <v>53.81</v>
      </c>
      <c r="I88" s="64">
        <v>1.53</v>
      </c>
      <c r="J88" s="64">
        <v>0.09</v>
      </c>
      <c r="K88" s="64">
        <v>305.36</v>
      </c>
      <c r="L88" s="64">
        <v>24.35</v>
      </c>
      <c r="M88" s="64">
        <v>60.63</v>
      </c>
      <c r="N88" s="64">
        <v>8.6999999999999993</v>
      </c>
      <c r="O88" s="64">
        <v>0</v>
      </c>
      <c r="P88" s="64">
        <v>1.33</v>
      </c>
      <c r="Q88" s="64">
        <v>2.29</v>
      </c>
      <c r="R88" s="198"/>
      <c r="S88" s="198"/>
      <c r="T88" s="198"/>
      <c r="U88" s="198"/>
    </row>
    <row r="89" spans="1:26" s="12" customFormat="1" x14ac:dyDescent="0.25">
      <c r="A89" s="214" t="s">
        <v>1766</v>
      </c>
      <c r="B89" s="64">
        <v>65.22</v>
      </c>
      <c r="C89" s="64">
        <v>90.29</v>
      </c>
      <c r="D89" s="64">
        <v>103.43</v>
      </c>
      <c r="E89" s="64">
        <v>0.59</v>
      </c>
      <c r="F89" s="64">
        <v>1.1200000000000001</v>
      </c>
      <c r="G89" s="64">
        <v>83.05</v>
      </c>
      <c r="H89" s="64">
        <v>53.81</v>
      </c>
      <c r="I89" s="64">
        <v>1.53</v>
      </c>
      <c r="J89" s="64">
        <v>0.14000000000000001</v>
      </c>
      <c r="K89" s="64">
        <v>320.58</v>
      </c>
      <c r="L89" s="64">
        <v>23.57</v>
      </c>
      <c r="M89" s="64">
        <v>66.11</v>
      </c>
      <c r="N89" s="64">
        <v>9</v>
      </c>
      <c r="O89" s="64">
        <v>0</v>
      </c>
      <c r="P89" s="64">
        <v>2.4500000000000002</v>
      </c>
      <c r="Q89" s="64">
        <v>0.17</v>
      </c>
      <c r="R89" s="198"/>
      <c r="S89" s="198"/>
      <c r="T89" s="198"/>
      <c r="U89" s="198"/>
    </row>
    <row r="90" spans="1:26" s="12" customFormat="1" x14ac:dyDescent="0.25">
      <c r="A90" s="214" t="s">
        <v>1767</v>
      </c>
      <c r="B90" s="64">
        <v>85.86</v>
      </c>
      <c r="C90" s="64">
        <v>76.53</v>
      </c>
      <c r="D90" s="64">
        <v>112.35</v>
      </c>
      <c r="E90" s="64">
        <v>0.62</v>
      </c>
      <c r="F90" s="64">
        <v>0.72</v>
      </c>
      <c r="G90" s="64">
        <v>83.05</v>
      </c>
      <c r="H90" s="64">
        <v>53.81</v>
      </c>
      <c r="I90" s="64">
        <v>1.53</v>
      </c>
      <c r="J90" s="64">
        <v>0.2</v>
      </c>
      <c r="K90" s="64">
        <v>313.11</v>
      </c>
      <c r="L90" s="64">
        <v>23.21</v>
      </c>
      <c r="M90" s="64">
        <v>68.349999999999994</v>
      </c>
      <c r="N90" s="64">
        <v>8.8000000000000007</v>
      </c>
      <c r="O90" s="64">
        <v>0</v>
      </c>
      <c r="P90" s="64">
        <v>2.31</v>
      </c>
      <c r="Q90" s="64">
        <v>0.05</v>
      </c>
      <c r="R90" s="198"/>
      <c r="S90" s="198"/>
      <c r="T90" s="198"/>
      <c r="U90" s="198"/>
    </row>
    <row r="91" spans="1:26" s="12" customFormat="1" x14ac:dyDescent="0.25">
      <c r="A91" s="214" t="s">
        <v>1768</v>
      </c>
      <c r="B91" s="64">
        <v>117.9</v>
      </c>
      <c r="C91" s="64">
        <v>92.29</v>
      </c>
      <c r="D91" s="64">
        <v>146.77000000000001</v>
      </c>
      <c r="E91" s="64">
        <v>0.77</v>
      </c>
      <c r="F91" s="64">
        <v>0.37</v>
      </c>
      <c r="G91" s="64">
        <v>105.66</v>
      </c>
      <c r="H91" s="64">
        <v>57.57</v>
      </c>
      <c r="I91" s="64">
        <v>1.51</v>
      </c>
      <c r="J91" s="64">
        <v>0.14000000000000001</v>
      </c>
      <c r="K91" s="64">
        <v>315.25</v>
      </c>
      <c r="L91" s="64">
        <v>23.02</v>
      </c>
      <c r="M91" s="64">
        <v>70.59</v>
      </c>
      <c r="N91" s="64">
        <v>8.8000000000000007</v>
      </c>
      <c r="O91" s="64">
        <v>0</v>
      </c>
      <c r="P91" s="64">
        <v>2.82</v>
      </c>
      <c r="Q91" s="64">
        <v>0</v>
      </c>
      <c r="R91" s="198"/>
      <c r="S91" s="198"/>
      <c r="T91" s="198"/>
      <c r="U91" s="198"/>
    </row>
    <row r="92" spans="1:26" s="12" customFormat="1" x14ac:dyDescent="0.25">
      <c r="A92" s="214" t="s">
        <v>1769</v>
      </c>
      <c r="B92" s="64">
        <v>114.7</v>
      </c>
      <c r="C92" s="64">
        <v>84.32</v>
      </c>
      <c r="D92" s="64">
        <v>139.80000000000001</v>
      </c>
      <c r="E92" s="64">
        <v>0.7</v>
      </c>
      <c r="F92" s="64">
        <v>0.52</v>
      </c>
      <c r="G92" s="64">
        <v>126.35</v>
      </c>
      <c r="H92" s="64">
        <v>59.24</v>
      </c>
      <c r="I92" s="64">
        <v>1.5</v>
      </c>
      <c r="J92" s="64">
        <v>0.14000000000000001</v>
      </c>
      <c r="K92" s="64">
        <v>325.56</v>
      </c>
      <c r="L92" s="64">
        <v>22.64</v>
      </c>
      <c r="M92" s="64">
        <v>74.650000000000006</v>
      </c>
      <c r="N92" s="64">
        <v>8.9</v>
      </c>
      <c r="O92" s="64">
        <v>0</v>
      </c>
      <c r="P92" s="64">
        <v>3.11</v>
      </c>
      <c r="Q92" s="64">
        <v>0</v>
      </c>
      <c r="R92" s="198"/>
      <c r="S92" s="198"/>
      <c r="T92" s="198"/>
      <c r="U92" s="198"/>
    </row>
    <row r="93" spans="1:26" s="12" customFormat="1" x14ac:dyDescent="0.25">
      <c r="A93" s="214" t="s">
        <v>1770</v>
      </c>
      <c r="B93" s="64">
        <v>50.95</v>
      </c>
      <c r="C93" s="64">
        <v>44.76</v>
      </c>
      <c r="D93" s="64">
        <v>66.849999999999994</v>
      </c>
      <c r="E93" s="64">
        <v>0.69</v>
      </c>
      <c r="F93" s="64">
        <v>0.24</v>
      </c>
      <c r="G93" s="64">
        <v>126.35</v>
      </c>
      <c r="H93" s="64">
        <v>59.24</v>
      </c>
      <c r="I93" s="64">
        <v>1.54</v>
      </c>
      <c r="J93" s="64">
        <v>0.17</v>
      </c>
      <c r="K93" s="64">
        <v>319.77999999999997</v>
      </c>
      <c r="L93" s="64">
        <v>22.57</v>
      </c>
      <c r="M93" s="64">
        <v>73.63</v>
      </c>
      <c r="N93" s="64">
        <v>8.6</v>
      </c>
      <c r="O93" s="64">
        <v>0</v>
      </c>
      <c r="P93" s="64">
        <v>1.71</v>
      </c>
      <c r="Q93" s="64">
        <v>3.29</v>
      </c>
      <c r="R93" s="198"/>
      <c r="S93" s="198"/>
      <c r="T93" s="198"/>
      <c r="U93" s="198"/>
    </row>
    <row r="94" spans="1:26" s="12" customFormat="1" x14ac:dyDescent="0.25">
      <c r="A94" s="214" t="s">
        <v>1771</v>
      </c>
      <c r="B94" s="64">
        <v>100.64</v>
      </c>
      <c r="C94" s="64">
        <v>74.91</v>
      </c>
      <c r="D94" s="64">
        <v>123.34</v>
      </c>
      <c r="E94" s="64">
        <v>0.66</v>
      </c>
      <c r="F94" s="64">
        <v>0.4</v>
      </c>
      <c r="G94" s="64">
        <v>126.35</v>
      </c>
      <c r="H94" s="64">
        <v>59.24</v>
      </c>
      <c r="I94" s="64">
        <v>1.55</v>
      </c>
      <c r="J94" s="64">
        <v>0.1</v>
      </c>
      <c r="K94" s="64">
        <v>353.07</v>
      </c>
      <c r="L94" s="64">
        <v>22.28</v>
      </c>
      <c r="M94" s="64">
        <v>75.48</v>
      </c>
      <c r="N94" s="64">
        <v>8.9</v>
      </c>
      <c r="O94" s="64">
        <v>0</v>
      </c>
      <c r="P94" s="64">
        <v>2.54</v>
      </c>
      <c r="Q94" s="64">
        <v>0.55000000000000004</v>
      </c>
      <c r="R94" s="198"/>
      <c r="S94" s="198"/>
      <c r="T94" s="198"/>
      <c r="U94" s="198"/>
    </row>
    <row r="95" spans="1:26" s="12" customFormat="1" x14ac:dyDescent="0.25">
      <c r="A95" s="214" t="s">
        <v>1772</v>
      </c>
      <c r="B95" s="64">
        <v>79.98</v>
      </c>
      <c r="C95" s="64">
        <v>51.01</v>
      </c>
      <c r="D95" s="64">
        <v>93.52</v>
      </c>
      <c r="E95" s="64">
        <v>0.62</v>
      </c>
      <c r="F95" s="64">
        <v>0.53</v>
      </c>
      <c r="G95" s="64">
        <v>150.59</v>
      </c>
      <c r="H95" s="64">
        <v>20.43</v>
      </c>
      <c r="I95" s="64">
        <v>1.51</v>
      </c>
      <c r="J95" s="64">
        <v>0.01</v>
      </c>
      <c r="K95" s="64">
        <v>38.159999999999997</v>
      </c>
      <c r="L95" s="64">
        <v>22.2</v>
      </c>
      <c r="M95" s="64">
        <v>74.08</v>
      </c>
      <c r="N95" s="64">
        <v>8.8000000000000007</v>
      </c>
      <c r="O95" s="64">
        <v>0</v>
      </c>
      <c r="P95" s="64">
        <v>1.99</v>
      </c>
      <c r="Q95" s="64">
        <v>0.72</v>
      </c>
      <c r="R95" s="198"/>
      <c r="S95" s="198"/>
      <c r="T95" s="198"/>
      <c r="U95" s="198"/>
    </row>
    <row r="96" spans="1:26" s="12" customFormat="1" x14ac:dyDescent="0.25">
      <c r="A96" s="214" t="s">
        <v>1773</v>
      </c>
      <c r="B96" s="64">
        <v>75.45</v>
      </c>
      <c r="C96" s="64">
        <v>48.37</v>
      </c>
      <c r="D96" s="64">
        <v>88.49</v>
      </c>
      <c r="E96" s="64">
        <v>0.56000000000000005</v>
      </c>
      <c r="F96" s="64">
        <v>0.6</v>
      </c>
      <c r="G96" s="64">
        <v>172.77</v>
      </c>
      <c r="H96" s="216" t="s">
        <v>42</v>
      </c>
      <c r="I96" s="64">
        <v>1.55</v>
      </c>
      <c r="J96" s="64">
        <v>0.06</v>
      </c>
      <c r="K96" s="64">
        <v>280.14</v>
      </c>
      <c r="L96" s="64">
        <v>22.08</v>
      </c>
      <c r="M96" s="64">
        <v>76.239999999999995</v>
      </c>
      <c r="N96" s="64">
        <v>8.6999999999999993</v>
      </c>
      <c r="O96" s="64">
        <v>0</v>
      </c>
      <c r="P96" s="64">
        <v>1.97</v>
      </c>
      <c r="Q96" s="64">
        <v>2.81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1774</v>
      </c>
      <c r="B97" s="64">
        <v>79.930000000000007</v>
      </c>
      <c r="C97" s="64">
        <v>54.1</v>
      </c>
      <c r="D97" s="64">
        <v>95.25</v>
      </c>
      <c r="E97" s="64">
        <v>0.56999999999999995</v>
      </c>
      <c r="F97" s="64">
        <v>0.26</v>
      </c>
      <c r="G97" s="64">
        <v>172.77</v>
      </c>
      <c r="H97" s="216" t="s">
        <v>42</v>
      </c>
      <c r="I97" s="64">
        <v>1.51</v>
      </c>
      <c r="J97" s="64">
        <v>0.08</v>
      </c>
      <c r="K97" s="64">
        <v>305.97000000000003</v>
      </c>
      <c r="L97" s="64">
        <v>21.83</v>
      </c>
      <c r="M97" s="64">
        <v>78.45</v>
      </c>
      <c r="N97" s="64">
        <v>8.8000000000000007</v>
      </c>
      <c r="O97" s="64">
        <v>0</v>
      </c>
      <c r="P97" s="64">
        <v>1.81</v>
      </c>
      <c r="Q97" s="64">
        <v>2.74</v>
      </c>
      <c r="R97" s="198"/>
      <c r="S97" s="198"/>
      <c r="T97" s="198"/>
      <c r="U97" s="198"/>
    </row>
    <row r="98" spans="1:33" s="12" customFormat="1" x14ac:dyDescent="0.25">
      <c r="A98" s="214" t="s">
        <v>1775</v>
      </c>
      <c r="B98" s="64">
        <v>102.54</v>
      </c>
      <c r="C98" s="64">
        <v>41.16</v>
      </c>
      <c r="D98" s="64">
        <v>106.24</v>
      </c>
      <c r="E98" s="64">
        <v>0.59</v>
      </c>
      <c r="F98" s="64">
        <v>0.44</v>
      </c>
      <c r="G98" s="64">
        <v>172.77</v>
      </c>
      <c r="H98" s="216" t="s">
        <v>42</v>
      </c>
      <c r="I98" s="64">
        <v>1.58</v>
      </c>
      <c r="J98" s="64">
        <v>0.08</v>
      </c>
      <c r="K98" s="64">
        <v>304.16000000000003</v>
      </c>
      <c r="L98" s="64">
        <v>21.81</v>
      </c>
      <c r="M98" s="64">
        <v>80.12</v>
      </c>
      <c r="N98" s="64">
        <v>8.6999999999999993</v>
      </c>
      <c r="O98" s="64">
        <v>0</v>
      </c>
      <c r="P98" s="64">
        <v>1.91</v>
      </c>
      <c r="Q98" s="64">
        <v>4.38</v>
      </c>
      <c r="R98" s="198"/>
      <c r="S98" s="198"/>
      <c r="T98" s="198"/>
      <c r="U98" s="198"/>
    </row>
    <row r="99" spans="1:33" s="12" customFormat="1" x14ac:dyDescent="0.25">
      <c r="A99" s="214" t="s">
        <v>1776</v>
      </c>
      <c r="B99" s="64">
        <v>80.819999999999993</v>
      </c>
      <c r="C99" s="64">
        <v>60.52</v>
      </c>
      <c r="D99" s="64">
        <v>99.5</v>
      </c>
      <c r="E99" s="64">
        <v>0.66</v>
      </c>
      <c r="F99" s="64">
        <v>0.18</v>
      </c>
      <c r="G99" s="64">
        <v>186.11</v>
      </c>
      <c r="H99" s="216" t="s">
        <v>42</v>
      </c>
      <c r="I99" s="64">
        <v>1.52</v>
      </c>
      <c r="J99" s="64">
        <v>0.09</v>
      </c>
      <c r="K99" s="64">
        <v>289.67</v>
      </c>
      <c r="L99" s="64">
        <v>21.85</v>
      </c>
      <c r="M99" s="64">
        <v>78.59</v>
      </c>
      <c r="N99" s="64">
        <v>8.5</v>
      </c>
      <c r="O99" s="64">
        <v>0</v>
      </c>
      <c r="P99" s="64">
        <v>1.75</v>
      </c>
      <c r="Q99" s="64">
        <v>3.78</v>
      </c>
      <c r="R99" s="198"/>
      <c r="S99" s="198"/>
      <c r="T99" s="198"/>
      <c r="U99" s="198"/>
    </row>
    <row r="100" spans="1:33" s="12" customFormat="1" x14ac:dyDescent="0.25">
      <c r="A100" s="214" t="s">
        <v>1777</v>
      </c>
      <c r="B100" s="64">
        <v>113.12</v>
      </c>
      <c r="C100" s="64">
        <v>60.23</v>
      </c>
      <c r="D100" s="64">
        <v>125.25</v>
      </c>
      <c r="E100" s="64">
        <v>0.59</v>
      </c>
      <c r="F100" s="64">
        <v>0.68</v>
      </c>
      <c r="G100" s="64">
        <v>198.32</v>
      </c>
      <c r="H100" s="216" t="s">
        <v>42</v>
      </c>
      <c r="I100" s="64">
        <v>1.5</v>
      </c>
      <c r="J100" s="64">
        <v>0.06</v>
      </c>
      <c r="K100" s="64">
        <v>292.08999999999997</v>
      </c>
      <c r="L100" s="64">
        <v>21.77</v>
      </c>
      <c r="M100" s="64">
        <v>80.319999999999993</v>
      </c>
      <c r="N100" s="64">
        <v>8.8000000000000007</v>
      </c>
      <c r="O100" s="64">
        <v>0</v>
      </c>
      <c r="P100" s="64">
        <v>2.0499999999999998</v>
      </c>
      <c r="Q100" s="64">
        <v>2.71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1778</v>
      </c>
      <c r="B101" s="64">
        <v>85.67</v>
      </c>
      <c r="C101" s="64">
        <v>69.95</v>
      </c>
      <c r="D101" s="64">
        <v>108.6</v>
      </c>
      <c r="E101" s="64">
        <v>0.55000000000000004</v>
      </c>
      <c r="F101" s="64">
        <v>0.21</v>
      </c>
      <c r="G101" s="64">
        <v>198.32</v>
      </c>
      <c r="H101" s="216" t="s">
        <v>42</v>
      </c>
      <c r="I101" s="64">
        <v>1.5</v>
      </c>
      <c r="J101" s="64">
        <v>0.13</v>
      </c>
      <c r="K101" s="64">
        <v>294.58999999999997</v>
      </c>
      <c r="L101" s="64">
        <v>21.57</v>
      </c>
      <c r="M101" s="64">
        <v>78.56</v>
      </c>
      <c r="N101" s="64">
        <v>8.6</v>
      </c>
      <c r="O101" s="64">
        <v>0</v>
      </c>
      <c r="P101" s="64">
        <v>1.92</v>
      </c>
      <c r="Q101" s="64">
        <v>5.7</v>
      </c>
      <c r="R101" s="198"/>
      <c r="S101" s="198"/>
      <c r="T101" s="198"/>
      <c r="U101" s="198"/>
    </row>
    <row r="102" spans="1:33" s="12" customFormat="1" x14ac:dyDescent="0.25">
      <c r="A102" s="214" t="s">
        <v>1779</v>
      </c>
      <c r="B102" s="64">
        <v>110.06</v>
      </c>
      <c r="C102" s="64">
        <v>56.27</v>
      </c>
      <c r="D102" s="64">
        <v>120.61</v>
      </c>
      <c r="E102" s="64">
        <v>0.6</v>
      </c>
      <c r="F102" s="64">
        <v>0.44</v>
      </c>
      <c r="G102" s="64">
        <v>198.32</v>
      </c>
      <c r="H102" s="216" t="s">
        <v>42</v>
      </c>
      <c r="I102" s="64">
        <v>1.45</v>
      </c>
      <c r="J102" s="64">
        <v>0.19</v>
      </c>
      <c r="K102" s="64">
        <v>299.81</v>
      </c>
      <c r="L102" s="64">
        <v>21.56</v>
      </c>
      <c r="M102" s="64">
        <v>84.18</v>
      </c>
      <c r="N102" s="64">
        <v>8.6</v>
      </c>
      <c r="O102" s="64">
        <v>0</v>
      </c>
      <c r="P102" s="64">
        <v>2.2000000000000002</v>
      </c>
      <c r="Q102" s="64">
        <v>5.66</v>
      </c>
      <c r="R102" s="198"/>
      <c r="S102" s="198"/>
      <c r="T102" s="198"/>
      <c r="U102" s="198"/>
    </row>
    <row r="103" spans="1:33" s="12" customFormat="1" x14ac:dyDescent="0.25">
      <c r="A103" s="214" t="s">
        <v>1780</v>
      </c>
      <c r="B103" s="64">
        <v>85.02</v>
      </c>
      <c r="C103" s="64">
        <v>62.06</v>
      </c>
      <c r="D103" s="64">
        <v>103.72</v>
      </c>
      <c r="E103" s="64">
        <v>0.63</v>
      </c>
      <c r="F103" s="64">
        <v>0.25</v>
      </c>
      <c r="G103" s="64">
        <v>209.64</v>
      </c>
      <c r="H103" s="216" t="s">
        <v>42</v>
      </c>
      <c r="I103" s="64">
        <v>1.51</v>
      </c>
      <c r="J103" s="64">
        <v>0.1</v>
      </c>
      <c r="K103" s="64">
        <v>298.25</v>
      </c>
      <c r="L103" s="64">
        <v>21.21</v>
      </c>
      <c r="M103" s="64">
        <v>80.31</v>
      </c>
      <c r="N103" s="64">
        <v>8.6999999999999993</v>
      </c>
      <c r="O103" s="64">
        <v>0</v>
      </c>
      <c r="P103" s="64">
        <v>1.8</v>
      </c>
      <c r="Q103" s="64">
        <v>6.23</v>
      </c>
      <c r="R103" s="198"/>
      <c r="S103" s="198"/>
      <c r="T103" s="198"/>
      <c r="U103" s="198"/>
    </row>
    <row r="104" spans="1:33" s="12" customFormat="1" x14ac:dyDescent="0.25">
      <c r="A104" s="214" t="s">
        <v>1781</v>
      </c>
      <c r="B104" s="64">
        <v>63.98</v>
      </c>
      <c r="C104" s="64">
        <v>50.26</v>
      </c>
      <c r="D104" s="64">
        <v>80.34</v>
      </c>
      <c r="E104" s="64">
        <v>0.21</v>
      </c>
      <c r="F104" s="64">
        <v>0.61</v>
      </c>
      <c r="G104" s="64">
        <v>219.99</v>
      </c>
      <c r="H104" s="216" t="s">
        <v>42</v>
      </c>
      <c r="I104" s="64">
        <v>1.49</v>
      </c>
      <c r="J104" s="64">
        <v>0.13</v>
      </c>
      <c r="K104" s="64">
        <v>303.67</v>
      </c>
      <c r="L104" s="64">
        <v>21.21</v>
      </c>
      <c r="M104" s="64">
        <v>79.209999999999994</v>
      </c>
      <c r="N104" s="64">
        <v>8.8000000000000007</v>
      </c>
      <c r="O104" s="64">
        <v>0</v>
      </c>
      <c r="P104" s="64">
        <v>1.64</v>
      </c>
      <c r="Q104" s="64">
        <v>10.36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</v>
      </c>
      <c r="C106" s="67">
        <f>MIN(C9:C104)</f>
        <v>10.24</v>
      </c>
      <c r="D106" s="67">
        <f t="shared" ref="D106:Q106" si="0">MIN(D9:D104)</f>
        <v>8.59</v>
      </c>
      <c r="E106" s="67">
        <f t="shared" si="0"/>
        <v>0.18</v>
      </c>
      <c r="F106" s="67">
        <f t="shared" si="0"/>
        <v>0.09</v>
      </c>
      <c r="G106" s="67">
        <f t="shared" si="0"/>
        <v>38.89</v>
      </c>
      <c r="H106" s="67">
        <f t="shared" si="0"/>
        <v>1.48</v>
      </c>
      <c r="I106" s="67">
        <f t="shared" si="0"/>
        <v>1.38</v>
      </c>
      <c r="J106" s="67">
        <f t="shared" si="0"/>
        <v>0.01</v>
      </c>
      <c r="K106" s="67">
        <f t="shared" si="0"/>
        <v>0.98</v>
      </c>
      <c r="L106" s="67">
        <f t="shared" si="0"/>
        <v>19.649999999999999</v>
      </c>
      <c r="M106" s="67">
        <f t="shared" si="0"/>
        <v>34.25</v>
      </c>
      <c r="N106" s="67">
        <f t="shared" si="0"/>
        <v>7.5</v>
      </c>
      <c r="O106" s="67">
        <f t="shared" si="0"/>
        <v>0</v>
      </c>
      <c r="P106" s="67">
        <f t="shared" si="0"/>
        <v>0.33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117.9</v>
      </c>
      <c r="C107" s="66">
        <f t="shared" ref="C107:Q107" si="1">MAX(C9:C104)</f>
        <v>92.29</v>
      </c>
      <c r="D107" s="66">
        <f t="shared" si="1"/>
        <v>146.77000000000001</v>
      </c>
      <c r="E107" s="66">
        <f t="shared" si="1"/>
        <v>0.77</v>
      </c>
      <c r="F107" s="66">
        <f t="shared" si="1"/>
        <v>30.12</v>
      </c>
      <c r="G107" s="66">
        <f t="shared" si="1"/>
        <v>219.99</v>
      </c>
      <c r="H107" s="66">
        <f t="shared" si="1"/>
        <v>177</v>
      </c>
      <c r="I107" s="66">
        <f t="shared" si="1"/>
        <v>1.58</v>
      </c>
      <c r="J107" s="66">
        <f t="shared" si="1"/>
        <v>1.22</v>
      </c>
      <c r="K107" s="66">
        <f t="shared" si="1"/>
        <v>355.79</v>
      </c>
      <c r="L107" s="66">
        <f t="shared" si="1"/>
        <v>31.91</v>
      </c>
      <c r="M107" s="66">
        <f t="shared" si="1"/>
        <v>97.43</v>
      </c>
      <c r="N107" s="66">
        <f t="shared" si="1"/>
        <v>849.1</v>
      </c>
      <c r="O107" s="66">
        <f t="shared" si="1"/>
        <v>0</v>
      </c>
      <c r="P107" s="66">
        <f t="shared" si="1"/>
        <v>3.11</v>
      </c>
      <c r="Q107" s="66">
        <f t="shared" si="1"/>
        <v>10.36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23.935937499999994</v>
      </c>
      <c r="C108" s="67">
        <f t="shared" ref="C108:Q108" si="2">AVERAGE(C9:C104)</f>
        <v>26.782291666666662</v>
      </c>
      <c r="D108" s="67">
        <f t="shared" si="2"/>
        <v>35.267812499999998</v>
      </c>
      <c r="E108" s="67">
        <f t="shared" si="2"/>
        <v>0.42697916666666652</v>
      </c>
      <c r="F108" s="67">
        <f t="shared" si="2"/>
        <v>6.2458333333333345</v>
      </c>
      <c r="G108" s="67">
        <f t="shared" si="2"/>
        <v>86.907654320987646</v>
      </c>
      <c r="H108" s="67">
        <f t="shared" si="2"/>
        <v>37.649861111111107</v>
      </c>
      <c r="I108" s="67">
        <f t="shared" si="2"/>
        <v>1.505729166666667</v>
      </c>
      <c r="J108" s="67">
        <f t="shared" si="2"/>
        <v>0.2344791666666666</v>
      </c>
      <c r="K108" s="67">
        <f t="shared" si="2"/>
        <v>207.89041666666671</v>
      </c>
      <c r="L108" s="67">
        <f t="shared" si="2"/>
        <v>24.970937500000005</v>
      </c>
      <c r="M108" s="67">
        <f t="shared" si="2"/>
        <v>64.116145833333334</v>
      </c>
      <c r="N108" s="67">
        <f t="shared" si="2"/>
        <v>212.13229166666659</v>
      </c>
      <c r="O108" s="67">
        <f t="shared" si="2"/>
        <v>0</v>
      </c>
      <c r="P108" s="67">
        <f t="shared" si="2"/>
        <v>0.87041666666666651</v>
      </c>
      <c r="Q108" s="67">
        <f t="shared" si="2"/>
        <v>5.0758333333333319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30.979368909957003</v>
      </c>
      <c r="C109" s="67">
        <f t="shared" ref="C109:Q109" si="3">STDEV(C9:C104)</f>
        <v>21.210785065952543</v>
      </c>
      <c r="D109" s="67">
        <f t="shared" si="3"/>
        <v>34.844048263297431</v>
      </c>
      <c r="E109" s="67">
        <f t="shared" si="3"/>
        <v>0.13320439214875529</v>
      </c>
      <c r="F109" s="67">
        <f t="shared" si="3"/>
        <v>6.6415581029670818</v>
      </c>
      <c r="G109" s="67">
        <f t="shared" si="3"/>
        <v>41.807066246975708</v>
      </c>
      <c r="H109" s="67">
        <f t="shared" si="3"/>
        <v>43.164800523178485</v>
      </c>
      <c r="I109" s="67">
        <f t="shared" si="3"/>
        <v>4.3255539144330078E-2</v>
      </c>
      <c r="J109" s="67">
        <f t="shared" si="3"/>
        <v>0.26433180819674618</v>
      </c>
      <c r="K109" s="67">
        <f t="shared" si="3"/>
        <v>93.132505478305688</v>
      </c>
      <c r="L109" s="67">
        <f t="shared" si="3"/>
        <v>3.8653113384849802</v>
      </c>
      <c r="M109" s="67">
        <f t="shared" si="3"/>
        <v>21.418512669861872</v>
      </c>
      <c r="N109" s="67">
        <f t="shared" si="3"/>
        <v>301.15550433020013</v>
      </c>
      <c r="O109" s="67">
        <f t="shared" si="3"/>
        <v>0</v>
      </c>
      <c r="P109" s="67">
        <f t="shared" si="3"/>
        <v>0.62164961643520311</v>
      </c>
      <c r="Q109" s="67">
        <f t="shared" si="3"/>
        <v>1.926295963851578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COUNT(G9:G104)+15</f>
        <v>96</v>
      </c>
      <c r="H110" s="66">
        <f>COUNT(H9:H104)+24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1782</v>
      </c>
      <c r="B9" s="64">
        <v>73.239999999999995</v>
      </c>
      <c r="C9" s="64">
        <v>29.86</v>
      </c>
      <c r="D9" s="64">
        <v>76.510000000000005</v>
      </c>
      <c r="E9" s="64">
        <v>0.36</v>
      </c>
      <c r="F9" s="64">
        <v>0.86</v>
      </c>
      <c r="G9" s="215" t="s">
        <v>36</v>
      </c>
      <c r="H9" s="215" t="s">
        <v>36</v>
      </c>
      <c r="I9" s="64">
        <v>1.53</v>
      </c>
      <c r="J9" s="64">
        <v>0.11</v>
      </c>
      <c r="K9" s="64">
        <v>327.32</v>
      </c>
      <c r="L9" s="64">
        <v>20.89</v>
      </c>
      <c r="M9" s="64">
        <v>84.7</v>
      </c>
      <c r="N9" s="64">
        <v>8.8000000000000007</v>
      </c>
      <c r="O9" s="64">
        <v>0</v>
      </c>
      <c r="P9" s="64">
        <v>1.71</v>
      </c>
      <c r="Q9" s="64">
        <v>10.8</v>
      </c>
      <c r="R9" s="198"/>
      <c r="S9" s="198"/>
      <c r="T9" s="198"/>
      <c r="U9" s="198"/>
    </row>
    <row r="10" spans="1:21" s="12" customFormat="1" x14ac:dyDescent="0.25">
      <c r="A10" s="214" t="s">
        <v>1783</v>
      </c>
      <c r="B10" s="64">
        <v>64.790000000000006</v>
      </c>
      <c r="C10" s="64">
        <v>33.82</v>
      </c>
      <c r="D10" s="64">
        <v>71.92</v>
      </c>
      <c r="E10" s="64">
        <v>0.38</v>
      </c>
      <c r="F10" s="64">
        <v>0.67</v>
      </c>
      <c r="G10" s="215" t="s">
        <v>36</v>
      </c>
      <c r="H10" s="215" t="s">
        <v>36</v>
      </c>
      <c r="I10" s="64">
        <v>1.5</v>
      </c>
      <c r="J10" s="64">
        <v>0.12</v>
      </c>
      <c r="K10" s="64">
        <v>312.85000000000002</v>
      </c>
      <c r="L10" s="64">
        <v>20.86</v>
      </c>
      <c r="M10" s="64">
        <v>85.81</v>
      </c>
      <c r="N10" s="64">
        <v>8.8000000000000007</v>
      </c>
      <c r="O10" s="64">
        <v>0</v>
      </c>
      <c r="P10" s="64">
        <v>1.57</v>
      </c>
      <c r="Q10" s="64">
        <v>11.42</v>
      </c>
      <c r="R10" s="198"/>
      <c r="S10" s="198"/>
      <c r="T10" s="198"/>
      <c r="U10" s="198"/>
    </row>
    <row r="11" spans="1:21" s="12" customFormat="1" x14ac:dyDescent="0.25">
      <c r="A11" s="214" t="s">
        <v>1784</v>
      </c>
      <c r="B11" s="64">
        <v>75.459999999999994</v>
      </c>
      <c r="C11" s="64">
        <v>22.18</v>
      </c>
      <c r="D11" s="64">
        <v>74.05</v>
      </c>
      <c r="E11" s="64">
        <v>0.38</v>
      </c>
      <c r="F11" s="64">
        <v>0.86</v>
      </c>
      <c r="G11" s="215" t="s">
        <v>36</v>
      </c>
      <c r="H11" s="215" t="s">
        <v>36</v>
      </c>
      <c r="I11" s="64">
        <v>1.55</v>
      </c>
      <c r="J11" s="64">
        <v>0.15</v>
      </c>
      <c r="K11" s="64">
        <v>306.29000000000002</v>
      </c>
      <c r="L11" s="64">
        <v>20.73</v>
      </c>
      <c r="M11" s="64">
        <v>87.47</v>
      </c>
      <c r="N11" s="64">
        <v>8.8000000000000007</v>
      </c>
      <c r="O11" s="64">
        <v>0</v>
      </c>
      <c r="P11" s="64">
        <v>1.72</v>
      </c>
      <c r="Q11" s="64">
        <v>11.48</v>
      </c>
      <c r="R11" s="198"/>
      <c r="S11" s="198"/>
      <c r="T11" s="198"/>
      <c r="U11" s="198"/>
    </row>
    <row r="12" spans="1:21" s="12" customFormat="1" x14ac:dyDescent="0.25">
      <c r="A12" s="214" t="s">
        <v>1785</v>
      </c>
      <c r="B12" s="64">
        <v>62.29</v>
      </c>
      <c r="C12" s="64">
        <v>25.95</v>
      </c>
      <c r="D12" s="64">
        <v>65.569999999999993</v>
      </c>
      <c r="E12" s="64">
        <v>0.4</v>
      </c>
      <c r="F12" s="64">
        <v>0.68</v>
      </c>
      <c r="G12" s="215" t="s">
        <v>36</v>
      </c>
      <c r="H12" s="215" t="s">
        <v>36</v>
      </c>
      <c r="I12" s="64">
        <v>1.53</v>
      </c>
      <c r="J12" s="64">
        <v>0.13</v>
      </c>
      <c r="K12" s="64">
        <v>309.37</v>
      </c>
      <c r="L12" s="64">
        <v>20.64</v>
      </c>
      <c r="M12" s="64">
        <v>88.25</v>
      </c>
      <c r="N12" s="64">
        <v>8.8000000000000007</v>
      </c>
      <c r="O12" s="64">
        <v>0</v>
      </c>
      <c r="P12" s="64">
        <v>1.56</v>
      </c>
      <c r="Q12" s="64">
        <v>11.33</v>
      </c>
      <c r="R12" s="198"/>
      <c r="S12" s="198"/>
      <c r="T12" s="198"/>
      <c r="U12" s="198"/>
    </row>
    <row r="13" spans="1:21" s="12" customFormat="1" x14ac:dyDescent="0.25">
      <c r="A13" s="214" t="s">
        <v>1786</v>
      </c>
      <c r="B13" s="64">
        <v>64.260000000000005</v>
      </c>
      <c r="C13" s="64">
        <v>23.91</v>
      </c>
      <c r="D13" s="64">
        <v>66.02</v>
      </c>
      <c r="E13" s="64">
        <v>0.38</v>
      </c>
      <c r="F13" s="64">
        <v>1.06</v>
      </c>
      <c r="G13" s="215" t="s">
        <v>36</v>
      </c>
      <c r="H13" s="215" t="s">
        <v>36</v>
      </c>
      <c r="I13" s="64">
        <v>1.56</v>
      </c>
      <c r="J13" s="64">
        <v>0.11</v>
      </c>
      <c r="K13" s="64">
        <v>295.38</v>
      </c>
      <c r="L13" s="64">
        <v>20.54</v>
      </c>
      <c r="M13" s="64">
        <v>86.12</v>
      </c>
      <c r="N13" s="64">
        <v>8.6999999999999993</v>
      </c>
      <c r="O13" s="64">
        <v>0</v>
      </c>
      <c r="P13" s="64">
        <v>1.34</v>
      </c>
      <c r="Q13" s="64">
        <v>11.47</v>
      </c>
      <c r="R13" s="198"/>
      <c r="S13" s="198"/>
      <c r="T13" s="198"/>
      <c r="U13" s="198"/>
    </row>
    <row r="14" spans="1:21" s="12" customFormat="1" x14ac:dyDescent="0.25">
      <c r="A14" s="214" t="s">
        <v>1787</v>
      </c>
      <c r="B14" s="64">
        <v>64.3</v>
      </c>
      <c r="C14" s="64">
        <v>20.21</v>
      </c>
      <c r="D14" s="64">
        <v>64.010000000000005</v>
      </c>
      <c r="E14" s="64">
        <v>0.37</v>
      </c>
      <c r="F14" s="64">
        <v>0.87</v>
      </c>
      <c r="G14" s="215" t="s">
        <v>36</v>
      </c>
      <c r="H14" s="215" t="s">
        <v>36</v>
      </c>
      <c r="I14" s="64">
        <v>1.53</v>
      </c>
      <c r="J14" s="64">
        <v>0.04</v>
      </c>
      <c r="K14" s="64">
        <v>343.75</v>
      </c>
      <c r="L14" s="64">
        <v>21.15</v>
      </c>
      <c r="M14" s="64">
        <v>81.86</v>
      </c>
      <c r="N14" s="64">
        <v>8.5</v>
      </c>
      <c r="O14" s="64">
        <v>0</v>
      </c>
      <c r="P14" s="64">
        <v>1.46</v>
      </c>
      <c r="Q14" s="64">
        <v>10.93</v>
      </c>
      <c r="R14" s="198"/>
      <c r="S14" s="198"/>
      <c r="T14" s="198"/>
      <c r="U14" s="198"/>
    </row>
    <row r="15" spans="1:21" s="12" customFormat="1" x14ac:dyDescent="0.25">
      <c r="A15" s="214" t="s">
        <v>1788</v>
      </c>
      <c r="B15" s="64">
        <v>50.21</v>
      </c>
      <c r="C15" s="64">
        <v>20.309999999999999</v>
      </c>
      <c r="D15" s="64">
        <v>52.76</v>
      </c>
      <c r="E15" s="64">
        <v>0.3</v>
      </c>
      <c r="F15" s="64">
        <v>3.31</v>
      </c>
      <c r="G15" s="215" t="s">
        <v>36</v>
      </c>
      <c r="H15" s="215" t="s">
        <v>36</v>
      </c>
      <c r="I15" s="64">
        <v>1.54</v>
      </c>
      <c r="J15" s="64">
        <v>0.09</v>
      </c>
      <c r="K15" s="64">
        <v>266.26</v>
      </c>
      <c r="L15" s="64">
        <v>21.03</v>
      </c>
      <c r="M15" s="64">
        <v>84.46</v>
      </c>
      <c r="N15" s="64">
        <v>8.4</v>
      </c>
      <c r="O15" s="64">
        <v>0</v>
      </c>
      <c r="P15" s="64">
        <v>1.22</v>
      </c>
      <c r="Q15" s="64">
        <v>11.19</v>
      </c>
      <c r="R15" s="198"/>
      <c r="S15" s="198"/>
      <c r="T15" s="198"/>
      <c r="U15" s="198"/>
    </row>
    <row r="16" spans="1:21" s="12" customFormat="1" x14ac:dyDescent="0.25">
      <c r="A16" s="214" t="s">
        <v>1789</v>
      </c>
      <c r="B16" s="64">
        <v>50.07</v>
      </c>
      <c r="C16" s="64">
        <v>20.55</v>
      </c>
      <c r="D16" s="64">
        <v>52.78</v>
      </c>
      <c r="E16" s="64">
        <v>0.24</v>
      </c>
      <c r="F16" s="64">
        <v>2.78</v>
      </c>
      <c r="G16" s="215" t="s">
        <v>36</v>
      </c>
      <c r="H16" s="215" t="s">
        <v>36</v>
      </c>
      <c r="I16" s="64">
        <v>1.49</v>
      </c>
      <c r="J16" s="64">
        <v>0.08</v>
      </c>
      <c r="K16" s="64">
        <v>292.44</v>
      </c>
      <c r="L16" s="64">
        <v>20.49</v>
      </c>
      <c r="M16" s="64">
        <v>91.22</v>
      </c>
      <c r="N16" s="64">
        <v>8.8000000000000007</v>
      </c>
      <c r="O16" s="64">
        <v>0</v>
      </c>
      <c r="P16" s="64">
        <v>1.31</v>
      </c>
      <c r="Q16" s="64">
        <v>10.99</v>
      </c>
      <c r="R16" s="198"/>
      <c r="S16" s="198"/>
      <c r="T16" s="198"/>
      <c r="U16" s="198"/>
    </row>
    <row r="17" spans="1:21" s="12" customFormat="1" x14ac:dyDescent="0.25">
      <c r="A17" s="214" t="s">
        <v>1790</v>
      </c>
      <c r="B17" s="64">
        <v>37.56</v>
      </c>
      <c r="C17" s="64">
        <v>19.7</v>
      </c>
      <c r="D17" s="64">
        <v>42.28</v>
      </c>
      <c r="E17" s="64">
        <v>0.25</v>
      </c>
      <c r="F17" s="64">
        <v>7.1</v>
      </c>
      <c r="G17" s="215" t="s">
        <v>36</v>
      </c>
      <c r="H17" s="215" t="s">
        <v>36</v>
      </c>
      <c r="I17" s="64">
        <v>1.46</v>
      </c>
      <c r="J17" s="64">
        <v>0.04</v>
      </c>
      <c r="K17" s="64">
        <v>213.27</v>
      </c>
      <c r="L17" s="64">
        <v>20.27</v>
      </c>
      <c r="M17" s="64">
        <v>89.21</v>
      </c>
      <c r="N17" s="64">
        <v>8.6999999999999993</v>
      </c>
      <c r="O17" s="64">
        <v>0</v>
      </c>
      <c r="P17" s="64">
        <v>0.97</v>
      </c>
      <c r="Q17" s="64">
        <v>11.86</v>
      </c>
      <c r="R17" s="198"/>
      <c r="S17" s="198"/>
      <c r="T17" s="198"/>
      <c r="U17" s="198"/>
    </row>
    <row r="18" spans="1:21" s="12" customFormat="1" x14ac:dyDescent="0.25">
      <c r="A18" s="214" t="s">
        <v>1791</v>
      </c>
      <c r="B18" s="64">
        <v>33.36</v>
      </c>
      <c r="C18" s="64">
        <v>22.08</v>
      </c>
      <c r="D18" s="64">
        <v>40.229999999999997</v>
      </c>
      <c r="E18" s="64">
        <v>0.32</v>
      </c>
      <c r="F18" s="64">
        <v>5.79</v>
      </c>
      <c r="G18" s="215" t="s">
        <v>36</v>
      </c>
      <c r="H18" s="215" t="s">
        <v>36</v>
      </c>
      <c r="I18" s="64">
        <v>1.5</v>
      </c>
      <c r="J18" s="64">
        <v>0.09</v>
      </c>
      <c r="K18" s="64">
        <v>309.47000000000003</v>
      </c>
      <c r="L18" s="64">
        <v>20.29</v>
      </c>
      <c r="M18" s="64">
        <v>89.66</v>
      </c>
      <c r="N18" s="64">
        <v>8.6999999999999993</v>
      </c>
      <c r="O18" s="64">
        <v>0</v>
      </c>
      <c r="P18" s="64">
        <v>0.94</v>
      </c>
      <c r="Q18" s="64">
        <v>11.51</v>
      </c>
      <c r="R18" s="198"/>
      <c r="S18" s="198"/>
      <c r="T18" s="198"/>
      <c r="U18" s="198"/>
    </row>
    <row r="19" spans="1:21" s="12" customFormat="1" x14ac:dyDescent="0.25">
      <c r="A19" s="214" t="s">
        <v>1792</v>
      </c>
      <c r="B19" s="64">
        <v>45.94</v>
      </c>
      <c r="C19" s="64">
        <v>19.260000000000002</v>
      </c>
      <c r="D19" s="64">
        <v>48.76</v>
      </c>
      <c r="E19" s="64">
        <v>0.35</v>
      </c>
      <c r="F19" s="64">
        <v>2.8</v>
      </c>
      <c r="G19" s="215" t="s">
        <v>36</v>
      </c>
      <c r="H19" s="215" t="s">
        <v>36</v>
      </c>
      <c r="I19" s="64">
        <v>1.57</v>
      </c>
      <c r="J19" s="64">
        <v>0.08</v>
      </c>
      <c r="K19" s="64">
        <v>274.58</v>
      </c>
      <c r="L19" s="64">
        <v>20.07</v>
      </c>
      <c r="M19" s="64">
        <v>92.08</v>
      </c>
      <c r="N19" s="64">
        <v>8.6999999999999993</v>
      </c>
      <c r="O19" s="64">
        <v>0</v>
      </c>
      <c r="P19" s="64">
        <v>1.19</v>
      </c>
      <c r="Q19" s="64">
        <v>11.3</v>
      </c>
      <c r="R19" s="198"/>
      <c r="S19" s="198"/>
      <c r="T19" s="198"/>
      <c r="U19" s="198"/>
    </row>
    <row r="20" spans="1:21" s="12" customFormat="1" x14ac:dyDescent="0.25">
      <c r="A20" s="214" t="s">
        <v>1793</v>
      </c>
      <c r="B20" s="64">
        <v>38.26</v>
      </c>
      <c r="C20" s="64">
        <v>24.48</v>
      </c>
      <c r="D20" s="64">
        <v>45.48</v>
      </c>
      <c r="E20" s="64">
        <v>0.33</v>
      </c>
      <c r="F20" s="64">
        <v>3.98</v>
      </c>
      <c r="G20" s="215" t="s">
        <v>36</v>
      </c>
      <c r="H20" s="215" t="s">
        <v>36</v>
      </c>
      <c r="I20" s="64">
        <v>1.47</v>
      </c>
      <c r="J20" s="64">
        <v>0.05</v>
      </c>
      <c r="K20" s="64">
        <v>126.33</v>
      </c>
      <c r="L20" s="64">
        <v>20</v>
      </c>
      <c r="M20" s="64">
        <v>89.29</v>
      </c>
      <c r="N20" s="64">
        <v>8.6999999999999993</v>
      </c>
      <c r="O20" s="64">
        <v>0</v>
      </c>
      <c r="P20" s="64">
        <v>1</v>
      </c>
      <c r="Q20" s="64">
        <v>10.78</v>
      </c>
      <c r="R20" s="198"/>
      <c r="S20" s="198"/>
      <c r="T20" s="198"/>
      <c r="U20" s="198"/>
    </row>
    <row r="21" spans="1:21" s="12" customFormat="1" x14ac:dyDescent="0.25">
      <c r="A21" s="214" t="s">
        <v>1794</v>
      </c>
      <c r="B21" s="64">
        <v>49.04</v>
      </c>
      <c r="C21" s="64">
        <v>20.38</v>
      </c>
      <c r="D21" s="64">
        <v>51.87</v>
      </c>
      <c r="E21" s="64">
        <v>0.38</v>
      </c>
      <c r="F21" s="64">
        <v>1.54</v>
      </c>
      <c r="G21" s="215" t="s">
        <v>36</v>
      </c>
      <c r="H21" s="215" t="s">
        <v>36</v>
      </c>
      <c r="I21" s="64">
        <v>1.43</v>
      </c>
      <c r="J21" s="64">
        <v>0.09</v>
      </c>
      <c r="K21" s="64">
        <v>298.05</v>
      </c>
      <c r="L21" s="64">
        <v>19.940000000000001</v>
      </c>
      <c r="M21" s="64">
        <v>89.39</v>
      </c>
      <c r="N21" s="64">
        <v>8.6999999999999993</v>
      </c>
      <c r="O21" s="64">
        <v>0</v>
      </c>
      <c r="P21" s="64">
        <v>1.21</v>
      </c>
      <c r="Q21" s="64">
        <v>9.84</v>
      </c>
      <c r="R21" s="198"/>
      <c r="S21" s="198"/>
      <c r="T21" s="198"/>
      <c r="U21" s="198"/>
    </row>
    <row r="22" spans="1:21" s="12" customFormat="1" x14ac:dyDescent="0.25">
      <c r="A22" s="214" t="s">
        <v>1795</v>
      </c>
      <c r="B22" s="64">
        <v>48.42</v>
      </c>
      <c r="C22" s="64">
        <v>20.86</v>
      </c>
      <c r="D22" s="64">
        <v>51.63</v>
      </c>
      <c r="E22" s="64">
        <v>0.42</v>
      </c>
      <c r="F22" s="64">
        <v>1.25</v>
      </c>
      <c r="G22" s="215" t="s">
        <v>36</v>
      </c>
      <c r="H22" s="215" t="s">
        <v>36</v>
      </c>
      <c r="I22" s="64">
        <v>1.47</v>
      </c>
      <c r="J22" s="64">
        <v>0.03</v>
      </c>
      <c r="K22" s="64">
        <v>13.46</v>
      </c>
      <c r="L22" s="64">
        <v>19.899999999999999</v>
      </c>
      <c r="M22" s="64">
        <v>91.19</v>
      </c>
      <c r="N22" s="64">
        <v>8.6</v>
      </c>
      <c r="O22" s="64">
        <v>0</v>
      </c>
      <c r="P22" s="64">
        <v>1.18</v>
      </c>
      <c r="Q22" s="64">
        <v>9.3699999999999992</v>
      </c>
      <c r="R22" s="198"/>
      <c r="S22" s="198"/>
      <c r="T22" s="198"/>
      <c r="U22" s="198"/>
    </row>
    <row r="23" spans="1:21" s="12" customFormat="1" x14ac:dyDescent="0.25">
      <c r="A23" s="214" t="s">
        <v>1796</v>
      </c>
      <c r="B23" s="64">
        <v>48.7</v>
      </c>
      <c r="C23" s="64">
        <v>18.309999999999999</v>
      </c>
      <c r="D23" s="64">
        <v>50.45</v>
      </c>
      <c r="E23" s="64">
        <v>0.42</v>
      </c>
      <c r="F23" s="64">
        <v>0.81</v>
      </c>
      <c r="G23" s="215" t="s">
        <v>36</v>
      </c>
      <c r="H23" s="215" t="s">
        <v>36</v>
      </c>
      <c r="I23" s="64">
        <v>1.51</v>
      </c>
      <c r="J23" s="64">
        <v>0.04</v>
      </c>
      <c r="K23" s="64">
        <v>116.9</v>
      </c>
      <c r="L23" s="64">
        <v>20.14</v>
      </c>
      <c r="M23" s="64">
        <v>86.66</v>
      </c>
      <c r="N23" s="64">
        <v>8.5</v>
      </c>
      <c r="O23" s="64">
        <v>0</v>
      </c>
      <c r="P23" s="64">
        <v>1.2</v>
      </c>
      <c r="Q23" s="64">
        <v>9.2200000000000006</v>
      </c>
      <c r="R23" s="198"/>
      <c r="S23" s="198"/>
      <c r="T23" s="198"/>
      <c r="U23" s="198"/>
    </row>
    <row r="24" spans="1:21" s="12" customFormat="1" x14ac:dyDescent="0.25">
      <c r="A24" s="214" t="s">
        <v>1797</v>
      </c>
      <c r="B24" s="64">
        <v>42.77</v>
      </c>
      <c r="C24" s="64">
        <v>22.17</v>
      </c>
      <c r="D24" s="64">
        <v>47.83</v>
      </c>
      <c r="E24" s="64">
        <v>0.28000000000000003</v>
      </c>
      <c r="F24" s="64">
        <v>1.01</v>
      </c>
      <c r="G24" s="215" t="s">
        <v>36</v>
      </c>
      <c r="H24" s="215" t="s">
        <v>36</v>
      </c>
      <c r="I24" s="64">
        <v>1.52</v>
      </c>
      <c r="J24" s="64">
        <v>0.03</v>
      </c>
      <c r="K24" s="64">
        <v>153.99</v>
      </c>
      <c r="L24" s="64">
        <v>20.12</v>
      </c>
      <c r="M24" s="64">
        <v>88.07</v>
      </c>
      <c r="N24" s="64">
        <v>8.6999999999999993</v>
      </c>
      <c r="O24" s="64">
        <v>0</v>
      </c>
      <c r="P24" s="64">
        <v>1.08</v>
      </c>
      <c r="Q24" s="64">
        <v>9.16</v>
      </c>
      <c r="R24" s="198"/>
      <c r="S24" s="198"/>
      <c r="T24" s="198"/>
      <c r="U24" s="198"/>
    </row>
    <row r="25" spans="1:21" s="12" customFormat="1" x14ac:dyDescent="0.25">
      <c r="A25" s="214" t="s">
        <v>1798</v>
      </c>
      <c r="B25" s="64">
        <v>44.01</v>
      </c>
      <c r="C25" s="64">
        <v>18.809999999999999</v>
      </c>
      <c r="D25" s="64">
        <v>46.97</v>
      </c>
      <c r="E25" s="64">
        <v>0.38</v>
      </c>
      <c r="F25" s="64">
        <v>0.86</v>
      </c>
      <c r="G25" s="215" t="s">
        <v>36</v>
      </c>
      <c r="H25" s="215" t="s">
        <v>36</v>
      </c>
      <c r="I25" s="64">
        <v>1.49</v>
      </c>
      <c r="J25" s="64">
        <v>0.03</v>
      </c>
      <c r="K25" s="64">
        <v>233.35</v>
      </c>
      <c r="L25" s="64">
        <v>20.09</v>
      </c>
      <c r="M25" s="64">
        <v>90.04</v>
      </c>
      <c r="N25" s="64">
        <v>8.6</v>
      </c>
      <c r="O25" s="64">
        <v>0</v>
      </c>
      <c r="P25" s="64">
        <v>1.1299999999999999</v>
      </c>
      <c r="Q25" s="64">
        <v>9</v>
      </c>
      <c r="R25" s="198"/>
      <c r="S25" s="198"/>
      <c r="T25" s="198"/>
      <c r="U25" s="198"/>
    </row>
    <row r="26" spans="1:21" s="12" customFormat="1" x14ac:dyDescent="0.25">
      <c r="A26" s="214" t="s">
        <v>1799</v>
      </c>
      <c r="B26" s="64">
        <v>40.21</v>
      </c>
      <c r="C26" s="64">
        <v>20.69</v>
      </c>
      <c r="D26" s="64">
        <v>44.96</v>
      </c>
      <c r="E26" s="64">
        <v>0.4</v>
      </c>
      <c r="F26" s="64">
        <v>0.88</v>
      </c>
      <c r="G26" s="215" t="s">
        <v>36</v>
      </c>
      <c r="H26" s="215" t="s">
        <v>36</v>
      </c>
      <c r="I26" s="64">
        <v>1.44</v>
      </c>
      <c r="J26" s="64">
        <v>0.05</v>
      </c>
      <c r="K26" s="64">
        <v>262.91000000000003</v>
      </c>
      <c r="L26" s="64">
        <v>20.07</v>
      </c>
      <c r="M26" s="64">
        <v>92.03</v>
      </c>
      <c r="N26" s="64">
        <v>8.6999999999999993</v>
      </c>
      <c r="O26" s="64">
        <v>0</v>
      </c>
      <c r="P26" s="64">
        <v>1.07</v>
      </c>
      <c r="Q26" s="64">
        <v>8.94</v>
      </c>
      <c r="R26" s="198"/>
      <c r="S26" s="198"/>
      <c r="T26" s="198"/>
      <c r="U26" s="198"/>
    </row>
    <row r="27" spans="1:21" s="12" customFormat="1" x14ac:dyDescent="0.25">
      <c r="A27" s="214" t="s">
        <v>1800</v>
      </c>
      <c r="B27" s="64">
        <v>43.66</v>
      </c>
      <c r="C27" s="64">
        <v>16.559999999999999</v>
      </c>
      <c r="D27" s="64">
        <v>45.44</v>
      </c>
      <c r="E27" s="64">
        <v>0.47</v>
      </c>
      <c r="F27" s="64">
        <v>0.62</v>
      </c>
      <c r="G27" s="215" t="s">
        <v>36</v>
      </c>
      <c r="H27" s="215" t="s">
        <v>36</v>
      </c>
      <c r="I27" s="64">
        <v>1.52</v>
      </c>
      <c r="J27" s="64">
        <v>0.01</v>
      </c>
      <c r="K27" s="64">
        <v>142.87</v>
      </c>
      <c r="L27" s="64">
        <v>19.86</v>
      </c>
      <c r="M27" s="64">
        <v>93.07</v>
      </c>
      <c r="N27" s="64">
        <v>8.6999999999999993</v>
      </c>
      <c r="O27" s="64">
        <v>0</v>
      </c>
      <c r="P27" s="64">
        <v>1.1200000000000001</v>
      </c>
      <c r="Q27" s="64">
        <v>8.7200000000000006</v>
      </c>
      <c r="R27" s="198"/>
      <c r="S27" s="198"/>
      <c r="T27" s="198"/>
      <c r="U27" s="198"/>
    </row>
    <row r="28" spans="1:21" s="12" customFormat="1" x14ac:dyDescent="0.25">
      <c r="A28" s="214" t="s">
        <v>1801</v>
      </c>
      <c r="B28" s="64">
        <v>40.619999999999997</v>
      </c>
      <c r="C28" s="64">
        <v>23.33</v>
      </c>
      <c r="D28" s="64">
        <v>46.74</v>
      </c>
      <c r="E28" s="64">
        <v>0.48</v>
      </c>
      <c r="F28" s="64">
        <v>0.15</v>
      </c>
      <c r="G28" s="215" t="s">
        <v>36</v>
      </c>
      <c r="H28" s="215" t="s">
        <v>36</v>
      </c>
      <c r="I28" s="64">
        <v>1.54</v>
      </c>
      <c r="J28" s="64">
        <v>0.09</v>
      </c>
      <c r="K28" s="64">
        <v>283.35000000000002</v>
      </c>
      <c r="L28" s="64">
        <v>19.79</v>
      </c>
      <c r="M28" s="64">
        <v>95.39</v>
      </c>
      <c r="N28" s="64">
        <v>8.6999999999999993</v>
      </c>
      <c r="O28" s="64">
        <v>0</v>
      </c>
      <c r="P28" s="64">
        <v>1.02</v>
      </c>
      <c r="Q28" s="64">
        <v>8.44</v>
      </c>
      <c r="R28" s="198"/>
      <c r="S28" s="198"/>
      <c r="T28" s="198"/>
      <c r="U28" s="198"/>
    </row>
    <row r="29" spans="1:21" s="12" customFormat="1" x14ac:dyDescent="0.25">
      <c r="A29" s="214" t="s">
        <v>1802</v>
      </c>
      <c r="B29" s="64">
        <v>42.36</v>
      </c>
      <c r="C29" s="64">
        <v>19.850000000000001</v>
      </c>
      <c r="D29" s="64">
        <v>46.21</v>
      </c>
      <c r="E29" s="64">
        <v>0.38</v>
      </c>
      <c r="F29" s="64">
        <v>0.52</v>
      </c>
      <c r="G29" s="215" t="s">
        <v>36</v>
      </c>
      <c r="H29" s="215" t="s">
        <v>36</v>
      </c>
      <c r="I29" s="64">
        <v>1.54</v>
      </c>
      <c r="J29" s="64">
        <v>7.0000000000000007E-2</v>
      </c>
      <c r="K29" s="64">
        <v>294.42</v>
      </c>
      <c r="L29" s="64">
        <v>19.649999999999999</v>
      </c>
      <c r="M29" s="64">
        <v>95.8</v>
      </c>
      <c r="N29" s="64">
        <v>8.8000000000000007</v>
      </c>
      <c r="O29" s="64">
        <v>0</v>
      </c>
      <c r="P29" s="64">
        <v>1.08</v>
      </c>
      <c r="Q29" s="64">
        <v>8.39</v>
      </c>
      <c r="R29" s="198"/>
      <c r="S29" s="198"/>
      <c r="T29" s="198"/>
      <c r="U29" s="198"/>
    </row>
    <row r="30" spans="1:21" s="12" customFormat="1" x14ac:dyDescent="0.25">
      <c r="A30" s="214" t="s">
        <v>1803</v>
      </c>
      <c r="B30" s="64">
        <v>43.03</v>
      </c>
      <c r="C30" s="64">
        <v>28.64</v>
      </c>
      <c r="D30" s="64">
        <v>51.61</v>
      </c>
      <c r="E30" s="64">
        <v>0.37</v>
      </c>
      <c r="F30" s="64">
        <v>0.15</v>
      </c>
      <c r="G30" s="215" t="s">
        <v>36</v>
      </c>
      <c r="H30" s="215" t="s">
        <v>36</v>
      </c>
      <c r="I30" s="64">
        <v>1.5</v>
      </c>
      <c r="J30" s="64">
        <v>0.06</v>
      </c>
      <c r="K30" s="64">
        <v>262.37</v>
      </c>
      <c r="L30" s="64">
        <v>19.73</v>
      </c>
      <c r="M30" s="64">
        <v>95.86</v>
      </c>
      <c r="N30" s="64">
        <v>8.6999999999999993</v>
      </c>
      <c r="O30" s="64">
        <v>0</v>
      </c>
      <c r="P30" s="64">
        <v>0.97</v>
      </c>
      <c r="Q30" s="64">
        <v>8.0500000000000007</v>
      </c>
      <c r="R30" s="198"/>
      <c r="S30" s="198"/>
      <c r="T30" s="198"/>
      <c r="U30" s="198"/>
    </row>
    <row r="31" spans="1:21" s="12" customFormat="1" x14ac:dyDescent="0.25">
      <c r="A31" s="214" t="s">
        <v>1804</v>
      </c>
      <c r="B31" s="64">
        <v>46.56</v>
      </c>
      <c r="C31" s="64">
        <v>18.98</v>
      </c>
      <c r="D31" s="64">
        <v>49.11</v>
      </c>
      <c r="E31" s="64">
        <v>0.5</v>
      </c>
      <c r="F31" s="64">
        <v>0.56000000000000005</v>
      </c>
      <c r="G31" s="215" t="s">
        <v>36</v>
      </c>
      <c r="H31" s="215" t="s">
        <v>36</v>
      </c>
      <c r="I31" s="64">
        <v>1.61</v>
      </c>
      <c r="J31" s="64">
        <v>0.09</v>
      </c>
      <c r="K31" s="64">
        <v>252.66</v>
      </c>
      <c r="L31" s="64">
        <v>19.84</v>
      </c>
      <c r="M31" s="64">
        <v>95.57</v>
      </c>
      <c r="N31" s="64">
        <v>9.3000000000000007</v>
      </c>
      <c r="O31" s="64">
        <v>0</v>
      </c>
      <c r="P31" s="64">
        <v>1.06</v>
      </c>
      <c r="Q31" s="64">
        <v>8.25</v>
      </c>
      <c r="R31" s="198"/>
      <c r="S31" s="198"/>
      <c r="T31" s="198"/>
      <c r="U31" s="198"/>
    </row>
    <row r="32" spans="1:21" s="12" customFormat="1" x14ac:dyDescent="0.25">
      <c r="A32" s="214" t="s">
        <v>1805</v>
      </c>
      <c r="B32" s="64">
        <v>47.49</v>
      </c>
      <c r="C32" s="64">
        <v>26.61</v>
      </c>
      <c r="D32" s="64">
        <v>54.06</v>
      </c>
      <c r="E32" s="64">
        <v>0.5</v>
      </c>
      <c r="F32" s="64">
        <v>0.09</v>
      </c>
      <c r="G32" s="215" t="s">
        <v>36</v>
      </c>
      <c r="H32" s="215" t="s">
        <v>36</v>
      </c>
      <c r="I32" s="64">
        <v>1.52</v>
      </c>
      <c r="J32" s="64">
        <v>0.11</v>
      </c>
      <c r="K32" s="64">
        <v>210</v>
      </c>
      <c r="L32" s="64">
        <v>19.920000000000002</v>
      </c>
      <c r="M32" s="64">
        <v>95.67</v>
      </c>
      <c r="N32" s="64">
        <v>13.4</v>
      </c>
      <c r="O32" s="64">
        <v>0</v>
      </c>
      <c r="P32" s="64">
        <v>1.01</v>
      </c>
      <c r="Q32" s="64">
        <v>8</v>
      </c>
      <c r="R32" s="198"/>
      <c r="S32" s="198"/>
      <c r="T32" s="198"/>
      <c r="U32" s="198"/>
    </row>
    <row r="33" spans="1:21" s="12" customFormat="1" x14ac:dyDescent="0.25">
      <c r="A33" s="214" t="s">
        <v>1806</v>
      </c>
      <c r="B33" s="64">
        <v>46.75</v>
      </c>
      <c r="C33" s="64">
        <v>20.170000000000002</v>
      </c>
      <c r="D33" s="64">
        <v>49.91</v>
      </c>
      <c r="E33" s="64">
        <v>0.47</v>
      </c>
      <c r="F33" s="64">
        <v>0.43</v>
      </c>
      <c r="G33" s="215" t="s">
        <v>36</v>
      </c>
      <c r="H33" s="215" t="s">
        <v>36</v>
      </c>
      <c r="I33" s="64">
        <v>1.56</v>
      </c>
      <c r="J33" s="64">
        <v>0.18</v>
      </c>
      <c r="K33" s="64">
        <v>207.46</v>
      </c>
      <c r="L33" s="64">
        <v>20.149999999999999</v>
      </c>
      <c r="M33" s="64">
        <v>95.32</v>
      </c>
      <c r="N33" s="64">
        <v>26.7</v>
      </c>
      <c r="O33" s="64">
        <v>0</v>
      </c>
      <c r="P33" s="64">
        <v>1.04</v>
      </c>
      <c r="Q33" s="64">
        <v>8.2799999999999994</v>
      </c>
      <c r="R33" s="198"/>
      <c r="S33" s="198"/>
      <c r="T33" s="198"/>
      <c r="U33" s="198"/>
    </row>
    <row r="34" spans="1:21" s="12" customFormat="1" x14ac:dyDescent="0.25">
      <c r="A34" s="214" t="s">
        <v>1807</v>
      </c>
      <c r="B34" s="64">
        <v>45.89</v>
      </c>
      <c r="C34" s="64">
        <v>17.14</v>
      </c>
      <c r="D34" s="64">
        <v>47.55</v>
      </c>
      <c r="E34" s="64">
        <v>0.5</v>
      </c>
      <c r="F34" s="64">
        <v>0.45</v>
      </c>
      <c r="G34" s="215" t="s">
        <v>36</v>
      </c>
      <c r="H34" s="215" t="s">
        <v>36</v>
      </c>
      <c r="I34" s="64">
        <v>1.45</v>
      </c>
      <c r="J34" s="64">
        <v>0.09</v>
      </c>
      <c r="K34" s="64">
        <v>210.54</v>
      </c>
      <c r="L34" s="64">
        <v>20.29</v>
      </c>
      <c r="M34" s="64">
        <v>95.89</v>
      </c>
      <c r="N34" s="64">
        <v>49</v>
      </c>
      <c r="O34" s="64">
        <v>0</v>
      </c>
      <c r="P34" s="64">
        <v>1.03</v>
      </c>
      <c r="Q34" s="64">
        <v>8.52</v>
      </c>
      <c r="R34" s="198"/>
      <c r="S34" s="198"/>
      <c r="T34" s="198"/>
      <c r="U34" s="198"/>
    </row>
    <row r="35" spans="1:21" s="12" customFormat="1" x14ac:dyDescent="0.25">
      <c r="A35" s="214" t="s">
        <v>1808</v>
      </c>
      <c r="B35" s="64">
        <v>43.83</v>
      </c>
      <c r="C35" s="64">
        <v>17.329999999999998</v>
      </c>
      <c r="D35" s="64">
        <v>46</v>
      </c>
      <c r="E35" s="64">
        <v>0.48</v>
      </c>
      <c r="F35" s="64">
        <v>0.42</v>
      </c>
      <c r="G35" s="215" t="s">
        <v>36</v>
      </c>
      <c r="H35" s="215" t="s">
        <v>36</v>
      </c>
      <c r="I35" s="64">
        <v>1.47</v>
      </c>
      <c r="J35" s="64">
        <v>0.03</v>
      </c>
      <c r="K35" s="64">
        <v>262.69</v>
      </c>
      <c r="L35" s="64">
        <v>20.89</v>
      </c>
      <c r="M35" s="64">
        <v>93.36</v>
      </c>
      <c r="N35" s="64">
        <v>91.7</v>
      </c>
      <c r="O35" s="64">
        <v>0</v>
      </c>
      <c r="P35" s="64">
        <v>1</v>
      </c>
      <c r="Q35" s="64">
        <v>8.4700000000000006</v>
      </c>
      <c r="R35" s="198"/>
      <c r="S35" s="198"/>
      <c r="T35" s="198"/>
      <c r="U35" s="198"/>
    </row>
    <row r="36" spans="1:21" s="12" customFormat="1" x14ac:dyDescent="0.25">
      <c r="A36" s="214" t="s">
        <v>1809</v>
      </c>
      <c r="B36" s="64">
        <v>43.52</v>
      </c>
      <c r="C36" s="64">
        <v>16.86</v>
      </c>
      <c r="D36" s="64">
        <v>45.5</v>
      </c>
      <c r="E36" s="64">
        <v>0.42</v>
      </c>
      <c r="F36" s="64">
        <v>0.35</v>
      </c>
      <c r="G36" s="215" t="s">
        <v>36</v>
      </c>
      <c r="H36" s="215" t="s">
        <v>36</v>
      </c>
      <c r="I36" s="64">
        <v>1.54</v>
      </c>
      <c r="J36" s="64">
        <v>0.2</v>
      </c>
      <c r="K36" s="64">
        <v>206.12</v>
      </c>
      <c r="L36" s="64">
        <v>21.45</v>
      </c>
      <c r="M36" s="64">
        <v>89.67</v>
      </c>
      <c r="N36" s="64">
        <v>135.69999999999999</v>
      </c>
      <c r="O36" s="64">
        <v>0</v>
      </c>
      <c r="P36" s="64">
        <v>1.03</v>
      </c>
      <c r="Q36" s="64">
        <v>8.48</v>
      </c>
      <c r="R36" s="198"/>
      <c r="S36" s="198"/>
      <c r="T36" s="198"/>
      <c r="U36" s="198"/>
    </row>
    <row r="37" spans="1:21" s="12" customFormat="1" x14ac:dyDescent="0.25">
      <c r="A37" s="214" t="s">
        <v>1810</v>
      </c>
      <c r="B37" s="64">
        <v>42.82</v>
      </c>
      <c r="C37" s="64">
        <v>17.89</v>
      </c>
      <c r="D37" s="64">
        <v>45.5</v>
      </c>
      <c r="E37" s="64">
        <v>0.43</v>
      </c>
      <c r="F37" s="64">
        <v>0.24</v>
      </c>
      <c r="G37" s="215" t="s">
        <v>36</v>
      </c>
      <c r="H37" s="215" t="s">
        <v>36</v>
      </c>
      <c r="I37" s="64">
        <v>1.45</v>
      </c>
      <c r="J37" s="64">
        <v>0.03</v>
      </c>
      <c r="K37" s="64">
        <v>314.77</v>
      </c>
      <c r="L37" s="64">
        <v>21.74</v>
      </c>
      <c r="M37" s="64">
        <v>88.19</v>
      </c>
      <c r="N37" s="64">
        <v>186.3</v>
      </c>
      <c r="O37" s="64">
        <v>0</v>
      </c>
      <c r="P37" s="64">
        <v>0.98</v>
      </c>
      <c r="Q37" s="64">
        <v>8.25</v>
      </c>
      <c r="R37" s="198"/>
      <c r="S37" s="198"/>
      <c r="T37" s="198"/>
      <c r="U37" s="198"/>
    </row>
    <row r="38" spans="1:21" s="12" customFormat="1" x14ac:dyDescent="0.25">
      <c r="A38" s="214" t="s">
        <v>1811</v>
      </c>
      <c r="B38" s="64">
        <v>40.82</v>
      </c>
      <c r="C38" s="64">
        <v>15.73</v>
      </c>
      <c r="D38" s="64">
        <v>42.7</v>
      </c>
      <c r="E38" s="64">
        <v>0.5</v>
      </c>
      <c r="F38" s="64">
        <v>0.59</v>
      </c>
      <c r="G38" s="215" t="s">
        <v>36</v>
      </c>
      <c r="H38" s="215" t="s">
        <v>36</v>
      </c>
      <c r="I38" s="64">
        <v>1.51</v>
      </c>
      <c r="J38" s="64">
        <v>0.19</v>
      </c>
      <c r="K38" s="64">
        <v>187.23</v>
      </c>
      <c r="L38" s="64">
        <v>22.57</v>
      </c>
      <c r="M38" s="64">
        <v>84.07</v>
      </c>
      <c r="N38" s="64">
        <v>236</v>
      </c>
      <c r="O38" s="64">
        <v>0</v>
      </c>
      <c r="P38" s="64">
        <v>1.03</v>
      </c>
      <c r="Q38" s="64">
        <v>8.2799999999999994</v>
      </c>
      <c r="R38" s="198"/>
      <c r="S38" s="198"/>
      <c r="T38" s="198"/>
      <c r="U38" s="198"/>
    </row>
    <row r="39" spans="1:21" s="12" customFormat="1" x14ac:dyDescent="0.25">
      <c r="A39" s="214" t="s">
        <v>1812</v>
      </c>
      <c r="B39" s="64">
        <v>37.07</v>
      </c>
      <c r="C39" s="64">
        <v>17.350000000000001</v>
      </c>
      <c r="D39" s="64">
        <v>40.590000000000003</v>
      </c>
      <c r="E39" s="64">
        <v>0.48</v>
      </c>
      <c r="F39" s="64">
        <v>0.76</v>
      </c>
      <c r="G39" s="215" t="s">
        <v>36</v>
      </c>
      <c r="H39" s="215" t="s">
        <v>36</v>
      </c>
      <c r="I39" s="64">
        <v>1.46</v>
      </c>
      <c r="J39" s="64">
        <v>0.32</v>
      </c>
      <c r="K39" s="64">
        <v>149.12</v>
      </c>
      <c r="L39" s="64">
        <v>23.47</v>
      </c>
      <c r="M39" s="64">
        <v>80.150000000000006</v>
      </c>
      <c r="N39" s="64">
        <v>283.7</v>
      </c>
      <c r="O39" s="64">
        <v>0</v>
      </c>
      <c r="P39" s="64">
        <v>1</v>
      </c>
      <c r="Q39" s="64">
        <v>8.11</v>
      </c>
      <c r="R39" s="198"/>
      <c r="S39" s="198"/>
      <c r="T39" s="198"/>
      <c r="U39" s="198"/>
    </row>
    <row r="40" spans="1:21" s="12" customFormat="1" x14ac:dyDescent="0.25">
      <c r="A40" s="214" t="s">
        <v>1813</v>
      </c>
      <c r="B40" s="64">
        <v>34.94</v>
      </c>
      <c r="C40" s="64">
        <v>20.170000000000002</v>
      </c>
      <c r="D40" s="64">
        <v>40.44</v>
      </c>
      <c r="E40" s="64">
        <v>0.2</v>
      </c>
      <c r="F40" s="64">
        <v>0.38</v>
      </c>
      <c r="G40" s="215" t="s">
        <v>36</v>
      </c>
      <c r="H40" s="215" t="s">
        <v>36</v>
      </c>
      <c r="I40" s="64">
        <v>1.46</v>
      </c>
      <c r="J40" s="64">
        <v>0.15</v>
      </c>
      <c r="K40" s="64">
        <v>198.56</v>
      </c>
      <c r="L40" s="64">
        <v>24.42</v>
      </c>
      <c r="M40" s="64">
        <v>75.239999999999995</v>
      </c>
      <c r="N40" s="64">
        <v>335.8</v>
      </c>
      <c r="O40" s="64">
        <v>0</v>
      </c>
      <c r="P40" s="64">
        <v>1</v>
      </c>
      <c r="Q40" s="64">
        <v>7.94</v>
      </c>
      <c r="R40" s="198"/>
      <c r="S40" s="198"/>
      <c r="T40" s="198"/>
      <c r="U40" s="198"/>
    </row>
    <row r="41" spans="1:21" s="12" customFormat="1" x14ac:dyDescent="0.25">
      <c r="A41" s="214" t="s">
        <v>1814</v>
      </c>
      <c r="B41" s="64">
        <v>33.26</v>
      </c>
      <c r="C41" s="64">
        <v>18.82</v>
      </c>
      <c r="D41" s="64">
        <v>38.35</v>
      </c>
      <c r="E41" s="64">
        <v>0.32</v>
      </c>
      <c r="F41" s="64">
        <v>1.21</v>
      </c>
      <c r="G41" s="215" t="s">
        <v>36</v>
      </c>
      <c r="H41" s="215" t="s">
        <v>36</v>
      </c>
      <c r="I41" s="64">
        <v>1.47</v>
      </c>
      <c r="J41" s="64">
        <v>0.17</v>
      </c>
      <c r="K41" s="64">
        <v>155.01</v>
      </c>
      <c r="L41" s="64">
        <v>24.99</v>
      </c>
      <c r="M41" s="64">
        <v>71.92</v>
      </c>
      <c r="N41" s="64">
        <v>389.4</v>
      </c>
      <c r="O41" s="64">
        <v>0</v>
      </c>
      <c r="P41" s="64">
        <v>1</v>
      </c>
      <c r="Q41" s="64">
        <v>7.89</v>
      </c>
      <c r="R41" s="198"/>
      <c r="S41" s="198"/>
      <c r="T41" s="198"/>
      <c r="U41" s="198"/>
    </row>
    <row r="42" spans="1:21" s="12" customFormat="1" x14ac:dyDescent="0.25">
      <c r="A42" s="214" t="s">
        <v>1815</v>
      </c>
      <c r="B42" s="64">
        <v>25.55</v>
      </c>
      <c r="C42" s="64">
        <v>21.07</v>
      </c>
      <c r="D42" s="64">
        <v>33.409999999999997</v>
      </c>
      <c r="E42" s="64">
        <v>0.38</v>
      </c>
      <c r="F42" s="64">
        <v>6.69</v>
      </c>
      <c r="G42" s="215" t="s">
        <v>36</v>
      </c>
      <c r="H42" s="215" t="s">
        <v>36</v>
      </c>
      <c r="I42" s="64">
        <v>1.44</v>
      </c>
      <c r="J42" s="64">
        <v>0.9</v>
      </c>
      <c r="K42" s="64">
        <v>146.31</v>
      </c>
      <c r="L42" s="64">
        <v>25.4</v>
      </c>
      <c r="M42" s="64">
        <v>65.459999999999994</v>
      </c>
      <c r="N42" s="64">
        <v>449.3</v>
      </c>
      <c r="O42" s="64">
        <v>0</v>
      </c>
      <c r="P42" s="64">
        <v>0.89</v>
      </c>
      <c r="Q42" s="64">
        <v>7.96</v>
      </c>
      <c r="R42" s="198"/>
      <c r="S42" s="198"/>
      <c r="T42" s="198"/>
      <c r="U42" s="198"/>
    </row>
    <row r="43" spans="1:21" s="12" customFormat="1" x14ac:dyDescent="0.25">
      <c r="A43" s="214" t="s">
        <v>1816</v>
      </c>
      <c r="B43" s="64">
        <v>28.37</v>
      </c>
      <c r="C43" s="64">
        <v>18.64</v>
      </c>
      <c r="D43" s="64">
        <v>34.33</v>
      </c>
      <c r="E43" s="64">
        <v>0.35</v>
      </c>
      <c r="F43" s="64">
        <v>3.09</v>
      </c>
      <c r="G43" s="215" t="s">
        <v>36</v>
      </c>
      <c r="H43" s="215" t="s">
        <v>36</v>
      </c>
      <c r="I43" s="64">
        <v>1.52</v>
      </c>
      <c r="J43" s="64">
        <v>0.33</v>
      </c>
      <c r="K43" s="64">
        <v>134.88999999999999</v>
      </c>
      <c r="L43" s="64">
        <v>26.38</v>
      </c>
      <c r="M43" s="64">
        <v>64.59</v>
      </c>
      <c r="N43" s="64">
        <v>498.7</v>
      </c>
      <c r="O43" s="64">
        <v>0</v>
      </c>
      <c r="P43" s="64">
        <v>0.96</v>
      </c>
      <c r="Q43" s="64">
        <v>7.8</v>
      </c>
      <c r="R43" s="198"/>
      <c r="S43" s="198"/>
      <c r="T43" s="198"/>
      <c r="U43" s="198"/>
    </row>
    <row r="44" spans="1:21" s="12" customFormat="1" x14ac:dyDescent="0.25">
      <c r="A44" s="214" t="s">
        <v>1817</v>
      </c>
      <c r="B44" s="64">
        <v>27.73</v>
      </c>
      <c r="C44" s="64">
        <v>20.5</v>
      </c>
      <c r="D44" s="64">
        <v>34.840000000000003</v>
      </c>
      <c r="E44" s="64">
        <v>0.4</v>
      </c>
      <c r="F44" s="64">
        <v>1.63</v>
      </c>
      <c r="G44" s="215" t="s">
        <v>36</v>
      </c>
      <c r="H44" s="215" t="s">
        <v>36</v>
      </c>
      <c r="I44" s="64">
        <v>1.49</v>
      </c>
      <c r="J44" s="64">
        <v>0.11</v>
      </c>
      <c r="K44" s="64">
        <v>62.94</v>
      </c>
      <c r="L44" s="64">
        <v>26.44</v>
      </c>
      <c r="M44" s="64">
        <v>61.25</v>
      </c>
      <c r="N44" s="64">
        <v>543.79999999999995</v>
      </c>
      <c r="O44" s="64">
        <v>0</v>
      </c>
      <c r="P44" s="64">
        <v>0.95</v>
      </c>
      <c r="Q44" s="64">
        <v>7.45</v>
      </c>
      <c r="R44" s="198"/>
      <c r="S44" s="198"/>
      <c r="T44" s="198"/>
      <c r="U44" s="198"/>
    </row>
    <row r="45" spans="1:21" s="12" customFormat="1" x14ac:dyDescent="0.25">
      <c r="A45" s="214" t="s">
        <v>1818</v>
      </c>
      <c r="B45" s="64">
        <v>25.36</v>
      </c>
      <c r="C45" s="64">
        <v>19.309999999999999</v>
      </c>
      <c r="D45" s="64">
        <v>32.29</v>
      </c>
      <c r="E45" s="64">
        <v>0.43</v>
      </c>
      <c r="F45" s="64">
        <v>2.75</v>
      </c>
      <c r="G45" s="215" t="s">
        <v>36</v>
      </c>
      <c r="H45" s="215" t="s">
        <v>36</v>
      </c>
      <c r="I45" s="64">
        <v>1.5</v>
      </c>
      <c r="J45" s="64">
        <v>0.35</v>
      </c>
      <c r="K45" s="64">
        <v>134.12</v>
      </c>
      <c r="L45" s="64">
        <v>27.01</v>
      </c>
      <c r="M45" s="64">
        <v>58.6</v>
      </c>
      <c r="N45" s="64">
        <v>592.9</v>
      </c>
      <c r="O45" s="64">
        <v>0</v>
      </c>
      <c r="P45" s="64">
        <v>0.89</v>
      </c>
      <c r="Q45" s="64">
        <v>7.29</v>
      </c>
      <c r="R45" s="198"/>
      <c r="S45" s="198"/>
      <c r="T45" s="198"/>
      <c r="U45" s="198"/>
    </row>
    <row r="46" spans="1:21" s="12" customFormat="1" x14ac:dyDescent="0.25">
      <c r="A46" s="214" t="s">
        <v>1819</v>
      </c>
      <c r="B46" s="64">
        <v>21.86</v>
      </c>
      <c r="C46" s="64">
        <v>17.32</v>
      </c>
      <c r="D46" s="64">
        <v>28.38</v>
      </c>
      <c r="E46" s="64">
        <v>0.38</v>
      </c>
      <c r="F46" s="64">
        <v>3.18</v>
      </c>
      <c r="G46" s="215" t="s">
        <v>36</v>
      </c>
      <c r="H46" s="215" t="s">
        <v>36</v>
      </c>
      <c r="I46" s="64">
        <v>1.52</v>
      </c>
      <c r="J46" s="64">
        <v>0.98</v>
      </c>
      <c r="K46" s="64">
        <v>140.18</v>
      </c>
      <c r="L46" s="64">
        <v>27.24</v>
      </c>
      <c r="M46" s="64">
        <v>54.74</v>
      </c>
      <c r="N46" s="64">
        <v>636.20000000000005</v>
      </c>
      <c r="O46" s="64">
        <v>0</v>
      </c>
      <c r="P46" s="64">
        <v>0.86</v>
      </c>
      <c r="Q46" s="64">
        <v>7.21</v>
      </c>
      <c r="R46" s="198"/>
      <c r="S46" s="198"/>
      <c r="T46" s="198"/>
      <c r="U46" s="198"/>
    </row>
    <row r="47" spans="1:21" s="12" customFormat="1" x14ac:dyDescent="0.25">
      <c r="A47" s="214" t="s">
        <v>1820</v>
      </c>
      <c r="B47" s="64">
        <v>21.31</v>
      </c>
      <c r="C47" s="64">
        <v>16.23</v>
      </c>
      <c r="D47" s="64">
        <v>27.34</v>
      </c>
      <c r="E47" s="64">
        <v>0.34</v>
      </c>
      <c r="F47" s="64">
        <v>1.76</v>
      </c>
      <c r="G47" s="215" t="s">
        <v>36</v>
      </c>
      <c r="H47" s="215" t="s">
        <v>36</v>
      </c>
      <c r="I47" s="64">
        <v>1.5</v>
      </c>
      <c r="J47" s="64">
        <v>0.66</v>
      </c>
      <c r="K47" s="64">
        <v>140.01</v>
      </c>
      <c r="L47" s="64">
        <v>27.78</v>
      </c>
      <c r="M47" s="64">
        <v>51.25</v>
      </c>
      <c r="N47" s="64">
        <v>670.4</v>
      </c>
      <c r="O47" s="64">
        <v>0</v>
      </c>
      <c r="P47" s="64">
        <v>0.87</v>
      </c>
      <c r="Q47" s="64">
        <v>7.03</v>
      </c>
      <c r="R47" s="198"/>
      <c r="S47" s="198"/>
      <c r="T47" s="198"/>
      <c r="U47" s="198"/>
    </row>
    <row r="48" spans="1:21" s="12" customFormat="1" x14ac:dyDescent="0.25">
      <c r="A48" s="214" t="s">
        <v>1821</v>
      </c>
      <c r="B48" s="64">
        <v>18.239999999999998</v>
      </c>
      <c r="C48" s="64">
        <v>17.41</v>
      </c>
      <c r="D48" s="64">
        <v>25.53</v>
      </c>
      <c r="E48" s="64">
        <v>0.4</v>
      </c>
      <c r="F48" s="64">
        <v>3.49</v>
      </c>
      <c r="G48" s="215" t="s">
        <v>36</v>
      </c>
      <c r="H48" s="215" t="s">
        <v>36</v>
      </c>
      <c r="I48" s="64">
        <v>1.47</v>
      </c>
      <c r="J48" s="64">
        <v>0.43</v>
      </c>
      <c r="K48" s="64">
        <v>135.27000000000001</v>
      </c>
      <c r="L48" s="64">
        <v>28.56</v>
      </c>
      <c r="M48" s="64">
        <v>52.33</v>
      </c>
      <c r="N48" s="64">
        <v>695.2</v>
      </c>
      <c r="O48" s="64">
        <v>0</v>
      </c>
      <c r="P48" s="64">
        <v>0.8</v>
      </c>
      <c r="Q48" s="64">
        <v>6.75</v>
      </c>
      <c r="R48" s="198"/>
      <c r="S48" s="198"/>
      <c r="T48" s="198"/>
      <c r="U48" s="198"/>
    </row>
    <row r="49" spans="1:21" s="12" customFormat="1" x14ac:dyDescent="0.25">
      <c r="A49" s="214" t="s">
        <v>1822</v>
      </c>
      <c r="B49" s="64">
        <v>17.010000000000002</v>
      </c>
      <c r="C49" s="64">
        <v>16.27</v>
      </c>
      <c r="D49" s="64">
        <v>23.91</v>
      </c>
      <c r="E49" s="64">
        <v>0.27</v>
      </c>
      <c r="F49" s="64">
        <v>3.23</v>
      </c>
      <c r="G49" s="215" t="s">
        <v>36</v>
      </c>
      <c r="H49" s="215" t="s">
        <v>36</v>
      </c>
      <c r="I49" s="64">
        <v>1.48</v>
      </c>
      <c r="J49" s="64">
        <v>0.42</v>
      </c>
      <c r="K49" s="64">
        <v>125.92</v>
      </c>
      <c r="L49" s="64">
        <v>28.93</v>
      </c>
      <c r="M49" s="64">
        <v>50.6</v>
      </c>
      <c r="N49" s="64">
        <v>720</v>
      </c>
      <c r="O49" s="64">
        <v>0</v>
      </c>
      <c r="P49" s="64">
        <v>0.79</v>
      </c>
      <c r="Q49" s="64">
        <v>6.54</v>
      </c>
      <c r="R49" s="198"/>
      <c r="S49" s="198"/>
      <c r="T49" s="198"/>
      <c r="U49" s="198"/>
    </row>
    <row r="50" spans="1:21" s="12" customFormat="1" x14ac:dyDescent="0.25">
      <c r="A50" s="214" t="s">
        <v>1823</v>
      </c>
      <c r="B50" s="64">
        <v>15.04</v>
      </c>
      <c r="C50" s="64">
        <v>15.63</v>
      </c>
      <c r="D50" s="64">
        <v>21.98</v>
      </c>
      <c r="E50" s="64">
        <v>0.36</v>
      </c>
      <c r="F50" s="64">
        <v>1.41</v>
      </c>
      <c r="G50" s="215" t="s">
        <v>36</v>
      </c>
      <c r="H50" s="215" t="s">
        <v>36</v>
      </c>
      <c r="I50" s="64">
        <v>1.47</v>
      </c>
      <c r="J50" s="64">
        <v>0.35</v>
      </c>
      <c r="K50" s="64">
        <v>152.13999999999999</v>
      </c>
      <c r="L50" s="64">
        <v>29.31</v>
      </c>
      <c r="M50" s="64">
        <v>48.88</v>
      </c>
      <c r="N50" s="64">
        <v>748.4</v>
      </c>
      <c r="O50" s="64">
        <v>0</v>
      </c>
      <c r="P50" s="64">
        <v>0.78</v>
      </c>
      <c r="Q50" s="64">
        <v>6.36</v>
      </c>
      <c r="R50" s="198"/>
      <c r="S50" s="198"/>
      <c r="T50" s="198"/>
      <c r="U50" s="198"/>
    </row>
    <row r="51" spans="1:21" s="12" customFormat="1" x14ac:dyDescent="0.25">
      <c r="A51" s="214" t="s">
        <v>1824</v>
      </c>
      <c r="B51" s="64">
        <v>10.36</v>
      </c>
      <c r="C51" s="64">
        <v>17.100000000000001</v>
      </c>
      <c r="D51" s="64">
        <v>19.04</v>
      </c>
      <c r="E51" s="64">
        <v>0.35</v>
      </c>
      <c r="F51" s="64">
        <v>13.52</v>
      </c>
      <c r="G51" s="215" t="s">
        <v>36</v>
      </c>
      <c r="H51" s="215" t="s">
        <v>36</v>
      </c>
      <c r="I51" s="64">
        <v>1.45</v>
      </c>
      <c r="J51" s="64">
        <v>0.48</v>
      </c>
      <c r="K51" s="64">
        <v>136.44999999999999</v>
      </c>
      <c r="L51" s="64">
        <v>28.99</v>
      </c>
      <c r="M51" s="64">
        <v>46.92</v>
      </c>
      <c r="N51" s="64">
        <v>770.3</v>
      </c>
      <c r="O51" s="64">
        <v>0</v>
      </c>
      <c r="P51" s="64">
        <v>0.59</v>
      </c>
      <c r="Q51" s="64">
        <v>6.18</v>
      </c>
      <c r="R51" s="198"/>
      <c r="S51" s="198"/>
      <c r="T51" s="198"/>
      <c r="U51" s="198"/>
    </row>
    <row r="52" spans="1:21" s="12" customFormat="1" x14ac:dyDescent="0.25">
      <c r="A52" s="214" t="s">
        <v>1825</v>
      </c>
      <c r="B52" s="64">
        <v>7.6</v>
      </c>
      <c r="C52" s="64">
        <v>18.34</v>
      </c>
      <c r="D52" s="64">
        <v>17.510000000000002</v>
      </c>
      <c r="E52" s="64">
        <v>0.33</v>
      </c>
      <c r="F52" s="64">
        <v>3.34</v>
      </c>
      <c r="G52" s="215" t="s">
        <v>36</v>
      </c>
      <c r="H52" s="215" t="s">
        <v>36</v>
      </c>
      <c r="I52" s="64">
        <v>1.46</v>
      </c>
      <c r="J52" s="64">
        <v>0.13</v>
      </c>
      <c r="K52" s="64">
        <v>88.9</v>
      </c>
      <c r="L52" s="64">
        <v>29.88</v>
      </c>
      <c r="M52" s="64">
        <v>45.08</v>
      </c>
      <c r="N52" s="64">
        <v>781.8</v>
      </c>
      <c r="O52" s="64">
        <v>0</v>
      </c>
      <c r="P52" s="64">
        <v>0.69</v>
      </c>
      <c r="Q52" s="64">
        <v>5.9</v>
      </c>
      <c r="R52" s="198"/>
      <c r="S52" s="198"/>
      <c r="T52" s="198"/>
      <c r="U52" s="198"/>
    </row>
    <row r="53" spans="1:21" s="12" customFormat="1" x14ac:dyDescent="0.25">
      <c r="A53" s="214" t="s">
        <v>1826</v>
      </c>
      <c r="B53" s="64">
        <v>5.97</v>
      </c>
      <c r="C53" s="64">
        <v>20.41</v>
      </c>
      <c r="D53" s="64">
        <v>17.350000000000001</v>
      </c>
      <c r="E53" s="64">
        <v>0.34</v>
      </c>
      <c r="F53" s="64">
        <v>4.9400000000000004</v>
      </c>
      <c r="G53" s="215" t="s">
        <v>36</v>
      </c>
      <c r="H53" s="215" t="s">
        <v>36</v>
      </c>
      <c r="I53" s="64">
        <v>1.48</v>
      </c>
      <c r="J53" s="64">
        <v>0.12</v>
      </c>
      <c r="K53" s="64">
        <v>142.85</v>
      </c>
      <c r="L53" s="64">
        <v>29.61</v>
      </c>
      <c r="M53" s="64">
        <v>44.51</v>
      </c>
      <c r="N53" s="64">
        <v>795.7</v>
      </c>
      <c r="O53" s="64">
        <v>0</v>
      </c>
      <c r="P53" s="64">
        <v>0.64</v>
      </c>
      <c r="Q53" s="64">
        <v>5.42</v>
      </c>
      <c r="R53" s="198"/>
      <c r="S53" s="198"/>
      <c r="T53" s="198"/>
      <c r="U53" s="198"/>
    </row>
    <row r="54" spans="1:21" s="12" customFormat="1" x14ac:dyDescent="0.25">
      <c r="A54" s="214" t="s">
        <v>1827</v>
      </c>
      <c r="B54" s="64">
        <v>4.04</v>
      </c>
      <c r="C54" s="64">
        <v>19.489999999999998</v>
      </c>
      <c r="D54" s="64">
        <v>15.28</v>
      </c>
      <c r="E54" s="64">
        <v>0.27</v>
      </c>
      <c r="F54" s="64">
        <v>7.35</v>
      </c>
      <c r="G54" s="215" t="s">
        <v>36</v>
      </c>
      <c r="H54" s="215" t="s">
        <v>36</v>
      </c>
      <c r="I54" s="64">
        <v>1.42</v>
      </c>
      <c r="J54" s="64">
        <v>0.38</v>
      </c>
      <c r="K54" s="64">
        <v>134.74</v>
      </c>
      <c r="L54" s="64">
        <v>29.91</v>
      </c>
      <c r="M54" s="64">
        <v>45.34</v>
      </c>
      <c r="N54" s="64">
        <v>803</v>
      </c>
      <c r="O54" s="64">
        <v>0</v>
      </c>
      <c r="P54" s="64">
        <v>0.61</v>
      </c>
      <c r="Q54" s="64">
        <v>5.32</v>
      </c>
      <c r="R54" s="198"/>
      <c r="S54" s="198"/>
      <c r="T54" s="198"/>
      <c r="U54" s="198"/>
    </row>
    <row r="55" spans="1:21" s="12" customFormat="1" x14ac:dyDescent="0.25">
      <c r="A55" s="214" t="s">
        <v>1828</v>
      </c>
      <c r="B55" s="64">
        <v>2.8</v>
      </c>
      <c r="C55" s="64">
        <v>21.09</v>
      </c>
      <c r="D55" s="64">
        <v>15.18</v>
      </c>
      <c r="E55" s="64">
        <v>0.36</v>
      </c>
      <c r="F55" s="64">
        <v>4.7300000000000004</v>
      </c>
      <c r="G55" s="215" t="s">
        <v>36</v>
      </c>
      <c r="H55" s="215" t="s">
        <v>36</v>
      </c>
      <c r="I55" s="64">
        <v>1.53</v>
      </c>
      <c r="J55" s="64">
        <v>0.06</v>
      </c>
      <c r="K55" s="64">
        <v>71.83</v>
      </c>
      <c r="L55" s="64">
        <v>29.63</v>
      </c>
      <c r="M55" s="64">
        <v>46.43</v>
      </c>
      <c r="N55" s="64">
        <v>802.5</v>
      </c>
      <c r="O55" s="64">
        <v>0</v>
      </c>
      <c r="P55" s="64">
        <v>0.62</v>
      </c>
      <c r="Q55" s="64">
        <v>5.1100000000000003</v>
      </c>
      <c r="R55" s="198"/>
      <c r="S55" s="198"/>
      <c r="T55" s="198"/>
      <c r="U55" s="198"/>
    </row>
    <row r="56" spans="1:21" s="12" customFormat="1" x14ac:dyDescent="0.25">
      <c r="A56" s="214" t="s">
        <v>1829</v>
      </c>
      <c r="B56" s="64">
        <v>2.2799999999999998</v>
      </c>
      <c r="C56" s="64">
        <v>19.760000000000002</v>
      </c>
      <c r="D56" s="64">
        <v>14.03</v>
      </c>
      <c r="E56" s="64">
        <v>0.11</v>
      </c>
      <c r="F56" s="64">
        <v>6.93</v>
      </c>
      <c r="G56" s="215" t="s">
        <v>36</v>
      </c>
      <c r="H56" s="215" t="s">
        <v>36</v>
      </c>
      <c r="I56" s="64">
        <v>1.55</v>
      </c>
      <c r="J56" s="64">
        <v>0.44</v>
      </c>
      <c r="K56" s="64">
        <v>143.41999999999999</v>
      </c>
      <c r="L56" s="64">
        <v>29.5</v>
      </c>
      <c r="M56" s="64">
        <v>47.97</v>
      </c>
      <c r="N56" s="64">
        <v>799.6</v>
      </c>
      <c r="O56" s="64">
        <v>0</v>
      </c>
      <c r="P56" s="64">
        <v>0.59</v>
      </c>
      <c r="Q56" s="64">
        <v>4.99</v>
      </c>
      <c r="R56" s="198"/>
      <c r="S56" s="198"/>
      <c r="T56" s="198"/>
      <c r="U56" s="198"/>
    </row>
    <row r="57" spans="1:21" s="12" customFormat="1" x14ac:dyDescent="0.25">
      <c r="A57" s="214" t="s">
        <v>1830</v>
      </c>
      <c r="B57" s="64">
        <v>2.08</v>
      </c>
      <c r="C57" s="64">
        <v>17</v>
      </c>
      <c r="D57" s="64">
        <v>12.35</v>
      </c>
      <c r="E57" s="64">
        <v>0.13</v>
      </c>
      <c r="F57" s="64">
        <v>8.73</v>
      </c>
      <c r="G57" s="215" t="s">
        <v>36</v>
      </c>
      <c r="H57" s="215" t="s">
        <v>36</v>
      </c>
      <c r="I57" s="64">
        <v>1.54</v>
      </c>
      <c r="J57" s="64">
        <v>0.56000000000000005</v>
      </c>
      <c r="K57" s="64">
        <v>135.52000000000001</v>
      </c>
      <c r="L57" s="64">
        <v>29.4</v>
      </c>
      <c r="M57" s="64">
        <v>46.23</v>
      </c>
      <c r="N57" s="64">
        <v>783</v>
      </c>
      <c r="O57" s="64">
        <v>0</v>
      </c>
      <c r="P57" s="64">
        <v>0.57999999999999996</v>
      </c>
      <c r="Q57" s="64">
        <v>5.05</v>
      </c>
      <c r="R57" s="198"/>
      <c r="S57" s="198"/>
      <c r="T57" s="198"/>
      <c r="U57" s="198"/>
    </row>
    <row r="58" spans="1:21" s="12" customFormat="1" x14ac:dyDescent="0.25">
      <c r="A58" s="214" t="s">
        <v>1831</v>
      </c>
      <c r="B58" s="64">
        <v>3.43</v>
      </c>
      <c r="C58" s="64">
        <v>21</v>
      </c>
      <c r="D58" s="64">
        <v>15.63</v>
      </c>
      <c r="E58" s="64">
        <v>0.2</v>
      </c>
      <c r="F58" s="64">
        <v>16.93</v>
      </c>
      <c r="G58" s="215" t="s">
        <v>36</v>
      </c>
      <c r="H58" s="215" t="s">
        <v>36</v>
      </c>
      <c r="I58" s="64">
        <v>1.5</v>
      </c>
      <c r="J58" s="64">
        <v>0.31</v>
      </c>
      <c r="K58" s="64">
        <v>340.19</v>
      </c>
      <c r="L58" s="64">
        <v>31.69</v>
      </c>
      <c r="M58" s="64">
        <v>41.31</v>
      </c>
      <c r="N58" s="64">
        <v>747.3</v>
      </c>
      <c r="O58" s="64">
        <v>0</v>
      </c>
      <c r="P58" s="64">
        <v>0.63</v>
      </c>
      <c r="Q58" s="64">
        <v>4.96</v>
      </c>
      <c r="R58" s="198"/>
      <c r="S58" s="198"/>
      <c r="T58" s="198"/>
      <c r="U58" s="198"/>
    </row>
    <row r="59" spans="1:21" s="12" customFormat="1" x14ac:dyDescent="0.25">
      <c r="A59" s="214" t="s">
        <v>1832</v>
      </c>
      <c r="B59" s="64">
        <v>3.3</v>
      </c>
      <c r="C59" s="64">
        <v>20.18</v>
      </c>
      <c r="D59" s="64">
        <v>15.08</v>
      </c>
      <c r="E59" s="64">
        <v>0.19</v>
      </c>
      <c r="F59" s="64">
        <v>6.74</v>
      </c>
      <c r="G59" s="215" t="s">
        <v>36</v>
      </c>
      <c r="H59" s="215" t="s">
        <v>36</v>
      </c>
      <c r="I59" s="64">
        <v>1.5</v>
      </c>
      <c r="J59" s="64">
        <v>0.2</v>
      </c>
      <c r="K59" s="64">
        <v>356.75</v>
      </c>
      <c r="L59" s="64">
        <v>32.020000000000003</v>
      </c>
      <c r="M59" s="64">
        <v>39.119999999999997</v>
      </c>
      <c r="N59" s="64">
        <v>717.1</v>
      </c>
      <c r="O59" s="64">
        <v>0</v>
      </c>
      <c r="P59" s="64">
        <v>0.61</v>
      </c>
      <c r="Q59" s="64">
        <v>4.88</v>
      </c>
      <c r="R59" s="198"/>
      <c r="S59" s="198"/>
      <c r="T59" s="198"/>
      <c r="U59" s="198"/>
    </row>
    <row r="60" spans="1:21" s="12" customFormat="1" x14ac:dyDescent="0.25">
      <c r="A60" s="214" t="s">
        <v>1833</v>
      </c>
      <c r="B60" s="64">
        <v>2.13</v>
      </c>
      <c r="C60" s="64">
        <v>16.100000000000001</v>
      </c>
      <c r="D60" s="64">
        <v>11.89</v>
      </c>
      <c r="E60" s="64">
        <v>0.16</v>
      </c>
      <c r="F60" s="64">
        <v>4.08</v>
      </c>
      <c r="G60" s="215" t="s">
        <v>36</v>
      </c>
      <c r="H60" s="215" t="s">
        <v>36</v>
      </c>
      <c r="I60" s="64">
        <v>1.52</v>
      </c>
      <c r="J60" s="64">
        <v>0.37</v>
      </c>
      <c r="K60" s="64">
        <v>149.16999999999999</v>
      </c>
      <c r="L60" s="64">
        <v>30.47</v>
      </c>
      <c r="M60" s="64">
        <v>36.799999999999997</v>
      </c>
      <c r="N60" s="64">
        <v>707.2</v>
      </c>
      <c r="O60" s="64">
        <v>0</v>
      </c>
      <c r="P60" s="64">
        <v>0.6</v>
      </c>
      <c r="Q60" s="64">
        <v>5.12</v>
      </c>
      <c r="R60" s="198"/>
      <c r="S60" s="198"/>
      <c r="T60" s="198"/>
      <c r="U60" s="198"/>
    </row>
    <row r="61" spans="1:21" s="12" customFormat="1" x14ac:dyDescent="0.25">
      <c r="A61" s="214" t="s">
        <v>1834</v>
      </c>
      <c r="B61" s="64">
        <v>2</v>
      </c>
      <c r="C61" s="64">
        <v>14.73</v>
      </c>
      <c r="D61" s="64">
        <v>11.03</v>
      </c>
      <c r="E61" s="64">
        <v>0.18</v>
      </c>
      <c r="F61" s="64">
        <v>13.44</v>
      </c>
      <c r="G61" s="215" t="s">
        <v>36</v>
      </c>
      <c r="H61" s="215" t="s">
        <v>36</v>
      </c>
      <c r="I61" s="64">
        <v>1.57</v>
      </c>
      <c r="J61" s="64">
        <v>0.56999999999999995</v>
      </c>
      <c r="K61" s="64">
        <v>150.52000000000001</v>
      </c>
      <c r="L61" s="64">
        <v>30.45</v>
      </c>
      <c r="M61" s="64">
        <v>38.21</v>
      </c>
      <c r="N61" s="64">
        <v>660.1</v>
      </c>
      <c r="O61" s="64">
        <v>0</v>
      </c>
      <c r="P61" s="64">
        <v>0.56999999999999995</v>
      </c>
      <c r="Q61" s="64">
        <v>5.13</v>
      </c>
      <c r="R61" s="198"/>
      <c r="S61" s="198"/>
      <c r="T61" s="198"/>
      <c r="U61" s="198"/>
    </row>
    <row r="62" spans="1:21" s="12" customFormat="1" x14ac:dyDescent="0.25">
      <c r="A62" s="214" t="s">
        <v>1835</v>
      </c>
      <c r="B62" s="64">
        <v>2</v>
      </c>
      <c r="C62" s="64">
        <v>12.99</v>
      </c>
      <c r="D62" s="64">
        <v>10.06</v>
      </c>
      <c r="E62" s="64">
        <v>0.22</v>
      </c>
      <c r="F62" s="64">
        <v>11.26</v>
      </c>
      <c r="G62" s="215" t="s">
        <v>36</v>
      </c>
      <c r="H62" s="215" t="s">
        <v>36</v>
      </c>
      <c r="I62" s="64">
        <v>1.46</v>
      </c>
      <c r="J62" s="64">
        <v>0.27</v>
      </c>
      <c r="K62" s="64">
        <v>136.33000000000001</v>
      </c>
      <c r="L62" s="64">
        <v>29.99</v>
      </c>
      <c r="M62" s="64">
        <v>40.57</v>
      </c>
      <c r="N62" s="64">
        <v>510</v>
      </c>
      <c r="O62" s="64">
        <v>0</v>
      </c>
      <c r="P62" s="64">
        <v>0.56000000000000005</v>
      </c>
      <c r="Q62" s="64">
        <v>5.14</v>
      </c>
      <c r="R62" s="198"/>
      <c r="S62" s="198"/>
      <c r="T62" s="198"/>
      <c r="U62" s="198"/>
    </row>
    <row r="63" spans="1:21" s="12" customFormat="1" x14ac:dyDescent="0.25">
      <c r="A63" s="214" t="s">
        <v>1836</v>
      </c>
      <c r="B63" s="64">
        <v>2</v>
      </c>
      <c r="C63" s="64">
        <v>15.2</v>
      </c>
      <c r="D63" s="64">
        <v>11.29</v>
      </c>
      <c r="E63" s="64">
        <v>0.15</v>
      </c>
      <c r="F63" s="64">
        <v>26.05</v>
      </c>
      <c r="G63" s="64">
        <v>96.64</v>
      </c>
      <c r="H63" s="64">
        <v>17.39</v>
      </c>
      <c r="I63" s="64">
        <v>1.51</v>
      </c>
      <c r="J63" s="64">
        <v>0.76</v>
      </c>
      <c r="K63" s="64">
        <v>137.74</v>
      </c>
      <c r="L63" s="64">
        <v>30.15</v>
      </c>
      <c r="M63" s="64">
        <v>40.82</v>
      </c>
      <c r="N63" s="64">
        <v>411.1</v>
      </c>
      <c r="O63" s="64">
        <v>0</v>
      </c>
      <c r="P63" s="64">
        <v>0.56000000000000005</v>
      </c>
      <c r="Q63" s="64">
        <v>5.05</v>
      </c>
      <c r="R63" s="198"/>
      <c r="S63" s="198"/>
      <c r="T63" s="198"/>
      <c r="U63" s="198"/>
    </row>
    <row r="64" spans="1:21" s="12" customFormat="1" x14ac:dyDescent="0.25">
      <c r="A64" s="214" t="s">
        <v>1837</v>
      </c>
      <c r="B64" s="64">
        <v>2</v>
      </c>
      <c r="C64" s="64">
        <v>13.01</v>
      </c>
      <c r="D64" s="64">
        <v>10.08</v>
      </c>
      <c r="E64" s="64">
        <v>0.21</v>
      </c>
      <c r="F64" s="64">
        <v>14.3</v>
      </c>
      <c r="G64" s="64">
        <v>96.64</v>
      </c>
      <c r="H64" s="64">
        <v>17.39</v>
      </c>
      <c r="I64" s="64">
        <v>1.49</v>
      </c>
      <c r="J64" s="64">
        <v>0.43</v>
      </c>
      <c r="K64" s="64">
        <v>149.11000000000001</v>
      </c>
      <c r="L64" s="64">
        <v>29.96</v>
      </c>
      <c r="M64" s="64">
        <v>39.25</v>
      </c>
      <c r="N64" s="64">
        <v>438.4</v>
      </c>
      <c r="O64" s="64">
        <v>0</v>
      </c>
      <c r="P64" s="64">
        <v>0.56999999999999995</v>
      </c>
      <c r="Q64" s="64">
        <v>5.18</v>
      </c>
      <c r="R64" s="198"/>
      <c r="S64" s="198"/>
      <c r="T64" s="198"/>
      <c r="U64" s="198"/>
    </row>
    <row r="65" spans="1:21" s="12" customFormat="1" x14ac:dyDescent="0.25">
      <c r="A65" s="214" t="s">
        <v>1838</v>
      </c>
      <c r="B65" s="64">
        <v>2.0099999999999998</v>
      </c>
      <c r="C65" s="64">
        <v>20.41</v>
      </c>
      <c r="D65" s="64">
        <v>14.17</v>
      </c>
      <c r="E65" s="64">
        <v>0.3</v>
      </c>
      <c r="F65" s="64">
        <v>26.84</v>
      </c>
      <c r="G65" s="64">
        <v>96.64</v>
      </c>
      <c r="H65" s="64">
        <v>17.39</v>
      </c>
      <c r="I65" s="64">
        <v>1.44</v>
      </c>
      <c r="J65" s="64">
        <v>0.85</v>
      </c>
      <c r="K65" s="64">
        <v>136.68</v>
      </c>
      <c r="L65" s="64">
        <v>29.71</v>
      </c>
      <c r="M65" s="64">
        <v>40.85</v>
      </c>
      <c r="N65" s="64">
        <v>340.4</v>
      </c>
      <c r="O65" s="64">
        <v>0</v>
      </c>
      <c r="P65" s="64">
        <v>0.54</v>
      </c>
      <c r="Q65" s="64">
        <v>5.03</v>
      </c>
      <c r="R65" s="198"/>
      <c r="S65" s="198"/>
      <c r="T65" s="198"/>
      <c r="U65" s="198"/>
    </row>
    <row r="66" spans="1:21" s="12" customFormat="1" x14ac:dyDescent="0.25">
      <c r="A66" s="214" t="s">
        <v>1839</v>
      </c>
      <c r="B66" s="64">
        <v>2</v>
      </c>
      <c r="C66" s="64">
        <v>14.15</v>
      </c>
      <c r="D66" s="64">
        <v>10.71</v>
      </c>
      <c r="E66" s="64">
        <v>0.33</v>
      </c>
      <c r="F66" s="64">
        <v>12.45</v>
      </c>
      <c r="G66" s="64">
        <v>96.64</v>
      </c>
      <c r="H66" s="64">
        <v>17.39</v>
      </c>
      <c r="I66" s="64">
        <v>1.5</v>
      </c>
      <c r="J66" s="64">
        <v>0.83</v>
      </c>
      <c r="K66" s="64">
        <v>150.76</v>
      </c>
      <c r="L66" s="64">
        <v>29.45</v>
      </c>
      <c r="M66" s="64">
        <v>41.95</v>
      </c>
      <c r="N66" s="64">
        <v>282.10000000000002</v>
      </c>
      <c r="O66" s="64">
        <v>0</v>
      </c>
      <c r="P66" s="64">
        <v>0.55000000000000004</v>
      </c>
      <c r="Q66" s="64">
        <v>5.1100000000000003</v>
      </c>
      <c r="R66" s="198"/>
      <c r="S66" s="198"/>
      <c r="T66" s="198"/>
      <c r="U66" s="198"/>
    </row>
    <row r="67" spans="1:21" s="12" customFormat="1" x14ac:dyDescent="0.25">
      <c r="A67" s="214" t="s">
        <v>1840</v>
      </c>
      <c r="B67" s="64">
        <v>2</v>
      </c>
      <c r="C67" s="64">
        <v>13.96</v>
      </c>
      <c r="D67" s="64">
        <v>10.6</v>
      </c>
      <c r="E67" s="64">
        <v>0.22</v>
      </c>
      <c r="F67" s="64">
        <v>8.99</v>
      </c>
      <c r="G67" s="64">
        <v>95.43</v>
      </c>
      <c r="H67" s="64">
        <v>17.86</v>
      </c>
      <c r="I67" s="64">
        <v>1.53</v>
      </c>
      <c r="J67" s="64">
        <v>0.03</v>
      </c>
      <c r="K67" s="64">
        <v>337.11</v>
      </c>
      <c r="L67" s="64">
        <v>29.57</v>
      </c>
      <c r="M67" s="64">
        <v>40.479999999999997</v>
      </c>
      <c r="N67" s="64">
        <v>329.3</v>
      </c>
      <c r="O67" s="64">
        <v>0</v>
      </c>
      <c r="P67" s="64">
        <v>0.55000000000000004</v>
      </c>
      <c r="Q67" s="64">
        <v>5.04</v>
      </c>
      <c r="R67" s="198"/>
      <c r="S67" s="198"/>
      <c r="T67" s="198"/>
      <c r="U67" s="198"/>
    </row>
    <row r="68" spans="1:21" s="12" customFormat="1" x14ac:dyDescent="0.25">
      <c r="A68" s="214" t="s">
        <v>1841</v>
      </c>
      <c r="B68" s="64">
        <v>2.04</v>
      </c>
      <c r="C68" s="64">
        <v>12.16</v>
      </c>
      <c r="D68" s="64">
        <v>9.64</v>
      </c>
      <c r="E68" s="64">
        <v>0.37</v>
      </c>
      <c r="F68" s="64">
        <v>5.38</v>
      </c>
      <c r="G68" s="64">
        <v>81.010000000000005</v>
      </c>
      <c r="H68" s="64">
        <v>22.49</v>
      </c>
      <c r="I68" s="64">
        <v>1.49</v>
      </c>
      <c r="J68" s="64">
        <v>0.06</v>
      </c>
      <c r="K68" s="64">
        <v>350.62</v>
      </c>
      <c r="L68" s="64">
        <v>29.26</v>
      </c>
      <c r="M68" s="64">
        <v>41.8</v>
      </c>
      <c r="N68" s="64">
        <v>202.5</v>
      </c>
      <c r="O68" s="64">
        <v>0</v>
      </c>
      <c r="P68" s="64">
        <v>0.56000000000000005</v>
      </c>
      <c r="Q68" s="64">
        <v>5.12</v>
      </c>
      <c r="R68" s="198"/>
      <c r="S68" s="198"/>
      <c r="T68" s="198"/>
      <c r="U68" s="198"/>
    </row>
    <row r="69" spans="1:21" s="12" customFormat="1" x14ac:dyDescent="0.25">
      <c r="A69" s="214" t="s">
        <v>1842</v>
      </c>
      <c r="B69" s="64">
        <v>2.1800000000000002</v>
      </c>
      <c r="C69" s="64">
        <v>13.96</v>
      </c>
      <c r="D69" s="64">
        <v>10.75</v>
      </c>
      <c r="E69" s="64">
        <v>0.36</v>
      </c>
      <c r="F69" s="64">
        <v>13.02</v>
      </c>
      <c r="G69" s="64">
        <v>81.010000000000005</v>
      </c>
      <c r="H69" s="64">
        <v>22.49</v>
      </c>
      <c r="I69" s="64">
        <v>1.48</v>
      </c>
      <c r="J69" s="64">
        <v>0.33</v>
      </c>
      <c r="K69" s="64">
        <v>127.41</v>
      </c>
      <c r="L69" s="64">
        <v>29.24</v>
      </c>
      <c r="M69" s="64">
        <v>40.700000000000003</v>
      </c>
      <c r="N69" s="64">
        <v>159.6</v>
      </c>
      <c r="O69" s="64">
        <v>0</v>
      </c>
      <c r="P69" s="64">
        <v>0.54</v>
      </c>
      <c r="Q69" s="64">
        <v>5</v>
      </c>
      <c r="R69" s="198"/>
      <c r="S69" s="198"/>
      <c r="T69" s="198"/>
      <c r="U69" s="198"/>
    </row>
    <row r="70" spans="1:21" s="12" customFormat="1" x14ac:dyDescent="0.25">
      <c r="A70" s="214" t="s">
        <v>1843</v>
      </c>
      <c r="B70" s="64">
        <v>2.0099999999999998</v>
      </c>
      <c r="C70" s="64">
        <v>16.57</v>
      </c>
      <c r="D70" s="64">
        <v>12.05</v>
      </c>
      <c r="E70" s="64">
        <v>0.42</v>
      </c>
      <c r="F70" s="64">
        <v>15.28</v>
      </c>
      <c r="G70" s="64">
        <v>81.010000000000005</v>
      </c>
      <c r="H70" s="64">
        <v>22.49</v>
      </c>
      <c r="I70" s="64">
        <v>1.49</v>
      </c>
      <c r="J70" s="64">
        <v>0.27</v>
      </c>
      <c r="K70" s="64">
        <v>144.26</v>
      </c>
      <c r="L70" s="64">
        <v>28.89</v>
      </c>
      <c r="M70" s="64">
        <v>41.79</v>
      </c>
      <c r="N70" s="64">
        <v>138.19999999999999</v>
      </c>
      <c r="O70" s="64">
        <v>0</v>
      </c>
      <c r="P70" s="64">
        <v>0.51</v>
      </c>
      <c r="Q70" s="64">
        <v>4.96</v>
      </c>
      <c r="R70" s="198"/>
      <c r="S70" s="198"/>
      <c r="T70" s="198"/>
      <c r="U70" s="198"/>
    </row>
    <row r="71" spans="1:21" s="12" customFormat="1" x14ac:dyDescent="0.25">
      <c r="A71" s="214" t="s">
        <v>1844</v>
      </c>
      <c r="B71" s="64">
        <v>2</v>
      </c>
      <c r="C71" s="64">
        <v>13.65</v>
      </c>
      <c r="D71" s="64">
        <v>10.43</v>
      </c>
      <c r="E71" s="64">
        <v>0.44</v>
      </c>
      <c r="F71" s="64">
        <v>21.38</v>
      </c>
      <c r="G71" s="64">
        <v>80.77</v>
      </c>
      <c r="H71" s="64">
        <v>21.79</v>
      </c>
      <c r="I71" s="64">
        <v>1.49</v>
      </c>
      <c r="J71" s="64">
        <v>0.53</v>
      </c>
      <c r="K71" s="64">
        <v>149.77000000000001</v>
      </c>
      <c r="L71" s="64">
        <v>28.71</v>
      </c>
      <c r="M71" s="64">
        <v>42.09</v>
      </c>
      <c r="N71" s="64">
        <v>122.5</v>
      </c>
      <c r="O71" s="64">
        <v>0</v>
      </c>
      <c r="P71" s="64">
        <v>0.48</v>
      </c>
      <c r="Q71" s="64">
        <v>5.04</v>
      </c>
      <c r="R71" s="198"/>
      <c r="S71" s="198"/>
      <c r="T71" s="198"/>
      <c r="U71" s="198"/>
    </row>
    <row r="72" spans="1:21" s="12" customFormat="1" x14ac:dyDescent="0.25">
      <c r="A72" s="214" t="s">
        <v>1845</v>
      </c>
      <c r="B72" s="64">
        <v>2</v>
      </c>
      <c r="C72" s="64">
        <v>11.72</v>
      </c>
      <c r="D72" s="64">
        <v>9.36</v>
      </c>
      <c r="E72" s="64">
        <v>0.28000000000000003</v>
      </c>
      <c r="F72" s="64">
        <v>5.03</v>
      </c>
      <c r="G72" s="64">
        <v>77.930000000000007</v>
      </c>
      <c r="H72" s="64">
        <v>15.79</v>
      </c>
      <c r="I72" s="64">
        <v>1.54</v>
      </c>
      <c r="J72" s="64">
        <v>0.03</v>
      </c>
      <c r="K72" s="64">
        <v>184.09</v>
      </c>
      <c r="L72" s="64">
        <v>28.46</v>
      </c>
      <c r="M72" s="64">
        <v>42.01</v>
      </c>
      <c r="N72" s="64">
        <v>97.2</v>
      </c>
      <c r="O72" s="64">
        <v>0</v>
      </c>
      <c r="P72" s="64">
        <v>0.51</v>
      </c>
      <c r="Q72" s="64">
        <v>5.1100000000000003</v>
      </c>
      <c r="R72" s="198"/>
      <c r="S72" s="198"/>
      <c r="T72" s="198"/>
      <c r="U72" s="198"/>
    </row>
    <row r="73" spans="1:21" s="12" customFormat="1" x14ac:dyDescent="0.25">
      <c r="A73" s="214" t="s">
        <v>1846</v>
      </c>
      <c r="B73" s="64">
        <v>2</v>
      </c>
      <c r="C73" s="64">
        <v>11.84</v>
      </c>
      <c r="D73" s="64">
        <v>9.43</v>
      </c>
      <c r="E73" s="64">
        <v>0.38</v>
      </c>
      <c r="F73" s="64">
        <v>11.35</v>
      </c>
      <c r="G73" s="64">
        <v>77.930000000000007</v>
      </c>
      <c r="H73" s="64">
        <v>15.79</v>
      </c>
      <c r="I73" s="64">
        <v>1.39</v>
      </c>
      <c r="J73" s="64">
        <v>0.11</v>
      </c>
      <c r="K73" s="64">
        <v>148.99</v>
      </c>
      <c r="L73" s="64">
        <v>28.28</v>
      </c>
      <c r="M73" s="64">
        <v>42.93</v>
      </c>
      <c r="N73" s="64">
        <v>77.2</v>
      </c>
      <c r="O73" s="64">
        <v>0</v>
      </c>
      <c r="P73" s="64">
        <v>0.49</v>
      </c>
      <c r="Q73" s="64">
        <v>5.0599999999999996</v>
      </c>
      <c r="R73" s="198"/>
      <c r="S73" s="198"/>
      <c r="T73" s="198"/>
      <c r="U73" s="198"/>
    </row>
    <row r="74" spans="1:21" s="12" customFormat="1" x14ac:dyDescent="0.25">
      <c r="A74" s="214" t="s">
        <v>1847</v>
      </c>
      <c r="B74" s="64">
        <v>2</v>
      </c>
      <c r="C74" s="64">
        <v>13.44</v>
      </c>
      <c r="D74" s="64">
        <v>10.31</v>
      </c>
      <c r="E74" s="64">
        <v>0.48</v>
      </c>
      <c r="F74" s="64">
        <v>18.86</v>
      </c>
      <c r="G74" s="64">
        <v>77.930000000000007</v>
      </c>
      <c r="H74" s="64">
        <v>15.79</v>
      </c>
      <c r="I74" s="64">
        <v>1.55</v>
      </c>
      <c r="J74" s="64">
        <v>0.2</v>
      </c>
      <c r="K74" s="64">
        <v>164.07</v>
      </c>
      <c r="L74" s="64">
        <v>28.05</v>
      </c>
      <c r="M74" s="64">
        <v>43.88</v>
      </c>
      <c r="N74" s="64">
        <v>62.7</v>
      </c>
      <c r="O74" s="64">
        <v>0</v>
      </c>
      <c r="P74" s="64">
        <v>0.44</v>
      </c>
      <c r="Q74" s="64">
        <v>4.97</v>
      </c>
      <c r="R74" s="198"/>
      <c r="S74" s="198"/>
      <c r="T74" s="198"/>
      <c r="U74" s="198"/>
    </row>
    <row r="75" spans="1:21" s="12" customFormat="1" x14ac:dyDescent="0.25">
      <c r="A75" s="214" t="s">
        <v>1848</v>
      </c>
      <c r="B75" s="64">
        <v>2</v>
      </c>
      <c r="C75" s="64">
        <v>14.38</v>
      </c>
      <c r="D75" s="64">
        <v>10.83</v>
      </c>
      <c r="E75" s="64">
        <v>0.49</v>
      </c>
      <c r="F75" s="64">
        <v>18.46</v>
      </c>
      <c r="G75" s="64">
        <v>77.290000000000006</v>
      </c>
      <c r="H75" s="64">
        <v>16.59</v>
      </c>
      <c r="I75" s="64">
        <v>1.46</v>
      </c>
      <c r="J75" s="64">
        <v>0.09</v>
      </c>
      <c r="K75" s="64">
        <v>219.73</v>
      </c>
      <c r="L75" s="64">
        <v>27.87</v>
      </c>
      <c r="M75" s="64">
        <v>44.49</v>
      </c>
      <c r="N75" s="64">
        <v>48.5</v>
      </c>
      <c r="O75" s="64">
        <v>0</v>
      </c>
      <c r="P75" s="64">
        <v>0.43</v>
      </c>
      <c r="Q75" s="64">
        <v>4.93</v>
      </c>
      <c r="R75" s="198"/>
      <c r="S75" s="198"/>
      <c r="T75" s="198"/>
      <c r="U75" s="198"/>
    </row>
    <row r="76" spans="1:21" s="12" customFormat="1" x14ac:dyDescent="0.25">
      <c r="A76" s="214" t="s">
        <v>1849</v>
      </c>
      <c r="B76" s="64">
        <v>2</v>
      </c>
      <c r="C76" s="64">
        <v>20.45</v>
      </c>
      <c r="D76" s="64">
        <v>14.18</v>
      </c>
      <c r="E76" s="64">
        <v>0.55000000000000004</v>
      </c>
      <c r="F76" s="64">
        <v>19.52</v>
      </c>
      <c r="G76" s="64">
        <v>69.75</v>
      </c>
      <c r="H76" s="64">
        <v>23.41</v>
      </c>
      <c r="I76" s="64">
        <v>1.52</v>
      </c>
      <c r="J76" s="64">
        <v>0.08</v>
      </c>
      <c r="K76" s="64">
        <v>193.98</v>
      </c>
      <c r="L76" s="64">
        <v>27.55</v>
      </c>
      <c r="M76" s="64">
        <v>47.3</v>
      </c>
      <c r="N76" s="64">
        <v>35.200000000000003</v>
      </c>
      <c r="O76" s="64">
        <v>0</v>
      </c>
      <c r="P76" s="64">
        <v>0.45</v>
      </c>
      <c r="Q76" s="64">
        <v>4.6399999999999997</v>
      </c>
      <c r="R76" s="198"/>
      <c r="S76" s="198"/>
      <c r="T76" s="198"/>
      <c r="U76" s="198"/>
    </row>
    <row r="77" spans="1:21" s="12" customFormat="1" x14ac:dyDescent="0.25">
      <c r="A77" s="214" t="s">
        <v>1850</v>
      </c>
      <c r="B77" s="64">
        <v>3.3</v>
      </c>
      <c r="C77" s="64">
        <v>22.99</v>
      </c>
      <c r="D77" s="64">
        <v>16.63</v>
      </c>
      <c r="E77" s="64">
        <v>0.63</v>
      </c>
      <c r="F77" s="64">
        <v>26.23</v>
      </c>
      <c r="G77" s="64">
        <v>69.75</v>
      </c>
      <c r="H77" s="64">
        <v>23.41</v>
      </c>
      <c r="I77" s="64">
        <v>1.53</v>
      </c>
      <c r="J77" s="64">
        <v>0.01</v>
      </c>
      <c r="K77" s="64">
        <v>301.05</v>
      </c>
      <c r="L77" s="64">
        <v>27.12</v>
      </c>
      <c r="M77" s="64">
        <v>50.29</v>
      </c>
      <c r="N77" s="64">
        <v>23.3</v>
      </c>
      <c r="O77" s="64">
        <v>0</v>
      </c>
      <c r="P77" s="64">
        <v>0.44</v>
      </c>
      <c r="Q77" s="64">
        <v>4.46</v>
      </c>
      <c r="R77" s="198"/>
      <c r="S77" s="198"/>
      <c r="T77" s="198"/>
      <c r="U77" s="198"/>
    </row>
    <row r="78" spans="1:21" s="12" customFormat="1" x14ac:dyDescent="0.25">
      <c r="A78" s="214" t="s">
        <v>1851</v>
      </c>
      <c r="B78" s="64">
        <v>2.13</v>
      </c>
      <c r="C78" s="64">
        <v>25.69</v>
      </c>
      <c r="D78" s="64">
        <v>17.18</v>
      </c>
      <c r="E78" s="64">
        <v>0.6</v>
      </c>
      <c r="F78" s="64">
        <v>24.85</v>
      </c>
      <c r="G78" s="64">
        <v>69.75</v>
      </c>
      <c r="H78" s="64">
        <v>23.41</v>
      </c>
      <c r="I78" s="64">
        <v>1.51</v>
      </c>
      <c r="J78" s="64">
        <v>0.11</v>
      </c>
      <c r="K78" s="64">
        <v>168.8</v>
      </c>
      <c r="L78" s="64">
        <v>26.78</v>
      </c>
      <c r="M78" s="64">
        <v>51.8</v>
      </c>
      <c r="N78" s="64">
        <v>13.7</v>
      </c>
      <c r="O78" s="64">
        <v>0</v>
      </c>
      <c r="P78" s="64">
        <v>0.46</v>
      </c>
      <c r="Q78" s="64">
        <v>4.0999999999999996</v>
      </c>
      <c r="R78" s="198"/>
      <c r="S78" s="198"/>
      <c r="T78" s="198"/>
      <c r="U78" s="198"/>
    </row>
    <row r="79" spans="1:21" s="12" customFormat="1" x14ac:dyDescent="0.25">
      <c r="A79" s="214" t="s">
        <v>1852</v>
      </c>
      <c r="B79" s="64">
        <v>2</v>
      </c>
      <c r="C79" s="64">
        <v>24.39</v>
      </c>
      <c r="D79" s="64">
        <v>16.36</v>
      </c>
      <c r="E79" s="64">
        <v>0.65</v>
      </c>
      <c r="F79" s="64">
        <v>11.82</v>
      </c>
      <c r="G79" s="64">
        <v>69.63</v>
      </c>
      <c r="H79" s="64">
        <v>24.7</v>
      </c>
      <c r="I79" s="64">
        <v>1.55</v>
      </c>
      <c r="J79" s="64">
        <v>0.05</v>
      </c>
      <c r="K79" s="64">
        <v>228.51</v>
      </c>
      <c r="L79" s="64">
        <v>26.45</v>
      </c>
      <c r="M79" s="64">
        <v>54.76</v>
      </c>
      <c r="N79" s="64">
        <v>9.6</v>
      </c>
      <c r="O79" s="64">
        <v>0</v>
      </c>
      <c r="P79" s="64">
        <v>0.49</v>
      </c>
      <c r="Q79" s="64">
        <v>4.3499999999999996</v>
      </c>
      <c r="R79" s="198"/>
      <c r="S79" s="198"/>
      <c r="T79" s="198"/>
      <c r="U79" s="198"/>
    </row>
    <row r="80" spans="1:21" s="12" customFormat="1" x14ac:dyDescent="0.25">
      <c r="A80" s="214" t="s">
        <v>1853</v>
      </c>
      <c r="B80" s="64">
        <v>2</v>
      </c>
      <c r="C80" s="64">
        <v>25.19</v>
      </c>
      <c r="D80" s="64">
        <v>16.8</v>
      </c>
      <c r="E80" s="64">
        <v>0.57999999999999996</v>
      </c>
      <c r="F80" s="64">
        <v>26.02</v>
      </c>
      <c r="G80" s="64">
        <v>68.27</v>
      </c>
      <c r="H80" s="64">
        <v>35.75</v>
      </c>
      <c r="I80" s="64">
        <v>1.46</v>
      </c>
      <c r="J80" s="64">
        <v>0.03</v>
      </c>
      <c r="K80" s="64">
        <v>284.10000000000002</v>
      </c>
      <c r="L80" s="64">
        <v>25.56</v>
      </c>
      <c r="M80" s="64">
        <v>59.91</v>
      </c>
      <c r="N80" s="64">
        <v>9.1</v>
      </c>
      <c r="O80" s="64">
        <v>0</v>
      </c>
      <c r="P80" s="64">
        <v>0.51</v>
      </c>
      <c r="Q80" s="64">
        <v>4.38</v>
      </c>
      <c r="R80" s="198"/>
      <c r="S80" s="198"/>
      <c r="T80" s="198"/>
      <c r="U80" s="198"/>
    </row>
    <row r="81" spans="1:26" s="12" customFormat="1" x14ac:dyDescent="0.25">
      <c r="A81" s="214" t="s">
        <v>1854</v>
      </c>
      <c r="B81" s="64">
        <v>2.06</v>
      </c>
      <c r="C81" s="64">
        <v>25.96</v>
      </c>
      <c r="D81" s="64">
        <v>17.27</v>
      </c>
      <c r="E81" s="64">
        <v>0.63</v>
      </c>
      <c r="F81" s="64">
        <v>17.34</v>
      </c>
      <c r="G81" s="64">
        <v>68.27</v>
      </c>
      <c r="H81" s="64">
        <v>35.75</v>
      </c>
      <c r="I81" s="64">
        <v>1.42</v>
      </c>
      <c r="J81" s="64">
        <v>0.05</v>
      </c>
      <c r="K81" s="64">
        <v>256.27999999999997</v>
      </c>
      <c r="L81" s="64">
        <v>25.78</v>
      </c>
      <c r="M81" s="64">
        <v>55.52</v>
      </c>
      <c r="N81" s="64">
        <v>9</v>
      </c>
      <c r="O81" s="64">
        <v>0</v>
      </c>
      <c r="P81" s="64">
        <v>0.54</v>
      </c>
      <c r="Q81" s="64">
        <v>4.26</v>
      </c>
      <c r="R81" s="198"/>
      <c r="S81" s="198"/>
      <c r="T81" s="198"/>
      <c r="U81" s="198"/>
    </row>
    <row r="82" spans="1:26" s="12" customFormat="1" x14ac:dyDescent="0.25">
      <c r="A82" s="214" t="s">
        <v>1855</v>
      </c>
      <c r="B82" s="64">
        <v>2.16</v>
      </c>
      <c r="C82" s="64">
        <v>41.44</v>
      </c>
      <c r="D82" s="64">
        <v>25.89</v>
      </c>
      <c r="E82" s="64">
        <v>0.52</v>
      </c>
      <c r="F82" s="64">
        <v>21.16</v>
      </c>
      <c r="G82" s="64">
        <v>68.27</v>
      </c>
      <c r="H82" s="64">
        <v>35.75</v>
      </c>
      <c r="I82" s="64">
        <v>1.48</v>
      </c>
      <c r="J82" s="64">
        <v>0.12</v>
      </c>
      <c r="K82" s="64">
        <v>203.02</v>
      </c>
      <c r="L82" s="64">
        <v>25.71</v>
      </c>
      <c r="M82" s="64">
        <v>55.41</v>
      </c>
      <c r="N82" s="64">
        <v>8.4</v>
      </c>
      <c r="O82" s="64">
        <v>0</v>
      </c>
      <c r="P82" s="64">
        <v>0.66</v>
      </c>
      <c r="Q82" s="64">
        <v>3.84</v>
      </c>
      <c r="R82" s="198"/>
      <c r="S82" s="198"/>
      <c r="T82" s="198"/>
      <c r="U82" s="198"/>
    </row>
    <row r="83" spans="1:26" s="12" customFormat="1" x14ac:dyDescent="0.25">
      <c r="A83" s="214" t="s">
        <v>1856</v>
      </c>
      <c r="B83" s="64">
        <v>3.03</v>
      </c>
      <c r="C83" s="64">
        <v>38.44</v>
      </c>
      <c r="D83" s="64">
        <v>24.94</v>
      </c>
      <c r="E83" s="64">
        <v>0.59</v>
      </c>
      <c r="F83" s="64">
        <v>24.02</v>
      </c>
      <c r="G83" s="64">
        <v>68.489999999999995</v>
      </c>
      <c r="H83" s="64">
        <v>35.520000000000003</v>
      </c>
      <c r="I83" s="64">
        <v>1.49</v>
      </c>
      <c r="J83" s="64">
        <v>0.08</v>
      </c>
      <c r="K83" s="64">
        <v>268.32</v>
      </c>
      <c r="L83" s="64">
        <v>25.43</v>
      </c>
      <c r="M83" s="64">
        <v>57.03</v>
      </c>
      <c r="N83" s="64">
        <v>8.8000000000000007</v>
      </c>
      <c r="O83" s="64">
        <v>0</v>
      </c>
      <c r="P83" s="64">
        <v>0.79</v>
      </c>
      <c r="Q83" s="64">
        <v>3.66</v>
      </c>
      <c r="R83" s="198"/>
      <c r="S83" s="198"/>
      <c r="T83" s="198"/>
      <c r="U83" s="198"/>
    </row>
    <row r="84" spans="1:26" s="12" customFormat="1" x14ac:dyDescent="0.25">
      <c r="A84" s="214" t="s">
        <v>1857</v>
      </c>
      <c r="B84" s="64">
        <v>27.82</v>
      </c>
      <c r="C84" s="64">
        <v>48.17</v>
      </c>
      <c r="D84" s="64">
        <v>50.18</v>
      </c>
      <c r="E84" s="64">
        <v>0.55000000000000004</v>
      </c>
      <c r="F84" s="64">
        <v>2.35</v>
      </c>
      <c r="G84" s="64">
        <v>71.19</v>
      </c>
      <c r="H84" s="64">
        <v>33.49</v>
      </c>
      <c r="I84" s="64">
        <v>1.56</v>
      </c>
      <c r="J84" s="64">
        <v>0.14000000000000001</v>
      </c>
      <c r="K84" s="64">
        <v>318.41000000000003</v>
      </c>
      <c r="L84" s="64">
        <v>24.87</v>
      </c>
      <c r="M84" s="64">
        <v>63.5</v>
      </c>
      <c r="N84" s="64">
        <v>9</v>
      </c>
      <c r="O84" s="64">
        <v>0</v>
      </c>
      <c r="P84" s="64">
        <v>1.37</v>
      </c>
      <c r="Q84" s="64">
        <v>0.82</v>
      </c>
      <c r="R84" s="198"/>
      <c r="S84" s="198"/>
      <c r="T84" s="198"/>
      <c r="U84" s="198"/>
    </row>
    <row r="85" spans="1:26" s="12" customFormat="1" x14ac:dyDescent="0.25">
      <c r="A85" s="214" t="s">
        <v>1858</v>
      </c>
      <c r="B85" s="64">
        <v>9.18</v>
      </c>
      <c r="C85" s="64">
        <v>56.8</v>
      </c>
      <c r="D85" s="64">
        <v>40.01</v>
      </c>
      <c r="E85" s="64">
        <v>0.53</v>
      </c>
      <c r="F85" s="64">
        <v>11.84</v>
      </c>
      <c r="G85" s="64">
        <v>71.19</v>
      </c>
      <c r="H85" s="64">
        <v>33.49</v>
      </c>
      <c r="I85" s="64">
        <v>1.45</v>
      </c>
      <c r="J85" s="64">
        <v>0.02</v>
      </c>
      <c r="K85" s="64">
        <v>349.24</v>
      </c>
      <c r="L85" s="64">
        <v>24.58</v>
      </c>
      <c r="M85" s="64">
        <v>62.15</v>
      </c>
      <c r="N85" s="64">
        <v>8.9</v>
      </c>
      <c r="O85" s="64">
        <v>0</v>
      </c>
      <c r="P85" s="64">
        <v>1.26</v>
      </c>
      <c r="Q85" s="64">
        <v>2.54</v>
      </c>
      <c r="R85" s="198"/>
      <c r="S85" s="198"/>
      <c r="T85" s="198"/>
      <c r="U85" s="198"/>
    </row>
    <row r="86" spans="1:26" s="12" customFormat="1" x14ac:dyDescent="0.25">
      <c r="A86" s="214" t="s">
        <v>1859</v>
      </c>
      <c r="B86" s="64">
        <v>57.99</v>
      </c>
      <c r="C86" s="64">
        <v>83.6</v>
      </c>
      <c r="D86" s="64">
        <v>93.93</v>
      </c>
      <c r="E86" s="64">
        <v>0.66</v>
      </c>
      <c r="F86" s="64">
        <v>3.22</v>
      </c>
      <c r="G86" s="64">
        <v>71.19</v>
      </c>
      <c r="H86" s="64">
        <v>33.49</v>
      </c>
      <c r="I86" s="64">
        <v>1.51</v>
      </c>
      <c r="J86" s="64">
        <v>0.05</v>
      </c>
      <c r="K86" s="64">
        <v>355.05</v>
      </c>
      <c r="L86" s="64">
        <v>24.39</v>
      </c>
      <c r="M86" s="64">
        <v>65.36</v>
      </c>
      <c r="N86" s="64">
        <v>9</v>
      </c>
      <c r="O86" s="64">
        <v>0</v>
      </c>
      <c r="P86" s="64">
        <v>2.5499999999999998</v>
      </c>
      <c r="Q86" s="64">
        <v>0.28999999999999998</v>
      </c>
      <c r="R86" s="198"/>
      <c r="S86" s="198"/>
      <c r="T86" s="198"/>
      <c r="U86" s="198"/>
    </row>
    <row r="87" spans="1:26" s="12" customFormat="1" x14ac:dyDescent="0.25">
      <c r="A87" s="214" t="s">
        <v>1860</v>
      </c>
      <c r="B87" s="64">
        <v>35.93</v>
      </c>
      <c r="C87" s="64">
        <v>91.4</v>
      </c>
      <c r="D87" s="64">
        <v>80.55</v>
      </c>
      <c r="E87" s="64">
        <v>0.6</v>
      </c>
      <c r="F87" s="64">
        <v>0.95</v>
      </c>
      <c r="G87" s="64">
        <v>73.459999999999994</v>
      </c>
      <c r="H87" s="64">
        <v>34.25</v>
      </c>
      <c r="I87" s="64">
        <v>1.46</v>
      </c>
      <c r="J87" s="64">
        <v>0.03</v>
      </c>
      <c r="K87" s="64">
        <v>118.69</v>
      </c>
      <c r="L87" s="64">
        <v>24.17</v>
      </c>
      <c r="M87" s="64">
        <v>65.2</v>
      </c>
      <c r="N87" s="64">
        <v>8.8000000000000007</v>
      </c>
      <c r="O87" s="64">
        <v>0</v>
      </c>
      <c r="P87" s="64">
        <v>1.89</v>
      </c>
      <c r="Q87" s="64">
        <v>0</v>
      </c>
      <c r="R87" s="198"/>
      <c r="S87" s="198"/>
      <c r="T87" s="198"/>
      <c r="U87" s="198"/>
    </row>
    <row r="88" spans="1:26" s="12" customFormat="1" x14ac:dyDescent="0.25">
      <c r="A88" s="214" t="s">
        <v>1861</v>
      </c>
      <c r="B88" s="64">
        <v>60.31</v>
      </c>
      <c r="C88" s="64">
        <v>82.79</v>
      </c>
      <c r="D88" s="64">
        <v>95.35</v>
      </c>
      <c r="E88" s="64">
        <v>0.42</v>
      </c>
      <c r="F88" s="64">
        <v>0.91</v>
      </c>
      <c r="G88" s="64">
        <v>100.44</v>
      </c>
      <c r="H88" s="64">
        <v>40.78</v>
      </c>
      <c r="I88" s="64">
        <v>1.52</v>
      </c>
      <c r="J88" s="64">
        <v>0.08</v>
      </c>
      <c r="K88" s="64">
        <v>309.02</v>
      </c>
      <c r="L88" s="64">
        <v>23.98</v>
      </c>
      <c r="M88" s="64">
        <v>71.489999999999995</v>
      </c>
      <c r="N88" s="64">
        <v>8.9</v>
      </c>
      <c r="O88" s="64">
        <v>0</v>
      </c>
      <c r="P88" s="64">
        <v>2.69</v>
      </c>
      <c r="Q88" s="64">
        <v>0</v>
      </c>
      <c r="R88" s="198"/>
      <c r="S88" s="198"/>
      <c r="T88" s="198"/>
      <c r="U88" s="198"/>
    </row>
    <row r="89" spans="1:26" s="12" customFormat="1" x14ac:dyDescent="0.25">
      <c r="A89" s="214" t="s">
        <v>1862</v>
      </c>
      <c r="B89" s="64">
        <v>104.84</v>
      </c>
      <c r="C89" s="64">
        <v>106.61</v>
      </c>
      <c r="D89" s="64">
        <v>144.19999999999999</v>
      </c>
      <c r="E89" s="64">
        <v>0.68</v>
      </c>
      <c r="F89" s="64">
        <v>0.62</v>
      </c>
      <c r="G89" s="64">
        <v>100.44</v>
      </c>
      <c r="H89" s="64">
        <v>40.78</v>
      </c>
      <c r="I89" s="64">
        <v>1.46</v>
      </c>
      <c r="J89" s="64">
        <v>0.06</v>
      </c>
      <c r="K89" s="64">
        <v>102.14</v>
      </c>
      <c r="L89" s="64">
        <v>23.87</v>
      </c>
      <c r="M89" s="64">
        <v>67.87</v>
      </c>
      <c r="N89" s="64">
        <v>8.6999999999999993</v>
      </c>
      <c r="O89" s="64">
        <v>0</v>
      </c>
      <c r="P89" s="64">
        <v>2.71</v>
      </c>
      <c r="Q89" s="64">
        <v>0</v>
      </c>
      <c r="R89" s="198"/>
      <c r="S89" s="198"/>
      <c r="T89" s="198"/>
      <c r="U89" s="198"/>
    </row>
    <row r="90" spans="1:26" s="12" customFormat="1" x14ac:dyDescent="0.25">
      <c r="A90" s="214" t="s">
        <v>1863</v>
      </c>
      <c r="B90" s="64">
        <v>96.89</v>
      </c>
      <c r="C90" s="64">
        <v>86.3</v>
      </c>
      <c r="D90" s="64">
        <v>126.62</v>
      </c>
      <c r="E90" s="64">
        <v>0.87</v>
      </c>
      <c r="F90" s="64">
        <v>0.67</v>
      </c>
      <c r="G90" s="64">
        <v>100.44</v>
      </c>
      <c r="H90" s="64">
        <v>40.78</v>
      </c>
      <c r="I90" s="64">
        <v>1.44</v>
      </c>
      <c r="J90" s="64">
        <v>0.24</v>
      </c>
      <c r="K90" s="64">
        <v>357.69</v>
      </c>
      <c r="L90" s="64">
        <v>23.94</v>
      </c>
      <c r="M90" s="64">
        <v>71.52</v>
      </c>
      <c r="N90" s="64">
        <v>8.6999999999999993</v>
      </c>
      <c r="O90" s="64">
        <v>0</v>
      </c>
      <c r="P90" s="64">
        <v>3.54</v>
      </c>
      <c r="Q90" s="64">
        <v>0.57999999999999996</v>
      </c>
      <c r="R90" s="198"/>
      <c r="S90" s="198"/>
      <c r="T90" s="198"/>
      <c r="U90" s="198"/>
    </row>
    <row r="91" spans="1:26" s="12" customFormat="1" x14ac:dyDescent="0.25">
      <c r="A91" s="214" t="s">
        <v>1864</v>
      </c>
      <c r="B91" s="64">
        <v>20.96</v>
      </c>
      <c r="C91" s="64">
        <v>19.510000000000002</v>
      </c>
      <c r="D91" s="64">
        <v>28.87</v>
      </c>
      <c r="E91" s="64">
        <v>0.61</v>
      </c>
      <c r="F91" s="64">
        <v>0.69</v>
      </c>
      <c r="G91" s="64">
        <v>110.96</v>
      </c>
      <c r="H91" s="64">
        <v>41.79</v>
      </c>
      <c r="I91" s="64">
        <v>1.51</v>
      </c>
      <c r="J91" s="64">
        <v>1.87</v>
      </c>
      <c r="K91" s="64">
        <v>342.27</v>
      </c>
      <c r="L91" s="64">
        <v>23.88</v>
      </c>
      <c r="M91" s="64">
        <v>73.3</v>
      </c>
      <c r="N91" s="64">
        <v>8.3000000000000007</v>
      </c>
      <c r="O91" s="64">
        <v>0</v>
      </c>
      <c r="P91" s="64">
        <v>1.19</v>
      </c>
      <c r="Q91" s="64">
        <v>5.63</v>
      </c>
      <c r="R91" s="198"/>
      <c r="S91" s="198"/>
      <c r="T91" s="198"/>
      <c r="U91" s="198"/>
    </row>
    <row r="92" spans="1:26" s="12" customFormat="1" x14ac:dyDescent="0.25">
      <c r="A92" s="214" t="s">
        <v>1865</v>
      </c>
      <c r="B92" s="64">
        <v>20.61</v>
      </c>
      <c r="C92" s="64">
        <v>21.14</v>
      </c>
      <c r="D92" s="64">
        <v>29.48</v>
      </c>
      <c r="E92" s="64">
        <v>0.54</v>
      </c>
      <c r="F92" s="64">
        <v>1.9</v>
      </c>
      <c r="G92" s="64">
        <v>235.71</v>
      </c>
      <c r="H92" s="64">
        <v>51.91</v>
      </c>
      <c r="I92" s="64">
        <v>1.51</v>
      </c>
      <c r="J92" s="64">
        <v>1.2</v>
      </c>
      <c r="K92" s="64">
        <v>338.78</v>
      </c>
      <c r="L92" s="64">
        <v>23.49</v>
      </c>
      <c r="M92" s="64">
        <v>72.040000000000006</v>
      </c>
      <c r="N92" s="64">
        <v>9.3000000000000007</v>
      </c>
      <c r="O92" s="64">
        <v>0</v>
      </c>
      <c r="P92" s="64">
        <v>1.19</v>
      </c>
      <c r="Q92" s="64">
        <v>6.23</v>
      </c>
      <c r="R92" s="198"/>
      <c r="S92" s="198"/>
      <c r="T92" s="198"/>
      <c r="U92" s="198"/>
    </row>
    <row r="93" spans="1:26" s="12" customFormat="1" x14ac:dyDescent="0.25">
      <c r="A93" s="214" t="s">
        <v>1866</v>
      </c>
      <c r="B93" s="64">
        <v>20.64</v>
      </c>
      <c r="C93" s="64">
        <v>19.510000000000002</v>
      </c>
      <c r="D93" s="64">
        <v>28.61</v>
      </c>
      <c r="E93" s="64">
        <v>0.49</v>
      </c>
      <c r="F93" s="64">
        <v>1.59</v>
      </c>
      <c r="G93" s="64">
        <v>235.71</v>
      </c>
      <c r="H93" s="64">
        <v>51.91</v>
      </c>
      <c r="I93" s="64">
        <v>1.44</v>
      </c>
      <c r="J93" s="64">
        <v>1.1399999999999999</v>
      </c>
      <c r="K93" s="64">
        <v>338.21</v>
      </c>
      <c r="L93" s="64">
        <v>23.06</v>
      </c>
      <c r="M93" s="64">
        <v>71.3</v>
      </c>
      <c r="N93" s="64">
        <v>9.1</v>
      </c>
      <c r="O93" s="64">
        <v>0</v>
      </c>
      <c r="P93" s="64">
        <v>1.19</v>
      </c>
      <c r="Q93" s="64">
        <v>6.3</v>
      </c>
      <c r="R93" s="198"/>
      <c r="S93" s="198"/>
      <c r="T93" s="198"/>
      <c r="U93" s="198"/>
    </row>
    <row r="94" spans="1:26" s="12" customFormat="1" x14ac:dyDescent="0.25">
      <c r="A94" s="214" t="s">
        <v>1867</v>
      </c>
      <c r="B94" s="64">
        <v>19.73</v>
      </c>
      <c r="C94" s="64">
        <v>20.09</v>
      </c>
      <c r="D94" s="64">
        <v>28.2</v>
      </c>
      <c r="E94" s="64">
        <v>0.38</v>
      </c>
      <c r="F94" s="64">
        <v>1.25</v>
      </c>
      <c r="G94" s="64">
        <v>235.71</v>
      </c>
      <c r="H94" s="64">
        <v>51.91</v>
      </c>
      <c r="I94" s="64">
        <v>1.51</v>
      </c>
      <c r="J94" s="64">
        <v>0.47</v>
      </c>
      <c r="K94" s="64">
        <v>331.12</v>
      </c>
      <c r="L94" s="64">
        <v>22.73</v>
      </c>
      <c r="M94" s="64">
        <v>71.91</v>
      </c>
      <c r="N94" s="64">
        <v>8.9</v>
      </c>
      <c r="O94" s="64">
        <v>0</v>
      </c>
      <c r="P94" s="64">
        <v>1.17</v>
      </c>
      <c r="Q94" s="64">
        <v>6.27</v>
      </c>
      <c r="R94" s="198"/>
      <c r="S94" s="198"/>
      <c r="T94" s="198"/>
      <c r="U94" s="198"/>
    </row>
    <row r="95" spans="1:26" s="12" customFormat="1" x14ac:dyDescent="0.25">
      <c r="A95" s="214" t="s">
        <v>1868</v>
      </c>
      <c r="B95" s="64">
        <v>20.010000000000002</v>
      </c>
      <c r="C95" s="64">
        <v>20.239999999999998</v>
      </c>
      <c r="D95" s="64">
        <v>28.51</v>
      </c>
      <c r="E95" s="64">
        <v>0.4</v>
      </c>
      <c r="F95" s="64">
        <v>1.3</v>
      </c>
      <c r="G95" s="64">
        <v>228.82</v>
      </c>
      <c r="H95" s="64">
        <v>52.25</v>
      </c>
      <c r="I95" s="64">
        <v>1.55</v>
      </c>
      <c r="J95" s="64">
        <v>0.26</v>
      </c>
      <c r="K95" s="64">
        <v>1.86</v>
      </c>
      <c r="L95" s="64">
        <v>22.6</v>
      </c>
      <c r="M95" s="64">
        <v>71.12</v>
      </c>
      <c r="N95" s="64">
        <v>8.8000000000000007</v>
      </c>
      <c r="O95" s="64">
        <v>0</v>
      </c>
      <c r="P95" s="64">
        <v>1.2</v>
      </c>
      <c r="Q95" s="64">
        <v>6.42</v>
      </c>
      <c r="R95" s="198"/>
      <c r="S95" s="198"/>
      <c r="T95" s="198"/>
      <c r="U95" s="198"/>
    </row>
    <row r="96" spans="1:26" s="12" customFormat="1" x14ac:dyDescent="0.25">
      <c r="A96" s="214" t="s">
        <v>1869</v>
      </c>
      <c r="B96" s="64">
        <v>19.55</v>
      </c>
      <c r="C96" s="64">
        <v>19.46</v>
      </c>
      <c r="D96" s="64">
        <v>27.71</v>
      </c>
      <c r="E96" s="64">
        <v>0.39</v>
      </c>
      <c r="F96" s="64">
        <v>1.64</v>
      </c>
      <c r="G96" s="64">
        <v>147.13999999999999</v>
      </c>
      <c r="H96" s="64">
        <v>55.67</v>
      </c>
      <c r="I96" s="64">
        <v>1.52</v>
      </c>
      <c r="J96" s="64">
        <v>0.11</v>
      </c>
      <c r="K96" s="64">
        <v>348.37</v>
      </c>
      <c r="L96" s="64">
        <v>22.46</v>
      </c>
      <c r="M96" s="64">
        <v>71.03</v>
      </c>
      <c r="N96" s="64">
        <v>8.6999999999999993</v>
      </c>
      <c r="O96" s="64">
        <v>0</v>
      </c>
      <c r="P96" s="64">
        <v>1.17</v>
      </c>
      <c r="Q96" s="64">
        <v>6.42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1870</v>
      </c>
      <c r="B97" s="64">
        <v>19.66</v>
      </c>
      <c r="C97" s="64">
        <v>21.05</v>
      </c>
      <c r="D97" s="64">
        <v>28.67</v>
      </c>
      <c r="E97" s="64">
        <v>0.38</v>
      </c>
      <c r="F97" s="64">
        <v>1.24</v>
      </c>
      <c r="G97" s="64">
        <v>147.13999999999999</v>
      </c>
      <c r="H97" s="64">
        <v>55.67</v>
      </c>
      <c r="I97" s="64">
        <v>1.55</v>
      </c>
      <c r="J97" s="64">
        <v>0.11</v>
      </c>
      <c r="K97" s="64">
        <v>336.82</v>
      </c>
      <c r="L97" s="64">
        <v>22.33</v>
      </c>
      <c r="M97" s="64">
        <v>71.459999999999994</v>
      </c>
      <c r="N97" s="64">
        <v>8.6999999999999993</v>
      </c>
      <c r="O97" s="64">
        <v>0</v>
      </c>
      <c r="P97" s="64">
        <v>1.18</v>
      </c>
      <c r="Q97" s="64">
        <v>6.4</v>
      </c>
      <c r="R97" s="198"/>
      <c r="S97" s="198"/>
      <c r="T97" s="198"/>
      <c r="U97" s="198"/>
    </row>
    <row r="98" spans="1:33" s="12" customFormat="1" x14ac:dyDescent="0.25">
      <c r="A98" s="214" t="s">
        <v>1871</v>
      </c>
      <c r="B98" s="64">
        <v>18.8</v>
      </c>
      <c r="C98" s="64">
        <v>28.42</v>
      </c>
      <c r="D98" s="64">
        <v>32.06</v>
      </c>
      <c r="E98" s="64">
        <v>0.34</v>
      </c>
      <c r="F98" s="64">
        <v>5.59</v>
      </c>
      <c r="G98" s="64">
        <v>147.13999999999999</v>
      </c>
      <c r="H98" s="64">
        <v>55.67</v>
      </c>
      <c r="I98" s="64">
        <v>1.54</v>
      </c>
      <c r="J98" s="64">
        <v>0.05</v>
      </c>
      <c r="K98" s="64">
        <v>359.51</v>
      </c>
      <c r="L98" s="64">
        <v>22.25</v>
      </c>
      <c r="M98" s="64">
        <v>71.17</v>
      </c>
      <c r="N98" s="64">
        <v>8.6999999999999993</v>
      </c>
      <c r="O98" s="64">
        <v>0</v>
      </c>
      <c r="P98" s="64">
        <v>1.1000000000000001</v>
      </c>
      <c r="Q98" s="64">
        <v>6.06</v>
      </c>
      <c r="R98" s="198"/>
      <c r="S98" s="198"/>
      <c r="T98" s="198"/>
      <c r="U98" s="198"/>
    </row>
    <row r="99" spans="1:33" s="12" customFormat="1" x14ac:dyDescent="0.25">
      <c r="A99" s="214" t="s">
        <v>1872</v>
      </c>
      <c r="B99" s="64">
        <v>19.97</v>
      </c>
      <c r="C99" s="64">
        <v>21.85</v>
      </c>
      <c r="D99" s="64">
        <v>29.37</v>
      </c>
      <c r="E99" s="64">
        <v>0.36</v>
      </c>
      <c r="F99" s="64">
        <v>3.23</v>
      </c>
      <c r="G99" s="64">
        <v>141.52000000000001</v>
      </c>
      <c r="H99" s="64">
        <v>53.91</v>
      </c>
      <c r="I99" s="64">
        <v>1.48</v>
      </c>
      <c r="J99" s="64">
        <v>0.8</v>
      </c>
      <c r="K99" s="64">
        <v>336.01</v>
      </c>
      <c r="L99" s="64">
        <v>22.31</v>
      </c>
      <c r="M99" s="64">
        <v>70.569999999999993</v>
      </c>
      <c r="N99" s="64">
        <v>8.1999999999999993</v>
      </c>
      <c r="O99" s="64">
        <v>0</v>
      </c>
      <c r="P99" s="64">
        <v>1.18</v>
      </c>
      <c r="Q99" s="64">
        <v>6</v>
      </c>
      <c r="R99" s="198"/>
      <c r="S99" s="198"/>
      <c r="T99" s="198"/>
      <c r="U99" s="198"/>
    </row>
    <row r="100" spans="1:33" s="12" customFormat="1" x14ac:dyDescent="0.25">
      <c r="A100" s="214" t="s">
        <v>1873</v>
      </c>
      <c r="B100" s="64">
        <v>13.51</v>
      </c>
      <c r="C100" s="64">
        <v>25.35</v>
      </c>
      <c r="D100" s="64">
        <v>26.11</v>
      </c>
      <c r="E100" s="64">
        <v>0.41</v>
      </c>
      <c r="F100" s="64">
        <v>7.43</v>
      </c>
      <c r="G100" s="64">
        <v>74.83</v>
      </c>
      <c r="H100" s="64">
        <v>36.32</v>
      </c>
      <c r="I100" s="64">
        <v>1.49</v>
      </c>
      <c r="J100" s="64">
        <v>0.06</v>
      </c>
      <c r="K100" s="64">
        <v>50.27</v>
      </c>
      <c r="L100" s="64">
        <v>22.37</v>
      </c>
      <c r="M100" s="64">
        <v>68.98</v>
      </c>
      <c r="N100" s="64">
        <v>8.8000000000000007</v>
      </c>
      <c r="O100" s="64">
        <v>0</v>
      </c>
      <c r="P100" s="64">
        <v>1.02</v>
      </c>
      <c r="Q100" s="64">
        <v>6.27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1874</v>
      </c>
      <c r="B101" s="64">
        <v>18.68</v>
      </c>
      <c r="C101" s="64">
        <v>23.54</v>
      </c>
      <c r="D101" s="64">
        <v>29.26</v>
      </c>
      <c r="E101" s="64">
        <v>0.37</v>
      </c>
      <c r="F101" s="64">
        <v>5.8</v>
      </c>
      <c r="G101" s="64">
        <v>74.83</v>
      </c>
      <c r="H101" s="64">
        <v>36.32</v>
      </c>
      <c r="I101" s="64">
        <v>1.58</v>
      </c>
      <c r="J101" s="64">
        <v>0.42</v>
      </c>
      <c r="K101" s="64">
        <v>335.85</v>
      </c>
      <c r="L101" s="64">
        <v>22.29</v>
      </c>
      <c r="M101" s="64">
        <v>70.09</v>
      </c>
      <c r="N101" s="64">
        <v>8.6</v>
      </c>
      <c r="O101" s="64">
        <v>0</v>
      </c>
      <c r="P101" s="64">
        <v>1.0900000000000001</v>
      </c>
      <c r="Q101" s="64">
        <v>5.8</v>
      </c>
      <c r="R101" s="198"/>
      <c r="S101" s="198"/>
      <c r="T101" s="198"/>
      <c r="U101" s="198"/>
    </row>
    <row r="102" spans="1:33" s="12" customFormat="1" x14ac:dyDescent="0.25">
      <c r="A102" s="214" t="s">
        <v>1875</v>
      </c>
      <c r="B102" s="64">
        <v>17.29</v>
      </c>
      <c r="C102" s="64">
        <v>29.76</v>
      </c>
      <c r="D102" s="64">
        <v>31.58</v>
      </c>
      <c r="E102" s="64">
        <v>0.41</v>
      </c>
      <c r="F102" s="64">
        <v>4.3</v>
      </c>
      <c r="G102" s="64">
        <v>74.83</v>
      </c>
      <c r="H102" s="64">
        <v>36.32</v>
      </c>
      <c r="I102" s="64">
        <v>1.43</v>
      </c>
      <c r="J102" s="64">
        <v>0.32</v>
      </c>
      <c r="K102" s="64">
        <v>338.19</v>
      </c>
      <c r="L102" s="64">
        <v>22.21</v>
      </c>
      <c r="M102" s="64">
        <v>70.5</v>
      </c>
      <c r="N102" s="64">
        <v>8.6999999999999993</v>
      </c>
      <c r="O102" s="64">
        <v>0</v>
      </c>
      <c r="P102" s="64">
        <v>1.06</v>
      </c>
      <c r="Q102" s="64">
        <v>5.34</v>
      </c>
      <c r="R102" s="198"/>
      <c r="S102" s="198"/>
      <c r="T102" s="198"/>
      <c r="U102" s="198"/>
    </row>
    <row r="103" spans="1:33" s="12" customFormat="1" x14ac:dyDescent="0.25">
      <c r="A103" s="214" t="s">
        <v>1876</v>
      </c>
      <c r="B103" s="64">
        <v>17.87</v>
      </c>
      <c r="C103" s="64">
        <v>23.63</v>
      </c>
      <c r="D103" s="64">
        <v>28.67</v>
      </c>
      <c r="E103" s="64">
        <v>0.42</v>
      </c>
      <c r="F103" s="64">
        <v>4.57</v>
      </c>
      <c r="G103" s="64">
        <v>73.89</v>
      </c>
      <c r="H103" s="64">
        <v>35.86</v>
      </c>
      <c r="I103" s="64">
        <v>1.59</v>
      </c>
      <c r="J103" s="64">
        <v>0.13</v>
      </c>
      <c r="K103" s="64">
        <v>28.03</v>
      </c>
      <c r="L103" s="64">
        <v>22.03</v>
      </c>
      <c r="M103" s="64">
        <v>70.989999999999995</v>
      </c>
      <c r="N103" s="64">
        <v>8.8000000000000007</v>
      </c>
      <c r="O103" s="64">
        <v>0</v>
      </c>
      <c r="P103" s="64">
        <v>1.06</v>
      </c>
      <c r="Q103" s="64">
        <v>6.04</v>
      </c>
      <c r="R103" s="198"/>
      <c r="S103" s="198"/>
      <c r="T103" s="198"/>
      <c r="U103" s="198"/>
    </row>
    <row r="104" spans="1:33" s="12" customFormat="1" x14ac:dyDescent="0.25">
      <c r="A104" s="214" t="s">
        <v>1877</v>
      </c>
      <c r="B104" s="64">
        <v>16.53</v>
      </c>
      <c r="C104" s="64">
        <v>18.760000000000002</v>
      </c>
      <c r="D104" s="64">
        <v>24.9</v>
      </c>
      <c r="E104" s="64">
        <v>0.17</v>
      </c>
      <c r="F104" s="64">
        <v>3.59</v>
      </c>
      <c r="G104" s="64">
        <v>62.73</v>
      </c>
      <c r="H104" s="64">
        <v>31.9</v>
      </c>
      <c r="I104" s="64">
        <v>1.49</v>
      </c>
      <c r="J104" s="64">
        <v>0.28999999999999998</v>
      </c>
      <c r="K104" s="64">
        <v>338.67</v>
      </c>
      <c r="L104" s="64">
        <v>22.01</v>
      </c>
      <c r="M104" s="64">
        <v>72.77</v>
      </c>
      <c r="N104" s="64">
        <v>8.6999999999999993</v>
      </c>
      <c r="O104" s="64">
        <v>0</v>
      </c>
      <c r="P104" s="64">
        <v>1.0900000000000001</v>
      </c>
      <c r="Q104" s="64">
        <v>6.26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</v>
      </c>
      <c r="C106" s="67">
        <f>MIN(C9:C104)</f>
        <v>11.72</v>
      </c>
      <c r="D106" s="67">
        <f t="shared" ref="D106:Q106" si="0">MIN(D9:D104)</f>
        <v>9.36</v>
      </c>
      <c r="E106" s="67">
        <f t="shared" si="0"/>
        <v>0.11</v>
      </c>
      <c r="F106" s="67">
        <f t="shared" si="0"/>
        <v>0.09</v>
      </c>
      <c r="G106" s="67">
        <f t="shared" si="0"/>
        <v>62.73</v>
      </c>
      <c r="H106" s="67">
        <f t="shared" si="0"/>
        <v>15.79</v>
      </c>
      <c r="I106" s="67">
        <f t="shared" si="0"/>
        <v>1.39</v>
      </c>
      <c r="J106" s="67">
        <f t="shared" si="0"/>
        <v>0.01</v>
      </c>
      <c r="K106" s="67">
        <f t="shared" si="0"/>
        <v>1.86</v>
      </c>
      <c r="L106" s="67">
        <f t="shared" si="0"/>
        <v>19.649999999999999</v>
      </c>
      <c r="M106" s="67">
        <f t="shared" si="0"/>
        <v>36.799999999999997</v>
      </c>
      <c r="N106" s="67">
        <f t="shared" si="0"/>
        <v>8.1999999999999993</v>
      </c>
      <c r="O106" s="67">
        <f t="shared" si="0"/>
        <v>0</v>
      </c>
      <c r="P106" s="67">
        <f t="shared" si="0"/>
        <v>0.43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104.84</v>
      </c>
      <c r="C107" s="66">
        <f t="shared" ref="C107:Q107" si="1">MAX(C9:C104)</f>
        <v>106.61</v>
      </c>
      <c r="D107" s="66">
        <f t="shared" si="1"/>
        <v>144.19999999999999</v>
      </c>
      <c r="E107" s="66">
        <f t="shared" si="1"/>
        <v>0.87</v>
      </c>
      <c r="F107" s="66">
        <f t="shared" si="1"/>
        <v>26.84</v>
      </c>
      <c r="G107" s="66">
        <f t="shared" si="1"/>
        <v>235.71</v>
      </c>
      <c r="H107" s="66">
        <f t="shared" si="1"/>
        <v>55.67</v>
      </c>
      <c r="I107" s="66">
        <f t="shared" si="1"/>
        <v>1.61</v>
      </c>
      <c r="J107" s="66">
        <f t="shared" si="1"/>
        <v>1.87</v>
      </c>
      <c r="K107" s="66">
        <f t="shared" si="1"/>
        <v>359.51</v>
      </c>
      <c r="L107" s="66">
        <f t="shared" si="1"/>
        <v>32.020000000000003</v>
      </c>
      <c r="M107" s="66">
        <f t="shared" si="1"/>
        <v>95.89</v>
      </c>
      <c r="N107" s="66">
        <f t="shared" si="1"/>
        <v>803</v>
      </c>
      <c r="O107" s="66">
        <f t="shared" si="1"/>
        <v>0</v>
      </c>
      <c r="P107" s="66">
        <f t="shared" si="1"/>
        <v>3.54</v>
      </c>
      <c r="Q107" s="66">
        <f t="shared" si="1"/>
        <v>11.86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26.204791666666665</v>
      </c>
      <c r="C108" s="67">
        <f t="shared" ref="C108:Q108" si="2">AVERAGE(C9:C104)</f>
        <v>24.546979166666684</v>
      </c>
      <c r="D108" s="67">
        <f t="shared" si="2"/>
        <v>35.853854166666665</v>
      </c>
      <c r="E108" s="67">
        <f t="shared" si="2"/>
        <v>0.39739583333333334</v>
      </c>
      <c r="F108" s="67">
        <f t="shared" si="2"/>
        <v>6.3154166666666667</v>
      </c>
      <c r="G108" s="67">
        <f t="shared" si="2"/>
        <v>101.15142857142857</v>
      </c>
      <c r="H108" s="67">
        <f t="shared" si="2"/>
        <v>32.92404761904762</v>
      </c>
      <c r="I108" s="67">
        <f t="shared" si="2"/>
        <v>1.4996875000000003</v>
      </c>
      <c r="J108" s="67">
        <f t="shared" si="2"/>
        <v>0.25489583333333327</v>
      </c>
      <c r="K108" s="67">
        <f t="shared" si="2"/>
        <v>218.6478124999999</v>
      </c>
      <c r="L108" s="67">
        <f t="shared" si="2"/>
        <v>24.670520833333331</v>
      </c>
      <c r="M108" s="67">
        <f t="shared" si="2"/>
        <v>66.6484375</v>
      </c>
      <c r="N108" s="67">
        <f t="shared" si="2"/>
        <v>201.99687500000005</v>
      </c>
      <c r="O108" s="67">
        <f t="shared" si="2"/>
        <v>0</v>
      </c>
      <c r="P108" s="67">
        <f t="shared" si="2"/>
        <v>1.0029166666666669</v>
      </c>
      <c r="Q108" s="67">
        <f t="shared" si="2"/>
        <v>6.5751041666666659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23.308172588811516</v>
      </c>
      <c r="C109" s="67">
        <f t="shared" ref="C109:Q109" si="3">STDEV(C9:C104)</f>
        <v>17.031746649607111</v>
      </c>
      <c r="D109" s="67">
        <f t="shared" si="3"/>
        <v>24.59364626418748</v>
      </c>
      <c r="E109" s="67">
        <f t="shared" si="3"/>
        <v>0.13442465932665668</v>
      </c>
      <c r="F109" s="67">
        <f t="shared" si="3"/>
        <v>7.4365293145131917</v>
      </c>
      <c r="G109" s="67">
        <f t="shared" si="3"/>
        <v>49.050233910654214</v>
      </c>
      <c r="H109" s="67">
        <f t="shared" si="3"/>
        <v>12.989971001962362</v>
      </c>
      <c r="I109" s="67">
        <f t="shared" si="3"/>
        <v>4.213894623117298E-2</v>
      </c>
      <c r="J109" s="67">
        <f t="shared" si="3"/>
        <v>0.3100763735858319</v>
      </c>
      <c r="K109" s="67">
        <f t="shared" si="3"/>
        <v>95.150260925085476</v>
      </c>
      <c r="L109" s="67">
        <f t="shared" si="3"/>
        <v>3.7702009913731076</v>
      </c>
      <c r="M109" s="67">
        <f t="shared" si="3"/>
        <v>19.258123498689784</v>
      </c>
      <c r="N109" s="67">
        <f t="shared" si="3"/>
        <v>281.02974686269511</v>
      </c>
      <c r="O109" s="67">
        <f t="shared" si="3"/>
        <v>0</v>
      </c>
      <c r="P109" s="67">
        <f t="shared" si="3"/>
        <v>0.51474657365320942</v>
      </c>
      <c r="Q109" s="67">
        <f t="shared" si="3"/>
        <v>2.7417028879652929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COUNT(G9:G104)+54</f>
        <v>96</v>
      </c>
      <c r="H110" s="66">
        <f>COUNT(H9:H104)+54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1878</v>
      </c>
      <c r="B9" s="64">
        <v>16.97</v>
      </c>
      <c r="C9" s="64">
        <v>17.559999999999999</v>
      </c>
      <c r="D9" s="64">
        <v>24.59</v>
      </c>
      <c r="E9" s="64">
        <v>0.27</v>
      </c>
      <c r="F9" s="64">
        <v>1.23</v>
      </c>
      <c r="G9" s="64">
        <v>62.73</v>
      </c>
      <c r="H9" s="64">
        <v>31.9</v>
      </c>
      <c r="I9" s="64">
        <v>1.49</v>
      </c>
      <c r="J9" s="64">
        <v>0.49</v>
      </c>
      <c r="K9" s="64">
        <v>339.81</v>
      </c>
      <c r="L9" s="64">
        <v>21.98</v>
      </c>
      <c r="M9" s="64">
        <v>74.69</v>
      </c>
      <c r="N9" s="64">
        <v>8.6</v>
      </c>
      <c r="O9" s="64">
        <v>0</v>
      </c>
      <c r="P9" s="64">
        <v>1.1100000000000001</v>
      </c>
      <c r="Q9" s="64">
        <v>6.29</v>
      </c>
      <c r="R9" s="198"/>
      <c r="S9" s="198"/>
      <c r="T9" s="198"/>
      <c r="U9" s="198"/>
    </row>
    <row r="10" spans="1:21" s="12" customFormat="1" x14ac:dyDescent="0.25">
      <c r="A10" s="214" t="s">
        <v>1879</v>
      </c>
      <c r="B10" s="64">
        <v>16.45</v>
      </c>
      <c r="C10" s="64">
        <v>18.04</v>
      </c>
      <c r="D10" s="64">
        <v>24.44</v>
      </c>
      <c r="E10" s="64">
        <v>0.31</v>
      </c>
      <c r="F10" s="64">
        <v>1.79</v>
      </c>
      <c r="G10" s="64">
        <v>62.73</v>
      </c>
      <c r="H10" s="64">
        <v>31.9</v>
      </c>
      <c r="I10" s="64">
        <v>1.51</v>
      </c>
      <c r="J10" s="64">
        <v>0.52</v>
      </c>
      <c r="K10" s="64">
        <v>340.79</v>
      </c>
      <c r="L10" s="64">
        <v>21.98</v>
      </c>
      <c r="M10" s="64">
        <v>74.5</v>
      </c>
      <c r="N10" s="64">
        <v>8.6999999999999993</v>
      </c>
      <c r="O10" s="64">
        <v>0</v>
      </c>
      <c r="P10" s="64">
        <v>1.1200000000000001</v>
      </c>
      <c r="Q10" s="64">
        <v>6.2</v>
      </c>
      <c r="R10" s="198"/>
      <c r="S10" s="198"/>
      <c r="T10" s="198"/>
      <c r="U10" s="198"/>
    </row>
    <row r="11" spans="1:21" s="12" customFormat="1" x14ac:dyDescent="0.25">
      <c r="A11" s="214" t="s">
        <v>1880</v>
      </c>
      <c r="B11" s="64">
        <v>16.170000000000002</v>
      </c>
      <c r="C11" s="64">
        <v>16.23</v>
      </c>
      <c r="D11" s="64">
        <v>23.22</v>
      </c>
      <c r="E11" s="64">
        <v>0.33</v>
      </c>
      <c r="F11" s="64">
        <v>0.78</v>
      </c>
      <c r="G11" s="64">
        <v>68.42</v>
      </c>
      <c r="H11" s="64">
        <v>31.85</v>
      </c>
      <c r="I11" s="64">
        <v>1.52</v>
      </c>
      <c r="J11" s="64">
        <v>0.49</v>
      </c>
      <c r="K11" s="64">
        <v>340.77</v>
      </c>
      <c r="L11" s="64">
        <v>21.88</v>
      </c>
      <c r="M11" s="64">
        <v>76.040000000000006</v>
      </c>
      <c r="N11" s="64">
        <v>8.8000000000000007</v>
      </c>
      <c r="O11" s="64">
        <v>0</v>
      </c>
      <c r="P11" s="64">
        <v>1.1299999999999999</v>
      </c>
      <c r="Q11" s="64">
        <v>6.24</v>
      </c>
      <c r="R11" s="198"/>
      <c r="S11" s="198"/>
      <c r="T11" s="198"/>
      <c r="U11" s="198"/>
    </row>
    <row r="12" spans="1:21" s="12" customFormat="1" x14ac:dyDescent="0.25">
      <c r="A12" s="214" t="s">
        <v>1881</v>
      </c>
      <c r="B12" s="64">
        <v>15.91</v>
      </c>
      <c r="C12" s="64">
        <v>15.62</v>
      </c>
      <c r="D12" s="64">
        <v>22.67</v>
      </c>
      <c r="E12" s="64">
        <v>0.36</v>
      </c>
      <c r="F12" s="64">
        <v>1</v>
      </c>
      <c r="G12" s="64">
        <v>135.86000000000001</v>
      </c>
      <c r="H12" s="64">
        <v>31.44</v>
      </c>
      <c r="I12" s="64">
        <v>1.46</v>
      </c>
      <c r="J12" s="64">
        <v>0.53</v>
      </c>
      <c r="K12" s="64">
        <v>343.35</v>
      </c>
      <c r="L12" s="64">
        <v>21.76</v>
      </c>
      <c r="M12" s="64">
        <v>77.55</v>
      </c>
      <c r="N12" s="64">
        <v>8.6999999999999993</v>
      </c>
      <c r="O12" s="64">
        <v>0</v>
      </c>
      <c r="P12" s="64">
        <v>1.1599999999999999</v>
      </c>
      <c r="Q12" s="64">
        <v>6.19</v>
      </c>
      <c r="R12" s="198"/>
      <c r="S12" s="198"/>
      <c r="T12" s="198"/>
      <c r="U12" s="198"/>
    </row>
    <row r="13" spans="1:21" s="12" customFormat="1" x14ac:dyDescent="0.25">
      <c r="A13" s="214" t="s">
        <v>1882</v>
      </c>
      <c r="B13" s="64">
        <v>15.73</v>
      </c>
      <c r="C13" s="64">
        <v>14.97</v>
      </c>
      <c r="D13" s="64">
        <v>22.17</v>
      </c>
      <c r="E13" s="64">
        <v>0.26</v>
      </c>
      <c r="F13" s="64">
        <v>0.4</v>
      </c>
      <c r="G13" s="64">
        <v>135.86000000000001</v>
      </c>
      <c r="H13" s="64">
        <v>31.44</v>
      </c>
      <c r="I13" s="64">
        <v>1.5</v>
      </c>
      <c r="J13" s="64">
        <v>0.4</v>
      </c>
      <c r="K13" s="64">
        <v>342.8</v>
      </c>
      <c r="L13" s="64">
        <v>21.49</v>
      </c>
      <c r="M13" s="64">
        <v>81.44</v>
      </c>
      <c r="N13" s="64">
        <v>8.9</v>
      </c>
      <c r="O13" s="64">
        <v>0</v>
      </c>
      <c r="P13" s="64">
        <v>1.03</v>
      </c>
      <c r="Q13" s="64">
        <v>6.17</v>
      </c>
      <c r="R13" s="198"/>
      <c r="S13" s="198"/>
      <c r="T13" s="198"/>
      <c r="U13" s="198"/>
    </row>
    <row r="14" spans="1:21" s="12" customFormat="1" x14ac:dyDescent="0.25">
      <c r="A14" s="214" t="s">
        <v>1883</v>
      </c>
      <c r="B14" s="64">
        <v>14.51</v>
      </c>
      <c r="C14" s="64">
        <v>29.29</v>
      </c>
      <c r="D14" s="64">
        <v>29.1</v>
      </c>
      <c r="E14" s="64">
        <v>0.25</v>
      </c>
      <c r="F14" s="64">
        <v>0.28999999999999998</v>
      </c>
      <c r="G14" s="64">
        <v>135.86000000000001</v>
      </c>
      <c r="H14" s="64">
        <v>31.44</v>
      </c>
      <c r="I14" s="64">
        <v>1.54</v>
      </c>
      <c r="J14" s="64">
        <v>0.08</v>
      </c>
      <c r="K14" s="64">
        <v>331.97</v>
      </c>
      <c r="L14" s="64">
        <v>21.19</v>
      </c>
      <c r="M14" s="64">
        <v>83.57</v>
      </c>
      <c r="N14" s="64">
        <v>9</v>
      </c>
      <c r="O14" s="64">
        <v>0</v>
      </c>
      <c r="P14" s="64">
        <v>1.06</v>
      </c>
      <c r="Q14" s="64">
        <v>5.73</v>
      </c>
      <c r="R14" s="198"/>
      <c r="S14" s="198"/>
      <c r="T14" s="198"/>
      <c r="U14" s="198"/>
    </row>
    <row r="15" spans="1:21" s="12" customFormat="1" x14ac:dyDescent="0.25">
      <c r="A15" s="214" t="s">
        <v>1884</v>
      </c>
      <c r="B15" s="64">
        <v>12.62</v>
      </c>
      <c r="C15" s="64">
        <v>30.3</v>
      </c>
      <c r="D15" s="64">
        <v>28.14</v>
      </c>
      <c r="E15" s="64">
        <v>0.31</v>
      </c>
      <c r="F15" s="64">
        <v>0.69</v>
      </c>
      <c r="G15" s="64">
        <v>137.5</v>
      </c>
      <c r="H15" s="64">
        <v>30.91</v>
      </c>
      <c r="I15" s="64">
        <v>1.46</v>
      </c>
      <c r="J15" s="64">
        <v>0.23</v>
      </c>
      <c r="K15" s="64">
        <v>5.92</v>
      </c>
      <c r="L15" s="64">
        <v>21.1</v>
      </c>
      <c r="M15" s="64">
        <v>83.15</v>
      </c>
      <c r="N15" s="64">
        <v>8.6</v>
      </c>
      <c r="O15" s="64">
        <v>0</v>
      </c>
      <c r="P15" s="64">
        <v>1.1299999999999999</v>
      </c>
      <c r="Q15" s="64">
        <v>5.66</v>
      </c>
      <c r="R15" s="198"/>
      <c r="S15" s="198"/>
      <c r="T15" s="198"/>
      <c r="U15" s="198"/>
    </row>
    <row r="16" spans="1:21" s="12" customFormat="1" x14ac:dyDescent="0.25">
      <c r="A16" s="214" t="s">
        <v>1885</v>
      </c>
      <c r="B16" s="64">
        <v>14.01</v>
      </c>
      <c r="C16" s="64">
        <v>24.23</v>
      </c>
      <c r="D16" s="64">
        <v>25.89</v>
      </c>
      <c r="E16" s="64">
        <v>0.32</v>
      </c>
      <c r="F16" s="64">
        <v>0.73</v>
      </c>
      <c r="G16" s="64">
        <v>156.97</v>
      </c>
      <c r="H16" s="64">
        <v>25.54</v>
      </c>
      <c r="I16" s="64">
        <v>1.43</v>
      </c>
      <c r="J16" s="64">
        <v>0.14000000000000001</v>
      </c>
      <c r="K16" s="64">
        <v>50.09</v>
      </c>
      <c r="L16" s="64">
        <v>21.25</v>
      </c>
      <c r="M16" s="64">
        <v>81.75</v>
      </c>
      <c r="N16" s="64">
        <v>8.6</v>
      </c>
      <c r="O16" s="64">
        <v>0</v>
      </c>
      <c r="P16" s="64">
        <v>1.1499999999999999</v>
      </c>
      <c r="Q16" s="64">
        <v>5.75</v>
      </c>
      <c r="R16" s="198"/>
      <c r="S16" s="198"/>
      <c r="T16" s="198"/>
      <c r="U16" s="198"/>
    </row>
    <row r="17" spans="1:21" s="12" customFormat="1" x14ac:dyDescent="0.25">
      <c r="A17" s="214" t="s">
        <v>1886</v>
      </c>
      <c r="B17" s="64">
        <v>16.98</v>
      </c>
      <c r="C17" s="64">
        <v>22.45</v>
      </c>
      <c r="D17" s="64">
        <v>27.3</v>
      </c>
      <c r="E17" s="64">
        <v>0.28999999999999998</v>
      </c>
      <c r="F17" s="64">
        <v>1.23</v>
      </c>
      <c r="G17" s="64">
        <v>156.97</v>
      </c>
      <c r="H17" s="64">
        <v>25.54</v>
      </c>
      <c r="I17" s="64">
        <v>1.53</v>
      </c>
      <c r="J17" s="64">
        <v>0.54</v>
      </c>
      <c r="K17" s="64">
        <v>343.66</v>
      </c>
      <c r="L17" s="64">
        <v>21.32</v>
      </c>
      <c r="M17" s="64">
        <v>81.05</v>
      </c>
      <c r="N17" s="64">
        <v>8.6999999999999993</v>
      </c>
      <c r="O17" s="64">
        <v>0</v>
      </c>
      <c r="P17" s="64">
        <v>1.1499999999999999</v>
      </c>
      <c r="Q17" s="64">
        <v>5.67</v>
      </c>
      <c r="R17" s="198"/>
      <c r="S17" s="198"/>
      <c r="T17" s="198"/>
      <c r="U17" s="198"/>
    </row>
    <row r="18" spans="1:21" s="12" customFormat="1" x14ac:dyDescent="0.25">
      <c r="A18" s="214" t="s">
        <v>1887</v>
      </c>
      <c r="B18" s="64">
        <v>15.33</v>
      </c>
      <c r="C18" s="64">
        <v>22.02</v>
      </c>
      <c r="D18" s="64">
        <v>25.74</v>
      </c>
      <c r="E18" s="64">
        <v>0.39</v>
      </c>
      <c r="F18" s="64">
        <v>0.71</v>
      </c>
      <c r="G18" s="64">
        <v>156.97</v>
      </c>
      <c r="H18" s="64">
        <v>25.54</v>
      </c>
      <c r="I18" s="64">
        <v>1.58</v>
      </c>
      <c r="J18" s="64">
        <v>0.54</v>
      </c>
      <c r="K18" s="64">
        <v>343.34</v>
      </c>
      <c r="L18" s="64">
        <v>21.29</v>
      </c>
      <c r="M18" s="64">
        <v>81.290000000000006</v>
      </c>
      <c r="N18" s="64">
        <v>8.8000000000000007</v>
      </c>
      <c r="O18" s="64">
        <v>0</v>
      </c>
      <c r="P18" s="64">
        <v>1.17</v>
      </c>
      <c r="Q18" s="64">
        <v>5.82</v>
      </c>
      <c r="R18" s="198"/>
      <c r="S18" s="198"/>
      <c r="T18" s="198"/>
      <c r="U18" s="198"/>
    </row>
    <row r="19" spans="1:21" s="12" customFormat="1" x14ac:dyDescent="0.25">
      <c r="A19" s="214" t="s">
        <v>1888</v>
      </c>
      <c r="B19" s="64">
        <v>16.899999999999999</v>
      </c>
      <c r="C19" s="64">
        <v>20.89</v>
      </c>
      <c r="D19" s="64">
        <v>26.38</v>
      </c>
      <c r="E19" s="64">
        <v>0.43</v>
      </c>
      <c r="F19" s="64">
        <v>0.86</v>
      </c>
      <c r="G19" s="64">
        <v>155.65</v>
      </c>
      <c r="H19" s="64">
        <v>25.86</v>
      </c>
      <c r="I19" s="64">
        <v>1.55</v>
      </c>
      <c r="J19" s="64">
        <v>0.17</v>
      </c>
      <c r="K19" s="64">
        <v>357.85</v>
      </c>
      <c r="L19" s="64">
        <v>21.26</v>
      </c>
      <c r="M19" s="64">
        <v>81.58</v>
      </c>
      <c r="N19" s="64">
        <v>8.6999999999999993</v>
      </c>
      <c r="O19" s="64">
        <v>0</v>
      </c>
      <c r="P19" s="64">
        <v>1.1399999999999999</v>
      </c>
      <c r="Q19" s="64">
        <v>5.83</v>
      </c>
      <c r="R19" s="198"/>
      <c r="S19" s="198"/>
      <c r="T19" s="198"/>
      <c r="U19" s="198"/>
    </row>
    <row r="20" spans="1:21" s="12" customFormat="1" x14ac:dyDescent="0.25">
      <c r="A20" s="214" t="s">
        <v>1889</v>
      </c>
      <c r="B20" s="64">
        <v>16</v>
      </c>
      <c r="C20" s="64">
        <v>15.68</v>
      </c>
      <c r="D20" s="64">
        <v>22.78</v>
      </c>
      <c r="E20" s="64">
        <v>0.39</v>
      </c>
      <c r="F20" s="64">
        <v>1.22</v>
      </c>
      <c r="G20" s="64">
        <v>140.05000000000001</v>
      </c>
      <c r="H20" s="64">
        <v>29.11</v>
      </c>
      <c r="I20" s="64">
        <v>1.53</v>
      </c>
      <c r="J20" s="64">
        <v>0.49</v>
      </c>
      <c r="K20" s="64">
        <v>341.5</v>
      </c>
      <c r="L20" s="64">
        <v>21.22</v>
      </c>
      <c r="M20" s="64">
        <v>78.53</v>
      </c>
      <c r="N20" s="64">
        <v>8.6999999999999993</v>
      </c>
      <c r="O20" s="64">
        <v>0</v>
      </c>
      <c r="P20" s="64">
        <v>1.1399999999999999</v>
      </c>
      <c r="Q20" s="64">
        <v>5.91</v>
      </c>
      <c r="R20" s="198"/>
      <c r="S20" s="198"/>
      <c r="T20" s="198"/>
      <c r="U20" s="198"/>
    </row>
    <row r="21" spans="1:21" s="12" customFormat="1" x14ac:dyDescent="0.25">
      <c r="A21" s="214" t="s">
        <v>1890</v>
      </c>
      <c r="B21" s="64">
        <v>15.22</v>
      </c>
      <c r="C21" s="64">
        <v>16.04</v>
      </c>
      <c r="D21" s="64">
        <v>22.35</v>
      </c>
      <c r="E21" s="64">
        <v>0.36</v>
      </c>
      <c r="F21" s="64">
        <v>0.97</v>
      </c>
      <c r="G21" s="64">
        <v>140.05000000000001</v>
      </c>
      <c r="H21" s="64">
        <v>29.11</v>
      </c>
      <c r="I21" s="64">
        <v>1.52</v>
      </c>
      <c r="J21" s="64">
        <v>0.41</v>
      </c>
      <c r="K21" s="64">
        <v>341.84</v>
      </c>
      <c r="L21" s="64">
        <v>21.35</v>
      </c>
      <c r="M21" s="64">
        <v>77.59</v>
      </c>
      <c r="N21" s="64">
        <v>8.9</v>
      </c>
      <c r="O21" s="64">
        <v>0</v>
      </c>
      <c r="P21" s="64">
        <v>1.1000000000000001</v>
      </c>
      <c r="Q21" s="64">
        <v>5.99</v>
      </c>
      <c r="R21" s="198"/>
      <c r="S21" s="198"/>
      <c r="T21" s="198"/>
      <c r="U21" s="198"/>
    </row>
    <row r="22" spans="1:21" s="12" customFormat="1" x14ac:dyDescent="0.25">
      <c r="A22" s="214" t="s">
        <v>1891</v>
      </c>
      <c r="B22" s="64">
        <v>14.83</v>
      </c>
      <c r="C22" s="64">
        <v>14.63</v>
      </c>
      <c r="D22" s="64">
        <v>21.26</v>
      </c>
      <c r="E22" s="64">
        <v>0.39</v>
      </c>
      <c r="F22" s="64">
        <v>0.46</v>
      </c>
      <c r="G22" s="64">
        <v>140.05000000000001</v>
      </c>
      <c r="H22" s="64">
        <v>29.11</v>
      </c>
      <c r="I22" s="64">
        <v>1.46</v>
      </c>
      <c r="J22" s="64">
        <v>0.08</v>
      </c>
      <c r="K22" s="64">
        <v>19.670000000000002</v>
      </c>
      <c r="L22" s="64">
        <v>21.09</v>
      </c>
      <c r="M22" s="64">
        <v>79.150000000000006</v>
      </c>
      <c r="N22" s="64">
        <v>9.1</v>
      </c>
      <c r="O22" s="64">
        <v>0</v>
      </c>
      <c r="P22" s="64">
        <v>1.1000000000000001</v>
      </c>
      <c r="Q22" s="64">
        <v>6.05</v>
      </c>
      <c r="R22" s="198"/>
      <c r="S22" s="198"/>
      <c r="T22" s="198"/>
      <c r="U22" s="198"/>
    </row>
    <row r="23" spans="1:21" s="12" customFormat="1" x14ac:dyDescent="0.25">
      <c r="A23" s="214" t="s">
        <v>1892</v>
      </c>
      <c r="B23" s="64">
        <v>13.43</v>
      </c>
      <c r="C23" s="64">
        <v>15.27</v>
      </c>
      <c r="D23" s="64">
        <v>20.49</v>
      </c>
      <c r="E23" s="64">
        <v>0.39</v>
      </c>
      <c r="F23" s="64">
        <v>1.1000000000000001</v>
      </c>
      <c r="G23" s="64">
        <v>137.59</v>
      </c>
      <c r="H23" s="64">
        <v>28.2</v>
      </c>
      <c r="I23" s="64">
        <v>1.51</v>
      </c>
      <c r="J23" s="64">
        <v>7.0000000000000007E-2</v>
      </c>
      <c r="K23" s="64">
        <v>258.35000000000002</v>
      </c>
      <c r="L23" s="64">
        <v>20.73</v>
      </c>
      <c r="M23" s="64">
        <v>81.99</v>
      </c>
      <c r="N23" s="64">
        <v>9.1</v>
      </c>
      <c r="O23" s="64">
        <v>0</v>
      </c>
      <c r="P23" s="64">
        <v>1.02</v>
      </c>
      <c r="Q23" s="64">
        <v>6.01</v>
      </c>
      <c r="R23" s="198"/>
      <c r="S23" s="198"/>
      <c r="T23" s="198"/>
      <c r="U23" s="198"/>
    </row>
    <row r="24" spans="1:21" s="12" customFormat="1" x14ac:dyDescent="0.25">
      <c r="A24" s="214" t="s">
        <v>1893</v>
      </c>
      <c r="B24" s="64">
        <v>13.48</v>
      </c>
      <c r="C24" s="64">
        <v>13.69</v>
      </c>
      <c r="D24" s="64">
        <v>19.66</v>
      </c>
      <c r="E24" s="64">
        <v>0.31</v>
      </c>
      <c r="F24" s="64">
        <v>0.66</v>
      </c>
      <c r="G24" s="64">
        <v>108.44</v>
      </c>
      <c r="H24" s="64">
        <v>18.920000000000002</v>
      </c>
      <c r="I24" s="64">
        <v>1.46</v>
      </c>
      <c r="J24" s="64">
        <v>0.05</v>
      </c>
      <c r="K24" s="64">
        <v>275.58999999999997</v>
      </c>
      <c r="L24" s="64">
        <v>20.56</v>
      </c>
      <c r="M24" s="64">
        <v>84.79</v>
      </c>
      <c r="N24" s="64">
        <v>9.1</v>
      </c>
      <c r="O24" s="64">
        <v>0</v>
      </c>
      <c r="P24" s="64">
        <v>1.07</v>
      </c>
      <c r="Q24" s="64">
        <v>6.01</v>
      </c>
      <c r="R24" s="198"/>
      <c r="S24" s="198"/>
      <c r="T24" s="198"/>
      <c r="U24" s="198"/>
    </row>
    <row r="25" spans="1:21" s="12" customFormat="1" x14ac:dyDescent="0.25">
      <c r="A25" s="214" t="s">
        <v>1894</v>
      </c>
      <c r="B25" s="64">
        <v>13.35</v>
      </c>
      <c r="C25" s="64">
        <v>15.11</v>
      </c>
      <c r="D25" s="64">
        <v>20.34</v>
      </c>
      <c r="E25" s="64">
        <v>0.44</v>
      </c>
      <c r="F25" s="64">
        <v>0.33</v>
      </c>
      <c r="G25" s="64">
        <v>108.44</v>
      </c>
      <c r="H25" s="64">
        <v>18.920000000000002</v>
      </c>
      <c r="I25" s="64">
        <v>1.49</v>
      </c>
      <c r="J25" s="64">
        <v>0.02</v>
      </c>
      <c r="K25" s="64">
        <v>289.27</v>
      </c>
      <c r="L25" s="64">
        <v>20.57</v>
      </c>
      <c r="M25" s="64">
        <v>88.63</v>
      </c>
      <c r="N25" s="64">
        <v>8.6999999999999993</v>
      </c>
      <c r="O25" s="64">
        <v>0</v>
      </c>
      <c r="P25" s="64">
        <v>1.05</v>
      </c>
      <c r="Q25" s="64">
        <v>5.85</v>
      </c>
      <c r="R25" s="198"/>
      <c r="S25" s="198"/>
      <c r="T25" s="198"/>
      <c r="U25" s="198"/>
    </row>
    <row r="26" spans="1:21" s="12" customFormat="1" x14ac:dyDescent="0.25">
      <c r="A26" s="214" t="s">
        <v>1895</v>
      </c>
      <c r="B26" s="64">
        <v>12.69</v>
      </c>
      <c r="C26" s="64">
        <v>15.57</v>
      </c>
      <c r="D26" s="64">
        <v>20.059999999999999</v>
      </c>
      <c r="E26" s="64">
        <v>0.43</v>
      </c>
      <c r="F26" s="64">
        <v>0.3</v>
      </c>
      <c r="G26" s="64">
        <v>108.44</v>
      </c>
      <c r="H26" s="64">
        <v>18.920000000000002</v>
      </c>
      <c r="I26" s="64">
        <v>1.41</v>
      </c>
      <c r="J26" s="64">
        <v>0.02</v>
      </c>
      <c r="K26" s="64">
        <v>242.01</v>
      </c>
      <c r="L26" s="64">
        <v>20.46</v>
      </c>
      <c r="M26" s="64">
        <v>91.36</v>
      </c>
      <c r="N26" s="64">
        <v>8.6999999999999993</v>
      </c>
      <c r="O26" s="64">
        <v>0</v>
      </c>
      <c r="P26" s="64">
        <v>1.02</v>
      </c>
      <c r="Q26" s="64">
        <v>5.81</v>
      </c>
      <c r="R26" s="198"/>
      <c r="S26" s="198"/>
      <c r="T26" s="198"/>
      <c r="U26" s="198"/>
    </row>
    <row r="27" spans="1:21" s="12" customFormat="1" x14ac:dyDescent="0.25">
      <c r="A27" s="214" t="s">
        <v>1896</v>
      </c>
      <c r="B27" s="64">
        <v>10.89</v>
      </c>
      <c r="C27" s="64">
        <v>18.25</v>
      </c>
      <c r="D27" s="64">
        <v>20.09</v>
      </c>
      <c r="E27" s="64">
        <v>0.42</v>
      </c>
      <c r="F27" s="64">
        <v>0.41</v>
      </c>
      <c r="G27" s="64">
        <v>109.12</v>
      </c>
      <c r="H27" s="64">
        <v>22.01</v>
      </c>
      <c r="I27" s="64">
        <v>1.52</v>
      </c>
      <c r="J27" s="64">
        <v>0.05</v>
      </c>
      <c r="K27" s="64">
        <v>118.93</v>
      </c>
      <c r="L27" s="64">
        <v>20.34</v>
      </c>
      <c r="M27" s="64">
        <v>92.87</v>
      </c>
      <c r="N27" s="64">
        <v>8.6999999999999993</v>
      </c>
      <c r="O27" s="64">
        <v>0</v>
      </c>
      <c r="P27" s="64">
        <v>0.9</v>
      </c>
      <c r="Q27" s="64">
        <v>5.74</v>
      </c>
      <c r="R27" s="198"/>
      <c r="S27" s="198"/>
      <c r="T27" s="198"/>
      <c r="U27" s="198"/>
    </row>
    <row r="28" spans="1:21" s="12" customFormat="1" x14ac:dyDescent="0.25">
      <c r="A28" s="214" t="s">
        <v>1897</v>
      </c>
      <c r="B28" s="64">
        <v>11.74</v>
      </c>
      <c r="C28" s="64">
        <v>16.32</v>
      </c>
      <c r="D28" s="64">
        <v>19.71</v>
      </c>
      <c r="E28" s="64">
        <v>0.38</v>
      </c>
      <c r="F28" s="64">
        <v>0.33</v>
      </c>
      <c r="G28" s="64">
        <v>117.15</v>
      </c>
      <c r="H28" s="64">
        <v>53.37</v>
      </c>
      <c r="I28" s="64">
        <v>1.41</v>
      </c>
      <c r="J28" s="64">
        <v>0.05</v>
      </c>
      <c r="K28" s="64">
        <v>230.27</v>
      </c>
      <c r="L28" s="64">
        <v>20.45</v>
      </c>
      <c r="M28" s="64">
        <v>91.89</v>
      </c>
      <c r="N28" s="64">
        <v>8.4</v>
      </c>
      <c r="O28" s="64">
        <v>0</v>
      </c>
      <c r="P28" s="64">
        <v>0.98</v>
      </c>
      <c r="Q28" s="64">
        <v>5.76</v>
      </c>
      <c r="R28" s="198"/>
      <c r="S28" s="198"/>
      <c r="T28" s="198"/>
      <c r="U28" s="198"/>
    </row>
    <row r="29" spans="1:21" s="12" customFormat="1" x14ac:dyDescent="0.25">
      <c r="A29" s="214" t="s">
        <v>1898</v>
      </c>
      <c r="B29" s="64">
        <v>12.02</v>
      </c>
      <c r="C29" s="64">
        <v>15.02</v>
      </c>
      <c r="D29" s="64">
        <v>19.22</v>
      </c>
      <c r="E29" s="64">
        <v>0.44</v>
      </c>
      <c r="F29" s="64">
        <v>0.48</v>
      </c>
      <c r="G29" s="64">
        <v>117.15</v>
      </c>
      <c r="H29" s="64">
        <v>53.37</v>
      </c>
      <c r="I29" s="64">
        <v>1.5</v>
      </c>
      <c r="J29" s="64">
        <v>0.25</v>
      </c>
      <c r="K29" s="64">
        <v>157.78</v>
      </c>
      <c r="L29" s="64">
        <v>20.03</v>
      </c>
      <c r="M29" s="64">
        <v>95.89</v>
      </c>
      <c r="N29" s="64">
        <v>8.8000000000000007</v>
      </c>
      <c r="O29" s="64">
        <v>0</v>
      </c>
      <c r="P29" s="64">
        <v>0.92</v>
      </c>
      <c r="Q29" s="64">
        <v>5.79</v>
      </c>
      <c r="R29" s="198"/>
      <c r="S29" s="198"/>
      <c r="T29" s="198"/>
      <c r="U29" s="198"/>
    </row>
    <row r="30" spans="1:21" s="12" customFormat="1" x14ac:dyDescent="0.25">
      <c r="A30" s="214" t="s">
        <v>1899</v>
      </c>
      <c r="B30" s="64">
        <v>12.2</v>
      </c>
      <c r="C30" s="64">
        <v>13.71</v>
      </c>
      <c r="D30" s="64">
        <v>18.64</v>
      </c>
      <c r="E30" s="64">
        <v>0.53</v>
      </c>
      <c r="F30" s="64">
        <v>0.7</v>
      </c>
      <c r="G30" s="64">
        <v>117.15</v>
      </c>
      <c r="H30" s="64">
        <v>53.37</v>
      </c>
      <c r="I30" s="64">
        <v>1.53</v>
      </c>
      <c r="J30" s="64">
        <v>0.21</v>
      </c>
      <c r="K30" s="64">
        <v>171.57</v>
      </c>
      <c r="L30" s="64">
        <v>19.78</v>
      </c>
      <c r="M30" s="64">
        <v>96.99</v>
      </c>
      <c r="N30" s="64">
        <v>8.6999999999999993</v>
      </c>
      <c r="O30" s="64">
        <v>0</v>
      </c>
      <c r="P30" s="64">
        <v>0.96</v>
      </c>
      <c r="Q30" s="64">
        <v>5.82</v>
      </c>
      <c r="R30" s="198"/>
      <c r="S30" s="198"/>
      <c r="T30" s="198"/>
      <c r="U30" s="198"/>
    </row>
    <row r="31" spans="1:21" s="12" customFormat="1" x14ac:dyDescent="0.25">
      <c r="A31" s="214" t="s">
        <v>1900</v>
      </c>
      <c r="B31" s="64">
        <v>12.37</v>
      </c>
      <c r="C31" s="64">
        <v>13.2</v>
      </c>
      <c r="D31" s="64">
        <v>18.5</v>
      </c>
      <c r="E31" s="64">
        <v>0.55000000000000004</v>
      </c>
      <c r="F31" s="64">
        <v>0.36</v>
      </c>
      <c r="G31" s="64">
        <v>114.63</v>
      </c>
      <c r="H31" s="64">
        <v>56.35</v>
      </c>
      <c r="I31" s="64">
        <v>1.47</v>
      </c>
      <c r="J31" s="64">
        <v>0.19</v>
      </c>
      <c r="K31" s="64">
        <v>186.28</v>
      </c>
      <c r="L31" s="64">
        <v>19.75</v>
      </c>
      <c r="M31" s="64">
        <v>97.56</v>
      </c>
      <c r="N31" s="64">
        <v>9.1</v>
      </c>
      <c r="O31" s="64">
        <v>0</v>
      </c>
      <c r="P31" s="64">
        <v>0.92</v>
      </c>
      <c r="Q31" s="64">
        <v>5.79</v>
      </c>
      <c r="R31" s="198"/>
      <c r="S31" s="198"/>
      <c r="T31" s="198"/>
      <c r="U31" s="198"/>
    </row>
    <row r="32" spans="1:21" s="12" customFormat="1" x14ac:dyDescent="0.25">
      <c r="A32" s="214" t="s">
        <v>1901</v>
      </c>
      <c r="B32" s="64">
        <v>12.27</v>
      </c>
      <c r="C32" s="64">
        <v>11.8</v>
      </c>
      <c r="D32" s="64">
        <v>17.649999999999999</v>
      </c>
      <c r="E32" s="64">
        <v>0.48</v>
      </c>
      <c r="F32" s="64">
        <v>0.45</v>
      </c>
      <c r="G32" s="216" t="s">
        <v>42</v>
      </c>
      <c r="H32" s="216" t="s">
        <v>42</v>
      </c>
      <c r="I32" s="64">
        <v>1.51</v>
      </c>
      <c r="J32" s="64">
        <v>0.05</v>
      </c>
      <c r="K32" s="64">
        <v>27.56</v>
      </c>
      <c r="L32" s="64">
        <v>19.8</v>
      </c>
      <c r="M32" s="64">
        <v>96.97</v>
      </c>
      <c r="N32" s="64">
        <v>13</v>
      </c>
      <c r="O32" s="64">
        <v>0</v>
      </c>
      <c r="P32" s="64">
        <v>0.92</v>
      </c>
      <c r="Q32" s="64">
        <v>5.87</v>
      </c>
      <c r="R32" s="198"/>
      <c r="S32" s="198"/>
      <c r="T32" s="198"/>
      <c r="U32" s="198"/>
    </row>
    <row r="33" spans="1:21" s="12" customFormat="1" x14ac:dyDescent="0.25">
      <c r="A33" s="214" t="s">
        <v>1902</v>
      </c>
      <c r="B33" s="64">
        <v>12.09</v>
      </c>
      <c r="C33" s="64">
        <v>12.65</v>
      </c>
      <c r="D33" s="64">
        <v>17.97</v>
      </c>
      <c r="E33" s="64">
        <v>0.43</v>
      </c>
      <c r="F33" s="64">
        <v>0.35</v>
      </c>
      <c r="G33" s="216" t="s">
        <v>42</v>
      </c>
      <c r="H33" s="216" t="s">
        <v>42</v>
      </c>
      <c r="I33" s="64">
        <v>1.46</v>
      </c>
      <c r="J33" s="64">
        <v>0.2</v>
      </c>
      <c r="K33" s="64">
        <v>210.66</v>
      </c>
      <c r="L33" s="64">
        <v>19.809999999999999</v>
      </c>
      <c r="M33" s="64">
        <v>96.89</v>
      </c>
      <c r="N33" s="64">
        <v>25.7</v>
      </c>
      <c r="O33" s="64">
        <v>0</v>
      </c>
      <c r="P33" s="64">
        <v>0.88</v>
      </c>
      <c r="Q33" s="64">
        <v>5.78</v>
      </c>
      <c r="R33" s="198"/>
      <c r="S33" s="198"/>
      <c r="T33" s="198"/>
      <c r="U33" s="198"/>
    </row>
    <row r="34" spans="1:21" s="12" customFormat="1" x14ac:dyDescent="0.25">
      <c r="A34" s="214" t="s">
        <v>1903</v>
      </c>
      <c r="B34" s="64">
        <v>11.81</v>
      </c>
      <c r="C34" s="64">
        <v>11.88</v>
      </c>
      <c r="D34" s="64">
        <v>17.32</v>
      </c>
      <c r="E34" s="64">
        <v>0.45</v>
      </c>
      <c r="F34" s="64">
        <v>0.23</v>
      </c>
      <c r="G34" s="216" t="s">
        <v>42</v>
      </c>
      <c r="H34" s="216" t="s">
        <v>42</v>
      </c>
      <c r="I34" s="64">
        <v>1.5</v>
      </c>
      <c r="J34" s="64">
        <v>0.14000000000000001</v>
      </c>
      <c r="K34" s="64">
        <v>11.15</v>
      </c>
      <c r="L34" s="64">
        <v>19.98</v>
      </c>
      <c r="M34" s="64">
        <v>95.66</v>
      </c>
      <c r="N34" s="64">
        <v>46.5</v>
      </c>
      <c r="O34" s="64">
        <v>0</v>
      </c>
      <c r="P34" s="64">
        <v>0.87</v>
      </c>
      <c r="Q34" s="64">
        <v>5.81</v>
      </c>
      <c r="R34" s="198"/>
      <c r="S34" s="198"/>
      <c r="T34" s="198"/>
      <c r="U34" s="198"/>
    </row>
    <row r="35" spans="1:21" s="12" customFormat="1" x14ac:dyDescent="0.25">
      <c r="A35" s="214" t="s">
        <v>1904</v>
      </c>
      <c r="B35" s="64">
        <v>11.51</v>
      </c>
      <c r="C35" s="64">
        <v>11.59</v>
      </c>
      <c r="D35" s="64">
        <v>16.920000000000002</v>
      </c>
      <c r="E35" s="64">
        <v>0.44</v>
      </c>
      <c r="F35" s="64">
        <v>0.19</v>
      </c>
      <c r="G35" s="216" t="s">
        <v>42</v>
      </c>
      <c r="H35" s="216" t="s">
        <v>42</v>
      </c>
      <c r="I35" s="64">
        <v>1.48</v>
      </c>
      <c r="J35" s="64">
        <v>0.06</v>
      </c>
      <c r="K35" s="64">
        <v>224.73</v>
      </c>
      <c r="L35" s="64">
        <v>20.23</v>
      </c>
      <c r="M35" s="64">
        <v>95.22</v>
      </c>
      <c r="N35" s="64">
        <v>80.5</v>
      </c>
      <c r="O35" s="64">
        <v>0</v>
      </c>
      <c r="P35" s="64">
        <v>0.84</v>
      </c>
      <c r="Q35" s="64">
        <v>5.73</v>
      </c>
      <c r="R35" s="198"/>
      <c r="S35" s="198"/>
      <c r="T35" s="198"/>
      <c r="U35" s="198"/>
    </row>
    <row r="36" spans="1:21" s="12" customFormat="1" x14ac:dyDescent="0.25">
      <c r="A36" s="214" t="s">
        <v>1905</v>
      </c>
      <c r="B36" s="64">
        <v>11.2</v>
      </c>
      <c r="C36" s="64">
        <v>11.72</v>
      </c>
      <c r="D36" s="64">
        <v>16.739999999999998</v>
      </c>
      <c r="E36" s="64">
        <v>0.37</v>
      </c>
      <c r="F36" s="64">
        <v>0.12</v>
      </c>
      <c r="G36" s="216" t="s">
        <v>42</v>
      </c>
      <c r="H36" s="216" t="s">
        <v>42</v>
      </c>
      <c r="I36" s="64">
        <v>1.51</v>
      </c>
      <c r="J36" s="64">
        <v>0.14000000000000001</v>
      </c>
      <c r="K36" s="64">
        <v>324.91000000000003</v>
      </c>
      <c r="L36" s="64">
        <v>21.25</v>
      </c>
      <c r="M36" s="64">
        <v>90.46</v>
      </c>
      <c r="N36" s="64">
        <v>118.9</v>
      </c>
      <c r="O36" s="64">
        <v>0</v>
      </c>
      <c r="P36" s="64">
        <v>0.84</v>
      </c>
      <c r="Q36" s="64">
        <v>5.75</v>
      </c>
      <c r="R36" s="198"/>
      <c r="S36" s="198"/>
      <c r="T36" s="198"/>
      <c r="U36" s="198"/>
    </row>
    <row r="37" spans="1:21" s="12" customFormat="1" x14ac:dyDescent="0.25">
      <c r="A37" s="214" t="s">
        <v>1906</v>
      </c>
      <c r="B37" s="64">
        <v>12.74</v>
      </c>
      <c r="C37" s="64">
        <v>14.99</v>
      </c>
      <c r="D37" s="64">
        <v>19.78</v>
      </c>
      <c r="E37" s="64">
        <v>0.44</v>
      </c>
      <c r="F37" s="64">
        <v>0.05</v>
      </c>
      <c r="G37" s="216" t="s">
        <v>42</v>
      </c>
      <c r="H37" s="216" t="s">
        <v>42</v>
      </c>
      <c r="I37" s="64">
        <v>1.49</v>
      </c>
      <c r="J37" s="64">
        <v>0.23</v>
      </c>
      <c r="K37" s="64">
        <v>329.59</v>
      </c>
      <c r="L37" s="64">
        <v>23.19</v>
      </c>
      <c r="M37" s="64">
        <v>79.989999999999995</v>
      </c>
      <c r="N37" s="64">
        <v>164.6</v>
      </c>
      <c r="O37" s="64">
        <v>0</v>
      </c>
      <c r="P37" s="64">
        <v>0.84</v>
      </c>
      <c r="Q37" s="64">
        <v>5.61</v>
      </c>
      <c r="R37" s="198"/>
      <c r="S37" s="198"/>
      <c r="T37" s="198"/>
      <c r="U37" s="198"/>
    </row>
    <row r="38" spans="1:21" s="12" customFormat="1" x14ac:dyDescent="0.25">
      <c r="A38" s="214" t="s">
        <v>1907</v>
      </c>
      <c r="B38" s="64">
        <v>14.67</v>
      </c>
      <c r="C38" s="64">
        <v>15.73</v>
      </c>
      <c r="D38" s="64">
        <v>21.74</v>
      </c>
      <c r="E38" s="64">
        <v>0.4</v>
      </c>
      <c r="F38" s="64">
        <v>0.45</v>
      </c>
      <c r="G38" s="216" t="s">
        <v>42</v>
      </c>
      <c r="H38" s="216" t="s">
        <v>42</v>
      </c>
      <c r="I38" s="64">
        <v>1.58</v>
      </c>
      <c r="J38" s="64">
        <v>0.45</v>
      </c>
      <c r="K38" s="64">
        <v>329.81</v>
      </c>
      <c r="L38" s="64">
        <v>24.64</v>
      </c>
      <c r="M38" s="64">
        <v>72.510000000000005</v>
      </c>
      <c r="N38" s="64">
        <v>214.2</v>
      </c>
      <c r="O38" s="64">
        <v>0</v>
      </c>
      <c r="P38" s="64">
        <v>0.9</v>
      </c>
      <c r="Q38" s="64">
        <v>5.54</v>
      </c>
      <c r="R38" s="198"/>
      <c r="S38" s="198"/>
      <c r="T38" s="198"/>
      <c r="U38" s="198"/>
    </row>
    <row r="39" spans="1:21" s="12" customFormat="1" x14ac:dyDescent="0.25">
      <c r="A39" s="214" t="s">
        <v>1908</v>
      </c>
      <c r="B39" s="64">
        <v>14.83</v>
      </c>
      <c r="C39" s="64">
        <v>15.98</v>
      </c>
      <c r="D39" s="64">
        <v>22</v>
      </c>
      <c r="E39" s="64">
        <v>0.46</v>
      </c>
      <c r="F39" s="64">
        <v>0.89</v>
      </c>
      <c r="G39" s="216" t="s">
        <v>42</v>
      </c>
      <c r="H39" s="216" t="s">
        <v>42</v>
      </c>
      <c r="I39" s="64">
        <v>1.54</v>
      </c>
      <c r="J39" s="64">
        <v>0.46</v>
      </c>
      <c r="K39" s="64">
        <v>329.83</v>
      </c>
      <c r="L39" s="64">
        <v>26.28</v>
      </c>
      <c r="M39" s="64">
        <v>63.6</v>
      </c>
      <c r="N39" s="64">
        <v>263.60000000000002</v>
      </c>
      <c r="O39" s="64">
        <v>0</v>
      </c>
      <c r="P39" s="64">
        <v>0.91</v>
      </c>
      <c r="Q39" s="64">
        <v>5.67</v>
      </c>
      <c r="R39" s="198"/>
      <c r="S39" s="198"/>
      <c r="T39" s="198"/>
      <c r="U39" s="198"/>
    </row>
    <row r="40" spans="1:21" s="12" customFormat="1" x14ac:dyDescent="0.25">
      <c r="A40" s="214" t="s">
        <v>1909</v>
      </c>
      <c r="B40" s="64">
        <v>17</v>
      </c>
      <c r="C40" s="64">
        <v>18.5</v>
      </c>
      <c r="D40" s="64">
        <v>25.14</v>
      </c>
      <c r="E40" s="64">
        <v>0.12</v>
      </c>
      <c r="F40" s="64">
        <v>1.1100000000000001</v>
      </c>
      <c r="G40" s="64">
        <v>101.92</v>
      </c>
      <c r="H40" s="64">
        <v>57.67</v>
      </c>
      <c r="I40" s="64">
        <v>1.53</v>
      </c>
      <c r="J40" s="64">
        <v>0.57999999999999996</v>
      </c>
      <c r="K40" s="64">
        <v>335.11</v>
      </c>
      <c r="L40" s="64">
        <v>27.19</v>
      </c>
      <c r="M40" s="64">
        <v>60.35</v>
      </c>
      <c r="N40" s="64">
        <v>313.60000000000002</v>
      </c>
      <c r="O40" s="64">
        <v>0</v>
      </c>
      <c r="P40" s="64">
        <v>0.92</v>
      </c>
      <c r="Q40" s="64">
        <v>5.56</v>
      </c>
      <c r="R40" s="198"/>
      <c r="S40" s="198"/>
      <c r="T40" s="198"/>
      <c r="U40" s="198"/>
    </row>
    <row r="41" spans="1:21" s="12" customFormat="1" x14ac:dyDescent="0.25">
      <c r="A41" s="214" t="s">
        <v>1910</v>
      </c>
      <c r="B41" s="64">
        <v>16.11</v>
      </c>
      <c r="C41" s="64">
        <v>19.87</v>
      </c>
      <c r="D41" s="64">
        <v>25.18</v>
      </c>
      <c r="E41" s="64">
        <v>0.39</v>
      </c>
      <c r="F41" s="64">
        <v>4.3600000000000003</v>
      </c>
      <c r="G41" s="64">
        <v>101.92</v>
      </c>
      <c r="H41" s="64">
        <v>57.67</v>
      </c>
      <c r="I41" s="64">
        <v>1.46</v>
      </c>
      <c r="J41" s="64">
        <v>0.49</v>
      </c>
      <c r="K41" s="64">
        <v>344.74</v>
      </c>
      <c r="L41" s="64">
        <v>28.25</v>
      </c>
      <c r="M41" s="64">
        <v>57.02</v>
      </c>
      <c r="N41" s="64">
        <v>363.4</v>
      </c>
      <c r="O41" s="64">
        <v>0</v>
      </c>
      <c r="P41" s="64">
        <v>0.91</v>
      </c>
      <c r="Q41" s="64">
        <v>5.57</v>
      </c>
      <c r="R41" s="198"/>
      <c r="S41" s="198"/>
      <c r="T41" s="198"/>
      <c r="U41" s="198"/>
    </row>
    <row r="42" spans="1:21" s="12" customFormat="1" x14ac:dyDescent="0.25">
      <c r="A42" s="214" t="s">
        <v>1911</v>
      </c>
      <c r="B42" s="64">
        <v>15.75</v>
      </c>
      <c r="C42" s="64">
        <v>14.1</v>
      </c>
      <c r="D42" s="64">
        <v>21.71</v>
      </c>
      <c r="E42" s="64">
        <v>0.46</v>
      </c>
      <c r="F42" s="64">
        <v>0.95</v>
      </c>
      <c r="G42" s="64">
        <v>101.92</v>
      </c>
      <c r="H42" s="64">
        <v>57.67</v>
      </c>
      <c r="I42" s="64">
        <v>1.43</v>
      </c>
      <c r="J42" s="64">
        <v>0.47</v>
      </c>
      <c r="K42" s="64">
        <v>334.41</v>
      </c>
      <c r="L42" s="64">
        <v>28.37</v>
      </c>
      <c r="M42" s="64">
        <v>59.11</v>
      </c>
      <c r="N42" s="64">
        <v>410.2</v>
      </c>
      <c r="O42" s="64">
        <v>0</v>
      </c>
      <c r="P42" s="64">
        <v>0.93</v>
      </c>
      <c r="Q42" s="64">
        <v>5.87</v>
      </c>
      <c r="R42" s="198"/>
      <c r="S42" s="198"/>
      <c r="T42" s="198"/>
      <c r="U42" s="198"/>
    </row>
    <row r="43" spans="1:21" s="12" customFormat="1" x14ac:dyDescent="0.25">
      <c r="A43" s="214" t="s">
        <v>1912</v>
      </c>
      <c r="B43" s="64">
        <v>17.010000000000002</v>
      </c>
      <c r="C43" s="64">
        <v>17.440000000000001</v>
      </c>
      <c r="D43" s="64">
        <v>24.56</v>
      </c>
      <c r="E43" s="64">
        <v>0.56000000000000005</v>
      </c>
      <c r="F43" s="64">
        <v>0.86</v>
      </c>
      <c r="G43" s="64">
        <v>105.42</v>
      </c>
      <c r="H43" s="64">
        <v>58.01</v>
      </c>
      <c r="I43" s="64">
        <v>1.53</v>
      </c>
      <c r="J43" s="64">
        <v>0.51</v>
      </c>
      <c r="K43" s="64">
        <v>332.76</v>
      </c>
      <c r="L43" s="64">
        <v>27.12</v>
      </c>
      <c r="M43" s="64">
        <v>66.73</v>
      </c>
      <c r="N43" s="64">
        <v>459.9</v>
      </c>
      <c r="O43" s="64">
        <v>0</v>
      </c>
      <c r="P43" s="64">
        <v>0.93</v>
      </c>
      <c r="Q43" s="64">
        <v>5.94</v>
      </c>
      <c r="R43" s="198"/>
      <c r="S43" s="198"/>
      <c r="T43" s="198"/>
      <c r="U43" s="198"/>
    </row>
    <row r="44" spans="1:21" s="12" customFormat="1" x14ac:dyDescent="0.25">
      <c r="A44" s="214" t="s">
        <v>1913</v>
      </c>
      <c r="B44" s="64">
        <v>17.260000000000002</v>
      </c>
      <c r="C44" s="64">
        <v>15.59</v>
      </c>
      <c r="D44" s="64">
        <v>23.74</v>
      </c>
      <c r="E44" s="64">
        <v>0.46</v>
      </c>
      <c r="F44" s="64">
        <v>1.1000000000000001</v>
      </c>
      <c r="G44" s="64">
        <v>146.84</v>
      </c>
      <c r="H44" s="64">
        <v>61.48</v>
      </c>
      <c r="I44" s="64">
        <v>1.41</v>
      </c>
      <c r="J44" s="64">
        <v>0.84</v>
      </c>
      <c r="K44" s="64">
        <v>340.56</v>
      </c>
      <c r="L44" s="64">
        <v>26.7</v>
      </c>
      <c r="M44" s="64">
        <v>67.08</v>
      </c>
      <c r="N44" s="64">
        <v>510.3</v>
      </c>
      <c r="O44" s="64">
        <v>0</v>
      </c>
      <c r="P44" s="64">
        <v>0.94</v>
      </c>
      <c r="Q44" s="64">
        <v>6.11</v>
      </c>
      <c r="R44" s="198"/>
      <c r="S44" s="198"/>
      <c r="T44" s="198"/>
      <c r="U44" s="198"/>
    </row>
    <row r="45" spans="1:21" s="12" customFormat="1" x14ac:dyDescent="0.25">
      <c r="A45" s="214" t="s">
        <v>1914</v>
      </c>
      <c r="B45" s="64">
        <v>16.88</v>
      </c>
      <c r="C45" s="64">
        <v>16.489999999999998</v>
      </c>
      <c r="D45" s="64">
        <v>23.93</v>
      </c>
      <c r="E45" s="64">
        <v>0.43</v>
      </c>
      <c r="F45" s="64">
        <v>1.74</v>
      </c>
      <c r="G45" s="64">
        <v>146.84</v>
      </c>
      <c r="H45" s="64">
        <v>61.48</v>
      </c>
      <c r="I45" s="64">
        <v>1.57</v>
      </c>
      <c r="J45" s="64">
        <v>0.63</v>
      </c>
      <c r="K45" s="64">
        <v>335.73</v>
      </c>
      <c r="L45" s="64">
        <v>27.43</v>
      </c>
      <c r="M45" s="64">
        <v>64.73</v>
      </c>
      <c r="N45" s="64">
        <v>539.6</v>
      </c>
      <c r="O45" s="64">
        <v>0</v>
      </c>
      <c r="P45" s="64">
        <v>0.94</v>
      </c>
      <c r="Q45" s="64">
        <v>6.16</v>
      </c>
      <c r="R45" s="198"/>
      <c r="S45" s="198"/>
      <c r="T45" s="198"/>
      <c r="U45" s="198"/>
    </row>
    <row r="46" spans="1:21" s="12" customFormat="1" x14ac:dyDescent="0.25">
      <c r="A46" s="214" t="s">
        <v>1915</v>
      </c>
      <c r="B46" s="64">
        <v>17.09</v>
      </c>
      <c r="C46" s="64">
        <v>16.03</v>
      </c>
      <c r="D46" s="64">
        <v>23.85</v>
      </c>
      <c r="E46" s="64">
        <v>0.48</v>
      </c>
      <c r="F46" s="64">
        <v>1.58</v>
      </c>
      <c r="G46" s="64">
        <v>146.84</v>
      </c>
      <c r="H46" s="64">
        <v>61.48</v>
      </c>
      <c r="I46" s="64">
        <v>1.47</v>
      </c>
      <c r="J46" s="64">
        <v>0.69</v>
      </c>
      <c r="K46" s="64">
        <v>325.22000000000003</v>
      </c>
      <c r="L46" s="64">
        <v>27.61</v>
      </c>
      <c r="M46" s="64">
        <v>63.39</v>
      </c>
      <c r="N46" s="64">
        <v>579.1</v>
      </c>
      <c r="O46" s="64">
        <v>0</v>
      </c>
      <c r="P46" s="64">
        <v>0.95</v>
      </c>
      <c r="Q46" s="64">
        <v>6.13</v>
      </c>
      <c r="R46" s="198"/>
      <c r="S46" s="198"/>
      <c r="T46" s="198"/>
      <c r="U46" s="198"/>
    </row>
    <row r="47" spans="1:21" s="12" customFormat="1" x14ac:dyDescent="0.25">
      <c r="A47" s="214" t="s">
        <v>1916</v>
      </c>
      <c r="B47" s="64">
        <v>16.649999999999999</v>
      </c>
      <c r="C47" s="64">
        <v>16.38</v>
      </c>
      <c r="D47" s="64">
        <v>23.68</v>
      </c>
      <c r="E47" s="64">
        <v>0.46</v>
      </c>
      <c r="F47" s="64">
        <v>0.57999999999999996</v>
      </c>
      <c r="G47" s="64">
        <v>146.43</v>
      </c>
      <c r="H47" s="64">
        <v>61.89</v>
      </c>
      <c r="I47" s="64">
        <v>1.58</v>
      </c>
      <c r="J47" s="64">
        <v>0.37</v>
      </c>
      <c r="K47" s="64">
        <v>327.18</v>
      </c>
      <c r="L47" s="64">
        <v>28.24</v>
      </c>
      <c r="M47" s="64">
        <v>59.71</v>
      </c>
      <c r="N47" s="64">
        <v>590.5</v>
      </c>
      <c r="O47" s="64">
        <v>0</v>
      </c>
      <c r="P47" s="64">
        <v>0.97</v>
      </c>
      <c r="Q47" s="64">
        <v>6.23</v>
      </c>
      <c r="R47" s="198"/>
      <c r="S47" s="198"/>
      <c r="T47" s="198"/>
      <c r="U47" s="198"/>
    </row>
    <row r="48" spans="1:21" s="12" customFormat="1" x14ac:dyDescent="0.25">
      <c r="A48" s="214" t="s">
        <v>1917</v>
      </c>
      <c r="B48" s="64">
        <v>16.309999999999999</v>
      </c>
      <c r="C48" s="64">
        <v>17.510000000000002</v>
      </c>
      <c r="D48" s="64">
        <v>24.03</v>
      </c>
      <c r="E48" s="64">
        <v>0.48</v>
      </c>
      <c r="F48" s="64">
        <v>0.91</v>
      </c>
      <c r="G48" s="64">
        <v>141.51</v>
      </c>
      <c r="H48" s="64">
        <v>65.930000000000007</v>
      </c>
      <c r="I48" s="64">
        <v>1.55</v>
      </c>
      <c r="J48" s="64">
        <v>0.06</v>
      </c>
      <c r="K48" s="64">
        <v>0.55000000000000004</v>
      </c>
      <c r="L48" s="64">
        <v>27.68</v>
      </c>
      <c r="M48" s="64">
        <v>57.83</v>
      </c>
      <c r="N48" s="64">
        <v>601.6</v>
      </c>
      <c r="O48" s="64">
        <v>0</v>
      </c>
      <c r="P48" s="64">
        <v>0.97</v>
      </c>
      <c r="Q48" s="64">
        <v>6.14</v>
      </c>
      <c r="R48" s="198"/>
      <c r="S48" s="198"/>
      <c r="T48" s="198"/>
      <c r="U48" s="198"/>
    </row>
    <row r="49" spans="1:21" s="12" customFormat="1" x14ac:dyDescent="0.25">
      <c r="A49" s="214" t="s">
        <v>1918</v>
      </c>
      <c r="B49" s="64">
        <v>15.17</v>
      </c>
      <c r="C49" s="64">
        <v>25.83</v>
      </c>
      <c r="D49" s="64">
        <v>27.72</v>
      </c>
      <c r="E49" s="64">
        <v>0.52</v>
      </c>
      <c r="F49" s="64">
        <v>3.85</v>
      </c>
      <c r="G49" s="64">
        <v>141.51</v>
      </c>
      <c r="H49" s="64">
        <v>65.930000000000007</v>
      </c>
      <c r="I49" s="64">
        <v>1.52</v>
      </c>
      <c r="J49" s="64">
        <v>0.37</v>
      </c>
      <c r="K49" s="64">
        <v>339.53</v>
      </c>
      <c r="L49" s="64">
        <v>29.02</v>
      </c>
      <c r="M49" s="64">
        <v>55.59</v>
      </c>
      <c r="N49" s="64">
        <v>611</v>
      </c>
      <c r="O49" s="64">
        <v>0</v>
      </c>
      <c r="P49" s="64">
        <v>0.99</v>
      </c>
      <c r="Q49" s="64">
        <v>5.94</v>
      </c>
      <c r="R49" s="198"/>
      <c r="S49" s="198"/>
      <c r="T49" s="198"/>
      <c r="U49" s="198"/>
    </row>
    <row r="50" spans="1:21" s="12" customFormat="1" x14ac:dyDescent="0.25">
      <c r="A50" s="214" t="s">
        <v>1919</v>
      </c>
      <c r="B50" s="64">
        <v>14.16</v>
      </c>
      <c r="C50" s="64">
        <v>29.66</v>
      </c>
      <c r="D50" s="64">
        <v>29.02</v>
      </c>
      <c r="E50" s="64">
        <v>0.68</v>
      </c>
      <c r="F50" s="64">
        <v>8.7799999999999994</v>
      </c>
      <c r="G50" s="64">
        <v>141.51</v>
      </c>
      <c r="H50" s="64">
        <v>65.930000000000007</v>
      </c>
      <c r="I50" s="64">
        <v>1.52</v>
      </c>
      <c r="J50" s="64">
        <v>0.4</v>
      </c>
      <c r="K50" s="64">
        <v>348.26</v>
      </c>
      <c r="L50" s="64">
        <v>31.3</v>
      </c>
      <c r="M50" s="64">
        <v>46.16</v>
      </c>
      <c r="N50" s="64">
        <v>612.20000000000005</v>
      </c>
      <c r="O50" s="64">
        <v>0</v>
      </c>
      <c r="P50" s="64">
        <v>1.02</v>
      </c>
      <c r="Q50" s="64">
        <v>5.65</v>
      </c>
      <c r="R50" s="198"/>
      <c r="S50" s="198"/>
      <c r="T50" s="198"/>
      <c r="U50" s="198"/>
    </row>
    <row r="51" spans="1:21" s="12" customFormat="1" x14ac:dyDescent="0.25">
      <c r="A51" s="214" t="s">
        <v>1920</v>
      </c>
      <c r="B51" s="64">
        <v>13.98</v>
      </c>
      <c r="C51" s="64">
        <v>33.22</v>
      </c>
      <c r="D51" s="64">
        <v>30.84</v>
      </c>
      <c r="E51" s="64">
        <v>0.83</v>
      </c>
      <c r="F51" s="64">
        <v>10.35</v>
      </c>
      <c r="G51" s="64">
        <v>143.51</v>
      </c>
      <c r="H51" s="64">
        <v>66.86</v>
      </c>
      <c r="I51" s="64">
        <v>1.55</v>
      </c>
      <c r="J51" s="64">
        <v>0.43</v>
      </c>
      <c r="K51" s="64">
        <v>330.65</v>
      </c>
      <c r="L51" s="64">
        <v>32.07</v>
      </c>
      <c r="M51" s="64">
        <v>43.9</v>
      </c>
      <c r="N51" s="64">
        <v>612.5</v>
      </c>
      <c r="O51" s="64">
        <v>0</v>
      </c>
      <c r="P51" s="64">
        <v>1.0900000000000001</v>
      </c>
      <c r="Q51" s="64">
        <v>5.43</v>
      </c>
      <c r="R51" s="198"/>
      <c r="S51" s="198"/>
      <c r="T51" s="198"/>
      <c r="U51" s="198"/>
    </row>
    <row r="52" spans="1:21" s="12" customFormat="1" x14ac:dyDescent="0.25">
      <c r="A52" s="214" t="s">
        <v>1921</v>
      </c>
      <c r="B52" s="64">
        <v>14.21</v>
      </c>
      <c r="C52" s="64">
        <v>30.75</v>
      </c>
      <c r="D52" s="64">
        <v>29.66</v>
      </c>
      <c r="E52" s="64">
        <v>1.1100000000000001</v>
      </c>
      <c r="F52" s="64">
        <v>8.1999999999999993</v>
      </c>
      <c r="G52" s="64">
        <v>167.29</v>
      </c>
      <c r="H52" s="64">
        <v>76.17</v>
      </c>
      <c r="I52" s="64">
        <v>1.49</v>
      </c>
      <c r="J52" s="64">
        <v>0.51</v>
      </c>
      <c r="K52" s="64">
        <v>344.73</v>
      </c>
      <c r="L52" s="64">
        <v>31.89</v>
      </c>
      <c r="M52" s="64">
        <v>41.53</v>
      </c>
      <c r="N52" s="64">
        <v>643.4</v>
      </c>
      <c r="O52" s="64">
        <v>0</v>
      </c>
      <c r="P52" s="64">
        <v>1.06</v>
      </c>
      <c r="Q52" s="64">
        <v>5.38</v>
      </c>
      <c r="R52" s="198"/>
      <c r="S52" s="198"/>
      <c r="T52" s="198"/>
      <c r="U52" s="198"/>
    </row>
    <row r="53" spans="1:21" s="12" customFormat="1" x14ac:dyDescent="0.25">
      <c r="A53" s="214" t="s">
        <v>1922</v>
      </c>
      <c r="B53" s="64">
        <v>13.14</v>
      </c>
      <c r="C53" s="64">
        <v>25.18</v>
      </c>
      <c r="D53" s="64">
        <v>25.72</v>
      </c>
      <c r="E53" s="64">
        <v>1.19</v>
      </c>
      <c r="F53" s="64">
        <v>4.8899999999999997</v>
      </c>
      <c r="G53" s="64">
        <v>167.29</v>
      </c>
      <c r="H53" s="64">
        <v>76.17</v>
      </c>
      <c r="I53" s="64">
        <v>1.53</v>
      </c>
      <c r="J53" s="64">
        <v>0.55000000000000004</v>
      </c>
      <c r="K53" s="64">
        <v>345.04</v>
      </c>
      <c r="L53" s="64">
        <v>32.119999999999997</v>
      </c>
      <c r="M53" s="64">
        <v>42.01</v>
      </c>
      <c r="N53" s="64">
        <v>643</v>
      </c>
      <c r="O53" s="64">
        <v>0</v>
      </c>
      <c r="P53" s="64">
        <v>1.05</v>
      </c>
      <c r="Q53" s="64">
        <v>5.51</v>
      </c>
      <c r="R53" s="198"/>
      <c r="S53" s="198"/>
      <c r="T53" s="198"/>
      <c r="U53" s="198"/>
    </row>
    <row r="54" spans="1:21" s="12" customFormat="1" x14ac:dyDescent="0.25">
      <c r="A54" s="214" t="s">
        <v>1923</v>
      </c>
      <c r="B54" s="64">
        <v>13.11</v>
      </c>
      <c r="C54" s="64">
        <v>26.05</v>
      </c>
      <c r="D54" s="64">
        <v>26.18</v>
      </c>
      <c r="E54" s="64">
        <v>1.24</v>
      </c>
      <c r="F54" s="64">
        <v>1.65</v>
      </c>
      <c r="G54" s="64">
        <v>167.29</v>
      </c>
      <c r="H54" s="64">
        <v>76.17</v>
      </c>
      <c r="I54" s="64">
        <v>1.47</v>
      </c>
      <c r="J54" s="64">
        <v>0.27</v>
      </c>
      <c r="K54" s="64">
        <v>328.66</v>
      </c>
      <c r="L54" s="64">
        <v>31.78</v>
      </c>
      <c r="M54" s="64">
        <v>45.39</v>
      </c>
      <c r="N54" s="64">
        <v>586.5</v>
      </c>
      <c r="O54" s="64">
        <v>0</v>
      </c>
      <c r="P54" s="64">
        <v>1.07</v>
      </c>
      <c r="Q54" s="64">
        <v>5.66</v>
      </c>
      <c r="R54" s="198"/>
      <c r="S54" s="198"/>
      <c r="T54" s="198"/>
      <c r="U54" s="198"/>
    </row>
    <row r="55" spans="1:21" s="12" customFormat="1" x14ac:dyDescent="0.25">
      <c r="A55" s="214" t="s">
        <v>1924</v>
      </c>
      <c r="B55" s="64">
        <v>13.11</v>
      </c>
      <c r="C55" s="64">
        <v>33.06</v>
      </c>
      <c r="D55" s="64">
        <v>30.05</v>
      </c>
      <c r="E55" s="64">
        <v>1.55</v>
      </c>
      <c r="F55" s="64">
        <v>6.54</v>
      </c>
      <c r="G55" s="64">
        <v>168.95</v>
      </c>
      <c r="H55" s="64">
        <v>76.73</v>
      </c>
      <c r="I55" s="64">
        <v>1.45</v>
      </c>
      <c r="J55" s="64">
        <v>0.48</v>
      </c>
      <c r="K55" s="64">
        <v>335.96</v>
      </c>
      <c r="L55" s="64">
        <v>32.47</v>
      </c>
      <c r="M55" s="64">
        <v>43.27</v>
      </c>
      <c r="N55" s="64">
        <v>529.70000000000005</v>
      </c>
      <c r="O55" s="64">
        <v>0</v>
      </c>
      <c r="P55" s="64">
        <v>1.0900000000000001</v>
      </c>
      <c r="Q55" s="64">
        <v>5.58</v>
      </c>
      <c r="R55" s="198"/>
      <c r="S55" s="198"/>
      <c r="T55" s="198"/>
      <c r="U55" s="198"/>
    </row>
    <row r="56" spans="1:21" s="12" customFormat="1" x14ac:dyDescent="0.25">
      <c r="A56" s="214" t="s">
        <v>1925</v>
      </c>
      <c r="B56" s="64">
        <v>14.72</v>
      </c>
      <c r="C56" s="64">
        <v>32.69</v>
      </c>
      <c r="D56" s="64">
        <v>31.14</v>
      </c>
      <c r="E56" s="64">
        <v>0.99</v>
      </c>
      <c r="F56" s="64">
        <v>4.58</v>
      </c>
      <c r="G56" s="64">
        <v>188.63</v>
      </c>
      <c r="H56" s="64">
        <v>82.45</v>
      </c>
      <c r="I56" s="64">
        <v>1.46</v>
      </c>
      <c r="J56" s="64">
        <v>0.45</v>
      </c>
      <c r="K56" s="64">
        <v>88.56</v>
      </c>
      <c r="L56" s="64">
        <v>30.11</v>
      </c>
      <c r="M56" s="64">
        <v>48.51</v>
      </c>
      <c r="N56" s="64">
        <v>441.6</v>
      </c>
      <c r="O56" s="64">
        <v>0</v>
      </c>
      <c r="P56" s="64">
        <v>1.1499999999999999</v>
      </c>
      <c r="Q56" s="64">
        <v>5.2</v>
      </c>
      <c r="R56" s="198"/>
      <c r="S56" s="198"/>
      <c r="T56" s="198"/>
      <c r="U56" s="198"/>
    </row>
    <row r="57" spans="1:21" s="12" customFormat="1" x14ac:dyDescent="0.25">
      <c r="A57" s="214" t="s">
        <v>1926</v>
      </c>
      <c r="B57" s="64">
        <v>13.44</v>
      </c>
      <c r="C57" s="64">
        <v>24.59</v>
      </c>
      <c r="D57" s="64">
        <v>25.64</v>
      </c>
      <c r="E57" s="64">
        <v>1.02</v>
      </c>
      <c r="F57" s="64">
        <v>3.93</v>
      </c>
      <c r="G57" s="64">
        <v>188.63</v>
      </c>
      <c r="H57" s="64">
        <v>82.45</v>
      </c>
      <c r="I57" s="64">
        <v>1.5</v>
      </c>
      <c r="J57" s="64">
        <v>0.69</v>
      </c>
      <c r="K57" s="64">
        <v>347.25</v>
      </c>
      <c r="L57" s="64">
        <v>29.78</v>
      </c>
      <c r="M57" s="64">
        <v>49.97</v>
      </c>
      <c r="N57" s="64">
        <v>526.4</v>
      </c>
      <c r="O57" s="64">
        <v>0</v>
      </c>
      <c r="P57" s="64">
        <v>1.1299999999999999</v>
      </c>
      <c r="Q57" s="64">
        <v>5.57</v>
      </c>
      <c r="R57" s="198"/>
      <c r="S57" s="198"/>
      <c r="T57" s="198"/>
      <c r="U57" s="198"/>
    </row>
    <row r="58" spans="1:21" s="12" customFormat="1" x14ac:dyDescent="0.25">
      <c r="A58" s="214" t="s">
        <v>1927</v>
      </c>
      <c r="B58" s="64">
        <v>14.24</v>
      </c>
      <c r="C58" s="64">
        <v>27.36</v>
      </c>
      <c r="D58" s="64">
        <v>27.81</v>
      </c>
      <c r="E58" s="64">
        <v>1.72</v>
      </c>
      <c r="F58" s="64">
        <v>6.26</v>
      </c>
      <c r="G58" s="64">
        <v>188.63</v>
      </c>
      <c r="H58" s="64">
        <v>82.45</v>
      </c>
      <c r="I58" s="64">
        <v>1.54</v>
      </c>
      <c r="J58" s="64">
        <v>0.57999999999999996</v>
      </c>
      <c r="K58" s="64">
        <v>345.9</v>
      </c>
      <c r="L58" s="64">
        <v>31.28</v>
      </c>
      <c r="M58" s="64">
        <v>45.97</v>
      </c>
      <c r="N58" s="64">
        <v>434.4</v>
      </c>
      <c r="O58" s="64">
        <v>0</v>
      </c>
      <c r="P58" s="64">
        <v>1.1599999999999999</v>
      </c>
      <c r="Q58" s="64">
        <v>5.39</v>
      </c>
      <c r="R58" s="198"/>
      <c r="S58" s="198"/>
      <c r="T58" s="198"/>
      <c r="U58" s="198"/>
    </row>
    <row r="59" spans="1:21" s="12" customFormat="1" x14ac:dyDescent="0.25">
      <c r="A59" s="214" t="s">
        <v>1928</v>
      </c>
      <c r="B59" s="64">
        <v>13.03</v>
      </c>
      <c r="C59" s="64">
        <v>29.62</v>
      </c>
      <c r="D59" s="64">
        <v>28.09</v>
      </c>
      <c r="E59" s="64">
        <v>2.4500000000000002</v>
      </c>
      <c r="F59" s="64">
        <v>4.16</v>
      </c>
      <c r="G59" s="64">
        <v>187.49</v>
      </c>
      <c r="H59" s="64">
        <v>82.08</v>
      </c>
      <c r="I59" s="64">
        <v>1.52</v>
      </c>
      <c r="J59" s="64">
        <v>0.75</v>
      </c>
      <c r="K59" s="64">
        <v>3.45</v>
      </c>
      <c r="L59" s="64">
        <v>30.29</v>
      </c>
      <c r="M59" s="64">
        <v>48.5</v>
      </c>
      <c r="N59" s="64">
        <v>508.7</v>
      </c>
      <c r="O59" s="64">
        <v>0</v>
      </c>
      <c r="P59" s="64">
        <v>1.1399999999999999</v>
      </c>
      <c r="Q59" s="64">
        <v>5.41</v>
      </c>
      <c r="R59" s="198"/>
      <c r="S59" s="198"/>
      <c r="T59" s="198"/>
      <c r="U59" s="198"/>
    </row>
    <row r="60" spans="1:21" s="12" customFormat="1" x14ac:dyDescent="0.25">
      <c r="A60" s="214" t="s">
        <v>1929</v>
      </c>
      <c r="B60" s="64">
        <v>12.25</v>
      </c>
      <c r="C60" s="64">
        <v>25.51</v>
      </c>
      <c r="D60" s="64">
        <v>25.19</v>
      </c>
      <c r="E60" s="64">
        <v>1.24</v>
      </c>
      <c r="F60" s="64">
        <v>4.91</v>
      </c>
      <c r="G60" s="64">
        <v>174.01</v>
      </c>
      <c r="H60" s="64">
        <v>78.38</v>
      </c>
      <c r="I60" s="64">
        <v>1.52</v>
      </c>
      <c r="J60" s="64">
        <v>0.73</v>
      </c>
      <c r="K60" s="64">
        <v>329.28</v>
      </c>
      <c r="L60" s="64">
        <v>31.21</v>
      </c>
      <c r="M60" s="64">
        <v>45.37</v>
      </c>
      <c r="N60" s="64">
        <v>575.5</v>
      </c>
      <c r="O60" s="64">
        <v>0</v>
      </c>
      <c r="P60" s="64">
        <v>1.1299999999999999</v>
      </c>
      <c r="Q60" s="64">
        <v>5.67</v>
      </c>
      <c r="R60" s="198"/>
      <c r="S60" s="198"/>
      <c r="T60" s="198"/>
      <c r="U60" s="198"/>
    </row>
    <row r="61" spans="1:21" s="12" customFormat="1" x14ac:dyDescent="0.25">
      <c r="A61" s="214" t="s">
        <v>1930</v>
      </c>
      <c r="B61" s="64">
        <v>11.76</v>
      </c>
      <c r="C61" s="64">
        <v>34.79</v>
      </c>
      <c r="D61" s="64">
        <v>29.92</v>
      </c>
      <c r="E61" s="64">
        <v>2.08</v>
      </c>
      <c r="F61" s="64">
        <v>12.47</v>
      </c>
      <c r="G61" s="64">
        <v>174.01</v>
      </c>
      <c r="H61" s="64">
        <v>78.38</v>
      </c>
      <c r="I61" s="64">
        <v>1.47</v>
      </c>
      <c r="J61" s="64">
        <v>0.41</v>
      </c>
      <c r="K61" s="64">
        <v>330.95</v>
      </c>
      <c r="L61" s="64">
        <v>31.09</v>
      </c>
      <c r="M61" s="64">
        <v>45.42</v>
      </c>
      <c r="N61" s="64">
        <v>539</v>
      </c>
      <c r="O61" s="64">
        <v>0</v>
      </c>
      <c r="P61" s="64">
        <v>0.95</v>
      </c>
      <c r="Q61" s="64">
        <v>5.12</v>
      </c>
      <c r="R61" s="198"/>
      <c r="S61" s="198"/>
      <c r="T61" s="198"/>
      <c r="U61" s="198"/>
    </row>
    <row r="62" spans="1:21" s="12" customFormat="1" x14ac:dyDescent="0.25">
      <c r="A62" s="214" t="s">
        <v>1931</v>
      </c>
      <c r="B62" s="64">
        <v>11.29</v>
      </c>
      <c r="C62" s="64">
        <v>30.04</v>
      </c>
      <c r="D62" s="64">
        <v>26.93</v>
      </c>
      <c r="E62" s="64">
        <v>2.58</v>
      </c>
      <c r="F62" s="64">
        <v>9.7200000000000006</v>
      </c>
      <c r="G62" s="64">
        <v>174.01</v>
      </c>
      <c r="H62" s="64">
        <v>78.38</v>
      </c>
      <c r="I62" s="64">
        <v>1.47</v>
      </c>
      <c r="J62" s="64">
        <v>0.5</v>
      </c>
      <c r="K62" s="64">
        <v>347.31</v>
      </c>
      <c r="L62" s="64">
        <v>31.07</v>
      </c>
      <c r="M62" s="64">
        <v>45.28</v>
      </c>
      <c r="N62" s="64">
        <v>422.3</v>
      </c>
      <c r="O62" s="64">
        <v>0</v>
      </c>
      <c r="P62" s="64">
        <v>1.02</v>
      </c>
      <c r="Q62" s="64">
        <v>5.17</v>
      </c>
      <c r="R62" s="198"/>
      <c r="S62" s="198"/>
      <c r="T62" s="198"/>
      <c r="U62" s="198"/>
    </row>
    <row r="63" spans="1:21" s="12" customFormat="1" x14ac:dyDescent="0.25">
      <c r="A63" s="214" t="s">
        <v>1932</v>
      </c>
      <c r="B63" s="64">
        <v>9.7100000000000009</v>
      </c>
      <c r="C63" s="64">
        <v>29.07</v>
      </c>
      <c r="D63" s="64">
        <v>25.12</v>
      </c>
      <c r="E63" s="64">
        <v>1.1100000000000001</v>
      </c>
      <c r="F63" s="64">
        <v>13.79</v>
      </c>
      <c r="G63" s="64">
        <v>171.7</v>
      </c>
      <c r="H63" s="64">
        <v>77.5</v>
      </c>
      <c r="I63" s="64">
        <v>1.53</v>
      </c>
      <c r="J63" s="64">
        <v>0.32</v>
      </c>
      <c r="K63" s="64">
        <v>3.81</v>
      </c>
      <c r="L63" s="64">
        <v>30.31</v>
      </c>
      <c r="M63" s="64">
        <v>46.67</v>
      </c>
      <c r="N63" s="64">
        <v>348.1</v>
      </c>
      <c r="O63" s="64">
        <v>0</v>
      </c>
      <c r="P63" s="64">
        <v>0.96</v>
      </c>
      <c r="Q63" s="64">
        <v>5.3</v>
      </c>
      <c r="R63" s="198"/>
      <c r="S63" s="198"/>
      <c r="T63" s="198"/>
      <c r="U63" s="198"/>
    </row>
    <row r="64" spans="1:21" s="12" customFormat="1" x14ac:dyDescent="0.25">
      <c r="A64" s="214" t="s">
        <v>1933</v>
      </c>
      <c r="B64" s="64">
        <v>10.18</v>
      </c>
      <c r="C64" s="64">
        <v>28.91</v>
      </c>
      <c r="D64" s="64">
        <v>25.41</v>
      </c>
      <c r="E64" s="64">
        <v>1.88</v>
      </c>
      <c r="F64" s="64">
        <v>15.69</v>
      </c>
      <c r="G64" s="64">
        <v>144.31</v>
      </c>
      <c r="H64" s="64">
        <v>68.62</v>
      </c>
      <c r="I64" s="64">
        <v>1.53</v>
      </c>
      <c r="J64" s="64">
        <v>0.43</v>
      </c>
      <c r="K64" s="64">
        <v>86.05</v>
      </c>
      <c r="L64" s="64">
        <v>29.06</v>
      </c>
      <c r="M64" s="64">
        <v>49.54</v>
      </c>
      <c r="N64" s="64">
        <v>316.39999999999998</v>
      </c>
      <c r="O64" s="64">
        <v>0</v>
      </c>
      <c r="P64" s="64">
        <v>0.97</v>
      </c>
      <c r="Q64" s="64">
        <v>5.19</v>
      </c>
      <c r="R64" s="198"/>
      <c r="S64" s="198"/>
      <c r="T64" s="198"/>
      <c r="U64" s="198"/>
    </row>
    <row r="65" spans="1:21" s="12" customFormat="1" x14ac:dyDescent="0.25">
      <c r="A65" s="214" t="s">
        <v>1934</v>
      </c>
      <c r="B65" s="64">
        <v>10.4</v>
      </c>
      <c r="C65" s="64">
        <v>22.86</v>
      </c>
      <c r="D65" s="64">
        <v>22.25</v>
      </c>
      <c r="E65" s="64">
        <v>2.48</v>
      </c>
      <c r="F65" s="64">
        <v>4.71</v>
      </c>
      <c r="G65" s="64">
        <v>144.31</v>
      </c>
      <c r="H65" s="64">
        <v>68.62</v>
      </c>
      <c r="I65" s="64">
        <v>1.49</v>
      </c>
      <c r="J65" s="64">
        <v>0.45</v>
      </c>
      <c r="K65" s="64">
        <v>0.38</v>
      </c>
      <c r="L65" s="64">
        <v>29.77</v>
      </c>
      <c r="M65" s="64">
        <v>48.43</v>
      </c>
      <c r="N65" s="64">
        <v>291.39999999999998</v>
      </c>
      <c r="O65" s="64">
        <v>0</v>
      </c>
      <c r="P65" s="64">
        <v>1.03</v>
      </c>
      <c r="Q65" s="64">
        <v>4.9000000000000004</v>
      </c>
      <c r="R65" s="198"/>
      <c r="S65" s="198"/>
      <c r="T65" s="198"/>
      <c r="U65" s="198"/>
    </row>
    <row r="66" spans="1:21" s="12" customFormat="1" x14ac:dyDescent="0.25">
      <c r="A66" s="214" t="s">
        <v>1935</v>
      </c>
      <c r="B66" s="64">
        <v>8.39</v>
      </c>
      <c r="C66" s="64">
        <v>25.75</v>
      </c>
      <c r="D66" s="64">
        <v>22.23</v>
      </c>
      <c r="E66" s="64">
        <v>2.52</v>
      </c>
      <c r="F66" s="64">
        <v>11.4</v>
      </c>
      <c r="G66" s="64">
        <v>144.31</v>
      </c>
      <c r="H66" s="64">
        <v>68.62</v>
      </c>
      <c r="I66" s="64">
        <v>1.51</v>
      </c>
      <c r="J66" s="64">
        <v>0.42</v>
      </c>
      <c r="K66" s="64">
        <v>358.14</v>
      </c>
      <c r="L66" s="64">
        <v>29.54</v>
      </c>
      <c r="M66" s="64">
        <v>49.39</v>
      </c>
      <c r="N66" s="64">
        <v>211.1</v>
      </c>
      <c r="O66" s="64">
        <v>0</v>
      </c>
      <c r="P66" s="64">
        <v>0.97</v>
      </c>
      <c r="Q66" s="64">
        <v>4.9800000000000004</v>
      </c>
      <c r="R66" s="198"/>
      <c r="S66" s="198"/>
      <c r="T66" s="198"/>
      <c r="U66" s="198"/>
    </row>
    <row r="67" spans="1:21" s="12" customFormat="1" x14ac:dyDescent="0.25">
      <c r="A67" s="214" t="s">
        <v>1936</v>
      </c>
      <c r="B67" s="64">
        <v>7.22</v>
      </c>
      <c r="C67" s="64">
        <v>24.25</v>
      </c>
      <c r="D67" s="64">
        <v>20.47</v>
      </c>
      <c r="E67" s="64">
        <v>2.96</v>
      </c>
      <c r="F67" s="64">
        <v>9.85</v>
      </c>
      <c r="G67" s="64">
        <v>142.18</v>
      </c>
      <c r="H67" s="64">
        <v>67.94</v>
      </c>
      <c r="I67" s="64">
        <v>1.51</v>
      </c>
      <c r="J67" s="64">
        <v>0.62</v>
      </c>
      <c r="K67" s="64">
        <v>5.9</v>
      </c>
      <c r="L67" s="64">
        <v>28.83</v>
      </c>
      <c r="M67" s="64">
        <v>49.55</v>
      </c>
      <c r="N67" s="64">
        <v>276.7</v>
      </c>
      <c r="O67" s="64">
        <v>0</v>
      </c>
      <c r="P67" s="64">
        <v>0.98</v>
      </c>
      <c r="Q67" s="64">
        <v>5.29</v>
      </c>
      <c r="R67" s="198"/>
      <c r="S67" s="198"/>
      <c r="T67" s="198"/>
      <c r="U67" s="198"/>
    </row>
    <row r="68" spans="1:21" s="12" customFormat="1" x14ac:dyDescent="0.25">
      <c r="A68" s="214" t="s">
        <v>1937</v>
      </c>
      <c r="B68" s="64">
        <v>10.41</v>
      </c>
      <c r="C68" s="64">
        <v>21.44</v>
      </c>
      <c r="D68" s="64">
        <v>21.47</v>
      </c>
      <c r="E68" s="64">
        <v>2.4300000000000002</v>
      </c>
      <c r="F68" s="64">
        <v>6.33</v>
      </c>
      <c r="G68" s="64">
        <v>116.83</v>
      </c>
      <c r="H68" s="64">
        <v>61.12</v>
      </c>
      <c r="I68" s="64">
        <v>1.57</v>
      </c>
      <c r="J68" s="64">
        <v>0.97</v>
      </c>
      <c r="K68" s="64">
        <v>342.11</v>
      </c>
      <c r="L68" s="64">
        <v>29.6</v>
      </c>
      <c r="M68" s="64">
        <v>46.97</v>
      </c>
      <c r="N68" s="64">
        <v>153.6</v>
      </c>
      <c r="O68" s="64">
        <v>0</v>
      </c>
      <c r="P68" s="64">
        <v>0.99</v>
      </c>
      <c r="Q68" s="64">
        <v>5.1100000000000003</v>
      </c>
      <c r="R68" s="198"/>
      <c r="S68" s="198"/>
      <c r="T68" s="198"/>
      <c r="U68" s="198"/>
    </row>
    <row r="69" spans="1:21" s="12" customFormat="1" x14ac:dyDescent="0.25">
      <c r="A69" s="214" t="s">
        <v>1938</v>
      </c>
      <c r="B69" s="64">
        <v>8.52</v>
      </c>
      <c r="C69" s="64">
        <v>26.94</v>
      </c>
      <c r="D69" s="64">
        <v>22.99</v>
      </c>
      <c r="E69" s="64">
        <v>1.96</v>
      </c>
      <c r="F69" s="64">
        <v>13.43</v>
      </c>
      <c r="G69" s="64">
        <v>116.83</v>
      </c>
      <c r="H69" s="64">
        <v>61.12</v>
      </c>
      <c r="I69" s="64">
        <v>1.53</v>
      </c>
      <c r="J69" s="64">
        <v>0.68</v>
      </c>
      <c r="K69" s="64">
        <v>343.69</v>
      </c>
      <c r="L69" s="64">
        <v>29.61</v>
      </c>
      <c r="M69" s="64">
        <v>47.17</v>
      </c>
      <c r="N69" s="64">
        <v>135.6</v>
      </c>
      <c r="O69" s="64">
        <v>0</v>
      </c>
      <c r="P69" s="64">
        <v>0.93</v>
      </c>
      <c r="Q69" s="64">
        <v>5.03</v>
      </c>
      <c r="R69" s="198"/>
      <c r="S69" s="198"/>
      <c r="T69" s="198"/>
      <c r="U69" s="198"/>
    </row>
    <row r="70" spans="1:21" s="12" customFormat="1" x14ac:dyDescent="0.25">
      <c r="A70" s="214" t="s">
        <v>1939</v>
      </c>
      <c r="B70" s="64">
        <v>6.95</v>
      </c>
      <c r="C70" s="64">
        <v>29.54</v>
      </c>
      <c r="D70" s="64">
        <v>23.17</v>
      </c>
      <c r="E70" s="64">
        <v>2.91</v>
      </c>
      <c r="F70" s="64">
        <v>13.01</v>
      </c>
      <c r="G70" s="64">
        <v>116.83</v>
      </c>
      <c r="H70" s="64">
        <v>61.12</v>
      </c>
      <c r="I70" s="64">
        <v>1.49</v>
      </c>
      <c r="J70" s="64">
        <v>0.71</v>
      </c>
      <c r="K70" s="64">
        <v>345.72</v>
      </c>
      <c r="L70" s="64">
        <v>28.87</v>
      </c>
      <c r="M70" s="64">
        <v>48.97</v>
      </c>
      <c r="N70" s="64">
        <v>117.3</v>
      </c>
      <c r="O70" s="64">
        <v>0</v>
      </c>
      <c r="P70" s="64">
        <v>0.96</v>
      </c>
      <c r="Q70" s="64">
        <v>4.83</v>
      </c>
      <c r="R70" s="198"/>
      <c r="S70" s="198"/>
      <c r="T70" s="198"/>
      <c r="U70" s="198"/>
    </row>
    <row r="71" spans="1:21" s="12" customFormat="1" x14ac:dyDescent="0.25">
      <c r="A71" s="214" t="s">
        <v>1940</v>
      </c>
      <c r="B71" s="64">
        <v>8.98</v>
      </c>
      <c r="C71" s="64">
        <v>28.79</v>
      </c>
      <c r="D71" s="64">
        <v>24.38</v>
      </c>
      <c r="E71" s="64">
        <v>2.83</v>
      </c>
      <c r="F71" s="64">
        <v>11.38</v>
      </c>
      <c r="G71" s="64">
        <v>116.27</v>
      </c>
      <c r="H71" s="64">
        <v>60.27</v>
      </c>
      <c r="I71" s="64">
        <v>1.52</v>
      </c>
      <c r="J71" s="64">
        <v>0.53</v>
      </c>
      <c r="K71" s="64">
        <v>340.2</v>
      </c>
      <c r="L71" s="64">
        <v>28.65</v>
      </c>
      <c r="M71" s="64">
        <v>49.67</v>
      </c>
      <c r="N71" s="64">
        <v>103.1</v>
      </c>
      <c r="O71" s="64">
        <v>0</v>
      </c>
      <c r="P71" s="64">
        <v>0.98</v>
      </c>
      <c r="Q71" s="64">
        <v>4.84</v>
      </c>
      <c r="R71" s="198"/>
      <c r="S71" s="198"/>
      <c r="T71" s="198"/>
      <c r="U71" s="198"/>
    </row>
    <row r="72" spans="1:21" s="12" customFormat="1" x14ac:dyDescent="0.25">
      <c r="A72" s="214" t="s">
        <v>1941</v>
      </c>
      <c r="B72" s="64">
        <v>8.92</v>
      </c>
      <c r="C72" s="64">
        <v>35.119999999999997</v>
      </c>
      <c r="D72" s="64">
        <v>27.82</v>
      </c>
      <c r="E72" s="64">
        <v>1.24</v>
      </c>
      <c r="F72" s="64">
        <v>27.83</v>
      </c>
      <c r="G72" s="64">
        <v>109.61</v>
      </c>
      <c r="H72" s="64">
        <v>51.82</v>
      </c>
      <c r="I72" s="64">
        <v>1.55</v>
      </c>
      <c r="J72" s="64">
        <v>0.52</v>
      </c>
      <c r="K72" s="64">
        <v>103.98</v>
      </c>
      <c r="L72" s="64">
        <v>27.88</v>
      </c>
      <c r="M72" s="64">
        <v>53.05</v>
      </c>
      <c r="N72" s="64">
        <v>88.5</v>
      </c>
      <c r="O72" s="64">
        <v>0</v>
      </c>
      <c r="P72" s="64">
        <v>0.79</v>
      </c>
      <c r="Q72" s="64">
        <v>3.19</v>
      </c>
      <c r="R72" s="198"/>
      <c r="S72" s="198"/>
      <c r="T72" s="198"/>
      <c r="U72" s="198"/>
    </row>
    <row r="73" spans="1:21" s="12" customFormat="1" x14ac:dyDescent="0.25">
      <c r="A73" s="214" t="s">
        <v>1942</v>
      </c>
      <c r="B73" s="64">
        <v>5.01</v>
      </c>
      <c r="C73" s="64">
        <v>35.61</v>
      </c>
      <c r="D73" s="64">
        <v>24.96</v>
      </c>
      <c r="E73" s="64">
        <v>2.63</v>
      </c>
      <c r="F73" s="64">
        <v>27.34</v>
      </c>
      <c r="G73" s="64">
        <v>109.61</v>
      </c>
      <c r="H73" s="64">
        <v>51.82</v>
      </c>
      <c r="I73" s="64">
        <v>1.57</v>
      </c>
      <c r="J73" s="64">
        <v>0.53</v>
      </c>
      <c r="K73" s="64">
        <v>107.34</v>
      </c>
      <c r="L73" s="64">
        <v>27.47</v>
      </c>
      <c r="M73" s="64">
        <v>53.01</v>
      </c>
      <c r="N73" s="64">
        <v>74</v>
      </c>
      <c r="O73" s="64">
        <v>0</v>
      </c>
      <c r="P73" s="64">
        <v>0.75</v>
      </c>
      <c r="Q73" s="64">
        <v>4.28</v>
      </c>
      <c r="R73" s="198"/>
      <c r="S73" s="198"/>
      <c r="T73" s="198"/>
      <c r="U73" s="198"/>
    </row>
    <row r="74" spans="1:21" s="12" customFormat="1" x14ac:dyDescent="0.25">
      <c r="A74" s="214" t="s">
        <v>1943</v>
      </c>
      <c r="B74" s="64">
        <v>5.25</v>
      </c>
      <c r="C74" s="64">
        <v>32.65</v>
      </c>
      <c r="D74" s="64">
        <v>23.52</v>
      </c>
      <c r="E74" s="64">
        <v>3.19</v>
      </c>
      <c r="F74" s="64">
        <v>28.61</v>
      </c>
      <c r="G74" s="64">
        <v>109.61</v>
      </c>
      <c r="H74" s="64">
        <v>51.82</v>
      </c>
      <c r="I74" s="64">
        <v>1.48</v>
      </c>
      <c r="J74" s="64">
        <v>0.66</v>
      </c>
      <c r="K74" s="64">
        <v>103.69</v>
      </c>
      <c r="L74" s="64">
        <v>27.22</v>
      </c>
      <c r="M74" s="64">
        <v>54.26</v>
      </c>
      <c r="N74" s="64">
        <v>60.9</v>
      </c>
      <c r="O74" s="64">
        <v>0</v>
      </c>
      <c r="P74" s="64">
        <v>0.72</v>
      </c>
      <c r="Q74" s="64">
        <v>4.9000000000000004</v>
      </c>
      <c r="R74" s="198"/>
      <c r="S74" s="198"/>
      <c r="T74" s="198"/>
      <c r="U74" s="198"/>
    </row>
    <row r="75" spans="1:21" s="12" customFormat="1" x14ac:dyDescent="0.25">
      <c r="A75" s="214" t="s">
        <v>1944</v>
      </c>
      <c r="B75" s="64">
        <v>3.53</v>
      </c>
      <c r="C75" s="64">
        <v>26.57</v>
      </c>
      <c r="D75" s="64">
        <v>18.79</v>
      </c>
      <c r="E75" s="64">
        <v>2.91</v>
      </c>
      <c r="F75" s="64">
        <v>27.92</v>
      </c>
      <c r="G75" s="64">
        <v>108.46</v>
      </c>
      <c r="H75" s="64">
        <v>51.53</v>
      </c>
      <c r="I75" s="64">
        <v>1.51</v>
      </c>
      <c r="J75" s="64">
        <v>1.1100000000000001</v>
      </c>
      <c r="K75" s="64">
        <v>107.06</v>
      </c>
      <c r="L75" s="64">
        <v>26.9</v>
      </c>
      <c r="M75" s="64">
        <v>55.91</v>
      </c>
      <c r="N75" s="64">
        <v>47.3</v>
      </c>
      <c r="O75" s="64">
        <v>0</v>
      </c>
      <c r="P75" s="64">
        <v>0.72</v>
      </c>
      <c r="Q75" s="64">
        <v>4.8499999999999996</v>
      </c>
      <c r="R75" s="198"/>
      <c r="S75" s="198"/>
      <c r="T75" s="198"/>
      <c r="U75" s="198"/>
    </row>
    <row r="76" spans="1:21" s="12" customFormat="1" x14ac:dyDescent="0.25">
      <c r="A76" s="214" t="s">
        <v>1945</v>
      </c>
      <c r="B76" s="64">
        <v>3.38</v>
      </c>
      <c r="C76" s="64">
        <v>20.96</v>
      </c>
      <c r="D76" s="64">
        <v>15.57</v>
      </c>
      <c r="E76" s="64">
        <v>2.46</v>
      </c>
      <c r="F76" s="64">
        <v>31.31</v>
      </c>
      <c r="G76" s="64">
        <v>94.88</v>
      </c>
      <c r="H76" s="64">
        <v>48.58</v>
      </c>
      <c r="I76" s="64">
        <v>1.52</v>
      </c>
      <c r="J76" s="64">
        <v>0.96</v>
      </c>
      <c r="K76" s="64">
        <v>106.02</v>
      </c>
      <c r="L76" s="64">
        <v>26.68</v>
      </c>
      <c r="M76" s="64">
        <v>56.35</v>
      </c>
      <c r="N76" s="64">
        <v>34.1</v>
      </c>
      <c r="O76" s="64">
        <v>0</v>
      </c>
      <c r="P76" s="64">
        <v>0.67</v>
      </c>
      <c r="Q76" s="64">
        <v>5.16</v>
      </c>
      <c r="R76" s="198"/>
      <c r="S76" s="198"/>
      <c r="T76" s="198"/>
      <c r="U76" s="198"/>
    </row>
    <row r="77" spans="1:21" s="12" customFormat="1" x14ac:dyDescent="0.25">
      <c r="A77" s="214" t="s">
        <v>1946</v>
      </c>
      <c r="B77" s="64">
        <v>4.43</v>
      </c>
      <c r="C77" s="64">
        <v>34.07</v>
      </c>
      <c r="D77" s="64">
        <v>23.65</v>
      </c>
      <c r="E77" s="64">
        <v>2.4300000000000002</v>
      </c>
      <c r="F77" s="64">
        <v>21.24</v>
      </c>
      <c r="G77" s="64">
        <v>94.88</v>
      </c>
      <c r="H77" s="64">
        <v>48.58</v>
      </c>
      <c r="I77" s="64">
        <v>1.53</v>
      </c>
      <c r="J77" s="64">
        <v>0.28999999999999998</v>
      </c>
      <c r="K77" s="64">
        <v>99.12</v>
      </c>
      <c r="L77" s="64">
        <v>26.38</v>
      </c>
      <c r="M77" s="64">
        <v>57.69</v>
      </c>
      <c r="N77" s="64">
        <v>21.8</v>
      </c>
      <c r="O77" s="64">
        <v>0</v>
      </c>
      <c r="P77" s="64">
        <v>0.81</v>
      </c>
      <c r="Q77" s="64">
        <v>4.75</v>
      </c>
      <c r="R77" s="198"/>
      <c r="S77" s="198"/>
      <c r="T77" s="198"/>
      <c r="U77" s="198"/>
    </row>
    <row r="78" spans="1:21" s="12" customFormat="1" x14ac:dyDescent="0.25">
      <c r="A78" s="214" t="s">
        <v>1947</v>
      </c>
      <c r="B78" s="64">
        <v>4.51</v>
      </c>
      <c r="C78" s="64">
        <v>44.1</v>
      </c>
      <c r="D78" s="64">
        <v>29.24</v>
      </c>
      <c r="E78" s="64">
        <v>2.4300000000000002</v>
      </c>
      <c r="F78" s="64">
        <v>32.200000000000003</v>
      </c>
      <c r="G78" s="64">
        <v>94.88</v>
      </c>
      <c r="H78" s="64">
        <v>48.58</v>
      </c>
      <c r="I78" s="64">
        <v>1.49</v>
      </c>
      <c r="J78" s="64">
        <v>0.27</v>
      </c>
      <c r="K78" s="64">
        <v>96.51</v>
      </c>
      <c r="L78" s="64">
        <v>26.1</v>
      </c>
      <c r="M78" s="64">
        <v>58.84</v>
      </c>
      <c r="N78" s="64">
        <v>35.799999999999997</v>
      </c>
      <c r="O78" s="64">
        <v>0</v>
      </c>
      <c r="P78" s="64">
        <v>0.79</v>
      </c>
      <c r="Q78" s="64">
        <v>4.16</v>
      </c>
      <c r="R78" s="198"/>
      <c r="S78" s="198"/>
      <c r="T78" s="198"/>
      <c r="U78" s="198"/>
    </row>
    <row r="79" spans="1:21" s="12" customFormat="1" x14ac:dyDescent="0.25">
      <c r="A79" s="214" t="s">
        <v>1948</v>
      </c>
      <c r="B79" s="64">
        <v>2.66</v>
      </c>
      <c r="C79" s="64">
        <v>37.409999999999997</v>
      </c>
      <c r="D79" s="64">
        <v>24.08</v>
      </c>
      <c r="E79" s="64">
        <v>2.33</v>
      </c>
      <c r="F79" s="64">
        <v>35.96</v>
      </c>
      <c r="G79" s="64">
        <v>95.1</v>
      </c>
      <c r="H79" s="64">
        <v>48.72</v>
      </c>
      <c r="I79" s="64">
        <v>1.52</v>
      </c>
      <c r="J79" s="64">
        <v>0.41</v>
      </c>
      <c r="K79" s="64">
        <v>105.02</v>
      </c>
      <c r="L79" s="64">
        <v>25.88</v>
      </c>
      <c r="M79" s="64">
        <v>60.04</v>
      </c>
      <c r="N79" s="64">
        <v>38.700000000000003</v>
      </c>
      <c r="O79" s="64">
        <v>0</v>
      </c>
      <c r="P79" s="64">
        <v>0.7</v>
      </c>
      <c r="Q79" s="64">
        <v>3.92</v>
      </c>
      <c r="R79" s="198"/>
      <c r="S79" s="198"/>
      <c r="T79" s="198"/>
      <c r="U79" s="198"/>
    </row>
    <row r="80" spans="1:21" s="12" customFormat="1" x14ac:dyDescent="0.25">
      <c r="A80" s="214" t="s">
        <v>1949</v>
      </c>
      <c r="B80" s="64">
        <v>4.82</v>
      </c>
      <c r="C80" s="64">
        <v>43.75</v>
      </c>
      <c r="D80" s="64">
        <v>29.3</v>
      </c>
      <c r="E80" s="64">
        <v>1.57</v>
      </c>
      <c r="F80" s="64">
        <v>16.809999999999999</v>
      </c>
      <c r="G80" s="64">
        <v>97.74</v>
      </c>
      <c r="H80" s="64">
        <v>50.16</v>
      </c>
      <c r="I80" s="64">
        <v>1.54</v>
      </c>
      <c r="J80" s="64">
        <v>0.25</v>
      </c>
      <c r="K80" s="64">
        <v>87.23</v>
      </c>
      <c r="L80" s="64">
        <v>25.74</v>
      </c>
      <c r="M80" s="64">
        <v>59.81</v>
      </c>
      <c r="N80" s="64">
        <v>38.700000000000003</v>
      </c>
      <c r="O80" s="64">
        <v>0</v>
      </c>
      <c r="P80" s="64">
        <v>0.92</v>
      </c>
      <c r="Q80" s="64">
        <v>4.13</v>
      </c>
      <c r="R80" s="198"/>
      <c r="S80" s="198"/>
      <c r="T80" s="198"/>
      <c r="U80" s="198"/>
    </row>
    <row r="81" spans="1:26" s="12" customFormat="1" x14ac:dyDescent="0.25">
      <c r="A81" s="214" t="s">
        <v>1950</v>
      </c>
      <c r="B81" s="64">
        <v>12.54</v>
      </c>
      <c r="C81" s="64">
        <v>76.62</v>
      </c>
      <c r="D81" s="64">
        <v>53.63</v>
      </c>
      <c r="E81" s="64">
        <v>1.7</v>
      </c>
      <c r="F81" s="64">
        <v>18.3</v>
      </c>
      <c r="G81" s="64">
        <v>97.74</v>
      </c>
      <c r="H81" s="64">
        <v>50.16</v>
      </c>
      <c r="I81" s="64">
        <v>1.54</v>
      </c>
      <c r="J81" s="64">
        <v>0.19</v>
      </c>
      <c r="K81" s="64">
        <v>74.34</v>
      </c>
      <c r="L81" s="64">
        <v>25.5</v>
      </c>
      <c r="M81" s="64">
        <v>60.45</v>
      </c>
      <c r="N81" s="64">
        <v>38.799999999999997</v>
      </c>
      <c r="O81" s="64">
        <v>0</v>
      </c>
      <c r="P81" s="64">
        <v>1.08</v>
      </c>
      <c r="Q81" s="64">
        <v>0.74</v>
      </c>
      <c r="R81" s="198"/>
      <c r="S81" s="198"/>
      <c r="T81" s="198"/>
      <c r="U81" s="198"/>
    </row>
    <row r="82" spans="1:26" s="12" customFormat="1" x14ac:dyDescent="0.25">
      <c r="A82" s="214" t="s">
        <v>1951</v>
      </c>
      <c r="B82" s="64">
        <v>5.15</v>
      </c>
      <c r="C82" s="64">
        <v>45.79</v>
      </c>
      <c r="D82" s="64">
        <v>30.7</v>
      </c>
      <c r="E82" s="64">
        <v>1.89</v>
      </c>
      <c r="F82" s="64">
        <v>14.34</v>
      </c>
      <c r="G82" s="64">
        <v>97.74</v>
      </c>
      <c r="H82" s="64">
        <v>50.16</v>
      </c>
      <c r="I82" s="64">
        <v>1.48</v>
      </c>
      <c r="J82" s="64">
        <v>0.23</v>
      </c>
      <c r="K82" s="64">
        <v>82.2</v>
      </c>
      <c r="L82" s="64">
        <v>25.41</v>
      </c>
      <c r="M82" s="64">
        <v>62.68</v>
      </c>
      <c r="N82" s="64">
        <v>39.200000000000003</v>
      </c>
      <c r="O82" s="64">
        <v>0</v>
      </c>
      <c r="P82" s="64">
        <v>1.01</v>
      </c>
      <c r="Q82" s="64">
        <v>2.2000000000000002</v>
      </c>
      <c r="R82" s="198"/>
      <c r="S82" s="198"/>
      <c r="T82" s="198"/>
      <c r="U82" s="198"/>
    </row>
    <row r="83" spans="1:26" s="12" customFormat="1" x14ac:dyDescent="0.25">
      <c r="A83" s="214" t="s">
        <v>1952</v>
      </c>
      <c r="B83" s="64">
        <v>3</v>
      </c>
      <c r="C83" s="64">
        <v>36.82</v>
      </c>
      <c r="D83" s="64">
        <v>24.02</v>
      </c>
      <c r="E83" s="64">
        <v>1.42</v>
      </c>
      <c r="F83" s="64">
        <v>12.62</v>
      </c>
      <c r="G83" s="64">
        <v>99.08</v>
      </c>
      <c r="H83" s="64">
        <v>50.09</v>
      </c>
      <c r="I83" s="64">
        <v>1.5</v>
      </c>
      <c r="J83" s="64">
        <v>0.84</v>
      </c>
      <c r="K83" s="64">
        <v>114.09</v>
      </c>
      <c r="L83" s="64">
        <v>25.35</v>
      </c>
      <c r="M83" s="64">
        <v>67.42</v>
      </c>
      <c r="N83" s="64">
        <v>39.200000000000003</v>
      </c>
      <c r="O83" s="64">
        <v>0</v>
      </c>
      <c r="P83" s="64">
        <v>0.83</v>
      </c>
      <c r="Q83" s="64">
        <v>3.62</v>
      </c>
      <c r="R83" s="198"/>
      <c r="S83" s="198"/>
      <c r="T83" s="198"/>
      <c r="U83" s="198"/>
    </row>
    <row r="84" spans="1:26" s="12" customFormat="1" x14ac:dyDescent="0.25">
      <c r="A84" s="214" t="s">
        <v>1953</v>
      </c>
      <c r="B84" s="64">
        <v>3.12</v>
      </c>
      <c r="C84" s="64">
        <v>43.83</v>
      </c>
      <c r="D84" s="64">
        <v>27.98</v>
      </c>
      <c r="E84" s="64">
        <v>1.43</v>
      </c>
      <c r="F84" s="64">
        <v>13.76</v>
      </c>
      <c r="G84" s="64">
        <v>114.92</v>
      </c>
      <c r="H84" s="64">
        <v>49.46</v>
      </c>
      <c r="I84" s="64">
        <v>1.55</v>
      </c>
      <c r="J84" s="64">
        <v>0.62</v>
      </c>
      <c r="K84" s="64">
        <v>108.28</v>
      </c>
      <c r="L84" s="64">
        <v>25.28</v>
      </c>
      <c r="M84" s="64">
        <v>69.56</v>
      </c>
      <c r="N84" s="64">
        <v>39.799999999999997</v>
      </c>
      <c r="O84" s="64">
        <v>0</v>
      </c>
      <c r="P84" s="64">
        <v>0.74</v>
      </c>
      <c r="Q84" s="64">
        <v>3.91</v>
      </c>
      <c r="R84" s="198"/>
      <c r="S84" s="198"/>
      <c r="T84" s="198"/>
      <c r="U84" s="198"/>
    </row>
    <row r="85" spans="1:26" s="12" customFormat="1" x14ac:dyDescent="0.25">
      <c r="A85" s="214" t="s">
        <v>1954</v>
      </c>
      <c r="B85" s="64">
        <v>3.8</v>
      </c>
      <c r="C85" s="64">
        <v>43.73</v>
      </c>
      <c r="D85" s="64">
        <v>28.48</v>
      </c>
      <c r="E85" s="64">
        <v>1.46</v>
      </c>
      <c r="F85" s="64">
        <v>12.16</v>
      </c>
      <c r="G85" s="64">
        <v>114.92</v>
      </c>
      <c r="H85" s="64">
        <v>49.46</v>
      </c>
      <c r="I85" s="64">
        <v>1.53</v>
      </c>
      <c r="J85" s="64">
        <v>0.38</v>
      </c>
      <c r="K85" s="64">
        <v>103.42</v>
      </c>
      <c r="L85" s="64">
        <v>25.02</v>
      </c>
      <c r="M85" s="64">
        <v>71.709999999999994</v>
      </c>
      <c r="N85" s="64">
        <v>37.9</v>
      </c>
      <c r="O85" s="64">
        <v>0</v>
      </c>
      <c r="P85" s="64">
        <v>0.87</v>
      </c>
      <c r="Q85" s="64">
        <v>3.37</v>
      </c>
      <c r="R85" s="198"/>
      <c r="S85" s="198"/>
      <c r="T85" s="198"/>
      <c r="U85" s="198"/>
    </row>
    <row r="86" spans="1:26" s="12" customFormat="1" x14ac:dyDescent="0.25">
      <c r="A86" s="214" t="s">
        <v>1955</v>
      </c>
      <c r="B86" s="64">
        <v>3.63</v>
      </c>
      <c r="C86" s="64">
        <v>54.76</v>
      </c>
      <c r="D86" s="64">
        <v>34.43</v>
      </c>
      <c r="E86" s="64">
        <v>1.51</v>
      </c>
      <c r="F86" s="64">
        <v>10.8</v>
      </c>
      <c r="G86" s="64">
        <v>114.92</v>
      </c>
      <c r="H86" s="64">
        <v>49.46</v>
      </c>
      <c r="I86" s="64">
        <v>1.48</v>
      </c>
      <c r="J86" s="64">
        <v>0.28000000000000003</v>
      </c>
      <c r="K86" s="64">
        <v>99.04</v>
      </c>
      <c r="L86" s="64">
        <v>24.82</v>
      </c>
      <c r="M86" s="64">
        <v>73.209999999999994</v>
      </c>
      <c r="N86" s="64">
        <v>38.799999999999997</v>
      </c>
      <c r="O86" s="64">
        <v>0</v>
      </c>
      <c r="P86" s="64">
        <v>1</v>
      </c>
      <c r="Q86" s="64">
        <v>3.01</v>
      </c>
      <c r="R86" s="198"/>
      <c r="S86" s="198"/>
      <c r="T86" s="198"/>
      <c r="U86" s="198"/>
    </row>
    <row r="87" spans="1:26" s="12" customFormat="1" x14ac:dyDescent="0.25">
      <c r="A87" s="214" t="s">
        <v>1956</v>
      </c>
      <c r="B87" s="64">
        <v>4.8099999999999996</v>
      </c>
      <c r="C87" s="64">
        <v>48.55</v>
      </c>
      <c r="D87" s="64">
        <v>31.94</v>
      </c>
      <c r="E87" s="64">
        <v>1.43</v>
      </c>
      <c r="F87" s="64">
        <v>6.64</v>
      </c>
      <c r="G87" s="64">
        <v>114.02</v>
      </c>
      <c r="H87" s="64">
        <v>48.83</v>
      </c>
      <c r="I87" s="64">
        <v>1.51</v>
      </c>
      <c r="J87" s="64">
        <v>0.7</v>
      </c>
      <c r="K87" s="64">
        <v>110.4</v>
      </c>
      <c r="L87" s="64">
        <v>24.97</v>
      </c>
      <c r="M87" s="64">
        <v>71.53</v>
      </c>
      <c r="N87" s="64">
        <v>40.200000000000003</v>
      </c>
      <c r="O87" s="64">
        <v>0</v>
      </c>
      <c r="P87" s="64">
        <v>0.81</v>
      </c>
      <c r="Q87" s="64">
        <v>2.92</v>
      </c>
      <c r="R87" s="198"/>
      <c r="S87" s="198"/>
      <c r="T87" s="198"/>
      <c r="U87" s="198"/>
    </row>
    <row r="88" spans="1:26" s="12" customFormat="1" x14ac:dyDescent="0.25">
      <c r="A88" s="214" t="s">
        <v>1957</v>
      </c>
      <c r="B88" s="64">
        <v>5.03</v>
      </c>
      <c r="C88" s="64">
        <v>37.32</v>
      </c>
      <c r="D88" s="64">
        <v>25.92</v>
      </c>
      <c r="E88" s="64">
        <v>0.66</v>
      </c>
      <c r="F88" s="64">
        <v>5.44</v>
      </c>
      <c r="G88" s="64">
        <v>103.27</v>
      </c>
      <c r="H88" s="64">
        <v>42.44</v>
      </c>
      <c r="I88" s="64">
        <v>1.52</v>
      </c>
      <c r="J88" s="64">
        <v>0.83</v>
      </c>
      <c r="K88" s="64">
        <v>102.86</v>
      </c>
      <c r="L88" s="64">
        <v>25.04</v>
      </c>
      <c r="M88" s="64">
        <v>70.8</v>
      </c>
      <c r="N88" s="64">
        <v>42.1</v>
      </c>
      <c r="O88" s="64">
        <v>0</v>
      </c>
      <c r="P88" s="64">
        <v>0.8</v>
      </c>
      <c r="Q88" s="64">
        <v>3.37</v>
      </c>
      <c r="R88" s="198"/>
      <c r="S88" s="198"/>
      <c r="T88" s="198"/>
      <c r="U88" s="198"/>
    </row>
    <row r="89" spans="1:26" s="12" customFormat="1" x14ac:dyDescent="0.25">
      <c r="A89" s="214" t="s">
        <v>1958</v>
      </c>
      <c r="B89" s="64">
        <v>4.96</v>
      </c>
      <c r="C89" s="64">
        <v>43.49</v>
      </c>
      <c r="D89" s="64">
        <v>29.27</v>
      </c>
      <c r="E89" s="64">
        <v>1.03</v>
      </c>
      <c r="F89" s="64">
        <v>4.3899999999999997</v>
      </c>
      <c r="G89" s="64">
        <v>103.27</v>
      </c>
      <c r="H89" s="64">
        <v>42.44</v>
      </c>
      <c r="I89" s="64">
        <v>1.45</v>
      </c>
      <c r="J89" s="64">
        <v>0.37</v>
      </c>
      <c r="K89" s="64">
        <v>113.35</v>
      </c>
      <c r="L89" s="64">
        <v>24.8</v>
      </c>
      <c r="M89" s="64">
        <v>72.23</v>
      </c>
      <c r="N89" s="64">
        <v>43</v>
      </c>
      <c r="O89" s="64">
        <v>0</v>
      </c>
      <c r="P89" s="64">
        <v>0.83</v>
      </c>
      <c r="Q89" s="64">
        <v>4.01</v>
      </c>
      <c r="R89" s="198"/>
      <c r="S89" s="198"/>
      <c r="T89" s="198"/>
      <c r="U89" s="198"/>
    </row>
    <row r="90" spans="1:26" s="12" customFormat="1" x14ac:dyDescent="0.25">
      <c r="A90" s="214" t="s">
        <v>1959</v>
      </c>
      <c r="B90" s="64">
        <v>9.69</v>
      </c>
      <c r="C90" s="64">
        <v>67.959999999999994</v>
      </c>
      <c r="D90" s="64">
        <v>46.57</v>
      </c>
      <c r="E90" s="64">
        <v>1.2</v>
      </c>
      <c r="F90" s="64">
        <v>4.03</v>
      </c>
      <c r="G90" s="64">
        <v>103.27</v>
      </c>
      <c r="H90" s="64">
        <v>42.44</v>
      </c>
      <c r="I90" s="64">
        <v>1.49</v>
      </c>
      <c r="J90" s="64">
        <v>0.16</v>
      </c>
      <c r="K90" s="64">
        <v>96.74</v>
      </c>
      <c r="L90" s="64">
        <v>24.54</v>
      </c>
      <c r="M90" s="64">
        <v>73.849999999999994</v>
      </c>
      <c r="N90" s="64">
        <v>43.1</v>
      </c>
      <c r="O90" s="64">
        <v>0</v>
      </c>
      <c r="P90" s="64">
        <v>0.9</v>
      </c>
      <c r="Q90" s="64">
        <v>2.2000000000000002</v>
      </c>
      <c r="R90" s="198"/>
      <c r="S90" s="198"/>
      <c r="T90" s="198"/>
      <c r="U90" s="198"/>
    </row>
    <row r="91" spans="1:26" s="12" customFormat="1" x14ac:dyDescent="0.25">
      <c r="A91" s="214" t="s">
        <v>1960</v>
      </c>
      <c r="B91" s="64">
        <v>6.17</v>
      </c>
      <c r="C91" s="64">
        <v>39.08</v>
      </c>
      <c r="D91" s="64">
        <v>27.81</v>
      </c>
      <c r="E91" s="64">
        <v>1.04</v>
      </c>
      <c r="F91" s="64">
        <v>4.59</v>
      </c>
      <c r="G91" s="64">
        <v>103.86</v>
      </c>
      <c r="H91" s="64">
        <v>42.64</v>
      </c>
      <c r="I91" s="64">
        <v>1.59</v>
      </c>
      <c r="J91" s="64">
        <v>0.19</v>
      </c>
      <c r="K91" s="64">
        <v>107.88</v>
      </c>
      <c r="L91" s="64">
        <v>24.41</v>
      </c>
      <c r="M91" s="64">
        <v>73.290000000000006</v>
      </c>
      <c r="N91" s="64">
        <v>43.3</v>
      </c>
      <c r="O91" s="64">
        <v>0</v>
      </c>
      <c r="P91" s="64">
        <v>0.91</v>
      </c>
      <c r="Q91" s="64">
        <v>2.88</v>
      </c>
      <c r="R91" s="198"/>
      <c r="S91" s="198"/>
      <c r="T91" s="198"/>
      <c r="U91" s="198"/>
    </row>
    <row r="92" spans="1:26" s="12" customFormat="1" x14ac:dyDescent="0.25">
      <c r="A92" s="214" t="s">
        <v>1961</v>
      </c>
      <c r="B92" s="64">
        <v>5.33</v>
      </c>
      <c r="C92" s="64">
        <v>33.56</v>
      </c>
      <c r="D92" s="64">
        <v>24.09</v>
      </c>
      <c r="E92" s="64">
        <v>0.8</v>
      </c>
      <c r="F92" s="64">
        <v>6.39</v>
      </c>
      <c r="G92" s="64">
        <v>110.77</v>
      </c>
      <c r="H92" s="64">
        <v>44.6</v>
      </c>
      <c r="I92" s="64">
        <v>1.49</v>
      </c>
      <c r="J92" s="64">
        <v>0.48</v>
      </c>
      <c r="K92" s="64">
        <v>105.86</v>
      </c>
      <c r="L92" s="64">
        <v>24.49</v>
      </c>
      <c r="M92" s="64">
        <v>72.28</v>
      </c>
      <c r="N92" s="64">
        <v>43.3</v>
      </c>
      <c r="O92" s="64">
        <v>0</v>
      </c>
      <c r="P92" s="64">
        <v>0.8</v>
      </c>
      <c r="Q92" s="64">
        <v>4.1500000000000004</v>
      </c>
      <c r="R92" s="198"/>
      <c r="S92" s="198"/>
      <c r="T92" s="198"/>
      <c r="U92" s="198"/>
    </row>
    <row r="93" spans="1:26" s="12" customFormat="1" x14ac:dyDescent="0.25">
      <c r="A93" s="214" t="s">
        <v>1962</v>
      </c>
      <c r="B93" s="64">
        <v>11.02</v>
      </c>
      <c r="C93" s="64">
        <v>35.35</v>
      </c>
      <c r="D93" s="64">
        <v>29.64</v>
      </c>
      <c r="E93" s="64">
        <v>0.93</v>
      </c>
      <c r="F93" s="64">
        <v>6.82</v>
      </c>
      <c r="G93" s="64">
        <v>110.77</v>
      </c>
      <c r="H93" s="64">
        <v>44.6</v>
      </c>
      <c r="I93" s="64">
        <v>1.51</v>
      </c>
      <c r="J93" s="64">
        <v>0.16</v>
      </c>
      <c r="K93" s="64">
        <v>88.68</v>
      </c>
      <c r="L93" s="64">
        <v>24.36</v>
      </c>
      <c r="M93" s="64">
        <v>74.739999999999995</v>
      </c>
      <c r="N93" s="64">
        <v>44.4</v>
      </c>
      <c r="O93" s="64">
        <v>0</v>
      </c>
      <c r="P93" s="64">
        <v>0.92</v>
      </c>
      <c r="Q93" s="64">
        <v>3.87</v>
      </c>
      <c r="R93" s="198"/>
      <c r="S93" s="198"/>
      <c r="T93" s="198"/>
      <c r="U93" s="198"/>
    </row>
    <row r="94" spans="1:26" s="12" customFormat="1" x14ac:dyDescent="0.25">
      <c r="A94" s="214" t="s">
        <v>1963</v>
      </c>
      <c r="B94" s="64">
        <v>27.34</v>
      </c>
      <c r="C94" s="64">
        <v>52.35</v>
      </c>
      <c r="D94" s="64">
        <v>52.11</v>
      </c>
      <c r="E94" s="64">
        <v>0.78</v>
      </c>
      <c r="F94" s="64">
        <v>1.22</v>
      </c>
      <c r="G94" s="64">
        <v>110.77</v>
      </c>
      <c r="H94" s="64">
        <v>44.6</v>
      </c>
      <c r="I94" s="64">
        <v>1.59</v>
      </c>
      <c r="J94" s="64">
        <v>0.12</v>
      </c>
      <c r="K94" s="64">
        <v>248.65</v>
      </c>
      <c r="L94" s="64">
        <v>23.68</v>
      </c>
      <c r="M94" s="64">
        <v>79.03</v>
      </c>
      <c r="N94" s="64">
        <v>54.9</v>
      </c>
      <c r="O94" s="64">
        <v>0</v>
      </c>
      <c r="P94" s="64">
        <v>1.01</v>
      </c>
      <c r="Q94" s="64">
        <v>3.11</v>
      </c>
      <c r="R94" s="198"/>
      <c r="S94" s="198"/>
      <c r="T94" s="198"/>
      <c r="U94" s="198"/>
    </row>
    <row r="95" spans="1:26" s="12" customFormat="1" x14ac:dyDescent="0.25">
      <c r="A95" s="214" t="s">
        <v>1964</v>
      </c>
      <c r="B95" s="64">
        <v>100.19</v>
      </c>
      <c r="C95" s="64">
        <v>74.25</v>
      </c>
      <c r="D95" s="64">
        <v>122.62</v>
      </c>
      <c r="E95" s="64">
        <v>0.9</v>
      </c>
      <c r="F95" s="64">
        <v>0.6</v>
      </c>
      <c r="G95" s="64">
        <v>112.71</v>
      </c>
      <c r="H95" s="64">
        <v>44.97</v>
      </c>
      <c r="I95" s="64">
        <v>1.45</v>
      </c>
      <c r="J95" s="64">
        <v>0.18</v>
      </c>
      <c r="K95" s="64">
        <v>344.68</v>
      </c>
      <c r="L95" s="64">
        <v>23.31</v>
      </c>
      <c r="M95" s="64">
        <v>84.15</v>
      </c>
      <c r="N95" s="64">
        <v>59.7</v>
      </c>
      <c r="O95" s="64">
        <v>0</v>
      </c>
      <c r="P95" s="64">
        <v>2.15</v>
      </c>
      <c r="Q95" s="64">
        <v>7.0000000000000007E-2</v>
      </c>
      <c r="R95" s="198"/>
      <c r="S95" s="198"/>
      <c r="T95" s="198"/>
      <c r="U95" s="198"/>
    </row>
    <row r="96" spans="1:26" s="12" customFormat="1" x14ac:dyDescent="0.25">
      <c r="A96" s="214" t="s">
        <v>1965</v>
      </c>
      <c r="B96" s="64">
        <v>51.67</v>
      </c>
      <c r="C96" s="64">
        <v>77.430000000000007</v>
      </c>
      <c r="D96" s="64">
        <v>85.46</v>
      </c>
      <c r="E96" s="64">
        <v>0.89</v>
      </c>
      <c r="F96" s="64">
        <v>1.81</v>
      </c>
      <c r="G96" s="64">
        <v>135.72</v>
      </c>
      <c r="H96" s="64">
        <v>48.65</v>
      </c>
      <c r="I96" s="64">
        <v>1.46</v>
      </c>
      <c r="J96" s="64">
        <v>0.11</v>
      </c>
      <c r="K96" s="64">
        <v>329.61</v>
      </c>
      <c r="L96" s="64">
        <v>23.12</v>
      </c>
      <c r="M96" s="64">
        <v>84.11</v>
      </c>
      <c r="N96" s="64">
        <v>60.3</v>
      </c>
      <c r="O96" s="64">
        <v>0</v>
      </c>
      <c r="P96" s="64">
        <v>2.31</v>
      </c>
      <c r="Q96" s="216" t="s">
        <v>42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1966</v>
      </c>
      <c r="B97" s="64">
        <v>13.37</v>
      </c>
      <c r="C97" s="64">
        <v>64.23</v>
      </c>
      <c r="D97" s="64">
        <v>47.47</v>
      </c>
      <c r="E97" s="64">
        <v>1.03</v>
      </c>
      <c r="F97" s="64">
        <v>7.75</v>
      </c>
      <c r="G97" s="64">
        <v>135.72</v>
      </c>
      <c r="H97" s="64">
        <v>48.65</v>
      </c>
      <c r="I97" s="64">
        <v>1.55</v>
      </c>
      <c r="J97" s="64">
        <v>0.15</v>
      </c>
      <c r="K97" s="64">
        <v>213.37</v>
      </c>
      <c r="L97" s="64">
        <v>23.25</v>
      </c>
      <c r="M97" s="64">
        <v>80.819999999999993</v>
      </c>
      <c r="N97" s="64">
        <v>60.4</v>
      </c>
      <c r="O97" s="64">
        <v>0</v>
      </c>
      <c r="P97" s="64">
        <v>1.03</v>
      </c>
      <c r="Q97" s="64">
        <v>1.27</v>
      </c>
      <c r="R97" s="198"/>
      <c r="S97" s="198"/>
      <c r="T97" s="198"/>
      <c r="U97" s="198"/>
    </row>
    <row r="98" spans="1:33" s="12" customFormat="1" x14ac:dyDescent="0.25">
      <c r="A98" s="214" t="s">
        <v>1967</v>
      </c>
      <c r="B98" s="64">
        <v>14.31</v>
      </c>
      <c r="C98" s="64">
        <v>58.86</v>
      </c>
      <c r="D98" s="64">
        <v>45.25</v>
      </c>
      <c r="E98" s="64">
        <v>1.0900000000000001</v>
      </c>
      <c r="F98" s="64">
        <v>3.65</v>
      </c>
      <c r="G98" s="64">
        <v>135.72</v>
      </c>
      <c r="H98" s="64">
        <v>48.65</v>
      </c>
      <c r="I98" s="64">
        <v>1.48</v>
      </c>
      <c r="J98" s="64">
        <v>0.09</v>
      </c>
      <c r="K98" s="64">
        <v>207.05</v>
      </c>
      <c r="L98" s="64">
        <v>23.55</v>
      </c>
      <c r="M98" s="64">
        <v>81.61</v>
      </c>
      <c r="N98" s="64">
        <v>59.7</v>
      </c>
      <c r="O98" s="64">
        <v>0</v>
      </c>
      <c r="P98" s="64">
        <v>1</v>
      </c>
      <c r="Q98" s="64">
        <v>3.47</v>
      </c>
      <c r="R98" s="198"/>
      <c r="S98" s="198"/>
      <c r="T98" s="198"/>
      <c r="U98" s="198"/>
    </row>
    <row r="99" spans="1:33" s="12" customFormat="1" x14ac:dyDescent="0.25">
      <c r="A99" s="214" t="s">
        <v>1968</v>
      </c>
      <c r="B99" s="64">
        <v>36.590000000000003</v>
      </c>
      <c r="C99" s="64">
        <v>61.6</v>
      </c>
      <c r="D99" s="64">
        <v>64.64</v>
      </c>
      <c r="E99" s="64">
        <v>1.08</v>
      </c>
      <c r="F99" s="64">
        <v>1.0900000000000001</v>
      </c>
      <c r="G99" s="64">
        <v>136.80000000000001</v>
      </c>
      <c r="H99" s="64">
        <v>48.81</v>
      </c>
      <c r="I99" s="64">
        <v>1.61</v>
      </c>
      <c r="J99" s="64">
        <v>0.1</v>
      </c>
      <c r="K99" s="64">
        <v>346.22</v>
      </c>
      <c r="L99" s="64">
        <v>23.1</v>
      </c>
      <c r="M99" s="64">
        <v>87.96</v>
      </c>
      <c r="N99" s="64">
        <v>59.4</v>
      </c>
      <c r="O99" s="64">
        <v>0</v>
      </c>
      <c r="P99" s="64">
        <v>1.69</v>
      </c>
      <c r="Q99" s="64">
        <v>2.66</v>
      </c>
      <c r="R99" s="198"/>
      <c r="S99" s="198"/>
      <c r="T99" s="198"/>
      <c r="U99" s="198"/>
    </row>
    <row r="100" spans="1:33" s="12" customFormat="1" x14ac:dyDescent="0.25">
      <c r="A100" s="214" t="s">
        <v>1969</v>
      </c>
      <c r="B100" s="64">
        <v>42.7</v>
      </c>
      <c r="C100" s="64">
        <v>48.19</v>
      </c>
      <c r="D100" s="64">
        <v>62.13</v>
      </c>
      <c r="E100" s="64">
        <v>0.97</v>
      </c>
      <c r="F100" s="64">
        <v>0.52</v>
      </c>
      <c r="G100" s="64">
        <v>149.63999999999999</v>
      </c>
      <c r="H100" s="64">
        <v>50.25</v>
      </c>
      <c r="I100" s="64">
        <v>1.49</v>
      </c>
      <c r="J100" s="64">
        <v>0.13</v>
      </c>
      <c r="K100" s="64">
        <v>343.8</v>
      </c>
      <c r="L100" s="64">
        <v>22.72</v>
      </c>
      <c r="M100" s="64">
        <v>89.33</v>
      </c>
      <c r="N100" s="64">
        <v>59.6</v>
      </c>
      <c r="O100" s="64">
        <v>0</v>
      </c>
      <c r="P100" s="64">
        <v>1.57</v>
      </c>
      <c r="Q100" s="64">
        <v>1.02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1970</v>
      </c>
      <c r="B101" s="64">
        <v>43.21</v>
      </c>
      <c r="C101" s="64">
        <v>55.6</v>
      </c>
      <c r="D101" s="64">
        <v>66.62</v>
      </c>
      <c r="E101" s="64">
        <v>0.9</v>
      </c>
      <c r="F101" s="64">
        <v>0.49</v>
      </c>
      <c r="G101" s="64">
        <v>149.63999999999999</v>
      </c>
      <c r="H101" s="64">
        <v>50.25</v>
      </c>
      <c r="I101" s="64">
        <v>1.57</v>
      </c>
      <c r="J101" s="64">
        <v>0.08</v>
      </c>
      <c r="K101" s="64">
        <v>350.89</v>
      </c>
      <c r="L101" s="64">
        <v>22.55</v>
      </c>
      <c r="M101" s="64">
        <v>91.28</v>
      </c>
      <c r="N101" s="64">
        <v>60.2</v>
      </c>
      <c r="O101" s="64">
        <v>0</v>
      </c>
      <c r="P101" s="64">
        <v>1.62</v>
      </c>
      <c r="Q101" s="64">
        <v>2.34</v>
      </c>
      <c r="R101" s="198"/>
      <c r="S101" s="198"/>
      <c r="T101" s="198"/>
      <c r="U101" s="198"/>
    </row>
    <row r="102" spans="1:33" s="12" customFormat="1" x14ac:dyDescent="0.25">
      <c r="A102" s="214" t="s">
        <v>1971</v>
      </c>
      <c r="B102" s="64">
        <v>31.51</v>
      </c>
      <c r="C102" s="64">
        <v>42.86</v>
      </c>
      <c r="D102" s="64">
        <v>50.21</v>
      </c>
      <c r="E102" s="64">
        <v>0.92</v>
      </c>
      <c r="F102" s="64">
        <v>0.82</v>
      </c>
      <c r="G102" s="64">
        <v>149.63999999999999</v>
      </c>
      <c r="H102" s="64">
        <v>50.25</v>
      </c>
      <c r="I102" s="64">
        <v>1.49</v>
      </c>
      <c r="J102" s="64">
        <v>0.11</v>
      </c>
      <c r="K102" s="64">
        <v>333.82</v>
      </c>
      <c r="L102" s="64">
        <v>22.35</v>
      </c>
      <c r="M102" s="64">
        <v>92.77</v>
      </c>
      <c r="N102" s="64">
        <v>60.4</v>
      </c>
      <c r="O102" s="64">
        <v>0</v>
      </c>
      <c r="P102" s="64">
        <v>1.45</v>
      </c>
      <c r="Q102" s="64">
        <v>2.9</v>
      </c>
      <c r="R102" s="198"/>
      <c r="S102" s="198"/>
      <c r="T102" s="198"/>
      <c r="U102" s="198"/>
    </row>
    <row r="103" spans="1:33" s="12" customFormat="1" x14ac:dyDescent="0.25">
      <c r="A103" s="214" t="s">
        <v>1972</v>
      </c>
      <c r="B103" s="64">
        <v>22.81</v>
      </c>
      <c r="C103" s="64">
        <v>37.03</v>
      </c>
      <c r="D103" s="64">
        <v>40.020000000000003</v>
      </c>
      <c r="E103" s="64">
        <v>0.73</v>
      </c>
      <c r="F103" s="64">
        <v>1.55</v>
      </c>
      <c r="G103" s="64">
        <v>150.32</v>
      </c>
      <c r="H103" s="64">
        <v>50.45</v>
      </c>
      <c r="I103" s="64">
        <v>1.52</v>
      </c>
      <c r="J103" s="64">
        <v>0.08</v>
      </c>
      <c r="K103" s="64">
        <v>267.95</v>
      </c>
      <c r="L103" s="64">
        <v>22.24</v>
      </c>
      <c r="M103" s="64">
        <v>90.73</v>
      </c>
      <c r="N103" s="64">
        <v>59.8</v>
      </c>
      <c r="O103" s="64">
        <v>0</v>
      </c>
      <c r="P103" s="64">
        <v>1.29</v>
      </c>
      <c r="Q103" s="64">
        <v>5.64</v>
      </c>
      <c r="R103" s="198"/>
      <c r="S103" s="198"/>
      <c r="T103" s="198"/>
      <c r="U103" s="198"/>
    </row>
    <row r="104" spans="1:33" s="12" customFormat="1" x14ac:dyDescent="0.25">
      <c r="A104" s="214" t="s">
        <v>1973</v>
      </c>
      <c r="B104" s="64">
        <v>24.64</v>
      </c>
      <c r="C104" s="64">
        <v>35.4</v>
      </c>
      <c r="D104" s="64">
        <v>40.590000000000003</v>
      </c>
      <c r="E104" s="64">
        <v>0.37</v>
      </c>
      <c r="F104" s="64">
        <v>1</v>
      </c>
      <c r="G104" s="64">
        <v>158.44999999999999</v>
      </c>
      <c r="H104" s="64">
        <v>52.45</v>
      </c>
      <c r="I104" s="64">
        <v>1.49</v>
      </c>
      <c r="J104" s="64">
        <v>7.0000000000000007E-2</v>
      </c>
      <c r="K104" s="64">
        <v>297.23</v>
      </c>
      <c r="L104" s="64">
        <v>22.17</v>
      </c>
      <c r="M104" s="64">
        <v>92.49</v>
      </c>
      <c r="N104" s="64">
        <v>59</v>
      </c>
      <c r="O104" s="64">
        <v>0</v>
      </c>
      <c r="P104" s="64">
        <v>1.36</v>
      </c>
      <c r="Q104" s="64">
        <v>5.0599999999999996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2.66</v>
      </c>
      <c r="C106" s="67">
        <f>MIN(C9:C104)</f>
        <v>11.59</v>
      </c>
      <c r="D106" s="67">
        <f t="shared" ref="D106:Q106" si="0">MIN(D9:D104)</f>
        <v>15.57</v>
      </c>
      <c r="E106" s="67">
        <f t="shared" si="0"/>
        <v>0.12</v>
      </c>
      <c r="F106" s="67">
        <f t="shared" si="0"/>
        <v>0.05</v>
      </c>
      <c r="G106" s="67">
        <f t="shared" si="0"/>
        <v>62.73</v>
      </c>
      <c r="H106" s="67">
        <f t="shared" si="0"/>
        <v>18.920000000000002</v>
      </c>
      <c r="I106" s="67">
        <f t="shared" si="0"/>
        <v>1.41</v>
      </c>
      <c r="J106" s="67">
        <f t="shared" si="0"/>
        <v>0.02</v>
      </c>
      <c r="K106" s="67">
        <f t="shared" si="0"/>
        <v>0.38</v>
      </c>
      <c r="L106" s="67">
        <f t="shared" si="0"/>
        <v>19.75</v>
      </c>
      <c r="M106" s="67">
        <f t="shared" si="0"/>
        <v>41.53</v>
      </c>
      <c r="N106" s="67">
        <f t="shared" si="0"/>
        <v>8.4</v>
      </c>
      <c r="O106" s="67">
        <f t="shared" si="0"/>
        <v>0</v>
      </c>
      <c r="P106" s="67">
        <f t="shared" si="0"/>
        <v>0.67</v>
      </c>
      <c r="Q106" s="67">
        <f t="shared" si="0"/>
        <v>7.0000000000000007E-2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100.19</v>
      </c>
      <c r="C107" s="66">
        <f t="shared" ref="C107:Q107" si="1">MAX(C9:C104)</f>
        <v>77.430000000000007</v>
      </c>
      <c r="D107" s="66">
        <f t="shared" si="1"/>
        <v>122.62</v>
      </c>
      <c r="E107" s="66">
        <f t="shared" si="1"/>
        <v>3.19</v>
      </c>
      <c r="F107" s="66">
        <f t="shared" si="1"/>
        <v>35.96</v>
      </c>
      <c r="G107" s="66">
        <f t="shared" si="1"/>
        <v>188.63</v>
      </c>
      <c r="H107" s="66">
        <f t="shared" si="1"/>
        <v>82.45</v>
      </c>
      <c r="I107" s="66">
        <f t="shared" si="1"/>
        <v>1.61</v>
      </c>
      <c r="J107" s="66">
        <f t="shared" si="1"/>
        <v>1.1100000000000001</v>
      </c>
      <c r="K107" s="66">
        <f t="shared" si="1"/>
        <v>358.14</v>
      </c>
      <c r="L107" s="66">
        <f t="shared" si="1"/>
        <v>32.47</v>
      </c>
      <c r="M107" s="66">
        <f t="shared" si="1"/>
        <v>97.56</v>
      </c>
      <c r="N107" s="66">
        <f t="shared" si="1"/>
        <v>643.4</v>
      </c>
      <c r="O107" s="66">
        <f t="shared" si="1"/>
        <v>0</v>
      </c>
      <c r="P107" s="66">
        <f t="shared" si="1"/>
        <v>2.31</v>
      </c>
      <c r="Q107" s="66">
        <f t="shared" si="1"/>
        <v>6.29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14.358854166666662</v>
      </c>
      <c r="C108" s="67">
        <f t="shared" ref="C108:Q108" si="2">AVERAGE(C9:C104)</f>
        <v>29.616041666666661</v>
      </c>
      <c r="D108" s="67">
        <f t="shared" si="2"/>
        <v>29.1521875</v>
      </c>
      <c r="E108" s="67">
        <f t="shared" si="2"/>
        <v>1.0780208333333339</v>
      </c>
      <c r="F108" s="67">
        <f t="shared" si="2"/>
        <v>6.3836458333333326</v>
      </c>
      <c r="G108" s="67">
        <f t="shared" si="2"/>
        <v>129.29772727272729</v>
      </c>
      <c r="H108" s="67">
        <f t="shared" si="2"/>
        <v>51.5594318181818</v>
      </c>
      <c r="I108" s="67">
        <f t="shared" si="2"/>
        <v>1.5075000000000003</v>
      </c>
      <c r="J108" s="67">
        <f t="shared" si="2"/>
        <v>0.37802083333333319</v>
      </c>
      <c r="K108" s="67">
        <f t="shared" si="2"/>
        <v>226.41479166666662</v>
      </c>
      <c r="L108" s="67">
        <f t="shared" si="2"/>
        <v>25.235416666666655</v>
      </c>
      <c r="M108" s="67">
        <f t="shared" si="2"/>
        <v>69.180416666666659</v>
      </c>
      <c r="N108" s="67">
        <f t="shared" si="2"/>
        <v>174.61562499999999</v>
      </c>
      <c r="O108" s="67">
        <f t="shared" si="2"/>
        <v>0</v>
      </c>
      <c r="P108" s="67">
        <f t="shared" si="2"/>
        <v>1.0277083333333337</v>
      </c>
      <c r="Q108" s="67">
        <f t="shared" si="2"/>
        <v>4.8929473684210523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12.08666597795767</v>
      </c>
      <c r="C109" s="67">
        <f t="shared" ref="C109:Q109" si="3">STDEV(C9:C104)</f>
        <v>15.606219305417062</v>
      </c>
      <c r="D109" s="67">
        <f t="shared" si="3"/>
        <v>15.084799683133447</v>
      </c>
      <c r="E109" s="67">
        <f t="shared" si="3"/>
        <v>0.81459918434795286</v>
      </c>
      <c r="F109" s="67">
        <f t="shared" si="3"/>
        <v>8.3741529808649791</v>
      </c>
      <c r="G109" s="67">
        <f t="shared" si="3"/>
        <v>28.390358721554588</v>
      </c>
      <c r="H109" s="67">
        <f t="shared" si="3"/>
        <v>16.695835213207008</v>
      </c>
      <c r="I109" s="67">
        <f t="shared" si="3"/>
        <v>4.1345781939764174E-2</v>
      </c>
      <c r="J109" s="67">
        <f t="shared" si="3"/>
        <v>0.24896256235856115</v>
      </c>
      <c r="K109" s="67">
        <f t="shared" si="3"/>
        <v>124.43744438137061</v>
      </c>
      <c r="L109" s="67">
        <f t="shared" si="3"/>
        <v>3.7697546804636404</v>
      </c>
      <c r="M109" s="67">
        <f t="shared" si="3"/>
        <v>16.914847847949975</v>
      </c>
      <c r="N109" s="67">
        <f t="shared" si="3"/>
        <v>213.31896618031146</v>
      </c>
      <c r="O109" s="67">
        <f t="shared" si="3"/>
        <v>0</v>
      </c>
      <c r="P109" s="67">
        <f t="shared" si="3"/>
        <v>0.25077765016954839</v>
      </c>
      <c r="Q109" s="67">
        <f t="shared" si="3"/>
        <v>1.3770411338934296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COUNT(G9:G104)+8</f>
        <v>96</v>
      </c>
      <c r="H110" s="66">
        <f>COUNT(H9:H104)+8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1974</v>
      </c>
      <c r="B9" s="64">
        <v>24.88</v>
      </c>
      <c r="C9" s="64">
        <v>40.43</v>
      </c>
      <c r="D9" s="64">
        <v>43.55</v>
      </c>
      <c r="E9" s="64">
        <v>0.53</v>
      </c>
      <c r="F9" s="64">
        <v>0.43</v>
      </c>
      <c r="G9" s="64">
        <v>158.44999999999999</v>
      </c>
      <c r="H9" s="64">
        <v>52.45</v>
      </c>
      <c r="I9" s="64">
        <v>1.5</v>
      </c>
      <c r="J9" s="64">
        <v>0.17</v>
      </c>
      <c r="K9" s="64">
        <v>338.33</v>
      </c>
      <c r="L9" s="64">
        <v>22.02</v>
      </c>
      <c r="M9" s="64">
        <v>93.02</v>
      </c>
      <c r="N9" s="64">
        <v>58.6</v>
      </c>
      <c r="O9" s="64">
        <v>0</v>
      </c>
      <c r="P9" s="64">
        <v>1.3</v>
      </c>
      <c r="Q9" s="64">
        <v>5.62</v>
      </c>
      <c r="R9" s="198"/>
      <c r="S9" s="198"/>
      <c r="T9" s="198"/>
      <c r="U9" s="198"/>
    </row>
    <row r="10" spans="1:21" s="12" customFormat="1" x14ac:dyDescent="0.25">
      <c r="A10" s="214" t="s">
        <v>1975</v>
      </c>
      <c r="B10" s="64">
        <v>28.57</v>
      </c>
      <c r="C10" s="64">
        <v>33.36</v>
      </c>
      <c r="D10" s="64">
        <v>42.61</v>
      </c>
      <c r="E10" s="64">
        <v>0.55000000000000004</v>
      </c>
      <c r="F10" s="64">
        <v>0.14000000000000001</v>
      </c>
      <c r="G10" s="64">
        <v>158.44999999999999</v>
      </c>
      <c r="H10" s="64">
        <v>52.45</v>
      </c>
      <c r="I10" s="64">
        <v>1.49</v>
      </c>
      <c r="J10" s="64">
        <v>0.1</v>
      </c>
      <c r="K10" s="64">
        <v>330.63</v>
      </c>
      <c r="L10" s="64">
        <v>21.9</v>
      </c>
      <c r="M10" s="64">
        <v>95.81</v>
      </c>
      <c r="N10" s="64">
        <v>58.6</v>
      </c>
      <c r="O10" s="64">
        <v>0</v>
      </c>
      <c r="P10" s="64">
        <v>1.51</v>
      </c>
      <c r="Q10" s="64">
        <v>5.16</v>
      </c>
      <c r="R10" s="198"/>
      <c r="S10" s="198"/>
      <c r="T10" s="198"/>
      <c r="U10" s="198"/>
    </row>
    <row r="11" spans="1:21" s="12" customFormat="1" x14ac:dyDescent="0.25">
      <c r="A11" s="214" t="s">
        <v>1976</v>
      </c>
      <c r="B11" s="64">
        <v>21.13</v>
      </c>
      <c r="C11" s="64">
        <v>45.81</v>
      </c>
      <c r="D11" s="64">
        <v>43.51</v>
      </c>
      <c r="E11" s="64">
        <v>0.45</v>
      </c>
      <c r="F11" s="64">
        <v>1.86</v>
      </c>
      <c r="G11" s="64">
        <v>158.59</v>
      </c>
      <c r="H11" s="64">
        <v>52.75</v>
      </c>
      <c r="I11" s="64">
        <v>1.47</v>
      </c>
      <c r="J11" s="64">
        <v>0.03</v>
      </c>
      <c r="K11" s="64">
        <v>80.709999999999994</v>
      </c>
      <c r="L11" s="64">
        <v>21.87</v>
      </c>
      <c r="M11" s="64">
        <v>94.25</v>
      </c>
      <c r="N11" s="64">
        <v>57.8</v>
      </c>
      <c r="O11" s="64">
        <v>0</v>
      </c>
      <c r="P11" s="64">
        <v>1.37</v>
      </c>
      <c r="Q11" s="64">
        <v>5.47</v>
      </c>
      <c r="R11" s="198"/>
      <c r="S11" s="198"/>
      <c r="T11" s="198"/>
      <c r="U11" s="198"/>
    </row>
    <row r="12" spans="1:21" s="12" customFormat="1" x14ac:dyDescent="0.25">
      <c r="A12" s="214" t="s">
        <v>1977</v>
      </c>
      <c r="B12" s="64">
        <v>10.16</v>
      </c>
      <c r="C12" s="64">
        <v>46.54</v>
      </c>
      <c r="D12" s="64">
        <v>35.130000000000003</v>
      </c>
      <c r="E12" s="64">
        <v>0.51</v>
      </c>
      <c r="F12" s="64">
        <v>9.3699999999999992</v>
      </c>
      <c r="G12" s="64">
        <v>160.22999999999999</v>
      </c>
      <c r="H12" s="64">
        <v>55.37</v>
      </c>
      <c r="I12" s="64">
        <v>1.5</v>
      </c>
      <c r="J12" s="64">
        <v>0.12</v>
      </c>
      <c r="K12" s="64">
        <v>70.03</v>
      </c>
      <c r="L12" s="64">
        <v>22.16</v>
      </c>
      <c r="M12" s="64">
        <v>89.5</v>
      </c>
      <c r="N12" s="64">
        <v>53.6</v>
      </c>
      <c r="O12" s="64">
        <v>0</v>
      </c>
      <c r="P12" s="64">
        <v>1.03</v>
      </c>
      <c r="Q12" s="64">
        <v>5.79</v>
      </c>
      <c r="R12" s="198"/>
      <c r="S12" s="198"/>
      <c r="T12" s="198"/>
      <c r="U12" s="198"/>
    </row>
    <row r="13" spans="1:21" s="12" customFormat="1" x14ac:dyDescent="0.25">
      <c r="A13" s="214" t="s">
        <v>1978</v>
      </c>
      <c r="B13" s="64">
        <v>13.23</v>
      </c>
      <c r="C13" s="64">
        <v>30.58</v>
      </c>
      <c r="D13" s="64">
        <v>28.78</v>
      </c>
      <c r="E13" s="64">
        <v>0.48</v>
      </c>
      <c r="F13" s="64">
        <v>13.65</v>
      </c>
      <c r="G13" s="64">
        <v>160.22999999999999</v>
      </c>
      <c r="H13" s="64">
        <v>55.37</v>
      </c>
      <c r="I13" s="64">
        <v>1.43</v>
      </c>
      <c r="J13" s="64">
        <v>7.0000000000000007E-2</v>
      </c>
      <c r="K13" s="64">
        <v>79.22</v>
      </c>
      <c r="L13" s="64">
        <v>22.25</v>
      </c>
      <c r="M13" s="64">
        <v>86.86</v>
      </c>
      <c r="N13" s="64">
        <v>52.4</v>
      </c>
      <c r="O13" s="64">
        <v>0</v>
      </c>
      <c r="P13" s="64">
        <v>0.81</v>
      </c>
      <c r="Q13" s="64">
        <v>6.93</v>
      </c>
      <c r="R13" s="198"/>
      <c r="S13" s="198"/>
      <c r="T13" s="198"/>
      <c r="U13" s="198"/>
    </row>
    <row r="14" spans="1:21" s="12" customFormat="1" x14ac:dyDescent="0.25">
      <c r="A14" s="214" t="s">
        <v>1979</v>
      </c>
      <c r="B14" s="64">
        <v>9.7899999999999991</v>
      </c>
      <c r="C14" s="64">
        <v>30.98</v>
      </c>
      <c r="D14" s="64">
        <v>26.24</v>
      </c>
      <c r="E14" s="64">
        <v>0.56000000000000005</v>
      </c>
      <c r="F14" s="64">
        <v>12.86</v>
      </c>
      <c r="G14" s="64">
        <v>160.22999999999999</v>
      </c>
      <c r="H14" s="64">
        <v>55.37</v>
      </c>
      <c r="I14" s="64">
        <v>1.51</v>
      </c>
      <c r="J14" s="64">
        <v>0.09</v>
      </c>
      <c r="K14" s="64">
        <v>117.42</v>
      </c>
      <c r="L14" s="64">
        <v>22.15</v>
      </c>
      <c r="M14" s="64">
        <v>88.27</v>
      </c>
      <c r="N14" s="64">
        <v>52</v>
      </c>
      <c r="O14" s="64">
        <v>0</v>
      </c>
      <c r="P14" s="64">
        <v>0.86</v>
      </c>
      <c r="Q14" s="64">
        <v>7.17</v>
      </c>
      <c r="R14" s="198"/>
      <c r="S14" s="198"/>
      <c r="T14" s="198"/>
      <c r="U14" s="198"/>
    </row>
    <row r="15" spans="1:21" s="12" customFormat="1" x14ac:dyDescent="0.25">
      <c r="A15" s="214" t="s">
        <v>1980</v>
      </c>
      <c r="B15" s="64">
        <v>10.32</v>
      </c>
      <c r="C15" s="64">
        <v>28.88</v>
      </c>
      <c r="D15" s="64">
        <v>25.51</v>
      </c>
      <c r="E15" s="64">
        <v>0.52</v>
      </c>
      <c r="F15" s="64">
        <v>10.1</v>
      </c>
      <c r="G15" s="64">
        <v>157.97999999999999</v>
      </c>
      <c r="H15" s="64">
        <v>54.98</v>
      </c>
      <c r="I15" s="64">
        <v>1.42</v>
      </c>
      <c r="J15" s="64">
        <v>0.08</v>
      </c>
      <c r="K15" s="64">
        <v>295.17</v>
      </c>
      <c r="L15" s="64">
        <v>22</v>
      </c>
      <c r="M15" s="64">
        <v>91.71</v>
      </c>
      <c r="N15" s="64">
        <v>51.9</v>
      </c>
      <c r="O15" s="64">
        <v>0</v>
      </c>
      <c r="P15" s="64">
        <v>0.85</v>
      </c>
      <c r="Q15" s="64">
        <v>7.15</v>
      </c>
      <c r="R15" s="198"/>
      <c r="S15" s="198"/>
      <c r="T15" s="198"/>
      <c r="U15" s="198"/>
    </row>
    <row r="16" spans="1:21" s="12" customFormat="1" x14ac:dyDescent="0.25">
      <c r="A16" s="214" t="s">
        <v>1981</v>
      </c>
      <c r="B16" s="64">
        <v>17.68</v>
      </c>
      <c r="C16" s="64">
        <v>21.75</v>
      </c>
      <c r="D16" s="64">
        <v>27.48</v>
      </c>
      <c r="E16" s="64">
        <v>0.56999999999999995</v>
      </c>
      <c r="F16" s="64">
        <v>2.54</v>
      </c>
      <c r="G16" s="64">
        <v>126.48</v>
      </c>
      <c r="H16" s="64">
        <v>50.98</v>
      </c>
      <c r="I16" s="64">
        <v>1.49</v>
      </c>
      <c r="J16" s="64">
        <v>0.05</v>
      </c>
      <c r="K16" s="64">
        <v>332.5</v>
      </c>
      <c r="L16" s="64">
        <v>21.58</v>
      </c>
      <c r="M16" s="64">
        <v>97.44</v>
      </c>
      <c r="N16" s="64">
        <v>51.5</v>
      </c>
      <c r="O16" s="64">
        <v>0</v>
      </c>
      <c r="P16" s="64">
        <v>1.1000000000000001</v>
      </c>
      <c r="Q16" s="64">
        <v>6.83</v>
      </c>
      <c r="R16" s="198"/>
      <c r="S16" s="198"/>
      <c r="T16" s="198"/>
      <c r="U16" s="198"/>
    </row>
    <row r="17" spans="1:21" s="12" customFormat="1" x14ac:dyDescent="0.25">
      <c r="A17" s="214" t="s">
        <v>1982</v>
      </c>
      <c r="B17" s="64">
        <v>13.98</v>
      </c>
      <c r="C17" s="64">
        <v>25.01</v>
      </c>
      <c r="D17" s="64">
        <v>26.31</v>
      </c>
      <c r="E17" s="64">
        <v>0.49</v>
      </c>
      <c r="F17" s="64">
        <v>4.08</v>
      </c>
      <c r="G17" s="64">
        <v>126.48</v>
      </c>
      <c r="H17" s="64">
        <v>50.98</v>
      </c>
      <c r="I17" s="64">
        <v>1.46</v>
      </c>
      <c r="J17" s="64">
        <v>0.13</v>
      </c>
      <c r="K17" s="64">
        <v>72.59</v>
      </c>
      <c r="L17" s="64">
        <v>21.42</v>
      </c>
      <c r="M17" s="64">
        <v>97.18</v>
      </c>
      <c r="N17" s="64">
        <v>50.1</v>
      </c>
      <c r="O17" s="64">
        <v>0</v>
      </c>
      <c r="P17" s="64">
        <v>0.9</v>
      </c>
      <c r="Q17" s="64">
        <v>6.73</v>
      </c>
      <c r="R17" s="198"/>
      <c r="S17" s="198"/>
      <c r="T17" s="198"/>
      <c r="U17" s="198"/>
    </row>
    <row r="18" spans="1:21" s="12" customFormat="1" x14ac:dyDescent="0.25">
      <c r="A18" s="214" t="s">
        <v>1983</v>
      </c>
      <c r="B18" s="64">
        <v>18.14</v>
      </c>
      <c r="C18" s="64">
        <v>19.38</v>
      </c>
      <c r="D18" s="64">
        <v>26.53</v>
      </c>
      <c r="E18" s="64">
        <v>0.53</v>
      </c>
      <c r="F18" s="64">
        <v>1.1200000000000001</v>
      </c>
      <c r="G18" s="64">
        <v>126.48</v>
      </c>
      <c r="H18" s="64">
        <v>50.98</v>
      </c>
      <c r="I18" s="64">
        <v>1.4</v>
      </c>
      <c r="J18" s="64">
        <v>0.08</v>
      </c>
      <c r="K18" s="64">
        <v>74.7</v>
      </c>
      <c r="L18" s="64">
        <v>21.64</v>
      </c>
      <c r="M18" s="64">
        <v>93.93</v>
      </c>
      <c r="N18" s="64">
        <v>49.9</v>
      </c>
      <c r="O18" s="64">
        <v>0</v>
      </c>
      <c r="P18" s="64">
        <v>1.1299999999999999</v>
      </c>
      <c r="Q18" s="64">
        <v>6.6</v>
      </c>
      <c r="R18" s="198"/>
      <c r="S18" s="198"/>
      <c r="T18" s="198"/>
      <c r="U18" s="198"/>
    </row>
    <row r="19" spans="1:21" s="12" customFormat="1" x14ac:dyDescent="0.25">
      <c r="A19" s="214" t="s">
        <v>1984</v>
      </c>
      <c r="B19" s="64">
        <v>17.09</v>
      </c>
      <c r="C19" s="64">
        <v>18.420000000000002</v>
      </c>
      <c r="D19" s="64">
        <v>25.17</v>
      </c>
      <c r="E19" s="64">
        <v>0.48</v>
      </c>
      <c r="F19" s="64">
        <v>3.44</v>
      </c>
      <c r="G19" s="64">
        <v>126.19</v>
      </c>
      <c r="H19" s="64">
        <v>51.42</v>
      </c>
      <c r="I19" s="64">
        <v>1.5</v>
      </c>
      <c r="J19" s="64">
        <v>0.17</v>
      </c>
      <c r="K19" s="64">
        <v>343.85</v>
      </c>
      <c r="L19" s="64">
        <v>21.61</v>
      </c>
      <c r="M19" s="64">
        <v>94.48</v>
      </c>
      <c r="N19" s="64">
        <v>50.1</v>
      </c>
      <c r="O19" s="64">
        <v>0</v>
      </c>
      <c r="P19" s="64">
        <v>1</v>
      </c>
      <c r="Q19" s="64">
        <v>6.57</v>
      </c>
      <c r="R19" s="198"/>
      <c r="S19" s="198"/>
      <c r="T19" s="198"/>
      <c r="U19" s="198"/>
    </row>
    <row r="20" spans="1:21" s="12" customFormat="1" x14ac:dyDescent="0.25">
      <c r="A20" s="214" t="s">
        <v>1985</v>
      </c>
      <c r="B20" s="64">
        <v>16.22</v>
      </c>
      <c r="C20" s="64">
        <v>18.89</v>
      </c>
      <c r="D20" s="64">
        <v>24.73</v>
      </c>
      <c r="E20" s="64">
        <v>0.47</v>
      </c>
      <c r="F20" s="64">
        <v>1.05</v>
      </c>
      <c r="G20" s="64">
        <v>122.75</v>
      </c>
      <c r="H20" s="64">
        <v>55.94</v>
      </c>
      <c r="I20" s="64">
        <v>1.5</v>
      </c>
      <c r="J20" s="64">
        <v>0.09</v>
      </c>
      <c r="K20" s="64">
        <v>65.94</v>
      </c>
      <c r="L20" s="64">
        <v>21.49</v>
      </c>
      <c r="M20" s="64">
        <v>95.07</v>
      </c>
      <c r="N20" s="64">
        <v>49.8</v>
      </c>
      <c r="O20" s="64">
        <v>0</v>
      </c>
      <c r="P20" s="64">
        <v>1.08</v>
      </c>
      <c r="Q20" s="64">
        <v>6.47</v>
      </c>
      <c r="R20" s="198"/>
      <c r="S20" s="198"/>
      <c r="T20" s="198"/>
      <c r="U20" s="198"/>
    </row>
    <row r="21" spans="1:21" s="12" customFormat="1" x14ac:dyDescent="0.25">
      <c r="A21" s="214" t="s">
        <v>1986</v>
      </c>
      <c r="B21" s="64">
        <v>16.38</v>
      </c>
      <c r="C21" s="64">
        <v>15.61</v>
      </c>
      <c r="D21" s="64">
        <v>23.04</v>
      </c>
      <c r="E21" s="64">
        <v>0.47</v>
      </c>
      <c r="F21" s="64">
        <v>3.18</v>
      </c>
      <c r="G21" s="64">
        <v>122.75</v>
      </c>
      <c r="H21" s="64">
        <v>55.94</v>
      </c>
      <c r="I21" s="64">
        <v>1.4</v>
      </c>
      <c r="J21" s="64">
        <v>0.33</v>
      </c>
      <c r="K21" s="64">
        <v>339.49</v>
      </c>
      <c r="L21" s="64">
        <v>21.51</v>
      </c>
      <c r="M21" s="64">
        <v>91.3</v>
      </c>
      <c r="N21" s="64">
        <v>49.5</v>
      </c>
      <c r="O21" s="64">
        <v>0</v>
      </c>
      <c r="P21" s="64">
        <v>1.01</v>
      </c>
      <c r="Q21" s="64">
        <v>6.48</v>
      </c>
      <c r="R21" s="198"/>
      <c r="S21" s="198"/>
      <c r="T21" s="198"/>
      <c r="U21" s="198"/>
    </row>
    <row r="22" spans="1:21" s="12" customFormat="1" x14ac:dyDescent="0.25">
      <c r="A22" s="214" t="s">
        <v>1987</v>
      </c>
      <c r="B22" s="64">
        <v>16.34</v>
      </c>
      <c r="C22" s="64">
        <v>13.98</v>
      </c>
      <c r="D22" s="64">
        <v>22.11</v>
      </c>
      <c r="E22" s="64">
        <v>0.51</v>
      </c>
      <c r="F22" s="64">
        <v>1.85</v>
      </c>
      <c r="G22" s="64">
        <v>122.75</v>
      </c>
      <c r="H22" s="64">
        <v>55.94</v>
      </c>
      <c r="I22" s="64">
        <v>1.54</v>
      </c>
      <c r="J22" s="64">
        <v>0.62</v>
      </c>
      <c r="K22" s="64">
        <v>344.82</v>
      </c>
      <c r="L22" s="64">
        <v>21.6</v>
      </c>
      <c r="M22" s="64">
        <v>87.84</v>
      </c>
      <c r="N22" s="64">
        <v>49.7</v>
      </c>
      <c r="O22" s="64">
        <v>0</v>
      </c>
      <c r="P22" s="64">
        <v>1.04</v>
      </c>
      <c r="Q22" s="64">
        <v>6.42</v>
      </c>
      <c r="R22" s="198"/>
      <c r="S22" s="198"/>
      <c r="T22" s="198"/>
      <c r="U22" s="198"/>
    </row>
    <row r="23" spans="1:21" s="12" customFormat="1" x14ac:dyDescent="0.25">
      <c r="A23" s="214" t="s">
        <v>1988</v>
      </c>
      <c r="B23" s="64">
        <v>14.31</v>
      </c>
      <c r="C23" s="64">
        <v>19.21</v>
      </c>
      <c r="D23" s="64">
        <v>23.37</v>
      </c>
      <c r="E23" s="64">
        <v>0.37</v>
      </c>
      <c r="F23" s="64">
        <v>3.96</v>
      </c>
      <c r="G23" s="64">
        <v>122.64</v>
      </c>
      <c r="H23" s="64">
        <v>55.89</v>
      </c>
      <c r="I23" s="64">
        <v>1.46</v>
      </c>
      <c r="J23" s="64">
        <v>0.32</v>
      </c>
      <c r="K23" s="64">
        <v>346.19</v>
      </c>
      <c r="L23" s="64">
        <v>21.44</v>
      </c>
      <c r="M23" s="64">
        <v>88.43</v>
      </c>
      <c r="N23" s="64">
        <v>52.6</v>
      </c>
      <c r="O23" s="64">
        <v>0</v>
      </c>
      <c r="P23" s="64">
        <v>0.89</v>
      </c>
      <c r="Q23" s="64">
        <v>6.28</v>
      </c>
      <c r="R23" s="198"/>
      <c r="S23" s="198"/>
      <c r="T23" s="198"/>
      <c r="U23" s="198"/>
    </row>
    <row r="24" spans="1:21" s="12" customFormat="1" x14ac:dyDescent="0.25">
      <c r="A24" s="214" t="s">
        <v>1989</v>
      </c>
      <c r="B24" s="64">
        <v>13.47</v>
      </c>
      <c r="C24" s="64">
        <v>20</v>
      </c>
      <c r="D24" s="64">
        <v>23.13</v>
      </c>
      <c r="E24" s="64">
        <v>0.25</v>
      </c>
      <c r="F24" s="64">
        <v>4.76</v>
      </c>
      <c r="G24" s="64">
        <v>121.27</v>
      </c>
      <c r="H24" s="64">
        <v>55.4</v>
      </c>
      <c r="I24" s="64">
        <v>1.53</v>
      </c>
      <c r="J24" s="64">
        <v>0.26</v>
      </c>
      <c r="K24" s="64">
        <v>325.51</v>
      </c>
      <c r="L24" s="64">
        <v>21.23</v>
      </c>
      <c r="M24" s="64">
        <v>90.24</v>
      </c>
      <c r="N24" s="64">
        <v>54.2</v>
      </c>
      <c r="O24" s="64">
        <v>0</v>
      </c>
      <c r="P24" s="64">
        <v>0.94</v>
      </c>
      <c r="Q24" s="64">
        <v>6.16</v>
      </c>
      <c r="R24" s="198"/>
      <c r="S24" s="198"/>
      <c r="T24" s="198"/>
      <c r="U24" s="198"/>
    </row>
    <row r="25" spans="1:21" s="12" customFormat="1" x14ac:dyDescent="0.25">
      <c r="A25" s="214" t="s">
        <v>1990</v>
      </c>
      <c r="B25" s="64">
        <v>17.68</v>
      </c>
      <c r="C25" s="64">
        <v>17.760000000000002</v>
      </c>
      <c r="D25" s="64">
        <v>25.27</v>
      </c>
      <c r="E25" s="64">
        <v>0.52</v>
      </c>
      <c r="F25" s="64">
        <v>3.09</v>
      </c>
      <c r="G25" s="64">
        <v>121.27</v>
      </c>
      <c r="H25" s="64">
        <v>55.4</v>
      </c>
      <c r="I25" s="64">
        <v>1.51</v>
      </c>
      <c r="J25" s="64">
        <v>0.38</v>
      </c>
      <c r="K25" s="64">
        <v>348.72</v>
      </c>
      <c r="L25" s="64">
        <v>21.02</v>
      </c>
      <c r="M25" s="64">
        <v>92.23</v>
      </c>
      <c r="N25" s="64">
        <v>54</v>
      </c>
      <c r="O25" s="64">
        <v>0</v>
      </c>
      <c r="P25" s="64">
        <v>0.96</v>
      </c>
      <c r="Q25" s="64">
        <v>5.87</v>
      </c>
      <c r="R25" s="198"/>
      <c r="S25" s="198"/>
      <c r="T25" s="198"/>
      <c r="U25" s="198"/>
    </row>
    <row r="26" spans="1:21" s="12" customFormat="1" x14ac:dyDescent="0.25">
      <c r="A26" s="214" t="s">
        <v>1991</v>
      </c>
      <c r="B26" s="64">
        <v>12.92</v>
      </c>
      <c r="C26" s="64">
        <v>19.63</v>
      </c>
      <c r="D26" s="64">
        <v>22.49</v>
      </c>
      <c r="E26" s="64">
        <v>0.57999999999999996</v>
      </c>
      <c r="F26" s="64">
        <v>9.01</v>
      </c>
      <c r="G26" s="64">
        <v>121.27</v>
      </c>
      <c r="H26" s="64">
        <v>55.4</v>
      </c>
      <c r="I26" s="64">
        <v>1.48</v>
      </c>
      <c r="J26" s="64">
        <v>0.21</v>
      </c>
      <c r="K26" s="64">
        <v>350.91</v>
      </c>
      <c r="L26" s="64">
        <v>21.09</v>
      </c>
      <c r="M26" s="64">
        <v>90.7</v>
      </c>
      <c r="N26" s="64">
        <v>54.6</v>
      </c>
      <c r="O26" s="64">
        <v>0</v>
      </c>
      <c r="P26" s="64">
        <v>0.84</v>
      </c>
      <c r="Q26" s="64">
        <v>6.06</v>
      </c>
      <c r="R26" s="198"/>
      <c r="S26" s="198"/>
      <c r="T26" s="198"/>
      <c r="U26" s="198"/>
    </row>
    <row r="27" spans="1:21" s="12" customFormat="1" x14ac:dyDescent="0.25">
      <c r="A27" s="214" t="s">
        <v>1992</v>
      </c>
      <c r="B27" s="64">
        <v>14.41</v>
      </c>
      <c r="C27" s="64">
        <v>24.21</v>
      </c>
      <c r="D27" s="64">
        <v>26.21</v>
      </c>
      <c r="E27" s="64">
        <v>0.55000000000000004</v>
      </c>
      <c r="F27" s="64">
        <v>4.63</v>
      </c>
      <c r="G27" s="64">
        <v>120.27</v>
      </c>
      <c r="H27" s="64">
        <v>55.18</v>
      </c>
      <c r="I27" s="64">
        <v>1.49</v>
      </c>
      <c r="J27" s="64">
        <v>0.23</v>
      </c>
      <c r="K27" s="64">
        <v>337.69</v>
      </c>
      <c r="L27" s="64">
        <v>21.14</v>
      </c>
      <c r="M27" s="64">
        <v>90.42</v>
      </c>
      <c r="N27" s="64">
        <v>55.7</v>
      </c>
      <c r="O27" s="64">
        <v>0</v>
      </c>
      <c r="P27" s="64">
        <v>0.88</v>
      </c>
      <c r="Q27" s="64">
        <v>5.87</v>
      </c>
      <c r="R27" s="198"/>
      <c r="S27" s="198"/>
      <c r="T27" s="198"/>
      <c r="U27" s="198"/>
    </row>
    <row r="28" spans="1:21" s="12" customFormat="1" x14ac:dyDescent="0.25">
      <c r="A28" s="214" t="s">
        <v>1993</v>
      </c>
      <c r="B28" s="64">
        <v>12.9</v>
      </c>
      <c r="C28" s="64">
        <v>20.34</v>
      </c>
      <c r="D28" s="64">
        <v>22.87</v>
      </c>
      <c r="E28" s="64">
        <v>0.56000000000000005</v>
      </c>
      <c r="F28" s="64">
        <v>4.12</v>
      </c>
      <c r="G28" s="64">
        <v>108.44</v>
      </c>
      <c r="H28" s="64">
        <v>52.99</v>
      </c>
      <c r="I28" s="64">
        <v>1.53</v>
      </c>
      <c r="J28" s="64">
        <v>0.11</v>
      </c>
      <c r="K28" s="64">
        <v>88.54</v>
      </c>
      <c r="L28" s="64">
        <v>21.1</v>
      </c>
      <c r="M28" s="64">
        <v>89.28</v>
      </c>
      <c r="N28" s="64">
        <v>55.5</v>
      </c>
      <c r="O28" s="64">
        <v>0</v>
      </c>
      <c r="P28" s="64">
        <v>0.88</v>
      </c>
      <c r="Q28" s="64">
        <v>5.74</v>
      </c>
      <c r="R28" s="198"/>
      <c r="S28" s="198"/>
      <c r="T28" s="198"/>
      <c r="U28" s="198"/>
    </row>
    <row r="29" spans="1:21" s="12" customFormat="1" x14ac:dyDescent="0.25">
      <c r="A29" s="214" t="s">
        <v>1994</v>
      </c>
      <c r="B29" s="64">
        <v>11.73</v>
      </c>
      <c r="C29" s="64">
        <v>20.98</v>
      </c>
      <c r="D29" s="64">
        <v>22.28</v>
      </c>
      <c r="E29" s="64">
        <v>0.66</v>
      </c>
      <c r="F29" s="64">
        <v>5.01</v>
      </c>
      <c r="G29" s="64">
        <v>108.44</v>
      </c>
      <c r="H29" s="64">
        <v>52.99</v>
      </c>
      <c r="I29" s="64">
        <v>1.51</v>
      </c>
      <c r="J29" s="64">
        <v>0.1</v>
      </c>
      <c r="K29" s="64">
        <v>84.44</v>
      </c>
      <c r="L29" s="64">
        <v>21.15</v>
      </c>
      <c r="M29" s="64">
        <v>89.62</v>
      </c>
      <c r="N29" s="64">
        <v>56.3</v>
      </c>
      <c r="O29" s="64">
        <v>0</v>
      </c>
      <c r="P29" s="64">
        <v>0.85</v>
      </c>
      <c r="Q29" s="64">
        <v>5.78</v>
      </c>
      <c r="R29" s="198"/>
      <c r="S29" s="198"/>
      <c r="T29" s="198"/>
      <c r="U29" s="198"/>
    </row>
    <row r="30" spans="1:21" s="12" customFormat="1" x14ac:dyDescent="0.25">
      <c r="A30" s="214" t="s">
        <v>1995</v>
      </c>
      <c r="B30" s="64">
        <v>12.78</v>
      </c>
      <c r="C30" s="64">
        <v>16.5</v>
      </c>
      <c r="D30" s="64">
        <v>20.65</v>
      </c>
      <c r="E30" s="64">
        <v>0.61</v>
      </c>
      <c r="F30" s="64">
        <v>2.63</v>
      </c>
      <c r="G30" s="64">
        <v>108.44</v>
      </c>
      <c r="H30" s="64">
        <v>52.99</v>
      </c>
      <c r="I30" s="64">
        <v>1.5</v>
      </c>
      <c r="J30" s="64">
        <v>0.15</v>
      </c>
      <c r="K30" s="64">
        <v>84.6</v>
      </c>
      <c r="L30" s="64">
        <v>21.11</v>
      </c>
      <c r="M30" s="64">
        <v>90.51</v>
      </c>
      <c r="N30" s="64">
        <v>57.3</v>
      </c>
      <c r="O30" s="64">
        <v>0</v>
      </c>
      <c r="P30" s="64">
        <v>0.89</v>
      </c>
      <c r="Q30" s="64">
        <v>5.91</v>
      </c>
      <c r="R30" s="198"/>
      <c r="S30" s="198"/>
      <c r="T30" s="198"/>
      <c r="U30" s="198"/>
    </row>
    <row r="31" spans="1:21" s="12" customFormat="1" x14ac:dyDescent="0.25">
      <c r="A31" s="214" t="s">
        <v>1996</v>
      </c>
      <c r="B31" s="64">
        <v>13</v>
      </c>
      <c r="C31" s="64">
        <v>25.75</v>
      </c>
      <c r="D31" s="64">
        <v>25.93</v>
      </c>
      <c r="E31" s="64">
        <v>0.57999999999999996</v>
      </c>
      <c r="F31" s="64">
        <v>3.64</v>
      </c>
      <c r="G31" s="64">
        <v>108.73</v>
      </c>
      <c r="H31" s="64">
        <v>52.73</v>
      </c>
      <c r="I31" s="64">
        <v>1.4</v>
      </c>
      <c r="J31" s="64">
        <v>7.0000000000000007E-2</v>
      </c>
      <c r="K31" s="64">
        <v>68.400000000000006</v>
      </c>
      <c r="L31" s="64">
        <v>21.04</v>
      </c>
      <c r="M31" s="64">
        <v>91.89</v>
      </c>
      <c r="N31" s="64">
        <v>58.2</v>
      </c>
      <c r="O31" s="64">
        <v>0</v>
      </c>
      <c r="P31" s="64">
        <v>0.81</v>
      </c>
      <c r="Q31" s="64">
        <v>5.56</v>
      </c>
      <c r="R31" s="198"/>
      <c r="S31" s="198"/>
      <c r="T31" s="198"/>
      <c r="U31" s="198"/>
    </row>
    <row r="32" spans="1:21" s="12" customFormat="1" x14ac:dyDescent="0.25">
      <c r="A32" s="214" t="s">
        <v>1997</v>
      </c>
      <c r="B32" s="64">
        <v>12.71</v>
      </c>
      <c r="C32" s="64">
        <v>16.78</v>
      </c>
      <c r="D32" s="64">
        <v>20.74</v>
      </c>
      <c r="E32" s="64">
        <v>0.53</v>
      </c>
      <c r="F32" s="64">
        <v>1.33</v>
      </c>
      <c r="G32" s="64">
        <v>112.08</v>
      </c>
      <c r="H32" s="64">
        <v>50.12</v>
      </c>
      <c r="I32" s="64">
        <v>1.51</v>
      </c>
      <c r="J32" s="64">
        <v>0.59</v>
      </c>
      <c r="K32" s="64">
        <v>344.81</v>
      </c>
      <c r="L32" s="64">
        <v>20.99</v>
      </c>
      <c r="M32" s="64">
        <v>93.52</v>
      </c>
      <c r="N32" s="64">
        <v>62</v>
      </c>
      <c r="O32" s="64">
        <v>0</v>
      </c>
      <c r="P32" s="64">
        <v>0.89</v>
      </c>
      <c r="Q32" s="64">
        <v>5.79</v>
      </c>
      <c r="R32" s="198"/>
      <c r="S32" s="198"/>
      <c r="T32" s="198"/>
      <c r="U32" s="198"/>
    </row>
    <row r="33" spans="1:21" s="12" customFormat="1" x14ac:dyDescent="0.25">
      <c r="A33" s="214" t="s">
        <v>1998</v>
      </c>
      <c r="B33" s="64">
        <v>14.42</v>
      </c>
      <c r="C33" s="64">
        <v>21.87</v>
      </c>
      <c r="D33" s="64">
        <v>24.93</v>
      </c>
      <c r="E33" s="64">
        <v>0.53</v>
      </c>
      <c r="F33" s="64">
        <v>2.68</v>
      </c>
      <c r="G33" s="64">
        <v>112.08</v>
      </c>
      <c r="H33" s="64">
        <v>50.12</v>
      </c>
      <c r="I33" s="64">
        <v>1.51</v>
      </c>
      <c r="J33" s="64">
        <v>0.11</v>
      </c>
      <c r="K33" s="64">
        <v>192.79</v>
      </c>
      <c r="L33" s="64">
        <v>21.2</v>
      </c>
      <c r="M33" s="64">
        <v>92.46</v>
      </c>
      <c r="N33" s="64">
        <v>75.900000000000006</v>
      </c>
      <c r="O33" s="64">
        <v>0</v>
      </c>
      <c r="P33" s="64">
        <v>0.83</v>
      </c>
      <c r="Q33" s="64">
        <v>5.63</v>
      </c>
      <c r="R33" s="198"/>
      <c r="S33" s="198"/>
      <c r="T33" s="198"/>
      <c r="U33" s="198"/>
    </row>
    <row r="34" spans="1:21" s="12" customFormat="1" x14ac:dyDescent="0.25">
      <c r="A34" s="214" t="s">
        <v>1999</v>
      </c>
      <c r="B34" s="64">
        <v>12.63</v>
      </c>
      <c r="C34" s="64">
        <v>16.25</v>
      </c>
      <c r="D34" s="64">
        <v>20.39</v>
      </c>
      <c r="E34" s="64">
        <v>0.57999999999999996</v>
      </c>
      <c r="F34" s="64">
        <v>1.03</v>
      </c>
      <c r="G34" s="64">
        <v>112.08</v>
      </c>
      <c r="H34" s="64">
        <v>50.12</v>
      </c>
      <c r="I34" s="64">
        <v>1.45</v>
      </c>
      <c r="J34" s="64">
        <v>0.36</v>
      </c>
      <c r="K34" s="64">
        <v>117.81</v>
      </c>
      <c r="L34" s="64">
        <v>21.37</v>
      </c>
      <c r="M34" s="64">
        <v>91.87</v>
      </c>
      <c r="N34" s="64">
        <v>96</v>
      </c>
      <c r="O34" s="64">
        <v>0</v>
      </c>
      <c r="P34" s="64">
        <v>0.85</v>
      </c>
      <c r="Q34" s="64">
        <v>5.81</v>
      </c>
      <c r="R34" s="198"/>
      <c r="S34" s="198"/>
      <c r="T34" s="198"/>
      <c r="U34" s="198"/>
    </row>
    <row r="35" spans="1:21" s="12" customFormat="1" x14ac:dyDescent="0.25">
      <c r="A35" s="214" t="s">
        <v>2000</v>
      </c>
      <c r="B35" s="64">
        <v>10.94</v>
      </c>
      <c r="C35" s="64">
        <v>17.100000000000001</v>
      </c>
      <c r="D35" s="64">
        <v>19.5</v>
      </c>
      <c r="E35" s="64">
        <v>0.52</v>
      </c>
      <c r="F35" s="64">
        <v>6.12</v>
      </c>
      <c r="G35" s="64">
        <v>111.85</v>
      </c>
      <c r="H35" s="64">
        <v>50.06</v>
      </c>
      <c r="I35" s="64">
        <v>1.48</v>
      </c>
      <c r="J35" s="64">
        <v>0.48</v>
      </c>
      <c r="K35" s="64">
        <v>105.26</v>
      </c>
      <c r="L35" s="64">
        <v>21.68</v>
      </c>
      <c r="M35" s="64">
        <v>90.49</v>
      </c>
      <c r="N35" s="64">
        <v>126</v>
      </c>
      <c r="O35" s="64">
        <v>0</v>
      </c>
      <c r="P35" s="64">
        <v>0.76</v>
      </c>
      <c r="Q35" s="64">
        <v>5.78</v>
      </c>
      <c r="R35" s="198"/>
      <c r="S35" s="198"/>
      <c r="T35" s="198"/>
      <c r="U35" s="198"/>
    </row>
    <row r="36" spans="1:21" s="12" customFormat="1" x14ac:dyDescent="0.25">
      <c r="A36" s="214" t="s">
        <v>2001</v>
      </c>
      <c r="B36" s="64">
        <v>18.78</v>
      </c>
      <c r="C36" s="64">
        <v>18.12</v>
      </c>
      <c r="D36" s="64">
        <v>26.35</v>
      </c>
      <c r="E36" s="64">
        <v>0.52</v>
      </c>
      <c r="F36" s="64">
        <v>4.99</v>
      </c>
      <c r="G36" s="64">
        <v>109.15</v>
      </c>
      <c r="H36" s="64">
        <v>49.44</v>
      </c>
      <c r="I36" s="64">
        <v>1.56</v>
      </c>
      <c r="J36" s="64">
        <v>0.22</v>
      </c>
      <c r="K36" s="64">
        <v>69.2</v>
      </c>
      <c r="L36" s="64">
        <v>22.35</v>
      </c>
      <c r="M36" s="64">
        <v>86.68</v>
      </c>
      <c r="N36" s="64">
        <v>165.7</v>
      </c>
      <c r="O36" s="64">
        <v>0</v>
      </c>
      <c r="P36" s="64">
        <v>0.81</v>
      </c>
      <c r="Q36" s="64">
        <v>5.31</v>
      </c>
      <c r="R36" s="198"/>
      <c r="S36" s="198"/>
      <c r="T36" s="198"/>
      <c r="U36" s="198"/>
    </row>
    <row r="37" spans="1:21" s="12" customFormat="1" x14ac:dyDescent="0.25">
      <c r="A37" s="214" t="s">
        <v>2002</v>
      </c>
      <c r="B37" s="64">
        <v>11.79</v>
      </c>
      <c r="C37" s="64">
        <v>21.44</v>
      </c>
      <c r="D37" s="64">
        <v>22.58</v>
      </c>
      <c r="E37" s="64">
        <v>0.56000000000000005</v>
      </c>
      <c r="F37" s="64">
        <v>4.46</v>
      </c>
      <c r="G37" s="64">
        <v>109.15</v>
      </c>
      <c r="H37" s="64">
        <v>49.44</v>
      </c>
      <c r="I37" s="64">
        <v>1.46</v>
      </c>
      <c r="J37" s="64">
        <v>0.3</v>
      </c>
      <c r="K37" s="64">
        <v>346.05</v>
      </c>
      <c r="L37" s="64">
        <v>23.57</v>
      </c>
      <c r="M37" s="64">
        <v>79.88</v>
      </c>
      <c r="N37" s="64">
        <v>214</v>
      </c>
      <c r="O37" s="64">
        <v>0</v>
      </c>
      <c r="P37" s="64">
        <v>0.8</v>
      </c>
      <c r="Q37" s="64">
        <v>3.53</v>
      </c>
      <c r="R37" s="198"/>
      <c r="S37" s="198"/>
      <c r="T37" s="198"/>
      <c r="U37" s="198"/>
    </row>
    <row r="38" spans="1:21" s="12" customFormat="1" x14ac:dyDescent="0.25">
      <c r="A38" s="214" t="s">
        <v>2003</v>
      </c>
      <c r="B38" s="64">
        <v>13.1</v>
      </c>
      <c r="C38" s="64">
        <v>21.11</v>
      </c>
      <c r="D38" s="64">
        <v>23.44</v>
      </c>
      <c r="E38" s="64">
        <v>0.62</v>
      </c>
      <c r="F38" s="64">
        <v>5.36</v>
      </c>
      <c r="G38" s="64">
        <v>109.15</v>
      </c>
      <c r="H38" s="64">
        <v>49.44</v>
      </c>
      <c r="I38" s="64">
        <v>1.47</v>
      </c>
      <c r="J38" s="64">
        <v>0.17</v>
      </c>
      <c r="K38" s="64">
        <v>51.89</v>
      </c>
      <c r="L38" s="64">
        <v>24.34</v>
      </c>
      <c r="M38" s="64">
        <v>76.02</v>
      </c>
      <c r="N38" s="64">
        <v>264.7</v>
      </c>
      <c r="O38" s="64">
        <v>0</v>
      </c>
      <c r="P38" s="64">
        <v>0.84</v>
      </c>
      <c r="Q38" s="64">
        <v>5.17</v>
      </c>
      <c r="R38" s="198"/>
      <c r="S38" s="198"/>
      <c r="T38" s="198"/>
      <c r="U38" s="198"/>
    </row>
    <row r="39" spans="1:21" s="12" customFormat="1" x14ac:dyDescent="0.25">
      <c r="A39" s="214" t="s">
        <v>2004</v>
      </c>
      <c r="B39" s="64">
        <v>12.76</v>
      </c>
      <c r="C39" s="64">
        <v>18.02</v>
      </c>
      <c r="D39" s="64">
        <v>21.47</v>
      </c>
      <c r="E39" s="64">
        <v>0.61</v>
      </c>
      <c r="F39" s="64">
        <v>2.04</v>
      </c>
      <c r="G39" s="64">
        <v>110</v>
      </c>
      <c r="H39" s="64">
        <v>49.29</v>
      </c>
      <c r="I39" s="64">
        <v>1.55</v>
      </c>
      <c r="J39" s="64">
        <v>0.21</v>
      </c>
      <c r="K39" s="64">
        <v>10.56</v>
      </c>
      <c r="L39" s="64">
        <v>24.68</v>
      </c>
      <c r="M39" s="64">
        <v>73.52</v>
      </c>
      <c r="N39" s="64">
        <v>316.7</v>
      </c>
      <c r="O39" s="64">
        <v>0</v>
      </c>
      <c r="P39" s="64">
        <v>0.84</v>
      </c>
      <c r="Q39" s="64">
        <v>5.53</v>
      </c>
      <c r="R39" s="198"/>
      <c r="S39" s="198"/>
      <c r="T39" s="198"/>
      <c r="U39" s="198"/>
    </row>
    <row r="40" spans="1:21" s="12" customFormat="1" x14ac:dyDescent="0.25">
      <c r="A40" s="214" t="s">
        <v>2005</v>
      </c>
      <c r="B40" s="64">
        <v>12.74</v>
      </c>
      <c r="C40" s="64">
        <v>18.3</v>
      </c>
      <c r="D40" s="64">
        <v>21.61</v>
      </c>
      <c r="E40" s="64">
        <v>0.49</v>
      </c>
      <c r="F40" s="64">
        <v>1.25</v>
      </c>
      <c r="G40" s="64">
        <v>120.13</v>
      </c>
      <c r="H40" s="64">
        <v>47.78</v>
      </c>
      <c r="I40" s="64">
        <v>1.49</v>
      </c>
      <c r="J40" s="64">
        <v>0.37</v>
      </c>
      <c r="K40" s="64">
        <v>89.62</v>
      </c>
      <c r="L40" s="64">
        <v>24.93</v>
      </c>
      <c r="M40" s="64">
        <v>71.94</v>
      </c>
      <c r="N40" s="64">
        <v>368.4</v>
      </c>
      <c r="O40" s="64">
        <v>0</v>
      </c>
      <c r="P40" s="64">
        <v>0.83</v>
      </c>
      <c r="Q40" s="64">
        <v>5.58</v>
      </c>
      <c r="R40" s="198"/>
      <c r="S40" s="198"/>
      <c r="T40" s="198"/>
      <c r="U40" s="198"/>
    </row>
    <row r="41" spans="1:21" s="12" customFormat="1" x14ac:dyDescent="0.25">
      <c r="A41" s="214" t="s">
        <v>2006</v>
      </c>
      <c r="B41" s="64">
        <v>13.01</v>
      </c>
      <c r="C41" s="64">
        <v>20.73</v>
      </c>
      <c r="D41" s="64">
        <v>23.16</v>
      </c>
      <c r="E41" s="64">
        <v>0.52</v>
      </c>
      <c r="F41" s="64">
        <v>2.64</v>
      </c>
      <c r="G41" s="64">
        <v>120.13</v>
      </c>
      <c r="H41" s="64">
        <v>47.78</v>
      </c>
      <c r="I41" s="64">
        <v>1.52</v>
      </c>
      <c r="J41" s="64">
        <v>0.52</v>
      </c>
      <c r="K41" s="64">
        <v>339.22</v>
      </c>
      <c r="L41" s="64">
        <v>26.52</v>
      </c>
      <c r="M41" s="64">
        <v>65.86</v>
      </c>
      <c r="N41" s="64">
        <v>416.1</v>
      </c>
      <c r="O41" s="64">
        <v>0</v>
      </c>
      <c r="P41" s="64">
        <v>0.83</v>
      </c>
      <c r="Q41" s="64">
        <v>5.47</v>
      </c>
      <c r="R41" s="198"/>
      <c r="S41" s="198"/>
      <c r="T41" s="198"/>
      <c r="U41" s="198"/>
    </row>
    <row r="42" spans="1:21" s="12" customFormat="1" x14ac:dyDescent="0.25">
      <c r="A42" s="214" t="s">
        <v>2007</v>
      </c>
      <c r="B42" s="64">
        <v>12.29</v>
      </c>
      <c r="C42" s="64">
        <v>16.71</v>
      </c>
      <c r="D42" s="64">
        <v>20.37</v>
      </c>
      <c r="E42" s="64">
        <v>0.49</v>
      </c>
      <c r="F42" s="64">
        <v>1.3</v>
      </c>
      <c r="G42" s="64">
        <v>120.13</v>
      </c>
      <c r="H42" s="64">
        <v>47.78</v>
      </c>
      <c r="I42" s="64">
        <v>1.42</v>
      </c>
      <c r="J42" s="64">
        <v>0.35</v>
      </c>
      <c r="K42" s="64">
        <v>16.59</v>
      </c>
      <c r="L42" s="64">
        <v>28.22</v>
      </c>
      <c r="M42" s="64">
        <v>58.72</v>
      </c>
      <c r="N42" s="64">
        <v>464.3</v>
      </c>
      <c r="O42" s="64">
        <v>0</v>
      </c>
      <c r="P42" s="64">
        <v>0.83</v>
      </c>
      <c r="Q42" s="64">
        <v>5.71</v>
      </c>
      <c r="R42" s="198"/>
      <c r="S42" s="198"/>
      <c r="T42" s="198"/>
      <c r="U42" s="198"/>
    </row>
    <row r="43" spans="1:21" s="12" customFormat="1" x14ac:dyDescent="0.25">
      <c r="A43" s="214" t="s">
        <v>2008</v>
      </c>
      <c r="B43" s="64">
        <v>13.5</v>
      </c>
      <c r="C43" s="64">
        <v>23.79</v>
      </c>
      <c r="D43" s="64">
        <v>25.25</v>
      </c>
      <c r="E43" s="64">
        <v>0.48</v>
      </c>
      <c r="F43" s="64">
        <v>5.33</v>
      </c>
      <c r="G43" s="64">
        <v>121.87</v>
      </c>
      <c r="H43" s="64">
        <v>48.13</v>
      </c>
      <c r="I43" s="64">
        <v>1.57</v>
      </c>
      <c r="J43" s="64">
        <v>0.32</v>
      </c>
      <c r="K43" s="64">
        <v>52.64</v>
      </c>
      <c r="L43" s="64">
        <v>27.9</v>
      </c>
      <c r="M43" s="64">
        <v>59.98</v>
      </c>
      <c r="N43" s="64">
        <v>505</v>
      </c>
      <c r="O43" s="64">
        <v>0</v>
      </c>
      <c r="P43" s="64">
        <v>0.79</v>
      </c>
      <c r="Q43" s="64">
        <v>5.59</v>
      </c>
      <c r="R43" s="198"/>
      <c r="S43" s="198"/>
      <c r="T43" s="198"/>
      <c r="U43" s="198"/>
    </row>
    <row r="44" spans="1:21" s="12" customFormat="1" x14ac:dyDescent="0.25">
      <c r="A44" s="214" t="s">
        <v>2009</v>
      </c>
      <c r="B44" s="64">
        <v>11.77</v>
      </c>
      <c r="C44" s="64">
        <v>18.14</v>
      </c>
      <c r="D44" s="64">
        <v>20.74</v>
      </c>
      <c r="E44" s="64">
        <v>0.51</v>
      </c>
      <c r="F44" s="64">
        <v>1.41</v>
      </c>
      <c r="G44" s="64">
        <v>142.56</v>
      </c>
      <c r="H44" s="64">
        <v>51.67</v>
      </c>
      <c r="I44" s="64">
        <v>1.45</v>
      </c>
      <c r="J44" s="64">
        <v>0.73</v>
      </c>
      <c r="K44" s="64">
        <v>113.68</v>
      </c>
      <c r="L44" s="64">
        <v>26.55</v>
      </c>
      <c r="M44" s="64">
        <v>64.62</v>
      </c>
      <c r="N44" s="64">
        <v>545.20000000000005</v>
      </c>
      <c r="O44" s="64">
        <v>0</v>
      </c>
      <c r="P44" s="64">
        <v>0.82</v>
      </c>
      <c r="Q44" s="64">
        <v>5.72</v>
      </c>
      <c r="R44" s="198"/>
      <c r="S44" s="198"/>
      <c r="T44" s="198"/>
      <c r="U44" s="198"/>
    </row>
    <row r="45" spans="1:21" s="12" customFormat="1" x14ac:dyDescent="0.25">
      <c r="A45" s="214" t="s">
        <v>2010</v>
      </c>
      <c r="B45" s="64">
        <v>11.76</v>
      </c>
      <c r="C45" s="64">
        <v>19.18</v>
      </c>
      <c r="D45" s="64">
        <v>21.31</v>
      </c>
      <c r="E45" s="64">
        <v>0.43</v>
      </c>
      <c r="F45" s="64">
        <v>2.69</v>
      </c>
      <c r="G45" s="64">
        <v>142.56</v>
      </c>
      <c r="H45" s="64">
        <v>51.67</v>
      </c>
      <c r="I45" s="64">
        <v>1.48</v>
      </c>
      <c r="J45" s="64">
        <v>0.36</v>
      </c>
      <c r="K45" s="64">
        <v>71.41</v>
      </c>
      <c r="L45" s="64">
        <v>27.58</v>
      </c>
      <c r="M45" s="64">
        <v>61.06</v>
      </c>
      <c r="N45" s="64">
        <v>571.6</v>
      </c>
      <c r="O45" s="64">
        <v>0</v>
      </c>
      <c r="P45" s="64">
        <v>0.8</v>
      </c>
      <c r="Q45" s="64">
        <v>5.72</v>
      </c>
      <c r="R45" s="198"/>
      <c r="S45" s="198"/>
      <c r="T45" s="198"/>
      <c r="U45" s="198"/>
    </row>
    <row r="46" spans="1:21" s="12" customFormat="1" x14ac:dyDescent="0.25">
      <c r="A46" s="214" t="s">
        <v>2011</v>
      </c>
      <c r="B46" s="64">
        <v>11.72</v>
      </c>
      <c r="C46" s="64">
        <v>20.45</v>
      </c>
      <c r="D46" s="64">
        <v>21.98</v>
      </c>
      <c r="E46" s="64">
        <v>0.65</v>
      </c>
      <c r="F46" s="64">
        <v>3.11</v>
      </c>
      <c r="G46" s="64">
        <v>142.56</v>
      </c>
      <c r="H46" s="64">
        <v>51.67</v>
      </c>
      <c r="I46" s="64">
        <v>1.54</v>
      </c>
      <c r="J46" s="64">
        <v>0.42</v>
      </c>
      <c r="K46" s="64">
        <v>1.03</v>
      </c>
      <c r="L46" s="64">
        <v>28.68</v>
      </c>
      <c r="M46" s="64">
        <v>57.74</v>
      </c>
      <c r="N46" s="64">
        <v>622.20000000000005</v>
      </c>
      <c r="O46" s="64">
        <v>0</v>
      </c>
      <c r="P46" s="64">
        <v>0.8</v>
      </c>
      <c r="Q46" s="64">
        <v>5.54</v>
      </c>
      <c r="R46" s="198"/>
      <c r="S46" s="198"/>
      <c r="T46" s="198"/>
      <c r="U46" s="198"/>
    </row>
    <row r="47" spans="1:21" s="12" customFormat="1" x14ac:dyDescent="0.25">
      <c r="A47" s="214" t="s">
        <v>2012</v>
      </c>
      <c r="B47" s="64">
        <v>11.83</v>
      </c>
      <c r="C47" s="64">
        <v>28.46</v>
      </c>
      <c r="D47" s="64">
        <v>26.49</v>
      </c>
      <c r="E47" s="64">
        <v>0.75</v>
      </c>
      <c r="F47" s="64">
        <v>9.74</v>
      </c>
      <c r="G47" s="64">
        <v>141.59</v>
      </c>
      <c r="H47" s="64">
        <v>51.25</v>
      </c>
      <c r="I47" s="64">
        <v>1.54</v>
      </c>
      <c r="J47" s="64">
        <v>0.45</v>
      </c>
      <c r="K47" s="64">
        <v>345.64</v>
      </c>
      <c r="L47" s="64">
        <v>31.15</v>
      </c>
      <c r="M47" s="64">
        <v>48.71</v>
      </c>
      <c r="N47" s="64">
        <v>652.79999999999995</v>
      </c>
      <c r="O47" s="64">
        <v>0</v>
      </c>
      <c r="P47" s="64">
        <v>0.81</v>
      </c>
      <c r="Q47" s="64">
        <v>5.25</v>
      </c>
      <c r="R47" s="198"/>
      <c r="S47" s="198"/>
      <c r="T47" s="198"/>
      <c r="U47" s="198"/>
    </row>
    <row r="48" spans="1:21" s="12" customFormat="1" x14ac:dyDescent="0.25">
      <c r="A48" s="214" t="s">
        <v>2013</v>
      </c>
      <c r="B48" s="64">
        <v>10.61</v>
      </c>
      <c r="C48" s="64">
        <v>29.99</v>
      </c>
      <c r="D48" s="64">
        <v>26.35</v>
      </c>
      <c r="E48" s="64">
        <v>0.9</v>
      </c>
      <c r="F48" s="64">
        <v>9.3800000000000008</v>
      </c>
      <c r="G48" s="64">
        <v>130.06</v>
      </c>
      <c r="H48" s="64">
        <v>47.08</v>
      </c>
      <c r="I48" s="64">
        <v>1.51</v>
      </c>
      <c r="J48" s="64">
        <v>0.32</v>
      </c>
      <c r="K48" s="64">
        <v>75.53</v>
      </c>
      <c r="L48" s="64">
        <v>29.31</v>
      </c>
      <c r="M48" s="64">
        <v>53.03</v>
      </c>
      <c r="N48" s="64">
        <v>686.2</v>
      </c>
      <c r="O48" s="64">
        <v>0</v>
      </c>
      <c r="P48" s="64">
        <v>0.77</v>
      </c>
      <c r="Q48" s="64">
        <v>5.21</v>
      </c>
      <c r="R48" s="198"/>
      <c r="S48" s="198"/>
      <c r="T48" s="198"/>
      <c r="U48" s="198"/>
    </row>
    <row r="49" spans="1:21" s="12" customFormat="1" x14ac:dyDescent="0.25">
      <c r="A49" s="214" t="s">
        <v>2014</v>
      </c>
      <c r="B49" s="64">
        <v>10.09</v>
      </c>
      <c r="C49" s="64">
        <v>23.41</v>
      </c>
      <c r="D49" s="64">
        <v>22.3</v>
      </c>
      <c r="E49" s="64">
        <v>1</v>
      </c>
      <c r="F49" s="64">
        <v>9.77</v>
      </c>
      <c r="G49" s="64">
        <v>130.06</v>
      </c>
      <c r="H49" s="64">
        <v>47.08</v>
      </c>
      <c r="I49" s="64">
        <v>1.55</v>
      </c>
      <c r="J49" s="64">
        <v>0.38</v>
      </c>
      <c r="K49" s="64">
        <v>7.61</v>
      </c>
      <c r="L49" s="64">
        <v>30.02</v>
      </c>
      <c r="M49" s="64">
        <v>51.49</v>
      </c>
      <c r="N49" s="64">
        <v>702.2</v>
      </c>
      <c r="O49" s="64">
        <v>0</v>
      </c>
      <c r="P49" s="64">
        <v>0.73</v>
      </c>
      <c r="Q49" s="64">
        <v>5.42</v>
      </c>
      <c r="R49" s="198"/>
      <c r="S49" s="198"/>
      <c r="T49" s="198"/>
      <c r="U49" s="198"/>
    </row>
    <row r="50" spans="1:21" s="12" customFormat="1" x14ac:dyDescent="0.25">
      <c r="A50" s="214" t="s">
        <v>2015</v>
      </c>
      <c r="B50" s="64">
        <v>9.74</v>
      </c>
      <c r="C50" s="64">
        <v>23.76</v>
      </c>
      <c r="D50" s="64">
        <v>22.21</v>
      </c>
      <c r="E50" s="64">
        <v>1.1200000000000001</v>
      </c>
      <c r="F50" s="64">
        <v>10.34</v>
      </c>
      <c r="G50" s="64">
        <v>130.06</v>
      </c>
      <c r="H50" s="64">
        <v>47.08</v>
      </c>
      <c r="I50" s="64">
        <v>1.49</v>
      </c>
      <c r="J50" s="64">
        <v>0.53</v>
      </c>
      <c r="K50" s="64">
        <v>349.33</v>
      </c>
      <c r="L50" s="64">
        <v>31.5</v>
      </c>
      <c r="M50" s="64">
        <v>46.27</v>
      </c>
      <c r="N50" s="64">
        <v>699.3</v>
      </c>
      <c r="O50" s="64">
        <v>0</v>
      </c>
      <c r="P50" s="64">
        <v>0.8</v>
      </c>
      <c r="Q50" s="64">
        <v>5.48</v>
      </c>
      <c r="R50" s="198"/>
      <c r="S50" s="198"/>
      <c r="T50" s="198"/>
      <c r="U50" s="198"/>
    </row>
    <row r="51" spans="1:21" s="12" customFormat="1" x14ac:dyDescent="0.25">
      <c r="A51" s="214" t="s">
        <v>2016</v>
      </c>
      <c r="B51" s="64">
        <v>9.34</v>
      </c>
      <c r="C51" s="64">
        <v>24.44</v>
      </c>
      <c r="D51" s="64">
        <v>22.27</v>
      </c>
      <c r="E51" s="64">
        <v>1.01</v>
      </c>
      <c r="F51" s="64">
        <v>4.45</v>
      </c>
      <c r="G51" s="64">
        <v>128.69</v>
      </c>
      <c r="H51" s="64">
        <v>47.13</v>
      </c>
      <c r="I51" s="64">
        <v>1.52</v>
      </c>
      <c r="J51" s="64">
        <v>0.74</v>
      </c>
      <c r="K51" s="64">
        <v>331.2</v>
      </c>
      <c r="L51" s="64">
        <v>31.15</v>
      </c>
      <c r="M51" s="64">
        <v>45.16</v>
      </c>
      <c r="N51" s="64">
        <v>494.4</v>
      </c>
      <c r="O51" s="64">
        <v>0</v>
      </c>
      <c r="P51" s="64">
        <v>0.79</v>
      </c>
      <c r="Q51" s="64">
        <v>5.47</v>
      </c>
      <c r="R51" s="198"/>
      <c r="S51" s="198"/>
      <c r="T51" s="198"/>
      <c r="U51" s="198"/>
    </row>
    <row r="52" spans="1:21" s="12" customFormat="1" x14ac:dyDescent="0.25">
      <c r="A52" s="214" t="s">
        <v>2017</v>
      </c>
      <c r="B52" s="64">
        <v>8.51</v>
      </c>
      <c r="C52" s="64">
        <v>21.41</v>
      </c>
      <c r="D52" s="64">
        <v>19.940000000000001</v>
      </c>
      <c r="E52" s="64">
        <v>1.08</v>
      </c>
      <c r="F52" s="64">
        <v>4.4800000000000004</v>
      </c>
      <c r="G52" s="64">
        <v>112.4</v>
      </c>
      <c r="H52" s="64">
        <v>47.59</v>
      </c>
      <c r="I52" s="64">
        <v>1.54</v>
      </c>
      <c r="J52" s="64">
        <v>0.4</v>
      </c>
      <c r="K52" s="64">
        <v>75.37</v>
      </c>
      <c r="L52" s="64">
        <v>29.29</v>
      </c>
      <c r="M52" s="64">
        <v>51.92</v>
      </c>
      <c r="N52" s="64">
        <v>562.1</v>
      </c>
      <c r="O52" s="64">
        <v>0</v>
      </c>
      <c r="P52" s="64">
        <v>0.79</v>
      </c>
      <c r="Q52" s="64">
        <v>5.38</v>
      </c>
      <c r="R52" s="198"/>
      <c r="S52" s="198"/>
      <c r="T52" s="198"/>
      <c r="U52" s="198"/>
    </row>
    <row r="53" spans="1:21" s="12" customFormat="1" x14ac:dyDescent="0.25">
      <c r="A53" s="214" t="s">
        <v>2018</v>
      </c>
      <c r="B53" s="64">
        <v>8.24</v>
      </c>
      <c r="C53" s="64">
        <v>21.88</v>
      </c>
      <c r="D53" s="64">
        <v>19.97</v>
      </c>
      <c r="E53" s="64">
        <v>1.1000000000000001</v>
      </c>
      <c r="F53" s="64">
        <v>3.75</v>
      </c>
      <c r="G53" s="64">
        <v>112.4</v>
      </c>
      <c r="H53" s="64">
        <v>47.59</v>
      </c>
      <c r="I53" s="64">
        <v>1.48</v>
      </c>
      <c r="J53" s="64">
        <v>0.88</v>
      </c>
      <c r="K53" s="64">
        <v>100.71</v>
      </c>
      <c r="L53" s="64">
        <v>29.01</v>
      </c>
      <c r="M53" s="64">
        <v>50.65</v>
      </c>
      <c r="N53" s="64">
        <v>762.2</v>
      </c>
      <c r="O53" s="64">
        <v>0</v>
      </c>
      <c r="P53" s="64">
        <v>0.76</v>
      </c>
      <c r="Q53" s="64">
        <v>5.43</v>
      </c>
      <c r="R53" s="198"/>
      <c r="S53" s="198"/>
      <c r="T53" s="198"/>
      <c r="U53" s="198"/>
    </row>
    <row r="54" spans="1:21" s="12" customFormat="1" x14ac:dyDescent="0.25">
      <c r="A54" s="214" t="s">
        <v>2019</v>
      </c>
      <c r="B54" s="64">
        <v>7.07</v>
      </c>
      <c r="C54" s="64">
        <v>20.93</v>
      </c>
      <c r="D54" s="64">
        <v>18.510000000000002</v>
      </c>
      <c r="E54" s="64">
        <v>1.19</v>
      </c>
      <c r="F54" s="64">
        <v>4.57</v>
      </c>
      <c r="G54" s="64">
        <v>112.4</v>
      </c>
      <c r="H54" s="64">
        <v>47.59</v>
      </c>
      <c r="I54" s="64">
        <v>1.55</v>
      </c>
      <c r="J54" s="64">
        <v>1.42</v>
      </c>
      <c r="K54" s="64">
        <v>105.68</v>
      </c>
      <c r="L54" s="64">
        <v>28.02</v>
      </c>
      <c r="M54" s="64">
        <v>51.31</v>
      </c>
      <c r="N54" s="64">
        <v>803.3</v>
      </c>
      <c r="O54" s="64">
        <v>0</v>
      </c>
      <c r="P54" s="64">
        <v>0.72</v>
      </c>
      <c r="Q54" s="64">
        <v>5.4</v>
      </c>
      <c r="R54" s="198"/>
      <c r="S54" s="198"/>
      <c r="T54" s="198"/>
      <c r="U54" s="198"/>
    </row>
    <row r="55" spans="1:21" s="12" customFormat="1" x14ac:dyDescent="0.25">
      <c r="A55" s="214" t="s">
        <v>2020</v>
      </c>
      <c r="B55" s="64">
        <v>6.05</v>
      </c>
      <c r="C55" s="64">
        <v>18.02</v>
      </c>
      <c r="D55" s="64">
        <v>16.09</v>
      </c>
      <c r="E55" s="64">
        <v>1.1200000000000001</v>
      </c>
      <c r="F55" s="64">
        <v>2.6</v>
      </c>
      <c r="G55" s="64">
        <v>111.18</v>
      </c>
      <c r="H55" s="64">
        <v>47.35</v>
      </c>
      <c r="I55" s="64">
        <v>1.52</v>
      </c>
      <c r="J55" s="64">
        <v>1.47</v>
      </c>
      <c r="K55" s="64">
        <v>112.69</v>
      </c>
      <c r="L55" s="64">
        <v>27.72</v>
      </c>
      <c r="M55" s="64">
        <v>52.61</v>
      </c>
      <c r="N55" s="64">
        <v>798.8</v>
      </c>
      <c r="O55" s="64">
        <v>0</v>
      </c>
      <c r="P55" s="64">
        <v>0.73</v>
      </c>
      <c r="Q55" s="64">
        <v>5.43</v>
      </c>
      <c r="R55" s="198"/>
      <c r="S55" s="198"/>
      <c r="T55" s="198"/>
      <c r="U55" s="198"/>
    </row>
    <row r="56" spans="1:21" s="12" customFormat="1" x14ac:dyDescent="0.25">
      <c r="A56" s="214" t="s">
        <v>2021</v>
      </c>
      <c r="B56" s="64">
        <v>5.77</v>
      </c>
      <c r="C56" s="64">
        <v>20.03</v>
      </c>
      <c r="D56" s="64">
        <v>16.97</v>
      </c>
      <c r="E56" s="64">
        <v>0.62</v>
      </c>
      <c r="F56" s="64">
        <v>3.5</v>
      </c>
      <c r="G56" s="64">
        <v>96.66</v>
      </c>
      <c r="H56" s="64">
        <v>44.92</v>
      </c>
      <c r="I56" s="64">
        <v>1.45</v>
      </c>
      <c r="J56" s="64">
        <v>0.52</v>
      </c>
      <c r="K56" s="64">
        <v>90.28</v>
      </c>
      <c r="L56" s="64">
        <v>28.96</v>
      </c>
      <c r="M56" s="64">
        <v>48.93</v>
      </c>
      <c r="N56" s="64">
        <v>757.3</v>
      </c>
      <c r="O56" s="64">
        <v>0</v>
      </c>
      <c r="P56" s="64">
        <v>0.7</v>
      </c>
      <c r="Q56" s="64">
        <v>5.35</v>
      </c>
      <c r="R56" s="198"/>
      <c r="S56" s="198"/>
      <c r="T56" s="198"/>
      <c r="U56" s="198"/>
    </row>
    <row r="57" spans="1:21" s="12" customFormat="1" x14ac:dyDescent="0.25">
      <c r="A57" s="214" t="s">
        <v>2022</v>
      </c>
      <c r="B57" s="64">
        <v>5.26</v>
      </c>
      <c r="C57" s="64">
        <v>20.21</v>
      </c>
      <c r="D57" s="64">
        <v>16.66</v>
      </c>
      <c r="E57" s="64">
        <v>1.1299999999999999</v>
      </c>
      <c r="F57" s="64">
        <v>3.29</v>
      </c>
      <c r="G57" s="64">
        <v>96.66</v>
      </c>
      <c r="H57" s="64">
        <v>44.92</v>
      </c>
      <c r="I57" s="64">
        <v>1.49</v>
      </c>
      <c r="J57" s="64">
        <v>0.67</v>
      </c>
      <c r="K57" s="64">
        <v>81.77</v>
      </c>
      <c r="L57" s="64">
        <v>29.52</v>
      </c>
      <c r="M57" s="64">
        <v>46.53</v>
      </c>
      <c r="N57" s="64">
        <v>701.6</v>
      </c>
      <c r="O57" s="64">
        <v>0</v>
      </c>
      <c r="P57" s="64">
        <v>0.66</v>
      </c>
      <c r="Q57" s="64">
        <v>5.19</v>
      </c>
      <c r="R57" s="198"/>
      <c r="S57" s="198"/>
      <c r="T57" s="198"/>
      <c r="U57" s="198"/>
    </row>
    <row r="58" spans="1:21" s="12" customFormat="1" x14ac:dyDescent="0.25">
      <c r="A58" s="214" t="s">
        <v>2023</v>
      </c>
      <c r="B58" s="64">
        <v>4.63</v>
      </c>
      <c r="C58" s="64">
        <v>19.079999999999998</v>
      </c>
      <c r="D58" s="64">
        <v>15.54</v>
      </c>
      <c r="E58" s="64">
        <v>1.4</v>
      </c>
      <c r="F58" s="64">
        <v>9.86</v>
      </c>
      <c r="G58" s="64">
        <v>96.66</v>
      </c>
      <c r="H58" s="64">
        <v>44.92</v>
      </c>
      <c r="I58" s="64">
        <v>1.42</v>
      </c>
      <c r="J58" s="64">
        <v>0.79</v>
      </c>
      <c r="K58" s="64">
        <v>113.2</v>
      </c>
      <c r="L58" s="64">
        <v>28.99</v>
      </c>
      <c r="M58" s="64">
        <v>47.79</v>
      </c>
      <c r="N58" s="64">
        <v>691.8</v>
      </c>
      <c r="O58" s="64">
        <v>0</v>
      </c>
      <c r="P58" s="64">
        <v>0.62</v>
      </c>
      <c r="Q58" s="64">
        <v>5.19</v>
      </c>
      <c r="R58" s="198"/>
      <c r="S58" s="198"/>
      <c r="T58" s="198"/>
      <c r="U58" s="198"/>
    </row>
    <row r="59" spans="1:21" s="12" customFormat="1" x14ac:dyDescent="0.25">
      <c r="A59" s="214" t="s">
        <v>2024</v>
      </c>
      <c r="B59" s="64">
        <v>4.97</v>
      </c>
      <c r="C59" s="64">
        <v>19.71</v>
      </c>
      <c r="D59" s="64">
        <v>16.149999999999999</v>
      </c>
      <c r="E59" s="64">
        <v>1.83</v>
      </c>
      <c r="F59" s="64">
        <v>10.17</v>
      </c>
      <c r="G59" s="64">
        <v>96.32</v>
      </c>
      <c r="H59" s="64">
        <v>44.89</v>
      </c>
      <c r="I59" s="64">
        <v>1.57</v>
      </c>
      <c r="J59" s="64">
        <v>0.42</v>
      </c>
      <c r="K59" s="64">
        <v>18.649999999999999</v>
      </c>
      <c r="L59" s="64">
        <v>30.32</v>
      </c>
      <c r="M59" s="64">
        <v>44.41</v>
      </c>
      <c r="N59" s="64">
        <v>574.29999999999995</v>
      </c>
      <c r="O59" s="64">
        <v>0</v>
      </c>
      <c r="P59" s="64">
        <v>0.63</v>
      </c>
      <c r="Q59" s="64">
        <v>5.07</v>
      </c>
      <c r="R59" s="198"/>
      <c r="S59" s="198"/>
      <c r="T59" s="198"/>
      <c r="U59" s="198"/>
    </row>
    <row r="60" spans="1:21" s="12" customFormat="1" x14ac:dyDescent="0.25">
      <c r="A60" s="214" t="s">
        <v>2025</v>
      </c>
      <c r="B60" s="64">
        <v>4.08</v>
      </c>
      <c r="C60" s="64">
        <v>18.11</v>
      </c>
      <c r="D60" s="64">
        <v>14.56</v>
      </c>
      <c r="E60" s="64">
        <v>1.88</v>
      </c>
      <c r="F60" s="64">
        <v>9.86</v>
      </c>
      <c r="G60" s="64">
        <v>92.34</v>
      </c>
      <c r="H60" s="64">
        <v>44.53</v>
      </c>
      <c r="I60" s="64">
        <v>1.51</v>
      </c>
      <c r="J60" s="64">
        <v>0.43</v>
      </c>
      <c r="K60" s="64">
        <v>60.56</v>
      </c>
      <c r="L60" s="64">
        <v>29.84</v>
      </c>
      <c r="M60" s="64">
        <v>45.32</v>
      </c>
      <c r="N60" s="64">
        <v>659</v>
      </c>
      <c r="O60" s="64">
        <v>0</v>
      </c>
      <c r="P60" s="64">
        <v>0.63</v>
      </c>
      <c r="Q60" s="64">
        <v>5.0599999999999996</v>
      </c>
      <c r="R60" s="198"/>
      <c r="S60" s="198"/>
      <c r="T60" s="198"/>
      <c r="U60" s="198"/>
    </row>
    <row r="61" spans="1:21" s="12" customFormat="1" x14ac:dyDescent="0.25">
      <c r="A61" s="214" t="s">
        <v>2026</v>
      </c>
      <c r="B61" s="64">
        <v>3.85</v>
      </c>
      <c r="C61" s="64">
        <v>18.34</v>
      </c>
      <c r="D61" s="64">
        <v>14.5</v>
      </c>
      <c r="E61" s="64">
        <v>1.98</v>
      </c>
      <c r="F61" s="64">
        <v>16.62</v>
      </c>
      <c r="G61" s="64">
        <v>92.34</v>
      </c>
      <c r="H61" s="64">
        <v>44.53</v>
      </c>
      <c r="I61" s="64">
        <v>1.55</v>
      </c>
      <c r="J61" s="64">
        <v>0.46</v>
      </c>
      <c r="K61" s="64">
        <v>85.76</v>
      </c>
      <c r="L61" s="64">
        <v>28.84</v>
      </c>
      <c r="M61" s="64">
        <v>47.06</v>
      </c>
      <c r="N61" s="64">
        <v>441.5</v>
      </c>
      <c r="O61" s="64">
        <v>0</v>
      </c>
      <c r="P61" s="64">
        <v>0.63</v>
      </c>
      <c r="Q61" s="64">
        <v>5.2</v>
      </c>
      <c r="R61" s="198"/>
      <c r="S61" s="198"/>
      <c r="T61" s="198"/>
      <c r="U61" s="198"/>
    </row>
    <row r="62" spans="1:21" s="12" customFormat="1" x14ac:dyDescent="0.25">
      <c r="A62" s="214" t="s">
        <v>2027</v>
      </c>
      <c r="B62" s="64">
        <v>4.8099999999999996</v>
      </c>
      <c r="C62" s="64">
        <v>22.71</v>
      </c>
      <c r="D62" s="64">
        <v>17.68</v>
      </c>
      <c r="E62" s="64">
        <v>2.0299999999999998</v>
      </c>
      <c r="F62" s="64">
        <v>14.5</v>
      </c>
      <c r="G62" s="64">
        <v>92.34</v>
      </c>
      <c r="H62" s="64">
        <v>44.53</v>
      </c>
      <c r="I62" s="64">
        <v>1.52</v>
      </c>
      <c r="J62" s="64">
        <v>0.77</v>
      </c>
      <c r="K62" s="64">
        <v>111.87</v>
      </c>
      <c r="L62" s="64">
        <v>29.01</v>
      </c>
      <c r="M62" s="64">
        <v>47.78</v>
      </c>
      <c r="N62" s="64">
        <v>398.6</v>
      </c>
      <c r="O62" s="64">
        <v>0</v>
      </c>
      <c r="P62" s="64">
        <v>0.7</v>
      </c>
      <c r="Q62" s="64">
        <v>4.6399999999999997</v>
      </c>
      <c r="R62" s="198"/>
      <c r="S62" s="198"/>
      <c r="T62" s="198"/>
      <c r="U62" s="198"/>
    </row>
    <row r="63" spans="1:21" s="12" customFormat="1" x14ac:dyDescent="0.25">
      <c r="A63" s="214" t="s">
        <v>2028</v>
      </c>
      <c r="B63" s="64">
        <v>3.45</v>
      </c>
      <c r="C63" s="64">
        <v>17.09</v>
      </c>
      <c r="D63" s="64">
        <v>13.49</v>
      </c>
      <c r="E63" s="64">
        <v>1.43</v>
      </c>
      <c r="F63" s="64">
        <v>11.85</v>
      </c>
      <c r="G63" s="64">
        <v>92.22</v>
      </c>
      <c r="H63" s="64">
        <v>44.23</v>
      </c>
      <c r="I63" s="64">
        <v>1.57</v>
      </c>
      <c r="J63" s="64">
        <v>0.3</v>
      </c>
      <c r="K63" s="64">
        <v>74.27</v>
      </c>
      <c r="L63" s="64">
        <v>29.24</v>
      </c>
      <c r="M63" s="64">
        <v>45.43</v>
      </c>
      <c r="N63" s="64">
        <v>270</v>
      </c>
      <c r="O63" s="64">
        <v>0</v>
      </c>
      <c r="P63" s="64">
        <v>0.66</v>
      </c>
      <c r="Q63" s="64">
        <v>4.95</v>
      </c>
      <c r="R63" s="198"/>
      <c r="S63" s="198"/>
      <c r="T63" s="198"/>
      <c r="U63" s="198"/>
    </row>
    <row r="64" spans="1:21" s="12" customFormat="1" x14ac:dyDescent="0.25">
      <c r="A64" s="214" t="s">
        <v>2029</v>
      </c>
      <c r="B64" s="64">
        <v>3.26</v>
      </c>
      <c r="C64" s="64">
        <v>16.41</v>
      </c>
      <c r="D64" s="64">
        <v>12.96</v>
      </c>
      <c r="E64" s="64">
        <v>1.96</v>
      </c>
      <c r="F64" s="64">
        <v>13.33</v>
      </c>
      <c r="G64" s="64">
        <v>90.83</v>
      </c>
      <c r="H64" s="64">
        <v>41.2</v>
      </c>
      <c r="I64" s="64">
        <v>1.54</v>
      </c>
      <c r="J64" s="64">
        <v>0.79</v>
      </c>
      <c r="K64" s="64">
        <v>109.32</v>
      </c>
      <c r="L64" s="64">
        <v>27.89</v>
      </c>
      <c r="M64" s="64">
        <v>49.83</v>
      </c>
      <c r="N64" s="64">
        <v>189.5</v>
      </c>
      <c r="O64" s="64">
        <v>0</v>
      </c>
      <c r="P64" s="64">
        <v>0.64</v>
      </c>
      <c r="Q64" s="64">
        <v>5.09</v>
      </c>
      <c r="R64" s="198"/>
      <c r="S64" s="198"/>
      <c r="T64" s="198"/>
      <c r="U64" s="198"/>
    </row>
    <row r="65" spans="1:21" s="12" customFormat="1" x14ac:dyDescent="0.25">
      <c r="A65" s="214" t="s">
        <v>2030</v>
      </c>
      <c r="B65" s="64">
        <v>4.55</v>
      </c>
      <c r="C65" s="64">
        <v>18.21</v>
      </c>
      <c r="D65" s="64">
        <v>14.99</v>
      </c>
      <c r="E65" s="64">
        <v>2.0499999999999998</v>
      </c>
      <c r="F65" s="64">
        <v>17.53</v>
      </c>
      <c r="G65" s="64">
        <v>90.83</v>
      </c>
      <c r="H65" s="64">
        <v>41.2</v>
      </c>
      <c r="I65" s="64">
        <v>1.52</v>
      </c>
      <c r="J65" s="64">
        <v>0.53</v>
      </c>
      <c r="K65" s="64">
        <v>341.61</v>
      </c>
      <c r="L65" s="64">
        <v>28.36</v>
      </c>
      <c r="M65" s="64">
        <v>47.49</v>
      </c>
      <c r="N65" s="64">
        <v>258</v>
      </c>
      <c r="O65" s="64">
        <v>0</v>
      </c>
      <c r="P65" s="64">
        <v>0.66</v>
      </c>
      <c r="Q65" s="64">
        <v>5.09</v>
      </c>
      <c r="R65" s="198"/>
      <c r="S65" s="198"/>
      <c r="T65" s="198"/>
      <c r="U65" s="198"/>
    </row>
    <row r="66" spans="1:21" s="12" customFormat="1" x14ac:dyDescent="0.25">
      <c r="A66" s="214" t="s">
        <v>2031</v>
      </c>
      <c r="B66" s="64">
        <v>5.16</v>
      </c>
      <c r="C66" s="64">
        <v>31.27</v>
      </c>
      <c r="D66" s="64">
        <v>22.69</v>
      </c>
      <c r="E66" s="64">
        <v>2.37</v>
      </c>
      <c r="F66" s="64">
        <v>21.88</v>
      </c>
      <c r="G66" s="64">
        <v>90.83</v>
      </c>
      <c r="H66" s="64">
        <v>41.2</v>
      </c>
      <c r="I66" s="64">
        <v>1.44</v>
      </c>
      <c r="J66" s="64">
        <v>0.27</v>
      </c>
      <c r="K66" s="64">
        <v>58.58</v>
      </c>
      <c r="L66" s="64">
        <v>29.19</v>
      </c>
      <c r="M66" s="64">
        <v>45.71</v>
      </c>
      <c r="N66" s="64">
        <v>227</v>
      </c>
      <c r="O66" s="64">
        <v>0</v>
      </c>
      <c r="P66" s="64">
        <v>0.73</v>
      </c>
      <c r="Q66" s="64">
        <v>4.45</v>
      </c>
      <c r="R66" s="198"/>
      <c r="S66" s="198"/>
      <c r="T66" s="198"/>
      <c r="U66" s="198"/>
    </row>
    <row r="67" spans="1:21" s="12" customFormat="1" x14ac:dyDescent="0.25">
      <c r="A67" s="214" t="s">
        <v>2032</v>
      </c>
      <c r="B67" s="64">
        <v>6.42</v>
      </c>
      <c r="C67" s="64">
        <v>36.24</v>
      </c>
      <c r="D67" s="64">
        <v>26.45</v>
      </c>
      <c r="E67" s="64">
        <v>3.1</v>
      </c>
      <c r="F67" s="64">
        <v>20.71</v>
      </c>
      <c r="G67" s="64">
        <v>90.92</v>
      </c>
      <c r="H67" s="64">
        <v>41.36</v>
      </c>
      <c r="I67" s="64">
        <v>1.47</v>
      </c>
      <c r="J67" s="64">
        <v>0.68</v>
      </c>
      <c r="K67" s="64">
        <v>337.47</v>
      </c>
      <c r="L67" s="64">
        <v>29.23</v>
      </c>
      <c r="M67" s="64">
        <v>45.23</v>
      </c>
      <c r="N67" s="64">
        <v>306.2</v>
      </c>
      <c r="O67" s="64">
        <v>0</v>
      </c>
      <c r="P67" s="64">
        <v>0.74</v>
      </c>
      <c r="Q67" s="64">
        <v>4.4800000000000004</v>
      </c>
      <c r="R67" s="198"/>
      <c r="S67" s="198"/>
      <c r="T67" s="198"/>
      <c r="U67" s="198"/>
    </row>
    <row r="68" spans="1:21" s="12" customFormat="1" x14ac:dyDescent="0.25">
      <c r="A68" s="214" t="s">
        <v>2033</v>
      </c>
      <c r="B68" s="64">
        <v>7.04</v>
      </c>
      <c r="C68" s="64">
        <v>31.73</v>
      </c>
      <c r="D68" s="64">
        <v>24.45</v>
      </c>
      <c r="E68" s="64">
        <v>3.51</v>
      </c>
      <c r="F68" s="64">
        <v>8.91</v>
      </c>
      <c r="G68" s="64">
        <v>92.03</v>
      </c>
      <c r="H68" s="64">
        <v>42.92</v>
      </c>
      <c r="I68" s="64">
        <v>1.46</v>
      </c>
      <c r="J68" s="64">
        <v>1.27</v>
      </c>
      <c r="K68" s="64">
        <v>338.45</v>
      </c>
      <c r="L68" s="64">
        <v>29.66</v>
      </c>
      <c r="M68" s="64">
        <v>45.87</v>
      </c>
      <c r="N68" s="64">
        <v>170</v>
      </c>
      <c r="O68" s="64">
        <v>0</v>
      </c>
      <c r="P68" s="64">
        <v>0.73</v>
      </c>
      <c r="Q68" s="64">
        <v>4.54</v>
      </c>
      <c r="R68" s="198"/>
      <c r="S68" s="198"/>
      <c r="T68" s="198"/>
      <c r="U68" s="198"/>
    </row>
    <row r="69" spans="1:21" s="12" customFormat="1" x14ac:dyDescent="0.25">
      <c r="A69" s="214" t="s">
        <v>2034</v>
      </c>
      <c r="B69" s="64">
        <v>7.34</v>
      </c>
      <c r="C69" s="64">
        <v>38.93</v>
      </c>
      <c r="D69" s="64">
        <v>28.66</v>
      </c>
      <c r="E69" s="64">
        <v>3.88</v>
      </c>
      <c r="F69" s="64">
        <v>13.43</v>
      </c>
      <c r="G69" s="64">
        <v>92.03</v>
      </c>
      <c r="H69" s="64">
        <v>42.92</v>
      </c>
      <c r="I69" s="64">
        <v>1.47</v>
      </c>
      <c r="J69" s="64">
        <v>0.41</v>
      </c>
      <c r="K69" s="64">
        <v>87.35</v>
      </c>
      <c r="L69" s="64">
        <v>28.43</v>
      </c>
      <c r="M69" s="64">
        <v>49.67</v>
      </c>
      <c r="N69" s="64">
        <v>147.4</v>
      </c>
      <c r="O69" s="64">
        <v>0</v>
      </c>
      <c r="P69" s="64">
        <v>0.71</v>
      </c>
      <c r="Q69" s="64">
        <v>3.36</v>
      </c>
      <c r="R69" s="198"/>
      <c r="S69" s="198"/>
      <c r="T69" s="198"/>
      <c r="U69" s="198"/>
    </row>
    <row r="70" spans="1:21" s="12" customFormat="1" x14ac:dyDescent="0.25">
      <c r="A70" s="214" t="s">
        <v>2035</v>
      </c>
      <c r="B70" s="64">
        <v>5.75</v>
      </c>
      <c r="C70" s="64">
        <v>34.590000000000003</v>
      </c>
      <c r="D70" s="64">
        <v>24.99</v>
      </c>
      <c r="E70" s="64">
        <v>5.12</v>
      </c>
      <c r="F70" s="64">
        <v>21.33</v>
      </c>
      <c r="G70" s="64">
        <v>92.03</v>
      </c>
      <c r="H70" s="64">
        <v>42.92</v>
      </c>
      <c r="I70" s="64">
        <v>1.46</v>
      </c>
      <c r="J70" s="64">
        <v>0.41</v>
      </c>
      <c r="K70" s="64">
        <v>88.63</v>
      </c>
      <c r="L70" s="64">
        <v>27.8</v>
      </c>
      <c r="M70" s="64">
        <v>50.57</v>
      </c>
      <c r="N70" s="64">
        <v>131.80000000000001</v>
      </c>
      <c r="O70" s="64">
        <v>0</v>
      </c>
      <c r="P70" s="64">
        <v>0.66</v>
      </c>
      <c r="Q70" s="64">
        <v>4.0599999999999996</v>
      </c>
      <c r="R70" s="198"/>
      <c r="S70" s="198"/>
      <c r="T70" s="198"/>
      <c r="U70" s="198"/>
    </row>
    <row r="71" spans="1:21" s="12" customFormat="1" x14ac:dyDescent="0.25">
      <c r="A71" s="214" t="s">
        <v>2036</v>
      </c>
      <c r="B71" s="64">
        <v>11.59</v>
      </c>
      <c r="C71" s="64">
        <v>46.19</v>
      </c>
      <c r="D71" s="64">
        <v>36.08</v>
      </c>
      <c r="E71" s="64">
        <v>7.24</v>
      </c>
      <c r="F71" s="64">
        <v>18.11</v>
      </c>
      <c r="G71" s="64">
        <v>92.71</v>
      </c>
      <c r="H71" s="64">
        <v>42.69</v>
      </c>
      <c r="I71" s="64">
        <v>1.48</v>
      </c>
      <c r="J71" s="64">
        <v>0.61</v>
      </c>
      <c r="K71" s="64">
        <v>342.65</v>
      </c>
      <c r="L71" s="64">
        <v>28.09</v>
      </c>
      <c r="M71" s="64">
        <v>51.14</v>
      </c>
      <c r="N71" s="64">
        <v>124</v>
      </c>
      <c r="O71" s="64">
        <v>0</v>
      </c>
      <c r="P71" s="64">
        <v>0.81</v>
      </c>
      <c r="Q71" s="64">
        <v>2.3199999999999998</v>
      </c>
      <c r="R71" s="198"/>
      <c r="S71" s="198"/>
      <c r="T71" s="198"/>
      <c r="U71" s="198"/>
    </row>
    <row r="72" spans="1:21" s="12" customFormat="1" x14ac:dyDescent="0.25">
      <c r="A72" s="214" t="s">
        <v>2037</v>
      </c>
      <c r="B72" s="64">
        <v>8.14</v>
      </c>
      <c r="C72" s="64">
        <v>44.23</v>
      </c>
      <c r="D72" s="64">
        <v>32.229999999999997</v>
      </c>
      <c r="E72" s="64">
        <v>4.13</v>
      </c>
      <c r="F72" s="64">
        <v>27.74</v>
      </c>
      <c r="G72" s="64">
        <v>100.73</v>
      </c>
      <c r="H72" s="64">
        <v>40.409999999999997</v>
      </c>
      <c r="I72" s="64">
        <v>1.43</v>
      </c>
      <c r="J72" s="64">
        <v>0.3</v>
      </c>
      <c r="K72" s="64">
        <v>17.27</v>
      </c>
      <c r="L72" s="64">
        <v>27.82</v>
      </c>
      <c r="M72" s="64">
        <v>50.16</v>
      </c>
      <c r="N72" s="64">
        <v>107.9</v>
      </c>
      <c r="O72" s="64">
        <v>0</v>
      </c>
      <c r="P72" s="64">
        <v>0.78</v>
      </c>
      <c r="Q72" s="64">
        <v>3.66</v>
      </c>
      <c r="R72" s="198"/>
      <c r="S72" s="198"/>
      <c r="T72" s="198"/>
      <c r="U72" s="198"/>
    </row>
    <row r="73" spans="1:21" s="12" customFormat="1" x14ac:dyDescent="0.25">
      <c r="A73" s="214" t="s">
        <v>2038</v>
      </c>
      <c r="B73" s="64">
        <v>9.1999999999999993</v>
      </c>
      <c r="C73" s="64">
        <v>44.5</v>
      </c>
      <c r="D73" s="64">
        <v>33.229999999999997</v>
      </c>
      <c r="E73" s="64">
        <v>7</v>
      </c>
      <c r="F73" s="64">
        <v>17.670000000000002</v>
      </c>
      <c r="G73" s="64">
        <v>100.73</v>
      </c>
      <c r="H73" s="64">
        <v>40.409999999999997</v>
      </c>
      <c r="I73" s="64">
        <v>1.54</v>
      </c>
      <c r="J73" s="64">
        <v>0.4</v>
      </c>
      <c r="K73" s="64">
        <v>13.53</v>
      </c>
      <c r="L73" s="64">
        <v>27.79</v>
      </c>
      <c r="M73" s="64">
        <v>50.7</v>
      </c>
      <c r="N73" s="64">
        <v>89.4</v>
      </c>
      <c r="O73" s="64">
        <v>0</v>
      </c>
      <c r="P73" s="64">
        <v>0.8</v>
      </c>
      <c r="Q73" s="212" t="s">
        <v>42</v>
      </c>
      <c r="R73" s="198"/>
      <c r="S73" s="198"/>
      <c r="T73" s="198"/>
      <c r="U73" s="198"/>
    </row>
    <row r="74" spans="1:21" s="12" customFormat="1" x14ac:dyDescent="0.25">
      <c r="A74" s="214" t="s">
        <v>2039</v>
      </c>
      <c r="B74" s="64">
        <v>11.11</v>
      </c>
      <c r="C74" s="64">
        <v>40.200000000000003</v>
      </c>
      <c r="D74" s="64">
        <v>32.39</v>
      </c>
      <c r="E74" s="64">
        <v>6.2</v>
      </c>
      <c r="F74" s="64">
        <v>19.190000000000001</v>
      </c>
      <c r="G74" s="64">
        <v>100.73</v>
      </c>
      <c r="H74" s="64">
        <v>40.409999999999997</v>
      </c>
      <c r="I74" s="64">
        <v>1.52</v>
      </c>
      <c r="J74" s="64">
        <v>0.69</v>
      </c>
      <c r="K74" s="64">
        <v>341.49</v>
      </c>
      <c r="L74" s="64">
        <v>27.58</v>
      </c>
      <c r="M74" s="64">
        <v>51.21</v>
      </c>
      <c r="N74" s="64">
        <v>70.2</v>
      </c>
      <c r="O74" s="64">
        <v>0</v>
      </c>
      <c r="P74" s="64">
        <v>0.85</v>
      </c>
      <c r="Q74" s="212" t="s">
        <v>42</v>
      </c>
      <c r="R74" s="198"/>
      <c r="S74" s="198"/>
      <c r="T74" s="198"/>
      <c r="U74" s="198"/>
    </row>
    <row r="75" spans="1:21" s="12" customFormat="1" x14ac:dyDescent="0.25">
      <c r="A75" s="214" t="s">
        <v>2040</v>
      </c>
      <c r="B75" s="64">
        <v>9.3800000000000008</v>
      </c>
      <c r="C75" s="64">
        <v>40.21</v>
      </c>
      <c r="D75" s="64">
        <v>31.01</v>
      </c>
      <c r="E75" s="64">
        <v>4.7</v>
      </c>
      <c r="F75" s="64">
        <v>12.17</v>
      </c>
      <c r="G75" s="64">
        <v>101</v>
      </c>
      <c r="H75" s="64">
        <v>40.700000000000003</v>
      </c>
      <c r="I75" s="64">
        <v>1.56</v>
      </c>
      <c r="J75" s="64">
        <v>0.71</v>
      </c>
      <c r="K75" s="64">
        <v>340.71</v>
      </c>
      <c r="L75" s="64">
        <v>27.43</v>
      </c>
      <c r="M75" s="64">
        <v>52.13</v>
      </c>
      <c r="N75" s="64">
        <v>56.3</v>
      </c>
      <c r="O75" s="64">
        <v>0</v>
      </c>
      <c r="P75" s="64">
        <v>0.9</v>
      </c>
      <c r="Q75" s="64">
        <v>3.02</v>
      </c>
      <c r="R75" s="198"/>
      <c r="S75" s="198"/>
      <c r="T75" s="198"/>
      <c r="U75" s="198"/>
    </row>
    <row r="76" spans="1:21" s="12" customFormat="1" x14ac:dyDescent="0.25">
      <c r="A76" s="214" t="s">
        <v>2041</v>
      </c>
      <c r="B76" s="64">
        <v>8.34</v>
      </c>
      <c r="C76" s="64">
        <v>48.35</v>
      </c>
      <c r="D76" s="64">
        <v>34.659999999999997</v>
      </c>
      <c r="E76" s="64">
        <v>5.23</v>
      </c>
      <c r="F76" s="64">
        <v>21.48</v>
      </c>
      <c r="G76" s="64">
        <v>104.1</v>
      </c>
      <c r="H76" s="64">
        <v>43.18</v>
      </c>
      <c r="I76" s="64">
        <v>1.52</v>
      </c>
      <c r="J76" s="64">
        <v>0.46</v>
      </c>
      <c r="K76" s="64">
        <v>342.74</v>
      </c>
      <c r="L76" s="64">
        <v>27.18</v>
      </c>
      <c r="M76" s="64">
        <v>51.92</v>
      </c>
      <c r="N76" s="64">
        <v>44</v>
      </c>
      <c r="O76" s="64">
        <v>0</v>
      </c>
      <c r="P76" s="64">
        <v>1.1299999999999999</v>
      </c>
      <c r="Q76" s="64">
        <v>3.2</v>
      </c>
      <c r="R76" s="198"/>
      <c r="S76" s="198"/>
      <c r="T76" s="198"/>
      <c r="U76" s="198"/>
    </row>
    <row r="77" spans="1:21" s="12" customFormat="1" x14ac:dyDescent="0.25">
      <c r="A77" s="214" t="s">
        <v>2042</v>
      </c>
      <c r="B77" s="64">
        <v>12.49</v>
      </c>
      <c r="C77" s="64">
        <v>60.22</v>
      </c>
      <c r="D77" s="64">
        <v>44.54</v>
      </c>
      <c r="E77" s="64">
        <v>5.9</v>
      </c>
      <c r="F77" s="64">
        <v>23.44</v>
      </c>
      <c r="G77" s="64">
        <v>104.1</v>
      </c>
      <c r="H77" s="64">
        <v>43.18</v>
      </c>
      <c r="I77" s="64">
        <v>1.49</v>
      </c>
      <c r="J77" s="64">
        <v>0.16</v>
      </c>
      <c r="K77" s="64">
        <v>17.23</v>
      </c>
      <c r="L77" s="64">
        <v>26.5</v>
      </c>
      <c r="M77" s="64">
        <v>53.52</v>
      </c>
      <c r="N77" s="64">
        <v>35.200000000000003</v>
      </c>
      <c r="O77" s="64">
        <v>0</v>
      </c>
      <c r="P77" s="64">
        <v>1.06</v>
      </c>
      <c r="Q77" s="64">
        <v>2.0499999999999998</v>
      </c>
      <c r="R77" s="198"/>
      <c r="S77" s="198"/>
      <c r="T77" s="198"/>
      <c r="U77" s="198"/>
    </row>
    <row r="78" spans="1:21" s="12" customFormat="1" x14ac:dyDescent="0.25">
      <c r="A78" s="214" t="s">
        <v>2043</v>
      </c>
      <c r="B78" s="64">
        <v>10.97</v>
      </c>
      <c r="C78" s="64">
        <v>62.2</v>
      </c>
      <c r="D78" s="64">
        <v>44.42</v>
      </c>
      <c r="E78" s="64">
        <v>6.31</v>
      </c>
      <c r="F78" s="64">
        <v>23.29</v>
      </c>
      <c r="G78" s="64">
        <v>104.1</v>
      </c>
      <c r="H78" s="64">
        <v>43.18</v>
      </c>
      <c r="I78" s="64">
        <v>1.52</v>
      </c>
      <c r="J78" s="64">
        <v>0.17</v>
      </c>
      <c r="K78" s="64">
        <v>6.18</v>
      </c>
      <c r="L78" s="64">
        <v>26.29</v>
      </c>
      <c r="M78" s="64">
        <v>54.89</v>
      </c>
      <c r="N78" s="64">
        <v>24.8</v>
      </c>
      <c r="O78" s="64">
        <v>0</v>
      </c>
      <c r="P78" s="64">
        <v>1.17</v>
      </c>
      <c r="Q78" s="64">
        <v>1.98</v>
      </c>
      <c r="R78" s="198"/>
      <c r="S78" s="198"/>
      <c r="T78" s="198"/>
      <c r="U78" s="198"/>
    </row>
    <row r="79" spans="1:21" s="12" customFormat="1" x14ac:dyDescent="0.25">
      <c r="A79" s="214" t="s">
        <v>2044</v>
      </c>
      <c r="B79" s="64">
        <v>13.01</v>
      </c>
      <c r="C79" s="64">
        <v>65.349999999999994</v>
      </c>
      <c r="D79" s="64">
        <v>47.79</v>
      </c>
      <c r="E79" s="64">
        <v>5.87</v>
      </c>
      <c r="F79" s="64">
        <v>21.67</v>
      </c>
      <c r="G79" s="64">
        <v>106.25</v>
      </c>
      <c r="H79" s="64">
        <v>43.82</v>
      </c>
      <c r="I79" s="64">
        <v>1.57</v>
      </c>
      <c r="J79" s="64">
        <v>0.16</v>
      </c>
      <c r="K79" s="64">
        <v>13.94</v>
      </c>
      <c r="L79" s="64">
        <v>25.88</v>
      </c>
      <c r="M79" s="64">
        <v>57.25</v>
      </c>
      <c r="N79" s="64">
        <v>20.5</v>
      </c>
      <c r="O79" s="64">
        <v>0</v>
      </c>
      <c r="P79" s="64">
        <v>1.19</v>
      </c>
      <c r="Q79" s="64">
        <v>2.7</v>
      </c>
      <c r="R79" s="198"/>
      <c r="S79" s="198"/>
      <c r="T79" s="198"/>
      <c r="U79" s="198"/>
    </row>
    <row r="80" spans="1:21" s="12" customFormat="1" x14ac:dyDescent="0.25">
      <c r="A80" s="214" t="s">
        <v>2045</v>
      </c>
      <c r="B80" s="64">
        <v>12.38</v>
      </c>
      <c r="C80" s="64">
        <v>45.61</v>
      </c>
      <c r="D80" s="64">
        <v>36.39</v>
      </c>
      <c r="E80" s="64">
        <v>3.31</v>
      </c>
      <c r="F80" s="64">
        <v>7.07</v>
      </c>
      <c r="G80" s="64">
        <v>131.74</v>
      </c>
      <c r="H80" s="64">
        <v>50.21</v>
      </c>
      <c r="I80" s="64">
        <v>1.5</v>
      </c>
      <c r="J80" s="64">
        <v>0.22</v>
      </c>
      <c r="K80" s="64">
        <v>343.75</v>
      </c>
      <c r="L80" s="64">
        <v>25.71</v>
      </c>
      <c r="M80" s="64">
        <v>58.75</v>
      </c>
      <c r="N80" s="64">
        <v>19.7</v>
      </c>
      <c r="O80" s="64">
        <v>0</v>
      </c>
      <c r="P80" s="64">
        <v>1.1299999999999999</v>
      </c>
      <c r="Q80" s="64">
        <v>2.95</v>
      </c>
      <c r="R80" s="198"/>
      <c r="S80" s="198"/>
      <c r="T80" s="198"/>
      <c r="U80" s="198"/>
    </row>
    <row r="81" spans="1:26" s="12" customFormat="1" x14ac:dyDescent="0.25">
      <c r="A81" s="214" t="s">
        <v>2046</v>
      </c>
      <c r="B81" s="64">
        <v>5.82</v>
      </c>
      <c r="C81" s="64">
        <v>42.63</v>
      </c>
      <c r="D81" s="64">
        <v>29.49</v>
      </c>
      <c r="E81" s="64">
        <v>2.89</v>
      </c>
      <c r="F81" s="64">
        <v>23.73</v>
      </c>
      <c r="G81" s="64">
        <v>131.74</v>
      </c>
      <c r="H81" s="64">
        <v>50.21</v>
      </c>
      <c r="I81" s="64">
        <v>1.58</v>
      </c>
      <c r="J81" s="64">
        <v>0.56999999999999995</v>
      </c>
      <c r="K81" s="64">
        <v>101.91</v>
      </c>
      <c r="L81" s="64">
        <v>25.47</v>
      </c>
      <c r="M81" s="64">
        <v>59.96</v>
      </c>
      <c r="N81" s="64">
        <v>19.600000000000001</v>
      </c>
      <c r="O81" s="64">
        <v>0</v>
      </c>
      <c r="P81" s="64">
        <v>0.96</v>
      </c>
      <c r="Q81" s="64">
        <v>4.04</v>
      </c>
      <c r="R81" s="198"/>
      <c r="S81" s="198"/>
      <c r="T81" s="198"/>
      <c r="U81" s="198"/>
    </row>
    <row r="82" spans="1:26" s="12" customFormat="1" x14ac:dyDescent="0.25">
      <c r="A82" s="214" t="s">
        <v>2047</v>
      </c>
      <c r="B82" s="64">
        <v>6.85</v>
      </c>
      <c r="C82" s="64">
        <v>57.03</v>
      </c>
      <c r="D82" s="64">
        <v>38.26</v>
      </c>
      <c r="E82" s="64">
        <v>5.0599999999999996</v>
      </c>
      <c r="F82" s="64">
        <v>29.06</v>
      </c>
      <c r="G82" s="64">
        <v>131.74</v>
      </c>
      <c r="H82" s="64">
        <v>50.21</v>
      </c>
      <c r="I82" s="64">
        <v>1.47</v>
      </c>
      <c r="J82" s="64">
        <v>0.19</v>
      </c>
      <c r="K82" s="64">
        <v>89.07</v>
      </c>
      <c r="L82" s="64">
        <v>25.24</v>
      </c>
      <c r="M82" s="64">
        <v>62.79</v>
      </c>
      <c r="N82" s="64">
        <v>19.8</v>
      </c>
      <c r="O82" s="64">
        <v>0</v>
      </c>
      <c r="P82" s="64">
        <v>1.23</v>
      </c>
      <c r="Q82" s="64">
        <v>4.21</v>
      </c>
      <c r="R82" s="198"/>
      <c r="S82" s="198"/>
      <c r="T82" s="198"/>
      <c r="U82" s="198"/>
    </row>
    <row r="83" spans="1:26" s="12" customFormat="1" x14ac:dyDescent="0.25">
      <c r="A83" s="214" t="s">
        <v>2048</v>
      </c>
      <c r="B83" s="64">
        <v>5.62</v>
      </c>
      <c r="C83" s="64">
        <v>53.41</v>
      </c>
      <c r="D83" s="64">
        <v>35.28</v>
      </c>
      <c r="E83" s="64">
        <v>5.46</v>
      </c>
      <c r="F83" s="64">
        <v>30.3</v>
      </c>
      <c r="G83" s="64">
        <v>132.37</v>
      </c>
      <c r="H83" s="64">
        <v>50.7</v>
      </c>
      <c r="I83" s="64">
        <v>1.45</v>
      </c>
      <c r="J83" s="64">
        <v>0.24</v>
      </c>
      <c r="K83" s="64">
        <v>88.75</v>
      </c>
      <c r="L83" s="64">
        <v>25.13</v>
      </c>
      <c r="M83" s="64">
        <v>63.11</v>
      </c>
      <c r="N83" s="64">
        <v>19.600000000000001</v>
      </c>
      <c r="O83" s="64">
        <v>0</v>
      </c>
      <c r="P83" s="64">
        <v>1.1299999999999999</v>
      </c>
      <c r="Q83" s="64">
        <v>2.78</v>
      </c>
      <c r="R83" s="198"/>
      <c r="S83" s="198"/>
      <c r="T83" s="198"/>
      <c r="U83" s="198"/>
    </row>
    <row r="84" spans="1:26" s="12" customFormat="1" x14ac:dyDescent="0.25">
      <c r="A84" s="214" t="s">
        <v>2049</v>
      </c>
      <c r="B84" s="64">
        <v>9.86</v>
      </c>
      <c r="C84" s="64">
        <v>72.23</v>
      </c>
      <c r="D84" s="64">
        <v>49.06</v>
      </c>
      <c r="E84" s="64">
        <v>5.35</v>
      </c>
      <c r="F84" s="64">
        <v>19.72</v>
      </c>
      <c r="G84" s="64">
        <v>139.83000000000001</v>
      </c>
      <c r="H84" s="64">
        <v>55.62</v>
      </c>
      <c r="I84" s="64">
        <v>1.5</v>
      </c>
      <c r="J84" s="64">
        <v>7.0000000000000007E-2</v>
      </c>
      <c r="K84" s="64">
        <v>70.53</v>
      </c>
      <c r="L84" s="64">
        <v>25.01</v>
      </c>
      <c r="M84" s="64">
        <v>64.08</v>
      </c>
      <c r="N84" s="64">
        <v>19.7</v>
      </c>
      <c r="O84" s="64">
        <v>0</v>
      </c>
      <c r="P84" s="64">
        <v>1.69</v>
      </c>
      <c r="Q84" s="64">
        <v>2.58</v>
      </c>
      <c r="R84" s="198"/>
      <c r="S84" s="198"/>
      <c r="T84" s="198"/>
      <c r="U84" s="198"/>
    </row>
    <row r="85" spans="1:26" s="12" customFormat="1" x14ac:dyDescent="0.25">
      <c r="A85" s="214" t="s">
        <v>2050</v>
      </c>
      <c r="B85" s="64">
        <v>8.81</v>
      </c>
      <c r="C85" s="64">
        <v>68.78</v>
      </c>
      <c r="D85" s="64">
        <v>46.32</v>
      </c>
      <c r="E85" s="64">
        <v>4.9400000000000004</v>
      </c>
      <c r="F85" s="64">
        <v>17.48</v>
      </c>
      <c r="G85" s="64">
        <v>139.83000000000001</v>
      </c>
      <c r="H85" s="64">
        <v>55.62</v>
      </c>
      <c r="I85" s="64">
        <v>1.46</v>
      </c>
      <c r="J85" s="64">
        <v>0.21</v>
      </c>
      <c r="K85" s="64">
        <v>97.74</v>
      </c>
      <c r="L85" s="64">
        <v>24.83</v>
      </c>
      <c r="M85" s="64">
        <v>65.2</v>
      </c>
      <c r="N85" s="64">
        <v>19.7</v>
      </c>
      <c r="O85" s="64">
        <v>0</v>
      </c>
      <c r="P85" s="64">
        <v>1.52</v>
      </c>
      <c r="Q85" s="64">
        <v>2.16</v>
      </c>
      <c r="R85" s="198"/>
      <c r="S85" s="198"/>
      <c r="T85" s="198"/>
      <c r="U85" s="198"/>
    </row>
    <row r="86" spans="1:26" s="12" customFormat="1" x14ac:dyDescent="0.25">
      <c r="A86" s="214" t="s">
        <v>2051</v>
      </c>
      <c r="B86" s="64">
        <v>6.05</v>
      </c>
      <c r="C86" s="64">
        <v>41.35</v>
      </c>
      <c r="D86" s="64">
        <v>28.96</v>
      </c>
      <c r="E86" s="64">
        <v>4.3600000000000003</v>
      </c>
      <c r="F86" s="64">
        <v>14.38</v>
      </c>
      <c r="G86" s="64">
        <v>139.83000000000001</v>
      </c>
      <c r="H86" s="64">
        <v>55.62</v>
      </c>
      <c r="I86" s="64">
        <v>1.55</v>
      </c>
      <c r="J86" s="64">
        <v>0.12</v>
      </c>
      <c r="K86" s="64">
        <v>88.01</v>
      </c>
      <c r="L86" s="64">
        <v>24.69</v>
      </c>
      <c r="M86" s="64">
        <v>66.25</v>
      </c>
      <c r="N86" s="64">
        <v>19.600000000000001</v>
      </c>
      <c r="O86" s="64">
        <v>0</v>
      </c>
      <c r="P86" s="64">
        <v>1.1100000000000001</v>
      </c>
      <c r="Q86" s="64">
        <v>3.06</v>
      </c>
      <c r="R86" s="198"/>
      <c r="S86" s="198"/>
      <c r="T86" s="198"/>
      <c r="U86" s="198"/>
    </row>
    <row r="87" spans="1:26" s="12" customFormat="1" x14ac:dyDescent="0.25">
      <c r="A87" s="214" t="s">
        <v>2052</v>
      </c>
      <c r="B87" s="64">
        <v>4.7</v>
      </c>
      <c r="C87" s="64">
        <v>45.43</v>
      </c>
      <c r="D87" s="64">
        <v>30.14</v>
      </c>
      <c r="E87" s="64">
        <v>3.14</v>
      </c>
      <c r="F87" s="64">
        <v>20.52</v>
      </c>
      <c r="G87" s="64">
        <v>140.76</v>
      </c>
      <c r="H87" s="64">
        <v>55.86</v>
      </c>
      <c r="I87" s="64">
        <v>1.52</v>
      </c>
      <c r="J87" s="64">
        <v>0.15</v>
      </c>
      <c r="K87" s="64">
        <v>70.180000000000007</v>
      </c>
      <c r="L87" s="64">
        <v>24.58</v>
      </c>
      <c r="M87" s="64">
        <v>67.11</v>
      </c>
      <c r="N87" s="64">
        <v>19.600000000000001</v>
      </c>
      <c r="O87" s="64">
        <v>0</v>
      </c>
      <c r="P87" s="64">
        <v>1.24</v>
      </c>
      <c r="Q87" s="64">
        <v>3.81</v>
      </c>
      <c r="R87" s="198"/>
      <c r="S87" s="198"/>
      <c r="T87" s="198"/>
      <c r="U87" s="198"/>
    </row>
    <row r="88" spans="1:26" s="12" customFormat="1" x14ac:dyDescent="0.25">
      <c r="A88" s="214" t="s">
        <v>2053</v>
      </c>
      <c r="B88" s="64">
        <v>5.34</v>
      </c>
      <c r="C88" s="64">
        <v>56.72</v>
      </c>
      <c r="D88" s="64">
        <v>36.869999999999997</v>
      </c>
      <c r="E88" s="64">
        <v>2.0499999999999998</v>
      </c>
      <c r="F88" s="64">
        <v>21.86</v>
      </c>
      <c r="G88" s="64">
        <v>151.79</v>
      </c>
      <c r="H88" s="64">
        <v>58.3</v>
      </c>
      <c r="I88" s="64">
        <v>1.46</v>
      </c>
      <c r="J88" s="64">
        <v>0.16</v>
      </c>
      <c r="K88" s="64">
        <v>74.069999999999993</v>
      </c>
      <c r="L88" s="64">
        <v>24.47</v>
      </c>
      <c r="M88" s="64">
        <v>66.62</v>
      </c>
      <c r="N88" s="64">
        <v>19.600000000000001</v>
      </c>
      <c r="O88" s="64">
        <v>0</v>
      </c>
      <c r="P88" s="64">
        <v>1.17</v>
      </c>
      <c r="Q88" s="64">
        <v>3.24</v>
      </c>
      <c r="R88" s="198"/>
      <c r="S88" s="198"/>
      <c r="T88" s="198"/>
      <c r="U88" s="198"/>
    </row>
    <row r="89" spans="1:26" s="12" customFormat="1" x14ac:dyDescent="0.25">
      <c r="A89" s="214" t="s">
        <v>2054</v>
      </c>
      <c r="B89" s="64">
        <v>4.17</v>
      </c>
      <c r="C89" s="64">
        <v>36</v>
      </c>
      <c r="D89" s="64">
        <v>24.51</v>
      </c>
      <c r="E89" s="64">
        <v>2.99</v>
      </c>
      <c r="F89" s="64">
        <v>14.75</v>
      </c>
      <c r="G89" s="64">
        <v>151.79</v>
      </c>
      <c r="H89" s="64">
        <v>58.3</v>
      </c>
      <c r="I89" s="64">
        <v>1.5</v>
      </c>
      <c r="J89" s="64">
        <v>0.31</v>
      </c>
      <c r="K89" s="64">
        <v>100.61</v>
      </c>
      <c r="L89" s="64">
        <v>24.5</v>
      </c>
      <c r="M89" s="64">
        <v>66.45</v>
      </c>
      <c r="N89" s="64">
        <v>19.2</v>
      </c>
      <c r="O89" s="64">
        <v>0</v>
      </c>
      <c r="P89" s="64">
        <v>1.04</v>
      </c>
      <c r="Q89" s="64">
        <v>3.9</v>
      </c>
      <c r="R89" s="198"/>
      <c r="S89" s="198"/>
      <c r="T89" s="198"/>
      <c r="U89" s="198"/>
    </row>
    <row r="90" spans="1:26" s="12" customFormat="1" x14ac:dyDescent="0.25">
      <c r="A90" s="214" t="s">
        <v>2055</v>
      </c>
      <c r="B90" s="64">
        <v>6.42</v>
      </c>
      <c r="C90" s="64">
        <v>34.26</v>
      </c>
      <c r="D90" s="64">
        <v>25.35</v>
      </c>
      <c r="E90" s="64">
        <v>1.91</v>
      </c>
      <c r="F90" s="64">
        <v>11.36</v>
      </c>
      <c r="G90" s="64">
        <v>151.79</v>
      </c>
      <c r="H90" s="64">
        <v>58.3</v>
      </c>
      <c r="I90" s="64">
        <v>1.51</v>
      </c>
      <c r="J90" s="64">
        <v>0.23</v>
      </c>
      <c r="K90" s="64">
        <v>76.67</v>
      </c>
      <c r="L90" s="64">
        <v>24.42</v>
      </c>
      <c r="M90" s="64">
        <v>66.42</v>
      </c>
      <c r="N90" s="64">
        <v>19.600000000000001</v>
      </c>
      <c r="O90" s="64">
        <v>0</v>
      </c>
      <c r="P90" s="64">
        <v>1.1000000000000001</v>
      </c>
      <c r="Q90" s="64">
        <v>4.3099999999999996</v>
      </c>
      <c r="R90" s="198"/>
      <c r="S90" s="198"/>
      <c r="T90" s="198"/>
      <c r="U90" s="198"/>
    </row>
    <row r="91" spans="1:26" s="12" customFormat="1" x14ac:dyDescent="0.25">
      <c r="A91" s="214" t="s">
        <v>2056</v>
      </c>
      <c r="B91" s="64">
        <v>46.07</v>
      </c>
      <c r="C91" s="64">
        <v>83.11</v>
      </c>
      <c r="D91" s="64">
        <v>84.11</v>
      </c>
      <c r="E91" s="64">
        <v>2.2799999999999998</v>
      </c>
      <c r="F91" s="64">
        <v>4.9000000000000004</v>
      </c>
      <c r="G91" s="64">
        <v>151.82</v>
      </c>
      <c r="H91" s="64">
        <v>58.36</v>
      </c>
      <c r="I91" s="64">
        <v>1.52</v>
      </c>
      <c r="J91" s="64">
        <v>0.11</v>
      </c>
      <c r="K91" s="64">
        <v>26.29</v>
      </c>
      <c r="L91" s="64">
        <v>24.16</v>
      </c>
      <c r="M91" s="64">
        <v>70.150000000000006</v>
      </c>
      <c r="N91" s="64">
        <v>19.899999999999999</v>
      </c>
      <c r="O91" s="64">
        <v>0</v>
      </c>
      <c r="P91" s="64">
        <v>2.04</v>
      </c>
      <c r="Q91" s="64">
        <v>0.57999999999999996</v>
      </c>
      <c r="R91" s="198"/>
      <c r="S91" s="198"/>
      <c r="T91" s="198"/>
      <c r="U91" s="198"/>
    </row>
    <row r="92" spans="1:26" s="12" customFormat="1" x14ac:dyDescent="0.25">
      <c r="A92" s="214" t="s">
        <v>2057</v>
      </c>
      <c r="B92" s="64">
        <v>6.06</v>
      </c>
      <c r="C92" s="64">
        <v>49.93</v>
      </c>
      <c r="D92" s="64">
        <v>33.71</v>
      </c>
      <c r="E92" s="64">
        <v>2.23</v>
      </c>
      <c r="F92" s="64">
        <v>12.03</v>
      </c>
      <c r="G92" s="64">
        <v>152.13999999999999</v>
      </c>
      <c r="H92" s="64">
        <v>58.91</v>
      </c>
      <c r="I92" s="64">
        <v>1.45</v>
      </c>
      <c r="J92" s="64">
        <v>0.09</v>
      </c>
      <c r="K92" s="64">
        <v>79.14</v>
      </c>
      <c r="L92" s="64">
        <v>23.82</v>
      </c>
      <c r="M92" s="64">
        <v>70.92</v>
      </c>
      <c r="N92" s="64">
        <v>19.5</v>
      </c>
      <c r="O92" s="64">
        <v>0</v>
      </c>
      <c r="P92" s="64">
        <v>1.3</v>
      </c>
      <c r="Q92" s="64">
        <v>1.29</v>
      </c>
      <c r="R92" s="198"/>
      <c r="S92" s="198"/>
      <c r="T92" s="198"/>
      <c r="U92" s="198"/>
    </row>
    <row r="93" spans="1:26" s="12" customFormat="1" x14ac:dyDescent="0.25">
      <c r="A93" s="214" t="s">
        <v>2058</v>
      </c>
      <c r="B93" s="64">
        <v>10.31</v>
      </c>
      <c r="C93" s="64">
        <v>41.73</v>
      </c>
      <c r="D93" s="64">
        <v>32.590000000000003</v>
      </c>
      <c r="E93" s="64">
        <v>1.46</v>
      </c>
      <c r="F93" s="64">
        <v>7.24</v>
      </c>
      <c r="G93" s="64">
        <v>152.13999999999999</v>
      </c>
      <c r="H93" s="64">
        <v>58.91</v>
      </c>
      <c r="I93" s="64">
        <v>1.51</v>
      </c>
      <c r="J93" s="64">
        <v>0.06</v>
      </c>
      <c r="K93" s="64">
        <v>40.99</v>
      </c>
      <c r="L93" s="64">
        <v>23.71</v>
      </c>
      <c r="M93" s="64">
        <v>71.540000000000006</v>
      </c>
      <c r="N93" s="64">
        <v>19.600000000000001</v>
      </c>
      <c r="O93" s="64">
        <v>0</v>
      </c>
      <c r="P93" s="64">
        <v>1.39</v>
      </c>
      <c r="Q93" s="64">
        <v>3.61</v>
      </c>
      <c r="R93" s="198"/>
      <c r="S93" s="198"/>
      <c r="T93" s="198"/>
      <c r="U93" s="198"/>
    </row>
    <row r="94" spans="1:26" s="12" customFormat="1" x14ac:dyDescent="0.25">
      <c r="A94" s="214" t="s">
        <v>2059</v>
      </c>
      <c r="B94" s="64">
        <v>15.01</v>
      </c>
      <c r="C94" s="64">
        <v>63.09</v>
      </c>
      <c r="D94" s="64">
        <v>48.15</v>
      </c>
      <c r="E94" s="64">
        <v>1.92</v>
      </c>
      <c r="F94" s="64">
        <v>12.5</v>
      </c>
      <c r="G94" s="64">
        <v>152.13999999999999</v>
      </c>
      <c r="H94" s="64">
        <v>58.91</v>
      </c>
      <c r="I94" s="64">
        <v>1.46</v>
      </c>
      <c r="J94" s="64">
        <v>0.17</v>
      </c>
      <c r="K94" s="64">
        <v>66.87</v>
      </c>
      <c r="L94" s="64">
        <v>23.75</v>
      </c>
      <c r="M94" s="64">
        <v>71.73</v>
      </c>
      <c r="N94" s="64">
        <v>19.5</v>
      </c>
      <c r="O94" s="64">
        <v>0</v>
      </c>
      <c r="P94" s="64">
        <v>1.62</v>
      </c>
      <c r="Q94" s="64">
        <v>2.97</v>
      </c>
      <c r="R94" s="198"/>
      <c r="S94" s="198"/>
      <c r="T94" s="198"/>
      <c r="U94" s="198"/>
    </row>
    <row r="95" spans="1:26" s="12" customFormat="1" x14ac:dyDescent="0.25">
      <c r="A95" s="214" t="s">
        <v>2060</v>
      </c>
      <c r="B95" s="64">
        <v>11.52</v>
      </c>
      <c r="C95" s="64">
        <v>60.09</v>
      </c>
      <c r="D95" s="64">
        <v>43.69</v>
      </c>
      <c r="E95" s="64">
        <v>1.67</v>
      </c>
      <c r="F95" s="64">
        <v>12.2</v>
      </c>
      <c r="G95" s="64">
        <v>152.63999999999999</v>
      </c>
      <c r="H95" s="64">
        <v>58.97</v>
      </c>
      <c r="I95" s="64">
        <v>1.48</v>
      </c>
      <c r="J95" s="64">
        <v>0.1</v>
      </c>
      <c r="K95" s="64">
        <v>82.99</v>
      </c>
      <c r="L95" s="64">
        <v>23.66</v>
      </c>
      <c r="M95" s="64">
        <v>71.89</v>
      </c>
      <c r="N95" s="64">
        <v>19.600000000000001</v>
      </c>
      <c r="O95" s="64">
        <v>0</v>
      </c>
      <c r="P95" s="64">
        <v>1.44</v>
      </c>
      <c r="Q95" s="64">
        <v>2.34</v>
      </c>
      <c r="R95" s="198"/>
      <c r="S95" s="198"/>
      <c r="T95" s="198"/>
      <c r="U95" s="198"/>
    </row>
    <row r="96" spans="1:26" s="12" customFormat="1" x14ac:dyDescent="0.25">
      <c r="A96" s="214" t="s">
        <v>2061</v>
      </c>
      <c r="B96" s="64">
        <v>7.35</v>
      </c>
      <c r="C96" s="64">
        <v>48.68</v>
      </c>
      <c r="D96" s="64">
        <v>34.049999999999997</v>
      </c>
      <c r="E96" s="64">
        <v>1.78</v>
      </c>
      <c r="F96" s="64">
        <v>14.03</v>
      </c>
      <c r="G96" s="64">
        <v>158.51</v>
      </c>
      <c r="H96" s="64">
        <v>59.57</v>
      </c>
      <c r="I96" s="64">
        <v>1.46</v>
      </c>
      <c r="J96" s="64">
        <v>0.1</v>
      </c>
      <c r="K96" s="64">
        <v>78.48</v>
      </c>
      <c r="L96" s="64">
        <v>23.56</v>
      </c>
      <c r="M96" s="64">
        <v>71.150000000000006</v>
      </c>
      <c r="N96" s="64">
        <v>19.5</v>
      </c>
      <c r="O96" s="64">
        <v>0</v>
      </c>
      <c r="P96" s="64">
        <v>1.23</v>
      </c>
      <c r="Q96" s="64">
        <v>2.94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2062</v>
      </c>
      <c r="B97" s="64">
        <v>4.05</v>
      </c>
      <c r="C97" s="64">
        <v>44.31</v>
      </c>
      <c r="D97" s="64">
        <v>29</v>
      </c>
      <c r="E97" s="64">
        <v>2.02</v>
      </c>
      <c r="F97" s="64">
        <v>20.149999999999999</v>
      </c>
      <c r="G97" s="64">
        <v>158.51</v>
      </c>
      <c r="H97" s="64">
        <v>59.57</v>
      </c>
      <c r="I97" s="64">
        <v>1.48</v>
      </c>
      <c r="J97" s="64">
        <v>0.16</v>
      </c>
      <c r="K97" s="64">
        <v>114.26</v>
      </c>
      <c r="L97" s="64">
        <v>23.45</v>
      </c>
      <c r="M97" s="64">
        <v>72.3</v>
      </c>
      <c r="N97" s="64">
        <v>19.399999999999999</v>
      </c>
      <c r="O97" s="64">
        <v>0</v>
      </c>
      <c r="P97" s="64">
        <v>0.99</v>
      </c>
      <c r="Q97" s="64">
        <v>3.97</v>
      </c>
      <c r="R97" s="198"/>
      <c r="S97" s="198"/>
      <c r="T97" s="198"/>
      <c r="U97" s="198"/>
    </row>
    <row r="98" spans="1:33" s="12" customFormat="1" x14ac:dyDescent="0.25">
      <c r="A98" s="214" t="s">
        <v>2063</v>
      </c>
      <c r="B98" s="64">
        <v>13.3</v>
      </c>
      <c r="C98" s="64">
        <v>43.3</v>
      </c>
      <c r="D98" s="64">
        <v>35.85</v>
      </c>
      <c r="E98" s="64">
        <v>1.47</v>
      </c>
      <c r="F98" s="64">
        <v>6.38</v>
      </c>
      <c r="G98" s="64">
        <v>158.51</v>
      </c>
      <c r="H98" s="64">
        <v>59.57</v>
      </c>
      <c r="I98" s="64">
        <v>1.49</v>
      </c>
      <c r="J98" s="64">
        <v>0.05</v>
      </c>
      <c r="K98" s="64">
        <v>357.35</v>
      </c>
      <c r="L98" s="64">
        <v>23.35</v>
      </c>
      <c r="M98" s="64">
        <v>74.400000000000006</v>
      </c>
      <c r="N98" s="64">
        <v>19.7</v>
      </c>
      <c r="O98" s="64">
        <v>0</v>
      </c>
      <c r="P98" s="64">
        <v>1.41</v>
      </c>
      <c r="Q98" s="64">
        <v>3.65</v>
      </c>
      <c r="R98" s="198"/>
      <c r="S98" s="198"/>
      <c r="T98" s="198"/>
      <c r="U98" s="198"/>
    </row>
    <row r="99" spans="1:33" s="12" customFormat="1" x14ac:dyDescent="0.25">
      <c r="A99" s="214" t="s">
        <v>2064</v>
      </c>
      <c r="B99" s="64">
        <v>28.43</v>
      </c>
      <c r="C99" s="64">
        <v>47.22</v>
      </c>
      <c r="D99" s="64">
        <v>50.15</v>
      </c>
      <c r="E99" s="64">
        <v>1.61</v>
      </c>
      <c r="F99" s="64">
        <v>3.96</v>
      </c>
      <c r="G99" s="64">
        <v>158.04</v>
      </c>
      <c r="H99" s="64">
        <v>59.83</v>
      </c>
      <c r="I99" s="64">
        <v>1.43</v>
      </c>
      <c r="J99" s="64">
        <v>0.2</v>
      </c>
      <c r="K99" s="64">
        <v>342.96</v>
      </c>
      <c r="L99" s="64">
        <v>22.87</v>
      </c>
      <c r="M99" s="64">
        <v>83.41</v>
      </c>
      <c r="N99" s="64">
        <v>20</v>
      </c>
      <c r="O99" s="64">
        <v>0</v>
      </c>
      <c r="P99" s="64">
        <v>1.81</v>
      </c>
      <c r="Q99" s="64">
        <v>1.28</v>
      </c>
      <c r="R99" s="198"/>
      <c r="S99" s="198"/>
      <c r="T99" s="198"/>
      <c r="U99" s="198"/>
    </row>
    <row r="100" spans="1:33" s="12" customFormat="1" x14ac:dyDescent="0.25">
      <c r="A100" s="214" t="s">
        <v>2065</v>
      </c>
      <c r="B100" s="64">
        <v>20.04</v>
      </c>
      <c r="C100" s="64">
        <v>36.51</v>
      </c>
      <c r="D100" s="64">
        <v>37.51</v>
      </c>
      <c r="E100" s="64">
        <v>1.5</v>
      </c>
      <c r="F100" s="64">
        <v>2.35</v>
      </c>
      <c r="G100" s="64">
        <v>152.41999999999999</v>
      </c>
      <c r="H100" s="64">
        <v>62.39</v>
      </c>
      <c r="I100" s="64">
        <v>1.51</v>
      </c>
      <c r="J100" s="64">
        <v>7.0000000000000007E-2</v>
      </c>
      <c r="K100" s="64">
        <v>333.29</v>
      </c>
      <c r="L100" s="64">
        <v>22.45</v>
      </c>
      <c r="M100" s="64">
        <v>82.49</v>
      </c>
      <c r="N100" s="64">
        <v>19.600000000000001</v>
      </c>
      <c r="O100" s="64">
        <v>0</v>
      </c>
      <c r="P100" s="64">
        <v>1.58</v>
      </c>
      <c r="Q100" s="64">
        <v>2.12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2066</v>
      </c>
      <c r="B101" s="64">
        <v>17.489999999999998</v>
      </c>
      <c r="C101" s="64">
        <v>40.58</v>
      </c>
      <c r="D101" s="64">
        <v>37.71</v>
      </c>
      <c r="E101" s="64">
        <v>1.06</v>
      </c>
      <c r="F101" s="64">
        <v>1.32</v>
      </c>
      <c r="G101" s="64">
        <v>152.41999999999999</v>
      </c>
      <c r="H101" s="64">
        <v>62.39</v>
      </c>
      <c r="I101" s="64">
        <v>1.47</v>
      </c>
      <c r="J101" s="64">
        <v>0.05</v>
      </c>
      <c r="K101" s="64">
        <v>258.88</v>
      </c>
      <c r="L101" s="64">
        <v>22.34</v>
      </c>
      <c r="M101" s="64">
        <v>82.78</v>
      </c>
      <c r="N101" s="64">
        <v>19.7</v>
      </c>
      <c r="O101" s="64">
        <v>0</v>
      </c>
      <c r="P101" s="64">
        <v>1.55</v>
      </c>
      <c r="Q101" s="64">
        <v>4.08</v>
      </c>
      <c r="R101" s="198"/>
      <c r="S101" s="198"/>
      <c r="T101" s="198"/>
      <c r="U101" s="198"/>
    </row>
    <row r="102" spans="1:33" s="12" customFormat="1" x14ac:dyDescent="0.25">
      <c r="A102" s="214" t="s">
        <v>2067</v>
      </c>
      <c r="B102" s="64">
        <v>32.909999999999997</v>
      </c>
      <c r="C102" s="64">
        <v>69.099999999999994</v>
      </c>
      <c r="D102" s="64">
        <v>65.819999999999993</v>
      </c>
      <c r="E102" s="64">
        <v>1.21</v>
      </c>
      <c r="F102" s="64">
        <v>3.05</v>
      </c>
      <c r="G102" s="64">
        <v>152.41999999999999</v>
      </c>
      <c r="H102" s="64">
        <v>62.39</v>
      </c>
      <c r="I102" s="64">
        <v>1.51</v>
      </c>
      <c r="J102" s="64">
        <v>0.04</v>
      </c>
      <c r="K102" s="64">
        <v>289.61</v>
      </c>
      <c r="L102" s="64">
        <v>22.28</v>
      </c>
      <c r="M102" s="64">
        <v>82.19</v>
      </c>
      <c r="N102" s="64">
        <v>19.5</v>
      </c>
      <c r="O102" s="64">
        <v>0</v>
      </c>
      <c r="P102" s="64">
        <v>1.62</v>
      </c>
      <c r="Q102" s="64">
        <v>2.42</v>
      </c>
      <c r="R102" s="198"/>
      <c r="S102" s="198"/>
      <c r="T102" s="198"/>
      <c r="U102" s="198"/>
    </row>
    <row r="103" spans="1:33" s="12" customFormat="1" x14ac:dyDescent="0.25">
      <c r="A103" s="214" t="s">
        <v>2068</v>
      </c>
      <c r="B103" s="64">
        <v>24.89</v>
      </c>
      <c r="C103" s="64">
        <v>61.25</v>
      </c>
      <c r="D103" s="64">
        <v>55.06</v>
      </c>
      <c r="E103" s="64">
        <v>1.26</v>
      </c>
      <c r="F103" s="64">
        <v>1.45</v>
      </c>
      <c r="G103" s="64">
        <v>152.26</v>
      </c>
      <c r="H103" s="64">
        <v>62.63</v>
      </c>
      <c r="I103" s="64">
        <v>1.47</v>
      </c>
      <c r="J103" s="64">
        <v>0.04</v>
      </c>
      <c r="K103" s="64">
        <v>271.24</v>
      </c>
      <c r="L103" s="64">
        <v>22.2</v>
      </c>
      <c r="M103" s="64">
        <v>83.71</v>
      </c>
      <c r="N103" s="64">
        <v>19.600000000000001</v>
      </c>
      <c r="O103" s="64">
        <v>0</v>
      </c>
      <c r="P103" s="64">
        <v>1.64</v>
      </c>
      <c r="Q103" s="64">
        <v>0.77</v>
      </c>
      <c r="R103" s="198"/>
      <c r="S103" s="198"/>
      <c r="T103" s="198"/>
      <c r="U103" s="198"/>
    </row>
    <row r="104" spans="1:33" s="12" customFormat="1" x14ac:dyDescent="0.25">
      <c r="A104" s="214" t="s">
        <v>2069</v>
      </c>
      <c r="B104" s="64">
        <v>15.15</v>
      </c>
      <c r="C104" s="64">
        <v>26.52</v>
      </c>
      <c r="D104" s="64">
        <v>28.07</v>
      </c>
      <c r="E104" s="64">
        <v>0.57999999999999996</v>
      </c>
      <c r="F104" s="64">
        <v>1.21</v>
      </c>
      <c r="G104" s="64">
        <v>150.29</v>
      </c>
      <c r="H104" s="64">
        <v>64.989999999999995</v>
      </c>
      <c r="I104" s="64">
        <v>1.48</v>
      </c>
      <c r="J104" s="64">
        <v>0.11</v>
      </c>
      <c r="K104" s="64">
        <v>10.36</v>
      </c>
      <c r="L104" s="64">
        <v>21.91</v>
      </c>
      <c r="M104" s="64">
        <v>89.45</v>
      </c>
      <c r="N104" s="64">
        <v>19.7</v>
      </c>
      <c r="O104" s="64">
        <v>0</v>
      </c>
      <c r="P104" s="64">
        <v>1.47</v>
      </c>
      <c r="Q104" s="64">
        <v>4.09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3.26</v>
      </c>
      <c r="C106" s="67">
        <f>MIN(C9:C104)</f>
        <v>13.98</v>
      </c>
      <c r="D106" s="67">
        <f t="shared" ref="D106:Q106" si="0">MIN(D9:D104)</f>
        <v>12.96</v>
      </c>
      <c r="E106" s="67">
        <f t="shared" si="0"/>
        <v>0.25</v>
      </c>
      <c r="F106" s="67">
        <f t="shared" si="0"/>
        <v>0.14000000000000001</v>
      </c>
      <c r="G106" s="67">
        <f t="shared" si="0"/>
        <v>90.83</v>
      </c>
      <c r="H106" s="67">
        <f t="shared" si="0"/>
        <v>40.409999999999997</v>
      </c>
      <c r="I106" s="67">
        <f t="shared" si="0"/>
        <v>1.4</v>
      </c>
      <c r="J106" s="67">
        <f t="shared" si="0"/>
        <v>0.03</v>
      </c>
      <c r="K106" s="67">
        <f t="shared" si="0"/>
        <v>1.03</v>
      </c>
      <c r="L106" s="67">
        <f t="shared" si="0"/>
        <v>20.99</v>
      </c>
      <c r="M106" s="67">
        <f t="shared" si="0"/>
        <v>44.41</v>
      </c>
      <c r="N106" s="67">
        <f t="shared" si="0"/>
        <v>19.2</v>
      </c>
      <c r="O106" s="67">
        <f t="shared" si="0"/>
        <v>0</v>
      </c>
      <c r="P106" s="67">
        <f t="shared" si="0"/>
        <v>0.62</v>
      </c>
      <c r="Q106" s="67">
        <f t="shared" si="0"/>
        <v>0.57999999999999996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46.07</v>
      </c>
      <c r="C107" s="66">
        <f t="shared" ref="C107:Q107" si="1">MAX(C9:C104)</f>
        <v>83.11</v>
      </c>
      <c r="D107" s="66">
        <f t="shared" si="1"/>
        <v>84.11</v>
      </c>
      <c r="E107" s="66">
        <f t="shared" si="1"/>
        <v>7.24</v>
      </c>
      <c r="F107" s="66">
        <f t="shared" si="1"/>
        <v>30.3</v>
      </c>
      <c r="G107" s="66">
        <f t="shared" si="1"/>
        <v>160.22999999999999</v>
      </c>
      <c r="H107" s="66">
        <f t="shared" si="1"/>
        <v>64.989999999999995</v>
      </c>
      <c r="I107" s="66">
        <f t="shared" si="1"/>
        <v>1.58</v>
      </c>
      <c r="J107" s="66">
        <f t="shared" si="1"/>
        <v>1.47</v>
      </c>
      <c r="K107" s="66">
        <f t="shared" si="1"/>
        <v>357.35</v>
      </c>
      <c r="L107" s="66">
        <f t="shared" si="1"/>
        <v>31.5</v>
      </c>
      <c r="M107" s="66">
        <f t="shared" si="1"/>
        <v>97.44</v>
      </c>
      <c r="N107" s="66">
        <f t="shared" si="1"/>
        <v>803.3</v>
      </c>
      <c r="O107" s="66">
        <f t="shared" si="1"/>
        <v>0</v>
      </c>
      <c r="P107" s="66">
        <f t="shared" si="1"/>
        <v>2.04</v>
      </c>
      <c r="Q107" s="66">
        <f t="shared" si="1"/>
        <v>7.17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11.788333333333336</v>
      </c>
      <c r="C108" s="67">
        <f t="shared" ref="C108:Q108" si="2">AVERAGE(C9:C104)</f>
        <v>32.888229166666669</v>
      </c>
      <c r="D108" s="67">
        <f t="shared" si="2"/>
        <v>28.89625000000002</v>
      </c>
      <c r="E108" s="67">
        <f t="shared" si="2"/>
        <v>1.8696875000000004</v>
      </c>
      <c r="F108" s="67">
        <f t="shared" si="2"/>
        <v>9.4361458333333346</v>
      </c>
      <c r="G108" s="67">
        <f t="shared" si="2"/>
        <v>124.37593750000003</v>
      </c>
      <c r="H108" s="67">
        <f t="shared" si="2"/>
        <v>50.933854166666663</v>
      </c>
      <c r="I108" s="67">
        <f t="shared" si="2"/>
        <v>1.4944791666666661</v>
      </c>
      <c r="J108" s="67">
        <f t="shared" si="2"/>
        <v>0.33604166666666663</v>
      </c>
      <c r="K108" s="67">
        <f t="shared" si="2"/>
        <v>159.73156250000005</v>
      </c>
      <c r="L108" s="67">
        <f t="shared" si="2"/>
        <v>25.110937499999991</v>
      </c>
      <c r="M108" s="67">
        <f t="shared" si="2"/>
        <v>69.279999999999959</v>
      </c>
      <c r="N108" s="67">
        <f t="shared" si="2"/>
        <v>199.95624999999995</v>
      </c>
      <c r="O108" s="67">
        <f t="shared" si="2"/>
        <v>0</v>
      </c>
      <c r="P108" s="67">
        <f t="shared" si="2"/>
        <v>0.9932291666666665</v>
      </c>
      <c r="Q108" s="67">
        <f t="shared" si="2"/>
        <v>4.6464893617021259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6.7294984041850894</v>
      </c>
      <c r="C109" s="67">
        <f t="shared" ref="C109:Q109" si="3">STDEV(C9:C104)</f>
        <v>16.196176156559247</v>
      </c>
      <c r="D109" s="67">
        <f t="shared" si="3"/>
        <v>11.553017400343105</v>
      </c>
      <c r="E109" s="67">
        <f t="shared" si="3"/>
        <v>1.802070419282396</v>
      </c>
      <c r="F109" s="67">
        <f t="shared" si="3"/>
        <v>7.7067615384211603</v>
      </c>
      <c r="G109" s="67">
        <f t="shared" si="3"/>
        <v>22.602877021258728</v>
      </c>
      <c r="H109" s="67">
        <f t="shared" si="3"/>
        <v>6.1965041706113881</v>
      </c>
      <c r="I109" s="67">
        <f t="shared" si="3"/>
        <v>4.1545657615046479E-2</v>
      </c>
      <c r="J109" s="67">
        <f t="shared" si="3"/>
        <v>0.286828315297044</v>
      </c>
      <c r="K109" s="67">
        <f t="shared" si="3"/>
        <v>127.59339504707182</v>
      </c>
      <c r="L109" s="67">
        <f t="shared" si="3"/>
        <v>3.1674599081499388</v>
      </c>
      <c r="M109" s="67">
        <f t="shared" si="3"/>
        <v>17.729525240771771</v>
      </c>
      <c r="N109" s="67">
        <f t="shared" si="3"/>
        <v>245.13455201604125</v>
      </c>
      <c r="O109" s="67">
        <f t="shared" si="3"/>
        <v>0</v>
      </c>
      <c r="P109" s="67">
        <f t="shared" si="3"/>
        <v>0.30752832917572681</v>
      </c>
      <c r="Q109" s="67">
        <f t="shared" si="3"/>
        <v>1.5299572750003494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COUNT(Q9:Q104)+2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2070</v>
      </c>
      <c r="B9" s="64">
        <v>14.65</v>
      </c>
      <c r="C9" s="64">
        <v>35.81</v>
      </c>
      <c r="D9" s="64">
        <v>32.81</v>
      </c>
      <c r="E9" s="64">
        <v>0.81</v>
      </c>
      <c r="F9" s="64">
        <v>3.97</v>
      </c>
      <c r="G9" s="64">
        <v>150.29</v>
      </c>
      <c r="H9" s="64">
        <v>64.989999999999995</v>
      </c>
      <c r="I9" s="64">
        <v>1.56</v>
      </c>
      <c r="J9" s="64">
        <v>0.17</v>
      </c>
      <c r="K9" s="64">
        <v>331.74</v>
      </c>
      <c r="L9" s="64">
        <v>21.8</v>
      </c>
      <c r="M9" s="64">
        <v>87.87</v>
      </c>
      <c r="N9" s="64">
        <v>19.399999999999999</v>
      </c>
      <c r="O9" s="64">
        <v>0</v>
      </c>
      <c r="P9" s="64">
        <v>1.47</v>
      </c>
      <c r="Q9" s="64">
        <v>4.93</v>
      </c>
      <c r="R9" s="198"/>
      <c r="S9" s="198"/>
      <c r="T9" s="198"/>
      <c r="U9" s="198"/>
    </row>
    <row r="10" spans="1:21" s="12" customFormat="1" x14ac:dyDescent="0.25">
      <c r="A10" s="214" t="s">
        <v>2071</v>
      </c>
      <c r="B10" s="64">
        <v>12.06</v>
      </c>
      <c r="C10" s="64">
        <v>29.94</v>
      </c>
      <c r="D10" s="64">
        <v>27.49</v>
      </c>
      <c r="E10" s="64">
        <v>0.87</v>
      </c>
      <c r="F10" s="64">
        <v>9.08</v>
      </c>
      <c r="G10" s="64">
        <v>150.29</v>
      </c>
      <c r="H10" s="64">
        <v>64.989999999999995</v>
      </c>
      <c r="I10" s="64">
        <v>1.51</v>
      </c>
      <c r="J10" s="64">
        <v>0.37</v>
      </c>
      <c r="K10" s="64">
        <v>347.74</v>
      </c>
      <c r="L10" s="64">
        <v>22.05</v>
      </c>
      <c r="M10" s="64">
        <v>84.37</v>
      </c>
      <c r="N10" s="64">
        <v>19</v>
      </c>
      <c r="O10" s="64">
        <v>0</v>
      </c>
      <c r="P10" s="64">
        <v>1.37</v>
      </c>
      <c r="Q10" s="64">
        <v>5.24</v>
      </c>
      <c r="R10" s="198"/>
      <c r="S10" s="198"/>
      <c r="T10" s="198"/>
      <c r="U10" s="198"/>
    </row>
    <row r="11" spans="1:21" s="12" customFormat="1" x14ac:dyDescent="0.25">
      <c r="A11" s="214" t="s">
        <v>2072</v>
      </c>
      <c r="B11" s="64">
        <v>10.25</v>
      </c>
      <c r="C11" s="64">
        <v>38.380000000000003</v>
      </c>
      <c r="D11" s="64">
        <v>30.69</v>
      </c>
      <c r="E11" s="64">
        <v>1.03</v>
      </c>
      <c r="F11" s="64">
        <v>13.86</v>
      </c>
      <c r="G11" s="64">
        <v>149.91999999999999</v>
      </c>
      <c r="H11" s="64">
        <v>64.75</v>
      </c>
      <c r="I11" s="64">
        <v>1.52</v>
      </c>
      <c r="J11" s="64">
        <v>0.11</v>
      </c>
      <c r="K11" s="64">
        <v>59.52</v>
      </c>
      <c r="L11" s="64">
        <v>22.51</v>
      </c>
      <c r="M11" s="64">
        <v>80.22</v>
      </c>
      <c r="N11" s="64">
        <v>19.5</v>
      </c>
      <c r="O11" s="64">
        <v>0</v>
      </c>
      <c r="P11" s="64">
        <v>1.1499999999999999</v>
      </c>
      <c r="Q11" s="64">
        <v>5.18</v>
      </c>
      <c r="R11" s="198"/>
      <c r="S11" s="198"/>
      <c r="T11" s="198"/>
      <c r="U11" s="198"/>
    </row>
    <row r="12" spans="1:21" s="12" customFormat="1" x14ac:dyDescent="0.25">
      <c r="A12" s="214" t="s">
        <v>2073</v>
      </c>
      <c r="B12" s="64">
        <v>7.96</v>
      </c>
      <c r="C12" s="64">
        <v>34.46</v>
      </c>
      <c r="D12" s="64">
        <v>26.69</v>
      </c>
      <c r="E12" s="64">
        <v>0.94</v>
      </c>
      <c r="F12" s="64">
        <v>12.44</v>
      </c>
      <c r="G12" s="64">
        <v>145.58000000000001</v>
      </c>
      <c r="H12" s="64">
        <v>62.44</v>
      </c>
      <c r="I12" s="64">
        <v>1.59</v>
      </c>
      <c r="J12" s="64">
        <v>0.06</v>
      </c>
      <c r="K12" s="64">
        <v>97.52</v>
      </c>
      <c r="L12" s="64">
        <v>22.74</v>
      </c>
      <c r="M12" s="64">
        <v>78.88</v>
      </c>
      <c r="N12" s="64">
        <v>19.600000000000001</v>
      </c>
      <c r="O12" s="64">
        <v>0</v>
      </c>
      <c r="P12" s="64">
        <v>1.22</v>
      </c>
      <c r="Q12" s="64">
        <v>5.33</v>
      </c>
      <c r="R12" s="198"/>
      <c r="S12" s="198"/>
      <c r="T12" s="198"/>
      <c r="U12" s="198"/>
    </row>
    <row r="13" spans="1:21" s="12" customFormat="1" x14ac:dyDescent="0.25">
      <c r="A13" s="214" t="s">
        <v>2074</v>
      </c>
      <c r="B13" s="64">
        <v>8.02</v>
      </c>
      <c r="C13" s="64">
        <v>31.43</v>
      </c>
      <c r="D13" s="64">
        <v>25.07</v>
      </c>
      <c r="E13" s="64">
        <v>1.1599999999999999</v>
      </c>
      <c r="F13" s="64">
        <v>8.24</v>
      </c>
      <c r="G13" s="64">
        <v>145.58000000000001</v>
      </c>
      <c r="H13" s="64">
        <v>62.44</v>
      </c>
      <c r="I13" s="64">
        <v>1.53</v>
      </c>
      <c r="J13" s="64">
        <v>0.24</v>
      </c>
      <c r="K13" s="64">
        <v>96.57</v>
      </c>
      <c r="L13" s="64">
        <v>22.89</v>
      </c>
      <c r="M13" s="64">
        <v>77.91</v>
      </c>
      <c r="N13" s="64">
        <v>19.7</v>
      </c>
      <c r="O13" s="64">
        <v>0</v>
      </c>
      <c r="P13" s="64">
        <v>1.2</v>
      </c>
      <c r="Q13" s="64">
        <v>5.31</v>
      </c>
      <c r="R13" s="198"/>
      <c r="S13" s="198"/>
      <c r="T13" s="198"/>
      <c r="U13" s="198"/>
    </row>
    <row r="14" spans="1:21" s="12" customFormat="1" x14ac:dyDescent="0.25">
      <c r="A14" s="214" t="s">
        <v>2075</v>
      </c>
      <c r="B14" s="64">
        <v>9.82</v>
      </c>
      <c r="C14" s="64">
        <v>24.05</v>
      </c>
      <c r="D14" s="64">
        <v>22.44</v>
      </c>
      <c r="E14" s="64">
        <v>1.07</v>
      </c>
      <c r="F14" s="64">
        <v>9.1199999999999992</v>
      </c>
      <c r="G14" s="64">
        <v>145.58000000000001</v>
      </c>
      <c r="H14" s="64">
        <v>62.44</v>
      </c>
      <c r="I14" s="64">
        <v>1.58</v>
      </c>
      <c r="J14" s="64">
        <v>0.18</v>
      </c>
      <c r="K14" s="64">
        <v>95.11</v>
      </c>
      <c r="L14" s="64">
        <v>22.73</v>
      </c>
      <c r="M14" s="64">
        <v>77.48</v>
      </c>
      <c r="N14" s="64">
        <v>19.7</v>
      </c>
      <c r="O14" s="64">
        <v>0</v>
      </c>
      <c r="P14" s="64">
        <v>1.1399999999999999</v>
      </c>
      <c r="Q14" s="64">
        <v>5.45</v>
      </c>
      <c r="R14" s="198"/>
      <c r="S14" s="198"/>
      <c r="T14" s="198"/>
      <c r="U14" s="198"/>
    </row>
    <row r="15" spans="1:21" s="12" customFormat="1" x14ac:dyDescent="0.25">
      <c r="A15" s="214" t="s">
        <v>2076</v>
      </c>
      <c r="B15" s="64">
        <v>7.63</v>
      </c>
      <c r="C15" s="64">
        <v>26.23</v>
      </c>
      <c r="D15" s="64">
        <v>21.89</v>
      </c>
      <c r="E15" s="64">
        <v>1.57</v>
      </c>
      <c r="F15" s="64">
        <v>13.15</v>
      </c>
      <c r="G15" s="64">
        <v>145.02000000000001</v>
      </c>
      <c r="H15" s="64">
        <v>62.51</v>
      </c>
      <c r="I15" s="64">
        <v>1.45</v>
      </c>
      <c r="J15" s="64">
        <v>0.01</v>
      </c>
      <c r="K15" s="64">
        <v>60.11</v>
      </c>
      <c r="L15" s="64">
        <v>22.41</v>
      </c>
      <c r="M15" s="64">
        <v>79.010000000000005</v>
      </c>
      <c r="N15" s="64">
        <v>19.7</v>
      </c>
      <c r="O15" s="64">
        <v>0</v>
      </c>
      <c r="P15" s="64">
        <v>1.05</v>
      </c>
      <c r="Q15" s="64">
        <v>5.4</v>
      </c>
      <c r="R15" s="198"/>
      <c r="S15" s="198"/>
      <c r="T15" s="198"/>
      <c r="U15" s="198"/>
    </row>
    <row r="16" spans="1:21" s="12" customFormat="1" x14ac:dyDescent="0.25">
      <c r="A16" s="214" t="s">
        <v>2077</v>
      </c>
      <c r="B16" s="64">
        <v>8.11</v>
      </c>
      <c r="C16" s="64">
        <v>23.21</v>
      </c>
      <c r="D16" s="64">
        <v>20.61</v>
      </c>
      <c r="E16" s="64">
        <v>1.64</v>
      </c>
      <c r="F16" s="64">
        <v>5.26</v>
      </c>
      <c r="G16" s="64">
        <v>138.37</v>
      </c>
      <c r="H16" s="64">
        <v>63.25</v>
      </c>
      <c r="I16" s="64">
        <v>1.45</v>
      </c>
      <c r="J16" s="64">
        <v>0.26</v>
      </c>
      <c r="K16" s="64">
        <v>345.55</v>
      </c>
      <c r="L16" s="64">
        <v>22.16</v>
      </c>
      <c r="M16" s="64">
        <v>81.38</v>
      </c>
      <c r="N16" s="64">
        <v>19.600000000000001</v>
      </c>
      <c r="O16" s="64">
        <v>0</v>
      </c>
      <c r="P16" s="64">
        <v>1.21</v>
      </c>
      <c r="Q16" s="64">
        <v>5.42</v>
      </c>
      <c r="R16" s="198"/>
      <c r="S16" s="198"/>
      <c r="T16" s="198"/>
      <c r="U16" s="198"/>
    </row>
    <row r="17" spans="1:21" s="12" customFormat="1" x14ac:dyDescent="0.25">
      <c r="A17" s="214" t="s">
        <v>2078</v>
      </c>
      <c r="B17" s="64">
        <v>10.41</v>
      </c>
      <c r="C17" s="64">
        <v>16.18</v>
      </c>
      <c r="D17" s="64">
        <v>18.57</v>
      </c>
      <c r="E17" s="64">
        <v>0.96</v>
      </c>
      <c r="F17" s="64">
        <v>1.53</v>
      </c>
      <c r="G17" s="64">
        <v>138.37</v>
      </c>
      <c r="H17" s="64">
        <v>63.25</v>
      </c>
      <c r="I17" s="64">
        <v>1.42</v>
      </c>
      <c r="J17" s="64">
        <v>0.78</v>
      </c>
      <c r="K17" s="64">
        <v>342.55</v>
      </c>
      <c r="L17" s="64">
        <v>21.99</v>
      </c>
      <c r="M17" s="64">
        <v>82.21</v>
      </c>
      <c r="N17" s="64">
        <v>19.399999999999999</v>
      </c>
      <c r="O17" s="64">
        <v>0</v>
      </c>
      <c r="P17" s="64">
        <v>1.29</v>
      </c>
      <c r="Q17" s="64">
        <v>5.57</v>
      </c>
      <c r="R17" s="198"/>
      <c r="S17" s="198"/>
      <c r="T17" s="198"/>
      <c r="U17" s="198"/>
    </row>
    <row r="18" spans="1:21" s="12" customFormat="1" x14ac:dyDescent="0.25">
      <c r="A18" s="214" t="s">
        <v>2079</v>
      </c>
      <c r="B18" s="64">
        <v>9.6300000000000008</v>
      </c>
      <c r="C18" s="64">
        <v>16.3</v>
      </c>
      <c r="D18" s="64">
        <v>18.010000000000002</v>
      </c>
      <c r="E18" s="64">
        <v>1.06</v>
      </c>
      <c r="F18" s="64">
        <v>3.86</v>
      </c>
      <c r="G18" s="64">
        <v>138.37</v>
      </c>
      <c r="H18" s="64">
        <v>63.25</v>
      </c>
      <c r="I18" s="64">
        <v>1.53</v>
      </c>
      <c r="J18" s="64">
        <v>0.48</v>
      </c>
      <c r="K18" s="64">
        <v>333.45</v>
      </c>
      <c r="L18" s="64">
        <v>21.9</v>
      </c>
      <c r="M18" s="64">
        <v>80.209999999999994</v>
      </c>
      <c r="N18" s="64">
        <v>19.600000000000001</v>
      </c>
      <c r="O18" s="64">
        <v>0</v>
      </c>
      <c r="P18" s="64">
        <v>1.1499999999999999</v>
      </c>
      <c r="Q18" s="64">
        <v>5.46</v>
      </c>
      <c r="R18" s="198"/>
      <c r="S18" s="198"/>
      <c r="T18" s="198"/>
      <c r="U18" s="198"/>
    </row>
    <row r="19" spans="1:21" s="12" customFormat="1" x14ac:dyDescent="0.25">
      <c r="A19" s="214" t="s">
        <v>2080</v>
      </c>
      <c r="B19" s="64">
        <v>9.08</v>
      </c>
      <c r="C19" s="64">
        <v>14.6</v>
      </c>
      <c r="D19" s="64">
        <v>16.64</v>
      </c>
      <c r="E19" s="64">
        <v>1.25</v>
      </c>
      <c r="F19" s="64">
        <v>1.95</v>
      </c>
      <c r="G19" s="64">
        <v>138.24</v>
      </c>
      <c r="H19" s="64">
        <v>63.48</v>
      </c>
      <c r="I19" s="64">
        <v>1.5</v>
      </c>
      <c r="J19" s="64">
        <v>0.2</v>
      </c>
      <c r="K19" s="64">
        <v>354.67</v>
      </c>
      <c r="L19" s="64">
        <v>21.6</v>
      </c>
      <c r="M19" s="64">
        <v>83.73</v>
      </c>
      <c r="N19" s="64">
        <v>19.8</v>
      </c>
      <c r="O19" s="64">
        <v>0</v>
      </c>
      <c r="P19" s="64">
        <v>1.21</v>
      </c>
      <c r="Q19" s="64">
        <v>5.43</v>
      </c>
      <c r="R19" s="198"/>
      <c r="S19" s="198"/>
      <c r="T19" s="198"/>
      <c r="U19" s="198"/>
    </row>
    <row r="20" spans="1:21" s="12" customFormat="1" x14ac:dyDescent="0.25">
      <c r="A20" s="214" t="s">
        <v>2081</v>
      </c>
      <c r="B20" s="64">
        <v>8.85</v>
      </c>
      <c r="C20" s="64">
        <v>14.4</v>
      </c>
      <c r="D20" s="64">
        <v>16.34</v>
      </c>
      <c r="E20" s="64">
        <v>0.82</v>
      </c>
      <c r="F20" s="64">
        <v>0.83</v>
      </c>
      <c r="G20" s="64">
        <v>136.72999999999999</v>
      </c>
      <c r="H20" s="64">
        <v>65.73</v>
      </c>
      <c r="I20" s="64">
        <v>1.48</v>
      </c>
      <c r="J20" s="64">
        <v>0.1</v>
      </c>
      <c r="K20" s="64">
        <v>348.35</v>
      </c>
      <c r="L20" s="64">
        <v>21.18</v>
      </c>
      <c r="M20" s="64">
        <v>87.62</v>
      </c>
      <c r="N20" s="64">
        <v>19.8</v>
      </c>
      <c r="O20" s="64">
        <v>0</v>
      </c>
      <c r="P20" s="64">
        <v>1.22</v>
      </c>
      <c r="Q20" s="64">
        <v>5.41</v>
      </c>
      <c r="R20" s="198"/>
      <c r="S20" s="198"/>
      <c r="T20" s="198"/>
      <c r="U20" s="198"/>
    </row>
    <row r="21" spans="1:21" s="12" customFormat="1" x14ac:dyDescent="0.25">
      <c r="A21" s="214" t="s">
        <v>2082</v>
      </c>
      <c r="B21" s="64">
        <v>7.35</v>
      </c>
      <c r="C21" s="64">
        <v>18.64</v>
      </c>
      <c r="D21" s="64">
        <v>17.47</v>
      </c>
      <c r="E21" s="64">
        <v>0.81</v>
      </c>
      <c r="F21" s="64">
        <v>5.29</v>
      </c>
      <c r="G21" s="64">
        <v>136.72999999999999</v>
      </c>
      <c r="H21" s="64">
        <v>65.73</v>
      </c>
      <c r="I21" s="64">
        <v>1.51</v>
      </c>
      <c r="J21" s="64">
        <v>0.14000000000000001</v>
      </c>
      <c r="K21" s="64">
        <v>40</v>
      </c>
      <c r="L21" s="64">
        <v>21.09</v>
      </c>
      <c r="M21" s="64">
        <v>87.8</v>
      </c>
      <c r="N21" s="64">
        <v>19.399999999999999</v>
      </c>
      <c r="O21" s="64">
        <v>0</v>
      </c>
      <c r="P21" s="64">
        <v>1.1200000000000001</v>
      </c>
      <c r="Q21" s="64">
        <v>5.22</v>
      </c>
      <c r="R21" s="198"/>
      <c r="S21" s="198"/>
      <c r="T21" s="198"/>
      <c r="U21" s="198"/>
    </row>
    <row r="22" spans="1:21" s="12" customFormat="1" x14ac:dyDescent="0.25">
      <c r="A22" s="214" t="s">
        <v>2083</v>
      </c>
      <c r="B22" s="64">
        <v>7.52</v>
      </c>
      <c r="C22" s="64">
        <v>16.39</v>
      </c>
      <c r="D22" s="64">
        <v>16.37</v>
      </c>
      <c r="E22" s="64">
        <v>1.03</v>
      </c>
      <c r="F22" s="64">
        <v>3.38</v>
      </c>
      <c r="G22" s="64">
        <v>136.72999999999999</v>
      </c>
      <c r="H22" s="64">
        <v>65.73</v>
      </c>
      <c r="I22" s="64">
        <v>1.45</v>
      </c>
      <c r="J22" s="64">
        <v>0.65</v>
      </c>
      <c r="K22" s="64">
        <v>346.28</v>
      </c>
      <c r="L22" s="64">
        <v>21.09</v>
      </c>
      <c r="M22" s="64">
        <v>88.34</v>
      </c>
      <c r="N22" s="64">
        <v>19.2</v>
      </c>
      <c r="O22" s="64">
        <v>0</v>
      </c>
      <c r="P22" s="64">
        <v>1.1499999999999999</v>
      </c>
      <c r="Q22" s="64">
        <v>5.26</v>
      </c>
      <c r="R22" s="198"/>
      <c r="S22" s="198"/>
      <c r="T22" s="198"/>
      <c r="U22" s="198"/>
    </row>
    <row r="23" spans="1:21" s="12" customFormat="1" x14ac:dyDescent="0.25">
      <c r="A23" s="214" t="s">
        <v>2084</v>
      </c>
      <c r="B23" s="64">
        <v>6.9</v>
      </c>
      <c r="C23" s="64">
        <v>16.7</v>
      </c>
      <c r="D23" s="64">
        <v>16.05</v>
      </c>
      <c r="E23" s="64">
        <v>1.07</v>
      </c>
      <c r="F23" s="64">
        <v>6.55</v>
      </c>
      <c r="G23" s="64">
        <v>136.97999999999999</v>
      </c>
      <c r="H23" s="64">
        <v>65.88</v>
      </c>
      <c r="I23" s="64">
        <v>1.53</v>
      </c>
      <c r="J23" s="64">
        <v>0.1</v>
      </c>
      <c r="K23" s="64">
        <v>347.45</v>
      </c>
      <c r="L23" s="64">
        <v>20.91</v>
      </c>
      <c r="M23" s="64">
        <v>89.92</v>
      </c>
      <c r="N23" s="64">
        <v>19.7</v>
      </c>
      <c r="O23" s="64">
        <v>0</v>
      </c>
      <c r="P23" s="64">
        <v>1.02</v>
      </c>
      <c r="Q23" s="64">
        <v>5.26</v>
      </c>
      <c r="R23" s="198"/>
      <c r="S23" s="198"/>
      <c r="T23" s="198"/>
      <c r="U23" s="198"/>
    </row>
    <row r="24" spans="1:21" s="12" customFormat="1" x14ac:dyDescent="0.25">
      <c r="A24" s="214" t="s">
        <v>2085</v>
      </c>
      <c r="B24" s="64">
        <v>7.25</v>
      </c>
      <c r="C24" s="64">
        <v>18.690000000000001</v>
      </c>
      <c r="D24" s="64">
        <v>17.43</v>
      </c>
      <c r="E24" s="64">
        <v>0.56999999999999995</v>
      </c>
      <c r="F24" s="64">
        <v>5.22</v>
      </c>
      <c r="G24" s="64">
        <v>139.96</v>
      </c>
      <c r="H24" s="64">
        <v>67.569999999999993</v>
      </c>
      <c r="I24" s="64">
        <v>1.52</v>
      </c>
      <c r="J24" s="64">
        <v>0.16</v>
      </c>
      <c r="K24" s="64">
        <v>321.14999999999998</v>
      </c>
      <c r="L24" s="64">
        <v>20.65</v>
      </c>
      <c r="M24" s="64">
        <v>92.14</v>
      </c>
      <c r="N24" s="64">
        <v>19.600000000000001</v>
      </c>
      <c r="O24" s="64">
        <v>0</v>
      </c>
      <c r="P24" s="64">
        <v>1.06</v>
      </c>
      <c r="Q24" s="64">
        <v>5.16</v>
      </c>
      <c r="R24" s="198"/>
      <c r="S24" s="198"/>
      <c r="T24" s="198"/>
      <c r="U24" s="198"/>
    </row>
    <row r="25" spans="1:21" s="12" customFormat="1" x14ac:dyDescent="0.25">
      <c r="A25" s="214" t="s">
        <v>2086</v>
      </c>
      <c r="B25" s="64">
        <v>8.2899999999999991</v>
      </c>
      <c r="C25" s="64">
        <v>19.05</v>
      </c>
      <c r="D25" s="64">
        <v>18.45</v>
      </c>
      <c r="E25" s="64">
        <v>0.91</v>
      </c>
      <c r="F25" s="64">
        <v>3.55</v>
      </c>
      <c r="G25" s="64">
        <v>139.96</v>
      </c>
      <c r="H25" s="64">
        <v>67.569999999999993</v>
      </c>
      <c r="I25" s="64">
        <v>1.6</v>
      </c>
      <c r="J25" s="64">
        <v>0.21</v>
      </c>
      <c r="K25" s="64">
        <v>339.55</v>
      </c>
      <c r="L25" s="64">
        <v>20.71</v>
      </c>
      <c r="M25" s="64">
        <v>91.23</v>
      </c>
      <c r="N25" s="64">
        <v>19.399999999999999</v>
      </c>
      <c r="O25" s="64">
        <v>0</v>
      </c>
      <c r="P25" s="64">
        <v>1.1100000000000001</v>
      </c>
      <c r="Q25" s="64">
        <v>5.0599999999999996</v>
      </c>
      <c r="R25" s="198"/>
      <c r="S25" s="198"/>
      <c r="T25" s="198"/>
      <c r="U25" s="198"/>
    </row>
    <row r="26" spans="1:21" s="12" customFormat="1" x14ac:dyDescent="0.25">
      <c r="A26" s="214" t="s">
        <v>2087</v>
      </c>
      <c r="B26" s="64">
        <v>9.68</v>
      </c>
      <c r="C26" s="64">
        <v>16.05</v>
      </c>
      <c r="D26" s="64">
        <v>17.91</v>
      </c>
      <c r="E26" s="64">
        <v>0.95</v>
      </c>
      <c r="F26" s="64">
        <v>1.36</v>
      </c>
      <c r="G26" s="64">
        <v>139.96</v>
      </c>
      <c r="H26" s="64">
        <v>67.569999999999993</v>
      </c>
      <c r="I26" s="64">
        <v>1.48</v>
      </c>
      <c r="J26" s="64">
        <v>0.28000000000000003</v>
      </c>
      <c r="K26" s="64">
        <v>341.71</v>
      </c>
      <c r="L26" s="64">
        <v>20.63</v>
      </c>
      <c r="M26" s="64">
        <v>90.58</v>
      </c>
      <c r="N26" s="64">
        <v>19.3</v>
      </c>
      <c r="O26" s="64">
        <v>0</v>
      </c>
      <c r="P26" s="64">
        <v>1.1000000000000001</v>
      </c>
      <c r="Q26" s="64">
        <v>5.12</v>
      </c>
      <c r="R26" s="198"/>
      <c r="S26" s="198"/>
      <c r="T26" s="198"/>
      <c r="U26" s="198"/>
    </row>
    <row r="27" spans="1:21" s="12" customFormat="1" x14ac:dyDescent="0.25">
      <c r="A27" s="214" t="s">
        <v>2088</v>
      </c>
      <c r="B27" s="64">
        <v>12.8</v>
      </c>
      <c r="C27" s="64">
        <v>25.3</v>
      </c>
      <c r="D27" s="64">
        <v>25.52</v>
      </c>
      <c r="E27" s="64">
        <v>1.1499999999999999</v>
      </c>
      <c r="F27" s="64">
        <v>4.59</v>
      </c>
      <c r="G27" s="64">
        <v>138.97999999999999</v>
      </c>
      <c r="H27" s="64">
        <v>67.11</v>
      </c>
      <c r="I27" s="64">
        <v>1.44</v>
      </c>
      <c r="J27" s="64">
        <v>7.0000000000000007E-2</v>
      </c>
      <c r="K27" s="64">
        <v>14.02</v>
      </c>
      <c r="L27" s="64">
        <v>20.77</v>
      </c>
      <c r="M27" s="64">
        <v>88.86</v>
      </c>
      <c r="N27" s="64">
        <v>19.399999999999999</v>
      </c>
      <c r="O27" s="64">
        <v>0</v>
      </c>
      <c r="P27" s="64">
        <v>0.89</v>
      </c>
      <c r="Q27" s="64">
        <v>4.63</v>
      </c>
      <c r="R27" s="198"/>
      <c r="S27" s="198"/>
      <c r="T27" s="198"/>
      <c r="U27" s="198"/>
    </row>
    <row r="28" spans="1:21" s="12" customFormat="1" x14ac:dyDescent="0.25">
      <c r="A28" s="214" t="s">
        <v>2089</v>
      </c>
      <c r="B28" s="64">
        <v>9.26</v>
      </c>
      <c r="C28" s="64">
        <v>16.75</v>
      </c>
      <c r="D28" s="64">
        <v>17.96</v>
      </c>
      <c r="E28" s="64">
        <v>0.95</v>
      </c>
      <c r="F28" s="64">
        <v>1.07</v>
      </c>
      <c r="G28" s="64">
        <v>127.45</v>
      </c>
      <c r="H28" s="64">
        <v>62.46</v>
      </c>
      <c r="I28" s="64">
        <v>1.46</v>
      </c>
      <c r="J28" s="64">
        <v>0.1</v>
      </c>
      <c r="K28" s="64">
        <v>95.21</v>
      </c>
      <c r="L28" s="64">
        <v>20.76</v>
      </c>
      <c r="M28" s="64">
        <v>85.99</v>
      </c>
      <c r="N28" s="64">
        <v>19.5</v>
      </c>
      <c r="O28" s="64">
        <v>0</v>
      </c>
      <c r="P28" s="64">
        <v>1.08</v>
      </c>
      <c r="Q28" s="64">
        <v>4.68</v>
      </c>
      <c r="R28" s="198"/>
      <c r="S28" s="198"/>
      <c r="T28" s="198"/>
      <c r="U28" s="198"/>
    </row>
    <row r="29" spans="1:21" s="12" customFormat="1" x14ac:dyDescent="0.25">
      <c r="A29" s="214" t="s">
        <v>2090</v>
      </c>
      <c r="B29" s="64">
        <v>8.56</v>
      </c>
      <c r="C29" s="64">
        <v>14.92</v>
      </c>
      <c r="D29" s="64">
        <v>16.39</v>
      </c>
      <c r="E29" s="64">
        <v>0.65</v>
      </c>
      <c r="F29" s="64">
        <v>0.66</v>
      </c>
      <c r="G29" s="64">
        <v>127.45</v>
      </c>
      <c r="H29" s="64">
        <v>62.46</v>
      </c>
      <c r="I29" s="64">
        <v>1.57</v>
      </c>
      <c r="J29" s="64">
        <v>0.1</v>
      </c>
      <c r="K29" s="64">
        <v>341.68</v>
      </c>
      <c r="L29" s="64">
        <v>20.64</v>
      </c>
      <c r="M29" s="64">
        <v>86.24</v>
      </c>
      <c r="N29" s="64">
        <v>19.600000000000001</v>
      </c>
      <c r="O29" s="64">
        <v>0</v>
      </c>
      <c r="P29" s="64">
        <v>1.04</v>
      </c>
      <c r="Q29" s="64">
        <v>5.14</v>
      </c>
      <c r="R29" s="198"/>
      <c r="S29" s="198"/>
      <c r="T29" s="198"/>
      <c r="U29" s="198"/>
    </row>
    <row r="30" spans="1:21" s="12" customFormat="1" x14ac:dyDescent="0.25">
      <c r="A30" s="214" t="s">
        <v>2091</v>
      </c>
      <c r="B30" s="64">
        <v>10.08</v>
      </c>
      <c r="C30" s="64">
        <v>22.88</v>
      </c>
      <c r="D30" s="64">
        <v>22</v>
      </c>
      <c r="E30" s="64">
        <v>0.9</v>
      </c>
      <c r="F30" s="64">
        <v>5.71</v>
      </c>
      <c r="G30" s="64">
        <v>127.45</v>
      </c>
      <c r="H30" s="64">
        <v>62.46</v>
      </c>
      <c r="I30" s="64">
        <v>1.46</v>
      </c>
      <c r="J30" s="64">
        <v>7.0000000000000007E-2</v>
      </c>
      <c r="K30" s="64">
        <v>62.38</v>
      </c>
      <c r="L30" s="64">
        <v>20.6</v>
      </c>
      <c r="M30" s="64">
        <v>85.31</v>
      </c>
      <c r="N30" s="64">
        <v>19.399999999999999</v>
      </c>
      <c r="O30" s="64">
        <v>0</v>
      </c>
      <c r="P30" s="64">
        <v>0.81</v>
      </c>
      <c r="Q30" s="64">
        <v>4.79</v>
      </c>
      <c r="R30" s="198"/>
      <c r="S30" s="198"/>
      <c r="T30" s="198"/>
      <c r="U30" s="198"/>
    </row>
    <row r="31" spans="1:21" s="12" customFormat="1" x14ac:dyDescent="0.25">
      <c r="A31" s="214" t="s">
        <v>2092</v>
      </c>
      <c r="B31" s="64">
        <v>8.85</v>
      </c>
      <c r="C31" s="64">
        <v>17.37</v>
      </c>
      <c r="D31" s="64">
        <v>17.98</v>
      </c>
      <c r="E31" s="64">
        <v>0.94</v>
      </c>
      <c r="F31" s="64">
        <v>1.45</v>
      </c>
      <c r="G31" s="64">
        <v>126.15</v>
      </c>
      <c r="H31" s="64">
        <v>61.4</v>
      </c>
      <c r="I31" s="64">
        <v>1.48</v>
      </c>
      <c r="J31" s="64">
        <v>0.32</v>
      </c>
      <c r="K31" s="64">
        <v>118.39</v>
      </c>
      <c r="L31" s="64">
        <v>20.74</v>
      </c>
      <c r="M31" s="64">
        <v>84.57</v>
      </c>
      <c r="N31" s="64">
        <v>19.600000000000001</v>
      </c>
      <c r="O31" s="64">
        <v>0</v>
      </c>
      <c r="P31" s="64">
        <v>0.99</v>
      </c>
      <c r="Q31" s="64">
        <v>4.97</v>
      </c>
      <c r="R31" s="198"/>
      <c r="S31" s="198"/>
      <c r="T31" s="198"/>
      <c r="U31" s="198"/>
    </row>
    <row r="32" spans="1:21" s="12" customFormat="1" x14ac:dyDescent="0.25">
      <c r="A32" s="214" t="s">
        <v>2093</v>
      </c>
      <c r="B32" s="64">
        <v>8.8800000000000008</v>
      </c>
      <c r="C32" s="64">
        <v>15.42</v>
      </c>
      <c r="D32" s="64">
        <v>16.93</v>
      </c>
      <c r="E32" s="64">
        <v>0.59</v>
      </c>
      <c r="F32" s="64">
        <v>0.62</v>
      </c>
      <c r="G32" s="64">
        <v>110.7</v>
      </c>
      <c r="H32" s="64">
        <v>50.61</v>
      </c>
      <c r="I32" s="64">
        <v>1.49</v>
      </c>
      <c r="J32" s="64">
        <v>0.19</v>
      </c>
      <c r="K32" s="64">
        <v>99.46</v>
      </c>
      <c r="L32" s="64">
        <v>20.81</v>
      </c>
      <c r="M32" s="64">
        <v>83.46</v>
      </c>
      <c r="N32" s="64">
        <v>23.4</v>
      </c>
      <c r="O32" s="64">
        <v>0</v>
      </c>
      <c r="P32" s="64">
        <v>1</v>
      </c>
      <c r="Q32" s="64">
        <v>5.23</v>
      </c>
      <c r="R32" s="198"/>
      <c r="S32" s="198"/>
      <c r="T32" s="198"/>
      <c r="U32" s="198"/>
    </row>
    <row r="33" spans="1:21" s="12" customFormat="1" x14ac:dyDescent="0.25">
      <c r="A33" s="214" t="s">
        <v>2094</v>
      </c>
      <c r="B33" s="64">
        <v>11.11</v>
      </c>
      <c r="C33" s="64">
        <v>22.7</v>
      </c>
      <c r="D33" s="64">
        <v>22.72</v>
      </c>
      <c r="E33" s="64">
        <v>0.65</v>
      </c>
      <c r="F33" s="64">
        <v>2.02</v>
      </c>
      <c r="G33" s="64">
        <v>110.7</v>
      </c>
      <c r="H33" s="64">
        <v>50.61</v>
      </c>
      <c r="I33" s="64">
        <v>1.55</v>
      </c>
      <c r="J33" s="64">
        <v>0.01</v>
      </c>
      <c r="K33" s="64">
        <v>355.4</v>
      </c>
      <c r="L33" s="64">
        <v>20.59</v>
      </c>
      <c r="M33" s="64">
        <v>85.69</v>
      </c>
      <c r="N33" s="64">
        <v>36</v>
      </c>
      <c r="O33" s="64">
        <v>0</v>
      </c>
      <c r="P33" s="64">
        <v>0.9</v>
      </c>
      <c r="Q33" s="64">
        <v>4.47</v>
      </c>
      <c r="R33" s="198"/>
      <c r="S33" s="198"/>
      <c r="T33" s="198"/>
      <c r="U33" s="198"/>
    </row>
    <row r="34" spans="1:21" s="12" customFormat="1" x14ac:dyDescent="0.25">
      <c r="A34" s="214" t="s">
        <v>2095</v>
      </c>
      <c r="B34" s="64">
        <v>12.38</v>
      </c>
      <c r="C34" s="64">
        <v>21.23</v>
      </c>
      <c r="D34" s="64">
        <v>22.94</v>
      </c>
      <c r="E34" s="64">
        <v>0.62</v>
      </c>
      <c r="F34" s="64">
        <v>2.54</v>
      </c>
      <c r="G34" s="64">
        <v>110.7</v>
      </c>
      <c r="H34" s="64">
        <v>50.61</v>
      </c>
      <c r="I34" s="64">
        <v>1.5</v>
      </c>
      <c r="J34" s="64">
        <v>0.19</v>
      </c>
      <c r="K34" s="64">
        <v>355.28</v>
      </c>
      <c r="L34" s="64">
        <v>20.78</v>
      </c>
      <c r="M34" s="64">
        <v>85.86</v>
      </c>
      <c r="N34" s="64">
        <v>55</v>
      </c>
      <c r="O34" s="64">
        <v>0</v>
      </c>
      <c r="P34" s="64">
        <v>0.93</v>
      </c>
      <c r="Q34" s="64">
        <v>4.8099999999999996</v>
      </c>
      <c r="R34" s="198"/>
      <c r="S34" s="198"/>
      <c r="T34" s="198"/>
      <c r="U34" s="198"/>
    </row>
    <row r="35" spans="1:21" s="12" customFormat="1" x14ac:dyDescent="0.25">
      <c r="A35" s="214" t="s">
        <v>2096</v>
      </c>
      <c r="B35" s="64">
        <v>10.47</v>
      </c>
      <c r="C35" s="64">
        <v>17.64</v>
      </c>
      <c r="D35" s="64">
        <v>19.43</v>
      </c>
      <c r="E35" s="64">
        <v>0.78</v>
      </c>
      <c r="F35" s="64">
        <v>2.4700000000000002</v>
      </c>
      <c r="G35" s="64">
        <v>110.41</v>
      </c>
      <c r="H35" s="64">
        <v>50.48</v>
      </c>
      <c r="I35" s="64">
        <v>1.62</v>
      </c>
      <c r="J35" s="64">
        <v>0.14000000000000001</v>
      </c>
      <c r="K35" s="64">
        <v>35.14</v>
      </c>
      <c r="L35" s="64">
        <v>21.43</v>
      </c>
      <c r="M35" s="64">
        <v>84.64</v>
      </c>
      <c r="N35" s="64">
        <v>91.8</v>
      </c>
      <c r="O35" s="64">
        <v>0</v>
      </c>
      <c r="P35" s="64">
        <v>0.94</v>
      </c>
      <c r="Q35" s="64">
        <v>4.2300000000000004</v>
      </c>
      <c r="R35" s="198"/>
      <c r="S35" s="198"/>
      <c r="T35" s="198"/>
      <c r="U35" s="198"/>
    </row>
    <row r="36" spans="1:21" s="12" customFormat="1" x14ac:dyDescent="0.25">
      <c r="A36" s="214" t="s">
        <v>2097</v>
      </c>
      <c r="B36" s="64">
        <v>10.09</v>
      </c>
      <c r="C36" s="64">
        <v>19.579999999999998</v>
      </c>
      <c r="D36" s="64">
        <v>20.190000000000001</v>
      </c>
      <c r="E36" s="64">
        <v>0.66</v>
      </c>
      <c r="F36" s="64">
        <v>2.93</v>
      </c>
      <c r="G36" s="64">
        <v>107.01</v>
      </c>
      <c r="H36" s="64">
        <v>49.14</v>
      </c>
      <c r="I36" s="64">
        <v>1.5</v>
      </c>
      <c r="J36" s="64">
        <v>0.38</v>
      </c>
      <c r="K36" s="64">
        <v>347.35</v>
      </c>
      <c r="L36" s="64">
        <v>22.34</v>
      </c>
      <c r="M36" s="64">
        <v>80.33</v>
      </c>
      <c r="N36" s="64">
        <v>134.5</v>
      </c>
      <c r="O36" s="64">
        <v>0</v>
      </c>
      <c r="P36" s="64">
        <v>0.91</v>
      </c>
      <c r="Q36" s="64">
        <v>4.8</v>
      </c>
      <c r="R36" s="198"/>
      <c r="S36" s="198"/>
      <c r="T36" s="198"/>
      <c r="U36" s="198"/>
    </row>
    <row r="37" spans="1:21" s="12" customFormat="1" x14ac:dyDescent="0.25">
      <c r="A37" s="214" t="s">
        <v>2098</v>
      </c>
      <c r="B37" s="64">
        <v>10.93</v>
      </c>
      <c r="C37" s="64">
        <v>15.3</v>
      </c>
      <c r="D37" s="64">
        <v>18.5</v>
      </c>
      <c r="E37" s="64">
        <v>0.78</v>
      </c>
      <c r="F37" s="64">
        <v>2.98</v>
      </c>
      <c r="G37" s="64">
        <v>107.01</v>
      </c>
      <c r="H37" s="64">
        <v>49.14</v>
      </c>
      <c r="I37" s="64">
        <v>1.56</v>
      </c>
      <c r="J37" s="64">
        <v>0.57999999999999996</v>
      </c>
      <c r="K37" s="64">
        <v>343.07</v>
      </c>
      <c r="L37" s="64">
        <v>23.38</v>
      </c>
      <c r="M37" s="64">
        <v>74.48</v>
      </c>
      <c r="N37" s="64">
        <v>182</v>
      </c>
      <c r="O37" s="64">
        <v>0</v>
      </c>
      <c r="P37" s="64">
        <v>0.92</v>
      </c>
      <c r="Q37" s="64">
        <v>4.8899999999999997</v>
      </c>
      <c r="R37" s="198"/>
      <c r="S37" s="198"/>
      <c r="T37" s="198"/>
      <c r="U37" s="198"/>
    </row>
    <row r="38" spans="1:21" s="12" customFormat="1" x14ac:dyDescent="0.25">
      <c r="A38" s="214" t="s">
        <v>2099</v>
      </c>
      <c r="B38" s="64">
        <v>11.9</v>
      </c>
      <c r="C38" s="64">
        <v>18.989999999999998</v>
      </c>
      <c r="D38" s="64">
        <v>21.31</v>
      </c>
      <c r="E38" s="64">
        <v>0.79</v>
      </c>
      <c r="F38" s="64">
        <v>1.7</v>
      </c>
      <c r="G38" s="64">
        <v>107.01</v>
      </c>
      <c r="H38" s="64">
        <v>49.14</v>
      </c>
      <c r="I38" s="64">
        <v>1.52</v>
      </c>
      <c r="J38" s="64">
        <v>0.57999999999999996</v>
      </c>
      <c r="K38" s="64">
        <v>339.07</v>
      </c>
      <c r="L38" s="64">
        <v>24.69</v>
      </c>
      <c r="M38" s="64">
        <v>69.010000000000005</v>
      </c>
      <c r="N38" s="64">
        <v>231.3</v>
      </c>
      <c r="O38" s="64">
        <v>0</v>
      </c>
      <c r="P38" s="64">
        <v>0.93</v>
      </c>
      <c r="Q38" s="64">
        <v>5</v>
      </c>
      <c r="R38" s="198"/>
      <c r="S38" s="198"/>
      <c r="T38" s="198"/>
      <c r="U38" s="198"/>
    </row>
    <row r="39" spans="1:21" s="12" customFormat="1" x14ac:dyDescent="0.25">
      <c r="A39" s="214" t="s">
        <v>2100</v>
      </c>
      <c r="B39" s="64">
        <v>12.11</v>
      </c>
      <c r="C39" s="64">
        <v>16.29</v>
      </c>
      <c r="D39" s="64">
        <v>19.989999999999998</v>
      </c>
      <c r="E39" s="64">
        <v>0.96</v>
      </c>
      <c r="F39" s="64">
        <v>2.0499999999999998</v>
      </c>
      <c r="G39" s="64">
        <v>107.22</v>
      </c>
      <c r="H39" s="64">
        <v>48.12</v>
      </c>
      <c r="I39" s="64">
        <v>1.46</v>
      </c>
      <c r="J39" s="64">
        <v>0.51</v>
      </c>
      <c r="K39" s="64">
        <v>343.91</v>
      </c>
      <c r="L39" s="64">
        <v>26.21</v>
      </c>
      <c r="M39" s="64">
        <v>63.04</v>
      </c>
      <c r="N39" s="64">
        <v>282.2</v>
      </c>
      <c r="O39" s="64">
        <v>0</v>
      </c>
      <c r="P39" s="64">
        <v>0.93</v>
      </c>
      <c r="Q39" s="64">
        <v>5.15</v>
      </c>
      <c r="R39" s="198"/>
      <c r="S39" s="198"/>
      <c r="T39" s="198"/>
      <c r="U39" s="198"/>
    </row>
    <row r="40" spans="1:21" s="12" customFormat="1" x14ac:dyDescent="0.25">
      <c r="A40" s="214" t="s">
        <v>2101</v>
      </c>
      <c r="B40" s="64">
        <v>13.03</v>
      </c>
      <c r="C40" s="64">
        <v>17.62</v>
      </c>
      <c r="D40" s="64">
        <v>21.46</v>
      </c>
      <c r="E40" s="64">
        <v>0.35</v>
      </c>
      <c r="F40" s="64">
        <v>0.68</v>
      </c>
      <c r="G40" s="64">
        <v>109.74</v>
      </c>
      <c r="H40" s="64">
        <v>37.97</v>
      </c>
      <c r="I40" s="64">
        <v>1.5</v>
      </c>
      <c r="J40" s="64">
        <v>0.61</v>
      </c>
      <c r="K40" s="64">
        <v>332.21</v>
      </c>
      <c r="L40" s="64">
        <v>26.5</v>
      </c>
      <c r="M40" s="64">
        <v>60.15</v>
      </c>
      <c r="N40" s="64">
        <v>334.9</v>
      </c>
      <c r="O40" s="64">
        <v>0</v>
      </c>
      <c r="P40" s="64">
        <v>0.93</v>
      </c>
      <c r="Q40" s="64">
        <v>5.32</v>
      </c>
      <c r="R40" s="198"/>
      <c r="S40" s="198"/>
      <c r="T40" s="198"/>
      <c r="U40" s="198"/>
    </row>
    <row r="41" spans="1:21" s="12" customFormat="1" x14ac:dyDescent="0.25">
      <c r="A41" s="214" t="s">
        <v>2102</v>
      </c>
      <c r="B41" s="64">
        <v>14.48</v>
      </c>
      <c r="C41" s="64">
        <v>20.53</v>
      </c>
      <c r="D41" s="64">
        <v>24.24</v>
      </c>
      <c r="E41" s="64">
        <v>0.8</v>
      </c>
      <c r="F41" s="64">
        <v>1.81</v>
      </c>
      <c r="G41" s="64">
        <v>109.74</v>
      </c>
      <c r="H41" s="64">
        <v>37.97</v>
      </c>
      <c r="I41" s="64">
        <v>1.53</v>
      </c>
      <c r="J41" s="64">
        <v>0.32</v>
      </c>
      <c r="K41" s="64">
        <v>347.85</v>
      </c>
      <c r="L41" s="64">
        <v>26.74</v>
      </c>
      <c r="M41" s="64">
        <v>58.89</v>
      </c>
      <c r="N41" s="64">
        <v>383.1</v>
      </c>
      <c r="O41" s="64">
        <v>0</v>
      </c>
      <c r="P41" s="64">
        <v>0.91</v>
      </c>
      <c r="Q41" s="64">
        <v>5.14</v>
      </c>
      <c r="R41" s="198"/>
      <c r="S41" s="198"/>
      <c r="T41" s="198"/>
      <c r="U41" s="198"/>
    </row>
    <row r="42" spans="1:21" s="12" customFormat="1" x14ac:dyDescent="0.25">
      <c r="A42" s="214" t="s">
        <v>2103</v>
      </c>
      <c r="B42" s="64">
        <v>13.46</v>
      </c>
      <c r="C42" s="64">
        <v>20.87</v>
      </c>
      <c r="D42" s="64">
        <v>23.61</v>
      </c>
      <c r="E42" s="64">
        <v>0.82</v>
      </c>
      <c r="F42" s="64">
        <v>2.14</v>
      </c>
      <c r="G42" s="64">
        <v>109.74</v>
      </c>
      <c r="H42" s="64">
        <v>37.97</v>
      </c>
      <c r="I42" s="64">
        <v>1.5</v>
      </c>
      <c r="J42" s="64">
        <v>0.48</v>
      </c>
      <c r="K42" s="64">
        <v>99.95</v>
      </c>
      <c r="L42" s="64">
        <v>26.56</v>
      </c>
      <c r="M42" s="64">
        <v>59.27</v>
      </c>
      <c r="N42" s="64">
        <v>437.6</v>
      </c>
      <c r="O42" s="64">
        <v>0</v>
      </c>
      <c r="P42" s="64">
        <v>0.9</v>
      </c>
      <c r="Q42" s="64">
        <v>5.33</v>
      </c>
      <c r="R42" s="198"/>
      <c r="S42" s="198"/>
      <c r="T42" s="198"/>
      <c r="U42" s="198"/>
    </row>
    <row r="43" spans="1:21" s="12" customFormat="1" x14ac:dyDescent="0.25">
      <c r="A43" s="214" t="s">
        <v>2104</v>
      </c>
      <c r="B43" s="64">
        <v>14.02</v>
      </c>
      <c r="C43" s="64">
        <v>17.239999999999998</v>
      </c>
      <c r="D43" s="64">
        <v>22.05</v>
      </c>
      <c r="E43" s="64">
        <v>0.56000000000000005</v>
      </c>
      <c r="F43" s="64">
        <v>0.81</v>
      </c>
      <c r="G43" s="64">
        <v>110.3</v>
      </c>
      <c r="H43" s="64">
        <v>38.44</v>
      </c>
      <c r="I43" s="64">
        <v>1.52</v>
      </c>
      <c r="J43" s="64">
        <v>0.34</v>
      </c>
      <c r="K43" s="64">
        <v>82.39</v>
      </c>
      <c r="L43" s="64">
        <v>26.34</v>
      </c>
      <c r="M43" s="64">
        <v>60.23</v>
      </c>
      <c r="N43" s="64">
        <v>490.2</v>
      </c>
      <c r="O43" s="64">
        <v>0</v>
      </c>
      <c r="P43" s="64">
        <v>0.91</v>
      </c>
      <c r="Q43" s="64">
        <v>5.53</v>
      </c>
      <c r="R43" s="198"/>
      <c r="S43" s="198"/>
      <c r="T43" s="198"/>
      <c r="U43" s="198"/>
    </row>
    <row r="44" spans="1:21" s="12" customFormat="1" x14ac:dyDescent="0.25">
      <c r="A44" s="214" t="s">
        <v>2105</v>
      </c>
      <c r="B44" s="64">
        <v>14.59</v>
      </c>
      <c r="C44" s="64">
        <v>22.03</v>
      </c>
      <c r="D44" s="64">
        <v>25.15</v>
      </c>
      <c r="E44" s="64">
        <v>0.71</v>
      </c>
      <c r="F44" s="64">
        <v>1.71</v>
      </c>
      <c r="G44" s="64">
        <v>116.88</v>
      </c>
      <c r="H44" s="64">
        <v>43.09</v>
      </c>
      <c r="I44" s="64">
        <v>1.51</v>
      </c>
      <c r="J44" s="64">
        <v>0.3</v>
      </c>
      <c r="K44" s="64">
        <v>80.099999999999994</v>
      </c>
      <c r="L44" s="64">
        <v>26.34</v>
      </c>
      <c r="M44" s="64">
        <v>60.86</v>
      </c>
      <c r="N44" s="64">
        <v>530.9</v>
      </c>
      <c r="O44" s="64">
        <v>0</v>
      </c>
      <c r="P44" s="64">
        <v>0.87</v>
      </c>
      <c r="Q44" s="64">
        <v>5.38</v>
      </c>
      <c r="R44" s="198"/>
      <c r="S44" s="198"/>
      <c r="T44" s="198"/>
      <c r="U44" s="198"/>
    </row>
    <row r="45" spans="1:21" s="12" customFormat="1" x14ac:dyDescent="0.25">
      <c r="A45" s="214" t="s">
        <v>2106</v>
      </c>
      <c r="B45" s="64">
        <v>15.31</v>
      </c>
      <c r="C45" s="64">
        <v>22.98</v>
      </c>
      <c r="D45" s="64">
        <v>26.25</v>
      </c>
      <c r="E45" s="64">
        <v>0.82</v>
      </c>
      <c r="F45" s="64">
        <v>3.77</v>
      </c>
      <c r="G45" s="64">
        <v>116.88</v>
      </c>
      <c r="H45" s="64">
        <v>43.09</v>
      </c>
      <c r="I45" s="64">
        <v>1.54</v>
      </c>
      <c r="J45" s="64">
        <v>0.6</v>
      </c>
      <c r="K45" s="64">
        <v>335.98</v>
      </c>
      <c r="L45" s="64">
        <v>28.41</v>
      </c>
      <c r="M45" s="64">
        <v>53.78</v>
      </c>
      <c r="N45" s="64">
        <v>572.1</v>
      </c>
      <c r="O45" s="64">
        <v>0</v>
      </c>
      <c r="P45" s="64">
        <v>0.88</v>
      </c>
      <c r="Q45" s="64">
        <v>5.21</v>
      </c>
      <c r="R45" s="198"/>
      <c r="S45" s="198"/>
      <c r="T45" s="198"/>
      <c r="U45" s="198"/>
    </row>
    <row r="46" spans="1:21" s="12" customFormat="1" x14ac:dyDescent="0.25">
      <c r="A46" s="214" t="s">
        <v>2107</v>
      </c>
      <c r="B46" s="64">
        <v>14.86</v>
      </c>
      <c r="C46" s="64">
        <v>24.36</v>
      </c>
      <c r="D46" s="64">
        <v>26.65</v>
      </c>
      <c r="E46" s="64">
        <v>0.81</v>
      </c>
      <c r="F46" s="64">
        <v>3.11</v>
      </c>
      <c r="G46" s="64">
        <v>116.88</v>
      </c>
      <c r="H46" s="64">
        <v>43.09</v>
      </c>
      <c r="I46" s="64">
        <v>1.46</v>
      </c>
      <c r="J46" s="64">
        <v>0.37</v>
      </c>
      <c r="K46" s="64">
        <v>81.92</v>
      </c>
      <c r="L46" s="64">
        <v>28.03</v>
      </c>
      <c r="M46" s="64">
        <v>55.47</v>
      </c>
      <c r="N46" s="64">
        <v>621.79999999999995</v>
      </c>
      <c r="O46" s="64">
        <v>0</v>
      </c>
      <c r="P46" s="64">
        <v>0.85</v>
      </c>
      <c r="Q46" s="64">
        <v>5.37</v>
      </c>
      <c r="R46" s="198"/>
      <c r="S46" s="198"/>
      <c r="T46" s="198"/>
      <c r="U46" s="198"/>
    </row>
    <row r="47" spans="1:21" s="12" customFormat="1" x14ac:dyDescent="0.25">
      <c r="A47" s="214" t="s">
        <v>2108</v>
      </c>
      <c r="B47" s="64">
        <v>14.38</v>
      </c>
      <c r="C47" s="64">
        <v>20.190000000000001</v>
      </c>
      <c r="D47" s="64">
        <v>23.97</v>
      </c>
      <c r="E47" s="64">
        <v>0.92</v>
      </c>
      <c r="F47" s="64">
        <v>4.3600000000000003</v>
      </c>
      <c r="G47" s="64">
        <v>116.54</v>
      </c>
      <c r="H47" s="64">
        <v>43.36</v>
      </c>
      <c r="I47" s="64">
        <v>1.51</v>
      </c>
      <c r="J47" s="64">
        <v>1.01</v>
      </c>
      <c r="K47" s="64">
        <v>337.83</v>
      </c>
      <c r="L47" s="64">
        <v>30.7</v>
      </c>
      <c r="M47" s="64">
        <v>47.26</v>
      </c>
      <c r="N47" s="64">
        <v>649.4</v>
      </c>
      <c r="O47" s="64">
        <v>0</v>
      </c>
      <c r="P47" s="64">
        <v>0.86</v>
      </c>
      <c r="Q47" s="64">
        <v>5.54</v>
      </c>
      <c r="R47" s="198"/>
      <c r="S47" s="198"/>
      <c r="T47" s="198"/>
      <c r="U47" s="198"/>
    </row>
    <row r="48" spans="1:21" s="12" customFormat="1" x14ac:dyDescent="0.25">
      <c r="A48" s="214" t="s">
        <v>2109</v>
      </c>
      <c r="B48" s="64">
        <v>14.41</v>
      </c>
      <c r="C48" s="64">
        <v>21.41</v>
      </c>
      <c r="D48" s="64">
        <v>24.67</v>
      </c>
      <c r="E48" s="64">
        <v>0.82</v>
      </c>
      <c r="F48" s="64">
        <v>2.81</v>
      </c>
      <c r="G48" s="64">
        <v>112.53</v>
      </c>
      <c r="H48" s="64">
        <v>46.08</v>
      </c>
      <c r="I48" s="64">
        <v>1.51</v>
      </c>
      <c r="J48" s="64">
        <v>1.24</v>
      </c>
      <c r="K48" s="64">
        <v>338.62</v>
      </c>
      <c r="L48" s="64">
        <v>32.090000000000003</v>
      </c>
      <c r="M48" s="64">
        <v>44.21</v>
      </c>
      <c r="N48" s="64">
        <v>690.1</v>
      </c>
      <c r="O48" s="64">
        <v>0</v>
      </c>
      <c r="P48" s="64">
        <v>0.87</v>
      </c>
      <c r="Q48" s="64">
        <v>5.55</v>
      </c>
      <c r="R48" s="198"/>
      <c r="S48" s="198"/>
      <c r="T48" s="198"/>
      <c r="U48" s="198"/>
    </row>
    <row r="49" spans="1:21" s="12" customFormat="1" x14ac:dyDescent="0.25">
      <c r="A49" s="214" t="s">
        <v>2110</v>
      </c>
      <c r="B49" s="64">
        <v>14.32</v>
      </c>
      <c r="C49" s="64">
        <v>18.260000000000002</v>
      </c>
      <c r="D49" s="64">
        <v>22.85</v>
      </c>
      <c r="E49" s="64">
        <v>0.85</v>
      </c>
      <c r="F49" s="64">
        <v>1.9</v>
      </c>
      <c r="G49" s="64">
        <v>112.53</v>
      </c>
      <c r="H49" s="64">
        <v>46.08</v>
      </c>
      <c r="I49" s="64">
        <v>1.5</v>
      </c>
      <c r="J49" s="64">
        <v>0.75</v>
      </c>
      <c r="K49" s="64">
        <v>338.73</v>
      </c>
      <c r="L49" s="64">
        <v>32.479999999999997</v>
      </c>
      <c r="M49" s="64">
        <v>42.8</v>
      </c>
      <c r="N49" s="64">
        <v>713.3</v>
      </c>
      <c r="O49" s="64">
        <v>0</v>
      </c>
      <c r="P49" s="64">
        <v>0.89</v>
      </c>
      <c r="Q49" s="64">
        <v>5.64</v>
      </c>
      <c r="R49" s="198"/>
      <c r="S49" s="198"/>
      <c r="T49" s="198"/>
      <c r="U49" s="198"/>
    </row>
    <row r="50" spans="1:21" s="12" customFormat="1" x14ac:dyDescent="0.25">
      <c r="A50" s="214" t="s">
        <v>2111</v>
      </c>
      <c r="B50" s="64">
        <v>13.7</v>
      </c>
      <c r="C50" s="64">
        <v>19.440000000000001</v>
      </c>
      <c r="D50" s="64">
        <v>23</v>
      </c>
      <c r="E50" s="64">
        <v>0.82</v>
      </c>
      <c r="F50" s="64">
        <v>1.96</v>
      </c>
      <c r="G50" s="64">
        <v>112.53</v>
      </c>
      <c r="H50" s="64">
        <v>46.08</v>
      </c>
      <c r="I50" s="64">
        <v>1.49</v>
      </c>
      <c r="J50" s="64">
        <v>0.81</v>
      </c>
      <c r="K50" s="64">
        <v>352.8</v>
      </c>
      <c r="L50" s="64">
        <v>32.409999999999997</v>
      </c>
      <c r="M50" s="64">
        <v>42.29</v>
      </c>
      <c r="N50" s="64">
        <v>734</v>
      </c>
      <c r="O50" s="64">
        <v>0</v>
      </c>
      <c r="P50" s="64">
        <v>0.87</v>
      </c>
      <c r="Q50" s="64">
        <v>5.56</v>
      </c>
      <c r="R50" s="198"/>
      <c r="S50" s="198"/>
      <c r="T50" s="198"/>
      <c r="U50" s="198"/>
    </row>
    <row r="51" spans="1:21" s="12" customFormat="1" x14ac:dyDescent="0.25">
      <c r="A51" s="214" t="s">
        <v>2112</v>
      </c>
      <c r="B51" s="64">
        <v>12.79</v>
      </c>
      <c r="C51" s="64">
        <v>19.88</v>
      </c>
      <c r="D51" s="64">
        <v>22.52</v>
      </c>
      <c r="E51" s="64">
        <v>0.98</v>
      </c>
      <c r="F51" s="64">
        <v>3.94</v>
      </c>
      <c r="G51" s="64">
        <v>112.16</v>
      </c>
      <c r="H51" s="64">
        <v>45.71</v>
      </c>
      <c r="I51" s="64">
        <v>1.48</v>
      </c>
      <c r="J51" s="64">
        <v>0.46</v>
      </c>
      <c r="K51" s="64">
        <v>89.1</v>
      </c>
      <c r="L51" s="64">
        <v>28.73</v>
      </c>
      <c r="M51" s="64">
        <v>50.7</v>
      </c>
      <c r="N51" s="64">
        <v>767.7</v>
      </c>
      <c r="O51" s="64">
        <v>0</v>
      </c>
      <c r="P51" s="64">
        <v>0.83</v>
      </c>
      <c r="Q51" s="64">
        <v>5.54</v>
      </c>
      <c r="R51" s="198"/>
      <c r="S51" s="198"/>
      <c r="T51" s="198"/>
      <c r="U51" s="198"/>
    </row>
    <row r="52" spans="1:21" s="12" customFormat="1" x14ac:dyDescent="0.25">
      <c r="A52" s="214" t="s">
        <v>2113</v>
      </c>
      <c r="B52" s="64">
        <v>12.96</v>
      </c>
      <c r="C52" s="64">
        <v>20.12</v>
      </c>
      <c r="D52" s="64">
        <v>22.79</v>
      </c>
      <c r="E52" s="64">
        <v>0.93</v>
      </c>
      <c r="F52" s="64">
        <v>2.98</v>
      </c>
      <c r="G52" s="64">
        <v>107.85</v>
      </c>
      <c r="H52" s="64">
        <v>42.04</v>
      </c>
      <c r="I52" s="64">
        <v>1.55</v>
      </c>
      <c r="J52" s="64">
        <v>0.71</v>
      </c>
      <c r="K52" s="64">
        <v>334.68</v>
      </c>
      <c r="L52" s="64">
        <v>31.27</v>
      </c>
      <c r="M52" s="64">
        <v>42.32</v>
      </c>
      <c r="N52" s="64">
        <v>753.4</v>
      </c>
      <c r="O52" s="64">
        <v>0</v>
      </c>
      <c r="P52" s="64">
        <v>0.84</v>
      </c>
      <c r="Q52" s="64">
        <v>5.47</v>
      </c>
      <c r="R52" s="198"/>
      <c r="S52" s="198"/>
      <c r="T52" s="198"/>
      <c r="U52" s="198"/>
    </row>
    <row r="53" spans="1:21" s="12" customFormat="1" x14ac:dyDescent="0.25">
      <c r="A53" s="214" t="s">
        <v>2114</v>
      </c>
      <c r="B53" s="64">
        <v>12.25</v>
      </c>
      <c r="C53" s="64">
        <v>21.68</v>
      </c>
      <c r="D53" s="64">
        <v>23.08</v>
      </c>
      <c r="E53" s="64">
        <v>0.67</v>
      </c>
      <c r="F53" s="64">
        <v>1.35</v>
      </c>
      <c r="G53" s="64">
        <v>107.85</v>
      </c>
      <c r="H53" s="64">
        <v>42.04</v>
      </c>
      <c r="I53" s="64">
        <v>1.44</v>
      </c>
      <c r="J53" s="64">
        <v>0.35</v>
      </c>
      <c r="K53" s="64">
        <v>65.89</v>
      </c>
      <c r="L53" s="64">
        <v>31.33</v>
      </c>
      <c r="M53" s="64">
        <v>43.77</v>
      </c>
      <c r="N53" s="64">
        <v>762</v>
      </c>
      <c r="O53" s="64">
        <v>0</v>
      </c>
      <c r="P53" s="64">
        <v>0.86</v>
      </c>
      <c r="Q53" s="64">
        <v>5.42</v>
      </c>
      <c r="R53" s="198"/>
      <c r="S53" s="198"/>
      <c r="T53" s="198"/>
      <c r="U53" s="198"/>
    </row>
    <row r="54" spans="1:21" s="12" customFormat="1" x14ac:dyDescent="0.25">
      <c r="A54" s="214" t="s">
        <v>2115</v>
      </c>
      <c r="B54" s="64">
        <v>11.05</v>
      </c>
      <c r="C54" s="64">
        <v>20.399999999999999</v>
      </c>
      <c r="D54" s="64">
        <v>21.41</v>
      </c>
      <c r="E54" s="64">
        <v>0.77</v>
      </c>
      <c r="F54" s="64">
        <v>3.07</v>
      </c>
      <c r="G54" s="64">
        <v>107.85</v>
      </c>
      <c r="H54" s="64">
        <v>42.04</v>
      </c>
      <c r="I54" s="64">
        <v>1.51</v>
      </c>
      <c r="J54" s="64">
        <v>0.93</v>
      </c>
      <c r="K54" s="64">
        <v>107.6</v>
      </c>
      <c r="L54" s="64">
        <v>28.4</v>
      </c>
      <c r="M54" s="64">
        <v>47.19</v>
      </c>
      <c r="N54" s="64">
        <v>783.3</v>
      </c>
      <c r="O54" s="64">
        <v>0</v>
      </c>
      <c r="P54" s="64">
        <v>0.8</v>
      </c>
      <c r="Q54" s="64">
        <v>5.52</v>
      </c>
      <c r="R54" s="198"/>
      <c r="S54" s="198"/>
      <c r="T54" s="198"/>
      <c r="U54" s="198"/>
    </row>
    <row r="55" spans="1:21" s="12" customFormat="1" x14ac:dyDescent="0.25">
      <c r="A55" s="214" t="s">
        <v>2116</v>
      </c>
      <c r="B55" s="64">
        <v>9.64</v>
      </c>
      <c r="C55" s="64">
        <v>18.809999999999999</v>
      </c>
      <c r="D55" s="64">
        <v>19.399999999999999</v>
      </c>
      <c r="E55" s="64">
        <v>1.01</v>
      </c>
      <c r="F55" s="64">
        <v>4.58</v>
      </c>
      <c r="G55" s="64">
        <v>107.29</v>
      </c>
      <c r="H55" s="64">
        <v>41.93</v>
      </c>
      <c r="I55" s="64">
        <v>1.52</v>
      </c>
      <c r="J55" s="64">
        <v>0.79</v>
      </c>
      <c r="K55" s="64">
        <v>103.47</v>
      </c>
      <c r="L55" s="64">
        <v>28.56</v>
      </c>
      <c r="M55" s="64">
        <v>47.14</v>
      </c>
      <c r="N55" s="64">
        <v>775.6</v>
      </c>
      <c r="O55" s="64">
        <v>0</v>
      </c>
      <c r="P55" s="64">
        <v>0.77</v>
      </c>
      <c r="Q55" s="64">
        <v>5.41</v>
      </c>
      <c r="R55" s="198"/>
      <c r="S55" s="198"/>
      <c r="T55" s="198"/>
      <c r="U55" s="198"/>
    </row>
    <row r="56" spans="1:21" s="12" customFormat="1" x14ac:dyDescent="0.25">
      <c r="A56" s="214" t="s">
        <v>2117</v>
      </c>
      <c r="B56" s="64">
        <v>11.35</v>
      </c>
      <c r="C56" s="64">
        <v>23.77</v>
      </c>
      <c r="D56" s="64">
        <v>23.51</v>
      </c>
      <c r="E56" s="64">
        <v>0.91</v>
      </c>
      <c r="F56" s="64">
        <v>3.94</v>
      </c>
      <c r="G56" s="64">
        <v>100.65</v>
      </c>
      <c r="H56" s="64">
        <v>40.840000000000003</v>
      </c>
      <c r="I56" s="64">
        <v>1.49</v>
      </c>
      <c r="J56" s="64">
        <v>0.85</v>
      </c>
      <c r="K56" s="64">
        <v>349.31</v>
      </c>
      <c r="L56" s="64">
        <v>30.13</v>
      </c>
      <c r="M56" s="64">
        <v>43.35</v>
      </c>
      <c r="N56" s="64">
        <v>771.6</v>
      </c>
      <c r="O56" s="64">
        <v>0</v>
      </c>
      <c r="P56" s="64">
        <v>0.76</v>
      </c>
      <c r="Q56" s="64">
        <v>5.18</v>
      </c>
      <c r="R56" s="198"/>
      <c r="S56" s="198"/>
      <c r="T56" s="198"/>
      <c r="U56" s="198"/>
    </row>
    <row r="57" spans="1:21" s="12" customFormat="1" x14ac:dyDescent="0.25">
      <c r="A57" s="214" t="s">
        <v>2118</v>
      </c>
      <c r="B57" s="64">
        <v>11.11</v>
      </c>
      <c r="C57" s="64">
        <v>25.03</v>
      </c>
      <c r="D57" s="64">
        <v>24.01</v>
      </c>
      <c r="E57" s="64">
        <v>1.89</v>
      </c>
      <c r="F57" s="64">
        <v>4.76</v>
      </c>
      <c r="G57" s="64">
        <v>100.65</v>
      </c>
      <c r="H57" s="64">
        <v>40.840000000000003</v>
      </c>
      <c r="I57" s="64">
        <v>1.52</v>
      </c>
      <c r="J57" s="64">
        <v>0.28000000000000003</v>
      </c>
      <c r="K57" s="64">
        <v>352.13</v>
      </c>
      <c r="L57" s="64">
        <v>30.59</v>
      </c>
      <c r="M57" s="64">
        <v>42.03</v>
      </c>
      <c r="N57" s="64">
        <v>757.6</v>
      </c>
      <c r="O57" s="64">
        <v>0</v>
      </c>
      <c r="P57" s="64">
        <v>0.73</v>
      </c>
      <c r="Q57" s="64">
        <v>4.87</v>
      </c>
      <c r="R57" s="198"/>
      <c r="S57" s="198"/>
      <c r="T57" s="198"/>
      <c r="U57" s="198"/>
    </row>
    <row r="58" spans="1:21" s="12" customFormat="1" x14ac:dyDescent="0.25">
      <c r="A58" s="214" t="s">
        <v>2119</v>
      </c>
      <c r="B58" s="64">
        <v>10.32</v>
      </c>
      <c r="C58" s="64">
        <v>24.14</v>
      </c>
      <c r="D58" s="64">
        <v>22.89</v>
      </c>
      <c r="E58" s="64">
        <v>2.58</v>
      </c>
      <c r="F58" s="64">
        <v>4.3099999999999996</v>
      </c>
      <c r="G58" s="64">
        <v>100.65</v>
      </c>
      <c r="H58" s="64">
        <v>40.840000000000003</v>
      </c>
      <c r="I58" s="64">
        <v>1.44</v>
      </c>
      <c r="J58" s="64">
        <v>0.55000000000000004</v>
      </c>
      <c r="K58" s="64">
        <v>39.35</v>
      </c>
      <c r="L58" s="64">
        <v>30.62</v>
      </c>
      <c r="M58" s="64">
        <v>40.89</v>
      </c>
      <c r="N58" s="64">
        <v>758.3</v>
      </c>
      <c r="O58" s="64">
        <v>0</v>
      </c>
      <c r="P58" s="64">
        <v>0.73</v>
      </c>
      <c r="Q58" s="64">
        <v>5.0199999999999996</v>
      </c>
      <c r="R58" s="198"/>
      <c r="S58" s="198"/>
      <c r="T58" s="198"/>
      <c r="U58" s="198"/>
    </row>
    <row r="59" spans="1:21" s="12" customFormat="1" x14ac:dyDescent="0.25">
      <c r="A59" s="214" t="s">
        <v>2120</v>
      </c>
      <c r="B59" s="64">
        <v>10.95</v>
      </c>
      <c r="C59" s="64">
        <v>26.89</v>
      </c>
      <c r="D59" s="64">
        <v>24.91</v>
      </c>
      <c r="E59" s="64">
        <v>3</v>
      </c>
      <c r="F59" s="64">
        <v>6.01</v>
      </c>
      <c r="G59" s="64">
        <v>100.44</v>
      </c>
      <c r="H59" s="64">
        <v>40.880000000000003</v>
      </c>
      <c r="I59" s="64">
        <v>1.5</v>
      </c>
      <c r="J59" s="64">
        <v>0.69</v>
      </c>
      <c r="K59" s="64">
        <v>341.71</v>
      </c>
      <c r="L59" s="64">
        <v>29.95</v>
      </c>
      <c r="M59" s="64">
        <v>41.86</v>
      </c>
      <c r="N59" s="64">
        <v>714.9</v>
      </c>
      <c r="O59" s="64">
        <v>0</v>
      </c>
      <c r="P59" s="64">
        <v>0.7</v>
      </c>
      <c r="Q59" s="64">
        <v>5</v>
      </c>
      <c r="R59" s="198"/>
      <c r="S59" s="198"/>
      <c r="T59" s="198"/>
      <c r="U59" s="198"/>
    </row>
    <row r="60" spans="1:21" s="12" customFormat="1" x14ac:dyDescent="0.25">
      <c r="A60" s="214" t="s">
        <v>2121</v>
      </c>
      <c r="B60" s="64">
        <v>14.82</v>
      </c>
      <c r="C60" s="64">
        <v>31.37</v>
      </c>
      <c r="D60" s="64">
        <v>30.49</v>
      </c>
      <c r="E60" s="64">
        <v>4.09</v>
      </c>
      <c r="F60" s="64">
        <v>3.37</v>
      </c>
      <c r="G60" s="64">
        <v>97.98</v>
      </c>
      <c r="H60" s="64">
        <v>41.33</v>
      </c>
      <c r="I60" s="64">
        <v>1.57</v>
      </c>
      <c r="J60" s="64">
        <v>0.26</v>
      </c>
      <c r="K60" s="64">
        <v>16.82</v>
      </c>
      <c r="L60" s="64">
        <v>30.09</v>
      </c>
      <c r="M60" s="64">
        <v>43.27</v>
      </c>
      <c r="N60" s="64">
        <v>722.5</v>
      </c>
      <c r="O60" s="64">
        <v>0</v>
      </c>
      <c r="P60" s="64">
        <v>0.7</v>
      </c>
      <c r="Q60" s="64">
        <v>3.94</v>
      </c>
      <c r="R60" s="198"/>
      <c r="S60" s="198"/>
      <c r="T60" s="198"/>
      <c r="U60" s="198"/>
    </row>
    <row r="61" spans="1:21" s="12" customFormat="1" x14ac:dyDescent="0.25">
      <c r="A61" s="214" t="s">
        <v>2122</v>
      </c>
      <c r="B61" s="64">
        <v>13.09</v>
      </c>
      <c r="C61" s="64">
        <v>24.58</v>
      </c>
      <c r="D61" s="64">
        <v>25.35</v>
      </c>
      <c r="E61" s="64">
        <v>2.84</v>
      </c>
      <c r="F61" s="64">
        <v>2.16</v>
      </c>
      <c r="G61" s="64">
        <v>97.98</v>
      </c>
      <c r="H61" s="64">
        <v>41.33</v>
      </c>
      <c r="I61" s="64">
        <v>1.5</v>
      </c>
      <c r="J61" s="64">
        <v>0.9</v>
      </c>
      <c r="K61" s="64">
        <v>332.4</v>
      </c>
      <c r="L61" s="64">
        <v>30.83</v>
      </c>
      <c r="M61" s="64">
        <v>41.4</v>
      </c>
      <c r="N61" s="64">
        <v>551.79999999999995</v>
      </c>
      <c r="O61" s="64">
        <v>0</v>
      </c>
      <c r="P61" s="64">
        <v>0.69</v>
      </c>
      <c r="Q61" s="64">
        <v>4.5599999999999996</v>
      </c>
      <c r="R61" s="198"/>
      <c r="S61" s="198"/>
      <c r="T61" s="198"/>
      <c r="U61" s="198"/>
    </row>
    <row r="62" spans="1:21" s="12" customFormat="1" x14ac:dyDescent="0.25">
      <c r="A62" s="214" t="s">
        <v>2123</v>
      </c>
      <c r="B62" s="64">
        <v>14.81</v>
      </c>
      <c r="C62" s="64">
        <v>23.94</v>
      </c>
      <c r="D62" s="64">
        <v>26.38</v>
      </c>
      <c r="E62" s="64">
        <v>3.27</v>
      </c>
      <c r="F62" s="64">
        <v>2.94</v>
      </c>
      <c r="G62" s="64">
        <v>97.98</v>
      </c>
      <c r="H62" s="64">
        <v>41.33</v>
      </c>
      <c r="I62" s="64">
        <v>1.47</v>
      </c>
      <c r="J62" s="64">
        <v>0.4</v>
      </c>
      <c r="K62" s="64">
        <v>349.52</v>
      </c>
      <c r="L62" s="64">
        <v>30.12</v>
      </c>
      <c r="M62" s="64">
        <v>44.08</v>
      </c>
      <c r="N62" s="64">
        <v>486.2</v>
      </c>
      <c r="O62" s="64">
        <v>0</v>
      </c>
      <c r="P62" s="64">
        <v>0.7</v>
      </c>
      <c r="Q62" s="64">
        <v>5.04</v>
      </c>
      <c r="R62" s="198"/>
      <c r="S62" s="198"/>
      <c r="T62" s="198"/>
      <c r="U62" s="198"/>
    </row>
    <row r="63" spans="1:21" s="12" customFormat="1" x14ac:dyDescent="0.25">
      <c r="A63" s="214" t="s">
        <v>2124</v>
      </c>
      <c r="B63" s="64">
        <v>11.27</v>
      </c>
      <c r="C63" s="64">
        <v>24.24</v>
      </c>
      <c r="D63" s="64">
        <v>23.71</v>
      </c>
      <c r="E63" s="64">
        <v>2.48</v>
      </c>
      <c r="F63" s="64">
        <v>6.83</v>
      </c>
      <c r="G63" s="64">
        <v>97.8</v>
      </c>
      <c r="H63" s="64">
        <v>41.31</v>
      </c>
      <c r="I63" s="64">
        <v>1.52</v>
      </c>
      <c r="J63" s="64">
        <v>0.38</v>
      </c>
      <c r="K63" s="64">
        <v>59.84</v>
      </c>
      <c r="L63" s="64">
        <v>29.29</v>
      </c>
      <c r="M63" s="64">
        <v>45.39</v>
      </c>
      <c r="N63" s="64">
        <v>304.3</v>
      </c>
      <c r="O63" s="64">
        <v>0</v>
      </c>
      <c r="P63" s="64">
        <v>0.68</v>
      </c>
      <c r="Q63" s="64">
        <v>4.37</v>
      </c>
      <c r="R63" s="198"/>
      <c r="S63" s="198"/>
      <c r="T63" s="198"/>
      <c r="U63" s="198"/>
    </row>
    <row r="64" spans="1:21" s="12" customFormat="1" x14ac:dyDescent="0.25">
      <c r="A64" s="214" t="s">
        <v>2125</v>
      </c>
      <c r="B64" s="64">
        <v>11.15</v>
      </c>
      <c r="C64" s="64">
        <v>25.12</v>
      </c>
      <c r="D64" s="64">
        <v>24.1</v>
      </c>
      <c r="E64" s="64">
        <v>3.34</v>
      </c>
      <c r="F64" s="64">
        <v>8.5500000000000007</v>
      </c>
      <c r="G64" s="64">
        <v>95.7</v>
      </c>
      <c r="H64" s="64">
        <v>41.03</v>
      </c>
      <c r="I64" s="64">
        <v>1.5</v>
      </c>
      <c r="J64" s="64">
        <v>0.3</v>
      </c>
      <c r="K64" s="64">
        <v>40.42</v>
      </c>
      <c r="L64" s="64">
        <v>28.36</v>
      </c>
      <c r="M64" s="64">
        <v>47.36</v>
      </c>
      <c r="N64" s="64">
        <v>351.4</v>
      </c>
      <c r="O64" s="64">
        <v>0</v>
      </c>
      <c r="P64" s="64">
        <v>0.67</v>
      </c>
      <c r="Q64" s="64">
        <v>5.34</v>
      </c>
      <c r="R64" s="198"/>
      <c r="S64" s="198"/>
      <c r="T64" s="198"/>
      <c r="U64" s="198"/>
    </row>
    <row r="65" spans="1:21" s="12" customFormat="1" x14ac:dyDescent="0.25">
      <c r="A65" s="214" t="s">
        <v>2126</v>
      </c>
      <c r="B65" s="64">
        <v>10.56</v>
      </c>
      <c r="C65" s="64">
        <v>21.72</v>
      </c>
      <c r="D65" s="64">
        <v>21.74</v>
      </c>
      <c r="E65" s="64">
        <v>3.28</v>
      </c>
      <c r="F65" s="64">
        <v>6.57</v>
      </c>
      <c r="G65" s="64">
        <v>95.7</v>
      </c>
      <c r="H65" s="64">
        <v>41.03</v>
      </c>
      <c r="I65" s="64">
        <v>1.49</v>
      </c>
      <c r="J65" s="64">
        <v>0.93</v>
      </c>
      <c r="K65" s="64">
        <v>342.98</v>
      </c>
      <c r="L65" s="64">
        <v>29.09</v>
      </c>
      <c r="M65" s="64">
        <v>45.98</v>
      </c>
      <c r="N65" s="64">
        <v>358.3</v>
      </c>
      <c r="O65" s="64">
        <v>0</v>
      </c>
      <c r="P65" s="64">
        <v>0.7</v>
      </c>
      <c r="Q65" s="64">
        <v>5.25</v>
      </c>
      <c r="R65" s="198"/>
      <c r="S65" s="198"/>
      <c r="T65" s="198"/>
      <c r="U65" s="198"/>
    </row>
    <row r="66" spans="1:21" s="12" customFormat="1" x14ac:dyDescent="0.25">
      <c r="A66" s="214" t="s">
        <v>2127</v>
      </c>
      <c r="B66" s="64">
        <v>10.27</v>
      </c>
      <c r="C66" s="64">
        <v>22.48</v>
      </c>
      <c r="D66" s="64">
        <v>21.94</v>
      </c>
      <c r="E66" s="64">
        <v>2.2599999999999998</v>
      </c>
      <c r="F66" s="64">
        <v>4.45</v>
      </c>
      <c r="G66" s="64">
        <v>95.7</v>
      </c>
      <c r="H66" s="64">
        <v>41.03</v>
      </c>
      <c r="I66" s="64">
        <v>1.47</v>
      </c>
      <c r="J66" s="64">
        <v>1.04</v>
      </c>
      <c r="K66" s="64">
        <v>339.61</v>
      </c>
      <c r="L66" s="64">
        <v>29.54</v>
      </c>
      <c r="M66" s="64">
        <v>43.26</v>
      </c>
      <c r="N66" s="64">
        <v>224.6</v>
      </c>
      <c r="O66" s="64">
        <v>0</v>
      </c>
      <c r="P66" s="64">
        <v>0.7</v>
      </c>
      <c r="Q66" s="64">
        <v>5.32</v>
      </c>
      <c r="R66" s="198"/>
      <c r="S66" s="198"/>
      <c r="T66" s="198"/>
      <c r="U66" s="198"/>
    </row>
    <row r="67" spans="1:21" s="12" customFormat="1" x14ac:dyDescent="0.25">
      <c r="A67" s="214" t="s">
        <v>2128</v>
      </c>
      <c r="B67" s="64">
        <v>8.0500000000000007</v>
      </c>
      <c r="C67" s="64">
        <v>25.83</v>
      </c>
      <c r="D67" s="64">
        <v>22.01</v>
      </c>
      <c r="E67" s="64">
        <v>1.98</v>
      </c>
      <c r="F67" s="64">
        <v>9.98</v>
      </c>
      <c r="G67" s="64">
        <v>95.92</v>
      </c>
      <c r="H67" s="64">
        <v>41.12</v>
      </c>
      <c r="I67" s="64">
        <v>1.43</v>
      </c>
      <c r="J67" s="64">
        <v>0.53</v>
      </c>
      <c r="K67" s="64">
        <v>7.13</v>
      </c>
      <c r="L67" s="64">
        <v>28.92</v>
      </c>
      <c r="M67" s="64">
        <v>45.58</v>
      </c>
      <c r="N67" s="64">
        <v>324.2</v>
      </c>
      <c r="O67" s="64">
        <v>0</v>
      </c>
      <c r="P67" s="64">
        <v>0.66</v>
      </c>
      <c r="Q67" s="64">
        <v>5.18</v>
      </c>
      <c r="R67" s="198"/>
      <c r="S67" s="198"/>
      <c r="T67" s="198"/>
      <c r="U67" s="198"/>
    </row>
    <row r="68" spans="1:21" s="12" customFormat="1" x14ac:dyDescent="0.25">
      <c r="A68" s="214" t="s">
        <v>2129</v>
      </c>
      <c r="B68" s="64">
        <v>7.32</v>
      </c>
      <c r="C68" s="64">
        <v>27.81</v>
      </c>
      <c r="D68" s="64">
        <v>22.5</v>
      </c>
      <c r="E68" s="64">
        <v>3.85</v>
      </c>
      <c r="F68" s="64">
        <v>20.62</v>
      </c>
      <c r="G68" s="64">
        <v>98.47</v>
      </c>
      <c r="H68" s="64">
        <v>42.05</v>
      </c>
      <c r="I68" s="64">
        <v>1.56</v>
      </c>
      <c r="J68" s="64">
        <v>0.36</v>
      </c>
      <c r="K68" s="64">
        <v>348.71</v>
      </c>
      <c r="L68" s="64">
        <v>28.81</v>
      </c>
      <c r="M68" s="64">
        <v>43.9</v>
      </c>
      <c r="N68" s="64">
        <v>150</v>
      </c>
      <c r="O68" s="64">
        <v>0</v>
      </c>
      <c r="P68" s="64">
        <v>0.67</v>
      </c>
      <c r="Q68" s="64">
        <v>4.91</v>
      </c>
      <c r="R68" s="198"/>
      <c r="S68" s="198"/>
      <c r="T68" s="198"/>
      <c r="U68" s="198"/>
    </row>
    <row r="69" spans="1:21" s="12" customFormat="1" x14ac:dyDescent="0.25">
      <c r="A69" s="214" t="s">
        <v>2130</v>
      </c>
      <c r="B69" s="64">
        <v>9.08</v>
      </c>
      <c r="C69" s="64">
        <v>34.6</v>
      </c>
      <c r="D69" s="64">
        <v>27.67</v>
      </c>
      <c r="E69" s="64">
        <v>5.34</v>
      </c>
      <c r="F69" s="64">
        <v>18.11</v>
      </c>
      <c r="G69" s="64">
        <v>98.47</v>
      </c>
      <c r="H69" s="64">
        <v>42.05</v>
      </c>
      <c r="I69" s="64">
        <v>1.54</v>
      </c>
      <c r="J69" s="64">
        <v>0.6</v>
      </c>
      <c r="K69" s="64">
        <v>339.67</v>
      </c>
      <c r="L69" s="64">
        <v>28.64</v>
      </c>
      <c r="M69" s="64">
        <v>43.31</v>
      </c>
      <c r="N69" s="64">
        <v>131.5</v>
      </c>
      <c r="O69" s="64">
        <v>0</v>
      </c>
      <c r="P69" s="64">
        <v>0.68</v>
      </c>
      <c r="Q69" s="64">
        <v>4.1900000000000004</v>
      </c>
      <c r="R69" s="198"/>
      <c r="S69" s="198"/>
      <c r="T69" s="198"/>
      <c r="U69" s="198"/>
    </row>
    <row r="70" spans="1:21" s="12" customFormat="1" x14ac:dyDescent="0.25">
      <c r="A70" s="214" t="s">
        <v>2131</v>
      </c>
      <c r="B70" s="64">
        <v>8.6199999999999992</v>
      </c>
      <c r="C70" s="64">
        <v>34.06</v>
      </c>
      <c r="D70" s="64">
        <v>27</v>
      </c>
      <c r="E70" s="64">
        <v>6.19</v>
      </c>
      <c r="F70" s="64">
        <v>17.64</v>
      </c>
      <c r="G70" s="64">
        <v>98.47</v>
      </c>
      <c r="H70" s="64">
        <v>42.05</v>
      </c>
      <c r="I70" s="64">
        <v>1.5</v>
      </c>
      <c r="J70" s="64">
        <v>0.51</v>
      </c>
      <c r="K70" s="64">
        <v>343.02</v>
      </c>
      <c r="L70" s="64">
        <v>28.13</v>
      </c>
      <c r="M70" s="64">
        <v>44.95</v>
      </c>
      <c r="N70" s="64">
        <v>116.5</v>
      </c>
      <c r="O70" s="64">
        <v>0</v>
      </c>
      <c r="P70" s="64">
        <v>0.67</v>
      </c>
      <c r="Q70" s="64">
        <v>4.38</v>
      </c>
      <c r="R70" s="198"/>
      <c r="S70" s="198"/>
      <c r="T70" s="198"/>
      <c r="U70" s="198"/>
    </row>
    <row r="71" spans="1:21" s="12" customFormat="1" x14ac:dyDescent="0.25">
      <c r="A71" s="214" t="s">
        <v>2132</v>
      </c>
      <c r="B71" s="64">
        <v>7.12</v>
      </c>
      <c r="C71" s="64">
        <v>31.94</v>
      </c>
      <c r="D71" s="64">
        <v>24.63</v>
      </c>
      <c r="E71" s="64">
        <v>5.09</v>
      </c>
      <c r="F71" s="64">
        <v>17.03</v>
      </c>
      <c r="G71" s="64">
        <v>98.63</v>
      </c>
      <c r="H71" s="64">
        <v>42.28</v>
      </c>
      <c r="I71" s="64">
        <v>1.53</v>
      </c>
      <c r="J71" s="64">
        <v>0.67</v>
      </c>
      <c r="K71" s="64">
        <v>351.39</v>
      </c>
      <c r="L71" s="64">
        <v>27.91</v>
      </c>
      <c r="M71" s="64">
        <v>45.92</v>
      </c>
      <c r="N71" s="64">
        <v>102.5</v>
      </c>
      <c r="O71" s="64">
        <v>0</v>
      </c>
      <c r="P71" s="64">
        <v>0.64</v>
      </c>
      <c r="Q71" s="64">
        <v>4.46</v>
      </c>
      <c r="R71" s="198"/>
      <c r="S71" s="198"/>
      <c r="T71" s="198"/>
      <c r="U71" s="198"/>
    </row>
    <row r="72" spans="1:21" s="12" customFormat="1" x14ac:dyDescent="0.25">
      <c r="A72" s="214" t="s">
        <v>2133</v>
      </c>
      <c r="B72" s="64">
        <v>6.67</v>
      </c>
      <c r="C72" s="64">
        <v>29.05</v>
      </c>
      <c r="D72" s="64">
        <v>22.67</v>
      </c>
      <c r="E72" s="64">
        <v>2.76</v>
      </c>
      <c r="F72" s="64">
        <v>8.33</v>
      </c>
      <c r="G72" s="64">
        <v>100.51</v>
      </c>
      <c r="H72" s="64">
        <v>44.58</v>
      </c>
      <c r="I72" s="64">
        <v>1.55</v>
      </c>
      <c r="J72" s="64">
        <v>0.48</v>
      </c>
      <c r="K72" s="64">
        <v>347.95</v>
      </c>
      <c r="L72" s="64">
        <v>27.43</v>
      </c>
      <c r="M72" s="64">
        <v>48.09</v>
      </c>
      <c r="N72" s="64">
        <v>90.9</v>
      </c>
      <c r="O72" s="64">
        <v>0</v>
      </c>
      <c r="P72" s="64">
        <v>0.7</v>
      </c>
      <c r="Q72" s="64">
        <v>4.6399999999999997</v>
      </c>
      <c r="R72" s="198"/>
      <c r="S72" s="198"/>
      <c r="T72" s="198"/>
      <c r="U72" s="198"/>
    </row>
    <row r="73" spans="1:21" s="12" customFormat="1" x14ac:dyDescent="0.25">
      <c r="A73" s="214" t="s">
        <v>2134</v>
      </c>
      <c r="B73" s="64">
        <v>6.58</v>
      </c>
      <c r="C73" s="64">
        <v>29.5</v>
      </c>
      <c r="D73" s="64">
        <v>22.85</v>
      </c>
      <c r="E73" s="64">
        <v>3.65</v>
      </c>
      <c r="F73" s="64">
        <v>13.33</v>
      </c>
      <c r="G73" s="64">
        <v>100.51</v>
      </c>
      <c r="H73" s="64">
        <v>44.58</v>
      </c>
      <c r="I73" s="64">
        <v>1.56</v>
      </c>
      <c r="J73" s="64">
        <v>0.54</v>
      </c>
      <c r="K73" s="64">
        <v>330.14</v>
      </c>
      <c r="L73" s="64">
        <v>27.3</v>
      </c>
      <c r="M73" s="64">
        <v>48.77</v>
      </c>
      <c r="N73" s="64">
        <v>77.7</v>
      </c>
      <c r="O73" s="64">
        <v>0</v>
      </c>
      <c r="P73" s="64">
        <v>0.72</v>
      </c>
      <c r="Q73" s="64">
        <v>4.82</v>
      </c>
      <c r="R73" s="198"/>
      <c r="S73" s="198"/>
      <c r="T73" s="198"/>
      <c r="U73" s="198"/>
    </row>
    <row r="74" spans="1:21" s="12" customFormat="1" x14ac:dyDescent="0.25">
      <c r="A74" s="214" t="s">
        <v>2135</v>
      </c>
      <c r="B74" s="64">
        <v>10.11</v>
      </c>
      <c r="C74" s="64">
        <v>31.61</v>
      </c>
      <c r="D74" s="64">
        <v>26.85</v>
      </c>
      <c r="E74" s="64">
        <v>4.62</v>
      </c>
      <c r="F74" s="64">
        <v>13.92</v>
      </c>
      <c r="G74" s="64">
        <v>100.51</v>
      </c>
      <c r="H74" s="64">
        <v>44.58</v>
      </c>
      <c r="I74" s="64">
        <v>1.45</v>
      </c>
      <c r="J74" s="64">
        <v>0.25</v>
      </c>
      <c r="K74" s="64">
        <v>33.57</v>
      </c>
      <c r="L74" s="64">
        <v>26.75</v>
      </c>
      <c r="M74" s="64">
        <v>51.12</v>
      </c>
      <c r="N74" s="64">
        <v>66.7</v>
      </c>
      <c r="O74" s="64">
        <v>0</v>
      </c>
      <c r="P74" s="64">
        <v>0.67</v>
      </c>
      <c r="Q74" s="64">
        <v>4.32</v>
      </c>
      <c r="R74" s="198"/>
      <c r="S74" s="198"/>
      <c r="T74" s="198"/>
      <c r="U74" s="198"/>
    </row>
    <row r="75" spans="1:21" s="12" customFormat="1" x14ac:dyDescent="0.25">
      <c r="A75" s="214" t="s">
        <v>2136</v>
      </c>
      <c r="B75" s="64">
        <v>8.0299999999999994</v>
      </c>
      <c r="C75" s="64">
        <v>28.55</v>
      </c>
      <c r="D75" s="64">
        <v>23.48</v>
      </c>
      <c r="E75" s="64">
        <v>4.5</v>
      </c>
      <c r="F75" s="64">
        <v>15.11</v>
      </c>
      <c r="G75" s="64">
        <v>101.06</v>
      </c>
      <c r="H75" s="64">
        <v>44.5</v>
      </c>
      <c r="I75" s="64">
        <v>1.51</v>
      </c>
      <c r="J75" s="64">
        <v>0.81</v>
      </c>
      <c r="K75" s="64">
        <v>336.25</v>
      </c>
      <c r="L75" s="64">
        <v>26.79</v>
      </c>
      <c r="M75" s="64">
        <v>50.26</v>
      </c>
      <c r="N75" s="64">
        <v>53.3</v>
      </c>
      <c r="O75" s="64">
        <v>0</v>
      </c>
      <c r="P75" s="64">
        <v>0.74</v>
      </c>
      <c r="Q75" s="64">
        <v>4.41</v>
      </c>
      <c r="R75" s="198"/>
      <c r="S75" s="198"/>
      <c r="T75" s="198"/>
      <c r="U75" s="198"/>
    </row>
    <row r="76" spans="1:21" s="12" customFormat="1" x14ac:dyDescent="0.25">
      <c r="A76" s="214" t="s">
        <v>2137</v>
      </c>
      <c r="B76" s="64">
        <v>6.9</v>
      </c>
      <c r="C76" s="64">
        <v>23.07</v>
      </c>
      <c r="D76" s="64">
        <v>19.559999999999999</v>
      </c>
      <c r="E76" s="64">
        <v>3.27</v>
      </c>
      <c r="F76" s="64">
        <v>5.89</v>
      </c>
      <c r="G76" s="64">
        <v>107.66</v>
      </c>
      <c r="H76" s="64">
        <v>43.71</v>
      </c>
      <c r="I76" s="64">
        <v>1.46</v>
      </c>
      <c r="J76" s="64">
        <v>0.92</v>
      </c>
      <c r="K76" s="64">
        <v>336.85</v>
      </c>
      <c r="L76" s="64">
        <v>26.57</v>
      </c>
      <c r="M76" s="64">
        <v>51.4</v>
      </c>
      <c r="N76" s="64">
        <v>40.1</v>
      </c>
      <c r="O76" s="64">
        <v>0</v>
      </c>
      <c r="P76" s="64">
        <v>0.73</v>
      </c>
      <c r="Q76" s="64">
        <v>4.68</v>
      </c>
      <c r="R76" s="198"/>
      <c r="S76" s="198"/>
      <c r="T76" s="198"/>
      <c r="U76" s="198"/>
    </row>
    <row r="77" spans="1:21" s="12" customFormat="1" x14ac:dyDescent="0.25">
      <c r="A77" s="214" t="s">
        <v>2138</v>
      </c>
      <c r="B77" s="64">
        <v>7.85</v>
      </c>
      <c r="C77" s="64">
        <v>42.78</v>
      </c>
      <c r="D77" s="64">
        <v>31.2</v>
      </c>
      <c r="E77" s="64">
        <v>2.08</v>
      </c>
      <c r="F77" s="64">
        <v>14.22</v>
      </c>
      <c r="G77" s="64">
        <v>107.66</v>
      </c>
      <c r="H77" s="64">
        <v>43.71</v>
      </c>
      <c r="I77" s="64">
        <v>1.5</v>
      </c>
      <c r="J77" s="64">
        <v>0.17</v>
      </c>
      <c r="K77" s="64">
        <v>344.37</v>
      </c>
      <c r="L77" s="64">
        <v>26.07</v>
      </c>
      <c r="M77" s="64">
        <v>51.91</v>
      </c>
      <c r="N77" s="64">
        <v>28.1</v>
      </c>
      <c r="O77" s="64">
        <v>0</v>
      </c>
      <c r="P77" s="64">
        <v>0.82</v>
      </c>
      <c r="Q77" s="64">
        <v>4.16</v>
      </c>
      <c r="R77" s="198"/>
      <c r="S77" s="198"/>
      <c r="T77" s="198"/>
      <c r="U77" s="198"/>
    </row>
    <row r="78" spans="1:21" s="12" customFormat="1" x14ac:dyDescent="0.25">
      <c r="A78" s="214" t="s">
        <v>2139</v>
      </c>
      <c r="B78" s="64">
        <v>10.02</v>
      </c>
      <c r="C78" s="64">
        <v>54.27</v>
      </c>
      <c r="D78" s="64">
        <v>39.28</v>
      </c>
      <c r="E78" s="64">
        <v>3.93</v>
      </c>
      <c r="F78" s="64">
        <v>22.78</v>
      </c>
      <c r="G78" s="64">
        <v>107.66</v>
      </c>
      <c r="H78" s="64">
        <v>43.71</v>
      </c>
      <c r="I78" s="64">
        <v>1.37</v>
      </c>
      <c r="J78" s="64">
        <v>0.14000000000000001</v>
      </c>
      <c r="K78" s="64">
        <v>55.57</v>
      </c>
      <c r="L78" s="64">
        <v>25.75</v>
      </c>
      <c r="M78" s="64">
        <v>51.25</v>
      </c>
      <c r="N78" s="64">
        <v>20.100000000000001</v>
      </c>
      <c r="O78" s="64">
        <v>0</v>
      </c>
      <c r="P78" s="64">
        <v>0.91</v>
      </c>
      <c r="Q78" s="64">
        <v>2.93</v>
      </c>
      <c r="R78" s="198"/>
      <c r="S78" s="198"/>
      <c r="T78" s="198"/>
      <c r="U78" s="198"/>
    </row>
    <row r="79" spans="1:21" s="12" customFormat="1" x14ac:dyDescent="0.25">
      <c r="A79" s="214" t="s">
        <v>2140</v>
      </c>
      <c r="B79" s="64">
        <v>4.41</v>
      </c>
      <c r="C79" s="64">
        <v>48.12</v>
      </c>
      <c r="D79" s="64">
        <v>31.39</v>
      </c>
      <c r="E79" s="64">
        <v>5.65</v>
      </c>
      <c r="F79" s="64">
        <v>34.75</v>
      </c>
      <c r="G79" s="64">
        <v>107.85</v>
      </c>
      <c r="H79" s="64">
        <v>44.18</v>
      </c>
      <c r="I79" s="64">
        <v>1.53</v>
      </c>
      <c r="J79" s="64">
        <v>0.17</v>
      </c>
      <c r="K79" s="64">
        <v>77</v>
      </c>
      <c r="L79" s="64">
        <v>25.28</v>
      </c>
      <c r="M79" s="64">
        <v>52.6</v>
      </c>
      <c r="N79" s="64">
        <v>17.3</v>
      </c>
      <c r="O79" s="64">
        <v>0</v>
      </c>
      <c r="P79" s="64">
        <v>0.75</v>
      </c>
      <c r="Q79" s="64">
        <v>3.13</v>
      </c>
      <c r="R79" s="198"/>
      <c r="S79" s="198"/>
      <c r="T79" s="198"/>
      <c r="U79" s="198"/>
    </row>
    <row r="80" spans="1:21" s="12" customFormat="1" x14ac:dyDescent="0.25">
      <c r="A80" s="214" t="s">
        <v>2141</v>
      </c>
      <c r="B80" s="64">
        <v>5.49</v>
      </c>
      <c r="C80" s="64">
        <v>57.53</v>
      </c>
      <c r="D80" s="64">
        <v>37.450000000000003</v>
      </c>
      <c r="E80" s="64">
        <v>8.82</v>
      </c>
      <c r="F80" s="64">
        <v>27.83</v>
      </c>
      <c r="G80" s="64">
        <v>110.15</v>
      </c>
      <c r="H80" s="64">
        <v>48.89</v>
      </c>
      <c r="I80" s="64">
        <v>1.48</v>
      </c>
      <c r="J80" s="64">
        <v>0.21</v>
      </c>
      <c r="K80" s="64">
        <v>80.19</v>
      </c>
      <c r="L80" s="64">
        <v>24.88</v>
      </c>
      <c r="M80" s="64">
        <v>55.36</v>
      </c>
      <c r="N80" s="64">
        <v>16.8</v>
      </c>
      <c r="O80" s="64">
        <v>0</v>
      </c>
      <c r="P80" s="64">
        <v>0.91</v>
      </c>
      <c r="Q80" s="64">
        <v>3.39</v>
      </c>
      <c r="R80" s="198"/>
      <c r="S80" s="198"/>
      <c r="T80" s="198"/>
      <c r="U80" s="198"/>
    </row>
    <row r="81" spans="1:26" s="12" customFormat="1" x14ac:dyDescent="0.25">
      <c r="A81" s="214" t="s">
        <v>2142</v>
      </c>
      <c r="B81" s="64">
        <v>2.81</v>
      </c>
      <c r="C81" s="64">
        <v>40.83</v>
      </c>
      <c r="D81" s="64">
        <v>26.08</v>
      </c>
      <c r="E81" s="64">
        <v>8.7899999999999991</v>
      </c>
      <c r="F81" s="64">
        <v>38.909999999999997</v>
      </c>
      <c r="G81" s="64">
        <v>110.15</v>
      </c>
      <c r="H81" s="64">
        <v>48.89</v>
      </c>
      <c r="I81" s="64">
        <v>1.54</v>
      </c>
      <c r="J81" s="64">
        <v>0.24</v>
      </c>
      <c r="K81" s="64">
        <v>84.98</v>
      </c>
      <c r="L81" s="64">
        <v>24.65</v>
      </c>
      <c r="M81" s="64">
        <v>58.18</v>
      </c>
      <c r="N81" s="64">
        <v>16.5</v>
      </c>
      <c r="O81" s="64">
        <v>0</v>
      </c>
      <c r="P81" s="64">
        <v>0.72</v>
      </c>
      <c r="Q81" s="64">
        <v>3.43</v>
      </c>
      <c r="R81" s="198"/>
      <c r="S81" s="198"/>
      <c r="T81" s="198"/>
      <c r="U81" s="198"/>
    </row>
    <row r="82" spans="1:26" s="12" customFormat="1" x14ac:dyDescent="0.25">
      <c r="A82" s="214" t="s">
        <v>2143</v>
      </c>
      <c r="B82" s="64">
        <v>2.59</v>
      </c>
      <c r="C82" s="64">
        <v>43.29</v>
      </c>
      <c r="D82" s="64">
        <v>27.27</v>
      </c>
      <c r="E82" s="64">
        <v>7.36</v>
      </c>
      <c r="F82" s="64">
        <v>38.229999999999997</v>
      </c>
      <c r="G82" s="64">
        <v>110.15</v>
      </c>
      <c r="H82" s="64">
        <v>48.89</v>
      </c>
      <c r="I82" s="64">
        <v>1.56</v>
      </c>
      <c r="J82" s="64">
        <v>0.17</v>
      </c>
      <c r="K82" s="64">
        <v>79.150000000000006</v>
      </c>
      <c r="L82" s="64">
        <v>24.53</v>
      </c>
      <c r="M82" s="64">
        <v>59.71</v>
      </c>
      <c r="N82" s="64">
        <v>16.600000000000001</v>
      </c>
      <c r="O82" s="64">
        <v>0</v>
      </c>
      <c r="P82" s="64">
        <v>0.86</v>
      </c>
      <c r="Q82" s="64">
        <v>3.93</v>
      </c>
      <c r="R82" s="198"/>
      <c r="S82" s="198"/>
      <c r="T82" s="198"/>
      <c r="U82" s="198"/>
    </row>
    <row r="83" spans="1:26" s="12" customFormat="1" x14ac:dyDescent="0.25">
      <c r="A83" s="214" t="s">
        <v>2144</v>
      </c>
      <c r="B83" s="64">
        <v>2.31</v>
      </c>
      <c r="C83" s="64">
        <v>42.15</v>
      </c>
      <c r="D83" s="64">
        <v>26.4</v>
      </c>
      <c r="E83" s="64">
        <v>6.81</v>
      </c>
      <c r="F83" s="64">
        <v>34.659999999999997</v>
      </c>
      <c r="G83" s="64">
        <v>110.34</v>
      </c>
      <c r="H83" s="64">
        <v>49.38</v>
      </c>
      <c r="I83" s="64">
        <v>1.52</v>
      </c>
      <c r="J83" s="64">
        <v>0.26</v>
      </c>
      <c r="K83" s="64">
        <v>111.72</v>
      </c>
      <c r="L83" s="64">
        <v>24.45</v>
      </c>
      <c r="M83" s="64">
        <v>60.76</v>
      </c>
      <c r="N83" s="64">
        <v>16</v>
      </c>
      <c r="O83" s="64">
        <v>0</v>
      </c>
      <c r="P83" s="64">
        <v>0.91</v>
      </c>
      <c r="Q83" s="64">
        <v>3.8</v>
      </c>
      <c r="R83" s="198"/>
      <c r="S83" s="198"/>
      <c r="T83" s="198"/>
      <c r="U83" s="198"/>
    </row>
    <row r="84" spans="1:26" s="12" customFormat="1" x14ac:dyDescent="0.25">
      <c r="A84" s="214" t="s">
        <v>2145</v>
      </c>
      <c r="B84" s="64">
        <v>3.01</v>
      </c>
      <c r="C84" s="64">
        <v>35.57</v>
      </c>
      <c r="D84" s="64">
        <v>23.33</v>
      </c>
      <c r="E84" s="64">
        <v>5.32</v>
      </c>
      <c r="F84" s="64">
        <v>14.78</v>
      </c>
      <c r="G84" s="64">
        <v>112.6</v>
      </c>
      <c r="H84" s="64">
        <v>54.22</v>
      </c>
      <c r="I84" s="64">
        <v>1.46</v>
      </c>
      <c r="J84" s="64">
        <v>0.2</v>
      </c>
      <c r="K84" s="64">
        <v>99.71</v>
      </c>
      <c r="L84" s="64">
        <v>24.43</v>
      </c>
      <c r="M84" s="64">
        <v>61.09</v>
      </c>
      <c r="N84" s="64">
        <v>16.3</v>
      </c>
      <c r="O84" s="64">
        <v>0</v>
      </c>
      <c r="P84" s="64">
        <v>0.89</v>
      </c>
      <c r="Q84" s="64">
        <v>3.77</v>
      </c>
      <c r="R84" s="198"/>
      <c r="S84" s="198"/>
      <c r="T84" s="198"/>
      <c r="U84" s="198"/>
    </row>
    <row r="85" spans="1:26" s="12" customFormat="1" x14ac:dyDescent="0.25">
      <c r="A85" s="214" t="s">
        <v>2146</v>
      </c>
      <c r="B85" s="64">
        <v>3.21</v>
      </c>
      <c r="C85" s="64">
        <v>43.52</v>
      </c>
      <c r="D85" s="64">
        <v>27.88</v>
      </c>
      <c r="E85" s="64">
        <v>3.66</v>
      </c>
      <c r="F85" s="64">
        <v>22.68</v>
      </c>
      <c r="G85" s="64">
        <v>112.6</v>
      </c>
      <c r="H85" s="64">
        <v>54.22</v>
      </c>
      <c r="I85" s="64">
        <v>1.53</v>
      </c>
      <c r="J85" s="64">
        <v>0.19</v>
      </c>
      <c r="K85" s="64">
        <v>88.57</v>
      </c>
      <c r="L85" s="64">
        <v>24.26</v>
      </c>
      <c r="M85" s="64">
        <v>61.18</v>
      </c>
      <c r="N85" s="64">
        <v>16.3</v>
      </c>
      <c r="O85" s="64">
        <v>0</v>
      </c>
      <c r="P85" s="64">
        <v>0.96</v>
      </c>
      <c r="Q85" s="64">
        <v>3.77</v>
      </c>
      <c r="R85" s="198"/>
      <c r="S85" s="198"/>
      <c r="T85" s="198"/>
      <c r="U85" s="198"/>
    </row>
    <row r="86" spans="1:26" s="12" customFormat="1" x14ac:dyDescent="0.25">
      <c r="A86" s="214" t="s">
        <v>2147</v>
      </c>
      <c r="B86" s="64">
        <v>4.72</v>
      </c>
      <c r="C86" s="64">
        <v>52.24</v>
      </c>
      <c r="D86" s="64">
        <v>33.909999999999997</v>
      </c>
      <c r="E86" s="64">
        <v>4.8</v>
      </c>
      <c r="F86" s="64">
        <v>22.94</v>
      </c>
      <c r="G86" s="64">
        <v>112.6</v>
      </c>
      <c r="H86" s="64">
        <v>54.22</v>
      </c>
      <c r="I86" s="64">
        <v>1.46</v>
      </c>
      <c r="J86" s="64">
        <v>0.19</v>
      </c>
      <c r="K86" s="64">
        <v>74.48</v>
      </c>
      <c r="L86" s="64">
        <v>24.15</v>
      </c>
      <c r="M86" s="64">
        <v>61.38</v>
      </c>
      <c r="N86" s="64">
        <v>16.399999999999999</v>
      </c>
      <c r="O86" s="64">
        <v>0</v>
      </c>
      <c r="P86" s="64">
        <v>1.08</v>
      </c>
      <c r="Q86" s="64">
        <v>3.17</v>
      </c>
      <c r="R86" s="198"/>
      <c r="S86" s="198"/>
      <c r="T86" s="198"/>
      <c r="U86" s="198"/>
    </row>
    <row r="87" spans="1:26" s="12" customFormat="1" x14ac:dyDescent="0.25">
      <c r="A87" s="214" t="s">
        <v>2148</v>
      </c>
      <c r="B87" s="64">
        <v>5.34</v>
      </c>
      <c r="C87" s="64">
        <v>36.85</v>
      </c>
      <c r="D87" s="64">
        <v>25.91</v>
      </c>
      <c r="E87" s="64">
        <v>4.84</v>
      </c>
      <c r="F87" s="64">
        <v>13.64</v>
      </c>
      <c r="G87" s="64">
        <v>113.77</v>
      </c>
      <c r="H87" s="64">
        <v>54.29</v>
      </c>
      <c r="I87" s="64">
        <v>1.5</v>
      </c>
      <c r="J87" s="64">
        <v>0.21</v>
      </c>
      <c r="K87" s="64">
        <v>91.01</v>
      </c>
      <c r="L87" s="64">
        <v>23.98</v>
      </c>
      <c r="M87" s="64">
        <v>62.75</v>
      </c>
      <c r="N87" s="64">
        <v>16.399999999999999</v>
      </c>
      <c r="O87" s="64">
        <v>0</v>
      </c>
      <c r="P87" s="64">
        <v>0.94</v>
      </c>
      <c r="Q87" s="64">
        <v>2.84</v>
      </c>
      <c r="R87" s="198"/>
      <c r="S87" s="198"/>
      <c r="T87" s="198"/>
      <c r="U87" s="198"/>
    </row>
    <row r="88" spans="1:26" s="12" customFormat="1" x14ac:dyDescent="0.25">
      <c r="A88" s="214" t="s">
        <v>2149</v>
      </c>
      <c r="B88" s="64">
        <v>4.59</v>
      </c>
      <c r="C88" s="64">
        <v>35.89</v>
      </c>
      <c r="D88" s="64">
        <v>24.78</v>
      </c>
      <c r="E88" s="64">
        <v>1.43</v>
      </c>
      <c r="F88" s="64">
        <v>4.2</v>
      </c>
      <c r="G88" s="64">
        <v>127.66</v>
      </c>
      <c r="H88" s="64">
        <v>55.09</v>
      </c>
      <c r="I88" s="64">
        <v>1.51</v>
      </c>
      <c r="J88" s="64">
        <v>0.17</v>
      </c>
      <c r="K88" s="64">
        <v>66.319999999999993</v>
      </c>
      <c r="L88" s="64">
        <v>23.76</v>
      </c>
      <c r="M88" s="64">
        <v>64.22</v>
      </c>
      <c r="N88" s="64">
        <v>16.5</v>
      </c>
      <c r="O88" s="64">
        <v>0</v>
      </c>
      <c r="P88" s="64">
        <v>1.08</v>
      </c>
      <c r="Q88" s="64">
        <v>4.16</v>
      </c>
      <c r="R88" s="198"/>
      <c r="S88" s="198"/>
      <c r="T88" s="198"/>
      <c r="U88" s="198"/>
    </row>
    <row r="89" spans="1:26" s="12" customFormat="1" x14ac:dyDescent="0.25">
      <c r="A89" s="214" t="s">
        <v>2150</v>
      </c>
      <c r="B89" s="64">
        <v>7.42</v>
      </c>
      <c r="C89" s="64">
        <v>65.62</v>
      </c>
      <c r="D89" s="64">
        <v>43.45</v>
      </c>
      <c r="E89" s="64">
        <v>2.7</v>
      </c>
      <c r="F89" s="64">
        <v>13.57</v>
      </c>
      <c r="G89" s="64">
        <v>127.66</v>
      </c>
      <c r="H89" s="64">
        <v>55.09</v>
      </c>
      <c r="I89" s="64">
        <v>1.49</v>
      </c>
      <c r="J89" s="64">
        <v>0.17</v>
      </c>
      <c r="K89" s="64">
        <v>62.47</v>
      </c>
      <c r="L89" s="64">
        <v>23.65</v>
      </c>
      <c r="M89" s="64">
        <v>64.81</v>
      </c>
      <c r="N89" s="64">
        <v>16.5</v>
      </c>
      <c r="O89" s="64">
        <v>0</v>
      </c>
      <c r="P89" s="64">
        <v>1.41</v>
      </c>
      <c r="Q89" s="64">
        <v>2.57</v>
      </c>
      <c r="R89" s="198"/>
      <c r="S89" s="198"/>
      <c r="T89" s="198"/>
      <c r="U89" s="198"/>
    </row>
    <row r="90" spans="1:26" s="12" customFormat="1" x14ac:dyDescent="0.25">
      <c r="A90" s="214" t="s">
        <v>2151</v>
      </c>
      <c r="B90" s="64">
        <v>3.54</v>
      </c>
      <c r="C90" s="64">
        <v>33.79</v>
      </c>
      <c r="D90" s="64">
        <v>22.78</v>
      </c>
      <c r="E90" s="64">
        <v>3.6</v>
      </c>
      <c r="F90" s="64">
        <v>14.99</v>
      </c>
      <c r="G90" s="64">
        <v>127.66</v>
      </c>
      <c r="H90" s="64">
        <v>55.09</v>
      </c>
      <c r="I90" s="64">
        <v>1.51</v>
      </c>
      <c r="J90" s="64">
        <v>0.36</v>
      </c>
      <c r="K90" s="64">
        <v>89.62</v>
      </c>
      <c r="L90" s="64">
        <v>23.71</v>
      </c>
      <c r="M90" s="64">
        <v>63.64</v>
      </c>
      <c r="N90" s="64">
        <v>15.9</v>
      </c>
      <c r="O90" s="64">
        <v>0</v>
      </c>
      <c r="P90" s="64">
        <v>1.03</v>
      </c>
      <c r="Q90" s="64">
        <v>3.15</v>
      </c>
      <c r="R90" s="198"/>
      <c r="S90" s="198"/>
      <c r="T90" s="198"/>
      <c r="U90" s="198"/>
    </row>
    <row r="91" spans="1:26" s="12" customFormat="1" x14ac:dyDescent="0.25">
      <c r="A91" s="214" t="s">
        <v>2152</v>
      </c>
      <c r="B91" s="64">
        <v>3.24</v>
      </c>
      <c r="C91" s="64">
        <v>30.39</v>
      </c>
      <c r="D91" s="64">
        <v>20.66</v>
      </c>
      <c r="E91" s="64">
        <v>2.27</v>
      </c>
      <c r="F91" s="64">
        <v>16.059999999999999</v>
      </c>
      <c r="G91" s="64">
        <v>128.07</v>
      </c>
      <c r="H91" s="64">
        <v>55.47</v>
      </c>
      <c r="I91" s="64">
        <v>1.51</v>
      </c>
      <c r="J91" s="64">
        <v>0.4</v>
      </c>
      <c r="K91" s="64">
        <v>105.52</v>
      </c>
      <c r="L91" s="64">
        <v>23.68</v>
      </c>
      <c r="M91" s="64">
        <v>63.75</v>
      </c>
      <c r="N91" s="64">
        <v>16.2</v>
      </c>
      <c r="O91" s="64">
        <v>0</v>
      </c>
      <c r="P91" s="64">
        <v>0.93</v>
      </c>
      <c r="Q91" s="64">
        <v>4.2699999999999996</v>
      </c>
      <c r="R91" s="198"/>
      <c r="S91" s="198"/>
      <c r="T91" s="198"/>
      <c r="U91" s="198"/>
    </row>
    <row r="92" spans="1:26" s="12" customFormat="1" x14ac:dyDescent="0.25">
      <c r="A92" s="214" t="s">
        <v>2153</v>
      </c>
      <c r="B92" s="64">
        <v>7.1</v>
      </c>
      <c r="C92" s="64">
        <v>54.35</v>
      </c>
      <c r="D92" s="64">
        <v>36.979999999999997</v>
      </c>
      <c r="E92" s="64">
        <v>2.8</v>
      </c>
      <c r="F92" s="64">
        <v>11.18</v>
      </c>
      <c r="G92" s="64">
        <v>132.94999999999999</v>
      </c>
      <c r="H92" s="64">
        <v>58.72</v>
      </c>
      <c r="I92" s="64">
        <v>1.56</v>
      </c>
      <c r="J92" s="64">
        <v>0.14000000000000001</v>
      </c>
      <c r="K92" s="64">
        <v>61.56</v>
      </c>
      <c r="L92" s="64">
        <v>23.39</v>
      </c>
      <c r="M92" s="64">
        <v>65.92</v>
      </c>
      <c r="N92" s="64">
        <v>16.600000000000001</v>
      </c>
      <c r="O92" s="64">
        <v>0</v>
      </c>
      <c r="P92" s="64">
        <v>1.19</v>
      </c>
      <c r="Q92" s="64">
        <v>3.5</v>
      </c>
      <c r="R92" s="198"/>
      <c r="S92" s="198"/>
      <c r="T92" s="198"/>
      <c r="U92" s="198"/>
    </row>
    <row r="93" spans="1:26" s="12" customFormat="1" x14ac:dyDescent="0.25">
      <c r="A93" s="214" t="s">
        <v>2154</v>
      </c>
      <c r="B93" s="64">
        <v>6.74</v>
      </c>
      <c r="C93" s="64">
        <v>49.95</v>
      </c>
      <c r="D93" s="64">
        <v>34.26</v>
      </c>
      <c r="E93" s="64">
        <v>3.49</v>
      </c>
      <c r="F93" s="64">
        <v>12.52</v>
      </c>
      <c r="G93" s="64">
        <v>132.94999999999999</v>
      </c>
      <c r="H93" s="64">
        <v>58.72</v>
      </c>
      <c r="I93" s="64">
        <v>1.45</v>
      </c>
      <c r="J93" s="64">
        <v>0.19</v>
      </c>
      <c r="K93" s="64">
        <v>85.84</v>
      </c>
      <c r="L93" s="64">
        <v>23.22</v>
      </c>
      <c r="M93" s="64">
        <v>65.650000000000006</v>
      </c>
      <c r="N93" s="64">
        <v>16.399999999999999</v>
      </c>
      <c r="O93" s="64">
        <v>0</v>
      </c>
      <c r="P93" s="64">
        <v>1.19</v>
      </c>
      <c r="Q93" s="64">
        <v>2.1800000000000002</v>
      </c>
      <c r="R93" s="198"/>
      <c r="S93" s="198"/>
      <c r="T93" s="198"/>
      <c r="U93" s="198"/>
    </row>
    <row r="94" spans="1:26" s="12" customFormat="1" x14ac:dyDescent="0.25">
      <c r="A94" s="214" t="s">
        <v>2155</v>
      </c>
      <c r="B94" s="64">
        <v>3.23</v>
      </c>
      <c r="C94" s="64">
        <v>30.3</v>
      </c>
      <c r="D94" s="64">
        <v>20.61</v>
      </c>
      <c r="E94" s="64">
        <v>2.98</v>
      </c>
      <c r="F94" s="64">
        <v>22.72</v>
      </c>
      <c r="G94" s="64">
        <v>132.94999999999999</v>
      </c>
      <c r="H94" s="64">
        <v>58.72</v>
      </c>
      <c r="I94" s="64">
        <v>1.54</v>
      </c>
      <c r="J94" s="64">
        <v>0.36</v>
      </c>
      <c r="K94" s="64">
        <v>98.13</v>
      </c>
      <c r="L94" s="64">
        <v>23.31</v>
      </c>
      <c r="M94" s="64">
        <v>64.52</v>
      </c>
      <c r="N94" s="64">
        <v>16</v>
      </c>
      <c r="O94" s="64">
        <v>0</v>
      </c>
      <c r="P94" s="64">
        <v>0.93</v>
      </c>
      <c r="Q94" s="64">
        <v>3.7</v>
      </c>
      <c r="R94" s="198"/>
      <c r="S94" s="198"/>
      <c r="T94" s="198"/>
      <c r="U94" s="198"/>
    </row>
    <row r="95" spans="1:26" s="12" customFormat="1" x14ac:dyDescent="0.25">
      <c r="A95" s="214" t="s">
        <v>2156</v>
      </c>
      <c r="B95" s="64">
        <v>4</v>
      </c>
      <c r="C95" s="64">
        <v>41.25</v>
      </c>
      <c r="D95" s="64">
        <v>27.27</v>
      </c>
      <c r="E95" s="64">
        <v>2.95</v>
      </c>
      <c r="F95" s="64">
        <v>14.48</v>
      </c>
      <c r="G95" s="64">
        <v>133.26</v>
      </c>
      <c r="H95" s="64">
        <v>58.8</v>
      </c>
      <c r="I95" s="64">
        <v>1.47</v>
      </c>
      <c r="J95" s="64">
        <v>0.08</v>
      </c>
      <c r="K95" s="64">
        <v>59.88</v>
      </c>
      <c r="L95" s="64">
        <v>23.14</v>
      </c>
      <c r="M95" s="64">
        <v>65.45</v>
      </c>
      <c r="N95" s="64">
        <v>16.5</v>
      </c>
      <c r="O95" s="64">
        <v>0</v>
      </c>
      <c r="P95" s="64">
        <v>1.1299999999999999</v>
      </c>
      <c r="Q95" s="64">
        <v>3.85</v>
      </c>
      <c r="R95" s="198"/>
      <c r="S95" s="198"/>
      <c r="T95" s="198"/>
      <c r="U95" s="198"/>
    </row>
    <row r="96" spans="1:26" s="12" customFormat="1" x14ac:dyDescent="0.25">
      <c r="A96" s="214" t="s">
        <v>2157</v>
      </c>
      <c r="B96" s="64">
        <v>3.95</v>
      </c>
      <c r="C96" s="64">
        <v>21.84</v>
      </c>
      <c r="D96" s="64">
        <v>16.52</v>
      </c>
      <c r="E96" s="64">
        <v>2.72</v>
      </c>
      <c r="F96" s="64">
        <v>7.11</v>
      </c>
      <c r="G96" s="64">
        <v>136.99</v>
      </c>
      <c r="H96" s="64">
        <v>59.45</v>
      </c>
      <c r="I96" s="64">
        <v>1.47</v>
      </c>
      <c r="J96" s="64">
        <v>0.31</v>
      </c>
      <c r="K96" s="64">
        <v>95.23</v>
      </c>
      <c r="L96" s="64">
        <v>22.96</v>
      </c>
      <c r="M96" s="64">
        <v>66.349999999999994</v>
      </c>
      <c r="N96" s="64">
        <v>16.2</v>
      </c>
      <c r="O96" s="64">
        <v>0</v>
      </c>
      <c r="P96" s="64">
        <v>0.97</v>
      </c>
      <c r="Q96" s="64">
        <v>3.62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2158</v>
      </c>
      <c r="B97" s="64">
        <v>2.95</v>
      </c>
      <c r="C97" s="64">
        <v>29.75</v>
      </c>
      <c r="D97" s="64">
        <v>20.07</v>
      </c>
      <c r="E97" s="64">
        <v>2.93</v>
      </c>
      <c r="F97" s="64">
        <v>21.07</v>
      </c>
      <c r="G97" s="64">
        <v>136.99</v>
      </c>
      <c r="H97" s="64">
        <v>59.45</v>
      </c>
      <c r="I97" s="64">
        <v>1.5</v>
      </c>
      <c r="J97" s="64">
        <v>0.27</v>
      </c>
      <c r="K97" s="64">
        <v>98.76</v>
      </c>
      <c r="L97" s="64">
        <v>22.96</v>
      </c>
      <c r="M97" s="64">
        <v>67.25</v>
      </c>
      <c r="N97" s="64">
        <v>16.2</v>
      </c>
      <c r="O97" s="64">
        <v>0</v>
      </c>
      <c r="P97" s="64">
        <v>0.93</v>
      </c>
      <c r="Q97" s="64">
        <v>4.12</v>
      </c>
      <c r="R97" s="198"/>
      <c r="S97" s="198"/>
      <c r="T97" s="198"/>
      <c r="U97" s="198"/>
    </row>
    <row r="98" spans="1:33" s="12" customFormat="1" x14ac:dyDescent="0.25">
      <c r="A98" s="214" t="s">
        <v>2159</v>
      </c>
      <c r="B98" s="64">
        <v>2.66</v>
      </c>
      <c r="C98" s="64">
        <v>33.909999999999997</v>
      </c>
      <c r="D98" s="64">
        <v>22.14</v>
      </c>
      <c r="E98" s="64">
        <v>3.2</v>
      </c>
      <c r="F98" s="64">
        <v>17.170000000000002</v>
      </c>
      <c r="G98" s="64">
        <v>136.99</v>
      </c>
      <c r="H98" s="64">
        <v>59.45</v>
      </c>
      <c r="I98" s="64">
        <v>1.55</v>
      </c>
      <c r="J98" s="64">
        <v>0.2</v>
      </c>
      <c r="K98" s="64">
        <v>71.75</v>
      </c>
      <c r="L98" s="64">
        <v>22.82</v>
      </c>
      <c r="M98" s="64">
        <v>67.650000000000006</v>
      </c>
      <c r="N98" s="64">
        <v>16.3</v>
      </c>
      <c r="O98" s="64">
        <v>0</v>
      </c>
      <c r="P98" s="64">
        <v>0.94</v>
      </c>
      <c r="Q98" s="64">
        <v>3.77</v>
      </c>
      <c r="R98" s="198"/>
      <c r="S98" s="198"/>
      <c r="T98" s="198"/>
      <c r="U98" s="198"/>
    </row>
    <row r="99" spans="1:33" s="12" customFormat="1" x14ac:dyDescent="0.25">
      <c r="A99" s="214" t="s">
        <v>2160</v>
      </c>
      <c r="B99" s="64">
        <v>3.36</v>
      </c>
      <c r="C99" s="64">
        <v>22.35</v>
      </c>
      <c r="D99" s="64">
        <v>16.32</v>
      </c>
      <c r="E99" s="64">
        <v>2.16</v>
      </c>
      <c r="F99" s="64">
        <v>4.13</v>
      </c>
      <c r="G99" s="64">
        <v>136.53</v>
      </c>
      <c r="H99" s="64">
        <v>59.57</v>
      </c>
      <c r="I99" s="64">
        <v>1.54</v>
      </c>
      <c r="J99" s="64">
        <v>0.15</v>
      </c>
      <c r="K99" s="64">
        <v>68.290000000000006</v>
      </c>
      <c r="L99" s="64">
        <v>22.66</v>
      </c>
      <c r="M99" s="64">
        <v>68.84</v>
      </c>
      <c r="N99" s="64">
        <v>16.5</v>
      </c>
      <c r="O99" s="64">
        <v>0</v>
      </c>
      <c r="P99" s="64">
        <v>1.01</v>
      </c>
      <c r="Q99" s="64">
        <v>4.42</v>
      </c>
      <c r="R99" s="198"/>
      <c r="S99" s="198"/>
      <c r="T99" s="198"/>
      <c r="U99" s="198"/>
    </row>
    <row r="100" spans="1:33" s="12" customFormat="1" x14ac:dyDescent="0.25">
      <c r="A100" s="214" t="s">
        <v>2161</v>
      </c>
      <c r="B100" s="64">
        <v>9.5</v>
      </c>
      <c r="C100" s="64">
        <v>43.19</v>
      </c>
      <c r="D100" s="64">
        <v>32.74</v>
      </c>
      <c r="E100" s="64">
        <v>1.4</v>
      </c>
      <c r="F100" s="64">
        <v>6.66</v>
      </c>
      <c r="G100" s="64">
        <v>131.06</v>
      </c>
      <c r="H100" s="64">
        <v>60.67</v>
      </c>
      <c r="I100" s="64">
        <v>1.49</v>
      </c>
      <c r="J100" s="64">
        <v>0.1</v>
      </c>
      <c r="K100" s="64">
        <v>42.85</v>
      </c>
      <c r="L100" s="64">
        <v>22.42</v>
      </c>
      <c r="M100" s="64">
        <v>71.2</v>
      </c>
      <c r="N100" s="64">
        <v>16.5</v>
      </c>
      <c r="O100" s="64">
        <v>0</v>
      </c>
      <c r="P100" s="64">
        <v>1.06</v>
      </c>
      <c r="Q100" s="64">
        <v>3.64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2162</v>
      </c>
      <c r="B101" s="64">
        <v>6.63</v>
      </c>
      <c r="C101" s="64">
        <v>38.82</v>
      </c>
      <c r="D101" s="64">
        <v>28.03</v>
      </c>
      <c r="E101" s="64">
        <v>2.13</v>
      </c>
      <c r="F101" s="64">
        <v>9.0299999999999994</v>
      </c>
      <c r="G101" s="64">
        <v>131.06</v>
      </c>
      <c r="H101" s="64">
        <v>60.67</v>
      </c>
      <c r="I101" s="64">
        <v>1.52</v>
      </c>
      <c r="J101" s="64">
        <v>0.12</v>
      </c>
      <c r="K101" s="64">
        <v>32</v>
      </c>
      <c r="L101" s="64">
        <v>22.22</v>
      </c>
      <c r="M101" s="64">
        <v>72.37</v>
      </c>
      <c r="N101" s="64">
        <v>16.399999999999999</v>
      </c>
      <c r="O101" s="64">
        <v>0</v>
      </c>
      <c r="P101" s="64">
        <v>1.03</v>
      </c>
      <c r="Q101" s="64">
        <v>1.63</v>
      </c>
      <c r="R101" s="198"/>
      <c r="S101" s="198"/>
      <c r="T101" s="198"/>
      <c r="U101" s="198"/>
    </row>
    <row r="102" spans="1:33" s="12" customFormat="1" x14ac:dyDescent="0.25">
      <c r="A102" s="214" t="s">
        <v>2163</v>
      </c>
      <c r="B102" s="64">
        <v>5.67</v>
      </c>
      <c r="C102" s="64">
        <v>22.74</v>
      </c>
      <c r="D102" s="64">
        <v>18.39</v>
      </c>
      <c r="E102" s="64">
        <v>1.55</v>
      </c>
      <c r="F102" s="64">
        <v>2.29</v>
      </c>
      <c r="G102" s="64">
        <v>131.06</v>
      </c>
      <c r="H102" s="64">
        <v>60.67</v>
      </c>
      <c r="I102" s="64">
        <v>1.55</v>
      </c>
      <c r="J102" s="64">
        <v>0.13</v>
      </c>
      <c r="K102" s="64">
        <v>59.24</v>
      </c>
      <c r="L102" s="64">
        <v>21.96</v>
      </c>
      <c r="M102" s="64">
        <v>73.63</v>
      </c>
      <c r="N102" s="64">
        <v>16.5</v>
      </c>
      <c r="O102" s="64">
        <v>0</v>
      </c>
      <c r="P102" s="64">
        <v>1.01</v>
      </c>
      <c r="Q102" s="64">
        <v>4.1100000000000003</v>
      </c>
      <c r="R102" s="198"/>
      <c r="S102" s="198"/>
      <c r="T102" s="198"/>
      <c r="U102" s="198"/>
    </row>
    <row r="103" spans="1:33" s="12" customFormat="1" x14ac:dyDescent="0.25">
      <c r="A103" s="214" t="s">
        <v>2164</v>
      </c>
      <c r="B103" s="64">
        <v>4.03</v>
      </c>
      <c r="C103" s="64">
        <v>38.549999999999997</v>
      </c>
      <c r="D103" s="64">
        <v>25.8</v>
      </c>
      <c r="E103" s="64">
        <v>1.22</v>
      </c>
      <c r="F103" s="64">
        <v>11.87</v>
      </c>
      <c r="G103" s="64">
        <v>131</v>
      </c>
      <c r="H103" s="64">
        <v>60.32</v>
      </c>
      <c r="I103" s="64">
        <v>1.51</v>
      </c>
      <c r="J103" s="64">
        <v>0.1</v>
      </c>
      <c r="K103" s="64">
        <v>56.08</v>
      </c>
      <c r="L103" s="64">
        <v>21.81</v>
      </c>
      <c r="M103" s="64">
        <v>74.52</v>
      </c>
      <c r="N103" s="64">
        <v>16.5</v>
      </c>
      <c r="O103" s="64">
        <v>0</v>
      </c>
      <c r="P103" s="64">
        <v>0.94</v>
      </c>
      <c r="Q103" s="64">
        <v>4.33</v>
      </c>
      <c r="R103" s="198"/>
      <c r="S103" s="198"/>
      <c r="T103" s="198"/>
      <c r="U103" s="198"/>
    </row>
    <row r="104" spans="1:33" s="12" customFormat="1" x14ac:dyDescent="0.25">
      <c r="A104" s="214" t="s">
        <v>2165</v>
      </c>
      <c r="B104" s="64">
        <v>4</v>
      </c>
      <c r="C104" s="64">
        <v>24.49</v>
      </c>
      <c r="D104" s="64">
        <v>18.02</v>
      </c>
      <c r="E104" s="64">
        <v>0.61</v>
      </c>
      <c r="F104" s="64">
        <v>5.85</v>
      </c>
      <c r="G104" s="64">
        <v>130.19999999999999</v>
      </c>
      <c r="H104" s="64">
        <v>56.78</v>
      </c>
      <c r="I104" s="64">
        <v>1.5</v>
      </c>
      <c r="J104" s="64">
        <v>7.0000000000000007E-2</v>
      </c>
      <c r="K104" s="64">
        <v>261.86</v>
      </c>
      <c r="L104" s="64">
        <v>21.47</v>
      </c>
      <c r="M104" s="64">
        <v>77.739999999999995</v>
      </c>
      <c r="N104" s="64">
        <v>16.7</v>
      </c>
      <c r="O104" s="64">
        <v>0</v>
      </c>
      <c r="P104" s="64">
        <v>0.95</v>
      </c>
      <c r="Q104" s="64">
        <v>4.33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2.31</v>
      </c>
      <c r="C106" s="67">
        <f>MIN(C9:C104)</f>
        <v>14.4</v>
      </c>
      <c r="D106" s="67">
        <f t="shared" ref="D106:Q106" si="0">MIN(D9:D104)</f>
        <v>16.05</v>
      </c>
      <c r="E106" s="67">
        <f t="shared" si="0"/>
        <v>0.35</v>
      </c>
      <c r="F106" s="67">
        <f t="shared" si="0"/>
        <v>0.62</v>
      </c>
      <c r="G106" s="67">
        <f t="shared" si="0"/>
        <v>95.7</v>
      </c>
      <c r="H106" s="67">
        <f t="shared" si="0"/>
        <v>37.97</v>
      </c>
      <c r="I106" s="67">
        <f t="shared" si="0"/>
        <v>1.37</v>
      </c>
      <c r="J106" s="67">
        <f t="shared" si="0"/>
        <v>0.01</v>
      </c>
      <c r="K106" s="67">
        <f t="shared" si="0"/>
        <v>7.13</v>
      </c>
      <c r="L106" s="67">
        <f t="shared" si="0"/>
        <v>20.59</v>
      </c>
      <c r="M106" s="67">
        <f t="shared" si="0"/>
        <v>40.89</v>
      </c>
      <c r="N106" s="67">
        <f t="shared" si="0"/>
        <v>15.9</v>
      </c>
      <c r="O106" s="67">
        <f t="shared" si="0"/>
        <v>0</v>
      </c>
      <c r="P106" s="67">
        <f t="shared" si="0"/>
        <v>0.64</v>
      </c>
      <c r="Q106" s="67">
        <f t="shared" si="0"/>
        <v>1.63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15.31</v>
      </c>
      <c r="C107" s="66">
        <f t="shared" ref="C107:Q107" si="1">MAX(C9:C104)</f>
        <v>65.62</v>
      </c>
      <c r="D107" s="66">
        <f t="shared" si="1"/>
        <v>43.45</v>
      </c>
      <c r="E107" s="66">
        <f t="shared" si="1"/>
        <v>8.82</v>
      </c>
      <c r="F107" s="66">
        <f t="shared" si="1"/>
        <v>38.909999999999997</v>
      </c>
      <c r="G107" s="66">
        <f t="shared" si="1"/>
        <v>150.29</v>
      </c>
      <c r="H107" s="66">
        <f t="shared" si="1"/>
        <v>67.569999999999993</v>
      </c>
      <c r="I107" s="66">
        <f t="shared" si="1"/>
        <v>1.62</v>
      </c>
      <c r="J107" s="66">
        <f t="shared" si="1"/>
        <v>1.24</v>
      </c>
      <c r="K107" s="66">
        <f t="shared" si="1"/>
        <v>355.4</v>
      </c>
      <c r="L107" s="66">
        <f t="shared" si="1"/>
        <v>32.479999999999997</v>
      </c>
      <c r="M107" s="66">
        <f t="shared" si="1"/>
        <v>92.14</v>
      </c>
      <c r="N107" s="66">
        <f t="shared" si="1"/>
        <v>783.3</v>
      </c>
      <c r="O107" s="66">
        <f t="shared" si="1"/>
        <v>0</v>
      </c>
      <c r="P107" s="66">
        <f t="shared" si="1"/>
        <v>1.47</v>
      </c>
      <c r="Q107" s="66">
        <f t="shared" si="1"/>
        <v>5.64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8.944583333333334</v>
      </c>
      <c r="C108" s="67">
        <f t="shared" ref="C108:Q108" si="2">AVERAGE(C9:C104)</f>
        <v>27.753437499999986</v>
      </c>
      <c r="D108" s="67">
        <f t="shared" si="2"/>
        <v>23.78187500000001</v>
      </c>
      <c r="E108" s="67">
        <f t="shared" si="2"/>
        <v>2.2392708333333338</v>
      </c>
      <c r="F108" s="67">
        <f t="shared" si="2"/>
        <v>8.9018750000000004</v>
      </c>
      <c r="G108" s="67">
        <f t="shared" si="2"/>
        <v>118.75208333333332</v>
      </c>
      <c r="H108" s="67">
        <f t="shared" si="2"/>
        <v>51.821979166666672</v>
      </c>
      <c r="I108" s="67">
        <f t="shared" si="2"/>
        <v>1.5059375000000002</v>
      </c>
      <c r="J108" s="67">
        <f t="shared" si="2"/>
        <v>0.3701041666666669</v>
      </c>
      <c r="K108" s="67">
        <f t="shared" si="2"/>
        <v>195.51479166666664</v>
      </c>
      <c r="L108" s="67">
        <f t="shared" si="2"/>
        <v>25.073958333333323</v>
      </c>
      <c r="M108" s="67">
        <f t="shared" si="2"/>
        <v>63.964166666666699</v>
      </c>
      <c r="N108" s="67">
        <f t="shared" si="2"/>
        <v>199.11041666666668</v>
      </c>
      <c r="O108" s="67">
        <f t="shared" si="2"/>
        <v>0</v>
      </c>
      <c r="P108" s="67">
        <f t="shared" si="2"/>
        <v>0.93197916666666647</v>
      </c>
      <c r="Q108" s="67">
        <f t="shared" si="2"/>
        <v>4.63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3.5893840306239575</v>
      </c>
      <c r="C109" s="67">
        <f t="shared" ref="C109:Q109" si="3">STDEV(C9:C104)</f>
        <v>10.920205688069146</v>
      </c>
      <c r="D109" s="67">
        <f t="shared" si="3"/>
        <v>5.3437275207283106</v>
      </c>
      <c r="E109" s="67">
        <f t="shared" si="3"/>
        <v>1.8735967351266367</v>
      </c>
      <c r="F109" s="67">
        <f t="shared" si="3"/>
        <v>8.6746274074391643</v>
      </c>
      <c r="G109" s="67">
        <f t="shared" si="3"/>
        <v>16.12496168362102</v>
      </c>
      <c r="H109" s="67">
        <f t="shared" si="3"/>
        <v>9.3961683814303889</v>
      </c>
      <c r="I109" s="67">
        <f t="shared" si="3"/>
        <v>4.1966857224042413E-2</v>
      </c>
      <c r="J109" s="67">
        <f t="shared" si="3"/>
        <v>0.2736478520467947</v>
      </c>
      <c r="K109" s="67">
        <f t="shared" si="3"/>
        <v>136.04250333495168</v>
      </c>
      <c r="L109" s="67">
        <f t="shared" si="3"/>
        <v>3.4852695974152534</v>
      </c>
      <c r="M109" s="67">
        <f t="shared" si="3"/>
        <v>16.150267566084963</v>
      </c>
      <c r="N109" s="67">
        <f t="shared" si="3"/>
        <v>269.4796383204087</v>
      </c>
      <c r="O109" s="67">
        <f t="shared" si="3"/>
        <v>0</v>
      </c>
      <c r="P109" s="67">
        <f t="shared" si="3"/>
        <v>0.18492456380439654</v>
      </c>
      <c r="Q109" s="67">
        <f t="shared" si="3"/>
        <v>0.84793619422318156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2166</v>
      </c>
      <c r="B9" s="64">
        <v>12.55</v>
      </c>
      <c r="C9" s="64">
        <v>40.119999999999997</v>
      </c>
      <c r="D9" s="64">
        <v>33.5</v>
      </c>
      <c r="E9" s="64">
        <v>1.22</v>
      </c>
      <c r="F9" s="64">
        <v>2.64</v>
      </c>
      <c r="G9" s="64">
        <v>130.19999999999999</v>
      </c>
      <c r="H9" s="64">
        <v>56.78</v>
      </c>
      <c r="I9" s="64">
        <v>1.55</v>
      </c>
      <c r="J9" s="64">
        <v>0.17</v>
      </c>
      <c r="K9" s="64">
        <v>311.68</v>
      </c>
      <c r="L9" s="64">
        <v>20.95</v>
      </c>
      <c r="M9" s="64">
        <v>84.34</v>
      </c>
      <c r="N9" s="64">
        <v>16.8</v>
      </c>
      <c r="O9" s="64">
        <v>0</v>
      </c>
      <c r="P9" s="64">
        <v>1.23</v>
      </c>
      <c r="Q9" s="64">
        <v>3.35</v>
      </c>
      <c r="R9" s="198"/>
      <c r="S9" s="198"/>
      <c r="T9" s="198"/>
      <c r="U9" s="198"/>
    </row>
    <row r="10" spans="1:21" s="12" customFormat="1" x14ac:dyDescent="0.25">
      <c r="A10" s="214" t="s">
        <v>2167</v>
      </c>
      <c r="B10" s="64">
        <v>6.96</v>
      </c>
      <c r="C10" s="64">
        <v>30.7</v>
      </c>
      <c r="D10" s="64">
        <v>23.81</v>
      </c>
      <c r="E10" s="64">
        <v>1.1100000000000001</v>
      </c>
      <c r="F10" s="64">
        <v>1.87</v>
      </c>
      <c r="G10" s="64">
        <v>130.19999999999999</v>
      </c>
      <c r="H10" s="64">
        <v>56.78</v>
      </c>
      <c r="I10" s="64">
        <v>1.48</v>
      </c>
      <c r="J10" s="64">
        <v>0.1</v>
      </c>
      <c r="K10" s="64">
        <v>297.44</v>
      </c>
      <c r="L10" s="64">
        <v>20.34</v>
      </c>
      <c r="M10" s="64">
        <v>87.2</v>
      </c>
      <c r="N10" s="64">
        <v>16.7</v>
      </c>
      <c r="O10" s="64">
        <v>0</v>
      </c>
      <c r="P10" s="64">
        <v>1.1100000000000001</v>
      </c>
      <c r="Q10" s="64">
        <v>4.0999999999999996</v>
      </c>
      <c r="R10" s="198"/>
      <c r="S10" s="198"/>
      <c r="T10" s="198"/>
      <c r="U10" s="198"/>
    </row>
    <row r="11" spans="1:21" s="12" customFormat="1" x14ac:dyDescent="0.25">
      <c r="A11" s="214" t="s">
        <v>2168</v>
      </c>
      <c r="B11" s="64">
        <v>8.61</v>
      </c>
      <c r="C11" s="64">
        <v>23.58</v>
      </c>
      <c r="D11" s="64">
        <v>21.21</v>
      </c>
      <c r="E11" s="64">
        <v>1.2</v>
      </c>
      <c r="F11" s="64">
        <v>1.89</v>
      </c>
      <c r="G11" s="64">
        <v>130.82</v>
      </c>
      <c r="H11" s="64">
        <v>56.87</v>
      </c>
      <c r="I11" s="64">
        <v>1.45</v>
      </c>
      <c r="J11" s="64">
        <v>0.13</v>
      </c>
      <c r="K11" s="64">
        <v>305.27999999999997</v>
      </c>
      <c r="L11" s="64">
        <v>20.07</v>
      </c>
      <c r="M11" s="64">
        <v>91.54</v>
      </c>
      <c r="N11" s="64">
        <v>16.7</v>
      </c>
      <c r="O11" s="64">
        <v>0</v>
      </c>
      <c r="P11" s="64">
        <v>1.1200000000000001</v>
      </c>
      <c r="Q11" s="64">
        <v>3.71</v>
      </c>
      <c r="R11" s="198"/>
      <c r="S11" s="198"/>
      <c r="T11" s="198"/>
      <c r="U11" s="198"/>
    </row>
    <row r="12" spans="1:21" s="12" customFormat="1" x14ac:dyDescent="0.25">
      <c r="A12" s="214" t="s">
        <v>2169</v>
      </c>
      <c r="B12" s="64">
        <v>6.72</v>
      </c>
      <c r="C12" s="64">
        <v>16.79</v>
      </c>
      <c r="D12" s="64">
        <v>15.94</v>
      </c>
      <c r="E12" s="64">
        <v>0.95</v>
      </c>
      <c r="F12" s="64">
        <v>0.56999999999999995</v>
      </c>
      <c r="G12" s="64">
        <v>138.12</v>
      </c>
      <c r="H12" s="64">
        <v>57.82</v>
      </c>
      <c r="I12" s="64">
        <v>1.52</v>
      </c>
      <c r="J12" s="64">
        <v>0.18</v>
      </c>
      <c r="K12" s="64">
        <v>323.73</v>
      </c>
      <c r="L12" s="64">
        <v>19.87</v>
      </c>
      <c r="M12" s="64">
        <v>93.6</v>
      </c>
      <c r="N12" s="64">
        <v>16.3</v>
      </c>
      <c r="O12" s="64">
        <v>0</v>
      </c>
      <c r="P12" s="64">
        <v>1.06</v>
      </c>
      <c r="Q12" s="64">
        <v>4.6500000000000004</v>
      </c>
      <c r="R12" s="198"/>
      <c r="S12" s="198"/>
      <c r="T12" s="198"/>
      <c r="U12" s="198"/>
    </row>
    <row r="13" spans="1:21" s="12" customFormat="1" x14ac:dyDescent="0.25">
      <c r="A13" s="214" t="s">
        <v>2170</v>
      </c>
      <c r="B13" s="64">
        <v>7.53</v>
      </c>
      <c r="C13" s="64">
        <v>19.05</v>
      </c>
      <c r="D13" s="64">
        <v>17.84</v>
      </c>
      <c r="E13" s="64">
        <v>1.18</v>
      </c>
      <c r="F13" s="64">
        <v>1.06</v>
      </c>
      <c r="G13" s="64">
        <v>138.12</v>
      </c>
      <c r="H13" s="64">
        <v>57.82</v>
      </c>
      <c r="I13" s="64">
        <v>1.53</v>
      </c>
      <c r="J13" s="64">
        <v>0.16</v>
      </c>
      <c r="K13" s="64">
        <v>319.7</v>
      </c>
      <c r="L13" s="64">
        <v>19.77</v>
      </c>
      <c r="M13" s="64">
        <v>95.43</v>
      </c>
      <c r="N13" s="64">
        <v>16.3</v>
      </c>
      <c r="O13" s="64">
        <v>0</v>
      </c>
      <c r="P13" s="64">
        <v>1.01</v>
      </c>
      <c r="Q13" s="64">
        <v>4.71</v>
      </c>
      <c r="R13" s="198"/>
      <c r="S13" s="198"/>
      <c r="T13" s="198"/>
      <c r="U13" s="198"/>
    </row>
    <row r="14" spans="1:21" s="12" customFormat="1" x14ac:dyDescent="0.25">
      <c r="A14" s="214" t="s">
        <v>2171</v>
      </c>
      <c r="B14" s="64">
        <v>7.48</v>
      </c>
      <c r="C14" s="64">
        <v>15.02</v>
      </c>
      <c r="D14" s="64">
        <v>15.58</v>
      </c>
      <c r="E14" s="64">
        <v>0.97</v>
      </c>
      <c r="F14" s="64">
        <v>0.77</v>
      </c>
      <c r="G14" s="64">
        <v>138.12</v>
      </c>
      <c r="H14" s="64">
        <v>57.82</v>
      </c>
      <c r="I14" s="64">
        <v>1.51</v>
      </c>
      <c r="J14" s="64">
        <v>0.12</v>
      </c>
      <c r="K14" s="64">
        <v>278.02999999999997</v>
      </c>
      <c r="L14" s="64">
        <v>19.559999999999999</v>
      </c>
      <c r="M14" s="64">
        <v>95.59</v>
      </c>
      <c r="N14" s="64">
        <v>16.5</v>
      </c>
      <c r="O14" s="64">
        <v>0</v>
      </c>
      <c r="P14" s="64">
        <v>1.07</v>
      </c>
      <c r="Q14" s="64">
        <v>5.09</v>
      </c>
      <c r="R14" s="198"/>
      <c r="S14" s="198"/>
      <c r="T14" s="198"/>
      <c r="U14" s="198"/>
    </row>
    <row r="15" spans="1:21" s="12" customFormat="1" x14ac:dyDescent="0.25">
      <c r="A15" s="214" t="s">
        <v>2172</v>
      </c>
      <c r="B15" s="64">
        <v>6.99</v>
      </c>
      <c r="C15" s="64">
        <v>20.51</v>
      </c>
      <c r="D15" s="64">
        <v>18.22</v>
      </c>
      <c r="E15" s="64">
        <v>0.96</v>
      </c>
      <c r="F15" s="64">
        <v>1.85</v>
      </c>
      <c r="G15" s="64">
        <v>137.9</v>
      </c>
      <c r="H15" s="64">
        <v>57.97</v>
      </c>
      <c r="I15" s="64">
        <v>1.44</v>
      </c>
      <c r="J15" s="64">
        <v>0.11</v>
      </c>
      <c r="K15" s="64">
        <v>261.26</v>
      </c>
      <c r="L15" s="64">
        <v>19.62</v>
      </c>
      <c r="M15" s="64">
        <v>94.01</v>
      </c>
      <c r="N15" s="64">
        <v>16.3</v>
      </c>
      <c r="O15" s="64">
        <v>0</v>
      </c>
      <c r="P15" s="64">
        <v>0.98</v>
      </c>
      <c r="Q15" s="64">
        <v>4.8600000000000003</v>
      </c>
      <c r="R15" s="198"/>
      <c r="S15" s="198"/>
      <c r="T15" s="198"/>
      <c r="U15" s="198"/>
    </row>
    <row r="16" spans="1:21" s="12" customFormat="1" x14ac:dyDescent="0.25">
      <c r="A16" s="214" t="s">
        <v>2173</v>
      </c>
      <c r="B16" s="64">
        <v>6.87</v>
      </c>
      <c r="C16" s="64">
        <v>18.059999999999999</v>
      </c>
      <c r="D16" s="64">
        <v>16.760000000000002</v>
      </c>
      <c r="E16" s="64">
        <v>0.88</v>
      </c>
      <c r="F16" s="64">
        <v>1.61</v>
      </c>
      <c r="G16" s="64">
        <v>135.22</v>
      </c>
      <c r="H16" s="64">
        <v>59.48</v>
      </c>
      <c r="I16" s="64">
        <v>1.44</v>
      </c>
      <c r="J16" s="64">
        <v>0.02</v>
      </c>
      <c r="K16" s="64">
        <v>31.47</v>
      </c>
      <c r="L16" s="64">
        <v>19.66</v>
      </c>
      <c r="M16" s="64">
        <v>92.24</v>
      </c>
      <c r="N16" s="64">
        <v>16.3</v>
      </c>
      <c r="O16" s="64">
        <v>0</v>
      </c>
      <c r="P16" s="64">
        <v>1.04</v>
      </c>
      <c r="Q16" s="64">
        <v>4.99</v>
      </c>
      <c r="R16" s="198"/>
      <c r="S16" s="198"/>
      <c r="T16" s="198"/>
      <c r="U16" s="198"/>
    </row>
    <row r="17" spans="1:21" s="12" customFormat="1" x14ac:dyDescent="0.25">
      <c r="A17" s="214" t="s">
        <v>2174</v>
      </c>
      <c r="B17" s="64">
        <v>7.07</v>
      </c>
      <c r="C17" s="64">
        <v>14.93</v>
      </c>
      <c r="D17" s="64">
        <v>15.2</v>
      </c>
      <c r="E17" s="64">
        <v>0.62</v>
      </c>
      <c r="F17" s="64">
        <v>0.51</v>
      </c>
      <c r="G17" s="64">
        <v>135.22</v>
      </c>
      <c r="H17" s="64">
        <v>59.48</v>
      </c>
      <c r="I17" s="64">
        <v>1.53</v>
      </c>
      <c r="J17" s="64">
        <v>0.13</v>
      </c>
      <c r="K17" s="64">
        <v>319.98</v>
      </c>
      <c r="L17" s="64">
        <v>19.47</v>
      </c>
      <c r="M17" s="64">
        <v>95.42</v>
      </c>
      <c r="N17" s="64">
        <v>16.399999999999999</v>
      </c>
      <c r="O17" s="64">
        <v>0</v>
      </c>
      <c r="P17" s="64">
        <v>1.02</v>
      </c>
      <c r="Q17" s="64">
        <v>5.16</v>
      </c>
      <c r="R17" s="198"/>
      <c r="S17" s="198"/>
      <c r="T17" s="198"/>
      <c r="U17" s="198"/>
    </row>
    <row r="18" spans="1:21" s="12" customFormat="1" x14ac:dyDescent="0.25">
      <c r="A18" s="214" t="s">
        <v>2175</v>
      </c>
      <c r="B18" s="64">
        <v>6.11</v>
      </c>
      <c r="C18" s="64">
        <v>19.559999999999999</v>
      </c>
      <c r="D18" s="64">
        <v>16.98</v>
      </c>
      <c r="E18" s="64">
        <v>0.89</v>
      </c>
      <c r="F18" s="64">
        <v>3.84</v>
      </c>
      <c r="G18" s="64">
        <v>135.22</v>
      </c>
      <c r="H18" s="64">
        <v>59.48</v>
      </c>
      <c r="I18" s="64">
        <v>1.46</v>
      </c>
      <c r="J18" s="64">
        <v>0.06</v>
      </c>
      <c r="K18" s="64">
        <v>54.61</v>
      </c>
      <c r="L18" s="64">
        <v>19.52</v>
      </c>
      <c r="M18" s="64">
        <v>94.54</v>
      </c>
      <c r="N18" s="64">
        <v>15.9</v>
      </c>
      <c r="O18" s="64">
        <v>0</v>
      </c>
      <c r="P18" s="64">
        <v>0.93</v>
      </c>
      <c r="Q18" s="64">
        <v>4.93</v>
      </c>
      <c r="R18" s="198"/>
      <c r="S18" s="198"/>
      <c r="T18" s="198"/>
      <c r="U18" s="198"/>
    </row>
    <row r="19" spans="1:21" s="12" customFormat="1" x14ac:dyDescent="0.25">
      <c r="A19" s="214" t="s">
        <v>2176</v>
      </c>
      <c r="B19" s="64">
        <v>6.36</v>
      </c>
      <c r="C19" s="64">
        <v>18</v>
      </c>
      <c r="D19" s="64">
        <v>16.329999999999998</v>
      </c>
      <c r="E19" s="64">
        <v>1.05</v>
      </c>
      <c r="F19" s="64">
        <v>3.33</v>
      </c>
      <c r="G19" s="64">
        <v>135</v>
      </c>
      <c r="H19" s="64">
        <v>59.16</v>
      </c>
      <c r="I19" s="64">
        <v>1.5</v>
      </c>
      <c r="J19" s="64">
        <v>0.44</v>
      </c>
      <c r="K19" s="64">
        <v>342.49</v>
      </c>
      <c r="L19" s="64">
        <v>19.79</v>
      </c>
      <c r="M19" s="64">
        <v>90.28</v>
      </c>
      <c r="N19" s="64">
        <v>15.5</v>
      </c>
      <c r="O19" s="64">
        <v>0</v>
      </c>
      <c r="P19" s="64">
        <v>0.97</v>
      </c>
      <c r="Q19" s="64">
        <v>4.95</v>
      </c>
      <c r="R19" s="198"/>
      <c r="S19" s="198"/>
      <c r="T19" s="198"/>
      <c r="U19" s="198"/>
    </row>
    <row r="20" spans="1:21" s="12" customFormat="1" x14ac:dyDescent="0.25">
      <c r="A20" s="214" t="s">
        <v>2177</v>
      </c>
      <c r="B20" s="64">
        <v>5.94</v>
      </c>
      <c r="C20" s="64">
        <v>19.899999999999999</v>
      </c>
      <c r="D20" s="64">
        <v>17.04</v>
      </c>
      <c r="E20" s="64">
        <v>1.1299999999999999</v>
      </c>
      <c r="F20" s="64">
        <v>5.0999999999999996</v>
      </c>
      <c r="G20" s="64">
        <v>132.29</v>
      </c>
      <c r="H20" s="64">
        <v>56</v>
      </c>
      <c r="I20" s="64">
        <v>1.41</v>
      </c>
      <c r="J20" s="64">
        <v>0.06</v>
      </c>
      <c r="K20" s="64">
        <v>2.2200000000000002</v>
      </c>
      <c r="L20" s="64">
        <v>19.760000000000002</v>
      </c>
      <c r="M20" s="64">
        <v>90.37</v>
      </c>
      <c r="N20" s="64">
        <v>16.3</v>
      </c>
      <c r="O20" s="64">
        <v>0</v>
      </c>
      <c r="P20" s="64">
        <v>0.94</v>
      </c>
      <c r="Q20" s="64">
        <v>4.92</v>
      </c>
      <c r="R20" s="198"/>
      <c r="S20" s="198"/>
      <c r="T20" s="198"/>
      <c r="U20" s="198"/>
    </row>
    <row r="21" spans="1:21" s="12" customFormat="1" x14ac:dyDescent="0.25">
      <c r="A21" s="214" t="s">
        <v>2178</v>
      </c>
      <c r="B21" s="64">
        <v>8.7899999999999991</v>
      </c>
      <c r="C21" s="64">
        <v>18.5</v>
      </c>
      <c r="D21" s="64">
        <v>18.55</v>
      </c>
      <c r="E21" s="64">
        <v>1.1000000000000001</v>
      </c>
      <c r="F21" s="64">
        <v>3.64</v>
      </c>
      <c r="G21" s="64">
        <v>132.29</v>
      </c>
      <c r="H21" s="64">
        <v>56</v>
      </c>
      <c r="I21" s="64">
        <v>1.45</v>
      </c>
      <c r="J21" s="64">
        <v>0.3</v>
      </c>
      <c r="K21" s="64">
        <v>339.98</v>
      </c>
      <c r="L21" s="64">
        <v>19.54</v>
      </c>
      <c r="M21" s="64">
        <v>92.25</v>
      </c>
      <c r="N21" s="64">
        <v>16</v>
      </c>
      <c r="O21" s="64">
        <v>0</v>
      </c>
      <c r="P21" s="64">
        <v>0.98</v>
      </c>
      <c r="Q21" s="64">
        <v>4.42</v>
      </c>
      <c r="R21" s="198"/>
      <c r="S21" s="198"/>
      <c r="T21" s="198"/>
      <c r="U21" s="198"/>
    </row>
    <row r="22" spans="1:21" s="12" customFormat="1" x14ac:dyDescent="0.25">
      <c r="A22" s="214" t="s">
        <v>2179</v>
      </c>
      <c r="B22" s="64">
        <v>6.25</v>
      </c>
      <c r="C22" s="64">
        <v>21.02</v>
      </c>
      <c r="D22" s="64">
        <v>17.899999999999999</v>
      </c>
      <c r="E22" s="64">
        <v>0.97</v>
      </c>
      <c r="F22" s="64">
        <v>3.17</v>
      </c>
      <c r="G22" s="64">
        <v>132.29</v>
      </c>
      <c r="H22" s="64">
        <v>56</v>
      </c>
      <c r="I22" s="64">
        <v>1.54</v>
      </c>
      <c r="J22" s="64">
        <v>0.2</v>
      </c>
      <c r="K22" s="64">
        <v>6.18</v>
      </c>
      <c r="L22" s="64">
        <v>19.72</v>
      </c>
      <c r="M22" s="64">
        <v>88.98</v>
      </c>
      <c r="N22" s="64">
        <v>16</v>
      </c>
      <c r="O22" s="64">
        <v>0</v>
      </c>
      <c r="P22" s="64">
        <v>1.05</v>
      </c>
      <c r="Q22" s="64">
        <v>4.7699999999999996</v>
      </c>
      <c r="R22" s="198"/>
      <c r="S22" s="198"/>
      <c r="T22" s="198"/>
      <c r="U22" s="198"/>
    </row>
    <row r="23" spans="1:21" s="12" customFormat="1" x14ac:dyDescent="0.25">
      <c r="A23" s="214" t="s">
        <v>2180</v>
      </c>
      <c r="B23" s="64">
        <v>6.48</v>
      </c>
      <c r="C23" s="64">
        <v>21.24</v>
      </c>
      <c r="D23" s="64">
        <v>18.21</v>
      </c>
      <c r="E23" s="64">
        <v>0.97</v>
      </c>
      <c r="F23" s="64">
        <v>1.78</v>
      </c>
      <c r="G23" s="64">
        <v>133.38999999999999</v>
      </c>
      <c r="H23" s="64">
        <v>56.55</v>
      </c>
      <c r="I23" s="64">
        <v>1.58</v>
      </c>
      <c r="J23" s="64">
        <v>0.1</v>
      </c>
      <c r="K23" s="64">
        <v>37.89</v>
      </c>
      <c r="L23" s="64">
        <v>19.75</v>
      </c>
      <c r="M23" s="64">
        <v>86.64</v>
      </c>
      <c r="N23" s="64">
        <v>16.3</v>
      </c>
      <c r="O23" s="64">
        <v>0</v>
      </c>
      <c r="P23" s="64">
        <v>1.02</v>
      </c>
      <c r="Q23" s="64">
        <v>4.93</v>
      </c>
      <c r="R23" s="198"/>
      <c r="S23" s="198"/>
      <c r="T23" s="198"/>
      <c r="U23" s="198"/>
    </row>
    <row r="24" spans="1:21" s="12" customFormat="1" x14ac:dyDescent="0.25">
      <c r="A24" s="214" t="s">
        <v>2181</v>
      </c>
      <c r="B24" s="64">
        <v>7.14</v>
      </c>
      <c r="C24" s="64">
        <v>14.86</v>
      </c>
      <c r="D24" s="64">
        <v>15.22</v>
      </c>
      <c r="E24" s="64">
        <v>0.56000000000000005</v>
      </c>
      <c r="F24" s="64">
        <v>0.38</v>
      </c>
      <c r="G24" s="64">
        <v>148.77000000000001</v>
      </c>
      <c r="H24" s="64">
        <v>62.11</v>
      </c>
      <c r="I24" s="64">
        <v>1.58</v>
      </c>
      <c r="J24" s="64">
        <v>0.15</v>
      </c>
      <c r="K24" s="64">
        <v>50.85</v>
      </c>
      <c r="L24" s="64">
        <v>19.57</v>
      </c>
      <c r="M24" s="64">
        <v>79.42</v>
      </c>
      <c r="N24" s="64">
        <v>16</v>
      </c>
      <c r="O24" s="64">
        <v>0</v>
      </c>
      <c r="P24" s="64">
        <v>1.01</v>
      </c>
      <c r="Q24" s="64">
        <v>5.23</v>
      </c>
      <c r="R24" s="198"/>
      <c r="S24" s="198"/>
      <c r="T24" s="198"/>
      <c r="U24" s="198"/>
    </row>
    <row r="25" spans="1:21" s="12" customFormat="1" x14ac:dyDescent="0.25">
      <c r="A25" s="214" t="s">
        <v>2182</v>
      </c>
      <c r="B25" s="64">
        <v>7.14</v>
      </c>
      <c r="C25" s="64">
        <v>13.89</v>
      </c>
      <c r="D25" s="64">
        <v>14.68</v>
      </c>
      <c r="E25" s="64">
        <v>0.98</v>
      </c>
      <c r="F25" s="64">
        <v>1.3</v>
      </c>
      <c r="G25" s="64">
        <v>148.77000000000001</v>
      </c>
      <c r="H25" s="64">
        <v>62.11</v>
      </c>
      <c r="I25" s="64">
        <v>1.48</v>
      </c>
      <c r="J25" s="64">
        <v>0.64</v>
      </c>
      <c r="K25" s="64">
        <v>339.7</v>
      </c>
      <c r="L25" s="64">
        <v>19.77</v>
      </c>
      <c r="M25" s="64">
        <v>69.5</v>
      </c>
      <c r="N25" s="64">
        <v>15.6</v>
      </c>
      <c r="O25" s="64">
        <v>0</v>
      </c>
      <c r="P25" s="64">
        <v>0.98</v>
      </c>
      <c r="Q25" s="64">
        <v>5.2</v>
      </c>
      <c r="R25" s="198"/>
      <c r="S25" s="198"/>
      <c r="T25" s="198"/>
      <c r="U25" s="198"/>
    </row>
    <row r="26" spans="1:21" s="12" customFormat="1" x14ac:dyDescent="0.25">
      <c r="A26" s="214" t="s">
        <v>2183</v>
      </c>
      <c r="B26" s="64">
        <v>6.88</v>
      </c>
      <c r="C26" s="64">
        <v>12.65</v>
      </c>
      <c r="D26" s="64">
        <v>13.79</v>
      </c>
      <c r="E26" s="64">
        <v>0.83</v>
      </c>
      <c r="F26" s="64">
        <v>0.91</v>
      </c>
      <c r="G26" s="64">
        <v>148.77000000000001</v>
      </c>
      <c r="H26" s="64">
        <v>62.11</v>
      </c>
      <c r="I26" s="64">
        <v>1.52</v>
      </c>
      <c r="J26" s="64">
        <v>0.56000000000000005</v>
      </c>
      <c r="K26" s="64">
        <v>343.92</v>
      </c>
      <c r="L26" s="64">
        <v>19.64</v>
      </c>
      <c r="M26" s="64">
        <v>68.87</v>
      </c>
      <c r="N26" s="64">
        <v>16.100000000000001</v>
      </c>
      <c r="O26" s="64">
        <v>0</v>
      </c>
      <c r="P26" s="64">
        <v>0.98</v>
      </c>
      <c r="Q26" s="64">
        <v>5.29</v>
      </c>
      <c r="R26" s="198"/>
      <c r="S26" s="198"/>
      <c r="T26" s="198"/>
      <c r="U26" s="198"/>
    </row>
    <row r="27" spans="1:21" s="12" customFormat="1" x14ac:dyDescent="0.25">
      <c r="A27" s="214" t="s">
        <v>2184</v>
      </c>
      <c r="B27" s="64">
        <v>6.68</v>
      </c>
      <c r="C27" s="64">
        <v>13.92</v>
      </c>
      <c r="D27" s="64">
        <v>14.33</v>
      </c>
      <c r="E27" s="64">
        <v>0.67</v>
      </c>
      <c r="F27" s="64">
        <v>0.2</v>
      </c>
      <c r="G27" s="64">
        <v>147.26</v>
      </c>
      <c r="H27" s="64">
        <v>62.02</v>
      </c>
      <c r="I27" s="64">
        <v>1.5</v>
      </c>
      <c r="J27" s="64">
        <v>7.0000000000000007E-2</v>
      </c>
      <c r="K27" s="64">
        <v>42.55</v>
      </c>
      <c r="L27" s="64">
        <v>19.329999999999998</v>
      </c>
      <c r="M27" s="64">
        <v>71.22</v>
      </c>
      <c r="N27" s="64">
        <v>16.600000000000001</v>
      </c>
      <c r="O27" s="64">
        <v>0</v>
      </c>
      <c r="P27" s="64">
        <v>0.96</v>
      </c>
      <c r="Q27" s="64">
        <v>5.21</v>
      </c>
      <c r="R27" s="198"/>
      <c r="S27" s="198"/>
      <c r="T27" s="198"/>
      <c r="U27" s="198"/>
    </row>
    <row r="28" spans="1:21" s="12" customFormat="1" x14ac:dyDescent="0.25">
      <c r="A28" s="214" t="s">
        <v>2185</v>
      </c>
      <c r="B28" s="64">
        <v>6.69</v>
      </c>
      <c r="C28" s="64">
        <v>13.73</v>
      </c>
      <c r="D28" s="64">
        <v>14.23</v>
      </c>
      <c r="E28" s="64">
        <v>0.75</v>
      </c>
      <c r="F28" s="64">
        <v>0.8</v>
      </c>
      <c r="G28" s="64">
        <v>129.32</v>
      </c>
      <c r="H28" s="64">
        <v>61.09</v>
      </c>
      <c r="I28" s="64">
        <v>1.49</v>
      </c>
      <c r="J28" s="64">
        <v>0.4</v>
      </c>
      <c r="K28" s="64">
        <v>338.06</v>
      </c>
      <c r="L28" s="64">
        <v>19.079999999999998</v>
      </c>
      <c r="M28" s="64">
        <v>72.98</v>
      </c>
      <c r="N28" s="64">
        <v>16.100000000000001</v>
      </c>
      <c r="O28" s="64">
        <v>0</v>
      </c>
      <c r="P28" s="64">
        <v>0.96</v>
      </c>
      <c r="Q28" s="64">
        <v>5.17</v>
      </c>
      <c r="R28" s="198"/>
      <c r="S28" s="198"/>
      <c r="T28" s="198"/>
      <c r="U28" s="198"/>
    </row>
    <row r="29" spans="1:21" s="12" customFormat="1" x14ac:dyDescent="0.25">
      <c r="A29" s="214" t="s">
        <v>2186</v>
      </c>
      <c r="B29" s="64">
        <v>6.64</v>
      </c>
      <c r="C29" s="64">
        <v>13.59</v>
      </c>
      <c r="D29" s="64">
        <v>14.11</v>
      </c>
      <c r="E29" s="64">
        <v>0.61</v>
      </c>
      <c r="F29" s="64">
        <v>0.25</v>
      </c>
      <c r="G29" s="64">
        <v>129.32</v>
      </c>
      <c r="H29" s="64">
        <v>61.09</v>
      </c>
      <c r="I29" s="64">
        <v>1.41</v>
      </c>
      <c r="J29" s="64">
        <v>0.16</v>
      </c>
      <c r="K29" s="64">
        <v>345.62</v>
      </c>
      <c r="L29" s="64">
        <v>18.96</v>
      </c>
      <c r="M29" s="64">
        <v>72.819999999999993</v>
      </c>
      <c r="N29" s="64">
        <v>16.3</v>
      </c>
      <c r="O29" s="64">
        <v>0</v>
      </c>
      <c r="P29" s="64">
        <v>0.95</v>
      </c>
      <c r="Q29" s="64">
        <v>5.23</v>
      </c>
      <c r="R29" s="198"/>
      <c r="S29" s="198"/>
      <c r="T29" s="198"/>
      <c r="U29" s="198"/>
    </row>
    <row r="30" spans="1:21" s="12" customFormat="1" x14ac:dyDescent="0.25">
      <c r="A30" s="214" t="s">
        <v>2187</v>
      </c>
      <c r="B30" s="64">
        <v>6.85</v>
      </c>
      <c r="C30" s="64">
        <v>14.31</v>
      </c>
      <c r="D30" s="64">
        <v>14.68</v>
      </c>
      <c r="E30" s="64">
        <v>0.68</v>
      </c>
      <c r="F30" s="64">
        <v>0.41</v>
      </c>
      <c r="G30" s="64">
        <v>129.32</v>
      </c>
      <c r="H30" s="64">
        <v>61.09</v>
      </c>
      <c r="I30" s="64">
        <v>1.49</v>
      </c>
      <c r="J30" s="64">
        <v>0.36</v>
      </c>
      <c r="K30" s="64">
        <v>335.33</v>
      </c>
      <c r="L30" s="64">
        <v>18.91</v>
      </c>
      <c r="M30" s="64">
        <v>72.989999999999995</v>
      </c>
      <c r="N30" s="64">
        <v>16</v>
      </c>
      <c r="O30" s="64">
        <v>0</v>
      </c>
      <c r="P30" s="64">
        <v>0.93</v>
      </c>
      <c r="Q30" s="64">
        <v>5.12</v>
      </c>
      <c r="R30" s="198"/>
      <c r="S30" s="198"/>
      <c r="T30" s="198"/>
      <c r="U30" s="198"/>
    </row>
    <row r="31" spans="1:21" s="12" customFormat="1" x14ac:dyDescent="0.25">
      <c r="A31" s="214" t="s">
        <v>2188</v>
      </c>
      <c r="B31" s="64">
        <v>6.82</v>
      </c>
      <c r="C31" s="64">
        <v>15.64</v>
      </c>
      <c r="D31" s="64">
        <v>15.4</v>
      </c>
      <c r="E31" s="64">
        <v>0.82</v>
      </c>
      <c r="F31" s="64">
        <v>2.54</v>
      </c>
      <c r="G31" s="64">
        <v>129.74</v>
      </c>
      <c r="H31" s="64">
        <v>61.05</v>
      </c>
      <c r="I31" s="64">
        <v>1.49</v>
      </c>
      <c r="J31" s="64">
        <v>0.45</v>
      </c>
      <c r="K31" s="64">
        <v>333.56</v>
      </c>
      <c r="L31" s="64">
        <v>18.850000000000001</v>
      </c>
      <c r="M31" s="64">
        <v>72.62</v>
      </c>
      <c r="N31" s="64">
        <v>16.5</v>
      </c>
      <c r="O31" s="64">
        <v>0</v>
      </c>
      <c r="P31" s="64">
        <v>0.92</v>
      </c>
      <c r="Q31" s="64">
        <v>5.08</v>
      </c>
      <c r="R31" s="198"/>
      <c r="S31" s="198"/>
      <c r="T31" s="198"/>
      <c r="U31" s="198"/>
    </row>
    <row r="32" spans="1:21" s="12" customFormat="1" x14ac:dyDescent="0.25">
      <c r="A32" s="214" t="s">
        <v>2189</v>
      </c>
      <c r="B32" s="64">
        <v>8.14</v>
      </c>
      <c r="C32" s="64">
        <v>18.27</v>
      </c>
      <c r="D32" s="64">
        <v>17.899999999999999</v>
      </c>
      <c r="E32" s="64">
        <v>0.86</v>
      </c>
      <c r="F32" s="64">
        <v>1.78</v>
      </c>
      <c r="G32" s="64">
        <v>134.66999999999999</v>
      </c>
      <c r="H32" s="64">
        <v>60.7</v>
      </c>
      <c r="I32" s="64">
        <v>1.46</v>
      </c>
      <c r="J32" s="64">
        <v>0.19</v>
      </c>
      <c r="K32" s="64">
        <v>342.22</v>
      </c>
      <c r="L32" s="64">
        <v>18.75</v>
      </c>
      <c r="M32" s="64">
        <v>72.819999999999993</v>
      </c>
      <c r="N32" s="64">
        <v>20.8</v>
      </c>
      <c r="O32" s="64">
        <v>0</v>
      </c>
      <c r="P32" s="64">
        <v>0.92</v>
      </c>
      <c r="Q32" s="64">
        <v>5.05</v>
      </c>
      <c r="R32" s="198"/>
      <c r="S32" s="198"/>
      <c r="T32" s="198"/>
      <c r="U32" s="198"/>
    </row>
    <row r="33" spans="1:21" s="12" customFormat="1" x14ac:dyDescent="0.25">
      <c r="A33" s="214" t="s">
        <v>2190</v>
      </c>
      <c r="B33" s="64">
        <v>8.23</v>
      </c>
      <c r="C33" s="64">
        <v>19.18</v>
      </c>
      <c r="D33" s="64">
        <v>18.48</v>
      </c>
      <c r="E33" s="64">
        <v>0.81</v>
      </c>
      <c r="F33" s="64">
        <v>1.24</v>
      </c>
      <c r="G33" s="64">
        <v>134.66999999999999</v>
      </c>
      <c r="H33" s="64">
        <v>60.7</v>
      </c>
      <c r="I33" s="64">
        <v>1.42</v>
      </c>
      <c r="J33" s="64">
        <v>0.16</v>
      </c>
      <c r="K33" s="64">
        <v>344.94</v>
      </c>
      <c r="L33" s="64">
        <v>18.77</v>
      </c>
      <c r="M33" s="64">
        <v>72.430000000000007</v>
      </c>
      <c r="N33" s="64">
        <v>32.4</v>
      </c>
      <c r="O33" s="64">
        <v>0</v>
      </c>
      <c r="P33" s="64">
        <v>0.92</v>
      </c>
      <c r="Q33" s="64">
        <v>4.97</v>
      </c>
      <c r="R33" s="198"/>
      <c r="S33" s="198"/>
      <c r="T33" s="198"/>
      <c r="U33" s="198"/>
    </row>
    <row r="34" spans="1:21" s="12" customFormat="1" x14ac:dyDescent="0.25">
      <c r="A34" s="214" t="s">
        <v>2191</v>
      </c>
      <c r="B34" s="64">
        <v>11.19</v>
      </c>
      <c r="C34" s="64">
        <v>21.83</v>
      </c>
      <c r="D34" s="64">
        <v>22.31</v>
      </c>
      <c r="E34" s="64">
        <v>0.82</v>
      </c>
      <c r="F34" s="64">
        <v>1.48</v>
      </c>
      <c r="G34" s="64">
        <v>134.66999999999999</v>
      </c>
      <c r="H34" s="64">
        <v>60.7</v>
      </c>
      <c r="I34" s="64">
        <v>1.47</v>
      </c>
      <c r="J34" s="64">
        <v>0.41</v>
      </c>
      <c r="K34" s="64">
        <v>344.04</v>
      </c>
      <c r="L34" s="64">
        <v>18.93</v>
      </c>
      <c r="M34" s="64">
        <v>72.08</v>
      </c>
      <c r="N34" s="64">
        <v>50.8</v>
      </c>
      <c r="O34" s="64">
        <v>0</v>
      </c>
      <c r="P34" s="64">
        <v>0.91</v>
      </c>
      <c r="Q34" s="64">
        <v>4.92</v>
      </c>
      <c r="R34" s="198"/>
      <c r="S34" s="198"/>
      <c r="T34" s="198"/>
      <c r="U34" s="198"/>
    </row>
    <row r="35" spans="1:21" s="12" customFormat="1" x14ac:dyDescent="0.25">
      <c r="A35" s="214" t="s">
        <v>2192</v>
      </c>
      <c r="B35" s="64">
        <v>9.84</v>
      </c>
      <c r="C35" s="64">
        <v>17.09</v>
      </c>
      <c r="D35" s="64">
        <v>18.61</v>
      </c>
      <c r="E35" s="64">
        <v>0.7</v>
      </c>
      <c r="F35" s="64">
        <v>1.01</v>
      </c>
      <c r="G35" s="64">
        <v>135.22999999999999</v>
      </c>
      <c r="H35" s="64">
        <v>60.5</v>
      </c>
      <c r="I35" s="64">
        <v>1.42</v>
      </c>
      <c r="J35" s="64">
        <v>0.59</v>
      </c>
      <c r="K35" s="64">
        <v>339.06</v>
      </c>
      <c r="L35" s="64">
        <v>19.88</v>
      </c>
      <c r="M35" s="64">
        <v>67.75</v>
      </c>
      <c r="N35" s="64">
        <v>113.5</v>
      </c>
      <c r="O35" s="64">
        <v>0</v>
      </c>
      <c r="P35" s="64">
        <v>0.93</v>
      </c>
      <c r="Q35" s="64">
        <v>5.01</v>
      </c>
      <c r="R35" s="198"/>
      <c r="S35" s="198"/>
      <c r="T35" s="198"/>
      <c r="U35" s="198"/>
    </row>
    <row r="36" spans="1:21" s="12" customFormat="1" x14ac:dyDescent="0.25">
      <c r="A36" s="214" t="s">
        <v>2193</v>
      </c>
      <c r="B36" s="64">
        <v>9.83</v>
      </c>
      <c r="C36" s="64">
        <v>16.510000000000002</v>
      </c>
      <c r="D36" s="64">
        <v>18.29</v>
      </c>
      <c r="E36" s="64">
        <v>0.65</v>
      </c>
      <c r="F36" s="64">
        <v>0.48</v>
      </c>
      <c r="G36" s="64">
        <v>141.91</v>
      </c>
      <c r="H36" s="64">
        <v>58.49</v>
      </c>
      <c r="I36" s="64">
        <v>1.55</v>
      </c>
      <c r="J36" s="64">
        <v>0.85</v>
      </c>
      <c r="K36" s="64">
        <v>345.09</v>
      </c>
      <c r="L36" s="64">
        <v>22.02</v>
      </c>
      <c r="M36" s="64">
        <v>59.09</v>
      </c>
      <c r="N36" s="64">
        <v>173</v>
      </c>
      <c r="O36" s="64">
        <v>0</v>
      </c>
      <c r="P36" s="64">
        <v>0.92</v>
      </c>
      <c r="Q36" s="64">
        <v>5.31</v>
      </c>
      <c r="R36" s="198"/>
      <c r="S36" s="198"/>
      <c r="T36" s="198"/>
      <c r="U36" s="198"/>
    </row>
    <row r="37" spans="1:21" s="12" customFormat="1" x14ac:dyDescent="0.25">
      <c r="A37" s="214" t="s">
        <v>2194</v>
      </c>
      <c r="B37" s="64">
        <v>11.22</v>
      </c>
      <c r="C37" s="64">
        <v>16.579999999999998</v>
      </c>
      <c r="D37" s="64">
        <v>19.440000000000001</v>
      </c>
      <c r="E37" s="64">
        <v>0.76</v>
      </c>
      <c r="F37" s="64">
        <v>0.99</v>
      </c>
      <c r="G37" s="64">
        <v>141.91</v>
      </c>
      <c r="H37" s="64">
        <v>58.49</v>
      </c>
      <c r="I37" s="64">
        <v>1.56</v>
      </c>
      <c r="J37" s="64">
        <v>0.72</v>
      </c>
      <c r="K37" s="64">
        <v>334.58</v>
      </c>
      <c r="L37" s="64">
        <v>23.67</v>
      </c>
      <c r="M37" s="64">
        <v>53.27</v>
      </c>
      <c r="N37" s="64">
        <v>232.4</v>
      </c>
      <c r="O37" s="64">
        <v>0</v>
      </c>
      <c r="P37" s="64">
        <v>0.86</v>
      </c>
      <c r="Q37" s="64">
        <v>5.37</v>
      </c>
      <c r="R37" s="198"/>
      <c r="S37" s="198"/>
      <c r="T37" s="198"/>
      <c r="U37" s="198"/>
    </row>
    <row r="38" spans="1:21" s="12" customFormat="1" x14ac:dyDescent="0.25">
      <c r="A38" s="214" t="s">
        <v>2195</v>
      </c>
      <c r="B38" s="64">
        <v>11.04</v>
      </c>
      <c r="C38" s="64">
        <v>15.53</v>
      </c>
      <c r="D38" s="64">
        <v>18.71</v>
      </c>
      <c r="E38" s="64">
        <v>0.66</v>
      </c>
      <c r="F38" s="64">
        <v>0.79</v>
      </c>
      <c r="G38" s="64">
        <v>141.91</v>
      </c>
      <c r="H38" s="64">
        <v>58.49</v>
      </c>
      <c r="I38" s="64">
        <v>1.44</v>
      </c>
      <c r="J38" s="64">
        <v>0.71</v>
      </c>
      <c r="K38" s="64">
        <v>342.54</v>
      </c>
      <c r="L38" s="64">
        <v>25.3</v>
      </c>
      <c r="M38" s="64">
        <v>49.06</v>
      </c>
      <c r="N38" s="64">
        <v>289.60000000000002</v>
      </c>
      <c r="O38" s="64">
        <v>0</v>
      </c>
      <c r="P38" s="64">
        <v>0.92</v>
      </c>
      <c r="Q38" s="64">
        <v>5.53</v>
      </c>
      <c r="R38" s="198"/>
      <c r="S38" s="198"/>
      <c r="T38" s="198"/>
      <c r="U38" s="198"/>
    </row>
    <row r="39" spans="1:21" s="12" customFormat="1" x14ac:dyDescent="0.25">
      <c r="A39" s="214" t="s">
        <v>2196</v>
      </c>
      <c r="B39" s="64">
        <v>11.23</v>
      </c>
      <c r="C39" s="64">
        <v>17.57</v>
      </c>
      <c r="D39" s="64">
        <v>19.989999999999998</v>
      </c>
      <c r="E39" s="64">
        <v>0.54</v>
      </c>
      <c r="F39" s="64">
        <v>0.2</v>
      </c>
      <c r="G39" s="64">
        <v>141.59</v>
      </c>
      <c r="H39" s="64">
        <v>57.66</v>
      </c>
      <c r="I39" s="64">
        <v>1.48</v>
      </c>
      <c r="J39" s="64">
        <v>1.07</v>
      </c>
      <c r="K39" s="64">
        <v>341.02</v>
      </c>
      <c r="L39" s="64">
        <v>26.46</v>
      </c>
      <c r="M39" s="64">
        <v>45.61</v>
      </c>
      <c r="N39" s="64">
        <v>349.1</v>
      </c>
      <c r="O39" s="64">
        <v>0</v>
      </c>
      <c r="P39" s="64">
        <v>0.92</v>
      </c>
      <c r="Q39" s="64">
        <v>5.46</v>
      </c>
      <c r="R39" s="198"/>
      <c r="S39" s="198"/>
      <c r="T39" s="198"/>
      <c r="U39" s="198"/>
    </row>
    <row r="40" spans="1:21" s="12" customFormat="1" x14ac:dyDescent="0.25">
      <c r="A40" s="214" t="s">
        <v>2197</v>
      </c>
      <c r="B40" s="64">
        <v>11.59</v>
      </c>
      <c r="C40" s="64">
        <v>16.87</v>
      </c>
      <c r="D40" s="64">
        <v>19.89</v>
      </c>
      <c r="E40" s="64">
        <v>0.32</v>
      </c>
      <c r="F40" s="64">
        <v>0.82</v>
      </c>
      <c r="G40" s="64">
        <v>137.80000000000001</v>
      </c>
      <c r="H40" s="64">
        <v>49.32</v>
      </c>
      <c r="I40" s="64">
        <v>1.52</v>
      </c>
      <c r="J40" s="64">
        <v>1</v>
      </c>
      <c r="K40" s="64">
        <v>342.16</v>
      </c>
      <c r="L40" s="64">
        <v>27.48</v>
      </c>
      <c r="M40" s="64">
        <v>43.32</v>
      </c>
      <c r="N40" s="64">
        <v>404.8</v>
      </c>
      <c r="O40" s="64">
        <v>0</v>
      </c>
      <c r="P40" s="64">
        <v>0.91</v>
      </c>
      <c r="Q40" s="64">
        <v>5.54</v>
      </c>
      <c r="R40" s="198"/>
      <c r="S40" s="198"/>
      <c r="T40" s="198"/>
      <c r="U40" s="198"/>
    </row>
    <row r="41" spans="1:21" s="12" customFormat="1" x14ac:dyDescent="0.25">
      <c r="A41" s="214" t="s">
        <v>2198</v>
      </c>
      <c r="B41" s="64">
        <v>11.72</v>
      </c>
      <c r="C41" s="64">
        <v>18.079999999999998</v>
      </c>
      <c r="D41" s="64">
        <v>20.67</v>
      </c>
      <c r="E41" s="64">
        <v>0.63</v>
      </c>
      <c r="F41" s="64">
        <v>0.56999999999999995</v>
      </c>
      <c r="G41" s="64">
        <v>137.80000000000001</v>
      </c>
      <c r="H41" s="64">
        <v>49.32</v>
      </c>
      <c r="I41" s="64">
        <v>1.5</v>
      </c>
      <c r="J41" s="64">
        <v>0.91</v>
      </c>
      <c r="K41" s="64">
        <v>343.5</v>
      </c>
      <c r="L41" s="64">
        <v>28.38</v>
      </c>
      <c r="M41" s="64">
        <v>41.36</v>
      </c>
      <c r="N41" s="64">
        <v>457.9</v>
      </c>
      <c r="O41" s="64">
        <v>0</v>
      </c>
      <c r="P41" s="64">
        <v>0.91</v>
      </c>
      <c r="Q41" s="64">
        <v>5.56</v>
      </c>
      <c r="R41" s="198"/>
      <c r="S41" s="198"/>
      <c r="T41" s="198"/>
      <c r="U41" s="198"/>
    </row>
    <row r="42" spans="1:21" s="12" customFormat="1" x14ac:dyDescent="0.25">
      <c r="A42" s="214" t="s">
        <v>2199</v>
      </c>
      <c r="B42" s="64">
        <v>12.38</v>
      </c>
      <c r="C42" s="64">
        <v>21.11</v>
      </c>
      <c r="D42" s="64">
        <v>22.87</v>
      </c>
      <c r="E42" s="64">
        <v>0.8</v>
      </c>
      <c r="F42" s="64">
        <v>2.85</v>
      </c>
      <c r="G42" s="64">
        <v>137.80000000000001</v>
      </c>
      <c r="H42" s="64">
        <v>49.32</v>
      </c>
      <c r="I42" s="64">
        <v>1.53</v>
      </c>
      <c r="J42" s="64">
        <v>0.4</v>
      </c>
      <c r="K42" s="64">
        <v>333.83</v>
      </c>
      <c r="L42" s="64">
        <v>28.21</v>
      </c>
      <c r="M42" s="64">
        <v>41.65</v>
      </c>
      <c r="N42" s="64">
        <v>507.4</v>
      </c>
      <c r="O42" s="64">
        <v>0</v>
      </c>
      <c r="P42" s="64">
        <v>0.88</v>
      </c>
      <c r="Q42" s="64">
        <v>5.41</v>
      </c>
      <c r="R42" s="198"/>
      <c r="S42" s="198"/>
      <c r="T42" s="198"/>
      <c r="U42" s="198"/>
    </row>
    <row r="43" spans="1:21" s="12" customFormat="1" x14ac:dyDescent="0.25">
      <c r="A43" s="214" t="s">
        <v>2200</v>
      </c>
      <c r="B43" s="64">
        <v>12.51</v>
      </c>
      <c r="C43" s="64">
        <v>21.97</v>
      </c>
      <c r="D43" s="64">
        <v>23.45</v>
      </c>
      <c r="E43" s="64">
        <v>0.87</v>
      </c>
      <c r="F43" s="64">
        <v>5.6</v>
      </c>
      <c r="G43" s="64">
        <v>137.18</v>
      </c>
      <c r="H43" s="64">
        <v>49.1</v>
      </c>
      <c r="I43" s="64">
        <v>1.48</v>
      </c>
      <c r="J43" s="64">
        <v>0.27</v>
      </c>
      <c r="K43" s="64">
        <v>67.92</v>
      </c>
      <c r="L43" s="64">
        <v>27.04</v>
      </c>
      <c r="M43" s="64">
        <v>44.73</v>
      </c>
      <c r="N43" s="64">
        <v>560</v>
      </c>
      <c r="O43" s="64">
        <v>0</v>
      </c>
      <c r="P43" s="64">
        <v>0.84</v>
      </c>
      <c r="Q43" s="64">
        <v>5.33</v>
      </c>
      <c r="R43" s="198"/>
      <c r="S43" s="198"/>
      <c r="T43" s="198"/>
      <c r="U43" s="198"/>
    </row>
    <row r="44" spans="1:21" s="12" customFormat="1" x14ac:dyDescent="0.25">
      <c r="A44" s="214" t="s">
        <v>2201</v>
      </c>
      <c r="B44" s="64">
        <v>11.08</v>
      </c>
      <c r="C44" s="64">
        <v>20.56</v>
      </c>
      <c r="D44" s="64">
        <v>21.52</v>
      </c>
      <c r="E44" s="64">
        <v>0.9</v>
      </c>
      <c r="F44" s="64">
        <v>4.28</v>
      </c>
      <c r="G44" s="64">
        <v>129.85</v>
      </c>
      <c r="H44" s="64">
        <v>46.84</v>
      </c>
      <c r="I44" s="64">
        <v>1.46</v>
      </c>
      <c r="J44" s="64">
        <v>0.64</v>
      </c>
      <c r="K44" s="64">
        <v>95.11</v>
      </c>
      <c r="L44" s="64">
        <v>25.97</v>
      </c>
      <c r="M44" s="64">
        <v>46.25</v>
      </c>
      <c r="N44" s="64">
        <v>605.4</v>
      </c>
      <c r="O44" s="64">
        <v>0</v>
      </c>
      <c r="P44" s="64">
        <v>0.86</v>
      </c>
      <c r="Q44" s="64">
        <v>5.45</v>
      </c>
      <c r="R44" s="198"/>
      <c r="S44" s="198"/>
      <c r="T44" s="198"/>
      <c r="U44" s="198"/>
    </row>
    <row r="45" spans="1:21" s="12" customFormat="1" x14ac:dyDescent="0.25">
      <c r="A45" s="214" t="s">
        <v>2202</v>
      </c>
      <c r="B45" s="64">
        <v>11.17</v>
      </c>
      <c r="C45" s="64">
        <v>19.11</v>
      </c>
      <c r="D45" s="64">
        <v>20.79</v>
      </c>
      <c r="E45" s="64">
        <v>0.95</v>
      </c>
      <c r="F45" s="64">
        <v>3.48</v>
      </c>
      <c r="G45" s="64">
        <v>129.85</v>
      </c>
      <c r="H45" s="64">
        <v>46.84</v>
      </c>
      <c r="I45" s="64">
        <v>1.44</v>
      </c>
      <c r="J45" s="64">
        <v>7.0000000000000007E-2</v>
      </c>
      <c r="K45" s="64">
        <v>74.739999999999995</v>
      </c>
      <c r="L45" s="64">
        <v>26.59</v>
      </c>
      <c r="M45" s="64">
        <v>46.28</v>
      </c>
      <c r="N45" s="64">
        <v>643.79999999999995</v>
      </c>
      <c r="O45" s="64">
        <v>0</v>
      </c>
      <c r="P45" s="64">
        <v>0.86</v>
      </c>
      <c r="Q45" s="64">
        <v>5.43</v>
      </c>
      <c r="R45" s="198"/>
      <c r="S45" s="198"/>
      <c r="T45" s="198"/>
      <c r="U45" s="198"/>
    </row>
    <row r="46" spans="1:21" s="12" customFormat="1" x14ac:dyDescent="0.25">
      <c r="A46" s="214" t="s">
        <v>2203</v>
      </c>
      <c r="B46" s="64">
        <v>10.62</v>
      </c>
      <c r="C46" s="64">
        <v>16.93</v>
      </c>
      <c r="D46" s="64">
        <v>19.16</v>
      </c>
      <c r="E46" s="64">
        <v>0.89</v>
      </c>
      <c r="F46" s="64">
        <v>2.27</v>
      </c>
      <c r="G46" s="64">
        <v>129.85</v>
      </c>
      <c r="H46" s="64">
        <v>46.84</v>
      </c>
      <c r="I46" s="64">
        <v>1.5</v>
      </c>
      <c r="J46" s="64">
        <v>0.47</v>
      </c>
      <c r="K46" s="64">
        <v>99.09</v>
      </c>
      <c r="L46" s="64">
        <v>26.2</v>
      </c>
      <c r="M46" s="64">
        <v>46.97</v>
      </c>
      <c r="N46" s="64">
        <v>686.6</v>
      </c>
      <c r="O46" s="64">
        <v>0</v>
      </c>
      <c r="P46" s="64">
        <v>0.86</v>
      </c>
      <c r="Q46" s="64">
        <v>5.46</v>
      </c>
      <c r="R46" s="198"/>
      <c r="S46" s="198"/>
      <c r="T46" s="198"/>
      <c r="U46" s="198"/>
    </row>
    <row r="47" spans="1:21" s="12" customFormat="1" x14ac:dyDescent="0.25">
      <c r="A47" s="214" t="s">
        <v>2204</v>
      </c>
      <c r="B47" s="64">
        <v>9.65</v>
      </c>
      <c r="C47" s="64">
        <v>17.739999999999998</v>
      </c>
      <c r="D47" s="64">
        <v>18.82</v>
      </c>
      <c r="E47" s="64">
        <v>0.74</v>
      </c>
      <c r="F47" s="64">
        <v>1.79</v>
      </c>
      <c r="G47" s="64">
        <v>128.91</v>
      </c>
      <c r="H47" s="64">
        <v>46.51</v>
      </c>
      <c r="I47" s="64">
        <v>1.51</v>
      </c>
      <c r="J47" s="64">
        <v>0.2</v>
      </c>
      <c r="K47" s="64">
        <v>3.07</v>
      </c>
      <c r="L47" s="64">
        <v>27.14</v>
      </c>
      <c r="M47" s="64">
        <v>47.46</v>
      </c>
      <c r="N47" s="64">
        <v>710.7</v>
      </c>
      <c r="O47" s="64">
        <v>0</v>
      </c>
      <c r="P47" s="64">
        <v>0.87</v>
      </c>
      <c r="Q47" s="64">
        <v>5.48</v>
      </c>
      <c r="R47" s="198"/>
      <c r="S47" s="198"/>
      <c r="T47" s="198"/>
      <c r="U47" s="198"/>
    </row>
    <row r="48" spans="1:21" s="12" customFormat="1" x14ac:dyDescent="0.25">
      <c r="A48" s="214" t="s">
        <v>2205</v>
      </c>
      <c r="B48" s="64">
        <v>9.33</v>
      </c>
      <c r="C48" s="64">
        <v>18.03</v>
      </c>
      <c r="D48" s="64">
        <v>18.72</v>
      </c>
      <c r="E48" s="64">
        <v>0.84</v>
      </c>
      <c r="F48" s="64">
        <v>1.72</v>
      </c>
      <c r="G48" s="64">
        <v>117.79</v>
      </c>
      <c r="H48" s="64">
        <v>43.25</v>
      </c>
      <c r="I48" s="64">
        <v>1.49</v>
      </c>
      <c r="J48" s="64">
        <v>1.27</v>
      </c>
      <c r="K48" s="64">
        <v>110.05</v>
      </c>
      <c r="L48" s="64">
        <v>26.35</v>
      </c>
      <c r="M48" s="64">
        <v>45.24</v>
      </c>
      <c r="N48" s="64">
        <v>756.3</v>
      </c>
      <c r="O48" s="64">
        <v>0</v>
      </c>
      <c r="P48" s="64">
        <v>0.84</v>
      </c>
      <c r="Q48" s="64">
        <v>5.44</v>
      </c>
      <c r="R48" s="198"/>
      <c r="S48" s="198"/>
      <c r="T48" s="198"/>
      <c r="U48" s="198"/>
    </row>
    <row r="49" spans="1:21" s="12" customFormat="1" x14ac:dyDescent="0.25">
      <c r="A49" s="214" t="s">
        <v>2206</v>
      </c>
      <c r="B49" s="64">
        <v>8.0500000000000007</v>
      </c>
      <c r="C49" s="64">
        <v>16.22</v>
      </c>
      <c r="D49" s="64">
        <v>16.7</v>
      </c>
      <c r="E49" s="64">
        <v>0.85</v>
      </c>
      <c r="F49" s="64">
        <v>1.68</v>
      </c>
      <c r="G49" s="64">
        <v>117.79</v>
      </c>
      <c r="H49" s="64">
        <v>43.25</v>
      </c>
      <c r="I49" s="64">
        <v>1.53</v>
      </c>
      <c r="J49" s="64">
        <v>0.65</v>
      </c>
      <c r="K49" s="64">
        <v>108.26</v>
      </c>
      <c r="L49" s="64">
        <v>26.99</v>
      </c>
      <c r="M49" s="64">
        <v>43.09</v>
      </c>
      <c r="N49" s="64">
        <v>771.5</v>
      </c>
      <c r="O49" s="64">
        <v>0</v>
      </c>
      <c r="P49" s="64">
        <v>0.83</v>
      </c>
      <c r="Q49" s="64">
        <v>5.44</v>
      </c>
      <c r="R49" s="198"/>
      <c r="S49" s="198"/>
      <c r="T49" s="198"/>
      <c r="U49" s="198"/>
    </row>
    <row r="50" spans="1:21" s="12" customFormat="1" x14ac:dyDescent="0.25">
      <c r="A50" s="214" t="s">
        <v>2207</v>
      </c>
      <c r="B50" s="64">
        <v>7.03</v>
      </c>
      <c r="C50" s="64">
        <v>17.100000000000001</v>
      </c>
      <c r="D50" s="64">
        <v>16.37</v>
      </c>
      <c r="E50" s="64">
        <v>0.75</v>
      </c>
      <c r="F50" s="64">
        <v>2.0299999999999998</v>
      </c>
      <c r="G50" s="64">
        <v>117.79</v>
      </c>
      <c r="H50" s="64">
        <v>43.25</v>
      </c>
      <c r="I50" s="64">
        <v>1.5</v>
      </c>
      <c r="J50" s="64">
        <v>0.72</v>
      </c>
      <c r="K50" s="64">
        <v>109.25</v>
      </c>
      <c r="L50" s="64">
        <v>28.04</v>
      </c>
      <c r="M50" s="64">
        <v>40.700000000000003</v>
      </c>
      <c r="N50" s="64">
        <v>806.5</v>
      </c>
      <c r="O50" s="64">
        <v>0</v>
      </c>
      <c r="P50" s="64">
        <v>0.81</v>
      </c>
      <c r="Q50" s="64">
        <v>5.35</v>
      </c>
      <c r="R50" s="198"/>
      <c r="S50" s="198"/>
      <c r="T50" s="198"/>
      <c r="U50" s="198"/>
    </row>
    <row r="51" spans="1:21" s="12" customFormat="1" x14ac:dyDescent="0.25">
      <c r="A51" s="214" t="s">
        <v>2208</v>
      </c>
      <c r="B51" s="64">
        <v>5.98</v>
      </c>
      <c r="C51" s="64">
        <v>16.989999999999998</v>
      </c>
      <c r="D51" s="64">
        <v>15.47</v>
      </c>
      <c r="E51" s="64">
        <v>0.84</v>
      </c>
      <c r="F51" s="64">
        <v>4.43</v>
      </c>
      <c r="G51" s="64">
        <v>115.56</v>
      </c>
      <c r="H51" s="64">
        <v>42.79</v>
      </c>
      <c r="I51" s="64">
        <v>1.46</v>
      </c>
      <c r="J51" s="64">
        <v>1.27</v>
      </c>
      <c r="K51" s="64">
        <v>110.56</v>
      </c>
      <c r="L51" s="64">
        <v>27.53</v>
      </c>
      <c r="M51" s="64">
        <v>38.520000000000003</v>
      </c>
      <c r="N51" s="64">
        <v>828</v>
      </c>
      <c r="O51" s="64">
        <v>0</v>
      </c>
      <c r="P51" s="64">
        <v>0.76</v>
      </c>
      <c r="Q51" s="64">
        <v>5.24</v>
      </c>
      <c r="R51" s="198"/>
      <c r="S51" s="198"/>
      <c r="T51" s="198"/>
      <c r="U51" s="198"/>
    </row>
    <row r="52" spans="1:21" s="12" customFormat="1" x14ac:dyDescent="0.25">
      <c r="A52" s="214" t="s">
        <v>2209</v>
      </c>
      <c r="B52" s="64">
        <v>5.52</v>
      </c>
      <c r="C52" s="64">
        <v>16.96</v>
      </c>
      <c r="D52" s="64">
        <v>15.08</v>
      </c>
      <c r="E52" s="64">
        <v>0.94</v>
      </c>
      <c r="F52" s="64">
        <v>4.07</v>
      </c>
      <c r="G52" s="64">
        <v>89.16</v>
      </c>
      <c r="H52" s="64">
        <v>38.17</v>
      </c>
      <c r="I52" s="64">
        <v>1.5</v>
      </c>
      <c r="J52" s="64">
        <v>0.71</v>
      </c>
      <c r="K52" s="64">
        <v>104.45</v>
      </c>
      <c r="L52" s="64">
        <v>27.62</v>
      </c>
      <c r="M52" s="64">
        <v>37.61</v>
      </c>
      <c r="N52" s="64">
        <v>824</v>
      </c>
      <c r="O52" s="64">
        <v>0</v>
      </c>
      <c r="P52" s="64">
        <v>0.72</v>
      </c>
      <c r="Q52" s="64">
        <v>5.13</v>
      </c>
      <c r="R52" s="198"/>
      <c r="S52" s="198"/>
      <c r="T52" s="198"/>
      <c r="U52" s="198"/>
    </row>
    <row r="53" spans="1:21" s="12" customFormat="1" x14ac:dyDescent="0.25">
      <c r="A53" s="214" t="s">
        <v>2210</v>
      </c>
      <c r="B53" s="64">
        <v>5.27</v>
      </c>
      <c r="C53" s="64">
        <v>18.309999999999999</v>
      </c>
      <c r="D53" s="64">
        <v>15.62</v>
      </c>
      <c r="E53" s="64">
        <v>0.98</v>
      </c>
      <c r="F53" s="64">
        <v>4.25</v>
      </c>
      <c r="G53" s="64">
        <v>89.16</v>
      </c>
      <c r="H53" s="64">
        <v>38.17</v>
      </c>
      <c r="I53" s="64">
        <v>1.55</v>
      </c>
      <c r="J53" s="64">
        <v>0.66</v>
      </c>
      <c r="K53" s="64">
        <v>346.1</v>
      </c>
      <c r="L53" s="64">
        <v>30.04</v>
      </c>
      <c r="M53" s="64">
        <v>33.520000000000003</v>
      </c>
      <c r="N53" s="64">
        <v>825.7</v>
      </c>
      <c r="O53" s="64">
        <v>0</v>
      </c>
      <c r="P53" s="64">
        <v>0.71</v>
      </c>
      <c r="Q53" s="64">
        <v>4.91</v>
      </c>
      <c r="R53" s="198"/>
      <c r="S53" s="198"/>
      <c r="T53" s="198"/>
      <c r="U53" s="198"/>
    </row>
    <row r="54" spans="1:21" s="12" customFormat="1" x14ac:dyDescent="0.25">
      <c r="A54" s="214" t="s">
        <v>2211</v>
      </c>
      <c r="B54" s="64">
        <v>5.67</v>
      </c>
      <c r="C54" s="64">
        <v>23.63</v>
      </c>
      <c r="D54" s="64">
        <v>18.89</v>
      </c>
      <c r="E54" s="64">
        <v>1.1499999999999999</v>
      </c>
      <c r="F54" s="64">
        <v>5.77</v>
      </c>
      <c r="G54" s="64">
        <v>89.16</v>
      </c>
      <c r="H54" s="64">
        <v>38.17</v>
      </c>
      <c r="I54" s="64">
        <v>1.48</v>
      </c>
      <c r="J54" s="64">
        <v>1.2</v>
      </c>
      <c r="K54" s="64">
        <v>112.37</v>
      </c>
      <c r="L54" s="64">
        <v>28.91</v>
      </c>
      <c r="M54" s="64">
        <v>36.479999999999997</v>
      </c>
      <c r="N54" s="64">
        <v>844.8</v>
      </c>
      <c r="O54" s="64">
        <v>0</v>
      </c>
      <c r="P54" s="64">
        <v>0.68</v>
      </c>
      <c r="Q54" s="64">
        <v>4.8600000000000003</v>
      </c>
      <c r="R54" s="198"/>
      <c r="S54" s="198"/>
      <c r="T54" s="198"/>
      <c r="U54" s="198"/>
    </row>
    <row r="55" spans="1:21" s="12" customFormat="1" x14ac:dyDescent="0.25">
      <c r="A55" s="214" t="s">
        <v>2212</v>
      </c>
      <c r="B55" s="64">
        <v>5.03</v>
      </c>
      <c r="C55" s="64">
        <v>25.69</v>
      </c>
      <c r="D55" s="64">
        <v>19.5</v>
      </c>
      <c r="E55" s="64">
        <v>1.6</v>
      </c>
      <c r="F55" s="64">
        <v>19.16</v>
      </c>
      <c r="G55" s="64">
        <v>90.66</v>
      </c>
      <c r="H55" s="64">
        <v>38.54</v>
      </c>
      <c r="I55" s="64">
        <v>1.48</v>
      </c>
      <c r="J55" s="64">
        <v>0.65</v>
      </c>
      <c r="K55" s="64">
        <v>97.14</v>
      </c>
      <c r="L55" s="64">
        <v>28.43</v>
      </c>
      <c r="M55" s="64">
        <v>36.700000000000003</v>
      </c>
      <c r="N55" s="64">
        <v>839.6</v>
      </c>
      <c r="O55" s="64">
        <v>0</v>
      </c>
      <c r="P55" s="64">
        <v>0.61</v>
      </c>
      <c r="Q55" s="64">
        <v>4.82</v>
      </c>
      <c r="R55" s="198"/>
      <c r="S55" s="198"/>
      <c r="T55" s="198"/>
      <c r="U55" s="198"/>
    </row>
    <row r="56" spans="1:21" s="12" customFormat="1" x14ac:dyDescent="0.25">
      <c r="A56" s="214" t="s">
        <v>2213</v>
      </c>
      <c r="B56" s="64">
        <v>3.79</v>
      </c>
      <c r="C56" s="64">
        <v>26.47</v>
      </c>
      <c r="D56" s="64">
        <v>18.940000000000001</v>
      </c>
      <c r="E56" s="64">
        <v>1.24</v>
      </c>
      <c r="F56" s="64">
        <v>10.75</v>
      </c>
      <c r="G56" s="64">
        <v>108.39</v>
      </c>
      <c r="H56" s="64">
        <v>42.23</v>
      </c>
      <c r="I56" s="64">
        <v>1.46</v>
      </c>
      <c r="J56" s="64">
        <v>0.66</v>
      </c>
      <c r="K56" s="64">
        <v>90.54</v>
      </c>
      <c r="L56" s="64">
        <v>28.65</v>
      </c>
      <c r="M56" s="64">
        <v>35.54</v>
      </c>
      <c r="N56" s="64">
        <v>834.4</v>
      </c>
      <c r="O56" s="64">
        <v>0</v>
      </c>
      <c r="P56" s="64">
        <v>0.61</v>
      </c>
      <c r="Q56" s="64">
        <v>4.79</v>
      </c>
      <c r="R56" s="198"/>
      <c r="S56" s="198"/>
      <c r="T56" s="198"/>
      <c r="U56" s="198"/>
    </row>
    <row r="57" spans="1:21" s="12" customFormat="1" x14ac:dyDescent="0.25">
      <c r="A57" s="214" t="s">
        <v>2214</v>
      </c>
      <c r="B57" s="64">
        <v>3.46</v>
      </c>
      <c r="C57" s="64">
        <v>26</v>
      </c>
      <c r="D57" s="64">
        <v>18.420000000000002</v>
      </c>
      <c r="E57" s="64">
        <v>1.54</v>
      </c>
      <c r="F57" s="64">
        <v>5.65</v>
      </c>
      <c r="G57" s="64">
        <v>108.39</v>
      </c>
      <c r="H57" s="64">
        <v>42.23</v>
      </c>
      <c r="I57" s="64">
        <v>1.42</v>
      </c>
      <c r="J57" s="64">
        <v>0.72</v>
      </c>
      <c r="K57" s="64">
        <v>84.35</v>
      </c>
      <c r="L57" s="64">
        <v>28.52</v>
      </c>
      <c r="M57" s="64">
        <v>33.64</v>
      </c>
      <c r="N57" s="64">
        <v>845.7</v>
      </c>
      <c r="O57" s="64">
        <v>0</v>
      </c>
      <c r="P57" s="64">
        <v>0.6</v>
      </c>
      <c r="Q57" s="64">
        <v>4.82</v>
      </c>
      <c r="R57" s="198"/>
      <c r="S57" s="198"/>
      <c r="T57" s="198"/>
      <c r="U57" s="198"/>
    </row>
    <row r="58" spans="1:21" s="12" customFormat="1" x14ac:dyDescent="0.25">
      <c r="A58" s="214" t="s">
        <v>2215</v>
      </c>
      <c r="B58" s="64">
        <v>3.42</v>
      </c>
      <c r="C58" s="64">
        <v>24.17</v>
      </c>
      <c r="D58" s="64">
        <v>17.37</v>
      </c>
      <c r="E58" s="64">
        <v>1.38</v>
      </c>
      <c r="F58" s="64">
        <v>3.95</v>
      </c>
      <c r="G58" s="64">
        <v>108.39</v>
      </c>
      <c r="H58" s="64">
        <v>42.23</v>
      </c>
      <c r="I58" s="64">
        <v>1.5</v>
      </c>
      <c r="J58" s="64">
        <v>1.1100000000000001</v>
      </c>
      <c r="K58" s="64">
        <v>105.13</v>
      </c>
      <c r="L58" s="64">
        <v>28.73</v>
      </c>
      <c r="M58" s="64">
        <v>30.64</v>
      </c>
      <c r="N58" s="64">
        <v>840.2</v>
      </c>
      <c r="O58" s="64">
        <v>0</v>
      </c>
      <c r="P58" s="64">
        <v>0.57999999999999996</v>
      </c>
      <c r="Q58" s="64">
        <v>4.84</v>
      </c>
      <c r="R58" s="198"/>
      <c r="S58" s="198"/>
      <c r="T58" s="198"/>
      <c r="U58" s="198"/>
    </row>
    <row r="59" spans="1:21" s="12" customFormat="1" x14ac:dyDescent="0.25">
      <c r="A59" s="214" t="s">
        <v>2216</v>
      </c>
      <c r="B59" s="64">
        <v>3.16</v>
      </c>
      <c r="C59" s="64">
        <v>22.51</v>
      </c>
      <c r="D59" s="64">
        <v>16.25</v>
      </c>
      <c r="E59" s="64">
        <v>1.19</v>
      </c>
      <c r="F59" s="64">
        <v>3.65</v>
      </c>
      <c r="G59" s="64">
        <v>105.88</v>
      </c>
      <c r="H59" s="64">
        <v>41.37</v>
      </c>
      <c r="I59" s="64">
        <v>1.47</v>
      </c>
      <c r="J59" s="64">
        <v>0.47</v>
      </c>
      <c r="K59" s="64">
        <v>86.83</v>
      </c>
      <c r="L59" s="64">
        <v>29.51</v>
      </c>
      <c r="M59" s="64">
        <v>33.270000000000003</v>
      </c>
      <c r="N59" s="64">
        <v>800.4</v>
      </c>
      <c r="O59" s="64">
        <v>0</v>
      </c>
      <c r="P59" s="64">
        <v>0.56999999999999995</v>
      </c>
      <c r="Q59" s="64">
        <v>4.8899999999999997</v>
      </c>
      <c r="R59" s="198"/>
      <c r="S59" s="198"/>
      <c r="T59" s="198"/>
      <c r="U59" s="198"/>
    </row>
    <row r="60" spans="1:21" s="12" customFormat="1" x14ac:dyDescent="0.25">
      <c r="A60" s="214" t="s">
        <v>2217</v>
      </c>
      <c r="B60" s="64">
        <v>3.71</v>
      </c>
      <c r="C60" s="64">
        <v>20.07</v>
      </c>
      <c r="D60" s="64">
        <v>15.35</v>
      </c>
      <c r="E60" s="64">
        <v>1.22</v>
      </c>
      <c r="F60" s="64">
        <v>4.51</v>
      </c>
      <c r="G60" s="64">
        <v>76</v>
      </c>
      <c r="H60" s="64">
        <v>32.74</v>
      </c>
      <c r="I60" s="64">
        <v>1.55</v>
      </c>
      <c r="J60" s="64">
        <v>0.31</v>
      </c>
      <c r="K60" s="64">
        <v>26.19</v>
      </c>
      <c r="L60" s="64">
        <v>29.74</v>
      </c>
      <c r="M60" s="64">
        <v>33.369999999999997</v>
      </c>
      <c r="N60" s="64">
        <v>779.6</v>
      </c>
      <c r="O60" s="64">
        <v>0</v>
      </c>
      <c r="P60" s="64">
        <v>0.56000000000000005</v>
      </c>
      <c r="Q60" s="64">
        <v>4.93</v>
      </c>
      <c r="R60" s="198"/>
      <c r="S60" s="198"/>
      <c r="T60" s="198"/>
      <c r="U60" s="198"/>
    </row>
    <row r="61" spans="1:21" s="12" customFormat="1" x14ac:dyDescent="0.25">
      <c r="A61" s="214" t="s">
        <v>2218</v>
      </c>
      <c r="B61" s="64">
        <v>3.56</v>
      </c>
      <c r="C61" s="64">
        <v>17.29</v>
      </c>
      <c r="D61" s="64">
        <v>13.69</v>
      </c>
      <c r="E61" s="64">
        <v>1.18</v>
      </c>
      <c r="F61" s="64">
        <v>3.99</v>
      </c>
      <c r="G61" s="64">
        <v>76</v>
      </c>
      <c r="H61" s="64">
        <v>32.74</v>
      </c>
      <c r="I61" s="64">
        <v>1.52</v>
      </c>
      <c r="J61" s="64">
        <v>1.4</v>
      </c>
      <c r="K61" s="64">
        <v>110.78</v>
      </c>
      <c r="L61" s="64">
        <v>28.62</v>
      </c>
      <c r="M61" s="64">
        <v>34.11</v>
      </c>
      <c r="N61" s="64">
        <v>757.4</v>
      </c>
      <c r="O61" s="64">
        <v>0</v>
      </c>
      <c r="P61" s="64">
        <v>0.53</v>
      </c>
      <c r="Q61" s="64">
        <v>4.96</v>
      </c>
      <c r="R61" s="198"/>
      <c r="S61" s="198"/>
      <c r="T61" s="198"/>
      <c r="U61" s="198"/>
    </row>
    <row r="62" spans="1:21" s="12" customFormat="1" x14ac:dyDescent="0.25">
      <c r="A62" s="214" t="s">
        <v>2219</v>
      </c>
      <c r="B62" s="64">
        <v>3.37</v>
      </c>
      <c r="C62" s="64">
        <v>17.829999999999998</v>
      </c>
      <c r="D62" s="64">
        <v>13.83</v>
      </c>
      <c r="E62" s="64">
        <v>1.06</v>
      </c>
      <c r="F62" s="64">
        <v>4.5599999999999996</v>
      </c>
      <c r="G62" s="64">
        <v>76</v>
      </c>
      <c r="H62" s="64">
        <v>32.74</v>
      </c>
      <c r="I62" s="64">
        <v>1.51</v>
      </c>
      <c r="J62" s="64">
        <v>0.45</v>
      </c>
      <c r="K62" s="64">
        <v>34.53</v>
      </c>
      <c r="L62" s="64">
        <v>28.52</v>
      </c>
      <c r="M62" s="64">
        <v>34.229999999999997</v>
      </c>
      <c r="N62" s="64">
        <v>585</v>
      </c>
      <c r="O62" s="64">
        <v>0</v>
      </c>
      <c r="P62" s="64">
        <v>0.55000000000000004</v>
      </c>
      <c r="Q62" s="64">
        <v>5.03</v>
      </c>
      <c r="R62" s="198"/>
      <c r="S62" s="198"/>
      <c r="T62" s="198"/>
      <c r="U62" s="198"/>
    </row>
    <row r="63" spans="1:21" s="12" customFormat="1" x14ac:dyDescent="0.25">
      <c r="A63" s="214" t="s">
        <v>2220</v>
      </c>
      <c r="B63" s="64">
        <v>3.05</v>
      </c>
      <c r="C63" s="64">
        <v>17.739999999999998</v>
      </c>
      <c r="D63" s="64">
        <v>13.53</v>
      </c>
      <c r="E63" s="64">
        <v>0.81</v>
      </c>
      <c r="F63" s="64">
        <v>3.34</v>
      </c>
      <c r="G63" s="64">
        <v>75.430000000000007</v>
      </c>
      <c r="H63" s="64">
        <v>32.28</v>
      </c>
      <c r="I63" s="64">
        <v>1.47</v>
      </c>
      <c r="J63" s="64">
        <v>1.22</v>
      </c>
      <c r="K63" s="64">
        <v>110.42</v>
      </c>
      <c r="L63" s="64">
        <v>28.63</v>
      </c>
      <c r="M63" s="64">
        <v>36.32</v>
      </c>
      <c r="N63" s="64">
        <v>355</v>
      </c>
      <c r="O63" s="64">
        <v>0</v>
      </c>
      <c r="P63" s="64">
        <v>0.54</v>
      </c>
      <c r="Q63" s="64">
        <v>5.0199999999999996</v>
      </c>
      <c r="R63" s="198"/>
      <c r="S63" s="198"/>
      <c r="T63" s="198"/>
      <c r="U63" s="198"/>
    </row>
    <row r="64" spans="1:21" s="12" customFormat="1" x14ac:dyDescent="0.25">
      <c r="A64" s="214" t="s">
        <v>2221</v>
      </c>
      <c r="B64" s="64">
        <v>2.5099999999999998</v>
      </c>
      <c r="C64" s="64">
        <v>19.350000000000001</v>
      </c>
      <c r="D64" s="64">
        <v>13.99</v>
      </c>
      <c r="E64" s="64">
        <v>0.89</v>
      </c>
      <c r="F64" s="64">
        <v>2.33</v>
      </c>
      <c r="G64" s="64">
        <v>68.66</v>
      </c>
      <c r="H64" s="64">
        <v>27.63</v>
      </c>
      <c r="I64" s="64">
        <v>1.5</v>
      </c>
      <c r="J64" s="64">
        <v>0.93</v>
      </c>
      <c r="K64" s="64">
        <v>107.34</v>
      </c>
      <c r="L64" s="64">
        <v>27.76</v>
      </c>
      <c r="M64" s="64">
        <v>36.729999999999997</v>
      </c>
      <c r="N64" s="64">
        <v>471.2</v>
      </c>
      <c r="O64" s="64">
        <v>0</v>
      </c>
      <c r="P64" s="64">
        <v>0.54</v>
      </c>
      <c r="Q64" s="64">
        <v>4.87</v>
      </c>
      <c r="R64" s="198"/>
      <c r="S64" s="198"/>
      <c r="T64" s="198"/>
      <c r="U64" s="198"/>
    </row>
    <row r="65" spans="1:21" s="12" customFormat="1" x14ac:dyDescent="0.25">
      <c r="A65" s="214" t="s">
        <v>2222</v>
      </c>
      <c r="B65" s="64">
        <v>2.9</v>
      </c>
      <c r="C65" s="64">
        <v>21.48</v>
      </c>
      <c r="D65" s="64">
        <v>15.47</v>
      </c>
      <c r="E65" s="64">
        <v>1.04</v>
      </c>
      <c r="F65" s="64">
        <v>9.14</v>
      </c>
      <c r="G65" s="64">
        <v>68.66</v>
      </c>
      <c r="H65" s="64">
        <v>27.63</v>
      </c>
      <c r="I65" s="64">
        <v>1.52</v>
      </c>
      <c r="J65" s="64">
        <v>0.28000000000000003</v>
      </c>
      <c r="K65" s="64">
        <v>26.3</v>
      </c>
      <c r="L65" s="64">
        <v>28.28</v>
      </c>
      <c r="M65" s="64">
        <v>33.590000000000003</v>
      </c>
      <c r="N65" s="64">
        <v>301.89999999999998</v>
      </c>
      <c r="O65" s="64">
        <v>0</v>
      </c>
      <c r="P65" s="64">
        <v>0.52</v>
      </c>
      <c r="Q65" s="64">
        <v>4.76</v>
      </c>
      <c r="R65" s="198"/>
      <c r="S65" s="198"/>
      <c r="T65" s="198"/>
      <c r="U65" s="198"/>
    </row>
    <row r="66" spans="1:21" s="12" customFormat="1" x14ac:dyDescent="0.25">
      <c r="A66" s="214" t="s">
        <v>2223</v>
      </c>
      <c r="B66" s="64">
        <v>4.47</v>
      </c>
      <c r="C66" s="64">
        <v>22.78</v>
      </c>
      <c r="D66" s="64">
        <v>17.45</v>
      </c>
      <c r="E66" s="64">
        <v>1.49</v>
      </c>
      <c r="F66" s="64">
        <v>21.85</v>
      </c>
      <c r="G66" s="64">
        <v>68.66</v>
      </c>
      <c r="H66" s="64">
        <v>27.63</v>
      </c>
      <c r="I66" s="64">
        <v>1.56</v>
      </c>
      <c r="J66" s="64">
        <v>0.22</v>
      </c>
      <c r="K66" s="64">
        <v>19.32</v>
      </c>
      <c r="L66" s="64">
        <v>28.32</v>
      </c>
      <c r="M66" s="64">
        <v>33.58</v>
      </c>
      <c r="N66" s="64">
        <v>254.6</v>
      </c>
      <c r="O66" s="64">
        <v>0</v>
      </c>
      <c r="P66" s="64">
        <v>0.52</v>
      </c>
      <c r="Q66" s="64">
        <v>4.7699999999999996</v>
      </c>
      <c r="R66" s="198"/>
      <c r="S66" s="198"/>
      <c r="T66" s="198"/>
      <c r="U66" s="198"/>
    </row>
    <row r="67" spans="1:21" s="12" customFormat="1" x14ac:dyDescent="0.25">
      <c r="A67" s="214" t="s">
        <v>2224</v>
      </c>
      <c r="B67" s="64">
        <v>2.66</v>
      </c>
      <c r="C67" s="64">
        <v>18.73</v>
      </c>
      <c r="D67" s="64">
        <v>13.76</v>
      </c>
      <c r="E67" s="64">
        <v>1.87</v>
      </c>
      <c r="F67" s="64">
        <v>14.08</v>
      </c>
      <c r="G67" s="64">
        <v>68.38</v>
      </c>
      <c r="H67" s="64">
        <v>28.03</v>
      </c>
      <c r="I67" s="64">
        <v>1.47</v>
      </c>
      <c r="J67" s="64">
        <v>1.01</v>
      </c>
      <c r="K67" s="64">
        <v>107.68</v>
      </c>
      <c r="L67" s="64">
        <v>28.05</v>
      </c>
      <c r="M67" s="64">
        <v>33.92</v>
      </c>
      <c r="N67" s="64">
        <v>296.3</v>
      </c>
      <c r="O67" s="64">
        <v>0</v>
      </c>
      <c r="P67" s="64">
        <v>0.49</v>
      </c>
      <c r="Q67" s="64">
        <v>4.7</v>
      </c>
      <c r="R67" s="198"/>
      <c r="S67" s="198"/>
      <c r="T67" s="198"/>
      <c r="U67" s="198"/>
    </row>
    <row r="68" spans="1:21" s="12" customFormat="1" x14ac:dyDescent="0.25">
      <c r="A68" s="214" t="s">
        <v>2225</v>
      </c>
      <c r="B68" s="64">
        <v>3.63</v>
      </c>
      <c r="C68" s="64">
        <v>21.15</v>
      </c>
      <c r="D68" s="64">
        <v>15.88</v>
      </c>
      <c r="E68" s="64">
        <v>1.8</v>
      </c>
      <c r="F68" s="64">
        <v>13.51</v>
      </c>
      <c r="G68" s="64">
        <v>64.989999999999995</v>
      </c>
      <c r="H68" s="64">
        <v>31.97</v>
      </c>
      <c r="I68" s="64">
        <v>1.47</v>
      </c>
      <c r="J68" s="64">
        <v>0.69</v>
      </c>
      <c r="K68" s="64">
        <v>106.37</v>
      </c>
      <c r="L68" s="64">
        <v>27.63</v>
      </c>
      <c r="M68" s="64">
        <v>34.35</v>
      </c>
      <c r="N68" s="64">
        <v>107.3</v>
      </c>
      <c r="O68" s="64">
        <v>0</v>
      </c>
      <c r="P68" s="64">
        <v>0.49</v>
      </c>
      <c r="Q68" s="64">
        <v>4.66</v>
      </c>
      <c r="R68" s="198"/>
      <c r="S68" s="198"/>
      <c r="T68" s="198"/>
      <c r="U68" s="198"/>
    </row>
    <row r="69" spans="1:21" s="12" customFormat="1" x14ac:dyDescent="0.25">
      <c r="A69" s="214" t="s">
        <v>2226</v>
      </c>
      <c r="B69" s="64">
        <v>5.53</v>
      </c>
      <c r="C69" s="64">
        <v>25.27</v>
      </c>
      <c r="D69" s="64">
        <v>19.670000000000002</v>
      </c>
      <c r="E69" s="64">
        <v>1.96</v>
      </c>
      <c r="F69" s="64">
        <v>17.88</v>
      </c>
      <c r="G69" s="64">
        <v>64.989999999999995</v>
      </c>
      <c r="H69" s="64">
        <v>31.97</v>
      </c>
      <c r="I69" s="64">
        <v>1.47</v>
      </c>
      <c r="J69" s="64">
        <v>0.61</v>
      </c>
      <c r="K69" s="64">
        <v>105.33</v>
      </c>
      <c r="L69" s="64">
        <v>27.27</v>
      </c>
      <c r="M69" s="64">
        <v>34.409999999999997</v>
      </c>
      <c r="N69" s="64">
        <v>94.1</v>
      </c>
      <c r="O69" s="64">
        <v>0</v>
      </c>
      <c r="P69" s="64">
        <v>0.49</v>
      </c>
      <c r="Q69" s="64">
        <v>4.63</v>
      </c>
      <c r="R69" s="198"/>
      <c r="S69" s="198"/>
      <c r="T69" s="198"/>
      <c r="U69" s="198"/>
    </row>
    <row r="70" spans="1:21" s="12" customFormat="1" x14ac:dyDescent="0.25">
      <c r="A70" s="214" t="s">
        <v>2227</v>
      </c>
      <c r="B70" s="64">
        <v>4.8899999999999997</v>
      </c>
      <c r="C70" s="64">
        <v>21.42</v>
      </c>
      <c r="D70" s="64">
        <v>17.03</v>
      </c>
      <c r="E70" s="64">
        <v>2</v>
      </c>
      <c r="F70" s="64">
        <v>7.86</v>
      </c>
      <c r="G70" s="64">
        <v>64.989999999999995</v>
      </c>
      <c r="H70" s="64">
        <v>31.97</v>
      </c>
      <c r="I70" s="64">
        <v>1.47</v>
      </c>
      <c r="J70" s="64">
        <v>0.32</v>
      </c>
      <c r="K70" s="64">
        <v>90.59</v>
      </c>
      <c r="L70" s="64">
        <v>27.34</v>
      </c>
      <c r="M70" s="64">
        <v>33.56</v>
      </c>
      <c r="N70" s="64">
        <v>87.6</v>
      </c>
      <c r="O70" s="64">
        <v>0</v>
      </c>
      <c r="P70" s="64">
        <v>0.52</v>
      </c>
      <c r="Q70" s="64">
        <v>2.2000000000000002</v>
      </c>
      <c r="R70" s="198"/>
      <c r="S70" s="198"/>
      <c r="T70" s="198"/>
      <c r="U70" s="198"/>
    </row>
    <row r="71" spans="1:21" s="12" customFormat="1" x14ac:dyDescent="0.25">
      <c r="A71" s="214" t="s">
        <v>2228</v>
      </c>
      <c r="B71" s="64">
        <v>4.45</v>
      </c>
      <c r="C71" s="64">
        <v>23.27</v>
      </c>
      <c r="D71" s="64">
        <v>17.7</v>
      </c>
      <c r="E71" s="64">
        <v>1.33</v>
      </c>
      <c r="F71" s="64">
        <v>7.71</v>
      </c>
      <c r="G71" s="64">
        <v>65.02</v>
      </c>
      <c r="H71" s="64">
        <v>31.78</v>
      </c>
      <c r="I71" s="64">
        <v>1.48</v>
      </c>
      <c r="J71" s="64">
        <v>0.43</v>
      </c>
      <c r="K71" s="64">
        <v>89.36</v>
      </c>
      <c r="L71" s="64">
        <v>27.07</v>
      </c>
      <c r="M71" s="64">
        <v>33.28</v>
      </c>
      <c r="N71" s="64">
        <v>81.400000000000006</v>
      </c>
      <c r="O71" s="64">
        <v>0</v>
      </c>
      <c r="P71" s="64">
        <v>0.52</v>
      </c>
      <c r="Q71" s="64">
        <v>4.09</v>
      </c>
      <c r="R71" s="198"/>
      <c r="S71" s="198"/>
      <c r="T71" s="198"/>
      <c r="U71" s="198"/>
    </row>
    <row r="72" spans="1:21" s="12" customFormat="1" x14ac:dyDescent="0.25">
      <c r="A72" s="214" t="s">
        <v>2229</v>
      </c>
      <c r="B72" s="64">
        <v>4.1399999999999997</v>
      </c>
      <c r="C72" s="64">
        <v>21.17</v>
      </c>
      <c r="D72" s="64">
        <v>16.3</v>
      </c>
      <c r="E72" s="64">
        <v>0.92</v>
      </c>
      <c r="F72" s="64">
        <v>8.77</v>
      </c>
      <c r="G72" s="64">
        <v>65.36</v>
      </c>
      <c r="H72" s="64">
        <v>29.92</v>
      </c>
      <c r="I72" s="64">
        <v>1.55</v>
      </c>
      <c r="J72" s="64">
        <v>0.56000000000000005</v>
      </c>
      <c r="K72" s="64">
        <v>95.77</v>
      </c>
      <c r="L72" s="64">
        <v>26.91</v>
      </c>
      <c r="M72" s="64">
        <v>33.340000000000003</v>
      </c>
      <c r="N72" s="64">
        <v>74.400000000000006</v>
      </c>
      <c r="O72" s="64">
        <v>0</v>
      </c>
      <c r="P72" s="64">
        <v>0.48</v>
      </c>
      <c r="Q72" s="64">
        <v>4.42</v>
      </c>
      <c r="R72" s="198"/>
      <c r="S72" s="198"/>
      <c r="T72" s="198"/>
      <c r="U72" s="198"/>
    </row>
    <row r="73" spans="1:21" s="12" customFormat="1" x14ac:dyDescent="0.25">
      <c r="A73" s="214" t="s">
        <v>2230</v>
      </c>
      <c r="B73" s="64">
        <v>3.14</v>
      </c>
      <c r="C73" s="64">
        <v>17.559999999999999</v>
      </c>
      <c r="D73" s="64">
        <v>13.5</v>
      </c>
      <c r="E73" s="64">
        <v>1.1100000000000001</v>
      </c>
      <c r="F73" s="64">
        <v>5.23</v>
      </c>
      <c r="G73" s="64">
        <v>65.36</v>
      </c>
      <c r="H73" s="64">
        <v>29.92</v>
      </c>
      <c r="I73" s="64">
        <v>1.52</v>
      </c>
      <c r="J73" s="64">
        <v>1.47</v>
      </c>
      <c r="K73" s="64">
        <v>114.78</v>
      </c>
      <c r="L73" s="64">
        <v>26.51</v>
      </c>
      <c r="M73" s="64">
        <v>34.49</v>
      </c>
      <c r="N73" s="64">
        <v>67.900000000000006</v>
      </c>
      <c r="O73" s="64">
        <v>0</v>
      </c>
      <c r="P73" s="64">
        <v>0.48</v>
      </c>
      <c r="Q73" s="64">
        <v>4.8600000000000003</v>
      </c>
      <c r="R73" s="198"/>
      <c r="S73" s="198"/>
      <c r="T73" s="198"/>
      <c r="U73" s="198"/>
    </row>
    <row r="74" spans="1:21" s="12" customFormat="1" x14ac:dyDescent="0.25">
      <c r="A74" s="214" t="s">
        <v>2231</v>
      </c>
      <c r="B74" s="64">
        <v>2.75</v>
      </c>
      <c r="C74" s="64">
        <v>18.72</v>
      </c>
      <c r="D74" s="64">
        <v>13.83</v>
      </c>
      <c r="E74" s="64">
        <v>0.98</v>
      </c>
      <c r="F74" s="64">
        <v>7.02</v>
      </c>
      <c r="G74" s="64">
        <v>65.36</v>
      </c>
      <c r="H74" s="64">
        <v>29.92</v>
      </c>
      <c r="I74" s="64">
        <v>1.47</v>
      </c>
      <c r="J74" s="64">
        <v>1.37</v>
      </c>
      <c r="K74" s="64">
        <v>104.95</v>
      </c>
      <c r="L74" s="64">
        <v>26.32</v>
      </c>
      <c r="M74" s="64">
        <v>33.85</v>
      </c>
      <c r="N74" s="64">
        <v>60.5</v>
      </c>
      <c r="O74" s="64">
        <v>0</v>
      </c>
      <c r="P74" s="64">
        <v>0.45</v>
      </c>
      <c r="Q74" s="64">
        <v>4.8499999999999996</v>
      </c>
      <c r="R74" s="198"/>
      <c r="S74" s="198"/>
      <c r="T74" s="198"/>
      <c r="U74" s="198"/>
    </row>
    <row r="75" spans="1:21" s="12" customFormat="1" x14ac:dyDescent="0.25">
      <c r="A75" s="214" t="s">
        <v>2232</v>
      </c>
      <c r="B75" s="64">
        <v>2.5</v>
      </c>
      <c r="C75" s="64">
        <v>16</v>
      </c>
      <c r="D75" s="64">
        <v>12.13</v>
      </c>
      <c r="E75" s="64">
        <v>1.23</v>
      </c>
      <c r="F75" s="64">
        <v>6.58</v>
      </c>
      <c r="G75" s="64">
        <v>65.430000000000007</v>
      </c>
      <c r="H75" s="64">
        <v>29.52</v>
      </c>
      <c r="I75" s="64">
        <v>1.49</v>
      </c>
      <c r="J75" s="64">
        <v>1.78</v>
      </c>
      <c r="K75" s="64">
        <v>102.41</v>
      </c>
      <c r="L75" s="64">
        <v>26.21</v>
      </c>
      <c r="M75" s="64">
        <v>32.26</v>
      </c>
      <c r="N75" s="64">
        <v>52.7</v>
      </c>
      <c r="O75" s="64">
        <v>0</v>
      </c>
      <c r="P75" s="64">
        <v>0.44</v>
      </c>
      <c r="Q75" s="64">
        <v>4.99</v>
      </c>
      <c r="R75" s="198"/>
      <c r="S75" s="198"/>
      <c r="T75" s="198"/>
      <c r="U75" s="198"/>
    </row>
    <row r="76" spans="1:21" s="12" customFormat="1" x14ac:dyDescent="0.25">
      <c r="A76" s="214" t="s">
        <v>2233</v>
      </c>
      <c r="B76" s="64">
        <v>2.27</v>
      </c>
      <c r="C76" s="64">
        <v>15.5</v>
      </c>
      <c r="D76" s="64">
        <v>11.67</v>
      </c>
      <c r="E76" s="64">
        <v>0.98</v>
      </c>
      <c r="F76" s="64">
        <v>3.08</v>
      </c>
      <c r="G76" s="64">
        <v>66.209999999999994</v>
      </c>
      <c r="H76" s="64">
        <v>25.48</v>
      </c>
      <c r="I76" s="64">
        <v>1.57</v>
      </c>
      <c r="J76" s="64">
        <v>1.31</v>
      </c>
      <c r="K76" s="64">
        <v>100.92</v>
      </c>
      <c r="L76" s="64">
        <v>26.19</v>
      </c>
      <c r="M76" s="64">
        <v>29.63</v>
      </c>
      <c r="N76" s="64">
        <v>43.2</v>
      </c>
      <c r="O76" s="64">
        <v>0</v>
      </c>
      <c r="P76" s="64">
        <v>0.45</v>
      </c>
      <c r="Q76" s="64">
        <v>5.16</v>
      </c>
      <c r="R76" s="198"/>
      <c r="S76" s="198"/>
      <c r="T76" s="198"/>
      <c r="U76" s="198"/>
    </row>
    <row r="77" spans="1:21" s="12" customFormat="1" x14ac:dyDescent="0.25">
      <c r="A77" s="214" t="s">
        <v>2234</v>
      </c>
      <c r="B77" s="64">
        <v>2.1800000000000002</v>
      </c>
      <c r="C77" s="64">
        <v>21.13</v>
      </c>
      <c r="D77" s="64">
        <v>14.71</v>
      </c>
      <c r="E77" s="64">
        <v>0.78</v>
      </c>
      <c r="F77" s="64">
        <v>10.96</v>
      </c>
      <c r="G77" s="64">
        <v>66.209999999999994</v>
      </c>
      <c r="H77" s="64">
        <v>25.48</v>
      </c>
      <c r="I77" s="64">
        <v>1.42</v>
      </c>
      <c r="J77" s="64">
        <v>1.01</v>
      </c>
      <c r="K77" s="64">
        <v>103.33</v>
      </c>
      <c r="L77" s="64">
        <v>26.08</v>
      </c>
      <c r="M77" s="64">
        <v>28.82</v>
      </c>
      <c r="N77" s="64">
        <v>33.6</v>
      </c>
      <c r="O77" s="64">
        <v>0</v>
      </c>
      <c r="P77" s="64">
        <v>0.42</v>
      </c>
      <c r="Q77" s="64">
        <v>4.76</v>
      </c>
      <c r="R77" s="198"/>
      <c r="S77" s="198"/>
      <c r="T77" s="198"/>
      <c r="U77" s="198"/>
    </row>
    <row r="78" spans="1:21" s="12" customFormat="1" x14ac:dyDescent="0.25">
      <c r="A78" s="214" t="s">
        <v>2235</v>
      </c>
      <c r="B78" s="64">
        <v>2.09</v>
      </c>
      <c r="C78" s="64">
        <v>23.61</v>
      </c>
      <c r="D78" s="64">
        <v>16</v>
      </c>
      <c r="E78" s="64">
        <v>1.1599999999999999</v>
      </c>
      <c r="F78" s="64">
        <v>8.1199999999999992</v>
      </c>
      <c r="G78" s="64">
        <v>66.209999999999994</v>
      </c>
      <c r="H78" s="64">
        <v>25.48</v>
      </c>
      <c r="I78" s="64">
        <v>1.45</v>
      </c>
      <c r="J78" s="64">
        <v>1.0900000000000001</v>
      </c>
      <c r="K78" s="64">
        <v>100.6</v>
      </c>
      <c r="L78" s="64">
        <v>25.82</v>
      </c>
      <c r="M78" s="64">
        <v>29.57</v>
      </c>
      <c r="N78" s="64">
        <v>25.6</v>
      </c>
      <c r="O78" s="64">
        <v>0</v>
      </c>
      <c r="P78" s="64">
        <v>0.41</v>
      </c>
      <c r="Q78" s="64">
        <v>4.58</v>
      </c>
      <c r="R78" s="198"/>
      <c r="S78" s="198"/>
      <c r="T78" s="198"/>
      <c r="U78" s="198"/>
    </row>
    <row r="79" spans="1:21" s="12" customFormat="1" x14ac:dyDescent="0.25">
      <c r="A79" s="214" t="s">
        <v>2236</v>
      </c>
      <c r="B79" s="64">
        <v>2.23</v>
      </c>
      <c r="C79" s="64">
        <v>26.71</v>
      </c>
      <c r="D79" s="64">
        <v>17.82</v>
      </c>
      <c r="E79" s="64">
        <v>1.06</v>
      </c>
      <c r="F79" s="64">
        <v>11.88</v>
      </c>
      <c r="G79" s="64">
        <v>65.8</v>
      </c>
      <c r="H79" s="64">
        <v>25.99</v>
      </c>
      <c r="I79" s="64">
        <v>1.49</v>
      </c>
      <c r="J79" s="64">
        <v>0.55000000000000004</v>
      </c>
      <c r="K79" s="64">
        <v>98.78</v>
      </c>
      <c r="L79" s="64">
        <v>25.52</v>
      </c>
      <c r="M79" s="64">
        <v>30.92</v>
      </c>
      <c r="N79" s="64">
        <v>23</v>
      </c>
      <c r="O79" s="64">
        <v>0</v>
      </c>
      <c r="P79" s="64">
        <v>0.42</v>
      </c>
      <c r="Q79" s="64">
        <v>4.5199999999999996</v>
      </c>
      <c r="R79" s="198"/>
      <c r="S79" s="198"/>
      <c r="T79" s="198"/>
      <c r="U79" s="198"/>
    </row>
    <row r="80" spans="1:21" s="12" customFormat="1" x14ac:dyDescent="0.25">
      <c r="A80" s="214" t="s">
        <v>2237</v>
      </c>
      <c r="B80" s="64">
        <v>2.7</v>
      </c>
      <c r="C80" s="64">
        <v>36.6</v>
      </c>
      <c r="D80" s="64">
        <v>23.65</v>
      </c>
      <c r="E80" s="64">
        <v>1.29</v>
      </c>
      <c r="F80" s="64">
        <v>11.75</v>
      </c>
      <c r="G80" s="64">
        <v>61.03</v>
      </c>
      <c r="H80" s="64">
        <v>31.08</v>
      </c>
      <c r="I80" s="64">
        <v>1.51</v>
      </c>
      <c r="J80" s="64">
        <v>0.45</v>
      </c>
      <c r="K80" s="64">
        <v>108.97</v>
      </c>
      <c r="L80" s="64">
        <v>25.09</v>
      </c>
      <c r="M80" s="64">
        <v>33.99</v>
      </c>
      <c r="N80" s="64">
        <v>22.5</v>
      </c>
      <c r="O80" s="64">
        <v>0</v>
      </c>
      <c r="P80" s="64">
        <v>0.46</v>
      </c>
      <c r="Q80" s="64">
        <v>3.87</v>
      </c>
      <c r="R80" s="198"/>
      <c r="S80" s="198"/>
      <c r="T80" s="198"/>
      <c r="U80" s="198"/>
    </row>
    <row r="81" spans="1:26" s="12" customFormat="1" x14ac:dyDescent="0.25">
      <c r="A81" s="214" t="s">
        <v>2238</v>
      </c>
      <c r="B81" s="64">
        <v>2.7</v>
      </c>
      <c r="C81" s="64">
        <v>31.94</v>
      </c>
      <c r="D81" s="64">
        <v>21.08</v>
      </c>
      <c r="E81" s="64">
        <v>1.19</v>
      </c>
      <c r="F81" s="64">
        <v>14.18</v>
      </c>
      <c r="G81" s="64">
        <v>61.03</v>
      </c>
      <c r="H81" s="64">
        <v>31.08</v>
      </c>
      <c r="I81" s="64">
        <v>1.45</v>
      </c>
      <c r="J81" s="64">
        <v>0.1</v>
      </c>
      <c r="K81" s="64">
        <v>51.86</v>
      </c>
      <c r="L81" s="64">
        <v>24.17</v>
      </c>
      <c r="M81" s="64">
        <v>42.75</v>
      </c>
      <c r="N81" s="64">
        <v>23.2</v>
      </c>
      <c r="O81" s="64">
        <v>0</v>
      </c>
      <c r="P81" s="64">
        <v>0.49</v>
      </c>
      <c r="Q81" s="64">
        <v>3.63</v>
      </c>
      <c r="R81" s="198"/>
      <c r="S81" s="198"/>
      <c r="T81" s="198"/>
      <c r="U81" s="198"/>
    </row>
    <row r="82" spans="1:26" s="12" customFormat="1" x14ac:dyDescent="0.25">
      <c r="A82" s="214" t="s">
        <v>2239</v>
      </c>
      <c r="B82" s="64">
        <v>2.82</v>
      </c>
      <c r="C82" s="64">
        <v>34.869999999999997</v>
      </c>
      <c r="D82" s="64">
        <v>22.8</v>
      </c>
      <c r="E82" s="64">
        <v>1.06</v>
      </c>
      <c r="F82" s="64">
        <v>6.94</v>
      </c>
      <c r="G82" s="64">
        <v>61.03</v>
      </c>
      <c r="H82" s="64">
        <v>31.08</v>
      </c>
      <c r="I82" s="64">
        <v>1.53</v>
      </c>
      <c r="J82" s="64">
        <v>0.17</v>
      </c>
      <c r="K82" s="64">
        <v>90.43</v>
      </c>
      <c r="L82" s="64">
        <v>23.97</v>
      </c>
      <c r="M82" s="64">
        <v>39.99</v>
      </c>
      <c r="N82" s="64">
        <v>22.9</v>
      </c>
      <c r="O82" s="64">
        <v>0</v>
      </c>
      <c r="P82" s="64">
        <v>0.56000000000000005</v>
      </c>
      <c r="Q82" s="64">
        <v>4.0599999999999996</v>
      </c>
      <c r="R82" s="198"/>
      <c r="S82" s="198"/>
      <c r="T82" s="198"/>
      <c r="U82" s="198"/>
    </row>
    <row r="83" spans="1:26" s="12" customFormat="1" x14ac:dyDescent="0.25">
      <c r="A83" s="214" t="s">
        <v>2240</v>
      </c>
      <c r="B83" s="64">
        <v>3.34</v>
      </c>
      <c r="C83" s="64">
        <v>34.5</v>
      </c>
      <c r="D83" s="64">
        <v>23.01</v>
      </c>
      <c r="E83" s="64">
        <v>1.26</v>
      </c>
      <c r="F83" s="64">
        <v>13.63</v>
      </c>
      <c r="G83" s="64">
        <v>62.53</v>
      </c>
      <c r="H83" s="64">
        <v>30.59</v>
      </c>
      <c r="I83" s="64">
        <v>1.49</v>
      </c>
      <c r="J83" s="64">
        <v>0.35</v>
      </c>
      <c r="K83" s="64">
        <v>106.91</v>
      </c>
      <c r="L83" s="64">
        <v>23.96</v>
      </c>
      <c r="M83" s="64">
        <v>42.45</v>
      </c>
      <c r="N83" s="64">
        <v>22.4</v>
      </c>
      <c r="O83" s="64">
        <v>0</v>
      </c>
      <c r="P83" s="64">
        <v>0.63</v>
      </c>
      <c r="Q83" s="64">
        <v>3.54</v>
      </c>
      <c r="R83" s="198"/>
      <c r="S83" s="198"/>
      <c r="T83" s="198"/>
      <c r="U83" s="198"/>
    </row>
    <row r="84" spans="1:26" s="12" customFormat="1" x14ac:dyDescent="0.25">
      <c r="A84" s="214" t="s">
        <v>2241</v>
      </c>
      <c r="B84" s="64">
        <v>2.84</v>
      </c>
      <c r="C84" s="64">
        <v>25.77</v>
      </c>
      <c r="D84" s="64">
        <v>17.79</v>
      </c>
      <c r="E84" s="64">
        <v>1.02</v>
      </c>
      <c r="F84" s="64">
        <v>5.43</v>
      </c>
      <c r="G84" s="64">
        <v>80.400000000000006</v>
      </c>
      <c r="H84" s="64">
        <v>25.68</v>
      </c>
      <c r="I84" s="64">
        <v>1.39</v>
      </c>
      <c r="J84" s="64">
        <v>0.27</v>
      </c>
      <c r="K84" s="64">
        <v>99.3</v>
      </c>
      <c r="L84" s="64">
        <v>23.71</v>
      </c>
      <c r="M84" s="64">
        <v>46.13</v>
      </c>
      <c r="N84" s="64">
        <v>22.6</v>
      </c>
      <c r="O84" s="64">
        <v>0</v>
      </c>
      <c r="P84" s="64">
        <v>0.55000000000000004</v>
      </c>
      <c r="Q84" s="64">
        <v>4.2</v>
      </c>
      <c r="R84" s="198"/>
      <c r="S84" s="198"/>
      <c r="T84" s="198"/>
      <c r="U84" s="198"/>
    </row>
    <row r="85" spans="1:26" s="12" customFormat="1" x14ac:dyDescent="0.25">
      <c r="A85" s="214" t="s">
        <v>2242</v>
      </c>
      <c r="B85" s="64">
        <v>2.7</v>
      </c>
      <c r="C85" s="64">
        <v>37.06</v>
      </c>
      <c r="D85" s="64">
        <v>23.91</v>
      </c>
      <c r="E85" s="64">
        <v>0.86</v>
      </c>
      <c r="F85" s="64">
        <v>13.16</v>
      </c>
      <c r="G85" s="64">
        <v>80.400000000000006</v>
      </c>
      <c r="H85" s="64">
        <v>25.68</v>
      </c>
      <c r="I85" s="64">
        <v>1.48</v>
      </c>
      <c r="J85" s="64">
        <v>0.38</v>
      </c>
      <c r="K85" s="64">
        <v>109.31</v>
      </c>
      <c r="L85" s="64">
        <v>23.69</v>
      </c>
      <c r="M85" s="64">
        <v>48.1</v>
      </c>
      <c r="N85" s="64">
        <v>22.4</v>
      </c>
      <c r="O85" s="64">
        <v>0</v>
      </c>
      <c r="P85" s="64">
        <v>0.61</v>
      </c>
      <c r="Q85" s="64">
        <v>4.2300000000000004</v>
      </c>
      <c r="R85" s="198"/>
      <c r="S85" s="198"/>
      <c r="T85" s="198"/>
      <c r="U85" s="198"/>
    </row>
    <row r="86" spans="1:26" s="12" customFormat="1" x14ac:dyDescent="0.25">
      <c r="A86" s="214" t="s">
        <v>2243</v>
      </c>
      <c r="B86" s="64">
        <v>3.12</v>
      </c>
      <c r="C86" s="64">
        <v>28.9</v>
      </c>
      <c r="D86" s="64">
        <v>19.739999999999998</v>
      </c>
      <c r="E86" s="64">
        <v>1.07</v>
      </c>
      <c r="F86" s="64">
        <v>8.0500000000000007</v>
      </c>
      <c r="G86" s="64">
        <v>80.400000000000006</v>
      </c>
      <c r="H86" s="64">
        <v>25.68</v>
      </c>
      <c r="I86" s="64">
        <v>1.45</v>
      </c>
      <c r="J86" s="64">
        <v>0.18</v>
      </c>
      <c r="K86" s="64">
        <v>100.09</v>
      </c>
      <c r="L86" s="64">
        <v>23.59</v>
      </c>
      <c r="M86" s="64">
        <v>49.29</v>
      </c>
      <c r="N86" s="64">
        <v>22.8</v>
      </c>
      <c r="O86" s="64">
        <v>0</v>
      </c>
      <c r="P86" s="64">
        <v>0.59</v>
      </c>
      <c r="Q86" s="64">
        <v>4.03</v>
      </c>
      <c r="R86" s="198"/>
      <c r="S86" s="198"/>
      <c r="T86" s="198"/>
      <c r="U86" s="198"/>
    </row>
    <row r="87" spans="1:26" s="12" customFormat="1" x14ac:dyDescent="0.25">
      <c r="A87" s="214" t="s">
        <v>2244</v>
      </c>
      <c r="B87" s="64">
        <v>5.27</v>
      </c>
      <c r="C87" s="64">
        <v>39.619999999999997</v>
      </c>
      <c r="D87" s="64">
        <v>27.38</v>
      </c>
      <c r="E87" s="64">
        <v>0.74</v>
      </c>
      <c r="F87" s="64">
        <v>9.23</v>
      </c>
      <c r="G87" s="64">
        <v>81</v>
      </c>
      <c r="H87" s="64">
        <v>25.74</v>
      </c>
      <c r="I87" s="64">
        <v>1.52</v>
      </c>
      <c r="J87" s="64">
        <v>0.27</v>
      </c>
      <c r="K87" s="64">
        <v>107.33</v>
      </c>
      <c r="L87" s="64">
        <v>23.41</v>
      </c>
      <c r="M87" s="64">
        <v>50.75</v>
      </c>
      <c r="N87" s="64">
        <v>22.9</v>
      </c>
      <c r="O87" s="64">
        <v>0</v>
      </c>
      <c r="P87" s="64">
        <v>0.72</v>
      </c>
      <c r="Q87" s="64">
        <v>4.24</v>
      </c>
      <c r="R87" s="198"/>
      <c r="S87" s="198"/>
      <c r="T87" s="198"/>
      <c r="U87" s="198"/>
    </row>
    <row r="88" spans="1:26" s="12" customFormat="1" x14ac:dyDescent="0.25">
      <c r="A88" s="214" t="s">
        <v>2245</v>
      </c>
      <c r="B88" s="64">
        <v>10.35</v>
      </c>
      <c r="C88" s="64">
        <v>34.36</v>
      </c>
      <c r="D88" s="64">
        <v>28.56</v>
      </c>
      <c r="E88" s="64">
        <v>0.54</v>
      </c>
      <c r="F88" s="64">
        <v>4.01</v>
      </c>
      <c r="G88" s="64">
        <v>88.17</v>
      </c>
      <c r="H88" s="64">
        <v>26.23</v>
      </c>
      <c r="I88" s="64">
        <v>1.5</v>
      </c>
      <c r="J88" s="64">
        <v>0.16</v>
      </c>
      <c r="K88" s="64">
        <v>336.86</v>
      </c>
      <c r="L88" s="64">
        <v>22.65</v>
      </c>
      <c r="M88" s="64">
        <v>58.2</v>
      </c>
      <c r="N88" s="64">
        <v>23.7</v>
      </c>
      <c r="O88" s="64">
        <v>0</v>
      </c>
      <c r="P88" s="64">
        <v>0.86</v>
      </c>
      <c r="Q88" s="64">
        <v>1.88</v>
      </c>
      <c r="R88" s="198"/>
      <c r="S88" s="198"/>
      <c r="T88" s="198"/>
      <c r="U88" s="198"/>
    </row>
    <row r="89" spans="1:26" s="12" customFormat="1" x14ac:dyDescent="0.25">
      <c r="A89" s="214" t="s">
        <v>2246</v>
      </c>
      <c r="B89" s="64">
        <v>44.26</v>
      </c>
      <c r="C89" s="64">
        <v>62.84</v>
      </c>
      <c r="D89" s="64">
        <v>71.459999999999994</v>
      </c>
      <c r="E89" s="64">
        <v>0.79</v>
      </c>
      <c r="F89" s="64">
        <v>0.64</v>
      </c>
      <c r="G89" s="64">
        <v>88.17</v>
      </c>
      <c r="H89" s="64">
        <v>26.23</v>
      </c>
      <c r="I89" s="64">
        <v>1.43</v>
      </c>
      <c r="J89" s="64">
        <v>0.09</v>
      </c>
      <c r="K89" s="64">
        <v>332.75</v>
      </c>
      <c r="L89" s="64">
        <v>21.85</v>
      </c>
      <c r="M89" s="64">
        <v>59.89</v>
      </c>
      <c r="N89" s="64">
        <v>23.4</v>
      </c>
      <c r="O89" s="64">
        <v>0</v>
      </c>
      <c r="P89" s="64">
        <v>1.65</v>
      </c>
      <c r="Q89" s="64">
        <v>1.77</v>
      </c>
      <c r="R89" s="198"/>
      <c r="S89" s="198"/>
      <c r="T89" s="198"/>
      <c r="U89" s="198"/>
    </row>
    <row r="90" spans="1:26" s="12" customFormat="1" x14ac:dyDescent="0.25">
      <c r="A90" s="214" t="s">
        <v>2247</v>
      </c>
      <c r="B90" s="64">
        <v>10.65</v>
      </c>
      <c r="C90" s="64">
        <v>48.28</v>
      </c>
      <c r="D90" s="64">
        <v>36.479999999999997</v>
      </c>
      <c r="E90" s="64">
        <v>1.02</v>
      </c>
      <c r="F90" s="64">
        <v>7.1</v>
      </c>
      <c r="G90" s="64">
        <v>88.17</v>
      </c>
      <c r="H90" s="64">
        <v>26.23</v>
      </c>
      <c r="I90" s="64">
        <v>1.53</v>
      </c>
      <c r="J90" s="64">
        <v>0.03</v>
      </c>
      <c r="K90" s="64">
        <v>295.77999999999997</v>
      </c>
      <c r="L90" s="64">
        <v>21.86</v>
      </c>
      <c r="M90" s="64">
        <v>58.87</v>
      </c>
      <c r="N90" s="64">
        <v>23</v>
      </c>
      <c r="O90" s="64">
        <v>0</v>
      </c>
      <c r="P90" s="64">
        <v>1.22</v>
      </c>
      <c r="Q90" s="64">
        <v>2.9</v>
      </c>
      <c r="R90" s="198"/>
      <c r="S90" s="198"/>
      <c r="T90" s="198"/>
      <c r="U90" s="198"/>
    </row>
    <row r="91" spans="1:26" s="12" customFormat="1" x14ac:dyDescent="0.25">
      <c r="A91" s="214" t="s">
        <v>2248</v>
      </c>
      <c r="B91" s="64">
        <v>6.61</v>
      </c>
      <c r="C91" s="64">
        <v>32.81</v>
      </c>
      <c r="D91" s="64">
        <v>24.7</v>
      </c>
      <c r="E91" s="64">
        <v>1.19</v>
      </c>
      <c r="F91" s="64">
        <v>13.49</v>
      </c>
      <c r="G91" s="64">
        <v>90.48</v>
      </c>
      <c r="H91" s="64">
        <v>27.51</v>
      </c>
      <c r="I91" s="64">
        <v>1.49</v>
      </c>
      <c r="J91" s="64">
        <v>0.06</v>
      </c>
      <c r="K91" s="64">
        <v>94.67</v>
      </c>
      <c r="L91" s="64">
        <v>22.13</v>
      </c>
      <c r="M91" s="64">
        <v>54.24</v>
      </c>
      <c r="N91" s="64">
        <v>23</v>
      </c>
      <c r="O91" s="64">
        <v>0</v>
      </c>
      <c r="P91" s="64">
        <v>0.88</v>
      </c>
      <c r="Q91" s="64">
        <v>3.98</v>
      </c>
      <c r="R91" s="198"/>
      <c r="S91" s="198"/>
      <c r="T91" s="198"/>
      <c r="U91" s="198"/>
    </row>
    <row r="92" spans="1:26" s="12" customFormat="1" x14ac:dyDescent="0.25">
      <c r="A92" s="214" t="s">
        <v>2249</v>
      </c>
      <c r="B92" s="64">
        <v>5.43</v>
      </c>
      <c r="C92" s="64">
        <v>36.72</v>
      </c>
      <c r="D92" s="64">
        <v>25.92</v>
      </c>
      <c r="E92" s="64">
        <v>1.35</v>
      </c>
      <c r="F92" s="64">
        <v>16.34</v>
      </c>
      <c r="G92" s="64">
        <v>117.92</v>
      </c>
      <c r="H92" s="64">
        <v>40.299999999999997</v>
      </c>
      <c r="I92" s="64">
        <v>1.47</v>
      </c>
      <c r="J92" s="64">
        <v>0.14000000000000001</v>
      </c>
      <c r="K92" s="64">
        <v>99.41</v>
      </c>
      <c r="L92" s="64">
        <v>22.38</v>
      </c>
      <c r="M92" s="64">
        <v>52.34</v>
      </c>
      <c r="N92" s="64">
        <v>22.7</v>
      </c>
      <c r="O92" s="64">
        <v>0</v>
      </c>
      <c r="P92" s="64">
        <v>0.9</v>
      </c>
      <c r="Q92" s="64">
        <v>4.3499999999999996</v>
      </c>
      <c r="R92" s="198"/>
      <c r="S92" s="198"/>
      <c r="T92" s="198"/>
      <c r="U92" s="198"/>
    </row>
    <row r="93" spans="1:26" s="12" customFormat="1" x14ac:dyDescent="0.25">
      <c r="A93" s="214" t="s">
        <v>2250</v>
      </c>
      <c r="B93" s="64">
        <v>22.56</v>
      </c>
      <c r="C93" s="64">
        <v>46.32</v>
      </c>
      <c r="D93" s="64">
        <v>44.95</v>
      </c>
      <c r="E93" s="64">
        <v>1.46</v>
      </c>
      <c r="F93" s="64">
        <v>7.54</v>
      </c>
      <c r="G93" s="64">
        <v>117.92</v>
      </c>
      <c r="H93" s="64">
        <v>40.299999999999997</v>
      </c>
      <c r="I93" s="64">
        <v>1.52</v>
      </c>
      <c r="J93" s="64">
        <v>0.16</v>
      </c>
      <c r="K93" s="64">
        <v>342.54</v>
      </c>
      <c r="L93" s="64">
        <v>22.38</v>
      </c>
      <c r="M93" s="64">
        <v>56.41</v>
      </c>
      <c r="N93" s="64">
        <v>23.2</v>
      </c>
      <c r="O93" s="64">
        <v>0</v>
      </c>
      <c r="P93" s="64">
        <v>1.35</v>
      </c>
      <c r="Q93" s="64">
        <v>2.0099999999999998</v>
      </c>
      <c r="R93" s="198"/>
      <c r="S93" s="198"/>
      <c r="T93" s="198"/>
      <c r="U93" s="198"/>
    </row>
    <row r="94" spans="1:26" s="12" customFormat="1" x14ac:dyDescent="0.25">
      <c r="A94" s="214" t="s">
        <v>2251</v>
      </c>
      <c r="B94" s="64">
        <v>24.06</v>
      </c>
      <c r="C94" s="64">
        <v>38.06</v>
      </c>
      <c r="D94" s="64">
        <v>41.59</v>
      </c>
      <c r="E94" s="64">
        <v>1.07</v>
      </c>
      <c r="F94" s="64">
        <v>1.07</v>
      </c>
      <c r="G94" s="64">
        <v>117.92</v>
      </c>
      <c r="H94" s="64">
        <v>40.299999999999997</v>
      </c>
      <c r="I94" s="64">
        <v>1.5</v>
      </c>
      <c r="J94" s="64">
        <v>0.15</v>
      </c>
      <c r="K94" s="64">
        <v>342.28</v>
      </c>
      <c r="L94" s="64">
        <v>21.57</v>
      </c>
      <c r="M94" s="64">
        <v>64.98</v>
      </c>
      <c r="N94" s="64">
        <v>23.8</v>
      </c>
      <c r="O94" s="64">
        <v>0</v>
      </c>
      <c r="P94" s="64">
        <v>1.41</v>
      </c>
      <c r="Q94" s="64">
        <v>3.07</v>
      </c>
      <c r="R94" s="198"/>
      <c r="S94" s="198"/>
      <c r="T94" s="198"/>
      <c r="U94" s="198"/>
    </row>
    <row r="95" spans="1:26" s="12" customFormat="1" x14ac:dyDescent="0.25">
      <c r="A95" s="214" t="s">
        <v>2252</v>
      </c>
      <c r="B95" s="64">
        <v>23.69</v>
      </c>
      <c r="C95" s="64">
        <v>27.8</v>
      </c>
      <c r="D95" s="64">
        <v>35.630000000000003</v>
      </c>
      <c r="E95" s="64">
        <v>1.25</v>
      </c>
      <c r="F95" s="64">
        <v>1.02</v>
      </c>
      <c r="G95" s="64">
        <v>119.83</v>
      </c>
      <c r="H95" s="64">
        <v>40.94</v>
      </c>
      <c r="I95" s="64">
        <v>1.48</v>
      </c>
      <c r="J95" s="64">
        <v>0.1</v>
      </c>
      <c r="K95" s="64">
        <v>294.52</v>
      </c>
      <c r="L95" s="64">
        <v>21.03</v>
      </c>
      <c r="M95" s="64">
        <v>64.28</v>
      </c>
      <c r="N95" s="64">
        <v>23.4</v>
      </c>
      <c r="O95" s="64">
        <v>0</v>
      </c>
      <c r="P95" s="64">
        <v>1.3</v>
      </c>
      <c r="Q95" s="64">
        <v>3.41</v>
      </c>
      <c r="R95" s="198"/>
      <c r="S95" s="198"/>
      <c r="T95" s="198"/>
      <c r="U95" s="198"/>
    </row>
    <row r="96" spans="1:26" s="12" customFormat="1" x14ac:dyDescent="0.25">
      <c r="A96" s="214" t="s">
        <v>2253</v>
      </c>
      <c r="B96" s="64">
        <v>26.34</v>
      </c>
      <c r="C96" s="64">
        <v>26.09</v>
      </c>
      <c r="D96" s="64">
        <v>36.81</v>
      </c>
      <c r="E96" s="64">
        <v>0.88</v>
      </c>
      <c r="F96" s="64">
        <v>0.41</v>
      </c>
      <c r="G96" s="64">
        <v>142.41</v>
      </c>
      <c r="H96" s="64">
        <v>47.38</v>
      </c>
      <c r="I96" s="64">
        <v>1.48</v>
      </c>
      <c r="J96" s="64">
        <v>0.1</v>
      </c>
      <c r="K96" s="64">
        <v>296.33999999999997</v>
      </c>
      <c r="L96" s="64">
        <v>20.75</v>
      </c>
      <c r="M96" s="64">
        <v>68.97</v>
      </c>
      <c r="N96" s="64">
        <v>23.3</v>
      </c>
      <c r="O96" s="64">
        <v>0</v>
      </c>
      <c r="P96" s="64">
        <v>1.33</v>
      </c>
      <c r="Q96" s="64">
        <v>4.8099999999999996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2254</v>
      </c>
      <c r="B97" s="64">
        <v>33.58</v>
      </c>
      <c r="C97" s="64">
        <v>29.71</v>
      </c>
      <c r="D97" s="64">
        <v>44.61</v>
      </c>
      <c r="E97" s="64">
        <v>0.91</v>
      </c>
      <c r="F97" s="64">
        <v>0.22</v>
      </c>
      <c r="G97" s="64">
        <v>142.41</v>
      </c>
      <c r="H97" s="64">
        <v>47.38</v>
      </c>
      <c r="I97" s="64">
        <v>1.51</v>
      </c>
      <c r="J97" s="64">
        <v>0.1</v>
      </c>
      <c r="K97" s="64">
        <v>289.56</v>
      </c>
      <c r="L97" s="64">
        <v>20.57</v>
      </c>
      <c r="M97" s="64">
        <v>69.72</v>
      </c>
      <c r="N97" s="64">
        <v>23</v>
      </c>
      <c r="O97" s="64">
        <v>0</v>
      </c>
      <c r="P97" s="64">
        <v>1.52</v>
      </c>
      <c r="Q97" s="64">
        <v>4.0599999999999996</v>
      </c>
      <c r="R97" s="198"/>
      <c r="S97" s="198"/>
      <c r="T97" s="198"/>
      <c r="U97" s="198"/>
    </row>
    <row r="98" spans="1:33" s="12" customFormat="1" x14ac:dyDescent="0.25">
      <c r="A98" s="214" t="s">
        <v>2255</v>
      </c>
      <c r="B98" s="64">
        <v>31.18</v>
      </c>
      <c r="C98" s="64">
        <v>22.11</v>
      </c>
      <c r="D98" s="64">
        <v>38.5</v>
      </c>
      <c r="E98" s="64">
        <v>0.76</v>
      </c>
      <c r="F98" s="64">
        <v>0.18</v>
      </c>
      <c r="G98" s="64">
        <v>142.41</v>
      </c>
      <c r="H98" s="64">
        <v>47.38</v>
      </c>
      <c r="I98" s="64">
        <v>1.43</v>
      </c>
      <c r="J98" s="64">
        <v>0.13</v>
      </c>
      <c r="K98" s="64">
        <v>321.81</v>
      </c>
      <c r="L98" s="64">
        <v>20.37</v>
      </c>
      <c r="M98" s="64">
        <v>73.02</v>
      </c>
      <c r="N98" s="64">
        <v>23</v>
      </c>
      <c r="O98" s="64">
        <v>0</v>
      </c>
      <c r="P98" s="64">
        <v>1.43</v>
      </c>
      <c r="Q98" s="64">
        <v>5.9</v>
      </c>
      <c r="R98" s="198"/>
      <c r="S98" s="198"/>
      <c r="T98" s="198"/>
      <c r="U98" s="198"/>
    </row>
    <row r="99" spans="1:33" s="12" customFormat="1" x14ac:dyDescent="0.25">
      <c r="A99" s="214" t="s">
        <v>2256</v>
      </c>
      <c r="B99" s="64">
        <v>37.4</v>
      </c>
      <c r="C99" s="64">
        <v>29.1</v>
      </c>
      <c r="D99" s="64">
        <v>47.34</v>
      </c>
      <c r="E99" s="64">
        <v>0.9</v>
      </c>
      <c r="F99" s="64">
        <v>0.31</v>
      </c>
      <c r="G99" s="64">
        <v>146.09</v>
      </c>
      <c r="H99" s="64">
        <v>48.39</v>
      </c>
      <c r="I99" s="64">
        <v>1.58</v>
      </c>
      <c r="J99" s="64">
        <v>0.02</v>
      </c>
      <c r="K99" s="64">
        <v>239.53</v>
      </c>
      <c r="L99" s="64">
        <v>19.97</v>
      </c>
      <c r="M99" s="64">
        <v>73.63</v>
      </c>
      <c r="N99" s="64">
        <v>22.9</v>
      </c>
      <c r="O99" s="64">
        <v>0</v>
      </c>
      <c r="P99" s="64">
        <v>1.63</v>
      </c>
      <c r="Q99" s="64">
        <v>5.98</v>
      </c>
      <c r="R99" s="198"/>
      <c r="S99" s="198"/>
      <c r="T99" s="198"/>
      <c r="U99" s="198"/>
    </row>
    <row r="100" spans="1:33" s="12" customFormat="1" x14ac:dyDescent="0.25">
      <c r="A100" s="214" t="s">
        <v>2257</v>
      </c>
      <c r="B100" s="64">
        <v>35.11</v>
      </c>
      <c r="C100" s="64">
        <v>22.61</v>
      </c>
      <c r="D100" s="64">
        <v>41.93</v>
      </c>
      <c r="E100" s="64">
        <v>0.73</v>
      </c>
      <c r="F100" s="64">
        <v>0.36</v>
      </c>
      <c r="G100" s="64">
        <v>189.7</v>
      </c>
      <c r="H100" s="64">
        <v>58.86</v>
      </c>
      <c r="I100" s="64">
        <v>1.53</v>
      </c>
      <c r="J100" s="64">
        <v>0.06</v>
      </c>
      <c r="K100" s="64">
        <v>262.33</v>
      </c>
      <c r="L100" s="64">
        <v>19.89</v>
      </c>
      <c r="M100" s="64">
        <v>73.73</v>
      </c>
      <c r="N100" s="64">
        <v>22.8</v>
      </c>
      <c r="O100" s="64">
        <v>0</v>
      </c>
      <c r="P100" s="64">
        <v>1.51</v>
      </c>
      <c r="Q100" s="64">
        <v>6.93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2258</v>
      </c>
      <c r="B101" s="64">
        <v>44.57</v>
      </c>
      <c r="C101" s="64">
        <v>36.47</v>
      </c>
      <c r="D101" s="64">
        <v>57.16</v>
      </c>
      <c r="E101" s="64">
        <v>0.8</v>
      </c>
      <c r="F101" s="64">
        <v>0.08</v>
      </c>
      <c r="G101" s="64">
        <v>189.7</v>
      </c>
      <c r="H101" s="64">
        <v>58.86</v>
      </c>
      <c r="I101" s="64">
        <v>1.47</v>
      </c>
      <c r="J101" s="64">
        <v>0.15</v>
      </c>
      <c r="K101" s="64">
        <v>313.68</v>
      </c>
      <c r="L101" s="64">
        <v>19.63</v>
      </c>
      <c r="M101" s="64">
        <v>79.55</v>
      </c>
      <c r="N101" s="64">
        <v>22.6</v>
      </c>
      <c r="O101" s="64">
        <v>0</v>
      </c>
      <c r="P101" s="64">
        <v>1.79</v>
      </c>
      <c r="Q101" s="64">
        <v>3.44</v>
      </c>
      <c r="R101" s="198"/>
      <c r="S101" s="198"/>
      <c r="T101" s="198"/>
      <c r="U101" s="198"/>
    </row>
    <row r="102" spans="1:33" s="12" customFormat="1" x14ac:dyDescent="0.25">
      <c r="A102" s="214" t="s">
        <v>2259</v>
      </c>
      <c r="B102" s="64">
        <v>62.64</v>
      </c>
      <c r="C102" s="64">
        <v>39.53</v>
      </c>
      <c r="D102" s="64">
        <v>73.34</v>
      </c>
      <c r="E102" s="64">
        <v>0.77</v>
      </c>
      <c r="F102" s="64">
        <v>0.13</v>
      </c>
      <c r="G102" s="64">
        <v>189.7</v>
      </c>
      <c r="H102" s="64">
        <v>58.86</v>
      </c>
      <c r="I102" s="64">
        <v>1.48</v>
      </c>
      <c r="J102" s="64">
        <v>0.1</v>
      </c>
      <c r="K102" s="64">
        <v>338.61</v>
      </c>
      <c r="L102" s="64">
        <v>19.600000000000001</v>
      </c>
      <c r="M102" s="64">
        <v>79.760000000000005</v>
      </c>
      <c r="N102" s="64">
        <v>22.5</v>
      </c>
      <c r="O102" s="64">
        <v>0</v>
      </c>
      <c r="P102" s="64">
        <v>1.94</v>
      </c>
      <c r="Q102" s="64">
        <v>3.91</v>
      </c>
      <c r="R102" s="198"/>
      <c r="S102" s="198"/>
      <c r="T102" s="198"/>
      <c r="U102" s="198"/>
    </row>
    <row r="103" spans="1:33" s="12" customFormat="1" x14ac:dyDescent="0.25">
      <c r="A103" s="214" t="s">
        <v>2260</v>
      </c>
      <c r="B103" s="64">
        <v>40.549999999999997</v>
      </c>
      <c r="C103" s="64">
        <v>36.549999999999997</v>
      </c>
      <c r="D103" s="64">
        <v>53.98</v>
      </c>
      <c r="E103" s="64">
        <v>0.9</v>
      </c>
      <c r="F103" s="64">
        <v>0.28999999999999998</v>
      </c>
      <c r="G103" s="64">
        <v>189.39</v>
      </c>
      <c r="H103" s="64">
        <v>59</v>
      </c>
      <c r="I103" s="64">
        <v>1.49</v>
      </c>
      <c r="J103" s="64">
        <v>0.04</v>
      </c>
      <c r="K103" s="64">
        <v>64.66</v>
      </c>
      <c r="L103" s="64">
        <v>19.52</v>
      </c>
      <c r="M103" s="64">
        <v>79.540000000000006</v>
      </c>
      <c r="N103" s="64">
        <v>22.7</v>
      </c>
      <c r="O103" s="64">
        <v>0</v>
      </c>
      <c r="P103" s="64">
        <v>1.83</v>
      </c>
      <c r="Q103" s="64">
        <v>6.45</v>
      </c>
      <c r="R103" s="198"/>
      <c r="S103" s="198"/>
      <c r="T103" s="198"/>
      <c r="U103" s="198"/>
    </row>
    <row r="104" spans="1:33" s="12" customFormat="1" x14ac:dyDescent="0.25">
      <c r="A104" s="214" t="s">
        <v>2261</v>
      </c>
      <c r="B104" s="64">
        <v>40.79</v>
      </c>
      <c r="C104" s="64">
        <v>32.119999999999997</v>
      </c>
      <c r="D104" s="64">
        <v>51.73</v>
      </c>
      <c r="E104" s="64">
        <v>0.46</v>
      </c>
      <c r="F104" s="64">
        <v>0.38</v>
      </c>
      <c r="G104" s="64">
        <v>185.73</v>
      </c>
      <c r="H104" s="64">
        <v>60.35</v>
      </c>
      <c r="I104" s="64">
        <v>1.5</v>
      </c>
      <c r="J104" s="64">
        <v>0.08</v>
      </c>
      <c r="K104" s="64">
        <v>319.74</v>
      </c>
      <c r="L104" s="64">
        <v>19.649999999999999</v>
      </c>
      <c r="M104" s="64">
        <v>76.19</v>
      </c>
      <c r="N104" s="64">
        <v>22.7</v>
      </c>
      <c r="O104" s="64">
        <v>0</v>
      </c>
      <c r="P104" s="64">
        <v>1.78</v>
      </c>
      <c r="Q104" s="64">
        <v>6.94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2.09</v>
      </c>
      <c r="C106" s="67">
        <f>MIN(C9:C104)</f>
        <v>12.65</v>
      </c>
      <c r="D106" s="67">
        <f t="shared" ref="D106:Q106" si="0">MIN(D9:D104)</f>
        <v>11.67</v>
      </c>
      <c r="E106" s="67">
        <f t="shared" si="0"/>
        <v>0.32</v>
      </c>
      <c r="F106" s="67">
        <f t="shared" si="0"/>
        <v>0.08</v>
      </c>
      <c r="G106" s="67">
        <f t="shared" si="0"/>
        <v>61.03</v>
      </c>
      <c r="H106" s="67">
        <f t="shared" si="0"/>
        <v>25.48</v>
      </c>
      <c r="I106" s="67">
        <f t="shared" si="0"/>
        <v>1.39</v>
      </c>
      <c r="J106" s="67">
        <f t="shared" si="0"/>
        <v>0.02</v>
      </c>
      <c r="K106" s="67">
        <f t="shared" si="0"/>
        <v>2.2200000000000002</v>
      </c>
      <c r="L106" s="67">
        <f t="shared" si="0"/>
        <v>18.75</v>
      </c>
      <c r="M106" s="67">
        <f t="shared" si="0"/>
        <v>28.82</v>
      </c>
      <c r="N106" s="67">
        <f t="shared" si="0"/>
        <v>15.5</v>
      </c>
      <c r="O106" s="67">
        <f t="shared" si="0"/>
        <v>0</v>
      </c>
      <c r="P106" s="67">
        <f t="shared" si="0"/>
        <v>0.41</v>
      </c>
      <c r="Q106" s="67">
        <f t="shared" si="0"/>
        <v>1.77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62.64</v>
      </c>
      <c r="C107" s="66">
        <f t="shared" ref="C107:Q107" si="1">MAX(C9:C104)</f>
        <v>62.84</v>
      </c>
      <c r="D107" s="66">
        <f t="shared" si="1"/>
        <v>73.34</v>
      </c>
      <c r="E107" s="66">
        <f t="shared" si="1"/>
        <v>2</v>
      </c>
      <c r="F107" s="66">
        <f t="shared" si="1"/>
        <v>21.85</v>
      </c>
      <c r="G107" s="66">
        <f t="shared" si="1"/>
        <v>189.7</v>
      </c>
      <c r="H107" s="66">
        <f t="shared" si="1"/>
        <v>62.11</v>
      </c>
      <c r="I107" s="66">
        <f t="shared" si="1"/>
        <v>1.58</v>
      </c>
      <c r="J107" s="66">
        <f t="shared" si="1"/>
        <v>1.78</v>
      </c>
      <c r="K107" s="66">
        <f t="shared" si="1"/>
        <v>346.1</v>
      </c>
      <c r="L107" s="66">
        <f t="shared" si="1"/>
        <v>30.04</v>
      </c>
      <c r="M107" s="66">
        <f t="shared" si="1"/>
        <v>95.59</v>
      </c>
      <c r="N107" s="66">
        <f t="shared" si="1"/>
        <v>845.7</v>
      </c>
      <c r="O107" s="66">
        <f t="shared" si="1"/>
        <v>0</v>
      </c>
      <c r="P107" s="66">
        <f t="shared" si="1"/>
        <v>1.94</v>
      </c>
      <c r="Q107" s="66">
        <f t="shared" si="1"/>
        <v>6.94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10.354062499999996</v>
      </c>
      <c r="C108" s="67">
        <f t="shared" ref="C108:Q108" si="2">AVERAGE(C9:C104)</f>
        <v>23.480208333333326</v>
      </c>
      <c r="D108" s="67">
        <f t="shared" si="2"/>
        <v>22.553125000000009</v>
      </c>
      <c r="E108" s="67">
        <f t="shared" si="2"/>
        <v>0.99416666666666664</v>
      </c>
      <c r="F108" s="67">
        <f t="shared" si="2"/>
        <v>4.6406250000000009</v>
      </c>
      <c r="G108" s="67">
        <f t="shared" si="2"/>
        <v>112.88593750000001</v>
      </c>
      <c r="H108" s="67">
        <f t="shared" si="2"/>
        <v>44.604999999999997</v>
      </c>
      <c r="I108" s="67">
        <f t="shared" si="2"/>
        <v>1.4905208333333331</v>
      </c>
      <c r="J108" s="67">
        <f t="shared" si="2"/>
        <v>0.46531250000000018</v>
      </c>
      <c r="K108" s="67">
        <f t="shared" si="2"/>
        <v>187.85927083333345</v>
      </c>
      <c r="L108" s="67">
        <f t="shared" si="2"/>
        <v>23.706145833333338</v>
      </c>
      <c r="M108" s="67">
        <f t="shared" si="2"/>
        <v>56.344062500000007</v>
      </c>
      <c r="N108" s="67">
        <f t="shared" si="2"/>
        <v>220.35937500000011</v>
      </c>
      <c r="O108" s="67">
        <f t="shared" si="2"/>
        <v>0</v>
      </c>
      <c r="P108" s="67">
        <f t="shared" si="2"/>
        <v>0.88114583333333363</v>
      </c>
      <c r="Q108" s="67">
        <f t="shared" si="2"/>
        <v>4.7211458333333338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11.271753385121592</v>
      </c>
      <c r="C109" s="67">
        <f t="shared" ref="C109:Q109" si="3">STDEV(C9:C104)</f>
        <v>8.886421217869632</v>
      </c>
      <c r="D109" s="67">
        <f t="shared" si="3"/>
        <v>12.128544956554247</v>
      </c>
      <c r="E109" s="67">
        <f t="shared" si="3"/>
        <v>0.30763500816001882</v>
      </c>
      <c r="F109" s="67">
        <f t="shared" si="3"/>
        <v>4.8822945021027904</v>
      </c>
      <c r="G109" s="67">
        <f t="shared" si="3"/>
        <v>34.710786328357642</v>
      </c>
      <c r="H109" s="67">
        <f t="shared" si="3"/>
        <v>13.088338562086102</v>
      </c>
      <c r="I109" s="67">
        <f t="shared" si="3"/>
        <v>4.0997298798480998E-2</v>
      </c>
      <c r="J109" s="67">
        <f t="shared" si="3"/>
        <v>0.41149266956443181</v>
      </c>
      <c r="K109" s="67">
        <f t="shared" si="3"/>
        <v>123.45318500075692</v>
      </c>
      <c r="L109" s="67">
        <f t="shared" si="3"/>
        <v>3.6851786701787552</v>
      </c>
      <c r="M109" s="67">
        <f t="shared" si="3"/>
        <v>21.358187611761672</v>
      </c>
      <c r="N109" s="67">
        <f t="shared" si="3"/>
        <v>300.48824430219514</v>
      </c>
      <c r="O109" s="67">
        <f t="shared" si="3"/>
        <v>0</v>
      </c>
      <c r="P109" s="67">
        <f t="shared" si="3"/>
        <v>0.3528436952045676</v>
      </c>
      <c r="Q109" s="67">
        <f t="shared" si="3"/>
        <v>0.90611823300989347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2262</v>
      </c>
      <c r="B9" s="64">
        <v>41.91</v>
      </c>
      <c r="C9" s="64">
        <v>38.85</v>
      </c>
      <c r="D9" s="64">
        <v>56.34</v>
      </c>
      <c r="E9" s="64">
        <v>0.77</v>
      </c>
      <c r="F9" s="64">
        <v>0.3</v>
      </c>
      <c r="G9" s="64">
        <v>185.73</v>
      </c>
      <c r="H9" s="64">
        <v>60.35</v>
      </c>
      <c r="I9" s="64">
        <v>1.52</v>
      </c>
      <c r="J9" s="64">
        <v>0.08</v>
      </c>
      <c r="K9" s="64">
        <v>289.95</v>
      </c>
      <c r="L9" s="64">
        <v>19.47</v>
      </c>
      <c r="M9" s="64">
        <v>77.459999999999994</v>
      </c>
      <c r="N9" s="64">
        <v>22.9</v>
      </c>
      <c r="O9" s="64">
        <v>0</v>
      </c>
      <c r="P9" s="64">
        <v>1.87</v>
      </c>
      <c r="Q9" s="64">
        <v>7</v>
      </c>
      <c r="R9" s="198"/>
      <c r="S9" s="198"/>
      <c r="T9" s="198"/>
      <c r="U9" s="198"/>
    </row>
    <row r="10" spans="1:21" s="12" customFormat="1" x14ac:dyDescent="0.25">
      <c r="A10" s="214" t="s">
        <v>2263</v>
      </c>
      <c r="B10" s="64">
        <v>46.62</v>
      </c>
      <c r="C10" s="64">
        <v>25.55</v>
      </c>
      <c r="D10" s="64">
        <v>52.78</v>
      </c>
      <c r="E10" s="64">
        <v>0.91</v>
      </c>
      <c r="F10" s="64">
        <v>0.34</v>
      </c>
      <c r="G10" s="64">
        <v>185.73</v>
      </c>
      <c r="H10" s="64">
        <v>60.35</v>
      </c>
      <c r="I10" s="64">
        <v>1.49</v>
      </c>
      <c r="J10" s="64">
        <v>0.05</v>
      </c>
      <c r="K10" s="64">
        <v>333.99</v>
      </c>
      <c r="L10" s="64">
        <v>19.399999999999999</v>
      </c>
      <c r="M10" s="64">
        <v>81.09</v>
      </c>
      <c r="N10" s="64">
        <v>23</v>
      </c>
      <c r="O10" s="64">
        <v>0</v>
      </c>
      <c r="P10" s="64">
        <v>1.81</v>
      </c>
      <c r="Q10" s="64">
        <v>7.6</v>
      </c>
      <c r="R10" s="198"/>
      <c r="S10" s="198"/>
      <c r="T10" s="198"/>
      <c r="U10" s="198"/>
    </row>
    <row r="11" spans="1:21" s="12" customFormat="1" x14ac:dyDescent="0.25">
      <c r="A11" s="214" t="s">
        <v>2264</v>
      </c>
      <c r="B11" s="64">
        <v>46.14</v>
      </c>
      <c r="C11" s="64">
        <v>21.57</v>
      </c>
      <c r="D11" s="64">
        <v>50.2</v>
      </c>
      <c r="E11" s="64">
        <v>0.81</v>
      </c>
      <c r="F11" s="64">
        <v>0.11</v>
      </c>
      <c r="G11" s="64">
        <v>186.88</v>
      </c>
      <c r="H11" s="64">
        <v>60.82</v>
      </c>
      <c r="I11" s="64">
        <v>1.56</v>
      </c>
      <c r="J11" s="64">
        <v>0.16</v>
      </c>
      <c r="K11" s="64">
        <v>329.34</v>
      </c>
      <c r="L11" s="64">
        <v>19.21</v>
      </c>
      <c r="M11" s="64">
        <v>83.38</v>
      </c>
      <c r="N11" s="64">
        <v>22.6</v>
      </c>
      <c r="O11" s="64">
        <v>0</v>
      </c>
      <c r="P11" s="64">
        <v>1.82</v>
      </c>
      <c r="Q11" s="64">
        <v>8.1</v>
      </c>
      <c r="R11" s="198"/>
      <c r="S11" s="198"/>
      <c r="T11" s="198"/>
      <c r="U11" s="198"/>
    </row>
    <row r="12" spans="1:21" s="12" customFormat="1" x14ac:dyDescent="0.25">
      <c r="A12" s="214" t="s">
        <v>2265</v>
      </c>
      <c r="B12" s="64">
        <v>45.07</v>
      </c>
      <c r="C12" s="64">
        <v>22.68</v>
      </c>
      <c r="D12" s="64">
        <v>49.95</v>
      </c>
      <c r="E12" s="64">
        <v>0.79</v>
      </c>
      <c r="F12" s="64">
        <v>0.19</v>
      </c>
      <c r="G12" s="64">
        <v>200.52</v>
      </c>
      <c r="H12" s="64">
        <v>65.489999999999995</v>
      </c>
      <c r="I12" s="64">
        <v>1.55</v>
      </c>
      <c r="J12" s="64">
        <v>0.04</v>
      </c>
      <c r="K12" s="64">
        <v>236.63</v>
      </c>
      <c r="L12" s="64">
        <v>19.27</v>
      </c>
      <c r="M12" s="64">
        <v>76.47</v>
      </c>
      <c r="N12" s="64">
        <v>22.6</v>
      </c>
      <c r="O12" s="64">
        <v>0</v>
      </c>
      <c r="P12" s="64">
        <v>1.91</v>
      </c>
      <c r="Q12" s="64">
        <v>8.26</v>
      </c>
      <c r="R12" s="198"/>
      <c r="S12" s="198"/>
      <c r="T12" s="198"/>
      <c r="U12" s="198"/>
    </row>
    <row r="13" spans="1:21" s="12" customFormat="1" x14ac:dyDescent="0.25">
      <c r="A13" s="214" t="s">
        <v>2266</v>
      </c>
      <c r="B13" s="64">
        <v>44.69</v>
      </c>
      <c r="C13" s="64">
        <v>21.54</v>
      </c>
      <c r="D13" s="64">
        <v>49.02</v>
      </c>
      <c r="E13" s="64">
        <v>0.72</v>
      </c>
      <c r="F13" s="64">
        <v>0.3</v>
      </c>
      <c r="G13" s="64">
        <v>200.52</v>
      </c>
      <c r="H13" s="64">
        <v>65.489999999999995</v>
      </c>
      <c r="I13" s="64">
        <v>1.49</v>
      </c>
      <c r="J13" s="64">
        <v>7.0000000000000007E-2</v>
      </c>
      <c r="K13" s="64">
        <v>351.9</v>
      </c>
      <c r="L13" s="64">
        <v>19.32</v>
      </c>
      <c r="M13" s="64">
        <v>77.540000000000006</v>
      </c>
      <c r="N13" s="64">
        <v>22.7</v>
      </c>
      <c r="O13" s="64">
        <v>0</v>
      </c>
      <c r="P13" s="64">
        <v>1.7</v>
      </c>
      <c r="Q13" s="64">
        <v>8.33</v>
      </c>
      <c r="R13" s="198"/>
      <c r="S13" s="198"/>
      <c r="T13" s="198"/>
      <c r="U13" s="198"/>
    </row>
    <row r="14" spans="1:21" s="12" customFormat="1" x14ac:dyDescent="0.25">
      <c r="A14" s="214" t="s">
        <v>2267</v>
      </c>
      <c r="B14" s="64">
        <v>44.58</v>
      </c>
      <c r="C14" s="64">
        <v>20.99</v>
      </c>
      <c r="D14" s="64">
        <v>48.62</v>
      </c>
      <c r="E14" s="64">
        <v>0.72</v>
      </c>
      <c r="F14" s="64">
        <v>0.37</v>
      </c>
      <c r="G14" s="64">
        <v>200.52</v>
      </c>
      <c r="H14" s="64">
        <v>65.489999999999995</v>
      </c>
      <c r="I14" s="64">
        <v>1.47</v>
      </c>
      <c r="J14" s="64">
        <v>0.03</v>
      </c>
      <c r="K14" s="64">
        <v>108.77</v>
      </c>
      <c r="L14" s="64">
        <v>19.149999999999999</v>
      </c>
      <c r="M14" s="64">
        <v>78.52</v>
      </c>
      <c r="N14" s="64">
        <v>22.8</v>
      </c>
      <c r="O14" s="64">
        <v>0</v>
      </c>
      <c r="P14" s="64">
        <v>1.82</v>
      </c>
      <c r="Q14" s="64">
        <v>8.26</v>
      </c>
      <c r="R14" s="198"/>
      <c r="S14" s="198"/>
      <c r="T14" s="198"/>
      <c r="U14" s="198"/>
    </row>
    <row r="15" spans="1:21" s="12" customFormat="1" x14ac:dyDescent="0.25">
      <c r="A15" s="214" t="s">
        <v>2268</v>
      </c>
      <c r="B15" s="64">
        <v>42.58</v>
      </c>
      <c r="C15" s="64">
        <v>21.47</v>
      </c>
      <c r="D15" s="64">
        <v>47.29</v>
      </c>
      <c r="E15" s="64">
        <v>0.67</v>
      </c>
      <c r="F15" s="64">
        <v>0.34</v>
      </c>
      <c r="G15" s="64">
        <v>203.9</v>
      </c>
      <c r="H15" s="64">
        <v>68.12</v>
      </c>
      <c r="I15" s="64">
        <v>1.45</v>
      </c>
      <c r="J15" s="64">
        <v>0.01</v>
      </c>
      <c r="K15" s="64">
        <v>328.07</v>
      </c>
      <c r="L15" s="64">
        <v>19.39</v>
      </c>
      <c r="M15" s="64">
        <v>74.55</v>
      </c>
      <c r="N15" s="64">
        <v>22.6</v>
      </c>
      <c r="O15" s="64">
        <v>0</v>
      </c>
      <c r="P15" s="64">
        <v>1.83</v>
      </c>
      <c r="Q15" s="64">
        <v>8.2799999999999994</v>
      </c>
      <c r="R15" s="198"/>
      <c r="S15" s="198"/>
      <c r="T15" s="198"/>
      <c r="U15" s="198"/>
    </row>
    <row r="16" spans="1:21" s="12" customFormat="1" x14ac:dyDescent="0.25">
      <c r="A16" s="214" t="s">
        <v>2269</v>
      </c>
      <c r="B16" s="64">
        <v>40.65</v>
      </c>
      <c r="C16" s="64">
        <v>21.77</v>
      </c>
      <c r="D16" s="64">
        <v>45.91</v>
      </c>
      <c r="E16" s="64">
        <v>0.72</v>
      </c>
      <c r="F16" s="64">
        <v>0.34</v>
      </c>
      <c r="G16" s="64">
        <v>243.98</v>
      </c>
      <c r="H16" s="64">
        <v>94.92</v>
      </c>
      <c r="I16" s="64">
        <v>1.47</v>
      </c>
      <c r="J16" s="64">
        <v>0.06</v>
      </c>
      <c r="K16" s="64">
        <v>323.92</v>
      </c>
      <c r="L16" s="64">
        <v>19.170000000000002</v>
      </c>
      <c r="M16" s="64">
        <v>76.7</v>
      </c>
      <c r="N16" s="64">
        <v>22.8</v>
      </c>
      <c r="O16" s="64">
        <v>0</v>
      </c>
      <c r="P16" s="64">
        <v>1.84</v>
      </c>
      <c r="Q16" s="64">
        <v>8.2100000000000009</v>
      </c>
      <c r="R16" s="198"/>
      <c r="S16" s="198"/>
      <c r="T16" s="198"/>
      <c r="U16" s="198"/>
    </row>
    <row r="17" spans="1:21" s="12" customFormat="1" x14ac:dyDescent="0.25">
      <c r="A17" s="214" t="s">
        <v>2270</v>
      </c>
      <c r="B17" s="64">
        <v>39.619999999999997</v>
      </c>
      <c r="C17" s="64">
        <v>24.37</v>
      </c>
      <c r="D17" s="64">
        <v>46.51</v>
      </c>
      <c r="E17" s="64">
        <v>0.63</v>
      </c>
      <c r="F17" s="64">
        <v>0.06</v>
      </c>
      <c r="G17" s="64">
        <v>243.98</v>
      </c>
      <c r="H17" s="64">
        <v>94.92</v>
      </c>
      <c r="I17" s="64">
        <v>1.6</v>
      </c>
      <c r="J17" s="64">
        <v>0.05</v>
      </c>
      <c r="K17" s="64">
        <v>282.52</v>
      </c>
      <c r="L17" s="64">
        <v>18.89</v>
      </c>
      <c r="M17" s="64">
        <v>83.38</v>
      </c>
      <c r="N17" s="64">
        <v>22.9</v>
      </c>
      <c r="O17" s="64">
        <v>0</v>
      </c>
      <c r="P17" s="64">
        <v>1.92</v>
      </c>
      <c r="Q17" s="64">
        <v>8.0299999999999994</v>
      </c>
      <c r="R17" s="198"/>
      <c r="S17" s="198"/>
      <c r="T17" s="198"/>
      <c r="U17" s="198"/>
    </row>
    <row r="18" spans="1:21" s="12" customFormat="1" x14ac:dyDescent="0.25">
      <c r="A18" s="214" t="s">
        <v>2271</v>
      </c>
      <c r="B18" s="64">
        <v>35.590000000000003</v>
      </c>
      <c r="C18" s="64">
        <v>29.56</v>
      </c>
      <c r="D18" s="64">
        <v>46.15</v>
      </c>
      <c r="E18" s="64">
        <v>0.69</v>
      </c>
      <c r="F18" s="64">
        <v>0.05</v>
      </c>
      <c r="G18" s="64">
        <v>243.98</v>
      </c>
      <c r="H18" s="64">
        <v>94.92</v>
      </c>
      <c r="I18" s="64">
        <v>1.51</v>
      </c>
      <c r="J18" s="64">
        <v>0.19</v>
      </c>
      <c r="K18" s="64">
        <v>131.13</v>
      </c>
      <c r="L18" s="64">
        <v>19.25</v>
      </c>
      <c r="M18" s="64">
        <v>77.14</v>
      </c>
      <c r="N18" s="64">
        <v>22.2</v>
      </c>
      <c r="O18" s="64">
        <v>0</v>
      </c>
      <c r="P18" s="64">
        <v>1.83</v>
      </c>
      <c r="Q18" s="64">
        <v>7.95</v>
      </c>
      <c r="R18" s="198"/>
      <c r="S18" s="198"/>
      <c r="T18" s="198"/>
      <c r="U18" s="198"/>
    </row>
    <row r="19" spans="1:21" s="12" customFormat="1" x14ac:dyDescent="0.25">
      <c r="A19" s="214" t="s">
        <v>2272</v>
      </c>
      <c r="B19" s="64">
        <v>31.37</v>
      </c>
      <c r="C19" s="64">
        <v>31.94</v>
      </c>
      <c r="D19" s="64">
        <v>44.08</v>
      </c>
      <c r="E19" s="64">
        <v>0.74</v>
      </c>
      <c r="F19" s="64">
        <v>0.44</v>
      </c>
      <c r="G19" s="64">
        <v>243.98</v>
      </c>
      <c r="H19" s="64">
        <v>96.82</v>
      </c>
      <c r="I19" s="64">
        <v>1.5</v>
      </c>
      <c r="J19" s="64">
        <v>0.24</v>
      </c>
      <c r="K19" s="64">
        <v>105.35</v>
      </c>
      <c r="L19" s="64">
        <v>19.64</v>
      </c>
      <c r="M19" s="64">
        <v>74.239999999999995</v>
      </c>
      <c r="N19" s="64">
        <v>22.4</v>
      </c>
      <c r="O19" s="64">
        <v>0</v>
      </c>
      <c r="P19" s="64">
        <v>1.74</v>
      </c>
      <c r="Q19" s="64">
        <v>7.98</v>
      </c>
      <c r="R19" s="198"/>
      <c r="S19" s="198"/>
      <c r="T19" s="198"/>
      <c r="U19" s="198"/>
    </row>
    <row r="20" spans="1:21" s="12" customFormat="1" x14ac:dyDescent="0.25">
      <c r="A20" s="214" t="s">
        <v>2273</v>
      </c>
      <c r="B20" s="64">
        <v>33.270000000000003</v>
      </c>
      <c r="C20" s="64">
        <v>24.97</v>
      </c>
      <c r="D20" s="64">
        <v>41.76</v>
      </c>
      <c r="E20" s="64">
        <v>0.73</v>
      </c>
      <c r="F20" s="64">
        <v>0.99</v>
      </c>
      <c r="G20" s="64">
        <v>261.47000000000003</v>
      </c>
      <c r="H20" s="64">
        <v>116.13</v>
      </c>
      <c r="I20" s="64">
        <v>1.47</v>
      </c>
      <c r="J20" s="64">
        <v>0.43</v>
      </c>
      <c r="K20" s="64">
        <v>94.63</v>
      </c>
      <c r="L20" s="64">
        <v>19.91</v>
      </c>
      <c r="M20" s="64">
        <v>71.38</v>
      </c>
      <c r="N20" s="64">
        <v>22.1</v>
      </c>
      <c r="O20" s="64">
        <v>0</v>
      </c>
      <c r="P20" s="64">
        <v>1.7</v>
      </c>
      <c r="Q20" s="64">
        <v>8.02</v>
      </c>
      <c r="R20" s="198"/>
      <c r="S20" s="198"/>
      <c r="T20" s="198"/>
      <c r="U20" s="198"/>
    </row>
    <row r="21" spans="1:21" s="12" customFormat="1" x14ac:dyDescent="0.25">
      <c r="A21" s="214" t="s">
        <v>2274</v>
      </c>
      <c r="B21" s="64">
        <v>33.020000000000003</v>
      </c>
      <c r="C21" s="64">
        <v>23.85</v>
      </c>
      <c r="D21" s="64">
        <v>40.93</v>
      </c>
      <c r="E21" s="64">
        <v>0.76</v>
      </c>
      <c r="F21" s="64">
        <v>1.69</v>
      </c>
      <c r="G21" s="64">
        <v>261.47000000000003</v>
      </c>
      <c r="H21" s="64">
        <v>116.13</v>
      </c>
      <c r="I21" s="64">
        <v>1.47</v>
      </c>
      <c r="J21" s="64">
        <v>0.15</v>
      </c>
      <c r="K21" s="64">
        <v>79.23</v>
      </c>
      <c r="L21" s="64">
        <v>19.77</v>
      </c>
      <c r="M21" s="64">
        <v>73.77</v>
      </c>
      <c r="N21" s="64">
        <v>23</v>
      </c>
      <c r="O21" s="64">
        <v>0</v>
      </c>
      <c r="P21" s="64">
        <v>1.7</v>
      </c>
      <c r="Q21" s="64">
        <v>8.0500000000000007</v>
      </c>
      <c r="R21" s="198"/>
      <c r="S21" s="198"/>
      <c r="T21" s="198"/>
      <c r="U21" s="198"/>
    </row>
    <row r="22" spans="1:21" s="12" customFormat="1" x14ac:dyDescent="0.25">
      <c r="A22" s="214" t="s">
        <v>2275</v>
      </c>
      <c r="B22" s="64">
        <v>34.33</v>
      </c>
      <c r="C22" s="64">
        <v>21.1</v>
      </c>
      <c r="D22" s="64">
        <v>40.47</v>
      </c>
      <c r="E22" s="64">
        <v>0.72</v>
      </c>
      <c r="F22" s="64">
        <v>0.7</v>
      </c>
      <c r="G22" s="64">
        <v>261.47000000000003</v>
      </c>
      <c r="H22" s="64">
        <v>116.13</v>
      </c>
      <c r="I22" s="64">
        <v>1.49</v>
      </c>
      <c r="J22" s="64">
        <v>0.14000000000000001</v>
      </c>
      <c r="K22" s="64">
        <v>77.03</v>
      </c>
      <c r="L22" s="64">
        <v>19.63</v>
      </c>
      <c r="M22" s="64">
        <v>73.98</v>
      </c>
      <c r="N22" s="64">
        <v>22.8</v>
      </c>
      <c r="O22" s="64">
        <v>0</v>
      </c>
      <c r="P22" s="64">
        <v>1.74</v>
      </c>
      <c r="Q22" s="64">
        <v>7.79</v>
      </c>
      <c r="R22" s="198"/>
      <c r="S22" s="198"/>
      <c r="T22" s="198"/>
      <c r="U22" s="198"/>
    </row>
    <row r="23" spans="1:21" s="12" customFormat="1" x14ac:dyDescent="0.25">
      <c r="A23" s="214" t="s">
        <v>2276</v>
      </c>
      <c r="B23" s="64">
        <v>34.6</v>
      </c>
      <c r="C23" s="64">
        <v>20.239999999999998</v>
      </c>
      <c r="D23" s="64">
        <v>40.21</v>
      </c>
      <c r="E23" s="64">
        <v>0.68</v>
      </c>
      <c r="F23" s="64">
        <v>0.18</v>
      </c>
      <c r="G23" s="64">
        <v>200.94</v>
      </c>
      <c r="H23" s="64">
        <v>113.89</v>
      </c>
      <c r="I23" s="64">
        <v>1.5</v>
      </c>
      <c r="J23" s="64">
        <v>0.13</v>
      </c>
      <c r="K23" s="64">
        <v>40.89</v>
      </c>
      <c r="L23" s="64">
        <v>19.600000000000001</v>
      </c>
      <c r="M23" s="64">
        <v>74.48</v>
      </c>
      <c r="N23" s="64">
        <v>22.9</v>
      </c>
      <c r="O23" s="64">
        <v>0</v>
      </c>
      <c r="P23" s="64">
        <v>1.7</v>
      </c>
      <c r="Q23" s="64">
        <v>7.64</v>
      </c>
      <c r="R23" s="198"/>
      <c r="S23" s="198"/>
      <c r="T23" s="198"/>
      <c r="U23" s="198"/>
    </row>
    <row r="24" spans="1:21" s="12" customFormat="1" x14ac:dyDescent="0.25">
      <c r="A24" s="214" t="s">
        <v>2277</v>
      </c>
      <c r="B24" s="64">
        <v>33.51</v>
      </c>
      <c r="C24" s="64">
        <v>19.760000000000002</v>
      </c>
      <c r="D24" s="64">
        <v>39.07</v>
      </c>
      <c r="E24" s="64">
        <v>0.32</v>
      </c>
      <c r="F24" s="64">
        <v>0.43</v>
      </c>
      <c r="G24" s="64">
        <v>200.94</v>
      </c>
      <c r="H24" s="64">
        <v>91.13</v>
      </c>
      <c r="I24" s="64">
        <v>1.42</v>
      </c>
      <c r="J24" s="64">
        <v>7.0000000000000007E-2</v>
      </c>
      <c r="K24" s="64">
        <v>321.08</v>
      </c>
      <c r="L24" s="64">
        <v>19.04</v>
      </c>
      <c r="M24" s="64">
        <v>80.37</v>
      </c>
      <c r="N24" s="64">
        <v>23.4</v>
      </c>
      <c r="O24" s="64">
        <v>0</v>
      </c>
      <c r="P24" s="64">
        <v>1.71</v>
      </c>
      <c r="Q24" s="64">
        <v>7.58</v>
      </c>
      <c r="R24" s="198"/>
      <c r="S24" s="198"/>
      <c r="T24" s="198"/>
      <c r="U24" s="198"/>
    </row>
    <row r="25" spans="1:21" s="12" customFormat="1" x14ac:dyDescent="0.25">
      <c r="A25" s="214" t="s">
        <v>2278</v>
      </c>
      <c r="B25" s="64">
        <v>33.090000000000003</v>
      </c>
      <c r="C25" s="64">
        <v>18.75</v>
      </c>
      <c r="D25" s="64">
        <v>38.17</v>
      </c>
      <c r="E25" s="64">
        <v>0.56999999999999995</v>
      </c>
      <c r="F25" s="64">
        <v>0.31</v>
      </c>
      <c r="G25" s="64">
        <v>200.94</v>
      </c>
      <c r="H25" s="64">
        <v>91.13</v>
      </c>
      <c r="I25" s="64">
        <v>1.61</v>
      </c>
      <c r="J25" s="64">
        <v>7.0000000000000007E-2</v>
      </c>
      <c r="K25" s="64">
        <v>299.85000000000002</v>
      </c>
      <c r="L25" s="64">
        <v>18.350000000000001</v>
      </c>
      <c r="M25" s="64">
        <v>87.24</v>
      </c>
      <c r="N25" s="64">
        <v>23.2</v>
      </c>
      <c r="O25" s="64">
        <v>0</v>
      </c>
      <c r="P25" s="64">
        <v>1.67</v>
      </c>
      <c r="Q25" s="64">
        <v>7.47</v>
      </c>
      <c r="R25" s="198"/>
      <c r="S25" s="198"/>
      <c r="T25" s="198"/>
      <c r="U25" s="198"/>
    </row>
    <row r="26" spans="1:21" s="12" customFormat="1" x14ac:dyDescent="0.25">
      <c r="A26" s="214" t="s">
        <v>2279</v>
      </c>
      <c r="B26" s="64">
        <v>32.32</v>
      </c>
      <c r="C26" s="64">
        <v>18.059999999999999</v>
      </c>
      <c r="D26" s="64">
        <v>37.18</v>
      </c>
      <c r="E26" s="64">
        <v>0.69</v>
      </c>
      <c r="F26" s="64">
        <v>0.14000000000000001</v>
      </c>
      <c r="G26" s="64">
        <v>200.94</v>
      </c>
      <c r="H26" s="64">
        <v>91.13</v>
      </c>
      <c r="I26" s="64">
        <v>1.49</v>
      </c>
      <c r="J26" s="64">
        <v>0.05</v>
      </c>
      <c r="K26" s="64">
        <v>117.21</v>
      </c>
      <c r="L26" s="64">
        <v>18.170000000000002</v>
      </c>
      <c r="M26" s="64">
        <v>86.06</v>
      </c>
      <c r="N26" s="64">
        <v>22.9</v>
      </c>
      <c r="O26" s="64">
        <v>0</v>
      </c>
      <c r="P26" s="64">
        <v>1.63</v>
      </c>
      <c r="Q26" s="64">
        <v>7.39</v>
      </c>
      <c r="R26" s="198"/>
      <c r="S26" s="198"/>
      <c r="T26" s="198"/>
      <c r="U26" s="198"/>
    </row>
    <row r="27" spans="1:21" s="12" customFormat="1" x14ac:dyDescent="0.25">
      <c r="A27" s="214" t="s">
        <v>2280</v>
      </c>
      <c r="B27" s="64">
        <v>31.25</v>
      </c>
      <c r="C27" s="64">
        <v>17.72</v>
      </c>
      <c r="D27" s="64">
        <v>36.130000000000003</v>
      </c>
      <c r="E27" s="64">
        <v>0.6</v>
      </c>
      <c r="F27" s="64">
        <v>0.17</v>
      </c>
      <c r="G27" s="64">
        <v>198.35</v>
      </c>
      <c r="H27" s="64">
        <v>90.2</v>
      </c>
      <c r="I27" s="64">
        <v>1.51</v>
      </c>
      <c r="J27" s="64">
        <v>0.08</v>
      </c>
      <c r="K27" s="64">
        <v>285.47000000000003</v>
      </c>
      <c r="L27" s="64">
        <v>18.350000000000001</v>
      </c>
      <c r="M27" s="64">
        <v>84.79</v>
      </c>
      <c r="N27" s="64">
        <v>22.7</v>
      </c>
      <c r="O27" s="64">
        <v>0</v>
      </c>
      <c r="P27" s="64">
        <v>1.59</v>
      </c>
      <c r="Q27" s="64">
        <v>7.34</v>
      </c>
      <c r="R27" s="198"/>
      <c r="S27" s="198"/>
      <c r="T27" s="198"/>
      <c r="U27" s="198"/>
    </row>
    <row r="28" spans="1:21" s="12" customFormat="1" x14ac:dyDescent="0.25">
      <c r="A28" s="214" t="s">
        <v>2281</v>
      </c>
      <c r="B28" s="64">
        <v>30.69</v>
      </c>
      <c r="C28" s="64">
        <v>17.98</v>
      </c>
      <c r="D28" s="64">
        <v>35.83</v>
      </c>
      <c r="E28" s="64">
        <v>0.56999999999999995</v>
      </c>
      <c r="F28" s="64">
        <v>0.15</v>
      </c>
      <c r="G28" s="64">
        <v>167.69</v>
      </c>
      <c r="H28" s="64">
        <v>80.88</v>
      </c>
      <c r="I28" s="64">
        <v>1.53</v>
      </c>
      <c r="J28" s="64">
        <v>0.09</v>
      </c>
      <c r="K28" s="64">
        <v>290.62</v>
      </c>
      <c r="L28" s="64">
        <v>18.190000000000001</v>
      </c>
      <c r="M28" s="64">
        <v>88.5</v>
      </c>
      <c r="N28" s="64">
        <v>23</v>
      </c>
      <c r="O28" s="64">
        <v>0</v>
      </c>
      <c r="P28" s="64">
        <v>1.57</v>
      </c>
      <c r="Q28" s="64">
        <v>7.23</v>
      </c>
      <c r="R28" s="198"/>
      <c r="S28" s="198"/>
      <c r="T28" s="198"/>
      <c r="U28" s="198"/>
    </row>
    <row r="29" spans="1:21" s="12" customFormat="1" x14ac:dyDescent="0.25">
      <c r="A29" s="214" t="s">
        <v>2282</v>
      </c>
      <c r="B29" s="64">
        <v>30.59</v>
      </c>
      <c r="C29" s="64">
        <v>19.91</v>
      </c>
      <c r="D29" s="64">
        <v>36.81</v>
      </c>
      <c r="E29" s="64">
        <v>0.56999999999999995</v>
      </c>
      <c r="F29" s="64">
        <v>0.04</v>
      </c>
      <c r="G29" s="64">
        <v>167.69</v>
      </c>
      <c r="H29" s="64">
        <v>80.88</v>
      </c>
      <c r="I29" s="64">
        <v>1.48</v>
      </c>
      <c r="J29" s="64">
        <v>0.08</v>
      </c>
      <c r="K29" s="64">
        <v>284.69</v>
      </c>
      <c r="L29" s="64">
        <v>17.87</v>
      </c>
      <c r="M29" s="64">
        <v>93.35</v>
      </c>
      <c r="N29" s="64">
        <v>22.7</v>
      </c>
      <c r="O29" s="64">
        <v>0</v>
      </c>
      <c r="P29" s="64">
        <v>1.5</v>
      </c>
      <c r="Q29" s="64">
        <v>7.13</v>
      </c>
      <c r="R29" s="198"/>
      <c r="S29" s="198"/>
      <c r="T29" s="198"/>
      <c r="U29" s="198"/>
    </row>
    <row r="30" spans="1:21" s="12" customFormat="1" x14ac:dyDescent="0.25">
      <c r="A30" s="214" t="s">
        <v>2283</v>
      </c>
      <c r="B30" s="64">
        <v>34.46</v>
      </c>
      <c r="C30" s="64">
        <v>19.61</v>
      </c>
      <c r="D30" s="64">
        <v>39.75</v>
      </c>
      <c r="E30" s="64">
        <v>0.57999999999999996</v>
      </c>
      <c r="F30" s="64">
        <v>0.04</v>
      </c>
      <c r="G30" s="64">
        <v>167.69</v>
      </c>
      <c r="H30" s="64">
        <v>80.88</v>
      </c>
      <c r="I30" s="64">
        <v>1.51</v>
      </c>
      <c r="J30" s="64">
        <v>0.13</v>
      </c>
      <c r="K30" s="64">
        <v>286.8</v>
      </c>
      <c r="L30" s="64">
        <v>17.760000000000002</v>
      </c>
      <c r="M30" s="64">
        <v>95.05</v>
      </c>
      <c r="N30" s="64">
        <v>22.7</v>
      </c>
      <c r="O30" s="64">
        <v>0</v>
      </c>
      <c r="P30" s="64">
        <v>1.52</v>
      </c>
      <c r="Q30" s="64">
        <v>7.06</v>
      </c>
      <c r="R30" s="198"/>
      <c r="S30" s="198"/>
      <c r="T30" s="198"/>
      <c r="U30" s="198"/>
    </row>
    <row r="31" spans="1:21" s="12" customFormat="1" x14ac:dyDescent="0.25">
      <c r="A31" s="214" t="s">
        <v>2284</v>
      </c>
      <c r="B31" s="64">
        <v>41.2</v>
      </c>
      <c r="C31" s="64">
        <v>20.059999999999999</v>
      </c>
      <c r="D31" s="64">
        <v>45.4</v>
      </c>
      <c r="E31" s="64">
        <v>0.7</v>
      </c>
      <c r="F31" s="64">
        <v>0.2</v>
      </c>
      <c r="G31" s="64">
        <v>170.11</v>
      </c>
      <c r="H31" s="64">
        <v>81.14</v>
      </c>
      <c r="I31" s="64">
        <v>1.47</v>
      </c>
      <c r="J31" s="64">
        <v>0.06</v>
      </c>
      <c r="K31" s="64">
        <v>259.81</v>
      </c>
      <c r="L31" s="64">
        <v>17.59</v>
      </c>
      <c r="M31" s="64">
        <v>97.24</v>
      </c>
      <c r="N31" s="64">
        <v>23</v>
      </c>
      <c r="O31" s="64">
        <v>0</v>
      </c>
      <c r="P31" s="64">
        <v>1.5</v>
      </c>
      <c r="Q31" s="64">
        <v>7.03</v>
      </c>
      <c r="R31" s="198"/>
      <c r="S31" s="198"/>
      <c r="T31" s="198"/>
      <c r="U31" s="198"/>
    </row>
    <row r="32" spans="1:21" s="12" customFormat="1" x14ac:dyDescent="0.25">
      <c r="A32" s="214" t="s">
        <v>2285</v>
      </c>
      <c r="B32" s="64">
        <v>38.869999999999997</v>
      </c>
      <c r="C32" s="64">
        <v>20.69</v>
      </c>
      <c r="D32" s="64">
        <v>43.88</v>
      </c>
      <c r="E32" s="64">
        <v>0.6</v>
      </c>
      <c r="F32" s="64">
        <v>0.16</v>
      </c>
      <c r="G32" s="64">
        <v>198.91</v>
      </c>
      <c r="H32" s="64">
        <v>83.81</v>
      </c>
      <c r="I32" s="64">
        <v>1.45</v>
      </c>
      <c r="J32" s="64">
        <v>0.34</v>
      </c>
      <c r="K32" s="64">
        <v>172.84</v>
      </c>
      <c r="L32" s="64">
        <v>18.309999999999999</v>
      </c>
      <c r="M32" s="64">
        <v>91.72</v>
      </c>
      <c r="N32" s="64">
        <v>23.5</v>
      </c>
      <c r="O32" s="64">
        <v>0</v>
      </c>
      <c r="P32" s="64">
        <v>1.49</v>
      </c>
      <c r="Q32" s="64">
        <v>7.17</v>
      </c>
      <c r="R32" s="198"/>
      <c r="S32" s="198"/>
      <c r="T32" s="198"/>
      <c r="U32" s="198"/>
    </row>
    <row r="33" spans="1:21" s="12" customFormat="1" x14ac:dyDescent="0.25">
      <c r="A33" s="214" t="s">
        <v>2286</v>
      </c>
      <c r="B33" s="64">
        <v>38.4</v>
      </c>
      <c r="C33" s="64">
        <v>20.85</v>
      </c>
      <c r="D33" s="64">
        <v>43.59</v>
      </c>
      <c r="E33" s="64">
        <v>0.67</v>
      </c>
      <c r="F33" s="64">
        <v>0.11</v>
      </c>
      <c r="G33" s="64">
        <v>198.91</v>
      </c>
      <c r="H33" s="64">
        <v>83.81</v>
      </c>
      <c r="I33" s="64">
        <v>1.51</v>
      </c>
      <c r="J33" s="64">
        <v>0.32</v>
      </c>
      <c r="K33" s="64">
        <v>176.51</v>
      </c>
      <c r="L33" s="64">
        <v>18.66</v>
      </c>
      <c r="M33" s="64">
        <v>90.36</v>
      </c>
      <c r="N33" s="64">
        <v>31.7</v>
      </c>
      <c r="O33" s="64">
        <v>0</v>
      </c>
      <c r="P33" s="64">
        <v>1.48</v>
      </c>
      <c r="Q33" s="64">
        <v>7.47</v>
      </c>
      <c r="R33" s="198"/>
      <c r="S33" s="198"/>
      <c r="T33" s="198"/>
      <c r="U33" s="198"/>
    </row>
    <row r="34" spans="1:21" s="12" customFormat="1" x14ac:dyDescent="0.25">
      <c r="A34" s="214" t="s">
        <v>2287</v>
      </c>
      <c r="B34" s="64">
        <v>38.799999999999997</v>
      </c>
      <c r="C34" s="64">
        <v>18.239999999999998</v>
      </c>
      <c r="D34" s="64">
        <v>42.48</v>
      </c>
      <c r="E34" s="64">
        <v>0.72</v>
      </c>
      <c r="F34" s="64">
        <v>0.5</v>
      </c>
      <c r="G34" s="64">
        <v>198.91</v>
      </c>
      <c r="H34" s="64">
        <v>83.81</v>
      </c>
      <c r="I34" s="64">
        <v>1.5</v>
      </c>
      <c r="J34" s="64">
        <v>0.12</v>
      </c>
      <c r="K34" s="64">
        <v>158.31</v>
      </c>
      <c r="L34" s="64">
        <v>18.73</v>
      </c>
      <c r="M34" s="64">
        <v>89.83</v>
      </c>
      <c r="N34" s="64">
        <v>54.6</v>
      </c>
      <c r="O34" s="64">
        <v>0</v>
      </c>
      <c r="P34" s="64">
        <v>1.46</v>
      </c>
      <c r="Q34" s="64">
        <v>7.7</v>
      </c>
      <c r="R34" s="198"/>
      <c r="S34" s="198"/>
      <c r="T34" s="198"/>
      <c r="U34" s="198"/>
    </row>
    <row r="35" spans="1:21" s="12" customFormat="1" x14ac:dyDescent="0.25">
      <c r="A35" s="214" t="s">
        <v>2288</v>
      </c>
      <c r="B35" s="64">
        <v>39.24</v>
      </c>
      <c r="C35" s="64">
        <v>18.850000000000001</v>
      </c>
      <c r="D35" s="64">
        <v>43.16</v>
      </c>
      <c r="E35" s="64">
        <v>0.62</v>
      </c>
      <c r="F35" s="64">
        <v>0.19</v>
      </c>
      <c r="G35" s="64">
        <v>195.7</v>
      </c>
      <c r="H35" s="64">
        <v>83.36</v>
      </c>
      <c r="I35" s="64">
        <v>1.56</v>
      </c>
      <c r="J35" s="64">
        <v>0.45</v>
      </c>
      <c r="K35" s="64">
        <v>143.16</v>
      </c>
      <c r="L35" s="64">
        <v>19.260000000000002</v>
      </c>
      <c r="M35" s="64">
        <v>84.64</v>
      </c>
      <c r="N35" s="64">
        <v>106.9</v>
      </c>
      <c r="O35" s="64">
        <v>0</v>
      </c>
      <c r="P35" s="64">
        <v>1.44</v>
      </c>
      <c r="Q35" s="64">
        <v>7.76</v>
      </c>
      <c r="R35" s="198"/>
      <c r="S35" s="198"/>
      <c r="T35" s="198"/>
      <c r="U35" s="198"/>
    </row>
    <row r="36" spans="1:21" s="12" customFormat="1" x14ac:dyDescent="0.25">
      <c r="A36" s="214" t="s">
        <v>2289</v>
      </c>
      <c r="B36" s="64">
        <v>39.340000000000003</v>
      </c>
      <c r="C36" s="64">
        <v>18.100000000000001</v>
      </c>
      <c r="D36" s="64">
        <v>42.82</v>
      </c>
      <c r="E36" s="64">
        <v>0.57999999999999996</v>
      </c>
      <c r="F36" s="64">
        <v>0.64</v>
      </c>
      <c r="G36" s="64">
        <v>157.69</v>
      </c>
      <c r="H36" s="64">
        <v>78.8</v>
      </c>
      <c r="I36" s="64">
        <v>1.53</v>
      </c>
      <c r="J36" s="64">
        <v>0.18</v>
      </c>
      <c r="K36" s="64">
        <v>142.86000000000001</v>
      </c>
      <c r="L36" s="64">
        <v>20.53</v>
      </c>
      <c r="M36" s="64">
        <v>77.14</v>
      </c>
      <c r="N36" s="64">
        <v>157.1</v>
      </c>
      <c r="O36" s="64">
        <v>0</v>
      </c>
      <c r="P36" s="64">
        <v>1.43</v>
      </c>
      <c r="Q36" s="64">
        <v>7.88</v>
      </c>
      <c r="R36" s="198"/>
      <c r="S36" s="198"/>
      <c r="T36" s="198"/>
      <c r="U36" s="198"/>
    </row>
    <row r="37" spans="1:21" s="12" customFormat="1" x14ac:dyDescent="0.25">
      <c r="A37" s="214" t="s">
        <v>2290</v>
      </c>
      <c r="B37" s="64">
        <v>38.83</v>
      </c>
      <c r="C37" s="64">
        <v>20.63</v>
      </c>
      <c r="D37" s="64">
        <v>43.82</v>
      </c>
      <c r="E37" s="64">
        <v>0.62</v>
      </c>
      <c r="F37" s="64">
        <v>0.23</v>
      </c>
      <c r="G37" s="64">
        <v>157.69</v>
      </c>
      <c r="H37" s="64">
        <v>78.8</v>
      </c>
      <c r="I37" s="64">
        <v>1.5</v>
      </c>
      <c r="J37" s="64">
        <v>0.25</v>
      </c>
      <c r="K37" s="64">
        <v>141.43</v>
      </c>
      <c r="L37" s="64">
        <v>21.41</v>
      </c>
      <c r="M37" s="64">
        <v>73.67</v>
      </c>
      <c r="N37" s="64">
        <v>212.6</v>
      </c>
      <c r="O37" s="64">
        <v>0</v>
      </c>
      <c r="P37" s="64">
        <v>1.36</v>
      </c>
      <c r="Q37" s="64">
        <v>7.78</v>
      </c>
      <c r="R37" s="198"/>
      <c r="S37" s="198"/>
      <c r="T37" s="198"/>
      <c r="U37" s="198"/>
    </row>
    <row r="38" spans="1:21" s="12" customFormat="1" x14ac:dyDescent="0.25">
      <c r="A38" s="214" t="s">
        <v>2291</v>
      </c>
      <c r="B38" s="64">
        <v>37.840000000000003</v>
      </c>
      <c r="C38" s="64">
        <v>21.25</v>
      </c>
      <c r="D38" s="64">
        <v>43.37</v>
      </c>
      <c r="E38" s="64">
        <v>0.54</v>
      </c>
      <c r="F38" s="64">
        <v>0.61</v>
      </c>
      <c r="G38" s="64">
        <v>157.69</v>
      </c>
      <c r="H38" s="64">
        <v>78.8</v>
      </c>
      <c r="I38" s="64">
        <v>1.54</v>
      </c>
      <c r="J38" s="64">
        <v>0.1</v>
      </c>
      <c r="K38" s="64">
        <v>19.05</v>
      </c>
      <c r="L38" s="64">
        <v>23.15</v>
      </c>
      <c r="M38" s="64">
        <v>66.78</v>
      </c>
      <c r="N38" s="64">
        <v>268.89999999999998</v>
      </c>
      <c r="O38" s="64">
        <v>0</v>
      </c>
      <c r="P38" s="64">
        <v>1.44</v>
      </c>
      <c r="Q38" s="64">
        <v>7.69</v>
      </c>
      <c r="R38" s="198"/>
      <c r="S38" s="198"/>
      <c r="T38" s="198"/>
      <c r="U38" s="198"/>
    </row>
    <row r="39" spans="1:21" s="12" customFormat="1" x14ac:dyDescent="0.25">
      <c r="A39" s="214" t="s">
        <v>2292</v>
      </c>
      <c r="B39" s="64">
        <v>38.1</v>
      </c>
      <c r="C39" s="64">
        <v>23.67</v>
      </c>
      <c r="D39" s="64">
        <v>44.9</v>
      </c>
      <c r="E39" s="64">
        <v>0.56000000000000005</v>
      </c>
      <c r="F39" s="64">
        <v>0.47</v>
      </c>
      <c r="G39" s="64">
        <v>158.02000000000001</v>
      </c>
      <c r="H39" s="64">
        <v>77.8</v>
      </c>
      <c r="I39" s="64">
        <v>1.63</v>
      </c>
      <c r="J39" s="64">
        <v>0.36</v>
      </c>
      <c r="K39" s="64">
        <v>353.71</v>
      </c>
      <c r="L39" s="64">
        <v>25.56</v>
      </c>
      <c r="M39" s="64">
        <v>56.87</v>
      </c>
      <c r="N39" s="64">
        <v>329.3</v>
      </c>
      <c r="O39" s="64">
        <v>0</v>
      </c>
      <c r="P39" s="64">
        <v>1.42</v>
      </c>
      <c r="Q39" s="64">
        <v>7.55</v>
      </c>
      <c r="R39" s="198"/>
      <c r="S39" s="198"/>
      <c r="T39" s="198"/>
      <c r="U39" s="198"/>
    </row>
    <row r="40" spans="1:21" s="12" customFormat="1" x14ac:dyDescent="0.25">
      <c r="A40" s="214" t="s">
        <v>2293</v>
      </c>
      <c r="B40" s="64">
        <v>34.53</v>
      </c>
      <c r="C40" s="64">
        <v>25.7</v>
      </c>
      <c r="D40" s="64">
        <v>43.17</v>
      </c>
      <c r="E40" s="64">
        <v>0.44</v>
      </c>
      <c r="F40" s="64">
        <v>2.65</v>
      </c>
      <c r="G40" s="64">
        <v>161.94999999999999</v>
      </c>
      <c r="H40" s="64">
        <v>67.680000000000007</v>
      </c>
      <c r="I40" s="64">
        <v>1.51</v>
      </c>
      <c r="J40" s="64">
        <v>0.5</v>
      </c>
      <c r="K40" s="64">
        <v>341.83</v>
      </c>
      <c r="L40" s="64">
        <v>27.75</v>
      </c>
      <c r="M40" s="64">
        <v>47.59</v>
      </c>
      <c r="N40" s="64">
        <v>387.9</v>
      </c>
      <c r="O40" s="64">
        <v>0</v>
      </c>
      <c r="P40" s="64">
        <v>1.37</v>
      </c>
      <c r="Q40" s="64">
        <v>7.58</v>
      </c>
      <c r="R40" s="198"/>
      <c r="S40" s="198"/>
      <c r="T40" s="198"/>
      <c r="U40" s="198"/>
    </row>
    <row r="41" spans="1:21" s="12" customFormat="1" x14ac:dyDescent="0.25">
      <c r="A41" s="214" t="s">
        <v>2294</v>
      </c>
      <c r="B41" s="64">
        <v>33.479999999999997</v>
      </c>
      <c r="C41" s="64">
        <v>28.95</v>
      </c>
      <c r="D41" s="64">
        <v>44.12</v>
      </c>
      <c r="E41" s="64">
        <v>0.66</v>
      </c>
      <c r="F41" s="64">
        <v>2.96</v>
      </c>
      <c r="G41" s="64">
        <v>161.94999999999999</v>
      </c>
      <c r="H41" s="64">
        <v>67.680000000000007</v>
      </c>
      <c r="I41" s="64">
        <v>1.48</v>
      </c>
      <c r="J41" s="64">
        <v>0.52</v>
      </c>
      <c r="K41" s="64">
        <v>335.83</v>
      </c>
      <c r="L41" s="64">
        <v>29.41</v>
      </c>
      <c r="M41" s="64">
        <v>40.43</v>
      </c>
      <c r="N41" s="64">
        <v>454.4</v>
      </c>
      <c r="O41" s="64">
        <v>0</v>
      </c>
      <c r="P41" s="64">
        <v>1.36</v>
      </c>
      <c r="Q41" s="64">
        <v>7.57</v>
      </c>
      <c r="R41" s="198"/>
      <c r="S41" s="198"/>
      <c r="T41" s="198"/>
      <c r="U41" s="198"/>
    </row>
    <row r="42" spans="1:21" s="12" customFormat="1" x14ac:dyDescent="0.25">
      <c r="A42" s="214" t="s">
        <v>2295</v>
      </c>
      <c r="B42" s="64">
        <v>33.340000000000003</v>
      </c>
      <c r="C42" s="64">
        <v>24.21</v>
      </c>
      <c r="D42" s="64">
        <v>41.39</v>
      </c>
      <c r="E42" s="64">
        <v>0.67</v>
      </c>
      <c r="F42" s="64">
        <v>4.1900000000000004</v>
      </c>
      <c r="G42" s="64">
        <v>161.94999999999999</v>
      </c>
      <c r="H42" s="64">
        <v>67.680000000000007</v>
      </c>
      <c r="I42" s="64">
        <v>1.51</v>
      </c>
      <c r="J42" s="64">
        <v>0.5</v>
      </c>
      <c r="K42" s="64">
        <v>329.95</v>
      </c>
      <c r="L42" s="64">
        <v>31.08</v>
      </c>
      <c r="M42" s="64">
        <v>37.82</v>
      </c>
      <c r="N42" s="64">
        <v>497.8</v>
      </c>
      <c r="O42" s="64">
        <v>0</v>
      </c>
      <c r="P42" s="64">
        <v>1.35</v>
      </c>
      <c r="Q42" s="64">
        <v>7.54</v>
      </c>
      <c r="R42" s="198"/>
      <c r="S42" s="198"/>
      <c r="T42" s="198"/>
      <c r="U42" s="198"/>
    </row>
    <row r="43" spans="1:21" s="12" customFormat="1" x14ac:dyDescent="0.25">
      <c r="A43" s="214" t="s">
        <v>2296</v>
      </c>
      <c r="B43" s="64">
        <v>28.14</v>
      </c>
      <c r="C43" s="64">
        <v>25.54</v>
      </c>
      <c r="D43" s="64">
        <v>37.950000000000003</v>
      </c>
      <c r="E43" s="64">
        <v>0.74</v>
      </c>
      <c r="F43" s="64">
        <v>4.6500000000000004</v>
      </c>
      <c r="G43" s="64">
        <v>161.34</v>
      </c>
      <c r="H43" s="64">
        <v>67.959999999999994</v>
      </c>
      <c r="I43" s="64">
        <v>1.45</v>
      </c>
      <c r="J43" s="64">
        <v>0.51</v>
      </c>
      <c r="K43" s="64">
        <v>343.47</v>
      </c>
      <c r="L43" s="64">
        <v>31.16</v>
      </c>
      <c r="M43" s="64">
        <v>36.67</v>
      </c>
      <c r="N43" s="64">
        <v>542.20000000000005</v>
      </c>
      <c r="O43" s="64">
        <v>0</v>
      </c>
      <c r="P43" s="64">
        <v>1.33</v>
      </c>
      <c r="Q43" s="64">
        <v>7.54</v>
      </c>
      <c r="R43" s="198"/>
      <c r="S43" s="198"/>
      <c r="T43" s="198"/>
      <c r="U43" s="198"/>
    </row>
    <row r="44" spans="1:21" s="12" customFormat="1" x14ac:dyDescent="0.25">
      <c r="A44" s="214" t="s">
        <v>2297</v>
      </c>
      <c r="B44" s="64">
        <v>27.72</v>
      </c>
      <c r="C44" s="64">
        <v>25.97</v>
      </c>
      <c r="D44" s="64">
        <v>37.85</v>
      </c>
      <c r="E44" s="64">
        <v>0.78</v>
      </c>
      <c r="F44" s="64">
        <v>3.51</v>
      </c>
      <c r="G44" s="64">
        <v>154.13</v>
      </c>
      <c r="H44" s="64">
        <v>70.819999999999993</v>
      </c>
      <c r="I44" s="64">
        <v>1.45</v>
      </c>
      <c r="J44" s="64">
        <v>0.65</v>
      </c>
      <c r="K44" s="64">
        <v>340.19</v>
      </c>
      <c r="L44" s="64">
        <v>28.81</v>
      </c>
      <c r="M44" s="64">
        <v>46.06</v>
      </c>
      <c r="N44" s="64">
        <v>593.5</v>
      </c>
      <c r="O44" s="64">
        <v>0</v>
      </c>
      <c r="P44" s="64">
        <v>1.33</v>
      </c>
      <c r="Q44" s="64">
        <v>7.4</v>
      </c>
      <c r="R44" s="198"/>
      <c r="S44" s="198"/>
      <c r="T44" s="198"/>
      <c r="U44" s="198"/>
    </row>
    <row r="45" spans="1:21" s="12" customFormat="1" x14ac:dyDescent="0.25">
      <c r="A45" s="214" t="s">
        <v>2298</v>
      </c>
      <c r="B45" s="64">
        <v>28.94</v>
      </c>
      <c r="C45" s="64">
        <v>25.1</v>
      </c>
      <c r="D45" s="64">
        <v>38.36</v>
      </c>
      <c r="E45" s="64">
        <v>0.73</v>
      </c>
      <c r="F45" s="64">
        <v>1.35</v>
      </c>
      <c r="G45" s="64">
        <v>154.13</v>
      </c>
      <c r="H45" s="64">
        <v>70.819999999999993</v>
      </c>
      <c r="I45" s="64">
        <v>1.47</v>
      </c>
      <c r="J45" s="64">
        <v>0.57999999999999996</v>
      </c>
      <c r="K45" s="64">
        <v>332.69</v>
      </c>
      <c r="L45" s="64">
        <v>28.58</v>
      </c>
      <c r="M45" s="64">
        <v>45.68</v>
      </c>
      <c r="N45" s="64">
        <v>635.20000000000005</v>
      </c>
      <c r="O45" s="64">
        <v>0</v>
      </c>
      <c r="P45" s="64">
        <v>1.32</v>
      </c>
      <c r="Q45" s="64">
        <v>7.14</v>
      </c>
      <c r="R45" s="198"/>
      <c r="S45" s="198"/>
      <c r="T45" s="198"/>
      <c r="U45" s="198"/>
    </row>
    <row r="46" spans="1:21" s="12" customFormat="1" x14ac:dyDescent="0.25">
      <c r="A46" s="214" t="s">
        <v>2299</v>
      </c>
      <c r="B46" s="64">
        <v>27.67</v>
      </c>
      <c r="C46" s="64">
        <v>23.06</v>
      </c>
      <c r="D46" s="64">
        <v>36.21</v>
      </c>
      <c r="E46" s="64">
        <v>0.78</v>
      </c>
      <c r="F46" s="64">
        <v>1.63</v>
      </c>
      <c r="G46" s="64">
        <v>154.13</v>
      </c>
      <c r="H46" s="64">
        <v>70.819999999999993</v>
      </c>
      <c r="I46" s="64">
        <v>1.45</v>
      </c>
      <c r="J46" s="64">
        <v>0.53</v>
      </c>
      <c r="K46" s="64">
        <v>333.62</v>
      </c>
      <c r="L46" s="64">
        <v>28.34</v>
      </c>
      <c r="M46" s="64">
        <v>46.27</v>
      </c>
      <c r="N46" s="64">
        <v>650.70000000000005</v>
      </c>
      <c r="O46" s="64">
        <v>0</v>
      </c>
      <c r="P46" s="64">
        <v>1.28</v>
      </c>
      <c r="Q46" s="64">
        <v>7.05</v>
      </c>
      <c r="R46" s="198"/>
      <c r="S46" s="198"/>
      <c r="T46" s="198"/>
      <c r="U46" s="198"/>
    </row>
    <row r="47" spans="1:21" s="12" customFormat="1" x14ac:dyDescent="0.25">
      <c r="A47" s="214" t="s">
        <v>2300</v>
      </c>
      <c r="B47" s="64">
        <v>25.68</v>
      </c>
      <c r="C47" s="64">
        <v>25.58</v>
      </c>
      <c r="D47" s="64">
        <v>36</v>
      </c>
      <c r="E47" s="64">
        <v>0.7</v>
      </c>
      <c r="F47" s="64">
        <v>1.97</v>
      </c>
      <c r="G47" s="64">
        <v>153.96</v>
      </c>
      <c r="H47" s="64">
        <v>71.02</v>
      </c>
      <c r="I47" s="64">
        <v>1.46</v>
      </c>
      <c r="J47" s="64">
        <v>0.48</v>
      </c>
      <c r="K47" s="64">
        <v>327.23</v>
      </c>
      <c r="L47" s="64">
        <v>28.06</v>
      </c>
      <c r="M47" s="64">
        <v>53.77</v>
      </c>
      <c r="N47" s="64">
        <v>597.6</v>
      </c>
      <c r="O47" s="64">
        <v>0</v>
      </c>
      <c r="P47" s="64">
        <v>1.3</v>
      </c>
      <c r="Q47" s="64">
        <v>6.83</v>
      </c>
      <c r="R47" s="198"/>
      <c r="S47" s="198"/>
      <c r="T47" s="198"/>
      <c r="U47" s="198"/>
    </row>
    <row r="48" spans="1:21" s="12" customFormat="1" x14ac:dyDescent="0.25">
      <c r="A48" s="214" t="s">
        <v>2301</v>
      </c>
      <c r="B48" s="64">
        <v>23.05</v>
      </c>
      <c r="C48" s="64">
        <v>27.29</v>
      </c>
      <c r="D48" s="64">
        <v>34.840000000000003</v>
      </c>
      <c r="E48" s="64">
        <v>0.8</v>
      </c>
      <c r="F48" s="64">
        <v>2.4700000000000002</v>
      </c>
      <c r="G48" s="64">
        <v>151.96</v>
      </c>
      <c r="H48" s="64">
        <v>73.03</v>
      </c>
      <c r="I48" s="64">
        <v>1.47</v>
      </c>
      <c r="J48" s="64">
        <v>1.06</v>
      </c>
      <c r="K48" s="64">
        <v>335.96</v>
      </c>
      <c r="L48" s="64">
        <v>28.09</v>
      </c>
      <c r="M48" s="64">
        <v>54.38</v>
      </c>
      <c r="N48" s="64">
        <v>579.4</v>
      </c>
      <c r="O48" s="64">
        <v>0</v>
      </c>
      <c r="P48" s="64">
        <v>1.31</v>
      </c>
      <c r="Q48" s="64">
        <v>6.66</v>
      </c>
      <c r="R48" s="198"/>
      <c r="S48" s="198"/>
      <c r="T48" s="198"/>
      <c r="U48" s="198"/>
    </row>
    <row r="49" spans="1:21" s="12" customFormat="1" x14ac:dyDescent="0.25">
      <c r="A49" s="214" t="s">
        <v>2302</v>
      </c>
      <c r="B49" s="64">
        <v>21.16</v>
      </c>
      <c r="C49" s="64">
        <v>30.68</v>
      </c>
      <c r="D49" s="64">
        <v>35.19</v>
      </c>
      <c r="E49" s="64">
        <v>0.7</v>
      </c>
      <c r="F49" s="64">
        <v>4.0599999999999996</v>
      </c>
      <c r="G49" s="64">
        <v>151.96</v>
      </c>
      <c r="H49" s="64">
        <v>73.03</v>
      </c>
      <c r="I49" s="64">
        <v>1.48</v>
      </c>
      <c r="J49" s="64">
        <v>0.94</v>
      </c>
      <c r="K49" s="64">
        <v>337.41</v>
      </c>
      <c r="L49" s="64">
        <v>29.87</v>
      </c>
      <c r="M49" s="64">
        <v>40.65</v>
      </c>
      <c r="N49" s="64">
        <v>657.5</v>
      </c>
      <c r="O49" s="64">
        <v>0</v>
      </c>
      <c r="P49" s="64">
        <v>1.29</v>
      </c>
      <c r="Q49" s="64">
        <v>6.49</v>
      </c>
      <c r="R49" s="198"/>
      <c r="S49" s="198"/>
      <c r="T49" s="198"/>
      <c r="U49" s="198"/>
    </row>
    <row r="50" spans="1:21" s="12" customFormat="1" x14ac:dyDescent="0.25">
      <c r="A50" s="214" t="s">
        <v>2303</v>
      </c>
      <c r="B50" s="64">
        <v>19.510000000000002</v>
      </c>
      <c r="C50" s="64">
        <v>31.12</v>
      </c>
      <c r="D50" s="64">
        <v>34.11</v>
      </c>
      <c r="E50" s="64">
        <v>1.1100000000000001</v>
      </c>
      <c r="F50" s="64">
        <v>1.89</v>
      </c>
      <c r="G50" s="64">
        <v>151.96</v>
      </c>
      <c r="H50" s="64">
        <v>73.03</v>
      </c>
      <c r="I50" s="64">
        <v>1.5</v>
      </c>
      <c r="J50" s="64">
        <v>0.59</v>
      </c>
      <c r="K50" s="64">
        <v>329.01</v>
      </c>
      <c r="L50" s="64">
        <v>31.99</v>
      </c>
      <c r="M50" s="64">
        <v>36</v>
      </c>
      <c r="N50" s="64">
        <v>668.3</v>
      </c>
      <c r="O50" s="64">
        <v>0</v>
      </c>
      <c r="P50" s="64">
        <v>1.29</v>
      </c>
      <c r="Q50" s="64">
        <v>6.31</v>
      </c>
      <c r="R50" s="198"/>
      <c r="S50" s="198"/>
      <c r="T50" s="198"/>
      <c r="U50" s="198"/>
    </row>
    <row r="51" spans="1:21" s="12" customFormat="1" x14ac:dyDescent="0.25">
      <c r="A51" s="214" t="s">
        <v>2304</v>
      </c>
      <c r="B51" s="64">
        <v>18.93</v>
      </c>
      <c r="C51" s="64">
        <v>28.76</v>
      </c>
      <c r="D51" s="64">
        <v>32.35</v>
      </c>
      <c r="E51" s="64">
        <v>0.88</v>
      </c>
      <c r="F51" s="64">
        <v>1.53</v>
      </c>
      <c r="G51" s="64">
        <v>154.61000000000001</v>
      </c>
      <c r="H51" s="64">
        <v>73.55</v>
      </c>
      <c r="I51" s="64">
        <v>1.58</v>
      </c>
      <c r="J51" s="64">
        <v>0.41</v>
      </c>
      <c r="K51" s="64">
        <v>336.94</v>
      </c>
      <c r="L51" s="64">
        <v>31.11</v>
      </c>
      <c r="M51" s="64">
        <v>34.39</v>
      </c>
      <c r="N51" s="64">
        <v>745</v>
      </c>
      <c r="O51" s="64">
        <v>0</v>
      </c>
      <c r="P51" s="64">
        <v>1.31</v>
      </c>
      <c r="Q51" s="64">
        <v>6.36</v>
      </c>
      <c r="R51" s="198"/>
      <c r="S51" s="198"/>
      <c r="T51" s="198"/>
      <c r="U51" s="198"/>
    </row>
    <row r="52" spans="1:21" s="12" customFormat="1" x14ac:dyDescent="0.25">
      <c r="A52" s="214" t="s">
        <v>2305</v>
      </c>
      <c r="B52" s="64">
        <v>18.309999999999999</v>
      </c>
      <c r="C52" s="64">
        <v>33.270000000000003</v>
      </c>
      <c r="D52" s="64">
        <v>34.340000000000003</v>
      </c>
      <c r="E52" s="64">
        <v>0.93</v>
      </c>
      <c r="F52" s="64">
        <v>6.55</v>
      </c>
      <c r="G52" s="64">
        <v>185.97</v>
      </c>
      <c r="H52" s="64">
        <v>78.650000000000006</v>
      </c>
      <c r="I52" s="64">
        <v>1.45</v>
      </c>
      <c r="J52" s="64">
        <v>0.86</v>
      </c>
      <c r="K52" s="64">
        <v>341.47</v>
      </c>
      <c r="L52" s="64">
        <v>32.42</v>
      </c>
      <c r="M52" s="64">
        <v>29.72</v>
      </c>
      <c r="N52" s="64">
        <v>780.8</v>
      </c>
      <c r="O52" s="64">
        <v>0</v>
      </c>
      <c r="P52" s="64">
        <v>1.21</v>
      </c>
      <c r="Q52" s="64">
        <v>5.78</v>
      </c>
      <c r="R52" s="198"/>
      <c r="S52" s="198"/>
      <c r="T52" s="198"/>
      <c r="U52" s="198"/>
    </row>
    <row r="53" spans="1:21" s="12" customFormat="1" x14ac:dyDescent="0.25">
      <c r="A53" s="214" t="s">
        <v>2306</v>
      </c>
      <c r="B53" s="64">
        <v>16.36</v>
      </c>
      <c r="C53" s="64">
        <v>31.4</v>
      </c>
      <c r="D53" s="64">
        <v>31.74</v>
      </c>
      <c r="E53" s="64">
        <v>0.92</v>
      </c>
      <c r="F53" s="64">
        <v>4.46</v>
      </c>
      <c r="G53" s="64">
        <v>185.97</v>
      </c>
      <c r="H53" s="64">
        <v>78.650000000000006</v>
      </c>
      <c r="I53" s="64">
        <v>1.55</v>
      </c>
      <c r="J53" s="64">
        <v>1</v>
      </c>
      <c r="K53" s="64">
        <v>345.14</v>
      </c>
      <c r="L53" s="64">
        <v>32.26</v>
      </c>
      <c r="M53" s="64">
        <v>30.65</v>
      </c>
      <c r="N53" s="64">
        <v>633.5</v>
      </c>
      <c r="O53" s="64">
        <v>0</v>
      </c>
      <c r="P53" s="64">
        <v>1.26</v>
      </c>
      <c r="Q53" s="64">
        <v>5.23</v>
      </c>
      <c r="R53" s="198"/>
      <c r="S53" s="198"/>
      <c r="T53" s="198"/>
      <c r="U53" s="198"/>
    </row>
    <row r="54" spans="1:21" s="12" customFormat="1" x14ac:dyDescent="0.25">
      <c r="A54" s="214" t="s">
        <v>2307</v>
      </c>
      <c r="B54" s="64">
        <v>15.8</v>
      </c>
      <c r="C54" s="64">
        <v>26.56</v>
      </c>
      <c r="D54" s="64">
        <v>28.62</v>
      </c>
      <c r="E54" s="64">
        <v>1.04</v>
      </c>
      <c r="F54" s="64">
        <v>4.82</v>
      </c>
      <c r="G54" s="64">
        <v>185.97</v>
      </c>
      <c r="H54" s="64">
        <v>78.650000000000006</v>
      </c>
      <c r="I54" s="64">
        <v>1.52</v>
      </c>
      <c r="J54" s="64">
        <v>1.37</v>
      </c>
      <c r="K54" s="64">
        <v>338.74</v>
      </c>
      <c r="L54" s="64">
        <v>31.67</v>
      </c>
      <c r="M54" s="64">
        <v>28.1</v>
      </c>
      <c r="N54" s="64">
        <v>329.3</v>
      </c>
      <c r="O54" s="64">
        <v>0</v>
      </c>
      <c r="P54" s="64">
        <v>1.21</v>
      </c>
      <c r="Q54" s="64">
        <v>5.75</v>
      </c>
      <c r="R54" s="198"/>
      <c r="S54" s="198"/>
      <c r="T54" s="198"/>
      <c r="U54" s="198"/>
    </row>
    <row r="55" spans="1:21" s="12" customFormat="1" x14ac:dyDescent="0.25">
      <c r="A55" s="214" t="s">
        <v>2308</v>
      </c>
      <c r="B55" s="64">
        <v>14.41</v>
      </c>
      <c r="C55" s="64">
        <v>26.64</v>
      </c>
      <c r="D55" s="64">
        <v>27.56</v>
      </c>
      <c r="E55" s="64">
        <v>0.89</v>
      </c>
      <c r="F55" s="64">
        <v>4.62</v>
      </c>
      <c r="G55" s="64">
        <v>181.44</v>
      </c>
      <c r="H55" s="64">
        <v>77.37</v>
      </c>
      <c r="I55" s="64">
        <v>1.51</v>
      </c>
      <c r="J55" s="64">
        <v>1.68</v>
      </c>
      <c r="K55" s="64">
        <v>336.14</v>
      </c>
      <c r="L55" s="64">
        <v>31.22</v>
      </c>
      <c r="M55" s="64">
        <v>25.58</v>
      </c>
      <c r="N55" s="64">
        <v>758.1</v>
      </c>
      <c r="O55" s="64">
        <v>0</v>
      </c>
      <c r="P55" s="64">
        <v>1.18</v>
      </c>
      <c r="Q55" s="64">
        <v>5.74</v>
      </c>
      <c r="R55" s="198"/>
      <c r="S55" s="198"/>
      <c r="T55" s="198"/>
      <c r="U55" s="198"/>
    </row>
    <row r="56" spans="1:21" s="12" customFormat="1" x14ac:dyDescent="0.25">
      <c r="A56" s="214" t="s">
        <v>2309</v>
      </c>
      <c r="B56" s="64">
        <v>13.3</v>
      </c>
      <c r="C56" s="64">
        <v>29.09</v>
      </c>
      <c r="D56" s="64">
        <v>28.01</v>
      </c>
      <c r="E56" s="64">
        <v>0.66</v>
      </c>
      <c r="F56" s="64">
        <v>2.52</v>
      </c>
      <c r="G56" s="64">
        <v>127.77</v>
      </c>
      <c r="H56" s="64">
        <v>64.59</v>
      </c>
      <c r="I56" s="64">
        <v>1.53</v>
      </c>
      <c r="J56" s="64">
        <v>1.24</v>
      </c>
      <c r="K56" s="64">
        <v>330.22</v>
      </c>
      <c r="L56" s="64">
        <v>32.24</v>
      </c>
      <c r="M56" s="64">
        <v>25</v>
      </c>
      <c r="N56" s="64">
        <v>749.4</v>
      </c>
      <c r="O56" s="64">
        <v>0</v>
      </c>
      <c r="P56" s="64">
        <v>1.1299999999999999</v>
      </c>
      <c r="Q56" s="64">
        <v>5.61</v>
      </c>
      <c r="R56" s="198"/>
      <c r="S56" s="198"/>
      <c r="T56" s="198"/>
      <c r="U56" s="198"/>
    </row>
    <row r="57" spans="1:21" s="12" customFormat="1" x14ac:dyDescent="0.25">
      <c r="A57" s="214" t="s">
        <v>2310</v>
      </c>
      <c r="B57" s="64">
        <v>11.47</v>
      </c>
      <c r="C57" s="64">
        <v>27.22</v>
      </c>
      <c r="D57" s="64">
        <v>25.51</v>
      </c>
      <c r="E57" s="64">
        <v>1.1200000000000001</v>
      </c>
      <c r="F57" s="64">
        <v>2.63</v>
      </c>
      <c r="G57" s="64">
        <v>127.77</v>
      </c>
      <c r="H57" s="64">
        <v>64.59</v>
      </c>
      <c r="I57" s="64">
        <v>1.5</v>
      </c>
      <c r="J57" s="64">
        <v>1.86</v>
      </c>
      <c r="K57" s="64">
        <v>338.6</v>
      </c>
      <c r="L57" s="64">
        <v>32.64</v>
      </c>
      <c r="M57" s="64">
        <v>24.83</v>
      </c>
      <c r="N57" s="64">
        <v>764.3</v>
      </c>
      <c r="O57" s="64">
        <v>0</v>
      </c>
      <c r="P57" s="64">
        <v>1.07</v>
      </c>
      <c r="Q57" s="64">
        <v>5.53</v>
      </c>
      <c r="R57" s="198"/>
      <c r="S57" s="198"/>
      <c r="T57" s="198"/>
      <c r="U57" s="198"/>
    </row>
    <row r="58" spans="1:21" s="12" customFormat="1" x14ac:dyDescent="0.25">
      <c r="A58" s="214" t="s">
        <v>2311</v>
      </c>
      <c r="B58" s="64">
        <v>9.89</v>
      </c>
      <c r="C58" s="64">
        <v>26.71</v>
      </c>
      <c r="D58" s="64">
        <v>23.96</v>
      </c>
      <c r="E58" s="64">
        <v>1.23</v>
      </c>
      <c r="F58" s="64">
        <v>3.48</v>
      </c>
      <c r="G58" s="64">
        <v>127.77</v>
      </c>
      <c r="H58" s="64">
        <v>64.59</v>
      </c>
      <c r="I58" s="64">
        <v>1.55</v>
      </c>
      <c r="J58" s="64">
        <v>1.48</v>
      </c>
      <c r="K58" s="64">
        <v>331.54</v>
      </c>
      <c r="L58" s="64">
        <v>32.700000000000003</v>
      </c>
      <c r="M58" s="64">
        <v>25.24</v>
      </c>
      <c r="N58" s="64">
        <v>742.2</v>
      </c>
      <c r="O58" s="64">
        <v>0</v>
      </c>
      <c r="P58" s="64">
        <v>1.01</v>
      </c>
      <c r="Q58" s="64">
        <v>5.54</v>
      </c>
      <c r="R58" s="198"/>
      <c r="S58" s="198"/>
      <c r="T58" s="198"/>
      <c r="U58" s="198"/>
    </row>
    <row r="59" spans="1:21" s="12" customFormat="1" x14ac:dyDescent="0.25">
      <c r="A59" s="214" t="s">
        <v>2312</v>
      </c>
      <c r="B59" s="64">
        <v>8.27</v>
      </c>
      <c r="C59" s="64">
        <v>26.39</v>
      </c>
      <c r="D59" s="64">
        <v>22.49</v>
      </c>
      <c r="E59" s="64">
        <v>0.87</v>
      </c>
      <c r="F59" s="64">
        <v>2.92</v>
      </c>
      <c r="G59" s="64">
        <v>126.24</v>
      </c>
      <c r="H59" s="64">
        <v>64.069999999999993</v>
      </c>
      <c r="I59" s="64">
        <v>1.49</v>
      </c>
      <c r="J59" s="64">
        <v>1.63</v>
      </c>
      <c r="K59" s="64">
        <v>332.01</v>
      </c>
      <c r="L59" s="64">
        <v>32.340000000000003</v>
      </c>
      <c r="M59" s="64">
        <v>23.63</v>
      </c>
      <c r="N59" s="64">
        <v>742.9</v>
      </c>
      <c r="O59" s="64">
        <v>0</v>
      </c>
      <c r="P59" s="64">
        <v>1</v>
      </c>
      <c r="Q59" s="64">
        <v>5.48</v>
      </c>
      <c r="R59" s="198"/>
      <c r="S59" s="198"/>
      <c r="T59" s="198"/>
      <c r="U59" s="198"/>
    </row>
    <row r="60" spans="1:21" s="12" customFormat="1" x14ac:dyDescent="0.25">
      <c r="A60" s="214" t="s">
        <v>2313</v>
      </c>
      <c r="B60" s="64">
        <v>7.06</v>
      </c>
      <c r="C60" s="64">
        <v>27.23</v>
      </c>
      <c r="D60" s="64">
        <v>21.99</v>
      </c>
      <c r="E60" s="64">
        <v>0.91</v>
      </c>
      <c r="F60" s="64">
        <v>3.38</v>
      </c>
      <c r="G60" s="64">
        <v>108.09</v>
      </c>
      <c r="H60" s="64">
        <v>58.97</v>
      </c>
      <c r="I60" s="64">
        <v>1.53</v>
      </c>
      <c r="J60" s="64">
        <v>1.89</v>
      </c>
      <c r="K60" s="64">
        <v>339.6</v>
      </c>
      <c r="L60" s="64">
        <v>32.07</v>
      </c>
      <c r="M60" s="64">
        <v>24.75</v>
      </c>
      <c r="N60" s="64">
        <v>717.8</v>
      </c>
      <c r="O60" s="64">
        <v>0</v>
      </c>
      <c r="P60" s="64">
        <v>0.94</v>
      </c>
      <c r="Q60" s="64">
        <v>5.32</v>
      </c>
      <c r="R60" s="198"/>
      <c r="S60" s="198"/>
      <c r="T60" s="198"/>
      <c r="U60" s="198"/>
    </row>
    <row r="61" spans="1:21" s="12" customFormat="1" x14ac:dyDescent="0.25">
      <c r="A61" s="214" t="s">
        <v>2314</v>
      </c>
      <c r="B61" s="64">
        <v>6.02</v>
      </c>
      <c r="C61" s="64">
        <v>26.32</v>
      </c>
      <c r="D61" s="64">
        <v>20.65</v>
      </c>
      <c r="E61" s="64">
        <v>0.87</v>
      </c>
      <c r="F61" s="64">
        <v>2.54</v>
      </c>
      <c r="G61" s="64">
        <v>108.09</v>
      </c>
      <c r="H61" s="64">
        <v>58.97</v>
      </c>
      <c r="I61" s="64">
        <v>1.5</v>
      </c>
      <c r="J61" s="64">
        <v>1.8</v>
      </c>
      <c r="K61" s="64">
        <v>337.95</v>
      </c>
      <c r="L61" s="64">
        <v>31.73</v>
      </c>
      <c r="M61" s="64">
        <v>25.13</v>
      </c>
      <c r="N61" s="64">
        <v>699</v>
      </c>
      <c r="O61" s="64">
        <v>0</v>
      </c>
      <c r="P61" s="64">
        <v>0.85</v>
      </c>
      <c r="Q61" s="64">
        <v>5.28</v>
      </c>
      <c r="R61" s="198"/>
      <c r="S61" s="198"/>
      <c r="T61" s="198"/>
      <c r="U61" s="198"/>
    </row>
    <row r="62" spans="1:21" s="12" customFormat="1" x14ac:dyDescent="0.25">
      <c r="A62" s="214" t="s">
        <v>2315</v>
      </c>
      <c r="B62" s="64">
        <v>5.4</v>
      </c>
      <c r="C62" s="64">
        <v>26.66</v>
      </c>
      <c r="D62" s="64">
        <v>20.329999999999998</v>
      </c>
      <c r="E62" s="64">
        <v>0.73</v>
      </c>
      <c r="F62" s="64">
        <v>2.92</v>
      </c>
      <c r="G62" s="64">
        <v>108.09</v>
      </c>
      <c r="H62" s="64">
        <v>58.97</v>
      </c>
      <c r="I62" s="64">
        <v>1.51</v>
      </c>
      <c r="J62" s="64">
        <v>2.12</v>
      </c>
      <c r="K62" s="64">
        <v>337.91</v>
      </c>
      <c r="L62" s="64">
        <v>31.24</v>
      </c>
      <c r="M62" s="64">
        <v>25.23</v>
      </c>
      <c r="N62" s="64">
        <v>508.9</v>
      </c>
      <c r="O62" s="64">
        <v>0</v>
      </c>
      <c r="P62" s="64">
        <v>0.86</v>
      </c>
      <c r="Q62" s="64">
        <v>5.12</v>
      </c>
      <c r="R62" s="198"/>
      <c r="S62" s="198"/>
      <c r="T62" s="198"/>
      <c r="U62" s="198"/>
    </row>
    <row r="63" spans="1:21" s="12" customFormat="1" x14ac:dyDescent="0.25">
      <c r="A63" s="214" t="s">
        <v>2316</v>
      </c>
      <c r="B63" s="64">
        <v>4.8899999999999997</v>
      </c>
      <c r="C63" s="64">
        <v>25.28</v>
      </c>
      <c r="D63" s="64">
        <v>19.16</v>
      </c>
      <c r="E63" s="64">
        <v>0.9</v>
      </c>
      <c r="F63" s="64">
        <v>5.78</v>
      </c>
      <c r="G63" s="64">
        <v>107.57</v>
      </c>
      <c r="H63" s="64">
        <v>58.3</v>
      </c>
      <c r="I63" s="64">
        <v>1.48</v>
      </c>
      <c r="J63" s="64">
        <v>1.3</v>
      </c>
      <c r="K63" s="64">
        <v>334.21</v>
      </c>
      <c r="L63" s="64">
        <v>30.74</v>
      </c>
      <c r="M63" s="64">
        <v>25.69</v>
      </c>
      <c r="N63" s="64">
        <v>369.2</v>
      </c>
      <c r="O63" s="64">
        <v>0</v>
      </c>
      <c r="P63" s="64">
        <v>0.82</v>
      </c>
      <c r="Q63" s="64">
        <v>5.0999999999999996</v>
      </c>
      <c r="R63" s="198"/>
      <c r="S63" s="198"/>
      <c r="T63" s="198"/>
      <c r="U63" s="198"/>
    </row>
    <row r="64" spans="1:21" s="12" customFormat="1" x14ac:dyDescent="0.25">
      <c r="A64" s="214" t="s">
        <v>2317</v>
      </c>
      <c r="B64" s="64">
        <v>5.68</v>
      </c>
      <c r="C64" s="64">
        <v>26.86</v>
      </c>
      <c r="D64" s="64">
        <v>20.67</v>
      </c>
      <c r="E64" s="64">
        <v>1.22</v>
      </c>
      <c r="F64" s="64">
        <v>9.27</v>
      </c>
      <c r="G64" s="64">
        <v>101.35</v>
      </c>
      <c r="H64" s="64">
        <v>51.61</v>
      </c>
      <c r="I64" s="64">
        <v>1.47</v>
      </c>
      <c r="J64" s="64">
        <v>0.9</v>
      </c>
      <c r="K64" s="64">
        <v>334.93</v>
      </c>
      <c r="L64" s="64">
        <v>29.4</v>
      </c>
      <c r="M64" s="64">
        <v>26.48</v>
      </c>
      <c r="N64" s="64">
        <v>382.7</v>
      </c>
      <c r="O64" s="64">
        <v>0</v>
      </c>
      <c r="P64" s="64">
        <v>0.79</v>
      </c>
      <c r="Q64" s="64">
        <v>4.95</v>
      </c>
      <c r="R64" s="198"/>
      <c r="S64" s="198"/>
      <c r="T64" s="198"/>
      <c r="U64" s="198"/>
    </row>
    <row r="65" spans="1:21" s="12" customFormat="1" x14ac:dyDescent="0.25">
      <c r="A65" s="214" t="s">
        <v>2318</v>
      </c>
      <c r="B65" s="64">
        <v>5.45</v>
      </c>
      <c r="C65" s="64">
        <v>26.28</v>
      </c>
      <c r="D65" s="64">
        <v>20.170000000000002</v>
      </c>
      <c r="E65" s="64">
        <v>1.31</v>
      </c>
      <c r="F65" s="64">
        <v>7.68</v>
      </c>
      <c r="G65" s="64">
        <v>101.35</v>
      </c>
      <c r="H65" s="64">
        <v>51.61</v>
      </c>
      <c r="I65" s="64">
        <v>1.49</v>
      </c>
      <c r="J65" s="64">
        <v>0.94</v>
      </c>
      <c r="K65" s="64">
        <v>345.98</v>
      </c>
      <c r="L65" s="64">
        <v>28.68</v>
      </c>
      <c r="M65" s="64">
        <v>28.41</v>
      </c>
      <c r="N65" s="64">
        <v>289.89999999999998</v>
      </c>
      <c r="O65" s="64">
        <v>0</v>
      </c>
      <c r="P65" s="64">
        <v>0.77</v>
      </c>
      <c r="Q65" s="64">
        <v>4.96</v>
      </c>
      <c r="R65" s="198"/>
      <c r="S65" s="198"/>
      <c r="T65" s="198"/>
      <c r="U65" s="198"/>
    </row>
    <row r="66" spans="1:21" s="12" customFormat="1" x14ac:dyDescent="0.25">
      <c r="A66" s="214" t="s">
        <v>2319</v>
      </c>
      <c r="B66" s="64">
        <v>5.37</v>
      </c>
      <c r="C66" s="64">
        <v>25.52</v>
      </c>
      <c r="D66" s="64">
        <v>19.68</v>
      </c>
      <c r="E66" s="64">
        <v>1.26</v>
      </c>
      <c r="F66" s="64">
        <v>10.51</v>
      </c>
      <c r="G66" s="64">
        <v>101.35</v>
      </c>
      <c r="H66" s="64">
        <v>51.61</v>
      </c>
      <c r="I66" s="64">
        <v>1.42</v>
      </c>
      <c r="J66" s="64">
        <v>0.39</v>
      </c>
      <c r="K66" s="64">
        <v>2.71</v>
      </c>
      <c r="L66" s="64">
        <v>28.25</v>
      </c>
      <c r="M66" s="64">
        <v>30.73</v>
      </c>
      <c r="N66" s="64">
        <v>224.9</v>
      </c>
      <c r="O66" s="64">
        <v>0</v>
      </c>
      <c r="P66" s="64">
        <v>0.75</v>
      </c>
      <c r="Q66" s="64">
        <v>4.8499999999999996</v>
      </c>
      <c r="R66" s="198"/>
      <c r="S66" s="198"/>
      <c r="T66" s="198"/>
      <c r="U66" s="198"/>
    </row>
    <row r="67" spans="1:21" s="12" customFormat="1" x14ac:dyDescent="0.25">
      <c r="A67" s="214" t="s">
        <v>2320</v>
      </c>
      <c r="B67" s="64">
        <v>5.43</v>
      </c>
      <c r="C67" s="64">
        <v>23.74</v>
      </c>
      <c r="D67" s="64">
        <v>18.75</v>
      </c>
      <c r="E67" s="64">
        <v>1.3</v>
      </c>
      <c r="F67" s="64">
        <v>8.48</v>
      </c>
      <c r="G67" s="64">
        <v>99.61</v>
      </c>
      <c r="H67" s="64">
        <v>50.78</v>
      </c>
      <c r="I67" s="64">
        <v>1.5</v>
      </c>
      <c r="J67" s="64">
        <v>0.8</v>
      </c>
      <c r="K67" s="64">
        <v>342.3</v>
      </c>
      <c r="L67" s="64">
        <v>28.08</v>
      </c>
      <c r="M67" s="64">
        <v>31.55</v>
      </c>
      <c r="N67" s="64">
        <v>246.6</v>
      </c>
      <c r="O67" s="64">
        <v>0</v>
      </c>
      <c r="P67" s="64">
        <v>0.74</v>
      </c>
      <c r="Q67" s="64">
        <v>4.6900000000000004</v>
      </c>
      <c r="R67" s="198"/>
      <c r="S67" s="198"/>
      <c r="T67" s="198"/>
      <c r="U67" s="198"/>
    </row>
    <row r="68" spans="1:21" s="12" customFormat="1" x14ac:dyDescent="0.25">
      <c r="A68" s="214" t="s">
        <v>2321</v>
      </c>
      <c r="B68" s="64">
        <v>5.33</v>
      </c>
      <c r="C68" s="64">
        <v>24.92</v>
      </c>
      <c r="D68" s="64">
        <v>19.32</v>
      </c>
      <c r="E68" s="64">
        <v>1.1299999999999999</v>
      </c>
      <c r="F68" s="64">
        <v>5.32</v>
      </c>
      <c r="G68" s="64">
        <v>78.98</v>
      </c>
      <c r="H68" s="64">
        <v>42.4</v>
      </c>
      <c r="I68" s="64">
        <v>1.5</v>
      </c>
      <c r="J68" s="64">
        <v>0.69</v>
      </c>
      <c r="K68" s="64">
        <v>346.33</v>
      </c>
      <c r="L68" s="64">
        <v>27.85</v>
      </c>
      <c r="M68" s="64">
        <v>32.57</v>
      </c>
      <c r="N68" s="64">
        <v>131.19999999999999</v>
      </c>
      <c r="O68" s="64">
        <v>0</v>
      </c>
      <c r="P68" s="64">
        <v>0.73</v>
      </c>
      <c r="Q68" s="64">
        <v>4.62</v>
      </c>
      <c r="R68" s="198"/>
      <c r="S68" s="198"/>
      <c r="T68" s="198"/>
      <c r="U68" s="198"/>
    </row>
    <row r="69" spans="1:21" s="12" customFormat="1" x14ac:dyDescent="0.25">
      <c r="A69" s="214" t="s">
        <v>2322</v>
      </c>
      <c r="B69" s="64">
        <v>6.64</v>
      </c>
      <c r="C69" s="64">
        <v>26.93</v>
      </c>
      <c r="D69" s="64">
        <v>21.48</v>
      </c>
      <c r="E69" s="64">
        <v>1.26</v>
      </c>
      <c r="F69" s="64">
        <v>11.27</v>
      </c>
      <c r="G69" s="64">
        <v>78.98</v>
      </c>
      <c r="H69" s="64">
        <v>42.4</v>
      </c>
      <c r="I69" s="64">
        <v>1.54</v>
      </c>
      <c r="J69" s="64">
        <v>0.7</v>
      </c>
      <c r="K69" s="64">
        <v>337.3</v>
      </c>
      <c r="L69" s="64">
        <v>27.78</v>
      </c>
      <c r="M69" s="64">
        <v>32.93</v>
      </c>
      <c r="N69" s="64">
        <v>117</v>
      </c>
      <c r="O69" s="64">
        <v>0</v>
      </c>
      <c r="P69" s="64">
        <v>0.7</v>
      </c>
      <c r="Q69" s="64">
        <v>4.49</v>
      </c>
      <c r="R69" s="198"/>
      <c r="S69" s="198"/>
      <c r="T69" s="198"/>
      <c r="U69" s="198"/>
    </row>
    <row r="70" spans="1:21" s="12" customFormat="1" x14ac:dyDescent="0.25">
      <c r="A70" s="214" t="s">
        <v>2323</v>
      </c>
      <c r="B70" s="64">
        <v>4.43</v>
      </c>
      <c r="C70" s="64">
        <v>23.11</v>
      </c>
      <c r="D70" s="64">
        <v>17.600000000000001</v>
      </c>
      <c r="E70" s="64">
        <v>1.34</v>
      </c>
      <c r="F70" s="64">
        <v>9.44</v>
      </c>
      <c r="G70" s="64">
        <v>78.98</v>
      </c>
      <c r="H70" s="64">
        <v>42.4</v>
      </c>
      <c r="I70" s="64">
        <v>1.44</v>
      </c>
      <c r="J70" s="64">
        <v>0.42</v>
      </c>
      <c r="K70" s="64">
        <v>82.84</v>
      </c>
      <c r="L70" s="64">
        <v>27.17</v>
      </c>
      <c r="M70" s="64">
        <v>35.909999999999997</v>
      </c>
      <c r="N70" s="64">
        <v>109</v>
      </c>
      <c r="O70" s="64">
        <v>0</v>
      </c>
      <c r="P70" s="64">
        <v>0.68</v>
      </c>
      <c r="Q70" s="64">
        <v>4.68</v>
      </c>
      <c r="R70" s="198"/>
      <c r="S70" s="198"/>
      <c r="T70" s="198"/>
      <c r="U70" s="198"/>
    </row>
    <row r="71" spans="1:21" s="12" customFormat="1" x14ac:dyDescent="0.25">
      <c r="A71" s="214" t="s">
        <v>2324</v>
      </c>
      <c r="B71" s="64">
        <v>5.2</v>
      </c>
      <c r="C71" s="64">
        <v>26.22</v>
      </c>
      <c r="D71" s="64">
        <v>19.93</v>
      </c>
      <c r="E71" s="64">
        <v>0.94</v>
      </c>
      <c r="F71" s="64">
        <v>5.87</v>
      </c>
      <c r="G71" s="64">
        <v>79.03</v>
      </c>
      <c r="H71" s="64">
        <v>41.64</v>
      </c>
      <c r="I71" s="64">
        <v>1.47</v>
      </c>
      <c r="J71" s="64">
        <v>0.95</v>
      </c>
      <c r="K71" s="64">
        <v>335.54</v>
      </c>
      <c r="L71" s="64">
        <v>26.98</v>
      </c>
      <c r="M71" s="64">
        <v>34.46</v>
      </c>
      <c r="N71" s="64">
        <v>97.9</v>
      </c>
      <c r="O71" s="64">
        <v>0</v>
      </c>
      <c r="P71" s="64">
        <v>0.71</v>
      </c>
      <c r="Q71" s="64">
        <v>4.82</v>
      </c>
      <c r="R71" s="198"/>
      <c r="S71" s="198"/>
      <c r="T71" s="198"/>
      <c r="U71" s="198"/>
    </row>
    <row r="72" spans="1:21" s="12" customFormat="1" x14ac:dyDescent="0.25">
      <c r="A72" s="214" t="s">
        <v>2325</v>
      </c>
      <c r="B72" s="64">
        <v>5.28</v>
      </c>
      <c r="C72" s="64">
        <v>22.77</v>
      </c>
      <c r="D72" s="64">
        <v>18.100000000000001</v>
      </c>
      <c r="E72" s="64">
        <v>0.38</v>
      </c>
      <c r="F72" s="64">
        <v>6.65</v>
      </c>
      <c r="G72" s="64">
        <v>79.650000000000006</v>
      </c>
      <c r="H72" s="64">
        <v>34</v>
      </c>
      <c r="I72" s="64">
        <v>1.46</v>
      </c>
      <c r="J72" s="64">
        <v>0.27</v>
      </c>
      <c r="K72" s="64">
        <v>69.06</v>
      </c>
      <c r="L72" s="64">
        <v>26.66</v>
      </c>
      <c r="M72" s="64">
        <v>34.76</v>
      </c>
      <c r="N72" s="64">
        <v>86.6</v>
      </c>
      <c r="O72" s="64">
        <v>0</v>
      </c>
      <c r="P72" s="64">
        <v>0.68</v>
      </c>
      <c r="Q72" s="64">
        <v>4.79</v>
      </c>
      <c r="R72" s="198"/>
      <c r="S72" s="198"/>
      <c r="T72" s="198"/>
      <c r="U72" s="198"/>
    </row>
    <row r="73" spans="1:21" s="12" customFormat="1" x14ac:dyDescent="0.25">
      <c r="A73" s="214" t="s">
        <v>2326</v>
      </c>
      <c r="B73" s="64">
        <v>5.54</v>
      </c>
      <c r="C73" s="64">
        <v>27.23</v>
      </c>
      <c r="D73" s="64">
        <v>20.77</v>
      </c>
      <c r="E73" s="64">
        <v>0.73</v>
      </c>
      <c r="F73" s="64">
        <v>9.59</v>
      </c>
      <c r="G73" s="64">
        <v>79.650000000000006</v>
      </c>
      <c r="H73" s="64">
        <v>34</v>
      </c>
      <c r="I73" s="64">
        <v>1.53</v>
      </c>
      <c r="J73" s="64">
        <v>0.27</v>
      </c>
      <c r="K73" s="64">
        <v>358.03</v>
      </c>
      <c r="L73" s="64">
        <v>26.45</v>
      </c>
      <c r="M73" s="64">
        <v>34.630000000000003</v>
      </c>
      <c r="N73" s="64">
        <v>76.2</v>
      </c>
      <c r="O73" s="64">
        <v>0</v>
      </c>
      <c r="P73" s="64">
        <v>0.67</v>
      </c>
      <c r="Q73" s="64">
        <v>4.78</v>
      </c>
      <c r="R73" s="198"/>
      <c r="S73" s="198"/>
      <c r="T73" s="198"/>
      <c r="U73" s="198"/>
    </row>
    <row r="74" spans="1:21" s="12" customFormat="1" x14ac:dyDescent="0.25">
      <c r="A74" s="214" t="s">
        <v>2327</v>
      </c>
      <c r="B74" s="64">
        <v>4.3899999999999997</v>
      </c>
      <c r="C74" s="64">
        <v>24.03</v>
      </c>
      <c r="D74" s="64">
        <v>18.07</v>
      </c>
      <c r="E74" s="64">
        <v>0.81</v>
      </c>
      <c r="F74" s="64">
        <v>6.91</v>
      </c>
      <c r="G74" s="64">
        <v>79.650000000000006</v>
      </c>
      <c r="H74" s="64">
        <v>34</v>
      </c>
      <c r="I74" s="64">
        <v>1.5</v>
      </c>
      <c r="J74" s="64">
        <v>0.23</v>
      </c>
      <c r="K74" s="64">
        <v>33.56</v>
      </c>
      <c r="L74" s="64">
        <v>26.19</v>
      </c>
      <c r="M74" s="64">
        <v>35.1</v>
      </c>
      <c r="N74" s="64">
        <v>65.400000000000006</v>
      </c>
      <c r="O74" s="64">
        <v>0</v>
      </c>
      <c r="P74" s="64">
        <v>0.65</v>
      </c>
      <c r="Q74" s="64">
        <v>4.6399999999999997</v>
      </c>
      <c r="R74" s="198"/>
      <c r="S74" s="198"/>
      <c r="T74" s="198"/>
      <c r="U74" s="198"/>
    </row>
    <row r="75" spans="1:21" s="12" customFormat="1" x14ac:dyDescent="0.25">
      <c r="A75" s="214" t="s">
        <v>2328</v>
      </c>
      <c r="B75" s="64">
        <v>6.25</v>
      </c>
      <c r="C75" s="64">
        <v>30.85</v>
      </c>
      <c r="D75" s="64">
        <v>23.33</v>
      </c>
      <c r="E75" s="64">
        <v>0.84</v>
      </c>
      <c r="F75" s="64">
        <v>16.28</v>
      </c>
      <c r="G75" s="64">
        <v>79.540000000000006</v>
      </c>
      <c r="H75" s="64">
        <v>33.979999999999997</v>
      </c>
      <c r="I75" s="64">
        <v>1.49</v>
      </c>
      <c r="J75" s="64">
        <v>0.32</v>
      </c>
      <c r="K75" s="64">
        <v>338.35</v>
      </c>
      <c r="L75" s="64">
        <v>25.91</v>
      </c>
      <c r="M75" s="64">
        <v>35.549999999999997</v>
      </c>
      <c r="N75" s="64">
        <v>54.8</v>
      </c>
      <c r="O75" s="64">
        <v>0</v>
      </c>
      <c r="P75" s="64">
        <v>0.64</v>
      </c>
      <c r="Q75" s="64">
        <v>4.3600000000000003</v>
      </c>
      <c r="R75" s="198"/>
      <c r="S75" s="198"/>
      <c r="T75" s="198"/>
      <c r="U75" s="198"/>
    </row>
    <row r="76" spans="1:21" s="12" customFormat="1" x14ac:dyDescent="0.25">
      <c r="A76" s="214" t="s">
        <v>2329</v>
      </c>
      <c r="B76" s="64">
        <v>9.57</v>
      </c>
      <c r="C76" s="64">
        <v>38.369999999999997</v>
      </c>
      <c r="D76" s="64">
        <v>30.14</v>
      </c>
      <c r="E76" s="64">
        <v>1.07</v>
      </c>
      <c r="F76" s="64">
        <v>17.690000000000001</v>
      </c>
      <c r="G76" s="64">
        <v>78.17</v>
      </c>
      <c r="H76" s="64">
        <v>33.85</v>
      </c>
      <c r="I76" s="64">
        <v>1.52</v>
      </c>
      <c r="J76" s="64">
        <v>0.34</v>
      </c>
      <c r="K76" s="64">
        <v>349.76</v>
      </c>
      <c r="L76" s="64">
        <v>25.72</v>
      </c>
      <c r="M76" s="64">
        <v>36.75</v>
      </c>
      <c r="N76" s="64">
        <v>44.2</v>
      </c>
      <c r="O76" s="64">
        <v>0</v>
      </c>
      <c r="P76" s="64">
        <v>0.74</v>
      </c>
      <c r="Q76" s="64">
        <v>3.29</v>
      </c>
      <c r="R76" s="198"/>
      <c r="S76" s="198"/>
      <c r="T76" s="198"/>
      <c r="U76" s="198"/>
    </row>
    <row r="77" spans="1:21" s="12" customFormat="1" x14ac:dyDescent="0.25">
      <c r="A77" s="214" t="s">
        <v>2330</v>
      </c>
      <c r="B77" s="64">
        <v>3.95</v>
      </c>
      <c r="C77" s="64">
        <v>32.14</v>
      </c>
      <c r="D77" s="64">
        <v>22.2</v>
      </c>
      <c r="E77" s="64">
        <v>1.45</v>
      </c>
      <c r="F77" s="64">
        <v>26.42</v>
      </c>
      <c r="G77" s="64">
        <v>78.17</v>
      </c>
      <c r="H77" s="64">
        <v>33.85</v>
      </c>
      <c r="I77" s="64">
        <v>1.5</v>
      </c>
      <c r="J77" s="64">
        <v>0.34</v>
      </c>
      <c r="K77" s="64">
        <v>98.87</v>
      </c>
      <c r="L77" s="64">
        <v>25.15</v>
      </c>
      <c r="M77" s="64">
        <v>39.53</v>
      </c>
      <c r="N77" s="64">
        <v>31.9</v>
      </c>
      <c r="O77" s="64">
        <v>0</v>
      </c>
      <c r="P77" s="64">
        <v>0.53</v>
      </c>
      <c r="Q77" s="64">
        <v>3.99</v>
      </c>
      <c r="R77" s="198"/>
      <c r="S77" s="198"/>
      <c r="T77" s="198"/>
      <c r="U77" s="198"/>
    </row>
    <row r="78" spans="1:21" s="12" customFormat="1" x14ac:dyDescent="0.25">
      <c r="A78" s="214" t="s">
        <v>2331</v>
      </c>
      <c r="B78" s="64">
        <v>4.32</v>
      </c>
      <c r="C78" s="64">
        <v>30.47</v>
      </c>
      <c r="D78" s="64">
        <v>21.57</v>
      </c>
      <c r="E78" s="64">
        <v>1.53</v>
      </c>
      <c r="F78" s="64">
        <v>25.2</v>
      </c>
      <c r="G78" s="64">
        <v>78.17</v>
      </c>
      <c r="H78" s="64">
        <v>33.85</v>
      </c>
      <c r="I78" s="64">
        <v>1.47</v>
      </c>
      <c r="J78" s="64">
        <v>0.23</v>
      </c>
      <c r="K78" s="64">
        <v>95.08</v>
      </c>
      <c r="L78" s="64">
        <v>24.69</v>
      </c>
      <c r="M78" s="64">
        <v>41.13</v>
      </c>
      <c r="N78" s="64">
        <v>20.8</v>
      </c>
      <c r="O78" s="64">
        <v>0</v>
      </c>
      <c r="P78" s="64">
        <v>0.56999999999999995</v>
      </c>
      <c r="Q78" s="64">
        <v>4.55</v>
      </c>
      <c r="R78" s="198"/>
      <c r="S78" s="198"/>
      <c r="T78" s="198"/>
      <c r="U78" s="198"/>
    </row>
    <row r="79" spans="1:21" s="12" customFormat="1" x14ac:dyDescent="0.25">
      <c r="A79" s="214" t="s">
        <v>2332</v>
      </c>
      <c r="B79" s="64">
        <v>3.88</v>
      </c>
      <c r="C79" s="64">
        <v>32.51</v>
      </c>
      <c r="D79" s="64">
        <v>22.35</v>
      </c>
      <c r="E79" s="64">
        <v>1.61</v>
      </c>
      <c r="F79" s="64">
        <v>24.21</v>
      </c>
      <c r="G79" s="64">
        <v>77.67</v>
      </c>
      <c r="H79" s="64">
        <v>33.75</v>
      </c>
      <c r="I79" s="64">
        <v>1.47</v>
      </c>
      <c r="J79" s="64">
        <v>0.24</v>
      </c>
      <c r="K79" s="64">
        <v>96.58</v>
      </c>
      <c r="L79" s="64">
        <v>24.43</v>
      </c>
      <c r="M79" s="64">
        <v>42.12</v>
      </c>
      <c r="N79" s="64">
        <v>18.3</v>
      </c>
      <c r="O79" s="64">
        <v>0</v>
      </c>
      <c r="P79" s="64">
        <v>0.61</v>
      </c>
      <c r="Q79" s="64">
        <v>4.46</v>
      </c>
      <c r="R79" s="198"/>
      <c r="S79" s="198"/>
      <c r="T79" s="198"/>
      <c r="U79" s="198"/>
    </row>
    <row r="80" spans="1:21" s="12" customFormat="1" x14ac:dyDescent="0.25">
      <c r="A80" s="214" t="s">
        <v>2333</v>
      </c>
      <c r="B80" s="64">
        <v>3.51</v>
      </c>
      <c r="C80" s="64">
        <v>26.85</v>
      </c>
      <c r="D80" s="64">
        <v>18.920000000000002</v>
      </c>
      <c r="E80" s="64">
        <v>1.51</v>
      </c>
      <c r="F80" s="64">
        <v>19.809999999999999</v>
      </c>
      <c r="G80" s="64">
        <v>71.66</v>
      </c>
      <c r="H80" s="64">
        <v>32.72</v>
      </c>
      <c r="I80" s="64">
        <v>1.62</v>
      </c>
      <c r="J80" s="64">
        <v>0.16</v>
      </c>
      <c r="K80" s="64">
        <v>68.17</v>
      </c>
      <c r="L80" s="64">
        <v>23.87</v>
      </c>
      <c r="M80" s="64">
        <v>49.05</v>
      </c>
      <c r="N80" s="64">
        <v>17.600000000000001</v>
      </c>
      <c r="O80" s="64">
        <v>0</v>
      </c>
      <c r="P80" s="64">
        <v>0.62</v>
      </c>
      <c r="Q80" s="64">
        <v>4.72</v>
      </c>
      <c r="R80" s="198"/>
      <c r="S80" s="198"/>
      <c r="T80" s="198"/>
      <c r="U80" s="198"/>
    </row>
    <row r="81" spans="1:26" s="12" customFormat="1" x14ac:dyDescent="0.25">
      <c r="A81" s="214" t="s">
        <v>2334</v>
      </c>
      <c r="B81" s="64">
        <v>3.98</v>
      </c>
      <c r="C81" s="64">
        <v>28.39</v>
      </c>
      <c r="D81" s="64">
        <v>20.149999999999999</v>
      </c>
      <c r="E81" s="64">
        <v>1.36</v>
      </c>
      <c r="F81" s="64">
        <v>13.23</v>
      </c>
      <c r="G81" s="64">
        <v>71.66</v>
      </c>
      <c r="H81" s="64">
        <v>32.72</v>
      </c>
      <c r="I81" s="64">
        <v>1.48</v>
      </c>
      <c r="J81" s="64">
        <v>0.16</v>
      </c>
      <c r="K81" s="64">
        <v>108.22</v>
      </c>
      <c r="L81" s="64">
        <v>23.36</v>
      </c>
      <c r="M81" s="64">
        <v>49.84</v>
      </c>
      <c r="N81" s="64">
        <v>17.600000000000001</v>
      </c>
      <c r="O81" s="64">
        <v>0</v>
      </c>
      <c r="P81" s="64">
        <v>0.68</v>
      </c>
      <c r="Q81" s="64">
        <v>4.45</v>
      </c>
      <c r="R81" s="198"/>
      <c r="S81" s="198"/>
      <c r="T81" s="198"/>
      <c r="U81" s="198"/>
    </row>
    <row r="82" spans="1:26" s="12" customFormat="1" x14ac:dyDescent="0.25">
      <c r="A82" s="214" t="s">
        <v>2335</v>
      </c>
      <c r="B82" s="64">
        <v>3.13</v>
      </c>
      <c r="C82" s="64">
        <v>33.25</v>
      </c>
      <c r="D82" s="64">
        <v>22.15</v>
      </c>
      <c r="E82" s="64">
        <v>1.26</v>
      </c>
      <c r="F82" s="64">
        <v>11.77</v>
      </c>
      <c r="G82" s="64">
        <v>71.66</v>
      </c>
      <c r="H82" s="64">
        <v>32.72</v>
      </c>
      <c r="I82" s="64">
        <v>1.55</v>
      </c>
      <c r="J82" s="64">
        <v>0.17</v>
      </c>
      <c r="K82" s="64">
        <v>99.02</v>
      </c>
      <c r="L82" s="64">
        <v>23.62</v>
      </c>
      <c r="M82" s="64">
        <v>45.81</v>
      </c>
      <c r="N82" s="64">
        <v>17.2</v>
      </c>
      <c r="O82" s="64">
        <v>0</v>
      </c>
      <c r="P82" s="64">
        <v>0.73</v>
      </c>
      <c r="Q82" s="64">
        <v>4.38</v>
      </c>
      <c r="R82" s="198"/>
      <c r="S82" s="198"/>
      <c r="T82" s="198"/>
      <c r="U82" s="198"/>
    </row>
    <row r="83" spans="1:26" s="12" customFormat="1" x14ac:dyDescent="0.25">
      <c r="A83" s="214" t="s">
        <v>2336</v>
      </c>
      <c r="B83" s="64">
        <v>2.66</v>
      </c>
      <c r="C83" s="64">
        <v>41.46</v>
      </c>
      <c r="D83" s="64">
        <v>26.31</v>
      </c>
      <c r="E83" s="64">
        <v>1.25</v>
      </c>
      <c r="F83" s="64">
        <v>16.79</v>
      </c>
      <c r="G83" s="64">
        <v>71.45</v>
      </c>
      <c r="H83" s="64">
        <v>32.82</v>
      </c>
      <c r="I83" s="64">
        <v>1.47</v>
      </c>
      <c r="J83" s="64">
        <v>0.23</v>
      </c>
      <c r="K83" s="64">
        <v>83.43</v>
      </c>
      <c r="L83" s="64">
        <v>23.62</v>
      </c>
      <c r="M83" s="64">
        <v>45.46</v>
      </c>
      <c r="N83" s="64">
        <v>17.100000000000001</v>
      </c>
      <c r="O83" s="64">
        <v>0</v>
      </c>
      <c r="P83" s="64">
        <v>0.84</v>
      </c>
      <c r="Q83" s="64">
        <v>3.99</v>
      </c>
      <c r="R83" s="198"/>
      <c r="S83" s="198"/>
      <c r="T83" s="198"/>
      <c r="U83" s="198"/>
    </row>
    <row r="84" spans="1:26" s="12" customFormat="1" x14ac:dyDescent="0.25">
      <c r="A84" s="214" t="s">
        <v>2337</v>
      </c>
      <c r="B84" s="64">
        <v>3.3</v>
      </c>
      <c r="C84" s="64">
        <v>38.79</v>
      </c>
      <c r="D84" s="64">
        <v>25.35</v>
      </c>
      <c r="E84" s="64">
        <v>1</v>
      </c>
      <c r="F84" s="64">
        <v>8.06</v>
      </c>
      <c r="G84" s="64">
        <v>68.88</v>
      </c>
      <c r="H84" s="64">
        <v>33.840000000000003</v>
      </c>
      <c r="I84" s="64">
        <v>1.49</v>
      </c>
      <c r="J84" s="64">
        <v>0.18</v>
      </c>
      <c r="K84" s="64">
        <v>81.25</v>
      </c>
      <c r="L84" s="64">
        <v>23.52</v>
      </c>
      <c r="M84" s="64">
        <v>45.94</v>
      </c>
      <c r="N84" s="64">
        <v>17.399999999999999</v>
      </c>
      <c r="O84" s="64">
        <v>0</v>
      </c>
      <c r="P84" s="64">
        <v>0.86</v>
      </c>
      <c r="Q84" s="64">
        <v>4.2300000000000004</v>
      </c>
      <c r="R84" s="198"/>
      <c r="S84" s="198"/>
      <c r="T84" s="198"/>
      <c r="U84" s="198"/>
    </row>
    <row r="85" spans="1:26" s="12" customFormat="1" x14ac:dyDescent="0.25">
      <c r="A85" s="214" t="s">
        <v>2338</v>
      </c>
      <c r="B85" s="64">
        <v>3.04</v>
      </c>
      <c r="C85" s="64">
        <v>34.270000000000003</v>
      </c>
      <c r="D85" s="64">
        <v>22.64</v>
      </c>
      <c r="E85" s="64">
        <v>1.02</v>
      </c>
      <c r="F85" s="64">
        <v>8.5399999999999991</v>
      </c>
      <c r="G85" s="64">
        <v>68.88</v>
      </c>
      <c r="H85" s="64">
        <v>33.840000000000003</v>
      </c>
      <c r="I85" s="64">
        <v>1.49</v>
      </c>
      <c r="J85" s="64">
        <v>0.28999999999999998</v>
      </c>
      <c r="K85" s="64">
        <v>94.87</v>
      </c>
      <c r="L85" s="64">
        <v>23.47</v>
      </c>
      <c r="M85" s="64">
        <v>46.76</v>
      </c>
      <c r="N85" s="64">
        <v>17.100000000000001</v>
      </c>
      <c r="O85" s="64">
        <v>0</v>
      </c>
      <c r="P85" s="64">
        <v>0.82</v>
      </c>
      <c r="Q85" s="64">
        <v>4.16</v>
      </c>
      <c r="R85" s="198"/>
      <c r="S85" s="198"/>
      <c r="T85" s="198"/>
      <c r="U85" s="198"/>
    </row>
    <row r="86" spans="1:26" s="12" customFormat="1" x14ac:dyDescent="0.25">
      <c r="A86" s="214" t="s">
        <v>2339</v>
      </c>
      <c r="B86" s="64">
        <v>3.93</v>
      </c>
      <c r="C86" s="64">
        <v>39.28</v>
      </c>
      <c r="D86" s="64">
        <v>26.13</v>
      </c>
      <c r="E86" s="64">
        <v>1.1100000000000001</v>
      </c>
      <c r="F86" s="64">
        <v>5.87</v>
      </c>
      <c r="G86" s="64">
        <v>68.88</v>
      </c>
      <c r="H86" s="64">
        <v>33.840000000000003</v>
      </c>
      <c r="I86" s="64">
        <v>1.51</v>
      </c>
      <c r="J86" s="64">
        <v>0.08</v>
      </c>
      <c r="K86" s="64">
        <v>70.81</v>
      </c>
      <c r="L86" s="64">
        <v>23.21</v>
      </c>
      <c r="M86" s="64">
        <v>47.88</v>
      </c>
      <c r="N86" s="64">
        <v>17.5</v>
      </c>
      <c r="O86" s="64">
        <v>0</v>
      </c>
      <c r="P86" s="64">
        <v>0.92</v>
      </c>
      <c r="Q86" s="64">
        <v>3.8</v>
      </c>
      <c r="R86" s="198"/>
      <c r="S86" s="198"/>
      <c r="T86" s="198"/>
      <c r="U86" s="198"/>
    </row>
    <row r="87" spans="1:26" s="12" customFormat="1" x14ac:dyDescent="0.25">
      <c r="A87" s="214" t="s">
        <v>2340</v>
      </c>
      <c r="B87" s="64">
        <v>3.47</v>
      </c>
      <c r="C87" s="64">
        <v>45.44</v>
      </c>
      <c r="D87" s="64">
        <v>29.15</v>
      </c>
      <c r="E87" s="64">
        <v>0.95</v>
      </c>
      <c r="F87" s="64">
        <v>14.67</v>
      </c>
      <c r="G87" s="64">
        <v>69.959999999999994</v>
      </c>
      <c r="H87" s="64">
        <v>34.36</v>
      </c>
      <c r="I87" s="64">
        <v>1.47</v>
      </c>
      <c r="J87" s="64">
        <v>0.15</v>
      </c>
      <c r="K87" s="64">
        <v>80.63</v>
      </c>
      <c r="L87" s="64">
        <v>23.04</v>
      </c>
      <c r="M87" s="64">
        <v>48.07</v>
      </c>
      <c r="N87" s="64">
        <v>17.5</v>
      </c>
      <c r="O87" s="64">
        <v>0</v>
      </c>
      <c r="P87" s="64">
        <v>1.06</v>
      </c>
      <c r="Q87" s="64">
        <v>3.68</v>
      </c>
      <c r="R87" s="198"/>
      <c r="S87" s="198"/>
      <c r="T87" s="198"/>
      <c r="U87" s="198"/>
    </row>
    <row r="88" spans="1:26" s="12" customFormat="1" x14ac:dyDescent="0.25">
      <c r="A88" s="214" t="s">
        <v>2341</v>
      </c>
      <c r="B88" s="64">
        <v>3.24</v>
      </c>
      <c r="C88" s="64">
        <v>42.42</v>
      </c>
      <c r="D88" s="64">
        <v>27.3</v>
      </c>
      <c r="E88" s="64">
        <v>0.93</v>
      </c>
      <c r="F88" s="64">
        <v>11.92</v>
      </c>
      <c r="G88" s="64">
        <v>82.71</v>
      </c>
      <c r="H88" s="64">
        <v>39.549999999999997</v>
      </c>
      <c r="I88" s="64">
        <v>1.43</v>
      </c>
      <c r="J88" s="64">
        <v>0.1</v>
      </c>
      <c r="K88" s="64">
        <v>91.1</v>
      </c>
      <c r="L88" s="64">
        <v>22.87</v>
      </c>
      <c r="M88" s="64">
        <v>49.86</v>
      </c>
      <c r="N88" s="64">
        <v>17.3</v>
      </c>
      <c r="O88" s="64">
        <v>0</v>
      </c>
      <c r="P88" s="64">
        <v>1.01</v>
      </c>
      <c r="Q88" s="64">
        <v>3.64</v>
      </c>
      <c r="R88" s="198"/>
      <c r="S88" s="198"/>
      <c r="T88" s="198"/>
      <c r="U88" s="198"/>
    </row>
    <row r="89" spans="1:26" s="12" customFormat="1" x14ac:dyDescent="0.25">
      <c r="A89" s="214" t="s">
        <v>2342</v>
      </c>
      <c r="B89" s="64">
        <v>6.59</v>
      </c>
      <c r="C89" s="64">
        <v>41.61</v>
      </c>
      <c r="D89" s="64">
        <v>29.54</v>
      </c>
      <c r="E89" s="64">
        <v>1.08</v>
      </c>
      <c r="F89" s="64">
        <v>9.89</v>
      </c>
      <c r="G89" s="64">
        <v>82.71</v>
      </c>
      <c r="H89" s="64">
        <v>39.549999999999997</v>
      </c>
      <c r="I89" s="64">
        <v>1.53</v>
      </c>
      <c r="J89" s="64">
        <v>0.08</v>
      </c>
      <c r="K89" s="64">
        <v>13.79</v>
      </c>
      <c r="L89" s="64">
        <v>22.67</v>
      </c>
      <c r="M89" s="64">
        <v>52.5</v>
      </c>
      <c r="N89" s="64">
        <v>17.5</v>
      </c>
      <c r="O89" s="64">
        <v>0</v>
      </c>
      <c r="P89" s="64">
        <v>1.08</v>
      </c>
      <c r="Q89" s="64">
        <v>3.65</v>
      </c>
      <c r="R89" s="198"/>
      <c r="S89" s="198"/>
      <c r="T89" s="198"/>
      <c r="U89" s="198"/>
    </row>
    <row r="90" spans="1:26" s="12" customFormat="1" x14ac:dyDescent="0.25">
      <c r="A90" s="214" t="s">
        <v>2343</v>
      </c>
      <c r="B90" s="64">
        <v>25.48</v>
      </c>
      <c r="C90" s="64">
        <v>47.86</v>
      </c>
      <c r="D90" s="64">
        <v>48.14</v>
      </c>
      <c r="E90" s="64">
        <v>1.02</v>
      </c>
      <c r="F90" s="64">
        <v>1.42</v>
      </c>
      <c r="G90" s="64">
        <v>82.71</v>
      </c>
      <c r="H90" s="64">
        <v>39.549999999999997</v>
      </c>
      <c r="I90" s="64">
        <v>1.5</v>
      </c>
      <c r="J90" s="64">
        <v>0.1</v>
      </c>
      <c r="K90" s="64">
        <v>295.45</v>
      </c>
      <c r="L90" s="64">
        <v>21.88</v>
      </c>
      <c r="M90" s="64">
        <v>58.95</v>
      </c>
      <c r="N90" s="64">
        <v>18.100000000000001</v>
      </c>
      <c r="O90" s="64">
        <v>0</v>
      </c>
      <c r="P90" s="64">
        <v>1.51</v>
      </c>
      <c r="Q90" s="64">
        <v>1.43</v>
      </c>
      <c r="R90" s="198"/>
      <c r="S90" s="198"/>
      <c r="T90" s="198"/>
      <c r="U90" s="198"/>
    </row>
    <row r="91" spans="1:26" s="12" customFormat="1" x14ac:dyDescent="0.25">
      <c r="A91" s="214" t="s">
        <v>2344</v>
      </c>
      <c r="B91" s="64">
        <v>29.01</v>
      </c>
      <c r="C91" s="64">
        <v>48.7</v>
      </c>
      <c r="D91" s="64">
        <v>51.43</v>
      </c>
      <c r="E91" s="64">
        <v>1.01</v>
      </c>
      <c r="F91" s="64">
        <v>0.46</v>
      </c>
      <c r="G91" s="64">
        <v>85.61</v>
      </c>
      <c r="H91" s="64">
        <v>40.130000000000003</v>
      </c>
      <c r="I91" s="64">
        <v>1.55</v>
      </c>
      <c r="J91" s="64">
        <v>7.0000000000000007E-2</v>
      </c>
      <c r="K91" s="64">
        <v>262.35000000000002</v>
      </c>
      <c r="L91" s="64">
        <v>21.17</v>
      </c>
      <c r="M91" s="64">
        <v>60.23</v>
      </c>
      <c r="N91" s="64">
        <v>18</v>
      </c>
      <c r="O91" s="64">
        <v>0</v>
      </c>
      <c r="P91" s="64">
        <v>1.81</v>
      </c>
      <c r="Q91" s="64">
        <v>1.74</v>
      </c>
      <c r="R91" s="198"/>
      <c r="S91" s="198"/>
      <c r="T91" s="198"/>
      <c r="U91" s="198"/>
    </row>
    <row r="92" spans="1:26" s="12" customFormat="1" x14ac:dyDescent="0.25">
      <c r="A92" s="214" t="s">
        <v>2345</v>
      </c>
      <c r="B92" s="64">
        <v>27</v>
      </c>
      <c r="C92" s="64">
        <v>36.51</v>
      </c>
      <c r="D92" s="64">
        <v>43.09</v>
      </c>
      <c r="E92" s="64">
        <v>0.9</v>
      </c>
      <c r="F92" s="64">
        <v>0.52</v>
      </c>
      <c r="G92" s="64">
        <v>120</v>
      </c>
      <c r="H92" s="64">
        <v>45.92</v>
      </c>
      <c r="I92" s="64">
        <v>1.55</v>
      </c>
      <c r="J92" s="64">
        <v>0.13</v>
      </c>
      <c r="K92" s="64">
        <v>301.95</v>
      </c>
      <c r="L92" s="64">
        <v>20.9</v>
      </c>
      <c r="M92" s="64">
        <v>63.72</v>
      </c>
      <c r="N92" s="64">
        <v>17.7</v>
      </c>
      <c r="O92" s="64">
        <v>0</v>
      </c>
      <c r="P92" s="64">
        <v>1.4</v>
      </c>
      <c r="Q92" s="64">
        <v>2.5099999999999998</v>
      </c>
      <c r="R92" s="198"/>
      <c r="S92" s="198"/>
      <c r="T92" s="198"/>
      <c r="U92" s="198"/>
    </row>
    <row r="93" spans="1:26" s="12" customFormat="1" x14ac:dyDescent="0.25">
      <c r="A93" s="214" t="s">
        <v>2346</v>
      </c>
      <c r="B93" s="64">
        <v>39.97</v>
      </c>
      <c r="C93" s="64">
        <v>34.83</v>
      </c>
      <c r="D93" s="64">
        <v>52.57</v>
      </c>
      <c r="E93" s="64">
        <v>0.83</v>
      </c>
      <c r="F93" s="64">
        <v>0.53</v>
      </c>
      <c r="G93" s="64">
        <v>120</v>
      </c>
      <c r="H93" s="64">
        <v>45.92</v>
      </c>
      <c r="I93" s="64">
        <v>1.52</v>
      </c>
      <c r="J93" s="64">
        <v>0.14000000000000001</v>
      </c>
      <c r="K93" s="64">
        <v>321</v>
      </c>
      <c r="L93" s="64">
        <v>20.6</v>
      </c>
      <c r="M93" s="64">
        <v>69.11</v>
      </c>
      <c r="N93" s="64">
        <v>17.5</v>
      </c>
      <c r="O93" s="64">
        <v>0</v>
      </c>
      <c r="P93" s="64">
        <v>1.49</v>
      </c>
      <c r="Q93" s="64">
        <v>2.4</v>
      </c>
      <c r="R93" s="198"/>
      <c r="S93" s="198"/>
      <c r="T93" s="198"/>
      <c r="U93" s="198"/>
    </row>
    <row r="94" spans="1:26" s="12" customFormat="1" x14ac:dyDescent="0.25">
      <c r="A94" s="214" t="s">
        <v>2347</v>
      </c>
      <c r="B94" s="64">
        <v>41.12</v>
      </c>
      <c r="C94" s="64">
        <v>40.03</v>
      </c>
      <c r="D94" s="64">
        <v>56.36</v>
      </c>
      <c r="E94" s="64">
        <v>0.68</v>
      </c>
      <c r="F94" s="64">
        <v>0.42</v>
      </c>
      <c r="G94" s="64">
        <v>120</v>
      </c>
      <c r="H94" s="64">
        <v>45.92</v>
      </c>
      <c r="I94" s="64">
        <v>1.49</v>
      </c>
      <c r="J94" s="64">
        <v>0.14000000000000001</v>
      </c>
      <c r="K94" s="64">
        <v>326.33999999999997</v>
      </c>
      <c r="L94" s="64">
        <v>20.54</v>
      </c>
      <c r="M94" s="64">
        <v>73.849999999999994</v>
      </c>
      <c r="N94" s="64">
        <v>17.7</v>
      </c>
      <c r="O94" s="64">
        <v>0</v>
      </c>
      <c r="P94" s="64">
        <v>1.85</v>
      </c>
      <c r="Q94" s="64">
        <v>2.5499999999999998</v>
      </c>
      <c r="R94" s="198"/>
      <c r="S94" s="198"/>
      <c r="T94" s="198"/>
      <c r="U94" s="198"/>
    </row>
    <row r="95" spans="1:26" s="12" customFormat="1" x14ac:dyDescent="0.25">
      <c r="A95" s="214" t="s">
        <v>2348</v>
      </c>
      <c r="B95" s="64">
        <v>49.09</v>
      </c>
      <c r="C95" s="64">
        <v>46.74</v>
      </c>
      <c r="D95" s="64">
        <v>66.459999999999994</v>
      </c>
      <c r="E95" s="64">
        <v>0.77</v>
      </c>
      <c r="F95" s="64">
        <v>0.32</v>
      </c>
      <c r="G95" s="64">
        <v>120</v>
      </c>
      <c r="H95" s="64">
        <v>47.33</v>
      </c>
      <c r="I95" s="64">
        <v>1.51</v>
      </c>
      <c r="J95" s="64">
        <v>7.0000000000000007E-2</v>
      </c>
      <c r="K95" s="64">
        <v>308.81</v>
      </c>
      <c r="L95" s="64">
        <v>20.260000000000002</v>
      </c>
      <c r="M95" s="64">
        <v>70.790000000000006</v>
      </c>
      <c r="N95" s="64">
        <v>17.600000000000001</v>
      </c>
      <c r="O95" s="64">
        <v>0</v>
      </c>
      <c r="P95" s="64">
        <v>2</v>
      </c>
      <c r="Q95" s="64">
        <v>3.57</v>
      </c>
      <c r="R95" s="198"/>
      <c r="S95" s="198"/>
      <c r="T95" s="198"/>
      <c r="U95" s="198"/>
    </row>
    <row r="96" spans="1:26" s="12" customFormat="1" x14ac:dyDescent="0.25">
      <c r="A96" s="214" t="s">
        <v>2349</v>
      </c>
      <c r="B96" s="64">
        <v>31.25</v>
      </c>
      <c r="C96" s="64">
        <v>28.37</v>
      </c>
      <c r="D96" s="64">
        <v>42.01</v>
      </c>
      <c r="E96" s="64">
        <v>0.73</v>
      </c>
      <c r="F96" s="64">
        <v>0.43</v>
      </c>
      <c r="G96" s="64">
        <v>260.81</v>
      </c>
      <c r="H96" s="64">
        <v>61.39</v>
      </c>
      <c r="I96" s="64">
        <v>1.43</v>
      </c>
      <c r="J96" s="64">
        <v>0.05</v>
      </c>
      <c r="K96" s="64">
        <v>0.54</v>
      </c>
      <c r="L96" s="64">
        <v>20.29</v>
      </c>
      <c r="M96" s="64">
        <v>70.44</v>
      </c>
      <c r="N96" s="64">
        <v>17.7</v>
      </c>
      <c r="O96" s="64">
        <v>0</v>
      </c>
      <c r="P96" s="64">
        <v>1.62</v>
      </c>
      <c r="Q96" s="64">
        <v>4.79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2350</v>
      </c>
      <c r="B97" s="64">
        <v>40.11</v>
      </c>
      <c r="C97" s="64">
        <v>39.380000000000003</v>
      </c>
      <c r="D97" s="64">
        <v>55.19</v>
      </c>
      <c r="E97" s="64">
        <v>0.7</v>
      </c>
      <c r="F97" s="64">
        <v>0.55000000000000004</v>
      </c>
      <c r="G97" s="64">
        <v>260.81</v>
      </c>
      <c r="H97" s="64">
        <v>61.39</v>
      </c>
      <c r="I97" s="64">
        <v>1.51</v>
      </c>
      <c r="J97" s="64">
        <v>0.09</v>
      </c>
      <c r="K97" s="64">
        <v>351.57</v>
      </c>
      <c r="L97" s="64">
        <v>20.399999999999999</v>
      </c>
      <c r="M97" s="64">
        <v>70.16</v>
      </c>
      <c r="N97" s="64">
        <v>17.399999999999999</v>
      </c>
      <c r="O97" s="64">
        <v>0</v>
      </c>
      <c r="P97" s="64">
        <v>1.83</v>
      </c>
      <c r="Q97" s="64">
        <v>5.32</v>
      </c>
      <c r="R97" s="198"/>
      <c r="S97" s="198"/>
      <c r="T97" s="198"/>
      <c r="U97" s="198"/>
    </row>
    <row r="98" spans="1:33" s="12" customFormat="1" x14ac:dyDescent="0.25">
      <c r="A98" s="214" t="s">
        <v>2351</v>
      </c>
      <c r="B98" s="64">
        <v>48.05</v>
      </c>
      <c r="C98" s="64">
        <v>47.55</v>
      </c>
      <c r="D98" s="64">
        <v>66.069999999999993</v>
      </c>
      <c r="E98" s="64">
        <v>0.61</v>
      </c>
      <c r="F98" s="64">
        <v>0.35</v>
      </c>
      <c r="G98" s="64">
        <v>260.81</v>
      </c>
      <c r="H98" s="64">
        <v>61.39</v>
      </c>
      <c r="I98" s="64">
        <v>1.47</v>
      </c>
      <c r="J98" s="64">
        <v>0.05</v>
      </c>
      <c r="K98" s="64">
        <v>332.13</v>
      </c>
      <c r="L98" s="64">
        <v>20.420000000000002</v>
      </c>
      <c r="M98" s="64">
        <v>72.05</v>
      </c>
      <c r="N98" s="64">
        <v>17.5</v>
      </c>
      <c r="O98" s="64">
        <v>0</v>
      </c>
      <c r="P98" s="64">
        <v>2.2400000000000002</v>
      </c>
      <c r="Q98" s="64">
        <v>4.84</v>
      </c>
      <c r="R98" s="198"/>
      <c r="S98" s="198"/>
      <c r="T98" s="198"/>
      <c r="U98" s="198"/>
    </row>
    <row r="99" spans="1:33" s="12" customFormat="1" x14ac:dyDescent="0.25">
      <c r="A99" s="214" t="s">
        <v>2352</v>
      </c>
      <c r="B99" s="64">
        <v>41.57</v>
      </c>
      <c r="C99" s="64">
        <v>37.56</v>
      </c>
      <c r="D99" s="64">
        <v>55.36</v>
      </c>
      <c r="E99" s="64">
        <v>0.8</v>
      </c>
      <c r="F99" s="64">
        <v>0.52</v>
      </c>
      <c r="G99" s="64">
        <v>198.7</v>
      </c>
      <c r="H99" s="64">
        <v>61.84</v>
      </c>
      <c r="I99" s="64">
        <v>1.56</v>
      </c>
      <c r="J99" s="64">
        <v>0.08</v>
      </c>
      <c r="K99" s="64">
        <v>330.29</v>
      </c>
      <c r="L99" s="64">
        <v>20.12</v>
      </c>
      <c r="M99" s="64">
        <v>76.34</v>
      </c>
      <c r="N99" s="64">
        <v>17.600000000000001</v>
      </c>
      <c r="O99" s="64">
        <v>0</v>
      </c>
      <c r="P99" s="64">
        <v>2</v>
      </c>
      <c r="Q99" s="64">
        <v>4.6900000000000004</v>
      </c>
      <c r="R99" s="198"/>
      <c r="S99" s="198"/>
      <c r="T99" s="198"/>
      <c r="U99" s="198"/>
    </row>
    <row r="100" spans="1:33" s="12" customFormat="1" x14ac:dyDescent="0.25">
      <c r="A100" s="214" t="s">
        <v>2353</v>
      </c>
      <c r="B100" s="64">
        <v>41.82</v>
      </c>
      <c r="C100" s="64">
        <v>50.12</v>
      </c>
      <c r="D100" s="64">
        <v>62.48</v>
      </c>
      <c r="E100" s="64">
        <v>0.75</v>
      </c>
      <c r="F100" s="64">
        <v>0.89</v>
      </c>
      <c r="G100" s="64">
        <v>198.7</v>
      </c>
      <c r="H100" s="64">
        <v>66.36</v>
      </c>
      <c r="I100" s="64">
        <v>1.51</v>
      </c>
      <c r="J100" s="64">
        <v>0.04</v>
      </c>
      <c r="K100" s="64">
        <v>327.39</v>
      </c>
      <c r="L100" s="64">
        <v>20.059999999999999</v>
      </c>
      <c r="M100" s="64">
        <v>71.8</v>
      </c>
      <c r="N100" s="64">
        <v>17.5</v>
      </c>
      <c r="O100" s="64">
        <v>0</v>
      </c>
      <c r="P100" s="64">
        <v>2.0099999999999998</v>
      </c>
      <c r="Q100" s="64">
        <v>6.08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2354</v>
      </c>
      <c r="B101" s="64">
        <v>31.6</v>
      </c>
      <c r="C101" s="64">
        <v>49.87</v>
      </c>
      <c r="D101" s="64">
        <v>54.16</v>
      </c>
      <c r="E101" s="64">
        <v>0.72</v>
      </c>
      <c r="F101" s="64">
        <v>1.81</v>
      </c>
      <c r="G101" s="64">
        <v>198.7</v>
      </c>
      <c r="H101" s="64">
        <v>66.36</v>
      </c>
      <c r="I101" s="64">
        <v>1.5</v>
      </c>
      <c r="J101" s="64">
        <v>0.19</v>
      </c>
      <c r="K101" s="64">
        <v>109.78</v>
      </c>
      <c r="L101" s="64">
        <v>20.079999999999998</v>
      </c>
      <c r="M101" s="64">
        <v>69.31</v>
      </c>
      <c r="N101" s="64">
        <v>17.2</v>
      </c>
      <c r="O101" s="64">
        <v>0</v>
      </c>
      <c r="P101" s="64">
        <v>1.84</v>
      </c>
      <c r="Q101" s="64">
        <v>6.11</v>
      </c>
      <c r="R101" s="198"/>
      <c r="S101" s="198"/>
      <c r="T101" s="198"/>
      <c r="U101" s="198"/>
    </row>
    <row r="102" spans="1:33" s="12" customFormat="1" x14ac:dyDescent="0.25">
      <c r="A102" s="214" t="s">
        <v>2355</v>
      </c>
      <c r="B102" s="64">
        <v>27.82</v>
      </c>
      <c r="C102" s="64">
        <v>40.159999999999997</v>
      </c>
      <c r="D102" s="64">
        <v>45.76</v>
      </c>
      <c r="E102" s="64">
        <v>0.74</v>
      </c>
      <c r="F102" s="64">
        <v>4.24</v>
      </c>
      <c r="G102" s="64">
        <v>198.7</v>
      </c>
      <c r="H102" s="64">
        <v>66.36</v>
      </c>
      <c r="I102" s="64">
        <v>1.53</v>
      </c>
      <c r="J102" s="64">
        <v>0.2</v>
      </c>
      <c r="K102" s="64">
        <v>12.86</v>
      </c>
      <c r="L102" s="64">
        <v>20.41</v>
      </c>
      <c r="M102" s="64">
        <v>67.25</v>
      </c>
      <c r="N102" s="64">
        <v>17.100000000000001</v>
      </c>
      <c r="O102" s="64">
        <v>0</v>
      </c>
      <c r="P102" s="64">
        <v>1.7</v>
      </c>
      <c r="Q102" s="64">
        <v>7.4</v>
      </c>
      <c r="R102" s="198"/>
      <c r="S102" s="198"/>
      <c r="T102" s="198"/>
      <c r="U102" s="198"/>
    </row>
    <row r="103" spans="1:33" s="12" customFormat="1" x14ac:dyDescent="0.25">
      <c r="A103" s="214" t="s">
        <v>2356</v>
      </c>
      <c r="B103" s="64">
        <v>31.24</v>
      </c>
      <c r="C103" s="64">
        <v>30.67</v>
      </c>
      <c r="D103" s="64">
        <v>43.27</v>
      </c>
      <c r="E103" s="64">
        <v>0.7</v>
      </c>
      <c r="F103" s="64">
        <v>2.35</v>
      </c>
      <c r="G103" s="64">
        <v>196.36</v>
      </c>
      <c r="H103" s="64">
        <v>66.569999999999993</v>
      </c>
      <c r="I103" s="64">
        <v>1.47</v>
      </c>
      <c r="J103" s="64">
        <v>0.06</v>
      </c>
      <c r="K103" s="64">
        <v>349.83</v>
      </c>
      <c r="L103" s="64">
        <v>20.37</v>
      </c>
      <c r="M103" s="64">
        <v>67.569999999999993</v>
      </c>
      <c r="N103" s="64">
        <v>17.600000000000001</v>
      </c>
      <c r="O103" s="64">
        <v>0</v>
      </c>
      <c r="P103" s="64">
        <v>1.75</v>
      </c>
      <c r="Q103" s="64">
        <v>7.78</v>
      </c>
      <c r="R103" s="198"/>
      <c r="S103" s="198"/>
      <c r="T103" s="198"/>
      <c r="U103" s="198"/>
    </row>
    <row r="104" spans="1:33" s="12" customFormat="1" x14ac:dyDescent="0.25">
      <c r="A104" s="214" t="s">
        <v>2357</v>
      </c>
      <c r="B104" s="64">
        <v>29.06</v>
      </c>
      <c r="C104" s="64">
        <v>34.54</v>
      </c>
      <c r="D104" s="64">
        <v>43.66</v>
      </c>
      <c r="E104" s="64">
        <v>0.49</v>
      </c>
      <c r="F104" s="64">
        <v>1.84</v>
      </c>
      <c r="G104" s="64">
        <v>168.63</v>
      </c>
      <c r="H104" s="64">
        <v>68.7</v>
      </c>
      <c r="I104" s="64">
        <v>1.5</v>
      </c>
      <c r="J104" s="64">
        <v>7.0000000000000007E-2</v>
      </c>
      <c r="K104" s="64">
        <v>20.29</v>
      </c>
      <c r="L104" s="64">
        <v>19.91</v>
      </c>
      <c r="M104" s="64">
        <v>74.33</v>
      </c>
      <c r="N104" s="64">
        <v>17.8</v>
      </c>
      <c r="O104" s="64">
        <v>0</v>
      </c>
      <c r="P104" s="64">
        <v>1.75</v>
      </c>
      <c r="Q104" s="64">
        <v>7.66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2.66</v>
      </c>
      <c r="C106" s="67">
        <f>MIN(C9:C104)</f>
        <v>17.72</v>
      </c>
      <c r="D106" s="67">
        <f t="shared" ref="D106:Q106" si="0">MIN(D9:D104)</f>
        <v>17.600000000000001</v>
      </c>
      <c r="E106" s="67">
        <f t="shared" si="0"/>
        <v>0.32</v>
      </c>
      <c r="F106" s="67">
        <f t="shared" si="0"/>
        <v>0.04</v>
      </c>
      <c r="G106" s="67">
        <f t="shared" si="0"/>
        <v>68.88</v>
      </c>
      <c r="H106" s="67">
        <f t="shared" si="0"/>
        <v>32.72</v>
      </c>
      <c r="I106" s="67">
        <f t="shared" si="0"/>
        <v>1.42</v>
      </c>
      <c r="J106" s="67">
        <f t="shared" si="0"/>
        <v>0.01</v>
      </c>
      <c r="K106" s="67">
        <f t="shared" si="0"/>
        <v>0.54</v>
      </c>
      <c r="L106" s="67">
        <f t="shared" si="0"/>
        <v>17.59</v>
      </c>
      <c r="M106" s="67">
        <f t="shared" si="0"/>
        <v>23.63</v>
      </c>
      <c r="N106" s="67">
        <f t="shared" si="0"/>
        <v>17.100000000000001</v>
      </c>
      <c r="O106" s="67">
        <f t="shared" si="0"/>
        <v>0</v>
      </c>
      <c r="P106" s="67">
        <f t="shared" si="0"/>
        <v>0.53</v>
      </c>
      <c r="Q106" s="67">
        <f t="shared" si="0"/>
        <v>1.43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49.09</v>
      </c>
      <c r="C107" s="66">
        <f t="shared" ref="C107:Q107" si="1">MAX(C9:C104)</f>
        <v>50.12</v>
      </c>
      <c r="D107" s="66">
        <f t="shared" si="1"/>
        <v>66.459999999999994</v>
      </c>
      <c r="E107" s="66">
        <f t="shared" si="1"/>
        <v>1.61</v>
      </c>
      <c r="F107" s="66">
        <f t="shared" si="1"/>
        <v>26.42</v>
      </c>
      <c r="G107" s="66">
        <f t="shared" si="1"/>
        <v>261.47000000000003</v>
      </c>
      <c r="H107" s="66">
        <f t="shared" si="1"/>
        <v>116.13</v>
      </c>
      <c r="I107" s="66">
        <f t="shared" si="1"/>
        <v>1.63</v>
      </c>
      <c r="J107" s="66">
        <f t="shared" si="1"/>
        <v>2.12</v>
      </c>
      <c r="K107" s="66">
        <f t="shared" si="1"/>
        <v>358.03</v>
      </c>
      <c r="L107" s="66">
        <f t="shared" si="1"/>
        <v>32.700000000000003</v>
      </c>
      <c r="M107" s="66">
        <f t="shared" si="1"/>
        <v>97.24</v>
      </c>
      <c r="N107" s="66">
        <f t="shared" si="1"/>
        <v>780.8</v>
      </c>
      <c r="O107" s="66">
        <f t="shared" si="1"/>
        <v>0</v>
      </c>
      <c r="P107" s="66">
        <f t="shared" si="1"/>
        <v>2.2400000000000002</v>
      </c>
      <c r="Q107" s="66">
        <f t="shared" si="1"/>
        <v>8.33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23.767187500000006</v>
      </c>
      <c r="C108" s="67">
        <f t="shared" ref="C108:Q108" si="2">AVERAGE(C9:C104)</f>
        <v>28.811562500000004</v>
      </c>
      <c r="D108" s="67">
        <f t="shared" si="2"/>
        <v>36.252708333333331</v>
      </c>
      <c r="E108" s="67">
        <f t="shared" si="2"/>
        <v>0.85135416666666652</v>
      </c>
      <c r="F108" s="67">
        <f t="shared" si="2"/>
        <v>4.4610416666666675</v>
      </c>
      <c r="G108" s="67">
        <f t="shared" si="2"/>
        <v>150.48958333333329</v>
      </c>
      <c r="H108" s="67">
        <f t="shared" si="2"/>
        <v>63.715000000000032</v>
      </c>
      <c r="I108" s="67">
        <f t="shared" si="2"/>
        <v>1.5012499999999998</v>
      </c>
      <c r="J108" s="67">
        <f t="shared" si="2"/>
        <v>0.42906249999999996</v>
      </c>
      <c r="K108" s="67">
        <f t="shared" si="2"/>
        <v>235.86979166666671</v>
      </c>
      <c r="L108" s="67">
        <f t="shared" si="2"/>
        <v>24.05802083333333</v>
      </c>
      <c r="M108" s="67">
        <f t="shared" si="2"/>
        <v>56.256562499999994</v>
      </c>
      <c r="N108" s="67">
        <f t="shared" si="2"/>
        <v>197.38124999999994</v>
      </c>
      <c r="O108" s="67">
        <f t="shared" si="2"/>
        <v>0</v>
      </c>
      <c r="P108" s="67">
        <f t="shared" si="2"/>
        <v>1.3114583333333336</v>
      </c>
      <c r="Q108" s="67">
        <f t="shared" si="2"/>
        <v>5.9496875000000022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15.162951990269255</v>
      </c>
      <c r="C109" s="67">
        <f t="shared" ref="C109:Q109" si="3">STDEV(C9:C104)</f>
        <v>8.2339193619570068</v>
      </c>
      <c r="D109" s="67">
        <f t="shared" si="3"/>
        <v>12.362480119012654</v>
      </c>
      <c r="E109" s="67">
        <f t="shared" si="3"/>
        <v>0.26412763976479137</v>
      </c>
      <c r="F109" s="67">
        <f t="shared" si="3"/>
        <v>5.9287954717306643</v>
      </c>
      <c r="G109" s="67">
        <f t="shared" si="3"/>
        <v>57.71779615949297</v>
      </c>
      <c r="H109" s="67">
        <f t="shared" si="3"/>
        <v>21.418333268487586</v>
      </c>
      <c r="I109" s="67">
        <f t="shared" si="3"/>
        <v>4.0865633483405127E-2</v>
      </c>
      <c r="J109" s="67">
        <f t="shared" si="3"/>
        <v>0.49406600480630419</v>
      </c>
      <c r="K109" s="67">
        <f t="shared" si="3"/>
        <v>121.14163968355084</v>
      </c>
      <c r="L109" s="67">
        <f t="shared" si="3"/>
        <v>4.8434514922167269</v>
      </c>
      <c r="M109" s="67">
        <f t="shared" si="3"/>
        <v>21.862460632355987</v>
      </c>
      <c r="N109" s="67">
        <f t="shared" si="3"/>
        <v>261.79739346235704</v>
      </c>
      <c r="O109" s="67">
        <f t="shared" si="3"/>
        <v>0</v>
      </c>
      <c r="P109" s="67">
        <f t="shared" si="3"/>
        <v>0.43778865164457176</v>
      </c>
      <c r="Q109" s="67">
        <f t="shared" si="3"/>
        <v>1.7273700442397431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0" sqref="J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2358</v>
      </c>
      <c r="B9" s="64">
        <v>33.159999999999997</v>
      </c>
      <c r="C9" s="64">
        <v>25.06</v>
      </c>
      <c r="D9" s="64">
        <v>41.71</v>
      </c>
      <c r="E9" s="64">
        <v>0.7</v>
      </c>
      <c r="F9" s="64">
        <v>1.05</v>
      </c>
      <c r="G9" s="64">
        <v>168.63</v>
      </c>
      <c r="H9" s="64">
        <v>68.7</v>
      </c>
      <c r="I9" s="64">
        <v>1.5</v>
      </c>
      <c r="J9" s="64">
        <v>0.05</v>
      </c>
      <c r="K9" s="64">
        <v>124.04</v>
      </c>
      <c r="L9" s="64">
        <v>19.55</v>
      </c>
      <c r="M9" s="64">
        <v>74.08</v>
      </c>
      <c r="N9" s="64">
        <v>17.5</v>
      </c>
      <c r="O9" s="64">
        <v>0</v>
      </c>
      <c r="P9" s="64">
        <v>1.8</v>
      </c>
      <c r="Q9" s="64">
        <v>7.67</v>
      </c>
      <c r="S9" s="198"/>
      <c r="T9" s="198"/>
      <c r="U9" s="198"/>
    </row>
    <row r="10" spans="1:21" s="12" customFormat="1" x14ac:dyDescent="0.25">
      <c r="A10" s="214" t="s">
        <v>2359</v>
      </c>
      <c r="B10" s="64">
        <v>32.85</v>
      </c>
      <c r="C10" s="64">
        <v>23.61</v>
      </c>
      <c r="D10" s="64">
        <v>40.67</v>
      </c>
      <c r="E10" s="64">
        <v>0.7</v>
      </c>
      <c r="F10" s="64">
        <v>0.24</v>
      </c>
      <c r="G10" s="64">
        <v>168.63</v>
      </c>
      <c r="H10" s="64">
        <v>68.7</v>
      </c>
      <c r="I10" s="64">
        <v>1.6</v>
      </c>
      <c r="J10" s="64">
        <v>0.13</v>
      </c>
      <c r="K10" s="64">
        <v>303.64</v>
      </c>
      <c r="L10" s="64">
        <v>19.399999999999999</v>
      </c>
      <c r="M10" s="64">
        <v>78.87</v>
      </c>
      <c r="N10" s="64">
        <v>17.7</v>
      </c>
      <c r="O10" s="64">
        <v>0</v>
      </c>
      <c r="P10" s="64">
        <v>1.79</v>
      </c>
      <c r="Q10" s="64">
        <v>7.51</v>
      </c>
      <c r="S10" s="198"/>
      <c r="T10" s="198"/>
      <c r="U10" s="198"/>
    </row>
    <row r="11" spans="1:21" s="12" customFormat="1" x14ac:dyDescent="0.25">
      <c r="A11" s="214" t="s">
        <v>2360</v>
      </c>
      <c r="B11" s="64">
        <v>32.840000000000003</v>
      </c>
      <c r="C11" s="64">
        <v>22.28</v>
      </c>
      <c r="D11" s="64">
        <v>39.92</v>
      </c>
      <c r="E11" s="64">
        <v>0.7</v>
      </c>
      <c r="F11" s="64">
        <v>0.23</v>
      </c>
      <c r="G11" s="64">
        <v>168.42</v>
      </c>
      <c r="H11" s="64">
        <v>68.319999999999993</v>
      </c>
      <c r="I11" s="64">
        <v>1.57</v>
      </c>
      <c r="J11" s="64">
        <v>0.09</v>
      </c>
      <c r="K11" s="64">
        <v>324.22000000000003</v>
      </c>
      <c r="L11" s="64">
        <v>19.02</v>
      </c>
      <c r="M11" s="64">
        <v>82.94</v>
      </c>
      <c r="N11" s="64">
        <v>17.600000000000001</v>
      </c>
      <c r="O11" s="64">
        <v>0</v>
      </c>
      <c r="P11" s="64">
        <v>1.8</v>
      </c>
      <c r="Q11" s="64">
        <v>7.42</v>
      </c>
      <c r="S11" s="198"/>
      <c r="T11" s="198"/>
      <c r="U11" s="198"/>
    </row>
    <row r="12" spans="1:21" s="12" customFormat="1" x14ac:dyDescent="0.25">
      <c r="A12" s="214" t="s">
        <v>2361</v>
      </c>
      <c r="B12" s="64">
        <v>32.54</v>
      </c>
      <c r="C12" s="64">
        <v>22.7</v>
      </c>
      <c r="D12" s="64">
        <v>39.92</v>
      </c>
      <c r="E12" s="64">
        <v>0.68</v>
      </c>
      <c r="F12" s="64">
        <v>7.0000000000000007E-2</v>
      </c>
      <c r="G12" s="64">
        <v>166</v>
      </c>
      <c r="H12" s="64">
        <v>64.569999999999993</v>
      </c>
      <c r="I12" s="64">
        <v>1.48</v>
      </c>
      <c r="J12" s="64">
        <v>0.09</v>
      </c>
      <c r="K12" s="64">
        <v>90.84</v>
      </c>
      <c r="L12" s="64">
        <v>19.39</v>
      </c>
      <c r="M12" s="64">
        <v>72.319999999999993</v>
      </c>
      <c r="N12" s="64">
        <v>17</v>
      </c>
      <c r="O12" s="64">
        <v>0</v>
      </c>
      <c r="P12" s="64">
        <v>1.81</v>
      </c>
      <c r="Q12" s="64">
        <v>7.45</v>
      </c>
      <c r="S12" s="198"/>
      <c r="T12" s="198"/>
      <c r="U12" s="198"/>
    </row>
    <row r="13" spans="1:21" s="12" customFormat="1" x14ac:dyDescent="0.25">
      <c r="A13" s="214" t="s">
        <v>2362</v>
      </c>
      <c r="B13" s="64">
        <v>31.8</v>
      </c>
      <c r="C13" s="64">
        <v>22.72</v>
      </c>
      <c r="D13" s="64">
        <v>39.33</v>
      </c>
      <c r="E13" s="64">
        <v>0.72</v>
      </c>
      <c r="F13" s="64">
        <v>0.16</v>
      </c>
      <c r="G13" s="64">
        <v>166</v>
      </c>
      <c r="H13" s="64">
        <v>64.569999999999993</v>
      </c>
      <c r="I13" s="64">
        <v>1.52</v>
      </c>
      <c r="J13" s="64">
        <v>0.16</v>
      </c>
      <c r="K13" s="64">
        <v>333.94</v>
      </c>
      <c r="L13" s="64">
        <v>19.52</v>
      </c>
      <c r="M13" s="64">
        <v>70.510000000000005</v>
      </c>
      <c r="N13" s="64">
        <v>17.2</v>
      </c>
      <c r="O13" s="64">
        <v>0</v>
      </c>
      <c r="P13" s="64">
        <v>1.59</v>
      </c>
      <c r="Q13" s="64">
        <v>7.36</v>
      </c>
      <c r="S13" s="198"/>
      <c r="T13" s="198"/>
      <c r="U13" s="198"/>
    </row>
    <row r="14" spans="1:21" s="12" customFormat="1" x14ac:dyDescent="0.25">
      <c r="A14" s="214" t="s">
        <v>2363</v>
      </c>
      <c r="B14" s="64">
        <v>24.96</v>
      </c>
      <c r="C14" s="64">
        <v>31.2</v>
      </c>
      <c r="D14" s="64">
        <v>38.520000000000003</v>
      </c>
      <c r="E14" s="64">
        <v>0.68</v>
      </c>
      <c r="F14" s="64">
        <v>0.87</v>
      </c>
      <c r="G14" s="64">
        <v>166</v>
      </c>
      <c r="H14" s="64">
        <v>64.569999999999993</v>
      </c>
      <c r="I14" s="64">
        <v>1.5</v>
      </c>
      <c r="J14" s="64">
        <v>0.08</v>
      </c>
      <c r="K14" s="64">
        <v>40.43</v>
      </c>
      <c r="L14" s="64">
        <v>19.68</v>
      </c>
      <c r="M14" s="64">
        <v>67.11</v>
      </c>
      <c r="N14" s="64">
        <v>17.2</v>
      </c>
      <c r="O14" s="64">
        <v>0</v>
      </c>
      <c r="P14" s="64">
        <v>1.6</v>
      </c>
      <c r="Q14" s="64">
        <v>7.32</v>
      </c>
      <c r="S14" s="198"/>
      <c r="T14" s="198"/>
      <c r="U14" s="198"/>
    </row>
    <row r="15" spans="1:21" s="12" customFormat="1" x14ac:dyDescent="0.25">
      <c r="A15" s="214" t="s">
        <v>2364</v>
      </c>
      <c r="B15" s="64">
        <v>25.92</v>
      </c>
      <c r="C15" s="64">
        <v>26.76</v>
      </c>
      <c r="D15" s="64">
        <v>36.85</v>
      </c>
      <c r="E15" s="64">
        <v>0.74</v>
      </c>
      <c r="F15" s="64">
        <v>1.88</v>
      </c>
      <c r="G15" s="64">
        <v>169.51</v>
      </c>
      <c r="H15" s="64">
        <v>66.38</v>
      </c>
      <c r="I15" s="64">
        <v>1.53</v>
      </c>
      <c r="J15" s="64">
        <v>0.05</v>
      </c>
      <c r="K15" s="64">
        <v>28.7</v>
      </c>
      <c r="L15" s="64">
        <v>19.52</v>
      </c>
      <c r="M15" s="64">
        <v>68.41</v>
      </c>
      <c r="N15" s="64">
        <v>17.8</v>
      </c>
      <c r="O15" s="64">
        <v>0</v>
      </c>
      <c r="P15" s="64">
        <v>1.61</v>
      </c>
      <c r="Q15" s="64">
        <v>7.24</v>
      </c>
      <c r="S15" s="198"/>
      <c r="T15" s="198"/>
      <c r="U15" s="198"/>
    </row>
    <row r="16" spans="1:21" s="12" customFormat="1" x14ac:dyDescent="0.25">
      <c r="A16" s="214" t="s">
        <v>2365</v>
      </c>
      <c r="B16" s="64">
        <v>24.25</v>
      </c>
      <c r="C16" s="64">
        <v>28.09</v>
      </c>
      <c r="D16" s="64">
        <v>36.24</v>
      </c>
      <c r="E16" s="64">
        <v>0.71</v>
      </c>
      <c r="F16" s="64">
        <v>0.82</v>
      </c>
      <c r="G16" s="64">
        <v>211.19</v>
      </c>
      <c r="H16" s="64">
        <v>84.73</v>
      </c>
      <c r="I16" s="64">
        <v>1.52</v>
      </c>
      <c r="J16" s="64">
        <v>0.05</v>
      </c>
      <c r="K16" s="64">
        <v>293.3</v>
      </c>
      <c r="L16" s="64">
        <v>18.989999999999998</v>
      </c>
      <c r="M16" s="64">
        <v>71.75</v>
      </c>
      <c r="N16" s="64">
        <v>17.8</v>
      </c>
      <c r="O16" s="64">
        <v>0</v>
      </c>
      <c r="P16" s="64">
        <v>1.63</v>
      </c>
      <c r="Q16" s="64">
        <v>7.19</v>
      </c>
      <c r="S16" s="198"/>
      <c r="T16" s="198"/>
      <c r="U16" s="198"/>
    </row>
    <row r="17" spans="1:21" s="12" customFormat="1" x14ac:dyDescent="0.25">
      <c r="A17" s="214" t="s">
        <v>2366</v>
      </c>
      <c r="B17" s="64">
        <v>23.53</v>
      </c>
      <c r="C17" s="64">
        <v>28.37</v>
      </c>
      <c r="D17" s="64">
        <v>35.82</v>
      </c>
      <c r="E17" s="64">
        <v>0.74</v>
      </c>
      <c r="F17" s="64">
        <v>0.48</v>
      </c>
      <c r="G17" s="64">
        <v>211.19</v>
      </c>
      <c r="H17" s="64">
        <v>84.73</v>
      </c>
      <c r="I17" s="64">
        <v>1.57</v>
      </c>
      <c r="J17" s="64">
        <v>7.0000000000000007E-2</v>
      </c>
      <c r="K17" s="64">
        <v>313.49</v>
      </c>
      <c r="L17" s="64">
        <v>18.59</v>
      </c>
      <c r="M17" s="64">
        <v>72.48</v>
      </c>
      <c r="N17" s="64">
        <v>17.7</v>
      </c>
      <c r="O17" s="64">
        <v>0</v>
      </c>
      <c r="P17" s="64">
        <v>1.6</v>
      </c>
      <c r="Q17" s="64">
        <v>7.1</v>
      </c>
      <c r="S17" s="198"/>
      <c r="T17" s="198"/>
      <c r="U17" s="198"/>
    </row>
    <row r="18" spans="1:21" s="12" customFormat="1" x14ac:dyDescent="0.25">
      <c r="A18" s="214" t="s">
        <v>2367</v>
      </c>
      <c r="B18" s="64">
        <v>22.85</v>
      </c>
      <c r="C18" s="64">
        <v>27.86</v>
      </c>
      <c r="D18" s="64">
        <v>34.99</v>
      </c>
      <c r="E18" s="64">
        <v>0.75</v>
      </c>
      <c r="F18" s="64">
        <v>0.81</v>
      </c>
      <c r="G18" s="64">
        <v>211.19</v>
      </c>
      <c r="H18" s="64">
        <v>84.73</v>
      </c>
      <c r="I18" s="64">
        <v>1.5</v>
      </c>
      <c r="J18" s="64">
        <v>0.26</v>
      </c>
      <c r="K18" s="64">
        <v>336.1</v>
      </c>
      <c r="L18" s="64">
        <v>18.52</v>
      </c>
      <c r="M18" s="64">
        <v>71.72</v>
      </c>
      <c r="N18" s="64">
        <v>17</v>
      </c>
      <c r="O18" s="64">
        <v>0</v>
      </c>
      <c r="P18" s="64">
        <v>1.58</v>
      </c>
      <c r="Q18" s="64">
        <v>7.02</v>
      </c>
      <c r="S18" s="198"/>
      <c r="T18" s="198"/>
      <c r="U18" s="198"/>
    </row>
    <row r="19" spans="1:21" s="12" customFormat="1" x14ac:dyDescent="0.25">
      <c r="A19" s="214" t="s">
        <v>2368</v>
      </c>
      <c r="B19" s="64">
        <v>24.49</v>
      </c>
      <c r="C19" s="64">
        <v>22.98</v>
      </c>
      <c r="D19" s="64">
        <v>33.619999999999997</v>
      </c>
      <c r="E19" s="64">
        <v>0.75</v>
      </c>
      <c r="F19" s="64">
        <v>0.77</v>
      </c>
      <c r="G19" s="64">
        <v>208.14</v>
      </c>
      <c r="H19" s="64">
        <v>84.25</v>
      </c>
      <c r="I19" s="64">
        <v>1.5</v>
      </c>
      <c r="J19" s="64">
        <v>0.32</v>
      </c>
      <c r="K19" s="64">
        <v>338.55</v>
      </c>
      <c r="L19" s="64">
        <v>18.55</v>
      </c>
      <c r="M19" s="64">
        <v>70.510000000000005</v>
      </c>
      <c r="N19" s="64">
        <v>17.100000000000001</v>
      </c>
      <c r="O19" s="64">
        <v>0</v>
      </c>
      <c r="P19" s="64">
        <v>1.6</v>
      </c>
      <c r="Q19" s="64">
        <v>6.97</v>
      </c>
      <c r="S19" s="198"/>
      <c r="T19" s="198"/>
      <c r="U19" s="198"/>
    </row>
    <row r="20" spans="1:21" s="12" customFormat="1" x14ac:dyDescent="0.25">
      <c r="A20" s="214" t="s">
        <v>2369</v>
      </c>
      <c r="B20" s="64">
        <v>24.78</v>
      </c>
      <c r="C20" s="64">
        <v>20.57</v>
      </c>
      <c r="D20" s="64">
        <v>32.520000000000003</v>
      </c>
      <c r="E20" s="64">
        <v>0.79</v>
      </c>
      <c r="F20" s="64">
        <v>0.63</v>
      </c>
      <c r="G20" s="64">
        <v>171.88</v>
      </c>
      <c r="H20" s="64">
        <v>79.36</v>
      </c>
      <c r="I20" s="64">
        <v>1.5</v>
      </c>
      <c r="J20" s="64">
        <v>0.28999999999999998</v>
      </c>
      <c r="K20" s="64">
        <v>340.56</v>
      </c>
      <c r="L20" s="64">
        <v>18.97</v>
      </c>
      <c r="M20" s="64">
        <v>66.099999999999994</v>
      </c>
      <c r="N20" s="64">
        <v>17.100000000000001</v>
      </c>
      <c r="O20" s="64">
        <v>0</v>
      </c>
      <c r="P20" s="64">
        <v>1.57</v>
      </c>
      <c r="Q20" s="64">
        <v>6.89</v>
      </c>
      <c r="S20" s="198"/>
      <c r="T20" s="198"/>
      <c r="U20" s="198"/>
    </row>
    <row r="21" spans="1:21" s="12" customFormat="1" x14ac:dyDescent="0.25">
      <c r="A21" s="214" t="s">
        <v>2370</v>
      </c>
      <c r="B21" s="64">
        <v>24.1</v>
      </c>
      <c r="C21" s="64">
        <v>20.27</v>
      </c>
      <c r="D21" s="64">
        <v>31.81</v>
      </c>
      <c r="E21" s="64">
        <v>0.72</v>
      </c>
      <c r="F21" s="64">
        <v>0.14000000000000001</v>
      </c>
      <c r="G21" s="64">
        <v>171.88</v>
      </c>
      <c r="H21" s="64">
        <v>79.36</v>
      </c>
      <c r="I21" s="64">
        <v>1.49</v>
      </c>
      <c r="J21" s="64">
        <v>0.39</v>
      </c>
      <c r="K21" s="64">
        <v>341</v>
      </c>
      <c r="L21" s="64">
        <v>18.71</v>
      </c>
      <c r="M21" s="64">
        <v>69.069999999999993</v>
      </c>
      <c r="N21" s="64">
        <v>17.2</v>
      </c>
      <c r="O21" s="64">
        <v>0</v>
      </c>
      <c r="P21" s="64">
        <v>1.54</v>
      </c>
      <c r="Q21" s="64">
        <v>6.77</v>
      </c>
      <c r="S21" s="198"/>
      <c r="T21" s="198"/>
      <c r="U21" s="198"/>
    </row>
    <row r="22" spans="1:21" s="12" customFormat="1" x14ac:dyDescent="0.25">
      <c r="A22" s="214" t="s">
        <v>2371</v>
      </c>
      <c r="B22" s="64">
        <v>23.04</v>
      </c>
      <c r="C22" s="64">
        <v>20.149999999999999</v>
      </c>
      <c r="D22" s="64">
        <v>30.89</v>
      </c>
      <c r="E22" s="64">
        <v>0.61</v>
      </c>
      <c r="F22" s="64">
        <v>0.04</v>
      </c>
      <c r="G22" s="64">
        <v>171.88</v>
      </c>
      <c r="H22" s="64">
        <v>79.36</v>
      </c>
      <c r="I22" s="64">
        <v>1.51</v>
      </c>
      <c r="J22" s="64">
        <v>0.55000000000000004</v>
      </c>
      <c r="K22" s="64">
        <v>342.68</v>
      </c>
      <c r="L22" s="64">
        <v>18.649999999999999</v>
      </c>
      <c r="M22" s="64">
        <v>71.62</v>
      </c>
      <c r="N22" s="64">
        <v>17.2</v>
      </c>
      <c r="O22" s="64">
        <v>0</v>
      </c>
      <c r="P22" s="64">
        <v>1.52</v>
      </c>
      <c r="Q22" s="64">
        <v>6.7</v>
      </c>
      <c r="S22" s="198"/>
      <c r="T22" s="198"/>
      <c r="U22" s="198"/>
    </row>
    <row r="23" spans="1:21" s="12" customFormat="1" x14ac:dyDescent="0.25">
      <c r="A23" s="214" t="s">
        <v>2372</v>
      </c>
      <c r="B23" s="64">
        <v>22.02</v>
      </c>
      <c r="C23" s="64">
        <v>19.920000000000002</v>
      </c>
      <c r="D23" s="64">
        <v>29.94</v>
      </c>
      <c r="E23" s="64">
        <v>0.7</v>
      </c>
      <c r="F23" s="64">
        <v>0.27</v>
      </c>
      <c r="G23" s="64">
        <v>171.29</v>
      </c>
      <c r="H23" s="64">
        <v>79.52</v>
      </c>
      <c r="I23" s="64">
        <v>1.5</v>
      </c>
      <c r="J23" s="64">
        <v>0.84</v>
      </c>
      <c r="K23" s="64">
        <v>346.14</v>
      </c>
      <c r="L23" s="64">
        <v>18.71</v>
      </c>
      <c r="M23" s="64">
        <v>67.86</v>
      </c>
      <c r="N23" s="64">
        <v>16.899999999999999</v>
      </c>
      <c r="O23" s="64">
        <v>0</v>
      </c>
      <c r="P23" s="64">
        <v>1.47</v>
      </c>
      <c r="Q23" s="64">
        <v>6.59</v>
      </c>
      <c r="S23" s="198"/>
      <c r="T23" s="198"/>
      <c r="U23" s="198"/>
    </row>
    <row r="24" spans="1:21" s="12" customFormat="1" x14ac:dyDescent="0.25">
      <c r="A24" s="214" t="s">
        <v>2373</v>
      </c>
      <c r="B24" s="64">
        <v>20.76</v>
      </c>
      <c r="C24" s="64">
        <v>20.149999999999999</v>
      </c>
      <c r="D24" s="64">
        <v>29.06</v>
      </c>
      <c r="E24" s="64">
        <v>0.28999999999999998</v>
      </c>
      <c r="F24" s="64">
        <v>0.36</v>
      </c>
      <c r="G24" s="64">
        <v>164.27</v>
      </c>
      <c r="H24" s="64">
        <v>81.209999999999994</v>
      </c>
      <c r="I24" s="64">
        <v>1.51</v>
      </c>
      <c r="J24" s="64">
        <v>1.08</v>
      </c>
      <c r="K24" s="64">
        <v>343.66</v>
      </c>
      <c r="L24" s="64">
        <v>18.649999999999999</v>
      </c>
      <c r="M24" s="64">
        <v>67.650000000000006</v>
      </c>
      <c r="N24" s="64">
        <v>17.100000000000001</v>
      </c>
      <c r="O24" s="64">
        <v>0</v>
      </c>
      <c r="P24" s="64">
        <v>1.42</v>
      </c>
      <c r="Q24" s="64">
        <v>6.5</v>
      </c>
      <c r="S24" s="198"/>
      <c r="T24" s="198"/>
      <c r="U24" s="198"/>
    </row>
    <row r="25" spans="1:21" s="12" customFormat="1" x14ac:dyDescent="0.25">
      <c r="A25" s="214" t="s">
        <v>2374</v>
      </c>
      <c r="B25" s="64">
        <v>20.059999999999999</v>
      </c>
      <c r="C25" s="64">
        <v>20.100000000000001</v>
      </c>
      <c r="D25" s="64">
        <v>28.48</v>
      </c>
      <c r="E25" s="64">
        <v>0.56000000000000005</v>
      </c>
      <c r="F25" s="64">
        <v>0.23</v>
      </c>
      <c r="G25" s="64">
        <v>164.27</v>
      </c>
      <c r="H25" s="64">
        <v>81.209999999999994</v>
      </c>
      <c r="I25" s="64">
        <v>1.43</v>
      </c>
      <c r="J25" s="64">
        <v>0.65</v>
      </c>
      <c r="K25" s="64">
        <v>348.46</v>
      </c>
      <c r="L25" s="64">
        <v>18.45</v>
      </c>
      <c r="M25" s="64">
        <v>68.75</v>
      </c>
      <c r="N25" s="64">
        <v>17.7</v>
      </c>
      <c r="O25" s="64">
        <v>0</v>
      </c>
      <c r="P25" s="64">
        <v>1.39</v>
      </c>
      <c r="Q25" s="64">
        <v>6.43</v>
      </c>
      <c r="S25" s="198"/>
      <c r="T25" s="198"/>
      <c r="U25" s="198"/>
    </row>
    <row r="26" spans="1:21" s="12" customFormat="1" x14ac:dyDescent="0.25">
      <c r="A26" s="214" t="s">
        <v>2375</v>
      </c>
      <c r="B26" s="64">
        <v>19.47</v>
      </c>
      <c r="C26" s="64">
        <v>21.17</v>
      </c>
      <c r="D26" s="64">
        <v>28.59</v>
      </c>
      <c r="E26" s="64">
        <v>0.53</v>
      </c>
      <c r="F26" s="64">
        <v>0.17</v>
      </c>
      <c r="G26" s="64">
        <v>164.27</v>
      </c>
      <c r="H26" s="64">
        <v>81.209999999999994</v>
      </c>
      <c r="I26" s="64">
        <v>1.52</v>
      </c>
      <c r="J26" s="64">
        <v>0.86</v>
      </c>
      <c r="K26" s="64">
        <v>343.76</v>
      </c>
      <c r="L26" s="64">
        <v>18.39</v>
      </c>
      <c r="M26" s="64">
        <v>65.19</v>
      </c>
      <c r="N26" s="64">
        <v>17.2</v>
      </c>
      <c r="O26" s="64">
        <v>0</v>
      </c>
      <c r="P26" s="64">
        <v>1.36</v>
      </c>
      <c r="Q26" s="64">
        <v>6.37</v>
      </c>
      <c r="S26" s="198"/>
      <c r="T26" s="198"/>
      <c r="U26" s="198"/>
    </row>
    <row r="27" spans="1:21" s="12" customFormat="1" x14ac:dyDescent="0.25">
      <c r="A27" s="214" t="s">
        <v>2376</v>
      </c>
      <c r="B27" s="64">
        <v>18.78</v>
      </c>
      <c r="C27" s="64">
        <v>22.03</v>
      </c>
      <c r="D27" s="64">
        <v>28.51</v>
      </c>
      <c r="E27" s="64">
        <v>0.59</v>
      </c>
      <c r="F27" s="64">
        <v>0.73</v>
      </c>
      <c r="G27" s="64">
        <v>161.49</v>
      </c>
      <c r="H27" s="64">
        <v>80.760000000000005</v>
      </c>
      <c r="I27" s="64">
        <v>1.48</v>
      </c>
      <c r="J27" s="64">
        <v>1.18</v>
      </c>
      <c r="K27" s="64">
        <v>345.48</v>
      </c>
      <c r="L27" s="64">
        <v>18.5</v>
      </c>
      <c r="M27" s="64">
        <v>61.34</v>
      </c>
      <c r="N27" s="64">
        <v>17</v>
      </c>
      <c r="O27" s="64">
        <v>0</v>
      </c>
      <c r="P27" s="64">
        <v>1.32</v>
      </c>
      <c r="Q27" s="64">
        <v>6.35</v>
      </c>
      <c r="S27" s="198"/>
      <c r="T27" s="198"/>
      <c r="U27" s="198"/>
    </row>
    <row r="28" spans="1:21" s="12" customFormat="1" x14ac:dyDescent="0.25">
      <c r="A28" s="214" t="s">
        <v>2377</v>
      </c>
      <c r="B28" s="64">
        <v>17.809999999999999</v>
      </c>
      <c r="C28" s="64">
        <v>22.23</v>
      </c>
      <c r="D28" s="64">
        <v>27.84</v>
      </c>
      <c r="E28" s="64">
        <v>0.6</v>
      </c>
      <c r="F28" s="64">
        <v>0.7</v>
      </c>
      <c r="G28" s="64">
        <v>128.58000000000001</v>
      </c>
      <c r="H28" s="64">
        <v>76.34</v>
      </c>
      <c r="I28" s="64">
        <v>1.53</v>
      </c>
      <c r="J28" s="64">
        <v>1.1200000000000001</v>
      </c>
      <c r="K28" s="64">
        <v>347.03</v>
      </c>
      <c r="L28" s="64">
        <v>18.420000000000002</v>
      </c>
      <c r="M28" s="64">
        <v>62.3</v>
      </c>
      <c r="N28" s="64">
        <v>17.3</v>
      </c>
      <c r="O28" s="64">
        <v>0</v>
      </c>
      <c r="P28" s="64">
        <v>1.25</v>
      </c>
      <c r="Q28" s="64">
        <v>6.26</v>
      </c>
      <c r="S28" s="198"/>
      <c r="T28" s="198"/>
      <c r="U28" s="198"/>
    </row>
    <row r="29" spans="1:21" s="12" customFormat="1" x14ac:dyDescent="0.25">
      <c r="A29" s="214" t="s">
        <v>2378</v>
      </c>
      <c r="B29" s="64">
        <v>16.670000000000002</v>
      </c>
      <c r="C29" s="64">
        <v>22.34</v>
      </c>
      <c r="D29" s="64">
        <v>26.98</v>
      </c>
      <c r="E29" s="64">
        <v>0.54</v>
      </c>
      <c r="F29" s="64">
        <v>0.37</v>
      </c>
      <c r="G29" s="64">
        <v>128.58000000000001</v>
      </c>
      <c r="H29" s="64">
        <v>76.34</v>
      </c>
      <c r="I29" s="64">
        <v>1.54</v>
      </c>
      <c r="J29" s="64">
        <v>1.2</v>
      </c>
      <c r="K29" s="64">
        <v>346.3</v>
      </c>
      <c r="L29" s="64">
        <v>18.32</v>
      </c>
      <c r="M29" s="64">
        <v>62.89</v>
      </c>
      <c r="N29" s="64">
        <v>17.3</v>
      </c>
      <c r="O29" s="64">
        <v>0</v>
      </c>
      <c r="P29" s="64">
        <v>1.19</v>
      </c>
      <c r="Q29" s="64">
        <v>6.14</v>
      </c>
      <c r="S29" s="198"/>
      <c r="T29" s="198"/>
      <c r="U29" s="198"/>
    </row>
    <row r="30" spans="1:21" s="12" customFormat="1" x14ac:dyDescent="0.25">
      <c r="A30" s="214" t="s">
        <v>2379</v>
      </c>
      <c r="B30" s="64">
        <v>15.41</v>
      </c>
      <c r="C30" s="64">
        <v>22.44</v>
      </c>
      <c r="D30" s="64">
        <v>26.03</v>
      </c>
      <c r="E30" s="64">
        <v>0.56999999999999995</v>
      </c>
      <c r="F30" s="64">
        <v>0.46</v>
      </c>
      <c r="G30" s="64">
        <v>128.58000000000001</v>
      </c>
      <c r="H30" s="64">
        <v>76.34</v>
      </c>
      <c r="I30" s="64">
        <v>1.51</v>
      </c>
      <c r="J30" s="64">
        <v>0.95</v>
      </c>
      <c r="K30" s="64">
        <v>342.59</v>
      </c>
      <c r="L30" s="64">
        <v>18.3</v>
      </c>
      <c r="M30" s="64">
        <v>62.84</v>
      </c>
      <c r="N30" s="64">
        <v>17.399999999999999</v>
      </c>
      <c r="O30" s="64">
        <v>0</v>
      </c>
      <c r="P30" s="64">
        <v>1.1299999999999999</v>
      </c>
      <c r="Q30" s="64">
        <v>6.09</v>
      </c>
      <c r="S30" s="198"/>
      <c r="T30" s="198"/>
      <c r="U30" s="198"/>
    </row>
    <row r="31" spans="1:21" s="12" customFormat="1" x14ac:dyDescent="0.25">
      <c r="A31" s="214" t="s">
        <v>2380</v>
      </c>
      <c r="B31" s="64">
        <v>14.68</v>
      </c>
      <c r="C31" s="64">
        <v>22.16</v>
      </c>
      <c r="D31" s="64">
        <v>25.29</v>
      </c>
      <c r="E31" s="64">
        <v>0.65</v>
      </c>
      <c r="F31" s="64">
        <v>0.26</v>
      </c>
      <c r="G31" s="64">
        <v>127.29</v>
      </c>
      <c r="H31" s="64">
        <v>75.760000000000005</v>
      </c>
      <c r="I31" s="64">
        <v>1.49</v>
      </c>
      <c r="J31" s="64">
        <v>0.83</v>
      </c>
      <c r="K31" s="64">
        <v>345.04</v>
      </c>
      <c r="L31" s="64">
        <v>18.190000000000001</v>
      </c>
      <c r="M31" s="64">
        <v>64.2</v>
      </c>
      <c r="N31" s="64">
        <v>17.7</v>
      </c>
      <c r="O31" s="64">
        <v>0</v>
      </c>
      <c r="P31" s="64">
        <v>1.1000000000000001</v>
      </c>
      <c r="Q31" s="64">
        <v>5.98</v>
      </c>
      <c r="S31" s="198"/>
      <c r="T31" s="198"/>
      <c r="U31" s="198"/>
    </row>
    <row r="32" spans="1:21" s="12" customFormat="1" x14ac:dyDescent="0.25">
      <c r="A32" s="214" t="s">
        <v>2381</v>
      </c>
      <c r="B32" s="64">
        <v>14.61</v>
      </c>
      <c r="C32" s="64">
        <v>22.77</v>
      </c>
      <c r="D32" s="64">
        <v>25.57</v>
      </c>
      <c r="E32" s="64">
        <v>0.57999999999999996</v>
      </c>
      <c r="F32" s="64">
        <v>0.3</v>
      </c>
      <c r="G32" s="64">
        <v>112.08</v>
      </c>
      <c r="H32" s="64">
        <v>69.94</v>
      </c>
      <c r="I32" s="64">
        <v>1.44</v>
      </c>
      <c r="J32" s="64">
        <v>1.1599999999999999</v>
      </c>
      <c r="K32" s="64">
        <v>346.06</v>
      </c>
      <c r="L32" s="64">
        <v>18.09</v>
      </c>
      <c r="M32" s="64">
        <v>63.25</v>
      </c>
      <c r="N32" s="64">
        <v>20.399999999999999</v>
      </c>
      <c r="O32" s="64">
        <v>0</v>
      </c>
      <c r="P32" s="64">
        <v>1.07</v>
      </c>
      <c r="Q32" s="64">
        <v>5.93</v>
      </c>
      <c r="S32" s="198"/>
      <c r="T32" s="198"/>
      <c r="U32" s="198"/>
    </row>
    <row r="33" spans="1:21" s="12" customFormat="1" x14ac:dyDescent="0.25">
      <c r="A33" s="214" t="s">
        <v>2382</v>
      </c>
      <c r="B33" s="64">
        <v>14.57</v>
      </c>
      <c r="C33" s="64">
        <v>23.08</v>
      </c>
      <c r="D33" s="64">
        <v>25.71</v>
      </c>
      <c r="E33" s="64">
        <v>0.59</v>
      </c>
      <c r="F33" s="64">
        <v>0.4</v>
      </c>
      <c r="G33" s="64">
        <v>112.08</v>
      </c>
      <c r="H33" s="64">
        <v>69.94</v>
      </c>
      <c r="I33" s="64">
        <v>1.48</v>
      </c>
      <c r="J33" s="64">
        <v>1.32</v>
      </c>
      <c r="K33" s="64">
        <v>343.12</v>
      </c>
      <c r="L33" s="64">
        <v>18.12</v>
      </c>
      <c r="M33" s="64">
        <v>61.97</v>
      </c>
      <c r="N33" s="64">
        <v>29.8</v>
      </c>
      <c r="O33" s="64">
        <v>0</v>
      </c>
      <c r="P33" s="64">
        <v>1.05</v>
      </c>
      <c r="Q33" s="64">
        <v>5.97</v>
      </c>
      <c r="S33" s="198"/>
      <c r="T33" s="198"/>
      <c r="U33" s="198"/>
    </row>
    <row r="34" spans="1:21" s="12" customFormat="1" x14ac:dyDescent="0.25">
      <c r="A34" s="214" t="s">
        <v>2383</v>
      </c>
      <c r="B34" s="64">
        <v>14.17</v>
      </c>
      <c r="C34" s="64">
        <v>22.98</v>
      </c>
      <c r="D34" s="64">
        <v>25.34</v>
      </c>
      <c r="E34" s="64">
        <v>0.57999999999999996</v>
      </c>
      <c r="F34" s="64">
        <v>0.41</v>
      </c>
      <c r="G34" s="64">
        <v>112.08</v>
      </c>
      <c r="H34" s="64">
        <v>69.94</v>
      </c>
      <c r="I34" s="64">
        <v>1.53</v>
      </c>
      <c r="J34" s="64">
        <v>1.08</v>
      </c>
      <c r="K34" s="64">
        <v>347.09</v>
      </c>
      <c r="L34" s="64">
        <v>18.170000000000002</v>
      </c>
      <c r="M34" s="64">
        <v>63.08</v>
      </c>
      <c r="N34" s="64">
        <v>49.5</v>
      </c>
      <c r="O34" s="64">
        <v>0</v>
      </c>
      <c r="P34" s="64">
        <v>1.01</v>
      </c>
      <c r="Q34" s="64">
        <v>5.94</v>
      </c>
      <c r="S34" s="198"/>
      <c r="T34" s="198"/>
      <c r="U34" s="198"/>
    </row>
    <row r="35" spans="1:21" s="12" customFormat="1" x14ac:dyDescent="0.25">
      <c r="A35" s="214" t="s">
        <v>2384</v>
      </c>
      <c r="B35" s="64">
        <v>14</v>
      </c>
      <c r="C35" s="64">
        <v>22.77</v>
      </c>
      <c r="D35" s="64">
        <v>25.09</v>
      </c>
      <c r="E35" s="64">
        <v>0.56000000000000005</v>
      </c>
      <c r="F35" s="64">
        <v>0.16</v>
      </c>
      <c r="G35" s="64">
        <v>111.08</v>
      </c>
      <c r="H35" s="64">
        <v>69.66</v>
      </c>
      <c r="I35" s="64">
        <v>1.49</v>
      </c>
      <c r="J35" s="64">
        <v>1.1299999999999999</v>
      </c>
      <c r="K35" s="64">
        <v>342.89</v>
      </c>
      <c r="L35" s="64">
        <v>18.57</v>
      </c>
      <c r="M35" s="64">
        <v>63.33</v>
      </c>
      <c r="N35" s="64">
        <v>111.3</v>
      </c>
      <c r="O35" s="64">
        <v>0</v>
      </c>
      <c r="P35" s="64">
        <v>0.97</v>
      </c>
      <c r="Q35" s="64">
        <v>5.91</v>
      </c>
      <c r="S35" s="198"/>
      <c r="T35" s="198"/>
      <c r="U35" s="198"/>
    </row>
    <row r="36" spans="1:21" s="12" customFormat="1" x14ac:dyDescent="0.25">
      <c r="A36" s="214" t="s">
        <v>2385</v>
      </c>
      <c r="B36" s="64">
        <v>13.87</v>
      </c>
      <c r="C36" s="64">
        <v>22.33</v>
      </c>
      <c r="D36" s="64">
        <v>24.74</v>
      </c>
      <c r="E36" s="64">
        <v>0.57999999999999996</v>
      </c>
      <c r="F36" s="64">
        <v>0.18</v>
      </c>
      <c r="G36" s="64">
        <v>99.19</v>
      </c>
      <c r="H36" s="64">
        <v>66.900000000000006</v>
      </c>
      <c r="I36" s="64">
        <v>1.51</v>
      </c>
      <c r="J36" s="64">
        <v>1.26</v>
      </c>
      <c r="K36" s="64">
        <v>344.31</v>
      </c>
      <c r="L36" s="64">
        <v>20.46</v>
      </c>
      <c r="M36" s="64">
        <v>57.6</v>
      </c>
      <c r="N36" s="64">
        <v>176</v>
      </c>
      <c r="O36" s="64">
        <v>0</v>
      </c>
      <c r="P36" s="64">
        <v>0.95</v>
      </c>
      <c r="Q36" s="64">
        <v>5.9</v>
      </c>
      <c r="S36" s="198"/>
      <c r="T36" s="198"/>
      <c r="U36" s="198"/>
    </row>
    <row r="37" spans="1:21" s="12" customFormat="1" x14ac:dyDescent="0.25">
      <c r="A37" s="214" t="s">
        <v>2386</v>
      </c>
      <c r="B37" s="64">
        <v>14.56</v>
      </c>
      <c r="C37" s="64">
        <v>23.16</v>
      </c>
      <c r="D37" s="64">
        <v>25.75</v>
      </c>
      <c r="E37" s="64">
        <v>0.52</v>
      </c>
      <c r="F37" s="64">
        <v>0.05</v>
      </c>
      <c r="G37" s="64">
        <v>99.19</v>
      </c>
      <c r="H37" s="64">
        <v>66.900000000000006</v>
      </c>
      <c r="I37" s="64">
        <v>1.48</v>
      </c>
      <c r="J37" s="64">
        <v>1.4</v>
      </c>
      <c r="K37" s="64">
        <v>345.16</v>
      </c>
      <c r="L37" s="64">
        <v>22.42</v>
      </c>
      <c r="M37" s="64">
        <v>51.57</v>
      </c>
      <c r="N37" s="64">
        <v>223.2</v>
      </c>
      <c r="O37" s="64">
        <v>0</v>
      </c>
      <c r="P37" s="64">
        <v>0.97</v>
      </c>
      <c r="Q37" s="64">
        <v>5.88</v>
      </c>
      <c r="S37" s="198"/>
      <c r="T37" s="198"/>
      <c r="U37" s="198"/>
    </row>
    <row r="38" spans="1:21" s="12" customFormat="1" x14ac:dyDescent="0.25">
      <c r="A38" s="214" t="s">
        <v>2387</v>
      </c>
      <c r="B38" s="64">
        <v>15.76</v>
      </c>
      <c r="C38" s="64">
        <v>24.2</v>
      </c>
      <c r="D38" s="64">
        <v>27.29</v>
      </c>
      <c r="E38" s="64">
        <v>0.57999999999999996</v>
      </c>
      <c r="F38" s="64">
        <v>0.03</v>
      </c>
      <c r="G38" s="64">
        <v>99.19</v>
      </c>
      <c r="H38" s="64">
        <v>66.900000000000006</v>
      </c>
      <c r="I38" s="64">
        <v>1.48</v>
      </c>
      <c r="J38" s="64">
        <v>1.67</v>
      </c>
      <c r="K38" s="64">
        <v>343.75</v>
      </c>
      <c r="L38" s="64">
        <v>23.47</v>
      </c>
      <c r="M38" s="64">
        <v>47.4</v>
      </c>
      <c r="N38" s="64">
        <v>283.89999999999998</v>
      </c>
      <c r="O38" s="64">
        <v>0</v>
      </c>
      <c r="P38" s="64">
        <v>1.01</v>
      </c>
      <c r="Q38" s="64">
        <v>5.97</v>
      </c>
      <c r="S38" s="198"/>
      <c r="T38" s="198"/>
      <c r="U38" s="198"/>
    </row>
    <row r="39" spans="1:21" s="12" customFormat="1" x14ac:dyDescent="0.25">
      <c r="A39" s="214" t="s">
        <v>2388</v>
      </c>
      <c r="B39" s="64">
        <v>16.829999999999998</v>
      </c>
      <c r="C39" s="64">
        <v>25.41</v>
      </c>
      <c r="D39" s="64">
        <v>28.81</v>
      </c>
      <c r="E39" s="64">
        <v>0.57999999999999996</v>
      </c>
      <c r="F39" s="64">
        <v>0.18</v>
      </c>
      <c r="G39" s="64">
        <v>102.6</v>
      </c>
      <c r="H39" s="64">
        <v>66.39</v>
      </c>
      <c r="I39" s="64">
        <v>1.42</v>
      </c>
      <c r="J39" s="64">
        <v>1.48</v>
      </c>
      <c r="K39" s="64">
        <v>342.99</v>
      </c>
      <c r="L39" s="64">
        <v>24.81</v>
      </c>
      <c r="M39" s="64">
        <v>43.37</v>
      </c>
      <c r="N39" s="64">
        <v>337.2</v>
      </c>
      <c r="O39" s="64">
        <v>0</v>
      </c>
      <c r="P39" s="64">
        <v>1</v>
      </c>
      <c r="Q39" s="64">
        <v>6.06</v>
      </c>
      <c r="S39" s="198"/>
      <c r="T39" s="198"/>
      <c r="U39" s="198"/>
    </row>
    <row r="40" spans="1:21" s="12" customFormat="1" x14ac:dyDescent="0.25">
      <c r="A40" s="214" t="s">
        <v>2389</v>
      </c>
      <c r="B40" s="64">
        <v>18.64</v>
      </c>
      <c r="C40" s="64">
        <v>29.63</v>
      </c>
      <c r="D40" s="64">
        <v>32.590000000000003</v>
      </c>
      <c r="E40" s="64">
        <v>0.25</v>
      </c>
      <c r="F40" s="64">
        <v>0.62</v>
      </c>
      <c r="G40" s="64">
        <v>143.1</v>
      </c>
      <c r="H40" s="64">
        <v>61.37</v>
      </c>
      <c r="I40" s="64">
        <v>1.42</v>
      </c>
      <c r="J40" s="64">
        <v>0.76</v>
      </c>
      <c r="K40" s="64">
        <v>335.57</v>
      </c>
      <c r="L40" s="64">
        <v>25.92</v>
      </c>
      <c r="M40" s="64">
        <v>41.54</v>
      </c>
      <c r="N40" s="64">
        <v>379.4</v>
      </c>
      <c r="O40" s="64">
        <v>0</v>
      </c>
      <c r="P40" s="64">
        <v>0.99</v>
      </c>
      <c r="Q40" s="64">
        <v>6.03</v>
      </c>
      <c r="S40" s="198"/>
      <c r="T40" s="198"/>
      <c r="U40" s="198"/>
    </row>
    <row r="41" spans="1:21" s="12" customFormat="1" x14ac:dyDescent="0.25">
      <c r="A41" s="214" t="s">
        <v>2390</v>
      </c>
      <c r="B41" s="64">
        <v>19.690000000000001</v>
      </c>
      <c r="C41" s="64">
        <v>29.77</v>
      </c>
      <c r="D41" s="64">
        <v>33.51</v>
      </c>
      <c r="E41" s="64">
        <v>0.53</v>
      </c>
      <c r="F41" s="64">
        <v>1.28</v>
      </c>
      <c r="G41" s="64">
        <v>143.1</v>
      </c>
      <c r="H41" s="64">
        <v>61.37</v>
      </c>
      <c r="I41" s="64">
        <v>1.45</v>
      </c>
      <c r="J41" s="64">
        <v>0.63</v>
      </c>
      <c r="K41" s="64">
        <v>333.12</v>
      </c>
      <c r="L41" s="64">
        <v>26.27</v>
      </c>
      <c r="M41" s="64">
        <v>41.2</v>
      </c>
      <c r="N41" s="64">
        <v>438.3</v>
      </c>
      <c r="O41" s="64">
        <v>0</v>
      </c>
      <c r="P41" s="64">
        <v>0.99</v>
      </c>
      <c r="Q41" s="64">
        <v>5.75</v>
      </c>
      <c r="S41" s="198"/>
      <c r="T41" s="198"/>
      <c r="U41" s="198"/>
    </row>
    <row r="42" spans="1:21" s="12" customFormat="1" x14ac:dyDescent="0.25">
      <c r="A42" s="214" t="s">
        <v>2391</v>
      </c>
      <c r="B42" s="64">
        <v>19.96</v>
      </c>
      <c r="C42" s="64">
        <v>27.85</v>
      </c>
      <c r="D42" s="64">
        <v>32.67</v>
      </c>
      <c r="E42" s="64">
        <v>0.6</v>
      </c>
      <c r="F42" s="64">
        <v>1.57</v>
      </c>
      <c r="G42" s="64">
        <v>143.1</v>
      </c>
      <c r="H42" s="64">
        <v>61.37</v>
      </c>
      <c r="I42" s="64">
        <v>1.59</v>
      </c>
      <c r="J42" s="64">
        <v>0.61</v>
      </c>
      <c r="K42" s="64">
        <v>334.9</v>
      </c>
      <c r="L42" s="64">
        <v>27.07</v>
      </c>
      <c r="M42" s="64">
        <v>40.369999999999997</v>
      </c>
      <c r="N42" s="64">
        <v>489.3</v>
      </c>
      <c r="O42" s="64">
        <v>0</v>
      </c>
      <c r="P42" s="64">
        <v>0.99</v>
      </c>
      <c r="Q42" s="64">
        <v>5.85</v>
      </c>
      <c r="S42" s="198"/>
      <c r="T42" s="198"/>
      <c r="U42" s="198"/>
    </row>
    <row r="43" spans="1:21" s="12" customFormat="1" x14ac:dyDescent="0.25">
      <c r="A43" s="214" t="s">
        <v>2392</v>
      </c>
      <c r="B43" s="64">
        <v>21.05</v>
      </c>
      <c r="C43" s="64">
        <v>25.84</v>
      </c>
      <c r="D43" s="64">
        <v>32.44</v>
      </c>
      <c r="E43" s="64">
        <v>0.66</v>
      </c>
      <c r="F43" s="64">
        <v>1.02</v>
      </c>
      <c r="G43" s="64">
        <v>144.56</v>
      </c>
      <c r="H43" s="64">
        <v>61.69</v>
      </c>
      <c r="I43" s="64">
        <v>1.52</v>
      </c>
      <c r="J43" s="64">
        <v>0.55000000000000004</v>
      </c>
      <c r="K43" s="64">
        <v>332.61</v>
      </c>
      <c r="L43" s="64">
        <v>26.29</v>
      </c>
      <c r="M43" s="64">
        <v>45.98</v>
      </c>
      <c r="N43" s="64">
        <v>549.9</v>
      </c>
      <c r="O43" s="64">
        <v>0</v>
      </c>
      <c r="P43" s="64">
        <v>0.99</v>
      </c>
      <c r="Q43" s="64">
        <v>6.2</v>
      </c>
      <c r="S43" s="198"/>
      <c r="T43" s="198"/>
      <c r="U43" s="198"/>
    </row>
    <row r="44" spans="1:21" s="12" customFormat="1" x14ac:dyDescent="0.25">
      <c r="A44" s="214" t="s">
        <v>2393</v>
      </c>
      <c r="B44" s="64">
        <v>20.91</v>
      </c>
      <c r="C44" s="64">
        <v>27.37</v>
      </c>
      <c r="D44" s="64">
        <v>33.159999999999997</v>
      </c>
      <c r="E44" s="64">
        <v>0.57999999999999996</v>
      </c>
      <c r="F44" s="64">
        <v>0.71</v>
      </c>
      <c r="G44" s="64">
        <v>161.81</v>
      </c>
      <c r="H44" s="64">
        <v>64.900000000000006</v>
      </c>
      <c r="I44" s="64">
        <v>1.38</v>
      </c>
      <c r="J44" s="64">
        <v>0.55000000000000004</v>
      </c>
      <c r="K44" s="64">
        <v>313.86</v>
      </c>
      <c r="L44" s="64">
        <v>25.69</v>
      </c>
      <c r="M44" s="64">
        <v>49.9</v>
      </c>
      <c r="N44" s="64">
        <v>602.1</v>
      </c>
      <c r="O44" s="64">
        <v>0</v>
      </c>
      <c r="P44" s="64">
        <v>0.99</v>
      </c>
      <c r="Q44" s="64">
        <v>6.3</v>
      </c>
      <c r="S44" s="198"/>
      <c r="T44" s="198"/>
      <c r="U44" s="198"/>
    </row>
    <row r="45" spans="1:21" s="12" customFormat="1" x14ac:dyDescent="0.25">
      <c r="A45" s="214" t="s">
        <v>2394</v>
      </c>
      <c r="B45" s="64">
        <v>20.85</v>
      </c>
      <c r="C45" s="64">
        <v>25.87</v>
      </c>
      <c r="D45" s="64">
        <v>32.29</v>
      </c>
      <c r="E45" s="64">
        <v>0.57999999999999996</v>
      </c>
      <c r="F45" s="64">
        <v>0.72</v>
      </c>
      <c r="G45" s="64">
        <v>161.81</v>
      </c>
      <c r="H45" s="64">
        <v>64.900000000000006</v>
      </c>
      <c r="I45" s="64">
        <v>1.49</v>
      </c>
      <c r="J45" s="64">
        <v>0.69</v>
      </c>
      <c r="K45" s="64">
        <v>327.89</v>
      </c>
      <c r="L45" s="64">
        <v>25.92</v>
      </c>
      <c r="M45" s="64">
        <v>50.3</v>
      </c>
      <c r="N45" s="64">
        <v>646.6</v>
      </c>
      <c r="O45" s="64">
        <v>0</v>
      </c>
      <c r="P45" s="64">
        <v>0.98</v>
      </c>
      <c r="Q45" s="64">
        <v>6.4</v>
      </c>
      <c r="S45" s="198"/>
      <c r="T45" s="198"/>
      <c r="U45" s="198"/>
    </row>
    <row r="46" spans="1:21" s="12" customFormat="1" x14ac:dyDescent="0.25">
      <c r="A46" s="214" t="s">
        <v>2395</v>
      </c>
      <c r="B46" s="64">
        <v>20.67</v>
      </c>
      <c r="C46" s="64">
        <v>25.55</v>
      </c>
      <c r="D46" s="64">
        <v>31.97</v>
      </c>
      <c r="E46" s="64">
        <v>0.63</v>
      </c>
      <c r="F46" s="64">
        <v>0.66</v>
      </c>
      <c r="G46" s="64">
        <v>161.81</v>
      </c>
      <c r="H46" s="64">
        <v>64.900000000000006</v>
      </c>
      <c r="I46" s="64">
        <v>1.47</v>
      </c>
      <c r="J46" s="64">
        <v>0.33</v>
      </c>
      <c r="K46" s="64">
        <v>344.45</v>
      </c>
      <c r="L46" s="64">
        <v>25.98</v>
      </c>
      <c r="M46" s="64">
        <v>49.79</v>
      </c>
      <c r="N46" s="64">
        <v>676.1</v>
      </c>
      <c r="O46" s="64">
        <v>0</v>
      </c>
      <c r="P46" s="64">
        <v>0.96</v>
      </c>
      <c r="Q46" s="64">
        <v>6.47</v>
      </c>
      <c r="S46" s="198"/>
      <c r="T46" s="198"/>
      <c r="U46" s="198"/>
    </row>
    <row r="47" spans="1:21" s="12" customFormat="1" x14ac:dyDescent="0.25">
      <c r="A47" s="214" t="s">
        <v>2396</v>
      </c>
      <c r="B47" s="64">
        <v>20.010000000000002</v>
      </c>
      <c r="C47" s="64">
        <v>26.09</v>
      </c>
      <c r="D47" s="64">
        <v>31.73</v>
      </c>
      <c r="E47" s="64">
        <v>0.55000000000000004</v>
      </c>
      <c r="F47" s="64">
        <v>0.6</v>
      </c>
      <c r="G47" s="64">
        <v>159.16999999999999</v>
      </c>
      <c r="H47" s="64">
        <v>64.22</v>
      </c>
      <c r="I47" s="64">
        <v>1.51</v>
      </c>
      <c r="J47" s="64">
        <v>1.06</v>
      </c>
      <c r="K47" s="64">
        <v>338.6</v>
      </c>
      <c r="L47" s="64">
        <v>28.3</v>
      </c>
      <c r="M47" s="64">
        <v>39.840000000000003</v>
      </c>
      <c r="N47" s="64">
        <v>711.6</v>
      </c>
      <c r="O47" s="64">
        <v>0</v>
      </c>
      <c r="P47" s="64">
        <v>0.95</v>
      </c>
      <c r="Q47" s="64">
        <v>6.43</v>
      </c>
      <c r="S47" s="198"/>
      <c r="T47" s="198"/>
      <c r="U47" s="198"/>
    </row>
    <row r="48" spans="1:21" s="12" customFormat="1" x14ac:dyDescent="0.25">
      <c r="A48" s="214" t="s">
        <v>2397</v>
      </c>
      <c r="B48" s="64">
        <v>19.329999999999998</v>
      </c>
      <c r="C48" s="64">
        <v>26.29</v>
      </c>
      <c r="D48" s="64">
        <v>31.31</v>
      </c>
      <c r="E48" s="64">
        <v>0.62</v>
      </c>
      <c r="F48" s="64">
        <v>0.66</v>
      </c>
      <c r="G48" s="64">
        <v>127.9</v>
      </c>
      <c r="H48" s="64">
        <v>57.43</v>
      </c>
      <c r="I48" s="64">
        <v>1.44</v>
      </c>
      <c r="J48" s="64">
        <v>0.72</v>
      </c>
      <c r="K48" s="64">
        <v>338.8</v>
      </c>
      <c r="L48" s="64">
        <v>28.31</v>
      </c>
      <c r="M48" s="64">
        <v>46.31</v>
      </c>
      <c r="N48" s="64">
        <v>748.9</v>
      </c>
      <c r="O48" s="64">
        <v>0</v>
      </c>
      <c r="P48" s="64">
        <v>0.95</v>
      </c>
      <c r="Q48" s="64">
        <v>6.35</v>
      </c>
      <c r="S48" s="198"/>
      <c r="T48" s="198"/>
      <c r="U48" s="198"/>
    </row>
    <row r="49" spans="1:21" s="12" customFormat="1" x14ac:dyDescent="0.25">
      <c r="A49" s="214" t="s">
        <v>2398</v>
      </c>
      <c r="B49" s="64">
        <v>19.13</v>
      </c>
      <c r="C49" s="64">
        <v>27.35</v>
      </c>
      <c r="D49" s="64">
        <v>31.73</v>
      </c>
      <c r="E49" s="64">
        <v>0.66</v>
      </c>
      <c r="F49" s="64">
        <v>1.21</v>
      </c>
      <c r="G49" s="64">
        <v>127.9</v>
      </c>
      <c r="H49" s="64">
        <v>57.43</v>
      </c>
      <c r="I49" s="64">
        <v>1.5</v>
      </c>
      <c r="J49" s="64">
        <v>0.28000000000000003</v>
      </c>
      <c r="K49" s="64">
        <v>345.15</v>
      </c>
      <c r="L49" s="64">
        <v>26.8</v>
      </c>
      <c r="M49" s="64">
        <v>46.32</v>
      </c>
      <c r="N49" s="64">
        <v>754</v>
      </c>
      <c r="O49" s="64">
        <v>0</v>
      </c>
      <c r="P49" s="64">
        <v>0.92</v>
      </c>
      <c r="Q49" s="64">
        <v>6.28</v>
      </c>
      <c r="S49" s="198"/>
      <c r="T49" s="198"/>
      <c r="U49" s="198"/>
    </row>
    <row r="50" spans="1:21" s="12" customFormat="1" x14ac:dyDescent="0.25">
      <c r="A50" s="214" t="s">
        <v>2399</v>
      </c>
      <c r="B50" s="64">
        <v>17.440000000000001</v>
      </c>
      <c r="C50" s="64">
        <v>25.03</v>
      </c>
      <c r="D50" s="64">
        <v>29.09</v>
      </c>
      <c r="E50" s="64">
        <v>0.86</v>
      </c>
      <c r="F50" s="64">
        <v>2.48</v>
      </c>
      <c r="G50" s="64">
        <v>127.9</v>
      </c>
      <c r="H50" s="64">
        <v>57.43</v>
      </c>
      <c r="I50" s="64">
        <v>1.56</v>
      </c>
      <c r="J50" s="64">
        <v>0.62</v>
      </c>
      <c r="K50" s="64">
        <v>356.86</v>
      </c>
      <c r="L50" s="64">
        <v>28.36</v>
      </c>
      <c r="M50" s="64">
        <v>39.380000000000003</v>
      </c>
      <c r="N50" s="64">
        <v>786.8</v>
      </c>
      <c r="O50" s="64">
        <v>0</v>
      </c>
      <c r="P50" s="64">
        <v>0.91</v>
      </c>
      <c r="Q50" s="64">
        <v>6.16</v>
      </c>
      <c r="S50" s="198"/>
      <c r="T50" s="198"/>
      <c r="U50" s="198"/>
    </row>
    <row r="51" spans="1:21" s="12" customFormat="1" x14ac:dyDescent="0.25">
      <c r="A51" s="214" t="s">
        <v>2400</v>
      </c>
      <c r="B51" s="64">
        <v>17.46</v>
      </c>
      <c r="C51" s="64">
        <v>29.57</v>
      </c>
      <c r="D51" s="64">
        <v>31.61</v>
      </c>
      <c r="E51" s="64">
        <v>0.88</v>
      </c>
      <c r="F51" s="64">
        <v>3.33</v>
      </c>
      <c r="G51" s="64">
        <v>124.93</v>
      </c>
      <c r="H51" s="64">
        <v>56.98</v>
      </c>
      <c r="I51" s="64">
        <v>1.53</v>
      </c>
      <c r="J51" s="64">
        <v>0.47</v>
      </c>
      <c r="K51" s="64">
        <v>0.19</v>
      </c>
      <c r="L51" s="64">
        <v>29.5</v>
      </c>
      <c r="M51" s="64">
        <v>37.94</v>
      </c>
      <c r="N51" s="64">
        <v>793.4</v>
      </c>
      <c r="O51" s="64">
        <v>0</v>
      </c>
      <c r="P51" s="64">
        <v>0.89</v>
      </c>
      <c r="Q51" s="64">
        <v>6.16</v>
      </c>
      <c r="S51" s="198"/>
      <c r="T51" s="198"/>
      <c r="U51" s="198"/>
    </row>
    <row r="52" spans="1:21" s="12" customFormat="1" x14ac:dyDescent="0.25">
      <c r="A52" s="214" t="s">
        <v>2401</v>
      </c>
      <c r="B52" s="64">
        <v>16.489999999999998</v>
      </c>
      <c r="C52" s="64">
        <v>27.95</v>
      </c>
      <c r="D52" s="64">
        <v>29.94</v>
      </c>
      <c r="E52" s="64">
        <v>0.88</v>
      </c>
      <c r="F52" s="64">
        <v>3.46</v>
      </c>
      <c r="G52" s="64">
        <v>89.78</v>
      </c>
      <c r="H52" s="64">
        <v>52.55</v>
      </c>
      <c r="I52" s="64">
        <v>1.53</v>
      </c>
      <c r="J52" s="64">
        <v>0.82</v>
      </c>
      <c r="K52" s="64">
        <v>355.98</v>
      </c>
      <c r="L52" s="64">
        <v>29.14</v>
      </c>
      <c r="M52" s="64">
        <v>37.450000000000003</v>
      </c>
      <c r="N52" s="64">
        <v>792.5</v>
      </c>
      <c r="O52" s="64">
        <v>0</v>
      </c>
      <c r="P52" s="64">
        <v>0.88</v>
      </c>
      <c r="Q52" s="64">
        <v>6.13</v>
      </c>
      <c r="S52" s="198"/>
      <c r="T52" s="198"/>
      <c r="U52" s="198"/>
    </row>
    <row r="53" spans="1:21" s="12" customFormat="1" x14ac:dyDescent="0.25">
      <c r="A53" s="214" t="s">
        <v>2402</v>
      </c>
      <c r="B53" s="64">
        <v>15.3</v>
      </c>
      <c r="C53" s="64">
        <v>27.99</v>
      </c>
      <c r="D53" s="64">
        <v>29.01</v>
      </c>
      <c r="E53" s="64">
        <v>0.99</v>
      </c>
      <c r="F53" s="64">
        <v>5.34</v>
      </c>
      <c r="G53" s="64">
        <v>89.78</v>
      </c>
      <c r="H53" s="64">
        <v>52.55</v>
      </c>
      <c r="I53" s="64">
        <v>1.54</v>
      </c>
      <c r="J53" s="64">
        <v>0.81</v>
      </c>
      <c r="K53" s="64">
        <v>339.96</v>
      </c>
      <c r="L53" s="64">
        <v>29.86</v>
      </c>
      <c r="M53" s="64">
        <v>34.92</v>
      </c>
      <c r="N53" s="64">
        <v>825.3</v>
      </c>
      <c r="O53" s="64">
        <v>0</v>
      </c>
      <c r="P53" s="64">
        <v>0.87</v>
      </c>
      <c r="Q53" s="64">
        <v>6.09</v>
      </c>
      <c r="S53" s="198"/>
      <c r="T53" s="198"/>
      <c r="U53" s="198"/>
    </row>
    <row r="54" spans="1:21" s="12" customFormat="1" x14ac:dyDescent="0.25">
      <c r="A54" s="214" t="s">
        <v>2403</v>
      </c>
      <c r="B54" s="64">
        <v>13.8</v>
      </c>
      <c r="C54" s="64">
        <v>27.08</v>
      </c>
      <c r="D54" s="64">
        <v>27.3</v>
      </c>
      <c r="E54" s="64">
        <v>1.1200000000000001</v>
      </c>
      <c r="F54" s="64">
        <v>4.04</v>
      </c>
      <c r="G54" s="64">
        <v>89.78</v>
      </c>
      <c r="H54" s="64">
        <v>52.55</v>
      </c>
      <c r="I54" s="64">
        <v>1.52</v>
      </c>
      <c r="J54" s="64">
        <v>0.61</v>
      </c>
      <c r="K54" s="64">
        <v>92.21</v>
      </c>
      <c r="L54" s="64">
        <v>27.92</v>
      </c>
      <c r="M54" s="64">
        <v>36.72</v>
      </c>
      <c r="N54" s="64">
        <v>839</v>
      </c>
      <c r="O54" s="64">
        <v>0</v>
      </c>
      <c r="P54" s="64">
        <v>0.84</v>
      </c>
      <c r="Q54" s="64">
        <v>6.04</v>
      </c>
      <c r="S54" s="198"/>
      <c r="T54" s="198"/>
      <c r="U54" s="198"/>
    </row>
    <row r="55" spans="1:21" s="12" customFormat="1" x14ac:dyDescent="0.25">
      <c r="A55" s="214" t="s">
        <v>2404</v>
      </c>
      <c r="B55" s="64">
        <v>12.44</v>
      </c>
      <c r="C55" s="64">
        <v>24.91</v>
      </c>
      <c r="D55" s="64">
        <v>25.01</v>
      </c>
      <c r="E55" s="64">
        <v>1.19</v>
      </c>
      <c r="F55" s="64">
        <v>3.65</v>
      </c>
      <c r="G55" s="64">
        <v>88.17</v>
      </c>
      <c r="H55" s="64">
        <v>51.89</v>
      </c>
      <c r="I55" s="64">
        <v>1.46</v>
      </c>
      <c r="J55" s="64">
        <v>0.25</v>
      </c>
      <c r="K55" s="64">
        <v>27.35</v>
      </c>
      <c r="L55" s="64">
        <v>29.05</v>
      </c>
      <c r="M55" s="64">
        <v>32.340000000000003</v>
      </c>
      <c r="N55" s="64">
        <v>847.5</v>
      </c>
      <c r="O55" s="64">
        <v>0</v>
      </c>
      <c r="P55" s="64">
        <v>0.82</v>
      </c>
      <c r="Q55" s="64">
        <v>5.94</v>
      </c>
      <c r="S55" s="198"/>
      <c r="T55" s="198"/>
      <c r="U55" s="198"/>
    </row>
    <row r="56" spans="1:21" s="12" customFormat="1" x14ac:dyDescent="0.25">
      <c r="A56" s="214" t="s">
        <v>2405</v>
      </c>
      <c r="B56" s="64">
        <v>11.05</v>
      </c>
      <c r="C56" s="64">
        <v>25.79</v>
      </c>
      <c r="D56" s="64">
        <v>24.38</v>
      </c>
      <c r="E56" s="64">
        <v>0.69</v>
      </c>
      <c r="F56" s="64">
        <v>1.72</v>
      </c>
      <c r="G56" s="64">
        <v>69.09</v>
      </c>
      <c r="H56" s="64">
        <v>45.27</v>
      </c>
      <c r="I56" s="64">
        <v>1.53</v>
      </c>
      <c r="J56" s="64">
        <v>0.4</v>
      </c>
      <c r="K56" s="64">
        <v>88.37</v>
      </c>
      <c r="L56" s="64">
        <v>28.92</v>
      </c>
      <c r="M56" s="64">
        <v>31.98</v>
      </c>
      <c r="N56" s="64">
        <v>832.7</v>
      </c>
      <c r="O56" s="64">
        <v>0</v>
      </c>
      <c r="P56" s="64">
        <v>0.81</v>
      </c>
      <c r="Q56" s="64">
        <v>5.8</v>
      </c>
      <c r="S56" s="198"/>
      <c r="T56" s="198"/>
      <c r="U56" s="198"/>
    </row>
    <row r="57" spans="1:21" s="12" customFormat="1" x14ac:dyDescent="0.25">
      <c r="A57" s="214" t="s">
        <v>2406</v>
      </c>
      <c r="B57" s="64">
        <v>9.76</v>
      </c>
      <c r="C57" s="64">
        <v>26.17</v>
      </c>
      <c r="D57" s="64">
        <v>23.56</v>
      </c>
      <c r="E57" s="64">
        <v>1.1200000000000001</v>
      </c>
      <c r="F57" s="64">
        <v>2.0699999999999998</v>
      </c>
      <c r="G57" s="64">
        <v>69.09</v>
      </c>
      <c r="H57" s="64">
        <v>45.27</v>
      </c>
      <c r="I57" s="64">
        <v>1.48</v>
      </c>
      <c r="J57" s="64">
        <v>0.46</v>
      </c>
      <c r="K57" s="64">
        <v>99.71</v>
      </c>
      <c r="L57" s="64">
        <v>28.14</v>
      </c>
      <c r="M57" s="64">
        <v>32.72</v>
      </c>
      <c r="N57" s="64">
        <v>818.4</v>
      </c>
      <c r="O57" s="64">
        <v>0</v>
      </c>
      <c r="P57" s="64">
        <v>0.78</v>
      </c>
      <c r="Q57" s="64">
        <v>5.68</v>
      </c>
      <c r="S57" s="198"/>
      <c r="T57" s="198"/>
      <c r="U57" s="198"/>
    </row>
    <row r="58" spans="1:21" s="12" customFormat="1" x14ac:dyDescent="0.25">
      <c r="A58" s="214" t="s">
        <v>2407</v>
      </c>
      <c r="B58" s="64">
        <v>8.6</v>
      </c>
      <c r="C58" s="64">
        <v>27.06</v>
      </c>
      <c r="D58" s="64">
        <v>23.12</v>
      </c>
      <c r="E58" s="64">
        <v>0.98</v>
      </c>
      <c r="F58" s="64">
        <v>2.11</v>
      </c>
      <c r="G58" s="64">
        <v>69.09</v>
      </c>
      <c r="H58" s="64">
        <v>45.27</v>
      </c>
      <c r="I58" s="64">
        <v>1.48</v>
      </c>
      <c r="J58" s="64">
        <v>0.56999999999999995</v>
      </c>
      <c r="K58" s="64">
        <v>69.52</v>
      </c>
      <c r="L58" s="64">
        <v>28.8</v>
      </c>
      <c r="M58" s="64">
        <v>31.95</v>
      </c>
      <c r="N58" s="64">
        <v>779</v>
      </c>
      <c r="O58" s="64">
        <v>0</v>
      </c>
      <c r="P58" s="64">
        <v>0.76</v>
      </c>
      <c r="Q58" s="64">
        <v>5.49</v>
      </c>
      <c r="S58" s="198"/>
      <c r="T58" s="198"/>
      <c r="U58" s="198"/>
    </row>
    <row r="59" spans="1:21" s="12" customFormat="1" x14ac:dyDescent="0.25">
      <c r="A59" s="214" t="s">
        <v>2408</v>
      </c>
      <c r="B59" s="64">
        <v>7.45</v>
      </c>
      <c r="C59" s="64">
        <v>26.3</v>
      </c>
      <c r="D59" s="64">
        <v>21.78</v>
      </c>
      <c r="E59" s="64">
        <v>1.08</v>
      </c>
      <c r="F59" s="64">
        <v>3.8</v>
      </c>
      <c r="G59" s="64">
        <v>69.489999999999995</v>
      </c>
      <c r="H59" s="64">
        <v>45.22</v>
      </c>
      <c r="I59" s="64">
        <v>1.49</v>
      </c>
      <c r="J59" s="64">
        <v>0.51</v>
      </c>
      <c r="K59" s="64">
        <v>73.760000000000005</v>
      </c>
      <c r="L59" s="64">
        <v>27.83</v>
      </c>
      <c r="M59" s="64">
        <v>34.03</v>
      </c>
      <c r="N59" s="64">
        <v>762.1</v>
      </c>
      <c r="O59" s="64">
        <v>0</v>
      </c>
      <c r="P59" s="64">
        <v>0.72</v>
      </c>
      <c r="Q59" s="64">
        <v>5.49</v>
      </c>
      <c r="S59" s="198"/>
      <c r="T59" s="198"/>
      <c r="U59" s="198"/>
    </row>
    <row r="60" spans="1:21" s="12" customFormat="1" x14ac:dyDescent="0.25">
      <c r="A60" s="214" t="s">
        <v>2409</v>
      </c>
      <c r="B60" s="64">
        <v>6.98</v>
      </c>
      <c r="C60" s="64">
        <v>28.47</v>
      </c>
      <c r="D60" s="64">
        <v>22.6</v>
      </c>
      <c r="E60" s="64">
        <v>1.07</v>
      </c>
      <c r="F60" s="64">
        <v>3.54</v>
      </c>
      <c r="G60" s="64">
        <v>74.319999999999993</v>
      </c>
      <c r="H60" s="64">
        <v>44.8</v>
      </c>
      <c r="I60" s="64">
        <v>1.57</v>
      </c>
      <c r="J60" s="64">
        <v>0.36</v>
      </c>
      <c r="K60" s="64">
        <v>97.39</v>
      </c>
      <c r="L60" s="64">
        <v>28.33</v>
      </c>
      <c r="M60" s="64">
        <v>33.15</v>
      </c>
      <c r="N60" s="64">
        <v>723</v>
      </c>
      <c r="O60" s="64">
        <v>0</v>
      </c>
      <c r="P60" s="64">
        <v>0.7</v>
      </c>
      <c r="Q60" s="64">
        <v>5.29</v>
      </c>
      <c r="S60" s="198"/>
      <c r="T60" s="198"/>
      <c r="U60" s="198"/>
    </row>
    <row r="61" spans="1:21" s="12" customFormat="1" x14ac:dyDescent="0.25">
      <c r="A61" s="214" t="s">
        <v>2410</v>
      </c>
      <c r="B61" s="64">
        <v>6.62</v>
      </c>
      <c r="C61" s="64">
        <v>30.18</v>
      </c>
      <c r="D61" s="64">
        <v>23.26</v>
      </c>
      <c r="E61" s="64">
        <v>1.03</v>
      </c>
      <c r="F61" s="64">
        <v>5.01</v>
      </c>
      <c r="G61" s="64">
        <v>74.319999999999993</v>
      </c>
      <c r="H61" s="64">
        <v>44.8</v>
      </c>
      <c r="I61" s="64">
        <v>1.55</v>
      </c>
      <c r="J61" s="64">
        <v>0.55000000000000004</v>
      </c>
      <c r="K61" s="64">
        <v>100.6</v>
      </c>
      <c r="L61" s="64">
        <v>27.74</v>
      </c>
      <c r="M61" s="64">
        <v>33.72</v>
      </c>
      <c r="N61" s="64">
        <v>705.1</v>
      </c>
      <c r="O61" s="64">
        <v>0</v>
      </c>
      <c r="P61" s="64">
        <v>0.65</v>
      </c>
      <c r="Q61" s="64">
        <v>5.28</v>
      </c>
      <c r="S61" s="198"/>
      <c r="T61" s="198"/>
      <c r="U61" s="198"/>
    </row>
    <row r="62" spans="1:21" s="12" customFormat="1" x14ac:dyDescent="0.25">
      <c r="A62" s="214" t="s">
        <v>2411</v>
      </c>
      <c r="B62" s="64">
        <v>6.72</v>
      </c>
      <c r="C62" s="64">
        <v>28.19</v>
      </c>
      <c r="D62" s="64">
        <v>22.24</v>
      </c>
      <c r="E62" s="64">
        <v>1.23</v>
      </c>
      <c r="F62" s="64">
        <v>7.21</v>
      </c>
      <c r="G62" s="64">
        <v>74.319999999999993</v>
      </c>
      <c r="H62" s="64">
        <v>44.8</v>
      </c>
      <c r="I62" s="64">
        <v>1.46</v>
      </c>
      <c r="J62" s="64">
        <v>0.42</v>
      </c>
      <c r="K62" s="64">
        <v>53.12</v>
      </c>
      <c r="L62" s="64">
        <v>27.8</v>
      </c>
      <c r="M62" s="64">
        <v>33.049999999999997</v>
      </c>
      <c r="N62" s="64">
        <v>593.70000000000005</v>
      </c>
      <c r="O62" s="64">
        <v>0</v>
      </c>
      <c r="P62" s="64">
        <v>0.69</v>
      </c>
      <c r="Q62" s="64">
        <v>5.18</v>
      </c>
      <c r="S62" s="198"/>
      <c r="T62" s="198"/>
      <c r="U62" s="198"/>
    </row>
    <row r="63" spans="1:21" s="12" customFormat="1" x14ac:dyDescent="0.25">
      <c r="A63" s="214" t="s">
        <v>2412</v>
      </c>
      <c r="B63" s="64">
        <v>6.53</v>
      </c>
      <c r="C63" s="64">
        <v>24.48</v>
      </c>
      <c r="D63" s="64">
        <v>20.04</v>
      </c>
      <c r="E63" s="64">
        <v>1.07</v>
      </c>
      <c r="F63" s="64">
        <v>6.08</v>
      </c>
      <c r="G63" s="64">
        <v>73.900000000000006</v>
      </c>
      <c r="H63" s="64">
        <v>43.42</v>
      </c>
      <c r="I63" s="64">
        <v>1.55</v>
      </c>
      <c r="J63" s="64">
        <v>0.14000000000000001</v>
      </c>
      <c r="K63" s="64">
        <v>35.44</v>
      </c>
      <c r="L63" s="64">
        <v>28.35</v>
      </c>
      <c r="M63" s="64">
        <v>33.450000000000003</v>
      </c>
      <c r="N63" s="64">
        <v>288.89999999999998</v>
      </c>
      <c r="O63" s="64">
        <v>0</v>
      </c>
      <c r="P63" s="64">
        <v>0.66</v>
      </c>
      <c r="Q63" s="64">
        <v>5.05</v>
      </c>
      <c r="S63" s="198"/>
      <c r="T63" s="198"/>
      <c r="U63" s="198"/>
    </row>
    <row r="64" spans="1:21" s="12" customFormat="1" x14ac:dyDescent="0.25">
      <c r="A64" s="214" t="s">
        <v>2413</v>
      </c>
      <c r="B64" s="64">
        <v>5.79</v>
      </c>
      <c r="C64" s="64">
        <v>25.51</v>
      </c>
      <c r="D64" s="64">
        <v>20.02</v>
      </c>
      <c r="E64" s="64">
        <v>1.3</v>
      </c>
      <c r="F64" s="64">
        <v>6.07</v>
      </c>
      <c r="G64" s="64">
        <v>68.900000000000006</v>
      </c>
      <c r="H64" s="64">
        <v>29.6</v>
      </c>
      <c r="I64" s="64">
        <v>1.48</v>
      </c>
      <c r="J64" s="64">
        <v>0.51</v>
      </c>
      <c r="K64" s="64">
        <v>357.96</v>
      </c>
      <c r="L64" s="64">
        <v>27.83</v>
      </c>
      <c r="M64" s="64">
        <v>35.450000000000003</v>
      </c>
      <c r="N64" s="64">
        <v>415.3</v>
      </c>
      <c r="O64" s="64">
        <v>0</v>
      </c>
      <c r="P64" s="64">
        <v>0.66</v>
      </c>
      <c r="Q64" s="64">
        <v>5.0599999999999996</v>
      </c>
      <c r="S64" s="198"/>
      <c r="T64" s="198"/>
      <c r="U64" s="198"/>
    </row>
    <row r="65" spans="1:21" s="12" customFormat="1" x14ac:dyDescent="0.25">
      <c r="A65" s="214" t="s">
        <v>2414</v>
      </c>
      <c r="B65" s="64">
        <v>5.57</v>
      </c>
      <c r="C65" s="64">
        <v>25.58</v>
      </c>
      <c r="D65" s="64">
        <v>19.88</v>
      </c>
      <c r="E65" s="64">
        <v>1.44</v>
      </c>
      <c r="F65" s="64">
        <v>9.76</v>
      </c>
      <c r="G65" s="64">
        <v>68.900000000000006</v>
      </c>
      <c r="H65" s="64">
        <v>29.6</v>
      </c>
      <c r="I65" s="64">
        <v>1.49</v>
      </c>
      <c r="J65" s="64">
        <v>0.35</v>
      </c>
      <c r="K65" s="64">
        <v>62.21</v>
      </c>
      <c r="L65" s="64">
        <v>27.3</v>
      </c>
      <c r="M65" s="64">
        <v>36.82</v>
      </c>
      <c r="N65" s="64">
        <v>225.1</v>
      </c>
      <c r="O65" s="64">
        <v>0</v>
      </c>
      <c r="P65" s="64">
        <v>0.63</v>
      </c>
      <c r="Q65" s="64">
        <v>5.1100000000000003</v>
      </c>
      <c r="S65" s="198"/>
      <c r="T65" s="198"/>
      <c r="U65" s="198"/>
    </row>
    <row r="66" spans="1:21" s="12" customFormat="1" x14ac:dyDescent="0.25">
      <c r="A66" s="214" t="s">
        <v>2415</v>
      </c>
      <c r="B66" s="64">
        <v>5.58</v>
      </c>
      <c r="C66" s="64">
        <v>21.83</v>
      </c>
      <c r="D66" s="64">
        <v>17.809999999999999</v>
      </c>
      <c r="E66" s="64">
        <v>1.71</v>
      </c>
      <c r="F66" s="64">
        <v>9.7100000000000009</v>
      </c>
      <c r="G66" s="64">
        <v>68.900000000000006</v>
      </c>
      <c r="H66" s="64">
        <v>29.6</v>
      </c>
      <c r="I66" s="64">
        <v>1.42</v>
      </c>
      <c r="J66" s="64">
        <v>0.4</v>
      </c>
      <c r="K66" s="64">
        <v>341.43</v>
      </c>
      <c r="L66" s="64">
        <v>27.64</v>
      </c>
      <c r="M66" s="64">
        <v>34.07</v>
      </c>
      <c r="N66" s="64">
        <v>225.2</v>
      </c>
      <c r="O66" s="64">
        <v>0</v>
      </c>
      <c r="P66" s="64">
        <v>0.68</v>
      </c>
      <c r="Q66" s="64">
        <v>5.07</v>
      </c>
      <c r="S66" s="198"/>
      <c r="T66" s="198"/>
      <c r="U66" s="198"/>
    </row>
    <row r="67" spans="1:21" s="12" customFormat="1" x14ac:dyDescent="0.25">
      <c r="A67" s="214" t="s">
        <v>2416</v>
      </c>
      <c r="B67" s="64">
        <v>4.8099999999999996</v>
      </c>
      <c r="C67" s="64">
        <v>22.8</v>
      </c>
      <c r="D67" s="64">
        <v>17.73</v>
      </c>
      <c r="E67" s="64">
        <v>1.71</v>
      </c>
      <c r="F67" s="64">
        <v>5.39</v>
      </c>
      <c r="G67" s="64">
        <v>69.47</v>
      </c>
      <c r="H67" s="64">
        <v>29.75</v>
      </c>
      <c r="I67" s="64">
        <v>1.51</v>
      </c>
      <c r="J67" s="64">
        <v>0.47</v>
      </c>
      <c r="K67" s="64">
        <v>13.4</v>
      </c>
      <c r="L67" s="64">
        <v>27.32</v>
      </c>
      <c r="M67" s="64">
        <v>34.340000000000003</v>
      </c>
      <c r="N67" s="64">
        <v>231.4</v>
      </c>
      <c r="O67" s="64">
        <v>0</v>
      </c>
      <c r="P67" s="64">
        <v>0.66</v>
      </c>
      <c r="Q67" s="64">
        <v>5.0999999999999996</v>
      </c>
      <c r="S67" s="198"/>
      <c r="T67" s="198"/>
      <c r="U67" s="198"/>
    </row>
    <row r="68" spans="1:21" s="12" customFormat="1" x14ac:dyDescent="0.25">
      <c r="A68" s="214" t="s">
        <v>2417</v>
      </c>
      <c r="B68" s="64">
        <v>5.47</v>
      </c>
      <c r="C68" s="64">
        <v>23.84</v>
      </c>
      <c r="D68" s="64">
        <v>18.829999999999998</v>
      </c>
      <c r="E68" s="64">
        <v>1.53</v>
      </c>
      <c r="F68" s="64">
        <v>5.78</v>
      </c>
      <c r="G68" s="64">
        <v>76.11</v>
      </c>
      <c r="H68" s="64">
        <v>31.32</v>
      </c>
      <c r="I68" s="64">
        <v>1.56</v>
      </c>
      <c r="J68" s="64">
        <v>1.45</v>
      </c>
      <c r="K68" s="64">
        <v>338.96</v>
      </c>
      <c r="L68" s="64">
        <v>27.51</v>
      </c>
      <c r="M68" s="64">
        <v>34.11</v>
      </c>
      <c r="N68" s="64">
        <v>127.7</v>
      </c>
      <c r="O68" s="64">
        <v>0</v>
      </c>
      <c r="P68" s="64">
        <v>0.68</v>
      </c>
      <c r="Q68" s="64">
        <v>5.05</v>
      </c>
      <c r="S68" s="198"/>
      <c r="T68" s="198"/>
      <c r="U68" s="198"/>
    </row>
    <row r="69" spans="1:21" s="12" customFormat="1" x14ac:dyDescent="0.25">
      <c r="A69" s="214" t="s">
        <v>2418</v>
      </c>
      <c r="B69" s="64">
        <v>4.84</v>
      </c>
      <c r="C69" s="64">
        <v>28.64</v>
      </c>
      <c r="D69" s="64">
        <v>20.98</v>
      </c>
      <c r="E69" s="64">
        <v>1.67</v>
      </c>
      <c r="F69" s="64">
        <v>9.7899999999999991</v>
      </c>
      <c r="G69" s="64">
        <v>76.11</v>
      </c>
      <c r="H69" s="64">
        <v>31.32</v>
      </c>
      <c r="I69" s="64">
        <v>1.51</v>
      </c>
      <c r="J69" s="64">
        <v>0.41</v>
      </c>
      <c r="K69" s="64">
        <v>90.49</v>
      </c>
      <c r="L69" s="64">
        <v>26.85</v>
      </c>
      <c r="M69" s="64">
        <v>35.29</v>
      </c>
      <c r="N69" s="64">
        <v>117.5</v>
      </c>
      <c r="O69" s="64">
        <v>0</v>
      </c>
      <c r="P69" s="64">
        <v>0.67</v>
      </c>
      <c r="Q69" s="64">
        <v>4.9800000000000004</v>
      </c>
      <c r="S69" s="198"/>
      <c r="T69" s="198"/>
      <c r="U69" s="198"/>
    </row>
    <row r="70" spans="1:21" s="12" customFormat="1" x14ac:dyDescent="0.25">
      <c r="A70" s="214" t="s">
        <v>2419</v>
      </c>
      <c r="B70" s="64">
        <v>5.21</v>
      </c>
      <c r="C70" s="64">
        <v>24.44</v>
      </c>
      <c r="D70" s="64">
        <v>18.96</v>
      </c>
      <c r="E70" s="64">
        <v>1.74</v>
      </c>
      <c r="F70" s="64">
        <v>5.53</v>
      </c>
      <c r="G70" s="64">
        <v>76.11</v>
      </c>
      <c r="H70" s="64">
        <v>31.32</v>
      </c>
      <c r="I70" s="64">
        <v>1.52</v>
      </c>
      <c r="J70" s="64">
        <v>1.07</v>
      </c>
      <c r="K70" s="64">
        <v>334.22</v>
      </c>
      <c r="L70" s="64">
        <v>26.79</v>
      </c>
      <c r="M70" s="64">
        <v>36.409999999999997</v>
      </c>
      <c r="N70" s="64">
        <v>111.2</v>
      </c>
      <c r="O70" s="64">
        <v>0</v>
      </c>
      <c r="P70" s="64">
        <v>0.67</v>
      </c>
      <c r="Q70" s="64">
        <v>5.04</v>
      </c>
      <c r="S70" s="198"/>
      <c r="T70" s="198"/>
      <c r="U70" s="198"/>
    </row>
    <row r="71" spans="1:21" s="12" customFormat="1" x14ac:dyDescent="0.25">
      <c r="A71" s="214" t="s">
        <v>2420</v>
      </c>
      <c r="B71" s="64">
        <v>5.29</v>
      </c>
      <c r="C71" s="64">
        <v>26.66</v>
      </c>
      <c r="D71" s="64">
        <v>20.25</v>
      </c>
      <c r="E71" s="64">
        <v>1.47</v>
      </c>
      <c r="F71" s="64">
        <v>7.93</v>
      </c>
      <c r="G71" s="64">
        <v>77.77</v>
      </c>
      <c r="H71" s="64">
        <v>30.83</v>
      </c>
      <c r="I71" s="64">
        <v>1.49</v>
      </c>
      <c r="J71" s="64">
        <v>0.53</v>
      </c>
      <c r="K71" s="64">
        <v>346.75</v>
      </c>
      <c r="L71" s="64">
        <v>26.75</v>
      </c>
      <c r="M71" s="64">
        <v>36.22</v>
      </c>
      <c r="N71" s="64">
        <v>101.4</v>
      </c>
      <c r="O71" s="64">
        <v>0</v>
      </c>
      <c r="P71" s="64">
        <v>0.67</v>
      </c>
      <c r="Q71" s="64">
        <v>4.9800000000000004</v>
      </c>
      <c r="S71" s="198"/>
      <c r="T71" s="198"/>
      <c r="U71" s="198"/>
    </row>
    <row r="72" spans="1:21" s="12" customFormat="1" x14ac:dyDescent="0.25">
      <c r="A72" s="214" t="s">
        <v>2421</v>
      </c>
      <c r="B72" s="64">
        <v>3.8</v>
      </c>
      <c r="C72" s="64">
        <v>28.65</v>
      </c>
      <c r="D72" s="64">
        <v>20.149999999999999</v>
      </c>
      <c r="E72" s="64">
        <v>0.89</v>
      </c>
      <c r="F72" s="64">
        <v>6.35</v>
      </c>
      <c r="G72" s="64">
        <v>97.35</v>
      </c>
      <c r="H72" s="64">
        <v>25.97</v>
      </c>
      <c r="I72" s="64">
        <v>1.51</v>
      </c>
      <c r="J72" s="64">
        <v>0.75</v>
      </c>
      <c r="K72" s="64">
        <v>358.13</v>
      </c>
      <c r="L72" s="64">
        <v>26.18</v>
      </c>
      <c r="M72" s="64">
        <v>37.28</v>
      </c>
      <c r="N72" s="64">
        <v>89.1</v>
      </c>
      <c r="O72" s="64">
        <v>0</v>
      </c>
      <c r="P72" s="64">
        <v>0.67</v>
      </c>
      <c r="Q72" s="64">
        <v>4.6900000000000004</v>
      </c>
      <c r="S72" s="198"/>
      <c r="T72" s="198"/>
      <c r="U72" s="198"/>
    </row>
    <row r="73" spans="1:21" s="12" customFormat="1" x14ac:dyDescent="0.25">
      <c r="A73" s="214" t="s">
        <v>2422</v>
      </c>
      <c r="B73" s="64">
        <v>4.16</v>
      </c>
      <c r="C73" s="64">
        <v>28.41</v>
      </c>
      <c r="D73" s="64">
        <v>20.309999999999999</v>
      </c>
      <c r="E73" s="64">
        <v>1.26</v>
      </c>
      <c r="F73" s="64">
        <v>4.5199999999999996</v>
      </c>
      <c r="G73" s="64">
        <v>97.35</v>
      </c>
      <c r="H73" s="64">
        <v>25.97</v>
      </c>
      <c r="I73" s="64">
        <v>1.54</v>
      </c>
      <c r="J73" s="64">
        <v>1.46</v>
      </c>
      <c r="K73" s="64">
        <v>339.36</v>
      </c>
      <c r="L73" s="64">
        <v>26.31</v>
      </c>
      <c r="M73" s="64">
        <v>37.32</v>
      </c>
      <c r="N73" s="64">
        <v>81.400000000000006</v>
      </c>
      <c r="O73" s="64">
        <v>0</v>
      </c>
      <c r="P73" s="64">
        <v>0.67</v>
      </c>
      <c r="Q73" s="64">
        <v>4.95</v>
      </c>
      <c r="S73" s="198"/>
      <c r="T73" s="198"/>
      <c r="U73" s="198"/>
    </row>
    <row r="74" spans="1:21" s="12" customFormat="1" x14ac:dyDescent="0.25">
      <c r="A74" s="214" t="s">
        <v>2423</v>
      </c>
      <c r="B74" s="64">
        <v>4.72</v>
      </c>
      <c r="C74" s="64">
        <v>24.92</v>
      </c>
      <c r="D74" s="64">
        <v>18.84</v>
      </c>
      <c r="E74" s="64">
        <v>1.46</v>
      </c>
      <c r="F74" s="64">
        <v>10.039999999999999</v>
      </c>
      <c r="G74" s="64">
        <v>97.35</v>
      </c>
      <c r="H74" s="64">
        <v>25.97</v>
      </c>
      <c r="I74" s="64">
        <v>1.58</v>
      </c>
      <c r="J74" s="64">
        <v>1.29</v>
      </c>
      <c r="K74" s="64">
        <v>346.15</v>
      </c>
      <c r="L74" s="64">
        <v>26.13</v>
      </c>
      <c r="M74" s="64">
        <v>37.42</v>
      </c>
      <c r="N74" s="64">
        <v>66.900000000000006</v>
      </c>
      <c r="O74" s="64">
        <v>0</v>
      </c>
      <c r="P74" s="64">
        <v>0.67</v>
      </c>
      <c r="Q74" s="64">
        <v>4.9400000000000004</v>
      </c>
      <c r="S74" s="198"/>
      <c r="T74" s="198"/>
      <c r="U74" s="198"/>
    </row>
    <row r="75" spans="1:21" s="12" customFormat="1" x14ac:dyDescent="0.25">
      <c r="A75" s="214" t="s">
        <v>2424</v>
      </c>
      <c r="B75" s="64">
        <v>5.3</v>
      </c>
      <c r="C75" s="64">
        <v>33</v>
      </c>
      <c r="D75" s="64">
        <v>23.75</v>
      </c>
      <c r="E75" s="64">
        <v>1.46</v>
      </c>
      <c r="F75" s="64">
        <v>9.1999999999999993</v>
      </c>
      <c r="G75" s="64">
        <v>97.31</v>
      </c>
      <c r="H75" s="64">
        <v>27.95</v>
      </c>
      <c r="I75" s="64">
        <v>1.42</v>
      </c>
      <c r="J75" s="64">
        <v>1.05</v>
      </c>
      <c r="K75" s="64">
        <v>339.32</v>
      </c>
      <c r="L75" s="64">
        <v>25.77</v>
      </c>
      <c r="M75" s="64">
        <v>37.71</v>
      </c>
      <c r="N75" s="64">
        <v>55.9</v>
      </c>
      <c r="O75" s="64">
        <v>0</v>
      </c>
      <c r="P75" s="64">
        <v>0.69</v>
      </c>
      <c r="Q75" s="64">
        <v>4.79</v>
      </c>
      <c r="S75" s="198"/>
      <c r="T75" s="198"/>
      <c r="U75" s="198"/>
    </row>
    <row r="76" spans="1:21" s="12" customFormat="1" x14ac:dyDescent="0.25">
      <c r="A76" s="214" t="s">
        <v>2425</v>
      </c>
      <c r="B76" s="64">
        <v>3.97</v>
      </c>
      <c r="C76" s="64">
        <v>27.09</v>
      </c>
      <c r="D76" s="64">
        <v>19.43</v>
      </c>
      <c r="E76" s="64">
        <v>1.44</v>
      </c>
      <c r="F76" s="64">
        <v>6.62</v>
      </c>
      <c r="G76" s="64">
        <v>96.84</v>
      </c>
      <c r="H76" s="64">
        <v>44.99</v>
      </c>
      <c r="I76" s="64">
        <v>1.47</v>
      </c>
      <c r="J76" s="64">
        <v>1.06</v>
      </c>
      <c r="K76" s="64">
        <v>343.68</v>
      </c>
      <c r="L76" s="64">
        <v>25.4</v>
      </c>
      <c r="M76" s="64">
        <v>37.450000000000003</v>
      </c>
      <c r="N76" s="64">
        <v>43.3</v>
      </c>
      <c r="O76" s="64">
        <v>0</v>
      </c>
      <c r="P76" s="64">
        <v>0.69</v>
      </c>
      <c r="Q76" s="64">
        <v>4.76</v>
      </c>
      <c r="S76" s="198"/>
      <c r="T76" s="198"/>
      <c r="U76" s="198"/>
    </row>
    <row r="77" spans="1:21" s="12" customFormat="1" x14ac:dyDescent="0.25">
      <c r="A77" s="214" t="s">
        <v>2426</v>
      </c>
      <c r="B77" s="64">
        <v>5.9</v>
      </c>
      <c r="C77" s="64">
        <v>31.31</v>
      </c>
      <c r="D77" s="64">
        <v>23.3</v>
      </c>
      <c r="E77" s="64">
        <v>1.64</v>
      </c>
      <c r="F77" s="64">
        <v>8.89</v>
      </c>
      <c r="G77" s="64">
        <v>96.84</v>
      </c>
      <c r="H77" s="64">
        <v>44.99</v>
      </c>
      <c r="I77" s="64">
        <v>1.48</v>
      </c>
      <c r="J77" s="64">
        <v>1.01</v>
      </c>
      <c r="K77" s="64">
        <v>341.59</v>
      </c>
      <c r="L77" s="64">
        <v>25.02</v>
      </c>
      <c r="M77" s="64">
        <v>38.51</v>
      </c>
      <c r="N77" s="64">
        <v>32.5</v>
      </c>
      <c r="O77" s="64">
        <v>0</v>
      </c>
      <c r="P77" s="64">
        <v>0.73</v>
      </c>
      <c r="Q77" s="64">
        <v>4.6900000000000004</v>
      </c>
      <c r="S77" s="198"/>
      <c r="T77" s="198"/>
      <c r="U77" s="198"/>
    </row>
    <row r="78" spans="1:21" s="12" customFormat="1" x14ac:dyDescent="0.25">
      <c r="A78" s="214" t="s">
        <v>2427</v>
      </c>
      <c r="B78" s="64">
        <v>5.8</v>
      </c>
      <c r="C78" s="64">
        <v>28.63</v>
      </c>
      <c r="D78" s="64">
        <v>21.75</v>
      </c>
      <c r="E78" s="64">
        <v>1.63</v>
      </c>
      <c r="F78" s="64">
        <v>6.68</v>
      </c>
      <c r="G78" s="64">
        <v>96.84</v>
      </c>
      <c r="H78" s="64">
        <v>44.99</v>
      </c>
      <c r="I78" s="64">
        <v>1.53</v>
      </c>
      <c r="J78" s="64">
        <v>0.85</v>
      </c>
      <c r="K78" s="64">
        <v>341.72</v>
      </c>
      <c r="L78" s="64">
        <v>24.69</v>
      </c>
      <c r="M78" s="64">
        <v>38.76</v>
      </c>
      <c r="N78" s="64">
        <v>21.9</v>
      </c>
      <c r="O78" s="64">
        <v>0</v>
      </c>
      <c r="P78" s="64">
        <v>0.74</v>
      </c>
      <c r="Q78" s="64">
        <v>4.68</v>
      </c>
      <c r="S78" s="198"/>
      <c r="T78" s="198"/>
      <c r="U78" s="198"/>
    </row>
    <row r="79" spans="1:21" s="12" customFormat="1" x14ac:dyDescent="0.25">
      <c r="A79" s="214" t="s">
        <v>2428</v>
      </c>
      <c r="B79" s="64">
        <v>8.18</v>
      </c>
      <c r="C79" s="64">
        <v>31.06</v>
      </c>
      <c r="D79" s="64">
        <v>24.99</v>
      </c>
      <c r="E79" s="64">
        <v>1.5</v>
      </c>
      <c r="F79" s="64">
        <v>8.67</v>
      </c>
      <c r="G79" s="64">
        <v>97.55</v>
      </c>
      <c r="H79" s="64">
        <v>46.37</v>
      </c>
      <c r="I79" s="64">
        <v>1.51</v>
      </c>
      <c r="J79" s="64">
        <v>0.52</v>
      </c>
      <c r="K79" s="64">
        <v>338.4</v>
      </c>
      <c r="L79" s="64">
        <v>24.23</v>
      </c>
      <c r="M79" s="64">
        <v>38.450000000000003</v>
      </c>
      <c r="N79" s="64">
        <v>18.2</v>
      </c>
      <c r="O79" s="64">
        <v>0</v>
      </c>
      <c r="P79" s="64">
        <v>0.78</v>
      </c>
      <c r="Q79" s="64">
        <v>3.95</v>
      </c>
      <c r="S79" s="198"/>
      <c r="T79" s="198"/>
      <c r="U79" s="198"/>
    </row>
    <row r="80" spans="1:21" s="12" customFormat="1" x14ac:dyDescent="0.25">
      <c r="A80" s="214" t="s">
        <v>2429</v>
      </c>
      <c r="B80" s="64">
        <v>11.93</v>
      </c>
      <c r="C80" s="64">
        <v>52.47</v>
      </c>
      <c r="D80" s="64">
        <v>39.82</v>
      </c>
      <c r="E80" s="64">
        <v>1.57</v>
      </c>
      <c r="F80" s="64">
        <v>6.75</v>
      </c>
      <c r="G80" s="64">
        <v>105.97</v>
      </c>
      <c r="H80" s="64">
        <v>60.11</v>
      </c>
      <c r="I80" s="64">
        <v>1.52</v>
      </c>
      <c r="J80" s="64">
        <v>0.13</v>
      </c>
      <c r="K80" s="64">
        <v>346.14</v>
      </c>
      <c r="L80" s="64">
        <v>23.37</v>
      </c>
      <c r="M80" s="64">
        <v>42.18</v>
      </c>
      <c r="N80" s="64">
        <v>18.100000000000001</v>
      </c>
      <c r="O80" s="64">
        <v>0</v>
      </c>
      <c r="P80" s="64">
        <v>1.04</v>
      </c>
      <c r="Q80" s="64">
        <v>4.1100000000000003</v>
      </c>
      <c r="S80" s="198"/>
      <c r="T80" s="198"/>
      <c r="U80" s="198"/>
    </row>
    <row r="81" spans="1:26" s="12" customFormat="1" x14ac:dyDescent="0.25">
      <c r="A81" s="214" t="s">
        <v>2430</v>
      </c>
      <c r="B81" s="64">
        <v>15.94</v>
      </c>
      <c r="C81" s="64">
        <v>48.18</v>
      </c>
      <c r="D81" s="64">
        <v>40.67</v>
      </c>
      <c r="E81" s="64">
        <v>1.72</v>
      </c>
      <c r="F81" s="64">
        <v>3.34</v>
      </c>
      <c r="G81" s="64">
        <v>105.97</v>
      </c>
      <c r="H81" s="64">
        <v>60.11</v>
      </c>
      <c r="I81" s="64">
        <v>1.45</v>
      </c>
      <c r="J81" s="64">
        <v>0.02</v>
      </c>
      <c r="K81" s="64">
        <v>33.53</v>
      </c>
      <c r="L81" s="64">
        <v>22.42</v>
      </c>
      <c r="M81" s="64">
        <v>54.54</v>
      </c>
      <c r="N81" s="64">
        <v>17.899999999999999</v>
      </c>
      <c r="O81" s="64">
        <v>0</v>
      </c>
      <c r="P81" s="64">
        <v>1.19</v>
      </c>
      <c r="Q81" s="64">
        <v>3.41</v>
      </c>
      <c r="S81" s="198"/>
      <c r="T81" s="198"/>
      <c r="U81" s="198"/>
    </row>
    <row r="82" spans="1:26" s="12" customFormat="1" x14ac:dyDescent="0.25">
      <c r="A82" s="214" t="s">
        <v>2431</v>
      </c>
      <c r="B82" s="64">
        <v>9.24</v>
      </c>
      <c r="C82" s="64">
        <v>51.94</v>
      </c>
      <c r="D82" s="64">
        <v>37.369999999999997</v>
      </c>
      <c r="E82" s="64">
        <v>1.53</v>
      </c>
      <c r="F82" s="64">
        <v>3.43</v>
      </c>
      <c r="G82" s="64">
        <v>105.97</v>
      </c>
      <c r="H82" s="64">
        <v>60.11</v>
      </c>
      <c r="I82" s="64">
        <v>1.47</v>
      </c>
      <c r="J82" s="64">
        <v>0.08</v>
      </c>
      <c r="K82" s="64">
        <v>7.49</v>
      </c>
      <c r="L82" s="64">
        <v>21.83</v>
      </c>
      <c r="M82" s="64">
        <v>52.07</v>
      </c>
      <c r="N82" s="64">
        <v>17.899999999999999</v>
      </c>
      <c r="O82" s="64">
        <v>0</v>
      </c>
      <c r="P82" s="64">
        <v>1.1299999999999999</v>
      </c>
      <c r="Q82" s="64">
        <v>3.14</v>
      </c>
      <c r="S82" s="198"/>
      <c r="T82" s="198"/>
      <c r="U82" s="198"/>
    </row>
    <row r="83" spans="1:26" s="12" customFormat="1" x14ac:dyDescent="0.25">
      <c r="A83" s="214" t="s">
        <v>2432</v>
      </c>
      <c r="B83" s="64">
        <v>6.13</v>
      </c>
      <c r="C83" s="64">
        <v>43.81</v>
      </c>
      <c r="D83" s="64">
        <v>30.38</v>
      </c>
      <c r="E83" s="64">
        <v>1.78</v>
      </c>
      <c r="F83" s="64">
        <v>10.46</v>
      </c>
      <c r="G83" s="64">
        <v>107.13</v>
      </c>
      <c r="H83" s="64">
        <v>59.8</v>
      </c>
      <c r="I83" s="64">
        <v>1.48</v>
      </c>
      <c r="J83" s="64">
        <v>0.08</v>
      </c>
      <c r="K83" s="64">
        <v>87.72</v>
      </c>
      <c r="L83" s="64">
        <v>22.02</v>
      </c>
      <c r="M83" s="64">
        <v>46.59</v>
      </c>
      <c r="N83" s="64">
        <v>17.3</v>
      </c>
      <c r="O83" s="64">
        <v>0</v>
      </c>
      <c r="P83" s="64">
        <v>0.99</v>
      </c>
      <c r="Q83" s="64">
        <v>4.2300000000000004</v>
      </c>
      <c r="S83" s="198"/>
      <c r="T83" s="198"/>
      <c r="U83" s="198"/>
    </row>
    <row r="84" spans="1:26" s="12" customFormat="1" x14ac:dyDescent="0.25">
      <c r="A84" s="214" t="s">
        <v>2433</v>
      </c>
      <c r="B84" s="64">
        <v>19.91</v>
      </c>
      <c r="C84" s="64">
        <v>55.11</v>
      </c>
      <c r="D84" s="64">
        <v>47.67</v>
      </c>
      <c r="E84" s="64">
        <v>2.04</v>
      </c>
      <c r="F84" s="64">
        <v>4.93</v>
      </c>
      <c r="G84" s="64">
        <v>120.89</v>
      </c>
      <c r="H84" s="64">
        <v>57.14</v>
      </c>
      <c r="I84" s="64">
        <v>1.48</v>
      </c>
      <c r="J84" s="64">
        <v>0.17</v>
      </c>
      <c r="K84" s="64">
        <v>44.03</v>
      </c>
      <c r="L84" s="64">
        <v>22.54</v>
      </c>
      <c r="M84" s="64">
        <v>47.1</v>
      </c>
      <c r="N84" s="64">
        <v>17.100000000000001</v>
      </c>
      <c r="O84" s="64">
        <v>0</v>
      </c>
      <c r="P84" s="64">
        <v>1.43</v>
      </c>
      <c r="Q84" s="64">
        <v>3.85</v>
      </c>
      <c r="S84" s="198"/>
      <c r="T84" s="198"/>
      <c r="U84" s="198"/>
    </row>
    <row r="85" spans="1:26" s="12" customFormat="1" x14ac:dyDescent="0.25">
      <c r="A85" s="214" t="s">
        <v>2434</v>
      </c>
      <c r="B85" s="64">
        <v>31.99</v>
      </c>
      <c r="C85" s="64">
        <v>74.27</v>
      </c>
      <c r="D85" s="64">
        <v>67.94</v>
      </c>
      <c r="E85" s="64">
        <v>2.82</v>
      </c>
      <c r="F85" s="64">
        <v>3.78</v>
      </c>
      <c r="G85" s="64">
        <v>120.89</v>
      </c>
      <c r="H85" s="64">
        <v>57.14</v>
      </c>
      <c r="I85" s="64">
        <v>1.53</v>
      </c>
      <c r="J85" s="64">
        <v>0.13</v>
      </c>
      <c r="K85" s="64">
        <v>18.07</v>
      </c>
      <c r="L85" s="64">
        <v>22.29</v>
      </c>
      <c r="M85" s="64">
        <v>51.72</v>
      </c>
      <c r="N85" s="64">
        <v>17.5</v>
      </c>
      <c r="O85" s="64">
        <v>0</v>
      </c>
      <c r="P85" s="64">
        <v>2.06</v>
      </c>
      <c r="Q85" s="64">
        <v>1.21</v>
      </c>
      <c r="S85" s="198"/>
      <c r="T85" s="198"/>
      <c r="U85" s="198"/>
    </row>
    <row r="86" spans="1:26" s="12" customFormat="1" x14ac:dyDescent="0.25">
      <c r="A86" s="214" t="s">
        <v>2435</v>
      </c>
      <c r="B86" s="64">
        <v>8.76</v>
      </c>
      <c r="C86" s="64">
        <v>47.33</v>
      </c>
      <c r="D86" s="64">
        <v>34.44</v>
      </c>
      <c r="E86" s="64">
        <v>2.54</v>
      </c>
      <c r="F86" s="64">
        <v>5.83</v>
      </c>
      <c r="G86" s="64">
        <v>120.89</v>
      </c>
      <c r="H86" s="64">
        <v>57.14</v>
      </c>
      <c r="I86" s="64">
        <v>1.56</v>
      </c>
      <c r="J86" s="64">
        <v>0.42</v>
      </c>
      <c r="K86" s="64">
        <v>114.5</v>
      </c>
      <c r="L86" s="64">
        <v>22.27</v>
      </c>
      <c r="M86" s="64">
        <v>51.11</v>
      </c>
      <c r="N86" s="64">
        <v>16.7</v>
      </c>
      <c r="O86" s="64">
        <v>0</v>
      </c>
      <c r="P86" s="64">
        <v>1.17</v>
      </c>
      <c r="Q86" s="64">
        <v>2.91</v>
      </c>
      <c r="S86" s="198"/>
      <c r="T86" s="198"/>
      <c r="U86" s="198"/>
    </row>
    <row r="87" spans="1:26" s="12" customFormat="1" x14ac:dyDescent="0.25">
      <c r="A87" s="214" t="s">
        <v>2436</v>
      </c>
      <c r="B87" s="64">
        <v>6.5</v>
      </c>
      <c r="C87" s="64">
        <v>40.89</v>
      </c>
      <c r="D87" s="64">
        <v>29.07</v>
      </c>
      <c r="E87" s="64">
        <v>2.4700000000000002</v>
      </c>
      <c r="F87" s="64">
        <v>11.39</v>
      </c>
      <c r="G87" s="64">
        <v>122.88</v>
      </c>
      <c r="H87" s="64">
        <v>57.62</v>
      </c>
      <c r="I87" s="64">
        <v>1.47</v>
      </c>
      <c r="J87" s="64">
        <v>0.15</v>
      </c>
      <c r="K87" s="64">
        <v>94.61</v>
      </c>
      <c r="L87" s="64">
        <v>22.11</v>
      </c>
      <c r="M87" s="64">
        <v>51.74</v>
      </c>
      <c r="N87" s="64">
        <v>17.3</v>
      </c>
      <c r="O87" s="64">
        <v>0</v>
      </c>
      <c r="P87" s="64">
        <v>1.1599999999999999</v>
      </c>
      <c r="Q87" s="64">
        <v>4.51</v>
      </c>
      <c r="S87" s="198"/>
      <c r="T87" s="198"/>
      <c r="U87" s="198"/>
    </row>
    <row r="88" spans="1:26" s="12" customFormat="1" x14ac:dyDescent="0.25">
      <c r="A88" s="214" t="s">
        <v>2437</v>
      </c>
      <c r="B88" s="64">
        <v>9.85</v>
      </c>
      <c r="C88" s="64">
        <v>43.96</v>
      </c>
      <c r="D88" s="64">
        <v>33.450000000000003</v>
      </c>
      <c r="E88" s="64">
        <v>1.43</v>
      </c>
      <c r="F88" s="64">
        <v>10.32</v>
      </c>
      <c r="G88" s="64">
        <v>146.47999999999999</v>
      </c>
      <c r="H88" s="64">
        <v>62.35</v>
      </c>
      <c r="I88" s="64">
        <v>1.52</v>
      </c>
      <c r="J88" s="64">
        <v>0.08</v>
      </c>
      <c r="K88" s="64">
        <v>28.5</v>
      </c>
      <c r="L88" s="64">
        <v>21.91</v>
      </c>
      <c r="M88" s="64">
        <v>52.95</v>
      </c>
      <c r="N88" s="64">
        <v>17.3</v>
      </c>
      <c r="O88" s="64">
        <v>0</v>
      </c>
      <c r="P88" s="64">
        <v>1.28</v>
      </c>
      <c r="Q88" s="64">
        <v>4.6900000000000004</v>
      </c>
      <c r="S88" s="198"/>
      <c r="T88" s="198"/>
      <c r="U88" s="198"/>
    </row>
    <row r="89" spans="1:26" s="12" customFormat="1" x14ac:dyDescent="0.25">
      <c r="A89" s="214" t="s">
        <v>2438</v>
      </c>
      <c r="B89" s="64">
        <v>21.18</v>
      </c>
      <c r="C89" s="64">
        <v>42.54</v>
      </c>
      <c r="D89" s="64">
        <v>41.75</v>
      </c>
      <c r="E89" s="64">
        <v>2.16</v>
      </c>
      <c r="F89" s="64">
        <v>3.06</v>
      </c>
      <c r="G89" s="64">
        <v>146.47999999999999</v>
      </c>
      <c r="H89" s="64">
        <v>62.35</v>
      </c>
      <c r="I89" s="64">
        <v>1.56</v>
      </c>
      <c r="J89" s="64">
        <v>0.09</v>
      </c>
      <c r="K89" s="64">
        <v>320.7</v>
      </c>
      <c r="L89" s="64">
        <v>21.32</v>
      </c>
      <c r="M89" s="64">
        <v>61.43</v>
      </c>
      <c r="N89" s="64">
        <v>18</v>
      </c>
      <c r="O89" s="64">
        <v>0</v>
      </c>
      <c r="P89" s="64">
        <v>1.53</v>
      </c>
      <c r="Q89" s="64">
        <v>2.57</v>
      </c>
      <c r="S89" s="198"/>
      <c r="T89" s="198"/>
      <c r="U89" s="198"/>
    </row>
    <row r="90" spans="1:26" s="12" customFormat="1" x14ac:dyDescent="0.25">
      <c r="A90" s="214" t="s">
        <v>2439</v>
      </c>
      <c r="B90" s="64">
        <v>15.79</v>
      </c>
      <c r="C90" s="64">
        <v>42.71</v>
      </c>
      <c r="D90" s="64">
        <v>37.53</v>
      </c>
      <c r="E90" s="64">
        <v>1.72</v>
      </c>
      <c r="F90" s="64">
        <v>1.1000000000000001</v>
      </c>
      <c r="G90" s="64">
        <v>146.47999999999999</v>
      </c>
      <c r="H90" s="64">
        <v>62.35</v>
      </c>
      <c r="I90" s="64">
        <v>1.46</v>
      </c>
      <c r="J90" s="64">
        <v>7.0000000000000007E-2</v>
      </c>
      <c r="K90" s="64">
        <v>17.34</v>
      </c>
      <c r="L90" s="64">
        <v>20.82</v>
      </c>
      <c r="M90" s="64">
        <v>62.07</v>
      </c>
      <c r="N90" s="64">
        <v>17.7</v>
      </c>
      <c r="O90" s="64">
        <v>0</v>
      </c>
      <c r="P90" s="64">
        <v>1.58</v>
      </c>
      <c r="Q90" s="64">
        <v>4.24</v>
      </c>
      <c r="S90" s="198"/>
      <c r="T90" s="198"/>
      <c r="U90" s="198"/>
    </row>
    <row r="91" spans="1:26" s="12" customFormat="1" x14ac:dyDescent="0.25">
      <c r="A91" s="214" t="s">
        <v>2440</v>
      </c>
      <c r="B91" s="64">
        <v>29.24</v>
      </c>
      <c r="C91" s="64">
        <v>53.89</v>
      </c>
      <c r="D91" s="64">
        <v>54.48</v>
      </c>
      <c r="E91" s="64">
        <v>1.52</v>
      </c>
      <c r="F91" s="64">
        <v>0.78</v>
      </c>
      <c r="G91" s="64">
        <v>147.38</v>
      </c>
      <c r="H91" s="64">
        <v>62.76</v>
      </c>
      <c r="I91" s="64">
        <v>1.47</v>
      </c>
      <c r="J91" s="64">
        <v>0.06</v>
      </c>
      <c r="K91" s="64">
        <v>90.39</v>
      </c>
      <c r="L91" s="64">
        <v>20.81</v>
      </c>
      <c r="M91" s="64">
        <v>60.59</v>
      </c>
      <c r="N91" s="64">
        <v>17.399999999999999</v>
      </c>
      <c r="O91" s="64">
        <v>0</v>
      </c>
      <c r="P91" s="64">
        <v>1.83</v>
      </c>
      <c r="Q91" s="64">
        <v>3.16</v>
      </c>
      <c r="S91" s="198"/>
      <c r="T91" s="198"/>
      <c r="U91" s="198"/>
    </row>
    <row r="92" spans="1:26" s="12" customFormat="1" x14ac:dyDescent="0.25">
      <c r="A92" s="214" t="s">
        <v>2441</v>
      </c>
      <c r="B92" s="64">
        <v>12.76</v>
      </c>
      <c r="C92" s="64">
        <v>32.99</v>
      </c>
      <c r="D92" s="64">
        <v>29.73</v>
      </c>
      <c r="E92" s="64">
        <v>1.46</v>
      </c>
      <c r="F92" s="64">
        <v>1.62</v>
      </c>
      <c r="G92" s="64">
        <v>158.09</v>
      </c>
      <c r="H92" s="64">
        <v>66.319999999999993</v>
      </c>
      <c r="I92" s="64">
        <v>1.54</v>
      </c>
      <c r="J92" s="64">
        <v>0.1</v>
      </c>
      <c r="K92" s="64">
        <v>109.84</v>
      </c>
      <c r="L92" s="64">
        <v>20.96</v>
      </c>
      <c r="M92" s="64">
        <v>60.27</v>
      </c>
      <c r="N92" s="64">
        <v>17.2</v>
      </c>
      <c r="O92" s="64">
        <v>0</v>
      </c>
      <c r="P92" s="64">
        <v>1.43</v>
      </c>
      <c r="Q92" s="64">
        <v>4.1500000000000004</v>
      </c>
      <c r="S92" s="198"/>
      <c r="T92" s="198"/>
      <c r="U92" s="198"/>
    </row>
    <row r="93" spans="1:26" s="12" customFormat="1" x14ac:dyDescent="0.25">
      <c r="A93" s="214" t="s">
        <v>2442</v>
      </c>
      <c r="B93" s="64">
        <v>23.81</v>
      </c>
      <c r="C93" s="64">
        <v>44.32</v>
      </c>
      <c r="D93" s="64">
        <v>44.85</v>
      </c>
      <c r="E93" s="64">
        <v>1.56</v>
      </c>
      <c r="F93" s="64">
        <v>2.7</v>
      </c>
      <c r="G93" s="64">
        <v>158.09</v>
      </c>
      <c r="H93" s="64">
        <v>66.319999999999993</v>
      </c>
      <c r="I93" s="64">
        <v>1.58</v>
      </c>
      <c r="J93" s="64">
        <v>0.17</v>
      </c>
      <c r="K93" s="64">
        <v>348.97</v>
      </c>
      <c r="L93" s="64">
        <v>20.73</v>
      </c>
      <c r="M93" s="64">
        <v>67.44</v>
      </c>
      <c r="N93" s="64">
        <v>17.5</v>
      </c>
      <c r="O93" s="64">
        <v>0</v>
      </c>
      <c r="P93" s="64">
        <v>1.73</v>
      </c>
      <c r="Q93" s="64">
        <v>4.92</v>
      </c>
      <c r="S93" s="198"/>
      <c r="T93" s="198"/>
      <c r="U93" s="198"/>
    </row>
    <row r="94" spans="1:26" s="12" customFormat="1" x14ac:dyDescent="0.25">
      <c r="A94" s="214" t="s">
        <v>2443</v>
      </c>
      <c r="B94" s="64">
        <v>35.119999999999997</v>
      </c>
      <c r="C94" s="64">
        <v>40.75</v>
      </c>
      <c r="D94" s="64">
        <v>51.94</v>
      </c>
      <c r="E94" s="64">
        <v>1.4</v>
      </c>
      <c r="F94" s="64">
        <v>0.7</v>
      </c>
      <c r="G94" s="64">
        <v>158.09</v>
      </c>
      <c r="H94" s="64">
        <v>66.319999999999993</v>
      </c>
      <c r="I94" s="64">
        <v>1.49</v>
      </c>
      <c r="J94" s="64">
        <v>0.1</v>
      </c>
      <c r="K94" s="64">
        <v>3.03</v>
      </c>
      <c r="L94" s="64">
        <v>20.399999999999999</v>
      </c>
      <c r="M94" s="64">
        <v>70.760000000000005</v>
      </c>
      <c r="N94" s="64">
        <v>17.5</v>
      </c>
      <c r="O94" s="64">
        <v>0</v>
      </c>
      <c r="P94" s="64">
        <v>2.09</v>
      </c>
      <c r="Q94" s="64">
        <v>2.66</v>
      </c>
      <c r="S94" s="198"/>
      <c r="T94" s="198"/>
      <c r="U94" s="198"/>
    </row>
    <row r="95" spans="1:26" s="12" customFormat="1" x14ac:dyDescent="0.25">
      <c r="A95" s="214" t="s">
        <v>2444</v>
      </c>
      <c r="B95" s="64">
        <v>32.31</v>
      </c>
      <c r="C95" s="64">
        <v>39.18</v>
      </c>
      <c r="D95" s="64">
        <v>48.83</v>
      </c>
      <c r="E95" s="64">
        <v>1.42</v>
      </c>
      <c r="F95" s="64">
        <v>0.31</v>
      </c>
      <c r="G95" s="64">
        <v>159.52000000000001</v>
      </c>
      <c r="H95" s="64">
        <v>66.61</v>
      </c>
      <c r="I95" s="64">
        <v>1.54</v>
      </c>
      <c r="J95" s="64">
        <v>0.1</v>
      </c>
      <c r="K95" s="64">
        <v>342.01</v>
      </c>
      <c r="L95" s="64">
        <v>20.13</v>
      </c>
      <c r="M95" s="64">
        <v>72.81</v>
      </c>
      <c r="N95" s="64">
        <v>17.399999999999999</v>
      </c>
      <c r="O95" s="64">
        <v>0</v>
      </c>
      <c r="P95" s="64">
        <v>2.08</v>
      </c>
      <c r="Q95" s="64">
        <v>4.2</v>
      </c>
      <c r="S95" s="198"/>
      <c r="T95" s="198"/>
      <c r="U95" s="198"/>
    </row>
    <row r="96" spans="1:26" s="12" customFormat="1" x14ac:dyDescent="0.25">
      <c r="A96" s="214" t="s">
        <v>2445</v>
      </c>
      <c r="B96" s="64">
        <v>28.5</v>
      </c>
      <c r="C96" s="64">
        <v>54.66</v>
      </c>
      <c r="D96" s="64">
        <v>54.31</v>
      </c>
      <c r="E96" s="64">
        <v>1.28</v>
      </c>
      <c r="F96" s="64">
        <v>0.08</v>
      </c>
      <c r="G96" s="64">
        <v>176.44</v>
      </c>
      <c r="H96" s="64">
        <v>69.510000000000005</v>
      </c>
      <c r="I96" s="64">
        <v>1.51</v>
      </c>
      <c r="J96" s="64">
        <v>0.08</v>
      </c>
      <c r="K96" s="64">
        <v>245.47</v>
      </c>
      <c r="L96" s="64">
        <v>20.100000000000001</v>
      </c>
      <c r="M96" s="64">
        <v>71.319999999999993</v>
      </c>
      <c r="N96" s="64">
        <v>17.399999999999999</v>
      </c>
      <c r="O96" s="64">
        <v>0</v>
      </c>
      <c r="P96" s="64">
        <v>2.0499999999999998</v>
      </c>
      <c r="Q96" s="64">
        <v>5.8</v>
      </c>
      <c r="S96" s="198"/>
      <c r="T96" s="198"/>
      <c r="U96" s="198"/>
      <c r="Z96" s="109"/>
    </row>
    <row r="97" spans="1:33" s="12" customFormat="1" x14ac:dyDescent="0.25">
      <c r="A97" s="214" t="s">
        <v>2446</v>
      </c>
      <c r="B97" s="64">
        <v>36.24</v>
      </c>
      <c r="C97" s="64">
        <v>46.53</v>
      </c>
      <c r="D97" s="64">
        <v>56.03</v>
      </c>
      <c r="E97" s="64">
        <v>1.38</v>
      </c>
      <c r="F97" s="64">
        <v>0.08</v>
      </c>
      <c r="G97" s="64">
        <v>176.44</v>
      </c>
      <c r="H97" s="64">
        <v>69.510000000000005</v>
      </c>
      <c r="I97" s="64">
        <v>1.5</v>
      </c>
      <c r="J97" s="64">
        <v>0.12</v>
      </c>
      <c r="K97" s="64">
        <v>282.64</v>
      </c>
      <c r="L97" s="64">
        <v>20</v>
      </c>
      <c r="M97" s="64">
        <v>73.3</v>
      </c>
      <c r="N97" s="64">
        <v>17.399999999999999</v>
      </c>
      <c r="O97" s="64">
        <v>0</v>
      </c>
      <c r="P97" s="64">
        <v>2.13</v>
      </c>
      <c r="Q97" s="64">
        <v>4.24</v>
      </c>
      <c r="S97" s="198"/>
      <c r="T97" s="198"/>
      <c r="U97" s="198"/>
    </row>
    <row r="98" spans="1:33" s="12" customFormat="1" x14ac:dyDescent="0.25">
      <c r="A98" s="214" t="s">
        <v>2447</v>
      </c>
      <c r="B98" s="64">
        <v>42.75</v>
      </c>
      <c r="C98" s="64">
        <v>42.98</v>
      </c>
      <c r="D98" s="64">
        <v>59.29</v>
      </c>
      <c r="E98" s="64">
        <v>1.37</v>
      </c>
      <c r="F98" s="64">
        <v>0.18</v>
      </c>
      <c r="G98" s="64">
        <v>176.44</v>
      </c>
      <c r="H98" s="64">
        <v>69.510000000000005</v>
      </c>
      <c r="I98" s="64">
        <v>1.49</v>
      </c>
      <c r="J98" s="64">
        <v>7.0000000000000007E-2</v>
      </c>
      <c r="K98" s="64">
        <v>306.35000000000002</v>
      </c>
      <c r="L98" s="64">
        <v>19.7</v>
      </c>
      <c r="M98" s="64">
        <v>75.239999999999995</v>
      </c>
      <c r="N98" s="64">
        <v>17.600000000000001</v>
      </c>
      <c r="O98" s="64">
        <v>0</v>
      </c>
      <c r="P98" s="64">
        <v>2.35</v>
      </c>
      <c r="Q98" s="64">
        <v>4.37</v>
      </c>
      <c r="S98" s="198"/>
      <c r="T98" s="198"/>
      <c r="U98" s="198"/>
    </row>
    <row r="99" spans="1:33" s="12" customFormat="1" x14ac:dyDescent="0.25">
      <c r="A99" s="214" t="s">
        <v>2448</v>
      </c>
      <c r="B99" s="64">
        <v>37.46</v>
      </c>
      <c r="C99" s="64">
        <v>45.63</v>
      </c>
      <c r="D99" s="64">
        <v>56.51</v>
      </c>
      <c r="E99" s="64">
        <v>1.33</v>
      </c>
      <c r="F99" s="64">
        <v>0.18</v>
      </c>
      <c r="G99" s="64">
        <v>177.47</v>
      </c>
      <c r="H99" s="64">
        <v>69.739999999999995</v>
      </c>
      <c r="I99" s="64">
        <v>1.49</v>
      </c>
      <c r="J99" s="64">
        <v>0.08</v>
      </c>
      <c r="K99" s="64">
        <v>282.41000000000003</v>
      </c>
      <c r="L99" s="64">
        <v>19.68</v>
      </c>
      <c r="M99" s="64">
        <v>74.790000000000006</v>
      </c>
      <c r="N99" s="64">
        <v>17.399999999999999</v>
      </c>
      <c r="O99" s="64">
        <v>0</v>
      </c>
      <c r="P99" s="64">
        <v>2.2000000000000002</v>
      </c>
      <c r="Q99" s="64">
        <v>5.25</v>
      </c>
      <c r="S99" s="198"/>
      <c r="T99" s="198"/>
      <c r="U99" s="198"/>
    </row>
    <row r="100" spans="1:33" s="12" customFormat="1" x14ac:dyDescent="0.25">
      <c r="A100" s="214" t="s">
        <v>2449</v>
      </c>
      <c r="B100" s="64">
        <v>42.82</v>
      </c>
      <c r="C100" s="64">
        <v>42.92</v>
      </c>
      <c r="D100" s="64">
        <v>59.32</v>
      </c>
      <c r="E100" s="64">
        <v>1.26</v>
      </c>
      <c r="F100" s="64">
        <v>0.08</v>
      </c>
      <c r="G100" s="64">
        <v>189.69</v>
      </c>
      <c r="H100" s="64">
        <v>71.72</v>
      </c>
      <c r="I100" s="64">
        <v>1.48</v>
      </c>
      <c r="J100" s="64">
        <v>0.15</v>
      </c>
      <c r="K100" s="64">
        <v>298.82</v>
      </c>
      <c r="L100" s="64">
        <v>19.39</v>
      </c>
      <c r="M100" s="64">
        <v>78.260000000000005</v>
      </c>
      <c r="N100" s="64">
        <v>17.5</v>
      </c>
      <c r="O100" s="64">
        <v>0</v>
      </c>
      <c r="P100" s="64">
        <v>2.23</v>
      </c>
      <c r="Q100" s="64">
        <v>5.84</v>
      </c>
      <c r="S100" s="198"/>
      <c r="T100" s="198"/>
      <c r="U100" s="198"/>
      <c r="AB100" s="110"/>
      <c r="AG100" s="109"/>
    </row>
    <row r="101" spans="1:33" s="12" customFormat="1" x14ac:dyDescent="0.25">
      <c r="A101" s="214" t="s">
        <v>2450</v>
      </c>
      <c r="B101" s="64">
        <v>39.450000000000003</v>
      </c>
      <c r="C101" s="64">
        <v>30.36</v>
      </c>
      <c r="D101" s="64">
        <v>49.68</v>
      </c>
      <c r="E101" s="64">
        <v>1.1599999999999999</v>
      </c>
      <c r="F101" s="64">
        <v>0.17</v>
      </c>
      <c r="G101" s="64">
        <v>189.69</v>
      </c>
      <c r="H101" s="64">
        <v>71.72</v>
      </c>
      <c r="I101" s="64">
        <v>1.44</v>
      </c>
      <c r="J101" s="64">
        <v>0.11</v>
      </c>
      <c r="K101" s="64">
        <v>296.39</v>
      </c>
      <c r="L101" s="64">
        <v>19.2</v>
      </c>
      <c r="M101" s="64">
        <v>80.72</v>
      </c>
      <c r="N101" s="64">
        <v>17.399999999999999</v>
      </c>
      <c r="O101" s="64">
        <v>0</v>
      </c>
      <c r="P101" s="64">
        <v>2.15</v>
      </c>
      <c r="Q101" s="64">
        <v>6.16</v>
      </c>
      <c r="S101" s="198"/>
      <c r="T101" s="198"/>
      <c r="U101" s="198"/>
    </row>
    <row r="102" spans="1:33" s="12" customFormat="1" x14ac:dyDescent="0.25">
      <c r="A102" s="214" t="s">
        <v>2451</v>
      </c>
      <c r="B102" s="64">
        <v>40.22</v>
      </c>
      <c r="C102" s="64">
        <v>28.95</v>
      </c>
      <c r="D102" s="64">
        <v>49.52</v>
      </c>
      <c r="E102" s="64">
        <v>1.06</v>
      </c>
      <c r="F102" s="64">
        <v>0.09</v>
      </c>
      <c r="G102" s="64">
        <v>189.69</v>
      </c>
      <c r="H102" s="64">
        <v>71.72</v>
      </c>
      <c r="I102" s="64">
        <v>1.46</v>
      </c>
      <c r="J102" s="64">
        <v>0.24</v>
      </c>
      <c r="K102" s="64">
        <v>349.14</v>
      </c>
      <c r="L102" s="64">
        <v>18.98</v>
      </c>
      <c r="M102" s="64">
        <v>84.89</v>
      </c>
      <c r="N102" s="64">
        <v>17.399999999999999</v>
      </c>
      <c r="O102" s="64">
        <v>0</v>
      </c>
      <c r="P102" s="64">
        <v>2.19</v>
      </c>
      <c r="Q102" s="64">
        <v>7.57</v>
      </c>
      <c r="S102" s="198"/>
      <c r="T102" s="198"/>
      <c r="U102" s="198"/>
    </row>
    <row r="103" spans="1:33" s="12" customFormat="1" x14ac:dyDescent="0.25">
      <c r="A103" s="214" t="s">
        <v>2452</v>
      </c>
      <c r="B103" s="64">
        <v>40.44</v>
      </c>
      <c r="C103" s="64">
        <v>27.68</v>
      </c>
      <c r="D103" s="64">
        <v>49</v>
      </c>
      <c r="E103" s="64">
        <v>0.98</v>
      </c>
      <c r="F103" s="64">
        <v>0.2</v>
      </c>
      <c r="G103" s="64">
        <v>191.03</v>
      </c>
      <c r="H103" s="64">
        <v>72.400000000000006</v>
      </c>
      <c r="I103" s="64">
        <v>1.56</v>
      </c>
      <c r="J103" s="64">
        <v>0.68</v>
      </c>
      <c r="K103" s="64">
        <v>327.60000000000002</v>
      </c>
      <c r="L103" s="64">
        <v>19.190000000000001</v>
      </c>
      <c r="M103" s="64">
        <v>77.790000000000006</v>
      </c>
      <c r="N103" s="64">
        <v>15.7</v>
      </c>
      <c r="O103" s="64">
        <v>0</v>
      </c>
      <c r="P103" s="64">
        <v>2.2200000000000002</v>
      </c>
      <c r="Q103" s="64">
        <v>8.0500000000000007</v>
      </c>
      <c r="S103" s="198"/>
      <c r="T103" s="198"/>
      <c r="U103" s="198"/>
    </row>
    <row r="104" spans="1:33" s="12" customFormat="1" x14ac:dyDescent="0.25">
      <c r="A104" s="214" t="s">
        <v>2453</v>
      </c>
      <c r="B104" s="64">
        <v>40.119999999999997</v>
      </c>
      <c r="C104" s="64">
        <v>27.44</v>
      </c>
      <c r="D104" s="64">
        <v>48.61</v>
      </c>
      <c r="E104" s="64">
        <v>0.5</v>
      </c>
      <c r="F104" s="64">
        <v>0.23</v>
      </c>
      <c r="G104" s="64">
        <v>206.86</v>
      </c>
      <c r="H104" s="64">
        <v>78.23</v>
      </c>
      <c r="I104" s="64">
        <v>1.53</v>
      </c>
      <c r="J104" s="64">
        <v>0.28000000000000003</v>
      </c>
      <c r="K104" s="64">
        <v>334.16</v>
      </c>
      <c r="L104" s="64">
        <v>19.2</v>
      </c>
      <c r="M104" s="64">
        <v>76.61</v>
      </c>
      <c r="N104" s="64">
        <v>17.5</v>
      </c>
      <c r="O104" s="64">
        <v>0</v>
      </c>
      <c r="P104" s="64">
        <v>2.23</v>
      </c>
      <c r="Q104" s="64">
        <v>8.14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3.8</v>
      </c>
      <c r="C106" s="67">
        <f>MIN(C9:C104)</f>
        <v>19.920000000000002</v>
      </c>
      <c r="D106" s="67">
        <f t="shared" ref="D106:Q106" si="0">MIN(D9:D104)</f>
        <v>17.73</v>
      </c>
      <c r="E106" s="67">
        <f t="shared" si="0"/>
        <v>0.25</v>
      </c>
      <c r="F106" s="67">
        <f t="shared" si="0"/>
        <v>0.03</v>
      </c>
      <c r="G106" s="67">
        <f t="shared" si="0"/>
        <v>68.900000000000006</v>
      </c>
      <c r="H106" s="67">
        <f t="shared" si="0"/>
        <v>25.97</v>
      </c>
      <c r="I106" s="67">
        <f t="shared" si="0"/>
        <v>1.38</v>
      </c>
      <c r="J106" s="67">
        <f t="shared" si="0"/>
        <v>0.02</v>
      </c>
      <c r="K106" s="67">
        <f t="shared" si="0"/>
        <v>0.19</v>
      </c>
      <c r="L106" s="67">
        <f t="shared" si="0"/>
        <v>18.09</v>
      </c>
      <c r="M106" s="67">
        <f t="shared" si="0"/>
        <v>31.95</v>
      </c>
      <c r="N106" s="67">
        <f t="shared" si="0"/>
        <v>15.7</v>
      </c>
      <c r="O106" s="67">
        <f t="shared" si="0"/>
        <v>0</v>
      </c>
      <c r="P106" s="67">
        <f t="shared" si="0"/>
        <v>0.63</v>
      </c>
      <c r="Q106" s="67">
        <f t="shared" si="0"/>
        <v>1.21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42.82</v>
      </c>
      <c r="C107" s="66">
        <f t="shared" ref="C107:Q107" si="1">MAX(C9:C104)</f>
        <v>74.27</v>
      </c>
      <c r="D107" s="66">
        <f t="shared" si="1"/>
        <v>67.94</v>
      </c>
      <c r="E107" s="66">
        <f t="shared" si="1"/>
        <v>2.82</v>
      </c>
      <c r="F107" s="66">
        <f t="shared" si="1"/>
        <v>11.39</v>
      </c>
      <c r="G107" s="66">
        <f t="shared" si="1"/>
        <v>211.19</v>
      </c>
      <c r="H107" s="66">
        <f t="shared" si="1"/>
        <v>84.73</v>
      </c>
      <c r="I107" s="66">
        <f t="shared" si="1"/>
        <v>1.6</v>
      </c>
      <c r="J107" s="66">
        <f t="shared" si="1"/>
        <v>1.67</v>
      </c>
      <c r="K107" s="66">
        <f t="shared" si="1"/>
        <v>358.13</v>
      </c>
      <c r="L107" s="66">
        <f t="shared" si="1"/>
        <v>29.86</v>
      </c>
      <c r="M107" s="66">
        <f t="shared" si="1"/>
        <v>84.89</v>
      </c>
      <c r="N107" s="66">
        <f t="shared" si="1"/>
        <v>847.5</v>
      </c>
      <c r="O107" s="66">
        <f t="shared" si="1"/>
        <v>0</v>
      </c>
      <c r="P107" s="66">
        <f t="shared" si="1"/>
        <v>2.35</v>
      </c>
      <c r="Q107" s="66">
        <f t="shared" si="1"/>
        <v>8.14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18.175729166666667</v>
      </c>
      <c r="C108" s="67">
        <f t="shared" ref="C108:Q108" si="2">AVERAGE(C9:C104)</f>
        <v>30.276041666666668</v>
      </c>
      <c r="D108" s="67">
        <f t="shared" si="2"/>
        <v>32.576458333333342</v>
      </c>
      <c r="E108" s="67">
        <f t="shared" si="2"/>
        <v>1.0703125</v>
      </c>
      <c r="F108" s="67">
        <f t="shared" si="2"/>
        <v>2.8027083333333334</v>
      </c>
      <c r="G108" s="67">
        <f t="shared" si="2"/>
        <v>130.61999999999995</v>
      </c>
      <c r="H108" s="67">
        <f t="shared" si="2"/>
        <v>59.990833333333335</v>
      </c>
      <c r="I108" s="67">
        <f t="shared" si="2"/>
        <v>1.502604166666667</v>
      </c>
      <c r="J108" s="67">
        <f t="shared" si="2"/>
        <v>0.54062500000000002</v>
      </c>
      <c r="K108" s="67">
        <f t="shared" si="2"/>
        <v>249.10781249999999</v>
      </c>
      <c r="L108" s="67">
        <f t="shared" si="2"/>
        <v>22.984166666666653</v>
      </c>
      <c r="M108" s="67">
        <f t="shared" si="2"/>
        <v>53.753437500000011</v>
      </c>
      <c r="N108" s="67">
        <f t="shared" si="2"/>
        <v>212.63229166666687</v>
      </c>
      <c r="O108" s="67">
        <f t="shared" si="2"/>
        <v>0</v>
      </c>
      <c r="P108" s="67">
        <f t="shared" si="2"/>
        <v>1.2272916666666671</v>
      </c>
      <c r="Q108" s="67">
        <f t="shared" si="2"/>
        <v>5.6035416666666684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10.53392561851485</v>
      </c>
      <c r="C109" s="67">
        <f t="shared" ref="C109:Q109" si="3">STDEV(C9:C104)</f>
        <v>10.082014051</v>
      </c>
      <c r="D109" s="67">
        <f t="shared" si="3"/>
        <v>10.988717561223892</v>
      </c>
      <c r="E109" s="67">
        <f t="shared" si="3"/>
        <v>0.51826929217398765</v>
      </c>
      <c r="F109" s="67">
        <f t="shared" si="3"/>
        <v>3.2137603746412138</v>
      </c>
      <c r="G109" s="67">
        <f t="shared" si="3"/>
        <v>41.236222528513153</v>
      </c>
      <c r="H109" s="67">
        <f t="shared" si="3"/>
        <v>15.796015797906835</v>
      </c>
      <c r="I109" s="67">
        <f t="shared" si="3"/>
        <v>4.1757313678133533E-2</v>
      </c>
      <c r="J109" s="67">
        <f t="shared" si="3"/>
        <v>0.43270705417966299</v>
      </c>
      <c r="K109" s="67">
        <f t="shared" si="3"/>
        <v>130.10515958216766</v>
      </c>
      <c r="L109" s="67">
        <f t="shared" si="3"/>
        <v>3.8922210319307728</v>
      </c>
      <c r="M109" s="67">
        <f t="shared" si="3"/>
        <v>15.81639754233259</v>
      </c>
      <c r="N109" s="67">
        <f t="shared" si="3"/>
        <v>292.16548140603328</v>
      </c>
      <c r="O109" s="67">
        <f t="shared" si="3"/>
        <v>0</v>
      </c>
      <c r="P109" s="67">
        <f t="shared" si="3"/>
        <v>0.49294705420117202</v>
      </c>
      <c r="Q109" s="67">
        <f t="shared" si="3"/>
        <v>1.2785312125261103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P111" sqref="P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2454</v>
      </c>
      <c r="B9" s="64">
        <v>39.51</v>
      </c>
      <c r="C9" s="64">
        <v>27.3</v>
      </c>
      <c r="D9" s="64">
        <v>48.04</v>
      </c>
      <c r="E9" s="64">
        <v>0.78</v>
      </c>
      <c r="F9" s="64">
        <v>0.11</v>
      </c>
      <c r="G9" s="64">
        <v>206.86</v>
      </c>
      <c r="H9" s="64">
        <v>78.23</v>
      </c>
      <c r="I9" s="64">
        <v>1.54</v>
      </c>
      <c r="J9" s="64">
        <v>0.45</v>
      </c>
      <c r="K9" s="64">
        <v>331.68</v>
      </c>
      <c r="L9" s="64">
        <v>19.13</v>
      </c>
      <c r="M9" s="64">
        <v>76.27</v>
      </c>
      <c r="N9" s="64">
        <v>17.2</v>
      </c>
      <c r="O9" s="64">
        <v>0</v>
      </c>
      <c r="P9" s="215" t="s">
        <v>36</v>
      </c>
      <c r="Q9" s="64">
        <v>8.11</v>
      </c>
      <c r="R9" s="198"/>
      <c r="S9" s="198"/>
      <c r="T9" s="198"/>
      <c r="U9" s="198"/>
    </row>
    <row r="10" spans="1:21" s="12" customFormat="1" x14ac:dyDescent="0.25">
      <c r="A10" s="214" t="s">
        <v>2455</v>
      </c>
      <c r="B10" s="64">
        <v>38.28</v>
      </c>
      <c r="C10" s="64">
        <v>26.36</v>
      </c>
      <c r="D10" s="64">
        <v>46.53</v>
      </c>
      <c r="E10" s="64">
        <v>0.83</v>
      </c>
      <c r="F10" s="64">
        <v>0.22</v>
      </c>
      <c r="G10" s="64">
        <v>206.86</v>
      </c>
      <c r="H10" s="64">
        <v>78.23</v>
      </c>
      <c r="I10" s="64">
        <v>1.55</v>
      </c>
      <c r="J10" s="64">
        <v>0.82</v>
      </c>
      <c r="K10" s="64">
        <v>339.03</v>
      </c>
      <c r="L10" s="64">
        <v>19.059999999999999</v>
      </c>
      <c r="M10" s="64">
        <v>74.959999999999994</v>
      </c>
      <c r="N10" s="64">
        <v>16.899999999999999</v>
      </c>
      <c r="O10" s="64">
        <v>0</v>
      </c>
      <c r="P10" s="215" t="s">
        <v>36</v>
      </c>
      <c r="Q10" s="64">
        <v>8.08</v>
      </c>
      <c r="R10" s="198"/>
      <c r="S10" s="198"/>
      <c r="T10" s="198"/>
      <c r="U10" s="198"/>
    </row>
    <row r="11" spans="1:21" s="12" customFormat="1" x14ac:dyDescent="0.25">
      <c r="A11" s="214" t="s">
        <v>2456</v>
      </c>
      <c r="B11" s="64">
        <v>36.380000000000003</v>
      </c>
      <c r="C11" s="64">
        <v>26.14</v>
      </c>
      <c r="D11" s="64">
        <v>44.89</v>
      </c>
      <c r="E11" s="64">
        <v>0.76</v>
      </c>
      <c r="F11" s="64">
        <v>0.14000000000000001</v>
      </c>
      <c r="G11" s="64">
        <v>206.86</v>
      </c>
      <c r="H11" s="64">
        <v>80.489999999999995</v>
      </c>
      <c r="I11" s="64">
        <v>1.52</v>
      </c>
      <c r="J11" s="64">
        <v>0.9</v>
      </c>
      <c r="K11" s="64">
        <v>338.43</v>
      </c>
      <c r="L11" s="64">
        <v>19</v>
      </c>
      <c r="M11" s="64">
        <v>74.349999999999994</v>
      </c>
      <c r="N11" s="64">
        <v>17.100000000000001</v>
      </c>
      <c r="O11" s="64">
        <v>0</v>
      </c>
      <c r="P11" s="215" t="s">
        <v>36</v>
      </c>
      <c r="Q11" s="64">
        <v>7.99</v>
      </c>
      <c r="R11" s="198"/>
      <c r="S11" s="198"/>
      <c r="T11" s="198"/>
      <c r="U11" s="198"/>
    </row>
    <row r="12" spans="1:21" s="12" customFormat="1" x14ac:dyDescent="0.25">
      <c r="A12" s="214" t="s">
        <v>2457</v>
      </c>
      <c r="B12" s="64">
        <v>33.840000000000003</v>
      </c>
      <c r="C12" s="64">
        <v>26.69</v>
      </c>
      <c r="D12" s="64">
        <v>43.16</v>
      </c>
      <c r="E12" s="64">
        <v>0.74</v>
      </c>
      <c r="F12" s="64">
        <v>0.26</v>
      </c>
      <c r="G12" s="64">
        <v>256.74</v>
      </c>
      <c r="H12" s="64">
        <v>103.13</v>
      </c>
      <c r="I12" s="64">
        <v>1.54</v>
      </c>
      <c r="J12" s="64">
        <v>0.48</v>
      </c>
      <c r="K12" s="64">
        <v>335.41</v>
      </c>
      <c r="L12" s="64">
        <v>18.829999999999998</v>
      </c>
      <c r="M12" s="64">
        <v>73.63</v>
      </c>
      <c r="N12" s="64">
        <v>17.7</v>
      </c>
      <c r="O12" s="64">
        <v>0</v>
      </c>
      <c r="P12" s="215" t="s">
        <v>36</v>
      </c>
      <c r="Q12" s="64">
        <v>7.84</v>
      </c>
      <c r="R12" s="198"/>
      <c r="S12" s="198"/>
      <c r="T12" s="198"/>
      <c r="U12" s="198"/>
    </row>
    <row r="13" spans="1:21" s="12" customFormat="1" x14ac:dyDescent="0.25">
      <c r="A13" s="214" t="s">
        <v>2458</v>
      </c>
      <c r="B13" s="64">
        <v>30.46</v>
      </c>
      <c r="C13" s="64">
        <v>31.87</v>
      </c>
      <c r="D13" s="64">
        <v>43.31</v>
      </c>
      <c r="E13" s="64">
        <v>0.85</v>
      </c>
      <c r="F13" s="64">
        <v>0.99</v>
      </c>
      <c r="G13" s="64">
        <v>256.74</v>
      </c>
      <c r="H13" s="64">
        <v>103.13</v>
      </c>
      <c r="I13" s="64">
        <v>1.44</v>
      </c>
      <c r="J13" s="64">
        <v>0.06</v>
      </c>
      <c r="K13" s="64">
        <v>280.31</v>
      </c>
      <c r="L13" s="64">
        <v>18.260000000000002</v>
      </c>
      <c r="M13" s="64">
        <v>77.489999999999995</v>
      </c>
      <c r="N13" s="64">
        <v>18</v>
      </c>
      <c r="O13" s="64">
        <v>0</v>
      </c>
      <c r="P13" s="215" t="s">
        <v>36</v>
      </c>
      <c r="Q13" s="64">
        <v>7.7</v>
      </c>
      <c r="R13" s="198"/>
      <c r="S13" s="198"/>
      <c r="T13" s="198"/>
      <c r="U13" s="198"/>
    </row>
    <row r="14" spans="1:21" s="12" customFormat="1" x14ac:dyDescent="0.25">
      <c r="A14" s="214" t="s">
        <v>2459</v>
      </c>
      <c r="B14" s="64">
        <v>28.72</v>
      </c>
      <c r="C14" s="64">
        <v>30.1</v>
      </c>
      <c r="D14" s="64">
        <v>40.94</v>
      </c>
      <c r="E14" s="64">
        <v>0.9</v>
      </c>
      <c r="F14" s="64">
        <v>0.87</v>
      </c>
      <c r="G14" s="64">
        <v>256.74</v>
      </c>
      <c r="H14" s="64">
        <v>103.13</v>
      </c>
      <c r="I14" s="64">
        <v>1.52</v>
      </c>
      <c r="J14" s="64">
        <v>0.09</v>
      </c>
      <c r="K14" s="64">
        <v>290.31</v>
      </c>
      <c r="L14" s="64">
        <v>17.920000000000002</v>
      </c>
      <c r="M14" s="64">
        <v>79.81</v>
      </c>
      <c r="N14" s="64">
        <v>17.7</v>
      </c>
      <c r="O14" s="64">
        <v>0</v>
      </c>
      <c r="P14" s="215" t="s">
        <v>36</v>
      </c>
      <c r="Q14" s="64">
        <v>7.61</v>
      </c>
      <c r="R14" s="198"/>
      <c r="S14" s="198"/>
      <c r="T14" s="198"/>
      <c r="U14" s="198"/>
    </row>
    <row r="15" spans="1:21" s="12" customFormat="1" x14ac:dyDescent="0.25">
      <c r="A15" s="214" t="s">
        <v>2460</v>
      </c>
      <c r="B15" s="64">
        <v>26.94</v>
      </c>
      <c r="C15" s="64">
        <v>32.15</v>
      </c>
      <c r="D15" s="64">
        <v>40.64</v>
      </c>
      <c r="E15" s="64">
        <v>0.82</v>
      </c>
      <c r="F15" s="64">
        <v>0.36</v>
      </c>
      <c r="G15" s="64">
        <v>225.78</v>
      </c>
      <c r="H15" s="64">
        <v>103.46</v>
      </c>
      <c r="I15" s="64">
        <v>1.44</v>
      </c>
      <c r="J15" s="64">
        <v>0.05</v>
      </c>
      <c r="K15" s="64">
        <v>0.83</v>
      </c>
      <c r="L15" s="64">
        <v>17.88</v>
      </c>
      <c r="M15" s="64">
        <v>78.040000000000006</v>
      </c>
      <c r="N15" s="64">
        <v>17.3</v>
      </c>
      <c r="O15" s="64">
        <v>0</v>
      </c>
      <c r="P15" s="215" t="s">
        <v>36</v>
      </c>
      <c r="Q15" s="64">
        <v>7.5</v>
      </c>
      <c r="R15" s="198"/>
      <c r="S15" s="198"/>
      <c r="T15" s="198"/>
      <c r="U15" s="198"/>
    </row>
    <row r="16" spans="1:21" s="12" customFormat="1" x14ac:dyDescent="0.25">
      <c r="A16" s="214" t="s">
        <v>2461</v>
      </c>
      <c r="B16" s="64">
        <v>28.66</v>
      </c>
      <c r="C16" s="64">
        <v>29.29</v>
      </c>
      <c r="D16" s="64">
        <v>40.44</v>
      </c>
      <c r="E16" s="64">
        <v>0.89</v>
      </c>
      <c r="F16" s="64">
        <v>0.18</v>
      </c>
      <c r="G16" s="64">
        <v>225.78</v>
      </c>
      <c r="H16" s="64">
        <v>106.8</v>
      </c>
      <c r="I16" s="64">
        <v>1.57</v>
      </c>
      <c r="J16" s="64">
        <v>0.06</v>
      </c>
      <c r="K16" s="64">
        <v>301.79000000000002</v>
      </c>
      <c r="L16" s="64">
        <v>17.87</v>
      </c>
      <c r="M16" s="64">
        <v>76.739999999999995</v>
      </c>
      <c r="N16" s="64">
        <v>17.5</v>
      </c>
      <c r="O16" s="64">
        <v>0</v>
      </c>
      <c r="P16" s="215" t="s">
        <v>36</v>
      </c>
      <c r="Q16" s="64">
        <v>7.38</v>
      </c>
      <c r="R16" s="198"/>
      <c r="S16" s="198"/>
      <c r="T16" s="198"/>
      <c r="U16" s="198"/>
    </row>
    <row r="17" spans="1:21" s="12" customFormat="1" x14ac:dyDescent="0.25">
      <c r="A17" s="214" t="s">
        <v>2462</v>
      </c>
      <c r="B17" s="64">
        <v>29.8</v>
      </c>
      <c r="C17" s="64">
        <v>26.12</v>
      </c>
      <c r="D17" s="64">
        <v>39.61</v>
      </c>
      <c r="E17" s="64">
        <v>0.79</v>
      </c>
      <c r="F17" s="64">
        <v>0.15</v>
      </c>
      <c r="G17" s="64">
        <v>225.78</v>
      </c>
      <c r="H17" s="64">
        <v>106.8</v>
      </c>
      <c r="I17" s="64">
        <v>1.51</v>
      </c>
      <c r="J17" s="64">
        <v>0.46</v>
      </c>
      <c r="K17" s="64">
        <v>342.74</v>
      </c>
      <c r="L17" s="64">
        <v>17.93</v>
      </c>
      <c r="M17" s="64">
        <v>75.39</v>
      </c>
      <c r="N17" s="64">
        <v>16.3</v>
      </c>
      <c r="O17" s="64">
        <v>0</v>
      </c>
      <c r="P17" s="215" t="s">
        <v>36</v>
      </c>
      <c r="Q17" s="64">
        <v>7.37</v>
      </c>
      <c r="R17" s="198"/>
      <c r="S17" s="198"/>
      <c r="T17" s="198"/>
      <c r="U17" s="198"/>
    </row>
    <row r="18" spans="1:21" s="12" customFormat="1" x14ac:dyDescent="0.25">
      <c r="A18" s="214" t="s">
        <v>2463</v>
      </c>
      <c r="B18" s="64">
        <v>29.39</v>
      </c>
      <c r="C18" s="64">
        <v>24.95</v>
      </c>
      <c r="D18" s="64">
        <v>38.630000000000003</v>
      </c>
      <c r="E18" s="64">
        <v>0.74</v>
      </c>
      <c r="F18" s="64">
        <v>0.15</v>
      </c>
      <c r="G18" s="64">
        <v>225.78</v>
      </c>
      <c r="H18" s="64">
        <v>106.8</v>
      </c>
      <c r="I18" s="64">
        <v>1.47</v>
      </c>
      <c r="J18" s="64">
        <v>0.64</v>
      </c>
      <c r="K18" s="64">
        <v>342.61</v>
      </c>
      <c r="L18" s="64">
        <v>18.53</v>
      </c>
      <c r="M18" s="64">
        <v>69.55</v>
      </c>
      <c r="N18" s="64">
        <v>16.600000000000001</v>
      </c>
      <c r="O18" s="64">
        <v>0</v>
      </c>
      <c r="P18" s="215" t="s">
        <v>36</v>
      </c>
      <c r="Q18" s="64">
        <v>7.35</v>
      </c>
      <c r="R18" s="198"/>
      <c r="S18" s="198"/>
      <c r="T18" s="198"/>
      <c r="U18" s="198"/>
    </row>
    <row r="19" spans="1:21" s="12" customFormat="1" x14ac:dyDescent="0.25">
      <c r="A19" s="214" t="s">
        <v>2464</v>
      </c>
      <c r="B19" s="64">
        <v>28.08</v>
      </c>
      <c r="C19" s="64">
        <v>24.56</v>
      </c>
      <c r="D19" s="64">
        <v>37.36</v>
      </c>
      <c r="E19" s="64">
        <v>0.67</v>
      </c>
      <c r="F19" s="64">
        <v>0.15</v>
      </c>
      <c r="G19" s="64">
        <v>222.59</v>
      </c>
      <c r="H19" s="64">
        <v>106.4</v>
      </c>
      <c r="I19" s="64">
        <v>1.44</v>
      </c>
      <c r="J19" s="64">
        <v>0.41</v>
      </c>
      <c r="K19" s="64">
        <v>328.28</v>
      </c>
      <c r="L19" s="64">
        <v>18.3</v>
      </c>
      <c r="M19" s="64">
        <v>72.89</v>
      </c>
      <c r="N19" s="64">
        <v>17.399999999999999</v>
      </c>
      <c r="O19" s="64">
        <v>0</v>
      </c>
      <c r="P19" s="215" t="s">
        <v>36</v>
      </c>
      <c r="Q19" s="64">
        <v>7.24</v>
      </c>
      <c r="R19" s="198"/>
      <c r="S19" s="198"/>
      <c r="T19" s="198"/>
      <c r="U19" s="198"/>
    </row>
    <row r="20" spans="1:21" s="12" customFormat="1" x14ac:dyDescent="0.25">
      <c r="A20" s="214" t="s">
        <v>2465</v>
      </c>
      <c r="B20" s="64">
        <v>26.74</v>
      </c>
      <c r="C20" s="64">
        <v>23.95</v>
      </c>
      <c r="D20" s="64">
        <v>35.96</v>
      </c>
      <c r="E20" s="64">
        <v>0.72</v>
      </c>
      <c r="F20" s="64">
        <v>0.21</v>
      </c>
      <c r="G20" s="64">
        <v>184.84</v>
      </c>
      <c r="H20" s="64">
        <v>102.37</v>
      </c>
      <c r="I20" s="64">
        <v>1.5</v>
      </c>
      <c r="J20" s="64">
        <v>0.18</v>
      </c>
      <c r="K20" s="64">
        <v>335.32</v>
      </c>
      <c r="L20" s="64">
        <v>17.96</v>
      </c>
      <c r="M20" s="64">
        <v>74.81</v>
      </c>
      <c r="N20" s="64">
        <v>17.8</v>
      </c>
      <c r="O20" s="64">
        <v>0</v>
      </c>
      <c r="P20" s="215" t="s">
        <v>36</v>
      </c>
      <c r="Q20" s="64">
        <v>7.15</v>
      </c>
      <c r="R20" s="198"/>
      <c r="S20" s="198"/>
      <c r="T20" s="198"/>
      <c r="U20" s="198"/>
    </row>
    <row r="21" spans="1:21" s="12" customFormat="1" x14ac:dyDescent="0.25">
      <c r="A21" s="214" t="s">
        <v>2466</v>
      </c>
      <c r="B21" s="64">
        <v>25.81</v>
      </c>
      <c r="C21" s="64">
        <v>23.37</v>
      </c>
      <c r="D21" s="64">
        <v>34.89</v>
      </c>
      <c r="E21" s="64">
        <v>0.71</v>
      </c>
      <c r="F21" s="64">
        <v>0.23</v>
      </c>
      <c r="G21" s="64">
        <v>184.84</v>
      </c>
      <c r="H21" s="64">
        <v>102.37</v>
      </c>
      <c r="I21" s="64">
        <v>1.53</v>
      </c>
      <c r="J21" s="64">
        <v>0.19</v>
      </c>
      <c r="K21" s="64">
        <v>340.21</v>
      </c>
      <c r="L21" s="64">
        <v>17.739999999999998</v>
      </c>
      <c r="M21" s="64">
        <v>76.7</v>
      </c>
      <c r="N21" s="64">
        <v>17.600000000000001</v>
      </c>
      <c r="O21" s="64">
        <v>0</v>
      </c>
      <c r="P21" s="215" t="s">
        <v>36</v>
      </c>
      <c r="Q21" s="64">
        <v>7.03</v>
      </c>
      <c r="R21" s="198"/>
      <c r="S21" s="198"/>
      <c r="T21" s="198"/>
      <c r="U21" s="198"/>
    </row>
    <row r="22" spans="1:21" s="12" customFormat="1" x14ac:dyDescent="0.25">
      <c r="A22" s="214" t="s">
        <v>2467</v>
      </c>
      <c r="B22" s="64">
        <v>25.26</v>
      </c>
      <c r="C22" s="64">
        <v>23.81</v>
      </c>
      <c r="D22" s="64">
        <v>34.69</v>
      </c>
      <c r="E22" s="64">
        <v>0.68</v>
      </c>
      <c r="F22" s="64">
        <v>0.34</v>
      </c>
      <c r="G22" s="64">
        <v>184.84</v>
      </c>
      <c r="H22" s="64">
        <v>102.37</v>
      </c>
      <c r="I22" s="64">
        <v>1.5</v>
      </c>
      <c r="J22" s="64">
        <v>0.37</v>
      </c>
      <c r="K22" s="64">
        <v>323.69</v>
      </c>
      <c r="L22" s="64">
        <v>17.53</v>
      </c>
      <c r="M22" s="64">
        <v>79.930000000000007</v>
      </c>
      <c r="N22" s="64">
        <v>17.3</v>
      </c>
      <c r="O22" s="64">
        <v>0</v>
      </c>
      <c r="P22" s="215" t="s">
        <v>36</v>
      </c>
      <c r="Q22" s="64">
        <v>6.96</v>
      </c>
      <c r="R22" s="198"/>
      <c r="S22" s="198"/>
      <c r="T22" s="198"/>
      <c r="U22" s="198"/>
    </row>
    <row r="23" spans="1:21" s="12" customFormat="1" x14ac:dyDescent="0.25">
      <c r="A23" s="214" t="s">
        <v>2468</v>
      </c>
      <c r="B23" s="64">
        <v>24.53</v>
      </c>
      <c r="C23" s="64">
        <v>23.24</v>
      </c>
      <c r="D23" s="64">
        <v>33.79</v>
      </c>
      <c r="E23" s="64">
        <v>0.69</v>
      </c>
      <c r="F23" s="64">
        <v>0.26</v>
      </c>
      <c r="G23" s="64">
        <v>180.29</v>
      </c>
      <c r="H23" s="64">
        <v>101.04</v>
      </c>
      <c r="I23" s="64">
        <v>1.49</v>
      </c>
      <c r="J23" s="64">
        <v>0.49</v>
      </c>
      <c r="K23" s="64">
        <v>335.88</v>
      </c>
      <c r="L23" s="64">
        <v>17.45</v>
      </c>
      <c r="M23" s="64">
        <v>77.540000000000006</v>
      </c>
      <c r="N23" s="64">
        <v>16.899999999999999</v>
      </c>
      <c r="O23" s="64">
        <v>0</v>
      </c>
      <c r="P23" s="215" t="s">
        <v>36</v>
      </c>
      <c r="Q23" s="64">
        <v>6.93</v>
      </c>
      <c r="R23" s="198"/>
      <c r="S23" s="198"/>
      <c r="T23" s="198"/>
      <c r="U23" s="198"/>
    </row>
    <row r="24" spans="1:21" s="12" customFormat="1" x14ac:dyDescent="0.25">
      <c r="A24" s="214" t="s">
        <v>2469</v>
      </c>
      <c r="B24" s="64">
        <v>23.5</v>
      </c>
      <c r="C24" s="64">
        <v>23.17</v>
      </c>
      <c r="D24" s="64">
        <v>32.92</v>
      </c>
      <c r="E24" s="64">
        <v>0.41</v>
      </c>
      <c r="F24" s="64">
        <v>0.17</v>
      </c>
      <c r="G24" s="64">
        <v>126.31</v>
      </c>
      <c r="H24" s="64">
        <v>87.74</v>
      </c>
      <c r="I24" s="64">
        <v>1.41</v>
      </c>
      <c r="J24" s="64">
        <v>0.55000000000000004</v>
      </c>
      <c r="K24" s="64">
        <v>332.96</v>
      </c>
      <c r="L24" s="64">
        <v>17.559999999999999</v>
      </c>
      <c r="M24" s="64">
        <v>76.62</v>
      </c>
      <c r="N24" s="64">
        <v>17</v>
      </c>
      <c r="O24" s="64">
        <v>0</v>
      </c>
      <c r="P24" s="215" t="s">
        <v>36</v>
      </c>
      <c r="Q24" s="64">
        <v>6.9</v>
      </c>
      <c r="R24" s="198"/>
      <c r="S24" s="198"/>
      <c r="T24" s="198"/>
      <c r="U24" s="198"/>
    </row>
    <row r="25" spans="1:21" s="12" customFormat="1" x14ac:dyDescent="0.25">
      <c r="A25" s="214" t="s">
        <v>2470</v>
      </c>
      <c r="B25" s="64">
        <v>22.83</v>
      </c>
      <c r="C25" s="64">
        <v>23.83</v>
      </c>
      <c r="D25" s="64">
        <v>32.75</v>
      </c>
      <c r="E25" s="64">
        <v>0.61</v>
      </c>
      <c r="F25" s="64">
        <v>0.14000000000000001</v>
      </c>
      <c r="G25" s="64">
        <v>126.31</v>
      </c>
      <c r="H25" s="64">
        <v>87.74</v>
      </c>
      <c r="I25" s="64">
        <v>1.51</v>
      </c>
      <c r="J25" s="64">
        <v>0.27</v>
      </c>
      <c r="K25" s="64">
        <v>335.07</v>
      </c>
      <c r="L25" s="64">
        <v>17.46</v>
      </c>
      <c r="M25" s="64">
        <v>78.34</v>
      </c>
      <c r="N25" s="64">
        <v>17.7</v>
      </c>
      <c r="O25" s="64">
        <v>0</v>
      </c>
      <c r="P25" s="215" t="s">
        <v>36</v>
      </c>
      <c r="Q25" s="64">
        <v>6.8</v>
      </c>
      <c r="R25" s="198"/>
      <c r="S25" s="198"/>
      <c r="T25" s="198"/>
      <c r="U25" s="198"/>
    </row>
    <row r="26" spans="1:21" s="12" customFormat="1" x14ac:dyDescent="0.25">
      <c r="A26" s="214" t="s">
        <v>2471</v>
      </c>
      <c r="B26" s="64">
        <v>23.11</v>
      </c>
      <c r="C26" s="64">
        <v>25.23</v>
      </c>
      <c r="D26" s="64">
        <v>33.75</v>
      </c>
      <c r="E26" s="64">
        <v>0.62</v>
      </c>
      <c r="F26" s="64">
        <v>0.13</v>
      </c>
      <c r="G26" s="64">
        <v>126.31</v>
      </c>
      <c r="H26" s="64">
        <v>87.74</v>
      </c>
      <c r="I26" s="64">
        <v>1.52</v>
      </c>
      <c r="J26" s="64">
        <v>0.36</v>
      </c>
      <c r="K26" s="64">
        <v>342.33</v>
      </c>
      <c r="L26" s="64">
        <v>17.25</v>
      </c>
      <c r="M26" s="64">
        <v>77.58</v>
      </c>
      <c r="N26" s="64">
        <v>17.2</v>
      </c>
      <c r="O26" s="64">
        <v>0</v>
      </c>
      <c r="P26" s="215" t="s">
        <v>36</v>
      </c>
      <c r="Q26" s="64">
        <v>6.75</v>
      </c>
      <c r="R26" s="198"/>
      <c r="S26" s="198"/>
      <c r="T26" s="198"/>
      <c r="U26" s="198"/>
    </row>
    <row r="27" spans="1:21" s="12" customFormat="1" x14ac:dyDescent="0.25">
      <c r="A27" s="214" t="s">
        <v>2472</v>
      </c>
      <c r="B27" s="64">
        <v>22.63</v>
      </c>
      <c r="C27" s="64">
        <v>24.67</v>
      </c>
      <c r="D27" s="64">
        <v>33.06</v>
      </c>
      <c r="E27" s="64">
        <v>0.63</v>
      </c>
      <c r="F27" s="64">
        <v>0.51</v>
      </c>
      <c r="G27" s="64">
        <v>127.09</v>
      </c>
      <c r="H27" s="64">
        <v>87.58</v>
      </c>
      <c r="I27" s="64">
        <v>1.51</v>
      </c>
      <c r="J27" s="64">
        <v>0.73</v>
      </c>
      <c r="K27" s="64">
        <v>343.09</v>
      </c>
      <c r="L27" s="64">
        <v>17.63</v>
      </c>
      <c r="M27" s="64">
        <v>71.239999999999995</v>
      </c>
      <c r="N27" s="64">
        <v>16.7</v>
      </c>
      <c r="O27" s="64">
        <v>0</v>
      </c>
      <c r="P27" s="215" t="s">
        <v>36</v>
      </c>
      <c r="Q27" s="64">
        <v>6.77</v>
      </c>
      <c r="R27" s="198"/>
      <c r="S27" s="198"/>
      <c r="T27" s="198"/>
      <c r="U27" s="198"/>
    </row>
    <row r="28" spans="1:21" s="12" customFormat="1" x14ac:dyDescent="0.25">
      <c r="A28" s="214" t="s">
        <v>2473</v>
      </c>
      <c r="B28" s="64">
        <v>21.77</v>
      </c>
      <c r="C28" s="64">
        <v>23.85</v>
      </c>
      <c r="D28" s="64">
        <v>31.91</v>
      </c>
      <c r="E28" s="64">
        <v>0.56999999999999995</v>
      </c>
      <c r="F28" s="64">
        <v>0.6</v>
      </c>
      <c r="G28" s="64">
        <v>136.4</v>
      </c>
      <c r="H28" s="64">
        <v>85.89</v>
      </c>
      <c r="I28" s="64">
        <v>1.53</v>
      </c>
      <c r="J28" s="64">
        <v>0.52</v>
      </c>
      <c r="K28" s="64">
        <v>347.06</v>
      </c>
      <c r="L28" s="64">
        <v>17.71</v>
      </c>
      <c r="M28" s="64">
        <v>70.599999999999994</v>
      </c>
      <c r="N28" s="64">
        <v>17.5</v>
      </c>
      <c r="O28" s="64">
        <v>0</v>
      </c>
      <c r="P28" s="215" t="s">
        <v>36</v>
      </c>
      <c r="Q28" s="64">
        <v>6.71</v>
      </c>
      <c r="R28" s="198"/>
      <c r="S28" s="198"/>
      <c r="T28" s="198"/>
      <c r="U28" s="198"/>
    </row>
    <row r="29" spans="1:21" s="12" customFormat="1" x14ac:dyDescent="0.25">
      <c r="A29" s="214" t="s">
        <v>2474</v>
      </c>
      <c r="B29" s="64">
        <v>21.15</v>
      </c>
      <c r="C29" s="64">
        <v>22.01</v>
      </c>
      <c r="D29" s="64">
        <v>30.4</v>
      </c>
      <c r="E29" s="64">
        <v>0.59</v>
      </c>
      <c r="F29" s="64">
        <v>0.48</v>
      </c>
      <c r="G29" s="64">
        <v>136.4</v>
      </c>
      <c r="H29" s="64">
        <v>85.89</v>
      </c>
      <c r="I29" s="64">
        <v>1.48</v>
      </c>
      <c r="J29" s="64">
        <v>0.08</v>
      </c>
      <c r="K29" s="64">
        <v>9.9600000000000009</v>
      </c>
      <c r="L29" s="64">
        <v>17.420000000000002</v>
      </c>
      <c r="M29" s="64">
        <v>74.540000000000006</v>
      </c>
      <c r="N29" s="64">
        <v>18</v>
      </c>
      <c r="O29" s="64">
        <v>0</v>
      </c>
      <c r="P29" s="215" t="s">
        <v>36</v>
      </c>
      <c r="Q29" s="64">
        <v>6.66</v>
      </c>
      <c r="R29" s="198"/>
      <c r="S29" s="198"/>
      <c r="T29" s="198"/>
      <c r="U29" s="198"/>
    </row>
    <row r="30" spans="1:21" s="12" customFormat="1" x14ac:dyDescent="0.25">
      <c r="A30" s="214" t="s">
        <v>2475</v>
      </c>
      <c r="B30" s="64">
        <v>21.24</v>
      </c>
      <c r="C30" s="64">
        <v>22.74</v>
      </c>
      <c r="D30" s="64">
        <v>30.88</v>
      </c>
      <c r="E30" s="64">
        <v>0.56000000000000005</v>
      </c>
      <c r="F30" s="64">
        <v>0.23</v>
      </c>
      <c r="G30" s="64">
        <v>136.4</v>
      </c>
      <c r="H30" s="64">
        <v>85.89</v>
      </c>
      <c r="I30" s="64">
        <v>1.5</v>
      </c>
      <c r="J30" s="64">
        <v>0.08</v>
      </c>
      <c r="K30" s="64">
        <v>318.35000000000002</v>
      </c>
      <c r="L30" s="64">
        <v>16.920000000000002</v>
      </c>
      <c r="M30" s="64">
        <v>81</v>
      </c>
      <c r="N30" s="64">
        <v>18</v>
      </c>
      <c r="O30" s="64">
        <v>0</v>
      </c>
      <c r="P30" s="215" t="s">
        <v>36</v>
      </c>
      <c r="Q30" s="64">
        <v>6.61</v>
      </c>
      <c r="R30" s="198"/>
      <c r="S30" s="198"/>
      <c r="T30" s="198"/>
      <c r="U30" s="198"/>
    </row>
    <row r="31" spans="1:21" s="12" customFormat="1" x14ac:dyDescent="0.25">
      <c r="A31" s="214" t="s">
        <v>2476</v>
      </c>
      <c r="B31" s="64">
        <v>21.93</v>
      </c>
      <c r="C31" s="64">
        <v>22.95</v>
      </c>
      <c r="D31" s="64">
        <v>31.55</v>
      </c>
      <c r="E31" s="64">
        <v>0.49</v>
      </c>
      <c r="F31" s="64">
        <v>0.09</v>
      </c>
      <c r="G31" s="64">
        <v>136.99</v>
      </c>
      <c r="H31" s="64">
        <v>85.52</v>
      </c>
      <c r="I31" s="64">
        <v>1.54</v>
      </c>
      <c r="J31" s="64">
        <v>0.05</v>
      </c>
      <c r="K31" s="64">
        <v>315.27</v>
      </c>
      <c r="L31" s="64">
        <v>16.600000000000001</v>
      </c>
      <c r="M31" s="64">
        <v>82.11</v>
      </c>
      <c r="N31" s="64">
        <v>17.8</v>
      </c>
      <c r="O31" s="64">
        <v>0</v>
      </c>
      <c r="P31" s="215" t="s">
        <v>36</v>
      </c>
      <c r="Q31" s="64">
        <v>6.64</v>
      </c>
      <c r="R31" s="198"/>
      <c r="S31" s="198"/>
      <c r="T31" s="198"/>
      <c r="U31" s="198"/>
    </row>
    <row r="32" spans="1:21" s="12" customFormat="1" x14ac:dyDescent="0.25">
      <c r="A32" s="214" t="s">
        <v>2477</v>
      </c>
      <c r="B32" s="64">
        <v>22.98</v>
      </c>
      <c r="C32" s="64">
        <v>23.09</v>
      </c>
      <c r="D32" s="64">
        <v>32.47</v>
      </c>
      <c r="E32" s="64">
        <v>0.52</v>
      </c>
      <c r="F32" s="64">
        <v>7.0000000000000007E-2</v>
      </c>
      <c r="G32" s="64">
        <v>144.02000000000001</v>
      </c>
      <c r="H32" s="64">
        <v>81.77</v>
      </c>
      <c r="I32" s="64">
        <v>1.54</v>
      </c>
      <c r="J32" s="64">
        <v>0.19</v>
      </c>
      <c r="K32" s="64">
        <v>324.63</v>
      </c>
      <c r="L32" s="64">
        <v>16.649999999999999</v>
      </c>
      <c r="M32" s="64">
        <v>81.98</v>
      </c>
      <c r="N32" s="64">
        <v>19.7</v>
      </c>
      <c r="O32" s="64">
        <v>0</v>
      </c>
      <c r="P32" s="215" t="s">
        <v>36</v>
      </c>
      <c r="Q32" s="64">
        <v>6.66</v>
      </c>
      <c r="R32" s="198"/>
      <c r="S32" s="198"/>
      <c r="T32" s="198"/>
      <c r="U32" s="198"/>
    </row>
    <row r="33" spans="1:21" s="12" customFormat="1" x14ac:dyDescent="0.25">
      <c r="A33" s="214" t="s">
        <v>2478</v>
      </c>
      <c r="B33" s="64">
        <v>23.92</v>
      </c>
      <c r="C33" s="64">
        <v>23.16</v>
      </c>
      <c r="D33" s="64">
        <v>33.25</v>
      </c>
      <c r="E33" s="64">
        <v>0.54</v>
      </c>
      <c r="F33" s="64">
        <v>0.09</v>
      </c>
      <c r="G33" s="64">
        <v>144.02000000000001</v>
      </c>
      <c r="H33" s="64">
        <v>81.77</v>
      </c>
      <c r="I33" s="64">
        <v>1.53</v>
      </c>
      <c r="J33" s="64">
        <v>0.28000000000000003</v>
      </c>
      <c r="K33" s="64">
        <v>325.54000000000002</v>
      </c>
      <c r="L33" s="64">
        <v>16.71</v>
      </c>
      <c r="M33" s="64">
        <v>82.2</v>
      </c>
      <c r="N33" s="64">
        <v>30.4</v>
      </c>
      <c r="O33" s="64">
        <v>0</v>
      </c>
      <c r="P33" s="215" t="s">
        <v>36</v>
      </c>
      <c r="Q33" s="64">
        <v>6.77</v>
      </c>
      <c r="R33" s="198"/>
      <c r="S33" s="198"/>
      <c r="T33" s="198"/>
      <c r="U33" s="198"/>
    </row>
    <row r="34" spans="1:21" s="12" customFormat="1" x14ac:dyDescent="0.25">
      <c r="A34" s="214" t="s">
        <v>2479</v>
      </c>
      <c r="B34" s="64">
        <v>25.02</v>
      </c>
      <c r="C34" s="64">
        <v>23.2</v>
      </c>
      <c r="D34" s="64">
        <v>34.159999999999997</v>
      </c>
      <c r="E34" s="64">
        <v>0.51</v>
      </c>
      <c r="F34" s="64">
        <v>0.13</v>
      </c>
      <c r="G34" s="64">
        <v>144.02000000000001</v>
      </c>
      <c r="H34" s="64">
        <v>81.77</v>
      </c>
      <c r="I34" s="64">
        <v>1.45</v>
      </c>
      <c r="J34" s="64">
        <v>0.25</v>
      </c>
      <c r="K34" s="64">
        <v>329.02</v>
      </c>
      <c r="L34" s="64">
        <v>17.09</v>
      </c>
      <c r="M34" s="64">
        <v>80.77</v>
      </c>
      <c r="N34" s="64">
        <v>47.3</v>
      </c>
      <c r="O34" s="64">
        <v>0</v>
      </c>
      <c r="P34" s="215" t="s">
        <v>36</v>
      </c>
      <c r="Q34" s="64">
        <v>6.82</v>
      </c>
      <c r="R34" s="198"/>
      <c r="S34" s="198"/>
      <c r="T34" s="198"/>
      <c r="U34" s="198"/>
    </row>
    <row r="35" spans="1:21" s="12" customFormat="1" x14ac:dyDescent="0.25">
      <c r="A35" s="214" t="s">
        <v>2480</v>
      </c>
      <c r="B35" s="64">
        <v>26.58</v>
      </c>
      <c r="C35" s="64">
        <v>23.52</v>
      </c>
      <c r="D35" s="64">
        <v>35.590000000000003</v>
      </c>
      <c r="E35" s="64">
        <v>0.45</v>
      </c>
      <c r="F35" s="64">
        <v>0.09</v>
      </c>
      <c r="G35" s="64">
        <v>147.74</v>
      </c>
      <c r="H35" s="64">
        <v>82.97</v>
      </c>
      <c r="I35" s="64">
        <v>1.46</v>
      </c>
      <c r="J35" s="64">
        <v>0.25</v>
      </c>
      <c r="K35" s="64">
        <v>352.67</v>
      </c>
      <c r="L35" s="64">
        <v>17.600000000000001</v>
      </c>
      <c r="M35" s="64">
        <v>78.63</v>
      </c>
      <c r="N35" s="64">
        <v>86.4</v>
      </c>
      <c r="O35" s="64">
        <v>0</v>
      </c>
      <c r="P35" s="215" t="s">
        <v>36</v>
      </c>
      <c r="Q35" s="64">
        <v>6.91</v>
      </c>
      <c r="R35" s="198"/>
      <c r="S35" s="198"/>
      <c r="T35" s="198"/>
      <c r="U35" s="198"/>
    </row>
    <row r="36" spans="1:21" s="12" customFormat="1" x14ac:dyDescent="0.25">
      <c r="A36" s="214" t="s">
        <v>2481</v>
      </c>
      <c r="B36" s="64">
        <v>30.21</v>
      </c>
      <c r="C36" s="64">
        <v>29.57</v>
      </c>
      <c r="D36" s="64">
        <v>41.84</v>
      </c>
      <c r="E36" s="64">
        <v>0.51</v>
      </c>
      <c r="F36" s="64">
        <v>0.15</v>
      </c>
      <c r="G36" s="64">
        <v>199.87</v>
      </c>
      <c r="H36" s="64">
        <v>95.19</v>
      </c>
      <c r="I36" s="64">
        <v>1.45</v>
      </c>
      <c r="J36" s="64">
        <v>0.22</v>
      </c>
      <c r="K36" s="64">
        <v>352.16</v>
      </c>
      <c r="L36" s="64">
        <v>19.350000000000001</v>
      </c>
      <c r="M36" s="64">
        <v>69.13</v>
      </c>
      <c r="N36" s="64">
        <v>142.6</v>
      </c>
      <c r="O36" s="64">
        <v>0</v>
      </c>
      <c r="P36" s="215" t="s">
        <v>36</v>
      </c>
      <c r="Q36" s="64">
        <v>6.81</v>
      </c>
      <c r="R36" s="198"/>
      <c r="S36" s="198"/>
      <c r="T36" s="198"/>
      <c r="U36" s="198"/>
    </row>
    <row r="37" spans="1:21" s="12" customFormat="1" x14ac:dyDescent="0.25">
      <c r="A37" s="214" t="s">
        <v>2482</v>
      </c>
      <c r="B37" s="64">
        <v>29.69</v>
      </c>
      <c r="C37" s="64">
        <v>26.65</v>
      </c>
      <c r="D37" s="64">
        <v>39.81</v>
      </c>
      <c r="E37" s="64">
        <v>0.61</v>
      </c>
      <c r="F37" s="64">
        <v>0.28000000000000003</v>
      </c>
      <c r="G37" s="64">
        <v>199.87</v>
      </c>
      <c r="H37" s="64">
        <v>95.19</v>
      </c>
      <c r="I37" s="64">
        <v>1.5</v>
      </c>
      <c r="J37" s="64">
        <v>0.37</v>
      </c>
      <c r="K37" s="64">
        <v>349.25</v>
      </c>
      <c r="L37" s="64">
        <v>21.76</v>
      </c>
      <c r="M37" s="64">
        <v>60.16</v>
      </c>
      <c r="N37" s="64">
        <v>199</v>
      </c>
      <c r="O37" s="64">
        <v>0</v>
      </c>
      <c r="P37" s="215" t="s">
        <v>36</v>
      </c>
      <c r="Q37" s="64">
        <v>7.1</v>
      </c>
      <c r="R37" s="198"/>
      <c r="S37" s="198"/>
      <c r="T37" s="198"/>
      <c r="U37" s="198"/>
    </row>
    <row r="38" spans="1:21" s="12" customFormat="1" x14ac:dyDescent="0.25">
      <c r="A38" s="214" t="s">
        <v>2483</v>
      </c>
      <c r="B38" s="64">
        <v>30.37</v>
      </c>
      <c r="C38" s="64">
        <v>28.26</v>
      </c>
      <c r="D38" s="64">
        <v>41.25</v>
      </c>
      <c r="E38" s="64">
        <v>0.63</v>
      </c>
      <c r="F38" s="64">
        <v>0.71</v>
      </c>
      <c r="G38" s="64">
        <v>199.87</v>
      </c>
      <c r="H38" s="64">
        <v>95.19</v>
      </c>
      <c r="I38" s="64">
        <v>1.47</v>
      </c>
      <c r="J38" s="64">
        <v>0.38</v>
      </c>
      <c r="K38" s="64">
        <v>336.92</v>
      </c>
      <c r="L38" s="64">
        <v>24.22</v>
      </c>
      <c r="M38" s="64">
        <v>52.24</v>
      </c>
      <c r="N38" s="64">
        <v>258.3</v>
      </c>
      <c r="O38" s="64">
        <v>0</v>
      </c>
      <c r="P38" s="215" t="s">
        <v>36</v>
      </c>
      <c r="Q38" s="64">
        <v>7.26</v>
      </c>
      <c r="R38" s="198"/>
      <c r="S38" s="198"/>
      <c r="T38" s="198"/>
      <c r="U38" s="198"/>
    </row>
    <row r="39" spans="1:21" s="12" customFormat="1" x14ac:dyDescent="0.25">
      <c r="A39" s="214" t="s">
        <v>2484</v>
      </c>
      <c r="B39" s="64">
        <v>31.48</v>
      </c>
      <c r="C39" s="64">
        <v>33.700000000000003</v>
      </c>
      <c r="D39" s="64">
        <v>45.13</v>
      </c>
      <c r="E39" s="64">
        <v>0.62</v>
      </c>
      <c r="F39" s="64">
        <v>1.78</v>
      </c>
      <c r="G39" s="64">
        <v>199.87</v>
      </c>
      <c r="H39" s="64">
        <v>95.39</v>
      </c>
      <c r="I39" s="64">
        <v>1.46</v>
      </c>
      <c r="J39" s="64">
        <v>0.53</v>
      </c>
      <c r="K39" s="64">
        <v>342.46</v>
      </c>
      <c r="L39" s="64">
        <v>26.19</v>
      </c>
      <c r="M39" s="64">
        <v>45.02</v>
      </c>
      <c r="N39" s="64">
        <v>257.8</v>
      </c>
      <c r="O39" s="64">
        <v>0</v>
      </c>
      <c r="P39" s="215" t="s">
        <v>36</v>
      </c>
      <c r="Q39" s="64">
        <v>7.17</v>
      </c>
      <c r="R39" s="198"/>
      <c r="S39" s="198"/>
      <c r="T39" s="198"/>
      <c r="U39" s="198"/>
    </row>
    <row r="40" spans="1:21" s="12" customFormat="1" x14ac:dyDescent="0.25">
      <c r="A40" s="214" t="s">
        <v>2485</v>
      </c>
      <c r="B40" s="64">
        <v>31.96</v>
      </c>
      <c r="C40" s="64">
        <v>28.27</v>
      </c>
      <c r="D40" s="64">
        <v>42.52</v>
      </c>
      <c r="E40" s="64">
        <v>0.51</v>
      </c>
      <c r="F40" s="64">
        <v>1.26</v>
      </c>
      <c r="G40" s="64">
        <v>328.63</v>
      </c>
      <c r="H40" s="64">
        <v>97.43</v>
      </c>
      <c r="I40" s="64">
        <v>1.38</v>
      </c>
      <c r="J40" s="64">
        <v>0.76</v>
      </c>
      <c r="K40" s="64">
        <v>342.91</v>
      </c>
      <c r="L40" s="64">
        <v>27.81</v>
      </c>
      <c r="M40" s="64">
        <v>40.869999999999997</v>
      </c>
      <c r="N40" s="64">
        <v>368.9</v>
      </c>
      <c r="O40" s="64">
        <v>0</v>
      </c>
      <c r="P40" s="215" t="s">
        <v>36</v>
      </c>
      <c r="Q40" s="64">
        <v>7.26</v>
      </c>
      <c r="R40" s="198"/>
      <c r="S40" s="198"/>
      <c r="T40" s="198"/>
      <c r="U40" s="198"/>
    </row>
    <row r="41" spans="1:21" s="12" customFormat="1" x14ac:dyDescent="0.25">
      <c r="A41" s="214" t="s">
        <v>2486</v>
      </c>
      <c r="B41" s="64">
        <v>31.01</v>
      </c>
      <c r="C41" s="64">
        <v>28.51</v>
      </c>
      <c r="D41" s="64">
        <v>41.89</v>
      </c>
      <c r="E41" s="64">
        <v>0.83</v>
      </c>
      <c r="F41" s="64">
        <v>0.81</v>
      </c>
      <c r="G41" s="64">
        <v>328.63</v>
      </c>
      <c r="H41" s="64">
        <v>97.43</v>
      </c>
      <c r="I41" s="64">
        <v>1.5</v>
      </c>
      <c r="J41" s="64">
        <v>0.61</v>
      </c>
      <c r="K41" s="64">
        <v>335.35</v>
      </c>
      <c r="L41" s="64">
        <v>27.89</v>
      </c>
      <c r="M41" s="64">
        <v>39.880000000000003</v>
      </c>
      <c r="N41" s="64">
        <v>416.3</v>
      </c>
      <c r="O41" s="64">
        <v>0</v>
      </c>
      <c r="P41" s="215" t="s">
        <v>36</v>
      </c>
      <c r="Q41" s="64">
        <v>7.39</v>
      </c>
      <c r="R41" s="198"/>
      <c r="S41" s="198"/>
      <c r="T41" s="198"/>
      <c r="U41" s="198"/>
    </row>
    <row r="42" spans="1:21" s="12" customFormat="1" x14ac:dyDescent="0.25">
      <c r="A42" s="214" t="s">
        <v>2487</v>
      </c>
      <c r="B42" s="64">
        <v>30.68</v>
      </c>
      <c r="C42" s="64">
        <v>29.91</v>
      </c>
      <c r="D42" s="64">
        <v>42.4</v>
      </c>
      <c r="E42" s="64">
        <v>0.81</v>
      </c>
      <c r="F42" s="64">
        <v>0.48</v>
      </c>
      <c r="G42" s="64">
        <v>328.63</v>
      </c>
      <c r="H42" s="64">
        <v>97.43</v>
      </c>
      <c r="I42" s="64">
        <v>1.53</v>
      </c>
      <c r="J42" s="64">
        <v>0.39</v>
      </c>
      <c r="K42" s="64">
        <v>108.11</v>
      </c>
      <c r="L42" s="64">
        <v>27.03</v>
      </c>
      <c r="M42" s="64">
        <v>42.31</v>
      </c>
      <c r="N42" s="64">
        <v>472.5</v>
      </c>
      <c r="O42" s="64">
        <v>0</v>
      </c>
      <c r="P42" s="215" t="s">
        <v>36</v>
      </c>
      <c r="Q42" s="64">
        <v>7.33</v>
      </c>
      <c r="R42" s="198"/>
      <c r="S42" s="198"/>
      <c r="T42" s="198"/>
      <c r="U42" s="198"/>
    </row>
    <row r="43" spans="1:21" s="12" customFormat="1" x14ac:dyDescent="0.25">
      <c r="A43" s="214" t="s">
        <v>2488</v>
      </c>
      <c r="B43" s="64">
        <v>29.01</v>
      </c>
      <c r="C43" s="64">
        <v>28.38</v>
      </c>
      <c r="D43" s="64">
        <v>40.22</v>
      </c>
      <c r="E43" s="64">
        <v>0.84</v>
      </c>
      <c r="F43" s="64">
        <v>0.63</v>
      </c>
      <c r="G43" s="64">
        <v>152.94</v>
      </c>
      <c r="H43" s="64">
        <v>96.4</v>
      </c>
      <c r="I43" s="64">
        <v>1.59</v>
      </c>
      <c r="J43" s="64">
        <v>0.62</v>
      </c>
      <c r="K43" s="64">
        <v>340.4</v>
      </c>
      <c r="L43" s="64">
        <v>26.18</v>
      </c>
      <c r="M43" s="64">
        <v>49.17</v>
      </c>
      <c r="N43" s="64">
        <v>507.5</v>
      </c>
      <c r="O43" s="64">
        <v>0</v>
      </c>
      <c r="P43" s="215" t="s">
        <v>36</v>
      </c>
      <c r="Q43" s="64">
        <v>7.33</v>
      </c>
      <c r="R43" s="198"/>
      <c r="S43" s="198"/>
      <c r="T43" s="198"/>
      <c r="U43" s="198"/>
    </row>
    <row r="44" spans="1:21" s="12" customFormat="1" x14ac:dyDescent="0.25">
      <c r="A44" s="214" t="s">
        <v>2489</v>
      </c>
      <c r="B44" s="64">
        <v>28.22</v>
      </c>
      <c r="C44" s="64">
        <v>27.84</v>
      </c>
      <c r="D44" s="64">
        <v>39.29</v>
      </c>
      <c r="E44" s="64">
        <v>0.79</v>
      </c>
      <c r="F44" s="64">
        <v>0.41</v>
      </c>
      <c r="G44" s="64">
        <v>152.94</v>
      </c>
      <c r="H44" s="64">
        <v>85.97</v>
      </c>
      <c r="I44" s="64">
        <v>1.55</v>
      </c>
      <c r="J44" s="64">
        <v>0.03</v>
      </c>
      <c r="K44" s="64">
        <v>304.12</v>
      </c>
      <c r="L44" s="64">
        <v>25.45</v>
      </c>
      <c r="M44" s="64">
        <v>50.97</v>
      </c>
      <c r="N44" s="64">
        <v>446.4</v>
      </c>
      <c r="O44" s="64">
        <v>0</v>
      </c>
      <c r="P44" s="215" t="s">
        <v>36</v>
      </c>
      <c r="Q44" s="64">
        <v>7.23</v>
      </c>
      <c r="R44" s="198"/>
      <c r="S44" s="198"/>
      <c r="T44" s="198"/>
      <c r="U44" s="198"/>
    </row>
    <row r="45" spans="1:21" s="12" customFormat="1" x14ac:dyDescent="0.25">
      <c r="A45" s="214" t="s">
        <v>2490</v>
      </c>
      <c r="B45" s="64">
        <v>26.81</v>
      </c>
      <c r="C45" s="64">
        <v>27.83</v>
      </c>
      <c r="D45" s="64">
        <v>38.15</v>
      </c>
      <c r="E45" s="64">
        <v>0.8</v>
      </c>
      <c r="F45" s="64">
        <v>0.44</v>
      </c>
      <c r="G45" s="64">
        <v>152.94</v>
      </c>
      <c r="H45" s="64">
        <v>85.97</v>
      </c>
      <c r="I45" s="64">
        <v>1.37</v>
      </c>
      <c r="J45" s="64">
        <v>0.2</v>
      </c>
      <c r="K45" s="64">
        <v>113.36</v>
      </c>
      <c r="L45" s="64">
        <v>25.31</v>
      </c>
      <c r="M45" s="64">
        <v>50.55</v>
      </c>
      <c r="N45" s="64">
        <v>469.8</v>
      </c>
      <c r="O45" s="64">
        <v>0</v>
      </c>
      <c r="P45" s="215" t="s">
        <v>36</v>
      </c>
      <c r="Q45" s="64">
        <v>7.16</v>
      </c>
      <c r="R45" s="198"/>
      <c r="S45" s="198"/>
      <c r="T45" s="198"/>
      <c r="U45" s="198"/>
    </row>
    <row r="46" spans="1:21" s="12" customFormat="1" x14ac:dyDescent="0.25">
      <c r="A46" s="214" t="s">
        <v>2491</v>
      </c>
      <c r="B46" s="64">
        <v>25.37</v>
      </c>
      <c r="C46" s="64">
        <v>28.29</v>
      </c>
      <c r="D46" s="64">
        <v>37.25</v>
      </c>
      <c r="E46" s="64">
        <v>0.84</v>
      </c>
      <c r="F46" s="64">
        <v>0.44</v>
      </c>
      <c r="G46" s="64">
        <v>152.94</v>
      </c>
      <c r="H46" s="64">
        <v>85.97</v>
      </c>
      <c r="I46" s="64">
        <v>1.49</v>
      </c>
      <c r="J46" s="64">
        <v>0.37</v>
      </c>
      <c r="K46" s="64">
        <v>125.07</v>
      </c>
      <c r="L46" s="64">
        <v>24.89</v>
      </c>
      <c r="M46" s="64">
        <v>49.67</v>
      </c>
      <c r="N46" s="64">
        <v>644.5</v>
      </c>
      <c r="O46" s="64">
        <v>0</v>
      </c>
      <c r="P46" s="215" t="s">
        <v>36</v>
      </c>
      <c r="Q46" s="64">
        <v>7.02</v>
      </c>
      <c r="R46" s="198"/>
      <c r="S46" s="198"/>
      <c r="T46" s="198"/>
      <c r="U46" s="198"/>
    </row>
    <row r="47" spans="1:21" s="12" customFormat="1" x14ac:dyDescent="0.25">
      <c r="A47" s="214" t="s">
        <v>2492</v>
      </c>
      <c r="B47" s="64">
        <v>22.9</v>
      </c>
      <c r="C47" s="64">
        <v>28.69</v>
      </c>
      <c r="D47" s="64">
        <v>35.479999999999997</v>
      </c>
      <c r="E47" s="64">
        <v>0.92</v>
      </c>
      <c r="F47" s="64">
        <v>1.85</v>
      </c>
      <c r="G47" s="64">
        <v>147.93</v>
      </c>
      <c r="H47" s="64">
        <v>84.67</v>
      </c>
      <c r="I47" s="64">
        <v>1.5</v>
      </c>
      <c r="J47" s="64">
        <v>0.22</v>
      </c>
      <c r="K47" s="64">
        <v>4.71</v>
      </c>
      <c r="L47" s="64">
        <v>25.33</v>
      </c>
      <c r="M47" s="64">
        <v>51.51</v>
      </c>
      <c r="N47" s="64">
        <v>671.3</v>
      </c>
      <c r="O47" s="64">
        <v>0</v>
      </c>
      <c r="P47" s="215" t="s">
        <v>36</v>
      </c>
      <c r="Q47" s="64">
        <v>6.94</v>
      </c>
      <c r="R47" s="198"/>
      <c r="S47" s="198"/>
      <c r="T47" s="198"/>
      <c r="U47" s="198"/>
    </row>
    <row r="48" spans="1:21" s="12" customFormat="1" x14ac:dyDescent="0.25">
      <c r="A48" s="214" t="s">
        <v>2493</v>
      </c>
      <c r="B48" s="64">
        <v>20.95</v>
      </c>
      <c r="C48" s="64">
        <v>28.32</v>
      </c>
      <c r="D48" s="64">
        <v>33.72</v>
      </c>
      <c r="E48" s="64">
        <v>1.03</v>
      </c>
      <c r="F48" s="64">
        <v>2.06</v>
      </c>
      <c r="G48" s="64">
        <v>88.57</v>
      </c>
      <c r="H48" s="64">
        <v>71.66</v>
      </c>
      <c r="I48" s="64">
        <v>1.37</v>
      </c>
      <c r="J48" s="64">
        <v>0.14000000000000001</v>
      </c>
      <c r="K48" s="64">
        <v>79.739999999999995</v>
      </c>
      <c r="L48" s="64">
        <v>26.29</v>
      </c>
      <c r="M48" s="64">
        <v>48.85</v>
      </c>
      <c r="N48" s="64">
        <v>698.1</v>
      </c>
      <c r="O48" s="64">
        <v>0</v>
      </c>
      <c r="P48" s="215" t="s">
        <v>36</v>
      </c>
      <c r="Q48" s="64">
        <v>6.82</v>
      </c>
      <c r="R48" s="198"/>
      <c r="S48" s="198"/>
      <c r="T48" s="198"/>
      <c r="U48" s="198"/>
    </row>
    <row r="49" spans="1:21" s="12" customFormat="1" x14ac:dyDescent="0.25">
      <c r="A49" s="214" t="s">
        <v>2494</v>
      </c>
      <c r="B49" s="64">
        <v>18.84</v>
      </c>
      <c r="C49" s="64">
        <v>27.49</v>
      </c>
      <c r="D49" s="64">
        <v>31.57</v>
      </c>
      <c r="E49" s="64">
        <v>1.1299999999999999</v>
      </c>
      <c r="F49" s="64">
        <v>3.74</v>
      </c>
      <c r="G49" s="64">
        <v>88.57</v>
      </c>
      <c r="H49" s="64">
        <v>71.66</v>
      </c>
      <c r="I49" s="64">
        <v>1.51</v>
      </c>
      <c r="J49" s="64">
        <v>0.52</v>
      </c>
      <c r="K49" s="64">
        <v>125.57</v>
      </c>
      <c r="L49" s="64">
        <v>26.42</v>
      </c>
      <c r="M49" s="64">
        <v>44.23</v>
      </c>
      <c r="N49" s="64">
        <v>723.5</v>
      </c>
      <c r="O49" s="64">
        <v>0</v>
      </c>
      <c r="P49" s="215" t="s">
        <v>36</v>
      </c>
      <c r="Q49" s="64">
        <v>6.71</v>
      </c>
      <c r="R49" s="198"/>
      <c r="S49" s="198"/>
      <c r="T49" s="198"/>
      <c r="U49" s="198"/>
    </row>
    <row r="50" spans="1:21" s="12" customFormat="1" x14ac:dyDescent="0.25">
      <c r="A50" s="214" t="s">
        <v>2495</v>
      </c>
      <c r="B50" s="64">
        <v>17.989999999999998</v>
      </c>
      <c r="C50" s="64">
        <v>26.63</v>
      </c>
      <c r="D50" s="64">
        <v>30.42</v>
      </c>
      <c r="E50" s="64">
        <v>1.07</v>
      </c>
      <c r="F50" s="64">
        <v>4.26</v>
      </c>
      <c r="G50" s="64">
        <v>88.57</v>
      </c>
      <c r="H50" s="64">
        <v>71.66</v>
      </c>
      <c r="I50" s="64">
        <v>1.43</v>
      </c>
      <c r="J50" s="64">
        <v>0.8</v>
      </c>
      <c r="K50" s="64">
        <v>333.66</v>
      </c>
      <c r="L50" s="64">
        <v>29.51</v>
      </c>
      <c r="M50" s="64">
        <v>38.729999999999997</v>
      </c>
      <c r="N50" s="64">
        <v>744</v>
      </c>
      <c r="O50" s="64">
        <v>0</v>
      </c>
      <c r="P50" s="215" t="s">
        <v>36</v>
      </c>
      <c r="Q50" s="64">
        <v>6.53</v>
      </c>
      <c r="R50" s="198"/>
      <c r="S50" s="198"/>
      <c r="T50" s="198"/>
      <c r="U50" s="198"/>
    </row>
    <row r="51" spans="1:21" s="12" customFormat="1" x14ac:dyDescent="0.25">
      <c r="A51" s="214" t="s">
        <v>2496</v>
      </c>
      <c r="B51" s="64">
        <v>13.36</v>
      </c>
      <c r="C51" s="64">
        <v>32.700000000000003</v>
      </c>
      <c r="D51" s="64">
        <v>30.05</v>
      </c>
      <c r="E51" s="64">
        <v>1.1200000000000001</v>
      </c>
      <c r="F51" s="64">
        <v>8.39</v>
      </c>
      <c r="G51" s="64">
        <v>88.57</v>
      </c>
      <c r="H51" s="64">
        <v>71.66</v>
      </c>
      <c r="I51" s="64">
        <v>1.47</v>
      </c>
      <c r="J51" s="64">
        <v>0.56000000000000005</v>
      </c>
      <c r="K51" s="64">
        <v>338.8</v>
      </c>
      <c r="L51" s="64">
        <v>31.51</v>
      </c>
      <c r="M51" s="64">
        <v>34.520000000000003</v>
      </c>
      <c r="N51" s="64">
        <v>750.9</v>
      </c>
      <c r="O51" s="64">
        <v>0</v>
      </c>
      <c r="P51" s="64">
        <v>0.96</v>
      </c>
      <c r="Q51" s="64">
        <v>6.35</v>
      </c>
      <c r="R51" s="198"/>
      <c r="S51" s="198"/>
      <c r="T51" s="198"/>
      <c r="U51" s="198"/>
    </row>
    <row r="52" spans="1:21" s="12" customFormat="1" x14ac:dyDescent="0.25">
      <c r="A52" s="214" t="s">
        <v>2497</v>
      </c>
      <c r="B52" s="64">
        <v>8.52</v>
      </c>
      <c r="C52" s="64">
        <v>37.92</v>
      </c>
      <c r="D52" s="64">
        <v>29.05</v>
      </c>
      <c r="E52" s="64">
        <v>0.19</v>
      </c>
      <c r="F52" s="64">
        <v>5.78</v>
      </c>
      <c r="G52" s="64">
        <v>88.57</v>
      </c>
      <c r="H52" s="64">
        <v>71.66</v>
      </c>
      <c r="I52" s="64">
        <v>1.43</v>
      </c>
      <c r="J52" s="64">
        <v>0.46</v>
      </c>
      <c r="K52" s="64">
        <v>333.71</v>
      </c>
      <c r="L52" s="64">
        <v>29.79</v>
      </c>
      <c r="M52" s="64">
        <v>36.61</v>
      </c>
      <c r="N52" s="64">
        <v>746.2</v>
      </c>
      <c r="O52" s="64">
        <v>0</v>
      </c>
      <c r="P52" s="64">
        <v>0.93</v>
      </c>
      <c r="Q52" s="64">
        <v>5.96</v>
      </c>
      <c r="R52" s="198"/>
      <c r="S52" s="198"/>
      <c r="T52" s="198"/>
      <c r="U52" s="198"/>
    </row>
    <row r="53" spans="1:21" s="12" customFormat="1" x14ac:dyDescent="0.25">
      <c r="A53" s="214" t="s">
        <v>2498</v>
      </c>
      <c r="B53" s="64">
        <v>5.57</v>
      </c>
      <c r="C53" s="64">
        <v>40.1</v>
      </c>
      <c r="D53" s="64">
        <v>27.88</v>
      </c>
      <c r="E53" s="64">
        <v>16.670000000000002</v>
      </c>
      <c r="F53" s="64">
        <v>6.91</v>
      </c>
      <c r="G53" s="64">
        <v>88.57</v>
      </c>
      <c r="H53" s="64">
        <v>71.66</v>
      </c>
      <c r="I53" s="64">
        <v>1.47</v>
      </c>
      <c r="J53" s="64">
        <v>0.47</v>
      </c>
      <c r="K53" s="64">
        <v>338.1</v>
      </c>
      <c r="L53" s="64">
        <v>31.16</v>
      </c>
      <c r="M53" s="64">
        <v>33.380000000000003</v>
      </c>
      <c r="N53" s="64">
        <v>750.4</v>
      </c>
      <c r="O53" s="64">
        <v>0</v>
      </c>
      <c r="P53" s="64">
        <v>0.84</v>
      </c>
      <c r="Q53" s="64">
        <v>5.6</v>
      </c>
      <c r="R53" s="198"/>
      <c r="S53" s="198"/>
      <c r="T53" s="198"/>
      <c r="U53" s="198"/>
    </row>
    <row r="54" spans="1:21" s="12" customFormat="1" x14ac:dyDescent="0.25">
      <c r="A54" s="214" t="s">
        <v>2499</v>
      </c>
      <c r="B54" s="64">
        <v>3.66</v>
      </c>
      <c r="C54" s="64">
        <v>35.619999999999997</v>
      </c>
      <c r="D54" s="64">
        <v>23.89</v>
      </c>
      <c r="E54" s="64">
        <v>37.04</v>
      </c>
      <c r="F54" s="64">
        <v>5.07</v>
      </c>
      <c r="G54" s="64">
        <v>88.57</v>
      </c>
      <c r="H54" s="64">
        <v>71.66</v>
      </c>
      <c r="I54" s="64">
        <v>1.51</v>
      </c>
      <c r="J54" s="64">
        <v>0.54</v>
      </c>
      <c r="K54" s="64">
        <v>321.69</v>
      </c>
      <c r="L54" s="64">
        <v>30.79</v>
      </c>
      <c r="M54" s="64">
        <v>33.729999999999997</v>
      </c>
      <c r="N54" s="64">
        <v>771</v>
      </c>
      <c r="O54" s="64">
        <v>0</v>
      </c>
      <c r="P54" s="64">
        <v>0.81</v>
      </c>
      <c r="Q54" s="64">
        <v>5.44</v>
      </c>
      <c r="R54" s="198"/>
      <c r="S54" s="198"/>
      <c r="T54" s="198"/>
      <c r="U54" s="198"/>
    </row>
    <row r="55" spans="1:21" s="12" customFormat="1" x14ac:dyDescent="0.25">
      <c r="A55" s="214" t="s">
        <v>2500</v>
      </c>
      <c r="B55" s="64">
        <v>2.9</v>
      </c>
      <c r="C55" s="64">
        <v>35.979999999999997</v>
      </c>
      <c r="D55" s="64">
        <v>23.47</v>
      </c>
      <c r="E55" s="64">
        <v>33.68</v>
      </c>
      <c r="F55" s="64">
        <v>3.63</v>
      </c>
      <c r="G55" s="64">
        <v>44.28</v>
      </c>
      <c r="H55" s="64">
        <v>35.83</v>
      </c>
      <c r="I55" s="64">
        <v>1.44</v>
      </c>
      <c r="J55" s="64">
        <v>0.68</v>
      </c>
      <c r="K55" s="64">
        <v>152.69999999999999</v>
      </c>
      <c r="L55" s="64">
        <v>28.95</v>
      </c>
      <c r="M55" s="64">
        <v>34.32</v>
      </c>
      <c r="N55" s="64">
        <v>763.1</v>
      </c>
      <c r="O55" s="64">
        <v>0</v>
      </c>
      <c r="P55" s="64">
        <v>0.77</v>
      </c>
      <c r="Q55" s="64">
        <v>5.25</v>
      </c>
      <c r="R55" s="198"/>
      <c r="S55" s="198"/>
      <c r="T55" s="198"/>
      <c r="U55" s="198"/>
    </row>
    <row r="56" spans="1:21" s="12" customFormat="1" x14ac:dyDescent="0.25">
      <c r="A56" s="214" t="s">
        <v>2501</v>
      </c>
      <c r="B56" s="64">
        <v>2.65</v>
      </c>
      <c r="C56" s="64">
        <v>29.9</v>
      </c>
      <c r="D56" s="64">
        <v>19.920000000000002</v>
      </c>
      <c r="E56" s="64">
        <v>25.66</v>
      </c>
      <c r="F56" s="64">
        <v>6.8</v>
      </c>
      <c r="G56" s="217" t="s">
        <v>40</v>
      </c>
      <c r="H56" s="217" t="s">
        <v>40</v>
      </c>
      <c r="I56" s="64">
        <v>1.5</v>
      </c>
      <c r="J56" s="64">
        <v>0.35</v>
      </c>
      <c r="K56" s="64">
        <v>128.28</v>
      </c>
      <c r="L56" s="64">
        <v>28.18</v>
      </c>
      <c r="M56" s="64">
        <v>37.81</v>
      </c>
      <c r="N56" s="64">
        <v>681.9</v>
      </c>
      <c r="O56" s="64">
        <v>0</v>
      </c>
      <c r="P56" s="64">
        <v>0.74</v>
      </c>
      <c r="Q56" s="64">
        <v>5.27</v>
      </c>
      <c r="R56" s="198"/>
      <c r="S56" s="198"/>
      <c r="T56" s="198"/>
      <c r="U56" s="198"/>
    </row>
    <row r="57" spans="1:21" s="12" customFormat="1" x14ac:dyDescent="0.25">
      <c r="A57" s="214" t="s">
        <v>2502</v>
      </c>
      <c r="B57" s="64">
        <v>2.56</v>
      </c>
      <c r="C57" s="64">
        <v>28.84</v>
      </c>
      <c r="D57" s="64">
        <v>19.260000000000002</v>
      </c>
      <c r="E57" s="217" t="s">
        <v>40</v>
      </c>
      <c r="F57" s="64">
        <v>5.79</v>
      </c>
      <c r="G57" s="217" t="s">
        <v>40</v>
      </c>
      <c r="H57" s="217" t="s">
        <v>40</v>
      </c>
      <c r="I57" s="64">
        <v>1.54</v>
      </c>
      <c r="J57" s="64">
        <v>0.86</v>
      </c>
      <c r="K57" s="64">
        <v>339.55</v>
      </c>
      <c r="L57" s="64">
        <v>29.99</v>
      </c>
      <c r="M57" s="64">
        <v>36.67</v>
      </c>
      <c r="N57" s="64">
        <v>638.70000000000005</v>
      </c>
      <c r="O57" s="64">
        <v>0</v>
      </c>
      <c r="P57" s="64">
        <v>0.73</v>
      </c>
      <c r="Q57" s="64">
        <v>5.28</v>
      </c>
      <c r="R57" s="198"/>
      <c r="S57" s="198"/>
      <c r="T57" s="198"/>
      <c r="U57" s="198"/>
    </row>
    <row r="58" spans="1:21" s="12" customFormat="1" x14ac:dyDescent="0.25">
      <c r="A58" s="214" t="s">
        <v>2503</v>
      </c>
      <c r="B58" s="64">
        <v>2.99</v>
      </c>
      <c r="C58" s="64">
        <v>38.99</v>
      </c>
      <c r="D58" s="64">
        <v>25.21</v>
      </c>
      <c r="E58" s="217" t="s">
        <v>40</v>
      </c>
      <c r="F58" s="64">
        <v>5.81</v>
      </c>
      <c r="G58" s="217" t="s">
        <v>40</v>
      </c>
      <c r="H58" s="217" t="s">
        <v>40</v>
      </c>
      <c r="I58" s="64">
        <v>1.51</v>
      </c>
      <c r="J58" s="64">
        <v>1.1399999999999999</v>
      </c>
      <c r="K58" s="64">
        <v>324.47000000000003</v>
      </c>
      <c r="L58" s="64">
        <v>31.06</v>
      </c>
      <c r="M58" s="64">
        <v>33.83</v>
      </c>
      <c r="N58" s="64">
        <v>656.5</v>
      </c>
      <c r="O58" s="64">
        <v>0</v>
      </c>
      <c r="P58" s="64">
        <v>0.72</v>
      </c>
      <c r="Q58" s="64">
        <v>5.19</v>
      </c>
      <c r="R58" s="198"/>
      <c r="S58" s="198"/>
      <c r="T58" s="198"/>
      <c r="U58" s="198"/>
    </row>
    <row r="59" spans="1:21" s="12" customFormat="1" x14ac:dyDescent="0.25">
      <c r="A59" s="214" t="s">
        <v>2504</v>
      </c>
      <c r="B59" s="217" t="s">
        <v>40</v>
      </c>
      <c r="C59" s="217" t="s">
        <v>40</v>
      </c>
      <c r="D59" s="217" t="s">
        <v>40</v>
      </c>
      <c r="E59" s="64">
        <v>60.14</v>
      </c>
      <c r="F59" s="64">
        <v>11.1</v>
      </c>
      <c r="G59" s="64">
        <v>52.92</v>
      </c>
      <c r="H59" s="64">
        <v>27.94</v>
      </c>
      <c r="I59" s="64">
        <v>1.55</v>
      </c>
      <c r="J59" s="64">
        <v>1.1100000000000001</v>
      </c>
      <c r="K59" s="64">
        <v>331.43</v>
      </c>
      <c r="L59" s="64">
        <v>31.45</v>
      </c>
      <c r="M59" s="64">
        <v>32.840000000000003</v>
      </c>
      <c r="N59" s="64">
        <v>640.9</v>
      </c>
      <c r="O59" s="64">
        <v>0</v>
      </c>
      <c r="P59" s="64">
        <v>0.69</v>
      </c>
      <c r="Q59" s="64">
        <v>5.22</v>
      </c>
      <c r="R59" s="198"/>
      <c r="S59" s="198"/>
      <c r="T59" s="198"/>
      <c r="U59" s="198"/>
    </row>
    <row r="60" spans="1:21" s="12" customFormat="1" x14ac:dyDescent="0.25">
      <c r="A60" s="214" t="s">
        <v>2505</v>
      </c>
      <c r="B60" s="217" t="s">
        <v>40</v>
      </c>
      <c r="C60" s="217" t="s">
        <v>40</v>
      </c>
      <c r="D60" s="217" t="s">
        <v>40</v>
      </c>
      <c r="E60" s="64">
        <v>4.72</v>
      </c>
      <c r="F60" s="64">
        <v>7.08</v>
      </c>
      <c r="G60" s="64">
        <v>103.55</v>
      </c>
      <c r="H60" s="64">
        <v>53.51</v>
      </c>
      <c r="I60" s="64">
        <v>1.51</v>
      </c>
      <c r="J60" s="64">
        <v>1.1599999999999999</v>
      </c>
      <c r="K60" s="64">
        <v>328.82</v>
      </c>
      <c r="L60" s="64">
        <v>31.48</v>
      </c>
      <c r="M60" s="64">
        <v>32.58</v>
      </c>
      <c r="N60" s="64">
        <v>638</v>
      </c>
      <c r="O60" s="64">
        <v>0</v>
      </c>
      <c r="P60" s="64">
        <v>0.68</v>
      </c>
      <c r="Q60" s="64">
        <v>5.22</v>
      </c>
      <c r="R60" s="198"/>
      <c r="S60" s="198"/>
      <c r="T60" s="198"/>
      <c r="U60" s="198"/>
    </row>
    <row r="61" spans="1:21" s="12" customFormat="1" x14ac:dyDescent="0.25">
      <c r="A61" s="214" t="s">
        <v>2506</v>
      </c>
      <c r="B61" s="217" t="s">
        <v>40</v>
      </c>
      <c r="C61" s="217" t="s">
        <v>40</v>
      </c>
      <c r="D61" s="217" t="s">
        <v>40</v>
      </c>
      <c r="E61" s="64">
        <v>4.7699999999999996</v>
      </c>
      <c r="F61" s="64">
        <v>12.53</v>
      </c>
      <c r="G61" s="64">
        <v>103.55</v>
      </c>
      <c r="H61" s="64">
        <v>53.51</v>
      </c>
      <c r="I61" s="64">
        <v>1.5</v>
      </c>
      <c r="J61" s="64">
        <v>1.03</v>
      </c>
      <c r="K61" s="64">
        <v>328.45</v>
      </c>
      <c r="L61" s="64">
        <v>31.01</v>
      </c>
      <c r="M61" s="64">
        <v>33.270000000000003</v>
      </c>
      <c r="N61" s="64">
        <v>602.79999999999995</v>
      </c>
      <c r="O61" s="64">
        <v>0</v>
      </c>
      <c r="P61" s="64">
        <v>0.56000000000000005</v>
      </c>
      <c r="Q61" s="64">
        <v>5.22</v>
      </c>
      <c r="R61" s="198"/>
      <c r="S61" s="198"/>
      <c r="T61" s="198"/>
      <c r="U61" s="198"/>
    </row>
    <row r="62" spans="1:21" s="12" customFormat="1" x14ac:dyDescent="0.25">
      <c r="A62" s="214" t="s">
        <v>2507</v>
      </c>
      <c r="B62" s="64">
        <v>4.25</v>
      </c>
      <c r="C62" s="64">
        <v>30.65</v>
      </c>
      <c r="D62" s="64">
        <v>28.32</v>
      </c>
      <c r="E62" s="64">
        <v>4.57</v>
      </c>
      <c r="F62" s="64">
        <v>14.66</v>
      </c>
      <c r="G62" s="64">
        <v>103.55</v>
      </c>
      <c r="H62" s="64">
        <v>53.51</v>
      </c>
      <c r="I62" s="64">
        <v>1.5</v>
      </c>
      <c r="J62" s="64">
        <v>0.63</v>
      </c>
      <c r="K62" s="64">
        <v>326.26</v>
      </c>
      <c r="L62" s="64">
        <v>30.79</v>
      </c>
      <c r="M62" s="64">
        <v>33.32</v>
      </c>
      <c r="N62" s="64">
        <v>522.20000000000005</v>
      </c>
      <c r="O62" s="64">
        <v>0</v>
      </c>
      <c r="P62" s="64">
        <v>2.87</v>
      </c>
      <c r="Q62" s="64">
        <v>6</v>
      </c>
      <c r="R62" s="198"/>
      <c r="S62" s="198"/>
      <c r="T62" s="198"/>
      <c r="U62" s="198"/>
    </row>
    <row r="63" spans="1:21" s="12" customFormat="1" x14ac:dyDescent="0.25">
      <c r="A63" s="214" t="s">
        <v>2508</v>
      </c>
      <c r="B63" s="64">
        <v>2.46</v>
      </c>
      <c r="C63" s="64">
        <v>28.93</v>
      </c>
      <c r="D63" s="64">
        <v>19.23</v>
      </c>
      <c r="E63" s="64">
        <v>14.24</v>
      </c>
      <c r="F63" s="64">
        <v>8.6199999999999992</v>
      </c>
      <c r="G63" s="64">
        <v>107.32</v>
      </c>
      <c r="H63" s="64">
        <v>51.32</v>
      </c>
      <c r="I63" s="64">
        <v>1.45</v>
      </c>
      <c r="J63" s="64">
        <v>0.79</v>
      </c>
      <c r="K63" s="64">
        <v>341.39</v>
      </c>
      <c r="L63" s="64">
        <v>30.14</v>
      </c>
      <c r="M63" s="64">
        <v>33.83</v>
      </c>
      <c r="N63" s="64">
        <v>367.6</v>
      </c>
      <c r="O63" s="64">
        <v>0</v>
      </c>
      <c r="P63" s="64">
        <v>0.82</v>
      </c>
      <c r="Q63" s="64">
        <v>5.38</v>
      </c>
      <c r="R63" s="198"/>
      <c r="S63" s="198"/>
      <c r="T63" s="198"/>
      <c r="U63" s="198"/>
    </row>
    <row r="64" spans="1:21" s="12" customFormat="1" x14ac:dyDescent="0.25">
      <c r="A64" s="214" t="s">
        <v>2509</v>
      </c>
      <c r="B64" s="64">
        <v>2.37</v>
      </c>
      <c r="C64" s="64">
        <v>29.44</v>
      </c>
      <c r="D64" s="64">
        <v>19.440000000000001</v>
      </c>
      <c r="E64" s="64">
        <v>3.73</v>
      </c>
      <c r="F64" s="64">
        <v>1.75</v>
      </c>
      <c r="G64" s="64">
        <v>110.77</v>
      </c>
      <c r="H64" s="64">
        <v>50.33</v>
      </c>
      <c r="I64" s="64">
        <v>1.49</v>
      </c>
      <c r="J64" s="64">
        <v>1.21</v>
      </c>
      <c r="K64" s="64">
        <v>334.23</v>
      </c>
      <c r="L64" s="64">
        <v>29.9</v>
      </c>
      <c r="M64" s="64">
        <v>35.35</v>
      </c>
      <c r="N64" s="64">
        <v>489.2</v>
      </c>
      <c r="O64" s="64">
        <v>0</v>
      </c>
      <c r="P64" s="64">
        <v>0.63</v>
      </c>
      <c r="Q64" s="64">
        <v>5.18</v>
      </c>
      <c r="R64" s="198"/>
      <c r="S64" s="198"/>
      <c r="T64" s="198"/>
      <c r="U64" s="198"/>
    </row>
    <row r="65" spans="1:21" s="12" customFormat="1" x14ac:dyDescent="0.25">
      <c r="A65" s="214" t="s">
        <v>2510</v>
      </c>
      <c r="B65" s="64">
        <v>2.41</v>
      </c>
      <c r="C65" s="64">
        <v>24.29</v>
      </c>
      <c r="D65" s="64">
        <v>16.63</v>
      </c>
      <c r="E65" s="64">
        <v>3.82</v>
      </c>
      <c r="F65" s="64">
        <v>5.15</v>
      </c>
      <c r="G65" s="64">
        <v>110.77</v>
      </c>
      <c r="H65" s="64">
        <v>50.33</v>
      </c>
      <c r="I65" s="64">
        <v>1.52</v>
      </c>
      <c r="J65" s="64">
        <v>0.98</v>
      </c>
      <c r="K65" s="64">
        <v>328.54</v>
      </c>
      <c r="L65" s="64">
        <v>29.61</v>
      </c>
      <c r="M65" s="64">
        <v>34.729999999999997</v>
      </c>
      <c r="N65" s="64">
        <v>190.9</v>
      </c>
      <c r="O65" s="64">
        <v>0</v>
      </c>
      <c r="P65" s="64">
        <v>0.6</v>
      </c>
      <c r="Q65" s="64">
        <v>5.21</v>
      </c>
      <c r="R65" s="198"/>
      <c r="S65" s="198"/>
      <c r="T65" s="198"/>
      <c r="U65" s="198"/>
    </row>
    <row r="66" spans="1:21" s="12" customFormat="1" x14ac:dyDescent="0.25">
      <c r="A66" s="214" t="s">
        <v>2511</v>
      </c>
      <c r="B66" s="64">
        <v>2.67</v>
      </c>
      <c r="C66" s="64">
        <v>23.61</v>
      </c>
      <c r="D66" s="64">
        <v>16.46</v>
      </c>
      <c r="E66" s="64">
        <v>3.17</v>
      </c>
      <c r="F66" s="64">
        <v>4.3899999999999997</v>
      </c>
      <c r="G66" s="64">
        <v>110.77</v>
      </c>
      <c r="H66" s="64">
        <v>50.33</v>
      </c>
      <c r="I66" s="64">
        <v>1.53</v>
      </c>
      <c r="J66" s="64">
        <v>1.1100000000000001</v>
      </c>
      <c r="K66" s="64">
        <v>335.66</v>
      </c>
      <c r="L66" s="64">
        <v>29.21</v>
      </c>
      <c r="M66" s="64">
        <v>34.020000000000003</v>
      </c>
      <c r="N66" s="64">
        <v>238.7</v>
      </c>
      <c r="O66" s="64">
        <v>0</v>
      </c>
      <c r="P66" s="64">
        <v>0.6</v>
      </c>
      <c r="Q66" s="64">
        <v>5.21</v>
      </c>
      <c r="R66" s="198"/>
      <c r="S66" s="198"/>
      <c r="T66" s="198"/>
      <c r="U66" s="198"/>
    </row>
    <row r="67" spans="1:21" s="12" customFormat="1" x14ac:dyDescent="0.25">
      <c r="A67" s="214" t="s">
        <v>2512</v>
      </c>
      <c r="B67" s="64">
        <v>2.86</v>
      </c>
      <c r="C67" s="64">
        <v>25.37</v>
      </c>
      <c r="D67" s="64">
        <v>17.59</v>
      </c>
      <c r="E67" s="64">
        <v>2.96</v>
      </c>
      <c r="F67" s="64">
        <v>6.85</v>
      </c>
      <c r="G67" s="64">
        <v>97.96</v>
      </c>
      <c r="H67" s="64">
        <v>47.24</v>
      </c>
      <c r="I67" s="64">
        <v>1.42</v>
      </c>
      <c r="J67" s="64">
        <v>1.06</v>
      </c>
      <c r="K67" s="64">
        <v>326.19</v>
      </c>
      <c r="L67" s="64">
        <v>28.92</v>
      </c>
      <c r="M67" s="64">
        <v>33.89</v>
      </c>
      <c r="N67" s="64">
        <v>208.3</v>
      </c>
      <c r="O67" s="64">
        <v>0</v>
      </c>
      <c r="P67" s="64">
        <v>0.61</v>
      </c>
      <c r="Q67" s="64">
        <v>5.19</v>
      </c>
      <c r="R67" s="198"/>
      <c r="S67" s="198"/>
      <c r="T67" s="198"/>
      <c r="U67" s="198"/>
    </row>
    <row r="68" spans="1:21" s="12" customFormat="1" x14ac:dyDescent="0.25">
      <c r="A68" s="214" t="s">
        <v>2513</v>
      </c>
      <c r="B68" s="64">
        <v>2.5299999999999998</v>
      </c>
      <c r="C68" s="64">
        <v>24.52</v>
      </c>
      <c r="D68" s="64">
        <v>16.850000000000001</v>
      </c>
      <c r="E68" s="64">
        <v>3.18</v>
      </c>
      <c r="F68" s="64">
        <v>5.1100000000000003</v>
      </c>
      <c r="G68" s="64">
        <v>86.24</v>
      </c>
      <c r="H68" s="64">
        <v>45.84</v>
      </c>
      <c r="I68" s="64">
        <v>1.6</v>
      </c>
      <c r="J68" s="64">
        <v>0.75</v>
      </c>
      <c r="K68" s="64">
        <v>324.41000000000003</v>
      </c>
      <c r="L68" s="64">
        <v>28.2</v>
      </c>
      <c r="M68" s="64">
        <v>34.67</v>
      </c>
      <c r="N68" s="64">
        <v>118.9</v>
      </c>
      <c r="O68" s="64">
        <v>0</v>
      </c>
      <c r="P68" s="64">
        <v>0.63</v>
      </c>
      <c r="Q68" s="64">
        <v>5.23</v>
      </c>
      <c r="R68" s="198"/>
      <c r="S68" s="198"/>
      <c r="T68" s="198"/>
      <c r="U68" s="198"/>
    </row>
    <row r="69" spans="1:21" s="12" customFormat="1" x14ac:dyDescent="0.25">
      <c r="A69" s="214" t="s">
        <v>2514</v>
      </c>
      <c r="B69" s="64">
        <v>3.12</v>
      </c>
      <c r="C69" s="64">
        <v>26</v>
      </c>
      <c r="D69" s="64">
        <v>18.14</v>
      </c>
      <c r="E69" s="64">
        <v>3.01</v>
      </c>
      <c r="F69" s="64">
        <v>4.9800000000000004</v>
      </c>
      <c r="G69" s="64">
        <v>86.24</v>
      </c>
      <c r="H69" s="64">
        <v>45.84</v>
      </c>
      <c r="I69" s="64">
        <v>1.54</v>
      </c>
      <c r="J69" s="64">
        <v>1.19</v>
      </c>
      <c r="K69" s="64">
        <v>335.95</v>
      </c>
      <c r="L69" s="64">
        <v>27.79</v>
      </c>
      <c r="M69" s="64">
        <v>36.46</v>
      </c>
      <c r="N69" s="64">
        <v>109.5</v>
      </c>
      <c r="O69" s="64">
        <v>0</v>
      </c>
      <c r="P69" s="64">
        <v>0.62</v>
      </c>
      <c r="Q69" s="64">
        <v>5.16</v>
      </c>
      <c r="R69" s="198"/>
      <c r="S69" s="198"/>
      <c r="T69" s="198"/>
      <c r="U69" s="198"/>
    </row>
    <row r="70" spans="1:21" s="12" customFormat="1" x14ac:dyDescent="0.25">
      <c r="A70" s="214" t="s">
        <v>2515</v>
      </c>
      <c r="B70" s="64">
        <v>4.7699999999999996</v>
      </c>
      <c r="C70" s="64">
        <v>23.77</v>
      </c>
      <c r="D70" s="64">
        <v>18.23</v>
      </c>
      <c r="E70" s="64">
        <v>3.48</v>
      </c>
      <c r="F70" s="64">
        <v>9.34</v>
      </c>
      <c r="G70" s="64">
        <v>86.24</v>
      </c>
      <c r="H70" s="64">
        <v>45.84</v>
      </c>
      <c r="I70" s="64">
        <v>1.53</v>
      </c>
      <c r="J70" s="64">
        <v>1.01</v>
      </c>
      <c r="K70" s="64">
        <v>334.58</v>
      </c>
      <c r="L70" s="64">
        <v>27.51</v>
      </c>
      <c r="M70" s="64">
        <v>36.380000000000003</v>
      </c>
      <c r="N70" s="64">
        <v>102</v>
      </c>
      <c r="O70" s="64">
        <v>0</v>
      </c>
      <c r="P70" s="64">
        <v>0.61</v>
      </c>
      <c r="Q70" s="64">
        <v>5.0599999999999996</v>
      </c>
      <c r="R70" s="198"/>
      <c r="S70" s="198"/>
      <c r="T70" s="198"/>
      <c r="U70" s="198"/>
    </row>
    <row r="71" spans="1:21" s="12" customFormat="1" x14ac:dyDescent="0.25">
      <c r="A71" s="214" t="s">
        <v>2516</v>
      </c>
      <c r="B71" s="64">
        <v>4.33</v>
      </c>
      <c r="C71" s="64">
        <v>27.15</v>
      </c>
      <c r="D71" s="64">
        <v>19.75</v>
      </c>
      <c r="E71" s="64">
        <v>3.99</v>
      </c>
      <c r="F71" s="64">
        <v>8.86</v>
      </c>
      <c r="G71" s="64">
        <v>78.62</v>
      </c>
      <c r="H71" s="64">
        <v>44.76</v>
      </c>
      <c r="I71" s="64">
        <v>1.45</v>
      </c>
      <c r="J71" s="64">
        <v>0.87</v>
      </c>
      <c r="K71" s="64">
        <v>328.28</v>
      </c>
      <c r="L71" s="64">
        <v>27.15</v>
      </c>
      <c r="M71" s="64">
        <v>37.25</v>
      </c>
      <c r="N71" s="64">
        <v>92.7</v>
      </c>
      <c r="O71" s="64">
        <v>0</v>
      </c>
      <c r="P71" s="64">
        <v>0.61</v>
      </c>
      <c r="Q71" s="64">
        <v>4.7300000000000004</v>
      </c>
      <c r="R71" s="198"/>
      <c r="S71" s="198"/>
      <c r="T71" s="198"/>
      <c r="U71" s="198"/>
    </row>
    <row r="72" spans="1:21" s="12" customFormat="1" x14ac:dyDescent="0.25">
      <c r="A72" s="214" t="s">
        <v>2517</v>
      </c>
      <c r="B72" s="64">
        <v>3.31</v>
      </c>
      <c r="C72" s="64">
        <v>27.28</v>
      </c>
      <c r="D72" s="64">
        <v>19</v>
      </c>
      <c r="E72" s="64">
        <v>2.15</v>
      </c>
      <c r="F72" s="64">
        <v>9.27</v>
      </c>
      <c r="G72" s="64">
        <v>71.650000000000006</v>
      </c>
      <c r="H72" s="64">
        <v>44.26</v>
      </c>
      <c r="I72" s="64">
        <v>1.54</v>
      </c>
      <c r="J72" s="64">
        <v>1.1399999999999999</v>
      </c>
      <c r="K72" s="64">
        <v>338.45</v>
      </c>
      <c r="L72" s="64">
        <v>26.85</v>
      </c>
      <c r="M72" s="64">
        <v>37.22</v>
      </c>
      <c r="N72" s="64">
        <v>79.8</v>
      </c>
      <c r="O72" s="64">
        <v>0</v>
      </c>
      <c r="P72" s="64">
        <v>0.61</v>
      </c>
      <c r="Q72" s="64">
        <v>5.0599999999999996</v>
      </c>
      <c r="R72" s="198"/>
      <c r="S72" s="198"/>
      <c r="T72" s="198"/>
      <c r="U72" s="198"/>
    </row>
    <row r="73" spans="1:21" s="12" customFormat="1" x14ac:dyDescent="0.25">
      <c r="A73" s="214" t="s">
        <v>2518</v>
      </c>
      <c r="B73" s="64">
        <v>3.32</v>
      </c>
      <c r="C73" s="64">
        <v>28.76</v>
      </c>
      <c r="D73" s="64">
        <v>19.829999999999998</v>
      </c>
      <c r="E73" s="64">
        <v>3.17</v>
      </c>
      <c r="F73" s="64">
        <v>10.31</v>
      </c>
      <c r="G73" s="64">
        <v>71.650000000000006</v>
      </c>
      <c r="H73" s="64">
        <v>44.26</v>
      </c>
      <c r="I73" s="64">
        <v>1.48</v>
      </c>
      <c r="J73" s="64">
        <v>0.86</v>
      </c>
      <c r="K73" s="64">
        <v>322.72000000000003</v>
      </c>
      <c r="L73" s="64">
        <v>26.46</v>
      </c>
      <c r="M73" s="64">
        <v>38.299999999999997</v>
      </c>
      <c r="N73" s="64">
        <v>69</v>
      </c>
      <c r="O73" s="64">
        <v>0</v>
      </c>
      <c r="P73" s="64">
        <v>0.6</v>
      </c>
      <c r="Q73" s="64">
        <v>5.12</v>
      </c>
      <c r="R73" s="198"/>
      <c r="S73" s="198"/>
      <c r="T73" s="198"/>
      <c r="U73" s="198"/>
    </row>
    <row r="74" spans="1:21" s="12" customFormat="1" x14ac:dyDescent="0.25">
      <c r="A74" s="214" t="s">
        <v>2519</v>
      </c>
      <c r="B74" s="64">
        <v>2.97</v>
      </c>
      <c r="C74" s="64">
        <v>28.52</v>
      </c>
      <c r="D74" s="64">
        <v>19.41</v>
      </c>
      <c r="E74" s="64">
        <v>3</v>
      </c>
      <c r="F74" s="64">
        <v>7.64</v>
      </c>
      <c r="G74" s="64">
        <v>71.650000000000006</v>
      </c>
      <c r="H74" s="64">
        <v>44.26</v>
      </c>
      <c r="I74" s="64">
        <v>1.47</v>
      </c>
      <c r="J74" s="64">
        <v>1.01</v>
      </c>
      <c r="K74" s="64">
        <v>329.81</v>
      </c>
      <c r="L74" s="64">
        <v>26.09</v>
      </c>
      <c r="M74" s="64">
        <v>38.299999999999997</v>
      </c>
      <c r="N74" s="64">
        <v>58.1</v>
      </c>
      <c r="O74" s="64">
        <v>0</v>
      </c>
      <c r="P74" s="64">
        <v>0.6</v>
      </c>
      <c r="Q74" s="64">
        <v>5.04</v>
      </c>
      <c r="R74" s="198"/>
      <c r="S74" s="198"/>
      <c r="T74" s="198"/>
      <c r="U74" s="198"/>
    </row>
    <row r="75" spans="1:21" s="12" customFormat="1" x14ac:dyDescent="0.25">
      <c r="A75" s="214" t="s">
        <v>2520</v>
      </c>
      <c r="B75" s="64">
        <v>3.74</v>
      </c>
      <c r="C75" s="64">
        <v>28.3</v>
      </c>
      <c r="D75" s="64">
        <v>19.91</v>
      </c>
      <c r="E75" s="64">
        <v>2.67</v>
      </c>
      <c r="F75" s="64">
        <v>3.27</v>
      </c>
      <c r="G75" s="64">
        <v>79.92</v>
      </c>
      <c r="H75" s="64">
        <v>40.96</v>
      </c>
      <c r="I75" s="64">
        <v>1.49</v>
      </c>
      <c r="J75" s="64">
        <v>0.86</v>
      </c>
      <c r="K75" s="64">
        <v>340.96</v>
      </c>
      <c r="L75" s="64">
        <v>25.74</v>
      </c>
      <c r="M75" s="64">
        <v>37.74</v>
      </c>
      <c r="N75" s="64">
        <v>47.8</v>
      </c>
      <c r="O75" s="64">
        <v>0</v>
      </c>
      <c r="P75" s="64">
        <v>0.61</v>
      </c>
      <c r="Q75" s="64">
        <v>5.03</v>
      </c>
      <c r="R75" s="198"/>
      <c r="S75" s="198"/>
      <c r="T75" s="198"/>
      <c r="U75" s="198"/>
    </row>
    <row r="76" spans="1:21" s="12" customFormat="1" x14ac:dyDescent="0.25">
      <c r="A76" s="214" t="s">
        <v>2521</v>
      </c>
      <c r="B76" s="64">
        <v>4.3600000000000003</v>
      </c>
      <c r="C76" s="64">
        <v>28.13</v>
      </c>
      <c r="D76" s="64">
        <v>20.32</v>
      </c>
      <c r="E76" s="64">
        <v>2.5299999999999998</v>
      </c>
      <c r="F76" s="64">
        <v>5.44</v>
      </c>
      <c r="G76" s="64">
        <v>87.48</v>
      </c>
      <c r="H76" s="64">
        <v>39.450000000000003</v>
      </c>
      <c r="I76" s="64">
        <v>1.5</v>
      </c>
      <c r="J76" s="64">
        <v>0.54</v>
      </c>
      <c r="K76" s="64">
        <v>342.37</v>
      </c>
      <c r="L76" s="64">
        <v>25.3</v>
      </c>
      <c r="M76" s="64">
        <v>40.15</v>
      </c>
      <c r="N76" s="64">
        <v>37.200000000000003</v>
      </c>
      <c r="O76" s="64">
        <v>0</v>
      </c>
      <c r="P76" s="64">
        <v>0.67</v>
      </c>
      <c r="Q76" s="64">
        <v>4.95</v>
      </c>
      <c r="R76" s="198"/>
      <c r="S76" s="198"/>
      <c r="T76" s="198"/>
      <c r="U76" s="198"/>
    </row>
    <row r="77" spans="1:21" s="12" customFormat="1" x14ac:dyDescent="0.25">
      <c r="A77" s="214" t="s">
        <v>2522</v>
      </c>
      <c r="B77" s="64">
        <v>4.05</v>
      </c>
      <c r="C77" s="64">
        <v>29.62</v>
      </c>
      <c r="D77" s="64">
        <v>20.89</v>
      </c>
      <c r="E77" s="64">
        <v>2.52</v>
      </c>
      <c r="F77" s="64">
        <v>2.96</v>
      </c>
      <c r="G77" s="64">
        <v>87.48</v>
      </c>
      <c r="H77" s="64">
        <v>39.450000000000003</v>
      </c>
      <c r="I77" s="64">
        <v>1.49</v>
      </c>
      <c r="J77" s="64">
        <v>0.56999999999999995</v>
      </c>
      <c r="K77" s="64">
        <v>345.12</v>
      </c>
      <c r="L77" s="64">
        <v>24.72</v>
      </c>
      <c r="M77" s="64">
        <v>42.17</v>
      </c>
      <c r="N77" s="64">
        <v>27.3</v>
      </c>
      <c r="O77" s="64">
        <v>0</v>
      </c>
      <c r="P77" s="64">
        <v>0.66</v>
      </c>
      <c r="Q77" s="64">
        <v>4.99</v>
      </c>
      <c r="R77" s="198"/>
      <c r="S77" s="198"/>
      <c r="T77" s="198"/>
      <c r="U77" s="198"/>
    </row>
    <row r="78" spans="1:21" s="12" customFormat="1" x14ac:dyDescent="0.25">
      <c r="A78" s="214" t="s">
        <v>2523</v>
      </c>
      <c r="B78" s="64">
        <v>8.44</v>
      </c>
      <c r="C78" s="64">
        <v>35.020000000000003</v>
      </c>
      <c r="D78" s="64">
        <v>27.38</v>
      </c>
      <c r="E78" s="64">
        <v>2.36</v>
      </c>
      <c r="F78" s="64">
        <v>4.25</v>
      </c>
      <c r="G78" s="64">
        <v>87.48</v>
      </c>
      <c r="H78" s="64">
        <v>39.450000000000003</v>
      </c>
      <c r="I78" s="64">
        <v>1.51</v>
      </c>
      <c r="J78" s="64">
        <v>0.35</v>
      </c>
      <c r="K78" s="64">
        <v>335.64</v>
      </c>
      <c r="L78" s="64">
        <v>23.85</v>
      </c>
      <c r="M78" s="64">
        <v>49.38</v>
      </c>
      <c r="N78" s="64">
        <v>20.100000000000001</v>
      </c>
      <c r="O78" s="64">
        <v>0</v>
      </c>
      <c r="P78" s="64">
        <v>0.83</v>
      </c>
      <c r="Q78" s="64">
        <v>4.82</v>
      </c>
      <c r="R78" s="198"/>
      <c r="S78" s="198"/>
      <c r="T78" s="198"/>
      <c r="U78" s="198"/>
    </row>
    <row r="79" spans="1:21" s="12" customFormat="1" x14ac:dyDescent="0.25">
      <c r="A79" s="214" t="s">
        <v>2524</v>
      </c>
      <c r="B79" s="64">
        <v>6.77</v>
      </c>
      <c r="C79" s="64">
        <v>33.01</v>
      </c>
      <c r="D79" s="64">
        <v>24.93</v>
      </c>
      <c r="E79" s="64">
        <v>2.4</v>
      </c>
      <c r="F79" s="64">
        <v>2.52</v>
      </c>
      <c r="G79" s="64">
        <v>96.93</v>
      </c>
      <c r="H79" s="64">
        <v>39.049999999999997</v>
      </c>
      <c r="I79" s="64">
        <v>1.49</v>
      </c>
      <c r="J79" s="64">
        <v>0.21</v>
      </c>
      <c r="K79" s="64">
        <v>69.17</v>
      </c>
      <c r="L79" s="64">
        <v>23.33</v>
      </c>
      <c r="M79" s="64">
        <v>46.57</v>
      </c>
      <c r="N79" s="64">
        <v>17.600000000000001</v>
      </c>
      <c r="O79" s="64">
        <v>0</v>
      </c>
      <c r="P79" s="64">
        <v>0.78</v>
      </c>
      <c r="Q79" s="64">
        <v>4.6100000000000003</v>
      </c>
      <c r="R79" s="198"/>
      <c r="S79" s="198"/>
      <c r="T79" s="198"/>
      <c r="U79" s="198"/>
    </row>
    <row r="80" spans="1:21" s="12" customFormat="1" x14ac:dyDescent="0.25">
      <c r="A80" s="214" t="s">
        <v>2525</v>
      </c>
      <c r="B80" s="64">
        <v>5.76</v>
      </c>
      <c r="C80" s="64">
        <v>37.619999999999997</v>
      </c>
      <c r="D80" s="64">
        <v>26.67</v>
      </c>
      <c r="E80" s="64">
        <v>2.2000000000000002</v>
      </c>
      <c r="F80" s="64">
        <v>11.53</v>
      </c>
      <c r="G80" s="64">
        <v>105.56</v>
      </c>
      <c r="H80" s="64">
        <v>38.68</v>
      </c>
      <c r="I80" s="64">
        <v>1.52</v>
      </c>
      <c r="J80" s="64">
        <v>0.1</v>
      </c>
      <c r="K80" s="64">
        <v>81.96</v>
      </c>
      <c r="L80" s="64">
        <v>23.19</v>
      </c>
      <c r="M80" s="64">
        <v>48.32</v>
      </c>
      <c r="N80" s="64">
        <v>17</v>
      </c>
      <c r="O80" s="64">
        <v>0</v>
      </c>
      <c r="P80" s="64">
        <v>0.77</v>
      </c>
      <c r="Q80" s="64">
        <v>4.91</v>
      </c>
      <c r="R80" s="198"/>
      <c r="S80" s="198"/>
      <c r="T80" s="198"/>
      <c r="U80" s="198"/>
    </row>
    <row r="81" spans="1:26" s="12" customFormat="1" x14ac:dyDescent="0.25">
      <c r="A81" s="214" t="s">
        <v>2526</v>
      </c>
      <c r="B81" s="64">
        <v>5.28</v>
      </c>
      <c r="C81" s="64">
        <v>32.700000000000003</v>
      </c>
      <c r="D81" s="64">
        <v>23.57</v>
      </c>
      <c r="E81" s="64">
        <v>2.78</v>
      </c>
      <c r="F81" s="64">
        <v>6.06</v>
      </c>
      <c r="G81" s="64">
        <v>105.56</v>
      </c>
      <c r="H81" s="64">
        <v>38.68</v>
      </c>
      <c r="I81" s="64">
        <v>1.5</v>
      </c>
      <c r="J81" s="64">
        <v>0.17</v>
      </c>
      <c r="K81" s="64">
        <v>78.48</v>
      </c>
      <c r="L81" s="64">
        <v>23.01</v>
      </c>
      <c r="M81" s="64">
        <v>50.55</v>
      </c>
      <c r="N81" s="64">
        <v>17</v>
      </c>
      <c r="O81" s="64">
        <v>0</v>
      </c>
      <c r="P81" s="64">
        <v>0.84</v>
      </c>
      <c r="Q81" s="64">
        <v>4.75</v>
      </c>
      <c r="R81" s="198"/>
      <c r="S81" s="198"/>
      <c r="T81" s="198"/>
      <c r="U81" s="198"/>
    </row>
    <row r="82" spans="1:26" s="12" customFormat="1" x14ac:dyDescent="0.25">
      <c r="A82" s="214" t="s">
        <v>2527</v>
      </c>
      <c r="B82" s="64">
        <v>5.03</v>
      </c>
      <c r="C82" s="64">
        <v>44.49</v>
      </c>
      <c r="D82" s="64">
        <v>29.88</v>
      </c>
      <c r="E82" s="64">
        <v>2.11</v>
      </c>
      <c r="F82" s="64">
        <v>8.82</v>
      </c>
      <c r="G82" s="64">
        <v>105.56</v>
      </c>
      <c r="H82" s="64">
        <v>38.68</v>
      </c>
      <c r="I82" s="64">
        <v>1.5</v>
      </c>
      <c r="J82" s="64">
        <v>0.16</v>
      </c>
      <c r="K82" s="64">
        <v>73.84</v>
      </c>
      <c r="L82" s="64">
        <v>22.75</v>
      </c>
      <c r="M82" s="64">
        <v>51.76</v>
      </c>
      <c r="N82" s="64">
        <v>16.899999999999999</v>
      </c>
      <c r="O82" s="64">
        <v>0</v>
      </c>
      <c r="P82" s="64">
        <v>0.9</v>
      </c>
      <c r="Q82" s="64">
        <v>4.9400000000000004</v>
      </c>
      <c r="R82" s="198"/>
      <c r="S82" s="198"/>
      <c r="T82" s="198"/>
      <c r="U82" s="198"/>
    </row>
    <row r="83" spans="1:26" s="12" customFormat="1" x14ac:dyDescent="0.25">
      <c r="A83" s="214" t="s">
        <v>2528</v>
      </c>
      <c r="B83" s="64">
        <v>4.79</v>
      </c>
      <c r="C83" s="64">
        <v>34.19</v>
      </c>
      <c r="D83" s="64">
        <v>24</v>
      </c>
      <c r="E83" s="64">
        <v>3</v>
      </c>
      <c r="F83" s="64">
        <v>9.82</v>
      </c>
      <c r="G83" s="64">
        <v>101.9</v>
      </c>
      <c r="H83" s="64">
        <v>41.22</v>
      </c>
      <c r="I83" s="64">
        <v>1.44</v>
      </c>
      <c r="J83" s="64">
        <v>0.11</v>
      </c>
      <c r="K83" s="64">
        <v>64.040000000000006</v>
      </c>
      <c r="L83" s="64">
        <v>22.52</v>
      </c>
      <c r="M83" s="64">
        <v>53.04</v>
      </c>
      <c r="N83" s="64">
        <v>17</v>
      </c>
      <c r="O83" s="64">
        <v>0</v>
      </c>
      <c r="P83" s="64">
        <v>0.92</v>
      </c>
      <c r="Q83" s="64">
        <v>4.4800000000000004</v>
      </c>
      <c r="R83" s="198"/>
      <c r="S83" s="198"/>
      <c r="T83" s="198"/>
      <c r="U83" s="198"/>
    </row>
    <row r="84" spans="1:26" s="12" customFormat="1" x14ac:dyDescent="0.25">
      <c r="A84" s="214" t="s">
        <v>2529</v>
      </c>
      <c r="B84" s="64">
        <v>8.3000000000000007</v>
      </c>
      <c r="C84" s="64">
        <v>42.14</v>
      </c>
      <c r="D84" s="64">
        <v>31.2</v>
      </c>
      <c r="E84" s="64">
        <v>2.95</v>
      </c>
      <c r="F84" s="64">
        <v>9.7899999999999991</v>
      </c>
      <c r="G84" s="64">
        <v>98.54</v>
      </c>
      <c r="H84" s="64">
        <v>42.38</v>
      </c>
      <c r="I84" s="64">
        <v>1.45</v>
      </c>
      <c r="J84" s="64">
        <v>0.08</v>
      </c>
      <c r="K84" s="64">
        <v>7.47</v>
      </c>
      <c r="L84" s="64">
        <v>22.24</v>
      </c>
      <c r="M84" s="64">
        <v>54.92</v>
      </c>
      <c r="N84" s="64">
        <v>17</v>
      </c>
      <c r="O84" s="64">
        <v>0</v>
      </c>
      <c r="P84" s="215" t="s">
        <v>36</v>
      </c>
      <c r="Q84" s="64">
        <v>4.71</v>
      </c>
      <c r="R84" s="198"/>
      <c r="S84" s="198"/>
      <c r="T84" s="198"/>
      <c r="U84" s="198"/>
    </row>
    <row r="85" spans="1:26" s="12" customFormat="1" x14ac:dyDescent="0.25">
      <c r="A85" s="214" t="s">
        <v>2530</v>
      </c>
      <c r="B85" s="64">
        <v>15.5</v>
      </c>
      <c r="C85" s="64">
        <v>42.76</v>
      </c>
      <c r="D85" s="64">
        <v>37.32</v>
      </c>
      <c r="E85" s="64">
        <v>3.01</v>
      </c>
      <c r="F85" s="64">
        <v>1.56</v>
      </c>
      <c r="G85" s="64">
        <v>98.54</v>
      </c>
      <c r="H85" s="64">
        <v>42.38</v>
      </c>
      <c r="I85" s="64">
        <v>1.47</v>
      </c>
      <c r="J85" s="64">
        <v>0.12</v>
      </c>
      <c r="K85" s="64">
        <v>308.25</v>
      </c>
      <c r="L85" s="64">
        <v>21.57</v>
      </c>
      <c r="M85" s="64">
        <v>66.17</v>
      </c>
      <c r="N85" s="64">
        <v>17.2</v>
      </c>
      <c r="O85" s="64">
        <v>0</v>
      </c>
      <c r="P85" s="215" t="s">
        <v>36</v>
      </c>
      <c r="Q85" s="64">
        <v>2.2400000000000002</v>
      </c>
      <c r="R85" s="198"/>
      <c r="S85" s="198"/>
      <c r="T85" s="198"/>
      <c r="U85" s="198"/>
    </row>
    <row r="86" spans="1:26" s="12" customFormat="1" x14ac:dyDescent="0.25">
      <c r="A86" s="214" t="s">
        <v>2531</v>
      </c>
      <c r="B86" s="64">
        <v>19.190000000000001</v>
      </c>
      <c r="C86" s="64">
        <v>48.06</v>
      </c>
      <c r="D86" s="64">
        <v>43.2</v>
      </c>
      <c r="E86" s="64">
        <v>3.24</v>
      </c>
      <c r="F86" s="64">
        <v>0.72</v>
      </c>
      <c r="G86" s="64">
        <v>98.54</v>
      </c>
      <c r="H86" s="64">
        <v>42.38</v>
      </c>
      <c r="I86" s="64">
        <v>1.51</v>
      </c>
      <c r="J86" s="64">
        <v>0.12</v>
      </c>
      <c r="K86" s="64">
        <v>289.45</v>
      </c>
      <c r="L86" s="64">
        <v>21.11</v>
      </c>
      <c r="M86" s="64">
        <v>66.63</v>
      </c>
      <c r="N86" s="64">
        <v>17</v>
      </c>
      <c r="O86" s="64">
        <v>0</v>
      </c>
      <c r="P86" s="215" t="s">
        <v>36</v>
      </c>
      <c r="Q86" s="64">
        <v>3.2</v>
      </c>
      <c r="R86" s="198"/>
      <c r="S86" s="198"/>
      <c r="T86" s="198"/>
      <c r="U86" s="198"/>
    </row>
    <row r="87" spans="1:26" s="12" customFormat="1" x14ac:dyDescent="0.25">
      <c r="A87" s="214" t="s">
        <v>2532</v>
      </c>
      <c r="B87" s="64">
        <v>30.33</v>
      </c>
      <c r="C87" s="64">
        <v>52.73</v>
      </c>
      <c r="D87" s="64">
        <v>54.72</v>
      </c>
      <c r="E87" s="64">
        <v>3.09</v>
      </c>
      <c r="F87" s="64">
        <v>0.33</v>
      </c>
      <c r="G87" s="64">
        <v>116.62</v>
      </c>
      <c r="H87" s="64">
        <v>46.57</v>
      </c>
      <c r="I87" s="64">
        <v>1.49</v>
      </c>
      <c r="J87" s="64">
        <v>0.06</v>
      </c>
      <c r="K87" s="64">
        <v>301.07</v>
      </c>
      <c r="L87" s="64">
        <v>20.83</v>
      </c>
      <c r="M87" s="64">
        <v>66.45</v>
      </c>
      <c r="N87" s="64">
        <v>17</v>
      </c>
      <c r="O87" s="64">
        <v>0</v>
      </c>
      <c r="P87" s="215" t="s">
        <v>36</v>
      </c>
      <c r="Q87" s="64">
        <v>1.67</v>
      </c>
      <c r="R87" s="198"/>
      <c r="S87" s="198"/>
      <c r="T87" s="198"/>
      <c r="U87" s="198"/>
    </row>
    <row r="88" spans="1:26" s="12" customFormat="1" x14ac:dyDescent="0.25">
      <c r="A88" s="214" t="s">
        <v>2533</v>
      </c>
      <c r="B88" s="64">
        <v>37.840000000000003</v>
      </c>
      <c r="C88" s="64">
        <v>38.090000000000003</v>
      </c>
      <c r="D88" s="64">
        <v>52.52</v>
      </c>
      <c r="E88" s="64">
        <v>1.34</v>
      </c>
      <c r="F88" s="64">
        <v>0.54</v>
      </c>
      <c r="G88" s="64">
        <v>133.16999999999999</v>
      </c>
      <c r="H88" s="64">
        <v>48.48</v>
      </c>
      <c r="I88" s="64">
        <v>1.55</v>
      </c>
      <c r="J88" s="64">
        <v>0.09</v>
      </c>
      <c r="K88" s="64">
        <v>359.43</v>
      </c>
      <c r="L88" s="64">
        <v>20.71</v>
      </c>
      <c r="M88" s="64">
        <v>70.64</v>
      </c>
      <c r="N88" s="64">
        <v>17.100000000000001</v>
      </c>
      <c r="O88" s="64">
        <v>0</v>
      </c>
      <c r="P88" s="215" t="s">
        <v>36</v>
      </c>
      <c r="Q88" s="64">
        <v>2.2400000000000002</v>
      </c>
      <c r="R88" s="198"/>
      <c r="S88" s="198"/>
      <c r="T88" s="198"/>
      <c r="U88" s="198"/>
    </row>
    <row r="89" spans="1:26" s="12" customFormat="1" x14ac:dyDescent="0.25">
      <c r="A89" s="214" t="s">
        <v>2534</v>
      </c>
      <c r="B89" s="64">
        <v>43.29</v>
      </c>
      <c r="C89" s="64">
        <v>44.79</v>
      </c>
      <c r="D89" s="64">
        <v>60.73</v>
      </c>
      <c r="E89" s="64">
        <v>2.72</v>
      </c>
      <c r="F89" s="64">
        <v>0.44</v>
      </c>
      <c r="G89" s="64">
        <v>133.16999999999999</v>
      </c>
      <c r="H89" s="64">
        <v>48.48</v>
      </c>
      <c r="I89" s="64">
        <v>1.45</v>
      </c>
      <c r="J89" s="64">
        <v>0.11</v>
      </c>
      <c r="K89" s="64">
        <v>345.33</v>
      </c>
      <c r="L89" s="64">
        <v>20.56</v>
      </c>
      <c r="M89" s="64">
        <v>70.73</v>
      </c>
      <c r="N89" s="64">
        <v>16.899999999999999</v>
      </c>
      <c r="O89" s="64">
        <v>0</v>
      </c>
      <c r="P89" s="215" t="s">
        <v>36</v>
      </c>
      <c r="Q89" s="64">
        <v>1.48</v>
      </c>
      <c r="R89" s="198"/>
      <c r="S89" s="198"/>
      <c r="T89" s="198"/>
      <c r="U89" s="198"/>
    </row>
    <row r="90" spans="1:26" s="12" customFormat="1" x14ac:dyDescent="0.25">
      <c r="A90" s="214" t="s">
        <v>2535</v>
      </c>
      <c r="B90" s="64">
        <v>45.45</v>
      </c>
      <c r="C90" s="64">
        <v>35.82</v>
      </c>
      <c r="D90" s="64">
        <v>57.5</v>
      </c>
      <c r="E90" s="64">
        <v>2.1800000000000002</v>
      </c>
      <c r="F90" s="64">
        <v>0.25</v>
      </c>
      <c r="G90" s="64">
        <v>133.16999999999999</v>
      </c>
      <c r="H90" s="64">
        <v>48.48</v>
      </c>
      <c r="I90" s="64">
        <v>1.6</v>
      </c>
      <c r="J90" s="64">
        <v>0.13</v>
      </c>
      <c r="K90" s="64">
        <v>303.89</v>
      </c>
      <c r="L90" s="64">
        <v>20.38</v>
      </c>
      <c r="M90" s="64">
        <v>74.72</v>
      </c>
      <c r="N90" s="64">
        <v>16.8</v>
      </c>
      <c r="O90" s="64">
        <v>0</v>
      </c>
      <c r="P90" s="215" t="s">
        <v>36</v>
      </c>
      <c r="Q90" s="64">
        <v>4.83</v>
      </c>
      <c r="R90" s="198"/>
      <c r="S90" s="198"/>
      <c r="T90" s="198"/>
      <c r="U90" s="198"/>
    </row>
    <row r="91" spans="1:26" s="12" customFormat="1" x14ac:dyDescent="0.25">
      <c r="A91" s="214" t="s">
        <v>2536</v>
      </c>
      <c r="B91" s="64">
        <v>47.36</v>
      </c>
      <c r="C91" s="64">
        <v>39</v>
      </c>
      <c r="D91" s="64">
        <v>60.8</v>
      </c>
      <c r="E91" s="64">
        <v>2.68</v>
      </c>
      <c r="F91" s="64">
        <v>0.49</v>
      </c>
      <c r="G91" s="64">
        <v>133.16999999999999</v>
      </c>
      <c r="H91" s="64">
        <v>62.99</v>
      </c>
      <c r="I91" s="64">
        <v>1.46</v>
      </c>
      <c r="J91" s="64">
        <v>0.12</v>
      </c>
      <c r="K91" s="64">
        <v>308.45</v>
      </c>
      <c r="L91" s="64">
        <v>20.34</v>
      </c>
      <c r="M91" s="64">
        <v>74.23</v>
      </c>
      <c r="N91" s="64">
        <v>17</v>
      </c>
      <c r="O91" s="64">
        <v>0</v>
      </c>
      <c r="P91" s="215" t="s">
        <v>36</v>
      </c>
      <c r="Q91" s="64">
        <v>4.07</v>
      </c>
      <c r="R91" s="198"/>
      <c r="S91" s="198"/>
      <c r="T91" s="198"/>
      <c r="U91" s="198"/>
    </row>
    <row r="92" spans="1:26" s="12" customFormat="1" x14ac:dyDescent="0.25">
      <c r="A92" s="214" t="s">
        <v>2537</v>
      </c>
      <c r="B92" s="64">
        <v>42.97</v>
      </c>
      <c r="C92" s="64">
        <v>37.28</v>
      </c>
      <c r="D92" s="64">
        <v>56.33</v>
      </c>
      <c r="E92" s="64">
        <v>2.16</v>
      </c>
      <c r="F92" s="64">
        <v>0.19</v>
      </c>
      <c r="G92" s="64">
        <v>302.52</v>
      </c>
      <c r="H92" s="64">
        <v>69.61</v>
      </c>
      <c r="I92" s="64">
        <v>1.53</v>
      </c>
      <c r="J92" s="64">
        <v>7.0000000000000007E-2</v>
      </c>
      <c r="K92" s="64">
        <v>284.08999999999997</v>
      </c>
      <c r="L92" s="64">
        <v>20.079999999999998</v>
      </c>
      <c r="M92" s="64">
        <v>74.25</v>
      </c>
      <c r="N92" s="64">
        <v>17</v>
      </c>
      <c r="O92" s="64">
        <v>0</v>
      </c>
      <c r="P92" s="215" t="s">
        <v>36</v>
      </c>
      <c r="Q92" s="64">
        <v>6.67</v>
      </c>
      <c r="R92" s="198"/>
      <c r="S92" s="198"/>
      <c r="T92" s="198"/>
      <c r="U92" s="198"/>
    </row>
    <row r="93" spans="1:26" s="12" customFormat="1" x14ac:dyDescent="0.25">
      <c r="A93" s="214" t="s">
        <v>2538</v>
      </c>
      <c r="B93" s="64">
        <v>43.78</v>
      </c>
      <c r="C93" s="64">
        <v>31.49</v>
      </c>
      <c r="D93" s="64">
        <v>53.78</v>
      </c>
      <c r="E93" s="64">
        <v>2.09</v>
      </c>
      <c r="F93" s="64">
        <v>0.43</v>
      </c>
      <c r="G93" s="64">
        <v>302.52</v>
      </c>
      <c r="H93" s="64">
        <v>69.61</v>
      </c>
      <c r="I93" s="64">
        <v>1.5</v>
      </c>
      <c r="J93" s="64">
        <v>0.06</v>
      </c>
      <c r="K93" s="64">
        <v>283.33999999999997</v>
      </c>
      <c r="L93" s="64">
        <v>20.170000000000002</v>
      </c>
      <c r="M93" s="64">
        <v>74.88</v>
      </c>
      <c r="N93" s="64">
        <v>16.899999999999999</v>
      </c>
      <c r="O93" s="64">
        <v>0</v>
      </c>
      <c r="P93" s="215" t="s">
        <v>36</v>
      </c>
      <c r="Q93" s="64">
        <v>7.2</v>
      </c>
      <c r="R93" s="198"/>
      <c r="S93" s="198"/>
      <c r="T93" s="198"/>
      <c r="U93" s="198"/>
    </row>
    <row r="94" spans="1:26" s="12" customFormat="1" x14ac:dyDescent="0.25">
      <c r="A94" s="214" t="s">
        <v>2539</v>
      </c>
      <c r="B94" s="64">
        <v>62.26</v>
      </c>
      <c r="C94" s="64">
        <v>46.49</v>
      </c>
      <c r="D94" s="64">
        <v>76.88</v>
      </c>
      <c r="E94" s="64">
        <v>2</v>
      </c>
      <c r="F94" s="64">
        <v>7.0000000000000007E-2</v>
      </c>
      <c r="G94" s="64">
        <v>302.52</v>
      </c>
      <c r="H94" s="64">
        <v>69.61</v>
      </c>
      <c r="I94" s="64">
        <v>1.53</v>
      </c>
      <c r="J94" s="64">
        <v>0.12</v>
      </c>
      <c r="K94" s="64">
        <v>143.41999999999999</v>
      </c>
      <c r="L94" s="64">
        <v>20.13</v>
      </c>
      <c r="M94" s="64">
        <v>75.8</v>
      </c>
      <c r="N94" s="64">
        <v>16.7</v>
      </c>
      <c r="O94" s="64">
        <v>0</v>
      </c>
      <c r="P94" s="215" t="s">
        <v>36</v>
      </c>
      <c r="Q94" s="64">
        <v>4.9800000000000004</v>
      </c>
      <c r="R94" s="198"/>
      <c r="S94" s="198"/>
      <c r="T94" s="198"/>
      <c r="U94" s="198"/>
    </row>
    <row r="95" spans="1:26" s="12" customFormat="1" x14ac:dyDescent="0.25">
      <c r="A95" s="214" t="s">
        <v>2540</v>
      </c>
      <c r="B95" s="64">
        <v>54.12</v>
      </c>
      <c r="C95" s="64">
        <v>35.590000000000003</v>
      </c>
      <c r="D95" s="64">
        <v>64.33</v>
      </c>
      <c r="E95" s="64">
        <v>2.2400000000000002</v>
      </c>
      <c r="F95" s="64">
        <v>0.27</v>
      </c>
      <c r="G95" s="64">
        <v>296.08999999999997</v>
      </c>
      <c r="H95" s="64">
        <v>82.86</v>
      </c>
      <c r="I95" s="64">
        <v>1.47</v>
      </c>
      <c r="J95" s="64">
        <v>0.18</v>
      </c>
      <c r="K95" s="64">
        <v>329.46</v>
      </c>
      <c r="L95" s="64">
        <v>20.21</v>
      </c>
      <c r="M95" s="64">
        <v>78.900000000000006</v>
      </c>
      <c r="N95" s="64">
        <v>16.8</v>
      </c>
      <c r="O95" s="64">
        <v>0</v>
      </c>
      <c r="P95" s="215" t="s">
        <v>36</v>
      </c>
      <c r="Q95" s="64">
        <v>6.29</v>
      </c>
      <c r="R95" s="198"/>
      <c r="S95" s="198"/>
      <c r="T95" s="198"/>
      <c r="U95" s="198"/>
    </row>
    <row r="96" spans="1:26" s="12" customFormat="1" x14ac:dyDescent="0.25">
      <c r="A96" s="214" t="s">
        <v>2541</v>
      </c>
      <c r="B96" s="64">
        <v>60.7</v>
      </c>
      <c r="C96" s="64">
        <v>34.42</v>
      </c>
      <c r="D96" s="64">
        <v>68.959999999999994</v>
      </c>
      <c r="E96" s="64">
        <v>2.5099999999999998</v>
      </c>
      <c r="F96" s="64">
        <v>0.34</v>
      </c>
      <c r="G96" s="64">
        <v>289.94</v>
      </c>
      <c r="H96" s="64">
        <v>88.63</v>
      </c>
      <c r="I96" s="64">
        <v>1.56</v>
      </c>
      <c r="J96" s="64">
        <v>0.11</v>
      </c>
      <c r="K96" s="64">
        <v>313.52999999999997</v>
      </c>
      <c r="L96" s="64">
        <v>19.68</v>
      </c>
      <c r="M96" s="64">
        <v>82.83</v>
      </c>
      <c r="N96" s="64">
        <v>17.100000000000001</v>
      </c>
      <c r="O96" s="64">
        <v>0</v>
      </c>
      <c r="P96" s="215" t="s">
        <v>36</v>
      </c>
      <c r="Q96" s="64">
        <v>6.78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2542</v>
      </c>
      <c r="B97" s="64">
        <v>62.95</v>
      </c>
      <c r="C97" s="64">
        <v>36.979999999999997</v>
      </c>
      <c r="D97" s="64">
        <v>72.180000000000007</v>
      </c>
      <c r="E97" s="64">
        <v>2.54</v>
      </c>
      <c r="F97" s="64">
        <v>0.28000000000000003</v>
      </c>
      <c r="G97" s="64">
        <v>289.94</v>
      </c>
      <c r="H97" s="64">
        <v>88.63</v>
      </c>
      <c r="I97" s="64">
        <v>1.46</v>
      </c>
      <c r="J97" s="64">
        <v>0.12</v>
      </c>
      <c r="K97" s="64">
        <v>330.02</v>
      </c>
      <c r="L97" s="64">
        <v>19.5</v>
      </c>
      <c r="M97" s="64">
        <v>81.180000000000007</v>
      </c>
      <c r="N97" s="64">
        <v>16.899999999999999</v>
      </c>
      <c r="O97" s="64">
        <v>0</v>
      </c>
      <c r="P97" s="215" t="s">
        <v>36</v>
      </c>
      <c r="Q97" s="64">
        <v>7.94</v>
      </c>
      <c r="R97" s="198"/>
      <c r="S97" s="198"/>
      <c r="T97" s="198"/>
      <c r="U97" s="198"/>
    </row>
    <row r="98" spans="1:33" s="12" customFormat="1" x14ac:dyDescent="0.25">
      <c r="A98" s="214" t="s">
        <v>2543</v>
      </c>
      <c r="B98" s="64">
        <v>61.35</v>
      </c>
      <c r="C98" s="64">
        <v>44</v>
      </c>
      <c r="D98" s="64">
        <v>74.77</v>
      </c>
      <c r="E98" s="64">
        <v>2.5299999999999998</v>
      </c>
      <c r="F98" s="64">
        <v>0.24</v>
      </c>
      <c r="G98" s="64">
        <v>289.94</v>
      </c>
      <c r="H98" s="64">
        <v>88.63</v>
      </c>
      <c r="I98" s="64">
        <v>1.5</v>
      </c>
      <c r="J98" s="64">
        <v>0.06</v>
      </c>
      <c r="K98" s="64">
        <v>249.25</v>
      </c>
      <c r="L98" s="64">
        <v>19.63</v>
      </c>
      <c r="M98" s="64">
        <v>76.66</v>
      </c>
      <c r="N98" s="64">
        <v>16.8</v>
      </c>
      <c r="O98" s="64">
        <v>0</v>
      </c>
      <c r="P98" s="215" t="s">
        <v>36</v>
      </c>
      <c r="Q98" s="64">
        <v>8.7200000000000006</v>
      </c>
      <c r="R98" s="198"/>
      <c r="S98" s="198"/>
      <c r="T98" s="198"/>
      <c r="U98" s="198"/>
    </row>
    <row r="99" spans="1:33" s="12" customFormat="1" x14ac:dyDescent="0.25">
      <c r="A99" s="214" t="s">
        <v>2544</v>
      </c>
      <c r="B99" s="64">
        <v>60.66</v>
      </c>
      <c r="C99" s="64">
        <v>34.28</v>
      </c>
      <c r="D99" s="64">
        <v>68.849999999999994</v>
      </c>
      <c r="E99" s="64">
        <v>2.6</v>
      </c>
      <c r="F99" s="64">
        <v>0.09</v>
      </c>
      <c r="G99" s="64">
        <v>290.04000000000002</v>
      </c>
      <c r="H99" s="64">
        <v>100.08</v>
      </c>
      <c r="I99" s="64">
        <v>1.54</v>
      </c>
      <c r="J99" s="64">
        <v>0.11</v>
      </c>
      <c r="K99" s="64">
        <v>326.99</v>
      </c>
      <c r="L99" s="64">
        <v>19.850000000000001</v>
      </c>
      <c r="M99" s="64">
        <v>78.58</v>
      </c>
      <c r="N99" s="64">
        <v>17</v>
      </c>
      <c r="O99" s="64">
        <v>0</v>
      </c>
      <c r="P99" s="215" t="s">
        <v>36</v>
      </c>
      <c r="Q99" s="64">
        <v>9.26</v>
      </c>
      <c r="R99" s="198"/>
      <c r="S99" s="198"/>
      <c r="T99" s="198"/>
      <c r="U99" s="198"/>
    </row>
    <row r="100" spans="1:33" s="12" customFormat="1" x14ac:dyDescent="0.25">
      <c r="A100" s="214" t="s">
        <v>2545</v>
      </c>
      <c r="B100" s="64">
        <v>61.08</v>
      </c>
      <c r="C100" s="64">
        <v>30.89</v>
      </c>
      <c r="D100" s="64">
        <v>67.319999999999993</v>
      </c>
      <c r="E100" s="64">
        <v>2.57</v>
      </c>
      <c r="F100" s="64">
        <v>0.3</v>
      </c>
      <c r="G100" s="64">
        <v>290.13</v>
      </c>
      <c r="H100" s="64">
        <v>105.06</v>
      </c>
      <c r="I100" s="64">
        <v>1.44</v>
      </c>
      <c r="J100" s="64">
        <v>0.05</v>
      </c>
      <c r="K100" s="64">
        <v>284.94</v>
      </c>
      <c r="L100" s="64">
        <v>19.41</v>
      </c>
      <c r="M100" s="64">
        <v>80.63</v>
      </c>
      <c r="N100" s="64">
        <v>17.2</v>
      </c>
      <c r="O100" s="64">
        <v>0</v>
      </c>
      <c r="P100" s="215" t="s">
        <v>36</v>
      </c>
      <c r="Q100" s="64">
        <v>9.59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2546</v>
      </c>
      <c r="B101" s="64">
        <v>62.15</v>
      </c>
      <c r="C101" s="64">
        <v>30.15</v>
      </c>
      <c r="D101" s="64">
        <v>67.77</v>
      </c>
      <c r="E101" s="64">
        <v>2.2000000000000002</v>
      </c>
      <c r="F101" s="64">
        <v>0.32</v>
      </c>
      <c r="G101" s="64">
        <v>290.13</v>
      </c>
      <c r="H101" s="64">
        <v>105.06</v>
      </c>
      <c r="I101" s="64">
        <v>1.52</v>
      </c>
      <c r="J101" s="64">
        <v>7.0000000000000007E-2</v>
      </c>
      <c r="K101" s="64">
        <v>260.68</v>
      </c>
      <c r="L101" s="64">
        <v>19.28</v>
      </c>
      <c r="M101" s="64">
        <v>77.11</v>
      </c>
      <c r="N101" s="64">
        <v>16.899999999999999</v>
      </c>
      <c r="O101" s="64">
        <v>0</v>
      </c>
      <c r="P101" s="215" t="s">
        <v>36</v>
      </c>
      <c r="Q101" s="64">
        <v>9.7200000000000006</v>
      </c>
      <c r="R101" s="198"/>
      <c r="S101" s="198"/>
      <c r="T101" s="198"/>
      <c r="U101" s="198"/>
    </row>
    <row r="102" spans="1:33" s="12" customFormat="1" x14ac:dyDescent="0.25">
      <c r="A102" s="214" t="s">
        <v>2547</v>
      </c>
      <c r="B102" s="64">
        <v>61.75</v>
      </c>
      <c r="C102" s="64">
        <v>29.43</v>
      </c>
      <c r="D102" s="64">
        <v>67.05</v>
      </c>
      <c r="E102" s="64">
        <v>2.27</v>
      </c>
      <c r="F102" s="64">
        <v>0.16</v>
      </c>
      <c r="G102" s="64">
        <v>290.13</v>
      </c>
      <c r="H102" s="64">
        <v>105.06</v>
      </c>
      <c r="I102" s="64">
        <v>1.47</v>
      </c>
      <c r="J102" s="64">
        <v>0.13</v>
      </c>
      <c r="K102" s="64">
        <v>300.68</v>
      </c>
      <c r="L102" s="64">
        <v>19.260000000000002</v>
      </c>
      <c r="M102" s="64">
        <v>81.52</v>
      </c>
      <c r="N102" s="64">
        <v>16.899999999999999</v>
      </c>
      <c r="O102" s="64">
        <v>0</v>
      </c>
      <c r="P102" s="215" t="s">
        <v>36</v>
      </c>
      <c r="Q102" s="64">
        <v>9.9600000000000009</v>
      </c>
      <c r="R102" s="198"/>
      <c r="S102" s="198"/>
      <c r="T102" s="198"/>
      <c r="U102" s="198"/>
    </row>
    <row r="103" spans="1:33" s="12" customFormat="1" x14ac:dyDescent="0.25">
      <c r="A103" s="214" t="s">
        <v>2548</v>
      </c>
      <c r="B103" s="64">
        <v>62.03</v>
      </c>
      <c r="C103" s="64">
        <v>28.95</v>
      </c>
      <c r="D103" s="64">
        <v>67.010000000000005</v>
      </c>
      <c r="E103" s="64">
        <v>2.1800000000000002</v>
      </c>
      <c r="F103" s="64">
        <v>0.18</v>
      </c>
      <c r="G103" s="64">
        <v>292.64</v>
      </c>
      <c r="H103" s="64">
        <v>122.96</v>
      </c>
      <c r="I103" s="64">
        <v>1.54</v>
      </c>
      <c r="J103" s="64">
        <v>0.12</v>
      </c>
      <c r="K103" s="64">
        <v>293.67</v>
      </c>
      <c r="L103" s="64">
        <v>19.12</v>
      </c>
      <c r="M103" s="64">
        <v>81.650000000000006</v>
      </c>
      <c r="N103" s="64">
        <v>16.8</v>
      </c>
      <c r="O103" s="64">
        <v>0</v>
      </c>
      <c r="P103" s="215" t="s">
        <v>36</v>
      </c>
      <c r="Q103" s="64">
        <v>9.9499999999999993</v>
      </c>
      <c r="R103" s="198"/>
      <c r="S103" s="198"/>
      <c r="T103" s="198"/>
      <c r="U103" s="198"/>
    </row>
    <row r="104" spans="1:33" s="12" customFormat="1" x14ac:dyDescent="0.25">
      <c r="A104" s="214" t="s">
        <v>2549</v>
      </c>
      <c r="B104" s="64">
        <v>61.73</v>
      </c>
      <c r="C104" s="64">
        <v>29.64</v>
      </c>
      <c r="D104" s="64">
        <v>67.150000000000006</v>
      </c>
      <c r="E104" s="64">
        <v>1.17</v>
      </c>
      <c r="F104" s="64">
        <v>0.16</v>
      </c>
      <c r="G104" s="64">
        <v>294.93</v>
      </c>
      <c r="H104" s="64">
        <v>139.24</v>
      </c>
      <c r="I104" s="64">
        <v>1.53</v>
      </c>
      <c r="J104" s="64">
        <v>0.44</v>
      </c>
      <c r="K104" s="64">
        <v>334.19</v>
      </c>
      <c r="L104" s="64">
        <v>19.21</v>
      </c>
      <c r="M104" s="64">
        <v>78.83</v>
      </c>
      <c r="N104" s="64">
        <v>16.2</v>
      </c>
      <c r="O104" s="64">
        <v>0</v>
      </c>
      <c r="P104" s="215" t="s">
        <v>36</v>
      </c>
      <c r="Q104" s="64">
        <v>9.91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2.37</v>
      </c>
      <c r="C106" s="67">
        <f>MIN(C9:C104)</f>
        <v>22.01</v>
      </c>
      <c r="D106" s="67">
        <f t="shared" ref="D106:Q106" si="0">MIN(D9:D104)</f>
        <v>16.46</v>
      </c>
      <c r="E106" s="67">
        <f t="shared" si="0"/>
        <v>0.19</v>
      </c>
      <c r="F106" s="67">
        <f t="shared" si="0"/>
        <v>7.0000000000000007E-2</v>
      </c>
      <c r="G106" s="67">
        <f t="shared" si="0"/>
        <v>44.28</v>
      </c>
      <c r="H106" s="67">
        <f t="shared" si="0"/>
        <v>27.94</v>
      </c>
      <c r="I106" s="67">
        <f t="shared" si="0"/>
        <v>1.37</v>
      </c>
      <c r="J106" s="67">
        <f t="shared" si="0"/>
        <v>0.03</v>
      </c>
      <c r="K106" s="67">
        <f t="shared" si="0"/>
        <v>0.83</v>
      </c>
      <c r="L106" s="67">
        <f t="shared" si="0"/>
        <v>16.600000000000001</v>
      </c>
      <c r="M106" s="67">
        <f t="shared" si="0"/>
        <v>32.58</v>
      </c>
      <c r="N106" s="67">
        <f t="shared" si="0"/>
        <v>16.2</v>
      </c>
      <c r="O106" s="67">
        <f t="shared" si="0"/>
        <v>0</v>
      </c>
      <c r="P106" s="67">
        <f t="shared" si="0"/>
        <v>0.56000000000000005</v>
      </c>
      <c r="Q106" s="67">
        <f t="shared" si="0"/>
        <v>1.48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62.95</v>
      </c>
      <c r="C107" s="66">
        <f t="shared" ref="C107:Q107" si="1">MAX(C9:C104)</f>
        <v>52.73</v>
      </c>
      <c r="D107" s="66">
        <f t="shared" si="1"/>
        <v>76.88</v>
      </c>
      <c r="E107" s="66">
        <f t="shared" si="1"/>
        <v>60.14</v>
      </c>
      <c r="F107" s="66">
        <f t="shared" si="1"/>
        <v>14.66</v>
      </c>
      <c r="G107" s="66">
        <f t="shared" si="1"/>
        <v>328.63</v>
      </c>
      <c r="H107" s="66">
        <f t="shared" si="1"/>
        <v>139.24</v>
      </c>
      <c r="I107" s="66">
        <f t="shared" si="1"/>
        <v>1.6</v>
      </c>
      <c r="J107" s="66">
        <f t="shared" si="1"/>
        <v>1.21</v>
      </c>
      <c r="K107" s="66">
        <f t="shared" si="1"/>
        <v>359.43</v>
      </c>
      <c r="L107" s="66">
        <f t="shared" si="1"/>
        <v>31.51</v>
      </c>
      <c r="M107" s="66">
        <f t="shared" si="1"/>
        <v>82.83</v>
      </c>
      <c r="N107" s="66">
        <f t="shared" si="1"/>
        <v>771</v>
      </c>
      <c r="O107" s="66">
        <f t="shared" si="1"/>
        <v>0</v>
      </c>
      <c r="P107" s="66">
        <f t="shared" si="1"/>
        <v>2.87</v>
      </c>
      <c r="Q107" s="66">
        <f t="shared" si="1"/>
        <v>9.9600000000000009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24.420860215053757</v>
      </c>
      <c r="C108" s="67">
        <f t="shared" ref="C108:Q108" si="2">AVERAGE(C9:C104)</f>
        <v>30.473763440860214</v>
      </c>
      <c r="D108" s="67">
        <f t="shared" si="2"/>
        <v>37.763870967741951</v>
      </c>
      <c r="E108" s="67">
        <f t="shared" si="2"/>
        <v>3.6309574468085093</v>
      </c>
      <c r="F108" s="67">
        <f t="shared" si="2"/>
        <v>2.8571875000000007</v>
      </c>
      <c r="G108" s="67">
        <f t="shared" si="2"/>
        <v>163.1222580645161</v>
      </c>
      <c r="H108" s="67">
        <f t="shared" si="2"/>
        <v>74.006236559139765</v>
      </c>
      <c r="I108" s="67">
        <f t="shared" si="2"/>
        <v>1.4958333333333336</v>
      </c>
      <c r="J108" s="67">
        <f t="shared" si="2"/>
        <v>0.43677083333333316</v>
      </c>
      <c r="K108" s="67">
        <f t="shared" si="2"/>
        <v>282.26989583333329</v>
      </c>
      <c r="L108" s="67">
        <f t="shared" si="2"/>
        <v>22.971770833333334</v>
      </c>
      <c r="M108" s="67">
        <f t="shared" si="2"/>
        <v>58.721562500000005</v>
      </c>
      <c r="N108" s="67">
        <f t="shared" si="2"/>
        <v>192.33229166666672</v>
      </c>
      <c r="O108" s="67">
        <f t="shared" si="2"/>
        <v>0</v>
      </c>
      <c r="P108" s="67">
        <f t="shared" si="2"/>
        <v>0.78242424242424258</v>
      </c>
      <c r="Q108" s="67">
        <f t="shared" si="2"/>
        <v>6.2683333333333353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18.311866113434064</v>
      </c>
      <c r="C109" s="67">
        <f t="shared" ref="C109:Q109" si="3">STDEV(C9:C104)</f>
        <v>6.522141871778441</v>
      </c>
      <c r="D109" s="67">
        <f t="shared" si="3"/>
        <v>15.633260809837006</v>
      </c>
      <c r="E109" s="67">
        <f t="shared" si="3"/>
        <v>8.3045445608871997</v>
      </c>
      <c r="F109" s="67">
        <f t="shared" si="3"/>
        <v>3.657902390895059</v>
      </c>
      <c r="G109" s="67">
        <f t="shared" si="3"/>
        <v>79.08442489612024</v>
      </c>
      <c r="H109" s="67">
        <f t="shared" si="3"/>
        <v>25.151677829502493</v>
      </c>
      <c r="I109" s="67">
        <f t="shared" si="3"/>
        <v>4.5298232024676269E-2</v>
      </c>
      <c r="J109" s="67">
        <f t="shared" si="3"/>
        <v>0.34952748492686259</v>
      </c>
      <c r="K109" s="67">
        <f t="shared" si="3"/>
        <v>98.216464173405626</v>
      </c>
      <c r="L109" s="67">
        <f t="shared" si="3"/>
        <v>4.7733340427600366</v>
      </c>
      <c r="M109" s="67">
        <f t="shared" si="3"/>
        <v>18.554196366214626</v>
      </c>
      <c r="N109" s="67">
        <f t="shared" si="3"/>
        <v>261.61206776237111</v>
      </c>
      <c r="O109" s="67">
        <f t="shared" si="3"/>
        <v>0</v>
      </c>
      <c r="P109" s="67">
        <f t="shared" si="3"/>
        <v>0.3918946789558887</v>
      </c>
      <c r="Q109" s="67">
        <f t="shared" si="3"/>
        <v>1.6562314017492596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COUNT(B9:B104)+3</f>
        <v>96</v>
      </c>
      <c r="C110" s="66">
        <f>COUNT(C9:C104)+3</f>
        <v>96</v>
      </c>
      <c r="D110" s="66">
        <f>COUNT(D9:D104)+3</f>
        <v>96</v>
      </c>
      <c r="E110" s="66">
        <f>COUNT(E9:E104)+2</f>
        <v>96</v>
      </c>
      <c r="F110" s="66">
        <f t="shared" ref="F110:Q110" si="4">COUNT(F9:F104)</f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>COUNT(P9:P104)+63</f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2550</v>
      </c>
      <c r="B9" s="64">
        <v>59.96</v>
      </c>
      <c r="C9" s="64">
        <v>29.48</v>
      </c>
      <c r="D9" s="64">
        <v>65.650000000000006</v>
      </c>
      <c r="E9" s="64">
        <v>2.0699999999999998</v>
      </c>
      <c r="F9" s="64">
        <v>0.09</v>
      </c>
      <c r="G9" s="64">
        <v>294.93</v>
      </c>
      <c r="H9" s="64">
        <v>139.24</v>
      </c>
      <c r="I9" s="64">
        <v>1.46</v>
      </c>
      <c r="J9" s="64">
        <v>0.27</v>
      </c>
      <c r="K9" s="64">
        <v>321.58</v>
      </c>
      <c r="L9" s="64">
        <v>19.11</v>
      </c>
      <c r="M9" s="64">
        <v>77.91</v>
      </c>
      <c r="N9" s="64">
        <v>16.7</v>
      </c>
      <c r="O9" s="64">
        <v>0</v>
      </c>
      <c r="P9" s="9" t="s">
        <v>36</v>
      </c>
      <c r="Q9" s="64">
        <v>9.86</v>
      </c>
      <c r="R9" s="198"/>
      <c r="S9" s="198"/>
      <c r="T9" s="198"/>
      <c r="U9" s="198"/>
    </row>
    <row r="10" spans="1:21" s="12" customFormat="1" x14ac:dyDescent="0.25">
      <c r="A10" s="214" t="s">
        <v>2551</v>
      </c>
      <c r="B10" s="64">
        <v>53.63</v>
      </c>
      <c r="C10" s="64">
        <v>29.53</v>
      </c>
      <c r="D10" s="64">
        <v>60.59</v>
      </c>
      <c r="E10" s="64">
        <v>2.13</v>
      </c>
      <c r="F10" s="64">
        <v>0.19</v>
      </c>
      <c r="G10" s="64">
        <v>294.93</v>
      </c>
      <c r="H10" s="64">
        <v>139.24</v>
      </c>
      <c r="I10" s="64">
        <v>1.5</v>
      </c>
      <c r="J10" s="64">
        <v>0.01</v>
      </c>
      <c r="K10" s="64">
        <v>258.7</v>
      </c>
      <c r="L10" s="64">
        <v>18.829999999999998</v>
      </c>
      <c r="M10" s="64">
        <v>78.89</v>
      </c>
      <c r="N10" s="64">
        <v>17.399999999999999</v>
      </c>
      <c r="O10" s="64">
        <v>0</v>
      </c>
      <c r="P10" s="9" t="s">
        <v>36</v>
      </c>
      <c r="Q10" s="64">
        <v>9.7899999999999991</v>
      </c>
      <c r="R10" s="198"/>
      <c r="S10" s="198"/>
      <c r="T10" s="198"/>
      <c r="U10" s="198"/>
    </row>
    <row r="11" spans="1:21" s="12" customFormat="1" x14ac:dyDescent="0.25">
      <c r="A11" s="214" t="s">
        <v>2552</v>
      </c>
      <c r="B11" s="64">
        <v>51.94</v>
      </c>
      <c r="C11" s="64">
        <v>28.42</v>
      </c>
      <c r="D11" s="64">
        <v>58.63</v>
      </c>
      <c r="E11" s="64">
        <v>2.36</v>
      </c>
      <c r="F11" s="64">
        <v>0.42</v>
      </c>
      <c r="G11" s="64">
        <v>208.7</v>
      </c>
      <c r="H11" s="64">
        <v>122.75</v>
      </c>
      <c r="I11" s="64">
        <v>1.5</v>
      </c>
      <c r="J11" s="64">
        <v>0.1</v>
      </c>
      <c r="K11" s="64">
        <v>288.43</v>
      </c>
      <c r="L11" s="64">
        <v>18.54</v>
      </c>
      <c r="M11" s="64">
        <v>81.92</v>
      </c>
      <c r="N11" s="64">
        <v>17.100000000000001</v>
      </c>
      <c r="O11" s="64">
        <v>0</v>
      </c>
      <c r="P11" s="9" t="s">
        <v>36</v>
      </c>
      <c r="Q11" s="64">
        <v>9.66</v>
      </c>
      <c r="R11" s="198"/>
      <c r="S11" s="198"/>
      <c r="T11" s="198"/>
      <c r="U11" s="198"/>
    </row>
    <row r="12" spans="1:21" s="12" customFormat="1" x14ac:dyDescent="0.25">
      <c r="A12" s="214" t="s">
        <v>2553</v>
      </c>
      <c r="B12" s="64">
        <v>51.16</v>
      </c>
      <c r="C12" s="64">
        <v>28.1</v>
      </c>
      <c r="D12" s="64">
        <v>57.82</v>
      </c>
      <c r="E12" s="64">
        <v>2.23</v>
      </c>
      <c r="F12" s="64">
        <v>0.57999999999999996</v>
      </c>
      <c r="G12" s="64">
        <v>208.7</v>
      </c>
      <c r="H12" s="64">
        <v>115.22</v>
      </c>
      <c r="I12" s="64">
        <v>1.51</v>
      </c>
      <c r="J12" s="64">
        <v>0.35</v>
      </c>
      <c r="K12" s="64">
        <v>320.77999999999997</v>
      </c>
      <c r="L12" s="64">
        <v>18.45</v>
      </c>
      <c r="M12" s="64">
        <v>82.89</v>
      </c>
      <c r="N12" s="64">
        <v>16.399999999999999</v>
      </c>
      <c r="O12" s="64">
        <v>0</v>
      </c>
      <c r="P12" s="9" t="s">
        <v>36</v>
      </c>
      <c r="Q12" s="64">
        <v>9.5299999999999994</v>
      </c>
      <c r="R12" s="198"/>
      <c r="S12" s="198"/>
      <c r="T12" s="198"/>
      <c r="U12" s="198"/>
    </row>
    <row r="13" spans="1:21" s="12" customFormat="1" x14ac:dyDescent="0.25">
      <c r="A13" s="214" t="s">
        <v>2554</v>
      </c>
      <c r="B13" s="64">
        <v>46.41</v>
      </c>
      <c r="C13" s="64">
        <v>27.72</v>
      </c>
      <c r="D13" s="64">
        <v>53.81</v>
      </c>
      <c r="E13" s="64">
        <v>2.2599999999999998</v>
      </c>
      <c r="F13" s="64">
        <v>0.56000000000000005</v>
      </c>
      <c r="G13" s="64">
        <v>208.7</v>
      </c>
      <c r="H13" s="64">
        <v>115.22</v>
      </c>
      <c r="I13" s="64">
        <v>1.47</v>
      </c>
      <c r="J13" s="64">
        <v>0.14000000000000001</v>
      </c>
      <c r="K13" s="64">
        <v>281.45999999999998</v>
      </c>
      <c r="L13" s="64">
        <v>18.440000000000001</v>
      </c>
      <c r="M13" s="64">
        <v>81.73</v>
      </c>
      <c r="N13" s="64">
        <v>17.100000000000001</v>
      </c>
      <c r="O13" s="64">
        <v>0</v>
      </c>
      <c r="P13" s="209" t="s">
        <v>36</v>
      </c>
      <c r="Q13" s="64">
        <v>9.4</v>
      </c>
      <c r="R13" s="198"/>
      <c r="S13" s="198"/>
      <c r="T13" s="198"/>
      <c r="U13" s="198"/>
    </row>
    <row r="14" spans="1:21" s="12" customFormat="1" x14ac:dyDescent="0.25">
      <c r="A14" s="214" t="s">
        <v>2555</v>
      </c>
      <c r="B14" s="64">
        <v>45.84</v>
      </c>
      <c r="C14" s="64">
        <v>26.9</v>
      </c>
      <c r="D14" s="64">
        <v>52.9</v>
      </c>
      <c r="E14" s="64">
        <v>2.09</v>
      </c>
      <c r="F14" s="64">
        <v>0.51</v>
      </c>
      <c r="G14" s="64">
        <v>208.7</v>
      </c>
      <c r="H14" s="64">
        <v>115.22</v>
      </c>
      <c r="I14" s="64">
        <v>1.55</v>
      </c>
      <c r="J14" s="64">
        <v>0.1</v>
      </c>
      <c r="K14" s="64">
        <v>265.95999999999998</v>
      </c>
      <c r="L14" s="64">
        <v>18.329999999999998</v>
      </c>
      <c r="M14" s="64">
        <v>83.03</v>
      </c>
      <c r="N14" s="64">
        <v>17.100000000000001</v>
      </c>
      <c r="O14" s="64">
        <v>0</v>
      </c>
      <c r="P14" s="209" t="s">
        <v>36</v>
      </c>
      <c r="Q14" s="64">
        <v>9.2100000000000009</v>
      </c>
      <c r="R14" s="198"/>
      <c r="S14" s="198"/>
      <c r="T14" s="198"/>
      <c r="U14" s="198"/>
    </row>
    <row r="15" spans="1:21" s="12" customFormat="1" x14ac:dyDescent="0.25">
      <c r="A15" s="214" t="s">
        <v>2556</v>
      </c>
      <c r="B15" s="64">
        <v>47.26</v>
      </c>
      <c r="C15" s="64">
        <v>26.61</v>
      </c>
      <c r="D15" s="64">
        <v>53.87</v>
      </c>
      <c r="E15" s="64">
        <v>2.2999999999999998</v>
      </c>
      <c r="F15" s="64">
        <v>0.25</v>
      </c>
      <c r="G15" s="64">
        <v>195.88</v>
      </c>
      <c r="H15" s="64">
        <v>109.24</v>
      </c>
      <c r="I15" s="64">
        <v>1.52</v>
      </c>
      <c r="J15" s="64">
        <v>0.09</v>
      </c>
      <c r="K15" s="64">
        <v>241.45</v>
      </c>
      <c r="L15" s="64">
        <v>18.059999999999999</v>
      </c>
      <c r="M15" s="64">
        <v>85.34</v>
      </c>
      <c r="N15" s="64">
        <v>17.100000000000001</v>
      </c>
      <c r="O15" s="64">
        <v>0</v>
      </c>
      <c r="P15" s="209" t="s">
        <v>36</v>
      </c>
      <c r="Q15" s="64">
        <v>8.84</v>
      </c>
      <c r="R15" s="198"/>
      <c r="S15" s="198"/>
      <c r="T15" s="198"/>
      <c r="U15" s="198"/>
    </row>
    <row r="16" spans="1:21" s="12" customFormat="1" x14ac:dyDescent="0.25">
      <c r="A16" s="214" t="s">
        <v>2557</v>
      </c>
      <c r="B16" s="64">
        <v>46.09</v>
      </c>
      <c r="C16" s="64">
        <v>25.98</v>
      </c>
      <c r="D16" s="64">
        <v>52.59</v>
      </c>
      <c r="E16" s="64">
        <v>2.12</v>
      </c>
      <c r="F16" s="64">
        <v>0.15</v>
      </c>
      <c r="G16" s="64">
        <v>183.61</v>
      </c>
      <c r="H16" s="64">
        <v>106.51</v>
      </c>
      <c r="I16" s="64">
        <v>1.5</v>
      </c>
      <c r="J16" s="64">
        <v>0.09</v>
      </c>
      <c r="K16" s="64">
        <v>262.91000000000003</v>
      </c>
      <c r="L16" s="64">
        <v>17.98</v>
      </c>
      <c r="M16" s="64">
        <v>86.66</v>
      </c>
      <c r="N16" s="64">
        <v>17.100000000000001</v>
      </c>
      <c r="O16" s="64">
        <v>0</v>
      </c>
      <c r="P16" s="209" t="s">
        <v>36</v>
      </c>
      <c r="Q16" s="64">
        <v>8.75</v>
      </c>
      <c r="R16" s="198"/>
      <c r="S16" s="198"/>
      <c r="T16" s="198"/>
      <c r="U16" s="198"/>
    </row>
    <row r="17" spans="1:21" s="12" customFormat="1" x14ac:dyDescent="0.25">
      <c r="A17" s="214" t="s">
        <v>2558</v>
      </c>
      <c r="B17" s="64">
        <v>44.64</v>
      </c>
      <c r="C17" s="64">
        <v>25.01</v>
      </c>
      <c r="D17" s="64">
        <v>50.9</v>
      </c>
      <c r="E17" s="64">
        <v>1.92</v>
      </c>
      <c r="F17" s="64">
        <v>0.12</v>
      </c>
      <c r="G17" s="64">
        <v>183.61</v>
      </c>
      <c r="H17" s="64">
        <v>106.51</v>
      </c>
      <c r="I17" s="64">
        <v>1.57</v>
      </c>
      <c r="J17" s="64">
        <v>0.09</v>
      </c>
      <c r="K17" s="64">
        <v>282.95</v>
      </c>
      <c r="L17" s="64">
        <v>17.88</v>
      </c>
      <c r="M17" s="64">
        <v>87.49</v>
      </c>
      <c r="N17" s="64">
        <v>17</v>
      </c>
      <c r="O17" s="64">
        <v>0</v>
      </c>
      <c r="P17" s="209" t="s">
        <v>36</v>
      </c>
      <c r="Q17" s="64">
        <v>8.64</v>
      </c>
      <c r="R17" s="198"/>
      <c r="S17" s="198"/>
      <c r="T17" s="198"/>
      <c r="U17" s="198"/>
    </row>
    <row r="18" spans="1:21" s="12" customFormat="1" x14ac:dyDescent="0.25">
      <c r="A18" s="214" t="s">
        <v>2559</v>
      </c>
      <c r="B18" s="64">
        <v>43.13</v>
      </c>
      <c r="C18" s="64">
        <v>25.02</v>
      </c>
      <c r="D18" s="64">
        <v>49.69</v>
      </c>
      <c r="E18" s="64">
        <v>2.0499999999999998</v>
      </c>
      <c r="F18" s="64">
        <v>0.14000000000000001</v>
      </c>
      <c r="G18" s="64">
        <v>183.61</v>
      </c>
      <c r="H18" s="64">
        <v>106.51</v>
      </c>
      <c r="I18" s="64">
        <v>1.44</v>
      </c>
      <c r="J18" s="64">
        <v>0.06</v>
      </c>
      <c r="K18" s="64">
        <v>297.47000000000003</v>
      </c>
      <c r="L18" s="64">
        <v>17.670000000000002</v>
      </c>
      <c r="M18" s="64">
        <v>89.01</v>
      </c>
      <c r="N18" s="64">
        <v>17</v>
      </c>
      <c r="O18" s="64">
        <v>0</v>
      </c>
      <c r="P18" s="209" t="s">
        <v>36</v>
      </c>
      <c r="Q18" s="64">
        <v>8.51</v>
      </c>
      <c r="R18" s="198"/>
      <c r="S18" s="198"/>
      <c r="T18" s="198"/>
      <c r="U18" s="198"/>
    </row>
    <row r="19" spans="1:21" s="12" customFormat="1" x14ac:dyDescent="0.25">
      <c r="A19" s="214" t="s">
        <v>2560</v>
      </c>
      <c r="B19" s="64">
        <v>41.78</v>
      </c>
      <c r="C19" s="64">
        <v>24.69</v>
      </c>
      <c r="D19" s="64">
        <v>48.42</v>
      </c>
      <c r="E19" s="64">
        <v>1.79</v>
      </c>
      <c r="F19" s="64">
        <v>0.08</v>
      </c>
      <c r="G19" s="64">
        <v>172.67</v>
      </c>
      <c r="H19" s="64">
        <v>112.81</v>
      </c>
      <c r="I19" s="64">
        <v>1.42</v>
      </c>
      <c r="J19" s="64">
        <v>0.09</v>
      </c>
      <c r="K19" s="64">
        <v>280.99</v>
      </c>
      <c r="L19" s="64">
        <v>17.559999999999999</v>
      </c>
      <c r="M19" s="64">
        <v>89.79</v>
      </c>
      <c r="N19" s="64">
        <v>17</v>
      </c>
      <c r="O19" s="64">
        <v>0</v>
      </c>
      <c r="P19" s="209" t="s">
        <v>36</v>
      </c>
      <c r="Q19" s="64">
        <v>8.39</v>
      </c>
      <c r="R19" s="198"/>
      <c r="S19" s="198"/>
      <c r="T19" s="198"/>
      <c r="U19" s="198"/>
    </row>
    <row r="20" spans="1:21" s="12" customFormat="1" x14ac:dyDescent="0.25">
      <c r="A20" s="214" t="s">
        <v>2561</v>
      </c>
      <c r="B20" s="64">
        <v>40.57</v>
      </c>
      <c r="C20" s="64">
        <v>24.33</v>
      </c>
      <c r="D20" s="64">
        <v>47.26</v>
      </c>
      <c r="E20" s="64">
        <v>1.59</v>
      </c>
      <c r="F20" s="64">
        <v>0.03</v>
      </c>
      <c r="G20" s="64">
        <v>162.66</v>
      </c>
      <c r="H20" s="64">
        <v>115.68</v>
      </c>
      <c r="I20" s="64">
        <v>1.43</v>
      </c>
      <c r="J20" s="64">
        <v>0.04</v>
      </c>
      <c r="K20" s="64">
        <v>248.93</v>
      </c>
      <c r="L20" s="64">
        <v>17.48</v>
      </c>
      <c r="M20" s="64">
        <v>87.56</v>
      </c>
      <c r="N20" s="64">
        <v>17</v>
      </c>
      <c r="O20" s="64">
        <v>0</v>
      </c>
      <c r="P20" s="209" t="s">
        <v>36</v>
      </c>
      <c r="Q20" s="64">
        <v>8.31</v>
      </c>
      <c r="R20" s="198"/>
      <c r="S20" s="198"/>
      <c r="T20" s="198"/>
      <c r="U20" s="198"/>
    </row>
    <row r="21" spans="1:21" s="12" customFormat="1" x14ac:dyDescent="0.25">
      <c r="A21" s="214" t="s">
        <v>2562</v>
      </c>
      <c r="B21" s="64">
        <v>39.24</v>
      </c>
      <c r="C21" s="64">
        <v>23.9</v>
      </c>
      <c r="D21" s="64">
        <v>45.95</v>
      </c>
      <c r="E21" s="64">
        <v>1.79</v>
      </c>
      <c r="F21" s="64">
        <v>0.03</v>
      </c>
      <c r="G21" s="64">
        <v>162.66</v>
      </c>
      <c r="H21" s="64">
        <v>115.68</v>
      </c>
      <c r="I21" s="64">
        <v>1.48</v>
      </c>
      <c r="J21" s="64">
        <v>0.08</v>
      </c>
      <c r="K21" s="64">
        <v>291.33</v>
      </c>
      <c r="L21" s="64">
        <v>17.36</v>
      </c>
      <c r="M21" s="64">
        <v>88.65</v>
      </c>
      <c r="N21" s="64">
        <v>16.899999999999999</v>
      </c>
      <c r="O21" s="64">
        <v>0</v>
      </c>
      <c r="P21" s="209" t="s">
        <v>36</v>
      </c>
      <c r="Q21" s="64">
        <v>8.23</v>
      </c>
      <c r="R21" s="198"/>
      <c r="S21" s="198"/>
      <c r="T21" s="198"/>
      <c r="U21" s="198"/>
    </row>
    <row r="22" spans="1:21" s="12" customFormat="1" x14ac:dyDescent="0.25">
      <c r="A22" s="214" t="s">
        <v>2563</v>
      </c>
      <c r="B22" s="64">
        <v>36.42</v>
      </c>
      <c r="C22" s="64">
        <v>23.56</v>
      </c>
      <c r="D22" s="64">
        <v>43.5</v>
      </c>
      <c r="E22" s="64">
        <v>1.91</v>
      </c>
      <c r="F22" s="64">
        <v>7.0000000000000007E-2</v>
      </c>
      <c r="G22" s="64">
        <v>162.66</v>
      </c>
      <c r="H22" s="64">
        <v>115.68</v>
      </c>
      <c r="I22" s="64">
        <v>1.46</v>
      </c>
      <c r="J22" s="64">
        <v>0.11</v>
      </c>
      <c r="K22" s="64">
        <v>296.06</v>
      </c>
      <c r="L22" s="64">
        <v>17.09</v>
      </c>
      <c r="M22" s="64">
        <v>93.07</v>
      </c>
      <c r="N22" s="64">
        <v>17.100000000000001</v>
      </c>
      <c r="O22" s="64">
        <v>0</v>
      </c>
      <c r="P22" s="209" t="s">
        <v>36</v>
      </c>
      <c r="Q22" s="64">
        <v>8.11</v>
      </c>
      <c r="R22" s="198"/>
      <c r="S22" s="198"/>
      <c r="T22" s="198"/>
      <c r="U22" s="198"/>
    </row>
    <row r="23" spans="1:21" s="12" customFormat="1" x14ac:dyDescent="0.25">
      <c r="A23" s="214" t="s">
        <v>2564</v>
      </c>
      <c r="B23" s="64">
        <v>35.049999999999997</v>
      </c>
      <c r="C23" s="64">
        <v>23.62</v>
      </c>
      <c r="D23" s="64">
        <v>42.43</v>
      </c>
      <c r="E23" s="64">
        <v>1.96</v>
      </c>
      <c r="F23" s="64">
        <v>0.11</v>
      </c>
      <c r="G23" s="64">
        <v>167.86</v>
      </c>
      <c r="H23" s="64">
        <v>108.14</v>
      </c>
      <c r="I23" s="64">
        <v>1.57</v>
      </c>
      <c r="J23" s="64">
        <v>7.0000000000000007E-2</v>
      </c>
      <c r="K23" s="64">
        <v>271.43</v>
      </c>
      <c r="L23" s="64">
        <v>17</v>
      </c>
      <c r="M23" s="64">
        <v>92.34</v>
      </c>
      <c r="N23" s="64">
        <v>17</v>
      </c>
      <c r="O23" s="64">
        <v>0</v>
      </c>
      <c r="P23" s="209" t="s">
        <v>36</v>
      </c>
      <c r="Q23" s="64">
        <v>8.0299999999999994</v>
      </c>
      <c r="R23" s="198"/>
      <c r="S23" s="198"/>
      <c r="T23" s="198"/>
      <c r="U23" s="198"/>
    </row>
    <row r="24" spans="1:21" s="12" customFormat="1" x14ac:dyDescent="0.25">
      <c r="A24" s="214" t="s">
        <v>2565</v>
      </c>
      <c r="B24" s="64">
        <v>34.24</v>
      </c>
      <c r="C24" s="64">
        <v>23.44</v>
      </c>
      <c r="D24" s="64">
        <v>41.69</v>
      </c>
      <c r="E24" s="64">
        <v>1.1200000000000001</v>
      </c>
      <c r="F24" s="64">
        <v>0.28999999999999998</v>
      </c>
      <c r="G24" s="64">
        <v>172.85</v>
      </c>
      <c r="H24" s="64">
        <v>104.7</v>
      </c>
      <c r="I24" s="64">
        <v>1.55</v>
      </c>
      <c r="J24" s="64">
        <v>0.11</v>
      </c>
      <c r="K24" s="64">
        <v>280.79000000000002</v>
      </c>
      <c r="L24" s="64">
        <v>16.95</v>
      </c>
      <c r="M24" s="64">
        <v>92.99</v>
      </c>
      <c r="N24" s="64">
        <v>17</v>
      </c>
      <c r="O24" s="64">
        <v>0</v>
      </c>
      <c r="P24" s="209" t="s">
        <v>36</v>
      </c>
      <c r="Q24" s="64">
        <v>7.94</v>
      </c>
      <c r="R24" s="198"/>
      <c r="S24" s="198"/>
      <c r="T24" s="198"/>
      <c r="U24" s="198"/>
    </row>
    <row r="25" spans="1:21" s="12" customFormat="1" x14ac:dyDescent="0.25">
      <c r="A25" s="214" t="s">
        <v>2566</v>
      </c>
      <c r="B25" s="64">
        <v>34.369999999999997</v>
      </c>
      <c r="C25" s="64">
        <v>23.13</v>
      </c>
      <c r="D25" s="64">
        <v>41.62</v>
      </c>
      <c r="E25" s="64">
        <v>1.7</v>
      </c>
      <c r="F25" s="64">
        <v>0.23</v>
      </c>
      <c r="G25" s="64">
        <v>172.85</v>
      </c>
      <c r="H25" s="64">
        <v>104.7</v>
      </c>
      <c r="I25" s="64">
        <v>1.44</v>
      </c>
      <c r="J25" s="64">
        <v>0.13</v>
      </c>
      <c r="K25" s="64">
        <v>296.57</v>
      </c>
      <c r="L25" s="64">
        <v>16.850000000000001</v>
      </c>
      <c r="M25" s="64">
        <v>95.41</v>
      </c>
      <c r="N25" s="64">
        <v>17</v>
      </c>
      <c r="O25" s="64">
        <v>0</v>
      </c>
      <c r="P25" s="209" t="s">
        <v>36</v>
      </c>
      <c r="Q25" s="64">
        <v>7.86</v>
      </c>
      <c r="R25" s="198"/>
      <c r="S25" s="198"/>
      <c r="T25" s="198"/>
      <c r="U25" s="198"/>
    </row>
    <row r="26" spans="1:21" s="12" customFormat="1" x14ac:dyDescent="0.25">
      <c r="A26" s="214" t="s">
        <v>2567</v>
      </c>
      <c r="B26" s="64">
        <v>34.630000000000003</v>
      </c>
      <c r="C26" s="64">
        <v>23.57</v>
      </c>
      <c r="D26" s="64">
        <v>42.07</v>
      </c>
      <c r="E26" s="64">
        <v>1.85</v>
      </c>
      <c r="F26" s="64">
        <v>0.16</v>
      </c>
      <c r="G26" s="64">
        <v>172.85</v>
      </c>
      <c r="H26" s="64">
        <v>104.7</v>
      </c>
      <c r="I26" s="64">
        <v>1.53</v>
      </c>
      <c r="J26" s="64">
        <v>0.14000000000000001</v>
      </c>
      <c r="K26" s="64">
        <v>223.25</v>
      </c>
      <c r="L26" s="64">
        <v>16.899999999999999</v>
      </c>
      <c r="M26" s="64">
        <v>96.36</v>
      </c>
      <c r="N26" s="64">
        <v>16.7</v>
      </c>
      <c r="O26" s="64">
        <v>0</v>
      </c>
      <c r="P26" s="209" t="s">
        <v>36</v>
      </c>
      <c r="Q26" s="64">
        <v>7.77</v>
      </c>
      <c r="R26" s="198"/>
      <c r="S26" s="198"/>
      <c r="T26" s="198"/>
      <c r="U26" s="198"/>
    </row>
    <row r="27" spans="1:21" s="12" customFormat="1" x14ac:dyDescent="0.25">
      <c r="A27" s="214" t="s">
        <v>2568</v>
      </c>
      <c r="B27" s="64">
        <v>35.049999999999997</v>
      </c>
      <c r="C27" s="64">
        <v>21.71</v>
      </c>
      <c r="D27" s="64">
        <v>41.38</v>
      </c>
      <c r="E27" s="64">
        <v>1.62</v>
      </c>
      <c r="F27" s="64">
        <v>0.35</v>
      </c>
      <c r="G27" s="64">
        <v>165.01</v>
      </c>
      <c r="H27" s="64">
        <v>96.78</v>
      </c>
      <c r="I27" s="64">
        <v>1.61</v>
      </c>
      <c r="J27" s="64">
        <v>0.09</v>
      </c>
      <c r="K27" s="64">
        <v>259.23</v>
      </c>
      <c r="L27" s="64">
        <v>17.02</v>
      </c>
      <c r="M27" s="64">
        <v>96.04</v>
      </c>
      <c r="N27" s="64">
        <v>17</v>
      </c>
      <c r="O27" s="64">
        <v>0</v>
      </c>
      <c r="P27" s="209" t="s">
        <v>36</v>
      </c>
      <c r="Q27" s="64">
        <v>7.74</v>
      </c>
      <c r="R27" s="198"/>
      <c r="S27" s="198"/>
      <c r="T27" s="198"/>
      <c r="U27" s="198"/>
    </row>
    <row r="28" spans="1:21" s="12" customFormat="1" x14ac:dyDescent="0.25">
      <c r="A28" s="214" t="s">
        <v>2569</v>
      </c>
      <c r="B28" s="64">
        <v>34.74</v>
      </c>
      <c r="C28" s="64">
        <v>21.9</v>
      </c>
      <c r="D28" s="64">
        <v>41.23</v>
      </c>
      <c r="E28" s="64">
        <v>1.4</v>
      </c>
      <c r="F28" s="64">
        <v>0.08</v>
      </c>
      <c r="G28" s="64">
        <v>157.51</v>
      </c>
      <c r="H28" s="64">
        <v>93.16</v>
      </c>
      <c r="I28" s="64">
        <v>1.53</v>
      </c>
      <c r="J28" s="64">
        <v>0.1</v>
      </c>
      <c r="K28" s="64">
        <v>215.85</v>
      </c>
      <c r="L28" s="64">
        <v>16.72</v>
      </c>
      <c r="M28" s="64">
        <v>97.7</v>
      </c>
      <c r="N28" s="64">
        <v>16.899999999999999</v>
      </c>
      <c r="O28" s="64">
        <v>0</v>
      </c>
      <c r="P28" s="209" t="s">
        <v>36</v>
      </c>
      <c r="Q28" s="64">
        <v>7.7</v>
      </c>
      <c r="R28" s="198"/>
      <c r="S28" s="198"/>
      <c r="T28" s="198"/>
      <c r="U28" s="198"/>
    </row>
    <row r="29" spans="1:21" s="12" customFormat="1" x14ac:dyDescent="0.25">
      <c r="A29" s="214" t="s">
        <v>2570</v>
      </c>
      <c r="B29" s="64">
        <v>34.32</v>
      </c>
      <c r="C29" s="64">
        <v>20.8</v>
      </c>
      <c r="D29" s="64">
        <v>40.29</v>
      </c>
      <c r="E29" s="64">
        <v>1.37</v>
      </c>
      <c r="F29" s="64">
        <v>0.27</v>
      </c>
      <c r="G29" s="64">
        <v>157.51</v>
      </c>
      <c r="H29" s="64">
        <v>93.16</v>
      </c>
      <c r="I29" s="64">
        <v>1.47</v>
      </c>
      <c r="J29" s="64">
        <v>0.09</v>
      </c>
      <c r="K29" s="64">
        <v>216.95</v>
      </c>
      <c r="L29" s="64">
        <v>16.57</v>
      </c>
      <c r="M29" s="64">
        <v>98.17</v>
      </c>
      <c r="N29" s="64">
        <v>16.899999999999999</v>
      </c>
      <c r="O29" s="64">
        <v>0</v>
      </c>
      <c r="P29" s="209" t="s">
        <v>36</v>
      </c>
      <c r="Q29" s="64">
        <v>7.79</v>
      </c>
      <c r="R29" s="198"/>
      <c r="S29" s="198"/>
      <c r="T29" s="198"/>
      <c r="U29" s="198"/>
    </row>
    <row r="30" spans="1:21" s="12" customFormat="1" x14ac:dyDescent="0.25">
      <c r="A30" s="214" t="s">
        <v>2571</v>
      </c>
      <c r="B30" s="64">
        <v>34.56</v>
      </c>
      <c r="C30" s="64">
        <v>20.99</v>
      </c>
      <c r="D30" s="64">
        <v>40.6</v>
      </c>
      <c r="E30" s="64">
        <v>1.36</v>
      </c>
      <c r="F30" s="64">
        <v>0.36</v>
      </c>
      <c r="G30" s="64">
        <v>157.51</v>
      </c>
      <c r="H30" s="64">
        <v>93.16</v>
      </c>
      <c r="I30" s="64">
        <v>1.48</v>
      </c>
      <c r="J30" s="64">
        <v>0.15</v>
      </c>
      <c r="K30" s="64">
        <v>223.17</v>
      </c>
      <c r="L30" s="64">
        <v>16.87</v>
      </c>
      <c r="M30" s="64">
        <v>98.26</v>
      </c>
      <c r="N30" s="64">
        <v>16.600000000000001</v>
      </c>
      <c r="O30" s="64">
        <v>0</v>
      </c>
      <c r="P30" s="209" t="s">
        <v>36</v>
      </c>
      <c r="Q30" s="64">
        <v>7.77</v>
      </c>
      <c r="R30" s="198"/>
      <c r="S30" s="198"/>
      <c r="T30" s="198"/>
      <c r="U30" s="198"/>
    </row>
    <row r="31" spans="1:21" s="12" customFormat="1" x14ac:dyDescent="0.25">
      <c r="A31" s="214" t="s">
        <v>2572</v>
      </c>
      <c r="B31" s="64">
        <v>35.26</v>
      </c>
      <c r="C31" s="64">
        <v>21.5</v>
      </c>
      <c r="D31" s="64">
        <v>41.43</v>
      </c>
      <c r="E31" s="64">
        <v>1.35</v>
      </c>
      <c r="F31" s="64">
        <v>0.19</v>
      </c>
      <c r="G31" s="64">
        <v>131.63</v>
      </c>
      <c r="H31" s="64">
        <v>72</v>
      </c>
      <c r="I31" s="64">
        <v>1.46</v>
      </c>
      <c r="J31" s="64">
        <v>0.05</v>
      </c>
      <c r="K31" s="64">
        <v>302.95999999999998</v>
      </c>
      <c r="L31" s="64">
        <v>16.850000000000001</v>
      </c>
      <c r="M31" s="64">
        <v>97.99</v>
      </c>
      <c r="N31" s="64">
        <v>17.8</v>
      </c>
      <c r="O31" s="64">
        <v>0</v>
      </c>
      <c r="P31" s="209" t="s">
        <v>36</v>
      </c>
      <c r="Q31" s="64">
        <v>7.77</v>
      </c>
      <c r="R31" s="198"/>
      <c r="S31" s="198"/>
      <c r="T31" s="198"/>
      <c r="U31" s="198"/>
    </row>
    <row r="32" spans="1:21" s="12" customFormat="1" x14ac:dyDescent="0.25">
      <c r="A32" s="214" t="s">
        <v>2573</v>
      </c>
      <c r="B32" s="64">
        <v>35.68</v>
      </c>
      <c r="C32" s="64">
        <v>21.33</v>
      </c>
      <c r="D32" s="64">
        <v>41.68</v>
      </c>
      <c r="E32" s="64">
        <v>1.39</v>
      </c>
      <c r="F32" s="64">
        <v>0.11</v>
      </c>
      <c r="G32" s="64">
        <v>106.87</v>
      </c>
      <c r="H32" s="64">
        <v>51.81</v>
      </c>
      <c r="I32" s="64">
        <v>1.51</v>
      </c>
      <c r="J32" s="64">
        <v>0.1</v>
      </c>
      <c r="K32" s="64">
        <v>169.97</v>
      </c>
      <c r="L32" s="64">
        <v>16.61</v>
      </c>
      <c r="M32" s="64">
        <v>98.49</v>
      </c>
      <c r="N32" s="64">
        <v>21.4</v>
      </c>
      <c r="O32" s="64">
        <v>0</v>
      </c>
      <c r="P32" s="209" t="s">
        <v>36</v>
      </c>
      <c r="Q32" s="64">
        <v>7.83</v>
      </c>
      <c r="R32" s="198"/>
      <c r="S32" s="198"/>
      <c r="T32" s="198"/>
      <c r="U32" s="198"/>
    </row>
    <row r="33" spans="1:21" s="12" customFormat="1" x14ac:dyDescent="0.25">
      <c r="A33" s="214" t="s">
        <v>2574</v>
      </c>
      <c r="B33" s="64">
        <v>35.29</v>
      </c>
      <c r="C33" s="64">
        <v>20.74</v>
      </c>
      <c r="D33" s="64">
        <v>41.04</v>
      </c>
      <c r="E33" s="64">
        <v>1.33</v>
      </c>
      <c r="F33" s="64">
        <v>0.13</v>
      </c>
      <c r="G33" s="64">
        <v>106.87</v>
      </c>
      <c r="H33" s="64">
        <v>51.81</v>
      </c>
      <c r="I33" s="64">
        <v>1.59</v>
      </c>
      <c r="J33" s="64">
        <v>0.12</v>
      </c>
      <c r="K33" s="64">
        <v>196.83</v>
      </c>
      <c r="L33" s="64">
        <v>16.63</v>
      </c>
      <c r="M33" s="64">
        <v>98.05</v>
      </c>
      <c r="N33" s="64">
        <v>32.9</v>
      </c>
      <c r="O33" s="64">
        <v>0</v>
      </c>
      <c r="P33" s="209" t="s">
        <v>36</v>
      </c>
      <c r="Q33" s="64">
        <v>7.87</v>
      </c>
      <c r="R33" s="198"/>
      <c r="S33" s="198"/>
      <c r="T33" s="198"/>
      <c r="U33" s="198"/>
    </row>
    <row r="34" spans="1:21" s="12" customFormat="1" x14ac:dyDescent="0.25">
      <c r="A34" s="214" t="s">
        <v>2575</v>
      </c>
      <c r="B34" s="64">
        <v>34.450000000000003</v>
      </c>
      <c r="C34" s="64">
        <v>22.16</v>
      </c>
      <c r="D34" s="64">
        <v>41.14</v>
      </c>
      <c r="E34" s="64">
        <v>1.4</v>
      </c>
      <c r="F34" s="64">
        <v>0.02</v>
      </c>
      <c r="G34" s="64">
        <v>106.87</v>
      </c>
      <c r="H34" s="64">
        <v>51.81</v>
      </c>
      <c r="I34" s="64">
        <v>1.55</v>
      </c>
      <c r="J34" s="64">
        <v>0.05</v>
      </c>
      <c r="K34" s="64">
        <v>4.5999999999999996</v>
      </c>
      <c r="L34" s="64">
        <v>16.87</v>
      </c>
      <c r="M34" s="64">
        <v>97.62</v>
      </c>
      <c r="N34" s="64">
        <v>50.4</v>
      </c>
      <c r="O34" s="64">
        <v>0</v>
      </c>
      <c r="P34" s="209" t="s">
        <v>36</v>
      </c>
      <c r="Q34" s="64">
        <v>7.75</v>
      </c>
      <c r="R34" s="198"/>
      <c r="S34" s="198"/>
      <c r="T34" s="198"/>
      <c r="U34" s="198"/>
    </row>
    <row r="35" spans="1:21" s="12" customFormat="1" x14ac:dyDescent="0.25">
      <c r="A35" s="214" t="s">
        <v>2576</v>
      </c>
      <c r="B35" s="64">
        <v>33.51</v>
      </c>
      <c r="C35" s="64">
        <v>21.91</v>
      </c>
      <c r="D35" s="64">
        <v>40.25</v>
      </c>
      <c r="E35" s="64">
        <v>1.44</v>
      </c>
      <c r="F35" s="64">
        <v>0.1</v>
      </c>
      <c r="G35" s="64">
        <v>92.56</v>
      </c>
      <c r="H35" s="64">
        <v>49.59</v>
      </c>
      <c r="I35" s="64">
        <v>1.47</v>
      </c>
      <c r="J35" s="64">
        <v>0.04</v>
      </c>
      <c r="K35" s="64">
        <v>114.29</v>
      </c>
      <c r="L35" s="64">
        <v>17.28</v>
      </c>
      <c r="M35" s="64">
        <v>95.52</v>
      </c>
      <c r="N35" s="64">
        <v>78.7</v>
      </c>
      <c r="O35" s="64">
        <v>0</v>
      </c>
      <c r="P35" s="209" t="s">
        <v>36</v>
      </c>
      <c r="Q35" s="64">
        <v>7.65</v>
      </c>
      <c r="R35" s="198"/>
      <c r="S35" s="198"/>
      <c r="T35" s="198"/>
      <c r="U35" s="198"/>
    </row>
    <row r="36" spans="1:21" s="12" customFormat="1" x14ac:dyDescent="0.25">
      <c r="A36" s="214" t="s">
        <v>2577</v>
      </c>
      <c r="B36" s="64">
        <v>32.75</v>
      </c>
      <c r="C36" s="64">
        <v>21.51</v>
      </c>
      <c r="D36" s="64">
        <v>39.43</v>
      </c>
      <c r="E36" s="64">
        <v>1.6</v>
      </c>
      <c r="F36" s="64">
        <v>0.15</v>
      </c>
      <c r="G36" s="64">
        <v>78.88</v>
      </c>
      <c r="H36" s="64">
        <v>48.57</v>
      </c>
      <c r="I36" s="64">
        <v>1.48</v>
      </c>
      <c r="J36" s="64">
        <v>0.16</v>
      </c>
      <c r="K36" s="64">
        <v>164.04</v>
      </c>
      <c r="L36" s="64">
        <v>18.29</v>
      </c>
      <c r="M36" s="64">
        <v>89.55</v>
      </c>
      <c r="N36" s="64">
        <v>139.1</v>
      </c>
      <c r="O36" s="64">
        <v>0</v>
      </c>
      <c r="P36" s="209" t="s">
        <v>36</v>
      </c>
      <c r="Q36" s="64">
        <v>7.61</v>
      </c>
      <c r="R36" s="198"/>
      <c r="S36" s="198"/>
      <c r="T36" s="198"/>
      <c r="U36" s="198"/>
    </row>
    <row r="37" spans="1:21" s="12" customFormat="1" x14ac:dyDescent="0.25">
      <c r="A37" s="214" t="s">
        <v>2578</v>
      </c>
      <c r="B37" s="64">
        <v>32.17</v>
      </c>
      <c r="C37" s="64">
        <v>22.32</v>
      </c>
      <c r="D37" s="64">
        <v>39.409999999999997</v>
      </c>
      <c r="E37" s="64">
        <v>1.5</v>
      </c>
      <c r="F37" s="64">
        <v>0.12</v>
      </c>
      <c r="G37" s="64">
        <v>78.88</v>
      </c>
      <c r="H37" s="64">
        <v>48.57</v>
      </c>
      <c r="I37" s="64">
        <v>1.44</v>
      </c>
      <c r="J37" s="64">
        <v>0.37</v>
      </c>
      <c r="K37" s="64">
        <v>158.28</v>
      </c>
      <c r="L37" s="64">
        <v>19.440000000000001</v>
      </c>
      <c r="M37" s="64">
        <v>84.04</v>
      </c>
      <c r="N37" s="64">
        <v>189.9</v>
      </c>
      <c r="O37" s="64">
        <v>0</v>
      </c>
      <c r="P37" s="209" t="s">
        <v>36</v>
      </c>
      <c r="Q37" s="64">
        <v>7.53</v>
      </c>
      <c r="R37" s="198"/>
      <c r="S37" s="198"/>
      <c r="T37" s="198"/>
      <c r="U37" s="198"/>
    </row>
    <row r="38" spans="1:21" s="12" customFormat="1" x14ac:dyDescent="0.25">
      <c r="A38" s="214" t="s">
        <v>2579</v>
      </c>
      <c r="B38" s="64">
        <v>31.69</v>
      </c>
      <c r="C38" s="64">
        <v>23.31</v>
      </c>
      <c r="D38" s="64">
        <v>39.57</v>
      </c>
      <c r="E38" s="64">
        <v>1.41</v>
      </c>
      <c r="F38" s="64">
        <v>0.05</v>
      </c>
      <c r="G38" s="64">
        <v>78.88</v>
      </c>
      <c r="H38" s="64">
        <v>48.57</v>
      </c>
      <c r="I38" s="64">
        <v>1.45</v>
      </c>
      <c r="J38" s="64">
        <v>0.71</v>
      </c>
      <c r="K38" s="64">
        <v>143.82</v>
      </c>
      <c r="L38" s="64">
        <v>20.149999999999999</v>
      </c>
      <c r="M38" s="64">
        <v>82.35</v>
      </c>
      <c r="N38" s="64">
        <v>242.6</v>
      </c>
      <c r="O38" s="64">
        <v>0</v>
      </c>
      <c r="P38" s="209" t="s">
        <v>36</v>
      </c>
      <c r="Q38" s="64">
        <v>7.37</v>
      </c>
      <c r="R38" s="198"/>
      <c r="S38" s="198"/>
      <c r="T38" s="198"/>
      <c r="U38" s="198"/>
    </row>
    <row r="39" spans="1:21" s="12" customFormat="1" x14ac:dyDescent="0.25">
      <c r="A39" s="214" t="s">
        <v>2580</v>
      </c>
      <c r="B39" s="64">
        <v>31.18</v>
      </c>
      <c r="C39" s="64">
        <v>24.21</v>
      </c>
      <c r="D39" s="64">
        <v>39.659999999999997</v>
      </c>
      <c r="E39" s="64">
        <v>1.75</v>
      </c>
      <c r="F39" s="64">
        <v>0.45</v>
      </c>
      <c r="G39" s="64">
        <v>94.6</v>
      </c>
      <c r="H39" s="64">
        <v>51.13</v>
      </c>
      <c r="I39" s="64">
        <v>1.51</v>
      </c>
      <c r="J39" s="64">
        <v>0.49</v>
      </c>
      <c r="K39" s="64">
        <v>156.61000000000001</v>
      </c>
      <c r="L39" s="64">
        <v>20.66</v>
      </c>
      <c r="M39" s="64">
        <v>80.78</v>
      </c>
      <c r="N39" s="64">
        <v>284.39999999999998</v>
      </c>
      <c r="O39" s="64">
        <v>0</v>
      </c>
      <c r="P39" s="209" t="s">
        <v>36</v>
      </c>
      <c r="Q39" s="64">
        <v>7.18</v>
      </c>
      <c r="R39" s="198"/>
      <c r="S39" s="198"/>
      <c r="T39" s="198"/>
      <c r="U39" s="198"/>
    </row>
    <row r="40" spans="1:21" s="12" customFormat="1" x14ac:dyDescent="0.25">
      <c r="A40" s="214" t="s">
        <v>2581</v>
      </c>
      <c r="B40" s="64">
        <v>30.42</v>
      </c>
      <c r="C40" s="64">
        <v>26.19</v>
      </c>
      <c r="D40" s="64">
        <v>40.14</v>
      </c>
      <c r="E40" s="64">
        <v>0.88</v>
      </c>
      <c r="F40" s="64">
        <v>0.27</v>
      </c>
      <c r="G40" s="64">
        <v>108.98</v>
      </c>
      <c r="H40" s="64">
        <v>52.3</v>
      </c>
      <c r="I40" s="64">
        <v>1.52</v>
      </c>
      <c r="J40" s="64">
        <v>0.05</v>
      </c>
      <c r="K40" s="64">
        <v>67.92</v>
      </c>
      <c r="L40" s="64">
        <v>22.33</v>
      </c>
      <c r="M40" s="64">
        <v>72.63</v>
      </c>
      <c r="N40" s="64">
        <v>329</v>
      </c>
      <c r="O40" s="64">
        <v>0</v>
      </c>
      <c r="P40" s="209" t="s">
        <v>36</v>
      </c>
      <c r="Q40" s="64">
        <v>7.07</v>
      </c>
      <c r="R40" s="198"/>
      <c r="S40" s="198"/>
      <c r="T40" s="198"/>
      <c r="U40" s="198"/>
    </row>
    <row r="41" spans="1:21" s="12" customFormat="1" x14ac:dyDescent="0.25">
      <c r="A41" s="214" t="s">
        <v>2582</v>
      </c>
      <c r="B41" s="64">
        <v>29.65</v>
      </c>
      <c r="C41" s="64">
        <v>23.97</v>
      </c>
      <c r="D41" s="64">
        <v>38.29</v>
      </c>
      <c r="E41" s="64">
        <v>1.27</v>
      </c>
      <c r="F41" s="64">
        <v>0.28999999999999998</v>
      </c>
      <c r="G41" s="64">
        <v>108.98</v>
      </c>
      <c r="H41" s="64">
        <v>52.3</v>
      </c>
      <c r="I41" s="64">
        <v>1.46</v>
      </c>
      <c r="J41" s="64">
        <v>0.22</v>
      </c>
      <c r="K41" s="64">
        <v>111.43</v>
      </c>
      <c r="L41" s="64">
        <v>23.96</v>
      </c>
      <c r="M41" s="64">
        <v>65.59</v>
      </c>
      <c r="N41" s="64">
        <v>382.7</v>
      </c>
      <c r="O41" s="64">
        <v>0</v>
      </c>
      <c r="P41" s="209" t="s">
        <v>36</v>
      </c>
      <c r="Q41" s="64">
        <v>7.2</v>
      </c>
      <c r="R41" s="198"/>
      <c r="S41" s="198"/>
      <c r="T41" s="198"/>
      <c r="U41" s="198"/>
    </row>
    <row r="42" spans="1:21" s="12" customFormat="1" x14ac:dyDescent="0.25">
      <c r="A42" s="214" t="s">
        <v>2583</v>
      </c>
      <c r="B42" s="64">
        <v>29.16</v>
      </c>
      <c r="C42" s="64">
        <v>22.46</v>
      </c>
      <c r="D42" s="64">
        <v>37.07</v>
      </c>
      <c r="E42" s="64">
        <v>1.39</v>
      </c>
      <c r="F42" s="64">
        <v>0.37</v>
      </c>
      <c r="G42" s="64">
        <v>108.98</v>
      </c>
      <c r="H42" s="64">
        <v>52.3</v>
      </c>
      <c r="I42" s="64">
        <v>1.55</v>
      </c>
      <c r="J42" s="64">
        <v>0.35</v>
      </c>
      <c r="K42" s="64">
        <v>350.09</v>
      </c>
      <c r="L42" s="64">
        <v>25.37</v>
      </c>
      <c r="M42" s="64">
        <v>64.27</v>
      </c>
      <c r="N42" s="64">
        <v>415.5</v>
      </c>
      <c r="O42" s="64">
        <v>0</v>
      </c>
      <c r="P42" s="209" t="s">
        <v>36</v>
      </c>
      <c r="Q42" s="64">
        <v>7.23</v>
      </c>
      <c r="R42" s="198"/>
      <c r="S42" s="198"/>
      <c r="T42" s="198"/>
      <c r="U42" s="198"/>
    </row>
    <row r="43" spans="1:21" s="12" customFormat="1" x14ac:dyDescent="0.25">
      <c r="A43" s="214" t="s">
        <v>2584</v>
      </c>
      <c r="B43" s="64">
        <v>28.42</v>
      </c>
      <c r="C43" s="64">
        <v>24.23</v>
      </c>
      <c r="D43" s="64">
        <v>37.450000000000003</v>
      </c>
      <c r="E43" s="64">
        <v>1.45</v>
      </c>
      <c r="F43" s="64">
        <v>0.42</v>
      </c>
      <c r="G43" s="64">
        <v>129.25</v>
      </c>
      <c r="H43" s="64">
        <v>59.6</v>
      </c>
      <c r="I43" s="64">
        <v>1.5</v>
      </c>
      <c r="J43" s="64">
        <v>0.37</v>
      </c>
      <c r="K43" s="64">
        <v>338.9</v>
      </c>
      <c r="L43" s="64">
        <v>25.5</v>
      </c>
      <c r="M43" s="64">
        <v>64.2</v>
      </c>
      <c r="N43" s="64">
        <v>450.5</v>
      </c>
      <c r="O43" s="64">
        <v>0</v>
      </c>
      <c r="P43" s="209" t="s">
        <v>36</v>
      </c>
      <c r="Q43" s="64">
        <v>7.18</v>
      </c>
      <c r="R43" s="198"/>
      <c r="S43" s="198"/>
      <c r="T43" s="198"/>
      <c r="U43" s="198"/>
    </row>
    <row r="44" spans="1:21" s="12" customFormat="1" x14ac:dyDescent="0.25">
      <c r="A44" s="214" t="s">
        <v>2585</v>
      </c>
      <c r="B44" s="64">
        <v>27.78</v>
      </c>
      <c r="C44" s="64">
        <v>25.03</v>
      </c>
      <c r="D44" s="64">
        <v>37.380000000000003</v>
      </c>
      <c r="E44" s="64">
        <v>1.51</v>
      </c>
      <c r="F44" s="64">
        <v>0.37</v>
      </c>
      <c r="G44" s="64">
        <v>147.80000000000001</v>
      </c>
      <c r="H44" s="64">
        <v>62.93</v>
      </c>
      <c r="I44" s="64">
        <v>1.48</v>
      </c>
      <c r="J44" s="64">
        <v>0.51</v>
      </c>
      <c r="K44" s="64">
        <v>341.5</v>
      </c>
      <c r="L44" s="64">
        <v>26.87</v>
      </c>
      <c r="M44" s="64">
        <v>59.64</v>
      </c>
      <c r="N44" s="64">
        <v>482.7</v>
      </c>
      <c r="O44" s="64">
        <v>0</v>
      </c>
      <c r="P44" s="209" t="s">
        <v>36</v>
      </c>
      <c r="Q44" s="64">
        <v>7.14</v>
      </c>
      <c r="R44" s="198"/>
      <c r="S44" s="198"/>
      <c r="T44" s="198"/>
      <c r="U44" s="198"/>
    </row>
    <row r="45" spans="1:21" s="12" customFormat="1" x14ac:dyDescent="0.25">
      <c r="A45" s="214" t="s">
        <v>2586</v>
      </c>
      <c r="B45" s="64">
        <v>27.1</v>
      </c>
      <c r="C45" s="64">
        <v>24.6</v>
      </c>
      <c r="D45" s="64">
        <v>36.6</v>
      </c>
      <c r="E45" s="64">
        <v>1.52</v>
      </c>
      <c r="F45" s="64">
        <v>0.18</v>
      </c>
      <c r="G45" s="64">
        <v>147.80000000000001</v>
      </c>
      <c r="H45" s="64">
        <v>62.93</v>
      </c>
      <c r="I45" s="64">
        <v>1.5</v>
      </c>
      <c r="J45" s="64">
        <v>0.44</v>
      </c>
      <c r="K45" s="64">
        <v>337.13</v>
      </c>
      <c r="L45" s="64">
        <v>26.6</v>
      </c>
      <c r="M45" s="64">
        <v>58.82</v>
      </c>
      <c r="N45" s="64">
        <v>504.5</v>
      </c>
      <c r="O45" s="64">
        <v>0</v>
      </c>
      <c r="P45" s="209" t="s">
        <v>36</v>
      </c>
      <c r="Q45" s="64">
        <v>7.17</v>
      </c>
      <c r="R45" s="198"/>
      <c r="S45" s="198"/>
      <c r="T45" s="198"/>
      <c r="U45" s="198"/>
    </row>
    <row r="46" spans="1:21" s="12" customFormat="1" x14ac:dyDescent="0.25">
      <c r="A46" s="214" t="s">
        <v>2587</v>
      </c>
      <c r="B46" s="64">
        <v>25.3</v>
      </c>
      <c r="C46" s="64">
        <v>27.25</v>
      </c>
      <c r="D46" s="64">
        <v>36.619999999999997</v>
      </c>
      <c r="E46" s="64">
        <v>1.5</v>
      </c>
      <c r="F46" s="64">
        <v>0.96</v>
      </c>
      <c r="G46" s="64">
        <v>147.80000000000001</v>
      </c>
      <c r="H46" s="64">
        <v>62.93</v>
      </c>
      <c r="I46" s="64">
        <v>1.51</v>
      </c>
      <c r="J46" s="64">
        <v>0.1</v>
      </c>
      <c r="K46" s="64">
        <v>357.2</v>
      </c>
      <c r="L46" s="64">
        <v>27.13</v>
      </c>
      <c r="M46" s="64">
        <v>51.86</v>
      </c>
      <c r="N46" s="64">
        <v>527.79999999999995</v>
      </c>
      <c r="O46" s="64">
        <v>0</v>
      </c>
      <c r="P46" s="209" t="s">
        <v>36</v>
      </c>
      <c r="Q46" s="64">
        <v>7.1</v>
      </c>
      <c r="R46" s="198"/>
      <c r="S46" s="198"/>
      <c r="T46" s="198"/>
      <c r="U46" s="198"/>
    </row>
    <row r="47" spans="1:21" s="12" customFormat="1" x14ac:dyDescent="0.25">
      <c r="A47" s="214" t="s">
        <v>2588</v>
      </c>
      <c r="B47" s="64">
        <v>24.11</v>
      </c>
      <c r="C47" s="64">
        <v>28.94</v>
      </c>
      <c r="D47" s="64">
        <v>36.6</v>
      </c>
      <c r="E47" s="64">
        <v>1.53</v>
      </c>
      <c r="F47" s="64">
        <v>1.49</v>
      </c>
      <c r="G47" s="64">
        <v>166.49</v>
      </c>
      <c r="H47" s="64">
        <v>79.83</v>
      </c>
      <c r="I47" s="64">
        <v>1.45</v>
      </c>
      <c r="J47" s="64">
        <v>0.47</v>
      </c>
      <c r="K47" s="64">
        <v>336.48</v>
      </c>
      <c r="L47" s="64">
        <v>27.5</v>
      </c>
      <c r="M47" s="64">
        <v>53.06</v>
      </c>
      <c r="N47" s="64">
        <v>545.20000000000005</v>
      </c>
      <c r="O47" s="64">
        <v>0</v>
      </c>
      <c r="P47" s="209" t="s">
        <v>36</v>
      </c>
      <c r="Q47" s="64">
        <v>6.95</v>
      </c>
      <c r="R47" s="198"/>
      <c r="S47" s="198"/>
      <c r="T47" s="198"/>
      <c r="U47" s="198"/>
    </row>
    <row r="48" spans="1:21" s="12" customFormat="1" x14ac:dyDescent="0.25">
      <c r="A48" s="214" t="s">
        <v>2589</v>
      </c>
      <c r="B48" s="64">
        <v>22.99</v>
      </c>
      <c r="C48" s="64">
        <v>31.15</v>
      </c>
      <c r="D48" s="64">
        <v>36.92</v>
      </c>
      <c r="E48" s="64">
        <v>1.7</v>
      </c>
      <c r="F48" s="64">
        <v>2.1</v>
      </c>
      <c r="G48" s="64">
        <v>184.36</v>
      </c>
      <c r="H48" s="64">
        <v>87.18</v>
      </c>
      <c r="I48" s="64">
        <v>1.52</v>
      </c>
      <c r="J48" s="64">
        <v>0.51</v>
      </c>
      <c r="K48" s="64">
        <v>331.58</v>
      </c>
      <c r="L48" s="64">
        <v>28.36</v>
      </c>
      <c r="M48" s="64">
        <v>47.4</v>
      </c>
      <c r="N48" s="64">
        <v>572.20000000000005</v>
      </c>
      <c r="O48" s="64">
        <v>0</v>
      </c>
      <c r="P48" s="209" t="s">
        <v>36</v>
      </c>
      <c r="Q48" s="64">
        <v>6.81</v>
      </c>
      <c r="R48" s="198"/>
      <c r="S48" s="198"/>
      <c r="T48" s="198"/>
      <c r="U48" s="198"/>
    </row>
    <row r="49" spans="1:21" s="12" customFormat="1" x14ac:dyDescent="0.25">
      <c r="A49" s="214" t="s">
        <v>2590</v>
      </c>
      <c r="B49" s="64">
        <v>23.68</v>
      </c>
      <c r="C49" s="64">
        <v>30.28</v>
      </c>
      <c r="D49" s="64">
        <v>36.99</v>
      </c>
      <c r="E49" s="64">
        <v>1.8</v>
      </c>
      <c r="F49" s="64">
        <v>2.87</v>
      </c>
      <c r="G49" s="64">
        <v>184.36</v>
      </c>
      <c r="H49" s="64">
        <v>87.18</v>
      </c>
      <c r="I49" s="64">
        <v>1.57</v>
      </c>
      <c r="J49" s="64">
        <v>0.53</v>
      </c>
      <c r="K49" s="64">
        <v>343.61</v>
      </c>
      <c r="L49" s="64">
        <v>30.16</v>
      </c>
      <c r="M49" s="64">
        <v>37.159999999999997</v>
      </c>
      <c r="N49" s="64">
        <v>579</v>
      </c>
      <c r="O49" s="64">
        <v>0</v>
      </c>
      <c r="P49" s="209" t="s">
        <v>36</v>
      </c>
      <c r="Q49" s="64">
        <v>6.74</v>
      </c>
      <c r="R49" s="198"/>
      <c r="S49" s="198"/>
      <c r="T49" s="198"/>
      <c r="U49" s="198"/>
    </row>
    <row r="50" spans="1:21" s="12" customFormat="1" x14ac:dyDescent="0.25">
      <c r="A50" s="214" t="s">
        <v>2591</v>
      </c>
      <c r="B50" s="64">
        <v>20.57</v>
      </c>
      <c r="C50" s="64">
        <v>36.36</v>
      </c>
      <c r="D50" s="64">
        <v>37.86</v>
      </c>
      <c r="E50" s="64">
        <v>2.67</v>
      </c>
      <c r="F50" s="64">
        <v>2.92</v>
      </c>
      <c r="G50" s="64">
        <v>184.36</v>
      </c>
      <c r="H50" s="64">
        <v>87.18</v>
      </c>
      <c r="I50" s="64">
        <v>1.5</v>
      </c>
      <c r="J50" s="64">
        <v>0.13</v>
      </c>
      <c r="K50" s="64">
        <v>40.090000000000003</v>
      </c>
      <c r="L50" s="64">
        <v>28.39</v>
      </c>
      <c r="M50" s="64">
        <v>40.78</v>
      </c>
      <c r="N50" s="64">
        <v>577</v>
      </c>
      <c r="O50" s="64">
        <v>0</v>
      </c>
      <c r="P50" s="209" t="s">
        <v>36</v>
      </c>
      <c r="Q50" s="64">
        <v>6.58</v>
      </c>
      <c r="R50" s="198"/>
      <c r="S50" s="198"/>
      <c r="T50" s="198"/>
      <c r="U50" s="198"/>
    </row>
    <row r="51" spans="1:21" s="12" customFormat="1" x14ac:dyDescent="0.25">
      <c r="A51" s="214" t="s">
        <v>2592</v>
      </c>
      <c r="B51" s="64">
        <v>20.96</v>
      </c>
      <c r="C51" s="64">
        <v>29.48</v>
      </c>
      <c r="D51" s="64">
        <v>34.369999999999997</v>
      </c>
      <c r="E51" s="64">
        <v>2.25</v>
      </c>
      <c r="F51" s="64">
        <v>1.08</v>
      </c>
      <c r="G51" s="64">
        <v>185.66</v>
      </c>
      <c r="H51" s="64">
        <v>87.43</v>
      </c>
      <c r="I51" s="64">
        <v>1.53</v>
      </c>
      <c r="J51" s="64">
        <v>0.78</v>
      </c>
      <c r="K51" s="64">
        <v>345.25</v>
      </c>
      <c r="L51" s="64">
        <v>28.83</v>
      </c>
      <c r="M51" s="64">
        <v>39.82</v>
      </c>
      <c r="N51" s="64">
        <v>600.6</v>
      </c>
      <c r="O51" s="64">
        <v>0</v>
      </c>
      <c r="P51" s="209" t="s">
        <v>36</v>
      </c>
      <c r="Q51" s="64">
        <v>6.67</v>
      </c>
      <c r="R51" s="198"/>
      <c r="S51" s="198"/>
      <c r="T51" s="198"/>
      <c r="U51" s="198"/>
    </row>
    <row r="52" spans="1:21" s="12" customFormat="1" x14ac:dyDescent="0.25">
      <c r="A52" s="214" t="s">
        <v>2593</v>
      </c>
      <c r="B52" s="64">
        <v>19.510000000000002</v>
      </c>
      <c r="C52" s="64">
        <v>33.25</v>
      </c>
      <c r="D52" s="64">
        <v>35.29</v>
      </c>
      <c r="E52" s="64">
        <v>2.27</v>
      </c>
      <c r="F52" s="64">
        <v>1.89</v>
      </c>
      <c r="G52" s="64">
        <v>186.91</v>
      </c>
      <c r="H52" s="64">
        <v>87.55</v>
      </c>
      <c r="I52" s="64">
        <v>1.51</v>
      </c>
      <c r="J52" s="64">
        <v>0.19</v>
      </c>
      <c r="K52" s="64">
        <v>9.48</v>
      </c>
      <c r="L52" s="64">
        <v>30.22</v>
      </c>
      <c r="M52" s="64">
        <v>35.47</v>
      </c>
      <c r="N52" s="64">
        <v>615</v>
      </c>
      <c r="O52" s="64">
        <v>0</v>
      </c>
      <c r="P52" s="209" t="s">
        <v>36</v>
      </c>
      <c r="Q52" s="64">
        <v>6.44</v>
      </c>
      <c r="R52" s="198"/>
      <c r="S52" s="198"/>
      <c r="T52" s="198"/>
      <c r="U52" s="198"/>
    </row>
    <row r="53" spans="1:21" s="12" customFormat="1" x14ac:dyDescent="0.25">
      <c r="A53" s="214" t="s">
        <v>2594</v>
      </c>
      <c r="B53" s="64">
        <v>18.29</v>
      </c>
      <c r="C53" s="64">
        <v>28.93</v>
      </c>
      <c r="D53" s="64">
        <v>31.92</v>
      </c>
      <c r="E53" s="64">
        <v>2.2599999999999998</v>
      </c>
      <c r="F53" s="64">
        <v>1.57</v>
      </c>
      <c r="G53" s="64">
        <v>186.91</v>
      </c>
      <c r="H53" s="64">
        <v>87.55</v>
      </c>
      <c r="I53" s="64">
        <v>1.44</v>
      </c>
      <c r="J53" s="64">
        <v>0.69</v>
      </c>
      <c r="K53" s="64">
        <v>331.81</v>
      </c>
      <c r="L53" s="64">
        <v>30.78</v>
      </c>
      <c r="M53" s="64">
        <v>35.090000000000003</v>
      </c>
      <c r="N53" s="64">
        <v>474.9</v>
      </c>
      <c r="O53" s="64">
        <v>0</v>
      </c>
      <c r="P53" s="209" t="s">
        <v>36</v>
      </c>
      <c r="Q53" s="64">
        <v>6.41</v>
      </c>
      <c r="R53" s="198"/>
      <c r="S53" s="198"/>
      <c r="T53" s="198"/>
      <c r="U53" s="198"/>
    </row>
    <row r="54" spans="1:21" s="12" customFormat="1" x14ac:dyDescent="0.25">
      <c r="A54" s="214" t="s">
        <v>2595</v>
      </c>
      <c r="B54" s="64">
        <v>17.920000000000002</v>
      </c>
      <c r="C54" s="64">
        <v>31.93</v>
      </c>
      <c r="D54" s="64">
        <v>33.29</v>
      </c>
      <c r="E54" s="64">
        <v>2.2799999999999998</v>
      </c>
      <c r="F54" s="64">
        <v>0.93</v>
      </c>
      <c r="G54" s="64">
        <v>186.91</v>
      </c>
      <c r="H54" s="64">
        <v>87.55</v>
      </c>
      <c r="I54" s="64">
        <v>1.54</v>
      </c>
      <c r="J54" s="64">
        <v>0.49</v>
      </c>
      <c r="K54" s="64">
        <v>344.05</v>
      </c>
      <c r="L54" s="64">
        <v>30.86</v>
      </c>
      <c r="M54" s="64">
        <v>33.619999999999997</v>
      </c>
      <c r="N54" s="64">
        <v>584.1</v>
      </c>
      <c r="O54" s="64">
        <v>0</v>
      </c>
      <c r="P54" s="209" t="s">
        <v>36</v>
      </c>
      <c r="Q54" s="64">
        <v>6.26</v>
      </c>
      <c r="R54" s="198"/>
      <c r="S54" s="198"/>
      <c r="T54" s="198"/>
      <c r="U54" s="198"/>
    </row>
    <row r="55" spans="1:21" s="12" customFormat="1" x14ac:dyDescent="0.25">
      <c r="A55" s="214" t="s">
        <v>2596</v>
      </c>
      <c r="B55" s="64">
        <v>16.489999999999998</v>
      </c>
      <c r="C55" s="64">
        <v>30.8</v>
      </c>
      <c r="D55" s="64">
        <v>31.51</v>
      </c>
      <c r="E55" s="64">
        <v>2.4</v>
      </c>
      <c r="F55" s="64">
        <v>1.51</v>
      </c>
      <c r="G55" s="64">
        <v>171.53</v>
      </c>
      <c r="H55" s="64">
        <v>85.57</v>
      </c>
      <c r="I55" s="64">
        <v>1.54</v>
      </c>
      <c r="J55" s="64">
        <v>0.8</v>
      </c>
      <c r="K55" s="64">
        <v>339.34</v>
      </c>
      <c r="L55" s="64">
        <v>29.86</v>
      </c>
      <c r="M55" s="64">
        <v>34.64</v>
      </c>
      <c r="N55" s="64">
        <v>629.20000000000005</v>
      </c>
      <c r="O55" s="64">
        <v>0</v>
      </c>
      <c r="P55" s="209" t="s">
        <v>36</v>
      </c>
      <c r="Q55" s="64">
        <v>6.24</v>
      </c>
      <c r="R55" s="198"/>
      <c r="S55" s="198"/>
      <c r="T55" s="198"/>
      <c r="U55" s="198"/>
    </row>
    <row r="56" spans="1:21" s="12" customFormat="1" x14ac:dyDescent="0.25">
      <c r="A56" s="214" t="s">
        <v>2597</v>
      </c>
      <c r="B56" s="64">
        <v>15.31</v>
      </c>
      <c r="C56" s="64">
        <v>33.99</v>
      </c>
      <c r="D56" s="64">
        <v>32.33</v>
      </c>
      <c r="E56" s="64">
        <v>0.89</v>
      </c>
      <c r="F56" s="64">
        <v>2.0299999999999998</v>
      </c>
      <c r="G56" s="64">
        <v>157.46</v>
      </c>
      <c r="H56" s="64">
        <v>83.69</v>
      </c>
      <c r="I56" s="64">
        <v>1.45</v>
      </c>
      <c r="J56" s="64">
        <v>1.19</v>
      </c>
      <c r="K56" s="64">
        <v>340.65</v>
      </c>
      <c r="L56" s="64">
        <v>31.11</v>
      </c>
      <c r="M56" s="64">
        <v>30.95</v>
      </c>
      <c r="N56" s="64">
        <v>591.9</v>
      </c>
      <c r="O56" s="64">
        <v>0</v>
      </c>
      <c r="P56" s="209" t="s">
        <v>36</v>
      </c>
      <c r="Q56" s="64">
        <v>6.15</v>
      </c>
      <c r="R56" s="198"/>
      <c r="S56" s="198"/>
      <c r="T56" s="198"/>
      <c r="U56" s="198"/>
    </row>
    <row r="57" spans="1:21" s="12" customFormat="1" x14ac:dyDescent="0.25">
      <c r="A57" s="214" t="s">
        <v>2598</v>
      </c>
      <c r="B57" s="64">
        <v>14.54</v>
      </c>
      <c r="C57" s="64">
        <v>34.130000000000003</v>
      </c>
      <c r="D57" s="64">
        <v>31.79</v>
      </c>
      <c r="E57" s="64">
        <v>1.87</v>
      </c>
      <c r="F57" s="64">
        <v>3.88</v>
      </c>
      <c r="G57" s="64">
        <v>157.46</v>
      </c>
      <c r="H57" s="64">
        <v>83.69</v>
      </c>
      <c r="I57" s="64">
        <v>1.47</v>
      </c>
      <c r="J57" s="64">
        <v>1.24</v>
      </c>
      <c r="K57" s="64">
        <v>339.22</v>
      </c>
      <c r="L57" s="64">
        <v>30.34</v>
      </c>
      <c r="M57" s="64">
        <v>26.25</v>
      </c>
      <c r="N57" s="64">
        <v>600.9</v>
      </c>
      <c r="O57" s="64">
        <v>0</v>
      </c>
      <c r="P57" s="209" t="s">
        <v>36</v>
      </c>
      <c r="Q57" s="64">
        <v>6.12</v>
      </c>
      <c r="R57" s="198"/>
      <c r="S57" s="198"/>
      <c r="T57" s="198"/>
      <c r="U57" s="198"/>
    </row>
    <row r="58" spans="1:21" s="12" customFormat="1" x14ac:dyDescent="0.25">
      <c r="A58" s="214" t="s">
        <v>2599</v>
      </c>
      <c r="B58" s="64">
        <v>12.96</v>
      </c>
      <c r="C58" s="64">
        <v>31.23</v>
      </c>
      <c r="D58" s="64">
        <v>28.92</v>
      </c>
      <c r="E58" s="64">
        <v>2.15</v>
      </c>
      <c r="F58" s="64">
        <v>3.61</v>
      </c>
      <c r="G58" s="64">
        <v>157.46</v>
      </c>
      <c r="H58" s="64">
        <v>83.69</v>
      </c>
      <c r="I58" s="64">
        <v>1.52</v>
      </c>
      <c r="J58" s="64">
        <v>1.48</v>
      </c>
      <c r="K58" s="64">
        <v>336.17</v>
      </c>
      <c r="L58" s="64">
        <v>29.87</v>
      </c>
      <c r="M58" s="64">
        <v>26.9</v>
      </c>
      <c r="N58" s="64">
        <v>644.70000000000005</v>
      </c>
      <c r="O58" s="64">
        <v>0</v>
      </c>
      <c r="P58" s="209" t="s">
        <v>36</v>
      </c>
      <c r="Q58" s="64">
        <v>6</v>
      </c>
      <c r="R58" s="198"/>
      <c r="S58" s="198"/>
      <c r="T58" s="198"/>
      <c r="U58" s="198"/>
    </row>
    <row r="59" spans="1:21" s="12" customFormat="1" x14ac:dyDescent="0.25">
      <c r="A59" s="214" t="s">
        <v>2600</v>
      </c>
      <c r="B59" s="64">
        <v>11.18</v>
      </c>
      <c r="C59" s="64">
        <v>30.86</v>
      </c>
      <c r="D59" s="64">
        <v>27.29</v>
      </c>
      <c r="E59" s="64">
        <v>2.37</v>
      </c>
      <c r="F59" s="64">
        <v>2.44</v>
      </c>
      <c r="G59" s="64">
        <v>129.47</v>
      </c>
      <c r="H59" s="64">
        <v>78.239999999999995</v>
      </c>
      <c r="I59" s="64">
        <v>1.5</v>
      </c>
      <c r="J59" s="64">
        <v>1.97</v>
      </c>
      <c r="K59" s="64">
        <v>338.98</v>
      </c>
      <c r="L59" s="64">
        <v>30.55</v>
      </c>
      <c r="M59" s="64">
        <v>22.92</v>
      </c>
      <c r="N59" s="64">
        <v>719.2</v>
      </c>
      <c r="O59" s="64">
        <v>0</v>
      </c>
      <c r="P59" s="209" t="s">
        <v>36</v>
      </c>
      <c r="Q59" s="64">
        <v>5.91</v>
      </c>
      <c r="R59" s="198"/>
      <c r="S59" s="198"/>
      <c r="T59" s="198"/>
      <c r="U59" s="198"/>
    </row>
    <row r="60" spans="1:21" s="12" customFormat="1" x14ac:dyDescent="0.25">
      <c r="A60" s="214" t="s">
        <v>2601</v>
      </c>
      <c r="B60" s="64">
        <v>10.050000000000001</v>
      </c>
      <c r="C60" s="64">
        <v>32.119999999999997</v>
      </c>
      <c r="D60" s="64">
        <v>27.08</v>
      </c>
      <c r="E60" s="64">
        <v>2.34</v>
      </c>
      <c r="F60" s="64">
        <v>2.89</v>
      </c>
      <c r="G60" s="64">
        <v>103.86</v>
      </c>
      <c r="H60" s="64">
        <v>75.75</v>
      </c>
      <c r="I60" s="64">
        <v>1.56</v>
      </c>
      <c r="J60" s="64">
        <v>1.57</v>
      </c>
      <c r="K60" s="64">
        <v>341.72</v>
      </c>
      <c r="L60" s="64">
        <v>30.58</v>
      </c>
      <c r="M60" s="64">
        <v>24.05</v>
      </c>
      <c r="N60" s="64">
        <v>717.8</v>
      </c>
      <c r="O60" s="64">
        <v>0</v>
      </c>
      <c r="P60" s="64">
        <v>1</v>
      </c>
      <c r="Q60" s="64">
        <v>5.78</v>
      </c>
      <c r="R60" s="198"/>
      <c r="S60" s="198"/>
      <c r="T60" s="198"/>
      <c r="U60" s="198"/>
    </row>
    <row r="61" spans="1:21" s="12" customFormat="1" x14ac:dyDescent="0.25">
      <c r="A61" s="214" t="s">
        <v>2602</v>
      </c>
      <c r="B61" s="64">
        <v>9.01</v>
      </c>
      <c r="C61" s="64">
        <v>31.3</v>
      </c>
      <c r="D61" s="64">
        <v>25.79</v>
      </c>
      <c r="E61" s="64">
        <v>2.4300000000000002</v>
      </c>
      <c r="F61" s="64">
        <v>1.81</v>
      </c>
      <c r="G61" s="64">
        <v>103.86</v>
      </c>
      <c r="H61" s="64">
        <v>75.75</v>
      </c>
      <c r="I61" s="64">
        <v>1.5</v>
      </c>
      <c r="J61" s="64">
        <v>1.77</v>
      </c>
      <c r="K61" s="64">
        <v>334.48</v>
      </c>
      <c r="L61" s="64">
        <v>30.45</v>
      </c>
      <c r="M61" s="64">
        <v>24.14</v>
      </c>
      <c r="N61" s="64">
        <v>676</v>
      </c>
      <c r="O61" s="64">
        <v>0</v>
      </c>
      <c r="P61" s="64">
        <v>0.97</v>
      </c>
      <c r="Q61" s="64">
        <v>5.65</v>
      </c>
      <c r="R61" s="198"/>
      <c r="S61" s="198"/>
      <c r="T61" s="198"/>
      <c r="U61" s="198"/>
    </row>
    <row r="62" spans="1:21" s="12" customFormat="1" x14ac:dyDescent="0.25">
      <c r="A62" s="214" t="s">
        <v>2603</v>
      </c>
      <c r="B62" s="64">
        <v>7.94</v>
      </c>
      <c r="C62" s="64">
        <v>28.39</v>
      </c>
      <c r="D62" s="64">
        <v>23.33</v>
      </c>
      <c r="E62" s="64">
        <v>2.56</v>
      </c>
      <c r="F62" s="64">
        <v>2.0699999999999998</v>
      </c>
      <c r="G62" s="64">
        <v>103.86</v>
      </c>
      <c r="H62" s="64">
        <v>75.75</v>
      </c>
      <c r="I62" s="64">
        <v>1.46</v>
      </c>
      <c r="J62" s="64">
        <v>1.78</v>
      </c>
      <c r="K62" s="64">
        <v>326.83</v>
      </c>
      <c r="L62" s="64">
        <v>30.32</v>
      </c>
      <c r="M62" s="64">
        <v>26.85</v>
      </c>
      <c r="N62" s="64">
        <v>548.1</v>
      </c>
      <c r="O62" s="64">
        <v>0</v>
      </c>
      <c r="P62" s="64">
        <v>0.97</v>
      </c>
      <c r="Q62" s="64">
        <v>5.6</v>
      </c>
      <c r="R62" s="198"/>
      <c r="S62" s="198"/>
      <c r="T62" s="198"/>
      <c r="U62" s="198"/>
    </row>
    <row r="63" spans="1:21" s="12" customFormat="1" x14ac:dyDescent="0.25">
      <c r="A63" s="214" t="s">
        <v>2604</v>
      </c>
      <c r="B63" s="64">
        <v>6.6</v>
      </c>
      <c r="C63" s="64">
        <v>26.54</v>
      </c>
      <c r="D63" s="64">
        <v>21.23</v>
      </c>
      <c r="E63" s="64">
        <v>2.3199999999999998</v>
      </c>
      <c r="F63" s="64">
        <v>2.4700000000000002</v>
      </c>
      <c r="G63" s="64">
        <v>95.45</v>
      </c>
      <c r="H63" s="64">
        <v>67.19</v>
      </c>
      <c r="I63" s="64">
        <v>1.47</v>
      </c>
      <c r="J63" s="64">
        <v>1.62</v>
      </c>
      <c r="K63" s="64">
        <v>340.46</v>
      </c>
      <c r="L63" s="64">
        <v>29.84</v>
      </c>
      <c r="M63" s="64">
        <v>28.85</v>
      </c>
      <c r="N63" s="64">
        <v>327.3</v>
      </c>
      <c r="O63" s="64">
        <v>0</v>
      </c>
      <c r="P63" s="64">
        <v>0.93</v>
      </c>
      <c r="Q63" s="64">
        <v>5.54</v>
      </c>
      <c r="R63" s="198"/>
      <c r="S63" s="198"/>
      <c r="T63" s="198"/>
      <c r="U63" s="198"/>
    </row>
    <row r="64" spans="1:21" s="12" customFormat="1" x14ac:dyDescent="0.25">
      <c r="A64" s="214" t="s">
        <v>2605</v>
      </c>
      <c r="B64" s="64">
        <v>5.7</v>
      </c>
      <c r="C64" s="64">
        <v>29.57</v>
      </c>
      <c r="D64" s="64">
        <v>22.18</v>
      </c>
      <c r="E64" s="64">
        <v>1.94</v>
      </c>
      <c r="F64" s="64">
        <v>2.46</v>
      </c>
      <c r="G64" s="64">
        <v>85.99</v>
      </c>
      <c r="H64" s="64">
        <v>61.58</v>
      </c>
      <c r="I64" s="64">
        <v>1.59</v>
      </c>
      <c r="J64" s="64">
        <v>1.23</v>
      </c>
      <c r="K64" s="64">
        <v>334.52</v>
      </c>
      <c r="L64" s="64">
        <v>29.58</v>
      </c>
      <c r="M64" s="64">
        <v>29.01</v>
      </c>
      <c r="N64" s="64">
        <v>411.6</v>
      </c>
      <c r="O64" s="64">
        <v>0</v>
      </c>
      <c r="P64" s="64">
        <v>0.91</v>
      </c>
      <c r="Q64" s="64">
        <v>5.33</v>
      </c>
      <c r="R64" s="198"/>
      <c r="S64" s="198"/>
      <c r="T64" s="198"/>
      <c r="U64" s="198"/>
    </row>
    <row r="65" spans="1:21" s="12" customFormat="1" x14ac:dyDescent="0.25">
      <c r="A65" s="214" t="s">
        <v>2606</v>
      </c>
      <c r="B65" s="64">
        <v>5.1100000000000003</v>
      </c>
      <c r="C65" s="64">
        <v>28.14</v>
      </c>
      <c r="D65" s="64">
        <v>20.92</v>
      </c>
      <c r="E65" s="64">
        <v>1.84</v>
      </c>
      <c r="F65" s="64">
        <v>2.1</v>
      </c>
      <c r="G65" s="64">
        <v>85.99</v>
      </c>
      <c r="H65" s="64">
        <v>61.58</v>
      </c>
      <c r="I65" s="64">
        <v>1.49</v>
      </c>
      <c r="J65" s="64">
        <v>1.23</v>
      </c>
      <c r="K65" s="64">
        <v>335.91</v>
      </c>
      <c r="L65" s="64">
        <v>29.38</v>
      </c>
      <c r="M65" s="64">
        <v>31.42</v>
      </c>
      <c r="N65" s="64">
        <v>225.7</v>
      </c>
      <c r="O65" s="64">
        <v>0</v>
      </c>
      <c r="P65" s="64">
        <v>0.89</v>
      </c>
      <c r="Q65" s="64">
        <v>5.32</v>
      </c>
      <c r="R65" s="198"/>
      <c r="S65" s="198"/>
      <c r="T65" s="198"/>
      <c r="U65" s="198"/>
    </row>
    <row r="66" spans="1:21" s="12" customFormat="1" x14ac:dyDescent="0.25">
      <c r="A66" s="214" t="s">
        <v>2607</v>
      </c>
      <c r="B66" s="64">
        <v>4.79</v>
      </c>
      <c r="C66" s="64">
        <v>28.14</v>
      </c>
      <c r="D66" s="64">
        <v>20.66</v>
      </c>
      <c r="E66" s="64">
        <v>1.46</v>
      </c>
      <c r="F66" s="64">
        <v>1.99</v>
      </c>
      <c r="G66" s="64">
        <v>85.99</v>
      </c>
      <c r="H66" s="64">
        <v>61.58</v>
      </c>
      <c r="I66" s="64">
        <v>1.49</v>
      </c>
      <c r="J66" s="64">
        <v>1.48</v>
      </c>
      <c r="K66" s="64">
        <v>335.05</v>
      </c>
      <c r="L66" s="64">
        <v>28.97</v>
      </c>
      <c r="M66" s="64">
        <v>32.049999999999997</v>
      </c>
      <c r="N66" s="64">
        <v>211.9</v>
      </c>
      <c r="O66" s="64">
        <v>0</v>
      </c>
      <c r="P66" s="64">
        <v>0.87</v>
      </c>
      <c r="Q66" s="64">
        <v>5.25</v>
      </c>
      <c r="R66" s="198"/>
      <c r="S66" s="198"/>
      <c r="T66" s="198"/>
      <c r="U66" s="198"/>
    </row>
    <row r="67" spans="1:21" s="12" customFormat="1" x14ac:dyDescent="0.25">
      <c r="A67" s="214" t="s">
        <v>2608</v>
      </c>
      <c r="B67" s="64">
        <v>4.88</v>
      </c>
      <c r="C67" s="64">
        <v>28.89</v>
      </c>
      <c r="D67" s="64">
        <v>21.15</v>
      </c>
      <c r="E67" s="64">
        <v>1.81</v>
      </c>
      <c r="F67" s="64">
        <v>3.55</v>
      </c>
      <c r="G67" s="64">
        <v>80.59</v>
      </c>
      <c r="H67" s="64">
        <v>48.78</v>
      </c>
      <c r="I67" s="64">
        <v>1.44</v>
      </c>
      <c r="J67" s="64">
        <v>1.63</v>
      </c>
      <c r="K67" s="64">
        <v>336.65</v>
      </c>
      <c r="L67" s="64">
        <v>28.53</v>
      </c>
      <c r="M67" s="64">
        <v>31.44</v>
      </c>
      <c r="N67" s="64">
        <v>169.6</v>
      </c>
      <c r="O67" s="64">
        <v>0</v>
      </c>
      <c r="P67" s="64">
        <v>0.85</v>
      </c>
      <c r="Q67" s="64">
        <v>5.24</v>
      </c>
      <c r="R67" s="198"/>
      <c r="S67" s="198"/>
      <c r="T67" s="198"/>
      <c r="U67" s="198"/>
    </row>
    <row r="68" spans="1:21" s="12" customFormat="1" x14ac:dyDescent="0.25">
      <c r="A68" s="214" t="s">
        <v>2609</v>
      </c>
      <c r="B68" s="64">
        <v>5.64</v>
      </c>
      <c r="C68" s="64">
        <v>30.51</v>
      </c>
      <c r="D68" s="64">
        <v>22.65</v>
      </c>
      <c r="E68" s="64">
        <v>1.47</v>
      </c>
      <c r="F68" s="64">
        <v>6.1</v>
      </c>
      <c r="G68" s="64">
        <v>75.42</v>
      </c>
      <c r="H68" s="64">
        <v>42.93</v>
      </c>
      <c r="I68" s="64">
        <v>1.55</v>
      </c>
      <c r="J68" s="64">
        <v>1.34</v>
      </c>
      <c r="K68" s="64">
        <v>334.39</v>
      </c>
      <c r="L68" s="64">
        <v>27.97</v>
      </c>
      <c r="M68" s="64">
        <v>32.36</v>
      </c>
      <c r="N68" s="64">
        <v>122.3</v>
      </c>
      <c r="O68" s="64">
        <v>0</v>
      </c>
      <c r="P68" s="64">
        <v>0.83</v>
      </c>
      <c r="Q68" s="64">
        <v>5.2</v>
      </c>
      <c r="R68" s="198"/>
      <c r="S68" s="198"/>
      <c r="T68" s="198"/>
      <c r="U68" s="198"/>
    </row>
    <row r="69" spans="1:21" s="12" customFormat="1" x14ac:dyDescent="0.25">
      <c r="A69" s="214" t="s">
        <v>2610</v>
      </c>
      <c r="B69" s="64">
        <v>5.5</v>
      </c>
      <c r="C69" s="64">
        <v>27.59</v>
      </c>
      <c r="D69" s="64">
        <v>20.93</v>
      </c>
      <c r="E69" s="64">
        <v>2.09</v>
      </c>
      <c r="F69" s="64">
        <v>6.54</v>
      </c>
      <c r="G69" s="64">
        <v>75.42</v>
      </c>
      <c r="H69" s="64">
        <v>42.93</v>
      </c>
      <c r="I69" s="64">
        <v>1.51</v>
      </c>
      <c r="J69" s="64">
        <v>0.84</v>
      </c>
      <c r="K69" s="64">
        <v>341.85</v>
      </c>
      <c r="L69" s="64">
        <v>27.65</v>
      </c>
      <c r="M69" s="64">
        <v>32.57</v>
      </c>
      <c r="N69" s="64">
        <v>107.8</v>
      </c>
      <c r="O69" s="64">
        <v>0</v>
      </c>
      <c r="P69" s="64">
        <v>0.81</v>
      </c>
      <c r="Q69" s="64">
        <v>5.08</v>
      </c>
      <c r="R69" s="198"/>
      <c r="S69" s="198"/>
      <c r="T69" s="198"/>
      <c r="U69" s="198"/>
    </row>
    <row r="70" spans="1:21" s="12" customFormat="1" x14ac:dyDescent="0.25">
      <c r="A70" s="214" t="s">
        <v>2611</v>
      </c>
      <c r="B70" s="64">
        <v>6.35</v>
      </c>
      <c r="C70" s="64">
        <v>27.72</v>
      </c>
      <c r="D70" s="64">
        <v>21.69</v>
      </c>
      <c r="E70" s="64">
        <v>2.5</v>
      </c>
      <c r="F70" s="64">
        <v>11.12</v>
      </c>
      <c r="G70" s="64">
        <v>75.42</v>
      </c>
      <c r="H70" s="64">
        <v>42.93</v>
      </c>
      <c r="I70" s="64">
        <v>1.55</v>
      </c>
      <c r="J70" s="64">
        <v>0.82</v>
      </c>
      <c r="K70" s="64">
        <v>339.16</v>
      </c>
      <c r="L70" s="64">
        <v>27.25</v>
      </c>
      <c r="M70" s="64">
        <v>32.880000000000003</v>
      </c>
      <c r="N70" s="64">
        <v>98.4</v>
      </c>
      <c r="O70" s="64">
        <v>0</v>
      </c>
      <c r="P70" s="64">
        <v>0.82</v>
      </c>
      <c r="Q70" s="64">
        <v>5</v>
      </c>
      <c r="R70" s="198"/>
      <c r="S70" s="198"/>
      <c r="T70" s="198"/>
      <c r="U70" s="198"/>
    </row>
    <row r="71" spans="1:21" s="12" customFormat="1" x14ac:dyDescent="0.25">
      <c r="A71" s="214" t="s">
        <v>2612</v>
      </c>
      <c r="B71" s="64">
        <v>5.44</v>
      </c>
      <c r="C71" s="64">
        <v>26.98</v>
      </c>
      <c r="D71" s="64">
        <v>20.54</v>
      </c>
      <c r="E71" s="64">
        <v>2.3199999999999998</v>
      </c>
      <c r="F71" s="64">
        <v>7.41</v>
      </c>
      <c r="G71" s="64">
        <v>76.95</v>
      </c>
      <c r="H71" s="64">
        <v>41.88</v>
      </c>
      <c r="I71" s="64">
        <v>1.6</v>
      </c>
      <c r="J71" s="64">
        <v>1.17</v>
      </c>
      <c r="K71" s="64">
        <v>341.68</v>
      </c>
      <c r="L71" s="64">
        <v>26.92</v>
      </c>
      <c r="M71" s="64">
        <v>32.86</v>
      </c>
      <c r="N71" s="64">
        <v>88.5</v>
      </c>
      <c r="O71" s="64">
        <v>0</v>
      </c>
      <c r="P71" s="64">
        <v>0.8</v>
      </c>
      <c r="Q71" s="64">
        <v>4.45</v>
      </c>
      <c r="R71" s="198"/>
      <c r="S71" s="198"/>
      <c r="T71" s="198"/>
      <c r="U71" s="198"/>
    </row>
    <row r="72" spans="1:21" s="12" customFormat="1" x14ac:dyDescent="0.25">
      <c r="A72" s="214" t="s">
        <v>2613</v>
      </c>
      <c r="B72" s="64">
        <v>5.62</v>
      </c>
      <c r="C72" s="64">
        <v>27.93</v>
      </c>
      <c r="D72" s="64">
        <v>21.22</v>
      </c>
      <c r="E72" s="64">
        <v>2.0699999999999998</v>
      </c>
      <c r="F72" s="64">
        <v>12.37</v>
      </c>
      <c r="G72" s="64">
        <v>78.42</v>
      </c>
      <c r="H72" s="64">
        <v>41.4</v>
      </c>
      <c r="I72" s="64">
        <v>1.43</v>
      </c>
      <c r="J72" s="64">
        <v>0.78</v>
      </c>
      <c r="K72" s="64">
        <v>343.16</v>
      </c>
      <c r="L72" s="64">
        <v>26.62</v>
      </c>
      <c r="M72" s="64">
        <v>32.700000000000003</v>
      </c>
      <c r="N72" s="64">
        <v>78.7</v>
      </c>
      <c r="O72" s="64">
        <v>0</v>
      </c>
      <c r="P72" s="64">
        <v>0.78</v>
      </c>
      <c r="Q72" s="64">
        <v>5.05</v>
      </c>
      <c r="R72" s="198"/>
      <c r="S72" s="198"/>
      <c r="T72" s="198"/>
      <c r="U72" s="198"/>
    </row>
    <row r="73" spans="1:21" s="12" customFormat="1" x14ac:dyDescent="0.25">
      <c r="A73" s="214" t="s">
        <v>2614</v>
      </c>
      <c r="B73" s="64">
        <v>6.11</v>
      </c>
      <c r="C73" s="64">
        <v>29.34</v>
      </c>
      <c r="D73" s="64">
        <v>22.38</v>
      </c>
      <c r="E73" s="64">
        <v>2.87</v>
      </c>
      <c r="F73" s="64">
        <v>3.95</v>
      </c>
      <c r="G73" s="64">
        <v>78.42</v>
      </c>
      <c r="H73" s="64">
        <v>41.4</v>
      </c>
      <c r="I73" s="64">
        <v>1.55</v>
      </c>
      <c r="J73" s="64">
        <v>0.8</v>
      </c>
      <c r="K73" s="64">
        <v>344.17</v>
      </c>
      <c r="L73" s="64">
        <v>26.36</v>
      </c>
      <c r="M73" s="64">
        <v>33.74</v>
      </c>
      <c r="N73" s="64">
        <v>69.3</v>
      </c>
      <c r="O73" s="64">
        <v>0</v>
      </c>
      <c r="P73" s="64">
        <v>0.79</v>
      </c>
      <c r="Q73" s="64">
        <v>5</v>
      </c>
      <c r="R73" s="198"/>
      <c r="S73" s="198"/>
      <c r="T73" s="198"/>
      <c r="U73" s="198"/>
    </row>
    <row r="74" spans="1:21" s="12" customFormat="1" x14ac:dyDescent="0.25">
      <c r="A74" s="214" t="s">
        <v>2615</v>
      </c>
      <c r="B74" s="64">
        <v>6.08</v>
      </c>
      <c r="C74" s="64">
        <v>29.87</v>
      </c>
      <c r="D74" s="64">
        <v>22.66</v>
      </c>
      <c r="E74" s="64">
        <v>3</v>
      </c>
      <c r="F74" s="64">
        <v>12.22</v>
      </c>
      <c r="G74" s="64">
        <v>78.42</v>
      </c>
      <c r="H74" s="64">
        <v>41.4</v>
      </c>
      <c r="I74" s="64">
        <v>1.51</v>
      </c>
      <c r="J74" s="64">
        <v>0.23</v>
      </c>
      <c r="K74" s="64">
        <v>334.29</v>
      </c>
      <c r="L74" s="64">
        <v>25.91</v>
      </c>
      <c r="M74" s="64">
        <v>36.96</v>
      </c>
      <c r="N74" s="64">
        <v>59.1</v>
      </c>
      <c r="O74" s="64">
        <v>0</v>
      </c>
      <c r="P74" s="64">
        <v>0.81</v>
      </c>
      <c r="Q74" s="64">
        <v>5.03</v>
      </c>
      <c r="R74" s="198"/>
      <c r="S74" s="198"/>
      <c r="T74" s="198"/>
      <c r="U74" s="198"/>
    </row>
    <row r="75" spans="1:21" s="12" customFormat="1" x14ac:dyDescent="0.25">
      <c r="A75" s="214" t="s">
        <v>2616</v>
      </c>
      <c r="B75" s="64">
        <v>6.05</v>
      </c>
      <c r="C75" s="64">
        <v>29.96</v>
      </c>
      <c r="D75" s="64">
        <v>22.68</v>
      </c>
      <c r="E75" s="64">
        <v>2.72</v>
      </c>
      <c r="F75" s="64">
        <v>7.56</v>
      </c>
      <c r="G75" s="64">
        <v>80.14</v>
      </c>
      <c r="H75" s="64">
        <v>41.18</v>
      </c>
      <c r="I75" s="64">
        <v>1.48</v>
      </c>
      <c r="J75" s="64">
        <v>0.28000000000000003</v>
      </c>
      <c r="K75" s="64">
        <v>55.26</v>
      </c>
      <c r="L75" s="64">
        <v>25.58</v>
      </c>
      <c r="M75" s="64">
        <v>37.619999999999997</v>
      </c>
      <c r="N75" s="64">
        <v>49</v>
      </c>
      <c r="O75" s="64">
        <v>0</v>
      </c>
      <c r="P75" s="64">
        <v>0.8</v>
      </c>
      <c r="Q75" s="64">
        <v>4.91</v>
      </c>
      <c r="R75" s="198"/>
      <c r="S75" s="198"/>
      <c r="T75" s="198"/>
      <c r="U75" s="198"/>
    </row>
    <row r="76" spans="1:21" s="12" customFormat="1" x14ac:dyDescent="0.25">
      <c r="A76" s="214" t="s">
        <v>2617</v>
      </c>
      <c r="B76" s="64">
        <v>4.17</v>
      </c>
      <c r="C76" s="64">
        <v>25.9</v>
      </c>
      <c r="D76" s="64">
        <v>18.93</v>
      </c>
      <c r="E76" s="64">
        <v>2.61</v>
      </c>
      <c r="F76" s="64">
        <v>12.18</v>
      </c>
      <c r="G76" s="64">
        <v>81.790000000000006</v>
      </c>
      <c r="H76" s="64">
        <v>41.08</v>
      </c>
      <c r="I76" s="64">
        <v>1.57</v>
      </c>
      <c r="J76" s="64">
        <v>0.53</v>
      </c>
      <c r="K76" s="64">
        <v>100.58</v>
      </c>
      <c r="L76" s="64">
        <v>25.09</v>
      </c>
      <c r="M76" s="64">
        <v>37.46</v>
      </c>
      <c r="N76" s="64">
        <v>38.1</v>
      </c>
      <c r="O76" s="64">
        <v>0</v>
      </c>
      <c r="P76" s="64">
        <v>0.71</v>
      </c>
      <c r="Q76" s="64">
        <v>5.1100000000000003</v>
      </c>
      <c r="R76" s="198"/>
      <c r="S76" s="198"/>
      <c r="T76" s="198"/>
      <c r="U76" s="198"/>
    </row>
    <row r="77" spans="1:21" s="12" customFormat="1" x14ac:dyDescent="0.25">
      <c r="A77" s="214" t="s">
        <v>2618</v>
      </c>
      <c r="B77" s="64">
        <v>3.73</v>
      </c>
      <c r="C77" s="64">
        <v>26.69</v>
      </c>
      <c r="D77" s="64">
        <v>19.010000000000002</v>
      </c>
      <c r="E77" s="64">
        <v>2.62</v>
      </c>
      <c r="F77" s="64">
        <v>13.76</v>
      </c>
      <c r="G77" s="64">
        <v>81.790000000000006</v>
      </c>
      <c r="H77" s="64">
        <v>41.08</v>
      </c>
      <c r="I77" s="64">
        <v>1.55</v>
      </c>
      <c r="J77" s="64">
        <v>0.2</v>
      </c>
      <c r="K77" s="64">
        <v>91.29</v>
      </c>
      <c r="L77" s="64">
        <v>24.61</v>
      </c>
      <c r="M77" s="64">
        <v>38.46</v>
      </c>
      <c r="N77" s="64">
        <v>27.6</v>
      </c>
      <c r="O77" s="64">
        <v>0</v>
      </c>
      <c r="P77" s="64">
        <v>0.72</v>
      </c>
      <c r="Q77" s="64">
        <v>5.15</v>
      </c>
      <c r="R77" s="198"/>
      <c r="S77" s="198"/>
      <c r="T77" s="198"/>
      <c r="U77" s="198"/>
    </row>
    <row r="78" spans="1:21" s="12" customFormat="1" x14ac:dyDescent="0.25">
      <c r="A78" s="214" t="s">
        <v>2619</v>
      </c>
      <c r="B78" s="64">
        <v>3.08</v>
      </c>
      <c r="C78" s="64">
        <v>26.39</v>
      </c>
      <c r="D78" s="64">
        <v>18.329999999999998</v>
      </c>
      <c r="E78" s="64">
        <v>3.36</v>
      </c>
      <c r="F78" s="64">
        <v>16.46</v>
      </c>
      <c r="G78" s="64">
        <v>81.790000000000006</v>
      </c>
      <c r="H78" s="64">
        <v>41.08</v>
      </c>
      <c r="I78" s="64">
        <v>1.44</v>
      </c>
      <c r="J78" s="64">
        <v>0.26</v>
      </c>
      <c r="K78" s="64">
        <v>74.48</v>
      </c>
      <c r="L78" s="64">
        <v>24.25</v>
      </c>
      <c r="M78" s="64">
        <v>39.28</v>
      </c>
      <c r="N78" s="64">
        <v>20.7</v>
      </c>
      <c r="O78" s="64">
        <v>0</v>
      </c>
      <c r="P78" s="64">
        <v>0.68</v>
      </c>
      <c r="Q78" s="64">
        <v>5.13</v>
      </c>
      <c r="R78" s="198"/>
      <c r="S78" s="198"/>
      <c r="T78" s="198"/>
      <c r="U78" s="198"/>
    </row>
    <row r="79" spans="1:21" s="12" customFormat="1" x14ac:dyDescent="0.25">
      <c r="A79" s="214" t="s">
        <v>2620</v>
      </c>
      <c r="B79" s="64">
        <v>2.87</v>
      </c>
      <c r="C79" s="64">
        <v>34.04</v>
      </c>
      <c r="D79" s="64">
        <v>22.38</v>
      </c>
      <c r="E79" s="64">
        <v>3.28</v>
      </c>
      <c r="F79" s="64">
        <v>15.48</v>
      </c>
      <c r="G79" s="64">
        <v>79.66</v>
      </c>
      <c r="H79" s="64">
        <v>39.03</v>
      </c>
      <c r="I79" s="64">
        <v>1.56</v>
      </c>
      <c r="J79" s="64">
        <v>0.27</v>
      </c>
      <c r="K79" s="64">
        <v>101.03</v>
      </c>
      <c r="L79" s="64">
        <v>23.98</v>
      </c>
      <c r="M79" s="64">
        <v>40.450000000000003</v>
      </c>
      <c r="N79" s="64">
        <v>18.3</v>
      </c>
      <c r="O79" s="64">
        <v>0</v>
      </c>
      <c r="P79" s="64">
        <v>0.77</v>
      </c>
      <c r="Q79" s="64">
        <v>4.79</v>
      </c>
      <c r="R79" s="198"/>
      <c r="S79" s="198"/>
      <c r="T79" s="198"/>
      <c r="U79" s="198"/>
    </row>
    <row r="80" spans="1:21" s="12" customFormat="1" x14ac:dyDescent="0.25">
      <c r="A80" s="214" t="s">
        <v>2621</v>
      </c>
      <c r="B80" s="64">
        <v>2.86</v>
      </c>
      <c r="C80" s="64">
        <v>32.340000000000003</v>
      </c>
      <c r="D80" s="64">
        <v>21.43</v>
      </c>
      <c r="E80" s="64">
        <v>3.33</v>
      </c>
      <c r="F80" s="64">
        <v>17.440000000000001</v>
      </c>
      <c r="G80" s="64">
        <v>77.62</v>
      </c>
      <c r="H80" s="64">
        <v>37.07</v>
      </c>
      <c r="I80" s="64">
        <v>1.54</v>
      </c>
      <c r="J80" s="64">
        <v>0.17</v>
      </c>
      <c r="K80" s="64">
        <v>84.74</v>
      </c>
      <c r="L80" s="64">
        <v>23.85</v>
      </c>
      <c r="M80" s="64">
        <v>43.54</v>
      </c>
      <c r="N80" s="64">
        <v>18</v>
      </c>
      <c r="O80" s="64">
        <v>0</v>
      </c>
      <c r="P80" s="64">
        <v>0.76</v>
      </c>
      <c r="Q80" s="64">
        <v>4.8099999999999996</v>
      </c>
      <c r="R80" s="198"/>
      <c r="S80" s="198"/>
      <c r="T80" s="198"/>
      <c r="U80" s="198"/>
    </row>
    <row r="81" spans="1:26" s="12" customFormat="1" x14ac:dyDescent="0.25">
      <c r="A81" s="214" t="s">
        <v>2622</v>
      </c>
      <c r="B81" s="64">
        <v>3.35</v>
      </c>
      <c r="C81" s="64">
        <v>43.19</v>
      </c>
      <c r="D81" s="64">
        <v>27.81</v>
      </c>
      <c r="E81" s="64">
        <v>3.85</v>
      </c>
      <c r="F81" s="64">
        <v>9.1199999999999992</v>
      </c>
      <c r="G81" s="64">
        <v>77.62</v>
      </c>
      <c r="H81" s="64">
        <v>37.07</v>
      </c>
      <c r="I81" s="64">
        <v>1.55</v>
      </c>
      <c r="J81" s="64">
        <v>0.04</v>
      </c>
      <c r="K81" s="64">
        <v>310.56</v>
      </c>
      <c r="L81" s="64">
        <v>23.12</v>
      </c>
      <c r="M81" s="64">
        <v>47.58</v>
      </c>
      <c r="N81" s="64">
        <v>18.399999999999999</v>
      </c>
      <c r="O81" s="64">
        <v>0</v>
      </c>
      <c r="P81" s="64">
        <v>0.84</v>
      </c>
      <c r="Q81" s="64">
        <v>4.22</v>
      </c>
      <c r="R81" s="198"/>
      <c r="S81" s="198"/>
      <c r="T81" s="198"/>
      <c r="U81" s="198"/>
    </row>
    <row r="82" spans="1:26" s="12" customFormat="1" x14ac:dyDescent="0.25">
      <c r="A82" s="214" t="s">
        <v>2623</v>
      </c>
      <c r="B82" s="64">
        <v>15.5</v>
      </c>
      <c r="C82" s="64">
        <v>52.48</v>
      </c>
      <c r="D82" s="64">
        <v>42.69</v>
      </c>
      <c r="E82" s="64">
        <v>3.82</v>
      </c>
      <c r="F82" s="64">
        <v>6.45</v>
      </c>
      <c r="G82" s="64">
        <v>77.62</v>
      </c>
      <c r="H82" s="64">
        <v>37.07</v>
      </c>
      <c r="I82" s="64">
        <v>1.47</v>
      </c>
      <c r="J82" s="64">
        <v>0.12</v>
      </c>
      <c r="K82" s="64">
        <v>56.5</v>
      </c>
      <c r="L82" s="64">
        <v>22.99</v>
      </c>
      <c r="M82" s="64">
        <v>46.22</v>
      </c>
      <c r="N82" s="64">
        <v>18</v>
      </c>
      <c r="O82" s="64">
        <v>0</v>
      </c>
      <c r="P82" s="209" t="s">
        <v>36</v>
      </c>
      <c r="Q82" s="64">
        <v>2.2200000000000002</v>
      </c>
      <c r="R82" s="198"/>
      <c r="S82" s="198"/>
      <c r="T82" s="198"/>
      <c r="U82" s="198"/>
    </row>
    <row r="83" spans="1:26" s="12" customFormat="1" x14ac:dyDescent="0.25">
      <c r="A83" s="214" t="s">
        <v>2624</v>
      </c>
      <c r="B83" s="64">
        <v>7.7</v>
      </c>
      <c r="C83" s="64">
        <v>54.45</v>
      </c>
      <c r="D83" s="64">
        <v>37.520000000000003</v>
      </c>
      <c r="E83" s="64">
        <v>4.12</v>
      </c>
      <c r="F83" s="64">
        <v>7.12</v>
      </c>
      <c r="G83" s="64">
        <v>79.75</v>
      </c>
      <c r="H83" s="64">
        <v>36.29</v>
      </c>
      <c r="I83" s="64">
        <v>1.56</v>
      </c>
      <c r="J83" s="64">
        <v>0.04</v>
      </c>
      <c r="K83" s="64">
        <v>52.07</v>
      </c>
      <c r="L83" s="64">
        <v>22.87</v>
      </c>
      <c r="M83" s="64">
        <v>46.26</v>
      </c>
      <c r="N83" s="64">
        <v>18.100000000000001</v>
      </c>
      <c r="O83" s="64">
        <v>0</v>
      </c>
      <c r="P83" s="209" t="s">
        <v>36</v>
      </c>
      <c r="Q83" s="64">
        <v>2.85</v>
      </c>
      <c r="R83" s="198"/>
      <c r="S83" s="198"/>
      <c r="T83" s="198"/>
      <c r="U83" s="198"/>
    </row>
    <row r="84" spans="1:26" s="12" customFormat="1" x14ac:dyDescent="0.25">
      <c r="A84" s="214" t="s">
        <v>2625</v>
      </c>
      <c r="B84" s="64">
        <v>8.6199999999999992</v>
      </c>
      <c r="C84" s="64">
        <v>48.69</v>
      </c>
      <c r="D84" s="64">
        <v>35.07</v>
      </c>
      <c r="E84" s="64">
        <v>4.0999999999999996</v>
      </c>
      <c r="F84" s="64">
        <v>7.08</v>
      </c>
      <c r="G84" s="64">
        <v>81.8</v>
      </c>
      <c r="H84" s="64">
        <v>35.93</v>
      </c>
      <c r="I84" s="64">
        <v>1.61</v>
      </c>
      <c r="J84" s="64">
        <v>0.05</v>
      </c>
      <c r="K84" s="64">
        <v>339.49</v>
      </c>
      <c r="L84" s="64">
        <v>22.56</v>
      </c>
      <c r="M84" s="64">
        <v>47.57</v>
      </c>
      <c r="N84" s="64">
        <v>18.2</v>
      </c>
      <c r="O84" s="64">
        <v>0</v>
      </c>
      <c r="P84" s="209" t="s">
        <v>36</v>
      </c>
      <c r="Q84" s="64">
        <v>3.07</v>
      </c>
      <c r="R84" s="198"/>
      <c r="S84" s="198"/>
      <c r="T84" s="198"/>
      <c r="U84" s="198"/>
    </row>
    <row r="85" spans="1:26" s="12" customFormat="1" x14ac:dyDescent="0.25">
      <c r="A85" s="214" t="s">
        <v>2626</v>
      </c>
      <c r="B85" s="64">
        <v>5.34</v>
      </c>
      <c r="C85" s="64">
        <v>34.06</v>
      </c>
      <c r="D85" s="64">
        <v>24.37</v>
      </c>
      <c r="E85" s="64">
        <v>3.33</v>
      </c>
      <c r="F85" s="64">
        <v>3.4</v>
      </c>
      <c r="G85" s="64">
        <v>81.8</v>
      </c>
      <c r="H85" s="64">
        <v>35.93</v>
      </c>
      <c r="I85" s="64">
        <v>1.56</v>
      </c>
      <c r="J85" s="64">
        <v>0.16</v>
      </c>
      <c r="K85" s="64">
        <v>254.35</v>
      </c>
      <c r="L85" s="64">
        <v>22.39</v>
      </c>
      <c r="M85" s="64">
        <v>46.83</v>
      </c>
      <c r="N85" s="64">
        <v>17.899999999999999</v>
      </c>
      <c r="O85" s="64">
        <v>0</v>
      </c>
      <c r="P85" s="209" t="s">
        <v>36</v>
      </c>
      <c r="Q85" s="64">
        <v>4.16</v>
      </c>
      <c r="R85" s="198"/>
      <c r="S85" s="198"/>
      <c r="T85" s="198"/>
      <c r="U85" s="198"/>
    </row>
    <row r="86" spans="1:26" s="12" customFormat="1" x14ac:dyDescent="0.25">
      <c r="A86" s="214" t="s">
        <v>2627</v>
      </c>
      <c r="B86" s="64">
        <v>27.04</v>
      </c>
      <c r="C86" s="64">
        <v>37.450000000000003</v>
      </c>
      <c r="D86" s="64">
        <v>43.64</v>
      </c>
      <c r="E86" s="64">
        <v>2.91</v>
      </c>
      <c r="F86" s="64">
        <v>1.28</v>
      </c>
      <c r="G86" s="64">
        <v>81.8</v>
      </c>
      <c r="H86" s="64">
        <v>35.93</v>
      </c>
      <c r="I86" s="64">
        <v>1.56</v>
      </c>
      <c r="J86" s="64">
        <v>0.11</v>
      </c>
      <c r="K86" s="64">
        <v>317.86</v>
      </c>
      <c r="L86" s="64">
        <v>22.01</v>
      </c>
      <c r="M86" s="64">
        <v>54.77</v>
      </c>
      <c r="N86" s="64">
        <v>18.600000000000001</v>
      </c>
      <c r="O86" s="64">
        <v>0</v>
      </c>
      <c r="P86" s="209" t="s">
        <v>36</v>
      </c>
      <c r="Q86" s="64">
        <v>3.29</v>
      </c>
      <c r="R86" s="198"/>
      <c r="S86" s="198"/>
      <c r="T86" s="198"/>
      <c r="U86" s="198"/>
    </row>
    <row r="87" spans="1:26" s="12" customFormat="1" x14ac:dyDescent="0.25">
      <c r="A87" s="214" t="s">
        <v>2628</v>
      </c>
      <c r="B87" s="64">
        <v>41.2</v>
      </c>
      <c r="C87" s="64">
        <v>44.8</v>
      </c>
      <c r="D87" s="64">
        <v>59.06</v>
      </c>
      <c r="E87" s="64">
        <v>2.78</v>
      </c>
      <c r="F87" s="64">
        <v>0.57999999999999996</v>
      </c>
      <c r="G87" s="64">
        <v>114.45</v>
      </c>
      <c r="H87" s="64">
        <v>42.38</v>
      </c>
      <c r="I87" s="64">
        <v>1.51</v>
      </c>
      <c r="J87" s="64">
        <v>0.09</v>
      </c>
      <c r="K87" s="64">
        <v>261.60000000000002</v>
      </c>
      <c r="L87" s="64">
        <v>21.2</v>
      </c>
      <c r="M87" s="64">
        <v>55.59</v>
      </c>
      <c r="N87" s="64">
        <v>18.399999999999999</v>
      </c>
      <c r="O87" s="64">
        <v>0</v>
      </c>
      <c r="P87" s="209" t="s">
        <v>36</v>
      </c>
      <c r="Q87" s="64">
        <v>2.61</v>
      </c>
      <c r="R87" s="198"/>
      <c r="S87" s="198"/>
      <c r="T87" s="198"/>
      <c r="U87" s="198"/>
    </row>
    <row r="88" spans="1:26" s="12" customFormat="1" x14ac:dyDescent="0.25">
      <c r="A88" s="214" t="s">
        <v>2629</v>
      </c>
      <c r="B88" s="64">
        <v>20.14</v>
      </c>
      <c r="C88" s="64">
        <v>40.840000000000003</v>
      </c>
      <c r="D88" s="64">
        <v>39.979999999999997</v>
      </c>
      <c r="E88" s="64">
        <v>1.38</v>
      </c>
      <c r="F88" s="64">
        <v>0.46</v>
      </c>
      <c r="G88" s="64">
        <v>145.68</v>
      </c>
      <c r="H88" s="64">
        <v>45.32</v>
      </c>
      <c r="I88" s="64">
        <v>1.55</v>
      </c>
      <c r="J88" s="64">
        <v>0.11</v>
      </c>
      <c r="K88" s="64">
        <v>282.66000000000003</v>
      </c>
      <c r="L88" s="64">
        <v>20.88</v>
      </c>
      <c r="M88" s="64">
        <v>57.55</v>
      </c>
      <c r="N88" s="64">
        <v>18.3</v>
      </c>
      <c r="O88" s="64">
        <v>0</v>
      </c>
      <c r="P88" s="209" t="s">
        <v>36</v>
      </c>
      <c r="Q88" s="64">
        <v>4.6900000000000004</v>
      </c>
      <c r="R88" s="198"/>
      <c r="S88" s="198"/>
      <c r="T88" s="198"/>
      <c r="U88" s="198"/>
    </row>
    <row r="89" spans="1:26" s="12" customFormat="1" x14ac:dyDescent="0.25">
      <c r="A89" s="214" t="s">
        <v>2630</v>
      </c>
      <c r="B89" s="64">
        <v>26.47</v>
      </c>
      <c r="C89" s="64">
        <v>29.9</v>
      </c>
      <c r="D89" s="64">
        <v>38.950000000000003</v>
      </c>
      <c r="E89" s="64">
        <v>2.3199999999999998</v>
      </c>
      <c r="F89" s="64">
        <v>0.19</v>
      </c>
      <c r="G89" s="64">
        <v>145.68</v>
      </c>
      <c r="H89" s="64">
        <v>45.32</v>
      </c>
      <c r="I89" s="64">
        <v>1.57</v>
      </c>
      <c r="J89" s="64">
        <v>7.0000000000000007E-2</v>
      </c>
      <c r="K89" s="64">
        <v>311.89</v>
      </c>
      <c r="L89" s="64">
        <v>20.61</v>
      </c>
      <c r="M89" s="64">
        <v>64.25</v>
      </c>
      <c r="N89" s="64">
        <v>18.2</v>
      </c>
      <c r="O89" s="64">
        <v>0</v>
      </c>
      <c r="P89" s="209" t="s">
        <v>36</v>
      </c>
      <c r="Q89" s="64">
        <v>4.38</v>
      </c>
      <c r="R89" s="198"/>
      <c r="S89" s="198"/>
      <c r="T89" s="198"/>
      <c r="U89" s="198"/>
    </row>
    <row r="90" spans="1:26" s="12" customFormat="1" x14ac:dyDescent="0.25">
      <c r="A90" s="214" t="s">
        <v>2631</v>
      </c>
      <c r="B90" s="64">
        <v>27.97</v>
      </c>
      <c r="C90" s="64">
        <v>28.91</v>
      </c>
      <c r="D90" s="64">
        <v>39.68</v>
      </c>
      <c r="E90" s="64">
        <v>2.19</v>
      </c>
      <c r="F90" s="64">
        <v>0.26</v>
      </c>
      <c r="G90" s="64">
        <v>145.68</v>
      </c>
      <c r="H90" s="64">
        <v>45.32</v>
      </c>
      <c r="I90" s="64">
        <v>1.46</v>
      </c>
      <c r="J90" s="64">
        <v>0.12</v>
      </c>
      <c r="K90" s="64">
        <v>306.41000000000003</v>
      </c>
      <c r="L90" s="64">
        <v>20.46</v>
      </c>
      <c r="M90" s="64">
        <v>66.38</v>
      </c>
      <c r="N90" s="64">
        <v>18.3</v>
      </c>
      <c r="O90" s="64">
        <v>0</v>
      </c>
      <c r="P90" s="209" t="s">
        <v>36</v>
      </c>
      <c r="Q90" s="64">
        <v>5.25</v>
      </c>
      <c r="R90" s="198"/>
      <c r="S90" s="198"/>
      <c r="T90" s="198"/>
      <c r="U90" s="198"/>
    </row>
    <row r="91" spans="1:26" s="12" customFormat="1" x14ac:dyDescent="0.25">
      <c r="A91" s="214" t="s">
        <v>2632</v>
      </c>
      <c r="B91" s="64">
        <v>26.3</v>
      </c>
      <c r="C91" s="64">
        <v>26.29</v>
      </c>
      <c r="D91" s="64">
        <v>36.89</v>
      </c>
      <c r="E91" s="64">
        <v>2.2400000000000002</v>
      </c>
      <c r="F91" s="64">
        <v>0.26</v>
      </c>
      <c r="G91" s="64">
        <v>148.15</v>
      </c>
      <c r="H91" s="64">
        <v>52.76</v>
      </c>
      <c r="I91" s="64">
        <v>1.54</v>
      </c>
      <c r="J91" s="64">
        <v>0.1</v>
      </c>
      <c r="K91" s="64">
        <v>14.23</v>
      </c>
      <c r="L91" s="64">
        <v>20.69</v>
      </c>
      <c r="M91" s="64">
        <v>62.14</v>
      </c>
      <c r="N91" s="64">
        <v>17.8</v>
      </c>
      <c r="O91" s="64">
        <v>0</v>
      </c>
      <c r="P91" s="209" t="s">
        <v>36</v>
      </c>
      <c r="Q91" s="64">
        <v>6.37</v>
      </c>
      <c r="R91" s="198"/>
      <c r="S91" s="198"/>
      <c r="T91" s="198"/>
      <c r="U91" s="198"/>
    </row>
    <row r="92" spans="1:26" s="12" customFormat="1" x14ac:dyDescent="0.25">
      <c r="A92" s="214" t="s">
        <v>2633</v>
      </c>
      <c r="B92" s="64">
        <v>22.04</v>
      </c>
      <c r="C92" s="64">
        <v>33.17</v>
      </c>
      <c r="D92" s="64">
        <v>37.270000000000003</v>
      </c>
      <c r="E92" s="64">
        <v>2.06</v>
      </c>
      <c r="F92" s="64">
        <v>1.6</v>
      </c>
      <c r="G92" s="64">
        <v>150.51</v>
      </c>
      <c r="H92" s="64">
        <v>56.16</v>
      </c>
      <c r="I92" s="64">
        <v>1.48</v>
      </c>
      <c r="J92" s="64">
        <v>0.01</v>
      </c>
      <c r="K92" s="64">
        <v>82.18</v>
      </c>
      <c r="L92" s="64">
        <v>20.2</v>
      </c>
      <c r="M92" s="64">
        <v>63.86</v>
      </c>
      <c r="N92" s="64">
        <v>18.2</v>
      </c>
      <c r="O92" s="64">
        <v>0</v>
      </c>
      <c r="P92" s="209" t="s">
        <v>36</v>
      </c>
      <c r="Q92" s="64">
        <v>6.79</v>
      </c>
      <c r="R92" s="198"/>
      <c r="S92" s="198"/>
      <c r="T92" s="198"/>
      <c r="U92" s="198"/>
    </row>
    <row r="93" spans="1:26" s="12" customFormat="1" x14ac:dyDescent="0.25">
      <c r="A93" s="214" t="s">
        <v>2634</v>
      </c>
      <c r="B93" s="64">
        <v>21.87</v>
      </c>
      <c r="C93" s="64">
        <v>36.630000000000003</v>
      </c>
      <c r="D93" s="64">
        <v>39.049999999999997</v>
      </c>
      <c r="E93" s="64">
        <v>2.2999999999999998</v>
      </c>
      <c r="F93" s="64">
        <v>1.51</v>
      </c>
      <c r="G93" s="64">
        <v>150.51</v>
      </c>
      <c r="H93" s="64">
        <v>56.16</v>
      </c>
      <c r="I93" s="64">
        <v>1.54</v>
      </c>
      <c r="J93" s="64">
        <v>0.03</v>
      </c>
      <c r="K93" s="64">
        <v>299.89999999999998</v>
      </c>
      <c r="L93" s="64">
        <v>20</v>
      </c>
      <c r="M93" s="64">
        <v>65.260000000000005</v>
      </c>
      <c r="N93" s="64">
        <v>18.100000000000001</v>
      </c>
      <c r="O93" s="64">
        <v>0</v>
      </c>
      <c r="P93" s="209" t="s">
        <v>36</v>
      </c>
      <c r="Q93" s="64">
        <v>6.75</v>
      </c>
      <c r="R93" s="198"/>
      <c r="S93" s="198"/>
      <c r="T93" s="198"/>
      <c r="U93" s="198"/>
    </row>
    <row r="94" spans="1:26" s="12" customFormat="1" x14ac:dyDescent="0.25">
      <c r="A94" s="214" t="s">
        <v>2635</v>
      </c>
      <c r="B94" s="64">
        <v>20.91</v>
      </c>
      <c r="C94" s="64">
        <v>37.89</v>
      </c>
      <c r="D94" s="64">
        <v>38.97</v>
      </c>
      <c r="E94" s="64">
        <v>2.2599999999999998</v>
      </c>
      <c r="F94" s="64">
        <v>0.92</v>
      </c>
      <c r="G94" s="64">
        <v>150.51</v>
      </c>
      <c r="H94" s="64">
        <v>56.16</v>
      </c>
      <c r="I94" s="64">
        <v>1.48</v>
      </c>
      <c r="J94" s="64">
        <v>0.19</v>
      </c>
      <c r="K94" s="64">
        <v>109.78</v>
      </c>
      <c r="L94" s="64">
        <v>19.91</v>
      </c>
      <c r="M94" s="64">
        <v>65.69</v>
      </c>
      <c r="N94" s="64">
        <v>17.8</v>
      </c>
      <c r="O94" s="64">
        <v>0</v>
      </c>
      <c r="P94" s="209" t="s">
        <v>36</v>
      </c>
      <c r="Q94" s="64">
        <v>6.77</v>
      </c>
      <c r="R94" s="198"/>
      <c r="S94" s="198"/>
      <c r="T94" s="198"/>
      <c r="U94" s="198"/>
    </row>
    <row r="95" spans="1:26" s="12" customFormat="1" x14ac:dyDescent="0.25">
      <c r="A95" s="214" t="s">
        <v>2636</v>
      </c>
      <c r="B95" s="64">
        <v>25.8</v>
      </c>
      <c r="C95" s="64">
        <v>31.8</v>
      </c>
      <c r="D95" s="64">
        <v>39.53</v>
      </c>
      <c r="E95" s="64">
        <v>2.2400000000000002</v>
      </c>
      <c r="F95" s="64">
        <v>0.63</v>
      </c>
      <c r="G95" s="64">
        <v>134.59</v>
      </c>
      <c r="H95" s="64">
        <v>54.04</v>
      </c>
      <c r="I95" s="64">
        <v>1.52</v>
      </c>
      <c r="J95" s="64">
        <v>0.08</v>
      </c>
      <c r="K95" s="64">
        <v>330.61</v>
      </c>
      <c r="L95" s="64">
        <v>20.04</v>
      </c>
      <c r="M95" s="64">
        <v>66.400000000000006</v>
      </c>
      <c r="N95" s="64">
        <v>18.3</v>
      </c>
      <c r="O95" s="64">
        <v>0</v>
      </c>
      <c r="P95" s="209" t="s">
        <v>36</v>
      </c>
      <c r="Q95" s="64">
        <v>6.78</v>
      </c>
      <c r="R95" s="198"/>
      <c r="S95" s="198"/>
      <c r="T95" s="198"/>
      <c r="U95" s="198"/>
    </row>
    <row r="96" spans="1:26" s="12" customFormat="1" x14ac:dyDescent="0.25">
      <c r="A96" s="214" t="s">
        <v>2637</v>
      </c>
      <c r="B96" s="64">
        <v>29.38</v>
      </c>
      <c r="C96" s="64">
        <v>25.32</v>
      </c>
      <c r="D96" s="64">
        <v>38.83</v>
      </c>
      <c r="E96" s="64">
        <v>2</v>
      </c>
      <c r="F96" s="64">
        <v>0.28999999999999998</v>
      </c>
      <c r="G96" s="64">
        <v>119.35</v>
      </c>
      <c r="H96" s="64">
        <v>53.07</v>
      </c>
      <c r="I96" s="64">
        <v>1.48</v>
      </c>
      <c r="J96" s="64">
        <v>0.11</v>
      </c>
      <c r="K96" s="64">
        <v>353.93</v>
      </c>
      <c r="L96" s="64">
        <v>19.43</v>
      </c>
      <c r="M96" s="64">
        <v>72.86</v>
      </c>
      <c r="N96" s="64">
        <v>18.5</v>
      </c>
      <c r="O96" s="64">
        <v>0</v>
      </c>
      <c r="P96" s="209" t="s">
        <v>36</v>
      </c>
      <c r="Q96" s="64">
        <v>6.45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2638</v>
      </c>
      <c r="B97" s="64">
        <v>27.47</v>
      </c>
      <c r="C97" s="64">
        <v>23.84</v>
      </c>
      <c r="D97" s="64">
        <v>36.479999999999997</v>
      </c>
      <c r="E97" s="64">
        <v>2.14</v>
      </c>
      <c r="F97" s="64">
        <v>0.24</v>
      </c>
      <c r="G97" s="64">
        <v>119.35</v>
      </c>
      <c r="H97" s="64">
        <v>53.07</v>
      </c>
      <c r="I97" s="64">
        <v>1.5</v>
      </c>
      <c r="J97" s="64">
        <v>0.14000000000000001</v>
      </c>
      <c r="K97" s="64">
        <v>300.91000000000003</v>
      </c>
      <c r="L97" s="64">
        <v>19.36</v>
      </c>
      <c r="M97" s="64">
        <v>73.59</v>
      </c>
      <c r="N97" s="64">
        <v>18.3</v>
      </c>
      <c r="O97" s="64">
        <v>0</v>
      </c>
      <c r="P97" s="209" t="s">
        <v>36</v>
      </c>
      <c r="Q97" s="64">
        <v>6.98</v>
      </c>
      <c r="R97" s="198"/>
      <c r="S97" s="198"/>
      <c r="T97" s="198"/>
      <c r="U97" s="198"/>
    </row>
    <row r="98" spans="1:33" s="12" customFormat="1" x14ac:dyDescent="0.25">
      <c r="A98" s="214" t="s">
        <v>2639</v>
      </c>
      <c r="B98" s="64">
        <v>28.87</v>
      </c>
      <c r="C98" s="64">
        <v>24.04</v>
      </c>
      <c r="D98" s="64">
        <v>37.71</v>
      </c>
      <c r="E98" s="64">
        <v>1.89</v>
      </c>
      <c r="F98" s="64">
        <v>0.56000000000000005</v>
      </c>
      <c r="G98" s="64">
        <v>119.35</v>
      </c>
      <c r="H98" s="64">
        <v>53.07</v>
      </c>
      <c r="I98" s="64">
        <v>1.51</v>
      </c>
      <c r="J98" s="64">
        <v>0.06</v>
      </c>
      <c r="K98" s="64">
        <v>304.83</v>
      </c>
      <c r="L98" s="64">
        <v>19.14</v>
      </c>
      <c r="M98" s="64">
        <v>74.52</v>
      </c>
      <c r="N98" s="64">
        <v>18.3</v>
      </c>
      <c r="O98" s="64">
        <v>0</v>
      </c>
      <c r="P98" s="209" t="s">
        <v>36</v>
      </c>
      <c r="Q98" s="64">
        <v>7.15</v>
      </c>
      <c r="R98" s="198"/>
      <c r="S98" s="198"/>
      <c r="T98" s="198"/>
      <c r="U98" s="198"/>
    </row>
    <row r="99" spans="1:33" s="12" customFormat="1" x14ac:dyDescent="0.25">
      <c r="A99" s="214" t="s">
        <v>2640</v>
      </c>
      <c r="B99" s="64">
        <v>32.119999999999997</v>
      </c>
      <c r="C99" s="64">
        <v>26.81</v>
      </c>
      <c r="D99" s="64">
        <v>41.84</v>
      </c>
      <c r="E99" s="64">
        <v>1.91</v>
      </c>
      <c r="F99" s="64">
        <v>0.54</v>
      </c>
      <c r="G99" s="64">
        <v>133.04</v>
      </c>
      <c r="H99" s="64">
        <v>58.14</v>
      </c>
      <c r="I99" s="64">
        <v>1.47</v>
      </c>
      <c r="J99" s="64">
        <v>0.04</v>
      </c>
      <c r="K99" s="64">
        <v>260.74</v>
      </c>
      <c r="L99" s="64">
        <v>18.8</v>
      </c>
      <c r="M99" s="64">
        <v>74.7</v>
      </c>
      <c r="N99" s="64">
        <v>18.399999999999999</v>
      </c>
      <c r="O99" s="64">
        <v>0</v>
      </c>
      <c r="P99" s="209" t="s">
        <v>36</v>
      </c>
      <c r="Q99" s="64">
        <v>7.19</v>
      </c>
      <c r="R99" s="198"/>
      <c r="S99" s="198"/>
      <c r="T99" s="198"/>
      <c r="U99" s="198"/>
    </row>
    <row r="100" spans="1:33" s="12" customFormat="1" x14ac:dyDescent="0.25">
      <c r="A100" s="214" t="s">
        <v>2641</v>
      </c>
      <c r="B100" s="64">
        <v>32.36</v>
      </c>
      <c r="C100" s="64">
        <v>25.68</v>
      </c>
      <c r="D100" s="64">
        <v>41.42</v>
      </c>
      <c r="E100" s="64">
        <v>2.0499999999999998</v>
      </c>
      <c r="F100" s="64">
        <v>0.24</v>
      </c>
      <c r="G100" s="64">
        <v>146.13</v>
      </c>
      <c r="H100" s="64">
        <v>60.46</v>
      </c>
      <c r="I100" s="64">
        <v>1.45</v>
      </c>
      <c r="J100" s="64">
        <v>7.0000000000000007E-2</v>
      </c>
      <c r="K100" s="64">
        <v>256.54000000000002</v>
      </c>
      <c r="L100" s="64">
        <v>19.12</v>
      </c>
      <c r="M100" s="64">
        <v>71.08</v>
      </c>
      <c r="N100" s="64">
        <v>18.100000000000001</v>
      </c>
      <c r="O100" s="64">
        <v>0</v>
      </c>
      <c r="P100" s="209" t="s">
        <v>36</v>
      </c>
      <c r="Q100" s="64">
        <v>7.4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2642</v>
      </c>
      <c r="B101" s="64">
        <v>30.61</v>
      </c>
      <c r="C101" s="64">
        <v>26.34</v>
      </c>
      <c r="D101" s="64">
        <v>40.380000000000003</v>
      </c>
      <c r="E101" s="64">
        <v>1.73</v>
      </c>
      <c r="F101" s="64">
        <v>0.35</v>
      </c>
      <c r="G101" s="64">
        <v>146.13</v>
      </c>
      <c r="H101" s="64">
        <v>60.46</v>
      </c>
      <c r="I101" s="64">
        <v>1.47</v>
      </c>
      <c r="J101" s="64">
        <v>7.0000000000000007E-2</v>
      </c>
      <c r="K101" s="64">
        <v>334.53</v>
      </c>
      <c r="L101" s="64">
        <v>19.18</v>
      </c>
      <c r="M101" s="64">
        <v>70.09</v>
      </c>
      <c r="N101" s="64">
        <v>18.100000000000001</v>
      </c>
      <c r="O101" s="64">
        <v>0</v>
      </c>
      <c r="P101" s="209" t="s">
        <v>36</v>
      </c>
      <c r="Q101" s="64">
        <v>7.53</v>
      </c>
      <c r="R101" s="198"/>
      <c r="S101" s="198"/>
      <c r="T101" s="198"/>
      <c r="U101" s="198"/>
    </row>
    <row r="102" spans="1:33" s="12" customFormat="1" x14ac:dyDescent="0.25">
      <c r="A102" s="214" t="s">
        <v>2643</v>
      </c>
      <c r="B102" s="64">
        <v>30.92</v>
      </c>
      <c r="C102" s="64">
        <v>25.32</v>
      </c>
      <c r="D102" s="64">
        <v>40.06</v>
      </c>
      <c r="E102" s="64">
        <v>1.86</v>
      </c>
      <c r="F102" s="64">
        <v>0.19</v>
      </c>
      <c r="G102" s="64">
        <v>146.13</v>
      </c>
      <c r="H102" s="64">
        <v>60.46</v>
      </c>
      <c r="I102" s="64">
        <v>1.54</v>
      </c>
      <c r="J102" s="64">
        <v>0.12</v>
      </c>
      <c r="K102" s="64">
        <v>305.08</v>
      </c>
      <c r="L102" s="64">
        <v>18.850000000000001</v>
      </c>
      <c r="M102" s="64">
        <v>72.42</v>
      </c>
      <c r="N102" s="64">
        <v>18.2</v>
      </c>
      <c r="O102" s="64">
        <v>0</v>
      </c>
      <c r="P102" s="209" t="s">
        <v>36</v>
      </c>
      <c r="Q102" s="64">
        <v>7.48</v>
      </c>
      <c r="R102" s="198"/>
      <c r="S102" s="198"/>
      <c r="T102" s="198"/>
      <c r="U102" s="198"/>
    </row>
    <row r="103" spans="1:33" s="12" customFormat="1" x14ac:dyDescent="0.25">
      <c r="A103" s="214" t="s">
        <v>2644</v>
      </c>
      <c r="B103" s="64">
        <v>30.65</v>
      </c>
      <c r="C103" s="64">
        <v>24.82</v>
      </c>
      <c r="D103" s="64">
        <v>39.57</v>
      </c>
      <c r="E103" s="64">
        <v>1.88</v>
      </c>
      <c r="F103" s="64">
        <v>0.13</v>
      </c>
      <c r="G103" s="64">
        <v>134.81</v>
      </c>
      <c r="H103" s="64">
        <v>59.83</v>
      </c>
      <c r="I103" s="64">
        <v>1.51</v>
      </c>
      <c r="J103" s="64">
        <v>0.13</v>
      </c>
      <c r="K103" s="64">
        <v>316.27</v>
      </c>
      <c r="L103" s="64">
        <v>18.510000000000002</v>
      </c>
      <c r="M103" s="64">
        <v>77.67</v>
      </c>
      <c r="N103" s="64">
        <v>18.3</v>
      </c>
      <c r="O103" s="64">
        <v>0</v>
      </c>
      <c r="P103" s="209" t="s">
        <v>36</v>
      </c>
      <c r="Q103" s="64">
        <v>7.46</v>
      </c>
      <c r="R103" s="198"/>
      <c r="S103" s="198"/>
      <c r="T103" s="198"/>
      <c r="U103" s="198"/>
    </row>
    <row r="104" spans="1:33" s="12" customFormat="1" x14ac:dyDescent="0.25">
      <c r="A104" s="214" t="s">
        <v>2645</v>
      </c>
      <c r="B104" s="64">
        <v>28.67</v>
      </c>
      <c r="C104" s="64">
        <v>27.79</v>
      </c>
      <c r="D104" s="64">
        <v>39.619999999999997</v>
      </c>
      <c r="E104" s="64">
        <v>0.76</v>
      </c>
      <c r="F104" s="64">
        <v>0.23</v>
      </c>
      <c r="G104" s="64">
        <v>123.98</v>
      </c>
      <c r="H104" s="64">
        <v>59.24</v>
      </c>
      <c r="I104" s="64">
        <v>1.5</v>
      </c>
      <c r="J104" s="64">
        <v>0.12</v>
      </c>
      <c r="K104" s="64">
        <v>293.43</v>
      </c>
      <c r="L104" s="64">
        <v>18.100000000000001</v>
      </c>
      <c r="M104" s="64">
        <v>78.27</v>
      </c>
      <c r="N104" s="64">
        <v>18.399999999999999</v>
      </c>
      <c r="O104" s="64">
        <v>0</v>
      </c>
      <c r="P104" s="209" t="s">
        <v>36</v>
      </c>
      <c r="Q104" s="64">
        <v>7.42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2.86</v>
      </c>
      <c r="C106" s="67">
        <f>MIN(C9:C104)</f>
        <v>20.74</v>
      </c>
      <c r="D106" s="67">
        <f t="shared" ref="D106:Q106" si="0">MIN(D9:D104)</f>
        <v>18.329999999999998</v>
      </c>
      <c r="E106" s="67">
        <f t="shared" si="0"/>
        <v>0.76</v>
      </c>
      <c r="F106" s="67">
        <f t="shared" si="0"/>
        <v>0.02</v>
      </c>
      <c r="G106" s="67">
        <f t="shared" si="0"/>
        <v>75.42</v>
      </c>
      <c r="H106" s="67">
        <f t="shared" si="0"/>
        <v>35.93</v>
      </c>
      <c r="I106" s="67">
        <f t="shared" si="0"/>
        <v>1.42</v>
      </c>
      <c r="J106" s="67">
        <f t="shared" si="0"/>
        <v>0.01</v>
      </c>
      <c r="K106" s="67">
        <f t="shared" si="0"/>
        <v>4.5999999999999996</v>
      </c>
      <c r="L106" s="67">
        <f t="shared" si="0"/>
        <v>16.57</v>
      </c>
      <c r="M106" s="67">
        <f t="shared" si="0"/>
        <v>22.92</v>
      </c>
      <c r="N106" s="67">
        <f t="shared" si="0"/>
        <v>16.399999999999999</v>
      </c>
      <c r="O106" s="67">
        <f t="shared" si="0"/>
        <v>0</v>
      </c>
      <c r="P106" s="67">
        <f t="shared" si="0"/>
        <v>0.68</v>
      </c>
      <c r="Q106" s="67">
        <f t="shared" si="0"/>
        <v>2.2200000000000002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59.96</v>
      </c>
      <c r="C107" s="66">
        <f t="shared" ref="C107:Q107" si="1">MAX(C9:C104)</f>
        <v>54.45</v>
      </c>
      <c r="D107" s="66">
        <f t="shared" si="1"/>
        <v>65.650000000000006</v>
      </c>
      <c r="E107" s="66">
        <f t="shared" si="1"/>
        <v>4.12</v>
      </c>
      <c r="F107" s="66">
        <f t="shared" si="1"/>
        <v>17.440000000000001</v>
      </c>
      <c r="G107" s="66">
        <f t="shared" si="1"/>
        <v>294.93</v>
      </c>
      <c r="H107" s="66">
        <f t="shared" si="1"/>
        <v>139.24</v>
      </c>
      <c r="I107" s="66">
        <f t="shared" si="1"/>
        <v>1.61</v>
      </c>
      <c r="J107" s="66">
        <f t="shared" si="1"/>
        <v>1.97</v>
      </c>
      <c r="K107" s="66">
        <f t="shared" si="1"/>
        <v>357.2</v>
      </c>
      <c r="L107" s="66">
        <f t="shared" si="1"/>
        <v>31.11</v>
      </c>
      <c r="M107" s="66">
        <f t="shared" si="1"/>
        <v>98.49</v>
      </c>
      <c r="N107" s="66">
        <f t="shared" si="1"/>
        <v>719.2</v>
      </c>
      <c r="O107" s="66">
        <f t="shared" si="1"/>
        <v>0</v>
      </c>
      <c r="P107" s="66">
        <f t="shared" si="1"/>
        <v>1</v>
      </c>
      <c r="Q107" s="66">
        <f t="shared" si="1"/>
        <v>9.86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24.502395833333335</v>
      </c>
      <c r="C108" s="67">
        <f t="shared" ref="C108:Q108" si="2">AVERAGE(C9:C104)</f>
        <v>28.659583333333345</v>
      </c>
      <c r="D108" s="67">
        <f t="shared" si="2"/>
        <v>36.757187499999993</v>
      </c>
      <c r="E108" s="67">
        <f t="shared" si="2"/>
        <v>2.074791666666667</v>
      </c>
      <c r="F108" s="67">
        <f t="shared" si="2"/>
        <v>2.5326041666666663</v>
      </c>
      <c r="G108" s="67">
        <f t="shared" si="2"/>
        <v>134.2938541666667</v>
      </c>
      <c r="H108" s="67">
        <f t="shared" si="2"/>
        <v>69.504999999999967</v>
      </c>
      <c r="I108" s="67">
        <f t="shared" si="2"/>
        <v>1.5077083333333328</v>
      </c>
      <c r="J108" s="67">
        <f t="shared" si="2"/>
        <v>0.40916666666666651</v>
      </c>
      <c r="K108" s="67">
        <f t="shared" si="2"/>
        <v>256.73510416666664</v>
      </c>
      <c r="L108" s="67">
        <f t="shared" si="2"/>
        <v>22.699374999999993</v>
      </c>
      <c r="M108" s="67">
        <f t="shared" si="2"/>
        <v>61.530312500000015</v>
      </c>
      <c r="N108" s="67">
        <f t="shared" si="2"/>
        <v>174.76979166666663</v>
      </c>
      <c r="O108" s="67">
        <f t="shared" si="2"/>
        <v>0</v>
      </c>
      <c r="P108" s="67">
        <f t="shared" si="2"/>
        <v>0.83227272727272739</v>
      </c>
      <c r="Q108" s="67">
        <f t="shared" si="2"/>
        <v>6.5983333333333354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14.219219961194243</v>
      </c>
      <c r="C109" s="67">
        <f t="shared" ref="C109:Q109" si="3">STDEV(C9:C104)</f>
        <v>6.3921137129511214</v>
      </c>
      <c r="D109" s="67">
        <f t="shared" si="3"/>
        <v>10.513422068267161</v>
      </c>
      <c r="E109" s="67">
        <f t="shared" si="3"/>
        <v>0.66672014039927963</v>
      </c>
      <c r="F109" s="67">
        <f t="shared" si="3"/>
        <v>4.0282152884481874</v>
      </c>
      <c r="G109" s="67">
        <f t="shared" si="3"/>
        <v>47.232294736140716</v>
      </c>
      <c r="H109" s="67">
        <f t="shared" si="3"/>
        <v>27.246874857012251</v>
      </c>
      <c r="I109" s="67">
        <f t="shared" si="3"/>
        <v>4.5363541277032002E-2</v>
      </c>
      <c r="J109" s="67">
        <f t="shared" si="3"/>
        <v>0.50007297713047882</v>
      </c>
      <c r="K109" s="67">
        <f t="shared" si="3"/>
        <v>100.79626514587473</v>
      </c>
      <c r="L109" s="67">
        <f t="shared" si="3"/>
        <v>4.8658095691424297</v>
      </c>
      <c r="M109" s="67">
        <f t="shared" si="3"/>
        <v>24.277940277376146</v>
      </c>
      <c r="N109" s="67">
        <f t="shared" si="3"/>
        <v>230.80825494668744</v>
      </c>
      <c r="O109" s="67">
        <f t="shared" si="3"/>
        <v>0</v>
      </c>
      <c r="P109" s="67">
        <f t="shared" si="3"/>
        <v>8.5742239309056695E-2</v>
      </c>
      <c r="Q109" s="67">
        <f t="shared" si="3"/>
        <v>1.6296506998460616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>COUNT(P9:P104)+74</f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2646</v>
      </c>
      <c r="B9" s="64">
        <v>27.89</v>
      </c>
      <c r="C9" s="64">
        <v>28.88</v>
      </c>
      <c r="D9" s="64">
        <v>39.6</v>
      </c>
      <c r="E9" s="64">
        <v>1.43</v>
      </c>
      <c r="F9" s="64">
        <v>0.34</v>
      </c>
      <c r="G9" s="64">
        <v>123.98</v>
      </c>
      <c r="H9" s="64">
        <v>59.24</v>
      </c>
      <c r="I9" s="64">
        <v>1.48</v>
      </c>
      <c r="J9" s="64">
        <v>0.1</v>
      </c>
      <c r="K9" s="64">
        <v>296.87</v>
      </c>
      <c r="L9" s="64">
        <v>17.97</v>
      </c>
      <c r="M9" s="64">
        <v>76.84</v>
      </c>
      <c r="N9" s="64">
        <v>18.3</v>
      </c>
      <c r="O9" s="64">
        <v>0</v>
      </c>
      <c r="P9" s="64">
        <v>1.32</v>
      </c>
      <c r="Q9" s="64">
        <v>7.42</v>
      </c>
      <c r="R9" s="198"/>
      <c r="S9" s="198"/>
      <c r="T9" s="198"/>
      <c r="U9" s="198"/>
    </row>
    <row r="10" spans="1:21" s="12" customFormat="1" x14ac:dyDescent="0.25">
      <c r="A10" s="214" t="s">
        <v>2647</v>
      </c>
      <c r="B10" s="64">
        <v>25.86</v>
      </c>
      <c r="C10" s="64">
        <v>25.9</v>
      </c>
      <c r="D10" s="64">
        <v>36.33</v>
      </c>
      <c r="E10" s="64">
        <v>1.56</v>
      </c>
      <c r="F10" s="64">
        <v>0.75</v>
      </c>
      <c r="G10" s="64">
        <v>123.98</v>
      </c>
      <c r="H10" s="64">
        <v>59.24</v>
      </c>
      <c r="I10" s="64">
        <v>1.52</v>
      </c>
      <c r="J10" s="64">
        <v>0.15</v>
      </c>
      <c r="K10" s="64">
        <v>293.49</v>
      </c>
      <c r="L10" s="64">
        <v>17.97</v>
      </c>
      <c r="M10" s="64">
        <v>77.05</v>
      </c>
      <c r="N10" s="64">
        <v>18.2</v>
      </c>
      <c r="O10" s="64">
        <v>0</v>
      </c>
      <c r="P10" s="64">
        <v>1.26</v>
      </c>
      <c r="Q10" s="64">
        <v>7.46</v>
      </c>
      <c r="R10" s="198"/>
      <c r="S10" s="198"/>
      <c r="T10" s="198"/>
      <c r="U10" s="198"/>
    </row>
    <row r="11" spans="1:21" s="12" customFormat="1" x14ac:dyDescent="0.25">
      <c r="A11" s="214" t="s">
        <v>2648</v>
      </c>
      <c r="B11" s="64">
        <v>26.37</v>
      </c>
      <c r="C11" s="64">
        <v>24.81</v>
      </c>
      <c r="D11" s="64">
        <v>36.130000000000003</v>
      </c>
      <c r="E11" s="64">
        <v>1.44</v>
      </c>
      <c r="F11" s="64">
        <v>0.56000000000000005</v>
      </c>
      <c r="G11" s="64">
        <v>117.2</v>
      </c>
      <c r="H11" s="64">
        <v>57.55</v>
      </c>
      <c r="I11" s="64">
        <v>1.53</v>
      </c>
      <c r="J11" s="64">
        <v>0.14000000000000001</v>
      </c>
      <c r="K11" s="64">
        <v>316.8</v>
      </c>
      <c r="L11" s="64">
        <v>17.88</v>
      </c>
      <c r="M11" s="64">
        <v>80.62</v>
      </c>
      <c r="N11" s="64">
        <v>18.3</v>
      </c>
      <c r="O11" s="64">
        <v>0</v>
      </c>
      <c r="P11" s="64">
        <v>1.26</v>
      </c>
      <c r="Q11" s="64">
        <v>7.41</v>
      </c>
      <c r="R11" s="198"/>
      <c r="S11" s="198"/>
      <c r="T11" s="198"/>
      <c r="U11" s="198"/>
    </row>
    <row r="12" spans="1:21" s="12" customFormat="1" x14ac:dyDescent="0.25">
      <c r="A12" s="214" t="s">
        <v>2649</v>
      </c>
      <c r="B12" s="64">
        <v>27.15</v>
      </c>
      <c r="C12" s="64">
        <v>24.11</v>
      </c>
      <c r="D12" s="64">
        <v>36.369999999999997</v>
      </c>
      <c r="E12" s="64">
        <v>1.67</v>
      </c>
      <c r="F12" s="64">
        <v>0.18</v>
      </c>
      <c r="G12" s="64">
        <v>110.73</v>
      </c>
      <c r="H12" s="64">
        <v>56.78</v>
      </c>
      <c r="I12" s="64">
        <v>1.48</v>
      </c>
      <c r="J12" s="64">
        <v>0.03</v>
      </c>
      <c r="K12" s="64">
        <v>274.77</v>
      </c>
      <c r="L12" s="64">
        <v>17.73</v>
      </c>
      <c r="M12" s="64">
        <v>78.930000000000007</v>
      </c>
      <c r="N12" s="64">
        <v>18.3</v>
      </c>
      <c r="O12" s="64">
        <v>0</v>
      </c>
      <c r="P12" s="64">
        <v>1.25</v>
      </c>
      <c r="Q12" s="64">
        <v>7.23</v>
      </c>
      <c r="R12" s="198"/>
      <c r="S12" s="198"/>
      <c r="T12" s="198"/>
      <c r="U12" s="198"/>
    </row>
    <row r="13" spans="1:21" s="12" customFormat="1" x14ac:dyDescent="0.25">
      <c r="A13" s="214" t="s">
        <v>2650</v>
      </c>
      <c r="B13" s="64">
        <v>26.68</v>
      </c>
      <c r="C13" s="64">
        <v>21.48</v>
      </c>
      <c r="D13" s="64">
        <v>34.54</v>
      </c>
      <c r="E13" s="64">
        <v>1.57</v>
      </c>
      <c r="F13" s="64">
        <v>0.41</v>
      </c>
      <c r="G13" s="64">
        <v>110.73</v>
      </c>
      <c r="H13" s="64">
        <v>56.78</v>
      </c>
      <c r="I13" s="64">
        <v>1.52</v>
      </c>
      <c r="J13" s="64">
        <v>0.13</v>
      </c>
      <c r="K13" s="64">
        <v>321.94</v>
      </c>
      <c r="L13" s="64">
        <v>17.71</v>
      </c>
      <c r="M13" s="64">
        <v>80.94</v>
      </c>
      <c r="N13" s="64">
        <v>18.2</v>
      </c>
      <c r="O13" s="64">
        <v>0</v>
      </c>
      <c r="P13" s="64">
        <v>1.1000000000000001</v>
      </c>
      <c r="Q13" s="64">
        <v>7.13</v>
      </c>
      <c r="R13" s="198"/>
      <c r="S13" s="198"/>
      <c r="T13" s="198"/>
      <c r="U13" s="198"/>
    </row>
    <row r="14" spans="1:21" s="12" customFormat="1" x14ac:dyDescent="0.25">
      <c r="A14" s="214" t="s">
        <v>2651</v>
      </c>
      <c r="B14" s="64">
        <v>25.7</v>
      </c>
      <c r="C14" s="64">
        <v>22.46</v>
      </c>
      <c r="D14" s="64">
        <v>34.299999999999997</v>
      </c>
      <c r="E14" s="64">
        <v>1.51</v>
      </c>
      <c r="F14" s="64">
        <v>0.15</v>
      </c>
      <c r="G14" s="64">
        <v>110.73</v>
      </c>
      <c r="H14" s="64">
        <v>56.78</v>
      </c>
      <c r="I14" s="64">
        <v>1.56</v>
      </c>
      <c r="J14" s="64">
        <v>7.0000000000000007E-2</v>
      </c>
      <c r="K14" s="64">
        <v>267.19</v>
      </c>
      <c r="L14" s="64">
        <v>17.899999999999999</v>
      </c>
      <c r="M14" s="64">
        <v>79.27</v>
      </c>
      <c r="N14" s="64">
        <v>18.100000000000001</v>
      </c>
      <c r="O14" s="64">
        <v>0</v>
      </c>
      <c r="P14" s="64">
        <v>1.1599999999999999</v>
      </c>
      <c r="Q14" s="64">
        <v>7.04</v>
      </c>
      <c r="R14" s="198"/>
      <c r="S14" s="198"/>
      <c r="T14" s="198"/>
      <c r="U14" s="198"/>
    </row>
    <row r="15" spans="1:21" s="12" customFormat="1" x14ac:dyDescent="0.25">
      <c r="A15" s="214" t="s">
        <v>2652</v>
      </c>
      <c r="B15" s="64">
        <v>24.76</v>
      </c>
      <c r="C15" s="64">
        <v>22.5</v>
      </c>
      <c r="D15" s="64">
        <v>33.56</v>
      </c>
      <c r="E15" s="64">
        <v>1.29</v>
      </c>
      <c r="F15" s="64">
        <v>0.02</v>
      </c>
      <c r="G15" s="64">
        <v>100.75</v>
      </c>
      <c r="H15" s="64">
        <v>53.98</v>
      </c>
      <c r="I15" s="64">
        <v>1.53</v>
      </c>
      <c r="J15" s="64">
        <v>0.08</v>
      </c>
      <c r="K15" s="64">
        <v>188.23</v>
      </c>
      <c r="L15" s="64">
        <v>17.87</v>
      </c>
      <c r="M15" s="64">
        <v>79.62</v>
      </c>
      <c r="N15" s="64">
        <v>18.100000000000001</v>
      </c>
      <c r="O15" s="64">
        <v>0</v>
      </c>
      <c r="P15" s="64">
        <v>1.1299999999999999</v>
      </c>
      <c r="Q15" s="64">
        <v>6.98</v>
      </c>
      <c r="R15" s="198"/>
      <c r="S15" s="198"/>
      <c r="T15" s="198"/>
      <c r="U15" s="198"/>
    </row>
    <row r="16" spans="1:21" s="12" customFormat="1" x14ac:dyDescent="0.25">
      <c r="A16" s="214" t="s">
        <v>2653</v>
      </c>
      <c r="B16" s="64">
        <v>23.82</v>
      </c>
      <c r="C16" s="64">
        <v>21.74</v>
      </c>
      <c r="D16" s="64">
        <v>32.39</v>
      </c>
      <c r="E16" s="64">
        <v>1.1200000000000001</v>
      </c>
      <c r="F16" s="64">
        <v>0.16</v>
      </c>
      <c r="G16" s="64">
        <v>91.21</v>
      </c>
      <c r="H16" s="64">
        <v>52.7</v>
      </c>
      <c r="I16" s="64">
        <v>1.57</v>
      </c>
      <c r="J16" s="64">
        <v>0.08</v>
      </c>
      <c r="K16" s="64">
        <v>320.82</v>
      </c>
      <c r="L16" s="64">
        <v>17.600000000000001</v>
      </c>
      <c r="M16" s="64">
        <v>83.33</v>
      </c>
      <c r="N16" s="64">
        <v>18.2</v>
      </c>
      <c r="O16" s="64">
        <v>0</v>
      </c>
      <c r="P16" s="64">
        <v>1.1000000000000001</v>
      </c>
      <c r="Q16" s="64">
        <v>6.92</v>
      </c>
      <c r="R16" s="198"/>
      <c r="S16" s="198"/>
      <c r="T16" s="198"/>
      <c r="U16" s="198"/>
    </row>
    <row r="17" spans="1:21" s="12" customFormat="1" x14ac:dyDescent="0.25">
      <c r="A17" s="214" t="s">
        <v>2654</v>
      </c>
      <c r="B17" s="64">
        <v>22.92</v>
      </c>
      <c r="C17" s="64">
        <v>21.65</v>
      </c>
      <c r="D17" s="64">
        <v>31.62</v>
      </c>
      <c r="E17" s="64">
        <v>1.35</v>
      </c>
      <c r="F17" s="64">
        <v>0.02</v>
      </c>
      <c r="G17" s="64">
        <v>91.21</v>
      </c>
      <c r="H17" s="64">
        <v>52.7</v>
      </c>
      <c r="I17" s="64">
        <v>1.52</v>
      </c>
      <c r="J17" s="64">
        <v>0.09</v>
      </c>
      <c r="K17" s="64">
        <v>82.85</v>
      </c>
      <c r="L17" s="64">
        <v>17.350000000000001</v>
      </c>
      <c r="M17" s="64">
        <v>85.51</v>
      </c>
      <c r="N17" s="64">
        <v>18.100000000000001</v>
      </c>
      <c r="O17" s="64">
        <v>0</v>
      </c>
      <c r="P17" s="64">
        <v>1.08</v>
      </c>
      <c r="Q17" s="64">
        <v>6.81</v>
      </c>
      <c r="R17" s="198"/>
      <c r="S17" s="198"/>
      <c r="T17" s="198"/>
      <c r="U17" s="198"/>
    </row>
    <row r="18" spans="1:21" s="12" customFormat="1" x14ac:dyDescent="0.25">
      <c r="A18" s="214" t="s">
        <v>2655</v>
      </c>
      <c r="B18" s="64">
        <v>22.12</v>
      </c>
      <c r="C18" s="64">
        <v>20.78</v>
      </c>
      <c r="D18" s="64">
        <v>30.5</v>
      </c>
      <c r="E18" s="64">
        <v>1.47</v>
      </c>
      <c r="F18" s="64">
        <v>0.14000000000000001</v>
      </c>
      <c r="G18" s="64">
        <v>91.21</v>
      </c>
      <c r="H18" s="64">
        <v>52.7</v>
      </c>
      <c r="I18" s="64">
        <v>1.49</v>
      </c>
      <c r="J18" s="64">
        <v>0.1</v>
      </c>
      <c r="K18" s="64">
        <v>291.72000000000003</v>
      </c>
      <c r="L18" s="64">
        <v>17.190000000000001</v>
      </c>
      <c r="M18" s="64">
        <v>87.69</v>
      </c>
      <c r="N18" s="64">
        <v>18.3</v>
      </c>
      <c r="O18" s="64">
        <v>0</v>
      </c>
      <c r="P18" s="64">
        <v>1.06</v>
      </c>
      <c r="Q18" s="64">
        <v>6.77</v>
      </c>
      <c r="R18" s="198"/>
      <c r="S18" s="198"/>
      <c r="T18" s="198"/>
      <c r="U18" s="198"/>
    </row>
    <row r="19" spans="1:21" s="12" customFormat="1" x14ac:dyDescent="0.25">
      <c r="A19" s="214" t="s">
        <v>2656</v>
      </c>
      <c r="B19" s="64">
        <v>21.5</v>
      </c>
      <c r="C19" s="64">
        <v>20.65</v>
      </c>
      <c r="D19" s="64">
        <v>29.93</v>
      </c>
      <c r="E19" s="64">
        <v>1.29</v>
      </c>
      <c r="F19" s="64">
        <v>0.15</v>
      </c>
      <c r="G19" s="64">
        <v>89.14</v>
      </c>
      <c r="H19" s="64">
        <v>49.79</v>
      </c>
      <c r="I19" s="64">
        <v>1.59</v>
      </c>
      <c r="J19" s="64">
        <v>0.08</v>
      </c>
      <c r="K19" s="64">
        <v>292.61</v>
      </c>
      <c r="L19" s="64">
        <v>16.920000000000002</v>
      </c>
      <c r="M19" s="64">
        <v>90.86</v>
      </c>
      <c r="N19" s="64">
        <v>18.3</v>
      </c>
      <c r="O19" s="64">
        <v>0</v>
      </c>
      <c r="P19" s="64">
        <v>1.04</v>
      </c>
      <c r="Q19" s="64">
        <v>6.67</v>
      </c>
      <c r="R19" s="198"/>
      <c r="S19" s="198"/>
      <c r="T19" s="198"/>
      <c r="U19" s="198"/>
    </row>
    <row r="20" spans="1:21" s="12" customFormat="1" x14ac:dyDescent="0.25">
      <c r="A20" s="214" t="s">
        <v>2657</v>
      </c>
      <c r="B20" s="64">
        <v>18.68</v>
      </c>
      <c r="C20" s="64">
        <v>20.239999999999998</v>
      </c>
      <c r="D20" s="64">
        <v>27.44</v>
      </c>
      <c r="E20" s="64">
        <v>1.24</v>
      </c>
      <c r="F20" s="64">
        <v>0.53</v>
      </c>
      <c r="G20" s="64">
        <v>87.24</v>
      </c>
      <c r="H20" s="64">
        <v>48.46</v>
      </c>
      <c r="I20" s="64">
        <v>1.49</v>
      </c>
      <c r="J20" s="64">
        <v>0.1</v>
      </c>
      <c r="K20" s="64">
        <v>212.52</v>
      </c>
      <c r="L20" s="64">
        <v>17.16</v>
      </c>
      <c r="M20" s="64">
        <v>85.83</v>
      </c>
      <c r="N20" s="64">
        <v>17.899999999999999</v>
      </c>
      <c r="O20" s="64">
        <v>0</v>
      </c>
      <c r="P20" s="64">
        <v>1</v>
      </c>
      <c r="Q20" s="64">
        <v>6.62</v>
      </c>
      <c r="R20" s="198"/>
      <c r="S20" s="198"/>
      <c r="T20" s="198"/>
      <c r="U20" s="198"/>
    </row>
    <row r="21" spans="1:21" s="12" customFormat="1" x14ac:dyDescent="0.25">
      <c r="A21" s="214" t="s">
        <v>2658</v>
      </c>
      <c r="B21" s="64">
        <v>17.84</v>
      </c>
      <c r="C21" s="64">
        <v>20.51</v>
      </c>
      <c r="D21" s="64">
        <v>26.92</v>
      </c>
      <c r="E21" s="64">
        <v>1.47</v>
      </c>
      <c r="F21" s="64">
        <v>0.67</v>
      </c>
      <c r="G21" s="64">
        <v>87.24</v>
      </c>
      <c r="H21" s="64">
        <v>48.46</v>
      </c>
      <c r="I21" s="64">
        <v>1.45</v>
      </c>
      <c r="J21" s="64">
        <v>0.04</v>
      </c>
      <c r="K21" s="64">
        <v>267.98</v>
      </c>
      <c r="L21" s="64">
        <v>17.13</v>
      </c>
      <c r="M21" s="64">
        <v>84.41</v>
      </c>
      <c r="N21" s="64">
        <v>18.100000000000001</v>
      </c>
      <c r="O21" s="64">
        <v>0</v>
      </c>
      <c r="P21" s="64">
        <v>0.98</v>
      </c>
      <c r="Q21" s="64">
        <v>6.6</v>
      </c>
      <c r="R21" s="198"/>
      <c r="S21" s="198"/>
      <c r="T21" s="198"/>
      <c r="U21" s="198"/>
    </row>
    <row r="22" spans="1:21" s="12" customFormat="1" x14ac:dyDescent="0.25">
      <c r="A22" s="214" t="s">
        <v>2659</v>
      </c>
      <c r="B22" s="64">
        <v>18.66</v>
      </c>
      <c r="C22" s="64">
        <v>20.47</v>
      </c>
      <c r="D22" s="64">
        <v>27.55</v>
      </c>
      <c r="E22" s="64">
        <v>1.4</v>
      </c>
      <c r="F22" s="64">
        <v>0.63</v>
      </c>
      <c r="G22" s="64">
        <v>87.24</v>
      </c>
      <c r="H22" s="64">
        <v>48.46</v>
      </c>
      <c r="I22" s="64">
        <v>1.52</v>
      </c>
      <c r="J22" s="64">
        <v>0.06</v>
      </c>
      <c r="K22" s="64">
        <v>4.24</v>
      </c>
      <c r="L22" s="64">
        <v>16.7</v>
      </c>
      <c r="M22" s="64">
        <v>88.14</v>
      </c>
      <c r="N22" s="64">
        <v>18.399999999999999</v>
      </c>
      <c r="O22" s="64">
        <v>0</v>
      </c>
      <c r="P22" s="64">
        <v>0.95</v>
      </c>
      <c r="Q22" s="64">
        <v>6.56</v>
      </c>
      <c r="R22" s="198"/>
      <c r="S22" s="198"/>
      <c r="T22" s="198"/>
      <c r="U22" s="198"/>
    </row>
    <row r="23" spans="1:21" s="12" customFormat="1" x14ac:dyDescent="0.25">
      <c r="A23" s="214" t="s">
        <v>2660</v>
      </c>
      <c r="B23" s="64">
        <v>17.07</v>
      </c>
      <c r="C23" s="64">
        <v>21.06</v>
      </c>
      <c r="D23" s="64">
        <v>26.6</v>
      </c>
      <c r="E23" s="64">
        <v>1.71</v>
      </c>
      <c r="F23" s="64">
        <v>1.71</v>
      </c>
      <c r="G23" s="64">
        <v>81.7</v>
      </c>
      <c r="H23" s="64">
        <v>46.75</v>
      </c>
      <c r="I23" s="64">
        <v>1.49</v>
      </c>
      <c r="J23" s="64">
        <v>0.1</v>
      </c>
      <c r="K23" s="64">
        <v>233.88</v>
      </c>
      <c r="L23" s="64">
        <v>16.79</v>
      </c>
      <c r="M23" s="64">
        <v>86.01</v>
      </c>
      <c r="N23" s="64">
        <v>18.100000000000001</v>
      </c>
      <c r="O23" s="64">
        <v>0</v>
      </c>
      <c r="P23" s="64">
        <v>0.93</v>
      </c>
      <c r="Q23" s="64">
        <v>6.51</v>
      </c>
      <c r="R23" s="198"/>
      <c r="S23" s="198"/>
      <c r="T23" s="198"/>
      <c r="U23" s="198"/>
    </row>
    <row r="24" spans="1:21" s="12" customFormat="1" x14ac:dyDescent="0.25">
      <c r="A24" s="214" t="s">
        <v>2661</v>
      </c>
      <c r="B24" s="64">
        <v>17.82</v>
      </c>
      <c r="C24" s="64">
        <v>21.3</v>
      </c>
      <c r="D24" s="64">
        <v>27.33</v>
      </c>
      <c r="E24" s="64">
        <v>1.02</v>
      </c>
      <c r="F24" s="64">
        <v>0.44</v>
      </c>
      <c r="G24" s="64">
        <v>76.400000000000006</v>
      </c>
      <c r="H24" s="64">
        <v>45.97</v>
      </c>
      <c r="I24" s="64">
        <v>1.53</v>
      </c>
      <c r="J24" s="64">
        <v>0.15</v>
      </c>
      <c r="K24" s="64">
        <v>304.89999999999998</v>
      </c>
      <c r="L24" s="64">
        <v>16.63</v>
      </c>
      <c r="M24" s="64">
        <v>91.16</v>
      </c>
      <c r="N24" s="64">
        <v>18.2</v>
      </c>
      <c r="O24" s="64">
        <v>0</v>
      </c>
      <c r="P24" s="64">
        <v>0.91</v>
      </c>
      <c r="Q24" s="64">
        <v>6.44</v>
      </c>
      <c r="R24" s="198"/>
      <c r="S24" s="198"/>
      <c r="T24" s="198"/>
      <c r="U24" s="198"/>
    </row>
    <row r="25" spans="1:21" s="12" customFormat="1" x14ac:dyDescent="0.25">
      <c r="A25" s="214" t="s">
        <v>2662</v>
      </c>
      <c r="B25" s="64">
        <v>18.03</v>
      </c>
      <c r="C25" s="64">
        <v>19.3</v>
      </c>
      <c r="D25" s="64">
        <v>26.4</v>
      </c>
      <c r="E25" s="64">
        <v>1.23</v>
      </c>
      <c r="F25" s="64">
        <v>0.45</v>
      </c>
      <c r="G25" s="64">
        <v>76.400000000000006</v>
      </c>
      <c r="H25" s="64">
        <v>45.97</v>
      </c>
      <c r="I25" s="64">
        <v>1.6</v>
      </c>
      <c r="J25" s="64">
        <v>0.12</v>
      </c>
      <c r="K25" s="64">
        <v>243.56</v>
      </c>
      <c r="L25" s="64">
        <v>16.690000000000001</v>
      </c>
      <c r="M25" s="64">
        <v>86.75</v>
      </c>
      <c r="N25" s="64">
        <v>18</v>
      </c>
      <c r="O25" s="64">
        <v>0</v>
      </c>
      <c r="P25" s="64">
        <v>0.89</v>
      </c>
      <c r="Q25" s="64">
        <v>6.4</v>
      </c>
      <c r="R25" s="198"/>
      <c r="S25" s="198"/>
      <c r="T25" s="198"/>
      <c r="U25" s="198"/>
    </row>
    <row r="26" spans="1:21" s="12" customFormat="1" x14ac:dyDescent="0.25">
      <c r="A26" s="214" t="s">
        <v>2663</v>
      </c>
      <c r="B26" s="64">
        <v>17.600000000000001</v>
      </c>
      <c r="C26" s="64">
        <v>20.58</v>
      </c>
      <c r="D26" s="64">
        <v>26.77</v>
      </c>
      <c r="E26" s="64">
        <v>0.99</v>
      </c>
      <c r="F26" s="64">
        <v>0.12</v>
      </c>
      <c r="G26" s="64">
        <v>76.400000000000006</v>
      </c>
      <c r="H26" s="64">
        <v>45.97</v>
      </c>
      <c r="I26" s="64">
        <v>1.5</v>
      </c>
      <c r="J26" s="64">
        <v>7.0000000000000007E-2</v>
      </c>
      <c r="K26" s="64">
        <v>244.09</v>
      </c>
      <c r="L26" s="64">
        <v>16.97</v>
      </c>
      <c r="M26" s="64">
        <v>86.34</v>
      </c>
      <c r="N26" s="64">
        <v>17.899999999999999</v>
      </c>
      <c r="O26" s="64">
        <v>0</v>
      </c>
      <c r="P26" s="64">
        <v>0.88</v>
      </c>
      <c r="Q26" s="64">
        <v>6.32</v>
      </c>
      <c r="R26" s="198"/>
      <c r="S26" s="198"/>
      <c r="T26" s="198"/>
      <c r="U26" s="198"/>
    </row>
    <row r="27" spans="1:21" s="12" customFormat="1" x14ac:dyDescent="0.25">
      <c r="A27" s="214" t="s">
        <v>2664</v>
      </c>
      <c r="B27" s="64">
        <v>17.11</v>
      </c>
      <c r="C27" s="64">
        <v>20.62</v>
      </c>
      <c r="D27" s="64">
        <v>26.4</v>
      </c>
      <c r="E27" s="64">
        <v>1.29</v>
      </c>
      <c r="F27" s="64">
        <v>7.0000000000000007E-2</v>
      </c>
      <c r="G27" s="64">
        <v>71.680000000000007</v>
      </c>
      <c r="H27" s="64">
        <v>43.7</v>
      </c>
      <c r="I27" s="64">
        <v>1.54</v>
      </c>
      <c r="J27" s="64">
        <v>0.16</v>
      </c>
      <c r="K27" s="64">
        <v>195.56</v>
      </c>
      <c r="L27" s="64">
        <v>17.37</v>
      </c>
      <c r="M27" s="64">
        <v>83.73</v>
      </c>
      <c r="N27" s="64">
        <v>17.5</v>
      </c>
      <c r="O27" s="64">
        <v>0</v>
      </c>
      <c r="P27" s="64">
        <v>0.86</v>
      </c>
      <c r="Q27" s="64">
        <v>6.3</v>
      </c>
      <c r="R27" s="198"/>
      <c r="S27" s="198"/>
      <c r="T27" s="198"/>
      <c r="U27" s="198"/>
    </row>
    <row r="28" spans="1:21" s="12" customFormat="1" x14ac:dyDescent="0.25">
      <c r="A28" s="214" t="s">
        <v>2665</v>
      </c>
      <c r="B28" s="64">
        <v>16.62</v>
      </c>
      <c r="C28" s="64">
        <v>19.98</v>
      </c>
      <c r="D28" s="64">
        <v>25.65</v>
      </c>
      <c r="E28" s="64">
        <v>1.1299999999999999</v>
      </c>
      <c r="F28" s="64">
        <v>0.14000000000000001</v>
      </c>
      <c r="G28" s="64">
        <v>67.349999999999994</v>
      </c>
      <c r="H28" s="64">
        <v>42.66</v>
      </c>
      <c r="I28" s="64">
        <v>1.49</v>
      </c>
      <c r="J28" s="64">
        <v>0.06</v>
      </c>
      <c r="K28" s="64">
        <v>139.11000000000001</v>
      </c>
      <c r="L28" s="64">
        <v>17.04</v>
      </c>
      <c r="M28" s="64">
        <v>87.33</v>
      </c>
      <c r="N28" s="64">
        <v>18.2</v>
      </c>
      <c r="O28" s="64">
        <v>0</v>
      </c>
      <c r="P28" s="64">
        <v>0.85</v>
      </c>
      <c r="Q28" s="64">
        <v>6.29</v>
      </c>
      <c r="R28" s="198"/>
      <c r="S28" s="198"/>
      <c r="T28" s="198"/>
      <c r="U28" s="198"/>
    </row>
    <row r="29" spans="1:21" s="12" customFormat="1" x14ac:dyDescent="0.25">
      <c r="A29" s="214" t="s">
        <v>2666</v>
      </c>
      <c r="B29" s="64">
        <v>16.690000000000001</v>
      </c>
      <c r="C29" s="64">
        <v>19.59</v>
      </c>
      <c r="D29" s="64">
        <v>25.49</v>
      </c>
      <c r="E29" s="64">
        <v>1.07</v>
      </c>
      <c r="F29" s="64">
        <v>0.21</v>
      </c>
      <c r="G29" s="64">
        <v>67.349999999999994</v>
      </c>
      <c r="H29" s="64">
        <v>42.66</v>
      </c>
      <c r="I29" s="64">
        <v>1.51</v>
      </c>
      <c r="J29" s="64">
        <v>0.13</v>
      </c>
      <c r="K29" s="64">
        <v>333.16</v>
      </c>
      <c r="L29" s="64">
        <v>16.440000000000001</v>
      </c>
      <c r="M29" s="64">
        <v>92.26</v>
      </c>
      <c r="N29" s="64">
        <v>18.399999999999999</v>
      </c>
      <c r="O29" s="64">
        <v>0</v>
      </c>
      <c r="P29" s="64">
        <v>0.84</v>
      </c>
      <c r="Q29" s="64">
        <v>6.26</v>
      </c>
      <c r="R29" s="198"/>
      <c r="S29" s="198"/>
      <c r="T29" s="198"/>
      <c r="U29" s="198"/>
    </row>
    <row r="30" spans="1:21" s="12" customFormat="1" x14ac:dyDescent="0.25">
      <c r="A30" s="214" t="s">
        <v>2667</v>
      </c>
      <c r="B30" s="64">
        <v>17.059999999999999</v>
      </c>
      <c r="C30" s="64">
        <v>19.88</v>
      </c>
      <c r="D30" s="64">
        <v>25.94</v>
      </c>
      <c r="E30" s="64">
        <v>1.1100000000000001</v>
      </c>
      <c r="F30" s="64">
        <v>0.09</v>
      </c>
      <c r="G30" s="64">
        <v>67.349999999999994</v>
      </c>
      <c r="H30" s="64">
        <v>42.66</v>
      </c>
      <c r="I30" s="64">
        <v>1.45</v>
      </c>
      <c r="J30" s="64">
        <v>7.0000000000000007E-2</v>
      </c>
      <c r="K30" s="64">
        <v>305.37</v>
      </c>
      <c r="L30" s="64">
        <v>16.03</v>
      </c>
      <c r="M30" s="64">
        <v>95.3</v>
      </c>
      <c r="N30" s="64">
        <v>18.2</v>
      </c>
      <c r="O30" s="64">
        <v>0</v>
      </c>
      <c r="P30" s="64">
        <v>0.83</v>
      </c>
      <c r="Q30" s="64">
        <v>6.27</v>
      </c>
      <c r="R30" s="198"/>
      <c r="S30" s="198"/>
      <c r="T30" s="198"/>
      <c r="U30" s="198"/>
    </row>
    <row r="31" spans="1:21" s="12" customFormat="1" x14ac:dyDescent="0.25">
      <c r="A31" s="214" t="s">
        <v>2668</v>
      </c>
      <c r="B31" s="64">
        <v>17.32</v>
      </c>
      <c r="C31" s="64">
        <v>20.260000000000002</v>
      </c>
      <c r="D31" s="64">
        <v>26.36</v>
      </c>
      <c r="E31" s="64">
        <v>1.29</v>
      </c>
      <c r="F31" s="64">
        <v>0.03</v>
      </c>
      <c r="G31" s="64">
        <v>70.06</v>
      </c>
      <c r="H31" s="64">
        <v>42.96</v>
      </c>
      <c r="I31" s="64">
        <v>1.49</v>
      </c>
      <c r="J31" s="64">
        <v>0.32</v>
      </c>
      <c r="K31" s="64">
        <v>341.6</v>
      </c>
      <c r="L31" s="64">
        <v>15.97</v>
      </c>
      <c r="M31" s="64">
        <v>95.02</v>
      </c>
      <c r="N31" s="64">
        <v>18.2</v>
      </c>
      <c r="O31" s="64">
        <v>0</v>
      </c>
      <c r="P31" s="64">
        <v>0.82</v>
      </c>
      <c r="Q31" s="64">
        <v>6.34</v>
      </c>
      <c r="R31" s="198"/>
      <c r="S31" s="198"/>
      <c r="T31" s="198"/>
      <c r="U31" s="198"/>
    </row>
    <row r="32" spans="1:21" s="12" customFormat="1" x14ac:dyDescent="0.25">
      <c r="A32" s="214" t="s">
        <v>2669</v>
      </c>
      <c r="B32" s="64">
        <v>17.55</v>
      </c>
      <c r="C32" s="64">
        <v>20.21</v>
      </c>
      <c r="D32" s="64">
        <v>26.52</v>
      </c>
      <c r="E32" s="64">
        <v>1.17</v>
      </c>
      <c r="F32" s="64">
        <v>0.13</v>
      </c>
      <c r="G32" s="64">
        <v>72.53</v>
      </c>
      <c r="H32" s="64">
        <v>43.25</v>
      </c>
      <c r="I32" s="64">
        <v>1.47</v>
      </c>
      <c r="J32" s="64">
        <v>0.61</v>
      </c>
      <c r="K32" s="64">
        <v>335.71</v>
      </c>
      <c r="L32" s="64">
        <v>16.059999999999999</v>
      </c>
      <c r="M32" s="64">
        <v>94.2</v>
      </c>
      <c r="N32" s="64">
        <v>20.6</v>
      </c>
      <c r="O32" s="64">
        <v>0</v>
      </c>
      <c r="P32" s="64">
        <v>0.81</v>
      </c>
      <c r="Q32" s="64">
        <v>6.35</v>
      </c>
      <c r="R32" s="198"/>
      <c r="S32" s="198"/>
      <c r="T32" s="198"/>
      <c r="U32" s="198"/>
    </row>
    <row r="33" spans="1:21" s="12" customFormat="1" x14ac:dyDescent="0.25">
      <c r="A33" s="214" t="s">
        <v>2670</v>
      </c>
      <c r="B33" s="64">
        <v>18.100000000000001</v>
      </c>
      <c r="C33" s="64">
        <v>20.5</v>
      </c>
      <c r="D33" s="64">
        <v>27.12</v>
      </c>
      <c r="E33" s="64">
        <v>1.3</v>
      </c>
      <c r="F33" s="64">
        <v>0.09</v>
      </c>
      <c r="G33" s="64">
        <v>72.53</v>
      </c>
      <c r="H33" s="64">
        <v>43.25</v>
      </c>
      <c r="I33" s="64">
        <v>1.47</v>
      </c>
      <c r="J33" s="64">
        <v>0.37</v>
      </c>
      <c r="K33" s="64">
        <v>345.46</v>
      </c>
      <c r="L33" s="64">
        <v>16.29</v>
      </c>
      <c r="M33" s="64">
        <v>91.41</v>
      </c>
      <c r="N33" s="64">
        <v>31.2</v>
      </c>
      <c r="O33" s="64">
        <v>0</v>
      </c>
      <c r="P33" s="64">
        <v>0.81</v>
      </c>
      <c r="Q33" s="64">
        <v>6.34</v>
      </c>
      <c r="R33" s="198"/>
      <c r="S33" s="198"/>
      <c r="T33" s="198"/>
      <c r="U33" s="198"/>
    </row>
    <row r="34" spans="1:21" s="12" customFormat="1" x14ac:dyDescent="0.25">
      <c r="A34" s="214" t="s">
        <v>2671</v>
      </c>
      <c r="B34" s="64">
        <v>18.55</v>
      </c>
      <c r="C34" s="64">
        <v>21.29</v>
      </c>
      <c r="D34" s="64">
        <v>27.92</v>
      </c>
      <c r="E34" s="64">
        <v>1.26</v>
      </c>
      <c r="F34" s="64">
        <v>0.05</v>
      </c>
      <c r="G34" s="64">
        <v>72.53</v>
      </c>
      <c r="H34" s="64">
        <v>43.25</v>
      </c>
      <c r="I34" s="64">
        <v>1.49</v>
      </c>
      <c r="J34" s="64">
        <v>0.28000000000000003</v>
      </c>
      <c r="K34" s="64">
        <v>338.6</v>
      </c>
      <c r="L34" s="64">
        <v>16.53</v>
      </c>
      <c r="M34" s="64">
        <v>89.58</v>
      </c>
      <c r="N34" s="64">
        <v>47.5</v>
      </c>
      <c r="O34" s="64">
        <v>0</v>
      </c>
      <c r="P34" s="64">
        <v>0.82</v>
      </c>
      <c r="Q34" s="64">
        <v>6.4</v>
      </c>
      <c r="R34" s="198"/>
      <c r="S34" s="198"/>
      <c r="T34" s="198"/>
      <c r="U34" s="198"/>
    </row>
    <row r="35" spans="1:21" s="12" customFormat="1" x14ac:dyDescent="0.25">
      <c r="A35" s="214" t="s">
        <v>2672</v>
      </c>
      <c r="B35" s="64">
        <v>19.52</v>
      </c>
      <c r="C35" s="64">
        <v>22.4</v>
      </c>
      <c r="D35" s="64">
        <v>29.31</v>
      </c>
      <c r="E35" s="64">
        <v>1.1000000000000001</v>
      </c>
      <c r="F35" s="64">
        <v>0.08</v>
      </c>
      <c r="G35" s="64">
        <v>81.37</v>
      </c>
      <c r="H35" s="64">
        <v>45.48</v>
      </c>
      <c r="I35" s="64">
        <v>1.44</v>
      </c>
      <c r="J35" s="64">
        <v>0.13</v>
      </c>
      <c r="K35" s="64">
        <v>357.84</v>
      </c>
      <c r="L35" s="64">
        <v>17</v>
      </c>
      <c r="M35" s="64">
        <v>87.79</v>
      </c>
      <c r="N35" s="64">
        <v>72.599999999999994</v>
      </c>
      <c r="O35" s="64">
        <v>0</v>
      </c>
      <c r="P35" s="64">
        <v>0.82</v>
      </c>
      <c r="Q35" s="64">
        <v>6.42</v>
      </c>
      <c r="R35" s="198"/>
      <c r="S35" s="198"/>
      <c r="T35" s="198"/>
      <c r="U35" s="198"/>
    </row>
    <row r="36" spans="1:21" s="12" customFormat="1" x14ac:dyDescent="0.25">
      <c r="A36" s="214" t="s">
        <v>2673</v>
      </c>
      <c r="B36" s="64">
        <v>21.64</v>
      </c>
      <c r="C36" s="64">
        <v>22.61</v>
      </c>
      <c r="D36" s="64">
        <v>31.12</v>
      </c>
      <c r="E36" s="64">
        <v>1.33</v>
      </c>
      <c r="F36" s="64">
        <v>0.13</v>
      </c>
      <c r="G36" s="64">
        <v>89.82</v>
      </c>
      <c r="H36" s="64">
        <v>46.5</v>
      </c>
      <c r="I36" s="64">
        <v>1.48</v>
      </c>
      <c r="J36" s="64">
        <v>0.23</v>
      </c>
      <c r="K36" s="64">
        <v>348.77</v>
      </c>
      <c r="L36" s="64">
        <v>18.14</v>
      </c>
      <c r="M36" s="64">
        <v>82.52</v>
      </c>
      <c r="N36" s="64">
        <v>131.30000000000001</v>
      </c>
      <c r="O36" s="64">
        <v>0</v>
      </c>
      <c r="P36" s="64">
        <v>0.84</v>
      </c>
      <c r="Q36" s="64">
        <v>6.47</v>
      </c>
      <c r="R36" s="198"/>
      <c r="S36" s="198"/>
      <c r="T36" s="198"/>
      <c r="U36" s="198"/>
    </row>
    <row r="37" spans="1:21" s="12" customFormat="1" x14ac:dyDescent="0.25">
      <c r="A37" s="214" t="s">
        <v>2674</v>
      </c>
      <c r="B37" s="64">
        <v>23.81</v>
      </c>
      <c r="C37" s="64">
        <v>22</v>
      </c>
      <c r="D37" s="64">
        <v>32.53</v>
      </c>
      <c r="E37" s="64">
        <v>1.33</v>
      </c>
      <c r="F37" s="64">
        <v>0.35</v>
      </c>
      <c r="G37" s="64">
        <v>89.82</v>
      </c>
      <c r="H37" s="64">
        <v>46.5</v>
      </c>
      <c r="I37" s="64">
        <v>1.48</v>
      </c>
      <c r="J37" s="64">
        <v>0.26</v>
      </c>
      <c r="K37" s="64">
        <v>354.59</v>
      </c>
      <c r="L37" s="64">
        <v>20.64</v>
      </c>
      <c r="M37" s="64">
        <v>70.08</v>
      </c>
      <c r="N37" s="64">
        <v>182.8</v>
      </c>
      <c r="O37" s="64">
        <v>0</v>
      </c>
      <c r="P37" s="64">
        <v>0.84</v>
      </c>
      <c r="Q37" s="64">
        <v>6.66</v>
      </c>
      <c r="R37" s="198"/>
      <c r="S37" s="198"/>
      <c r="T37" s="198"/>
      <c r="U37" s="198"/>
    </row>
    <row r="38" spans="1:21" s="12" customFormat="1" x14ac:dyDescent="0.25">
      <c r="A38" s="214" t="s">
        <v>2675</v>
      </c>
      <c r="B38" s="64">
        <v>25.51</v>
      </c>
      <c r="C38" s="64">
        <v>22</v>
      </c>
      <c r="D38" s="64">
        <v>33.89</v>
      </c>
      <c r="E38" s="64">
        <v>1.41</v>
      </c>
      <c r="F38" s="64">
        <v>0.33</v>
      </c>
      <c r="G38" s="64">
        <v>89.82</v>
      </c>
      <c r="H38" s="64">
        <v>46.5</v>
      </c>
      <c r="I38" s="64">
        <v>1.57</v>
      </c>
      <c r="J38" s="64">
        <v>0.16</v>
      </c>
      <c r="K38" s="64">
        <v>7.3</v>
      </c>
      <c r="L38" s="64">
        <v>22.35</v>
      </c>
      <c r="M38" s="64">
        <v>63.45</v>
      </c>
      <c r="N38" s="64">
        <v>231.2</v>
      </c>
      <c r="O38" s="64">
        <v>0</v>
      </c>
      <c r="P38" s="64">
        <v>0.88</v>
      </c>
      <c r="Q38" s="64">
        <v>6.84</v>
      </c>
      <c r="R38" s="198"/>
      <c r="S38" s="198"/>
      <c r="T38" s="198"/>
      <c r="U38" s="198"/>
    </row>
    <row r="39" spans="1:21" s="12" customFormat="1" x14ac:dyDescent="0.25">
      <c r="A39" s="214" t="s">
        <v>2676</v>
      </c>
      <c r="B39" s="64">
        <v>26.75</v>
      </c>
      <c r="C39" s="64">
        <v>23.44</v>
      </c>
      <c r="D39" s="64">
        <v>35.67</v>
      </c>
      <c r="E39" s="64">
        <v>1.26</v>
      </c>
      <c r="F39" s="64">
        <v>0.08</v>
      </c>
      <c r="G39" s="64">
        <v>146.86000000000001</v>
      </c>
      <c r="H39" s="64">
        <v>57.62</v>
      </c>
      <c r="I39" s="64">
        <v>1.5</v>
      </c>
      <c r="J39" s="64">
        <v>0.23</v>
      </c>
      <c r="K39" s="64">
        <v>0.06</v>
      </c>
      <c r="L39" s="64">
        <v>23.77</v>
      </c>
      <c r="M39" s="64">
        <v>58.17</v>
      </c>
      <c r="N39" s="64">
        <v>269.60000000000002</v>
      </c>
      <c r="O39" s="64">
        <v>0</v>
      </c>
      <c r="P39" s="64">
        <v>0.91</v>
      </c>
      <c r="Q39" s="64">
        <v>6.96</v>
      </c>
      <c r="R39" s="198"/>
      <c r="S39" s="198"/>
      <c r="T39" s="198"/>
      <c r="U39" s="198"/>
    </row>
    <row r="40" spans="1:21" s="12" customFormat="1" x14ac:dyDescent="0.25">
      <c r="A40" s="214" t="s">
        <v>2677</v>
      </c>
      <c r="B40" s="64">
        <v>28.35</v>
      </c>
      <c r="C40" s="64">
        <v>23.81</v>
      </c>
      <c r="D40" s="64">
        <v>37.17</v>
      </c>
      <c r="E40" s="64">
        <v>0.48</v>
      </c>
      <c r="F40" s="64">
        <v>0.1</v>
      </c>
      <c r="G40" s="64">
        <v>236.49</v>
      </c>
      <c r="H40" s="64">
        <v>66.599999999999994</v>
      </c>
      <c r="I40" s="64">
        <v>1.48</v>
      </c>
      <c r="J40" s="64">
        <v>0.12</v>
      </c>
      <c r="K40" s="64">
        <v>22.58</v>
      </c>
      <c r="L40" s="64">
        <v>24.68</v>
      </c>
      <c r="M40" s="64">
        <v>53.64</v>
      </c>
      <c r="N40" s="64">
        <v>320.39999999999998</v>
      </c>
      <c r="O40" s="64">
        <v>0</v>
      </c>
      <c r="P40" s="64">
        <v>0.93</v>
      </c>
      <c r="Q40" s="64">
        <v>7.1</v>
      </c>
      <c r="R40" s="198"/>
      <c r="S40" s="198"/>
      <c r="T40" s="198"/>
      <c r="U40" s="198"/>
    </row>
    <row r="41" spans="1:21" s="12" customFormat="1" x14ac:dyDescent="0.25">
      <c r="A41" s="214" t="s">
        <v>2678</v>
      </c>
      <c r="B41" s="64">
        <v>29.06</v>
      </c>
      <c r="C41" s="64">
        <v>24.57</v>
      </c>
      <c r="D41" s="64">
        <v>38.159999999999997</v>
      </c>
      <c r="E41" s="64">
        <v>1.04</v>
      </c>
      <c r="F41" s="64">
        <v>0.08</v>
      </c>
      <c r="G41" s="64">
        <v>236.49</v>
      </c>
      <c r="H41" s="64">
        <v>66.599999999999994</v>
      </c>
      <c r="I41" s="64">
        <v>1.61</v>
      </c>
      <c r="J41" s="64">
        <v>0.38</v>
      </c>
      <c r="K41" s="64">
        <v>336.82</v>
      </c>
      <c r="L41" s="64">
        <v>26.12</v>
      </c>
      <c r="M41" s="64">
        <v>47.91</v>
      </c>
      <c r="N41" s="64">
        <v>365.7</v>
      </c>
      <c r="O41" s="64">
        <v>0</v>
      </c>
      <c r="P41" s="64">
        <v>0.96</v>
      </c>
      <c r="Q41" s="64">
        <v>0</v>
      </c>
      <c r="R41" s="198"/>
      <c r="S41" s="198"/>
      <c r="T41" s="198"/>
      <c r="U41" s="198"/>
    </row>
    <row r="42" spans="1:21" s="12" customFormat="1" x14ac:dyDescent="0.25">
      <c r="A42" s="214" t="s">
        <v>2679</v>
      </c>
      <c r="B42" s="64">
        <v>29.11</v>
      </c>
      <c r="C42" s="64">
        <v>25.14</v>
      </c>
      <c r="D42" s="64">
        <v>38.51</v>
      </c>
      <c r="E42" s="64">
        <v>0.88</v>
      </c>
      <c r="F42" s="64">
        <v>0.41</v>
      </c>
      <c r="G42" s="64">
        <v>236.49</v>
      </c>
      <c r="H42" s="64">
        <v>66.599999999999994</v>
      </c>
      <c r="I42" s="64">
        <v>1.51</v>
      </c>
      <c r="J42" s="64">
        <v>0.33</v>
      </c>
      <c r="K42" s="64">
        <v>334.84</v>
      </c>
      <c r="L42" s="64">
        <v>27.12</v>
      </c>
      <c r="M42" s="64">
        <v>46.55</v>
      </c>
      <c r="N42" s="64">
        <v>422.4</v>
      </c>
      <c r="O42" s="64">
        <v>0</v>
      </c>
      <c r="P42" s="64">
        <v>1</v>
      </c>
      <c r="Q42" s="64">
        <v>7.27</v>
      </c>
      <c r="R42" s="198"/>
      <c r="S42" s="198"/>
      <c r="T42" s="198"/>
      <c r="U42" s="198"/>
    </row>
    <row r="43" spans="1:21" s="12" customFormat="1" x14ac:dyDescent="0.25">
      <c r="A43" s="214" t="s">
        <v>2680</v>
      </c>
      <c r="B43" s="64">
        <v>26.48</v>
      </c>
      <c r="C43" s="64">
        <v>29.49</v>
      </c>
      <c r="D43" s="64">
        <v>38.799999999999997</v>
      </c>
      <c r="E43" s="64">
        <v>1.27</v>
      </c>
      <c r="F43" s="64">
        <v>2.2200000000000002</v>
      </c>
      <c r="G43" s="64">
        <v>224.85</v>
      </c>
      <c r="H43" s="64">
        <v>82</v>
      </c>
      <c r="I43" s="64">
        <v>1.56</v>
      </c>
      <c r="J43" s="64">
        <v>0.41</v>
      </c>
      <c r="K43" s="64">
        <v>340</v>
      </c>
      <c r="L43" s="64">
        <v>26</v>
      </c>
      <c r="M43" s="64">
        <v>54.01</v>
      </c>
      <c r="N43" s="64">
        <v>470.3</v>
      </c>
      <c r="O43" s="64">
        <v>0</v>
      </c>
      <c r="P43" s="64">
        <v>1.03</v>
      </c>
      <c r="Q43" s="64">
        <v>7.26</v>
      </c>
      <c r="R43" s="198"/>
      <c r="S43" s="198"/>
      <c r="T43" s="198"/>
      <c r="U43" s="198"/>
    </row>
    <row r="44" spans="1:21" s="12" customFormat="1" x14ac:dyDescent="0.25">
      <c r="A44" s="214" t="s">
        <v>2681</v>
      </c>
      <c r="B44" s="64">
        <v>26.23</v>
      </c>
      <c r="C44" s="64">
        <v>31.4</v>
      </c>
      <c r="D44" s="64">
        <v>39.659999999999997</v>
      </c>
      <c r="E44" s="64">
        <v>1.22</v>
      </c>
      <c r="F44" s="64">
        <v>1.58</v>
      </c>
      <c r="G44" s="64">
        <v>213.71</v>
      </c>
      <c r="H44" s="64">
        <v>89.04</v>
      </c>
      <c r="I44" s="64">
        <v>1.52</v>
      </c>
      <c r="J44" s="64">
        <v>0.25</v>
      </c>
      <c r="K44" s="64">
        <v>345.89</v>
      </c>
      <c r="L44" s="64">
        <v>26.38</v>
      </c>
      <c r="M44" s="64">
        <v>50.63</v>
      </c>
      <c r="N44" s="64">
        <v>511.4</v>
      </c>
      <c r="O44" s="64">
        <v>0</v>
      </c>
      <c r="P44" s="64">
        <v>1.05</v>
      </c>
      <c r="Q44" s="64">
        <v>7.24</v>
      </c>
      <c r="R44" s="198"/>
      <c r="S44" s="198"/>
      <c r="T44" s="198"/>
      <c r="U44" s="198"/>
    </row>
    <row r="45" spans="1:21" s="12" customFormat="1" x14ac:dyDescent="0.25">
      <c r="A45" s="214" t="s">
        <v>2682</v>
      </c>
      <c r="B45" s="64">
        <v>26.08</v>
      </c>
      <c r="C45" s="64">
        <v>30.11</v>
      </c>
      <c r="D45" s="64">
        <v>38.82</v>
      </c>
      <c r="E45" s="64">
        <v>1.27</v>
      </c>
      <c r="F45" s="64">
        <v>1.52</v>
      </c>
      <c r="G45" s="64">
        <v>213.71</v>
      </c>
      <c r="H45" s="64">
        <v>89.04</v>
      </c>
      <c r="I45" s="64">
        <v>1.49</v>
      </c>
      <c r="J45" s="64">
        <v>0.26</v>
      </c>
      <c r="K45" s="64">
        <v>339.34</v>
      </c>
      <c r="L45" s="64">
        <v>26.48</v>
      </c>
      <c r="M45" s="64">
        <v>50.64</v>
      </c>
      <c r="N45" s="64">
        <v>547.4</v>
      </c>
      <c r="O45" s="64">
        <v>0</v>
      </c>
      <c r="P45" s="64">
        <v>1.07</v>
      </c>
      <c r="Q45" s="64">
        <v>7.21</v>
      </c>
      <c r="R45" s="198"/>
      <c r="S45" s="198"/>
      <c r="T45" s="198"/>
      <c r="U45" s="198"/>
    </row>
    <row r="46" spans="1:21" s="12" customFormat="1" x14ac:dyDescent="0.25">
      <c r="A46" s="214" t="s">
        <v>2683</v>
      </c>
      <c r="B46" s="64">
        <v>26.17</v>
      </c>
      <c r="C46" s="64">
        <v>30.08</v>
      </c>
      <c r="D46" s="64">
        <v>38.880000000000003</v>
      </c>
      <c r="E46" s="64">
        <v>1.33</v>
      </c>
      <c r="F46" s="64">
        <v>1</v>
      </c>
      <c r="G46" s="64">
        <v>213.71</v>
      </c>
      <c r="H46" s="64">
        <v>89.04</v>
      </c>
      <c r="I46" s="64">
        <v>1.46</v>
      </c>
      <c r="J46" s="64">
        <v>0.38</v>
      </c>
      <c r="K46" s="64">
        <v>338.2</v>
      </c>
      <c r="L46" s="64">
        <v>27.14</v>
      </c>
      <c r="M46" s="64">
        <v>49.2</v>
      </c>
      <c r="N46" s="64">
        <v>586.29999999999995</v>
      </c>
      <c r="O46" s="64">
        <v>0</v>
      </c>
      <c r="P46" s="64">
        <v>1.0900000000000001</v>
      </c>
      <c r="Q46" s="64">
        <v>7.12</v>
      </c>
      <c r="R46" s="198"/>
      <c r="S46" s="198"/>
      <c r="T46" s="198"/>
      <c r="U46" s="198"/>
    </row>
    <row r="47" spans="1:21" s="12" customFormat="1" x14ac:dyDescent="0.25">
      <c r="A47" s="214" t="s">
        <v>2684</v>
      </c>
      <c r="B47" s="64">
        <v>25.4</v>
      </c>
      <c r="C47" s="64">
        <v>28.69</v>
      </c>
      <c r="D47" s="64">
        <v>37.5</v>
      </c>
      <c r="E47" s="64">
        <v>1.31</v>
      </c>
      <c r="F47" s="64">
        <v>0.7</v>
      </c>
      <c r="G47" s="64">
        <v>194.66</v>
      </c>
      <c r="H47" s="64">
        <v>88.69</v>
      </c>
      <c r="I47" s="64">
        <v>1.48</v>
      </c>
      <c r="J47" s="64">
        <v>0.45</v>
      </c>
      <c r="K47" s="64">
        <v>336.4</v>
      </c>
      <c r="L47" s="64">
        <v>27.4</v>
      </c>
      <c r="M47" s="64">
        <v>49.91</v>
      </c>
      <c r="N47" s="64">
        <v>611.29999999999995</v>
      </c>
      <c r="O47" s="64">
        <v>0</v>
      </c>
      <c r="P47" s="64">
        <v>1.1100000000000001</v>
      </c>
      <c r="Q47" s="64">
        <v>7.06</v>
      </c>
      <c r="R47" s="198"/>
      <c r="S47" s="198"/>
      <c r="T47" s="198"/>
      <c r="U47" s="198"/>
    </row>
    <row r="48" spans="1:21" s="12" customFormat="1" x14ac:dyDescent="0.25">
      <c r="A48" s="214" t="s">
        <v>2685</v>
      </c>
      <c r="B48" s="64">
        <v>24.55</v>
      </c>
      <c r="C48" s="64">
        <v>27.47</v>
      </c>
      <c r="D48" s="64">
        <v>36.14</v>
      </c>
      <c r="E48" s="64">
        <v>1.45</v>
      </c>
      <c r="F48" s="64">
        <v>0.48</v>
      </c>
      <c r="G48" s="64">
        <v>176.43</v>
      </c>
      <c r="H48" s="64">
        <v>88.53</v>
      </c>
      <c r="I48" s="64">
        <v>1.58</v>
      </c>
      <c r="J48" s="64">
        <v>0.3</v>
      </c>
      <c r="K48" s="64">
        <v>333.61</v>
      </c>
      <c r="L48" s="64">
        <v>27.94</v>
      </c>
      <c r="M48" s="64">
        <v>46.58</v>
      </c>
      <c r="N48" s="64">
        <v>634.6</v>
      </c>
      <c r="O48" s="64">
        <v>0</v>
      </c>
      <c r="P48" s="64">
        <v>1.1499999999999999</v>
      </c>
      <c r="Q48" s="64">
        <v>7.03</v>
      </c>
      <c r="R48" s="198"/>
      <c r="S48" s="198"/>
      <c r="T48" s="198"/>
      <c r="U48" s="198"/>
    </row>
    <row r="49" spans="1:21" s="12" customFormat="1" x14ac:dyDescent="0.25">
      <c r="A49" s="214" t="s">
        <v>2686</v>
      </c>
      <c r="B49" s="64">
        <v>22.94</v>
      </c>
      <c r="C49" s="64">
        <v>29.3</v>
      </c>
      <c r="D49" s="64">
        <v>35.86</v>
      </c>
      <c r="E49" s="64">
        <v>1.34</v>
      </c>
      <c r="F49" s="64">
        <v>0.93</v>
      </c>
      <c r="G49" s="64">
        <v>176.43</v>
      </c>
      <c r="H49" s="64">
        <v>88.53</v>
      </c>
      <c r="I49" s="64">
        <v>1.5</v>
      </c>
      <c r="J49" s="64">
        <v>0.47</v>
      </c>
      <c r="K49" s="64">
        <v>332.54</v>
      </c>
      <c r="L49" s="64">
        <v>28.42</v>
      </c>
      <c r="M49" s="64">
        <v>42.45</v>
      </c>
      <c r="N49" s="64">
        <v>653.79999999999995</v>
      </c>
      <c r="O49" s="64">
        <v>0</v>
      </c>
      <c r="P49" s="64">
        <v>1.18</v>
      </c>
      <c r="Q49" s="64">
        <v>6.92</v>
      </c>
      <c r="R49" s="198"/>
      <c r="S49" s="198"/>
      <c r="T49" s="198"/>
      <c r="U49" s="198"/>
    </row>
    <row r="50" spans="1:21" s="12" customFormat="1" x14ac:dyDescent="0.25">
      <c r="A50" s="214" t="s">
        <v>2687</v>
      </c>
      <c r="B50" s="64">
        <v>20.32</v>
      </c>
      <c r="C50" s="64">
        <v>32.229999999999997</v>
      </c>
      <c r="D50" s="64">
        <v>35.369999999999997</v>
      </c>
      <c r="E50" s="64">
        <v>1.37</v>
      </c>
      <c r="F50" s="64">
        <v>2.81</v>
      </c>
      <c r="G50" s="64">
        <v>176.43</v>
      </c>
      <c r="H50" s="64">
        <v>88.53</v>
      </c>
      <c r="I50" s="64">
        <v>1.54</v>
      </c>
      <c r="J50" s="64">
        <v>0.38</v>
      </c>
      <c r="K50" s="64">
        <v>2.38</v>
      </c>
      <c r="L50" s="64">
        <v>30.68</v>
      </c>
      <c r="M50" s="64">
        <v>33.270000000000003</v>
      </c>
      <c r="N50" s="64">
        <v>704.2</v>
      </c>
      <c r="O50" s="64">
        <v>0</v>
      </c>
      <c r="P50" s="64">
        <v>1.19</v>
      </c>
      <c r="Q50" s="64">
        <v>6.83</v>
      </c>
      <c r="R50" s="198"/>
      <c r="S50" s="198"/>
      <c r="T50" s="198"/>
      <c r="U50" s="198"/>
    </row>
    <row r="51" spans="1:21" s="12" customFormat="1" x14ac:dyDescent="0.25">
      <c r="A51" s="214" t="s">
        <v>2688</v>
      </c>
      <c r="B51" s="64">
        <v>19.420000000000002</v>
      </c>
      <c r="C51" s="64">
        <v>30.83</v>
      </c>
      <c r="D51" s="64">
        <v>33.89</v>
      </c>
      <c r="E51" s="64">
        <v>1.26</v>
      </c>
      <c r="F51" s="64">
        <v>1.69</v>
      </c>
      <c r="G51" s="64">
        <v>166.18</v>
      </c>
      <c r="H51" s="64">
        <v>86.26</v>
      </c>
      <c r="I51" s="64">
        <v>1.49</v>
      </c>
      <c r="J51" s="64">
        <v>0.17</v>
      </c>
      <c r="K51" s="64">
        <v>333.26</v>
      </c>
      <c r="L51" s="64">
        <v>30.9</v>
      </c>
      <c r="M51" s="64">
        <v>32.33</v>
      </c>
      <c r="N51" s="64">
        <v>737.6</v>
      </c>
      <c r="O51" s="64">
        <v>0</v>
      </c>
      <c r="P51" s="64">
        <v>1.19</v>
      </c>
      <c r="Q51" s="64">
        <v>6.69</v>
      </c>
      <c r="R51" s="198"/>
      <c r="S51" s="198"/>
      <c r="T51" s="198"/>
      <c r="U51" s="198"/>
    </row>
    <row r="52" spans="1:21" s="12" customFormat="1" x14ac:dyDescent="0.25">
      <c r="A52" s="214" t="s">
        <v>2689</v>
      </c>
      <c r="B52" s="64">
        <v>15.48</v>
      </c>
      <c r="C52" s="64">
        <v>32.840000000000003</v>
      </c>
      <c r="D52" s="64">
        <v>31.83</v>
      </c>
      <c r="E52" s="64">
        <v>1.1299999999999999</v>
      </c>
      <c r="F52" s="64">
        <v>3.02</v>
      </c>
      <c r="G52" s="64">
        <v>156.38</v>
      </c>
      <c r="H52" s="64">
        <v>85.22</v>
      </c>
      <c r="I52" s="64">
        <v>1.43</v>
      </c>
      <c r="J52" s="64">
        <v>0.11</v>
      </c>
      <c r="K52" s="64">
        <v>17.329999999999998</v>
      </c>
      <c r="L52" s="64">
        <v>31.05</v>
      </c>
      <c r="M52" s="64">
        <v>29.48</v>
      </c>
      <c r="N52" s="64">
        <v>721</v>
      </c>
      <c r="O52" s="64">
        <v>0</v>
      </c>
      <c r="P52" s="64">
        <v>1.1399999999999999</v>
      </c>
      <c r="Q52" s="64">
        <v>6.53</v>
      </c>
      <c r="R52" s="198"/>
      <c r="S52" s="198"/>
      <c r="T52" s="198"/>
      <c r="U52" s="198"/>
    </row>
    <row r="53" spans="1:21" s="12" customFormat="1" x14ac:dyDescent="0.25">
      <c r="A53" s="214" t="s">
        <v>2690</v>
      </c>
      <c r="B53" s="64">
        <v>11.2</v>
      </c>
      <c r="C53" s="64">
        <v>39.46</v>
      </c>
      <c r="D53" s="64">
        <v>32.049999999999997</v>
      </c>
      <c r="E53" s="64">
        <v>1.42</v>
      </c>
      <c r="F53" s="64">
        <v>2.0099999999999998</v>
      </c>
      <c r="G53" s="64">
        <v>156.38</v>
      </c>
      <c r="H53" s="64">
        <v>85.22</v>
      </c>
      <c r="I53" s="64">
        <v>1.43</v>
      </c>
      <c r="J53" s="64">
        <v>0.42</v>
      </c>
      <c r="K53" s="64">
        <v>333.15</v>
      </c>
      <c r="L53" s="64">
        <v>32.06</v>
      </c>
      <c r="M53" s="64">
        <v>28.31</v>
      </c>
      <c r="N53" s="64">
        <v>674.5</v>
      </c>
      <c r="O53" s="64">
        <v>0</v>
      </c>
      <c r="P53" s="64">
        <v>1.1200000000000001</v>
      </c>
      <c r="Q53" s="64">
        <v>6.22</v>
      </c>
      <c r="R53" s="198"/>
      <c r="S53" s="198"/>
      <c r="T53" s="198"/>
      <c r="U53" s="198"/>
    </row>
    <row r="54" spans="1:21" s="12" customFormat="1" x14ac:dyDescent="0.25">
      <c r="A54" s="214" t="s">
        <v>2691</v>
      </c>
      <c r="B54" s="64">
        <v>9.56</v>
      </c>
      <c r="C54" s="64">
        <v>41.04</v>
      </c>
      <c r="D54" s="64">
        <v>31.61</v>
      </c>
      <c r="E54" s="64">
        <v>1.75</v>
      </c>
      <c r="F54" s="64">
        <v>4.07</v>
      </c>
      <c r="G54" s="64">
        <v>156.38</v>
      </c>
      <c r="H54" s="64">
        <v>85.22</v>
      </c>
      <c r="I54" s="64">
        <v>1.53</v>
      </c>
      <c r="J54" s="64">
        <v>0.01</v>
      </c>
      <c r="K54" s="64">
        <v>24.57</v>
      </c>
      <c r="L54" s="64">
        <v>30.88</v>
      </c>
      <c r="M54" s="64">
        <v>24.99</v>
      </c>
      <c r="N54" s="64">
        <v>630</v>
      </c>
      <c r="O54" s="64">
        <v>0</v>
      </c>
      <c r="P54" s="64">
        <v>1.08</v>
      </c>
      <c r="Q54" s="64">
        <v>5.97</v>
      </c>
      <c r="R54" s="198"/>
      <c r="S54" s="198"/>
      <c r="T54" s="198"/>
      <c r="U54" s="198"/>
    </row>
    <row r="55" spans="1:21" s="12" customFormat="1" x14ac:dyDescent="0.25">
      <c r="A55" s="214" t="s">
        <v>2692</v>
      </c>
      <c r="B55" s="64">
        <v>7.9</v>
      </c>
      <c r="C55" s="64">
        <v>36.369999999999997</v>
      </c>
      <c r="D55" s="64">
        <v>27.7</v>
      </c>
      <c r="E55" s="64">
        <v>2</v>
      </c>
      <c r="F55" s="64">
        <v>3.48</v>
      </c>
      <c r="G55" s="64">
        <v>127.69</v>
      </c>
      <c r="H55" s="64">
        <v>79.94</v>
      </c>
      <c r="I55" s="64">
        <v>1.48</v>
      </c>
      <c r="J55" s="64">
        <v>0.46</v>
      </c>
      <c r="K55" s="64">
        <v>332.17</v>
      </c>
      <c r="L55" s="64">
        <v>31.52</v>
      </c>
      <c r="M55" s="64">
        <v>27.48</v>
      </c>
      <c r="N55" s="64">
        <v>686.9</v>
      </c>
      <c r="O55" s="64">
        <v>0</v>
      </c>
      <c r="P55" s="64">
        <v>1.08</v>
      </c>
      <c r="Q55" s="64">
        <v>5.74</v>
      </c>
      <c r="R55" s="198"/>
      <c r="S55" s="198"/>
      <c r="T55" s="198"/>
      <c r="U55" s="198"/>
    </row>
    <row r="56" spans="1:21" s="12" customFormat="1" x14ac:dyDescent="0.25">
      <c r="A56" s="214" t="s">
        <v>2693</v>
      </c>
      <c r="B56" s="64">
        <v>7.73</v>
      </c>
      <c r="C56" s="64">
        <v>34.24</v>
      </c>
      <c r="D56" s="64">
        <v>26.39</v>
      </c>
      <c r="E56" s="64">
        <v>0.79</v>
      </c>
      <c r="F56" s="64">
        <v>1.74</v>
      </c>
      <c r="G56" s="64">
        <v>100.24</v>
      </c>
      <c r="H56" s="64">
        <v>74.89</v>
      </c>
      <c r="I56" s="64">
        <v>1.5</v>
      </c>
      <c r="J56" s="64">
        <v>0.53</v>
      </c>
      <c r="K56" s="64">
        <v>328.62</v>
      </c>
      <c r="L56" s="64">
        <v>31.26</v>
      </c>
      <c r="M56" s="64">
        <v>28.34</v>
      </c>
      <c r="N56" s="64">
        <v>661.5</v>
      </c>
      <c r="O56" s="64">
        <v>0</v>
      </c>
      <c r="P56" s="64">
        <v>1.08</v>
      </c>
      <c r="Q56" s="64">
        <v>5.7</v>
      </c>
      <c r="R56" s="198"/>
      <c r="S56" s="198"/>
      <c r="T56" s="198"/>
      <c r="U56" s="198"/>
    </row>
    <row r="57" spans="1:21" s="12" customFormat="1" x14ac:dyDescent="0.25">
      <c r="A57" s="214" t="s">
        <v>2694</v>
      </c>
      <c r="B57" s="64">
        <v>6.82</v>
      </c>
      <c r="C57" s="64">
        <v>31.83</v>
      </c>
      <c r="D57" s="64">
        <v>24.32</v>
      </c>
      <c r="E57" s="64">
        <v>1.51</v>
      </c>
      <c r="F57" s="64">
        <v>3.62</v>
      </c>
      <c r="G57" s="64">
        <v>100.24</v>
      </c>
      <c r="H57" s="64">
        <v>74.89</v>
      </c>
      <c r="I57" s="64">
        <v>1.41</v>
      </c>
      <c r="J57" s="64">
        <v>0.3</v>
      </c>
      <c r="K57" s="64">
        <v>340.68</v>
      </c>
      <c r="L57" s="64">
        <v>31.51</v>
      </c>
      <c r="M57" s="64">
        <v>26.54</v>
      </c>
      <c r="N57" s="64">
        <v>682.5</v>
      </c>
      <c r="O57" s="64">
        <v>0</v>
      </c>
      <c r="P57" s="64">
        <v>1.04</v>
      </c>
      <c r="Q57" s="64">
        <v>5.69</v>
      </c>
      <c r="R57" s="198"/>
      <c r="S57" s="198"/>
      <c r="T57" s="198"/>
      <c r="U57" s="198"/>
    </row>
    <row r="58" spans="1:21" s="12" customFormat="1" x14ac:dyDescent="0.25">
      <c r="A58" s="214" t="s">
        <v>2695</v>
      </c>
      <c r="B58" s="64">
        <v>5.54</v>
      </c>
      <c r="C58" s="64">
        <v>35.619999999999997</v>
      </c>
      <c r="D58" s="64">
        <v>25.4</v>
      </c>
      <c r="E58" s="64">
        <v>1.55</v>
      </c>
      <c r="F58" s="64">
        <v>5.47</v>
      </c>
      <c r="G58" s="64">
        <v>100.24</v>
      </c>
      <c r="H58" s="64">
        <v>74.89</v>
      </c>
      <c r="I58" s="64">
        <v>1.49</v>
      </c>
      <c r="J58" s="64">
        <v>0.96</v>
      </c>
      <c r="K58" s="64">
        <v>332.78</v>
      </c>
      <c r="L58" s="64">
        <v>31.66</v>
      </c>
      <c r="M58" s="64">
        <v>25.05</v>
      </c>
      <c r="N58" s="64">
        <v>691.4</v>
      </c>
      <c r="O58" s="64">
        <v>0</v>
      </c>
      <c r="P58" s="64">
        <v>1.01</v>
      </c>
      <c r="Q58" s="64">
        <v>5.58</v>
      </c>
      <c r="R58" s="198"/>
      <c r="S58" s="198"/>
      <c r="T58" s="198"/>
      <c r="U58" s="198"/>
    </row>
    <row r="59" spans="1:21" s="12" customFormat="1" x14ac:dyDescent="0.25">
      <c r="A59" s="214" t="s">
        <v>2696</v>
      </c>
      <c r="B59" s="64">
        <v>4.99</v>
      </c>
      <c r="C59" s="64">
        <v>37.36</v>
      </c>
      <c r="D59" s="64">
        <v>25.91</v>
      </c>
      <c r="E59" s="64">
        <v>1.56</v>
      </c>
      <c r="F59" s="64">
        <v>4.4400000000000004</v>
      </c>
      <c r="G59" s="64">
        <v>64.53</v>
      </c>
      <c r="H59" s="64">
        <v>63.95</v>
      </c>
      <c r="I59" s="64">
        <v>1.56</v>
      </c>
      <c r="J59" s="64">
        <v>0.43</v>
      </c>
      <c r="K59" s="64">
        <v>328.24</v>
      </c>
      <c r="L59" s="64">
        <v>30.67</v>
      </c>
      <c r="M59" s="64">
        <v>25.42</v>
      </c>
      <c r="N59" s="64">
        <v>667.3</v>
      </c>
      <c r="O59" s="64">
        <v>0</v>
      </c>
      <c r="P59" s="64">
        <v>1</v>
      </c>
      <c r="Q59" s="64">
        <v>5.38</v>
      </c>
      <c r="R59" s="198"/>
      <c r="S59" s="198"/>
      <c r="T59" s="198"/>
      <c r="U59" s="198"/>
    </row>
    <row r="60" spans="1:21" s="12" customFormat="1" x14ac:dyDescent="0.25">
      <c r="A60" s="214" t="s">
        <v>2697</v>
      </c>
      <c r="B60" s="64">
        <v>4.6500000000000004</v>
      </c>
      <c r="C60" s="64">
        <v>37.07</v>
      </c>
      <c r="D60" s="64">
        <v>25.48</v>
      </c>
      <c r="E60" s="64">
        <v>1.52</v>
      </c>
      <c r="F60" s="64">
        <v>6.62</v>
      </c>
      <c r="G60" s="64">
        <v>30.37</v>
      </c>
      <c r="H60" s="64">
        <v>58.96</v>
      </c>
      <c r="I60" s="64">
        <v>1.51</v>
      </c>
      <c r="J60" s="64">
        <v>0.81</v>
      </c>
      <c r="K60" s="64">
        <v>325.42</v>
      </c>
      <c r="L60" s="64">
        <v>31.74</v>
      </c>
      <c r="M60" s="64">
        <v>25.47</v>
      </c>
      <c r="N60" s="64">
        <v>661.1</v>
      </c>
      <c r="O60" s="64">
        <v>0</v>
      </c>
      <c r="P60" s="64">
        <v>0.96</v>
      </c>
      <c r="Q60" s="64">
        <v>5.36</v>
      </c>
      <c r="R60" s="198"/>
      <c r="S60" s="198"/>
      <c r="T60" s="198"/>
      <c r="U60" s="198"/>
    </row>
    <row r="61" spans="1:21" s="12" customFormat="1" x14ac:dyDescent="0.25">
      <c r="A61" s="214" t="s">
        <v>2698</v>
      </c>
      <c r="B61" s="64">
        <v>4.8099999999999996</v>
      </c>
      <c r="C61" s="64">
        <v>47.21</v>
      </c>
      <c r="D61" s="64">
        <v>31.2</v>
      </c>
      <c r="E61" s="64">
        <v>1.86</v>
      </c>
      <c r="F61" s="64">
        <v>10.77</v>
      </c>
      <c r="G61" s="64">
        <v>30.37</v>
      </c>
      <c r="H61" s="64">
        <v>58.96</v>
      </c>
      <c r="I61" s="64">
        <v>1.44</v>
      </c>
      <c r="J61" s="64">
        <v>1.25</v>
      </c>
      <c r="K61" s="64">
        <v>333.91</v>
      </c>
      <c r="L61" s="64">
        <v>31.41</v>
      </c>
      <c r="M61" s="64">
        <v>24.78</v>
      </c>
      <c r="N61" s="64">
        <v>638.29999999999995</v>
      </c>
      <c r="O61" s="64">
        <v>0</v>
      </c>
      <c r="P61" s="64">
        <v>0.88</v>
      </c>
      <c r="Q61" s="64">
        <v>5.54</v>
      </c>
      <c r="R61" s="198"/>
      <c r="S61" s="198"/>
      <c r="T61" s="198"/>
      <c r="U61" s="198"/>
    </row>
    <row r="62" spans="1:21" s="12" customFormat="1" x14ac:dyDescent="0.25">
      <c r="A62" s="214" t="s">
        <v>2699</v>
      </c>
      <c r="B62" s="64">
        <v>2.85</v>
      </c>
      <c r="C62" s="64">
        <v>50.09</v>
      </c>
      <c r="D62" s="64">
        <v>31.22</v>
      </c>
      <c r="E62" s="64">
        <v>1.44</v>
      </c>
      <c r="F62" s="64">
        <v>5.17</v>
      </c>
      <c r="G62" s="64">
        <v>30.37</v>
      </c>
      <c r="H62" s="64">
        <v>58.96</v>
      </c>
      <c r="I62" s="64">
        <v>1.53</v>
      </c>
      <c r="J62" s="64">
        <v>1.05</v>
      </c>
      <c r="K62" s="64">
        <v>323.47000000000003</v>
      </c>
      <c r="L62" s="64">
        <v>30.94</v>
      </c>
      <c r="M62" s="64">
        <v>26.56</v>
      </c>
      <c r="N62" s="64">
        <v>510.7</v>
      </c>
      <c r="O62" s="64">
        <v>0</v>
      </c>
      <c r="P62" s="64">
        <v>0.9</v>
      </c>
      <c r="Q62" s="64">
        <v>5.35</v>
      </c>
      <c r="R62" s="198"/>
      <c r="S62" s="198"/>
      <c r="T62" s="198"/>
      <c r="U62" s="198"/>
    </row>
    <row r="63" spans="1:21" s="12" customFormat="1" x14ac:dyDescent="0.25">
      <c r="A63" s="214" t="s">
        <v>2700</v>
      </c>
      <c r="B63" s="64">
        <v>3.4</v>
      </c>
      <c r="C63" s="64">
        <v>41.68</v>
      </c>
      <c r="D63" s="64">
        <v>27.02</v>
      </c>
      <c r="E63" s="64">
        <v>1.44</v>
      </c>
      <c r="F63" s="64">
        <v>4.49</v>
      </c>
      <c r="G63" s="64">
        <v>79.930000000000007</v>
      </c>
      <c r="H63" s="64">
        <v>57.71</v>
      </c>
      <c r="I63" s="64">
        <v>1.45</v>
      </c>
      <c r="J63" s="64">
        <v>0.6</v>
      </c>
      <c r="K63" s="64">
        <v>326.04000000000002</v>
      </c>
      <c r="L63" s="64">
        <v>30.51</v>
      </c>
      <c r="M63" s="64">
        <v>26.55</v>
      </c>
      <c r="N63" s="64">
        <v>435.8</v>
      </c>
      <c r="O63" s="64">
        <v>0</v>
      </c>
      <c r="P63" s="64">
        <v>0.87</v>
      </c>
      <c r="Q63" s="64">
        <v>5.32</v>
      </c>
      <c r="R63" s="198"/>
      <c r="S63" s="198"/>
      <c r="T63" s="198"/>
      <c r="U63" s="198"/>
    </row>
    <row r="64" spans="1:21" s="12" customFormat="1" x14ac:dyDescent="0.25">
      <c r="A64" s="214" t="s">
        <v>2701</v>
      </c>
      <c r="B64" s="64">
        <v>3.04</v>
      </c>
      <c r="C64" s="64">
        <v>40.21</v>
      </c>
      <c r="D64" s="64">
        <v>25.92</v>
      </c>
      <c r="E64" s="64">
        <v>1.2</v>
      </c>
      <c r="F64" s="64">
        <v>3.4</v>
      </c>
      <c r="G64" s="64">
        <v>125.28</v>
      </c>
      <c r="H64" s="64">
        <v>57.15</v>
      </c>
      <c r="I64" s="64">
        <v>1.48</v>
      </c>
      <c r="J64" s="64">
        <v>1.99</v>
      </c>
      <c r="K64" s="64">
        <v>336.09</v>
      </c>
      <c r="L64" s="64">
        <v>29.43</v>
      </c>
      <c r="M64" s="64">
        <v>27.5</v>
      </c>
      <c r="N64" s="64">
        <v>407.5</v>
      </c>
      <c r="O64" s="64">
        <v>0</v>
      </c>
      <c r="P64" s="64">
        <v>0.85</v>
      </c>
      <c r="Q64" s="64">
        <v>5.25</v>
      </c>
      <c r="R64" s="198"/>
      <c r="S64" s="198"/>
      <c r="T64" s="198"/>
      <c r="U64" s="198"/>
    </row>
    <row r="65" spans="1:21" s="12" customFormat="1" x14ac:dyDescent="0.25">
      <c r="A65" s="214" t="s">
        <v>2702</v>
      </c>
      <c r="B65" s="64">
        <v>3.41</v>
      </c>
      <c r="C65" s="64">
        <v>33.96</v>
      </c>
      <c r="D65" s="64">
        <v>22.77</v>
      </c>
      <c r="E65" s="64">
        <v>1.2</v>
      </c>
      <c r="F65" s="64">
        <v>4.84</v>
      </c>
      <c r="G65" s="64">
        <v>125.28</v>
      </c>
      <c r="H65" s="64">
        <v>57.15</v>
      </c>
      <c r="I65" s="64">
        <v>1.54</v>
      </c>
      <c r="J65" s="64">
        <v>1.2</v>
      </c>
      <c r="K65" s="64">
        <v>341.42</v>
      </c>
      <c r="L65" s="64">
        <v>29.28</v>
      </c>
      <c r="M65" s="64">
        <v>26.32</v>
      </c>
      <c r="N65" s="64">
        <v>218.6</v>
      </c>
      <c r="O65" s="64">
        <v>0</v>
      </c>
      <c r="P65" s="64">
        <v>0.83</v>
      </c>
      <c r="Q65" s="64">
        <v>5.31</v>
      </c>
      <c r="R65" s="198"/>
      <c r="S65" s="198"/>
      <c r="T65" s="198"/>
      <c r="U65" s="198"/>
    </row>
    <row r="66" spans="1:21" s="12" customFormat="1" x14ac:dyDescent="0.25">
      <c r="A66" s="214" t="s">
        <v>2703</v>
      </c>
      <c r="B66" s="64">
        <v>3.8</v>
      </c>
      <c r="C66" s="64">
        <v>35.909999999999997</v>
      </c>
      <c r="D66" s="64">
        <v>24.16</v>
      </c>
      <c r="E66" s="64">
        <v>1.18</v>
      </c>
      <c r="F66" s="64">
        <v>4.59</v>
      </c>
      <c r="G66" s="64">
        <v>125.28</v>
      </c>
      <c r="H66" s="64">
        <v>57.15</v>
      </c>
      <c r="I66" s="64">
        <v>1.52</v>
      </c>
      <c r="J66" s="64">
        <v>1.19</v>
      </c>
      <c r="K66" s="64">
        <v>337.05</v>
      </c>
      <c r="L66" s="64">
        <v>29.05</v>
      </c>
      <c r="M66" s="64">
        <v>27.33</v>
      </c>
      <c r="N66" s="64">
        <v>253.2</v>
      </c>
      <c r="O66" s="64">
        <v>0</v>
      </c>
      <c r="P66" s="64">
        <v>0.82</v>
      </c>
      <c r="Q66" s="64">
        <v>5.17</v>
      </c>
      <c r="R66" s="198"/>
      <c r="S66" s="198"/>
      <c r="T66" s="198"/>
      <c r="U66" s="198"/>
    </row>
    <row r="67" spans="1:21" s="12" customFormat="1" x14ac:dyDescent="0.25">
      <c r="A67" s="214" t="s">
        <v>2704</v>
      </c>
      <c r="B67" s="64">
        <v>4.78</v>
      </c>
      <c r="C67" s="64">
        <v>34.96</v>
      </c>
      <c r="D67" s="64">
        <v>24.42</v>
      </c>
      <c r="E67" s="64">
        <v>1.27</v>
      </c>
      <c r="F67" s="64">
        <v>6.11</v>
      </c>
      <c r="G67" s="64">
        <v>112.23</v>
      </c>
      <c r="H67" s="64">
        <v>51.48</v>
      </c>
      <c r="I67" s="64">
        <v>1.56</v>
      </c>
      <c r="J67" s="64">
        <v>1.31</v>
      </c>
      <c r="K67" s="64">
        <v>333.63</v>
      </c>
      <c r="L67" s="64">
        <v>28.61</v>
      </c>
      <c r="M67" s="64">
        <v>27.24</v>
      </c>
      <c r="N67" s="64">
        <v>163.1</v>
      </c>
      <c r="O67" s="64">
        <v>0</v>
      </c>
      <c r="P67" s="64">
        <v>0.8</v>
      </c>
      <c r="Q67" s="64">
        <v>5.31</v>
      </c>
      <c r="R67" s="198"/>
      <c r="S67" s="198"/>
      <c r="T67" s="198"/>
      <c r="U67" s="198"/>
    </row>
    <row r="68" spans="1:21" s="12" customFormat="1" x14ac:dyDescent="0.25">
      <c r="A68" s="214" t="s">
        <v>2705</v>
      </c>
      <c r="B68" s="64">
        <v>4.51</v>
      </c>
      <c r="C68" s="64">
        <v>32.909999999999997</v>
      </c>
      <c r="D68" s="64">
        <v>23.07</v>
      </c>
      <c r="E68" s="64">
        <v>1.22</v>
      </c>
      <c r="F68" s="64">
        <v>5.49</v>
      </c>
      <c r="G68" s="64">
        <v>99.76</v>
      </c>
      <c r="H68" s="64">
        <v>48.89</v>
      </c>
      <c r="I68" s="64">
        <v>1.54</v>
      </c>
      <c r="J68" s="64">
        <v>1.43</v>
      </c>
      <c r="K68" s="64">
        <v>336.46</v>
      </c>
      <c r="L68" s="64">
        <v>27.98</v>
      </c>
      <c r="M68" s="64">
        <v>27.83</v>
      </c>
      <c r="N68" s="64">
        <v>133.19999999999999</v>
      </c>
      <c r="O68" s="64">
        <v>0</v>
      </c>
      <c r="P68" s="64">
        <v>0.79</v>
      </c>
      <c r="Q68" s="64">
        <v>5.37</v>
      </c>
      <c r="R68" s="198"/>
      <c r="S68" s="198"/>
      <c r="T68" s="198"/>
      <c r="U68" s="198"/>
    </row>
    <row r="69" spans="1:21" s="12" customFormat="1" x14ac:dyDescent="0.25">
      <c r="A69" s="214" t="s">
        <v>2706</v>
      </c>
      <c r="B69" s="64">
        <v>4.97</v>
      </c>
      <c r="C69" s="64">
        <v>31.42</v>
      </c>
      <c r="D69" s="64">
        <v>22.62</v>
      </c>
      <c r="E69" s="64">
        <v>1.41</v>
      </c>
      <c r="F69" s="64">
        <v>7.83</v>
      </c>
      <c r="G69" s="64">
        <v>99.76</v>
      </c>
      <c r="H69" s="64">
        <v>48.89</v>
      </c>
      <c r="I69" s="64">
        <v>1.5</v>
      </c>
      <c r="J69" s="64">
        <v>1.01</v>
      </c>
      <c r="K69" s="64">
        <v>330.3</v>
      </c>
      <c r="L69" s="64">
        <v>27.81</v>
      </c>
      <c r="M69" s="64">
        <v>29.13</v>
      </c>
      <c r="N69" s="64">
        <v>117.2</v>
      </c>
      <c r="O69" s="64">
        <v>0</v>
      </c>
      <c r="P69" s="64">
        <v>0.78</v>
      </c>
      <c r="Q69" s="64">
        <v>5.27</v>
      </c>
      <c r="R69" s="198"/>
      <c r="S69" s="198"/>
      <c r="T69" s="198"/>
      <c r="U69" s="198"/>
    </row>
    <row r="70" spans="1:21" s="12" customFormat="1" x14ac:dyDescent="0.25">
      <c r="A70" s="214" t="s">
        <v>2707</v>
      </c>
      <c r="B70" s="64">
        <v>5.37</v>
      </c>
      <c r="C70" s="64">
        <v>31.85</v>
      </c>
      <c r="D70" s="64">
        <v>23.18</v>
      </c>
      <c r="E70" s="64">
        <v>1.34</v>
      </c>
      <c r="F70" s="64">
        <v>8.99</v>
      </c>
      <c r="G70" s="64">
        <v>99.76</v>
      </c>
      <c r="H70" s="64">
        <v>48.89</v>
      </c>
      <c r="I70" s="64">
        <v>1.5</v>
      </c>
      <c r="J70" s="64">
        <v>0.89</v>
      </c>
      <c r="K70" s="64">
        <v>325.74</v>
      </c>
      <c r="L70" s="64">
        <v>27.58</v>
      </c>
      <c r="M70" s="64">
        <v>29.26</v>
      </c>
      <c r="N70" s="64">
        <v>106.7</v>
      </c>
      <c r="O70" s="64">
        <v>0</v>
      </c>
      <c r="P70" s="64">
        <v>0.77</v>
      </c>
      <c r="Q70" s="64">
        <v>5.18</v>
      </c>
      <c r="R70" s="198"/>
      <c r="S70" s="198"/>
      <c r="T70" s="198"/>
      <c r="U70" s="198"/>
    </row>
    <row r="71" spans="1:21" s="12" customFormat="1" x14ac:dyDescent="0.25">
      <c r="A71" s="214" t="s">
        <v>2708</v>
      </c>
      <c r="B71" s="64">
        <v>3.74</v>
      </c>
      <c r="C71" s="64">
        <v>33.18</v>
      </c>
      <c r="D71" s="64">
        <v>22.6</v>
      </c>
      <c r="E71" s="64">
        <v>1.47</v>
      </c>
      <c r="F71" s="64">
        <v>8.09</v>
      </c>
      <c r="G71" s="64">
        <v>62.92</v>
      </c>
      <c r="H71" s="64">
        <v>45.57</v>
      </c>
      <c r="I71" s="64">
        <v>1.51</v>
      </c>
      <c r="J71" s="64">
        <v>0.81</v>
      </c>
      <c r="K71" s="64">
        <v>321.37</v>
      </c>
      <c r="L71" s="64">
        <v>27.04</v>
      </c>
      <c r="M71" s="64">
        <v>29.93</v>
      </c>
      <c r="N71" s="64">
        <v>96.6</v>
      </c>
      <c r="O71" s="64">
        <v>0</v>
      </c>
      <c r="P71" s="64">
        <v>0.75</v>
      </c>
      <c r="Q71" s="64">
        <v>5.33</v>
      </c>
      <c r="R71" s="198"/>
      <c r="S71" s="198"/>
      <c r="T71" s="198"/>
      <c r="U71" s="198"/>
    </row>
    <row r="72" spans="1:21" s="12" customFormat="1" x14ac:dyDescent="0.25">
      <c r="A72" s="214" t="s">
        <v>2709</v>
      </c>
      <c r="B72" s="64">
        <v>3.25</v>
      </c>
      <c r="C72" s="64">
        <v>30.89</v>
      </c>
      <c r="D72" s="64">
        <v>20.95</v>
      </c>
      <c r="E72" s="64">
        <v>1.1399999999999999</v>
      </c>
      <c r="F72" s="64">
        <v>6.61</v>
      </c>
      <c r="G72" s="64">
        <v>29.22</v>
      </c>
      <c r="H72" s="64">
        <v>44.05</v>
      </c>
      <c r="I72" s="64">
        <v>1.52</v>
      </c>
      <c r="J72" s="64">
        <v>1.24</v>
      </c>
      <c r="K72" s="64">
        <v>328.92</v>
      </c>
      <c r="L72" s="64">
        <v>26.77</v>
      </c>
      <c r="M72" s="64">
        <v>29.85</v>
      </c>
      <c r="N72" s="64">
        <v>86.6</v>
      </c>
      <c r="O72" s="64">
        <v>0</v>
      </c>
      <c r="P72" s="64">
        <v>0.75</v>
      </c>
      <c r="Q72" s="64">
        <v>5.38</v>
      </c>
      <c r="R72" s="198"/>
      <c r="S72" s="198"/>
      <c r="T72" s="198"/>
      <c r="U72" s="198"/>
    </row>
    <row r="73" spans="1:21" s="12" customFormat="1" x14ac:dyDescent="0.25">
      <c r="A73" s="214" t="s">
        <v>2710</v>
      </c>
      <c r="B73" s="64">
        <v>3.43</v>
      </c>
      <c r="C73" s="64">
        <v>32.979999999999997</v>
      </c>
      <c r="D73" s="64">
        <v>22.24</v>
      </c>
      <c r="E73" s="64">
        <v>1.35</v>
      </c>
      <c r="F73" s="64">
        <v>5.82</v>
      </c>
      <c r="G73" s="64">
        <v>29.22</v>
      </c>
      <c r="H73" s="64">
        <v>44.05</v>
      </c>
      <c r="I73" s="64">
        <v>1.53</v>
      </c>
      <c r="J73" s="64">
        <v>1.18</v>
      </c>
      <c r="K73" s="64">
        <v>334.82</v>
      </c>
      <c r="L73" s="64">
        <v>26.32</v>
      </c>
      <c r="M73" s="64">
        <v>28.97</v>
      </c>
      <c r="N73" s="64">
        <v>77.599999999999994</v>
      </c>
      <c r="O73" s="64">
        <v>0</v>
      </c>
      <c r="P73" s="64">
        <v>0.74</v>
      </c>
      <c r="Q73" s="64">
        <v>5.27</v>
      </c>
      <c r="R73" s="198"/>
      <c r="S73" s="198"/>
      <c r="T73" s="198"/>
      <c r="U73" s="198"/>
    </row>
    <row r="74" spans="1:21" s="12" customFormat="1" x14ac:dyDescent="0.25">
      <c r="A74" s="214" t="s">
        <v>2711</v>
      </c>
      <c r="B74" s="64">
        <v>4.3899999999999997</v>
      </c>
      <c r="C74" s="64">
        <v>29.52</v>
      </c>
      <c r="D74" s="64">
        <v>21.1</v>
      </c>
      <c r="E74" s="64">
        <v>1.62</v>
      </c>
      <c r="F74" s="64">
        <v>5.09</v>
      </c>
      <c r="G74" s="64">
        <v>29.22</v>
      </c>
      <c r="H74" s="64">
        <v>44.05</v>
      </c>
      <c r="I74" s="64">
        <v>1.5</v>
      </c>
      <c r="J74" s="64">
        <v>1.28</v>
      </c>
      <c r="K74" s="64">
        <v>336.07</v>
      </c>
      <c r="L74" s="64">
        <v>26.06</v>
      </c>
      <c r="M74" s="64">
        <v>29.68</v>
      </c>
      <c r="N74" s="64">
        <v>67.400000000000006</v>
      </c>
      <c r="O74" s="64">
        <v>0</v>
      </c>
      <c r="P74" s="64">
        <v>0.73</v>
      </c>
      <c r="Q74" s="64">
        <v>5.24</v>
      </c>
      <c r="R74" s="198"/>
      <c r="S74" s="198"/>
      <c r="T74" s="198"/>
      <c r="U74" s="198"/>
    </row>
    <row r="75" spans="1:21" s="12" customFormat="1" x14ac:dyDescent="0.25">
      <c r="A75" s="214" t="s">
        <v>2712</v>
      </c>
      <c r="B75" s="64">
        <v>5.24</v>
      </c>
      <c r="C75" s="64">
        <v>37.28</v>
      </c>
      <c r="D75" s="64">
        <v>26.07</v>
      </c>
      <c r="E75" s="64">
        <v>1.47</v>
      </c>
      <c r="F75" s="64">
        <v>8.99</v>
      </c>
      <c r="G75" s="64">
        <v>46.17</v>
      </c>
      <c r="H75" s="64">
        <v>41.54</v>
      </c>
      <c r="I75" s="64">
        <v>1.58</v>
      </c>
      <c r="J75" s="64">
        <v>0.94</v>
      </c>
      <c r="K75" s="64">
        <v>339.88</v>
      </c>
      <c r="L75" s="64">
        <v>25.68</v>
      </c>
      <c r="M75" s="64">
        <v>30.88</v>
      </c>
      <c r="N75" s="64">
        <v>57.6</v>
      </c>
      <c r="O75" s="64">
        <v>0</v>
      </c>
      <c r="P75" s="64">
        <v>0.75</v>
      </c>
      <c r="Q75" s="64">
        <v>5.17</v>
      </c>
      <c r="R75" s="198"/>
      <c r="S75" s="198"/>
      <c r="T75" s="198"/>
      <c r="U75" s="198"/>
    </row>
    <row r="76" spans="1:21" s="12" customFormat="1" x14ac:dyDescent="0.25">
      <c r="A76" s="214" t="s">
        <v>2713</v>
      </c>
      <c r="B76" s="64">
        <v>6.26</v>
      </c>
      <c r="C76" s="64">
        <v>34.6</v>
      </c>
      <c r="D76" s="64">
        <v>25.4</v>
      </c>
      <c r="E76" s="64">
        <v>1.59</v>
      </c>
      <c r="F76" s="64">
        <v>6.99</v>
      </c>
      <c r="G76" s="64">
        <v>62.38</v>
      </c>
      <c r="H76" s="64">
        <v>40.39</v>
      </c>
      <c r="I76" s="64">
        <v>1.54</v>
      </c>
      <c r="J76" s="64">
        <v>0.63</v>
      </c>
      <c r="K76" s="64">
        <v>336.59</v>
      </c>
      <c r="L76" s="64">
        <v>25.24</v>
      </c>
      <c r="M76" s="64">
        <v>33.409999999999997</v>
      </c>
      <c r="N76" s="64">
        <v>47.1</v>
      </c>
      <c r="O76" s="64">
        <v>0</v>
      </c>
      <c r="P76" s="64">
        <v>0.8</v>
      </c>
      <c r="Q76" s="64">
        <v>4.97</v>
      </c>
      <c r="R76" s="198"/>
      <c r="S76" s="198"/>
      <c r="T76" s="198"/>
      <c r="U76" s="198"/>
    </row>
    <row r="77" spans="1:21" s="12" customFormat="1" x14ac:dyDescent="0.25">
      <c r="A77" s="214" t="s">
        <v>2714</v>
      </c>
      <c r="B77" s="64">
        <v>11.05</v>
      </c>
      <c r="C77" s="64">
        <v>48.33</v>
      </c>
      <c r="D77" s="64">
        <v>36.82</v>
      </c>
      <c r="E77" s="64">
        <v>1.72</v>
      </c>
      <c r="F77" s="64">
        <v>9.2100000000000009</v>
      </c>
      <c r="G77" s="64">
        <v>62.38</v>
      </c>
      <c r="H77" s="64">
        <v>40.39</v>
      </c>
      <c r="I77" s="64">
        <v>1.57</v>
      </c>
      <c r="J77" s="64">
        <v>0.47</v>
      </c>
      <c r="K77" s="64">
        <v>342.59</v>
      </c>
      <c r="L77" s="64">
        <v>24.7</v>
      </c>
      <c r="M77" s="64">
        <v>34.520000000000003</v>
      </c>
      <c r="N77" s="64">
        <v>36.4</v>
      </c>
      <c r="O77" s="64">
        <v>0</v>
      </c>
      <c r="P77" s="64">
        <v>0.95</v>
      </c>
      <c r="Q77" s="64">
        <v>4.32</v>
      </c>
      <c r="R77" s="198"/>
      <c r="S77" s="198"/>
      <c r="T77" s="198"/>
      <c r="U77" s="198"/>
    </row>
    <row r="78" spans="1:21" s="12" customFormat="1" x14ac:dyDescent="0.25">
      <c r="A78" s="214" t="s">
        <v>2715</v>
      </c>
      <c r="B78" s="64">
        <v>12.9</v>
      </c>
      <c r="C78" s="64">
        <v>71.069999999999993</v>
      </c>
      <c r="D78" s="64">
        <v>50.86</v>
      </c>
      <c r="E78" s="64">
        <v>3.07</v>
      </c>
      <c r="F78" s="64">
        <v>11.05</v>
      </c>
      <c r="G78" s="64">
        <v>62.38</v>
      </c>
      <c r="H78" s="64">
        <v>40.39</v>
      </c>
      <c r="I78" s="64">
        <v>1.48</v>
      </c>
      <c r="J78" s="64">
        <v>0.04</v>
      </c>
      <c r="K78" s="64">
        <v>66.97</v>
      </c>
      <c r="L78" s="64">
        <v>23.91</v>
      </c>
      <c r="M78" s="64">
        <v>36.6</v>
      </c>
      <c r="N78" s="64">
        <v>29.7</v>
      </c>
      <c r="O78" s="64">
        <v>0</v>
      </c>
      <c r="P78" s="64">
        <v>1.17</v>
      </c>
      <c r="Q78" s="64">
        <v>1.8</v>
      </c>
      <c r="R78" s="198"/>
      <c r="S78" s="198"/>
      <c r="T78" s="198"/>
      <c r="U78" s="198"/>
    </row>
    <row r="79" spans="1:21" s="12" customFormat="1" x14ac:dyDescent="0.25">
      <c r="A79" s="214" t="s">
        <v>2716</v>
      </c>
      <c r="B79" s="64">
        <v>5.18</v>
      </c>
      <c r="C79" s="64">
        <v>50.43</v>
      </c>
      <c r="D79" s="64">
        <v>33.28</v>
      </c>
      <c r="E79" s="64">
        <v>3.78</v>
      </c>
      <c r="F79" s="64">
        <v>15.48</v>
      </c>
      <c r="G79" s="64">
        <v>80.760000000000005</v>
      </c>
      <c r="H79" s="64">
        <v>38.35</v>
      </c>
      <c r="I79" s="64">
        <v>1.54</v>
      </c>
      <c r="J79" s="64">
        <v>0.05</v>
      </c>
      <c r="K79" s="64">
        <v>137.55000000000001</v>
      </c>
      <c r="L79" s="64">
        <v>23.47</v>
      </c>
      <c r="M79" s="64">
        <v>39.25</v>
      </c>
      <c r="N79" s="64">
        <v>27.5</v>
      </c>
      <c r="O79" s="64">
        <v>0</v>
      </c>
      <c r="P79" s="64">
        <v>0.97</v>
      </c>
      <c r="Q79" s="64">
        <v>3.98</v>
      </c>
      <c r="R79" s="198"/>
      <c r="S79" s="198"/>
      <c r="T79" s="198"/>
      <c r="U79" s="198"/>
    </row>
    <row r="80" spans="1:21" s="12" customFormat="1" x14ac:dyDescent="0.25">
      <c r="A80" s="214" t="s">
        <v>2717</v>
      </c>
      <c r="B80" s="64">
        <v>22.75</v>
      </c>
      <c r="C80" s="64">
        <v>67.099999999999994</v>
      </c>
      <c r="D80" s="64">
        <v>56.57</v>
      </c>
      <c r="E80" s="64">
        <v>3.25</v>
      </c>
      <c r="F80" s="64">
        <v>3.81</v>
      </c>
      <c r="G80" s="64">
        <v>98.34</v>
      </c>
      <c r="H80" s="64">
        <v>36.4</v>
      </c>
      <c r="I80" s="64">
        <v>1.53</v>
      </c>
      <c r="J80" s="64">
        <v>0.14000000000000001</v>
      </c>
      <c r="K80" s="64">
        <v>306.33999999999997</v>
      </c>
      <c r="L80" s="64">
        <v>22.5</v>
      </c>
      <c r="M80" s="64">
        <v>52.81</v>
      </c>
      <c r="N80" s="64">
        <v>27.2</v>
      </c>
      <c r="O80" s="64">
        <v>0</v>
      </c>
      <c r="P80" s="64">
        <v>1.31</v>
      </c>
      <c r="Q80" s="64">
        <v>3.75</v>
      </c>
      <c r="R80" s="198"/>
      <c r="S80" s="198"/>
      <c r="T80" s="198"/>
      <c r="U80" s="198"/>
    </row>
    <row r="81" spans="1:26" s="12" customFormat="1" x14ac:dyDescent="0.25">
      <c r="A81" s="214" t="s">
        <v>2718</v>
      </c>
      <c r="B81" s="64">
        <v>37.880000000000003</v>
      </c>
      <c r="C81" s="64">
        <v>58.9</v>
      </c>
      <c r="D81" s="64">
        <v>64.17</v>
      </c>
      <c r="E81" s="64">
        <v>2.94</v>
      </c>
      <c r="F81" s="64">
        <v>0.8</v>
      </c>
      <c r="G81" s="64">
        <v>98.34</v>
      </c>
      <c r="H81" s="64">
        <v>36.4</v>
      </c>
      <c r="I81" s="64">
        <v>1.53</v>
      </c>
      <c r="J81" s="64">
        <v>0.13</v>
      </c>
      <c r="K81" s="64">
        <v>288.58</v>
      </c>
      <c r="L81" s="64">
        <v>21.65</v>
      </c>
      <c r="M81" s="64">
        <v>60.87</v>
      </c>
      <c r="N81" s="64">
        <v>27.2</v>
      </c>
      <c r="O81" s="64">
        <v>0</v>
      </c>
      <c r="P81" s="64">
        <v>1.64</v>
      </c>
      <c r="Q81" s="64">
        <v>3.31</v>
      </c>
      <c r="R81" s="198"/>
      <c r="S81" s="198"/>
      <c r="T81" s="198"/>
      <c r="U81" s="198"/>
    </row>
    <row r="82" spans="1:26" s="12" customFormat="1" x14ac:dyDescent="0.25">
      <c r="A82" s="214" t="s">
        <v>2719</v>
      </c>
      <c r="B82" s="64">
        <v>36.71</v>
      </c>
      <c r="C82" s="64">
        <v>51.58</v>
      </c>
      <c r="D82" s="64">
        <v>59.2</v>
      </c>
      <c r="E82" s="64">
        <v>2.91</v>
      </c>
      <c r="F82" s="64">
        <v>0.52</v>
      </c>
      <c r="G82" s="64">
        <v>98.34</v>
      </c>
      <c r="H82" s="64">
        <v>36.4</v>
      </c>
      <c r="I82" s="64">
        <v>1.54</v>
      </c>
      <c r="J82" s="64">
        <v>0.14000000000000001</v>
      </c>
      <c r="K82" s="64">
        <v>283.18</v>
      </c>
      <c r="L82" s="64">
        <v>21.44</v>
      </c>
      <c r="M82" s="64">
        <v>54.9</v>
      </c>
      <c r="N82" s="64">
        <v>27</v>
      </c>
      <c r="O82" s="64">
        <v>0</v>
      </c>
      <c r="P82" s="64">
        <v>1.5</v>
      </c>
      <c r="Q82" s="64">
        <v>3.62</v>
      </c>
      <c r="R82" s="198"/>
      <c r="S82" s="198"/>
      <c r="T82" s="198"/>
      <c r="U82" s="198"/>
    </row>
    <row r="83" spans="1:26" s="12" customFormat="1" x14ac:dyDescent="0.25">
      <c r="A83" s="214" t="s">
        <v>2720</v>
      </c>
      <c r="B83" s="64">
        <v>40.39</v>
      </c>
      <c r="C83" s="64">
        <v>49.26</v>
      </c>
      <c r="D83" s="64">
        <v>60.87</v>
      </c>
      <c r="E83" s="64">
        <v>2.54</v>
      </c>
      <c r="F83" s="64">
        <v>0.28999999999999998</v>
      </c>
      <c r="G83" s="64">
        <v>98.34</v>
      </c>
      <c r="H83" s="64">
        <v>49.18</v>
      </c>
      <c r="I83" s="64">
        <v>1.52</v>
      </c>
      <c r="J83" s="64">
        <v>7.0000000000000007E-2</v>
      </c>
      <c r="K83" s="64">
        <v>267.27</v>
      </c>
      <c r="L83" s="64">
        <v>21.11</v>
      </c>
      <c r="M83" s="64">
        <v>56.84</v>
      </c>
      <c r="N83" s="64">
        <v>27.2</v>
      </c>
      <c r="O83" s="64">
        <v>0</v>
      </c>
      <c r="P83" s="64">
        <v>1.61</v>
      </c>
      <c r="Q83" s="64">
        <v>1.88</v>
      </c>
      <c r="R83" s="198"/>
      <c r="S83" s="198"/>
      <c r="T83" s="198"/>
      <c r="U83" s="198"/>
    </row>
    <row r="84" spans="1:26" s="12" customFormat="1" x14ac:dyDescent="0.25">
      <c r="A84" s="214" t="s">
        <v>2721</v>
      </c>
      <c r="B84" s="64">
        <v>40.54</v>
      </c>
      <c r="C84" s="64">
        <v>64.33</v>
      </c>
      <c r="D84" s="64">
        <v>69.31</v>
      </c>
      <c r="E84" s="64">
        <v>2.2599999999999998</v>
      </c>
      <c r="F84" s="64">
        <v>7.0000000000000007E-2</v>
      </c>
      <c r="G84" s="64">
        <v>270.94</v>
      </c>
      <c r="H84" s="64">
        <v>55.02</v>
      </c>
      <c r="I84" s="64">
        <v>1.39</v>
      </c>
      <c r="J84" s="64">
        <v>0.03</v>
      </c>
      <c r="K84" s="64">
        <v>265.14</v>
      </c>
      <c r="L84" s="64">
        <v>20.75</v>
      </c>
      <c r="M84" s="64">
        <v>57.76</v>
      </c>
      <c r="N84" s="64">
        <v>27.2</v>
      </c>
      <c r="O84" s="64">
        <v>0</v>
      </c>
      <c r="P84" s="64">
        <v>1.48</v>
      </c>
      <c r="Q84" s="64">
        <v>4.1399999999999997</v>
      </c>
      <c r="R84" s="198"/>
      <c r="S84" s="198"/>
      <c r="T84" s="198"/>
      <c r="U84" s="198"/>
    </row>
    <row r="85" spans="1:26" s="12" customFormat="1" x14ac:dyDescent="0.25">
      <c r="A85" s="214" t="s">
        <v>2722</v>
      </c>
      <c r="B85" s="64">
        <v>43.53</v>
      </c>
      <c r="C85" s="64">
        <v>55.56</v>
      </c>
      <c r="D85" s="64">
        <v>66.86</v>
      </c>
      <c r="E85" s="64">
        <v>2.0499999999999998</v>
      </c>
      <c r="F85" s="64">
        <v>0.31</v>
      </c>
      <c r="G85" s="64">
        <v>270.94</v>
      </c>
      <c r="H85" s="64">
        <v>55.02</v>
      </c>
      <c r="I85" s="64">
        <v>1.51</v>
      </c>
      <c r="J85" s="64">
        <v>0.06</v>
      </c>
      <c r="K85" s="64">
        <v>103.57</v>
      </c>
      <c r="L85" s="64">
        <v>20.59</v>
      </c>
      <c r="M85" s="64">
        <v>59.04</v>
      </c>
      <c r="N85" s="64">
        <v>26.7</v>
      </c>
      <c r="O85" s="64">
        <v>0</v>
      </c>
      <c r="P85" s="64">
        <v>1.37</v>
      </c>
      <c r="Q85" s="64">
        <v>4.54</v>
      </c>
      <c r="R85" s="198"/>
      <c r="S85" s="198"/>
      <c r="T85" s="198"/>
      <c r="U85" s="198"/>
    </row>
    <row r="86" spans="1:26" s="12" customFormat="1" x14ac:dyDescent="0.25">
      <c r="A86" s="214" t="s">
        <v>2723</v>
      </c>
      <c r="B86" s="64">
        <v>32.270000000000003</v>
      </c>
      <c r="C86" s="64">
        <v>48.31</v>
      </c>
      <c r="D86" s="64">
        <v>53.83</v>
      </c>
      <c r="E86" s="64">
        <v>1.89</v>
      </c>
      <c r="F86" s="64">
        <v>0.22</v>
      </c>
      <c r="G86" s="64">
        <v>270.94</v>
      </c>
      <c r="H86" s="64">
        <v>55.02</v>
      </c>
      <c r="I86" s="64">
        <v>1.55</v>
      </c>
      <c r="J86" s="64">
        <v>0.1</v>
      </c>
      <c r="K86" s="64">
        <v>132.69</v>
      </c>
      <c r="L86" s="64">
        <v>21.14</v>
      </c>
      <c r="M86" s="64">
        <v>54.04</v>
      </c>
      <c r="N86" s="64">
        <v>25.7</v>
      </c>
      <c r="O86" s="64">
        <v>0</v>
      </c>
      <c r="P86" s="64">
        <v>1.38</v>
      </c>
      <c r="Q86" s="64">
        <v>5.4</v>
      </c>
      <c r="R86" s="198"/>
      <c r="S86" s="198"/>
      <c r="T86" s="198"/>
      <c r="U86" s="198"/>
    </row>
    <row r="87" spans="1:26" s="12" customFormat="1" x14ac:dyDescent="0.25">
      <c r="A87" s="214" t="s">
        <v>2724</v>
      </c>
      <c r="B87" s="64">
        <v>29.63</v>
      </c>
      <c r="C87" s="64">
        <v>50.22</v>
      </c>
      <c r="D87" s="64">
        <v>52.77</v>
      </c>
      <c r="E87" s="64">
        <v>1.98</v>
      </c>
      <c r="F87" s="64">
        <v>1.33</v>
      </c>
      <c r="G87" s="64">
        <v>191.72</v>
      </c>
      <c r="H87" s="64">
        <v>60.6</v>
      </c>
      <c r="I87" s="64">
        <v>1.49</v>
      </c>
      <c r="J87" s="64">
        <v>0.13</v>
      </c>
      <c r="K87" s="64">
        <v>265.45</v>
      </c>
      <c r="L87" s="64">
        <v>21.32</v>
      </c>
      <c r="M87" s="64">
        <v>52.79</v>
      </c>
      <c r="N87" s="64">
        <v>26.5</v>
      </c>
      <c r="O87" s="64">
        <v>0</v>
      </c>
      <c r="P87" s="64">
        <v>1.36</v>
      </c>
      <c r="Q87" s="64">
        <v>7.29</v>
      </c>
      <c r="R87" s="198"/>
      <c r="S87" s="198"/>
      <c r="T87" s="198"/>
      <c r="U87" s="198"/>
    </row>
    <row r="88" spans="1:26" s="12" customFormat="1" x14ac:dyDescent="0.25">
      <c r="A88" s="214" t="s">
        <v>2725</v>
      </c>
      <c r="B88" s="64">
        <v>39.04</v>
      </c>
      <c r="C88" s="64">
        <v>47.27</v>
      </c>
      <c r="D88" s="64">
        <v>58.68</v>
      </c>
      <c r="E88" s="64">
        <v>0.81</v>
      </c>
      <c r="F88" s="64">
        <v>0.53</v>
      </c>
      <c r="G88" s="64">
        <v>191.72</v>
      </c>
      <c r="H88" s="64">
        <v>63.14</v>
      </c>
      <c r="I88" s="64">
        <v>1.53</v>
      </c>
      <c r="J88" s="64">
        <v>0.14000000000000001</v>
      </c>
      <c r="K88" s="64">
        <v>294.54000000000002</v>
      </c>
      <c r="L88" s="64">
        <v>21.07</v>
      </c>
      <c r="M88" s="64">
        <v>58.73</v>
      </c>
      <c r="N88" s="64">
        <v>26.7</v>
      </c>
      <c r="O88" s="64">
        <v>0</v>
      </c>
      <c r="P88" s="64">
        <v>1.51</v>
      </c>
      <c r="Q88" s="64">
        <v>6.93</v>
      </c>
      <c r="R88" s="198"/>
      <c r="S88" s="198"/>
      <c r="T88" s="198"/>
      <c r="U88" s="198"/>
    </row>
    <row r="89" spans="1:26" s="12" customFormat="1" x14ac:dyDescent="0.25">
      <c r="A89" s="214" t="s">
        <v>2726</v>
      </c>
      <c r="B89" s="64">
        <v>38.71</v>
      </c>
      <c r="C89" s="64">
        <v>40.96</v>
      </c>
      <c r="D89" s="64">
        <v>54.94</v>
      </c>
      <c r="E89" s="64">
        <v>1.46</v>
      </c>
      <c r="F89" s="64">
        <v>0.25</v>
      </c>
      <c r="G89" s="64">
        <v>191.72</v>
      </c>
      <c r="H89" s="64">
        <v>63.14</v>
      </c>
      <c r="I89" s="64">
        <v>1.53</v>
      </c>
      <c r="J89" s="64">
        <v>0.17</v>
      </c>
      <c r="K89" s="64">
        <v>318.36</v>
      </c>
      <c r="L89" s="64">
        <v>20.9</v>
      </c>
      <c r="M89" s="64">
        <v>60.36</v>
      </c>
      <c r="N89" s="64">
        <v>26.9</v>
      </c>
      <c r="O89" s="64">
        <v>0</v>
      </c>
      <c r="P89" s="64">
        <v>1.49</v>
      </c>
      <c r="Q89" s="64">
        <v>6.89</v>
      </c>
      <c r="R89" s="198"/>
      <c r="S89" s="198"/>
      <c r="T89" s="198"/>
      <c r="U89" s="198"/>
    </row>
    <row r="90" spans="1:26" s="12" customFormat="1" x14ac:dyDescent="0.25">
      <c r="A90" s="214" t="s">
        <v>2727</v>
      </c>
      <c r="B90" s="64">
        <v>42.48</v>
      </c>
      <c r="C90" s="64">
        <v>51.29</v>
      </c>
      <c r="D90" s="64">
        <v>63.66</v>
      </c>
      <c r="E90" s="64">
        <v>1.48</v>
      </c>
      <c r="F90" s="64">
        <v>0.17</v>
      </c>
      <c r="G90" s="64">
        <v>191.72</v>
      </c>
      <c r="H90" s="64">
        <v>63.14</v>
      </c>
      <c r="I90" s="64">
        <v>1.54</v>
      </c>
      <c r="J90" s="64">
        <v>0.03</v>
      </c>
      <c r="K90" s="64">
        <v>265.56</v>
      </c>
      <c r="L90" s="64">
        <v>20.34</v>
      </c>
      <c r="M90" s="64">
        <v>63.17</v>
      </c>
      <c r="N90" s="64">
        <v>27.3</v>
      </c>
      <c r="O90" s="64">
        <v>0</v>
      </c>
      <c r="P90" s="64">
        <v>1.72</v>
      </c>
      <c r="Q90" s="64">
        <v>6.25</v>
      </c>
      <c r="R90" s="198"/>
      <c r="S90" s="198"/>
      <c r="T90" s="198"/>
      <c r="U90" s="198"/>
    </row>
    <row r="91" spans="1:26" s="12" customFormat="1" x14ac:dyDescent="0.25">
      <c r="A91" s="214" t="s">
        <v>2728</v>
      </c>
      <c r="B91" s="64">
        <v>44.84</v>
      </c>
      <c r="C91" s="64">
        <v>48.36</v>
      </c>
      <c r="D91" s="64">
        <v>63.94</v>
      </c>
      <c r="E91" s="64">
        <v>1.72</v>
      </c>
      <c r="F91" s="64">
        <v>0.23</v>
      </c>
      <c r="G91" s="64">
        <v>192.02</v>
      </c>
      <c r="H91" s="64">
        <v>64.17</v>
      </c>
      <c r="I91" s="64">
        <v>1.48</v>
      </c>
      <c r="J91" s="64">
        <v>0.16</v>
      </c>
      <c r="K91" s="64">
        <v>270.75</v>
      </c>
      <c r="L91" s="64">
        <v>20.04</v>
      </c>
      <c r="M91" s="64">
        <v>64.13</v>
      </c>
      <c r="N91" s="64">
        <v>26.7</v>
      </c>
      <c r="O91" s="64">
        <v>0</v>
      </c>
      <c r="P91" s="64">
        <v>1.66</v>
      </c>
      <c r="Q91" s="64">
        <v>7.22</v>
      </c>
      <c r="R91" s="198"/>
      <c r="S91" s="198"/>
      <c r="T91" s="198"/>
      <c r="U91" s="198"/>
    </row>
    <row r="92" spans="1:26" s="12" customFormat="1" x14ac:dyDescent="0.25">
      <c r="A92" s="214" t="s">
        <v>2729</v>
      </c>
      <c r="B92" s="64">
        <v>44.92</v>
      </c>
      <c r="C92" s="64">
        <v>38.44</v>
      </c>
      <c r="D92" s="64">
        <v>58.53</v>
      </c>
      <c r="E92" s="64">
        <v>1.49</v>
      </c>
      <c r="F92" s="64">
        <v>0.26</v>
      </c>
      <c r="G92" s="64">
        <v>192.3</v>
      </c>
      <c r="H92" s="64">
        <v>64.64</v>
      </c>
      <c r="I92" s="64">
        <v>1.5</v>
      </c>
      <c r="J92" s="64">
        <v>0.17</v>
      </c>
      <c r="K92" s="64">
        <v>327.64999999999998</v>
      </c>
      <c r="L92" s="64">
        <v>19.89</v>
      </c>
      <c r="M92" s="64">
        <v>67.760000000000005</v>
      </c>
      <c r="N92" s="64">
        <v>26.8</v>
      </c>
      <c r="O92" s="64">
        <v>0</v>
      </c>
      <c r="P92" s="64">
        <v>1.74</v>
      </c>
      <c r="Q92" s="64">
        <v>7.34</v>
      </c>
      <c r="R92" s="198"/>
      <c r="S92" s="198"/>
      <c r="T92" s="198"/>
      <c r="U92" s="198"/>
    </row>
    <row r="93" spans="1:26" s="12" customFormat="1" x14ac:dyDescent="0.25">
      <c r="A93" s="214" t="s">
        <v>2730</v>
      </c>
      <c r="B93" s="64">
        <v>56.03</v>
      </c>
      <c r="C93" s="64">
        <v>47.84</v>
      </c>
      <c r="D93" s="64">
        <v>72.62</v>
      </c>
      <c r="E93" s="64">
        <v>1.76</v>
      </c>
      <c r="F93" s="64">
        <v>0.14000000000000001</v>
      </c>
      <c r="G93" s="64">
        <v>192.3</v>
      </c>
      <c r="H93" s="64">
        <v>64.64</v>
      </c>
      <c r="I93" s="64">
        <v>1.58</v>
      </c>
      <c r="J93" s="64">
        <v>0.14000000000000001</v>
      </c>
      <c r="K93" s="64">
        <v>320.55</v>
      </c>
      <c r="L93" s="64">
        <v>20.010000000000002</v>
      </c>
      <c r="M93" s="64">
        <v>67.75</v>
      </c>
      <c r="N93" s="64">
        <v>26.6</v>
      </c>
      <c r="O93" s="64">
        <v>0</v>
      </c>
      <c r="P93" s="64">
        <v>1.83</v>
      </c>
      <c r="Q93" s="64">
        <v>7.28</v>
      </c>
      <c r="R93" s="198"/>
      <c r="S93" s="198"/>
      <c r="T93" s="198"/>
      <c r="U93" s="198"/>
    </row>
    <row r="94" spans="1:26" s="12" customFormat="1" x14ac:dyDescent="0.25">
      <c r="A94" s="214" t="s">
        <v>2731</v>
      </c>
      <c r="B94" s="64">
        <v>56.69</v>
      </c>
      <c r="C94" s="64">
        <v>48.47</v>
      </c>
      <c r="D94" s="64">
        <v>73.5</v>
      </c>
      <c r="E94" s="64">
        <v>1.77</v>
      </c>
      <c r="F94" s="64">
        <v>0.24</v>
      </c>
      <c r="G94" s="64">
        <v>192.3</v>
      </c>
      <c r="H94" s="64">
        <v>64.64</v>
      </c>
      <c r="I94" s="64">
        <v>1.52</v>
      </c>
      <c r="J94" s="64">
        <v>0.16</v>
      </c>
      <c r="K94" s="64">
        <v>306.52999999999997</v>
      </c>
      <c r="L94" s="64">
        <v>19.850000000000001</v>
      </c>
      <c r="M94" s="64">
        <v>65.900000000000006</v>
      </c>
      <c r="N94" s="64">
        <v>26.8</v>
      </c>
      <c r="O94" s="64">
        <v>0</v>
      </c>
      <c r="P94" s="64">
        <v>1.82</v>
      </c>
      <c r="Q94" s="64">
        <v>5.77</v>
      </c>
      <c r="R94" s="198"/>
      <c r="S94" s="198"/>
      <c r="T94" s="198"/>
      <c r="U94" s="198"/>
    </row>
    <row r="95" spans="1:26" s="12" customFormat="1" x14ac:dyDescent="0.25">
      <c r="A95" s="214" t="s">
        <v>2732</v>
      </c>
      <c r="B95" s="64">
        <v>55.45</v>
      </c>
      <c r="C95" s="64">
        <v>36.53</v>
      </c>
      <c r="D95" s="64">
        <v>65.92</v>
      </c>
      <c r="E95" s="64">
        <v>1.77</v>
      </c>
      <c r="F95" s="64">
        <v>0.39</v>
      </c>
      <c r="G95" s="64">
        <v>189.94</v>
      </c>
      <c r="H95" s="64">
        <v>68.62</v>
      </c>
      <c r="I95" s="64">
        <v>1.56</v>
      </c>
      <c r="J95" s="64">
        <v>0.12</v>
      </c>
      <c r="K95" s="64">
        <v>333.99</v>
      </c>
      <c r="L95" s="64">
        <v>19.600000000000001</v>
      </c>
      <c r="M95" s="64">
        <v>71.64</v>
      </c>
      <c r="N95" s="64">
        <v>27</v>
      </c>
      <c r="O95" s="64">
        <v>0</v>
      </c>
      <c r="P95" s="64">
        <v>1.82</v>
      </c>
      <c r="Q95" s="64">
        <v>8.7799999999999994</v>
      </c>
      <c r="R95" s="198"/>
      <c r="S95" s="198"/>
      <c r="T95" s="198"/>
      <c r="U95" s="198"/>
    </row>
    <row r="96" spans="1:26" s="12" customFormat="1" x14ac:dyDescent="0.25">
      <c r="A96" s="214" t="s">
        <v>2733</v>
      </c>
      <c r="B96" s="64">
        <v>57.33</v>
      </c>
      <c r="C96" s="64">
        <v>37.590000000000003</v>
      </c>
      <c r="D96" s="64">
        <v>68.010000000000005</v>
      </c>
      <c r="E96" s="64">
        <v>1.53</v>
      </c>
      <c r="F96" s="64">
        <v>0.06</v>
      </c>
      <c r="G96" s="64">
        <v>187.77</v>
      </c>
      <c r="H96" s="64">
        <v>70.44</v>
      </c>
      <c r="I96" s="64">
        <v>1.46</v>
      </c>
      <c r="J96" s="64">
        <v>0.11</v>
      </c>
      <c r="K96" s="64">
        <v>310.31</v>
      </c>
      <c r="L96" s="64">
        <v>19.22</v>
      </c>
      <c r="M96" s="64">
        <v>73.989999999999995</v>
      </c>
      <c r="N96" s="64">
        <v>27</v>
      </c>
      <c r="O96" s="64">
        <v>0</v>
      </c>
      <c r="P96" s="64">
        <v>1.86</v>
      </c>
      <c r="Q96" s="64">
        <v>9.4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2734</v>
      </c>
      <c r="B97" s="64">
        <v>59.24</v>
      </c>
      <c r="C97" s="64">
        <v>37.200000000000003</v>
      </c>
      <c r="D97" s="64">
        <v>69.33</v>
      </c>
      <c r="E97" s="64">
        <v>1.45</v>
      </c>
      <c r="F97" s="64">
        <v>0.18</v>
      </c>
      <c r="G97" s="64">
        <v>187.77</v>
      </c>
      <c r="H97" s="64">
        <v>70.44</v>
      </c>
      <c r="I97" s="64">
        <v>1.47</v>
      </c>
      <c r="J97" s="64">
        <v>0.04</v>
      </c>
      <c r="K97" s="64">
        <v>325.05</v>
      </c>
      <c r="L97" s="64">
        <v>18.93</v>
      </c>
      <c r="M97" s="64">
        <v>71.83</v>
      </c>
      <c r="N97" s="64">
        <v>27</v>
      </c>
      <c r="O97" s="64">
        <v>0</v>
      </c>
      <c r="P97" s="64">
        <v>1.89</v>
      </c>
      <c r="Q97" s="64">
        <v>9.2799999999999994</v>
      </c>
      <c r="R97" s="198"/>
      <c r="S97" s="198"/>
      <c r="T97" s="198"/>
      <c r="U97" s="198"/>
    </row>
    <row r="98" spans="1:33" s="12" customFormat="1" x14ac:dyDescent="0.25">
      <c r="A98" s="214" t="s">
        <v>2735</v>
      </c>
      <c r="B98" s="64">
        <v>61.56</v>
      </c>
      <c r="C98" s="64">
        <v>37.24</v>
      </c>
      <c r="D98" s="64">
        <v>71.209999999999994</v>
      </c>
      <c r="E98" s="64">
        <v>1.41</v>
      </c>
      <c r="F98" s="64">
        <v>0.19</v>
      </c>
      <c r="G98" s="64">
        <v>187.77</v>
      </c>
      <c r="H98" s="64">
        <v>70.44</v>
      </c>
      <c r="I98" s="64">
        <v>1.53</v>
      </c>
      <c r="J98" s="64">
        <v>0.12</v>
      </c>
      <c r="K98" s="64">
        <v>310.54000000000002</v>
      </c>
      <c r="L98" s="64">
        <v>18.96</v>
      </c>
      <c r="M98" s="64">
        <v>75.569999999999993</v>
      </c>
      <c r="N98" s="64">
        <v>26.8</v>
      </c>
      <c r="O98" s="64">
        <v>0</v>
      </c>
      <c r="P98" s="64">
        <v>1.93</v>
      </c>
      <c r="Q98" s="64">
        <v>9.58</v>
      </c>
      <c r="R98" s="198"/>
      <c r="S98" s="198"/>
      <c r="T98" s="198"/>
      <c r="U98" s="198"/>
    </row>
    <row r="99" spans="1:33" s="12" customFormat="1" x14ac:dyDescent="0.25">
      <c r="A99" s="214" t="s">
        <v>2736</v>
      </c>
      <c r="B99" s="64">
        <v>66.680000000000007</v>
      </c>
      <c r="C99" s="64">
        <v>38.24</v>
      </c>
      <c r="D99" s="64">
        <v>75.86</v>
      </c>
      <c r="E99" s="64">
        <v>1.65</v>
      </c>
      <c r="F99" s="64">
        <v>0.24</v>
      </c>
      <c r="G99" s="64">
        <v>193.87</v>
      </c>
      <c r="H99" s="64">
        <v>72.209999999999994</v>
      </c>
      <c r="I99" s="64">
        <v>1.52</v>
      </c>
      <c r="J99" s="64">
        <v>0.04</v>
      </c>
      <c r="K99" s="64">
        <v>277.05</v>
      </c>
      <c r="L99" s="64">
        <v>18.71</v>
      </c>
      <c r="M99" s="64">
        <v>74.09</v>
      </c>
      <c r="N99" s="64">
        <v>26.8</v>
      </c>
      <c r="O99" s="64">
        <v>0</v>
      </c>
      <c r="P99" s="64">
        <v>1.97</v>
      </c>
      <c r="Q99" s="64">
        <v>10.08</v>
      </c>
      <c r="R99" s="198"/>
      <c r="S99" s="198"/>
      <c r="T99" s="198"/>
      <c r="U99" s="198"/>
    </row>
    <row r="100" spans="1:33" s="12" customFormat="1" x14ac:dyDescent="0.25">
      <c r="A100" s="214" t="s">
        <v>2737</v>
      </c>
      <c r="B100" s="64">
        <v>65.819999999999993</v>
      </c>
      <c r="C100" s="64">
        <v>38.700000000000003</v>
      </c>
      <c r="D100" s="64">
        <v>75.430000000000007</v>
      </c>
      <c r="E100" s="64">
        <v>1.52</v>
      </c>
      <c r="F100" s="64">
        <v>0.06</v>
      </c>
      <c r="G100" s="64">
        <v>199.45</v>
      </c>
      <c r="H100" s="64">
        <v>73.010000000000005</v>
      </c>
      <c r="I100" s="64">
        <v>1.57</v>
      </c>
      <c r="J100" s="64">
        <v>0.06</v>
      </c>
      <c r="K100" s="64">
        <v>311.91000000000003</v>
      </c>
      <c r="L100" s="64">
        <v>18.7</v>
      </c>
      <c r="M100" s="64">
        <v>75.2</v>
      </c>
      <c r="N100" s="64">
        <v>26.8</v>
      </c>
      <c r="O100" s="64">
        <v>0</v>
      </c>
      <c r="P100" s="64">
        <v>1.96</v>
      </c>
      <c r="Q100" s="64">
        <v>10.43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2738</v>
      </c>
      <c r="B101" s="64">
        <v>65.81</v>
      </c>
      <c r="C101" s="64">
        <v>37.659999999999997</v>
      </c>
      <c r="D101" s="64">
        <v>74.849999999999994</v>
      </c>
      <c r="E101" s="64">
        <v>1.72</v>
      </c>
      <c r="F101" s="64">
        <v>0.02</v>
      </c>
      <c r="G101" s="64">
        <v>199.45</v>
      </c>
      <c r="H101" s="64">
        <v>73.010000000000005</v>
      </c>
      <c r="I101" s="64">
        <v>1.45</v>
      </c>
      <c r="J101" s="64">
        <v>0.04</v>
      </c>
      <c r="K101" s="64">
        <v>256.87</v>
      </c>
      <c r="L101" s="64">
        <v>18.399999999999999</v>
      </c>
      <c r="M101" s="64">
        <v>77.09</v>
      </c>
      <c r="N101" s="64">
        <v>27</v>
      </c>
      <c r="O101" s="64">
        <v>0</v>
      </c>
      <c r="P101" s="64">
        <v>1.96</v>
      </c>
      <c r="Q101" s="64">
        <v>10.55</v>
      </c>
      <c r="R101" s="198"/>
      <c r="S101" s="198"/>
      <c r="T101" s="198"/>
      <c r="U101" s="198"/>
    </row>
    <row r="102" spans="1:33" s="12" customFormat="1" x14ac:dyDescent="0.25">
      <c r="A102" s="214" t="s">
        <v>2739</v>
      </c>
      <c r="B102" s="64">
        <v>65.72</v>
      </c>
      <c r="C102" s="64">
        <v>40.619999999999997</v>
      </c>
      <c r="D102" s="64">
        <v>76.41</v>
      </c>
      <c r="E102" s="64">
        <v>1.68</v>
      </c>
      <c r="F102" s="64">
        <v>7.0000000000000007E-2</v>
      </c>
      <c r="G102" s="64">
        <v>199.45</v>
      </c>
      <c r="H102" s="64">
        <v>73.010000000000005</v>
      </c>
      <c r="I102" s="64">
        <v>1.52</v>
      </c>
      <c r="J102" s="64">
        <v>0.12</v>
      </c>
      <c r="K102" s="64">
        <v>311.70999999999998</v>
      </c>
      <c r="L102" s="64">
        <v>18.27</v>
      </c>
      <c r="M102" s="64">
        <v>77.66</v>
      </c>
      <c r="N102" s="64">
        <v>26.8</v>
      </c>
      <c r="O102" s="64">
        <v>0</v>
      </c>
      <c r="P102" s="64">
        <v>1.96</v>
      </c>
      <c r="Q102" s="64">
        <v>10.45</v>
      </c>
      <c r="R102" s="198"/>
      <c r="S102" s="198"/>
      <c r="T102" s="198"/>
      <c r="U102" s="198"/>
    </row>
    <row r="103" spans="1:33" s="12" customFormat="1" x14ac:dyDescent="0.25">
      <c r="A103" s="214" t="s">
        <v>2740</v>
      </c>
      <c r="B103" s="64">
        <v>66.17</v>
      </c>
      <c r="C103" s="64">
        <v>46.87</v>
      </c>
      <c r="D103" s="64">
        <v>80.22</v>
      </c>
      <c r="E103" s="64">
        <v>1.71</v>
      </c>
      <c r="F103" s="64">
        <v>0.22</v>
      </c>
      <c r="G103" s="64">
        <v>177.25</v>
      </c>
      <c r="H103" s="64">
        <v>71.459999999999994</v>
      </c>
      <c r="I103" s="64">
        <v>1.51</v>
      </c>
      <c r="J103" s="64">
        <v>0.17</v>
      </c>
      <c r="K103" s="64">
        <v>211.43</v>
      </c>
      <c r="L103" s="64">
        <v>18.47</v>
      </c>
      <c r="M103" s="64">
        <v>76.81</v>
      </c>
      <c r="N103" s="64">
        <v>26.2</v>
      </c>
      <c r="O103" s="64">
        <v>0</v>
      </c>
      <c r="P103" s="64">
        <v>1.96</v>
      </c>
      <c r="Q103" s="64">
        <v>10.25</v>
      </c>
      <c r="R103" s="198"/>
      <c r="S103" s="198"/>
      <c r="T103" s="198"/>
      <c r="U103" s="198"/>
    </row>
    <row r="104" spans="1:33" s="12" customFormat="1" x14ac:dyDescent="0.25">
      <c r="A104" s="214" t="s">
        <v>2741</v>
      </c>
      <c r="B104" s="64">
        <v>62.21</v>
      </c>
      <c r="C104" s="64">
        <v>40.659999999999997</v>
      </c>
      <c r="D104" s="64">
        <v>73.61</v>
      </c>
      <c r="E104" s="64">
        <v>1.07</v>
      </c>
      <c r="F104" s="64">
        <v>0.13</v>
      </c>
      <c r="G104" s="64">
        <v>156.94999999999999</v>
      </c>
      <c r="H104" s="64">
        <v>69.98</v>
      </c>
      <c r="I104" s="64">
        <v>1.46</v>
      </c>
      <c r="J104" s="64">
        <v>0.17</v>
      </c>
      <c r="K104" s="64">
        <v>182.86</v>
      </c>
      <c r="L104" s="64">
        <v>18.97</v>
      </c>
      <c r="M104" s="64">
        <v>73.790000000000006</v>
      </c>
      <c r="N104" s="64">
        <v>26.5</v>
      </c>
      <c r="O104" s="64">
        <v>0</v>
      </c>
      <c r="P104" s="64">
        <v>1.91</v>
      </c>
      <c r="Q104" s="64">
        <v>10.49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2.85</v>
      </c>
      <c r="C106" s="67">
        <f>MIN(C9:C104)</f>
        <v>19.3</v>
      </c>
      <c r="D106" s="67">
        <f t="shared" ref="D106:Q106" si="0">MIN(D9:D104)</f>
        <v>20.95</v>
      </c>
      <c r="E106" s="67">
        <f t="shared" si="0"/>
        <v>0.48</v>
      </c>
      <c r="F106" s="67">
        <f t="shared" si="0"/>
        <v>0.02</v>
      </c>
      <c r="G106" s="67">
        <f t="shared" si="0"/>
        <v>29.22</v>
      </c>
      <c r="H106" s="67">
        <f t="shared" si="0"/>
        <v>36.4</v>
      </c>
      <c r="I106" s="67">
        <f t="shared" si="0"/>
        <v>1.39</v>
      </c>
      <c r="J106" s="67">
        <f t="shared" si="0"/>
        <v>0.01</v>
      </c>
      <c r="K106" s="67">
        <f t="shared" si="0"/>
        <v>0.06</v>
      </c>
      <c r="L106" s="67">
        <f t="shared" si="0"/>
        <v>15.97</v>
      </c>
      <c r="M106" s="67">
        <f t="shared" si="0"/>
        <v>24.78</v>
      </c>
      <c r="N106" s="67">
        <f t="shared" si="0"/>
        <v>17.5</v>
      </c>
      <c r="O106" s="67">
        <f t="shared" si="0"/>
        <v>0</v>
      </c>
      <c r="P106" s="67">
        <f t="shared" si="0"/>
        <v>0.73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66.680000000000007</v>
      </c>
      <c r="C107" s="66">
        <f t="shared" ref="C107:Q107" si="1">MAX(C9:C104)</f>
        <v>71.069999999999993</v>
      </c>
      <c r="D107" s="66">
        <f t="shared" si="1"/>
        <v>80.22</v>
      </c>
      <c r="E107" s="66">
        <f t="shared" si="1"/>
        <v>3.78</v>
      </c>
      <c r="F107" s="66">
        <f t="shared" si="1"/>
        <v>15.48</v>
      </c>
      <c r="G107" s="66">
        <f t="shared" si="1"/>
        <v>270.94</v>
      </c>
      <c r="H107" s="66">
        <f t="shared" si="1"/>
        <v>89.04</v>
      </c>
      <c r="I107" s="66">
        <f t="shared" si="1"/>
        <v>1.61</v>
      </c>
      <c r="J107" s="66">
        <f t="shared" si="1"/>
        <v>1.99</v>
      </c>
      <c r="K107" s="66">
        <f t="shared" si="1"/>
        <v>357.84</v>
      </c>
      <c r="L107" s="66">
        <f t="shared" si="1"/>
        <v>32.06</v>
      </c>
      <c r="M107" s="66">
        <f t="shared" si="1"/>
        <v>95.3</v>
      </c>
      <c r="N107" s="66">
        <f t="shared" si="1"/>
        <v>737.6</v>
      </c>
      <c r="O107" s="66">
        <f t="shared" si="1"/>
        <v>0</v>
      </c>
      <c r="P107" s="66">
        <f t="shared" si="1"/>
        <v>1.97</v>
      </c>
      <c r="Q107" s="66">
        <f t="shared" si="1"/>
        <v>10.55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24.619375000000005</v>
      </c>
      <c r="C108" s="67">
        <f t="shared" ref="C108:Q108" si="2">AVERAGE(C9:C104)</f>
        <v>33.852395833333318</v>
      </c>
      <c r="D108" s="67">
        <f t="shared" si="2"/>
        <v>39.717187500000001</v>
      </c>
      <c r="E108" s="67">
        <f t="shared" si="2"/>
        <v>1.5088541666666668</v>
      </c>
      <c r="F108" s="67">
        <f t="shared" si="2"/>
        <v>2.1556250000000001</v>
      </c>
      <c r="G108" s="67">
        <f t="shared" si="2"/>
        <v>127.75947916666671</v>
      </c>
      <c r="H108" s="67">
        <f t="shared" si="2"/>
        <v>59.021770833333356</v>
      </c>
      <c r="I108" s="67">
        <f t="shared" si="2"/>
        <v>1.5096875000000007</v>
      </c>
      <c r="J108" s="67">
        <f t="shared" si="2"/>
        <v>0.35364583333333321</v>
      </c>
      <c r="K108" s="67">
        <f t="shared" si="2"/>
        <v>274.34541666666672</v>
      </c>
      <c r="L108" s="67">
        <f t="shared" si="2"/>
        <v>22.708541666666662</v>
      </c>
      <c r="M108" s="67">
        <f t="shared" si="2"/>
        <v>58.421354166666646</v>
      </c>
      <c r="N108" s="67">
        <f t="shared" si="2"/>
        <v>189.86562499999999</v>
      </c>
      <c r="O108" s="67">
        <f t="shared" si="2"/>
        <v>0</v>
      </c>
      <c r="P108" s="67">
        <f t="shared" si="2"/>
        <v>1.1586458333333327</v>
      </c>
      <c r="Q108" s="67">
        <f t="shared" si="2"/>
        <v>6.380416666666668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17.843153710656235</v>
      </c>
      <c r="C109" s="67">
        <f t="shared" ref="C109:Q109" si="3">STDEV(C9:C104)</f>
        <v>11.874641689423479</v>
      </c>
      <c r="D109" s="67">
        <f t="shared" si="3"/>
        <v>17.167747404768846</v>
      </c>
      <c r="E109" s="67">
        <f t="shared" si="3"/>
        <v>0.50275215153909825</v>
      </c>
      <c r="F109" s="67">
        <f t="shared" si="3"/>
        <v>3.1233571049854612</v>
      </c>
      <c r="G109" s="67">
        <f t="shared" si="3"/>
        <v>62.284561783542891</v>
      </c>
      <c r="H109" s="67">
        <f t="shared" si="3"/>
        <v>14.950711653175512</v>
      </c>
      <c r="I109" s="67">
        <f t="shared" si="3"/>
        <v>4.203890741732124E-2</v>
      </c>
      <c r="J109" s="67">
        <f t="shared" si="3"/>
        <v>0.40480825816328531</v>
      </c>
      <c r="K109" s="67">
        <f t="shared" si="3"/>
        <v>96.135870570515053</v>
      </c>
      <c r="L109" s="67">
        <f t="shared" si="3"/>
        <v>5.2480169646642461</v>
      </c>
      <c r="M109" s="67">
        <f t="shared" si="3"/>
        <v>23.510545478003021</v>
      </c>
      <c r="N109" s="67">
        <f t="shared" si="3"/>
        <v>248.87266912519758</v>
      </c>
      <c r="O109" s="67">
        <f t="shared" si="3"/>
        <v>0</v>
      </c>
      <c r="P109" s="67">
        <f t="shared" si="3"/>
        <v>0.36886916748259096</v>
      </c>
      <c r="Q109" s="67">
        <f t="shared" si="3"/>
        <v>1.7632117326160985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6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2742</v>
      </c>
      <c r="B9" s="64">
        <v>58.08</v>
      </c>
      <c r="C9" s="64">
        <v>38.32</v>
      </c>
      <c r="D9" s="64">
        <v>69.02</v>
      </c>
      <c r="E9" s="64">
        <v>1.64</v>
      </c>
      <c r="F9" s="64">
        <v>0.08</v>
      </c>
      <c r="G9" s="64">
        <v>156.94999999999999</v>
      </c>
      <c r="H9" s="64">
        <v>69.98</v>
      </c>
      <c r="I9" s="64">
        <v>1.47</v>
      </c>
      <c r="J9" s="64">
        <v>0.05</v>
      </c>
      <c r="K9" s="64">
        <v>259.12</v>
      </c>
      <c r="L9" s="64">
        <v>18.57</v>
      </c>
      <c r="M9" s="64">
        <v>75.91</v>
      </c>
      <c r="N9" s="64">
        <v>27</v>
      </c>
      <c r="O9" s="64">
        <v>0</v>
      </c>
      <c r="P9" s="64">
        <v>1.88</v>
      </c>
      <c r="Q9" s="64">
        <v>10.55</v>
      </c>
      <c r="R9" s="198"/>
      <c r="S9" s="198"/>
      <c r="T9" s="198"/>
      <c r="U9" s="198"/>
    </row>
    <row r="10" spans="1:21" s="12" customFormat="1" x14ac:dyDescent="0.25">
      <c r="A10" s="214" t="s">
        <v>2743</v>
      </c>
      <c r="B10" s="64">
        <v>58.91</v>
      </c>
      <c r="C10" s="64">
        <v>35.549999999999997</v>
      </c>
      <c r="D10" s="64">
        <v>68.150000000000006</v>
      </c>
      <c r="E10" s="64">
        <v>1.68</v>
      </c>
      <c r="F10" s="64">
        <v>0.01</v>
      </c>
      <c r="G10" s="64">
        <v>156.94999999999999</v>
      </c>
      <c r="H10" s="64">
        <v>69.98</v>
      </c>
      <c r="I10" s="64">
        <v>1.43</v>
      </c>
      <c r="J10" s="64">
        <v>0.02</v>
      </c>
      <c r="K10" s="64">
        <v>222.63</v>
      </c>
      <c r="L10" s="64">
        <v>18.28</v>
      </c>
      <c r="M10" s="64">
        <v>77.209999999999994</v>
      </c>
      <c r="N10" s="64">
        <v>26.9</v>
      </c>
      <c r="O10" s="64">
        <v>0</v>
      </c>
      <c r="P10" s="64">
        <v>1.85</v>
      </c>
      <c r="Q10" s="64">
        <v>10.33</v>
      </c>
      <c r="R10" s="198"/>
      <c r="S10" s="198"/>
      <c r="T10" s="198"/>
      <c r="U10" s="198"/>
    </row>
    <row r="11" spans="1:21" s="12" customFormat="1" x14ac:dyDescent="0.25">
      <c r="A11" s="214" t="s">
        <v>2744</v>
      </c>
      <c r="B11" s="64">
        <v>58.15</v>
      </c>
      <c r="C11" s="64">
        <v>30.28</v>
      </c>
      <c r="D11" s="64">
        <v>64.63</v>
      </c>
      <c r="E11" s="64">
        <v>1.67</v>
      </c>
      <c r="F11" s="64">
        <v>0.34</v>
      </c>
      <c r="G11" s="64">
        <v>134.16999999999999</v>
      </c>
      <c r="H11" s="64">
        <v>62.56</v>
      </c>
      <c r="I11" s="64">
        <v>1.49</v>
      </c>
      <c r="J11" s="64">
        <v>0.04</v>
      </c>
      <c r="K11" s="64">
        <v>267.83999999999997</v>
      </c>
      <c r="L11" s="64">
        <v>17.87</v>
      </c>
      <c r="M11" s="64">
        <v>83.48</v>
      </c>
      <c r="N11" s="64">
        <v>27.2</v>
      </c>
      <c r="O11" s="64">
        <v>0</v>
      </c>
      <c r="P11" s="64">
        <v>1.81</v>
      </c>
      <c r="Q11" s="64">
        <v>10.18</v>
      </c>
      <c r="R11" s="198"/>
      <c r="S11" s="198"/>
      <c r="T11" s="198"/>
      <c r="U11" s="198"/>
    </row>
    <row r="12" spans="1:21" s="12" customFormat="1" x14ac:dyDescent="0.25">
      <c r="A12" s="214" t="s">
        <v>2745</v>
      </c>
      <c r="B12" s="64">
        <v>55.98</v>
      </c>
      <c r="C12" s="64">
        <v>31.65</v>
      </c>
      <c r="D12" s="64">
        <v>63.65</v>
      </c>
      <c r="E12" s="64">
        <v>1.59</v>
      </c>
      <c r="F12" s="64">
        <v>0.22</v>
      </c>
      <c r="G12" s="64">
        <v>113.34</v>
      </c>
      <c r="H12" s="64">
        <v>59.17</v>
      </c>
      <c r="I12" s="64">
        <v>1.49</v>
      </c>
      <c r="J12" s="64">
        <v>0.05</v>
      </c>
      <c r="K12" s="64">
        <v>304.89999999999998</v>
      </c>
      <c r="L12" s="64">
        <v>17.829999999999998</v>
      </c>
      <c r="M12" s="64">
        <v>80.540000000000006</v>
      </c>
      <c r="N12" s="64">
        <v>26.7</v>
      </c>
      <c r="O12" s="64">
        <v>0</v>
      </c>
      <c r="P12" s="64">
        <v>1.78</v>
      </c>
      <c r="Q12" s="64">
        <v>9.9</v>
      </c>
      <c r="R12" s="198"/>
      <c r="S12" s="198"/>
      <c r="T12" s="198"/>
      <c r="U12" s="198"/>
    </row>
    <row r="13" spans="1:21" s="12" customFormat="1" x14ac:dyDescent="0.25">
      <c r="A13" s="214" t="s">
        <v>2746</v>
      </c>
      <c r="B13" s="64">
        <v>53.73</v>
      </c>
      <c r="C13" s="64">
        <v>31.22</v>
      </c>
      <c r="D13" s="64">
        <v>61.61</v>
      </c>
      <c r="E13" s="64">
        <v>1.63</v>
      </c>
      <c r="F13" s="64">
        <v>0.06</v>
      </c>
      <c r="G13" s="64">
        <v>113.34</v>
      </c>
      <c r="H13" s="64">
        <v>59.17</v>
      </c>
      <c r="I13" s="64">
        <v>1.54</v>
      </c>
      <c r="J13" s="64">
        <v>0.05</v>
      </c>
      <c r="K13" s="64">
        <v>340.17</v>
      </c>
      <c r="L13" s="64">
        <v>17.579999999999998</v>
      </c>
      <c r="M13" s="64">
        <v>83.73</v>
      </c>
      <c r="N13" s="64">
        <v>27</v>
      </c>
      <c r="O13" s="64">
        <v>0</v>
      </c>
      <c r="P13" s="64">
        <v>1.56</v>
      </c>
      <c r="Q13" s="64">
        <v>9.6999999999999993</v>
      </c>
      <c r="R13" s="198"/>
      <c r="S13" s="198"/>
      <c r="T13" s="198"/>
      <c r="U13" s="198"/>
    </row>
    <row r="14" spans="1:21" s="12" customFormat="1" x14ac:dyDescent="0.25">
      <c r="A14" s="214" t="s">
        <v>2747</v>
      </c>
      <c r="B14" s="64">
        <v>51.5</v>
      </c>
      <c r="C14" s="64">
        <v>30.16</v>
      </c>
      <c r="D14" s="64">
        <v>59.24</v>
      </c>
      <c r="E14" s="64">
        <v>1.55</v>
      </c>
      <c r="F14" s="64">
        <v>0.11</v>
      </c>
      <c r="G14" s="64">
        <v>113.34</v>
      </c>
      <c r="H14" s="64">
        <v>59.17</v>
      </c>
      <c r="I14" s="64">
        <v>1.48</v>
      </c>
      <c r="J14" s="64">
        <v>0</v>
      </c>
      <c r="K14" s="64">
        <v>153.59</v>
      </c>
      <c r="L14" s="64">
        <v>17.41</v>
      </c>
      <c r="M14" s="64">
        <v>83.53</v>
      </c>
      <c r="N14" s="64">
        <v>26.6</v>
      </c>
      <c r="O14" s="64">
        <v>0</v>
      </c>
      <c r="P14" s="64">
        <v>1.62</v>
      </c>
      <c r="Q14" s="64">
        <v>9.51</v>
      </c>
      <c r="R14" s="198"/>
      <c r="S14" s="198"/>
      <c r="T14" s="198"/>
      <c r="U14" s="198"/>
    </row>
    <row r="15" spans="1:21" s="12" customFormat="1" x14ac:dyDescent="0.25">
      <c r="A15" s="214" t="s">
        <v>2748</v>
      </c>
      <c r="B15" s="64">
        <v>49.45</v>
      </c>
      <c r="C15" s="64">
        <v>29.06</v>
      </c>
      <c r="D15" s="64">
        <v>56.99</v>
      </c>
      <c r="E15" s="64">
        <v>1.5</v>
      </c>
      <c r="F15" s="64">
        <v>0.1</v>
      </c>
      <c r="G15" s="64">
        <v>97.97</v>
      </c>
      <c r="H15" s="64">
        <v>57.51</v>
      </c>
      <c r="I15" s="64">
        <v>1.51</v>
      </c>
      <c r="J15" s="64">
        <v>0.06</v>
      </c>
      <c r="K15" s="64">
        <v>204.25</v>
      </c>
      <c r="L15" s="64">
        <v>17.38</v>
      </c>
      <c r="M15" s="64">
        <v>83.76</v>
      </c>
      <c r="N15" s="64">
        <v>26.7</v>
      </c>
      <c r="O15" s="64">
        <v>0</v>
      </c>
      <c r="P15" s="64">
        <v>1.58</v>
      </c>
      <c r="Q15" s="64">
        <v>9.3000000000000007</v>
      </c>
      <c r="R15" s="198"/>
      <c r="S15" s="198"/>
      <c r="T15" s="198"/>
      <c r="U15" s="198"/>
    </row>
    <row r="16" spans="1:21" s="12" customFormat="1" x14ac:dyDescent="0.25">
      <c r="A16" s="214" t="s">
        <v>2749</v>
      </c>
      <c r="B16" s="64">
        <v>47.39</v>
      </c>
      <c r="C16" s="64">
        <v>28.54</v>
      </c>
      <c r="D16" s="64">
        <v>55.04</v>
      </c>
      <c r="E16" s="64">
        <v>1.47</v>
      </c>
      <c r="F16" s="64">
        <v>0.11</v>
      </c>
      <c r="G16" s="64">
        <v>83.91</v>
      </c>
      <c r="H16" s="64">
        <v>56.75</v>
      </c>
      <c r="I16" s="64">
        <v>1.5</v>
      </c>
      <c r="J16" s="64">
        <v>0.04</v>
      </c>
      <c r="K16" s="64">
        <v>134.66</v>
      </c>
      <c r="L16" s="64">
        <v>17.38</v>
      </c>
      <c r="M16" s="64">
        <v>83.51</v>
      </c>
      <c r="N16" s="64">
        <v>26.6</v>
      </c>
      <c r="O16" s="64">
        <v>0</v>
      </c>
      <c r="P16" s="64">
        <v>1.55</v>
      </c>
      <c r="Q16" s="64">
        <v>9.15</v>
      </c>
      <c r="R16" s="198"/>
      <c r="S16" s="198"/>
      <c r="T16" s="198"/>
      <c r="U16" s="198"/>
    </row>
    <row r="17" spans="1:21" s="12" customFormat="1" x14ac:dyDescent="0.25">
      <c r="A17" s="214" t="s">
        <v>2750</v>
      </c>
      <c r="B17" s="64">
        <v>44.46</v>
      </c>
      <c r="C17" s="64">
        <v>28.72</v>
      </c>
      <c r="D17" s="64">
        <v>52.8</v>
      </c>
      <c r="E17" s="64">
        <v>1.43</v>
      </c>
      <c r="F17" s="64">
        <v>0.09</v>
      </c>
      <c r="G17" s="64">
        <v>83.91</v>
      </c>
      <c r="H17" s="64">
        <v>56.75</v>
      </c>
      <c r="I17" s="64">
        <v>1.59</v>
      </c>
      <c r="J17" s="64">
        <v>0.17</v>
      </c>
      <c r="K17" s="64">
        <v>298.23</v>
      </c>
      <c r="L17" s="64">
        <v>17.350000000000001</v>
      </c>
      <c r="M17" s="64">
        <v>85.48</v>
      </c>
      <c r="N17" s="64">
        <v>26.6</v>
      </c>
      <c r="O17" s="64">
        <v>0</v>
      </c>
      <c r="P17" s="64">
        <v>1.51</v>
      </c>
      <c r="Q17" s="64">
        <v>8.99</v>
      </c>
      <c r="R17" s="198"/>
      <c r="S17" s="198"/>
      <c r="T17" s="198"/>
      <c r="U17" s="198"/>
    </row>
    <row r="18" spans="1:21" s="12" customFormat="1" x14ac:dyDescent="0.25">
      <c r="A18" s="214" t="s">
        <v>2751</v>
      </c>
      <c r="B18" s="64">
        <v>42.11</v>
      </c>
      <c r="C18" s="64">
        <v>28.3</v>
      </c>
      <c r="D18" s="64">
        <v>50.68</v>
      </c>
      <c r="E18" s="64">
        <v>1.35</v>
      </c>
      <c r="F18" s="64">
        <v>0.13</v>
      </c>
      <c r="G18" s="64">
        <v>83.91</v>
      </c>
      <c r="H18" s="64">
        <v>56.75</v>
      </c>
      <c r="I18" s="64">
        <v>1.54</v>
      </c>
      <c r="J18" s="64">
        <v>7.0000000000000007E-2</v>
      </c>
      <c r="K18" s="64">
        <v>298.93</v>
      </c>
      <c r="L18" s="64">
        <v>17.170000000000002</v>
      </c>
      <c r="M18" s="64">
        <v>87.14</v>
      </c>
      <c r="N18" s="64">
        <v>26.8</v>
      </c>
      <c r="O18" s="64">
        <v>0</v>
      </c>
      <c r="P18" s="64">
        <v>1.47</v>
      </c>
      <c r="Q18" s="64">
        <v>8.9</v>
      </c>
      <c r="R18" s="198"/>
      <c r="S18" s="198"/>
      <c r="T18" s="198"/>
      <c r="U18" s="198"/>
    </row>
    <row r="19" spans="1:21" s="12" customFormat="1" x14ac:dyDescent="0.25">
      <c r="A19" s="214" t="s">
        <v>2752</v>
      </c>
      <c r="B19" s="64">
        <v>39.01</v>
      </c>
      <c r="C19" s="64">
        <v>28.74</v>
      </c>
      <c r="D19" s="64">
        <v>48.43</v>
      </c>
      <c r="E19" s="64">
        <v>1.69</v>
      </c>
      <c r="F19" s="64">
        <v>0.45</v>
      </c>
      <c r="G19" s="64">
        <v>87.88</v>
      </c>
      <c r="H19" s="64">
        <v>55.52</v>
      </c>
      <c r="I19" s="64">
        <v>1.54</v>
      </c>
      <c r="J19" s="64">
        <v>0.1</v>
      </c>
      <c r="K19" s="64">
        <v>293.94</v>
      </c>
      <c r="L19" s="64">
        <v>17.14</v>
      </c>
      <c r="M19" s="64">
        <v>85.67</v>
      </c>
      <c r="N19" s="64">
        <v>26.7</v>
      </c>
      <c r="O19" s="64">
        <v>0</v>
      </c>
      <c r="P19" s="64">
        <v>1.41</v>
      </c>
      <c r="Q19" s="64">
        <v>8.77</v>
      </c>
      <c r="R19" s="198"/>
      <c r="S19" s="198"/>
      <c r="T19" s="198"/>
      <c r="U19" s="198"/>
    </row>
    <row r="20" spans="1:21" s="12" customFormat="1" x14ac:dyDescent="0.25">
      <c r="A20" s="214" t="s">
        <v>2753</v>
      </c>
      <c r="B20" s="64">
        <v>38.950000000000003</v>
      </c>
      <c r="C20" s="64">
        <v>27.82</v>
      </c>
      <c r="D20" s="64">
        <v>47.88</v>
      </c>
      <c r="E20" s="64">
        <v>1.47</v>
      </c>
      <c r="F20" s="64">
        <v>0.32</v>
      </c>
      <c r="G20" s="64">
        <v>91.67</v>
      </c>
      <c r="H20" s="64">
        <v>54.96</v>
      </c>
      <c r="I20" s="64">
        <v>1.52</v>
      </c>
      <c r="J20" s="64">
        <v>0.01</v>
      </c>
      <c r="K20" s="64">
        <v>269.93</v>
      </c>
      <c r="L20" s="64">
        <v>17</v>
      </c>
      <c r="M20" s="64">
        <v>88.57</v>
      </c>
      <c r="N20" s="64">
        <v>26.9</v>
      </c>
      <c r="O20" s="64">
        <v>0</v>
      </c>
      <c r="P20" s="64">
        <v>1.39</v>
      </c>
      <c r="Q20" s="64">
        <v>8.59</v>
      </c>
      <c r="R20" s="198"/>
      <c r="S20" s="198"/>
      <c r="T20" s="198"/>
      <c r="U20" s="198"/>
    </row>
    <row r="21" spans="1:21" s="12" customFormat="1" x14ac:dyDescent="0.25">
      <c r="A21" s="214" t="s">
        <v>2754</v>
      </c>
      <c r="B21" s="64">
        <v>37.04</v>
      </c>
      <c r="C21" s="64">
        <v>28.01</v>
      </c>
      <c r="D21" s="64">
        <v>46.46</v>
      </c>
      <c r="E21" s="64">
        <v>1.47</v>
      </c>
      <c r="F21" s="64">
        <v>0.18</v>
      </c>
      <c r="G21" s="64">
        <v>91.67</v>
      </c>
      <c r="H21" s="64">
        <v>54.96</v>
      </c>
      <c r="I21" s="64">
        <v>1.5</v>
      </c>
      <c r="J21" s="64">
        <v>0.1</v>
      </c>
      <c r="K21" s="64">
        <v>244.49</v>
      </c>
      <c r="L21" s="64">
        <v>17.02</v>
      </c>
      <c r="M21" s="64">
        <v>87.18</v>
      </c>
      <c r="N21" s="64">
        <v>26.7</v>
      </c>
      <c r="O21" s="64">
        <v>0</v>
      </c>
      <c r="P21" s="64">
        <v>1.34</v>
      </c>
      <c r="Q21" s="64">
        <v>8.44</v>
      </c>
      <c r="R21" s="198"/>
      <c r="S21" s="198"/>
      <c r="T21" s="198"/>
      <c r="U21" s="198"/>
    </row>
    <row r="22" spans="1:21" s="12" customFormat="1" x14ac:dyDescent="0.25">
      <c r="A22" s="214" t="s">
        <v>2755</v>
      </c>
      <c r="B22" s="64">
        <v>36.03</v>
      </c>
      <c r="C22" s="64">
        <v>26.83</v>
      </c>
      <c r="D22" s="64">
        <v>45</v>
      </c>
      <c r="E22" s="64">
        <v>1.57</v>
      </c>
      <c r="F22" s="64">
        <v>0.1</v>
      </c>
      <c r="G22" s="64">
        <v>91.67</v>
      </c>
      <c r="H22" s="64">
        <v>54.96</v>
      </c>
      <c r="I22" s="64">
        <v>1.44</v>
      </c>
      <c r="J22" s="64">
        <v>0.02</v>
      </c>
      <c r="K22" s="64">
        <v>150.85</v>
      </c>
      <c r="L22" s="64">
        <v>17.190000000000001</v>
      </c>
      <c r="M22" s="64">
        <v>86.13</v>
      </c>
      <c r="N22" s="64">
        <v>26.7</v>
      </c>
      <c r="O22" s="64">
        <v>0</v>
      </c>
      <c r="P22" s="64">
        <v>1.3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4" t="s">
        <v>2756</v>
      </c>
      <c r="B23" s="64">
        <v>34.74</v>
      </c>
      <c r="C23" s="64">
        <v>26.05</v>
      </c>
      <c r="D23" s="64">
        <v>43.53</v>
      </c>
      <c r="E23" s="64">
        <v>1.29</v>
      </c>
      <c r="F23" s="64">
        <v>0.21</v>
      </c>
      <c r="G23" s="64">
        <v>93.11</v>
      </c>
      <c r="H23" s="64">
        <v>55.49</v>
      </c>
      <c r="I23" s="64">
        <v>1.46</v>
      </c>
      <c r="J23" s="64">
        <v>0.11</v>
      </c>
      <c r="K23" s="64">
        <v>351.05</v>
      </c>
      <c r="L23" s="64">
        <v>16.84</v>
      </c>
      <c r="M23" s="64">
        <v>87.88</v>
      </c>
      <c r="N23" s="64">
        <v>26.8</v>
      </c>
      <c r="O23" s="64">
        <v>0</v>
      </c>
      <c r="P23" s="64">
        <v>1.28</v>
      </c>
      <c r="Q23" s="64">
        <v>7.99</v>
      </c>
      <c r="R23" s="198"/>
      <c r="S23" s="198"/>
      <c r="T23" s="198"/>
      <c r="U23" s="198"/>
    </row>
    <row r="24" spans="1:21" s="12" customFormat="1" x14ac:dyDescent="0.25">
      <c r="A24" s="214" t="s">
        <v>2757</v>
      </c>
      <c r="B24" s="64">
        <v>33.659999999999997</v>
      </c>
      <c r="C24" s="64">
        <v>26</v>
      </c>
      <c r="D24" s="64">
        <v>42.63</v>
      </c>
      <c r="E24" s="64">
        <v>0.69</v>
      </c>
      <c r="F24" s="64">
        <v>0.13</v>
      </c>
      <c r="G24" s="64">
        <v>94.48</v>
      </c>
      <c r="H24" s="64">
        <v>55.73</v>
      </c>
      <c r="I24" s="64">
        <v>1.53</v>
      </c>
      <c r="J24" s="64">
        <v>7.0000000000000007E-2</v>
      </c>
      <c r="K24" s="64">
        <v>296.64</v>
      </c>
      <c r="L24" s="64">
        <v>16.760000000000002</v>
      </c>
      <c r="M24" s="64">
        <v>87.2</v>
      </c>
      <c r="N24" s="64">
        <v>26.6</v>
      </c>
      <c r="O24" s="64">
        <v>0</v>
      </c>
      <c r="P24" s="64">
        <v>1.26</v>
      </c>
      <c r="Q24" s="64">
        <v>7.88</v>
      </c>
      <c r="R24" s="198"/>
      <c r="S24" s="198"/>
      <c r="T24" s="198"/>
      <c r="U24" s="198"/>
    </row>
    <row r="25" spans="1:21" s="12" customFormat="1" x14ac:dyDescent="0.25">
      <c r="A25" s="214" t="s">
        <v>2758</v>
      </c>
      <c r="B25" s="64">
        <v>32.96</v>
      </c>
      <c r="C25" s="64">
        <v>25.72</v>
      </c>
      <c r="D25" s="64">
        <v>41.92</v>
      </c>
      <c r="E25" s="64">
        <v>1.29</v>
      </c>
      <c r="F25" s="64">
        <v>0.05</v>
      </c>
      <c r="G25" s="64">
        <v>94.48</v>
      </c>
      <c r="H25" s="64">
        <v>55.73</v>
      </c>
      <c r="I25" s="64">
        <v>1.51</v>
      </c>
      <c r="J25" s="64">
        <v>0.09</v>
      </c>
      <c r="K25" s="64">
        <v>292.70999999999998</v>
      </c>
      <c r="L25" s="64">
        <v>16.71</v>
      </c>
      <c r="M25" s="64">
        <v>86.27</v>
      </c>
      <c r="N25" s="64">
        <v>26.7</v>
      </c>
      <c r="O25" s="64">
        <v>0</v>
      </c>
      <c r="P25" s="64">
        <v>1.25</v>
      </c>
      <c r="Q25" s="64">
        <v>7.84</v>
      </c>
      <c r="R25" s="198"/>
      <c r="S25" s="198"/>
      <c r="T25" s="198"/>
      <c r="U25" s="198"/>
    </row>
    <row r="26" spans="1:21" s="12" customFormat="1" x14ac:dyDescent="0.25">
      <c r="A26" s="214" t="s">
        <v>2759</v>
      </c>
      <c r="B26" s="64">
        <v>32.18</v>
      </c>
      <c r="C26" s="64">
        <v>25.21</v>
      </c>
      <c r="D26" s="64">
        <v>41.01</v>
      </c>
      <c r="E26" s="64">
        <v>1.18</v>
      </c>
      <c r="F26" s="64">
        <v>0.09</v>
      </c>
      <c r="G26" s="64">
        <v>94.48</v>
      </c>
      <c r="H26" s="64">
        <v>55.73</v>
      </c>
      <c r="I26" s="64">
        <v>1.52</v>
      </c>
      <c r="J26" s="64">
        <v>0.16</v>
      </c>
      <c r="K26" s="64">
        <v>205.86</v>
      </c>
      <c r="L26" s="64">
        <v>16.79</v>
      </c>
      <c r="M26" s="64">
        <v>87.09</v>
      </c>
      <c r="N26" s="64">
        <v>26.3</v>
      </c>
      <c r="O26" s="64">
        <v>0</v>
      </c>
      <c r="P26" s="64">
        <v>1.23</v>
      </c>
      <c r="Q26" s="64">
        <v>7.78</v>
      </c>
      <c r="R26" s="198"/>
      <c r="S26" s="198"/>
      <c r="T26" s="198"/>
      <c r="U26" s="198"/>
    </row>
    <row r="27" spans="1:21" s="12" customFormat="1" x14ac:dyDescent="0.25">
      <c r="A27" s="214" t="s">
        <v>2760</v>
      </c>
      <c r="B27" s="64">
        <v>31.41</v>
      </c>
      <c r="C27" s="64">
        <v>25.72</v>
      </c>
      <c r="D27" s="64">
        <v>40.68</v>
      </c>
      <c r="E27" s="64">
        <v>1.17</v>
      </c>
      <c r="F27" s="64">
        <v>0.12</v>
      </c>
      <c r="G27" s="64">
        <v>112.58</v>
      </c>
      <c r="H27" s="64">
        <v>62.71</v>
      </c>
      <c r="I27" s="64">
        <v>1.59</v>
      </c>
      <c r="J27" s="64">
        <v>0.06</v>
      </c>
      <c r="K27" s="64">
        <v>250.43</v>
      </c>
      <c r="L27" s="64">
        <v>17.09</v>
      </c>
      <c r="M27" s="64">
        <v>84.2</v>
      </c>
      <c r="N27" s="64">
        <v>26.6</v>
      </c>
      <c r="O27" s="64">
        <v>0</v>
      </c>
      <c r="P27" s="64">
        <v>1.21</v>
      </c>
      <c r="Q27" s="64">
        <v>7.7</v>
      </c>
      <c r="R27" s="198"/>
      <c r="S27" s="198"/>
      <c r="T27" s="198"/>
      <c r="U27" s="198"/>
    </row>
    <row r="28" spans="1:21" s="12" customFormat="1" x14ac:dyDescent="0.25">
      <c r="A28" s="214" t="s">
        <v>2761</v>
      </c>
      <c r="B28" s="64">
        <v>31.03</v>
      </c>
      <c r="C28" s="64">
        <v>25.31</v>
      </c>
      <c r="D28" s="64">
        <v>40.15</v>
      </c>
      <c r="E28" s="64">
        <v>1.29</v>
      </c>
      <c r="F28" s="64">
        <v>0.04</v>
      </c>
      <c r="G28" s="64">
        <v>129.13999999999999</v>
      </c>
      <c r="H28" s="64">
        <v>65.900000000000006</v>
      </c>
      <c r="I28" s="64">
        <v>1.52</v>
      </c>
      <c r="J28" s="64">
        <v>0.13</v>
      </c>
      <c r="K28" s="64">
        <v>224.57</v>
      </c>
      <c r="L28" s="64">
        <v>16.809999999999999</v>
      </c>
      <c r="M28" s="64">
        <v>87.75</v>
      </c>
      <c r="N28" s="64">
        <v>26.9</v>
      </c>
      <c r="O28" s="64">
        <v>0</v>
      </c>
      <c r="P28" s="64">
        <v>1.19</v>
      </c>
      <c r="Q28" s="64">
        <v>7.63</v>
      </c>
      <c r="R28" s="198"/>
      <c r="S28" s="198"/>
      <c r="T28" s="198"/>
      <c r="U28" s="198"/>
    </row>
    <row r="29" spans="1:21" s="12" customFormat="1" x14ac:dyDescent="0.25">
      <c r="A29" s="214" t="s">
        <v>2762</v>
      </c>
      <c r="B29" s="64">
        <v>30.66</v>
      </c>
      <c r="C29" s="64">
        <v>24.95</v>
      </c>
      <c r="D29" s="64">
        <v>39.65</v>
      </c>
      <c r="E29" s="64">
        <v>1.2</v>
      </c>
      <c r="F29" s="6" t="s">
        <v>42</v>
      </c>
      <c r="G29" s="64">
        <v>129.13999999999999</v>
      </c>
      <c r="H29" s="64">
        <v>65.900000000000006</v>
      </c>
      <c r="I29" s="64">
        <v>1.53</v>
      </c>
      <c r="J29" s="64">
        <v>0.17</v>
      </c>
      <c r="K29" s="64">
        <v>198.21</v>
      </c>
      <c r="L29" s="64">
        <v>16.600000000000001</v>
      </c>
      <c r="M29" s="64">
        <v>90.28</v>
      </c>
      <c r="N29" s="64">
        <v>26.5</v>
      </c>
      <c r="O29" s="64">
        <v>0</v>
      </c>
      <c r="P29" s="64">
        <v>1.17</v>
      </c>
      <c r="Q29" s="64">
        <v>7.63</v>
      </c>
      <c r="R29" s="198"/>
      <c r="S29" s="198"/>
      <c r="T29" s="198"/>
      <c r="U29" s="198"/>
    </row>
    <row r="30" spans="1:21" s="12" customFormat="1" x14ac:dyDescent="0.25">
      <c r="A30" s="214" t="s">
        <v>2763</v>
      </c>
      <c r="B30" s="64">
        <v>30.69</v>
      </c>
      <c r="C30" s="64">
        <v>24.9</v>
      </c>
      <c r="D30" s="64">
        <v>39.65</v>
      </c>
      <c r="E30" s="64">
        <v>1.58</v>
      </c>
      <c r="F30" s="64">
        <v>7.0000000000000007E-2</v>
      </c>
      <c r="G30" s="64">
        <v>129.13999999999999</v>
      </c>
      <c r="H30" s="64">
        <v>65.900000000000006</v>
      </c>
      <c r="I30" s="64">
        <v>1.54</v>
      </c>
      <c r="J30" s="64">
        <v>7.0000000000000007E-2</v>
      </c>
      <c r="K30" s="64">
        <v>261.83999999999997</v>
      </c>
      <c r="L30" s="64">
        <v>16.63</v>
      </c>
      <c r="M30" s="64">
        <v>91.81</v>
      </c>
      <c r="N30" s="64">
        <v>26.8</v>
      </c>
      <c r="O30" s="64">
        <v>0</v>
      </c>
      <c r="P30" s="64">
        <v>1.1499999999999999</v>
      </c>
      <c r="Q30" s="64">
        <v>7.65</v>
      </c>
      <c r="R30" s="198"/>
      <c r="S30" s="198"/>
      <c r="T30" s="198"/>
      <c r="U30" s="198"/>
    </row>
    <row r="31" spans="1:21" s="12" customFormat="1" x14ac:dyDescent="0.25">
      <c r="A31" s="214" t="s">
        <v>2764</v>
      </c>
      <c r="B31" s="64">
        <v>32.29</v>
      </c>
      <c r="C31" s="64">
        <v>24.99</v>
      </c>
      <c r="D31" s="64">
        <v>40.98</v>
      </c>
      <c r="E31" s="64">
        <v>1.24</v>
      </c>
      <c r="F31" s="64">
        <v>0.01</v>
      </c>
      <c r="G31" s="64">
        <v>122.7</v>
      </c>
      <c r="H31" s="64">
        <v>63.25</v>
      </c>
      <c r="I31" s="64">
        <v>1.45</v>
      </c>
      <c r="J31" s="64">
        <v>0.09</v>
      </c>
      <c r="K31" s="64">
        <v>161.65</v>
      </c>
      <c r="L31" s="64">
        <v>16.12</v>
      </c>
      <c r="M31" s="64">
        <v>95.81</v>
      </c>
      <c r="N31" s="64">
        <v>27.3</v>
      </c>
      <c r="O31" s="64">
        <v>0</v>
      </c>
      <c r="P31" s="64">
        <v>1.1299999999999999</v>
      </c>
      <c r="Q31" s="64">
        <v>7.7</v>
      </c>
      <c r="R31" s="198"/>
      <c r="S31" s="198"/>
      <c r="T31" s="198"/>
      <c r="U31" s="198"/>
    </row>
    <row r="32" spans="1:21" s="12" customFormat="1" x14ac:dyDescent="0.25">
      <c r="A32" s="214" t="s">
        <v>2765</v>
      </c>
      <c r="B32" s="64">
        <v>34.67</v>
      </c>
      <c r="C32" s="64">
        <v>25.45</v>
      </c>
      <c r="D32" s="64">
        <v>43.14</v>
      </c>
      <c r="E32" s="64">
        <v>1.33</v>
      </c>
      <c r="F32" s="64">
        <v>0.04</v>
      </c>
      <c r="G32" s="64">
        <v>116.81</v>
      </c>
      <c r="H32" s="64">
        <v>60.72</v>
      </c>
      <c r="I32" s="64">
        <v>1.52</v>
      </c>
      <c r="J32" s="64">
        <v>0.12</v>
      </c>
      <c r="K32" s="64">
        <v>200.39</v>
      </c>
      <c r="L32" s="64">
        <v>16.32</v>
      </c>
      <c r="M32" s="64">
        <v>95.3</v>
      </c>
      <c r="N32" s="64">
        <v>29.2</v>
      </c>
      <c r="O32" s="64">
        <v>0</v>
      </c>
      <c r="P32" s="64">
        <v>1.1299999999999999</v>
      </c>
      <c r="Q32" s="64">
        <v>7.81</v>
      </c>
      <c r="R32" s="198"/>
      <c r="S32" s="198"/>
      <c r="T32" s="198"/>
      <c r="U32" s="198"/>
    </row>
    <row r="33" spans="1:21" s="12" customFormat="1" x14ac:dyDescent="0.25">
      <c r="A33" s="214" t="s">
        <v>2766</v>
      </c>
      <c r="B33" s="64">
        <v>36.71</v>
      </c>
      <c r="C33" s="64">
        <v>25.65</v>
      </c>
      <c r="D33" s="64">
        <v>44.89</v>
      </c>
      <c r="E33" s="64">
        <v>1.44</v>
      </c>
      <c r="F33" s="64">
        <v>0.09</v>
      </c>
      <c r="G33" s="64">
        <v>116.81</v>
      </c>
      <c r="H33" s="64">
        <v>60.72</v>
      </c>
      <c r="I33" s="64">
        <v>1.56</v>
      </c>
      <c r="J33" s="64">
        <v>0.53</v>
      </c>
      <c r="K33" s="64">
        <v>162.6</v>
      </c>
      <c r="L33" s="64">
        <v>16.53</v>
      </c>
      <c r="M33" s="64">
        <v>93.39</v>
      </c>
      <c r="N33" s="64">
        <v>38.5</v>
      </c>
      <c r="O33" s="64">
        <v>0</v>
      </c>
      <c r="P33" s="64">
        <v>1.1200000000000001</v>
      </c>
      <c r="Q33" s="64">
        <v>8</v>
      </c>
      <c r="R33" s="198"/>
      <c r="S33" s="198"/>
      <c r="T33" s="198"/>
      <c r="U33" s="198"/>
    </row>
    <row r="34" spans="1:21" s="12" customFormat="1" x14ac:dyDescent="0.25">
      <c r="A34" s="214" t="s">
        <v>2767</v>
      </c>
      <c r="B34" s="64">
        <v>37.229999999999997</v>
      </c>
      <c r="C34" s="64">
        <v>24.77</v>
      </c>
      <c r="D34" s="64">
        <v>44.82</v>
      </c>
      <c r="E34" s="64">
        <v>1.33</v>
      </c>
      <c r="F34" s="64">
        <v>0.23</v>
      </c>
      <c r="G34" s="64">
        <v>116.81</v>
      </c>
      <c r="H34" s="64">
        <v>60.72</v>
      </c>
      <c r="I34" s="64">
        <v>1.47</v>
      </c>
      <c r="J34" s="64">
        <v>0.4</v>
      </c>
      <c r="K34" s="64">
        <v>151.71</v>
      </c>
      <c r="L34" s="64">
        <v>16.68</v>
      </c>
      <c r="M34" s="64">
        <v>92.06</v>
      </c>
      <c r="N34" s="64">
        <v>54.2</v>
      </c>
      <c r="O34" s="64">
        <v>0</v>
      </c>
      <c r="P34" s="64">
        <v>1.08</v>
      </c>
      <c r="Q34" s="64">
        <v>8.0500000000000007</v>
      </c>
      <c r="R34" s="198"/>
      <c r="S34" s="198"/>
      <c r="T34" s="198"/>
      <c r="U34" s="198"/>
    </row>
    <row r="35" spans="1:21" s="12" customFormat="1" x14ac:dyDescent="0.25">
      <c r="A35" s="214" t="s">
        <v>2768</v>
      </c>
      <c r="B35" s="64">
        <v>37.07</v>
      </c>
      <c r="C35" s="64">
        <v>25.22</v>
      </c>
      <c r="D35" s="64">
        <v>44.94</v>
      </c>
      <c r="E35" s="64">
        <v>1.18</v>
      </c>
      <c r="F35" s="64">
        <v>0.15</v>
      </c>
      <c r="G35" s="64">
        <v>113.53</v>
      </c>
      <c r="H35" s="64">
        <v>57.75</v>
      </c>
      <c r="I35" s="64">
        <v>1.49</v>
      </c>
      <c r="J35" s="64">
        <v>0.43</v>
      </c>
      <c r="K35" s="64">
        <v>150.88999999999999</v>
      </c>
      <c r="L35" s="64">
        <v>16.97</v>
      </c>
      <c r="M35" s="64">
        <v>88.14</v>
      </c>
      <c r="N35" s="64">
        <v>74.8</v>
      </c>
      <c r="O35" s="64">
        <v>0</v>
      </c>
      <c r="P35" s="64">
        <v>1.07</v>
      </c>
      <c r="Q35" s="64">
        <v>8.0299999999999994</v>
      </c>
      <c r="R35" s="198"/>
      <c r="S35" s="198"/>
      <c r="T35" s="198"/>
      <c r="U35" s="198"/>
    </row>
    <row r="36" spans="1:21" s="12" customFormat="1" x14ac:dyDescent="0.25">
      <c r="A36" s="214" t="s">
        <v>2769</v>
      </c>
      <c r="B36" s="64">
        <v>36.229999999999997</v>
      </c>
      <c r="C36" s="64">
        <v>25.49</v>
      </c>
      <c r="D36" s="64">
        <v>44.41</v>
      </c>
      <c r="E36" s="64">
        <v>1.32</v>
      </c>
      <c r="F36" s="64">
        <v>0.14000000000000001</v>
      </c>
      <c r="G36" s="64">
        <v>110.39</v>
      </c>
      <c r="H36" s="64">
        <v>56.39</v>
      </c>
      <c r="I36" s="64">
        <v>1.51</v>
      </c>
      <c r="J36" s="64">
        <v>0.5</v>
      </c>
      <c r="K36" s="64">
        <v>180.84</v>
      </c>
      <c r="L36" s="64">
        <v>17.36</v>
      </c>
      <c r="M36" s="64">
        <v>84.97</v>
      </c>
      <c r="N36" s="64">
        <v>138.5</v>
      </c>
      <c r="O36" s="64">
        <v>0</v>
      </c>
      <c r="P36" s="64">
        <v>1.05</v>
      </c>
      <c r="Q36" s="64">
        <v>8.02</v>
      </c>
      <c r="R36" s="198"/>
      <c r="S36" s="198"/>
      <c r="T36" s="198"/>
      <c r="U36" s="198"/>
    </row>
    <row r="37" spans="1:21" s="12" customFormat="1" x14ac:dyDescent="0.25">
      <c r="A37" s="214" t="s">
        <v>2770</v>
      </c>
      <c r="B37" s="64">
        <v>34.71</v>
      </c>
      <c r="C37" s="64">
        <v>25.77</v>
      </c>
      <c r="D37" s="64">
        <v>43.35</v>
      </c>
      <c r="E37" s="64">
        <v>1.51</v>
      </c>
      <c r="F37" s="64">
        <v>0.19</v>
      </c>
      <c r="G37" s="64">
        <v>110.39</v>
      </c>
      <c r="H37" s="64">
        <v>56.39</v>
      </c>
      <c r="I37" s="64">
        <v>1.51</v>
      </c>
      <c r="J37" s="64">
        <v>0.42</v>
      </c>
      <c r="K37" s="64">
        <v>144.16</v>
      </c>
      <c r="L37" s="64">
        <v>18.55</v>
      </c>
      <c r="M37" s="64">
        <v>80.040000000000006</v>
      </c>
      <c r="N37" s="64">
        <v>213.4</v>
      </c>
      <c r="O37" s="64">
        <v>0</v>
      </c>
      <c r="P37" s="64">
        <v>1.06</v>
      </c>
      <c r="Q37" s="64">
        <v>7.91</v>
      </c>
      <c r="R37" s="198"/>
      <c r="S37" s="198"/>
      <c r="T37" s="198"/>
      <c r="U37" s="198"/>
    </row>
    <row r="38" spans="1:21" s="12" customFormat="1" x14ac:dyDescent="0.25">
      <c r="A38" s="214" t="s">
        <v>2771</v>
      </c>
      <c r="B38" s="64">
        <v>33.020000000000003</v>
      </c>
      <c r="C38" s="64">
        <v>25.95</v>
      </c>
      <c r="D38" s="64">
        <v>42.09</v>
      </c>
      <c r="E38" s="64">
        <v>1.24</v>
      </c>
      <c r="F38" s="64">
        <v>0.14000000000000001</v>
      </c>
      <c r="G38" s="64">
        <v>110.39</v>
      </c>
      <c r="H38" s="64">
        <v>56.39</v>
      </c>
      <c r="I38" s="64">
        <v>1.45</v>
      </c>
      <c r="J38" s="64">
        <v>0.54</v>
      </c>
      <c r="K38" s="64">
        <v>181.13</v>
      </c>
      <c r="L38" s="64">
        <v>19.48</v>
      </c>
      <c r="M38" s="64">
        <v>74.44</v>
      </c>
      <c r="N38" s="64">
        <v>273.5</v>
      </c>
      <c r="O38" s="64">
        <v>0</v>
      </c>
      <c r="P38" s="64">
        <v>1.1100000000000001</v>
      </c>
      <c r="Q38" s="64">
        <v>7.83</v>
      </c>
      <c r="R38" s="198"/>
      <c r="S38" s="198"/>
      <c r="T38" s="198"/>
      <c r="U38" s="198"/>
    </row>
    <row r="39" spans="1:21" s="12" customFormat="1" x14ac:dyDescent="0.25">
      <c r="A39" s="214" t="s">
        <v>2772</v>
      </c>
      <c r="B39" s="64">
        <v>31</v>
      </c>
      <c r="C39" s="64">
        <v>25.64</v>
      </c>
      <c r="D39" s="64">
        <v>40.299999999999997</v>
      </c>
      <c r="E39" s="64">
        <v>1.41</v>
      </c>
      <c r="F39" s="64">
        <v>0.06</v>
      </c>
      <c r="G39" s="64">
        <v>104.25</v>
      </c>
      <c r="H39" s="64">
        <v>56.55</v>
      </c>
      <c r="I39" s="64">
        <v>1.49</v>
      </c>
      <c r="J39" s="64">
        <v>0.63</v>
      </c>
      <c r="K39" s="64">
        <v>156.34</v>
      </c>
      <c r="L39" s="64">
        <v>20.41</v>
      </c>
      <c r="M39" s="64">
        <v>70.5</v>
      </c>
      <c r="N39" s="64">
        <v>322.10000000000002</v>
      </c>
      <c r="O39" s="64">
        <v>0</v>
      </c>
      <c r="P39" s="64">
        <v>1.1000000000000001</v>
      </c>
      <c r="Q39" s="64">
        <v>7.7</v>
      </c>
      <c r="R39" s="198"/>
      <c r="S39" s="198"/>
      <c r="T39" s="198"/>
      <c r="U39" s="198"/>
    </row>
    <row r="40" spans="1:21" s="12" customFormat="1" x14ac:dyDescent="0.25">
      <c r="A40" s="214" t="s">
        <v>2773</v>
      </c>
      <c r="B40" s="64">
        <v>29.19</v>
      </c>
      <c r="C40" s="64">
        <v>26.31</v>
      </c>
      <c r="D40" s="64">
        <v>39.22</v>
      </c>
      <c r="E40" s="64">
        <v>0.62</v>
      </c>
      <c r="F40" s="64">
        <v>0.13</v>
      </c>
      <c r="G40" s="64">
        <v>98.37</v>
      </c>
      <c r="H40" s="64">
        <v>56.62</v>
      </c>
      <c r="I40" s="64">
        <v>1.55</v>
      </c>
      <c r="J40" s="64">
        <v>0.78</v>
      </c>
      <c r="K40" s="64">
        <v>148.51</v>
      </c>
      <c r="L40" s="64">
        <v>21.05</v>
      </c>
      <c r="M40" s="64">
        <v>68.209999999999994</v>
      </c>
      <c r="N40" s="64">
        <v>377.9</v>
      </c>
      <c r="O40" s="64">
        <v>0</v>
      </c>
      <c r="P40" s="64">
        <v>1.0900000000000001</v>
      </c>
      <c r="Q40" s="64">
        <v>7.54</v>
      </c>
      <c r="R40" s="198"/>
      <c r="S40" s="198"/>
      <c r="T40" s="198"/>
      <c r="U40" s="198"/>
    </row>
    <row r="41" spans="1:21" s="12" customFormat="1" x14ac:dyDescent="0.25">
      <c r="A41" s="214" t="s">
        <v>2774</v>
      </c>
      <c r="B41" s="64">
        <v>27.15</v>
      </c>
      <c r="C41" s="64">
        <v>26.65</v>
      </c>
      <c r="D41" s="64">
        <v>37.770000000000003</v>
      </c>
      <c r="E41" s="64">
        <v>1.02</v>
      </c>
      <c r="F41" s="64">
        <v>0.23</v>
      </c>
      <c r="G41" s="64">
        <v>98.37</v>
      </c>
      <c r="H41" s="64">
        <v>56.62</v>
      </c>
      <c r="I41" s="64">
        <v>1.52</v>
      </c>
      <c r="J41" s="64">
        <v>0.54</v>
      </c>
      <c r="K41" s="64">
        <v>167.77</v>
      </c>
      <c r="L41" s="64">
        <v>22.03</v>
      </c>
      <c r="M41" s="64">
        <v>63.28</v>
      </c>
      <c r="N41" s="64">
        <v>434.5</v>
      </c>
      <c r="O41" s="64">
        <v>0</v>
      </c>
      <c r="P41" s="64">
        <v>1.08</v>
      </c>
      <c r="Q41" s="64">
        <v>7.43</v>
      </c>
      <c r="R41" s="198"/>
      <c r="S41" s="198"/>
      <c r="T41" s="198"/>
      <c r="U41" s="198"/>
    </row>
    <row r="42" spans="1:21" s="12" customFormat="1" x14ac:dyDescent="0.25">
      <c r="A42" s="214" t="s">
        <v>2775</v>
      </c>
      <c r="B42" s="64">
        <v>24.43</v>
      </c>
      <c r="C42" s="64">
        <v>27.93</v>
      </c>
      <c r="D42" s="64">
        <v>36.299999999999997</v>
      </c>
      <c r="E42" s="64">
        <v>1.22</v>
      </c>
      <c r="F42" s="64">
        <v>0.53</v>
      </c>
      <c r="G42" s="64">
        <v>98.37</v>
      </c>
      <c r="H42" s="64">
        <v>56.62</v>
      </c>
      <c r="I42" s="64">
        <v>1.6</v>
      </c>
      <c r="J42" s="64">
        <v>0.83</v>
      </c>
      <c r="K42" s="64">
        <v>149.1</v>
      </c>
      <c r="L42" s="64">
        <v>22.84</v>
      </c>
      <c r="M42" s="64">
        <v>58.75</v>
      </c>
      <c r="N42" s="64">
        <v>489.1</v>
      </c>
      <c r="O42" s="64">
        <v>0</v>
      </c>
      <c r="P42" s="64">
        <v>1.06</v>
      </c>
      <c r="Q42" s="64">
        <v>7.25</v>
      </c>
      <c r="R42" s="198"/>
      <c r="S42" s="198"/>
      <c r="T42" s="198"/>
      <c r="U42" s="198"/>
    </row>
    <row r="43" spans="1:21" s="12" customFormat="1" x14ac:dyDescent="0.25">
      <c r="A43" s="214" t="s">
        <v>2776</v>
      </c>
      <c r="B43" s="64">
        <v>21.49</v>
      </c>
      <c r="C43" s="64">
        <v>29.1</v>
      </c>
      <c r="D43" s="64">
        <v>34.590000000000003</v>
      </c>
      <c r="E43" s="64">
        <v>1.5</v>
      </c>
      <c r="F43" s="64">
        <v>1.74</v>
      </c>
      <c r="G43" s="64">
        <v>101.73</v>
      </c>
      <c r="H43" s="64">
        <v>58.94</v>
      </c>
      <c r="I43" s="64">
        <v>1.49</v>
      </c>
      <c r="J43" s="64">
        <v>0.93</v>
      </c>
      <c r="K43" s="64">
        <v>152.47999999999999</v>
      </c>
      <c r="L43" s="64">
        <v>23.09</v>
      </c>
      <c r="M43" s="64">
        <v>57.04</v>
      </c>
      <c r="N43" s="64">
        <v>538</v>
      </c>
      <c r="O43" s="64">
        <v>0</v>
      </c>
      <c r="P43" s="64">
        <v>1.04</v>
      </c>
      <c r="Q43" s="64">
        <v>7.05</v>
      </c>
      <c r="R43" s="198"/>
      <c r="S43" s="198"/>
      <c r="T43" s="198"/>
      <c r="U43" s="198"/>
    </row>
    <row r="44" spans="1:21" s="12" customFormat="1" x14ac:dyDescent="0.25">
      <c r="A44" s="214" t="s">
        <v>2777</v>
      </c>
      <c r="B44" s="64">
        <v>19.510000000000002</v>
      </c>
      <c r="C44" s="64">
        <v>28.52</v>
      </c>
      <c r="D44" s="64">
        <v>32.68</v>
      </c>
      <c r="E44" s="64">
        <v>1.32</v>
      </c>
      <c r="F44" s="64">
        <v>1.3</v>
      </c>
      <c r="G44" s="64">
        <v>104.94</v>
      </c>
      <c r="H44" s="64">
        <v>60</v>
      </c>
      <c r="I44" s="64">
        <v>1.48</v>
      </c>
      <c r="J44" s="64">
        <v>1.06</v>
      </c>
      <c r="K44" s="64">
        <v>144.63</v>
      </c>
      <c r="L44" s="64">
        <v>23.87</v>
      </c>
      <c r="M44" s="64">
        <v>53.9</v>
      </c>
      <c r="N44" s="64">
        <v>584.5</v>
      </c>
      <c r="O44" s="64">
        <v>0</v>
      </c>
      <c r="P44" s="64">
        <v>1.01</v>
      </c>
      <c r="Q44" s="64">
        <v>6.89</v>
      </c>
      <c r="R44" s="198"/>
      <c r="S44" s="198"/>
      <c r="T44" s="198"/>
      <c r="U44" s="198"/>
    </row>
    <row r="45" spans="1:21" s="12" customFormat="1" x14ac:dyDescent="0.25">
      <c r="A45" s="214" t="s">
        <v>2778</v>
      </c>
      <c r="B45" s="64">
        <v>16.98</v>
      </c>
      <c r="C45" s="64">
        <v>28.81</v>
      </c>
      <c r="D45" s="64">
        <v>30.81</v>
      </c>
      <c r="E45" s="64">
        <v>1.0900000000000001</v>
      </c>
      <c r="F45" s="64">
        <v>1.38</v>
      </c>
      <c r="G45" s="64">
        <v>104.94</v>
      </c>
      <c r="H45" s="64">
        <v>60</v>
      </c>
      <c r="I45" s="64">
        <v>1.54</v>
      </c>
      <c r="J45" s="64">
        <v>0.74</v>
      </c>
      <c r="K45" s="64">
        <v>153.54</v>
      </c>
      <c r="L45" s="64">
        <v>24.52</v>
      </c>
      <c r="M45" s="64">
        <v>50.99</v>
      </c>
      <c r="N45" s="64">
        <v>615.1</v>
      </c>
      <c r="O45" s="64">
        <v>0</v>
      </c>
      <c r="P45" s="64">
        <v>0.98</v>
      </c>
      <c r="Q45" s="64">
        <v>6.67</v>
      </c>
      <c r="R45" s="198"/>
      <c r="S45" s="198"/>
      <c r="T45" s="198"/>
      <c r="U45" s="198"/>
    </row>
    <row r="46" spans="1:21" s="12" customFormat="1" x14ac:dyDescent="0.25">
      <c r="A46" s="214" t="s">
        <v>2779</v>
      </c>
      <c r="B46" s="64">
        <v>14.78</v>
      </c>
      <c r="C46" s="64">
        <v>26.29</v>
      </c>
      <c r="D46" s="64">
        <v>27.66</v>
      </c>
      <c r="E46" s="64">
        <v>1.18</v>
      </c>
      <c r="F46" s="64">
        <v>1.71</v>
      </c>
      <c r="G46" s="64">
        <v>104.94</v>
      </c>
      <c r="H46" s="64">
        <v>60</v>
      </c>
      <c r="I46" s="64">
        <v>1.52</v>
      </c>
      <c r="J46" s="64">
        <v>0.82</v>
      </c>
      <c r="K46" s="64">
        <v>144.12</v>
      </c>
      <c r="L46" s="64">
        <v>25.55</v>
      </c>
      <c r="M46" s="64">
        <v>50.09</v>
      </c>
      <c r="N46" s="64">
        <v>641.5</v>
      </c>
      <c r="O46" s="64">
        <v>0</v>
      </c>
      <c r="P46" s="64">
        <v>0.95</v>
      </c>
      <c r="Q46" s="64">
        <v>6.49</v>
      </c>
      <c r="R46" s="198"/>
      <c r="S46" s="198"/>
      <c r="T46" s="198"/>
      <c r="U46" s="198"/>
    </row>
    <row r="47" spans="1:21" s="12" customFormat="1" x14ac:dyDescent="0.25">
      <c r="A47" s="214" t="s">
        <v>2780</v>
      </c>
      <c r="B47" s="64">
        <v>12.11</v>
      </c>
      <c r="C47" s="64">
        <v>25.56</v>
      </c>
      <c r="D47" s="64">
        <v>25.11</v>
      </c>
      <c r="E47" s="64">
        <v>1.1499999999999999</v>
      </c>
      <c r="F47" s="64">
        <v>2.79</v>
      </c>
      <c r="G47" s="64">
        <v>92.2</v>
      </c>
      <c r="H47" s="64">
        <v>52.42</v>
      </c>
      <c r="I47" s="64">
        <v>1.43</v>
      </c>
      <c r="J47" s="64">
        <v>0.28000000000000003</v>
      </c>
      <c r="K47" s="64">
        <v>118.91</v>
      </c>
      <c r="L47" s="64">
        <v>26.39</v>
      </c>
      <c r="M47" s="64">
        <v>47.45</v>
      </c>
      <c r="N47" s="64">
        <v>668.7</v>
      </c>
      <c r="O47" s="64">
        <v>0</v>
      </c>
      <c r="P47" s="64">
        <v>0.92</v>
      </c>
      <c r="Q47" s="64">
        <v>6.29</v>
      </c>
      <c r="R47" s="198"/>
      <c r="S47" s="198"/>
      <c r="T47" s="198"/>
      <c r="U47" s="198"/>
    </row>
    <row r="48" spans="1:21" s="12" customFormat="1" x14ac:dyDescent="0.25">
      <c r="A48" s="214" t="s">
        <v>2781</v>
      </c>
      <c r="B48" s="64">
        <v>10.64</v>
      </c>
      <c r="C48" s="64">
        <v>26.01</v>
      </c>
      <c r="D48" s="64">
        <v>24.18</v>
      </c>
      <c r="E48" s="64">
        <v>1.04</v>
      </c>
      <c r="F48" s="64">
        <v>1.83</v>
      </c>
      <c r="G48" s="64">
        <v>80.540000000000006</v>
      </c>
      <c r="H48" s="64">
        <v>48.96</v>
      </c>
      <c r="I48" s="64">
        <v>1.53</v>
      </c>
      <c r="J48" s="64">
        <v>0.48</v>
      </c>
      <c r="K48" s="64">
        <v>121.33</v>
      </c>
      <c r="L48" s="64">
        <v>27.4</v>
      </c>
      <c r="M48" s="64">
        <v>43.1</v>
      </c>
      <c r="N48" s="64">
        <v>704.2</v>
      </c>
      <c r="O48" s="64">
        <v>0</v>
      </c>
      <c r="P48" s="64">
        <v>0.91</v>
      </c>
      <c r="Q48" s="64">
        <v>6.12</v>
      </c>
      <c r="R48" s="198"/>
      <c r="S48" s="198"/>
      <c r="T48" s="198"/>
      <c r="U48" s="198"/>
    </row>
    <row r="49" spans="1:21" s="12" customFormat="1" x14ac:dyDescent="0.25">
      <c r="A49" s="214" t="s">
        <v>2782</v>
      </c>
      <c r="B49" s="64">
        <v>9.67</v>
      </c>
      <c r="C49" s="64">
        <v>26.56</v>
      </c>
      <c r="D49" s="64">
        <v>23.71</v>
      </c>
      <c r="E49" s="64">
        <v>0.87</v>
      </c>
      <c r="F49" s="64">
        <v>1.06</v>
      </c>
      <c r="G49" s="64">
        <v>80.540000000000006</v>
      </c>
      <c r="H49" s="64">
        <v>48.96</v>
      </c>
      <c r="I49" s="64">
        <v>1.53</v>
      </c>
      <c r="J49" s="64">
        <v>0.11</v>
      </c>
      <c r="K49" s="64">
        <v>8.81</v>
      </c>
      <c r="L49" s="64">
        <v>27.53</v>
      </c>
      <c r="M49" s="64">
        <v>44.3</v>
      </c>
      <c r="N49" s="64">
        <v>721.8</v>
      </c>
      <c r="O49" s="64">
        <v>0</v>
      </c>
      <c r="P49" s="64">
        <v>0.9</v>
      </c>
      <c r="Q49" s="64">
        <v>5.96</v>
      </c>
      <c r="R49" s="198"/>
      <c r="S49" s="198"/>
      <c r="T49" s="198"/>
      <c r="U49" s="198"/>
    </row>
    <row r="50" spans="1:21" s="12" customFormat="1" x14ac:dyDescent="0.25">
      <c r="A50" s="214" t="s">
        <v>2783</v>
      </c>
      <c r="B50" s="64">
        <v>8.1300000000000008</v>
      </c>
      <c r="C50" s="64">
        <v>26.64</v>
      </c>
      <c r="D50" s="64">
        <v>22.51</v>
      </c>
      <c r="E50" s="64">
        <v>1.03</v>
      </c>
      <c r="F50" s="64">
        <v>1.44</v>
      </c>
      <c r="G50" s="64">
        <v>80.540000000000006</v>
      </c>
      <c r="H50" s="64">
        <v>48.96</v>
      </c>
      <c r="I50" s="64">
        <v>1.52</v>
      </c>
      <c r="J50" s="64">
        <v>0.2</v>
      </c>
      <c r="K50" s="64">
        <v>115.84</v>
      </c>
      <c r="L50" s="64">
        <v>28.19</v>
      </c>
      <c r="M50" s="64">
        <v>40.1</v>
      </c>
      <c r="N50" s="64">
        <v>738.7</v>
      </c>
      <c r="O50" s="64">
        <v>0</v>
      </c>
      <c r="P50" s="64">
        <v>0.88</v>
      </c>
      <c r="Q50" s="64">
        <v>5.81</v>
      </c>
      <c r="R50" s="198"/>
      <c r="S50" s="198"/>
      <c r="T50" s="198"/>
      <c r="U50" s="198"/>
    </row>
    <row r="51" spans="1:21" s="12" customFormat="1" x14ac:dyDescent="0.25">
      <c r="A51" s="214" t="s">
        <v>2784</v>
      </c>
      <c r="B51" s="64">
        <v>6.81</v>
      </c>
      <c r="C51" s="64">
        <v>26.31</v>
      </c>
      <c r="D51" s="64">
        <v>21.28</v>
      </c>
      <c r="E51" s="64">
        <v>1.1599999999999999</v>
      </c>
      <c r="F51" s="64">
        <v>2.4900000000000002</v>
      </c>
      <c r="G51" s="64">
        <v>72.41</v>
      </c>
      <c r="H51" s="64">
        <v>46.94</v>
      </c>
      <c r="I51" s="64">
        <v>1.48</v>
      </c>
      <c r="J51" s="64">
        <v>0.55000000000000004</v>
      </c>
      <c r="K51" s="64">
        <v>132.52000000000001</v>
      </c>
      <c r="L51" s="64">
        <v>27.63</v>
      </c>
      <c r="M51" s="64">
        <v>39.36</v>
      </c>
      <c r="N51" s="64">
        <v>749.8</v>
      </c>
      <c r="O51" s="64">
        <v>0</v>
      </c>
      <c r="P51" s="64">
        <v>0.85</v>
      </c>
      <c r="Q51" s="64">
        <v>5.71</v>
      </c>
      <c r="R51" s="198"/>
      <c r="S51" s="198"/>
      <c r="T51" s="198"/>
      <c r="U51" s="198"/>
    </row>
    <row r="52" spans="1:21" s="12" customFormat="1" x14ac:dyDescent="0.25">
      <c r="A52" s="214" t="s">
        <v>2785</v>
      </c>
      <c r="B52" s="64">
        <v>5.71</v>
      </c>
      <c r="C52" s="64">
        <v>25.91</v>
      </c>
      <c r="D52" s="64">
        <v>20.170000000000002</v>
      </c>
      <c r="E52" s="64">
        <v>0.95</v>
      </c>
      <c r="F52" s="64">
        <v>1.1000000000000001</v>
      </c>
      <c r="G52" s="64">
        <v>64.97</v>
      </c>
      <c r="H52" s="64">
        <v>46.02</v>
      </c>
      <c r="I52" s="64">
        <v>1.51</v>
      </c>
      <c r="J52" s="64">
        <v>0.36</v>
      </c>
      <c r="K52" s="64">
        <v>129.33000000000001</v>
      </c>
      <c r="L52" s="64">
        <v>28.07</v>
      </c>
      <c r="M52" s="64">
        <v>35.35</v>
      </c>
      <c r="N52" s="64">
        <v>732.9</v>
      </c>
      <c r="O52" s="64">
        <v>0</v>
      </c>
      <c r="P52" s="64">
        <v>0.85</v>
      </c>
      <c r="Q52" s="64">
        <v>5.58</v>
      </c>
      <c r="R52" s="198"/>
      <c r="S52" s="198"/>
      <c r="T52" s="198"/>
      <c r="U52" s="198"/>
    </row>
    <row r="53" spans="1:21" s="12" customFormat="1" x14ac:dyDescent="0.25">
      <c r="A53" s="214" t="s">
        <v>2786</v>
      </c>
      <c r="B53" s="64">
        <v>4.95</v>
      </c>
      <c r="C53" s="64">
        <v>25.32</v>
      </c>
      <c r="D53" s="64">
        <v>19.239999999999998</v>
      </c>
      <c r="E53" s="64">
        <v>0.94</v>
      </c>
      <c r="F53" s="64">
        <v>3.55</v>
      </c>
      <c r="G53" s="64">
        <v>64.97</v>
      </c>
      <c r="H53" s="64">
        <v>46.02</v>
      </c>
      <c r="I53" s="64">
        <v>1.45</v>
      </c>
      <c r="J53" s="64">
        <v>0.31</v>
      </c>
      <c r="K53" s="64">
        <v>343.58</v>
      </c>
      <c r="L53" s="64">
        <v>29.54</v>
      </c>
      <c r="M53" s="64">
        <v>32.07</v>
      </c>
      <c r="N53" s="64">
        <v>717.1</v>
      </c>
      <c r="O53" s="64">
        <v>0</v>
      </c>
      <c r="P53" s="64">
        <v>0.82</v>
      </c>
      <c r="Q53" s="64">
        <v>5.53</v>
      </c>
      <c r="R53" s="198"/>
      <c r="S53" s="198"/>
      <c r="T53" s="198"/>
      <c r="U53" s="198"/>
    </row>
    <row r="54" spans="1:21" s="12" customFormat="1" x14ac:dyDescent="0.25">
      <c r="A54" s="214" t="s">
        <v>2787</v>
      </c>
      <c r="B54" s="64">
        <v>4.82</v>
      </c>
      <c r="C54" s="64">
        <v>27.56</v>
      </c>
      <c r="D54" s="64">
        <v>20.37</v>
      </c>
      <c r="E54" s="64">
        <v>1.1499999999999999</v>
      </c>
      <c r="F54" s="64">
        <v>3.97</v>
      </c>
      <c r="G54" s="64">
        <v>64.97</v>
      </c>
      <c r="H54" s="64">
        <v>46.02</v>
      </c>
      <c r="I54" s="64">
        <v>1.51</v>
      </c>
      <c r="J54" s="64">
        <v>0.28000000000000003</v>
      </c>
      <c r="K54" s="64">
        <v>13.4</v>
      </c>
      <c r="L54" s="64">
        <v>30.34</v>
      </c>
      <c r="M54" s="64">
        <v>25.7</v>
      </c>
      <c r="N54" s="64">
        <v>746.7</v>
      </c>
      <c r="O54" s="64">
        <v>0</v>
      </c>
      <c r="P54" s="64">
        <v>0.83</v>
      </c>
      <c r="Q54" s="64">
        <v>5.42</v>
      </c>
      <c r="R54" s="198"/>
      <c r="S54" s="198"/>
      <c r="T54" s="198"/>
      <c r="U54" s="198"/>
    </row>
    <row r="55" spans="1:21" s="12" customFormat="1" x14ac:dyDescent="0.25">
      <c r="A55" s="214" t="s">
        <v>2788</v>
      </c>
      <c r="B55" s="64">
        <v>4.5</v>
      </c>
      <c r="C55" s="64">
        <v>27.37</v>
      </c>
      <c r="D55" s="64">
        <v>20.010000000000002</v>
      </c>
      <c r="E55" s="64">
        <v>1.29</v>
      </c>
      <c r="F55" s="64">
        <v>2.69</v>
      </c>
      <c r="G55" s="64">
        <v>58.95</v>
      </c>
      <c r="H55" s="64">
        <v>42.88</v>
      </c>
      <c r="I55" s="64">
        <v>1.53</v>
      </c>
      <c r="J55" s="64">
        <v>0.57999999999999996</v>
      </c>
      <c r="K55" s="64">
        <v>347.37</v>
      </c>
      <c r="L55" s="64">
        <v>30.19</v>
      </c>
      <c r="M55" s="64">
        <v>26.08</v>
      </c>
      <c r="N55" s="64">
        <v>740.6</v>
      </c>
      <c r="O55" s="64">
        <v>0</v>
      </c>
      <c r="P55" s="64">
        <v>0.81</v>
      </c>
      <c r="Q55" s="64">
        <v>5.32</v>
      </c>
      <c r="R55" s="198"/>
      <c r="S55" s="198"/>
      <c r="T55" s="198"/>
      <c r="U55" s="198"/>
    </row>
    <row r="56" spans="1:21" s="12" customFormat="1" x14ac:dyDescent="0.25">
      <c r="A56" s="214" t="s">
        <v>2789</v>
      </c>
      <c r="B56" s="64">
        <v>5.41</v>
      </c>
      <c r="C56" s="64">
        <v>25.03</v>
      </c>
      <c r="D56" s="64">
        <v>19.37</v>
      </c>
      <c r="E56" s="64">
        <v>0.81</v>
      </c>
      <c r="F56" s="64">
        <v>5.2</v>
      </c>
      <c r="G56" s="64">
        <v>53.2</v>
      </c>
      <c r="H56" s="64">
        <v>39.880000000000003</v>
      </c>
      <c r="I56" s="64">
        <v>1.54</v>
      </c>
      <c r="J56" s="64">
        <v>0.22</v>
      </c>
      <c r="K56" s="64">
        <v>23.18</v>
      </c>
      <c r="L56" s="64">
        <v>29.93</v>
      </c>
      <c r="M56" s="64">
        <v>24.64</v>
      </c>
      <c r="N56" s="64">
        <v>683.2</v>
      </c>
      <c r="O56" s="64">
        <v>0</v>
      </c>
      <c r="P56" s="64">
        <v>0.78</v>
      </c>
      <c r="Q56" s="64">
        <v>4.74</v>
      </c>
      <c r="R56" s="198"/>
      <c r="S56" s="198"/>
      <c r="T56" s="198"/>
      <c r="U56" s="198"/>
    </row>
    <row r="57" spans="1:21" s="12" customFormat="1" x14ac:dyDescent="0.25">
      <c r="A57" s="214" t="s">
        <v>2790</v>
      </c>
      <c r="B57" s="64">
        <v>4.51</v>
      </c>
      <c r="C57" s="64">
        <v>24.2</v>
      </c>
      <c r="D57" s="64">
        <v>18.260000000000002</v>
      </c>
      <c r="E57" s="64">
        <v>1.08</v>
      </c>
      <c r="F57" s="64">
        <v>1.59</v>
      </c>
      <c r="G57" s="64">
        <v>53.2</v>
      </c>
      <c r="H57" s="64">
        <v>39.880000000000003</v>
      </c>
      <c r="I57" s="64">
        <v>1.47</v>
      </c>
      <c r="J57" s="64">
        <v>1.3</v>
      </c>
      <c r="K57" s="64">
        <v>114.6</v>
      </c>
      <c r="L57" s="64">
        <v>28.28</v>
      </c>
      <c r="M57" s="64">
        <v>26.63</v>
      </c>
      <c r="N57" s="64">
        <v>693.5</v>
      </c>
      <c r="O57" s="64">
        <v>0</v>
      </c>
      <c r="P57" s="64">
        <v>0.78</v>
      </c>
      <c r="Q57" s="64">
        <v>4.66</v>
      </c>
      <c r="R57" s="198"/>
      <c r="S57" s="198"/>
      <c r="T57" s="198"/>
      <c r="U57" s="198"/>
    </row>
    <row r="58" spans="1:21" s="12" customFormat="1" x14ac:dyDescent="0.25">
      <c r="A58" s="214" t="s">
        <v>2791</v>
      </c>
      <c r="B58" s="64">
        <v>3.97</v>
      </c>
      <c r="C58" s="64">
        <v>22.45</v>
      </c>
      <c r="D58" s="64">
        <v>16.87</v>
      </c>
      <c r="E58" s="64">
        <v>1.58</v>
      </c>
      <c r="F58" s="64">
        <v>3.89</v>
      </c>
      <c r="G58" s="64">
        <v>53.2</v>
      </c>
      <c r="H58" s="64">
        <v>39.880000000000003</v>
      </c>
      <c r="I58" s="64">
        <v>1.54</v>
      </c>
      <c r="J58" s="64">
        <v>0.48</v>
      </c>
      <c r="K58" s="64">
        <v>22.04</v>
      </c>
      <c r="L58" s="64">
        <v>28.63</v>
      </c>
      <c r="M58" s="64">
        <v>26.42</v>
      </c>
      <c r="N58" s="64">
        <v>668.5</v>
      </c>
      <c r="O58" s="64">
        <v>0</v>
      </c>
      <c r="P58" s="64">
        <v>0.76</v>
      </c>
      <c r="Q58" s="64">
        <v>5.29</v>
      </c>
      <c r="R58" s="198"/>
      <c r="S58" s="198"/>
      <c r="T58" s="198"/>
      <c r="U58" s="198"/>
    </row>
    <row r="59" spans="1:21" s="12" customFormat="1" x14ac:dyDescent="0.25">
      <c r="A59" s="214" t="s">
        <v>2792</v>
      </c>
      <c r="B59" s="64">
        <v>4.34</v>
      </c>
      <c r="C59" s="64">
        <v>24.34</v>
      </c>
      <c r="D59" s="64">
        <v>18.21</v>
      </c>
      <c r="E59" s="64">
        <v>1.56</v>
      </c>
      <c r="F59" s="64">
        <v>3.09</v>
      </c>
      <c r="G59" s="64">
        <v>62.35</v>
      </c>
      <c r="H59" s="64">
        <v>38.43</v>
      </c>
      <c r="I59" s="64">
        <v>1.49</v>
      </c>
      <c r="J59" s="64">
        <v>0.32</v>
      </c>
      <c r="K59" s="64">
        <v>81.099999999999994</v>
      </c>
      <c r="L59" s="64">
        <v>29.02</v>
      </c>
      <c r="M59" s="64">
        <v>25.81</v>
      </c>
      <c r="N59" s="64">
        <v>668.7</v>
      </c>
      <c r="O59" s="64">
        <v>0</v>
      </c>
      <c r="P59" s="64">
        <v>0.75</v>
      </c>
      <c r="Q59" s="64">
        <v>5.24</v>
      </c>
      <c r="R59" s="198"/>
      <c r="S59" s="198"/>
      <c r="T59" s="198"/>
      <c r="U59" s="198"/>
    </row>
    <row r="60" spans="1:21" s="12" customFormat="1" x14ac:dyDescent="0.25">
      <c r="A60" s="214" t="s">
        <v>2793</v>
      </c>
      <c r="B60" s="64">
        <v>4.0999999999999996</v>
      </c>
      <c r="C60" s="64">
        <v>26.76</v>
      </c>
      <c r="D60" s="64">
        <v>19.350000000000001</v>
      </c>
      <c r="E60" s="64">
        <v>1.46</v>
      </c>
      <c r="F60" s="64">
        <v>4.51</v>
      </c>
      <c r="G60" s="64">
        <v>71.11</v>
      </c>
      <c r="H60" s="64">
        <v>37.770000000000003</v>
      </c>
      <c r="I60" s="64">
        <v>1.54</v>
      </c>
      <c r="J60" s="64">
        <v>0.56999999999999995</v>
      </c>
      <c r="K60" s="64">
        <v>334.31</v>
      </c>
      <c r="L60" s="64">
        <v>29.03</v>
      </c>
      <c r="M60" s="64">
        <v>26</v>
      </c>
      <c r="N60" s="64">
        <v>671.1</v>
      </c>
      <c r="O60" s="64">
        <v>0</v>
      </c>
      <c r="P60" s="64">
        <v>0.75</v>
      </c>
      <c r="Q60" s="64">
        <v>5.2</v>
      </c>
      <c r="R60" s="198"/>
      <c r="S60" s="198"/>
      <c r="T60" s="198"/>
      <c r="U60" s="198"/>
    </row>
    <row r="61" spans="1:21" s="12" customFormat="1" x14ac:dyDescent="0.25">
      <c r="A61" s="214" t="s">
        <v>2794</v>
      </c>
      <c r="B61" s="64">
        <v>3.7</v>
      </c>
      <c r="C61" s="64">
        <v>27.83</v>
      </c>
      <c r="D61" s="64">
        <v>19.62</v>
      </c>
      <c r="E61" s="64">
        <v>1.44</v>
      </c>
      <c r="F61" s="64">
        <v>3.75</v>
      </c>
      <c r="G61" s="64">
        <v>71.11</v>
      </c>
      <c r="H61" s="64">
        <v>37.770000000000003</v>
      </c>
      <c r="I61" s="64">
        <v>1.47</v>
      </c>
      <c r="J61" s="64">
        <v>0.6</v>
      </c>
      <c r="K61" s="64">
        <v>341.61</v>
      </c>
      <c r="L61" s="64">
        <v>29.91</v>
      </c>
      <c r="M61" s="64">
        <v>25.79</v>
      </c>
      <c r="N61" s="64">
        <v>636.29999999999995</v>
      </c>
      <c r="O61" s="64">
        <v>0</v>
      </c>
      <c r="P61" s="64">
        <v>0.76</v>
      </c>
      <c r="Q61" s="64">
        <v>5.18</v>
      </c>
      <c r="R61" s="198"/>
      <c r="S61" s="198"/>
      <c r="T61" s="198"/>
      <c r="U61" s="198"/>
    </row>
    <row r="62" spans="1:21" s="12" customFormat="1" x14ac:dyDescent="0.25">
      <c r="A62" s="214" t="s">
        <v>2795</v>
      </c>
      <c r="B62" s="64">
        <v>3.45</v>
      </c>
      <c r="C62" s="64">
        <v>26.09</v>
      </c>
      <c r="D62" s="64">
        <v>18.45</v>
      </c>
      <c r="E62" s="64">
        <v>1.31</v>
      </c>
      <c r="F62" s="64">
        <v>2.17</v>
      </c>
      <c r="G62" s="64">
        <v>71.11</v>
      </c>
      <c r="H62" s="64">
        <v>37.770000000000003</v>
      </c>
      <c r="I62" s="64">
        <v>1.47</v>
      </c>
      <c r="J62" s="64">
        <v>0.3</v>
      </c>
      <c r="K62" s="64">
        <v>43.02</v>
      </c>
      <c r="L62" s="64">
        <v>28.64</v>
      </c>
      <c r="M62" s="64">
        <v>27.71</v>
      </c>
      <c r="N62" s="64">
        <v>574.5</v>
      </c>
      <c r="O62" s="64">
        <v>0</v>
      </c>
      <c r="P62" s="64">
        <v>0.79</v>
      </c>
      <c r="Q62" s="64">
        <v>5.24</v>
      </c>
      <c r="R62" s="198"/>
      <c r="S62" s="198"/>
      <c r="T62" s="198"/>
      <c r="U62" s="198"/>
    </row>
    <row r="63" spans="1:21" s="12" customFormat="1" x14ac:dyDescent="0.25">
      <c r="A63" s="214" t="s">
        <v>2796</v>
      </c>
      <c r="B63" s="64">
        <v>3.3</v>
      </c>
      <c r="C63" s="64">
        <v>25.73</v>
      </c>
      <c r="D63" s="64">
        <v>18.14</v>
      </c>
      <c r="E63" s="64">
        <v>1.41</v>
      </c>
      <c r="F63" s="64">
        <v>5.22</v>
      </c>
      <c r="G63" s="64">
        <v>77.14</v>
      </c>
      <c r="H63" s="64">
        <v>28.7</v>
      </c>
      <c r="I63" s="64">
        <v>1.52</v>
      </c>
      <c r="J63" s="64">
        <v>0.51</v>
      </c>
      <c r="K63" s="64">
        <v>327.68</v>
      </c>
      <c r="L63" s="64">
        <v>28.74</v>
      </c>
      <c r="M63" s="64">
        <v>28.24</v>
      </c>
      <c r="N63" s="64">
        <v>345.2</v>
      </c>
      <c r="O63" s="64">
        <v>0</v>
      </c>
      <c r="P63" s="64">
        <v>0.8</v>
      </c>
      <c r="Q63" s="64">
        <v>5.18</v>
      </c>
      <c r="R63" s="198"/>
      <c r="S63" s="198"/>
      <c r="T63" s="198"/>
      <c r="U63" s="198"/>
    </row>
    <row r="64" spans="1:21" s="12" customFormat="1" x14ac:dyDescent="0.25">
      <c r="A64" s="214" t="s">
        <v>2797</v>
      </c>
      <c r="B64" s="64">
        <v>3.78</v>
      </c>
      <c r="C64" s="64">
        <v>26.1</v>
      </c>
      <c r="D64" s="64">
        <v>18.73</v>
      </c>
      <c r="E64" s="64">
        <v>1.4</v>
      </c>
      <c r="F64" s="64">
        <v>2.36</v>
      </c>
      <c r="G64" s="64">
        <v>82.92</v>
      </c>
      <c r="H64" s="64">
        <v>24.55</v>
      </c>
      <c r="I64" s="64">
        <v>1.44</v>
      </c>
      <c r="J64" s="64">
        <v>0.73</v>
      </c>
      <c r="K64" s="64">
        <v>69.760000000000005</v>
      </c>
      <c r="L64" s="64">
        <v>27.59</v>
      </c>
      <c r="M64" s="64">
        <v>31.31</v>
      </c>
      <c r="N64" s="64">
        <v>384.1</v>
      </c>
      <c r="O64" s="64">
        <v>0</v>
      </c>
      <c r="P64" s="64">
        <v>0.79</v>
      </c>
      <c r="Q64" s="64">
        <v>5.2</v>
      </c>
      <c r="R64" s="198"/>
      <c r="S64" s="198"/>
      <c r="T64" s="198"/>
      <c r="U64" s="198"/>
    </row>
    <row r="65" spans="1:21" s="12" customFormat="1" x14ac:dyDescent="0.25">
      <c r="A65" s="214" t="s">
        <v>2798</v>
      </c>
      <c r="B65" s="64">
        <v>3.41</v>
      </c>
      <c r="C65" s="64">
        <v>26.74</v>
      </c>
      <c r="D65" s="64">
        <v>18.78</v>
      </c>
      <c r="E65" s="64">
        <v>1.52</v>
      </c>
      <c r="F65" s="64">
        <v>3.77</v>
      </c>
      <c r="G65" s="64">
        <v>82.92</v>
      </c>
      <c r="H65" s="64">
        <v>24.55</v>
      </c>
      <c r="I65" s="64">
        <v>1.51</v>
      </c>
      <c r="J65" s="64">
        <v>1.61</v>
      </c>
      <c r="K65" s="64">
        <v>115.39</v>
      </c>
      <c r="L65" s="64">
        <v>27.21</v>
      </c>
      <c r="M65" s="64">
        <v>30.52</v>
      </c>
      <c r="N65" s="64">
        <v>230.5</v>
      </c>
      <c r="O65" s="64">
        <v>0</v>
      </c>
      <c r="P65" s="64">
        <v>0.78</v>
      </c>
      <c r="Q65" s="64">
        <v>5.22</v>
      </c>
      <c r="R65" s="198"/>
      <c r="S65" s="198"/>
      <c r="T65" s="198"/>
      <c r="U65" s="198"/>
    </row>
    <row r="66" spans="1:21" s="12" customFormat="1" x14ac:dyDescent="0.25">
      <c r="A66" s="214" t="s">
        <v>2799</v>
      </c>
      <c r="B66" s="64">
        <v>4.54</v>
      </c>
      <c r="C66" s="64">
        <v>27.11</v>
      </c>
      <c r="D66" s="64">
        <v>19.89</v>
      </c>
      <c r="E66" s="64">
        <v>1.74</v>
      </c>
      <c r="F66" s="64">
        <v>5.6</v>
      </c>
      <c r="G66" s="64">
        <v>82.92</v>
      </c>
      <c r="H66" s="64">
        <v>24.55</v>
      </c>
      <c r="I66" s="64">
        <v>1.52</v>
      </c>
      <c r="J66" s="64">
        <v>0.59</v>
      </c>
      <c r="K66" s="64">
        <v>27.76</v>
      </c>
      <c r="L66" s="64">
        <v>27.26</v>
      </c>
      <c r="M66" s="64">
        <v>29.88</v>
      </c>
      <c r="N66" s="64">
        <v>294.8</v>
      </c>
      <c r="O66" s="64">
        <v>0</v>
      </c>
      <c r="P66" s="64">
        <v>0.77</v>
      </c>
      <c r="Q66" s="64">
        <v>5.19</v>
      </c>
      <c r="R66" s="198"/>
      <c r="S66" s="198"/>
      <c r="T66" s="198"/>
      <c r="U66" s="198"/>
    </row>
    <row r="67" spans="1:21" s="12" customFormat="1" x14ac:dyDescent="0.25">
      <c r="A67" s="214" t="s">
        <v>2800</v>
      </c>
      <c r="B67" s="64">
        <v>4.16</v>
      </c>
      <c r="C67" s="64">
        <v>29.61</v>
      </c>
      <c r="D67" s="64">
        <v>20.97</v>
      </c>
      <c r="E67" s="64">
        <v>2.0299999999999998</v>
      </c>
      <c r="F67" s="64">
        <v>9.7899999999999991</v>
      </c>
      <c r="G67" s="64">
        <v>82.9</v>
      </c>
      <c r="H67" s="64">
        <v>32.53</v>
      </c>
      <c r="I67" s="64">
        <v>1.49</v>
      </c>
      <c r="J67" s="64">
        <v>0.65</v>
      </c>
      <c r="K67" s="64">
        <v>333.43</v>
      </c>
      <c r="L67" s="64">
        <v>27.75</v>
      </c>
      <c r="M67" s="64">
        <v>27.18</v>
      </c>
      <c r="N67" s="64">
        <v>205.1</v>
      </c>
      <c r="O67" s="64">
        <v>0</v>
      </c>
      <c r="P67" s="64">
        <v>0.79</v>
      </c>
      <c r="Q67" s="64">
        <v>5.0599999999999996</v>
      </c>
      <c r="R67" s="198"/>
      <c r="S67" s="198"/>
      <c r="T67" s="198"/>
      <c r="U67" s="198"/>
    </row>
    <row r="68" spans="1:21" s="12" customFormat="1" x14ac:dyDescent="0.25">
      <c r="A68" s="214" t="s">
        <v>2801</v>
      </c>
      <c r="B68" s="64">
        <v>3.35</v>
      </c>
      <c r="C68" s="64">
        <v>27.27</v>
      </c>
      <c r="D68" s="64">
        <v>19.03</v>
      </c>
      <c r="E68" s="64">
        <v>2.36</v>
      </c>
      <c r="F68" s="64">
        <v>7.69</v>
      </c>
      <c r="G68" s="64">
        <v>82.9</v>
      </c>
      <c r="H68" s="64">
        <v>36.17</v>
      </c>
      <c r="I68" s="64">
        <v>1.52</v>
      </c>
      <c r="J68" s="64">
        <v>0.33</v>
      </c>
      <c r="K68" s="64">
        <v>60.52</v>
      </c>
      <c r="L68" s="64">
        <v>27.23</v>
      </c>
      <c r="M68" s="64">
        <v>27.33</v>
      </c>
      <c r="N68" s="64">
        <v>124.7</v>
      </c>
      <c r="O68" s="64">
        <v>0</v>
      </c>
      <c r="P68" s="64">
        <v>0.76</v>
      </c>
      <c r="Q68" s="64">
        <v>5.04</v>
      </c>
      <c r="R68" s="198"/>
      <c r="S68" s="198"/>
      <c r="T68" s="198"/>
      <c r="U68" s="198"/>
    </row>
    <row r="69" spans="1:21" s="12" customFormat="1" x14ac:dyDescent="0.25">
      <c r="A69" s="214" t="s">
        <v>2802</v>
      </c>
      <c r="B69" s="64">
        <v>4.38</v>
      </c>
      <c r="C69" s="64">
        <v>28.51</v>
      </c>
      <c r="D69" s="64">
        <v>20.54</v>
      </c>
      <c r="E69" s="64">
        <v>2.2999999999999998</v>
      </c>
      <c r="F69" s="64">
        <v>11.2</v>
      </c>
      <c r="G69" s="64">
        <v>82.9</v>
      </c>
      <c r="H69" s="64">
        <v>36.17</v>
      </c>
      <c r="I69" s="64">
        <v>1.51</v>
      </c>
      <c r="J69" s="64">
        <v>0.11</v>
      </c>
      <c r="K69" s="64">
        <v>32.159999999999997</v>
      </c>
      <c r="L69" s="64">
        <v>27.13</v>
      </c>
      <c r="M69" s="64">
        <v>27.8</v>
      </c>
      <c r="N69" s="64">
        <v>115.3</v>
      </c>
      <c r="O69" s="64">
        <v>0</v>
      </c>
      <c r="P69" s="64">
        <v>0.76</v>
      </c>
      <c r="Q69" s="64">
        <v>4.99</v>
      </c>
      <c r="R69" s="198"/>
      <c r="S69" s="198"/>
      <c r="T69" s="198"/>
      <c r="U69" s="198"/>
    </row>
    <row r="70" spans="1:21" s="12" customFormat="1" x14ac:dyDescent="0.25">
      <c r="A70" s="214" t="s">
        <v>2803</v>
      </c>
      <c r="B70" s="64">
        <v>3.78</v>
      </c>
      <c r="C70" s="64">
        <v>27.7</v>
      </c>
      <c r="D70" s="64">
        <v>19.61</v>
      </c>
      <c r="E70" s="64">
        <v>1.9</v>
      </c>
      <c r="F70" s="64">
        <v>5.45</v>
      </c>
      <c r="G70" s="64">
        <v>82.9</v>
      </c>
      <c r="H70" s="64">
        <v>36.17</v>
      </c>
      <c r="I70" s="64">
        <v>1.45</v>
      </c>
      <c r="J70" s="64">
        <v>0.41</v>
      </c>
      <c r="K70" s="64">
        <v>86.37</v>
      </c>
      <c r="L70" s="64">
        <v>26.58</v>
      </c>
      <c r="M70" s="64">
        <v>30.82</v>
      </c>
      <c r="N70" s="64">
        <v>109.6</v>
      </c>
      <c r="O70" s="64">
        <v>0</v>
      </c>
      <c r="P70" s="64">
        <v>0.74</v>
      </c>
      <c r="Q70" s="64">
        <v>5.04</v>
      </c>
      <c r="R70" s="198"/>
      <c r="S70" s="198"/>
      <c r="T70" s="198"/>
      <c r="U70" s="198"/>
    </row>
    <row r="71" spans="1:21" s="12" customFormat="1" x14ac:dyDescent="0.25">
      <c r="A71" s="214" t="s">
        <v>2804</v>
      </c>
      <c r="B71" s="64">
        <v>4.63</v>
      </c>
      <c r="C71" s="64">
        <v>26.29</v>
      </c>
      <c r="D71" s="64">
        <v>19.52</v>
      </c>
      <c r="E71" s="64">
        <v>1.77</v>
      </c>
      <c r="F71" s="64">
        <v>8.99</v>
      </c>
      <c r="G71" s="64">
        <v>82.12</v>
      </c>
      <c r="H71" s="64">
        <v>50.52</v>
      </c>
      <c r="I71" s="64">
        <v>1.51</v>
      </c>
      <c r="J71" s="64">
        <v>0.46</v>
      </c>
      <c r="K71" s="64">
        <v>337.37</v>
      </c>
      <c r="L71" s="64">
        <v>26.4</v>
      </c>
      <c r="M71" s="64">
        <v>30.33</v>
      </c>
      <c r="N71" s="64">
        <v>97.4</v>
      </c>
      <c r="O71" s="64">
        <v>0</v>
      </c>
      <c r="P71" s="64">
        <v>0.75</v>
      </c>
      <c r="Q71" s="64">
        <v>4.91</v>
      </c>
      <c r="R71" s="198"/>
      <c r="S71" s="198"/>
      <c r="T71" s="198"/>
      <c r="U71" s="198"/>
    </row>
    <row r="72" spans="1:21" s="12" customFormat="1" x14ac:dyDescent="0.25">
      <c r="A72" s="214" t="s">
        <v>2805</v>
      </c>
      <c r="B72" s="64">
        <v>3.78</v>
      </c>
      <c r="C72" s="64">
        <v>29.8</v>
      </c>
      <c r="D72" s="64">
        <v>20.77</v>
      </c>
      <c r="E72" s="64">
        <v>1.35</v>
      </c>
      <c r="F72" s="64">
        <v>9.84</v>
      </c>
      <c r="G72" s="64">
        <v>81.37</v>
      </c>
      <c r="H72" s="64">
        <v>57.06</v>
      </c>
      <c r="I72" s="64">
        <v>1.43</v>
      </c>
      <c r="J72" s="64">
        <v>0.35</v>
      </c>
      <c r="K72" s="64">
        <v>317.55</v>
      </c>
      <c r="L72" s="64">
        <v>26.24</v>
      </c>
      <c r="M72" s="64">
        <v>29.08</v>
      </c>
      <c r="N72" s="64">
        <v>87.6</v>
      </c>
      <c r="O72" s="64">
        <v>0</v>
      </c>
      <c r="P72" s="64">
        <v>0.75</v>
      </c>
      <c r="Q72" s="64">
        <v>4.99</v>
      </c>
      <c r="R72" s="198"/>
      <c r="S72" s="198"/>
      <c r="T72" s="198"/>
      <c r="U72" s="198"/>
    </row>
    <row r="73" spans="1:21" s="12" customFormat="1" x14ac:dyDescent="0.25">
      <c r="A73" s="214" t="s">
        <v>2806</v>
      </c>
      <c r="B73" s="64">
        <v>3.67</v>
      </c>
      <c r="C73" s="64">
        <v>30.68</v>
      </c>
      <c r="D73" s="64">
        <v>21.17</v>
      </c>
      <c r="E73" s="64">
        <v>1.99</v>
      </c>
      <c r="F73" s="64">
        <v>10.050000000000001</v>
      </c>
      <c r="G73" s="64">
        <v>81.37</v>
      </c>
      <c r="H73" s="64">
        <v>57.06</v>
      </c>
      <c r="I73" s="64">
        <v>1.49</v>
      </c>
      <c r="J73" s="64">
        <v>0.44</v>
      </c>
      <c r="K73" s="64">
        <v>338.9</v>
      </c>
      <c r="L73" s="64">
        <v>25.97</v>
      </c>
      <c r="M73" s="64">
        <v>29.21</v>
      </c>
      <c r="N73" s="64">
        <v>77.400000000000006</v>
      </c>
      <c r="O73" s="64">
        <v>0</v>
      </c>
      <c r="P73" s="64">
        <v>0.74</v>
      </c>
      <c r="Q73" s="64">
        <v>4.88</v>
      </c>
      <c r="R73" s="198"/>
      <c r="S73" s="198"/>
      <c r="T73" s="198"/>
      <c r="U73" s="198"/>
    </row>
    <row r="74" spans="1:21" s="12" customFormat="1" x14ac:dyDescent="0.25">
      <c r="A74" s="214" t="s">
        <v>2807</v>
      </c>
      <c r="B74" s="64">
        <v>4.76</v>
      </c>
      <c r="C74" s="64">
        <v>29.13</v>
      </c>
      <c r="D74" s="64">
        <v>21.18</v>
      </c>
      <c r="E74" s="64">
        <v>1.99</v>
      </c>
      <c r="F74" s="64">
        <v>6.48</v>
      </c>
      <c r="G74" s="64">
        <v>81.37</v>
      </c>
      <c r="H74" s="64">
        <v>57.06</v>
      </c>
      <c r="I74" s="64">
        <v>1.55</v>
      </c>
      <c r="J74" s="64">
        <v>0.43</v>
      </c>
      <c r="K74" s="64">
        <v>346.62</v>
      </c>
      <c r="L74" s="64">
        <v>25.77</v>
      </c>
      <c r="M74" s="64">
        <v>28.11</v>
      </c>
      <c r="N74" s="64">
        <v>68</v>
      </c>
      <c r="O74" s="64">
        <v>0</v>
      </c>
      <c r="P74" s="64">
        <v>0.78</v>
      </c>
      <c r="Q74" s="64">
        <v>4.92</v>
      </c>
      <c r="R74" s="198"/>
      <c r="S74" s="198"/>
      <c r="T74" s="198"/>
      <c r="U74" s="198"/>
    </row>
    <row r="75" spans="1:21" s="12" customFormat="1" x14ac:dyDescent="0.25">
      <c r="A75" s="214" t="s">
        <v>2808</v>
      </c>
      <c r="B75" s="64">
        <v>5.78</v>
      </c>
      <c r="C75" s="64">
        <v>34.93</v>
      </c>
      <c r="D75" s="64">
        <v>25.21</v>
      </c>
      <c r="E75" s="64">
        <v>2.0699999999999998</v>
      </c>
      <c r="F75" s="64">
        <v>8.35</v>
      </c>
      <c r="G75" s="64">
        <v>77.56</v>
      </c>
      <c r="H75" s="64">
        <v>50.51</v>
      </c>
      <c r="I75" s="64">
        <v>1.5</v>
      </c>
      <c r="J75" s="64">
        <v>0.36</v>
      </c>
      <c r="K75" s="64">
        <v>336.16</v>
      </c>
      <c r="L75" s="64">
        <v>25.44</v>
      </c>
      <c r="M75" s="64">
        <v>28.66</v>
      </c>
      <c r="N75" s="64">
        <v>59</v>
      </c>
      <c r="O75" s="64">
        <v>0</v>
      </c>
      <c r="P75" s="64">
        <v>0.83</v>
      </c>
      <c r="Q75" s="64">
        <v>4.49</v>
      </c>
      <c r="R75" s="198"/>
      <c r="S75" s="198"/>
      <c r="T75" s="198"/>
      <c r="U75" s="198"/>
    </row>
    <row r="76" spans="1:21" s="12" customFormat="1" x14ac:dyDescent="0.25">
      <c r="A76" s="214" t="s">
        <v>2809</v>
      </c>
      <c r="B76" s="64">
        <v>8.4700000000000006</v>
      </c>
      <c r="C76" s="64">
        <v>49.46</v>
      </c>
      <c r="D76" s="64">
        <v>35.380000000000003</v>
      </c>
      <c r="E76" s="64">
        <v>2.72</v>
      </c>
      <c r="F76" s="64">
        <v>10.51</v>
      </c>
      <c r="G76" s="64">
        <v>74.06</v>
      </c>
      <c r="H76" s="64">
        <v>47.66</v>
      </c>
      <c r="I76" s="64">
        <v>1.57</v>
      </c>
      <c r="J76" s="64">
        <v>0.17</v>
      </c>
      <c r="K76" s="64">
        <v>351.84</v>
      </c>
      <c r="L76" s="64">
        <v>24.98</v>
      </c>
      <c r="M76" s="64">
        <v>30.69</v>
      </c>
      <c r="N76" s="64">
        <v>50.7</v>
      </c>
      <c r="O76" s="64">
        <v>0</v>
      </c>
      <c r="P76" s="64">
        <v>0.95</v>
      </c>
      <c r="Q76" s="64">
        <v>3.94</v>
      </c>
      <c r="R76" s="198"/>
      <c r="S76" s="198"/>
      <c r="T76" s="198"/>
      <c r="U76" s="198"/>
    </row>
    <row r="77" spans="1:21" s="12" customFormat="1" x14ac:dyDescent="0.25">
      <c r="A77" s="214" t="s">
        <v>2810</v>
      </c>
      <c r="B77" s="64">
        <v>11.36</v>
      </c>
      <c r="C77" s="64">
        <v>51</v>
      </c>
      <c r="D77" s="64">
        <v>38.549999999999997</v>
      </c>
      <c r="E77" s="64">
        <v>4.04</v>
      </c>
      <c r="F77" s="64">
        <v>9.73</v>
      </c>
      <c r="G77" s="64">
        <v>74.06</v>
      </c>
      <c r="H77" s="64">
        <v>47.66</v>
      </c>
      <c r="I77" s="64">
        <v>1.5</v>
      </c>
      <c r="J77" s="64">
        <v>0.12</v>
      </c>
      <c r="K77" s="64">
        <v>348.8</v>
      </c>
      <c r="L77" s="64">
        <v>24.34</v>
      </c>
      <c r="M77" s="64">
        <v>33.08</v>
      </c>
      <c r="N77" s="64">
        <v>41.2</v>
      </c>
      <c r="O77" s="64">
        <v>0</v>
      </c>
      <c r="P77" s="64">
        <v>1.03</v>
      </c>
      <c r="Q77" s="64">
        <v>3.08</v>
      </c>
      <c r="R77" s="198"/>
      <c r="S77" s="198"/>
      <c r="T77" s="198"/>
      <c r="U77" s="198"/>
    </row>
    <row r="78" spans="1:21" s="12" customFormat="1" x14ac:dyDescent="0.25">
      <c r="A78" s="214" t="s">
        <v>2811</v>
      </c>
      <c r="B78" s="64">
        <v>18.73</v>
      </c>
      <c r="C78" s="64">
        <v>64.62</v>
      </c>
      <c r="D78" s="64">
        <v>51.98</v>
      </c>
      <c r="E78" s="64">
        <v>4</v>
      </c>
      <c r="F78" s="64">
        <v>5.23</v>
      </c>
      <c r="G78" s="64">
        <v>74.06</v>
      </c>
      <c r="H78" s="64">
        <v>47.66</v>
      </c>
      <c r="I78" s="64">
        <v>1.48</v>
      </c>
      <c r="J78" s="64">
        <v>0.1</v>
      </c>
      <c r="K78" s="64">
        <v>322.07</v>
      </c>
      <c r="L78" s="64">
        <v>23.75</v>
      </c>
      <c r="M78" s="64">
        <v>35.29</v>
      </c>
      <c r="N78" s="64">
        <v>34.299999999999997</v>
      </c>
      <c r="O78" s="64">
        <v>0</v>
      </c>
      <c r="P78" s="64">
        <v>1.36</v>
      </c>
      <c r="Q78" s="64">
        <v>2.21</v>
      </c>
      <c r="R78" s="198"/>
      <c r="S78" s="198"/>
      <c r="T78" s="198"/>
      <c r="U78" s="198"/>
    </row>
    <row r="79" spans="1:21" s="12" customFormat="1" x14ac:dyDescent="0.25">
      <c r="A79" s="214" t="s">
        <v>2812</v>
      </c>
      <c r="B79" s="64">
        <v>18.54</v>
      </c>
      <c r="C79" s="64">
        <v>56.86</v>
      </c>
      <c r="D79" s="64">
        <v>47.54</v>
      </c>
      <c r="E79" s="64">
        <v>3.68</v>
      </c>
      <c r="F79" s="64">
        <v>3.26</v>
      </c>
      <c r="G79" s="64">
        <v>96.06</v>
      </c>
      <c r="H79" s="64">
        <v>47.63</v>
      </c>
      <c r="I79" s="64">
        <v>1.54</v>
      </c>
      <c r="J79" s="64">
        <v>0.06</v>
      </c>
      <c r="K79" s="64">
        <v>314.83</v>
      </c>
      <c r="L79" s="64">
        <v>22.94</v>
      </c>
      <c r="M79" s="64">
        <v>42.4</v>
      </c>
      <c r="N79" s="64">
        <v>32.6</v>
      </c>
      <c r="O79" s="64">
        <v>0</v>
      </c>
      <c r="P79" s="64">
        <v>1.32</v>
      </c>
      <c r="Q79" s="64">
        <v>1.7</v>
      </c>
      <c r="R79" s="198"/>
      <c r="S79" s="198"/>
      <c r="T79" s="198"/>
      <c r="U79" s="198"/>
    </row>
    <row r="80" spans="1:21" s="12" customFormat="1" x14ac:dyDescent="0.25">
      <c r="A80" s="214" t="s">
        <v>2813</v>
      </c>
      <c r="B80" s="64">
        <v>25.29</v>
      </c>
      <c r="C80" s="64">
        <v>60.22</v>
      </c>
      <c r="D80" s="64">
        <v>54.81</v>
      </c>
      <c r="E80" s="64">
        <v>3.18</v>
      </c>
      <c r="F80" s="64">
        <v>1.91</v>
      </c>
      <c r="G80" s="64">
        <v>117.11</v>
      </c>
      <c r="H80" s="64">
        <v>47.61</v>
      </c>
      <c r="I80" s="64">
        <v>1.54</v>
      </c>
      <c r="J80" s="64">
        <v>0.05</v>
      </c>
      <c r="K80" s="64">
        <v>347.15</v>
      </c>
      <c r="L80" s="64">
        <v>22.22</v>
      </c>
      <c r="M80" s="64">
        <v>44.8</v>
      </c>
      <c r="N80" s="64">
        <v>32.1</v>
      </c>
      <c r="O80" s="64">
        <v>0</v>
      </c>
      <c r="P80" s="64">
        <v>1.57</v>
      </c>
      <c r="Q80" s="64">
        <v>2.44</v>
      </c>
      <c r="R80" s="198"/>
      <c r="S80" s="198"/>
      <c r="T80" s="198"/>
      <c r="U80" s="198"/>
    </row>
    <row r="81" spans="1:26" s="12" customFormat="1" x14ac:dyDescent="0.25">
      <c r="A81" s="214" t="s">
        <v>2814</v>
      </c>
      <c r="B81" s="64">
        <v>29.23</v>
      </c>
      <c r="C81" s="64">
        <v>68.59</v>
      </c>
      <c r="D81" s="64">
        <v>62.59</v>
      </c>
      <c r="E81" s="64">
        <v>3.28</v>
      </c>
      <c r="F81" s="64">
        <v>1.52</v>
      </c>
      <c r="G81" s="64">
        <v>117.11</v>
      </c>
      <c r="H81" s="64">
        <v>47.61</v>
      </c>
      <c r="I81" s="64">
        <v>1.48</v>
      </c>
      <c r="J81" s="64">
        <v>0.09</v>
      </c>
      <c r="K81" s="64">
        <v>60.48</v>
      </c>
      <c r="L81" s="64">
        <v>22.17</v>
      </c>
      <c r="M81" s="64">
        <v>43.42</v>
      </c>
      <c r="N81" s="64">
        <v>31.8</v>
      </c>
      <c r="O81" s="64">
        <v>0</v>
      </c>
      <c r="P81" s="64">
        <v>1.56</v>
      </c>
      <c r="Q81" s="64">
        <v>1.74</v>
      </c>
      <c r="R81" s="198"/>
      <c r="S81" s="198"/>
      <c r="T81" s="198"/>
      <c r="U81" s="198"/>
    </row>
    <row r="82" spans="1:26" s="12" customFormat="1" x14ac:dyDescent="0.25">
      <c r="A82" s="214" t="s">
        <v>2815</v>
      </c>
      <c r="B82" s="64">
        <v>22.53</v>
      </c>
      <c r="C82" s="64">
        <v>42.31</v>
      </c>
      <c r="D82" s="64">
        <v>42.71</v>
      </c>
      <c r="E82" s="64">
        <v>2.58</v>
      </c>
      <c r="F82" s="64">
        <v>1.28</v>
      </c>
      <c r="G82" s="64">
        <v>117.11</v>
      </c>
      <c r="H82" s="64">
        <v>47.61</v>
      </c>
      <c r="I82" s="64">
        <v>1.52</v>
      </c>
      <c r="J82" s="64">
        <v>0.11</v>
      </c>
      <c r="K82" s="64">
        <v>340.08</v>
      </c>
      <c r="L82" s="64">
        <v>21.82</v>
      </c>
      <c r="M82" s="64">
        <v>52.63</v>
      </c>
      <c r="N82" s="64">
        <v>32.1</v>
      </c>
      <c r="O82" s="64">
        <v>0</v>
      </c>
      <c r="P82" s="64">
        <v>1.46</v>
      </c>
      <c r="Q82" s="64">
        <v>2.91</v>
      </c>
      <c r="R82" s="198"/>
      <c r="S82" s="198"/>
      <c r="T82" s="198"/>
      <c r="U82" s="198"/>
    </row>
    <row r="83" spans="1:26" s="12" customFormat="1" x14ac:dyDescent="0.25">
      <c r="A83" s="214" t="s">
        <v>2816</v>
      </c>
      <c r="B83" s="64">
        <v>28.38</v>
      </c>
      <c r="C83" s="64">
        <v>51.25</v>
      </c>
      <c r="D83" s="64">
        <v>52.34</v>
      </c>
      <c r="E83" s="64">
        <v>2.4500000000000002</v>
      </c>
      <c r="F83" s="64">
        <v>0.55000000000000004</v>
      </c>
      <c r="G83" s="64">
        <v>137.4</v>
      </c>
      <c r="H83" s="64">
        <v>71.39</v>
      </c>
      <c r="I83" s="64">
        <v>1.56</v>
      </c>
      <c r="J83" s="64">
        <v>0.08</v>
      </c>
      <c r="K83" s="64">
        <v>133.13999999999999</v>
      </c>
      <c r="L83" s="64">
        <v>21.14</v>
      </c>
      <c r="M83" s="64">
        <v>50.62</v>
      </c>
      <c r="N83" s="64">
        <v>31.7</v>
      </c>
      <c r="O83" s="64">
        <v>0</v>
      </c>
      <c r="P83" s="64">
        <v>1.72</v>
      </c>
      <c r="Q83" s="64">
        <v>2.5499999999999998</v>
      </c>
      <c r="R83" s="198"/>
      <c r="S83" s="198"/>
      <c r="T83" s="198"/>
      <c r="U83" s="198"/>
    </row>
    <row r="84" spans="1:26" s="12" customFormat="1" x14ac:dyDescent="0.25">
      <c r="A84" s="214" t="s">
        <v>2817</v>
      </c>
      <c r="B84" s="64">
        <v>27.84</v>
      </c>
      <c r="C84" s="64">
        <v>54.54</v>
      </c>
      <c r="D84" s="64">
        <v>53.71</v>
      </c>
      <c r="E84" s="64">
        <v>2.04</v>
      </c>
      <c r="F84" s="64">
        <v>0.27</v>
      </c>
      <c r="G84" s="64">
        <v>156.80000000000001</v>
      </c>
      <c r="H84" s="64">
        <v>82.25</v>
      </c>
      <c r="I84" s="64">
        <v>1.53</v>
      </c>
      <c r="J84" s="64">
        <v>0.18</v>
      </c>
      <c r="K84" s="64">
        <v>150.4</v>
      </c>
      <c r="L84" s="64">
        <v>21.42</v>
      </c>
      <c r="M84" s="64">
        <v>50.34</v>
      </c>
      <c r="N84" s="64">
        <v>30.9</v>
      </c>
      <c r="O84" s="64">
        <v>0</v>
      </c>
      <c r="P84" s="64">
        <v>1.56</v>
      </c>
      <c r="Q84" s="64">
        <v>2.9</v>
      </c>
      <c r="R84" s="198"/>
      <c r="S84" s="198"/>
      <c r="T84" s="198"/>
      <c r="U84" s="198"/>
    </row>
    <row r="85" spans="1:26" s="12" customFormat="1" x14ac:dyDescent="0.25">
      <c r="A85" s="214" t="s">
        <v>2818</v>
      </c>
      <c r="B85" s="64">
        <v>33.01</v>
      </c>
      <c r="C85" s="64">
        <v>49.45</v>
      </c>
      <c r="D85" s="64">
        <v>55.06</v>
      </c>
      <c r="E85" s="64">
        <v>2.1800000000000002</v>
      </c>
      <c r="F85" s="64">
        <v>0.18</v>
      </c>
      <c r="G85" s="64">
        <v>156.80000000000001</v>
      </c>
      <c r="H85" s="64">
        <v>82.25</v>
      </c>
      <c r="I85" s="64">
        <v>1.46</v>
      </c>
      <c r="J85" s="64">
        <v>0.17</v>
      </c>
      <c r="K85" s="64">
        <v>333.83</v>
      </c>
      <c r="L85" s="64">
        <v>21.34</v>
      </c>
      <c r="M85" s="64">
        <v>56.36</v>
      </c>
      <c r="N85" s="64">
        <v>31.8</v>
      </c>
      <c r="O85" s="64">
        <v>0</v>
      </c>
      <c r="P85" s="64">
        <v>1.68</v>
      </c>
      <c r="Q85" s="64">
        <v>3.67</v>
      </c>
      <c r="R85" s="198"/>
      <c r="S85" s="198"/>
      <c r="T85" s="198"/>
      <c r="U85" s="198"/>
    </row>
    <row r="86" spans="1:26" s="12" customFormat="1" x14ac:dyDescent="0.25">
      <c r="A86" s="214" t="s">
        <v>2819</v>
      </c>
      <c r="B86" s="64">
        <v>27.78</v>
      </c>
      <c r="C86" s="64">
        <v>36.06</v>
      </c>
      <c r="D86" s="64">
        <v>43.47</v>
      </c>
      <c r="E86" s="64">
        <v>1.87</v>
      </c>
      <c r="F86" s="64">
        <v>0.22</v>
      </c>
      <c r="G86" s="64">
        <v>156.80000000000001</v>
      </c>
      <c r="H86" s="64">
        <v>82.25</v>
      </c>
      <c r="I86" s="64">
        <v>1.49</v>
      </c>
      <c r="J86" s="64">
        <v>0.08</v>
      </c>
      <c r="K86" s="64">
        <v>283.12</v>
      </c>
      <c r="L86" s="64">
        <v>20.67</v>
      </c>
      <c r="M86" s="64">
        <v>61.37</v>
      </c>
      <c r="N86" s="64">
        <v>32</v>
      </c>
      <c r="O86" s="64">
        <v>0</v>
      </c>
      <c r="P86" s="64">
        <v>1.6</v>
      </c>
      <c r="Q86" s="64">
        <v>4.74</v>
      </c>
      <c r="R86" s="198"/>
      <c r="S86" s="198"/>
      <c r="T86" s="198"/>
      <c r="U86" s="198"/>
    </row>
    <row r="87" spans="1:26" s="12" customFormat="1" x14ac:dyDescent="0.25">
      <c r="A87" s="214" t="s">
        <v>2820</v>
      </c>
      <c r="B87" s="64">
        <v>42.49</v>
      </c>
      <c r="C87" s="64">
        <v>42.16</v>
      </c>
      <c r="D87" s="64">
        <v>58.63</v>
      </c>
      <c r="E87" s="64">
        <v>2.09</v>
      </c>
      <c r="F87" s="64">
        <v>0.28999999999999998</v>
      </c>
      <c r="G87" s="64">
        <v>175.83</v>
      </c>
      <c r="H87" s="64">
        <v>81.03</v>
      </c>
      <c r="I87" s="64">
        <v>1.54</v>
      </c>
      <c r="J87" s="64">
        <v>0.06</v>
      </c>
      <c r="K87" s="64">
        <v>268.37</v>
      </c>
      <c r="L87" s="64">
        <v>20.21</v>
      </c>
      <c r="M87" s="64">
        <v>60.46</v>
      </c>
      <c r="N87" s="64">
        <v>31.8</v>
      </c>
      <c r="O87" s="64">
        <v>0</v>
      </c>
      <c r="P87" s="64">
        <v>1.94</v>
      </c>
      <c r="Q87" s="64">
        <v>4.32</v>
      </c>
      <c r="R87" s="198"/>
      <c r="S87" s="198"/>
      <c r="T87" s="198"/>
      <c r="U87" s="198"/>
    </row>
    <row r="88" spans="1:26" s="12" customFormat="1" x14ac:dyDescent="0.25">
      <c r="A88" s="214" t="s">
        <v>2821</v>
      </c>
      <c r="B88" s="64">
        <v>49.91</v>
      </c>
      <c r="C88" s="64">
        <v>46.29</v>
      </c>
      <c r="D88" s="64">
        <v>66.86</v>
      </c>
      <c r="E88" s="64">
        <v>1.51</v>
      </c>
      <c r="F88" s="64">
        <v>0.2</v>
      </c>
      <c r="G88" s="64">
        <v>193.24</v>
      </c>
      <c r="H88" s="64">
        <v>80.47</v>
      </c>
      <c r="I88" s="64">
        <v>1.53</v>
      </c>
      <c r="J88" s="64">
        <v>0.13</v>
      </c>
      <c r="K88" s="64">
        <v>112.04</v>
      </c>
      <c r="L88" s="64">
        <v>19.989999999999998</v>
      </c>
      <c r="M88" s="64">
        <v>60.89</v>
      </c>
      <c r="N88" s="64">
        <v>31.5</v>
      </c>
      <c r="O88" s="64">
        <v>0</v>
      </c>
      <c r="P88" s="64">
        <v>1.91</v>
      </c>
      <c r="Q88" s="64">
        <v>4.3600000000000003</v>
      </c>
      <c r="R88" s="198"/>
      <c r="S88" s="198"/>
      <c r="T88" s="198"/>
      <c r="U88" s="198"/>
    </row>
    <row r="89" spans="1:26" s="12" customFormat="1" x14ac:dyDescent="0.25">
      <c r="A89" s="214" t="s">
        <v>2822</v>
      </c>
      <c r="B89" s="64">
        <v>60.48</v>
      </c>
      <c r="C89" s="64">
        <v>54.19</v>
      </c>
      <c r="D89" s="64">
        <v>79.7</v>
      </c>
      <c r="E89" s="64">
        <v>2.4500000000000002</v>
      </c>
      <c r="F89" s="64">
        <v>0.28999999999999998</v>
      </c>
      <c r="G89" s="64">
        <v>193.24</v>
      </c>
      <c r="H89" s="64">
        <v>80.47</v>
      </c>
      <c r="I89" s="64">
        <v>1.45</v>
      </c>
      <c r="J89" s="64">
        <v>7.0000000000000007E-2</v>
      </c>
      <c r="K89" s="64">
        <v>155.62</v>
      </c>
      <c r="L89" s="64">
        <v>19.95</v>
      </c>
      <c r="M89" s="64">
        <v>59.65</v>
      </c>
      <c r="N89" s="64">
        <v>31.4</v>
      </c>
      <c r="O89" s="64">
        <v>0</v>
      </c>
      <c r="P89" s="64">
        <v>1.92</v>
      </c>
      <c r="Q89" s="64">
        <v>4.1399999999999997</v>
      </c>
      <c r="R89" s="198"/>
      <c r="S89" s="198"/>
      <c r="T89" s="198"/>
      <c r="U89" s="198"/>
    </row>
    <row r="90" spans="1:26" s="12" customFormat="1" x14ac:dyDescent="0.25">
      <c r="A90" s="214" t="s">
        <v>2823</v>
      </c>
      <c r="B90" s="64">
        <v>48.09</v>
      </c>
      <c r="C90" s="64">
        <v>53.24</v>
      </c>
      <c r="D90" s="64">
        <v>69.239999999999995</v>
      </c>
      <c r="E90" s="64">
        <v>2.44</v>
      </c>
      <c r="F90" s="64">
        <v>0.24</v>
      </c>
      <c r="G90" s="64">
        <v>193.24</v>
      </c>
      <c r="H90" s="64">
        <v>80.47</v>
      </c>
      <c r="I90" s="64">
        <v>1.47</v>
      </c>
      <c r="J90" s="64">
        <v>0.09</v>
      </c>
      <c r="K90" s="64">
        <v>151.26</v>
      </c>
      <c r="L90" s="64">
        <v>20.14</v>
      </c>
      <c r="M90" s="64">
        <v>56.26</v>
      </c>
      <c r="N90" s="64">
        <v>31.1</v>
      </c>
      <c r="O90" s="64">
        <v>0</v>
      </c>
      <c r="P90" s="64">
        <v>1.87</v>
      </c>
      <c r="Q90" s="64">
        <v>6.15</v>
      </c>
      <c r="R90" s="198"/>
      <c r="S90" s="198"/>
      <c r="T90" s="198"/>
      <c r="U90" s="198"/>
    </row>
    <row r="91" spans="1:26" s="12" customFormat="1" x14ac:dyDescent="0.25">
      <c r="A91" s="214" t="s">
        <v>2824</v>
      </c>
      <c r="B91" s="64">
        <v>52.6</v>
      </c>
      <c r="C91" s="64">
        <v>52.84</v>
      </c>
      <c r="D91" s="64">
        <v>72.64</v>
      </c>
      <c r="E91" s="64">
        <v>2.12</v>
      </c>
      <c r="F91" s="64">
        <v>0.25</v>
      </c>
      <c r="G91" s="64">
        <v>197.82</v>
      </c>
      <c r="H91" s="64">
        <v>91.21</v>
      </c>
      <c r="I91" s="64">
        <v>1.44</v>
      </c>
      <c r="J91" s="64">
        <v>0.06</v>
      </c>
      <c r="K91" s="64">
        <v>251.37</v>
      </c>
      <c r="L91" s="64">
        <v>20.32</v>
      </c>
      <c r="M91" s="64">
        <v>55.12</v>
      </c>
      <c r="N91" s="64">
        <v>31.5</v>
      </c>
      <c r="O91" s="64">
        <v>0</v>
      </c>
      <c r="P91" s="64">
        <v>1.87</v>
      </c>
      <c r="Q91" s="64">
        <v>6.44</v>
      </c>
      <c r="R91" s="198"/>
      <c r="S91" s="198"/>
      <c r="T91" s="198"/>
      <c r="U91" s="198"/>
    </row>
    <row r="92" spans="1:26" s="12" customFormat="1" x14ac:dyDescent="0.25">
      <c r="A92" s="214" t="s">
        <v>2825</v>
      </c>
      <c r="B92" s="64">
        <v>51.43</v>
      </c>
      <c r="C92" s="64">
        <v>33.32</v>
      </c>
      <c r="D92" s="64">
        <v>60.92</v>
      </c>
      <c r="E92" s="64">
        <v>2.09</v>
      </c>
      <c r="F92" s="64">
        <v>0.06</v>
      </c>
      <c r="G92" s="64">
        <v>202.02</v>
      </c>
      <c r="H92" s="64">
        <v>95.88</v>
      </c>
      <c r="I92" s="64">
        <v>1.45</v>
      </c>
      <c r="J92" s="64">
        <v>7.0000000000000007E-2</v>
      </c>
      <c r="K92" s="64">
        <v>281.42</v>
      </c>
      <c r="L92" s="64">
        <v>19.87</v>
      </c>
      <c r="M92" s="64">
        <v>62.89</v>
      </c>
      <c r="N92" s="64">
        <v>32</v>
      </c>
      <c r="O92" s="64">
        <v>0</v>
      </c>
      <c r="P92" s="64">
        <v>1.87</v>
      </c>
      <c r="Q92" s="64">
        <v>6.32</v>
      </c>
      <c r="R92" s="198"/>
      <c r="S92" s="198"/>
      <c r="T92" s="198"/>
      <c r="U92" s="198"/>
    </row>
    <row r="93" spans="1:26" s="12" customFormat="1" x14ac:dyDescent="0.25">
      <c r="A93" s="214" t="s">
        <v>2826</v>
      </c>
      <c r="B93" s="64">
        <v>56.01</v>
      </c>
      <c r="C93" s="64">
        <v>41.1</v>
      </c>
      <c r="D93" s="64">
        <v>68.89</v>
      </c>
      <c r="E93" s="64">
        <v>1.81</v>
      </c>
      <c r="F93" s="64">
        <v>0.1</v>
      </c>
      <c r="G93" s="64">
        <v>202.02</v>
      </c>
      <c r="H93" s="64">
        <v>95.88</v>
      </c>
      <c r="I93" s="64">
        <v>1.55</v>
      </c>
      <c r="J93" s="64">
        <v>0.04</v>
      </c>
      <c r="K93" s="64">
        <v>200</v>
      </c>
      <c r="L93" s="64">
        <v>19.48</v>
      </c>
      <c r="M93" s="64">
        <v>62.39</v>
      </c>
      <c r="N93" s="64">
        <v>31.5</v>
      </c>
      <c r="O93" s="64">
        <v>0</v>
      </c>
      <c r="P93" s="212" t="s">
        <v>42</v>
      </c>
      <c r="Q93" s="64">
        <v>8.4700000000000006</v>
      </c>
      <c r="R93" s="198"/>
      <c r="S93" s="198"/>
      <c r="T93" s="198"/>
      <c r="U93" s="198"/>
    </row>
    <row r="94" spans="1:26" s="12" customFormat="1" x14ac:dyDescent="0.25">
      <c r="A94" s="214" t="s">
        <v>2827</v>
      </c>
      <c r="B94" s="64">
        <v>65</v>
      </c>
      <c r="C94" s="64">
        <v>43.62</v>
      </c>
      <c r="D94" s="64">
        <v>77.489999999999995</v>
      </c>
      <c r="E94" s="64">
        <v>1.67</v>
      </c>
      <c r="F94" s="64">
        <v>0.06</v>
      </c>
      <c r="G94" s="64">
        <v>202.02</v>
      </c>
      <c r="H94" s="64">
        <v>95.88</v>
      </c>
      <c r="I94" s="64">
        <v>1.55</v>
      </c>
      <c r="J94" s="64">
        <v>0.13</v>
      </c>
      <c r="K94" s="64">
        <v>307.47000000000003</v>
      </c>
      <c r="L94" s="64">
        <v>19.75</v>
      </c>
      <c r="M94" s="64">
        <v>65.849999999999994</v>
      </c>
      <c r="N94" s="64">
        <v>31.2</v>
      </c>
      <c r="O94" s="64">
        <v>0</v>
      </c>
      <c r="P94" s="212" t="s">
        <v>42</v>
      </c>
      <c r="Q94" s="64">
        <v>7.8</v>
      </c>
      <c r="R94" s="198"/>
      <c r="S94" s="198"/>
      <c r="T94" s="198"/>
      <c r="U94" s="198"/>
    </row>
    <row r="95" spans="1:26" s="12" customFormat="1" x14ac:dyDescent="0.25">
      <c r="A95" s="214" t="s">
        <v>2828</v>
      </c>
      <c r="B95" s="64">
        <v>64.41</v>
      </c>
      <c r="C95" s="64">
        <v>42.14</v>
      </c>
      <c r="D95" s="64">
        <v>76.2</v>
      </c>
      <c r="E95" s="64">
        <v>1.78</v>
      </c>
      <c r="F95" s="64">
        <v>0.19</v>
      </c>
      <c r="G95" s="64">
        <v>215.4</v>
      </c>
      <c r="H95" s="64">
        <v>80.73</v>
      </c>
      <c r="I95" s="64">
        <v>1.5</v>
      </c>
      <c r="J95" s="64">
        <v>0.23</v>
      </c>
      <c r="K95" s="64">
        <v>335.14</v>
      </c>
      <c r="L95" s="64">
        <v>19.809999999999999</v>
      </c>
      <c r="M95" s="64">
        <v>67.14</v>
      </c>
      <c r="N95" s="64">
        <v>31.2</v>
      </c>
      <c r="O95" s="64">
        <v>0</v>
      </c>
      <c r="P95" s="212" t="s">
        <v>42</v>
      </c>
      <c r="Q95" s="64">
        <v>8.48</v>
      </c>
      <c r="R95" s="198"/>
      <c r="S95" s="198"/>
      <c r="T95" s="198"/>
      <c r="U95" s="198"/>
    </row>
    <row r="96" spans="1:26" s="12" customFormat="1" x14ac:dyDescent="0.25">
      <c r="A96" s="214" t="s">
        <v>2829</v>
      </c>
      <c r="B96" s="64">
        <v>63.49</v>
      </c>
      <c r="C96" s="64">
        <v>35.61</v>
      </c>
      <c r="D96" s="64">
        <v>71.86</v>
      </c>
      <c r="E96" s="64">
        <v>1.75</v>
      </c>
      <c r="F96" s="64">
        <v>0.11</v>
      </c>
      <c r="G96" s="64">
        <v>227.64</v>
      </c>
      <c r="H96" s="64">
        <v>74.150000000000006</v>
      </c>
      <c r="I96" s="64">
        <v>1.46</v>
      </c>
      <c r="J96" s="64">
        <v>0.14000000000000001</v>
      </c>
      <c r="K96" s="64">
        <v>296.38</v>
      </c>
      <c r="L96" s="64">
        <v>19.29</v>
      </c>
      <c r="M96" s="64">
        <v>70.23</v>
      </c>
      <c r="N96" s="64">
        <v>31.8</v>
      </c>
      <c r="O96" s="64">
        <v>0</v>
      </c>
      <c r="P96" s="212" t="s">
        <v>42</v>
      </c>
      <c r="Q96" s="64">
        <v>9.6199999999999992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2830</v>
      </c>
      <c r="B97" s="64">
        <v>63.16</v>
      </c>
      <c r="C97" s="64">
        <v>34.18</v>
      </c>
      <c r="D97" s="64">
        <v>70.8</v>
      </c>
      <c r="E97" s="64">
        <v>1.53</v>
      </c>
      <c r="F97" s="6" t="s">
        <v>42</v>
      </c>
      <c r="G97" s="64">
        <v>227.64</v>
      </c>
      <c r="H97" s="64">
        <v>74.150000000000006</v>
      </c>
      <c r="I97" s="64">
        <v>1.45</v>
      </c>
      <c r="J97" s="64">
        <v>0.1</v>
      </c>
      <c r="K97" s="64">
        <v>278.5</v>
      </c>
      <c r="L97" s="64">
        <v>19.03</v>
      </c>
      <c r="M97" s="64">
        <v>67.5</v>
      </c>
      <c r="N97" s="64">
        <v>31.8</v>
      </c>
      <c r="O97" s="64">
        <v>0</v>
      </c>
      <c r="P97" s="212" t="s">
        <v>42</v>
      </c>
      <c r="Q97" s="64">
        <v>10.130000000000001</v>
      </c>
      <c r="R97" s="198"/>
      <c r="S97" s="198"/>
      <c r="T97" s="198"/>
      <c r="U97" s="198"/>
    </row>
    <row r="98" spans="1:33" s="12" customFormat="1" x14ac:dyDescent="0.25">
      <c r="A98" s="214" t="s">
        <v>2831</v>
      </c>
      <c r="B98" s="64">
        <v>65.09</v>
      </c>
      <c r="C98" s="64">
        <v>36.46</v>
      </c>
      <c r="D98" s="64">
        <v>73.61</v>
      </c>
      <c r="E98" s="64">
        <v>1.76</v>
      </c>
      <c r="F98" s="64">
        <v>0.08</v>
      </c>
      <c r="G98" s="64">
        <v>227.64</v>
      </c>
      <c r="H98" s="64">
        <v>74.150000000000006</v>
      </c>
      <c r="I98" s="64">
        <v>1.46</v>
      </c>
      <c r="J98" s="64">
        <v>0.09</v>
      </c>
      <c r="K98" s="64">
        <v>269.13</v>
      </c>
      <c r="L98" s="64">
        <v>18.97</v>
      </c>
      <c r="M98" s="64">
        <v>66.66</v>
      </c>
      <c r="N98" s="64">
        <v>31.5</v>
      </c>
      <c r="O98" s="64">
        <v>0</v>
      </c>
      <c r="P98" s="212" t="s">
        <v>42</v>
      </c>
      <c r="Q98" s="64">
        <v>10.14</v>
      </c>
      <c r="R98" s="198"/>
      <c r="S98" s="198"/>
      <c r="T98" s="198"/>
      <c r="U98" s="198"/>
    </row>
    <row r="99" spans="1:33" s="12" customFormat="1" x14ac:dyDescent="0.25">
      <c r="A99" s="214" t="s">
        <v>2832</v>
      </c>
      <c r="B99" s="64">
        <v>63.87</v>
      </c>
      <c r="C99" s="64">
        <v>34.78</v>
      </c>
      <c r="D99" s="64">
        <v>71.7</v>
      </c>
      <c r="E99" s="64">
        <v>1.83</v>
      </c>
      <c r="F99" s="64">
        <v>0.01</v>
      </c>
      <c r="G99" s="64">
        <v>217.35</v>
      </c>
      <c r="H99" s="64">
        <v>73.75</v>
      </c>
      <c r="I99" s="64">
        <v>1.51</v>
      </c>
      <c r="J99" s="64">
        <v>0.18</v>
      </c>
      <c r="K99" s="64">
        <v>305.98</v>
      </c>
      <c r="L99" s="64">
        <v>19.27</v>
      </c>
      <c r="M99" s="64">
        <v>68.12</v>
      </c>
      <c r="N99" s="64">
        <v>31.1</v>
      </c>
      <c r="O99" s="64">
        <v>0</v>
      </c>
      <c r="P99" s="212" t="s">
        <v>42</v>
      </c>
      <c r="Q99" s="64">
        <v>10.23</v>
      </c>
      <c r="R99" s="198"/>
      <c r="S99" s="198"/>
      <c r="T99" s="198"/>
      <c r="U99" s="198"/>
    </row>
    <row r="100" spans="1:33" s="12" customFormat="1" x14ac:dyDescent="0.25">
      <c r="A100" s="214" t="s">
        <v>2833</v>
      </c>
      <c r="B100" s="64">
        <v>63.58</v>
      </c>
      <c r="C100" s="64">
        <v>46.83</v>
      </c>
      <c r="D100" s="64">
        <v>78.12</v>
      </c>
      <c r="E100" s="64">
        <v>1.77</v>
      </c>
      <c r="F100" s="64">
        <v>0.05</v>
      </c>
      <c r="G100" s="64">
        <v>207.94</v>
      </c>
      <c r="H100" s="64">
        <v>73.58</v>
      </c>
      <c r="I100" s="64">
        <v>1.49</v>
      </c>
      <c r="J100" s="64">
        <v>0.19</v>
      </c>
      <c r="K100" s="64">
        <v>321.85000000000002</v>
      </c>
      <c r="L100" s="64">
        <v>19.02</v>
      </c>
      <c r="M100" s="64">
        <v>73.069999999999993</v>
      </c>
      <c r="N100" s="64">
        <v>31.6</v>
      </c>
      <c r="O100" s="64">
        <v>0</v>
      </c>
      <c r="P100" s="212" t="s">
        <v>42</v>
      </c>
      <c r="Q100" s="64">
        <v>10.07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2834</v>
      </c>
      <c r="B101" s="64">
        <v>59.15</v>
      </c>
      <c r="C101" s="64">
        <v>49.08</v>
      </c>
      <c r="D101" s="64">
        <v>75.81</v>
      </c>
      <c r="E101" s="64">
        <v>1.87</v>
      </c>
      <c r="F101" s="64">
        <v>0.25</v>
      </c>
      <c r="G101" s="64">
        <v>207.94</v>
      </c>
      <c r="H101" s="64">
        <v>73.58</v>
      </c>
      <c r="I101" s="64">
        <v>1.56</v>
      </c>
      <c r="J101" s="64">
        <v>0.12</v>
      </c>
      <c r="K101" s="64">
        <v>294.32</v>
      </c>
      <c r="L101" s="64">
        <v>18.72</v>
      </c>
      <c r="M101" s="64">
        <v>68.760000000000005</v>
      </c>
      <c r="N101" s="64">
        <v>31.6</v>
      </c>
      <c r="O101" s="64">
        <v>0</v>
      </c>
      <c r="P101" s="212" t="s">
        <v>42</v>
      </c>
      <c r="Q101" s="64">
        <v>10.15</v>
      </c>
      <c r="R101" s="198"/>
      <c r="S101" s="198"/>
      <c r="T101" s="198"/>
      <c r="U101" s="198"/>
    </row>
    <row r="102" spans="1:33" s="12" customFormat="1" x14ac:dyDescent="0.25">
      <c r="A102" s="214" t="s">
        <v>2835</v>
      </c>
      <c r="B102" s="64">
        <v>61.55</v>
      </c>
      <c r="C102" s="64">
        <v>40.26</v>
      </c>
      <c r="D102" s="64">
        <v>72.87</v>
      </c>
      <c r="E102" s="64">
        <v>1.84</v>
      </c>
      <c r="F102" s="64">
        <v>0.38</v>
      </c>
      <c r="G102" s="64">
        <v>207.94</v>
      </c>
      <c r="H102" s="64">
        <v>73.58</v>
      </c>
      <c r="I102" s="64">
        <v>1.57</v>
      </c>
      <c r="J102" s="64">
        <v>0.16</v>
      </c>
      <c r="K102" s="64">
        <v>296.38</v>
      </c>
      <c r="L102" s="64">
        <v>18.62</v>
      </c>
      <c r="M102" s="64">
        <v>67.64</v>
      </c>
      <c r="N102" s="64">
        <v>31.7</v>
      </c>
      <c r="O102" s="64">
        <v>0</v>
      </c>
      <c r="P102" s="212" t="s">
        <v>42</v>
      </c>
      <c r="Q102" s="64">
        <v>10.35</v>
      </c>
      <c r="R102" s="198"/>
      <c r="S102" s="198"/>
      <c r="T102" s="198"/>
      <c r="U102" s="198"/>
    </row>
    <row r="103" spans="1:33" s="12" customFormat="1" x14ac:dyDescent="0.25">
      <c r="A103" s="214" t="s">
        <v>2836</v>
      </c>
      <c r="B103" s="64">
        <v>63.09</v>
      </c>
      <c r="C103" s="64">
        <v>37.83</v>
      </c>
      <c r="D103" s="64">
        <v>72.760000000000005</v>
      </c>
      <c r="E103" s="64">
        <v>1.88</v>
      </c>
      <c r="F103" s="64">
        <v>0.38</v>
      </c>
      <c r="G103" s="64">
        <v>203.82</v>
      </c>
      <c r="H103" s="64">
        <v>84.39</v>
      </c>
      <c r="I103" s="64">
        <v>1.54</v>
      </c>
      <c r="J103" s="64">
        <v>0.12</v>
      </c>
      <c r="K103" s="64">
        <v>292.27</v>
      </c>
      <c r="L103" s="64">
        <v>18.260000000000002</v>
      </c>
      <c r="M103" s="64">
        <v>69.53</v>
      </c>
      <c r="N103" s="64">
        <v>31.8</v>
      </c>
      <c r="O103" s="64">
        <v>0</v>
      </c>
      <c r="P103" s="212" t="s">
        <v>42</v>
      </c>
      <c r="Q103" s="64">
        <v>10.33</v>
      </c>
      <c r="R103" s="198"/>
      <c r="S103" s="198"/>
      <c r="T103" s="198"/>
      <c r="U103" s="198"/>
    </row>
    <row r="104" spans="1:33" s="12" customFormat="1" x14ac:dyDescent="0.25">
      <c r="A104" s="214" t="s">
        <v>2837</v>
      </c>
      <c r="B104" s="64">
        <v>63.27</v>
      </c>
      <c r="C104" s="64">
        <v>33.5</v>
      </c>
      <c r="D104" s="64">
        <v>70.510000000000005</v>
      </c>
      <c r="E104" s="64">
        <v>0.99</v>
      </c>
      <c r="F104" s="64">
        <v>7.0000000000000007E-2</v>
      </c>
      <c r="G104" s="64">
        <v>200.05</v>
      </c>
      <c r="H104" s="64">
        <v>94.25</v>
      </c>
      <c r="I104" s="64">
        <v>1.46</v>
      </c>
      <c r="J104" s="64">
        <v>0.08</v>
      </c>
      <c r="K104" s="64">
        <v>270.26</v>
      </c>
      <c r="L104" s="64">
        <v>18</v>
      </c>
      <c r="M104" s="64">
        <v>68.05</v>
      </c>
      <c r="N104" s="64">
        <v>31.7</v>
      </c>
      <c r="O104" s="64">
        <v>0</v>
      </c>
      <c r="P104" s="212" t="s">
        <v>42</v>
      </c>
      <c r="Q104" s="64">
        <v>10.35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3.3</v>
      </c>
      <c r="C106" s="67">
        <f>MIN(C9:C104)</f>
        <v>22.45</v>
      </c>
      <c r="D106" s="67">
        <f t="shared" ref="D106:Q106" si="0">MIN(D9:D104)</f>
        <v>16.87</v>
      </c>
      <c r="E106" s="67">
        <f t="shared" si="0"/>
        <v>0.62</v>
      </c>
      <c r="F106" s="67">
        <f t="shared" si="0"/>
        <v>0.01</v>
      </c>
      <c r="G106" s="67">
        <f t="shared" si="0"/>
        <v>53.2</v>
      </c>
      <c r="H106" s="67">
        <f t="shared" si="0"/>
        <v>24.55</v>
      </c>
      <c r="I106" s="67">
        <f t="shared" si="0"/>
        <v>1.43</v>
      </c>
      <c r="J106" s="67">
        <f t="shared" si="0"/>
        <v>0</v>
      </c>
      <c r="K106" s="67">
        <f t="shared" si="0"/>
        <v>8.81</v>
      </c>
      <c r="L106" s="67">
        <f t="shared" si="0"/>
        <v>16.12</v>
      </c>
      <c r="M106" s="67">
        <f t="shared" si="0"/>
        <v>24.64</v>
      </c>
      <c r="N106" s="67">
        <f t="shared" si="0"/>
        <v>26.3</v>
      </c>
      <c r="O106" s="67">
        <f t="shared" si="0"/>
        <v>0</v>
      </c>
      <c r="P106" s="67">
        <f t="shared" si="0"/>
        <v>0.74</v>
      </c>
      <c r="Q106" s="67">
        <f t="shared" si="0"/>
        <v>1.7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65.09</v>
      </c>
      <c r="C107" s="66">
        <f t="shared" ref="C107:Q107" si="1">MAX(C9:C104)</f>
        <v>68.59</v>
      </c>
      <c r="D107" s="66">
        <f t="shared" si="1"/>
        <v>79.7</v>
      </c>
      <c r="E107" s="66">
        <f t="shared" si="1"/>
        <v>4.04</v>
      </c>
      <c r="F107" s="66">
        <f t="shared" si="1"/>
        <v>11.2</v>
      </c>
      <c r="G107" s="66">
        <f t="shared" si="1"/>
        <v>227.64</v>
      </c>
      <c r="H107" s="66">
        <f t="shared" si="1"/>
        <v>95.88</v>
      </c>
      <c r="I107" s="66">
        <f t="shared" si="1"/>
        <v>1.6</v>
      </c>
      <c r="J107" s="66">
        <f t="shared" si="1"/>
        <v>1.61</v>
      </c>
      <c r="K107" s="66">
        <f t="shared" si="1"/>
        <v>351.84</v>
      </c>
      <c r="L107" s="66">
        <f t="shared" si="1"/>
        <v>30.34</v>
      </c>
      <c r="M107" s="66">
        <f t="shared" si="1"/>
        <v>95.81</v>
      </c>
      <c r="N107" s="66">
        <f t="shared" si="1"/>
        <v>749.8</v>
      </c>
      <c r="O107" s="66">
        <f t="shared" si="1"/>
        <v>0</v>
      </c>
      <c r="P107" s="66">
        <f t="shared" si="1"/>
        <v>1.94</v>
      </c>
      <c r="Q107" s="66">
        <f t="shared" si="1"/>
        <v>10.55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29.714062500000001</v>
      </c>
      <c r="C108" s="67">
        <f t="shared" ref="C108:Q108" si="2">AVERAGE(C9:C104)</f>
        <v>33.072187499999991</v>
      </c>
      <c r="D108" s="67">
        <f t="shared" si="2"/>
        <v>43.372395833333321</v>
      </c>
      <c r="E108" s="67">
        <f t="shared" si="2"/>
        <v>1.6583333333333332</v>
      </c>
      <c r="F108" s="67">
        <f t="shared" si="2"/>
        <v>2.0070212765957445</v>
      </c>
      <c r="G108" s="67">
        <f t="shared" si="2"/>
        <v>117.16447916666664</v>
      </c>
      <c r="H108" s="67">
        <f t="shared" si="2"/>
        <v>58.253125000000011</v>
      </c>
      <c r="I108" s="67">
        <f t="shared" si="2"/>
        <v>1.5051041666666674</v>
      </c>
      <c r="J108" s="67">
        <f t="shared" si="2"/>
        <v>0.29364583333333338</v>
      </c>
      <c r="K108" s="67">
        <f t="shared" si="2"/>
        <v>216.34187499999999</v>
      </c>
      <c r="L108" s="67">
        <f t="shared" si="2"/>
        <v>21.919687500000006</v>
      </c>
      <c r="M108" s="67">
        <f t="shared" si="2"/>
        <v>58.514791666666667</v>
      </c>
      <c r="N108" s="67">
        <f t="shared" si="2"/>
        <v>205.25416666666661</v>
      </c>
      <c r="O108" s="67">
        <f t="shared" si="2"/>
        <v>0</v>
      </c>
      <c r="P108" s="67">
        <f t="shared" si="2"/>
        <v>1.1811904761904761</v>
      </c>
      <c r="Q108" s="67">
        <f t="shared" si="2"/>
        <v>6.7200000000000051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20.807908596600317</v>
      </c>
      <c r="C109" s="67">
        <f t="shared" ref="C109:Q109" si="3">STDEV(C9:C104)</f>
        <v>10.394691682030539</v>
      </c>
      <c r="D109" s="67">
        <f t="shared" si="3"/>
        <v>19.288960995990024</v>
      </c>
      <c r="E109" s="67">
        <f t="shared" si="3"/>
        <v>0.63144557071210117</v>
      </c>
      <c r="F109" s="67">
        <f t="shared" si="3"/>
        <v>2.9577475554369035</v>
      </c>
      <c r="G109" s="67">
        <f t="shared" si="3"/>
        <v>48.820371952911415</v>
      </c>
      <c r="H109" s="67">
        <f t="shared" si="3"/>
        <v>16.270752728196179</v>
      </c>
      <c r="I109" s="67">
        <f t="shared" si="3"/>
        <v>3.9014026942186024E-2</v>
      </c>
      <c r="J109" s="67">
        <f t="shared" si="3"/>
        <v>0.29607651852952011</v>
      </c>
      <c r="K109" s="67">
        <f t="shared" si="3"/>
        <v>100.82950460332843</v>
      </c>
      <c r="L109" s="67">
        <f t="shared" si="3"/>
        <v>4.5000031469287141</v>
      </c>
      <c r="M109" s="67">
        <f t="shared" si="3"/>
        <v>23.164597352046854</v>
      </c>
      <c r="N109" s="67">
        <f t="shared" si="3"/>
        <v>262.11270372902652</v>
      </c>
      <c r="O109" s="67">
        <f t="shared" si="3"/>
        <v>0</v>
      </c>
      <c r="P109" s="67">
        <f t="shared" si="3"/>
        <v>0.37487477350685983</v>
      </c>
      <c r="Q109" s="67">
        <f t="shared" si="3"/>
        <v>2.2795110278995629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COUNT(F9:F104)+2</f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>COUNT(P9:P104)+12</f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4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71" sqref="A7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2838</v>
      </c>
      <c r="B9" s="64">
        <v>61.58</v>
      </c>
      <c r="C9" s="64">
        <v>31.42</v>
      </c>
      <c r="D9" s="64">
        <v>68.010000000000005</v>
      </c>
      <c r="E9" s="64">
        <v>1.31</v>
      </c>
      <c r="F9" s="64">
        <v>0.25</v>
      </c>
      <c r="G9" s="64">
        <v>200.05</v>
      </c>
      <c r="H9" s="64">
        <v>94.25</v>
      </c>
      <c r="I9" s="64">
        <v>1.44</v>
      </c>
      <c r="J9" s="64">
        <v>0.17</v>
      </c>
      <c r="K9" s="64">
        <v>229.67</v>
      </c>
      <c r="L9" s="64">
        <v>18.18</v>
      </c>
      <c r="M9" s="64">
        <v>72.819999999999993</v>
      </c>
      <c r="N9" s="64">
        <v>31.3</v>
      </c>
      <c r="O9" s="64">
        <v>0</v>
      </c>
      <c r="P9" s="64">
        <v>2.04</v>
      </c>
      <c r="Q9" s="64">
        <v>10.27</v>
      </c>
      <c r="R9" s="198"/>
      <c r="S9" s="198"/>
      <c r="T9" s="198"/>
      <c r="U9" s="198"/>
    </row>
    <row r="10" spans="1:21" s="12" customFormat="1" x14ac:dyDescent="0.25">
      <c r="A10" s="214" t="s">
        <v>2839</v>
      </c>
      <c r="B10" s="64">
        <v>59.51</v>
      </c>
      <c r="C10" s="64">
        <v>31.78</v>
      </c>
      <c r="D10" s="64">
        <v>66.55</v>
      </c>
      <c r="E10" s="64">
        <v>1.35</v>
      </c>
      <c r="F10" s="64">
        <v>0.03</v>
      </c>
      <c r="G10" s="64">
        <v>200.05</v>
      </c>
      <c r="H10" s="64">
        <v>94.25</v>
      </c>
      <c r="I10" s="64">
        <v>1.58</v>
      </c>
      <c r="J10" s="64">
        <v>0.11</v>
      </c>
      <c r="K10" s="64">
        <v>290.08999999999997</v>
      </c>
      <c r="L10" s="64">
        <v>18.059999999999999</v>
      </c>
      <c r="M10" s="64">
        <v>75.819999999999993</v>
      </c>
      <c r="N10" s="64">
        <v>31.9</v>
      </c>
      <c r="O10" s="64">
        <v>0</v>
      </c>
      <c r="P10" s="64">
        <v>2</v>
      </c>
      <c r="Q10" s="64">
        <v>10.06</v>
      </c>
      <c r="R10" s="198"/>
      <c r="S10" s="198"/>
      <c r="T10" s="198"/>
      <c r="U10" s="198"/>
    </row>
    <row r="11" spans="1:21" s="12" customFormat="1" x14ac:dyDescent="0.25">
      <c r="A11" s="214" t="s">
        <v>2840</v>
      </c>
      <c r="B11" s="64">
        <v>57.64</v>
      </c>
      <c r="C11" s="64">
        <v>29.72</v>
      </c>
      <c r="D11" s="64">
        <v>63.92</v>
      </c>
      <c r="E11" s="64">
        <v>1.18</v>
      </c>
      <c r="F11" s="64">
        <v>0.14000000000000001</v>
      </c>
      <c r="G11" s="64">
        <v>173.72</v>
      </c>
      <c r="H11" s="64">
        <v>67.319999999999993</v>
      </c>
      <c r="I11" s="64">
        <v>1.47</v>
      </c>
      <c r="J11" s="64">
        <v>0.08</v>
      </c>
      <c r="K11" s="64">
        <v>237.8</v>
      </c>
      <c r="L11" s="64">
        <v>17.89</v>
      </c>
      <c r="M11" s="64">
        <v>77.239999999999995</v>
      </c>
      <c r="N11" s="64">
        <v>31.6</v>
      </c>
      <c r="O11" s="64">
        <v>0</v>
      </c>
      <c r="P11" s="64">
        <v>1.97</v>
      </c>
      <c r="Q11" s="64">
        <v>9.89</v>
      </c>
      <c r="R11" s="198"/>
      <c r="S11" s="198"/>
      <c r="T11" s="198"/>
      <c r="U11" s="198"/>
    </row>
    <row r="12" spans="1:21" s="12" customFormat="1" x14ac:dyDescent="0.25">
      <c r="A12" s="214" t="s">
        <v>2841</v>
      </c>
      <c r="B12" s="64">
        <v>55.58</v>
      </c>
      <c r="C12" s="64">
        <v>29.69</v>
      </c>
      <c r="D12" s="64">
        <v>62.25</v>
      </c>
      <c r="E12" s="64">
        <v>1.1399999999999999</v>
      </c>
      <c r="F12" s="64">
        <v>7.0000000000000007E-2</v>
      </c>
      <c r="G12" s="64">
        <v>149.63</v>
      </c>
      <c r="H12" s="64">
        <v>55.61</v>
      </c>
      <c r="I12" s="64">
        <v>1.46</v>
      </c>
      <c r="J12" s="64">
        <v>0.06</v>
      </c>
      <c r="K12" s="64">
        <v>292.33999999999997</v>
      </c>
      <c r="L12" s="64">
        <v>17.63</v>
      </c>
      <c r="M12" s="64">
        <v>79.78</v>
      </c>
      <c r="N12" s="64">
        <v>31.9</v>
      </c>
      <c r="O12" s="64">
        <v>0</v>
      </c>
      <c r="P12" s="64">
        <v>1.93</v>
      </c>
      <c r="Q12" s="64">
        <v>9.73</v>
      </c>
      <c r="R12" s="198"/>
      <c r="S12" s="198"/>
      <c r="T12" s="198"/>
      <c r="U12" s="198"/>
    </row>
    <row r="13" spans="1:21" s="12" customFormat="1" x14ac:dyDescent="0.25">
      <c r="A13" s="214" t="s">
        <v>2842</v>
      </c>
      <c r="B13" s="64">
        <v>53.55</v>
      </c>
      <c r="C13" s="64">
        <v>28.38</v>
      </c>
      <c r="D13" s="64">
        <v>59.9</v>
      </c>
      <c r="E13" s="64">
        <v>1.49</v>
      </c>
      <c r="F13" s="64">
        <v>0.12</v>
      </c>
      <c r="G13" s="64">
        <v>149.63</v>
      </c>
      <c r="H13" s="64">
        <v>55.61</v>
      </c>
      <c r="I13" s="64">
        <v>1.56</v>
      </c>
      <c r="J13" s="64">
        <v>0.04</v>
      </c>
      <c r="K13" s="64">
        <v>183.99</v>
      </c>
      <c r="L13" s="64">
        <v>17.600000000000001</v>
      </c>
      <c r="M13" s="64">
        <v>79.069999999999993</v>
      </c>
      <c r="N13" s="64">
        <v>31.2</v>
      </c>
      <c r="O13" s="64">
        <v>0</v>
      </c>
      <c r="P13" s="64">
        <v>1.71</v>
      </c>
      <c r="Q13" s="64">
        <v>9.56</v>
      </c>
      <c r="R13" s="198"/>
      <c r="S13" s="198"/>
      <c r="T13" s="198"/>
      <c r="U13" s="198"/>
    </row>
    <row r="14" spans="1:21" s="12" customFormat="1" x14ac:dyDescent="0.25">
      <c r="A14" s="214" t="s">
        <v>2843</v>
      </c>
      <c r="B14" s="64">
        <v>51.32</v>
      </c>
      <c r="C14" s="64">
        <v>27.24</v>
      </c>
      <c r="D14" s="64">
        <v>57.48</v>
      </c>
      <c r="E14" s="64">
        <v>1.31</v>
      </c>
      <c r="F14" s="64">
        <v>0.08</v>
      </c>
      <c r="G14" s="64">
        <v>149.63</v>
      </c>
      <c r="H14" s="64">
        <v>55.61</v>
      </c>
      <c r="I14" s="64">
        <v>1.56</v>
      </c>
      <c r="J14" s="64">
        <v>7.0000000000000007E-2</v>
      </c>
      <c r="K14" s="64">
        <v>252.73</v>
      </c>
      <c r="L14" s="64">
        <v>17.399999999999999</v>
      </c>
      <c r="M14" s="64">
        <v>80.08</v>
      </c>
      <c r="N14" s="64">
        <v>31.7</v>
      </c>
      <c r="O14" s="64">
        <v>0</v>
      </c>
      <c r="P14" s="64">
        <v>1.77</v>
      </c>
      <c r="Q14" s="64">
        <v>9.34</v>
      </c>
      <c r="R14" s="198"/>
      <c r="S14" s="198"/>
      <c r="T14" s="198"/>
      <c r="U14" s="198"/>
    </row>
    <row r="15" spans="1:21" s="12" customFormat="1" x14ac:dyDescent="0.25">
      <c r="A15" s="214" t="s">
        <v>2844</v>
      </c>
      <c r="B15" s="64">
        <v>49.19</v>
      </c>
      <c r="C15" s="64">
        <v>26.43</v>
      </c>
      <c r="D15" s="64">
        <v>55.33</v>
      </c>
      <c r="E15" s="64">
        <v>1.4</v>
      </c>
      <c r="F15" s="64">
        <v>0.04</v>
      </c>
      <c r="G15" s="64">
        <v>130.43</v>
      </c>
      <c r="H15" s="64">
        <v>38.049999999999997</v>
      </c>
      <c r="I15" s="64">
        <v>1.43</v>
      </c>
      <c r="J15" s="64">
        <v>0.05</v>
      </c>
      <c r="K15" s="64">
        <v>350.33</v>
      </c>
      <c r="L15" s="64">
        <v>17.100000000000001</v>
      </c>
      <c r="M15" s="64">
        <v>81.2</v>
      </c>
      <c r="N15" s="64">
        <v>31.7</v>
      </c>
      <c r="O15" s="64">
        <v>0</v>
      </c>
      <c r="P15" s="64">
        <v>1.72</v>
      </c>
      <c r="Q15" s="64">
        <v>9.2200000000000006</v>
      </c>
      <c r="R15" s="198"/>
      <c r="S15" s="198"/>
      <c r="T15" s="198"/>
      <c r="U15" s="198"/>
    </row>
    <row r="16" spans="1:21" s="12" customFormat="1" x14ac:dyDescent="0.25">
      <c r="A16" s="214" t="s">
        <v>2845</v>
      </c>
      <c r="B16" s="64">
        <v>44.44</v>
      </c>
      <c r="C16" s="64">
        <v>26.16</v>
      </c>
      <c r="D16" s="64">
        <v>51.36</v>
      </c>
      <c r="E16" s="64">
        <v>1.44</v>
      </c>
      <c r="F16" s="64">
        <v>0.27</v>
      </c>
      <c r="G16" s="64">
        <v>112.87</v>
      </c>
      <c r="H16" s="64">
        <v>30.03</v>
      </c>
      <c r="I16" s="64">
        <v>1.51</v>
      </c>
      <c r="J16" s="64">
        <v>7.0000000000000007E-2</v>
      </c>
      <c r="K16" s="64">
        <v>215.37</v>
      </c>
      <c r="L16" s="64">
        <v>17.32</v>
      </c>
      <c r="M16" s="64">
        <v>78.11</v>
      </c>
      <c r="N16" s="64">
        <v>31.3</v>
      </c>
      <c r="O16" s="64">
        <v>0</v>
      </c>
      <c r="P16" s="64">
        <v>1.63</v>
      </c>
      <c r="Q16" s="64">
        <v>9.11</v>
      </c>
      <c r="R16" s="198"/>
      <c r="S16" s="198"/>
      <c r="T16" s="198"/>
      <c r="U16" s="198"/>
    </row>
    <row r="17" spans="1:21" s="12" customFormat="1" x14ac:dyDescent="0.25">
      <c r="A17" s="214" t="s">
        <v>2846</v>
      </c>
      <c r="B17" s="64">
        <v>42.17</v>
      </c>
      <c r="C17" s="64">
        <v>26.61</v>
      </c>
      <c r="D17" s="64">
        <v>49.8</v>
      </c>
      <c r="E17" s="64">
        <v>1.43</v>
      </c>
      <c r="F17" s="64">
        <v>0.14000000000000001</v>
      </c>
      <c r="G17" s="64">
        <v>112.87</v>
      </c>
      <c r="H17" s="64">
        <v>30.03</v>
      </c>
      <c r="I17" s="64">
        <v>1.45</v>
      </c>
      <c r="J17" s="64">
        <v>0.05</v>
      </c>
      <c r="K17" s="64">
        <v>196.23</v>
      </c>
      <c r="L17" s="64">
        <v>16.86</v>
      </c>
      <c r="M17" s="64">
        <v>80.92</v>
      </c>
      <c r="N17" s="64">
        <v>31.5</v>
      </c>
      <c r="O17" s="64">
        <v>0</v>
      </c>
      <c r="P17" s="64">
        <v>1.58</v>
      </c>
      <c r="Q17" s="64">
        <v>8.94</v>
      </c>
      <c r="R17" s="198"/>
      <c r="S17" s="198"/>
      <c r="T17" s="198"/>
      <c r="U17" s="198"/>
    </row>
    <row r="18" spans="1:21" s="12" customFormat="1" x14ac:dyDescent="0.25">
      <c r="A18" s="214" t="s">
        <v>2847</v>
      </c>
      <c r="B18" s="64">
        <v>41.56</v>
      </c>
      <c r="C18" s="64">
        <v>25.62</v>
      </c>
      <c r="D18" s="64">
        <v>48.76</v>
      </c>
      <c r="E18" s="64">
        <v>1.35</v>
      </c>
      <c r="F18" s="64">
        <v>0.1</v>
      </c>
      <c r="G18" s="64">
        <v>112.87</v>
      </c>
      <c r="H18" s="64">
        <v>30.03</v>
      </c>
      <c r="I18" s="64">
        <v>1.47</v>
      </c>
      <c r="J18" s="64">
        <v>7.0000000000000007E-2</v>
      </c>
      <c r="K18" s="64">
        <v>273.47000000000003</v>
      </c>
      <c r="L18" s="64">
        <v>16.84</v>
      </c>
      <c r="M18" s="64">
        <v>79.83</v>
      </c>
      <c r="N18" s="64">
        <v>31.3</v>
      </c>
      <c r="O18" s="64">
        <v>0</v>
      </c>
      <c r="P18" s="64">
        <v>1.53</v>
      </c>
      <c r="Q18" s="64">
        <v>8.69</v>
      </c>
      <c r="R18" s="198"/>
      <c r="S18" s="198"/>
      <c r="T18" s="198"/>
      <c r="U18" s="198"/>
    </row>
    <row r="19" spans="1:21" s="12" customFormat="1" x14ac:dyDescent="0.25">
      <c r="A19" s="214" t="s">
        <v>2848</v>
      </c>
      <c r="B19" s="64">
        <v>36.479999999999997</v>
      </c>
      <c r="C19" s="64">
        <v>27.62</v>
      </c>
      <c r="D19" s="64">
        <v>45.78</v>
      </c>
      <c r="E19" s="64">
        <v>1.39</v>
      </c>
      <c r="F19" s="64">
        <v>0.14000000000000001</v>
      </c>
      <c r="G19" s="64">
        <v>93.84</v>
      </c>
      <c r="H19" s="64">
        <v>19.510000000000002</v>
      </c>
      <c r="I19" s="64">
        <v>1.51</v>
      </c>
      <c r="J19" s="64">
        <v>7.0000000000000007E-2</v>
      </c>
      <c r="K19" s="64">
        <v>256.47000000000003</v>
      </c>
      <c r="L19" s="64">
        <v>16.54</v>
      </c>
      <c r="M19" s="64">
        <v>80.540000000000006</v>
      </c>
      <c r="N19" s="64">
        <v>31.5</v>
      </c>
      <c r="O19" s="64">
        <v>0</v>
      </c>
      <c r="P19" s="64">
        <v>1.48</v>
      </c>
      <c r="Q19" s="64">
        <v>8.52</v>
      </c>
      <c r="R19" s="198"/>
      <c r="S19" s="198"/>
      <c r="T19" s="198"/>
      <c r="U19" s="198"/>
    </row>
    <row r="20" spans="1:21" s="12" customFormat="1" x14ac:dyDescent="0.25">
      <c r="A20" s="214" t="s">
        <v>2849</v>
      </c>
      <c r="B20" s="64">
        <v>37.549999999999997</v>
      </c>
      <c r="C20" s="64">
        <v>25.79</v>
      </c>
      <c r="D20" s="64">
        <v>45.63</v>
      </c>
      <c r="E20" s="64">
        <v>1.18</v>
      </c>
      <c r="F20" s="64">
        <v>0.11</v>
      </c>
      <c r="G20" s="64">
        <v>75.63</v>
      </c>
      <c r="H20" s="64">
        <v>14.71</v>
      </c>
      <c r="I20" s="64">
        <v>1.49</v>
      </c>
      <c r="J20" s="64">
        <v>0.09</v>
      </c>
      <c r="K20" s="64">
        <v>279.45</v>
      </c>
      <c r="L20" s="64">
        <v>16.38</v>
      </c>
      <c r="M20" s="64">
        <v>80.77</v>
      </c>
      <c r="N20" s="64">
        <v>31.5</v>
      </c>
      <c r="O20" s="64">
        <v>0</v>
      </c>
      <c r="P20" s="64">
        <v>1.43</v>
      </c>
      <c r="Q20" s="64">
        <v>8.3699999999999992</v>
      </c>
      <c r="R20" s="198"/>
      <c r="S20" s="198"/>
      <c r="T20" s="198"/>
      <c r="U20" s="198"/>
    </row>
    <row r="21" spans="1:21" s="12" customFormat="1" x14ac:dyDescent="0.25">
      <c r="A21" s="214" t="s">
        <v>2850</v>
      </c>
      <c r="B21" s="64">
        <v>36.96</v>
      </c>
      <c r="C21" s="64">
        <v>25.2</v>
      </c>
      <c r="D21" s="64">
        <v>44.83</v>
      </c>
      <c r="E21" s="64">
        <v>1.27</v>
      </c>
      <c r="F21" s="64">
        <v>0.12</v>
      </c>
      <c r="G21" s="64">
        <v>75.63</v>
      </c>
      <c r="H21" s="64">
        <v>14.71</v>
      </c>
      <c r="I21" s="64">
        <v>1.53</v>
      </c>
      <c r="J21" s="64">
        <v>0.09</v>
      </c>
      <c r="K21" s="64">
        <v>249.51</v>
      </c>
      <c r="L21" s="64">
        <v>16.23</v>
      </c>
      <c r="M21" s="64">
        <v>83.5</v>
      </c>
      <c r="N21" s="64">
        <v>31.5</v>
      </c>
      <c r="O21" s="64">
        <v>0</v>
      </c>
      <c r="P21" s="64">
        <v>1.39</v>
      </c>
      <c r="Q21" s="64">
        <v>8.19</v>
      </c>
      <c r="R21" s="198"/>
      <c r="S21" s="198"/>
      <c r="T21" s="198"/>
      <c r="U21" s="198"/>
    </row>
    <row r="22" spans="1:21" s="12" customFormat="1" x14ac:dyDescent="0.25">
      <c r="A22" s="214" t="s">
        <v>2851</v>
      </c>
      <c r="B22" s="64">
        <v>35.79</v>
      </c>
      <c r="C22" s="64">
        <v>24.44</v>
      </c>
      <c r="D22" s="64">
        <v>43.48</v>
      </c>
      <c r="E22" s="64">
        <v>1.0900000000000001</v>
      </c>
      <c r="F22" s="64">
        <v>0.4</v>
      </c>
      <c r="G22" s="64">
        <v>75.63</v>
      </c>
      <c r="H22" s="64">
        <v>14.71</v>
      </c>
      <c r="I22" s="64">
        <v>1.45</v>
      </c>
      <c r="J22" s="64">
        <v>0.11</v>
      </c>
      <c r="K22" s="64">
        <v>309.33</v>
      </c>
      <c r="L22" s="64">
        <v>16.43</v>
      </c>
      <c r="M22" s="64">
        <v>83.55</v>
      </c>
      <c r="N22" s="64">
        <v>31.2</v>
      </c>
      <c r="O22" s="64">
        <v>0</v>
      </c>
      <c r="P22" s="64">
        <v>1.35</v>
      </c>
      <c r="Q22" s="64">
        <v>8.0299999999999994</v>
      </c>
      <c r="R22" s="198"/>
      <c r="S22" s="198"/>
      <c r="T22" s="198"/>
      <c r="U22" s="198"/>
    </row>
    <row r="23" spans="1:21" s="12" customFormat="1" x14ac:dyDescent="0.25">
      <c r="A23" s="214" t="s">
        <v>2852</v>
      </c>
      <c r="B23" s="64">
        <v>34.65</v>
      </c>
      <c r="C23" s="64">
        <v>24.33</v>
      </c>
      <c r="D23" s="64">
        <v>42.5</v>
      </c>
      <c r="E23" s="64">
        <v>1.06</v>
      </c>
      <c r="F23" s="64">
        <v>0.09</v>
      </c>
      <c r="G23" s="64">
        <v>89.47</v>
      </c>
      <c r="H23" s="64">
        <v>14.71</v>
      </c>
      <c r="I23" s="64">
        <v>1.5</v>
      </c>
      <c r="J23" s="64">
        <v>0.04</v>
      </c>
      <c r="K23" s="64">
        <v>169</v>
      </c>
      <c r="L23" s="64">
        <v>16.16</v>
      </c>
      <c r="M23" s="64">
        <v>86.14</v>
      </c>
      <c r="N23" s="64">
        <v>31.6</v>
      </c>
      <c r="O23" s="64">
        <v>0</v>
      </c>
      <c r="P23" s="64">
        <v>1.32</v>
      </c>
      <c r="Q23" s="64">
        <v>7.91</v>
      </c>
      <c r="R23" s="198"/>
      <c r="S23" s="198"/>
      <c r="T23" s="198"/>
      <c r="U23" s="198"/>
    </row>
    <row r="24" spans="1:21" s="12" customFormat="1" x14ac:dyDescent="0.25">
      <c r="A24" s="214" t="s">
        <v>2853</v>
      </c>
      <c r="B24" s="64">
        <v>33.549999999999997</v>
      </c>
      <c r="C24" s="64">
        <v>24.19</v>
      </c>
      <c r="D24" s="64">
        <v>41.55</v>
      </c>
      <c r="E24" s="64">
        <v>0.28999999999999998</v>
      </c>
      <c r="F24" s="64">
        <v>0.15</v>
      </c>
      <c r="G24" s="216" t="s">
        <v>42</v>
      </c>
      <c r="H24" s="216" t="s">
        <v>42</v>
      </c>
      <c r="I24" s="64">
        <v>1.45</v>
      </c>
      <c r="J24" s="64">
        <v>0.04</v>
      </c>
      <c r="K24" s="64">
        <v>62.85</v>
      </c>
      <c r="L24" s="64">
        <v>15.79</v>
      </c>
      <c r="M24" s="64">
        <v>86.63</v>
      </c>
      <c r="N24" s="64">
        <v>31.3</v>
      </c>
      <c r="O24" s="64">
        <v>0</v>
      </c>
      <c r="P24" s="64">
        <v>1.3</v>
      </c>
      <c r="Q24" s="64">
        <v>7.83</v>
      </c>
      <c r="R24" s="198"/>
      <c r="S24" s="198"/>
      <c r="T24" s="198"/>
      <c r="U24" s="198"/>
    </row>
    <row r="25" spans="1:21" s="12" customFormat="1" x14ac:dyDescent="0.25">
      <c r="A25" s="214" t="s">
        <v>2854</v>
      </c>
      <c r="B25" s="64">
        <v>32.53</v>
      </c>
      <c r="C25" s="64">
        <v>23.97</v>
      </c>
      <c r="D25" s="64">
        <v>40.61</v>
      </c>
      <c r="E25" s="64">
        <v>0.88</v>
      </c>
      <c r="F25" s="64">
        <v>0.36</v>
      </c>
      <c r="G25" s="216" t="s">
        <v>42</v>
      </c>
      <c r="H25" s="216" t="s">
        <v>42</v>
      </c>
      <c r="I25" s="64">
        <v>1.53</v>
      </c>
      <c r="J25" s="64">
        <v>0.18</v>
      </c>
      <c r="K25" s="64">
        <v>201.11</v>
      </c>
      <c r="L25" s="64">
        <v>16.23</v>
      </c>
      <c r="M25" s="64">
        <v>84.94</v>
      </c>
      <c r="N25" s="64">
        <v>30.6</v>
      </c>
      <c r="O25" s="64">
        <v>0</v>
      </c>
      <c r="P25" s="64">
        <v>1.26</v>
      </c>
      <c r="Q25" s="64">
        <v>7.79</v>
      </c>
      <c r="R25" s="198"/>
      <c r="S25" s="198"/>
      <c r="T25" s="198"/>
      <c r="U25" s="198"/>
    </row>
    <row r="26" spans="1:21" s="12" customFormat="1" x14ac:dyDescent="0.25">
      <c r="A26" s="214" t="s">
        <v>2855</v>
      </c>
      <c r="B26" s="64">
        <v>31.86</v>
      </c>
      <c r="C26" s="64">
        <v>24.02</v>
      </c>
      <c r="D26" s="64">
        <v>40.1</v>
      </c>
      <c r="E26" s="64">
        <v>1.03</v>
      </c>
      <c r="F26" s="64">
        <v>0.12</v>
      </c>
      <c r="G26" s="216" t="s">
        <v>42</v>
      </c>
      <c r="H26" s="216" t="s">
        <v>42</v>
      </c>
      <c r="I26" s="64">
        <v>1.49</v>
      </c>
      <c r="J26" s="64">
        <v>0.14000000000000001</v>
      </c>
      <c r="K26" s="64">
        <v>295.92</v>
      </c>
      <c r="L26" s="64">
        <v>16.329999999999998</v>
      </c>
      <c r="M26" s="64">
        <v>86.58</v>
      </c>
      <c r="N26" s="64">
        <v>31.3</v>
      </c>
      <c r="O26" s="64">
        <v>0</v>
      </c>
      <c r="P26" s="64">
        <v>1.23</v>
      </c>
      <c r="Q26" s="64">
        <v>7.7</v>
      </c>
      <c r="R26" s="198"/>
      <c r="S26" s="198"/>
      <c r="T26" s="198"/>
      <c r="U26" s="198"/>
    </row>
    <row r="27" spans="1:21" s="12" customFormat="1" x14ac:dyDescent="0.25">
      <c r="A27" s="214" t="s">
        <v>2856</v>
      </c>
      <c r="B27" s="64">
        <v>31.67</v>
      </c>
      <c r="C27" s="64">
        <v>24.1</v>
      </c>
      <c r="D27" s="64">
        <v>39.99</v>
      </c>
      <c r="E27" s="64">
        <v>0.9</v>
      </c>
      <c r="F27" s="64">
        <v>0.16</v>
      </c>
      <c r="G27" s="64">
        <v>109.95</v>
      </c>
      <c r="H27" s="64">
        <v>69.52</v>
      </c>
      <c r="I27" s="64">
        <v>1.58</v>
      </c>
      <c r="J27" s="64">
        <v>0.1</v>
      </c>
      <c r="K27" s="64">
        <v>288.81</v>
      </c>
      <c r="L27" s="64">
        <v>15.81</v>
      </c>
      <c r="M27" s="64">
        <v>91.62</v>
      </c>
      <c r="N27" s="64">
        <v>31.6</v>
      </c>
      <c r="O27" s="64">
        <v>0</v>
      </c>
      <c r="P27" s="64">
        <v>1.21</v>
      </c>
      <c r="Q27" s="64">
        <v>7.67</v>
      </c>
      <c r="R27" s="198"/>
      <c r="S27" s="198"/>
      <c r="T27" s="198"/>
      <c r="U27" s="198"/>
    </row>
    <row r="28" spans="1:21" s="12" customFormat="1" x14ac:dyDescent="0.25">
      <c r="A28" s="214" t="s">
        <v>2857</v>
      </c>
      <c r="B28" s="64">
        <v>31.99</v>
      </c>
      <c r="C28" s="64">
        <v>24.09</v>
      </c>
      <c r="D28" s="64">
        <v>40.24</v>
      </c>
      <c r="E28" s="64">
        <v>1.05</v>
      </c>
      <c r="F28" s="64">
        <v>0.16</v>
      </c>
      <c r="G28" s="64">
        <v>116.89</v>
      </c>
      <c r="H28" s="64">
        <v>69.52</v>
      </c>
      <c r="I28" s="64">
        <v>1.46</v>
      </c>
      <c r="J28" s="64">
        <v>0.11</v>
      </c>
      <c r="K28" s="64">
        <v>289.95</v>
      </c>
      <c r="L28" s="64">
        <v>15.75</v>
      </c>
      <c r="M28" s="64">
        <v>92.38</v>
      </c>
      <c r="N28" s="64">
        <v>31.2</v>
      </c>
      <c r="O28" s="64">
        <v>0</v>
      </c>
      <c r="P28" s="64">
        <v>1.18</v>
      </c>
      <c r="Q28" s="64">
        <v>7.68</v>
      </c>
      <c r="R28" s="198"/>
      <c r="S28" s="198"/>
      <c r="T28" s="198"/>
      <c r="U28" s="198"/>
    </row>
    <row r="29" spans="1:21" s="12" customFormat="1" x14ac:dyDescent="0.25">
      <c r="A29" s="214" t="s">
        <v>2858</v>
      </c>
      <c r="B29" s="64">
        <v>33.229999999999997</v>
      </c>
      <c r="C29" s="64">
        <v>23.98</v>
      </c>
      <c r="D29" s="64">
        <v>41.18</v>
      </c>
      <c r="E29" s="64">
        <v>1.02</v>
      </c>
      <c r="F29" s="64">
        <v>0.17</v>
      </c>
      <c r="G29" s="64">
        <v>116.89</v>
      </c>
      <c r="H29" s="64">
        <v>69.52</v>
      </c>
      <c r="I29" s="64">
        <v>1.48</v>
      </c>
      <c r="J29" s="64">
        <v>0.05</v>
      </c>
      <c r="K29" s="64">
        <v>287.89</v>
      </c>
      <c r="L29" s="64">
        <v>15.5</v>
      </c>
      <c r="M29" s="64">
        <v>95.28</v>
      </c>
      <c r="N29" s="64">
        <v>31.2</v>
      </c>
      <c r="O29" s="64">
        <v>0</v>
      </c>
      <c r="P29" s="64">
        <v>1.1599999999999999</v>
      </c>
      <c r="Q29" s="64">
        <v>7.73</v>
      </c>
      <c r="R29" s="198"/>
      <c r="S29" s="198"/>
      <c r="T29" s="198"/>
      <c r="U29" s="198"/>
    </row>
    <row r="30" spans="1:21" s="12" customFormat="1" x14ac:dyDescent="0.25">
      <c r="A30" s="214" t="s">
        <v>2859</v>
      </c>
      <c r="B30" s="64">
        <v>35.51</v>
      </c>
      <c r="C30" s="64">
        <v>24.26</v>
      </c>
      <c r="D30" s="64">
        <v>43.16</v>
      </c>
      <c r="E30" s="64">
        <v>1.06</v>
      </c>
      <c r="F30" s="64">
        <v>0.17</v>
      </c>
      <c r="G30" s="64">
        <v>116.89</v>
      </c>
      <c r="H30" s="64">
        <v>69.52</v>
      </c>
      <c r="I30" s="64">
        <v>1.42</v>
      </c>
      <c r="J30" s="64">
        <v>0.08</v>
      </c>
      <c r="K30" s="64">
        <v>300.12</v>
      </c>
      <c r="L30" s="64">
        <v>15.45</v>
      </c>
      <c r="M30" s="64">
        <v>96.24</v>
      </c>
      <c r="N30" s="64">
        <v>30.8</v>
      </c>
      <c r="O30" s="64">
        <v>0</v>
      </c>
      <c r="P30" s="64">
        <v>1.1399999999999999</v>
      </c>
      <c r="Q30" s="64">
        <v>7.89</v>
      </c>
      <c r="R30" s="198"/>
      <c r="S30" s="198"/>
      <c r="T30" s="198"/>
      <c r="U30" s="198"/>
    </row>
    <row r="31" spans="1:21" s="12" customFormat="1" x14ac:dyDescent="0.25">
      <c r="A31" s="214" t="s">
        <v>2860</v>
      </c>
      <c r="B31" s="64">
        <v>38.86</v>
      </c>
      <c r="C31" s="64">
        <v>24.6</v>
      </c>
      <c r="D31" s="64">
        <v>46.03</v>
      </c>
      <c r="E31" s="64">
        <v>0.88</v>
      </c>
      <c r="F31" s="64">
        <v>0.13</v>
      </c>
      <c r="G31" s="64">
        <v>111.22</v>
      </c>
      <c r="H31" s="64">
        <v>56.55</v>
      </c>
      <c r="I31" s="64">
        <v>1.56</v>
      </c>
      <c r="J31" s="64">
        <v>0.15</v>
      </c>
      <c r="K31" s="64">
        <v>205.2</v>
      </c>
      <c r="L31" s="64">
        <v>16.170000000000002</v>
      </c>
      <c r="M31" s="64">
        <v>91.94</v>
      </c>
      <c r="N31" s="64">
        <v>30.4</v>
      </c>
      <c r="O31" s="64">
        <v>0</v>
      </c>
      <c r="P31" s="64">
        <v>1.1299999999999999</v>
      </c>
      <c r="Q31" s="64">
        <v>8.1</v>
      </c>
      <c r="R31" s="198"/>
      <c r="S31" s="198"/>
      <c r="T31" s="198"/>
      <c r="U31" s="198"/>
    </row>
    <row r="32" spans="1:21" s="12" customFormat="1" x14ac:dyDescent="0.25">
      <c r="A32" s="214" t="s">
        <v>2861</v>
      </c>
      <c r="B32" s="64">
        <v>42.44</v>
      </c>
      <c r="C32" s="64">
        <v>24.18</v>
      </c>
      <c r="D32" s="64">
        <v>48.67</v>
      </c>
      <c r="E32" s="64">
        <v>0.95</v>
      </c>
      <c r="F32" s="64">
        <v>0.26</v>
      </c>
      <c r="G32" s="64">
        <v>105.8</v>
      </c>
      <c r="H32" s="64">
        <v>44.18</v>
      </c>
      <c r="I32" s="64">
        <v>1.47</v>
      </c>
      <c r="J32" s="64">
        <v>0.14000000000000001</v>
      </c>
      <c r="K32" s="64">
        <v>296.86</v>
      </c>
      <c r="L32" s="64">
        <v>15.81</v>
      </c>
      <c r="M32" s="64">
        <v>94.54</v>
      </c>
      <c r="N32" s="64">
        <v>34.1</v>
      </c>
      <c r="O32" s="64">
        <v>0</v>
      </c>
      <c r="P32" s="64">
        <v>1.1299999999999999</v>
      </c>
      <c r="Q32" s="64">
        <v>8.31</v>
      </c>
      <c r="R32" s="198"/>
      <c r="S32" s="198"/>
      <c r="T32" s="198"/>
      <c r="U32" s="198"/>
    </row>
    <row r="33" spans="1:21" s="12" customFormat="1" x14ac:dyDescent="0.25">
      <c r="A33" s="214" t="s">
        <v>2862</v>
      </c>
      <c r="B33" s="64">
        <v>45.81</v>
      </c>
      <c r="C33" s="64">
        <v>24.35</v>
      </c>
      <c r="D33" s="64">
        <v>51.47</v>
      </c>
      <c r="E33" s="64">
        <v>0.91</v>
      </c>
      <c r="F33" s="64">
        <v>0.14000000000000001</v>
      </c>
      <c r="G33" s="64">
        <v>105.8</v>
      </c>
      <c r="H33" s="64">
        <v>44.18</v>
      </c>
      <c r="I33" s="64">
        <v>1.5</v>
      </c>
      <c r="J33" s="64">
        <v>0.12</v>
      </c>
      <c r="K33" s="64">
        <v>275.52</v>
      </c>
      <c r="L33" s="64">
        <v>15.93</v>
      </c>
      <c r="M33" s="64">
        <v>93.53</v>
      </c>
      <c r="N33" s="64">
        <v>43.5</v>
      </c>
      <c r="O33" s="64">
        <v>0</v>
      </c>
      <c r="P33" s="64">
        <v>1.1299999999999999</v>
      </c>
      <c r="Q33" s="64">
        <v>8.59</v>
      </c>
      <c r="R33" s="198"/>
      <c r="S33" s="198"/>
      <c r="T33" s="198"/>
      <c r="U33" s="198"/>
    </row>
    <row r="34" spans="1:21" s="12" customFormat="1" x14ac:dyDescent="0.25">
      <c r="A34" s="214" t="s">
        <v>2863</v>
      </c>
      <c r="B34" s="64">
        <v>48</v>
      </c>
      <c r="C34" s="64">
        <v>24.64</v>
      </c>
      <c r="D34" s="64">
        <v>53.39</v>
      </c>
      <c r="E34" s="64">
        <v>0.7</v>
      </c>
      <c r="F34" s="64">
        <v>0.14000000000000001</v>
      </c>
      <c r="G34" s="64">
        <v>105.8</v>
      </c>
      <c r="H34" s="64">
        <v>44.18</v>
      </c>
      <c r="I34" s="64">
        <v>1.41</v>
      </c>
      <c r="J34" s="64">
        <v>0.14000000000000001</v>
      </c>
      <c r="K34" s="64">
        <v>321.31</v>
      </c>
      <c r="L34" s="64">
        <v>15.99</v>
      </c>
      <c r="M34" s="64">
        <v>96</v>
      </c>
      <c r="N34" s="64">
        <v>59.4</v>
      </c>
      <c r="O34" s="64">
        <v>0</v>
      </c>
      <c r="P34" s="64">
        <v>1.1299999999999999</v>
      </c>
      <c r="Q34" s="64">
        <v>8.7799999999999994</v>
      </c>
      <c r="R34" s="198"/>
      <c r="S34" s="198"/>
      <c r="T34" s="198"/>
      <c r="U34" s="198"/>
    </row>
    <row r="35" spans="1:21" s="12" customFormat="1" x14ac:dyDescent="0.25">
      <c r="A35" s="214" t="s">
        <v>2864</v>
      </c>
      <c r="B35" s="64">
        <v>50.23</v>
      </c>
      <c r="C35" s="64">
        <v>24.84</v>
      </c>
      <c r="D35" s="64">
        <v>55.28</v>
      </c>
      <c r="E35" s="64">
        <v>1.06</v>
      </c>
      <c r="F35" s="64">
        <v>0.08</v>
      </c>
      <c r="G35" s="64">
        <v>115.99</v>
      </c>
      <c r="H35" s="64">
        <v>55.34</v>
      </c>
      <c r="I35" s="64">
        <v>1.53</v>
      </c>
      <c r="J35" s="64">
        <v>0.01</v>
      </c>
      <c r="K35" s="64">
        <v>246.72</v>
      </c>
      <c r="L35" s="64">
        <v>16.36</v>
      </c>
      <c r="M35" s="64">
        <v>91.98</v>
      </c>
      <c r="N35" s="64">
        <v>77.5</v>
      </c>
      <c r="O35" s="64">
        <v>0</v>
      </c>
      <c r="P35" s="64">
        <v>1.1399999999999999</v>
      </c>
      <c r="Q35" s="64">
        <v>9.01</v>
      </c>
      <c r="R35" s="198"/>
      <c r="S35" s="198"/>
      <c r="T35" s="198"/>
      <c r="U35" s="198"/>
    </row>
    <row r="36" spans="1:21" s="12" customFormat="1" x14ac:dyDescent="0.25">
      <c r="A36" s="214" t="s">
        <v>2865</v>
      </c>
      <c r="B36" s="64">
        <v>51.8</v>
      </c>
      <c r="C36" s="64">
        <v>25.43</v>
      </c>
      <c r="D36" s="64">
        <v>56.87</v>
      </c>
      <c r="E36" s="64">
        <v>1.07</v>
      </c>
      <c r="F36" s="64">
        <v>0.05</v>
      </c>
      <c r="G36" s="64">
        <v>125.74</v>
      </c>
      <c r="H36" s="64">
        <v>60.44</v>
      </c>
      <c r="I36" s="64">
        <v>1.49</v>
      </c>
      <c r="J36" s="64">
        <v>0.03</v>
      </c>
      <c r="K36" s="64">
        <v>310.5</v>
      </c>
      <c r="L36" s="64">
        <v>17.52</v>
      </c>
      <c r="M36" s="64">
        <v>86.55</v>
      </c>
      <c r="N36" s="64">
        <v>136</v>
      </c>
      <c r="O36" s="64">
        <v>0</v>
      </c>
      <c r="P36" s="64">
        <v>1.1399999999999999</v>
      </c>
      <c r="Q36" s="64">
        <v>9.15</v>
      </c>
      <c r="R36" s="198"/>
      <c r="S36" s="198"/>
      <c r="T36" s="198"/>
      <c r="U36" s="198"/>
    </row>
    <row r="37" spans="1:21" s="12" customFormat="1" x14ac:dyDescent="0.25">
      <c r="A37" s="214" t="s">
        <v>2866</v>
      </c>
      <c r="B37" s="64">
        <v>52.61</v>
      </c>
      <c r="C37" s="64">
        <v>27.2</v>
      </c>
      <c r="D37" s="64">
        <v>58.49</v>
      </c>
      <c r="E37" s="64">
        <v>1.08</v>
      </c>
      <c r="F37" s="64">
        <v>0.01</v>
      </c>
      <c r="G37" s="64">
        <v>125.74</v>
      </c>
      <c r="H37" s="64">
        <v>60.44</v>
      </c>
      <c r="I37" s="64">
        <v>1.44</v>
      </c>
      <c r="J37" s="64">
        <v>0.19</v>
      </c>
      <c r="K37" s="64">
        <v>351.14</v>
      </c>
      <c r="L37" s="64">
        <v>19.829999999999998</v>
      </c>
      <c r="M37" s="64">
        <v>75.13</v>
      </c>
      <c r="N37" s="64">
        <v>210</v>
      </c>
      <c r="O37" s="64">
        <v>0</v>
      </c>
      <c r="P37" s="64">
        <v>1.1399999999999999</v>
      </c>
      <c r="Q37" s="64">
        <v>9.18</v>
      </c>
      <c r="R37" s="198"/>
      <c r="S37" s="198"/>
      <c r="T37" s="198"/>
      <c r="U37" s="198"/>
    </row>
    <row r="38" spans="1:21" s="12" customFormat="1" x14ac:dyDescent="0.25">
      <c r="A38" s="214" t="s">
        <v>2867</v>
      </c>
      <c r="B38" s="64">
        <v>52.17</v>
      </c>
      <c r="C38" s="64">
        <v>27.82</v>
      </c>
      <c r="D38" s="64">
        <v>58.48</v>
      </c>
      <c r="E38" s="64">
        <v>0.98</v>
      </c>
      <c r="F38" s="64">
        <v>0</v>
      </c>
      <c r="G38" s="64">
        <v>125.74</v>
      </c>
      <c r="H38" s="64">
        <v>60.44</v>
      </c>
      <c r="I38" s="64">
        <v>1.5</v>
      </c>
      <c r="J38" s="64">
        <v>0.25</v>
      </c>
      <c r="K38" s="64">
        <v>2.17</v>
      </c>
      <c r="L38" s="64">
        <v>21.31</v>
      </c>
      <c r="M38" s="64">
        <v>68.260000000000005</v>
      </c>
      <c r="N38" s="64">
        <v>265.7</v>
      </c>
      <c r="O38" s="64">
        <v>0</v>
      </c>
      <c r="P38" s="64">
        <v>1.2</v>
      </c>
      <c r="Q38" s="64">
        <v>9.2200000000000006</v>
      </c>
      <c r="R38" s="198"/>
      <c r="S38" s="198"/>
      <c r="T38" s="198"/>
      <c r="U38" s="198"/>
    </row>
    <row r="39" spans="1:21" s="12" customFormat="1" x14ac:dyDescent="0.25">
      <c r="A39" s="214" t="s">
        <v>2868</v>
      </c>
      <c r="B39" s="64">
        <v>49.94</v>
      </c>
      <c r="C39" s="64">
        <v>30.27</v>
      </c>
      <c r="D39" s="64">
        <v>58.05</v>
      </c>
      <c r="E39" s="64">
        <v>1.08</v>
      </c>
      <c r="F39" s="64">
        <v>0.04</v>
      </c>
      <c r="G39" s="64">
        <v>141.03</v>
      </c>
      <c r="H39" s="64">
        <v>63.44</v>
      </c>
      <c r="I39" s="64">
        <v>1.44</v>
      </c>
      <c r="J39" s="64">
        <v>0.31</v>
      </c>
      <c r="K39" s="64">
        <v>354.53</v>
      </c>
      <c r="L39" s="64">
        <v>23.07</v>
      </c>
      <c r="M39" s="64">
        <v>62.15</v>
      </c>
      <c r="N39" s="64">
        <v>316.2</v>
      </c>
      <c r="O39" s="64">
        <v>0</v>
      </c>
      <c r="P39" s="64">
        <v>1.2</v>
      </c>
      <c r="Q39" s="64">
        <v>9.2200000000000006</v>
      </c>
      <c r="R39" s="198"/>
      <c r="S39" s="198"/>
      <c r="T39" s="198"/>
      <c r="U39" s="198"/>
    </row>
    <row r="40" spans="1:21" s="12" customFormat="1" x14ac:dyDescent="0.25">
      <c r="A40" s="214" t="s">
        <v>2869</v>
      </c>
      <c r="B40" s="64">
        <v>49.63</v>
      </c>
      <c r="C40" s="64">
        <v>28.95</v>
      </c>
      <c r="D40" s="64">
        <v>57.07</v>
      </c>
      <c r="E40" s="64">
        <v>0.48</v>
      </c>
      <c r="F40" s="64">
        <v>0.15</v>
      </c>
      <c r="G40" s="64">
        <v>155.03</v>
      </c>
      <c r="H40" s="64">
        <v>64.8</v>
      </c>
      <c r="I40" s="64">
        <v>1.48</v>
      </c>
      <c r="J40" s="64">
        <v>0.28000000000000003</v>
      </c>
      <c r="K40" s="64">
        <v>11.07</v>
      </c>
      <c r="L40" s="64">
        <v>24.62</v>
      </c>
      <c r="M40" s="64">
        <v>57.56</v>
      </c>
      <c r="N40" s="64">
        <v>364.7</v>
      </c>
      <c r="O40" s="64">
        <v>0</v>
      </c>
      <c r="P40" s="64">
        <v>1.21</v>
      </c>
      <c r="Q40" s="64">
        <v>9.24</v>
      </c>
      <c r="R40" s="198"/>
      <c r="S40" s="198"/>
      <c r="T40" s="198"/>
      <c r="U40" s="198"/>
    </row>
    <row r="41" spans="1:21" s="12" customFormat="1" x14ac:dyDescent="0.25">
      <c r="A41" s="214" t="s">
        <v>2870</v>
      </c>
      <c r="B41" s="64">
        <v>50.1</v>
      </c>
      <c r="C41" s="64">
        <v>29</v>
      </c>
      <c r="D41" s="64">
        <v>57.47</v>
      </c>
      <c r="E41" s="64">
        <v>1.1200000000000001</v>
      </c>
      <c r="F41" s="64">
        <v>0.15</v>
      </c>
      <c r="G41" s="64">
        <v>155.03</v>
      </c>
      <c r="H41" s="64">
        <v>64.8</v>
      </c>
      <c r="I41" s="64">
        <v>1.44</v>
      </c>
      <c r="J41" s="64">
        <v>0.18</v>
      </c>
      <c r="K41" s="64">
        <v>5.83</v>
      </c>
      <c r="L41" s="64">
        <v>25.47</v>
      </c>
      <c r="M41" s="64">
        <v>51.13</v>
      </c>
      <c r="N41" s="64">
        <v>410.7</v>
      </c>
      <c r="O41" s="64">
        <v>0</v>
      </c>
      <c r="P41" s="64">
        <v>1.23</v>
      </c>
      <c r="Q41" s="64">
        <v>9.23</v>
      </c>
      <c r="R41" s="198"/>
      <c r="S41" s="198"/>
      <c r="T41" s="198"/>
      <c r="U41" s="198"/>
    </row>
    <row r="42" spans="1:21" s="12" customFormat="1" x14ac:dyDescent="0.25">
      <c r="A42" s="214" t="s">
        <v>2871</v>
      </c>
      <c r="B42" s="64">
        <v>47.16</v>
      </c>
      <c r="C42" s="64">
        <v>30.37</v>
      </c>
      <c r="D42" s="64">
        <v>55.87</v>
      </c>
      <c r="E42" s="64">
        <v>1.29</v>
      </c>
      <c r="F42" s="64">
        <v>0.35</v>
      </c>
      <c r="G42" s="64">
        <v>155.03</v>
      </c>
      <c r="H42" s="64">
        <v>64.8</v>
      </c>
      <c r="I42" s="64">
        <v>1.46</v>
      </c>
      <c r="J42" s="64">
        <v>0.06</v>
      </c>
      <c r="K42" s="64">
        <v>21.02</v>
      </c>
      <c r="L42" s="64">
        <v>25.55</v>
      </c>
      <c r="M42" s="64">
        <v>49.17</v>
      </c>
      <c r="N42" s="64">
        <v>464.5</v>
      </c>
      <c r="O42" s="64">
        <v>0</v>
      </c>
      <c r="P42" s="64">
        <v>1.23</v>
      </c>
      <c r="Q42" s="64">
        <v>9.16</v>
      </c>
      <c r="R42" s="198"/>
      <c r="S42" s="198"/>
      <c r="T42" s="198"/>
      <c r="U42" s="198"/>
    </row>
    <row r="43" spans="1:21" s="12" customFormat="1" x14ac:dyDescent="0.25">
      <c r="A43" s="214" t="s">
        <v>2872</v>
      </c>
      <c r="B43" s="64">
        <v>44.92</v>
      </c>
      <c r="C43" s="64">
        <v>30.67</v>
      </c>
      <c r="D43" s="64">
        <v>54.24</v>
      </c>
      <c r="E43" s="64">
        <v>1.31</v>
      </c>
      <c r="F43" s="64">
        <v>0.21</v>
      </c>
      <c r="G43" s="64">
        <v>165.19</v>
      </c>
      <c r="H43" s="64">
        <v>91.14</v>
      </c>
      <c r="I43" s="64">
        <v>1.47</v>
      </c>
      <c r="J43" s="64">
        <v>0.05</v>
      </c>
      <c r="K43" s="64">
        <v>30.23</v>
      </c>
      <c r="L43" s="64">
        <v>25.29</v>
      </c>
      <c r="M43" s="64">
        <v>51.85</v>
      </c>
      <c r="N43" s="64">
        <v>506.1</v>
      </c>
      <c r="O43" s="64">
        <v>0</v>
      </c>
      <c r="P43" s="64">
        <v>1.23</v>
      </c>
      <c r="Q43" s="64">
        <v>9.0299999999999994</v>
      </c>
      <c r="R43" s="198"/>
      <c r="S43" s="198"/>
      <c r="T43" s="198"/>
      <c r="U43" s="198"/>
    </row>
    <row r="44" spans="1:21" s="12" customFormat="1" x14ac:dyDescent="0.25">
      <c r="A44" s="214" t="s">
        <v>2873</v>
      </c>
      <c r="B44" s="64">
        <v>42.72</v>
      </c>
      <c r="C44" s="64">
        <v>29.78</v>
      </c>
      <c r="D44" s="64">
        <v>51.98</v>
      </c>
      <c r="E44" s="64">
        <v>1.06</v>
      </c>
      <c r="F44" s="64">
        <v>0.46</v>
      </c>
      <c r="G44" s="64">
        <v>174.92</v>
      </c>
      <c r="H44" s="64">
        <v>103.16</v>
      </c>
      <c r="I44" s="64">
        <v>1.54</v>
      </c>
      <c r="J44" s="64">
        <v>0.08</v>
      </c>
      <c r="K44" s="64">
        <v>317.99</v>
      </c>
      <c r="L44" s="64">
        <v>24.51</v>
      </c>
      <c r="M44" s="64">
        <v>46.79</v>
      </c>
      <c r="N44" s="64">
        <v>568.79999999999995</v>
      </c>
      <c r="O44" s="64">
        <v>0</v>
      </c>
      <c r="P44" s="64">
        <v>1.2</v>
      </c>
      <c r="Q44" s="64">
        <v>8.81</v>
      </c>
      <c r="R44" s="198"/>
      <c r="S44" s="198"/>
      <c r="T44" s="198"/>
      <c r="U44" s="198"/>
    </row>
    <row r="45" spans="1:21" s="12" customFormat="1" x14ac:dyDescent="0.25">
      <c r="A45" s="214" t="s">
        <v>2874</v>
      </c>
      <c r="B45" s="64">
        <v>37.9</v>
      </c>
      <c r="C45" s="64">
        <v>31.72</v>
      </c>
      <c r="D45" s="64">
        <v>49.19</v>
      </c>
      <c r="E45" s="64">
        <v>1.2</v>
      </c>
      <c r="F45" s="64">
        <v>0.23</v>
      </c>
      <c r="G45" s="64">
        <v>174.92</v>
      </c>
      <c r="H45" s="64">
        <v>103.16</v>
      </c>
      <c r="I45" s="64">
        <v>1.47</v>
      </c>
      <c r="J45" s="64">
        <v>0.17</v>
      </c>
      <c r="K45" s="64">
        <v>161.43</v>
      </c>
      <c r="L45" s="64">
        <v>24.89</v>
      </c>
      <c r="M45" s="64">
        <v>49.05</v>
      </c>
      <c r="N45" s="64">
        <v>605.29999999999995</v>
      </c>
      <c r="O45" s="64">
        <v>0</v>
      </c>
      <c r="P45" s="64">
        <v>1.1599999999999999</v>
      </c>
      <c r="Q45" s="64">
        <v>8.5</v>
      </c>
      <c r="R45" s="198"/>
      <c r="S45" s="198"/>
      <c r="T45" s="198"/>
      <c r="U45" s="198"/>
    </row>
    <row r="46" spans="1:21" s="12" customFormat="1" x14ac:dyDescent="0.25">
      <c r="A46" s="214" t="s">
        <v>2875</v>
      </c>
      <c r="B46" s="64">
        <v>33.61</v>
      </c>
      <c r="C46" s="64">
        <v>32.36</v>
      </c>
      <c r="D46" s="64">
        <v>46.1</v>
      </c>
      <c r="E46" s="64">
        <v>1.3</v>
      </c>
      <c r="F46" s="64">
        <v>0.62</v>
      </c>
      <c r="G46" s="64">
        <v>174.92</v>
      </c>
      <c r="H46" s="64">
        <v>103.16</v>
      </c>
      <c r="I46" s="64">
        <v>1.42</v>
      </c>
      <c r="J46" s="64">
        <v>7.0000000000000007E-2</v>
      </c>
      <c r="K46" s="64">
        <v>85.61</v>
      </c>
      <c r="L46" s="64">
        <v>25.19</v>
      </c>
      <c r="M46" s="64">
        <v>51.09</v>
      </c>
      <c r="N46" s="64">
        <v>637.20000000000005</v>
      </c>
      <c r="O46" s="64">
        <v>0</v>
      </c>
      <c r="P46" s="64">
        <v>1.1299999999999999</v>
      </c>
      <c r="Q46" s="64">
        <v>8.15</v>
      </c>
      <c r="R46" s="198"/>
      <c r="S46" s="198"/>
      <c r="T46" s="198"/>
      <c r="U46" s="198"/>
    </row>
    <row r="47" spans="1:21" s="12" customFormat="1" x14ac:dyDescent="0.25">
      <c r="A47" s="214" t="s">
        <v>2876</v>
      </c>
      <c r="B47" s="64">
        <v>28.86</v>
      </c>
      <c r="C47" s="64">
        <v>33.619999999999997</v>
      </c>
      <c r="D47" s="64">
        <v>42.99</v>
      </c>
      <c r="E47" s="64">
        <v>1.0900000000000001</v>
      </c>
      <c r="F47" s="64">
        <v>1.19</v>
      </c>
      <c r="G47" s="64">
        <v>143.58000000000001</v>
      </c>
      <c r="H47" s="64">
        <v>72.02</v>
      </c>
      <c r="I47" s="64">
        <v>1.46</v>
      </c>
      <c r="J47" s="64">
        <v>7.0000000000000007E-2</v>
      </c>
      <c r="K47" s="64">
        <v>101.95</v>
      </c>
      <c r="L47" s="64">
        <v>25.79</v>
      </c>
      <c r="M47" s="64">
        <v>49.34</v>
      </c>
      <c r="N47" s="64">
        <v>668.4</v>
      </c>
      <c r="O47" s="64">
        <v>0</v>
      </c>
      <c r="P47" s="64">
        <v>1.1000000000000001</v>
      </c>
      <c r="Q47" s="64">
        <v>7.92</v>
      </c>
      <c r="R47" s="198"/>
      <c r="S47" s="198"/>
      <c r="T47" s="198"/>
      <c r="U47" s="198"/>
    </row>
    <row r="48" spans="1:21" s="12" customFormat="1" x14ac:dyDescent="0.25">
      <c r="A48" s="214" t="s">
        <v>2877</v>
      </c>
      <c r="B48" s="64">
        <v>25.86</v>
      </c>
      <c r="C48" s="64">
        <v>33.03</v>
      </c>
      <c r="D48" s="64">
        <v>40.26</v>
      </c>
      <c r="E48" s="64">
        <v>0.99</v>
      </c>
      <c r="F48" s="64">
        <v>1.1599999999999999</v>
      </c>
      <c r="G48" s="64">
        <v>114.9</v>
      </c>
      <c r="H48" s="64">
        <v>57.81</v>
      </c>
      <c r="I48" s="64">
        <v>1.56</v>
      </c>
      <c r="J48" s="64">
        <v>0.09</v>
      </c>
      <c r="K48" s="64">
        <v>60.57</v>
      </c>
      <c r="L48" s="64">
        <v>27.26</v>
      </c>
      <c r="M48" s="64">
        <v>46</v>
      </c>
      <c r="N48" s="64">
        <v>697.2</v>
      </c>
      <c r="O48" s="64">
        <v>0</v>
      </c>
      <c r="P48" s="64">
        <v>1.08</v>
      </c>
      <c r="Q48" s="64">
        <v>7.57</v>
      </c>
      <c r="R48" s="198"/>
      <c r="S48" s="198"/>
      <c r="T48" s="198"/>
      <c r="U48" s="198"/>
    </row>
    <row r="49" spans="1:21" s="12" customFormat="1" x14ac:dyDescent="0.25">
      <c r="A49" s="214" t="s">
        <v>2878</v>
      </c>
      <c r="B49" s="64">
        <v>22.03</v>
      </c>
      <c r="C49" s="64">
        <v>32.43</v>
      </c>
      <c r="D49" s="64">
        <v>36.85</v>
      </c>
      <c r="E49" s="64">
        <v>0.92</v>
      </c>
      <c r="F49" s="64">
        <v>1.82</v>
      </c>
      <c r="G49" s="64">
        <v>114.9</v>
      </c>
      <c r="H49" s="64">
        <v>57.81</v>
      </c>
      <c r="I49" s="64">
        <v>1.45</v>
      </c>
      <c r="J49" s="64">
        <v>0.17</v>
      </c>
      <c r="K49" s="64">
        <v>126.19</v>
      </c>
      <c r="L49" s="64">
        <v>27.43</v>
      </c>
      <c r="M49" s="64">
        <v>39.9</v>
      </c>
      <c r="N49" s="64">
        <v>720.9</v>
      </c>
      <c r="O49" s="64">
        <v>0</v>
      </c>
      <c r="P49" s="64">
        <v>1.05</v>
      </c>
      <c r="Q49" s="64">
        <v>7.34</v>
      </c>
      <c r="R49" s="198"/>
      <c r="S49" s="198"/>
      <c r="T49" s="198"/>
      <c r="U49" s="198"/>
    </row>
    <row r="50" spans="1:21" s="12" customFormat="1" x14ac:dyDescent="0.25">
      <c r="A50" s="214" t="s">
        <v>2879</v>
      </c>
      <c r="B50" s="64">
        <v>20.7</v>
      </c>
      <c r="C50" s="64">
        <v>32.369999999999997</v>
      </c>
      <c r="D50" s="64">
        <v>35.76</v>
      </c>
      <c r="E50" s="64">
        <v>0.82</v>
      </c>
      <c r="F50" s="64">
        <v>1.38</v>
      </c>
      <c r="G50" s="64">
        <v>114.9</v>
      </c>
      <c r="H50" s="64">
        <v>57.81</v>
      </c>
      <c r="I50" s="64">
        <v>1.48</v>
      </c>
      <c r="J50" s="64">
        <v>0.27</v>
      </c>
      <c r="K50" s="64">
        <v>7.29</v>
      </c>
      <c r="L50" s="64">
        <v>29.37</v>
      </c>
      <c r="M50" s="64">
        <v>36</v>
      </c>
      <c r="N50" s="64">
        <v>728.9</v>
      </c>
      <c r="O50" s="64">
        <v>0</v>
      </c>
      <c r="P50" s="64">
        <v>1.04</v>
      </c>
      <c r="Q50" s="64">
        <v>7.08</v>
      </c>
      <c r="R50" s="198"/>
      <c r="S50" s="198"/>
      <c r="T50" s="198"/>
      <c r="U50" s="198"/>
    </row>
    <row r="51" spans="1:21" s="12" customFormat="1" x14ac:dyDescent="0.25">
      <c r="A51" s="214" t="s">
        <v>2880</v>
      </c>
      <c r="B51" s="64">
        <v>13.9</v>
      </c>
      <c r="C51" s="64">
        <v>32.090000000000003</v>
      </c>
      <c r="D51" s="64">
        <v>30.15</v>
      </c>
      <c r="E51" s="64">
        <v>1.59</v>
      </c>
      <c r="F51" s="64">
        <v>17.64</v>
      </c>
      <c r="G51" s="64">
        <v>104.73</v>
      </c>
      <c r="H51" s="64">
        <v>47.32</v>
      </c>
      <c r="I51" s="64">
        <v>1.46</v>
      </c>
      <c r="J51" s="64">
        <v>0.24</v>
      </c>
      <c r="K51" s="64">
        <v>23.86</v>
      </c>
      <c r="L51" s="64">
        <v>29.84</v>
      </c>
      <c r="M51" s="64">
        <v>32.76</v>
      </c>
      <c r="N51" s="64">
        <v>733.8</v>
      </c>
      <c r="O51" s="64">
        <v>0</v>
      </c>
      <c r="P51" s="64">
        <v>0.9</v>
      </c>
      <c r="Q51" s="64">
        <v>6.95</v>
      </c>
      <c r="R51" s="198"/>
      <c r="S51" s="198"/>
      <c r="T51" s="198"/>
      <c r="U51" s="198"/>
    </row>
    <row r="52" spans="1:21" s="12" customFormat="1" x14ac:dyDescent="0.25">
      <c r="A52" s="214" t="s">
        <v>2881</v>
      </c>
      <c r="B52" s="64">
        <v>7.15</v>
      </c>
      <c r="C52" s="64">
        <v>35.18</v>
      </c>
      <c r="D52" s="64">
        <v>26.44</v>
      </c>
      <c r="E52" s="64">
        <v>1.91</v>
      </c>
      <c r="F52" s="64">
        <v>15.67</v>
      </c>
      <c r="G52" s="64">
        <v>95.42</v>
      </c>
      <c r="H52" s="64">
        <v>38.159999999999997</v>
      </c>
      <c r="I52" s="64">
        <v>1.52</v>
      </c>
      <c r="J52" s="64">
        <v>0.4</v>
      </c>
      <c r="K52" s="64">
        <v>117.85</v>
      </c>
      <c r="L52" s="64">
        <v>29.14</v>
      </c>
      <c r="M52" s="64">
        <v>32.58</v>
      </c>
      <c r="N52" s="64">
        <v>744.5</v>
      </c>
      <c r="O52" s="64">
        <v>0</v>
      </c>
      <c r="P52" s="64">
        <v>0.83</v>
      </c>
      <c r="Q52" s="64">
        <v>6.76</v>
      </c>
      <c r="R52" s="198"/>
      <c r="S52" s="198"/>
      <c r="T52" s="198"/>
      <c r="U52" s="198"/>
    </row>
    <row r="53" spans="1:21" s="12" customFormat="1" x14ac:dyDescent="0.25">
      <c r="A53" s="214" t="s">
        <v>2882</v>
      </c>
      <c r="B53" s="64">
        <v>4.5199999999999996</v>
      </c>
      <c r="C53" s="64">
        <v>36.380000000000003</v>
      </c>
      <c r="D53" s="64">
        <v>25</v>
      </c>
      <c r="E53" s="64">
        <v>1.84</v>
      </c>
      <c r="F53" s="64">
        <v>7.79</v>
      </c>
      <c r="G53" s="64">
        <v>95.42</v>
      </c>
      <c r="H53" s="64">
        <v>38.159999999999997</v>
      </c>
      <c r="I53" s="64">
        <v>1.46</v>
      </c>
      <c r="J53" s="64">
        <v>0.3</v>
      </c>
      <c r="K53" s="64">
        <v>86.26</v>
      </c>
      <c r="L53" s="64">
        <v>28.66</v>
      </c>
      <c r="M53" s="64">
        <v>33.520000000000003</v>
      </c>
      <c r="N53" s="64">
        <v>741.3</v>
      </c>
      <c r="O53" s="64">
        <v>0</v>
      </c>
      <c r="P53" s="64">
        <v>0.83</v>
      </c>
      <c r="Q53" s="64">
        <v>6.27</v>
      </c>
      <c r="R53" s="198"/>
      <c r="S53" s="198"/>
      <c r="T53" s="198"/>
      <c r="U53" s="198"/>
    </row>
    <row r="54" spans="1:21" s="12" customFormat="1" x14ac:dyDescent="0.25">
      <c r="A54" s="214" t="s">
        <v>2883</v>
      </c>
      <c r="B54" s="64">
        <v>3.67</v>
      </c>
      <c r="C54" s="64">
        <v>36.630000000000003</v>
      </c>
      <c r="D54" s="64">
        <v>24.46</v>
      </c>
      <c r="E54" s="64">
        <v>1.72</v>
      </c>
      <c r="F54" s="64">
        <v>7.59</v>
      </c>
      <c r="G54" s="64">
        <v>95.42</v>
      </c>
      <c r="H54" s="64">
        <v>38.159999999999997</v>
      </c>
      <c r="I54" s="64">
        <v>1.52</v>
      </c>
      <c r="J54" s="64">
        <v>0.36</v>
      </c>
      <c r="K54" s="64">
        <v>119.91</v>
      </c>
      <c r="L54" s="64">
        <v>28.03</v>
      </c>
      <c r="M54" s="64">
        <v>33.86</v>
      </c>
      <c r="N54" s="64">
        <v>752.7</v>
      </c>
      <c r="O54" s="64">
        <v>0</v>
      </c>
      <c r="P54" s="64">
        <v>0.8</v>
      </c>
      <c r="Q54" s="64">
        <v>5.8</v>
      </c>
      <c r="R54" s="198"/>
      <c r="S54" s="198"/>
      <c r="T54" s="198"/>
      <c r="U54" s="198"/>
    </row>
    <row r="55" spans="1:21" s="12" customFormat="1" x14ac:dyDescent="0.25">
      <c r="A55" s="214" t="s">
        <v>2884</v>
      </c>
      <c r="B55" s="64">
        <v>3.46</v>
      </c>
      <c r="C55" s="64">
        <v>33</v>
      </c>
      <c r="D55" s="64">
        <v>22.28</v>
      </c>
      <c r="E55" s="64">
        <v>1.47</v>
      </c>
      <c r="F55" s="64">
        <v>3.15</v>
      </c>
      <c r="G55" s="64">
        <v>88.59</v>
      </c>
      <c r="H55" s="64">
        <v>43.3</v>
      </c>
      <c r="I55" s="64">
        <v>1.47</v>
      </c>
      <c r="J55" s="64">
        <v>0.96</v>
      </c>
      <c r="K55" s="64">
        <v>131.12</v>
      </c>
      <c r="L55" s="64">
        <v>27.69</v>
      </c>
      <c r="M55" s="64">
        <v>34.11</v>
      </c>
      <c r="N55" s="64">
        <v>748.7</v>
      </c>
      <c r="O55" s="64">
        <v>0</v>
      </c>
      <c r="P55" s="64">
        <v>0.76</v>
      </c>
      <c r="Q55" s="64">
        <v>5.62</v>
      </c>
      <c r="R55" s="198"/>
      <c r="S55" s="198"/>
      <c r="T55" s="198"/>
      <c r="U55" s="198"/>
    </row>
    <row r="56" spans="1:21" s="12" customFormat="1" x14ac:dyDescent="0.25">
      <c r="A56" s="214" t="s">
        <v>2885</v>
      </c>
      <c r="B56" s="64">
        <v>3.3</v>
      </c>
      <c r="C56" s="64">
        <v>26.76</v>
      </c>
      <c r="D56" s="64">
        <v>18.71</v>
      </c>
      <c r="E56" s="64">
        <v>0.89</v>
      </c>
      <c r="F56" s="64">
        <v>4.08</v>
      </c>
      <c r="G56" s="64">
        <v>82.35</v>
      </c>
      <c r="H56" s="64">
        <v>47.19</v>
      </c>
      <c r="I56" s="64">
        <v>1.47</v>
      </c>
      <c r="J56" s="64">
        <v>1.17</v>
      </c>
      <c r="K56" s="64">
        <v>108.26</v>
      </c>
      <c r="L56" s="64">
        <v>27.12</v>
      </c>
      <c r="M56" s="64">
        <v>34.520000000000003</v>
      </c>
      <c r="N56" s="64">
        <v>701.2</v>
      </c>
      <c r="O56" s="64">
        <v>0</v>
      </c>
      <c r="P56" s="64">
        <v>0.73</v>
      </c>
      <c r="Q56" s="64">
        <v>5.53</v>
      </c>
      <c r="R56" s="198"/>
      <c r="S56" s="198"/>
      <c r="T56" s="198"/>
      <c r="U56" s="198"/>
    </row>
    <row r="57" spans="1:21" s="12" customFormat="1" x14ac:dyDescent="0.25">
      <c r="A57" s="214" t="s">
        <v>2886</v>
      </c>
      <c r="B57" s="64">
        <v>3.7</v>
      </c>
      <c r="C57" s="64">
        <v>22.92</v>
      </c>
      <c r="D57" s="64">
        <v>16.91</v>
      </c>
      <c r="E57" s="64">
        <v>1.47</v>
      </c>
      <c r="F57" s="64">
        <v>9.5399999999999991</v>
      </c>
      <c r="G57" s="64">
        <v>82.35</v>
      </c>
      <c r="H57" s="64">
        <v>47.19</v>
      </c>
      <c r="I57" s="64">
        <v>1.49</v>
      </c>
      <c r="J57" s="64">
        <v>0.56000000000000005</v>
      </c>
      <c r="K57" s="64">
        <v>348.69</v>
      </c>
      <c r="L57" s="64">
        <v>29.38</v>
      </c>
      <c r="M57" s="64">
        <v>30.9</v>
      </c>
      <c r="N57" s="64">
        <v>717.5</v>
      </c>
      <c r="O57" s="64">
        <v>0</v>
      </c>
      <c r="P57" s="64">
        <v>0.7</v>
      </c>
      <c r="Q57" s="64">
        <v>5.41</v>
      </c>
      <c r="R57" s="198"/>
      <c r="S57" s="198"/>
      <c r="T57" s="198"/>
      <c r="U57" s="198"/>
    </row>
    <row r="58" spans="1:21" s="12" customFormat="1" x14ac:dyDescent="0.25">
      <c r="A58" s="214" t="s">
        <v>2887</v>
      </c>
      <c r="B58" s="64">
        <v>3.51</v>
      </c>
      <c r="C58" s="64">
        <v>24.1</v>
      </c>
      <c r="D58" s="64">
        <v>17.41</v>
      </c>
      <c r="E58" s="64">
        <v>1.62</v>
      </c>
      <c r="F58" s="64">
        <v>3.06</v>
      </c>
      <c r="G58" s="64">
        <v>82.35</v>
      </c>
      <c r="H58" s="64">
        <v>47.19</v>
      </c>
      <c r="I58" s="64">
        <v>1.57</v>
      </c>
      <c r="J58" s="64">
        <v>0.57999999999999996</v>
      </c>
      <c r="K58" s="64">
        <v>339.43</v>
      </c>
      <c r="L58" s="64">
        <v>29.95</v>
      </c>
      <c r="M58" s="64">
        <v>29.16</v>
      </c>
      <c r="N58" s="64">
        <v>687</v>
      </c>
      <c r="O58" s="64">
        <v>0</v>
      </c>
      <c r="P58" s="64">
        <v>0.71</v>
      </c>
      <c r="Q58" s="64">
        <v>5.31</v>
      </c>
      <c r="R58" s="198"/>
      <c r="S58" s="198"/>
      <c r="T58" s="198"/>
      <c r="U58" s="198"/>
    </row>
    <row r="59" spans="1:21" s="12" customFormat="1" x14ac:dyDescent="0.25">
      <c r="A59" s="214" t="s">
        <v>2888</v>
      </c>
      <c r="B59" s="64">
        <v>3.39</v>
      </c>
      <c r="C59" s="64">
        <v>33.56</v>
      </c>
      <c r="D59" s="64">
        <v>22.53</v>
      </c>
      <c r="E59" s="64">
        <v>1.28</v>
      </c>
      <c r="F59" s="64">
        <v>6.91</v>
      </c>
      <c r="G59" s="64">
        <v>79.59</v>
      </c>
      <c r="H59" s="64">
        <v>33.479999999999997</v>
      </c>
      <c r="I59" s="64">
        <v>1.45</v>
      </c>
      <c r="J59" s="64">
        <v>0.91</v>
      </c>
      <c r="K59" s="64">
        <v>99.98</v>
      </c>
      <c r="L59" s="64">
        <v>28.64</v>
      </c>
      <c r="M59" s="64">
        <v>30.82</v>
      </c>
      <c r="N59" s="64">
        <v>669.7</v>
      </c>
      <c r="O59" s="64">
        <v>0</v>
      </c>
      <c r="P59" s="64">
        <v>0.68</v>
      </c>
      <c r="Q59" s="64">
        <v>5.15</v>
      </c>
      <c r="R59" s="198"/>
      <c r="S59" s="198"/>
      <c r="T59" s="198"/>
      <c r="U59" s="198"/>
    </row>
    <row r="60" spans="1:21" s="12" customFormat="1" x14ac:dyDescent="0.25">
      <c r="A60" s="214" t="s">
        <v>2889</v>
      </c>
      <c r="B60" s="64">
        <v>3.42</v>
      </c>
      <c r="C60" s="64">
        <v>25.57</v>
      </c>
      <c r="D60" s="64">
        <v>18.149999999999999</v>
      </c>
      <c r="E60" s="64">
        <v>1.58</v>
      </c>
      <c r="F60" s="64">
        <v>5.41</v>
      </c>
      <c r="G60" s="64">
        <v>76.959999999999994</v>
      </c>
      <c r="H60" s="64">
        <v>27.22</v>
      </c>
      <c r="I60" s="64">
        <v>1.57</v>
      </c>
      <c r="J60" s="64">
        <v>0.22</v>
      </c>
      <c r="K60" s="64">
        <v>45.12</v>
      </c>
      <c r="L60" s="64">
        <v>28.54</v>
      </c>
      <c r="M60" s="64">
        <v>29.38</v>
      </c>
      <c r="N60" s="64">
        <v>670.6</v>
      </c>
      <c r="O60" s="64">
        <v>0</v>
      </c>
      <c r="P60" s="64">
        <v>0.65</v>
      </c>
      <c r="Q60" s="64">
        <v>5.37</v>
      </c>
      <c r="R60" s="198"/>
      <c r="S60" s="198"/>
      <c r="T60" s="198"/>
      <c r="U60" s="198"/>
    </row>
    <row r="61" spans="1:21" s="12" customFormat="1" x14ac:dyDescent="0.25">
      <c r="A61" s="214" t="s">
        <v>2890</v>
      </c>
      <c r="B61" s="64">
        <v>2.96</v>
      </c>
      <c r="C61" s="64">
        <v>23.6</v>
      </c>
      <c r="D61" s="64">
        <v>16.690000000000001</v>
      </c>
      <c r="E61" s="64">
        <v>1.45</v>
      </c>
      <c r="F61" s="64">
        <v>4.07</v>
      </c>
      <c r="G61" s="64">
        <v>76.959999999999994</v>
      </c>
      <c r="H61" s="64">
        <v>27.22</v>
      </c>
      <c r="I61" s="64">
        <v>1.48</v>
      </c>
      <c r="J61" s="64">
        <v>1.21</v>
      </c>
      <c r="K61" s="64">
        <v>106</v>
      </c>
      <c r="L61" s="64">
        <v>27.94</v>
      </c>
      <c r="M61" s="64">
        <v>29.96</v>
      </c>
      <c r="N61" s="64">
        <v>602.5</v>
      </c>
      <c r="O61" s="64">
        <v>0</v>
      </c>
      <c r="P61" s="64">
        <v>0.61</v>
      </c>
      <c r="Q61" s="64">
        <v>5.34</v>
      </c>
      <c r="R61" s="198"/>
      <c r="S61" s="198"/>
      <c r="T61" s="198"/>
      <c r="U61" s="198"/>
    </row>
    <row r="62" spans="1:21" s="12" customFormat="1" x14ac:dyDescent="0.25">
      <c r="A62" s="214" t="s">
        <v>2891</v>
      </c>
      <c r="B62" s="64">
        <v>2.91</v>
      </c>
      <c r="C62" s="64">
        <v>30.73</v>
      </c>
      <c r="D62" s="64">
        <v>20.58</v>
      </c>
      <c r="E62" s="64">
        <v>1.02</v>
      </c>
      <c r="F62" s="64">
        <v>7.66</v>
      </c>
      <c r="G62" s="64">
        <v>80.540000000000006</v>
      </c>
      <c r="H62" s="64">
        <v>27.22</v>
      </c>
      <c r="I62" s="64">
        <v>1.4</v>
      </c>
      <c r="J62" s="64">
        <v>0.41</v>
      </c>
      <c r="K62" s="64">
        <v>105.22</v>
      </c>
      <c r="L62" s="64">
        <v>27.37</v>
      </c>
      <c r="M62" s="64">
        <v>32.450000000000003</v>
      </c>
      <c r="N62" s="64">
        <v>599.20000000000005</v>
      </c>
      <c r="O62" s="64">
        <v>0</v>
      </c>
      <c r="P62" s="64">
        <v>0.64</v>
      </c>
      <c r="Q62" s="216" t="s">
        <v>42</v>
      </c>
      <c r="R62" s="198"/>
      <c r="S62" s="198"/>
      <c r="T62" s="198"/>
      <c r="U62" s="198"/>
    </row>
    <row r="63" spans="1:21" s="12" customFormat="1" x14ac:dyDescent="0.25">
      <c r="A63" s="214" t="s">
        <v>2892</v>
      </c>
      <c r="B63" s="218" t="s">
        <v>32</v>
      </c>
      <c r="C63" s="218" t="s">
        <v>32</v>
      </c>
      <c r="D63" s="218" t="s">
        <v>32</v>
      </c>
      <c r="E63" s="218" t="s">
        <v>32</v>
      </c>
      <c r="F63" s="218" t="s">
        <v>32</v>
      </c>
      <c r="G63" s="218" t="s">
        <v>32</v>
      </c>
      <c r="H63" s="218" t="s">
        <v>32</v>
      </c>
      <c r="I63" s="218" t="s">
        <v>32</v>
      </c>
      <c r="J63" s="218" t="s">
        <v>32</v>
      </c>
      <c r="K63" s="218" t="s">
        <v>32</v>
      </c>
      <c r="L63" s="218" t="s">
        <v>32</v>
      </c>
      <c r="M63" s="218" t="s">
        <v>32</v>
      </c>
      <c r="N63" s="218" t="s">
        <v>32</v>
      </c>
      <c r="O63" s="218" t="s">
        <v>32</v>
      </c>
      <c r="P63" s="218" t="s">
        <v>32</v>
      </c>
      <c r="Q63" s="218" t="s">
        <v>32</v>
      </c>
      <c r="R63" s="198"/>
      <c r="S63" s="198"/>
      <c r="T63" s="198"/>
      <c r="U63" s="198"/>
    </row>
    <row r="64" spans="1:21" s="12" customFormat="1" x14ac:dyDescent="0.25">
      <c r="A64" s="214" t="s">
        <v>2893</v>
      </c>
      <c r="B64" s="218" t="s">
        <v>32</v>
      </c>
      <c r="C64" s="218" t="s">
        <v>32</v>
      </c>
      <c r="D64" s="218" t="s">
        <v>32</v>
      </c>
      <c r="E64" s="218" t="s">
        <v>32</v>
      </c>
      <c r="F64" s="218" t="s">
        <v>32</v>
      </c>
      <c r="G64" s="218" t="s">
        <v>32</v>
      </c>
      <c r="H64" s="218" t="s">
        <v>32</v>
      </c>
      <c r="I64" s="218" t="s">
        <v>32</v>
      </c>
      <c r="J64" s="218" t="s">
        <v>32</v>
      </c>
      <c r="K64" s="218" t="s">
        <v>32</v>
      </c>
      <c r="L64" s="218" t="s">
        <v>32</v>
      </c>
      <c r="M64" s="218" t="s">
        <v>32</v>
      </c>
      <c r="N64" s="218" t="s">
        <v>32</v>
      </c>
      <c r="O64" s="218" t="s">
        <v>32</v>
      </c>
      <c r="P64" s="218" t="s">
        <v>32</v>
      </c>
      <c r="Q64" s="218" t="s">
        <v>32</v>
      </c>
      <c r="R64" s="198"/>
      <c r="S64" s="198"/>
      <c r="T64" s="198"/>
      <c r="U64" s="198"/>
    </row>
    <row r="65" spans="1:21" s="12" customFormat="1" x14ac:dyDescent="0.25">
      <c r="A65" s="214" t="s">
        <v>2894</v>
      </c>
      <c r="B65" s="218" t="s">
        <v>32</v>
      </c>
      <c r="C65" s="218" t="s">
        <v>32</v>
      </c>
      <c r="D65" s="218" t="s">
        <v>32</v>
      </c>
      <c r="E65" s="218" t="s">
        <v>32</v>
      </c>
      <c r="F65" s="218" t="s">
        <v>32</v>
      </c>
      <c r="G65" s="218" t="s">
        <v>32</v>
      </c>
      <c r="H65" s="218" t="s">
        <v>32</v>
      </c>
      <c r="I65" s="218" t="s">
        <v>32</v>
      </c>
      <c r="J65" s="218" t="s">
        <v>32</v>
      </c>
      <c r="K65" s="218" t="s">
        <v>32</v>
      </c>
      <c r="L65" s="218" t="s">
        <v>32</v>
      </c>
      <c r="M65" s="218" t="s">
        <v>32</v>
      </c>
      <c r="N65" s="218" t="s">
        <v>32</v>
      </c>
      <c r="O65" s="218" t="s">
        <v>32</v>
      </c>
      <c r="P65" s="218" t="s">
        <v>32</v>
      </c>
      <c r="Q65" s="218" t="s">
        <v>32</v>
      </c>
      <c r="R65" s="198"/>
      <c r="S65" s="198"/>
      <c r="T65" s="198"/>
      <c r="U65" s="198"/>
    </row>
    <row r="66" spans="1:21" s="12" customFormat="1" x14ac:dyDescent="0.25">
      <c r="A66" s="214" t="s">
        <v>2895</v>
      </c>
      <c r="B66" s="218" t="s">
        <v>32</v>
      </c>
      <c r="C66" s="218" t="s">
        <v>32</v>
      </c>
      <c r="D66" s="218" t="s">
        <v>32</v>
      </c>
      <c r="E66" s="218" t="s">
        <v>32</v>
      </c>
      <c r="F66" s="218" t="s">
        <v>32</v>
      </c>
      <c r="G66" s="218" t="s">
        <v>32</v>
      </c>
      <c r="H66" s="218" t="s">
        <v>32</v>
      </c>
      <c r="I66" s="218" t="s">
        <v>32</v>
      </c>
      <c r="J66" s="218" t="s">
        <v>32</v>
      </c>
      <c r="K66" s="218" t="s">
        <v>32</v>
      </c>
      <c r="L66" s="218" t="s">
        <v>32</v>
      </c>
      <c r="M66" s="218" t="s">
        <v>32</v>
      </c>
      <c r="N66" s="218" t="s">
        <v>32</v>
      </c>
      <c r="O66" s="218" t="s">
        <v>32</v>
      </c>
      <c r="P66" s="218" t="s">
        <v>32</v>
      </c>
      <c r="Q66" s="218" t="s">
        <v>32</v>
      </c>
      <c r="R66" s="198"/>
      <c r="S66" s="198"/>
      <c r="T66" s="198"/>
      <c r="U66" s="198"/>
    </row>
    <row r="67" spans="1:21" s="12" customFormat="1" x14ac:dyDescent="0.25">
      <c r="A67" s="214" t="s">
        <v>2896</v>
      </c>
      <c r="B67" s="218" t="s">
        <v>32</v>
      </c>
      <c r="C67" s="218" t="s">
        <v>32</v>
      </c>
      <c r="D67" s="218" t="s">
        <v>32</v>
      </c>
      <c r="E67" s="218" t="s">
        <v>32</v>
      </c>
      <c r="F67" s="218" t="s">
        <v>32</v>
      </c>
      <c r="G67" s="218" t="s">
        <v>32</v>
      </c>
      <c r="H67" s="218" t="s">
        <v>32</v>
      </c>
      <c r="I67" s="218" t="s">
        <v>32</v>
      </c>
      <c r="J67" s="218" t="s">
        <v>32</v>
      </c>
      <c r="K67" s="218" t="s">
        <v>32</v>
      </c>
      <c r="L67" s="218" t="s">
        <v>32</v>
      </c>
      <c r="M67" s="218" t="s">
        <v>32</v>
      </c>
      <c r="N67" s="218" t="s">
        <v>32</v>
      </c>
      <c r="O67" s="218" t="s">
        <v>32</v>
      </c>
      <c r="P67" s="218" t="s">
        <v>32</v>
      </c>
      <c r="Q67" s="218" t="s">
        <v>32</v>
      </c>
      <c r="R67" s="198"/>
      <c r="S67" s="198"/>
      <c r="T67" s="198"/>
      <c r="U67" s="198"/>
    </row>
    <row r="68" spans="1:21" s="12" customFormat="1" x14ac:dyDescent="0.25">
      <c r="A68" s="214" t="s">
        <v>2897</v>
      </c>
      <c r="B68" s="218" t="s">
        <v>32</v>
      </c>
      <c r="C68" s="218" t="s">
        <v>32</v>
      </c>
      <c r="D68" s="218" t="s">
        <v>32</v>
      </c>
      <c r="E68" s="218" t="s">
        <v>32</v>
      </c>
      <c r="F68" s="218" t="s">
        <v>32</v>
      </c>
      <c r="G68" s="218" t="s">
        <v>32</v>
      </c>
      <c r="H68" s="218" t="s">
        <v>32</v>
      </c>
      <c r="I68" s="218" t="s">
        <v>32</v>
      </c>
      <c r="J68" s="218" t="s">
        <v>32</v>
      </c>
      <c r="K68" s="218" t="s">
        <v>32</v>
      </c>
      <c r="L68" s="218" t="s">
        <v>32</v>
      </c>
      <c r="M68" s="218" t="s">
        <v>32</v>
      </c>
      <c r="N68" s="218" t="s">
        <v>32</v>
      </c>
      <c r="O68" s="218" t="s">
        <v>32</v>
      </c>
      <c r="P68" s="218" t="s">
        <v>32</v>
      </c>
      <c r="Q68" s="218" t="s">
        <v>32</v>
      </c>
      <c r="R68" s="198"/>
      <c r="S68" s="198"/>
      <c r="T68" s="198"/>
      <c r="U68" s="198"/>
    </row>
    <row r="69" spans="1:21" s="12" customFormat="1" x14ac:dyDescent="0.25">
      <c r="A69" s="214" t="s">
        <v>2898</v>
      </c>
      <c r="B69" s="218" t="s">
        <v>32</v>
      </c>
      <c r="C69" s="218" t="s">
        <v>32</v>
      </c>
      <c r="D69" s="218" t="s">
        <v>32</v>
      </c>
      <c r="E69" s="218" t="s">
        <v>32</v>
      </c>
      <c r="F69" s="218" t="s">
        <v>32</v>
      </c>
      <c r="G69" s="218" t="s">
        <v>32</v>
      </c>
      <c r="H69" s="218" t="s">
        <v>32</v>
      </c>
      <c r="I69" s="218" t="s">
        <v>32</v>
      </c>
      <c r="J69" s="218" t="s">
        <v>32</v>
      </c>
      <c r="K69" s="218" t="s">
        <v>32</v>
      </c>
      <c r="L69" s="218" t="s">
        <v>32</v>
      </c>
      <c r="M69" s="218" t="s">
        <v>32</v>
      </c>
      <c r="N69" s="218" t="s">
        <v>32</v>
      </c>
      <c r="O69" s="218" t="s">
        <v>32</v>
      </c>
      <c r="P69" s="218" t="s">
        <v>32</v>
      </c>
      <c r="Q69" s="218" t="s">
        <v>32</v>
      </c>
      <c r="R69" s="198"/>
      <c r="S69" s="198"/>
      <c r="T69" s="198"/>
      <c r="U69" s="198"/>
    </row>
    <row r="70" spans="1:21" s="12" customFormat="1" x14ac:dyDescent="0.25">
      <c r="A70" s="214" t="s">
        <v>2899</v>
      </c>
      <c r="B70" s="218" t="s">
        <v>32</v>
      </c>
      <c r="C70" s="218" t="s">
        <v>32</v>
      </c>
      <c r="D70" s="218" t="s">
        <v>32</v>
      </c>
      <c r="E70" s="218" t="s">
        <v>32</v>
      </c>
      <c r="F70" s="218" t="s">
        <v>32</v>
      </c>
      <c r="G70" s="218" t="s">
        <v>32</v>
      </c>
      <c r="H70" s="218" t="s">
        <v>32</v>
      </c>
      <c r="I70" s="218" t="s">
        <v>32</v>
      </c>
      <c r="J70" s="218" t="s">
        <v>32</v>
      </c>
      <c r="K70" s="218" t="s">
        <v>32</v>
      </c>
      <c r="L70" s="218" t="s">
        <v>32</v>
      </c>
      <c r="M70" s="218" t="s">
        <v>32</v>
      </c>
      <c r="N70" s="218" t="s">
        <v>32</v>
      </c>
      <c r="O70" s="218" t="s">
        <v>32</v>
      </c>
      <c r="P70" s="218" t="s">
        <v>32</v>
      </c>
      <c r="Q70" s="218" t="s">
        <v>32</v>
      </c>
      <c r="R70" s="198"/>
      <c r="S70" s="198"/>
      <c r="T70" s="198"/>
      <c r="U70" s="198"/>
    </row>
    <row r="71" spans="1:21" s="12" customFormat="1" x14ac:dyDescent="0.25">
      <c r="A71" s="214" t="s">
        <v>2900</v>
      </c>
      <c r="B71" s="218" t="s">
        <v>32</v>
      </c>
      <c r="C71" s="218" t="s">
        <v>32</v>
      </c>
      <c r="D71" s="218" t="s">
        <v>32</v>
      </c>
      <c r="E71" s="218" t="s">
        <v>32</v>
      </c>
      <c r="F71" s="218" t="s">
        <v>32</v>
      </c>
      <c r="G71" s="218" t="s">
        <v>32</v>
      </c>
      <c r="H71" s="218" t="s">
        <v>32</v>
      </c>
      <c r="I71" s="218" t="s">
        <v>32</v>
      </c>
      <c r="J71" s="218" t="s">
        <v>32</v>
      </c>
      <c r="K71" s="218" t="s">
        <v>32</v>
      </c>
      <c r="L71" s="218" t="s">
        <v>32</v>
      </c>
      <c r="M71" s="218" t="s">
        <v>32</v>
      </c>
      <c r="N71" s="218" t="s">
        <v>32</v>
      </c>
      <c r="O71" s="218" t="s">
        <v>32</v>
      </c>
      <c r="P71" s="218" t="s">
        <v>32</v>
      </c>
      <c r="Q71" s="218" t="s">
        <v>32</v>
      </c>
      <c r="R71" s="198"/>
      <c r="S71" s="198"/>
      <c r="T71" s="198"/>
      <c r="U71" s="198"/>
    </row>
    <row r="72" spans="1:21" s="12" customFormat="1" x14ac:dyDescent="0.25">
      <c r="A72" s="214" t="s">
        <v>2901</v>
      </c>
      <c r="B72" s="219" t="s">
        <v>49</v>
      </c>
      <c r="C72" s="219" t="s">
        <v>49</v>
      </c>
      <c r="D72" s="219" t="s">
        <v>49</v>
      </c>
      <c r="E72" s="219" t="s">
        <v>49</v>
      </c>
      <c r="F72" s="64">
        <v>20.75</v>
      </c>
      <c r="G72" s="64">
        <v>39.840000000000003</v>
      </c>
      <c r="H72" s="64">
        <v>29.55</v>
      </c>
      <c r="I72" s="64">
        <v>1.57</v>
      </c>
      <c r="J72" s="64">
        <v>0.56999999999999995</v>
      </c>
      <c r="K72" s="64">
        <v>106.16</v>
      </c>
      <c r="L72" s="64">
        <v>25.61</v>
      </c>
      <c r="M72" s="64">
        <v>37.25</v>
      </c>
      <c r="N72" s="64">
        <v>89.5</v>
      </c>
      <c r="O72" s="64">
        <v>0</v>
      </c>
      <c r="P72" s="64">
        <v>0.27</v>
      </c>
      <c r="Q72" s="219" t="s">
        <v>49</v>
      </c>
      <c r="R72" s="198"/>
      <c r="S72" s="198"/>
      <c r="T72" s="198"/>
      <c r="U72" s="198"/>
    </row>
    <row r="73" spans="1:21" s="12" customFormat="1" x14ac:dyDescent="0.25">
      <c r="A73" s="214" t="s">
        <v>2902</v>
      </c>
      <c r="B73" s="64">
        <v>2.25</v>
      </c>
      <c r="C73" s="64">
        <v>18.149999999999999</v>
      </c>
      <c r="D73" s="64">
        <v>13.12</v>
      </c>
      <c r="E73" s="216" t="s">
        <v>42</v>
      </c>
      <c r="F73" s="64">
        <v>14.48</v>
      </c>
      <c r="G73" s="64">
        <v>27.7</v>
      </c>
      <c r="H73" s="64">
        <v>30.23</v>
      </c>
      <c r="I73" s="64">
        <v>1.48</v>
      </c>
      <c r="J73" s="64">
        <v>0.6</v>
      </c>
      <c r="K73" s="64">
        <v>107.66</v>
      </c>
      <c r="L73" s="64">
        <v>25.41</v>
      </c>
      <c r="M73" s="64">
        <v>38.229999999999997</v>
      </c>
      <c r="N73" s="64">
        <v>76.599999999999994</v>
      </c>
      <c r="O73" s="64">
        <v>0</v>
      </c>
      <c r="P73" s="64">
        <v>0.4</v>
      </c>
      <c r="Q73" s="219" t="s">
        <v>49</v>
      </c>
      <c r="R73" s="198"/>
      <c r="S73" s="198"/>
      <c r="T73" s="198"/>
      <c r="U73" s="198"/>
    </row>
    <row r="74" spans="1:21" s="12" customFormat="1" x14ac:dyDescent="0.25">
      <c r="A74" s="214" t="s">
        <v>2903</v>
      </c>
      <c r="B74" s="64">
        <v>2.25</v>
      </c>
      <c r="C74" s="64">
        <v>30.16</v>
      </c>
      <c r="D74" s="64">
        <v>19.739999999999998</v>
      </c>
      <c r="E74" s="64">
        <v>1.21</v>
      </c>
      <c r="F74" s="64">
        <v>11.9</v>
      </c>
      <c r="G74" s="64">
        <v>27.7</v>
      </c>
      <c r="H74" s="64">
        <v>30.23</v>
      </c>
      <c r="I74" s="64">
        <v>1.55</v>
      </c>
      <c r="J74" s="64">
        <v>0.45</v>
      </c>
      <c r="K74" s="64">
        <v>111.02</v>
      </c>
      <c r="L74" s="64">
        <v>25.25</v>
      </c>
      <c r="M74" s="64">
        <v>38.840000000000003</v>
      </c>
      <c r="N74" s="64">
        <v>65.5</v>
      </c>
      <c r="O74" s="64">
        <v>0</v>
      </c>
      <c r="P74" s="64">
        <v>0.42</v>
      </c>
      <c r="Q74" s="219" t="s">
        <v>49</v>
      </c>
      <c r="R74" s="198"/>
      <c r="S74" s="198"/>
      <c r="T74" s="198"/>
      <c r="U74" s="198"/>
    </row>
    <row r="75" spans="1:21" s="12" customFormat="1" x14ac:dyDescent="0.25">
      <c r="A75" s="214" t="s">
        <v>2904</v>
      </c>
      <c r="B75" s="216" t="s">
        <v>42</v>
      </c>
      <c r="C75" s="64">
        <v>27.92</v>
      </c>
      <c r="D75" s="64">
        <v>18.3</v>
      </c>
      <c r="E75" s="64">
        <v>0.16</v>
      </c>
      <c r="F75" s="64">
        <v>18.600000000000001</v>
      </c>
      <c r="G75" s="64">
        <v>57.05</v>
      </c>
      <c r="H75" s="64">
        <v>25.75</v>
      </c>
      <c r="I75" s="64">
        <v>1.51</v>
      </c>
      <c r="J75" s="64">
        <v>0.6</v>
      </c>
      <c r="K75" s="64">
        <v>103.31</v>
      </c>
      <c r="L75" s="64">
        <v>25.01</v>
      </c>
      <c r="M75" s="64">
        <v>39.909999999999997</v>
      </c>
      <c r="N75" s="64">
        <v>54.9</v>
      </c>
      <c r="O75" s="64">
        <v>0</v>
      </c>
      <c r="P75" s="64">
        <v>0.36</v>
      </c>
      <c r="Q75" s="64">
        <v>5.42</v>
      </c>
      <c r="R75" s="198"/>
      <c r="S75" s="198"/>
      <c r="T75" s="198"/>
      <c r="U75" s="198"/>
    </row>
    <row r="76" spans="1:21" s="12" customFormat="1" x14ac:dyDescent="0.25">
      <c r="A76" s="214" t="s">
        <v>2905</v>
      </c>
      <c r="B76" s="216" t="s">
        <v>42</v>
      </c>
      <c r="C76" s="64">
        <v>23.03</v>
      </c>
      <c r="D76" s="64">
        <v>15.61</v>
      </c>
      <c r="E76" s="216" t="s">
        <v>42</v>
      </c>
      <c r="F76" s="64">
        <v>10.45</v>
      </c>
      <c r="G76" s="64">
        <v>85.12</v>
      </c>
      <c r="H76" s="64">
        <v>22.7</v>
      </c>
      <c r="I76" s="64">
        <v>1.57</v>
      </c>
      <c r="J76" s="64">
        <v>1.07</v>
      </c>
      <c r="K76" s="64">
        <v>107.73</v>
      </c>
      <c r="L76" s="64">
        <v>24.75</v>
      </c>
      <c r="M76" s="64">
        <v>39.92</v>
      </c>
      <c r="N76" s="64">
        <v>43.1</v>
      </c>
      <c r="O76" s="64">
        <v>0</v>
      </c>
      <c r="P76" s="64">
        <v>0.33</v>
      </c>
      <c r="Q76" s="64">
        <v>5.13</v>
      </c>
      <c r="R76" s="198"/>
      <c r="S76" s="198"/>
      <c r="T76" s="198"/>
      <c r="U76" s="198"/>
    </row>
    <row r="77" spans="1:21" s="12" customFormat="1" x14ac:dyDescent="0.25">
      <c r="A77" s="214" t="s">
        <v>2906</v>
      </c>
      <c r="B77" s="216" t="s">
        <v>42</v>
      </c>
      <c r="C77" s="64">
        <v>21.62</v>
      </c>
      <c r="D77" s="64">
        <v>14.83</v>
      </c>
      <c r="E77" s="216" t="s">
        <v>42</v>
      </c>
      <c r="F77" s="64">
        <v>8.58</v>
      </c>
      <c r="G77" s="64">
        <v>85.12</v>
      </c>
      <c r="H77" s="64">
        <v>22.7</v>
      </c>
      <c r="I77" s="64">
        <v>1.48</v>
      </c>
      <c r="J77" s="64">
        <v>0.54</v>
      </c>
      <c r="K77" s="64">
        <v>101.53</v>
      </c>
      <c r="L77" s="64">
        <v>24.5</v>
      </c>
      <c r="M77" s="64">
        <v>40.29</v>
      </c>
      <c r="N77" s="64">
        <v>32.9</v>
      </c>
      <c r="O77" s="64">
        <v>0</v>
      </c>
      <c r="P77" s="64">
        <v>0.31</v>
      </c>
      <c r="Q77" s="64">
        <v>5.14</v>
      </c>
      <c r="R77" s="198"/>
      <c r="S77" s="198"/>
      <c r="T77" s="198"/>
      <c r="U77" s="198"/>
    </row>
    <row r="78" spans="1:21" s="12" customFormat="1" x14ac:dyDescent="0.25">
      <c r="A78" s="214" t="s">
        <v>2907</v>
      </c>
      <c r="B78" s="216" t="s">
        <v>42</v>
      </c>
      <c r="C78" s="64">
        <v>31.57</v>
      </c>
      <c r="D78" s="64">
        <v>20.32</v>
      </c>
      <c r="E78" s="64">
        <v>1.2</v>
      </c>
      <c r="F78" s="64">
        <v>20.2</v>
      </c>
      <c r="G78" s="64">
        <v>85.12</v>
      </c>
      <c r="H78" s="64">
        <v>22.7</v>
      </c>
      <c r="I78" s="64">
        <v>1.48</v>
      </c>
      <c r="J78" s="64">
        <v>0.26</v>
      </c>
      <c r="K78" s="64">
        <v>100.54</v>
      </c>
      <c r="L78" s="64">
        <v>24.13</v>
      </c>
      <c r="M78" s="64">
        <v>41.21</v>
      </c>
      <c r="N78" s="64">
        <v>27.1</v>
      </c>
      <c r="O78" s="64">
        <v>0</v>
      </c>
      <c r="P78" s="64">
        <v>0.34</v>
      </c>
      <c r="Q78" s="64">
        <v>4.76</v>
      </c>
      <c r="R78" s="198"/>
      <c r="S78" s="198"/>
      <c r="T78" s="198"/>
      <c r="U78" s="198"/>
    </row>
    <row r="79" spans="1:21" s="12" customFormat="1" x14ac:dyDescent="0.25">
      <c r="A79" s="214" t="s">
        <v>2908</v>
      </c>
      <c r="B79" s="216" t="s">
        <v>42</v>
      </c>
      <c r="C79" s="64">
        <v>34.65</v>
      </c>
      <c r="D79" s="64">
        <v>22.02</v>
      </c>
      <c r="E79" s="64">
        <v>2.12</v>
      </c>
      <c r="F79" s="64">
        <v>20.78</v>
      </c>
      <c r="G79" s="64">
        <v>82.16</v>
      </c>
      <c r="H79" s="64">
        <v>38.28</v>
      </c>
      <c r="I79" s="64">
        <v>1.52</v>
      </c>
      <c r="J79" s="64">
        <v>0.23</v>
      </c>
      <c r="K79" s="64">
        <v>95.37</v>
      </c>
      <c r="L79" s="64">
        <v>23.82</v>
      </c>
      <c r="M79" s="64">
        <v>41.89</v>
      </c>
      <c r="N79" s="64">
        <v>25</v>
      </c>
      <c r="O79" s="64">
        <v>0</v>
      </c>
      <c r="P79" s="64">
        <v>0.36</v>
      </c>
      <c r="Q79" s="64">
        <v>4.49</v>
      </c>
      <c r="R79" s="198"/>
      <c r="S79" s="198"/>
      <c r="T79" s="198"/>
      <c r="U79" s="198"/>
    </row>
    <row r="80" spans="1:21" s="12" customFormat="1" x14ac:dyDescent="0.25">
      <c r="A80" s="214" t="s">
        <v>2909</v>
      </c>
      <c r="B80" s="216" t="s">
        <v>42</v>
      </c>
      <c r="C80" s="64">
        <v>38.4</v>
      </c>
      <c r="D80" s="64">
        <v>24.09</v>
      </c>
      <c r="E80" s="64">
        <v>1</v>
      </c>
      <c r="F80" s="64">
        <v>10.5</v>
      </c>
      <c r="G80" s="64">
        <v>79.33</v>
      </c>
      <c r="H80" s="64">
        <v>50.84</v>
      </c>
      <c r="I80" s="64">
        <v>1.49</v>
      </c>
      <c r="J80" s="64">
        <v>0.2</v>
      </c>
      <c r="K80" s="64">
        <v>115.55</v>
      </c>
      <c r="L80" s="64">
        <v>23.6</v>
      </c>
      <c r="M80" s="64">
        <v>43.23</v>
      </c>
      <c r="N80" s="64">
        <v>24.7</v>
      </c>
      <c r="O80" s="64">
        <v>0</v>
      </c>
      <c r="P80" s="64">
        <v>0.35</v>
      </c>
      <c r="Q80" s="64">
        <v>4.53</v>
      </c>
      <c r="R80" s="198"/>
      <c r="S80" s="198"/>
      <c r="T80" s="198"/>
      <c r="U80" s="198"/>
    </row>
    <row r="81" spans="1:26" s="12" customFormat="1" x14ac:dyDescent="0.25">
      <c r="A81" s="214" t="s">
        <v>2910</v>
      </c>
      <c r="B81" s="216" t="s">
        <v>42</v>
      </c>
      <c r="C81" s="64">
        <v>41.27</v>
      </c>
      <c r="D81" s="64">
        <v>25.67</v>
      </c>
      <c r="E81" s="64">
        <v>1.1399999999999999</v>
      </c>
      <c r="F81" s="64">
        <v>11.41</v>
      </c>
      <c r="G81" s="64">
        <v>79.33</v>
      </c>
      <c r="H81" s="64">
        <v>50.84</v>
      </c>
      <c r="I81" s="64">
        <v>1.46</v>
      </c>
      <c r="J81" s="64">
        <v>0.09</v>
      </c>
      <c r="K81" s="64">
        <v>88.58</v>
      </c>
      <c r="L81" s="64">
        <v>23.35</v>
      </c>
      <c r="M81" s="64">
        <v>44.56</v>
      </c>
      <c r="N81" s="64">
        <v>24.8</v>
      </c>
      <c r="O81" s="64">
        <v>0</v>
      </c>
      <c r="P81" s="64">
        <v>0.41</v>
      </c>
      <c r="Q81" s="64">
        <v>4.25</v>
      </c>
      <c r="R81" s="198"/>
      <c r="S81" s="198"/>
      <c r="T81" s="198"/>
      <c r="U81" s="198"/>
    </row>
    <row r="82" spans="1:26" s="12" customFormat="1" x14ac:dyDescent="0.25">
      <c r="A82" s="214" t="s">
        <v>2911</v>
      </c>
      <c r="B82" s="64">
        <v>2.39</v>
      </c>
      <c r="C82" s="64">
        <v>47.38</v>
      </c>
      <c r="D82" s="64">
        <v>29.35</v>
      </c>
      <c r="E82" s="64">
        <v>1.04</v>
      </c>
      <c r="F82" s="64">
        <v>10.58</v>
      </c>
      <c r="G82" s="64">
        <v>79.33</v>
      </c>
      <c r="H82" s="64">
        <v>50.84</v>
      </c>
      <c r="I82" s="64">
        <v>1.5</v>
      </c>
      <c r="J82" s="64">
        <v>0.12</v>
      </c>
      <c r="K82" s="64">
        <v>54.99</v>
      </c>
      <c r="L82" s="64">
        <v>23.01</v>
      </c>
      <c r="M82" s="64">
        <v>46.63</v>
      </c>
      <c r="N82" s="64">
        <v>24.9</v>
      </c>
      <c r="O82" s="64">
        <v>0</v>
      </c>
      <c r="P82" s="64">
        <v>0.53</v>
      </c>
      <c r="Q82" s="64">
        <v>3.88</v>
      </c>
      <c r="R82" s="198"/>
      <c r="S82" s="198"/>
      <c r="T82" s="198"/>
      <c r="U82" s="198"/>
    </row>
    <row r="83" spans="1:26" s="12" customFormat="1" x14ac:dyDescent="0.25">
      <c r="A83" s="214" t="s">
        <v>2912</v>
      </c>
      <c r="B83" s="64">
        <v>11.4</v>
      </c>
      <c r="C83" s="64">
        <v>69.819999999999993</v>
      </c>
      <c r="D83" s="64">
        <v>48.97</v>
      </c>
      <c r="E83" s="64">
        <v>0.74</v>
      </c>
      <c r="F83" s="64">
        <v>4.3099999999999996</v>
      </c>
      <c r="G83" s="64">
        <v>83.1</v>
      </c>
      <c r="H83" s="64">
        <v>48.53</v>
      </c>
      <c r="I83" s="64">
        <v>1.58</v>
      </c>
      <c r="J83" s="64">
        <v>0.05</v>
      </c>
      <c r="K83" s="64">
        <v>345.51</v>
      </c>
      <c r="L83" s="64">
        <v>22.52</v>
      </c>
      <c r="M83" s="64">
        <v>50.25</v>
      </c>
      <c r="N83" s="64">
        <v>25.1</v>
      </c>
      <c r="O83" s="64">
        <v>0</v>
      </c>
      <c r="P83" s="64">
        <v>1.07</v>
      </c>
      <c r="Q83" s="64">
        <v>2.83</v>
      </c>
      <c r="R83" s="198"/>
      <c r="S83" s="198"/>
      <c r="T83" s="198"/>
      <c r="U83" s="198"/>
    </row>
    <row r="84" spans="1:26" s="12" customFormat="1" x14ac:dyDescent="0.25">
      <c r="A84" s="214" t="s">
        <v>2913</v>
      </c>
      <c r="B84" s="64">
        <v>8.1</v>
      </c>
      <c r="C84" s="64">
        <v>54.3</v>
      </c>
      <c r="D84" s="64">
        <v>37.75</v>
      </c>
      <c r="E84" s="64">
        <v>0.98</v>
      </c>
      <c r="F84" s="64">
        <v>3.7</v>
      </c>
      <c r="G84" s="64">
        <v>86.7</v>
      </c>
      <c r="H84" s="64">
        <v>47.37</v>
      </c>
      <c r="I84" s="64">
        <v>1.47</v>
      </c>
      <c r="J84" s="64">
        <v>0.1</v>
      </c>
      <c r="K84" s="64">
        <v>351.41</v>
      </c>
      <c r="L84" s="64">
        <v>21.98</v>
      </c>
      <c r="M84" s="64">
        <v>53.44</v>
      </c>
      <c r="N84" s="64">
        <v>25</v>
      </c>
      <c r="O84" s="64">
        <v>0</v>
      </c>
      <c r="P84" s="64">
        <v>0.85</v>
      </c>
      <c r="Q84" s="64">
        <v>1.7</v>
      </c>
      <c r="R84" s="198"/>
      <c r="S84" s="198"/>
      <c r="T84" s="198"/>
      <c r="U84" s="198"/>
    </row>
    <row r="85" spans="1:26" s="12" customFormat="1" x14ac:dyDescent="0.25">
      <c r="A85" s="214" t="s">
        <v>2914</v>
      </c>
      <c r="B85" s="64">
        <v>28.6</v>
      </c>
      <c r="C85" s="64">
        <v>59.55</v>
      </c>
      <c r="D85" s="64">
        <v>57.09</v>
      </c>
      <c r="E85" s="64">
        <v>1</v>
      </c>
      <c r="F85" s="64">
        <v>0.82</v>
      </c>
      <c r="G85" s="64">
        <v>86.7</v>
      </c>
      <c r="H85" s="64">
        <v>47.37</v>
      </c>
      <c r="I85" s="64">
        <v>1.52</v>
      </c>
      <c r="J85" s="64">
        <v>0.1</v>
      </c>
      <c r="K85" s="64">
        <v>340.58</v>
      </c>
      <c r="L85" s="64">
        <v>21.7</v>
      </c>
      <c r="M85" s="64">
        <v>55.75</v>
      </c>
      <c r="N85" s="64">
        <v>25</v>
      </c>
      <c r="O85" s="64">
        <v>0</v>
      </c>
      <c r="P85" s="64">
        <v>1.63</v>
      </c>
      <c r="Q85" s="64">
        <v>1.65</v>
      </c>
      <c r="R85" s="198"/>
      <c r="S85" s="198"/>
      <c r="T85" s="198"/>
      <c r="U85" s="198"/>
    </row>
    <row r="86" spans="1:26" s="12" customFormat="1" x14ac:dyDescent="0.25">
      <c r="A86" s="214" t="s">
        <v>2915</v>
      </c>
      <c r="B86" s="64">
        <v>10.74</v>
      </c>
      <c r="C86" s="64">
        <v>53.3</v>
      </c>
      <c r="D86" s="64">
        <v>39.32</v>
      </c>
      <c r="E86" s="64">
        <v>0.89</v>
      </c>
      <c r="F86" s="64">
        <v>2.5499999999999998</v>
      </c>
      <c r="G86" s="64">
        <v>86.7</v>
      </c>
      <c r="H86" s="64">
        <v>47.37</v>
      </c>
      <c r="I86" s="64">
        <v>1.5</v>
      </c>
      <c r="J86" s="64">
        <v>0.05</v>
      </c>
      <c r="K86" s="64">
        <v>197.17</v>
      </c>
      <c r="L86" s="64">
        <v>21.56</v>
      </c>
      <c r="M86" s="64">
        <v>54.68</v>
      </c>
      <c r="N86" s="64">
        <v>24.7</v>
      </c>
      <c r="O86" s="64">
        <v>0</v>
      </c>
      <c r="P86" s="64">
        <v>1.18</v>
      </c>
      <c r="Q86" s="64">
        <v>1.66</v>
      </c>
      <c r="R86" s="198"/>
      <c r="S86" s="198"/>
      <c r="T86" s="198"/>
      <c r="U86" s="198"/>
    </row>
    <row r="87" spans="1:26" s="12" customFormat="1" x14ac:dyDescent="0.25">
      <c r="A87" s="214" t="s">
        <v>2916</v>
      </c>
      <c r="B87" s="64">
        <v>6.94</v>
      </c>
      <c r="C87" s="64">
        <v>47.68</v>
      </c>
      <c r="D87" s="64">
        <v>33.17</v>
      </c>
      <c r="E87" s="64">
        <v>0.15</v>
      </c>
      <c r="F87" s="64">
        <v>6.04</v>
      </c>
      <c r="G87" s="64">
        <v>113.56</v>
      </c>
      <c r="H87" s="64">
        <v>59.96</v>
      </c>
      <c r="I87" s="64">
        <v>1.46</v>
      </c>
      <c r="J87" s="64">
        <v>0.27</v>
      </c>
      <c r="K87" s="64">
        <v>106.13</v>
      </c>
      <c r="L87" s="64">
        <v>22.2</v>
      </c>
      <c r="M87" s="64">
        <v>50.25</v>
      </c>
      <c r="N87" s="64">
        <v>23.8</v>
      </c>
      <c r="O87" s="64">
        <v>0</v>
      </c>
      <c r="P87" s="64">
        <v>0.95</v>
      </c>
      <c r="Q87" s="64">
        <v>4.07</v>
      </c>
      <c r="R87" s="198"/>
      <c r="S87" s="198"/>
      <c r="T87" s="198"/>
      <c r="U87" s="198"/>
    </row>
    <row r="88" spans="1:26" s="12" customFormat="1" x14ac:dyDescent="0.25">
      <c r="A88" s="214" t="s">
        <v>2917</v>
      </c>
      <c r="B88" s="64">
        <v>9.18</v>
      </c>
      <c r="C88" s="64">
        <v>54.65</v>
      </c>
      <c r="D88" s="64">
        <v>38.81</v>
      </c>
      <c r="E88" s="64">
        <v>0.85</v>
      </c>
      <c r="F88" s="64">
        <v>4.34</v>
      </c>
      <c r="G88" s="64">
        <v>139.24</v>
      </c>
      <c r="H88" s="64">
        <v>65.72</v>
      </c>
      <c r="I88" s="64">
        <v>1.51</v>
      </c>
      <c r="J88" s="64">
        <v>0.14000000000000001</v>
      </c>
      <c r="K88" s="64">
        <v>65.16</v>
      </c>
      <c r="L88" s="64">
        <v>22.39</v>
      </c>
      <c r="M88" s="64">
        <v>49.73</v>
      </c>
      <c r="N88" s="64">
        <v>16.399999999999999</v>
      </c>
      <c r="O88" s="64">
        <v>0</v>
      </c>
      <c r="P88" s="64">
        <v>1.17</v>
      </c>
      <c r="Q88" s="64">
        <v>4.55</v>
      </c>
      <c r="R88" s="198"/>
      <c r="S88" s="198"/>
      <c r="T88" s="198"/>
      <c r="U88" s="198"/>
    </row>
    <row r="89" spans="1:26" s="12" customFormat="1" x14ac:dyDescent="0.25">
      <c r="A89" s="214" t="s">
        <v>2918</v>
      </c>
      <c r="B89" s="64">
        <v>7.45</v>
      </c>
      <c r="C89" s="64">
        <v>44.89</v>
      </c>
      <c r="D89" s="64">
        <v>32.04</v>
      </c>
      <c r="E89" s="64">
        <v>1.64</v>
      </c>
      <c r="F89" s="64">
        <v>5.87</v>
      </c>
      <c r="G89" s="64">
        <v>139.24</v>
      </c>
      <c r="H89" s="64">
        <v>65.72</v>
      </c>
      <c r="I89" s="64">
        <v>1.45</v>
      </c>
      <c r="J89" s="64">
        <v>0.16</v>
      </c>
      <c r="K89" s="64">
        <v>49.01</v>
      </c>
      <c r="L89" s="64">
        <v>22.15</v>
      </c>
      <c r="M89" s="64">
        <v>50.47</v>
      </c>
      <c r="N89" s="64">
        <v>16.600000000000001</v>
      </c>
      <c r="O89" s="64">
        <v>0</v>
      </c>
      <c r="P89" s="64">
        <v>1.02</v>
      </c>
      <c r="Q89" s="64">
        <v>4.42</v>
      </c>
      <c r="R89" s="198"/>
      <c r="S89" s="198"/>
      <c r="T89" s="198"/>
      <c r="U89" s="198"/>
    </row>
    <row r="90" spans="1:26" s="12" customFormat="1" x14ac:dyDescent="0.25">
      <c r="A90" s="214" t="s">
        <v>2919</v>
      </c>
      <c r="B90" s="64">
        <v>5.74</v>
      </c>
      <c r="C90" s="64">
        <v>54.29</v>
      </c>
      <c r="D90" s="64">
        <v>35.86</v>
      </c>
      <c r="E90" s="64">
        <v>1.35</v>
      </c>
      <c r="F90" s="64">
        <v>7.25</v>
      </c>
      <c r="G90" s="64">
        <v>139.24</v>
      </c>
      <c r="H90" s="64">
        <v>65.72</v>
      </c>
      <c r="I90" s="64">
        <v>1.51</v>
      </c>
      <c r="J90" s="64">
        <v>0.05</v>
      </c>
      <c r="K90" s="64">
        <v>55.43</v>
      </c>
      <c r="L90" s="64">
        <v>21.8</v>
      </c>
      <c r="M90" s="64">
        <v>52.28</v>
      </c>
      <c r="N90" s="64">
        <v>16.8</v>
      </c>
      <c r="O90" s="64">
        <v>0</v>
      </c>
      <c r="P90" s="64">
        <v>1.1299999999999999</v>
      </c>
      <c r="Q90" s="64">
        <v>4.5999999999999996</v>
      </c>
      <c r="R90" s="198"/>
      <c r="S90" s="198"/>
      <c r="T90" s="198"/>
      <c r="U90" s="198"/>
    </row>
    <row r="91" spans="1:26" s="12" customFormat="1" x14ac:dyDescent="0.25">
      <c r="A91" s="214" t="s">
        <v>2920</v>
      </c>
      <c r="B91" s="64">
        <v>11.37</v>
      </c>
      <c r="C91" s="64">
        <v>38.6</v>
      </c>
      <c r="D91" s="64">
        <v>31.72</v>
      </c>
      <c r="E91" s="64">
        <v>1.38</v>
      </c>
      <c r="F91" s="64">
        <v>1.68</v>
      </c>
      <c r="G91" s="64">
        <v>146.27000000000001</v>
      </c>
      <c r="H91" s="64">
        <v>64.97</v>
      </c>
      <c r="I91" s="64">
        <v>1.53</v>
      </c>
      <c r="J91" s="64">
        <v>0.12</v>
      </c>
      <c r="K91" s="64">
        <v>327.07</v>
      </c>
      <c r="L91" s="64">
        <v>21.32</v>
      </c>
      <c r="M91" s="64">
        <v>58.24</v>
      </c>
      <c r="N91" s="64">
        <v>16.8</v>
      </c>
      <c r="O91" s="64">
        <v>0</v>
      </c>
      <c r="P91" s="64">
        <v>1.05</v>
      </c>
      <c r="Q91" s="64">
        <v>4.58</v>
      </c>
      <c r="R91" s="198"/>
      <c r="S91" s="198"/>
      <c r="T91" s="198"/>
      <c r="U91" s="198"/>
    </row>
    <row r="92" spans="1:26" s="12" customFormat="1" x14ac:dyDescent="0.25">
      <c r="A92" s="214" t="s">
        <v>2921</v>
      </c>
      <c r="B92" s="64">
        <v>28.51</v>
      </c>
      <c r="C92" s="64">
        <v>55.32</v>
      </c>
      <c r="D92" s="64">
        <v>54.68</v>
      </c>
      <c r="E92" s="64">
        <v>1.18</v>
      </c>
      <c r="F92" s="64">
        <v>0.57999999999999996</v>
      </c>
      <c r="G92" s="64">
        <v>153</v>
      </c>
      <c r="H92" s="64">
        <v>64.63</v>
      </c>
      <c r="I92" s="64">
        <v>1.43</v>
      </c>
      <c r="J92" s="64">
        <v>0.12</v>
      </c>
      <c r="K92" s="64">
        <v>286.23</v>
      </c>
      <c r="L92" s="64">
        <v>20.97</v>
      </c>
      <c r="M92" s="64">
        <v>58.26</v>
      </c>
      <c r="N92" s="64">
        <v>16.899999999999999</v>
      </c>
      <c r="O92" s="64">
        <v>0</v>
      </c>
      <c r="P92" s="64">
        <v>1.42</v>
      </c>
      <c r="Q92" s="64">
        <v>3.06</v>
      </c>
      <c r="R92" s="198"/>
      <c r="S92" s="198"/>
      <c r="T92" s="198"/>
      <c r="U92" s="198"/>
    </row>
    <row r="93" spans="1:26" s="12" customFormat="1" x14ac:dyDescent="0.25">
      <c r="A93" s="214" t="s">
        <v>2922</v>
      </c>
      <c r="B93" s="64">
        <v>23.4</v>
      </c>
      <c r="C93" s="64">
        <v>47.97</v>
      </c>
      <c r="D93" s="64">
        <v>46.53</v>
      </c>
      <c r="E93" s="64">
        <v>1.41</v>
      </c>
      <c r="F93" s="64">
        <v>0.43</v>
      </c>
      <c r="G93" s="64">
        <v>153</v>
      </c>
      <c r="H93" s="64">
        <v>64.63</v>
      </c>
      <c r="I93" s="64">
        <v>1.43</v>
      </c>
      <c r="J93" s="64">
        <v>0.16</v>
      </c>
      <c r="K93" s="64">
        <v>345.77</v>
      </c>
      <c r="L93" s="64">
        <v>20.59</v>
      </c>
      <c r="M93" s="64">
        <v>62.27</v>
      </c>
      <c r="N93" s="64">
        <v>16.600000000000001</v>
      </c>
      <c r="O93" s="64">
        <v>0</v>
      </c>
      <c r="P93" s="64">
        <v>1.49</v>
      </c>
      <c r="Q93" s="64">
        <v>2.61</v>
      </c>
      <c r="R93" s="198"/>
      <c r="S93" s="198"/>
      <c r="T93" s="198"/>
      <c r="U93" s="198"/>
    </row>
    <row r="94" spans="1:26" s="12" customFormat="1" x14ac:dyDescent="0.25">
      <c r="A94" s="214" t="s">
        <v>2923</v>
      </c>
      <c r="B94" s="64">
        <v>13.53</v>
      </c>
      <c r="C94" s="64">
        <v>52.63</v>
      </c>
      <c r="D94" s="64">
        <v>41.19</v>
      </c>
      <c r="E94" s="64">
        <v>1.48</v>
      </c>
      <c r="F94" s="64">
        <v>2.57</v>
      </c>
      <c r="G94" s="64">
        <v>153</v>
      </c>
      <c r="H94" s="64">
        <v>64.63</v>
      </c>
      <c r="I94" s="64">
        <v>1.5</v>
      </c>
      <c r="J94" s="64">
        <v>0.08</v>
      </c>
      <c r="K94" s="64">
        <v>304.61</v>
      </c>
      <c r="L94" s="64">
        <v>20.85</v>
      </c>
      <c r="M94" s="64">
        <v>55.28</v>
      </c>
      <c r="N94" s="64">
        <v>16.2</v>
      </c>
      <c r="O94" s="64">
        <v>0</v>
      </c>
      <c r="P94" s="64">
        <v>1.21</v>
      </c>
      <c r="Q94" s="64">
        <v>4.78</v>
      </c>
      <c r="R94" s="198"/>
      <c r="S94" s="198"/>
      <c r="T94" s="198"/>
      <c r="U94" s="198"/>
    </row>
    <row r="95" spans="1:26" s="12" customFormat="1" x14ac:dyDescent="0.25">
      <c r="A95" s="214" t="s">
        <v>2924</v>
      </c>
      <c r="B95" s="64">
        <v>18.93</v>
      </c>
      <c r="C95" s="64">
        <v>48.47</v>
      </c>
      <c r="D95" s="64">
        <v>43.22</v>
      </c>
      <c r="E95" s="64">
        <v>1.57</v>
      </c>
      <c r="F95" s="64">
        <v>1.23</v>
      </c>
      <c r="G95" s="64">
        <v>160.06</v>
      </c>
      <c r="H95" s="64">
        <v>70.64</v>
      </c>
      <c r="I95" s="64">
        <v>1.52</v>
      </c>
      <c r="J95" s="64">
        <v>0.19</v>
      </c>
      <c r="K95" s="64">
        <v>314.08999999999997</v>
      </c>
      <c r="L95" s="64">
        <v>20.399999999999999</v>
      </c>
      <c r="M95" s="64">
        <v>59.94</v>
      </c>
      <c r="N95" s="64">
        <v>16.7</v>
      </c>
      <c r="O95" s="64">
        <v>0</v>
      </c>
      <c r="P95" s="64">
        <v>1.28</v>
      </c>
      <c r="Q95" s="64">
        <v>4.95</v>
      </c>
      <c r="R95" s="198"/>
      <c r="S95" s="198"/>
      <c r="T95" s="198"/>
      <c r="U95" s="198"/>
    </row>
    <row r="96" spans="1:26" s="12" customFormat="1" x14ac:dyDescent="0.25">
      <c r="A96" s="214" t="s">
        <v>2925</v>
      </c>
      <c r="B96" s="64">
        <v>23.53</v>
      </c>
      <c r="C96" s="64">
        <v>39.04</v>
      </c>
      <c r="D96" s="64">
        <v>41.7</v>
      </c>
      <c r="E96" s="64">
        <v>1.44</v>
      </c>
      <c r="F96" s="64">
        <v>0.49</v>
      </c>
      <c r="G96" s="64">
        <v>166.81</v>
      </c>
      <c r="H96" s="64">
        <v>73.64</v>
      </c>
      <c r="I96" s="64">
        <v>1.55</v>
      </c>
      <c r="J96" s="64">
        <v>0.14000000000000001</v>
      </c>
      <c r="K96" s="64">
        <v>300.58</v>
      </c>
      <c r="L96" s="64">
        <v>19.899999999999999</v>
      </c>
      <c r="M96" s="64">
        <v>66.36</v>
      </c>
      <c r="N96" s="64">
        <v>16.7</v>
      </c>
      <c r="O96" s="64">
        <v>0</v>
      </c>
      <c r="P96" s="64">
        <v>1.36</v>
      </c>
      <c r="Q96" s="64">
        <v>3.67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2926</v>
      </c>
      <c r="B97" s="64">
        <v>22.46</v>
      </c>
      <c r="C97" s="64">
        <v>34.619999999999997</v>
      </c>
      <c r="D97" s="64">
        <v>38.409999999999997</v>
      </c>
      <c r="E97" s="64">
        <v>1.37</v>
      </c>
      <c r="F97" s="64">
        <v>0.36</v>
      </c>
      <c r="G97" s="64">
        <v>166.81</v>
      </c>
      <c r="H97" s="64">
        <v>73.64</v>
      </c>
      <c r="I97" s="64">
        <v>1.49</v>
      </c>
      <c r="J97" s="64">
        <v>0.13</v>
      </c>
      <c r="K97" s="64">
        <v>326.62</v>
      </c>
      <c r="L97" s="64">
        <v>19.829999999999998</v>
      </c>
      <c r="M97" s="64">
        <v>66.61</v>
      </c>
      <c r="N97" s="64">
        <v>16.3</v>
      </c>
      <c r="O97" s="64">
        <v>0</v>
      </c>
      <c r="P97" s="64">
        <v>1.36</v>
      </c>
      <c r="Q97" s="64">
        <v>4.78</v>
      </c>
      <c r="R97" s="198"/>
      <c r="S97" s="198"/>
      <c r="T97" s="198"/>
      <c r="U97" s="198"/>
    </row>
    <row r="98" spans="1:33" s="12" customFormat="1" x14ac:dyDescent="0.25">
      <c r="A98" s="214" t="s">
        <v>2927</v>
      </c>
      <c r="B98" s="64">
        <v>22.81</v>
      </c>
      <c r="C98" s="64">
        <v>34.74</v>
      </c>
      <c r="D98" s="64">
        <v>38.76</v>
      </c>
      <c r="E98" s="64">
        <v>1.04</v>
      </c>
      <c r="F98" s="64">
        <v>0.57999999999999996</v>
      </c>
      <c r="G98" s="64">
        <v>166.81</v>
      </c>
      <c r="H98" s="64">
        <v>73.64</v>
      </c>
      <c r="I98" s="64">
        <v>1.54</v>
      </c>
      <c r="J98" s="64">
        <v>0.02</v>
      </c>
      <c r="K98" s="64">
        <v>241.01</v>
      </c>
      <c r="L98" s="64">
        <v>19.91</v>
      </c>
      <c r="M98" s="64">
        <v>62.8</v>
      </c>
      <c r="N98" s="64">
        <v>16</v>
      </c>
      <c r="O98" s="64">
        <v>0</v>
      </c>
      <c r="P98" s="64">
        <v>1.38</v>
      </c>
      <c r="Q98" s="64">
        <v>6.17</v>
      </c>
      <c r="R98" s="198"/>
      <c r="S98" s="198"/>
      <c r="T98" s="198"/>
      <c r="U98" s="198"/>
    </row>
    <row r="99" spans="1:33" s="12" customFormat="1" x14ac:dyDescent="0.25">
      <c r="A99" s="214" t="s">
        <v>2928</v>
      </c>
      <c r="B99" s="64">
        <v>20.73</v>
      </c>
      <c r="C99" s="64">
        <v>37.130000000000003</v>
      </c>
      <c r="D99" s="64">
        <v>38.4</v>
      </c>
      <c r="E99" s="64">
        <v>1.21</v>
      </c>
      <c r="F99" s="64">
        <v>2.31</v>
      </c>
      <c r="G99" s="64">
        <v>171.11</v>
      </c>
      <c r="H99" s="64">
        <v>71.900000000000006</v>
      </c>
      <c r="I99" s="64">
        <v>1.5</v>
      </c>
      <c r="J99" s="64">
        <v>0.08</v>
      </c>
      <c r="K99" s="64">
        <v>331.92</v>
      </c>
      <c r="L99" s="64">
        <v>20.149999999999999</v>
      </c>
      <c r="M99" s="64">
        <v>62.58</v>
      </c>
      <c r="N99" s="64">
        <v>16.2</v>
      </c>
      <c r="O99" s="64">
        <v>0</v>
      </c>
      <c r="P99" s="64">
        <v>1.34</v>
      </c>
      <c r="Q99" s="64">
        <v>6.49</v>
      </c>
      <c r="R99" s="198"/>
      <c r="S99" s="198"/>
      <c r="T99" s="198"/>
      <c r="U99" s="198"/>
    </row>
    <row r="100" spans="1:33" s="12" customFormat="1" x14ac:dyDescent="0.25">
      <c r="A100" s="214" t="s">
        <v>2929</v>
      </c>
      <c r="B100" s="64">
        <v>21.94</v>
      </c>
      <c r="C100" s="64">
        <v>35.96</v>
      </c>
      <c r="D100" s="64">
        <v>38.74</v>
      </c>
      <c r="E100" s="64">
        <v>1.01</v>
      </c>
      <c r="F100" s="64">
        <v>0.94</v>
      </c>
      <c r="G100" s="64">
        <v>175.05</v>
      </c>
      <c r="H100" s="64">
        <v>70.84</v>
      </c>
      <c r="I100" s="64">
        <v>1.51</v>
      </c>
      <c r="J100" s="64">
        <v>0.11</v>
      </c>
      <c r="K100" s="64">
        <v>298.22000000000003</v>
      </c>
      <c r="L100" s="64">
        <v>19.57</v>
      </c>
      <c r="M100" s="64">
        <v>70.92</v>
      </c>
      <c r="N100" s="64">
        <v>16.600000000000001</v>
      </c>
      <c r="O100" s="64">
        <v>0</v>
      </c>
      <c r="P100" s="64">
        <v>1.41</v>
      </c>
      <c r="Q100" s="64">
        <v>6.58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2930</v>
      </c>
      <c r="B101" s="64">
        <v>23.62</v>
      </c>
      <c r="C101" s="64">
        <v>34.39</v>
      </c>
      <c r="D101" s="64">
        <v>39.21</v>
      </c>
      <c r="E101" s="64">
        <v>1.01</v>
      </c>
      <c r="F101" s="64">
        <v>0.19</v>
      </c>
      <c r="G101" s="64">
        <v>175.05</v>
      </c>
      <c r="H101" s="64">
        <v>70.84</v>
      </c>
      <c r="I101" s="64">
        <v>1.51</v>
      </c>
      <c r="J101" s="64">
        <v>0.15</v>
      </c>
      <c r="K101" s="64">
        <v>281.89999999999998</v>
      </c>
      <c r="L101" s="64">
        <v>19.5</v>
      </c>
      <c r="M101" s="64">
        <v>67.77</v>
      </c>
      <c r="N101" s="64">
        <v>16.3</v>
      </c>
      <c r="O101" s="64">
        <v>0</v>
      </c>
      <c r="P101" s="64">
        <v>1.4</v>
      </c>
      <c r="Q101" s="64">
        <v>6.67</v>
      </c>
      <c r="R101" s="198"/>
      <c r="S101" s="198"/>
      <c r="T101" s="198"/>
      <c r="U101" s="198"/>
    </row>
    <row r="102" spans="1:33" s="12" customFormat="1" x14ac:dyDescent="0.25">
      <c r="A102" s="214" t="s">
        <v>2931</v>
      </c>
      <c r="B102" s="64">
        <v>24.09</v>
      </c>
      <c r="C102" s="64">
        <v>34.54</v>
      </c>
      <c r="D102" s="64">
        <v>39.67</v>
      </c>
      <c r="E102" s="64">
        <v>1.04</v>
      </c>
      <c r="F102" s="64">
        <v>0.79</v>
      </c>
      <c r="G102" s="64">
        <v>175.05</v>
      </c>
      <c r="H102" s="64">
        <v>70.84</v>
      </c>
      <c r="I102" s="64">
        <v>1.53</v>
      </c>
      <c r="J102" s="64">
        <v>0.25</v>
      </c>
      <c r="K102" s="64">
        <v>104.93</v>
      </c>
      <c r="L102" s="64">
        <v>20.16</v>
      </c>
      <c r="M102" s="64">
        <v>60.52</v>
      </c>
      <c r="N102" s="64">
        <v>15.2</v>
      </c>
      <c r="O102" s="64">
        <v>0</v>
      </c>
      <c r="P102" s="64">
        <v>1.4</v>
      </c>
      <c r="Q102" s="64">
        <v>6.79</v>
      </c>
      <c r="R102" s="198"/>
      <c r="S102" s="198"/>
      <c r="T102" s="198"/>
      <c r="U102" s="198"/>
    </row>
    <row r="103" spans="1:33" s="12" customFormat="1" x14ac:dyDescent="0.25">
      <c r="A103" s="214" t="s">
        <v>2932</v>
      </c>
      <c r="B103" s="64">
        <v>22.99</v>
      </c>
      <c r="C103" s="64">
        <v>33.200000000000003</v>
      </c>
      <c r="D103" s="64">
        <v>38.049999999999997</v>
      </c>
      <c r="E103" s="64">
        <v>0.93</v>
      </c>
      <c r="F103" s="64">
        <v>1.25</v>
      </c>
      <c r="G103" s="64">
        <v>165.26</v>
      </c>
      <c r="H103" s="64">
        <v>68.010000000000005</v>
      </c>
      <c r="I103" s="64">
        <v>1.49</v>
      </c>
      <c r="J103" s="64">
        <v>0.04</v>
      </c>
      <c r="K103" s="64">
        <v>95.41</v>
      </c>
      <c r="L103" s="64">
        <v>20.56</v>
      </c>
      <c r="M103" s="64">
        <v>58.71</v>
      </c>
      <c r="N103" s="64">
        <v>16</v>
      </c>
      <c r="O103" s="64">
        <v>0</v>
      </c>
      <c r="P103" s="64">
        <v>1.37</v>
      </c>
      <c r="Q103" s="64">
        <v>6.79</v>
      </c>
      <c r="R103" s="198"/>
      <c r="S103" s="198"/>
      <c r="T103" s="198"/>
      <c r="U103" s="198"/>
    </row>
    <row r="104" spans="1:33" s="12" customFormat="1" x14ac:dyDescent="0.25">
      <c r="A104" s="214" t="s">
        <v>2933</v>
      </c>
      <c r="B104" s="64">
        <v>21.93</v>
      </c>
      <c r="C104" s="64">
        <v>36.03</v>
      </c>
      <c r="D104" s="64">
        <v>38.770000000000003</v>
      </c>
      <c r="E104" s="64">
        <v>0.85</v>
      </c>
      <c r="F104" s="64">
        <v>0.25</v>
      </c>
      <c r="G104" s="64">
        <v>155.9</v>
      </c>
      <c r="H104" s="64">
        <v>65.81</v>
      </c>
      <c r="I104" s="64">
        <v>1.52</v>
      </c>
      <c r="J104" s="64">
        <v>0.19</v>
      </c>
      <c r="K104" s="64">
        <v>311.95999999999998</v>
      </c>
      <c r="L104" s="64">
        <v>19.95</v>
      </c>
      <c r="M104" s="64">
        <v>63.5</v>
      </c>
      <c r="N104" s="64">
        <v>16.8</v>
      </c>
      <c r="O104" s="64">
        <v>0</v>
      </c>
      <c r="P104" s="64">
        <v>1.35</v>
      </c>
      <c r="Q104" s="64">
        <v>6.69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2.25</v>
      </c>
      <c r="C106" s="67">
        <f>MIN(C9:C104)</f>
        <v>18.149999999999999</v>
      </c>
      <c r="D106" s="67">
        <f t="shared" ref="D106:Q106" si="0">MIN(D9:D104)</f>
        <v>13.12</v>
      </c>
      <c r="E106" s="67">
        <f t="shared" si="0"/>
        <v>0.15</v>
      </c>
      <c r="F106" s="67">
        <f t="shared" si="0"/>
        <v>0</v>
      </c>
      <c r="G106" s="67">
        <f t="shared" si="0"/>
        <v>27.7</v>
      </c>
      <c r="H106" s="67">
        <f t="shared" si="0"/>
        <v>14.71</v>
      </c>
      <c r="I106" s="67">
        <f t="shared" si="0"/>
        <v>1.4</v>
      </c>
      <c r="J106" s="67">
        <f t="shared" si="0"/>
        <v>0.01</v>
      </c>
      <c r="K106" s="67">
        <f t="shared" si="0"/>
        <v>2.17</v>
      </c>
      <c r="L106" s="67">
        <f t="shared" si="0"/>
        <v>15.45</v>
      </c>
      <c r="M106" s="67">
        <f t="shared" si="0"/>
        <v>29.16</v>
      </c>
      <c r="N106" s="67">
        <f t="shared" si="0"/>
        <v>15.2</v>
      </c>
      <c r="O106" s="67">
        <f t="shared" si="0"/>
        <v>0</v>
      </c>
      <c r="P106" s="67">
        <f t="shared" si="0"/>
        <v>0.27</v>
      </c>
      <c r="Q106" s="67">
        <f t="shared" si="0"/>
        <v>1.65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61.58</v>
      </c>
      <c r="C107" s="66">
        <f t="shared" ref="C107:Q107" si="1">MAX(C9:C104)</f>
        <v>69.819999999999993</v>
      </c>
      <c r="D107" s="66">
        <f t="shared" si="1"/>
        <v>68.010000000000005</v>
      </c>
      <c r="E107" s="66">
        <f t="shared" si="1"/>
        <v>2.12</v>
      </c>
      <c r="F107" s="66">
        <f t="shared" si="1"/>
        <v>20.78</v>
      </c>
      <c r="G107" s="66">
        <f t="shared" si="1"/>
        <v>200.05</v>
      </c>
      <c r="H107" s="66">
        <f t="shared" si="1"/>
        <v>103.16</v>
      </c>
      <c r="I107" s="66">
        <f t="shared" si="1"/>
        <v>1.58</v>
      </c>
      <c r="J107" s="66">
        <f t="shared" si="1"/>
        <v>1.21</v>
      </c>
      <c r="K107" s="66">
        <f t="shared" si="1"/>
        <v>354.53</v>
      </c>
      <c r="L107" s="66">
        <f t="shared" si="1"/>
        <v>29.95</v>
      </c>
      <c r="M107" s="66">
        <f t="shared" si="1"/>
        <v>96.24</v>
      </c>
      <c r="N107" s="66">
        <f t="shared" si="1"/>
        <v>752.7</v>
      </c>
      <c r="O107" s="66">
        <f t="shared" si="1"/>
        <v>0</v>
      </c>
      <c r="P107" s="66">
        <f t="shared" si="1"/>
        <v>2.04</v>
      </c>
      <c r="Q107" s="66">
        <f t="shared" si="1"/>
        <v>10.27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28.030759493670889</v>
      </c>
      <c r="C108" s="67">
        <f t="shared" ref="C108:Q108" si="2">AVERAGE(C9:C104)</f>
        <v>32.935581395348827</v>
      </c>
      <c r="D108" s="67">
        <f t="shared" si="2"/>
        <v>40.248139534883727</v>
      </c>
      <c r="E108" s="67">
        <f t="shared" si="2"/>
        <v>1.1583132530120483</v>
      </c>
      <c r="F108" s="67">
        <f t="shared" si="2"/>
        <v>3.5780459770114943</v>
      </c>
      <c r="G108" s="67">
        <f t="shared" si="2"/>
        <v>118.98678571428566</v>
      </c>
      <c r="H108" s="67">
        <f t="shared" si="2"/>
        <v>53.449642857142848</v>
      </c>
      <c r="I108" s="67">
        <f t="shared" si="2"/>
        <v>1.4932183908045977</v>
      </c>
      <c r="J108" s="67">
        <f t="shared" si="2"/>
        <v>0.22356321839080467</v>
      </c>
      <c r="K108" s="67">
        <f t="shared" si="2"/>
        <v>194.37264367816098</v>
      </c>
      <c r="L108" s="67">
        <f t="shared" si="2"/>
        <v>21.672873563218392</v>
      </c>
      <c r="M108" s="67">
        <f t="shared" si="2"/>
        <v>60.317126436781635</v>
      </c>
      <c r="N108" s="67">
        <f t="shared" si="2"/>
        <v>201.1103448275862</v>
      </c>
      <c r="O108" s="67">
        <f t="shared" si="2"/>
        <v>0</v>
      </c>
      <c r="P108" s="67">
        <f t="shared" si="2"/>
        <v>1.1157471264367813</v>
      </c>
      <c r="Q108" s="67">
        <f t="shared" si="2"/>
        <v>6.7820481927710823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17.751726226797182</v>
      </c>
      <c r="C109" s="67">
        <f t="shared" ref="C109:Q109" si="3">STDEV(C9:C104)</f>
        <v>10.006482323051026</v>
      </c>
      <c r="D109" s="67">
        <f t="shared" si="3"/>
        <v>13.912342764747807</v>
      </c>
      <c r="E109" s="67">
        <f t="shared" si="3"/>
        <v>0.33784041288500805</v>
      </c>
      <c r="F109" s="67">
        <f t="shared" si="3"/>
        <v>5.4510209922845325</v>
      </c>
      <c r="G109" s="67">
        <f t="shared" si="3"/>
        <v>39.189969861390253</v>
      </c>
      <c r="H109" s="67">
        <f t="shared" si="3"/>
        <v>21.096430717719517</v>
      </c>
      <c r="I109" s="67">
        <f t="shared" si="3"/>
        <v>4.3602172254227876E-2</v>
      </c>
      <c r="J109" s="67">
        <f t="shared" si="3"/>
        <v>0.25428868876934563</v>
      </c>
      <c r="K109" s="67">
        <f t="shared" si="3"/>
        <v>111.74490537744177</v>
      </c>
      <c r="L109" s="67">
        <f t="shared" si="3"/>
        <v>4.3905018805254548</v>
      </c>
      <c r="M109" s="67">
        <f t="shared" si="3"/>
        <v>20.366738268390634</v>
      </c>
      <c r="N109" s="67">
        <f t="shared" si="3"/>
        <v>275.04844902370354</v>
      </c>
      <c r="O109" s="67">
        <f t="shared" si="3"/>
        <v>0</v>
      </c>
      <c r="P109" s="67">
        <f t="shared" si="3"/>
        <v>0.41232926610114357</v>
      </c>
      <c r="Q109" s="67">
        <f t="shared" si="3"/>
        <v>2.1853691762888765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COUNT(B9:B104)+17</f>
        <v>96</v>
      </c>
      <c r="C110" s="66">
        <f>COUNT(C9:C104)+10</f>
        <v>96</v>
      </c>
      <c r="D110" s="66">
        <f>COUNT(D9:D104)+10</f>
        <v>96</v>
      </c>
      <c r="E110" s="66">
        <f>COUNT(E9:E104)+13</f>
        <v>96</v>
      </c>
      <c r="F110" s="66">
        <f>COUNT(F9:F104)+9</f>
        <v>96</v>
      </c>
      <c r="G110" s="66">
        <f>COUNT(G9:G104)+12</f>
        <v>96</v>
      </c>
      <c r="H110" s="66">
        <f>COUNT(H9:H104)+12</f>
        <v>96</v>
      </c>
      <c r="I110" s="66">
        <f t="shared" ref="I110:P110" si="4">COUNT(I9:I104)+9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COUNT(Q9:Q104)+13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6"/>
      <c r="S8" s="197"/>
      <c r="T8" s="196"/>
      <c r="U8" s="196"/>
    </row>
    <row r="9" spans="1:21" s="12" customFormat="1" x14ac:dyDescent="0.25">
      <c r="A9" s="214" t="s">
        <v>2934</v>
      </c>
      <c r="B9" s="64">
        <v>20.6</v>
      </c>
      <c r="C9" s="64">
        <v>36.46</v>
      </c>
      <c r="D9" s="64">
        <v>37.93</v>
      </c>
      <c r="E9" s="64">
        <v>1.62</v>
      </c>
      <c r="F9" s="64">
        <v>0.43</v>
      </c>
      <c r="G9" s="64">
        <v>155.9</v>
      </c>
      <c r="H9" s="64">
        <v>65.81</v>
      </c>
      <c r="I9" s="64">
        <v>1.47</v>
      </c>
      <c r="J9" s="64">
        <v>0.18</v>
      </c>
      <c r="K9" s="64">
        <v>303.54000000000002</v>
      </c>
      <c r="L9" s="64">
        <v>18.97</v>
      </c>
      <c r="M9" s="64">
        <v>72.349999999999994</v>
      </c>
      <c r="N9" s="64">
        <v>17</v>
      </c>
      <c r="O9" s="64">
        <v>0</v>
      </c>
      <c r="P9" s="64">
        <v>1.34</v>
      </c>
      <c r="Q9" s="64">
        <v>6.62</v>
      </c>
      <c r="R9" s="198"/>
      <c r="S9" s="198"/>
      <c r="T9" s="198"/>
      <c r="U9" s="198"/>
    </row>
    <row r="10" spans="1:21" s="12" customFormat="1" x14ac:dyDescent="0.25">
      <c r="A10" s="214" t="s">
        <v>2935</v>
      </c>
      <c r="B10" s="64">
        <v>20.29</v>
      </c>
      <c r="C10" s="64">
        <v>34.54</v>
      </c>
      <c r="D10" s="64">
        <v>36.619999999999997</v>
      </c>
      <c r="E10" s="64">
        <v>1.76</v>
      </c>
      <c r="F10" s="64">
        <v>0.52</v>
      </c>
      <c r="G10" s="64">
        <v>155.9</v>
      </c>
      <c r="H10" s="64">
        <v>65.81</v>
      </c>
      <c r="I10" s="64">
        <v>1.46</v>
      </c>
      <c r="J10" s="64">
        <v>0.14000000000000001</v>
      </c>
      <c r="K10" s="64">
        <v>299.39999999999998</v>
      </c>
      <c r="L10" s="64">
        <v>18.510000000000002</v>
      </c>
      <c r="M10" s="64">
        <v>73.66</v>
      </c>
      <c r="N10" s="64">
        <v>17</v>
      </c>
      <c r="O10" s="64">
        <v>0</v>
      </c>
      <c r="P10" s="64">
        <v>1.33</v>
      </c>
      <c r="Q10" s="64">
        <v>6.6</v>
      </c>
      <c r="R10" s="198"/>
      <c r="S10" s="198"/>
      <c r="T10" s="198"/>
      <c r="U10" s="198"/>
    </row>
    <row r="11" spans="1:21" s="12" customFormat="1" x14ac:dyDescent="0.25">
      <c r="A11" s="214" t="s">
        <v>2936</v>
      </c>
      <c r="B11" s="64">
        <v>19.399999999999999</v>
      </c>
      <c r="C11" s="64">
        <v>34.22</v>
      </c>
      <c r="D11" s="64">
        <v>35.74</v>
      </c>
      <c r="E11" s="64">
        <v>1.86</v>
      </c>
      <c r="F11" s="64">
        <v>0.72</v>
      </c>
      <c r="G11" s="64">
        <v>152.99</v>
      </c>
      <c r="H11" s="64">
        <v>63.06</v>
      </c>
      <c r="I11" s="64">
        <v>1.49</v>
      </c>
      <c r="J11" s="64">
        <v>7.0000000000000007E-2</v>
      </c>
      <c r="K11" s="64">
        <v>290.45</v>
      </c>
      <c r="L11" s="64">
        <v>18.18</v>
      </c>
      <c r="M11" s="64">
        <v>74.98</v>
      </c>
      <c r="N11" s="64">
        <v>16.8</v>
      </c>
      <c r="O11" s="64">
        <v>0</v>
      </c>
      <c r="P11" s="64">
        <v>1.3</v>
      </c>
      <c r="Q11" s="64">
        <v>6.54</v>
      </c>
      <c r="R11" s="198"/>
      <c r="S11" s="198"/>
      <c r="T11" s="198"/>
      <c r="U11" s="198"/>
    </row>
    <row r="12" spans="1:21" s="12" customFormat="1" x14ac:dyDescent="0.25">
      <c r="A12" s="214" t="s">
        <v>2937</v>
      </c>
      <c r="B12" s="64">
        <v>18.95</v>
      </c>
      <c r="C12" s="64">
        <v>33.35</v>
      </c>
      <c r="D12" s="64">
        <v>34.9</v>
      </c>
      <c r="E12" s="64">
        <v>1.84</v>
      </c>
      <c r="F12" s="64">
        <v>0.53</v>
      </c>
      <c r="G12" s="64">
        <v>150.21</v>
      </c>
      <c r="H12" s="64">
        <v>60.67</v>
      </c>
      <c r="I12" s="64">
        <v>1.56</v>
      </c>
      <c r="J12" s="64">
        <v>0.13</v>
      </c>
      <c r="K12" s="64">
        <v>232.44</v>
      </c>
      <c r="L12" s="64">
        <v>18.43</v>
      </c>
      <c r="M12" s="64">
        <v>74.650000000000006</v>
      </c>
      <c r="N12" s="64">
        <v>16</v>
      </c>
      <c r="O12" s="64">
        <v>0</v>
      </c>
      <c r="P12" s="64">
        <v>1.29</v>
      </c>
      <c r="Q12" s="64">
        <v>6.47</v>
      </c>
      <c r="R12" s="198"/>
      <c r="S12" s="198"/>
      <c r="T12" s="198"/>
      <c r="U12" s="198"/>
    </row>
    <row r="13" spans="1:21" s="12" customFormat="1" x14ac:dyDescent="0.25">
      <c r="A13" s="214" t="s">
        <v>2938</v>
      </c>
      <c r="B13" s="64">
        <v>18.71</v>
      </c>
      <c r="C13" s="64">
        <v>27.75</v>
      </c>
      <c r="D13" s="64">
        <v>31.61</v>
      </c>
      <c r="E13" s="64">
        <v>1.73</v>
      </c>
      <c r="F13" s="64">
        <v>0.61</v>
      </c>
      <c r="G13" s="64">
        <v>150.21</v>
      </c>
      <c r="H13" s="64">
        <v>60.67</v>
      </c>
      <c r="I13" s="64">
        <v>1.55</v>
      </c>
      <c r="J13" s="64">
        <v>0.06</v>
      </c>
      <c r="K13" s="64">
        <v>359.39</v>
      </c>
      <c r="L13" s="64">
        <v>18.149999999999999</v>
      </c>
      <c r="M13" s="64">
        <v>79.89</v>
      </c>
      <c r="N13" s="64">
        <v>16.600000000000001</v>
      </c>
      <c r="O13" s="64">
        <v>0</v>
      </c>
      <c r="P13" s="64">
        <v>1.22</v>
      </c>
      <c r="Q13" s="64">
        <v>6.42</v>
      </c>
      <c r="R13" s="198"/>
      <c r="S13" s="198"/>
      <c r="T13" s="198"/>
      <c r="U13" s="198"/>
    </row>
    <row r="14" spans="1:21" s="12" customFormat="1" x14ac:dyDescent="0.25">
      <c r="A14" s="214" t="s">
        <v>2939</v>
      </c>
      <c r="B14" s="64">
        <v>17.850000000000001</v>
      </c>
      <c r="C14" s="64">
        <v>28.01</v>
      </c>
      <c r="D14" s="64">
        <v>31.06</v>
      </c>
      <c r="E14" s="64">
        <v>1.56</v>
      </c>
      <c r="F14" s="64">
        <v>0.36</v>
      </c>
      <c r="G14" s="64">
        <v>150.21</v>
      </c>
      <c r="H14" s="64">
        <v>60.67</v>
      </c>
      <c r="I14" s="64">
        <v>1.45</v>
      </c>
      <c r="J14" s="64">
        <v>7.0000000000000007E-2</v>
      </c>
      <c r="K14" s="64">
        <v>177.22</v>
      </c>
      <c r="L14" s="64">
        <v>17.66</v>
      </c>
      <c r="M14" s="64">
        <v>82.55</v>
      </c>
      <c r="N14" s="64">
        <v>16.5</v>
      </c>
      <c r="O14" s="64">
        <v>0</v>
      </c>
      <c r="P14" s="64">
        <v>1.24</v>
      </c>
      <c r="Q14" s="64">
        <v>6.28</v>
      </c>
      <c r="R14" s="198"/>
      <c r="S14" s="198"/>
      <c r="T14" s="198"/>
      <c r="U14" s="198"/>
    </row>
    <row r="15" spans="1:21" s="12" customFormat="1" x14ac:dyDescent="0.25">
      <c r="A15" s="214" t="s">
        <v>2940</v>
      </c>
      <c r="B15" s="64">
        <v>17.010000000000002</v>
      </c>
      <c r="C15" s="64">
        <v>26.87</v>
      </c>
      <c r="D15" s="64">
        <v>29.77</v>
      </c>
      <c r="E15" s="64">
        <v>1.54</v>
      </c>
      <c r="F15" s="64">
        <v>0.31</v>
      </c>
      <c r="G15" s="64">
        <v>136.16999999999999</v>
      </c>
      <c r="H15" s="64">
        <v>57.2</v>
      </c>
      <c r="I15" s="64">
        <v>1.42</v>
      </c>
      <c r="J15" s="64">
        <v>0.17</v>
      </c>
      <c r="K15" s="64">
        <v>175.11</v>
      </c>
      <c r="L15" s="64">
        <v>17.39</v>
      </c>
      <c r="M15" s="64">
        <v>83.08</v>
      </c>
      <c r="N15" s="64">
        <v>16.3</v>
      </c>
      <c r="O15" s="64">
        <v>0</v>
      </c>
      <c r="P15" s="64">
        <v>1.22</v>
      </c>
      <c r="Q15" s="64">
        <v>6.2</v>
      </c>
      <c r="R15" s="198"/>
      <c r="S15" s="198"/>
      <c r="T15" s="198"/>
      <c r="U15" s="198"/>
    </row>
    <row r="16" spans="1:21" s="12" customFormat="1" x14ac:dyDescent="0.25">
      <c r="A16" s="214" t="s">
        <v>2941</v>
      </c>
      <c r="B16" s="64">
        <v>16.25</v>
      </c>
      <c r="C16" s="64">
        <v>26.07</v>
      </c>
      <c r="D16" s="64">
        <v>28.71</v>
      </c>
      <c r="E16" s="64">
        <v>1.55</v>
      </c>
      <c r="F16" s="64">
        <v>0.37</v>
      </c>
      <c r="G16" s="64">
        <v>122.73</v>
      </c>
      <c r="H16" s="64">
        <v>55.61</v>
      </c>
      <c r="I16" s="64">
        <v>1.53</v>
      </c>
      <c r="J16" s="64">
        <v>0.03</v>
      </c>
      <c r="K16" s="64">
        <v>221.33</v>
      </c>
      <c r="L16" s="64">
        <v>17.170000000000002</v>
      </c>
      <c r="M16" s="64">
        <v>82.84</v>
      </c>
      <c r="N16" s="64">
        <v>16.5</v>
      </c>
      <c r="O16" s="64">
        <v>0</v>
      </c>
      <c r="P16" s="64">
        <v>1.19</v>
      </c>
      <c r="Q16" s="64">
        <v>6.13</v>
      </c>
      <c r="R16" s="198"/>
      <c r="S16" s="198"/>
      <c r="T16" s="198"/>
      <c r="U16" s="198"/>
    </row>
    <row r="17" spans="1:21" s="12" customFormat="1" x14ac:dyDescent="0.25">
      <c r="A17" s="214" t="s">
        <v>2942</v>
      </c>
      <c r="B17" s="64">
        <v>15.39</v>
      </c>
      <c r="C17" s="64">
        <v>26.39</v>
      </c>
      <c r="D17" s="64">
        <v>28.2</v>
      </c>
      <c r="E17" s="64">
        <v>1.38</v>
      </c>
      <c r="F17" s="64">
        <v>0.24</v>
      </c>
      <c r="G17" s="64">
        <v>122.73</v>
      </c>
      <c r="H17" s="64">
        <v>55.61</v>
      </c>
      <c r="I17" s="64">
        <v>1.52</v>
      </c>
      <c r="J17" s="64">
        <v>0.03</v>
      </c>
      <c r="K17" s="64">
        <v>225.72</v>
      </c>
      <c r="L17" s="64">
        <v>17.239999999999998</v>
      </c>
      <c r="M17" s="64">
        <v>80.56</v>
      </c>
      <c r="N17" s="64">
        <v>16.399999999999999</v>
      </c>
      <c r="O17" s="64">
        <v>0</v>
      </c>
      <c r="P17" s="64">
        <v>1.17</v>
      </c>
      <c r="Q17" s="64">
        <v>6.13</v>
      </c>
      <c r="R17" s="198"/>
      <c r="S17" s="198"/>
      <c r="T17" s="198"/>
      <c r="U17" s="198"/>
    </row>
    <row r="18" spans="1:21" s="12" customFormat="1" x14ac:dyDescent="0.25">
      <c r="A18" s="214" t="s">
        <v>2943</v>
      </c>
      <c r="B18" s="64">
        <v>14.51</v>
      </c>
      <c r="C18" s="64">
        <v>25.73</v>
      </c>
      <c r="D18" s="64">
        <v>27.13</v>
      </c>
      <c r="E18" s="64">
        <v>1.6</v>
      </c>
      <c r="F18" s="64">
        <v>0.23</v>
      </c>
      <c r="G18" s="64">
        <v>122.73</v>
      </c>
      <c r="H18" s="64">
        <v>55.61</v>
      </c>
      <c r="I18" s="64">
        <v>1.46</v>
      </c>
      <c r="J18" s="64">
        <v>0.05</v>
      </c>
      <c r="K18" s="64">
        <v>234.11</v>
      </c>
      <c r="L18" s="64">
        <v>17.3</v>
      </c>
      <c r="M18" s="64">
        <v>79.040000000000006</v>
      </c>
      <c r="N18" s="64">
        <v>16.3</v>
      </c>
      <c r="O18" s="64">
        <v>0</v>
      </c>
      <c r="P18" s="64">
        <v>1.1399999999999999</v>
      </c>
      <c r="Q18" s="64">
        <v>6</v>
      </c>
      <c r="R18" s="198"/>
      <c r="S18" s="198"/>
      <c r="T18" s="198"/>
      <c r="U18" s="198"/>
    </row>
    <row r="19" spans="1:21" s="12" customFormat="1" x14ac:dyDescent="0.25">
      <c r="A19" s="214" t="s">
        <v>2944</v>
      </c>
      <c r="B19" s="64">
        <v>13.59</v>
      </c>
      <c r="C19" s="64">
        <v>25.57</v>
      </c>
      <c r="D19" s="64">
        <v>26.3</v>
      </c>
      <c r="E19" s="64">
        <v>1.49</v>
      </c>
      <c r="F19" s="64">
        <v>0.24</v>
      </c>
      <c r="G19" s="64">
        <v>108.37</v>
      </c>
      <c r="H19" s="64">
        <v>54.61</v>
      </c>
      <c r="I19" s="64">
        <v>1.51</v>
      </c>
      <c r="J19" s="64">
        <v>7.0000000000000007E-2</v>
      </c>
      <c r="K19" s="64">
        <v>254.02</v>
      </c>
      <c r="L19" s="64">
        <v>17.239999999999998</v>
      </c>
      <c r="M19" s="64">
        <v>79.39</v>
      </c>
      <c r="N19" s="64">
        <v>15.9</v>
      </c>
      <c r="O19" s="64">
        <v>0</v>
      </c>
      <c r="P19" s="64">
        <v>1.1100000000000001</v>
      </c>
      <c r="Q19" s="64">
        <v>5.97</v>
      </c>
      <c r="R19" s="198"/>
      <c r="S19" s="198"/>
      <c r="T19" s="198"/>
      <c r="U19" s="198"/>
    </row>
    <row r="20" spans="1:21" s="12" customFormat="1" x14ac:dyDescent="0.25">
      <c r="A20" s="214" t="s">
        <v>2945</v>
      </c>
      <c r="B20" s="64">
        <v>12.41</v>
      </c>
      <c r="C20" s="64">
        <v>26.58</v>
      </c>
      <c r="D20" s="64">
        <v>25.91</v>
      </c>
      <c r="E20" s="64">
        <v>1.68</v>
      </c>
      <c r="F20" s="64">
        <v>0.72</v>
      </c>
      <c r="G20" s="64">
        <v>94.63</v>
      </c>
      <c r="H20" s="64">
        <v>54.15</v>
      </c>
      <c r="I20" s="64">
        <v>1.52</v>
      </c>
      <c r="J20" s="64">
        <v>0.04</v>
      </c>
      <c r="K20" s="64">
        <v>304.82</v>
      </c>
      <c r="L20" s="64">
        <v>17.190000000000001</v>
      </c>
      <c r="M20" s="64">
        <v>79.25</v>
      </c>
      <c r="N20" s="64">
        <v>16.600000000000001</v>
      </c>
      <c r="O20" s="64">
        <v>0</v>
      </c>
      <c r="P20" s="64">
        <v>1.06</v>
      </c>
      <c r="Q20" s="64">
        <v>5.9</v>
      </c>
      <c r="R20" s="198"/>
      <c r="S20" s="198"/>
      <c r="T20" s="198"/>
      <c r="U20" s="198"/>
    </row>
    <row r="21" spans="1:21" s="12" customFormat="1" x14ac:dyDescent="0.25">
      <c r="A21" s="214" t="s">
        <v>2946</v>
      </c>
      <c r="B21" s="64">
        <v>11.54</v>
      </c>
      <c r="C21" s="64">
        <v>26.52</v>
      </c>
      <c r="D21" s="64">
        <v>25.18</v>
      </c>
      <c r="E21" s="64">
        <v>1.62</v>
      </c>
      <c r="F21" s="64">
        <v>0.32</v>
      </c>
      <c r="G21" s="64">
        <v>94.63</v>
      </c>
      <c r="H21" s="64">
        <v>54.15</v>
      </c>
      <c r="I21" s="64">
        <v>1.47</v>
      </c>
      <c r="J21" s="64">
        <v>0.09</v>
      </c>
      <c r="K21" s="64">
        <v>320.76</v>
      </c>
      <c r="L21" s="64">
        <v>16.63</v>
      </c>
      <c r="M21" s="64">
        <v>83.44</v>
      </c>
      <c r="N21" s="64">
        <v>16.7</v>
      </c>
      <c r="O21" s="64">
        <v>0</v>
      </c>
      <c r="P21" s="64">
        <v>1.04</v>
      </c>
      <c r="Q21" s="64">
        <v>5.87</v>
      </c>
      <c r="R21" s="198"/>
      <c r="S21" s="198"/>
      <c r="T21" s="198"/>
      <c r="U21" s="198"/>
    </row>
    <row r="22" spans="1:21" s="12" customFormat="1" x14ac:dyDescent="0.25">
      <c r="A22" s="214" t="s">
        <v>2947</v>
      </c>
      <c r="B22" s="64">
        <v>10.91</v>
      </c>
      <c r="C22" s="64">
        <v>26.47</v>
      </c>
      <c r="D22" s="64">
        <v>24.65</v>
      </c>
      <c r="E22" s="64">
        <v>1.77</v>
      </c>
      <c r="F22" s="64">
        <v>0.15</v>
      </c>
      <c r="G22" s="64">
        <v>94.63</v>
      </c>
      <c r="H22" s="64">
        <v>54.15</v>
      </c>
      <c r="I22" s="64">
        <v>1.56</v>
      </c>
      <c r="J22" s="64">
        <v>0.05</v>
      </c>
      <c r="K22" s="64">
        <v>230.29</v>
      </c>
      <c r="L22" s="64">
        <v>16.48</v>
      </c>
      <c r="M22" s="64">
        <v>84.18</v>
      </c>
      <c r="N22" s="64">
        <v>16.5</v>
      </c>
      <c r="O22" s="64">
        <v>0</v>
      </c>
      <c r="P22" s="64">
        <v>1.02</v>
      </c>
      <c r="Q22" s="64">
        <v>5.77</v>
      </c>
      <c r="R22" s="198"/>
      <c r="S22" s="198"/>
      <c r="T22" s="198"/>
      <c r="U22" s="198"/>
    </row>
    <row r="23" spans="1:21" s="12" customFormat="1" x14ac:dyDescent="0.25">
      <c r="A23" s="214" t="s">
        <v>2948</v>
      </c>
      <c r="B23" s="64">
        <v>10.3</v>
      </c>
      <c r="C23" s="64">
        <v>26.15</v>
      </c>
      <c r="D23" s="64">
        <v>23.98</v>
      </c>
      <c r="E23" s="64">
        <v>1.62</v>
      </c>
      <c r="F23" s="64">
        <v>0.09</v>
      </c>
      <c r="G23" s="64">
        <v>90.43</v>
      </c>
      <c r="H23" s="64">
        <v>50.65</v>
      </c>
      <c r="I23" s="64">
        <v>1.47</v>
      </c>
      <c r="J23" s="64">
        <v>0.01</v>
      </c>
      <c r="K23" s="64">
        <v>42.41</v>
      </c>
      <c r="L23" s="64">
        <v>16.3</v>
      </c>
      <c r="M23" s="64">
        <v>85.47</v>
      </c>
      <c r="N23" s="64">
        <v>16.7</v>
      </c>
      <c r="O23" s="64">
        <v>0</v>
      </c>
      <c r="P23" s="64">
        <v>1</v>
      </c>
      <c r="Q23" s="64">
        <v>5.72</v>
      </c>
      <c r="R23" s="198"/>
      <c r="S23" s="198"/>
      <c r="T23" s="198"/>
      <c r="U23" s="198"/>
    </row>
    <row r="24" spans="1:21" s="12" customFormat="1" x14ac:dyDescent="0.25">
      <c r="A24" s="214" t="s">
        <v>2949</v>
      </c>
      <c r="B24" s="64">
        <v>9.8699999999999992</v>
      </c>
      <c r="C24" s="64">
        <v>25.24</v>
      </c>
      <c r="D24" s="64">
        <v>23.13</v>
      </c>
      <c r="E24" s="64">
        <v>0.95</v>
      </c>
      <c r="F24" s="64">
        <v>0.17</v>
      </c>
      <c r="G24" s="64">
        <v>86.4</v>
      </c>
      <c r="H24" s="64">
        <v>49.06</v>
      </c>
      <c r="I24" s="64">
        <v>1.46</v>
      </c>
      <c r="J24" s="64">
        <v>0.11</v>
      </c>
      <c r="K24" s="64">
        <v>279.19</v>
      </c>
      <c r="L24" s="64">
        <v>16.12</v>
      </c>
      <c r="M24" s="64">
        <v>87</v>
      </c>
      <c r="N24" s="64">
        <v>16.5</v>
      </c>
      <c r="O24" s="64">
        <v>0</v>
      </c>
      <c r="P24" s="64">
        <v>0.96</v>
      </c>
      <c r="Q24" s="64">
        <v>5.68</v>
      </c>
      <c r="R24" s="198"/>
      <c r="S24" s="198"/>
      <c r="T24" s="198"/>
      <c r="U24" s="198"/>
    </row>
    <row r="25" spans="1:21" s="12" customFormat="1" x14ac:dyDescent="0.25">
      <c r="A25" s="214" t="s">
        <v>2950</v>
      </c>
      <c r="B25" s="64">
        <v>9.52</v>
      </c>
      <c r="C25" s="64">
        <v>23.51</v>
      </c>
      <c r="D25" s="64">
        <v>21.9</v>
      </c>
      <c r="E25" s="64">
        <v>1.65</v>
      </c>
      <c r="F25" s="64">
        <v>0.38</v>
      </c>
      <c r="G25" s="64">
        <v>86.4</v>
      </c>
      <c r="H25" s="64">
        <v>49.06</v>
      </c>
      <c r="I25" s="64">
        <v>1.48</v>
      </c>
      <c r="J25" s="64">
        <v>0.01</v>
      </c>
      <c r="K25" s="64">
        <v>52</v>
      </c>
      <c r="L25" s="64">
        <v>16.14</v>
      </c>
      <c r="M25" s="64">
        <v>86.03</v>
      </c>
      <c r="N25" s="64">
        <v>16.7</v>
      </c>
      <c r="O25" s="64">
        <v>0</v>
      </c>
      <c r="P25" s="64">
        <v>0.95</v>
      </c>
      <c r="Q25" s="64">
        <v>5.6</v>
      </c>
      <c r="R25" s="198"/>
      <c r="S25" s="198"/>
      <c r="T25" s="198"/>
      <c r="U25" s="198"/>
    </row>
    <row r="26" spans="1:21" s="12" customFormat="1" x14ac:dyDescent="0.25">
      <c r="A26" s="214" t="s">
        <v>2951</v>
      </c>
      <c r="B26" s="64">
        <v>9.2799999999999994</v>
      </c>
      <c r="C26" s="64">
        <v>23.94</v>
      </c>
      <c r="D26" s="64">
        <v>21.94</v>
      </c>
      <c r="E26" s="64">
        <v>1.65</v>
      </c>
      <c r="F26" s="64">
        <v>0.18</v>
      </c>
      <c r="G26" s="64">
        <v>86.4</v>
      </c>
      <c r="H26" s="64">
        <v>49.06</v>
      </c>
      <c r="I26" s="64">
        <v>1.47</v>
      </c>
      <c r="J26" s="64">
        <v>0.05</v>
      </c>
      <c r="K26" s="64">
        <v>331.97</v>
      </c>
      <c r="L26" s="64">
        <v>16.05</v>
      </c>
      <c r="M26" s="64">
        <v>85.32</v>
      </c>
      <c r="N26" s="64">
        <v>16.5</v>
      </c>
      <c r="O26" s="64">
        <v>0</v>
      </c>
      <c r="P26" s="64">
        <v>0.94</v>
      </c>
      <c r="Q26" s="64">
        <v>5.54</v>
      </c>
      <c r="R26" s="198"/>
      <c r="S26" s="198"/>
      <c r="T26" s="198"/>
      <c r="U26" s="198"/>
    </row>
    <row r="27" spans="1:21" s="12" customFormat="1" x14ac:dyDescent="0.25">
      <c r="A27" s="214" t="s">
        <v>2952</v>
      </c>
      <c r="B27" s="64">
        <v>9.35</v>
      </c>
      <c r="C27" s="64">
        <v>24.81</v>
      </c>
      <c r="D27" s="64">
        <v>22.49</v>
      </c>
      <c r="E27" s="64">
        <v>1.48</v>
      </c>
      <c r="F27" s="64">
        <v>0.15</v>
      </c>
      <c r="G27" s="64">
        <v>91.53</v>
      </c>
      <c r="H27" s="64">
        <v>51.99</v>
      </c>
      <c r="I27" s="64">
        <v>1.48</v>
      </c>
      <c r="J27" s="64">
        <v>0.1</v>
      </c>
      <c r="K27" s="64">
        <v>267.37</v>
      </c>
      <c r="L27" s="64">
        <v>16.11</v>
      </c>
      <c r="M27" s="64">
        <v>87.26</v>
      </c>
      <c r="N27" s="64">
        <v>16.5</v>
      </c>
      <c r="O27" s="64">
        <v>0</v>
      </c>
      <c r="P27" s="64">
        <v>0.93</v>
      </c>
      <c r="Q27" s="64">
        <v>5.54</v>
      </c>
      <c r="R27" s="198"/>
      <c r="S27" s="198"/>
      <c r="T27" s="198"/>
      <c r="U27" s="198"/>
    </row>
    <row r="28" spans="1:21" s="12" customFormat="1" x14ac:dyDescent="0.25">
      <c r="A28" s="214" t="s">
        <v>2953</v>
      </c>
      <c r="B28" s="64">
        <v>9.6199999999999992</v>
      </c>
      <c r="C28" s="64">
        <v>24.75</v>
      </c>
      <c r="D28" s="64">
        <v>22.67</v>
      </c>
      <c r="E28" s="64">
        <v>1.59</v>
      </c>
      <c r="F28" s="64">
        <v>0.24</v>
      </c>
      <c r="G28" s="64">
        <v>96.21</v>
      </c>
      <c r="H28" s="64">
        <v>53.33</v>
      </c>
      <c r="I28" s="64">
        <v>1.48</v>
      </c>
      <c r="J28" s="64">
        <v>0.04</v>
      </c>
      <c r="K28" s="64">
        <v>238.85</v>
      </c>
      <c r="L28" s="64">
        <v>16.07</v>
      </c>
      <c r="M28" s="64">
        <v>85.77</v>
      </c>
      <c r="N28" s="64">
        <v>16.7</v>
      </c>
      <c r="O28" s="64">
        <v>0</v>
      </c>
      <c r="P28" s="64">
        <v>0.92</v>
      </c>
      <c r="Q28" s="64">
        <v>5.57</v>
      </c>
      <c r="R28" s="198"/>
      <c r="S28" s="198"/>
      <c r="T28" s="198"/>
      <c r="U28" s="198"/>
    </row>
    <row r="29" spans="1:21" s="12" customFormat="1" x14ac:dyDescent="0.25">
      <c r="A29" s="214" t="s">
        <v>2954</v>
      </c>
      <c r="B29" s="64">
        <v>9.6300000000000008</v>
      </c>
      <c r="C29" s="64">
        <v>24.31</v>
      </c>
      <c r="D29" s="64">
        <v>22.43</v>
      </c>
      <c r="E29" s="64">
        <v>1.68</v>
      </c>
      <c r="F29" s="64">
        <v>0.4</v>
      </c>
      <c r="G29" s="64">
        <v>96.21</v>
      </c>
      <c r="H29" s="64">
        <v>53.33</v>
      </c>
      <c r="I29" s="64">
        <v>1.53</v>
      </c>
      <c r="J29" s="64">
        <v>0.08</v>
      </c>
      <c r="K29" s="64">
        <v>249.32</v>
      </c>
      <c r="L29" s="64">
        <v>16.059999999999999</v>
      </c>
      <c r="M29" s="64">
        <v>86.69</v>
      </c>
      <c r="N29" s="64">
        <v>16.5</v>
      </c>
      <c r="O29" s="64">
        <v>0</v>
      </c>
      <c r="P29" s="64">
        <v>0.91</v>
      </c>
      <c r="Q29" s="64">
        <v>5.56</v>
      </c>
      <c r="R29" s="198"/>
      <c r="S29" s="198"/>
      <c r="T29" s="198"/>
      <c r="U29" s="198"/>
    </row>
    <row r="30" spans="1:21" s="12" customFormat="1" x14ac:dyDescent="0.25">
      <c r="A30" s="214" t="s">
        <v>2955</v>
      </c>
      <c r="B30" s="64">
        <v>9.7799999999999994</v>
      </c>
      <c r="C30" s="64">
        <v>24.4</v>
      </c>
      <c r="D30" s="64">
        <v>22.61</v>
      </c>
      <c r="E30" s="64">
        <v>1.57</v>
      </c>
      <c r="F30" s="64">
        <v>0.2</v>
      </c>
      <c r="G30" s="64">
        <v>96.21</v>
      </c>
      <c r="H30" s="64">
        <v>53.33</v>
      </c>
      <c r="I30" s="64">
        <v>1.45</v>
      </c>
      <c r="J30" s="64">
        <v>0.13</v>
      </c>
      <c r="K30" s="64">
        <v>306.38</v>
      </c>
      <c r="L30" s="64">
        <v>16.04</v>
      </c>
      <c r="M30" s="64">
        <v>89.4</v>
      </c>
      <c r="N30" s="64">
        <v>16.5</v>
      </c>
      <c r="O30" s="64">
        <v>0</v>
      </c>
      <c r="P30" s="64">
        <v>0.9</v>
      </c>
      <c r="Q30" s="64">
        <v>5.55</v>
      </c>
      <c r="R30" s="198"/>
      <c r="S30" s="198"/>
      <c r="T30" s="198"/>
      <c r="U30" s="198"/>
    </row>
    <row r="31" spans="1:21" s="12" customFormat="1" x14ac:dyDescent="0.25">
      <c r="A31" s="214" t="s">
        <v>2956</v>
      </c>
      <c r="B31" s="64">
        <v>11.39</v>
      </c>
      <c r="C31" s="64">
        <v>23.78</v>
      </c>
      <c r="D31" s="64">
        <v>23.55</v>
      </c>
      <c r="E31" s="64">
        <v>1.57</v>
      </c>
      <c r="F31" s="64">
        <v>0.03</v>
      </c>
      <c r="G31" s="64">
        <v>164.68</v>
      </c>
      <c r="H31" s="64">
        <v>62.72</v>
      </c>
      <c r="I31" s="64">
        <v>1.51</v>
      </c>
      <c r="J31" s="64">
        <v>0.11</v>
      </c>
      <c r="K31" s="64">
        <v>326.79000000000002</v>
      </c>
      <c r="L31" s="64">
        <v>15.92</v>
      </c>
      <c r="M31" s="64">
        <v>91.22</v>
      </c>
      <c r="N31" s="64">
        <v>16.899999999999999</v>
      </c>
      <c r="O31" s="64">
        <v>0</v>
      </c>
      <c r="P31" s="64">
        <v>0.91</v>
      </c>
      <c r="Q31" s="64">
        <v>5.67</v>
      </c>
      <c r="R31" s="198"/>
      <c r="S31" s="198"/>
      <c r="T31" s="198"/>
      <c r="U31" s="198"/>
    </row>
    <row r="32" spans="1:21" s="12" customFormat="1" x14ac:dyDescent="0.25">
      <c r="A32" s="214" t="s">
        <v>2957</v>
      </c>
      <c r="B32" s="64">
        <v>15.14</v>
      </c>
      <c r="C32" s="64">
        <v>26.4</v>
      </c>
      <c r="D32" s="64">
        <v>28</v>
      </c>
      <c r="E32" s="64">
        <v>1.54</v>
      </c>
      <c r="F32" s="64">
        <v>0.01</v>
      </c>
      <c r="G32" s="64">
        <v>230.17</v>
      </c>
      <c r="H32" s="64">
        <v>71.290000000000006</v>
      </c>
      <c r="I32" s="64">
        <v>1.48</v>
      </c>
      <c r="J32" s="64">
        <v>7.0000000000000007E-2</v>
      </c>
      <c r="K32" s="64">
        <v>37.369999999999997</v>
      </c>
      <c r="L32" s="64">
        <v>15.93</v>
      </c>
      <c r="M32" s="64">
        <v>89.47</v>
      </c>
      <c r="N32" s="64">
        <v>18.8</v>
      </c>
      <c r="O32" s="64">
        <v>0</v>
      </c>
      <c r="P32" s="64">
        <v>0.93</v>
      </c>
      <c r="Q32" s="64">
        <v>5.7</v>
      </c>
      <c r="R32" s="198"/>
      <c r="S32" s="198"/>
      <c r="T32" s="198"/>
      <c r="U32" s="198"/>
    </row>
    <row r="33" spans="1:21" s="12" customFormat="1" x14ac:dyDescent="0.25">
      <c r="A33" s="214" t="s">
        <v>2958</v>
      </c>
      <c r="B33" s="64">
        <v>16.809999999999999</v>
      </c>
      <c r="C33" s="64">
        <v>27.44</v>
      </c>
      <c r="D33" s="64">
        <v>29.92</v>
      </c>
      <c r="E33" s="64">
        <v>1.84</v>
      </c>
      <c r="F33" s="64">
        <v>0.04</v>
      </c>
      <c r="G33" s="64">
        <v>230.17</v>
      </c>
      <c r="H33" s="64">
        <v>71.290000000000006</v>
      </c>
      <c r="I33" s="64">
        <v>1.53</v>
      </c>
      <c r="J33" s="64">
        <v>0.05</v>
      </c>
      <c r="K33" s="64">
        <v>25.63</v>
      </c>
      <c r="L33" s="64">
        <v>16.32</v>
      </c>
      <c r="M33" s="64">
        <v>88.94</v>
      </c>
      <c r="N33" s="64">
        <v>28</v>
      </c>
      <c r="O33" s="64">
        <v>0</v>
      </c>
      <c r="P33" s="64">
        <v>0.94</v>
      </c>
      <c r="Q33" s="64">
        <v>5.9</v>
      </c>
      <c r="R33" s="198"/>
      <c r="S33" s="198"/>
      <c r="T33" s="198"/>
      <c r="U33" s="198"/>
    </row>
    <row r="34" spans="1:21" s="12" customFormat="1" x14ac:dyDescent="0.25">
      <c r="A34" s="214" t="s">
        <v>2959</v>
      </c>
      <c r="B34" s="64">
        <v>18.760000000000002</v>
      </c>
      <c r="C34" s="64">
        <v>28.12</v>
      </c>
      <c r="D34" s="64">
        <v>31.85</v>
      </c>
      <c r="E34" s="64">
        <v>1.75</v>
      </c>
      <c r="F34" s="64">
        <v>0.15</v>
      </c>
      <c r="G34" s="64">
        <v>230.17</v>
      </c>
      <c r="H34" s="64">
        <v>71.290000000000006</v>
      </c>
      <c r="I34" s="64">
        <v>1.5</v>
      </c>
      <c r="J34" s="64">
        <v>0.11</v>
      </c>
      <c r="K34" s="64">
        <v>104.65</v>
      </c>
      <c r="L34" s="64">
        <v>16.84</v>
      </c>
      <c r="M34" s="64">
        <v>84.37</v>
      </c>
      <c r="N34" s="64">
        <v>43.2</v>
      </c>
      <c r="O34" s="64">
        <v>0</v>
      </c>
      <c r="P34" s="64">
        <v>0.98</v>
      </c>
      <c r="Q34" s="64">
        <v>6.23</v>
      </c>
      <c r="R34" s="198"/>
      <c r="S34" s="198"/>
      <c r="T34" s="198"/>
      <c r="U34" s="198"/>
    </row>
    <row r="35" spans="1:21" s="12" customFormat="1" x14ac:dyDescent="0.25">
      <c r="A35" s="214" t="s">
        <v>2960</v>
      </c>
      <c r="B35" s="64">
        <v>20.57</v>
      </c>
      <c r="C35" s="64">
        <v>28.94</v>
      </c>
      <c r="D35" s="64">
        <v>33.76</v>
      </c>
      <c r="E35" s="64">
        <v>1.89</v>
      </c>
      <c r="F35" s="64">
        <v>0.1</v>
      </c>
      <c r="G35" s="64">
        <v>230.17</v>
      </c>
      <c r="H35" s="64">
        <v>95.07</v>
      </c>
      <c r="I35" s="64">
        <v>1.5</v>
      </c>
      <c r="J35" s="64">
        <v>0.16</v>
      </c>
      <c r="K35" s="64">
        <v>339.25</v>
      </c>
      <c r="L35" s="64">
        <v>17.41</v>
      </c>
      <c r="M35" s="64">
        <v>82.5</v>
      </c>
      <c r="N35" s="64">
        <v>61.8</v>
      </c>
      <c r="O35" s="64">
        <v>0</v>
      </c>
      <c r="P35" s="64">
        <v>1.01</v>
      </c>
      <c r="Q35" s="64">
        <v>6.42</v>
      </c>
      <c r="R35" s="198"/>
      <c r="S35" s="198"/>
      <c r="T35" s="198"/>
      <c r="U35" s="198"/>
    </row>
    <row r="36" spans="1:21" s="12" customFormat="1" x14ac:dyDescent="0.25">
      <c r="A36" s="214" t="s">
        <v>2961</v>
      </c>
      <c r="B36" s="64">
        <v>22.27</v>
      </c>
      <c r="C36" s="64">
        <v>27.86</v>
      </c>
      <c r="D36" s="64">
        <v>34.53</v>
      </c>
      <c r="E36" s="64">
        <v>1.77</v>
      </c>
      <c r="F36" s="64">
        <v>0.12</v>
      </c>
      <c r="G36" s="64">
        <v>266</v>
      </c>
      <c r="H36" s="64">
        <v>105.93</v>
      </c>
      <c r="I36" s="64">
        <v>1.49</v>
      </c>
      <c r="J36" s="64">
        <v>0.12</v>
      </c>
      <c r="K36" s="64">
        <v>356.75</v>
      </c>
      <c r="L36" s="64">
        <v>18.059999999999999</v>
      </c>
      <c r="M36" s="64">
        <v>81.22</v>
      </c>
      <c r="N36" s="64">
        <v>104.8</v>
      </c>
      <c r="O36" s="64">
        <v>0</v>
      </c>
      <c r="P36" s="64">
        <v>1.06</v>
      </c>
      <c r="Q36" s="64">
        <v>6.48</v>
      </c>
      <c r="R36" s="198"/>
      <c r="S36" s="198"/>
      <c r="T36" s="198"/>
      <c r="U36" s="198"/>
    </row>
    <row r="37" spans="1:21" s="12" customFormat="1" x14ac:dyDescent="0.25">
      <c r="A37" s="214" t="s">
        <v>2962</v>
      </c>
      <c r="B37" s="64">
        <v>23.77</v>
      </c>
      <c r="C37" s="64">
        <v>28.62</v>
      </c>
      <c r="D37" s="64">
        <v>36.14</v>
      </c>
      <c r="E37" s="64">
        <v>1.58</v>
      </c>
      <c r="F37" s="64">
        <v>0.22</v>
      </c>
      <c r="G37" s="64">
        <v>266</v>
      </c>
      <c r="H37" s="64">
        <v>105.93</v>
      </c>
      <c r="I37" s="64">
        <v>1.5</v>
      </c>
      <c r="J37" s="64">
        <v>0.41</v>
      </c>
      <c r="K37" s="64">
        <v>96.78</v>
      </c>
      <c r="L37" s="64">
        <v>19.53</v>
      </c>
      <c r="M37" s="64">
        <v>74.180000000000007</v>
      </c>
      <c r="N37" s="64">
        <v>169.4</v>
      </c>
      <c r="O37" s="64">
        <v>0</v>
      </c>
      <c r="P37" s="64">
        <v>1.0900000000000001</v>
      </c>
      <c r="Q37" s="64">
        <v>6.53</v>
      </c>
      <c r="R37" s="198"/>
      <c r="S37" s="198"/>
      <c r="T37" s="198"/>
      <c r="U37" s="198"/>
    </row>
    <row r="38" spans="1:21" s="12" customFormat="1" x14ac:dyDescent="0.25">
      <c r="A38" s="214" t="s">
        <v>2963</v>
      </c>
      <c r="B38" s="64">
        <v>24.4</v>
      </c>
      <c r="C38" s="64">
        <v>32.42</v>
      </c>
      <c r="D38" s="64">
        <v>38.75</v>
      </c>
      <c r="E38" s="64">
        <v>1.71</v>
      </c>
      <c r="F38" s="64">
        <v>0.17</v>
      </c>
      <c r="G38" s="64">
        <v>266</v>
      </c>
      <c r="H38" s="64">
        <v>105.93</v>
      </c>
      <c r="I38" s="64">
        <v>1.55</v>
      </c>
      <c r="J38" s="64">
        <v>0.28999999999999998</v>
      </c>
      <c r="K38" s="64">
        <v>98.39</v>
      </c>
      <c r="L38" s="64">
        <v>20.329999999999998</v>
      </c>
      <c r="M38" s="64">
        <v>70.11</v>
      </c>
      <c r="N38" s="64">
        <v>223.9</v>
      </c>
      <c r="O38" s="64">
        <v>0</v>
      </c>
      <c r="P38" s="64">
        <v>1.18</v>
      </c>
      <c r="Q38" s="64">
        <v>6.44</v>
      </c>
      <c r="R38" s="198"/>
      <c r="S38" s="198"/>
      <c r="T38" s="198"/>
      <c r="U38" s="198"/>
    </row>
    <row r="39" spans="1:21" s="12" customFormat="1" x14ac:dyDescent="0.25">
      <c r="A39" s="214" t="s">
        <v>2964</v>
      </c>
      <c r="B39" s="64">
        <v>24.31</v>
      </c>
      <c r="C39" s="64">
        <v>31.01</v>
      </c>
      <c r="D39" s="64">
        <v>37.909999999999997</v>
      </c>
      <c r="E39" s="64">
        <v>1.64</v>
      </c>
      <c r="F39" s="64">
        <v>0.25</v>
      </c>
      <c r="G39" s="64">
        <v>267</v>
      </c>
      <c r="H39" s="64">
        <v>112.59</v>
      </c>
      <c r="I39" s="64">
        <v>1.54</v>
      </c>
      <c r="J39" s="64">
        <v>0.05</v>
      </c>
      <c r="K39" s="64">
        <v>7.29</v>
      </c>
      <c r="L39" s="64">
        <v>22.29</v>
      </c>
      <c r="M39" s="64">
        <v>61.66</v>
      </c>
      <c r="N39" s="64">
        <v>279.7</v>
      </c>
      <c r="O39" s="64">
        <v>0</v>
      </c>
      <c r="P39" s="64">
        <v>1.2</v>
      </c>
      <c r="Q39" s="64">
        <v>6.53</v>
      </c>
      <c r="R39" s="198"/>
      <c r="S39" s="198"/>
      <c r="T39" s="198"/>
      <c r="U39" s="198"/>
    </row>
    <row r="40" spans="1:21" s="12" customFormat="1" x14ac:dyDescent="0.25">
      <c r="A40" s="214" t="s">
        <v>2965</v>
      </c>
      <c r="B40" s="64">
        <v>24.15</v>
      </c>
      <c r="C40" s="64">
        <v>29.87</v>
      </c>
      <c r="D40" s="64">
        <v>37.14</v>
      </c>
      <c r="E40" s="64">
        <v>0.76</v>
      </c>
      <c r="F40" s="64">
        <v>0.38</v>
      </c>
      <c r="G40" s="64">
        <v>267.91000000000003</v>
      </c>
      <c r="H40" s="64">
        <v>115.62</v>
      </c>
      <c r="I40" s="64">
        <v>1.42</v>
      </c>
      <c r="J40" s="64">
        <v>0.37</v>
      </c>
      <c r="K40" s="64">
        <v>21.45</v>
      </c>
      <c r="L40" s="64">
        <v>22.91</v>
      </c>
      <c r="M40" s="64">
        <v>58.22</v>
      </c>
      <c r="N40" s="64">
        <v>334</v>
      </c>
      <c r="O40" s="64">
        <v>0</v>
      </c>
      <c r="P40" s="64">
        <v>1.22</v>
      </c>
      <c r="Q40" s="64">
        <v>6.6</v>
      </c>
      <c r="R40" s="198"/>
      <c r="S40" s="198"/>
      <c r="T40" s="198"/>
      <c r="U40" s="198"/>
    </row>
    <row r="41" spans="1:21" s="12" customFormat="1" x14ac:dyDescent="0.25">
      <c r="A41" s="214" t="s">
        <v>2966</v>
      </c>
      <c r="B41" s="64">
        <v>23.76</v>
      </c>
      <c r="C41" s="64">
        <v>29.73</v>
      </c>
      <c r="D41" s="64">
        <v>36.75</v>
      </c>
      <c r="E41" s="64">
        <v>1.31</v>
      </c>
      <c r="F41" s="64">
        <v>0.46</v>
      </c>
      <c r="G41" s="64">
        <v>267.91000000000003</v>
      </c>
      <c r="H41" s="64">
        <v>115.62</v>
      </c>
      <c r="I41" s="64">
        <v>1.49</v>
      </c>
      <c r="J41" s="64">
        <v>0.28999999999999998</v>
      </c>
      <c r="K41" s="64">
        <v>350.95</v>
      </c>
      <c r="L41" s="64">
        <v>25.09</v>
      </c>
      <c r="M41" s="64">
        <v>50.46</v>
      </c>
      <c r="N41" s="64">
        <v>381.9</v>
      </c>
      <c r="O41" s="64">
        <v>0</v>
      </c>
      <c r="P41" s="64">
        <v>1.24</v>
      </c>
      <c r="Q41" s="64">
        <v>6.7</v>
      </c>
      <c r="R41" s="198"/>
      <c r="S41" s="198"/>
      <c r="T41" s="198"/>
      <c r="U41" s="198"/>
    </row>
    <row r="42" spans="1:21" s="12" customFormat="1" x14ac:dyDescent="0.25">
      <c r="A42" s="214" t="s">
        <v>2967</v>
      </c>
      <c r="B42" s="64">
        <v>24.09</v>
      </c>
      <c r="C42" s="64">
        <v>31.27</v>
      </c>
      <c r="D42" s="64">
        <v>37.869999999999997</v>
      </c>
      <c r="E42" s="64">
        <v>1.58</v>
      </c>
      <c r="F42" s="64">
        <v>0.57999999999999996</v>
      </c>
      <c r="G42" s="64">
        <v>267.91000000000003</v>
      </c>
      <c r="H42" s="64">
        <v>115.62</v>
      </c>
      <c r="I42" s="64">
        <v>1.43</v>
      </c>
      <c r="J42" s="64">
        <v>0.3</v>
      </c>
      <c r="K42" s="64">
        <v>334.77</v>
      </c>
      <c r="L42" s="64">
        <v>25.85</v>
      </c>
      <c r="M42" s="64">
        <v>50.35</v>
      </c>
      <c r="N42" s="64">
        <v>424.5</v>
      </c>
      <c r="O42" s="64">
        <v>0</v>
      </c>
      <c r="P42" s="64">
        <v>1.25</v>
      </c>
      <c r="Q42" s="64">
        <v>6.66</v>
      </c>
      <c r="R42" s="198"/>
      <c r="S42" s="198"/>
      <c r="T42" s="198"/>
      <c r="U42" s="198"/>
    </row>
    <row r="43" spans="1:21" s="12" customFormat="1" x14ac:dyDescent="0.25">
      <c r="A43" s="214" t="s">
        <v>2968</v>
      </c>
      <c r="B43" s="64">
        <v>22.28</v>
      </c>
      <c r="C43" s="64">
        <v>31.56</v>
      </c>
      <c r="D43" s="64">
        <v>36.58</v>
      </c>
      <c r="E43" s="64">
        <v>1.7</v>
      </c>
      <c r="F43" s="64">
        <v>1.2</v>
      </c>
      <c r="G43" s="64">
        <v>188.73</v>
      </c>
      <c r="H43" s="64">
        <v>109.59</v>
      </c>
      <c r="I43" s="64">
        <v>1.46</v>
      </c>
      <c r="J43" s="64">
        <v>0.39</v>
      </c>
      <c r="K43" s="64">
        <v>325.69</v>
      </c>
      <c r="L43" s="64">
        <v>24.99</v>
      </c>
      <c r="M43" s="64">
        <v>56.33</v>
      </c>
      <c r="N43" s="64">
        <v>462.9</v>
      </c>
      <c r="O43" s="64">
        <v>0</v>
      </c>
      <c r="P43" s="64">
        <v>1.26</v>
      </c>
      <c r="Q43" s="64">
        <v>6.65</v>
      </c>
      <c r="R43" s="198"/>
      <c r="S43" s="198"/>
      <c r="T43" s="198"/>
      <c r="U43" s="198"/>
    </row>
    <row r="44" spans="1:21" s="12" customFormat="1" x14ac:dyDescent="0.25">
      <c r="A44" s="214" t="s">
        <v>2969</v>
      </c>
      <c r="B44" s="64">
        <v>20.100000000000001</v>
      </c>
      <c r="C44" s="64">
        <v>32.46</v>
      </c>
      <c r="D44" s="64">
        <v>35.32</v>
      </c>
      <c r="E44" s="64">
        <v>1.33</v>
      </c>
      <c r="F44" s="64">
        <v>1.41</v>
      </c>
      <c r="G44" s="64">
        <v>188.73</v>
      </c>
      <c r="H44" s="64">
        <v>106.83</v>
      </c>
      <c r="I44" s="64">
        <v>1.54</v>
      </c>
      <c r="J44" s="64">
        <v>0.47</v>
      </c>
      <c r="K44" s="64">
        <v>331.27</v>
      </c>
      <c r="L44" s="64">
        <v>25.64</v>
      </c>
      <c r="M44" s="64">
        <v>54.7</v>
      </c>
      <c r="N44" s="64">
        <v>497.4</v>
      </c>
      <c r="O44" s="64">
        <v>0</v>
      </c>
      <c r="P44" s="64">
        <v>1.25</v>
      </c>
      <c r="Q44" s="64">
        <v>6.63</v>
      </c>
      <c r="R44" s="198"/>
      <c r="S44" s="198"/>
      <c r="T44" s="198"/>
      <c r="U44" s="198"/>
    </row>
    <row r="45" spans="1:21" s="12" customFormat="1" x14ac:dyDescent="0.25">
      <c r="A45" s="214" t="s">
        <v>2970</v>
      </c>
      <c r="B45" s="64">
        <v>20.28</v>
      </c>
      <c r="C45" s="64">
        <v>31.69</v>
      </c>
      <c r="D45" s="64">
        <v>35.04</v>
      </c>
      <c r="E45" s="64">
        <v>1.63</v>
      </c>
      <c r="F45" s="64">
        <v>0.36</v>
      </c>
      <c r="G45" s="64">
        <v>188.73</v>
      </c>
      <c r="H45" s="64">
        <v>106.83</v>
      </c>
      <c r="I45" s="64">
        <v>1.54</v>
      </c>
      <c r="J45" s="64">
        <v>0.31</v>
      </c>
      <c r="K45" s="64">
        <v>328.1</v>
      </c>
      <c r="L45" s="64">
        <v>25.46</v>
      </c>
      <c r="M45" s="64">
        <v>54.92</v>
      </c>
      <c r="N45" s="64">
        <v>536.70000000000005</v>
      </c>
      <c r="O45" s="64">
        <v>0</v>
      </c>
      <c r="P45" s="64">
        <v>1.28</v>
      </c>
      <c r="Q45" s="64">
        <v>6.59</v>
      </c>
      <c r="R45" s="198"/>
      <c r="S45" s="198"/>
      <c r="T45" s="198"/>
      <c r="U45" s="198"/>
    </row>
    <row r="46" spans="1:21" s="12" customFormat="1" x14ac:dyDescent="0.25">
      <c r="A46" s="214" t="s">
        <v>2971</v>
      </c>
      <c r="B46" s="64">
        <v>19.14</v>
      </c>
      <c r="C46" s="64">
        <v>32.08</v>
      </c>
      <c r="D46" s="64">
        <v>34.340000000000003</v>
      </c>
      <c r="E46" s="64">
        <v>1.61</v>
      </c>
      <c r="F46" s="64">
        <v>0.42</v>
      </c>
      <c r="G46" s="64">
        <v>188.73</v>
      </c>
      <c r="H46" s="64">
        <v>106.83</v>
      </c>
      <c r="I46" s="64">
        <v>1.51</v>
      </c>
      <c r="J46" s="64">
        <v>0.35</v>
      </c>
      <c r="K46" s="64">
        <v>327.84</v>
      </c>
      <c r="L46" s="64">
        <v>26.08</v>
      </c>
      <c r="M46" s="64">
        <v>52.05</v>
      </c>
      <c r="N46" s="64">
        <v>572.1</v>
      </c>
      <c r="O46" s="64">
        <v>0</v>
      </c>
      <c r="P46" s="64">
        <v>1.27</v>
      </c>
      <c r="Q46" s="64">
        <v>6.45</v>
      </c>
      <c r="R46" s="198"/>
      <c r="S46" s="198"/>
      <c r="T46" s="198"/>
      <c r="U46" s="198"/>
    </row>
    <row r="47" spans="1:21" s="12" customFormat="1" x14ac:dyDescent="0.25">
      <c r="A47" s="214" t="s">
        <v>2972</v>
      </c>
      <c r="B47" s="64">
        <v>17.89</v>
      </c>
      <c r="C47" s="64">
        <v>32.409999999999997</v>
      </c>
      <c r="D47" s="64">
        <v>33.520000000000003</v>
      </c>
      <c r="E47" s="64">
        <v>1.93</v>
      </c>
      <c r="F47" s="64">
        <v>0.45</v>
      </c>
      <c r="G47" s="64">
        <v>178.03</v>
      </c>
      <c r="H47" s="64">
        <v>93.45</v>
      </c>
      <c r="I47" s="64">
        <v>1.49</v>
      </c>
      <c r="J47" s="64">
        <v>0.61</v>
      </c>
      <c r="K47" s="64">
        <v>331.2</v>
      </c>
      <c r="L47" s="64">
        <v>27.25</v>
      </c>
      <c r="M47" s="64">
        <v>51.32</v>
      </c>
      <c r="N47" s="64">
        <v>584.6</v>
      </c>
      <c r="O47" s="64">
        <v>0</v>
      </c>
      <c r="P47" s="64">
        <v>1.28</v>
      </c>
      <c r="Q47" s="64">
        <v>6.37</v>
      </c>
      <c r="R47" s="198"/>
      <c r="S47" s="198"/>
      <c r="T47" s="198"/>
      <c r="U47" s="198"/>
    </row>
    <row r="48" spans="1:21" s="12" customFormat="1" x14ac:dyDescent="0.25">
      <c r="A48" s="214" t="s">
        <v>2973</v>
      </c>
      <c r="B48" s="64">
        <v>16.54</v>
      </c>
      <c r="C48" s="64">
        <v>29.48</v>
      </c>
      <c r="D48" s="64">
        <v>30.82</v>
      </c>
      <c r="E48" s="64">
        <v>2.09</v>
      </c>
      <c r="F48" s="64">
        <v>0.62</v>
      </c>
      <c r="G48" s="64">
        <v>167.81</v>
      </c>
      <c r="H48" s="64">
        <v>87.35</v>
      </c>
      <c r="I48" s="64">
        <v>1.54</v>
      </c>
      <c r="J48" s="64">
        <v>0.08</v>
      </c>
      <c r="K48" s="64">
        <v>76.55</v>
      </c>
      <c r="L48" s="64">
        <v>26.96</v>
      </c>
      <c r="M48" s="64">
        <v>47.15</v>
      </c>
      <c r="N48" s="64">
        <v>619.4</v>
      </c>
      <c r="O48" s="64">
        <v>0</v>
      </c>
      <c r="P48" s="64">
        <v>1.27</v>
      </c>
      <c r="Q48" s="64">
        <v>6.32</v>
      </c>
      <c r="R48" s="198"/>
      <c r="S48" s="198"/>
      <c r="T48" s="198"/>
      <c r="U48" s="198"/>
    </row>
    <row r="49" spans="1:21" s="12" customFormat="1" x14ac:dyDescent="0.25">
      <c r="A49" s="214" t="s">
        <v>2974</v>
      </c>
      <c r="B49" s="64">
        <v>14.18</v>
      </c>
      <c r="C49" s="64">
        <v>31.73</v>
      </c>
      <c r="D49" s="64">
        <v>30.17</v>
      </c>
      <c r="E49" s="64">
        <v>1.68</v>
      </c>
      <c r="F49" s="64">
        <v>1</v>
      </c>
      <c r="G49" s="64">
        <v>167.81</v>
      </c>
      <c r="H49" s="64">
        <v>87.35</v>
      </c>
      <c r="I49" s="64">
        <v>1.42</v>
      </c>
      <c r="J49" s="64">
        <v>0.08</v>
      </c>
      <c r="K49" s="64">
        <v>65.47</v>
      </c>
      <c r="L49" s="64">
        <v>26.29</v>
      </c>
      <c r="M49" s="64">
        <v>45.84</v>
      </c>
      <c r="N49" s="64">
        <v>616.20000000000005</v>
      </c>
      <c r="O49" s="64">
        <v>0</v>
      </c>
      <c r="P49" s="64">
        <v>1.26</v>
      </c>
      <c r="Q49" s="64">
        <v>6.14</v>
      </c>
      <c r="R49" s="198"/>
      <c r="S49" s="198"/>
      <c r="T49" s="198"/>
      <c r="U49" s="198"/>
    </row>
    <row r="50" spans="1:21" s="12" customFormat="1" x14ac:dyDescent="0.25">
      <c r="A50" s="214" t="s">
        <v>2975</v>
      </c>
      <c r="B50" s="64">
        <v>11.71</v>
      </c>
      <c r="C50" s="64">
        <v>35.43</v>
      </c>
      <c r="D50" s="64">
        <v>30.23</v>
      </c>
      <c r="E50" s="64">
        <v>1.77</v>
      </c>
      <c r="F50" s="64">
        <v>1.37</v>
      </c>
      <c r="G50" s="64">
        <v>167.81</v>
      </c>
      <c r="H50" s="64">
        <v>87.35</v>
      </c>
      <c r="I50" s="64">
        <v>1.47</v>
      </c>
      <c r="J50" s="64">
        <v>0.49</v>
      </c>
      <c r="K50" s="64">
        <v>126.43</v>
      </c>
      <c r="L50" s="64">
        <v>26.92</v>
      </c>
      <c r="M50" s="64">
        <v>40.520000000000003</v>
      </c>
      <c r="N50" s="64">
        <v>658.3</v>
      </c>
      <c r="O50" s="64">
        <v>0</v>
      </c>
      <c r="P50" s="64">
        <v>1.23</v>
      </c>
      <c r="Q50" s="64">
        <v>5.87</v>
      </c>
      <c r="R50" s="198"/>
      <c r="S50" s="198"/>
      <c r="T50" s="198"/>
      <c r="U50" s="198"/>
    </row>
    <row r="51" spans="1:21" s="12" customFormat="1" x14ac:dyDescent="0.25">
      <c r="A51" s="214" t="s">
        <v>2976</v>
      </c>
      <c r="B51" s="64">
        <v>9.58</v>
      </c>
      <c r="C51" s="64">
        <v>31.61</v>
      </c>
      <c r="D51" s="64">
        <v>26.42</v>
      </c>
      <c r="E51" s="64">
        <v>1.45</v>
      </c>
      <c r="F51" s="64">
        <v>1.56</v>
      </c>
      <c r="G51" s="64">
        <v>135.06</v>
      </c>
      <c r="H51" s="64">
        <v>83.24</v>
      </c>
      <c r="I51" s="64">
        <v>1.45</v>
      </c>
      <c r="J51" s="64">
        <v>0.56000000000000005</v>
      </c>
      <c r="K51" s="64">
        <v>103.05</v>
      </c>
      <c r="L51" s="64">
        <v>27.73</v>
      </c>
      <c r="M51" s="64">
        <v>37.76</v>
      </c>
      <c r="N51" s="64">
        <v>670.2</v>
      </c>
      <c r="O51" s="64">
        <v>0</v>
      </c>
      <c r="P51" s="64">
        <v>1.21</v>
      </c>
      <c r="Q51" s="64">
        <v>5.79</v>
      </c>
      <c r="R51" s="198"/>
      <c r="S51" s="198"/>
      <c r="T51" s="198"/>
      <c r="U51" s="198"/>
    </row>
    <row r="52" spans="1:21" s="12" customFormat="1" x14ac:dyDescent="0.25">
      <c r="A52" s="214" t="s">
        <v>2977</v>
      </c>
      <c r="B52" s="64">
        <v>7.43</v>
      </c>
      <c r="C52" s="64">
        <v>32.61</v>
      </c>
      <c r="D52" s="64">
        <v>25.24</v>
      </c>
      <c r="E52" s="64">
        <v>1.45</v>
      </c>
      <c r="F52" s="64">
        <v>1.69</v>
      </c>
      <c r="G52" s="64">
        <v>103.74</v>
      </c>
      <c r="H52" s="64">
        <v>81.37</v>
      </c>
      <c r="I52" s="64">
        <v>1.49</v>
      </c>
      <c r="J52" s="64">
        <v>0.77</v>
      </c>
      <c r="K52" s="64">
        <v>104.44</v>
      </c>
      <c r="L52" s="64">
        <v>27.28</v>
      </c>
      <c r="M52" s="64">
        <v>36.96</v>
      </c>
      <c r="N52" s="64">
        <v>696.4</v>
      </c>
      <c r="O52" s="64">
        <v>0</v>
      </c>
      <c r="P52" s="64">
        <v>1.17</v>
      </c>
      <c r="Q52" s="64">
        <v>5.59</v>
      </c>
      <c r="R52" s="198"/>
      <c r="S52" s="198"/>
      <c r="T52" s="198"/>
      <c r="U52" s="198"/>
    </row>
    <row r="53" spans="1:21" s="12" customFormat="1" x14ac:dyDescent="0.25">
      <c r="A53" s="214" t="s">
        <v>2978</v>
      </c>
      <c r="B53" s="64">
        <v>5.62</v>
      </c>
      <c r="C53" s="64">
        <v>31.51</v>
      </c>
      <c r="D53" s="64">
        <v>23.18</v>
      </c>
      <c r="E53" s="64">
        <v>1.56</v>
      </c>
      <c r="F53" s="64">
        <v>2.1</v>
      </c>
      <c r="G53" s="64">
        <v>103.74</v>
      </c>
      <c r="H53" s="64">
        <v>81.37</v>
      </c>
      <c r="I53" s="64">
        <v>1.49</v>
      </c>
      <c r="J53" s="64">
        <v>0.89</v>
      </c>
      <c r="K53" s="64">
        <v>111.31</v>
      </c>
      <c r="L53" s="64">
        <v>26.84</v>
      </c>
      <c r="M53" s="64">
        <v>37.549999999999997</v>
      </c>
      <c r="N53" s="64">
        <v>667.4</v>
      </c>
      <c r="O53" s="64">
        <v>0</v>
      </c>
      <c r="P53" s="64">
        <v>1.1299999999999999</v>
      </c>
      <c r="Q53" s="64">
        <v>5.41</v>
      </c>
      <c r="R53" s="198"/>
      <c r="S53" s="198"/>
      <c r="T53" s="198"/>
      <c r="U53" s="198"/>
    </row>
    <row r="54" spans="1:21" s="12" customFormat="1" x14ac:dyDescent="0.25">
      <c r="A54" s="214" t="s">
        <v>2979</v>
      </c>
      <c r="B54" s="64">
        <v>4.33</v>
      </c>
      <c r="C54" s="64">
        <v>30.09</v>
      </c>
      <c r="D54" s="64">
        <v>21.37</v>
      </c>
      <c r="E54" s="64">
        <v>1.96</v>
      </c>
      <c r="F54" s="64">
        <v>3.33</v>
      </c>
      <c r="G54" s="64">
        <v>103.74</v>
      </c>
      <c r="H54" s="64">
        <v>81.37</v>
      </c>
      <c r="I54" s="64">
        <v>1.49</v>
      </c>
      <c r="J54" s="64">
        <v>0.35</v>
      </c>
      <c r="K54" s="64">
        <v>46.4</v>
      </c>
      <c r="L54" s="64">
        <v>27.77</v>
      </c>
      <c r="M54" s="64">
        <v>35.68</v>
      </c>
      <c r="N54" s="64">
        <v>685.7</v>
      </c>
      <c r="O54" s="64">
        <v>0</v>
      </c>
      <c r="P54" s="64">
        <v>1.0900000000000001</v>
      </c>
      <c r="Q54" s="64">
        <v>5.25</v>
      </c>
      <c r="R54" s="198"/>
      <c r="S54" s="198"/>
      <c r="T54" s="198"/>
      <c r="U54" s="198"/>
    </row>
    <row r="55" spans="1:21" s="12" customFormat="1" x14ac:dyDescent="0.25">
      <c r="A55" s="214" t="s">
        <v>2980</v>
      </c>
      <c r="B55" s="64">
        <v>3.47</v>
      </c>
      <c r="C55" s="64">
        <v>28.76</v>
      </c>
      <c r="D55" s="64">
        <v>19.940000000000001</v>
      </c>
      <c r="E55" s="64">
        <v>2.12</v>
      </c>
      <c r="F55" s="64">
        <v>4.18</v>
      </c>
      <c r="G55" s="64">
        <v>97.33</v>
      </c>
      <c r="H55" s="64">
        <v>74.81</v>
      </c>
      <c r="I55" s="64">
        <v>1.31</v>
      </c>
      <c r="J55" s="64">
        <v>0.96</v>
      </c>
      <c r="K55" s="64">
        <v>110.42</v>
      </c>
      <c r="L55" s="64">
        <v>27.82</v>
      </c>
      <c r="M55" s="64">
        <v>33.86</v>
      </c>
      <c r="N55" s="64">
        <v>658.3</v>
      </c>
      <c r="O55" s="64">
        <v>0</v>
      </c>
      <c r="P55" s="64">
        <v>1.04</v>
      </c>
      <c r="Q55" s="64">
        <v>5.17</v>
      </c>
      <c r="R55" s="198"/>
      <c r="S55" s="198"/>
      <c r="T55" s="198"/>
      <c r="U55" s="198"/>
    </row>
    <row r="56" spans="1:21" s="12" customFormat="1" x14ac:dyDescent="0.25">
      <c r="A56" s="214" t="s">
        <v>2981</v>
      </c>
      <c r="B56" s="64">
        <v>2.84</v>
      </c>
      <c r="C56" s="64">
        <v>29.7</v>
      </c>
      <c r="D56" s="64">
        <v>19.96</v>
      </c>
      <c r="E56" s="64">
        <v>1.43</v>
      </c>
      <c r="F56" s="64">
        <v>3.21</v>
      </c>
      <c r="G56" s="64">
        <v>91.46</v>
      </c>
      <c r="H56" s="64">
        <v>68.540000000000006</v>
      </c>
      <c r="I56" s="64">
        <v>1.46</v>
      </c>
      <c r="J56" s="64">
        <v>0.6</v>
      </c>
      <c r="K56" s="64">
        <v>90.53</v>
      </c>
      <c r="L56" s="64">
        <v>27.43</v>
      </c>
      <c r="M56" s="64">
        <v>33.24</v>
      </c>
      <c r="N56" s="64">
        <v>703.4</v>
      </c>
      <c r="O56" s="64">
        <v>0</v>
      </c>
      <c r="P56" s="64">
        <v>1.03</v>
      </c>
      <c r="Q56" s="64">
        <v>5.14</v>
      </c>
      <c r="R56" s="198"/>
      <c r="S56" s="198"/>
      <c r="T56" s="198"/>
      <c r="U56" s="198"/>
    </row>
    <row r="57" spans="1:21" s="12" customFormat="1" x14ac:dyDescent="0.25">
      <c r="A57" s="214" t="s">
        <v>2982</v>
      </c>
      <c r="B57" s="64">
        <v>2.72</v>
      </c>
      <c r="C57" s="64">
        <v>29.37</v>
      </c>
      <c r="D57" s="64">
        <v>19.68</v>
      </c>
      <c r="E57" s="64">
        <v>2.12</v>
      </c>
      <c r="F57" s="64">
        <v>3.27</v>
      </c>
      <c r="G57" s="64">
        <v>91.46</v>
      </c>
      <c r="H57" s="64">
        <v>68.540000000000006</v>
      </c>
      <c r="I57" s="64">
        <v>1.45</v>
      </c>
      <c r="J57" s="64">
        <v>1.55</v>
      </c>
      <c r="K57" s="64">
        <v>118.77</v>
      </c>
      <c r="L57" s="64">
        <v>27.91</v>
      </c>
      <c r="M57" s="64">
        <v>30.98</v>
      </c>
      <c r="N57" s="64">
        <v>699.2</v>
      </c>
      <c r="O57" s="64">
        <v>0</v>
      </c>
      <c r="P57" s="64">
        <v>0.99</v>
      </c>
      <c r="Q57" s="64">
        <v>5.13</v>
      </c>
      <c r="R57" s="198"/>
      <c r="S57" s="198"/>
      <c r="T57" s="198"/>
      <c r="U57" s="198"/>
    </row>
    <row r="58" spans="1:21" s="12" customFormat="1" x14ac:dyDescent="0.25">
      <c r="A58" s="214" t="s">
        <v>2983</v>
      </c>
      <c r="B58" s="64">
        <v>2.25</v>
      </c>
      <c r="C58" s="64">
        <v>27.26</v>
      </c>
      <c r="D58" s="64">
        <v>18.14</v>
      </c>
      <c r="E58" s="64">
        <v>2.02</v>
      </c>
      <c r="F58" s="64">
        <v>3.35</v>
      </c>
      <c r="G58" s="64">
        <v>91.46</v>
      </c>
      <c r="H58" s="64">
        <v>68.540000000000006</v>
      </c>
      <c r="I58" s="64">
        <v>1.48</v>
      </c>
      <c r="J58" s="64">
        <v>0.67</v>
      </c>
      <c r="K58" s="64">
        <v>115.88</v>
      </c>
      <c r="L58" s="64">
        <v>27.2</v>
      </c>
      <c r="M58" s="64">
        <v>31.32</v>
      </c>
      <c r="N58" s="64">
        <v>689.7</v>
      </c>
      <c r="O58" s="64">
        <v>0</v>
      </c>
      <c r="P58" s="64">
        <v>0.94</v>
      </c>
      <c r="Q58" s="64">
        <v>5.0599999999999996</v>
      </c>
      <c r="R58" s="198"/>
      <c r="S58" s="198"/>
      <c r="T58" s="198"/>
      <c r="U58" s="198"/>
    </row>
    <row r="59" spans="1:21" s="12" customFormat="1" x14ac:dyDescent="0.25">
      <c r="A59" s="214" t="s">
        <v>2984</v>
      </c>
      <c r="B59" s="64">
        <v>2</v>
      </c>
      <c r="C59" s="64">
        <v>26.41</v>
      </c>
      <c r="D59" s="64">
        <v>17.47</v>
      </c>
      <c r="E59" s="64">
        <v>2.38</v>
      </c>
      <c r="F59" s="64">
        <v>4.9400000000000004</v>
      </c>
      <c r="G59" s="64">
        <v>84.02</v>
      </c>
      <c r="H59" s="64">
        <v>58.83</v>
      </c>
      <c r="I59" s="64">
        <v>1.45</v>
      </c>
      <c r="J59" s="64">
        <v>0.51</v>
      </c>
      <c r="K59" s="64">
        <v>95.6</v>
      </c>
      <c r="L59" s="64">
        <v>28.25</v>
      </c>
      <c r="M59" s="64">
        <v>30.48</v>
      </c>
      <c r="N59" s="64">
        <v>688.9</v>
      </c>
      <c r="O59" s="64">
        <v>0</v>
      </c>
      <c r="P59" s="64">
        <v>0.91</v>
      </c>
      <c r="Q59" s="64">
        <v>5.0199999999999996</v>
      </c>
      <c r="R59" s="198"/>
      <c r="S59" s="198"/>
      <c r="T59" s="198"/>
      <c r="U59" s="198"/>
    </row>
    <row r="60" spans="1:21" s="12" customFormat="1" x14ac:dyDescent="0.25">
      <c r="A60" s="214" t="s">
        <v>2985</v>
      </c>
      <c r="B60" s="64">
        <v>2</v>
      </c>
      <c r="C60" s="64">
        <v>22.33</v>
      </c>
      <c r="D60" s="64">
        <v>15.22</v>
      </c>
      <c r="E60" s="64">
        <v>2.2799999999999998</v>
      </c>
      <c r="F60" s="64">
        <v>4.0199999999999996</v>
      </c>
      <c r="G60" s="64">
        <v>77.209999999999994</v>
      </c>
      <c r="H60" s="64">
        <v>54.4</v>
      </c>
      <c r="I60" s="64">
        <v>1.43</v>
      </c>
      <c r="J60" s="64">
        <v>1.46</v>
      </c>
      <c r="K60" s="64">
        <v>110.67</v>
      </c>
      <c r="L60" s="64">
        <v>27</v>
      </c>
      <c r="M60" s="64">
        <v>33.4</v>
      </c>
      <c r="N60" s="64">
        <v>684.4</v>
      </c>
      <c r="O60" s="64">
        <v>0</v>
      </c>
      <c r="P60" s="64">
        <v>0.87</v>
      </c>
      <c r="Q60" s="64">
        <v>5.09</v>
      </c>
      <c r="R60" s="198"/>
      <c r="S60" s="198"/>
      <c r="T60" s="198"/>
      <c r="U60" s="198"/>
    </row>
    <row r="61" spans="1:21" s="12" customFormat="1" x14ac:dyDescent="0.25">
      <c r="A61" s="214" t="s">
        <v>2986</v>
      </c>
      <c r="B61" s="64">
        <v>2</v>
      </c>
      <c r="C61" s="64">
        <v>21.06</v>
      </c>
      <c r="D61" s="64">
        <v>14.52</v>
      </c>
      <c r="E61" s="64">
        <v>1.84</v>
      </c>
      <c r="F61" s="64">
        <v>3.23</v>
      </c>
      <c r="G61" s="64">
        <v>77.209999999999994</v>
      </c>
      <c r="H61" s="64">
        <v>54.4</v>
      </c>
      <c r="I61" s="64">
        <v>1.49</v>
      </c>
      <c r="J61" s="64">
        <v>0.56999999999999995</v>
      </c>
      <c r="K61" s="64">
        <v>341.56</v>
      </c>
      <c r="L61" s="64">
        <v>28.29</v>
      </c>
      <c r="M61" s="64">
        <v>30.99</v>
      </c>
      <c r="N61" s="64">
        <v>628.4</v>
      </c>
      <c r="O61" s="64">
        <v>0</v>
      </c>
      <c r="P61" s="64">
        <v>0.8</v>
      </c>
      <c r="Q61" s="64">
        <v>5.17</v>
      </c>
      <c r="R61" s="198"/>
      <c r="S61" s="198"/>
      <c r="T61" s="198"/>
      <c r="U61" s="198"/>
    </row>
    <row r="62" spans="1:21" s="12" customFormat="1" x14ac:dyDescent="0.25">
      <c r="A62" s="214" t="s">
        <v>2987</v>
      </c>
      <c r="B62" s="64">
        <v>2.0099999999999998</v>
      </c>
      <c r="C62" s="64">
        <v>25.63</v>
      </c>
      <c r="D62" s="64">
        <v>17.05</v>
      </c>
      <c r="E62" s="64">
        <v>1.62</v>
      </c>
      <c r="F62" s="64">
        <v>3.13</v>
      </c>
      <c r="G62" s="64">
        <v>77.209999999999994</v>
      </c>
      <c r="H62" s="64">
        <v>54.4</v>
      </c>
      <c r="I62" s="64">
        <v>1.41</v>
      </c>
      <c r="J62" s="64">
        <v>0.6</v>
      </c>
      <c r="K62" s="64">
        <v>90.34</v>
      </c>
      <c r="L62" s="64">
        <v>28.5</v>
      </c>
      <c r="M62" s="64">
        <v>30.63</v>
      </c>
      <c r="N62" s="64">
        <v>583.79999999999995</v>
      </c>
      <c r="O62" s="64">
        <v>0</v>
      </c>
      <c r="P62" s="64">
        <v>0.82</v>
      </c>
      <c r="Q62" s="64">
        <v>4.83</v>
      </c>
      <c r="R62" s="198"/>
      <c r="S62" s="198"/>
      <c r="T62" s="198"/>
      <c r="U62" s="198"/>
    </row>
    <row r="63" spans="1:21" s="12" customFormat="1" x14ac:dyDescent="0.25">
      <c r="A63" s="214" t="s">
        <v>2988</v>
      </c>
      <c r="B63" s="64">
        <v>2.17</v>
      </c>
      <c r="C63" s="64">
        <v>25.53</v>
      </c>
      <c r="D63" s="64">
        <v>17.12</v>
      </c>
      <c r="E63" s="64">
        <v>1.6</v>
      </c>
      <c r="F63" s="64">
        <v>3.32</v>
      </c>
      <c r="G63" s="64">
        <v>70.760000000000005</v>
      </c>
      <c r="H63" s="64">
        <v>54.23</v>
      </c>
      <c r="I63" s="64">
        <v>1.5</v>
      </c>
      <c r="J63" s="64">
        <v>0.28000000000000003</v>
      </c>
      <c r="K63" s="64">
        <v>347.52</v>
      </c>
      <c r="L63" s="64">
        <v>27.61</v>
      </c>
      <c r="M63" s="64">
        <v>32.33</v>
      </c>
      <c r="N63" s="64">
        <v>438.7</v>
      </c>
      <c r="O63" s="64">
        <v>0</v>
      </c>
      <c r="P63" s="64">
        <v>0.8</v>
      </c>
      <c r="Q63" s="64">
        <v>4.93</v>
      </c>
      <c r="R63" s="198"/>
      <c r="S63" s="198"/>
      <c r="T63" s="198"/>
      <c r="U63" s="198"/>
    </row>
    <row r="64" spans="1:21" s="12" customFormat="1" x14ac:dyDescent="0.25">
      <c r="A64" s="214" t="s">
        <v>2989</v>
      </c>
      <c r="B64" s="64">
        <v>2.25</v>
      </c>
      <c r="C64" s="64">
        <v>27.95</v>
      </c>
      <c r="D64" s="64">
        <v>18.52</v>
      </c>
      <c r="E64" s="64">
        <v>1.78</v>
      </c>
      <c r="F64" s="64">
        <v>3.72</v>
      </c>
      <c r="G64" s="64">
        <v>64.849999999999994</v>
      </c>
      <c r="H64" s="64">
        <v>54.15</v>
      </c>
      <c r="I64" s="64">
        <v>1.55</v>
      </c>
      <c r="J64" s="64">
        <v>1.1100000000000001</v>
      </c>
      <c r="K64" s="64">
        <v>106.67</v>
      </c>
      <c r="L64" s="64">
        <v>27.65</v>
      </c>
      <c r="M64" s="64">
        <v>33.14</v>
      </c>
      <c r="N64" s="64">
        <v>340.3</v>
      </c>
      <c r="O64" s="64">
        <v>0</v>
      </c>
      <c r="P64" s="64">
        <v>0.77</v>
      </c>
      <c r="Q64" s="64">
        <v>4.8099999999999996</v>
      </c>
      <c r="R64" s="198"/>
      <c r="S64" s="198"/>
      <c r="T64" s="198"/>
      <c r="U64" s="198"/>
    </row>
    <row r="65" spans="1:21" s="12" customFormat="1" x14ac:dyDescent="0.25">
      <c r="A65" s="214" t="s">
        <v>2990</v>
      </c>
      <c r="B65" s="64">
        <v>2</v>
      </c>
      <c r="C65" s="64">
        <v>25.89</v>
      </c>
      <c r="D65" s="64">
        <v>17.18</v>
      </c>
      <c r="E65" s="64">
        <v>1.72</v>
      </c>
      <c r="F65" s="64">
        <v>6.01</v>
      </c>
      <c r="G65" s="64">
        <v>64.849999999999994</v>
      </c>
      <c r="H65" s="64">
        <v>54.15</v>
      </c>
      <c r="I65" s="64">
        <v>1.52</v>
      </c>
      <c r="J65" s="64">
        <v>0.15</v>
      </c>
      <c r="K65" s="64">
        <v>11.52</v>
      </c>
      <c r="L65" s="64">
        <v>27.33</v>
      </c>
      <c r="M65" s="64">
        <v>34.520000000000003</v>
      </c>
      <c r="N65" s="64">
        <v>220.7</v>
      </c>
      <c r="O65" s="64">
        <v>0</v>
      </c>
      <c r="P65" s="64">
        <v>0.75</v>
      </c>
      <c r="Q65" s="64">
        <v>4.88</v>
      </c>
      <c r="R65" s="198"/>
      <c r="S65" s="198"/>
      <c r="T65" s="198"/>
      <c r="U65" s="198"/>
    </row>
    <row r="66" spans="1:21" s="12" customFormat="1" x14ac:dyDescent="0.25">
      <c r="A66" s="214" t="s">
        <v>2991</v>
      </c>
      <c r="B66" s="64">
        <v>2.11</v>
      </c>
      <c r="C66" s="64">
        <v>23.69</v>
      </c>
      <c r="D66" s="64">
        <v>16.059999999999999</v>
      </c>
      <c r="E66" s="64">
        <v>1.94</v>
      </c>
      <c r="F66" s="64">
        <v>3.31</v>
      </c>
      <c r="G66" s="64">
        <v>64.849999999999994</v>
      </c>
      <c r="H66" s="64">
        <v>54.15</v>
      </c>
      <c r="I66" s="64">
        <v>1.5</v>
      </c>
      <c r="J66" s="64">
        <v>0.76</v>
      </c>
      <c r="K66" s="64">
        <v>342.31</v>
      </c>
      <c r="L66" s="64">
        <v>27.3</v>
      </c>
      <c r="M66" s="64">
        <v>39.08</v>
      </c>
      <c r="N66" s="64">
        <v>239.5</v>
      </c>
      <c r="O66" s="64">
        <v>0</v>
      </c>
      <c r="P66" s="64">
        <v>0.74</v>
      </c>
      <c r="Q66" s="64">
        <v>4.95</v>
      </c>
      <c r="R66" s="198"/>
      <c r="S66" s="198"/>
      <c r="T66" s="198"/>
      <c r="U66" s="198"/>
    </row>
    <row r="67" spans="1:21" s="12" customFormat="1" x14ac:dyDescent="0.25">
      <c r="A67" s="214" t="s">
        <v>2992</v>
      </c>
      <c r="B67" s="64">
        <v>2.52</v>
      </c>
      <c r="C67" s="64">
        <v>24.91</v>
      </c>
      <c r="D67" s="64">
        <v>17.059999999999999</v>
      </c>
      <c r="E67" s="64">
        <v>2.33</v>
      </c>
      <c r="F67" s="64">
        <v>14.63</v>
      </c>
      <c r="G67" s="64">
        <v>71.64</v>
      </c>
      <c r="H67" s="64">
        <v>49.47</v>
      </c>
      <c r="I67" s="64">
        <v>1.47</v>
      </c>
      <c r="J67" s="64">
        <v>0.1</v>
      </c>
      <c r="K67" s="64">
        <v>63.88</v>
      </c>
      <c r="L67" s="64">
        <v>26.31</v>
      </c>
      <c r="M67" s="64">
        <v>41.42</v>
      </c>
      <c r="N67" s="64">
        <v>150.5</v>
      </c>
      <c r="O67" s="64">
        <v>0</v>
      </c>
      <c r="P67" s="64">
        <v>0.7</v>
      </c>
      <c r="Q67" s="64">
        <v>4.95</v>
      </c>
      <c r="R67" s="198"/>
      <c r="S67" s="198"/>
      <c r="T67" s="198"/>
      <c r="U67" s="198"/>
    </row>
    <row r="68" spans="1:21" s="12" customFormat="1" x14ac:dyDescent="0.25">
      <c r="A68" s="214" t="s">
        <v>2993</v>
      </c>
      <c r="B68" s="64">
        <v>2.1800000000000002</v>
      </c>
      <c r="C68" s="64">
        <v>24.31</v>
      </c>
      <c r="D68" s="64">
        <v>16.46</v>
      </c>
      <c r="E68" s="64">
        <v>2.75</v>
      </c>
      <c r="F68" s="64">
        <v>8.84</v>
      </c>
      <c r="G68" s="64">
        <v>77.86</v>
      </c>
      <c r="H68" s="64">
        <v>47.33</v>
      </c>
      <c r="I68" s="64">
        <v>1.46</v>
      </c>
      <c r="J68" s="64">
        <v>0.63</v>
      </c>
      <c r="K68" s="64">
        <v>112</v>
      </c>
      <c r="L68" s="64">
        <v>25.99</v>
      </c>
      <c r="M68" s="64">
        <v>40.909999999999997</v>
      </c>
      <c r="N68" s="64">
        <v>125.3</v>
      </c>
      <c r="O68" s="64">
        <v>0</v>
      </c>
      <c r="P68" s="64">
        <v>0.68</v>
      </c>
      <c r="Q68" s="64">
        <v>4.88</v>
      </c>
      <c r="R68" s="198"/>
      <c r="S68" s="198"/>
      <c r="T68" s="198"/>
      <c r="U68" s="198"/>
    </row>
    <row r="69" spans="1:21" s="12" customFormat="1" x14ac:dyDescent="0.25">
      <c r="A69" s="214" t="s">
        <v>2994</v>
      </c>
      <c r="B69" s="64">
        <v>2.21</v>
      </c>
      <c r="C69" s="64">
        <v>24.83</v>
      </c>
      <c r="D69" s="64">
        <v>16.77</v>
      </c>
      <c r="E69" s="64">
        <v>3.18</v>
      </c>
      <c r="F69" s="64">
        <v>11.44</v>
      </c>
      <c r="G69" s="64">
        <v>77.86</v>
      </c>
      <c r="H69" s="64">
        <v>47.33</v>
      </c>
      <c r="I69" s="64">
        <v>1.5</v>
      </c>
      <c r="J69" s="64">
        <v>0.53</v>
      </c>
      <c r="K69" s="64">
        <v>121.47</v>
      </c>
      <c r="L69" s="64">
        <v>25.68</v>
      </c>
      <c r="M69" s="64">
        <v>42.13</v>
      </c>
      <c r="N69" s="64">
        <v>114.7</v>
      </c>
      <c r="O69" s="64">
        <v>0</v>
      </c>
      <c r="P69" s="64">
        <v>0.67</v>
      </c>
      <c r="Q69" s="64">
        <v>4.95</v>
      </c>
      <c r="R69" s="198"/>
      <c r="S69" s="198"/>
      <c r="T69" s="198"/>
      <c r="U69" s="198"/>
    </row>
    <row r="70" spans="1:21" s="12" customFormat="1" x14ac:dyDescent="0.25">
      <c r="A70" s="214" t="s">
        <v>2995</v>
      </c>
      <c r="B70" s="64">
        <v>2</v>
      </c>
      <c r="C70" s="64">
        <v>24.16</v>
      </c>
      <c r="D70" s="64">
        <v>16.23</v>
      </c>
      <c r="E70" s="64">
        <v>3.44</v>
      </c>
      <c r="F70" s="64">
        <v>10.35</v>
      </c>
      <c r="G70" s="64">
        <v>77.86</v>
      </c>
      <c r="H70" s="64">
        <v>47.33</v>
      </c>
      <c r="I70" s="64">
        <v>1.43</v>
      </c>
      <c r="J70" s="64">
        <v>1.08</v>
      </c>
      <c r="K70" s="64">
        <v>117.05</v>
      </c>
      <c r="L70" s="64">
        <v>25.59</v>
      </c>
      <c r="M70" s="64">
        <v>39.33</v>
      </c>
      <c r="N70" s="64">
        <v>102.8</v>
      </c>
      <c r="O70" s="64">
        <v>0</v>
      </c>
      <c r="P70" s="64">
        <v>0.64</v>
      </c>
      <c r="Q70" s="64">
        <v>4.95</v>
      </c>
      <c r="R70" s="198"/>
      <c r="S70" s="198"/>
      <c r="T70" s="198"/>
      <c r="U70" s="198"/>
    </row>
    <row r="71" spans="1:21" s="12" customFormat="1" x14ac:dyDescent="0.25">
      <c r="A71" s="214" t="s">
        <v>2996</v>
      </c>
      <c r="B71" s="64">
        <v>2.34</v>
      </c>
      <c r="C71" s="64">
        <v>25.47</v>
      </c>
      <c r="D71" s="64">
        <v>17.22</v>
      </c>
      <c r="E71" s="64">
        <v>3.5</v>
      </c>
      <c r="F71" s="64">
        <v>14.85</v>
      </c>
      <c r="G71" s="64">
        <v>77.53</v>
      </c>
      <c r="H71" s="64">
        <v>46.21</v>
      </c>
      <c r="I71" s="64">
        <v>1.48</v>
      </c>
      <c r="J71" s="64">
        <v>1.29</v>
      </c>
      <c r="K71" s="64">
        <v>109.55</v>
      </c>
      <c r="L71" s="64">
        <v>25.61</v>
      </c>
      <c r="M71" s="64">
        <v>37.74</v>
      </c>
      <c r="N71" s="64">
        <v>90.2</v>
      </c>
      <c r="O71" s="64">
        <v>0</v>
      </c>
      <c r="P71" s="64">
        <v>0.63</v>
      </c>
      <c r="Q71" s="64">
        <v>4.97</v>
      </c>
      <c r="R71" s="198"/>
      <c r="S71" s="198"/>
      <c r="T71" s="198"/>
      <c r="U71" s="198"/>
    </row>
    <row r="72" spans="1:21" s="12" customFormat="1" x14ac:dyDescent="0.25">
      <c r="A72" s="214" t="s">
        <v>2997</v>
      </c>
      <c r="B72" s="64">
        <v>2.0099999999999998</v>
      </c>
      <c r="C72" s="64">
        <v>20.149999999999999</v>
      </c>
      <c r="D72" s="64">
        <v>14.02</v>
      </c>
      <c r="E72" s="64">
        <v>1.0900000000000001</v>
      </c>
      <c r="F72" s="64">
        <v>4.8</v>
      </c>
      <c r="G72" s="64">
        <v>77.23</v>
      </c>
      <c r="H72" s="64">
        <v>45.7</v>
      </c>
      <c r="I72" s="64">
        <v>1.44</v>
      </c>
      <c r="J72" s="64">
        <v>1.55</v>
      </c>
      <c r="K72" s="64">
        <v>110.3</v>
      </c>
      <c r="L72" s="64">
        <v>25.51</v>
      </c>
      <c r="M72" s="64">
        <v>38.21</v>
      </c>
      <c r="N72" s="64">
        <v>78.2</v>
      </c>
      <c r="O72" s="64">
        <v>0</v>
      </c>
      <c r="P72" s="64">
        <v>0.61</v>
      </c>
      <c r="Q72" s="64">
        <v>5.21</v>
      </c>
      <c r="R72" s="198"/>
      <c r="S72" s="198"/>
      <c r="T72" s="198"/>
      <c r="U72" s="198"/>
    </row>
    <row r="73" spans="1:21" s="12" customFormat="1" x14ac:dyDescent="0.25">
      <c r="A73" s="214" t="s">
        <v>2998</v>
      </c>
      <c r="B73" s="64">
        <v>2</v>
      </c>
      <c r="C73" s="64">
        <v>21.77</v>
      </c>
      <c r="D73" s="64">
        <v>14.91</v>
      </c>
      <c r="E73" s="64">
        <v>1.69</v>
      </c>
      <c r="F73" s="64">
        <v>9.0500000000000007</v>
      </c>
      <c r="G73" s="64">
        <v>77.23</v>
      </c>
      <c r="H73" s="64">
        <v>45.7</v>
      </c>
      <c r="I73" s="64">
        <v>1.38</v>
      </c>
      <c r="J73" s="64">
        <v>1.08</v>
      </c>
      <c r="K73" s="64">
        <v>104.71</v>
      </c>
      <c r="L73" s="64">
        <v>25.34</v>
      </c>
      <c r="M73" s="64">
        <v>38.25</v>
      </c>
      <c r="N73" s="64">
        <v>65.400000000000006</v>
      </c>
      <c r="O73" s="64">
        <v>0</v>
      </c>
      <c r="P73" s="64">
        <v>0.57999999999999996</v>
      </c>
      <c r="Q73" s="64">
        <v>5.2</v>
      </c>
      <c r="R73" s="198"/>
      <c r="S73" s="198"/>
      <c r="T73" s="198"/>
      <c r="U73" s="198"/>
    </row>
    <row r="74" spans="1:21" s="12" customFormat="1" x14ac:dyDescent="0.25">
      <c r="A74" s="214" t="s">
        <v>2999</v>
      </c>
      <c r="B74" s="64">
        <v>2</v>
      </c>
      <c r="C74" s="64">
        <v>20.170000000000002</v>
      </c>
      <c r="D74" s="64">
        <v>14.03</v>
      </c>
      <c r="E74" s="64">
        <v>1.71</v>
      </c>
      <c r="F74" s="64">
        <v>6.39</v>
      </c>
      <c r="G74" s="64">
        <v>77.23</v>
      </c>
      <c r="H74" s="64">
        <v>45.7</v>
      </c>
      <c r="I74" s="64">
        <v>1.53</v>
      </c>
      <c r="J74" s="64">
        <v>1.32</v>
      </c>
      <c r="K74" s="64">
        <v>106.69</v>
      </c>
      <c r="L74" s="64">
        <v>25.26</v>
      </c>
      <c r="M74" s="64">
        <v>38.44</v>
      </c>
      <c r="N74" s="64">
        <v>55.3</v>
      </c>
      <c r="O74" s="64">
        <v>0</v>
      </c>
      <c r="P74" s="64">
        <v>0.56999999999999995</v>
      </c>
      <c r="Q74" s="64">
        <v>5.21</v>
      </c>
      <c r="R74" s="198"/>
      <c r="S74" s="198"/>
      <c r="T74" s="198"/>
      <c r="U74" s="198"/>
    </row>
    <row r="75" spans="1:21" s="12" customFormat="1" x14ac:dyDescent="0.25">
      <c r="A75" s="214" t="s">
        <v>3000</v>
      </c>
      <c r="B75" s="64">
        <v>2</v>
      </c>
      <c r="C75" s="64">
        <v>20.59</v>
      </c>
      <c r="D75" s="64">
        <v>14.26</v>
      </c>
      <c r="E75" s="64">
        <v>1.95</v>
      </c>
      <c r="F75" s="64">
        <v>7.49</v>
      </c>
      <c r="G75" s="64">
        <v>71.94</v>
      </c>
      <c r="H75" s="64">
        <v>46.03</v>
      </c>
      <c r="I75" s="64">
        <v>1.43</v>
      </c>
      <c r="J75" s="64">
        <v>1.33</v>
      </c>
      <c r="K75" s="64">
        <v>108.3</v>
      </c>
      <c r="L75" s="64">
        <v>25.1</v>
      </c>
      <c r="M75" s="64">
        <v>38.64</v>
      </c>
      <c r="N75" s="64">
        <v>45.3</v>
      </c>
      <c r="O75" s="64">
        <v>0</v>
      </c>
      <c r="P75" s="64">
        <v>0.54</v>
      </c>
      <c r="Q75" s="64">
        <v>5.21</v>
      </c>
      <c r="R75" s="198"/>
      <c r="S75" s="198"/>
      <c r="T75" s="198"/>
      <c r="U75" s="198"/>
    </row>
    <row r="76" spans="1:21" s="12" customFormat="1" x14ac:dyDescent="0.25">
      <c r="A76" s="214" t="s">
        <v>3001</v>
      </c>
      <c r="B76" s="64">
        <v>2</v>
      </c>
      <c r="C76" s="64">
        <v>21.49</v>
      </c>
      <c r="D76" s="64">
        <v>14.75</v>
      </c>
      <c r="E76" s="64">
        <v>2.0299999999999998</v>
      </c>
      <c r="F76" s="64">
        <v>10.35</v>
      </c>
      <c r="G76" s="64">
        <v>67.11</v>
      </c>
      <c r="H76" s="64">
        <v>46.25</v>
      </c>
      <c r="I76" s="64">
        <v>1.47</v>
      </c>
      <c r="J76" s="64">
        <v>1.06</v>
      </c>
      <c r="K76" s="64">
        <v>116.03</v>
      </c>
      <c r="L76" s="64">
        <v>24.84</v>
      </c>
      <c r="M76" s="64">
        <v>39.4</v>
      </c>
      <c r="N76" s="64">
        <v>34.299999999999997</v>
      </c>
      <c r="O76" s="64">
        <v>0</v>
      </c>
      <c r="P76" s="64">
        <v>0.53</v>
      </c>
      <c r="Q76" s="64">
        <v>5.19</v>
      </c>
      <c r="R76" s="198"/>
      <c r="S76" s="198"/>
      <c r="T76" s="198"/>
      <c r="U76" s="198"/>
    </row>
    <row r="77" spans="1:21" s="12" customFormat="1" x14ac:dyDescent="0.25">
      <c r="A77" s="214" t="s">
        <v>3002</v>
      </c>
      <c r="B77" s="64">
        <v>2</v>
      </c>
      <c r="C77" s="64">
        <v>20.58</v>
      </c>
      <c r="D77" s="64">
        <v>14.25</v>
      </c>
      <c r="E77" s="64">
        <v>1.69</v>
      </c>
      <c r="F77" s="64">
        <v>3.86</v>
      </c>
      <c r="G77" s="64">
        <v>67.11</v>
      </c>
      <c r="H77" s="64">
        <v>46.25</v>
      </c>
      <c r="I77" s="64">
        <v>1.5</v>
      </c>
      <c r="J77" s="64">
        <v>1.1100000000000001</v>
      </c>
      <c r="K77" s="64">
        <v>115.82</v>
      </c>
      <c r="L77" s="64">
        <v>24.66</v>
      </c>
      <c r="M77" s="64">
        <v>40.08</v>
      </c>
      <c r="N77" s="64">
        <v>24.5</v>
      </c>
      <c r="O77" s="64">
        <v>0</v>
      </c>
      <c r="P77" s="64">
        <v>0.53</v>
      </c>
      <c r="Q77" s="64">
        <v>5.21</v>
      </c>
      <c r="R77" s="198"/>
      <c r="S77" s="198"/>
      <c r="T77" s="198"/>
      <c r="U77" s="198"/>
    </row>
    <row r="78" spans="1:21" s="12" customFormat="1" x14ac:dyDescent="0.25">
      <c r="A78" s="214" t="s">
        <v>3003</v>
      </c>
      <c r="B78" s="64">
        <v>2</v>
      </c>
      <c r="C78" s="64">
        <v>21.75</v>
      </c>
      <c r="D78" s="64">
        <v>14.9</v>
      </c>
      <c r="E78" s="64">
        <v>2.12</v>
      </c>
      <c r="F78" s="64">
        <v>10.88</v>
      </c>
      <c r="G78" s="64">
        <v>67.11</v>
      </c>
      <c r="H78" s="64">
        <v>46.25</v>
      </c>
      <c r="I78" s="64">
        <v>1.49</v>
      </c>
      <c r="J78" s="64">
        <v>0.83</v>
      </c>
      <c r="K78" s="64">
        <v>108.21</v>
      </c>
      <c r="L78" s="64">
        <v>24.4</v>
      </c>
      <c r="M78" s="64">
        <v>41.95</v>
      </c>
      <c r="N78" s="64">
        <v>19</v>
      </c>
      <c r="O78" s="64">
        <v>0</v>
      </c>
      <c r="P78" s="64">
        <v>0.52</v>
      </c>
      <c r="Q78" s="64">
        <v>5.2</v>
      </c>
      <c r="R78" s="198"/>
      <c r="S78" s="198"/>
      <c r="T78" s="198"/>
      <c r="U78" s="198"/>
    </row>
    <row r="79" spans="1:21" s="12" customFormat="1" x14ac:dyDescent="0.25">
      <c r="A79" s="214" t="s">
        <v>3004</v>
      </c>
      <c r="B79" s="64">
        <v>2</v>
      </c>
      <c r="C79" s="64">
        <v>24.35</v>
      </c>
      <c r="D79" s="64">
        <v>16.329999999999998</v>
      </c>
      <c r="E79" s="64">
        <v>3.19</v>
      </c>
      <c r="F79" s="64">
        <v>14.51</v>
      </c>
      <c r="G79" s="64">
        <v>68.45</v>
      </c>
      <c r="H79" s="64">
        <v>44.7</v>
      </c>
      <c r="I79" s="64">
        <v>1.44</v>
      </c>
      <c r="J79" s="64">
        <v>0.68</v>
      </c>
      <c r="K79" s="64">
        <v>112.5</v>
      </c>
      <c r="L79" s="64">
        <v>24.12</v>
      </c>
      <c r="M79" s="64">
        <v>43.59</v>
      </c>
      <c r="N79" s="64">
        <v>17.3</v>
      </c>
      <c r="O79" s="64">
        <v>0</v>
      </c>
      <c r="P79" s="64">
        <v>0.53</v>
      </c>
      <c r="Q79" s="64">
        <v>5.04</v>
      </c>
      <c r="R79" s="198"/>
      <c r="S79" s="198"/>
      <c r="T79" s="198"/>
      <c r="U79" s="198"/>
    </row>
    <row r="80" spans="1:21" s="12" customFormat="1" x14ac:dyDescent="0.25">
      <c r="A80" s="214" t="s">
        <v>3005</v>
      </c>
      <c r="B80" s="64">
        <v>2</v>
      </c>
      <c r="C80" s="64">
        <v>28.65</v>
      </c>
      <c r="D80" s="64">
        <v>18.71</v>
      </c>
      <c r="E80" s="64">
        <v>3.94</v>
      </c>
      <c r="F80" s="64">
        <v>25.8</v>
      </c>
      <c r="G80" s="64">
        <v>69.67</v>
      </c>
      <c r="H80" s="64">
        <v>43.29</v>
      </c>
      <c r="I80" s="64">
        <v>1.46</v>
      </c>
      <c r="J80" s="64">
        <v>0.16</v>
      </c>
      <c r="K80" s="64">
        <v>84.68</v>
      </c>
      <c r="L80" s="64">
        <v>23.68</v>
      </c>
      <c r="M80" s="64">
        <v>45.57</v>
      </c>
      <c r="N80" s="64">
        <v>17.5</v>
      </c>
      <c r="O80" s="64">
        <v>0</v>
      </c>
      <c r="P80" s="64">
        <v>0.56999999999999995</v>
      </c>
      <c r="Q80" s="64">
        <v>4.91</v>
      </c>
      <c r="R80" s="198"/>
      <c r="S80" s="198"/>
      <c r="T80" s="198"/>
      <c r="U80" s="198"/>
    </row>
    <row r="81" spans="1:26" s="12" customFormat="1" x14ac:dyDescent="0.25">
      <c r="A81" s="214" t="s">
        <v>3006</v>
      </c>
      <c r="B81" s="64">
        <v>2</v>
      </c>
      <c r="C81" s="64">
        <v>34.36</v>
      </c>
      <c r="D81" s="64">
        <v>21.86</v>
      </c>
      <c r="E81" s="64">
        <v>4.95</v>
      </c>
      <c r="F81" s="64">
        <v>22.21</v>
      </c>
      <c r="G81" s="64">
        <v>69.67</v>
      </c>
      <c r="H81" s="64">
        <v>43.29</v>
      </c>
      <c r="I81" s="64">
        <v>1.55</v>
      </c>
      <c r="J81" s="64">
        <v>0.18</v>
      </c>
      <c r="K81" s="64">
        <v>73.58</v>
      </c>
      <c r="L81" s="64">
        <v>23.38</v>
      </c>
      <c r="M81" s="64">
        <v>46.74</v>
      </c>
      <c r="N81" s="64">
        <v>17.3</v>
      </c>
      <c r="O81" s="64">
        <v>0</v>
      </c>
      <c r="P81" s="64">
        <v>0.65</v>
      </c>
      <c r="Q81" s="64">
        <v>4.4000000000000004</v>
      </c>
      <c r="R81" s="198"/>
      <c r="S81" s="198"/>
      <c r="T81" s="198"/>
      <c r="U81" s="198"/>
    </row>
    <row r="82" spans="1:26" s="12" customFormat="1" x14ac:dyDescent="0.25">
      <c r="A82" s="214" t="s">
        <v>3007</v>
      </c>
      <c r="B82" s="64">
        <v>2.87</v>
      </c>
      <c r="C82" s="64">
        <v>43.09</v>
      </c>
      <c r="D82" s="64">
        <v>27.38</v>
      </c>
      <c r="E82" s="64">
        <v>4.66</v>
      </c>
      <c r="F82" s="64">
        <v>16.989999999999998</v>
      </c>
      <c r="G82" s="64">
        <v>69.67</v>
      </c>
      <c r="H82" s="64">
        <v>43.29</v>
      </c>
      <c r="I82" s="64">
        <v>1.53</v>
      </c>
      <c r="J82" s="64">
        <v>0.1</v>
      </c>
      <c r="K82" s="64">
        <v>54.34</v>
      </c>
      <c r="L82" s="64">
        <v>22.95</v>
      </c>
      <c r="M82" s="64">
        <v>49.59</v>
      </c>
      <c r="N82" s="64">
        <v>17.600000000000001</v>
      </c>
      <c r="O82" s="64">
        <v>0</v>
      </c>
      <c r="P82" s="64">
        <v>0.79</v>
      </c>
      <c r="Q82" s="64">
        <v>4.25</v>
      </c>
      <c r="R82" s="198"/>
      <c r="S82" s="198"/>
      <c r="T82" s="198"/>
      <c r="U82" s="198"/>
    </row>
    <row r="83" spans="1:26" s="12" customFormat="1" x14ac:dyDescent="0.25">
      <c r="A83" s="214" t="s">
        <v>3008</v>
      </c>
      <c r="B83" s="64">
        <v>9.7200000000000006</v>
      </c>
      <c r="C83" s="64">
        <v>61.73</v>
      </c>
      <c r="D83" s="64">
        <v>43.16</v>
      </c>
      <c r="E83" s="64">
        <v>4.67</v>
      </c>
      <c r="F83" s="64">
        <v>3.68</v>
      </c>
      <c r="G83" s="64">
        <v>97.81</v>
      </c>
      <c r="H83" s="64">
        <v>46.58</v>
      </c>
      <c r="I83" s="64">
        <v>1.5</v>
      </c>
      <c r="J83" s="64">
        <v>0.06</v>
      </c>
      <c r="K83" s="64">
        <v>246.11</v>
      </c>
      <c r="L83" s="64">
        <v>22.55</v>
      </c>
      <c r="M83" s="64">
        <v>53.43</v>
      </c>
      <c r="N83" s="64">
        <v>17.5</v>
      </c>
      <c r="O83" s="64">
        <v>0</v>
      </c>
      <c r="P83" s="64">
        <v>0.94</v>
      </c>
      <c r="Q83" s="64">
        <v>1.7</v>
      </c>
      <c r="R83" s="198"/>
      <c r="S83" s="198"/>
      <c r="T83" s="198"/>
      <c r="U83" s="198"/>
    </row>
    <row r="84" spans="1:26" s="12" customFormat="1" x14ac:dyDescent="0.25">
      <c r="A84" s="214" t="s">
        <v>3009</v>
      </c>
      <c r="B84" s="64">
        <v>4.7699999999999996</v>
      </c>
      <c r="C84" s="64">
        <v>47.36</v>
      </c>
      <c r="D84" s="64">
        <v>31.25</v>
      </c>
      <c r="E84" s="64">
        <v>3.2</v>
      </c>
      <c r="F84" s="64">
        <v>7.82</v>
      </c>
      <c r="G84" s="64">
        <v>123.56</v>
      </c>
      <c r="H84" s="64">
        <v>48.05</v>
      </c>
      <c r="I84" s="64">
        <v>1.48</v>
      </c>
      <c r="J84" s="64">
        <v>0.12</v>
      </c>
      <c r="K84" s="64">
        <v>306.95999999999998</v>
      </c>
      <c r="L84" s="64">
        <v>22.2</v>
      </c>
      <c r="M84" s="64">
        <v>52.07</v>
      </c>
      <c r="N84" s="64">
        <v>17</v>
      </c>
      <c r="O84" s="64">
        <v>0</v>
      </c>
      <c r="P84" s="64">
        <v>0.78</v>
      </c>
      <c r="Q84" s="64">
        <v>2.88</v>
      </c>
      <c r="R84" s="198"/>
      <c r="S84" s="198"/>
      <c r="T84" s="198"/>
      <c r="U84" s="198"/>
    </row>
    <row r="85" spans="1:26" s="12" customFormat="1" x14ac:dyDescent="0.25">
      <c r="A85" s="214" t="s">
        <v>3010</v>
      </c>
      <c r="B85" s="64">
        <v>31.82</v>
      </c>
      <c r="C85" s="64">
        <v>60.24</v>
      </c>
      <c r="D85" s="64">
        <v>60.06</v>
      </c>
      <c r="E85" s="64">
        <v>3</v>
      </c>
      <c r="F85" s="64">
        <v>1.5</v>
      </c>
      <c r="G85" s="64">
        <v>123.56</v>
      </c>
      <c r="H85" s="64">
        <v>48.05</v>
      </c>
      <c r="I85" s="64">
        <v>1.54</v>
      </c>
      <c r="J85" s="64">
        <v>0.13</v>
      </c>
      <c r="K85" s="64">
        <v>335.15</v>
      </c>
      <c r="L85" s="64">
        <v>21.79</v>
      </c>
      <c r="M85" s="64">
        <v>60.35</v>
      </c>
      <c r="N85" s="64">
        <v>17.5</v>
      </c>
      <c r="O85" s="64">
        <v>0</v>
      </c>
      <c r="P85" s="64">
        <v>1.53</v>
      </c>
      <c r="Q85" s="64">
        <v>1.64</v>
      </c>
      <c r="R85" s="198"/>
      <c r="S85" s="198"/>
      <c r="T85" s="198"/>
      <c r="U85" s="198"/>
    </row>
    <row r="86" spans="1:26" s="12" customFormat="1" x14ac:dyDescent="0.25">
      <c r="A86" s="214" t="s">
        <v>3011</v>
      </c>
      <c r="B86" s="64">
        <v>22.17</v>
      </c>
      <c r="C86" s="64">
        <v>48.63</v>
      </c>
      <c r="D86" s="64">
        <v>45.91</v>
      </c>
      <c r="E86" s="64">
        <v>2.74</v>
      </c>
      <c r="F86" s="64">
        <v>0.59</v>
      </c>
      <c r="G86" s="64">
        <v>123.56</v>
      </c>
      <c r="H86" s="64">
        <v>48.05</v>
      </c>
      <c r="I86" s="64">
        <v>1.56</v>
      </c>
      <c r="J86" s="64">
        <v>0.06</v>
      </c>
      <c r="K86" s="64">
        <v>5.32</v>
      </c>
      <c r="L86" s="64">
        <v>21.1</v>
      </c>
      <c r="M86" s="64">
        <v>61.64</v>
      </c>
      <c r="N86" s="64">
        <v>17.600000000000001</v>
      </c>
      <c r="O86" s="64">
        <v>0</v>
      </c>
      <c r="P86" s="64">
        <v>1.22</v>
      </c>
      <c r="Q86" s="64">
        <v>1.26</v>
      </c>
      <c r="R86" s="198"/>
      <c r="S86" s="198"/>
      <c r="T86" s="198"/>
      <c r="U86" s="198"/>
    </row>
    <row r="87" spans="1:26" s="12" customFormat="1" x14ac:dyDescent="0.25">
      <c r="A87" s="214" t="s">
        <v>3012</v>
      </c>
      <c r="B87" s="64">
        <v>39.18</v>
      </c>
      <c r="C87" s="64">
        <v>52.53</v>
      </c>
      <c r="D87" s="64">
        <v>61.7</v>
      </c>
      <c r="E87" s="64">
        <v>2.99</v>
      </c>
      <c r="F87" s="64">
        <v>0.38</v>
      </c>
      <c r="G87" s="64">
        <v>154.72999999999999</v>
      </c>
      <c r="H87" s="64">
        <v>57.19</v>
      </c>
      <c r="I87" s="64">
        <v>1.45</v>
      </c>
      <c r="J87" s="64">
        <v>0.06</v>
      </c>
      <c r="K87" s="64">
        <v>291.91000000000003</v>
      </c>
      <c r="L87" s="64">
        <v>20.79</v>
      </c>
      <c r="M87" s="64">
        <v>64.36</v>
      </c>
      <c r="N87" s="64">
        <v>17.5</v>
      </c>
      <c r="O87" s="64">
        <v>0</v>
      </c>
      <c r="P87" s="64">
        <v>1.43</v>
      </c>
      <c r="Q87" s="64">
        <v>2.2400000000000002</v>
      </c>
      <c r="R87" s="198"/>
      <c r="S87" s="198"/>
      <c r="T87" s="198"/>
      <c r="U87" s="198"/>
    </row>
    <row r="88" spans="1:26" s="12" customFormat="1" x14ac:dyDescent="0.25">
      <c r="A88" s="214" t="s">
        <v>3013</v>
      </c>
      <c r="B88" s="64">
        <v>28.6</v>
      </c>
      <c r="C88" s="64">
        <v>56.11</v>
      </c>
      <c r="D88" s="64">
        <v>55.19</v>
      </c>
      <c r="E88" s="64">
        <v>1.48</v>
      </c>
      <c r="F88" s="64">
        <v>0.43</v>
      </c>
      <c r="G88" s="64">
        <v>183.26</v>
      </c>
      <c r="H88" s="64">
        <v>61.36</v>
      </c>
      <c r="I88" s="64">
        <v>1.53</v>
      </c>
      <c r="J88" s="64">
        <v>0.05</v>
      </c>
      <c r="K88" s="64">
        <v>284.67</v>
      </c>
      <c r="L88" s="64">
        <v>20.49</v>
      </c>
      <c r="M88" s="64">
        <v>65.55</v>
      </c>
      <c r="N88" s="64">
        <v>17.399999999999999</v>
      </c>
      <c r="O88" s="64">
        <v>0</v>
      </c>
      <c r="P88" s="64">
        <v>1.31</v>
      </c>
      <c r="Q88" s="64">
        <v>2.93</v>
      </c>
      <c r="R88" s="198"/>
      <c r="S88" s="198"/>
      <c r="T88" s="198"/>
      <c r="U88" s="198"/>
    </row>
    <row r="89" spans="1:26" s="12" customFormat="1" x14ac:dyDescent="0.25">
      <c r="A89" s="214" t="s">
        <v>3014</v>
      </c>
      <c r="B89" s="64">
        <v>27.12</v>
      </c>
      <c r="C89" s="64">
        <v>40.520000000000003</v>
      </c>
      <c r="D89" s="64">
        <v>45.4</v>
      </c>
      <c r="E89" s="64">
        <v>2.38</v>
      </c>
      <c r="F89" s="64">
        <v>0.47</v>
      </c>
      <c r="G89" s="64">
        <v>183.26</v>
      </c>
      <c r="H89" s="64">
        <v>61.36</v>
      </c>
      <c r="I89" s="64">
        <v>1.48</v>
      </c>
      <c r="J89" s="64">
        <v>0.05</v>
      </c>
      <c r="K89" s="64">
        <v>347.01</v>
      </c>
      <c r="L89" s="64">
        <v>20.329999999999998</v>
      </c>
      <c r="M89" s="64">
        <v>67.239999999999995</v>
      </c>
      <c r="N89" s="64">
        <v>17.5</v>
      </c>
      <c r="O89" s="64">
        <v>0</v>
      </c>
      <c r="P89" s="64">
        <v>1.28</v>
      </c>
      <c r="Q89" s="64">
        <v>3.28</v>
      </c>
      <c r="R89" s="198"/>
      <c r="S89" s="198"/>
      <c r="T89" s="198"/>
      <c r="U89" s="198"/>
    </row>
    <row r="90" spans="1:26" s="12" customFormat="1" x14ac:dyDescent="0.25">
      <c r="A90" s="214" t="s">
        <v>3015</v>
      </c>
      <c r="B90" s="64">
        <v>26.83</v>
      </c>
      <c r="C90" s="64">
        <v>58.46</v>
      </c>
      <c r="D90" s="64">
        <v>55.07</v>
      </c>
      <c r="E90" s="64">
        <v>2.63</v>
      </c>
      <c r="F90" s="64">
        <v>0.74</v>
      </c>
      <c r="G90" s="64">
        <v>183.26</v>
      </c>
      <c r="H90" s="64">
        <v>61.36</v>
      </c>
      <c r="I90" s="64">
        <v>1.51</v>
      </c>
      <c r="J90" s="64">
        <v>0.06</v>
      </c>
      <c r="K90" s="64">
        <v>315.97000000000003</v>
      </c>
      <c r="L90" s="64">
        <v>20.2</v>
      </c>
      <c r="M90" s="64">
        <v>67.09</v>
      </c>
      <c r="N90" s="64">
        <v>17.2</v>
      </c>
      <c r="O90" s="64">
        <v>0</v>
      </c>
      <c r="P90" s="64">
        <v>1.56</v>
      </c>
      <c r="Q90" s="64">
        <v>3.5</v>
      </c>
      <c r="R90" s="198"/>
      <c r="S90" s="198"/>
      <c r="T90" s="198"/>
      <c r="U90" s="198"/>
    </row>
    <row r="91" spans="1:26" s="12" customFormat="1" x14ac:dyDescent="0.25">
      <c r="A91" s="214" t="s">
        <v>3016</v>
      </c>
      <c r="B91" s="64">
        <v>27.24</v>
      </c>
      <c r="C91" s="64">
        <v>52.79</v>
      </c>
      <c r="D91" s="64">
        <v>52.27</v>
      </c>
      <c r="E91" s="64">
        <v>2.9</v>
      </c>
      <c r="F91" s="64">
        <v>1.29</v>
      </c>
      <c r="G91" s="64">
        <v>192.83</v>
      </c>
      <c r="H91" s="64">
        <v>66.930000000000007</v>
      </c>
      <c r="I91" s="64">
        <v>1.41</v>
      </c>
      <c r="J91" s="64">
        <v>0.1</v>
      </c>
      <c r="K91" s="64">
        <v>284.13</v>
      </c>
      <c r="L91" s="64">
        <v>20.36</v>
      </c>
      <c r="M91" s="64">
        <v>66.239999999999995</v>
      </c>
      <c r="N91" s="64">
        <v>17</v>
      </c>
      <c r="O91" s="64">
        <v>0</v>
      </c>
      <c r="P91" s="64">
        <v>1.37</v>
      </c>
      <c r="Q91" s="64">
        <v>3.81</v>
      </c>
      <c r="R91" s="198"/>
      <c r="S91" s="198"/>
      <c r="T91" s="198"/>
      <c r="U91" s="198"/>
    </row>
    <row r="92" spans="1:26" s="12" customFormat="1" x14ac:dyDescent="0.25">
      <c r="A92" s="214" t="s">
        <v>3017</v>
      </c>
      <c r="B92" s="64">
        <v>31.4</v>
      </c>
      <c r="C92" s="64">
        <v>54.98</v>
      </c>
      <c r="D92" s="64">
        <v>56.81</v>
      </c>
      <c r="E92" s="64">
        <v>2.75</v>
      </c>
      <c r="F92" s="64">
        <v>0.54</v>
      </c>
      <c r="G92" s="64">
        <v>201.59</v>
      </c>
      <c r="H92" s="64">
        <v>69.48</v>
      </c>
      <c r="I92" s="64">
        <v>1.42</v>
      </c>
      <c r="J92" s="64">
        <v>0.08</v>
      </c>
      <c r="K92" s="64">
        <v>278.39999999999998</v>
      </c>
      <c r="L92" s="64">
        <v>20.21</v>
      </c>
      <c r="M92" s="64">
        <v>67.84</v>
      </c>
      <c r="N92" s="64">
        <v>17.2</v>
      </c>
      <c r="O92" s="64">
        <v>0</v>
      </c>
      <c r="P92" s="64">
        <v>1.54</v>
      </c>
      <c r="Q92" s="64">
        <v>4.0999999999999996</v>
      </c>
      <c r="R92" s="198"/>
      <c r="S92" s="198"/>
      <c r="T92" s="198"/>
      <c r="U92" s="198"/>
    </row>
    <row r="93" spans="1:26" s="12" customFormat="1" x14ac:dyDescent="0.25">
      <c r="A93" s="214" t="s">
        <v>3018</v>
      </c>
      <c r="B93" s="64">
        <v>41.91</v>
      </c>
      <c r="C93" s="64">
        <v>53.63</v>
      </c>
      <c r="D93" s="64">
        <v>64.5</v>
      </c>
      <c r="E93" s="64">
        <v>2.71</v>
      </c>
      <c r="F93" s="64">
        <v>0.16</v>
      </c>
      <c r="G93" s="64">
        <v>201.59</v>
      </c>
      <c r="H93" s="64">
        <v>69.48</v>
      </c>
      <c r="I93" s="64">
        <v>1.54</v>
      </c>
      <c r="J93" s="64">
        <v>0.09</v>
      </c>
      <c r="K93" s="64">
        <v>271.02</v>
      </c>
      <c r="L93" s="64">
        <v>19.82</v>
      </c>
      <c r="M93" s="64">
        <v>69.349999999999994</v>
      </c>
      <c r="N93" s="64">
        <v>17.2</v>
      </c>
      <c r="O93" s="64">
        <v>0</v>
      </c>
      <c r="P93" s="64">
        <v>1.51</v>
      </c>
      <c r="Q93" s="64">
        <v>3.68</v>
      </c>
      <c r="R93" s="198"/>
      <c r="S93" s="198"/>
      <c r="T93" s="198"/>
      <c r="U93" s="198"/>
    </row>
    <row r="94" spans="1:26" s="12" customFormat="1" x14ac:dyDescent="0.25">
      <c r="A94" s="214" t="s">
        <v>3019</v>
      </c>
      <c r="B94" s="64">
        <v>33.85</v>
      </c>
      <c r="C94" s="64">
        <v>34.19</v>
      </c>
      <c r="D94" s="64">
        <v>47.3</v>
      </c>
      <c r="E94" s="64">
        <v>2.65</v>
      </c>
      <c r="F94" s="64">
        <v>7.0000000000000007E-2</v>
      </c>
      <c r="G94" s="64">
        <v>201.59</v>
      </c>
      <c r="H94" s="64">
        <v>69.48</v>
      </c>
      <c r="I94" s="64">
        <v>1.46</v>
      </c>
      <c r="J94" s="64">
        <v>0.09</v>
      </c>
      <c r="K94" s="64">
        <v>288.45999999999998</v>
      </c>
      <c r="L94" s="64">
        <v>19.649999999999999</v>
      </c>
      <c r="M94" s="64">
        <v>71.59</v>
      </c>
      <c r="N94" s="64">
        <v>17.3</v>
      </c>
      <c r="O94" s="64">
        <v>0</v>
      </c>
      <c r="P94" s="64">
        <v>1.41</v>
      </c>
      <c r="Q94" s="64">
        <v>6.15</v>
      </c>
      <c r="R94" s="198"/>
      <c r="S94" s="198"/>
      <c r="T94" s="198"/>
      <c r="U94" s="198"/>
    </row>
    <row r="95" spans="1:26" s="12" customFormat="1" x14ac:dyDescent="0.25">
      <c r="A95" s="214" t="s">
        <v>3020</v>
      </c>
      <c r="B95" s="64">
        <v>41.22</v>
      </c>
      <c r="C95" s="64">
        <v>30.82</v>
      </c>
      <c r="D95" s="64">
        <v>51.36</v>
      </c>
      <c r="E95" s="64">
        <v>2.2200000000000002</v>
      </c>
      <c r="F95" s="64">
        <v>0.44</v>
      </c>
      <c r="G95" s="64">
        <v>215.7</v>
      </c>
      <c r="H95" s="64">
        <v>76.3</v>
      </c>
      <c r="I95" s="64">
        <v>1.53</v>
      </c>
      <c r="J95" s="64">
        <v>0.14000000000000001</v>
      </c>
      <c r="K95" s="64">
        <v>310.41000000000003</v>
      </c>
      <c r="L95" s="64">
        <v>19.41</v>
      </c>
      <c r="M95" s="64">
        <v>71.290000000000006</v>
      </c>
      <c r="N95" s="64">
        <v>17</v>
      </c>
      <c r="O95" s="64">
        <v>0</v>
      </c>
      <c r="P95" s="64">
        <v>1.47</v>
      </c>
      <c r="Q95" s="64">
        <v>7.14</v>
      </c>
      <c r="R95" s="198"/>
      <c r="S95" s="198"/>
      <c r="T95" s="198"/>
      <c r="U95" s="198"/>
    </row>
    <row r="96" spans="1:26" s="12" customFormat="1" x14ac:dyDescent="0.25">
      <c r="A96" s="214" t="s">
        <v>3021</v>
      </c>
      <c r="B96" s="64">
        <v>41.62</v>
      </c>
      <c r="C96" s="64">
        <v>34.9</v>
      </c>
      <c r="D96" s="64">
        <v>53.93</v>
      </c>
      <c r="E96" s="64">
        <v>1.84</v>
      </c>
      <c r="F96" s="64">
        <v>0.34</v>
      </c>
      <c r="G96" s="64">
        <v>228.61</v>
      </c>
      <c r="H96" s="64">
        <v>79.41</v>
      </c>
      <c r="I96" s="64">
        <v>1.46</v>
      </c>
      <c r="J96" s="64">
        <v>0.13</v>
      </c>
      <c r="K96" s="64">
        <v>334.2</v>
      </c>
      <c r="L96" s="64">
        <v>19.420000000000002</v>
      </c>
      <c r="M96" s="64">
        <v>77.84</v>
      </c>
      <c r="N96" s="64">
        <v>17.3</v>
      </c>
      <c r="O96" s="64">
        <v>0</v>
      </c>
      <c r="P96" s="64">
        <v>1.53</v>
      </c>
      <c r="Q96" s="64">
        <v>6.22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3022</v>
      </c>
      <c r="B97" s="64">
        <v>44.84</v>
      </c>
      <c r="C97" s="64">
        <v>36.549999999999997</v>
      </c>
      <c r="D97" s="64">
        <v>57.42</v>
      </c>
      <c r="E97" s="64">
        <v>1.71</v>
      </c>
      <c r="F97" s="64">
        <v>0.19</v>
      </c>
      <c r="G97" s="64">
        <v>228.61</v>
      </c>
      <c r="H97" s="64">
        <v>79.41</v>
      </c>
      <c r="I97" s="64">
        <v>1.54</v>
      </c>
      <c r="J97" s="64">
        <v>0.09</v>
      </c>
      <c r="K97" s="64">
        <v>302.10000000000002</v>
      </c>
      <c r="L97" s="64">
        <v>19.09</v>
      </c>
      <c r="M97" s="64">
        <v>76.12</v>
      </c>
      <c r="N97" s="64">
        <v>17.2</v>
      </c>
      <c r="O97" s="64">
        <v>0</v>
      </c>
      <c r="P97" s="64">
        <v>1.61</v>
      </c>
      <c r="Q97" s="64">
        <v>7.77</v>
      </c>
      <c r="R97" s="198"/>
      <c r="S97" s="198"/>
      <c r="T97" s="198"/>
      <c r="U97" s="198"/>
    </row>
    <row r="98" spans="1:33" s="12" customFormat="1" x14ac:dyDescent="0.25">
      <c r="A98" s="214" t="s">
        <v>3023</v>
      </c>
      <c r="B98" s="64">
        <v>46.45</v>
      </c>
      <c r="C98" s="64">
        <v>34.74</v>
      </c>
      <c r="D98" s="64">
        <v>57.71</v>
      </c>
      <c r="E98" s="64">
        <v>1.69</v>
      </c>
      <c r="F98" s="64">
        <v>0.13</v>
      </c>
      <c r="G98" s="64">
        <v>228.61</v>
      </c>
      <c r="H98" s="64">
        <v>79.41</v>
      </c>
      <c r="I98" s="64">
        <v>1.58</v>
      </c>
      <c r="J98" s="64">
        <v>0.12</v>
      </c>
      <c r="K98" s="64">
        <v>302.56</v>
      </c>
      <c r="L98" s="64">
        <v>18.899999999999999</v>
      </c>
      <c r="M98" s="64">
        <v>80.010000000000005</v>
      </c>
      <c r="N98" s="64">
        <v>17.2</v>
      </c>
      <c r="O98" s="64">
        <v>0</v>
      </c>
      <c r="P98" s="64">
        <v>1.67</v>
      </c>
      <c r="Q98" s="64">
        <v>8.24</v>
      </c>
      <c r="R98" s="198"/>
      <c r="S98" s="198"/>
      <c r="T98" s="198"/>
      <c r="U98" s="198"/>
    </row>
    <row r="99" spans="1:33" s="12" customFormat="1" x14ac:dyDescent="0.25">
      <c r="A99" s="214" t="s">
        <v>3024</v>
      </c>
      <c r="B99" s="64">
        <v>50.68</v>
      </c>
      <c r="C99" s="64">
        <v>35.200000000000003</v>
      </c>
      <c r="D99" s="64">
        <v>61.36</v>
      </c>
      <c r="E99" s="64">
        <v>1.78</v>
      </c>
      <c r="F99" s="64">
        <v>0.25</v>
      </c>
      <c r="G99" s="64">
        <v>228.61</v>
      </c>
      <c r="H99" s="64">
        <v>84.37</v>
      </c>
      <c r="I99" s="64">
        <v>1.52</v>
      </c>
      <c r="J99" s="64">
        <v>0.09</v>
      </c>
      <c r="K99" s="64">
        <v>274.8</v>
      </c>
      <c r="L99" s="64">
        <v>18.600000000000001</v>
      </c>
      <c r="M99" s="64">
        <v>78.3</v>
      </c>
      <c r="N99" s="64">
        <v>17.3</v>
      </c>
      <c r="O99" s="64">
        <v>0</v>
      </c>
      <c r="P99" s="64">
        <v>1.75</v>
      </c>
      <c r="Q99" s="64">
        <v>8.6300000000000008</v>
      </c>
      <c r="R99" s="198"/>
      <c r="S99" s="198"/>
      <c r="T99" s="198"/>
      <c r="U99" s="198"/>
    </row>
    <row r="100" spans="1:33" s="12" customFormat="1" x14ac:dyDescent="0.25">
      <c r="A100" s="214" t="s">
        <v>3025</v>
      </c>
      <c r="B100" s="64">
        <v>53.93</v>
      </c>
      <c r="C100" s="64">
        <v>34.6</v>
      </c>
      <c r="D100" s="64">
        <v>63.64</v>
      </c>
      <c r="E100" s="64">
        <v>1.92</v>
      </c>
      <c r="F100" s="64">
        <v>0.28000000000000003</v>
      </c>
      <c r="G100" s="64">
        <v>254.59</v>
      </c>
      <c r="H100" s="64">
        <v>86.63</v>
      </c>
      <c r="I100" s="64">
        <v>1.47</v>
      </c>
      <c r="J100" s="64">
        <v>0.12</v>
      </c>
      <c r="K100" s="64">
        <v>294.58999999999997</v>
      </c>
      <c r="L100" s="64">
        <v>18.53</v>
      </c>
      <c r="M100" s="64">
        <v>80.09</v>
      </c>
      <c r="N100" s="64">
        <v>17.2</v>
      </c>
      <c r="O100" s="64">
        <v>0</v>
      </c>
      <c r="P100" s="64">
        <v>1.79</v>
      </c>
      <c r="Q100" s="64">
        <v>8.93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3026</v>
      </c>
      <c r="B101" s="64">
        <v>57.09</v>
      </c>
      <c r="C101" s="64">
        <v>39.75</v>
      </c>
      <c r="D101" s="64">
        <v>69.010000000000005</v>
      </c>
      <c r="E101" s="64">
        <v>1.53</v>
      </c>
      <c r="F101" s="64">
        <v>0.03</v>
      </c>
      <c r="G101" s="64">
        <v>254.59</v>
      </c>
      <c r="H101" s="64">
        <v>86.63</v>
      </c>
      <c r="I101" s="64">
        <v>1.47</v>
      </c>
      <c r="J101" s="64">
        <v>0.11</v>
      </c>
      <c r="K101" s="64">
        <v>293.49</v>
      </c>
      <c r="L101" s="64">
        <v>18.32</v>
      </c>
      <c r="M101" s="64">
        <v>81.13</v>
      </c>
      <c r="N101" s="64">
        <v>17.2</v>
      </c>
      <c r="O101" s="64">
        <v>0</v>
      </c>
      <c r="P101" s="64">
        <v>1.87</v>
      </c>
      <c r="Q101" s="64">
        <v>8.9499999999999993</v>
      </c>
      <c r="R101" s="198"/>
      <c r="S101" s="198"/>
      <c r="T101" s="198"/>
      <c r="U101" s="198"/>
    </row>
    <row r="102" spans="1:33" s="12" customFormat="1" x14ac:dyDescent="0.25">
      <c r="A102" s="214" t="s">
        <v>3027</v>
      </c>
      <c r="B102" s="64">
        <v>60.04</v>
      </c>
      <c r="C102" s="64">
        <v>39.1</v>
      </c>
      <c r="D102" s="64">
        <v>71.02</v>
      </c>
      <c r="E102" s="64">
        <v>1.77</v>
      </c>
      <c r="F102" s="64">
        <v>0.09</v>
      </c>
      <c r="G102" s="64">
        <v>254.59</v>
      </c>
      <c r="H102" s="64">
        <v>86.63</v>
      </c>
      <c r="I102" s="64">
        <v>1.47</v>
      </c>
      <c r="J102" s="64">
        <v>0.14000000000000001</v>
      </c>
      <c r="K102" s="64">
        <v>288.41000000000003</v>
      </c>
      <c r="L102" s="64">
        <v>18.170000000000002</v>
      </c>
      <c r="M102" s="64">
        <v>78.92</v>
      </c>
      <c r="N102" s="64">
        <v>17.100000000000001</v>
      </c>
      <c r="O102" s="64">
        <v>0</v>
      </c>
      <c r="P102" s="64">
        <v>1.9</v>
      </c>
      <c r="Q102" s="64">
        <v>8.07</v>
      </c>
      <c r="R102" s="198"/>
      <c r="S102" s="198"/>
      <c r="T102" s="198"/>
      <c r="U102" s="198"/>
    </row>
    <row r="103" spans="1:33" s="12" customFormat="1" x14ac:dyDescent="0.25">
      <c r="A103" s="214" t="s">
        <v>3028</v>
      </c>
      <c r="B103" s="64">
        <v>56.09</v>
      </c>
      <c r="C103" s="64">
        <v>42.97</v>
      </c>
      <c r="D103" s="64">
        <v>69.98</v>
      </c>
      <c r="E103" s="64">
        <v>1.83</v>
      </c>
      <c r="F103" s="64">
        <v>0.01</v>
      </c>
      <c r="G103" s="64">
        <v>220.18</v>
      </c>
      <c r="H103" s="64">
        <v>87.81</v>
      </c>
      <c r="I103" s="64">
        <v>1.45</v>
      </c>
      <c r="J103" s="64">
        <v>0.08</v>
      </c>
      <c r="K103" s="64">
        <v>240.67</v>
      </c>
      <c r="L103" s="64">
        <v>18.190000000000001</v>
      </c>
      <c r="M103" s="64">
        <v>80.09</v>
      </c>
      <c r="N103" s="64">
        <v>17.100000000000001</v>
      </c>
      <c r="O103" s="64">
        <v>0</v>
      </c>
      <c r="P103" s="64">
        <v>1.85</v>
      </c>
      <c r="Q103" s="64">
        <v>8.8699999999999992</v>
      </c>
      <c r="R103" s="198"/>
      <c r="S103" s="198"/>
      <c r="T103" s="198"/>
      <c r="U103" s="198"/>
    </row>
    <row r="104" spans="1:33" s="12" customFormat="1" x14ac:dyDescent="0.25">
      <c r="A104" s="214" t="s">
        <v>3029</v>
      </c>
      <c r="B104" s="64">
        <v>58.33</v>
      </c>
      <c r="C104" s="64">
        <v>37.89</v>
      </c>
      <c r="D104" s="64">
        <v>68.98</v>
      </c>
      <c r="E104" s="64">
        <v>1.59</v>
      </c>
      <c r="F104" s="64">
        <v>0.06</v>
      </c>
      <c r="G104" s="64">
        <v>220.18</v>
      </c>
      <c r="H104" s="64">
        <v>88.89</v>
      </c>
      <c r="I104" s="64">
        <v>1.53</v>
      </c>
      <c r="J104" s="64">
        <v>0.12</v>
      </c>
      <c r="K104" s="64">
        <v>280.54000000000002</v>
      </c>
      <c r="L104" s="64">
        <v>18.079999999999998</v>
      </c>
      <c r="M104" s="64">
        <v>83.8</v>
      </c>
      <c r="N104" s="64">
        <v>17.100000000000001</v>
      </c>
      <c r="O104" s="64">
        <v>0</v>
      </c>
      <c r="P104" s="64">
        <v>1.86</v>
      </c>
      <c r="Q104" s="64">
        <v>9.49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</v>
      </c>
      <c r="C106" s="67">
        <f>MIN(C9:C104)</f>
        <v>20.149999999999999</v>
      </c>
      <c r="D106" s="67">
        <f t="shared" ref="D106:Q106" si="0">MIN(D9:D104)</f>
        <v>14.02</v>
      </c>
      <c r="E106" s="67">
        <f t="shared" si="0"/>
        <v>0.76</v>
      </c>
      <c r="F106" s="67">
        <f t="shared" si="0"/>
        <v>0.01</v>
      </c>
      <c r="G106" s="67">
        <f t="shared" si="0"/>
        <v>64.849999999999994</v>
      </c>
      <c r="H106" s="67">
        <f t="shared" si="0"/>
        <v>43.29</v>
      </c>
      <c r="I106" s="67">
        <f t="shared" si="0"/>
        <v>1.31</v>
      </c>
      <c r="J106" s="67">
        <f t="shared" si="0"/>
        <v>0.01</v>
      </c>
      <c r="K106" s="67">
        <f t="shared" si="0"/>
        <v>5.32</v>
      </c>
      <c r="L106" s="67">
        <f t="shared" si="0"/>
        <v>15.92</v>
      </c>
      <c r="M106" s="67">
        <f t="shared" si="0"/>
        <v>30.48</v>
      </c>
      <c r="N106" s="67">
        <f t="shared" si="0"/>
        <v>15.9</v>
      </c>
      <c r="O106" s="67">
        <f t="shared" si="0"/>
        <v>0</v>
      </c>
      <c r="P106" s="67">
        <f t="shared" si="0"/>
        <v>0.52</v>
      </c>
      <c r="Q106" s="67">
        <f t="shared" si="0"/>
        <v>1.26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60.04</v>
      </c>
      <c r="C107" s="66">
        <f t="shared" ref="C107:Q107" si="1">MAX(C9:C104)</f>
        <v>61.73</v>
      </c>
      <c r="D107" s="66">
        <f t="shared" si="1"/>
        <v>71.02</v>
      </c>
      <c r="E107" s="66">
        <f t="shared" si="1"/>
        <v>4.95</v>
      </c>
      <c r="F107" s="66">
        <f t="shared" si="1"/>
        <v>25.8</v>
      </c>
      <c r="G107" s="66">
        <f t="shared" si="1"/>
        <v>267.91000000000003</v>
      </c>
      <c r="H107" s="66">
        <f t="shared" si="1"/>
        <v>115.62</v>
      </c>
      <c r="I107" s="66">
        <f t="shared" si="1"/>
        <v>1.58</v>
      </c>
      <c r="J107" s="66">
        <f t="shared" si="1"/>
        <v>1.55</v>
      </c>
      <c r="K107" s="66">
        <f t="shared" si="1"/>
        <v>359.39</v>
      </c>
      <c r="L107" s="66">
        <f t="shared" si="1"/>
        <v>28.5</v>
      </c>
      <c r="M107" s="66">
        <f t="shared" si="1"/>
        <v>91.22</v>
      </c>
      <c r="N107" s="66">
        <f t="shared" si="1"/>
        <v>703.4</v>
      </c>
      <c r="O107" s="66">
        <f t="shared" si="1"/>
        <v>0</v>
      </c>
      <c r="P107" s="66">
        <f t="shared" si="1"/>
        <v>1.9</v>
      </c>
      <c r="Q107" s="66">
        <f t="shared" si="1"/>
        <v>9.49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16.876145833333329</v>
      </c>
      <c r="C108" s="67">
        <f t="shared" ref="C108:Q108" si="2">AVERAGE(C9:C104)</f>
        <v>31.579791666666665</v>
      </c>
      <c r="D108" s="67">
        <f t="shared" si="2"/>
        <v>32.253020833333345</v>
      </c>
      <c r="E108" s="67">
        <f t="shared" si="2"/>
        <v>2.0139583333333335</v>
      </c>
      <c r="F108" s="67">
        <f t="shared" si="2"/>
        <v>2.9499999999999997</v>
      </c>
      <c r="G108" s="67">
        <f t="shared" si="2"/>
        <v>143.76343750000007</v>
      </c>
      <c r="H108" s="67">
        <f t="shared" si="2"/>
        <v>67.557708333333281</v>
      </c>
      <c r="I108" s="67">
        <f t="shared" si="2"/>
        <v>1.4857291666666665</v>
      </c>
      <c r="J108" s="67">
        <f t="shared" si="2"/>
        <v>0.35135416666666669</v>
      </c>
      <c r="K108" s="67">
        <f t="shared" si="2"/>
        <v>202.62177083333324</v>
      </c>
      <c r="L108" s="67">
        <f t="shared" si="2"/>
        <v>21.85447916666666</v>
      </c>
      <c r="M108" s="67">
        <f t="shared" si="2"/>
        <v>60.901875000000011</v>
      </c>
      <c r="N108" s="67">
        <f t="shared" si="2"/>
        <v>183.83333333333329</v>
      </c>
      <c r="O108" s="67">
        <f t="shared" si="2"/>
        <v>0</v>
      </c>
      <c r="P108" s="67">
        <f t="shared" si="2"/>
        <v>1.0965625000000003</v>
      </c>
      <c r="Q108" s="67">
        <f t="shared" si="2"/>
        <v>5.6246874999999976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15.26187636734727</v>
      </c>
      <c r="C109" s="67">
        <f t="shared" ref="C109:Q109" si="3">STDEV(C9:C104)</f>
        <v>9.4597459606667336</v>
      </c>
      <c r="D109" s="67">
        <f t="shared" si="3"/>
        <v>15.658139777918196</v>
      </c>
      <c r="E109" s="67">
        <f t="shared" si="3"/>
        <v>0.75148341602553359</v>
      </c>
      <c r="F109" s="67">
        <f t="shared" si="3"/>
        <v>4.9323153525339496</v>
      </c>
      <c r="G109" s="67">
        <f t="shared" si="3"/>
        <v>66.504715682868536</v>
      </c>
      <c r="H109" s="67">
        <f t="shared" si="3"/>
        <v>20.598214305801438</v>
      </c>
      <c r="I109" s="67">
        <f t="shared" si="3"/>
        <v>4.4973554607514524E-2</v>
      </c>
      <c r="J109" s="67">
        <f t="shared" si="3"/>
        <v>0.40415114367006855</v>
      </c>
      <c r="K109" s="67">
        <f t="shared" si="3"/>
        <v>111.28495097574179</v>
      </c>
      <c r="L109" s="67">
        <f t="shared" si="3"/>
        <v>4.2286809862854788</v>
      </c>
      <c r="M109" s="67">
        <f t="shared" si="3"/>
        <v>19.908789030423044</v>
      </c>
      <c r="N109" s="67">
        <f t="shared" si="3"/>
        <v>249.65384568771734</v>
      </c>
      <c r="O109" s="67">
        <f t="shared" si="3"/>
        <v>0</v>
      </c>
      <c r="P109" s="67">
        <f t="shared" si="3"/>
        <v>0.34076640594555635</v>
      </c>
      <c r="Q109" s="67">
        <f t="shared" si="3"/>
        <v>1.4643690598415009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6"/>
      <c r="S8" s="197"/>
      <c r="T8" s="196"/>
      <c r="U8" s="196"/>
    </row>
    <row r="9" spans="1:21" s="12" customFormat="1" x14ac:dyDescent="0.25">
      <c r="A9" s="214" t="s">
        <v>3030</v>
      </c>
      <c r="B9" s="64">
        <v>58.97</v>
      </c>
      <c r="C9" s="64">
        <v>35.57</v>
      </c>
      <c r="D9" s="64">
        <v>68.209999999999994</v>
      </c>
      <c r="E9" s="64">
        <v>1.96</v>
      </c>
      <c r="F9" s="64">
        <v>0.14000000000000001</v>
      </c>
      <c r="G9" s="64">
        <v>220.18</v>
      </c>
      <c r="H9" s="64">
        <v>88.89</v>
      </c>
      <c r="I9" s="64">
        <v>1.5</v>
      </c>
      <c r="J9" s="64">
        <v>0.05</v>
      </c>
      <c r="K9" s="64">
        <v>201.38</v>
      </c>
      <c r="L9" s="64">
        <v>17.93</v>
      </c>
      <c r="M9" s="64">
        <v>84.48</v>
      </c>
      <c r="N9" s="64">
        <v>17.399999999999999</v>
      </c>
      <c r="O9" s="64">
        <v>0</v>
      </c>
      <c r="P9" s="64">
        <v>1.87</v>
      </c>
      <c r="Q9" s="64">
        <v>9.7200000000000006</v>
      </c>
      <c r="R9" s="198"/>
      <c r="S9" s="198"/>
      <c r="T9" s="198"/>
      <c r="U9" s="198"/>
    </row>
    <row r="10" spans="1:21" s="12" customFormat="1" x14ac:dyDescent="0.25">
      <c r="A10" s="214" t="s">
        <v>3031</v>
      </c>
      <c r="B10" s="64">
        <v>59.68</v>
      </c>
      <c r="C10" s="64">
        <v>32.15</v>
      </c>
      <c r="D10" s="64">
        <v>66.900000000000006</v>
      </c>
      <c r="E10" s="64">
        <v>2.1800000000000002</v>
      </c>
      <c r="F10" s="64">
        <v>7.0000000000000007E-2</v>
      </c>
      <c r="G10" s="64">
        <v>220.18</v>
      </c>
      <c r="H10" s="64">
        <v>88.89</v>
      </c>
      <c r="I10" s="64">
        <v>1.52</v>
      </c>
      <c r="J10" s="64">
        <v>0.1</v>
      </c>
      <c r="K10" s="64">
        <v>286.08999999999997</v>
      </c>
      <c r="L10" s="64">
        <v>17.77</v>
      </c>
      <c r="M10" s="64">
        <v>87.19</v>
      </c>
      <c r="N10" s="64">
        <v>18.3</v>
      </c>
      <c r="O10" s="64">
        <v>0</v>
      </c>
      <c r="P10" s="64">
        <v>1.85</v>
      </c>
      <c r="Q10" s="64">
        <v>9.73</v>
      </c>
      <c r="R10" s="198"/>
      <c r="S10" s="198"/>
      <c r="T10" s="198"/>
      <c r="U10" s="198"/>
    </row>
    <row r="11" spans="1:21" s="12" customFormat="1" x14ac:dyDescent="0.25">
      <c r="A11" s="214" t="s">
        <v>3032</v>
      </c>
      <c r="B11" s="64">
        <v>59.73</v>
      </c>
      <c r="C11" s="64">
        <v>29.53</v>
      </c>
      <c r="D11" s="64">
        <v>65.48</v>
      </c>
      <c r="E11" s="64">
        <v>1.97</v>
      </c>
      <c r="F11" s="64">
        <v>0.32</v>
      </c>
      <c r="G11" s="64">
        <v>201.75</v>
      </c>
      <c r="H11" s="64">
        <v>86.08</v>
      </c>
      <c r="I11" s="64">
        <v>1.49</v>
      </c>
      <c r="J11" s="64">
        <v>0.15</v>
      </c>
      <c r="K11" s="64">
        <v>286.62</v>
      </c>
      <c r="L11" s="64">
        <v>17.46</v>
      </c>
      <c r="M11" s="64">
        <v>90.84</v>
      </c>
      <c r="N11" s="64">
        <v>18.2</v>
      </c>
      <c r="O11" s="64">
        <v>0</v>
      </c>
      <c r="P11" s="64">
        <v>1.86</v>
      </c>
      <c r="Q11" s="64">
        <v>9.7200000000000006</v>
      </c>
      <c r="R11" s="198"/>
      <c r="S11" s="198"/>
      <c r="T11" s="198"/>
      <c r="U11" s="198"/>
    </row>
    <row r="12" spans="1:21" s="12" customFormat="1" x14ac:dyDescent="0.25">
      <c r="A12" s="214" t="s">
        <v>3033</v>
      </c>
      <c r="B12" s="64">
        <v>59.7</v>
      </c>
      <c r="C12" s="64">
        <v>30.58</v>
      </c>
      <c r="D12" s="64">
        <v>66.040000000000006</v>
      </c>
      <c r="E12" s="64">
        <v>1.96</v>
      </c>
      <c r="F12" s="64">
        <v>0.2</v>
      </c>
      <c r="G12" s="64">
        <v>184.11</v>
      </c>
      <c r="H12" s="64">
        <v>84.8</v>
      </c>
      <c r="I12" s="64">
        <v>1.49</v>
      </c>
      <c r="J12" s="64">
        <v>0.09</v>
      </c>
      <c r="K12" s="64">
        <v>292.55</v>
      </c>
      <c r="L12" s="64">
        <v>17.29</v>
      </c>
      <c r="M12" s="64">
        <v>94.85</v>
      </c>
      <c r="N12" s="64">
        <v>18.2</v>
      </c>
      <c r="O12" s="64">
        <v>0</v>
      </c>
      <c r="P12" s="64">
        <v>1.87</v>
      </c>
      <c r="Q12" s="64">
        <v>9.6199999999999992</v>
      </c>
      <c r="R12" s="198"/>
      <c r="S12" s="198"/>
      <c r="T12" s="198"/>
      <c r="U12" s="198"/>
    </row>
    <row r="13" spans="1:21" s="12" customFormat="1" x14ac:dyDescent="0.25">
      <c r="A13" s="214" t="s">
        <v>3034</v>
      </c>
      <c r="B13" s="64">
        <v>59.19</v>
      </c>
      <c r="C13" s="64">
        <v>30.63</v>
      </c>
      <c r="D13" s="64">
        <v>65.66</v>
      </c>
      <c r="E13" s="64">
        <v>1.95</v>
      </c>
      <c r="F13" s="64">
        <v>0.08</v>
      </c>
      <c r="G13" s="64">
        <v>184.11</v>
      </c>
      <c r="H13" s="64">
        <v>84.8</v>
      </c>
      <c r="I13" s="64">
        <v>1.47</v>
      </c>
      <c r="J13" s="64">
        <v>0.05</v>
      </c>
      <c r="K13" s="64">
        <v>236.1</v>
      </c>
      <c r="L13" s="64">
        <v>17.420000000000002</v>
      </c>
      <c r="M13" s="64">
        <v>91.17</v>
      </c>
      <c r="N13" s="64">
        <v>18</v>
      </c>
      <c r="O13" s="64">
        <v>0</v>
      </c>
      <c r="P13" s="64">
        <v>1.68</v>
      </c>
      <c r="Q13" s="64">
        <v>9.64</v>
      </c>
      <c r="R13" s="198"/>
      <c r="S13" s="198"/>
      <c r="T13" s="198"/>
      <c r="U13" s="198"/>
    </row>
    <row r="14" spans="1:21" s="12" customFormat="1" x14ac:dyDescent="0.25">
      <c r="A14" s="214" t="s">
        <v>3035</v>
      </c>
      <c r="B14" s="64">
        <v>58.37</v>
      </c>
      <c r="C14" s="64">
        <v>29.15</v>
      </c>
      <c r="D14" s="64">
        <v>64.19</v>
      </c>
      <c r="E14" s="64">
        <v>1.9</v>
      </c>
      <c r="F14" s="64">
        <v>0.25</v>
      </c>
      <c r="G14" s="64">
        <v>184.11</v>
      </c>
      <c r="H14" s="64">
        <v>84.8</v>
      </c>
      <c r="I14" s="64">
        <v>1.54</v>
      </c>
      <c r="J14" s="64">
        <v>0.03</v>
      </c>
      <c r="K14" s="64">
        <v>255.39</v>
      </c>
      <c r="L14" s="64">
        <v>17.510000000000002</v>
      </c>
      <c r="M14" s="64">
        <v>89.1</v>
      </c>
      <c r="N14" s="64">
        <v>18.100000000000001</v>
      </c>
      <c r="O14" s="64">
        <v>0</v>
      </c>
      <c r="P14" s="64">
        <v>1.74</v>
      </c>
      <c r="Q14" s="64">
        <v>9.59</v>
      </c>
      <c r="R14" s="198"/>
      <c r="S14" s="198"/>
      <c r="T14" s="198"/>
      <c r="U14" s="198"/>
    </row>
    <row r="15" spans="1:21" s="12" customFormat="1" x14ac:dyDescent="0.25">
      <c r="A15" s="214" t="s">
        <v>3036</v>
      </c>
      <c r="B15" s="64">
        <v>57.19</v>
      </c>
      <c r="C15" s="64">
        <v>29.3</v>
      </c>
      <c r="D15" s="64">
        <v>63.33</v>
      </c>
      <c r="E15" s="64">
        <v>1.66</v>
      </c>
      <c r="F15" s="64">
        <v>0.19</v>
      </c>
      <c r="G15" s="64">
        <v>167.48</v>
      </c>
      <c r="H15" s="64">
        <v>83.17</v>
      </c>
      <c r="I15" s="64">
        <v>1.44</v>
      </c>
      <c r="J15" s="64">
        <v>0.12</v>
      </c>
      <c r="K15" s="64">
        <v>316.88</v>
      </c>
      <c r="L15" s="64">
        <v>17.559999999999999</v>
      </c>
      <c r="M15" s="64">
        <v>89.79</v>
      </c>
      <c r="N15" s="64">
        <v>18.100000000000001</v>
      </c>
      <c r="O15" s="64">
        <v>0</v>
      </c>
      <c r="P15" s="64">
        <v>1.72</v>
      </c>
      <c r="Q15" s="64">
        <v>9.51</v>
      </c>
      <c r="R15" s="198"/>
      <c r="S15" s="198"/>
      <c r="T15" s="198"/>
      <c r="U15" s="198"/>
    </row>
    <row r="16" spans="1:21" s="12" customFormat="1" x14ac:dyDescent="0.25">
      <c r="A16" s="214" t="s">
        <v>3037</v>
      </c>
      <c r="B16" s="64">
        <v>56.21</v>
      </c>
      <c r="C16" s="64">
        <v>28.8</v>
      </c>
      <c r="D16" s="64">
        <v>62.26</v>
      </c>
      <c r="E16" s="64">
        <v>1.96</v>
      </c>
      <c r="F16" s="64">
        <v>0.04</v>
      </c>
      <c r="G16" s="64">
        <v>151.57</v>
      </c>
      <c r="H16" s="64">
        <v>82.42</v>
      </c>
      <c r="I16" s="64">
        <v>1.51</v>
      </c>
      <c r="J16" s="64">
        <v>0.08</v>
      </c>
      <c r="K16" s="64">
        <v>248.52</v>
      </c>
      <c r="L16" s="64">
        <v>17.78</v>
      </c>
      <c r="M16" s="64">
        <v>85.09</v>
      </c>
      <c r="N16" s="64">
        <v>17.8</v>
      </c>
      <c r="O16" s="64">
        <v>0</v>
      </c>
      <c r="P16" s="64">
        <v>1.7</v>
      </c>
      <c r="Q16" s="64">
        <v>9.41</v>
      </c>
      <c r="R16" s="198"/>
      <c r="S16" s="198"/>
      <c r="T16" s="198"/>
      <c r="U16" s="198"/>
    </row>
    <row r="17" spans="1:21" s="12" customFormat="1" x14ac:dyDescent="0.25">
      <c r="A17" s="214" t="s">
        <v>3038</v>
      </c>
      <c r="B17" s="64">
        <v>54.71</v>
      </c>
      <c r="C17" s="64">
        <v>26.82</v>
      </c>
      <c r="D17" s="64">
        <v>59.96</v>
      </c>
      <c r="E17" s="64">
        <v>2</v>
      </c>
      <c r="F17" s="64">
        <v>0.16</v>
      </c>
      <c r="G17" s="64">
        <v>151.57</v>
      </c>
      <c r="H17" s="64">
        <v>82.42</v>
      </c>
      <c r="I17" s="64">
        <v>1.49</v>
      </c>
      <c r="J17" s="64">
        <v>0.05</v>
      </c>
      <c r="K17" s="64">
        <v>310.62</v>
      </c>
      <c r="L17" s="64">
        <v>17.649999999999999</v>
      </c>
      <c r="M17" s="64">
        <v>86.11</v>
      </c>
      <c r="N17" s="64">
        <v>18.2</v>
      </c>
      <c r="O17" s="64">
        <v>0</v>
      </c>
      <c r="P17" s="64">
        <v>1.66</v>
      </c>
      <c r="Q17" s="64">
        <v>9.33</v>
      </c>
      <c r="R17" s="198"/>
      <c r="S17" s="198"/>
      <c r="T17" s="198"/>
      <c r="U17" s="198"/>
    </row>
    <row r="18" spans="1:21" s="12" customFormat="1" x14ac:dyDescent="0.25">
      <c r="A18" s="214" t="s">
        <v>3039</v>
      </c>
      <c r="B18" s="64">
        <v>50.42</v>
      </c>
      <c r="C18" s="64">
        <v>28.19</v>
      </c>
      <c r="D18" s="64">
        <v>57.28</v>
      </c>
      <c r="E18" s="64">
        <v>1.89</v>
      </c>
      <c r="F18" s="64">
        <v>0.25</v>
      </c>
      <c r="G18" s="64">
        <v>151.57</v>
      </c>
      <c r="H18" s="64">
        <v>82.42</v>
      </c>
      <c r="I18" s="64">
        <v>1.51</v>
      </c>
      <c r="J18" s="64">
        <v>0.02</v>
      </c>
      <c r="K18" s="64">
        <v>307.61</v>
      </c>
      <c r="L18" s="64">
        <v>17.11</v>
      </c>
      <c r="M18" s="64">
        <v>90.68</v>
      </c>
      <c r="N18" s="64">
        <v>18.399999999999999</v>
      </c>
      <c r="O18" s="64">
        <v>0</v>
      </c>
      <c r="P18" s="64">
        <v>1.6</v>
      </c>
      <c r="Q18" s="64">
        <v>9.31</v>
      </c>
      <c r="R18" s="198"/>
      <c r="S18" s="198"/>
      <c r="T18" s="198"/>
      <c r="U18" s="198"/>
    </row>
    <row r="19" spans="1:21" s="12" customFormat="1" x14ac:dyDescent="0.25">
      <c r="A19" s="214" t="s">
        <v>3040</v>
      </c>
      <c r="B19" s="64">
        <v>47.78</v>
      </c>
      <c r="C19" s="64">
        <v>29.53</v>
      </c>
      <c r="D19" s="64">
        <v>55.91</v>
      </c>
      <c r="E19" s="64">
        <v>2.0299999999999998</v>
      </c>
      <c r="F19" s="64">
        <v>0.12</v>
      </c>
      <c r="G19" s="64">
        <v>142.19999999999999</v>
      </c>
      <c r="H19" s="64">
        <v>80.430000000000007</v>
      </c>
      <c r="I19" s="64">
        <v>1.49</v>
      </c>
      <c r="J19" s="64">
        <v>0.06</v>
      </c>
      <c r="K19" s="64">
        <v>43.67</v>
      </c>
      <c r="L19" s="64">
        <v>16.850000000000001</v>
      </c>
      <c r="M19" s="64">
        <v>90.46</v>
      </c>
      <c r="N19" s="64">
        <v>18.2</v>
      </c>
      <c r="O19" s="64">
        <v>0</v>
      </c>
      <c r="P19" s="64">
        <v>1.57</v>
      </c>
      <c r="Q19" s="64">
        <v>9.11</v>
      </c>
      <c r="R19" s="198"/>
      <c r="S19" s="198"/>
      <c r="T19" s="198"/>
      <c r="U19" s="198"/>
    </row>
    <row r="20" spans="1:21" s="12" customFormat="1" x14ac:dyDescent="0.25">
      <c r="A20" s="214" t="s">
        <v>3041</v>
      </c>
      <c r="B20" s="64">
        <v>45.41</v>
      </c>
      <c r="C20" s="64">
        <v>30.03</v>
      </c>
      <c r="D20" s="64">
        <v>54.28</v>
      </c>
      <c r="E20" s="64">
        <v>1.94</v>
      </c>
      <c r="F20" s="64">
        <v>0.22</v>
      </c>
      <c r="G20" s="64">
        <v>133.22999999999999</v>
      </c>
      <c r="H20" s="64">
        <v>79.52</v>
      </c>
      <c r="I20" s="64">
        <v>1.44</v>
      </c>
      <c r="J20" s="64">
        <v>0.05</v>
      </c>
      <c r="K20" s="64">
        <v>213.37</v>
      </c>
      <c r="L20" s="64">
        <v>16.829999999999998</v>
      </c>
      <c r="M20" s="64">
        <v>89.82</v>
      </c>
      <c r="N20" s="64">
        <v>18.2</v>
      </c>
      <c r="O20" s="64">
        <v>0</v>
      </c>
      <c r="P20" s="64">
        <v>1.53</v>
      </c>
      <c r="Q20" s="64">
        <v>8.9700000000000006</v>
      </c>
      <c r="R20" s="198"/>
      <c r="S20" s="198"/>
      <c r="T20" s="198"/>
      <c r="U20" s="198"/>
    </row>
    <row r="21" spans="1:21" s="12" customFormat="1" x14ac:dyDescent="0.25">
      <c r="A21" s="214" t="s">
        <v>3042</v>
      </c>
      <c r="B21" s="64">
        <v>43.45</v>
      </c>
      <c r="C21" s="64">
        <v>30.59</v>
      </c>
      <c r="D21" s="64">
        <v>53.02</v>
      </c>
      <c r="E21" s="64">
        <v>1.83</v>
      </c>
      <c r="F21" s="64">
        <v>0.18</v>
      </c>
      <c r="G21" s="64">
        <v>133.22999999999999</v>
      </c>
      <c r="H21" s="64">
        <v>79.52</v>
      </c>
      <c r="I21" s="64">
        <v>1.47</v>
      </c>
      <c r="J21" s="64">
        <v>0.11</v>
      </c>
      <c r="K21" s="64">
        <v>232.16</v>
      </c>
      <c r="L21" s="64">
        <v>17.010000000000002</v>
      </c>
      <c r="M21" s="64">
        <v>87.51</v>
      </c>
      <c r="N21" s="64">
        <v>18.100000000000001</v>
      </c>
      <c r="O21" s="64">
        <v>0</v>
      </c>
      <c r="P21" s="64">
        <v>1.49</v>
      </c>
      <c r="Q21" s="64">
        <v>8.82</v>
      </c>
      <c r="R21" s="198"/>
      <c r="S21" s="198"/>
      <c r="T21" s="198"/>
      <c r="U21" s="198"/>
    </row>
    <row r="22" spans="1:21" s="12" customFormat="1" x14ac:dyDescent="0.25">
      <c r="A22" s="214" t="s">
        <v>3043</v>
      </c>
      <c r="B22" s="64">
        <v>44.3</v>
      </c>
      <c r="C22" s="64">
        <v>27.87</v>
      </c>
      <c r="D22" s="64">
        <v>52.2</v>
      </c>
      <c r="E22" s="64">
        <v>2.1</v>
      </c>
      <c r="F22" s="64">
        <v>0.39</v>
      </c>
      <c r="G22" s="64">
        <v>133.22999999999999</v>
      </c>
      <c r="H22" s="64">
        <v>79.52</v>
      </c>
      <c r="I22" s="64">
        <v>1.46</v>
      </c>
      <c r="J22" s="64">
        <v>0.11</v>
      </c>
      <c r="K22" s="64">
        <v>249.91</v>
      </c>
      <c r="L22" s="64">
        <v>17.09</v>
      </c>
      <c r="M22" s="64">
        <v>85.96</v>
      </c>
      <c r="N22" s="64">
        <v>17.899999999999999</v>
      </c>
      <c r="O22" s="64">
        <v>0</v>
      </c>
      <c r="P22" s="64">
        <v>1.46</v>
      </c>
      <c r="Q22" s="64">
        <v>8.56</v>
      </c>
      <c r="R22" s="198"/>
      <c r="S22" s="198"/>
      <c r="T22" s="198"/>
      <c r="U22" s="198"/>
    </row>
    <row r="23" spans="1:21" s="12" customFormat="1" x14ac:dyDescent="0.25">
      <c r="A23" s="214" t="s">
        <v>3044</v>
      </c>
      <c r="B23" s="64">
        <v>42.97</v>
      </c>
      <c r="C23" s="64">
        <v>28.11</v>
      </c>
      <c r="D23" s="64">
        <v>51.27</v>
      </c>
      <c r="E23" s="64">
        <v>1.76</v>
      </c>
      <c r="F23" s="64">
        <v>0.14000000000000001</v>
      </c>
      <c r="G23" s="64">
        <v>134.09</v>
      </c>
      <c r="H23" s="64">
        <v>78.81</v>
      </c>
      <c r="I23" s="64">
        <v>1.45</v>
      </c>
      <c r="J23" s="64">
        <v>0.08</v>
      </c>
      <c r="K23" s="64">
        <v>310.51</v>
      </c>
      <c r="L23" s="64">
        <v>16.760000000000002</v>
      </c>
      <c r="M23" s="64">
        <v>91.1</v>
      </c>
      <c r="N23" s="64">
        <v>18.5</v>
      </c>
      <c r="O23" s="64">
        <v>0</v>
      </c>
      <c r="P23" s="64">
        <v>1.44</v>
      </c>
      <c r="Q23" s="64">
        <v>8.34</v>
      </c>
      <c r="R23" s="198"/>
      <c r="S23" s="198"/>
      <c r="T23" s="198"/>
      <c r="U23" s="198"/>
    </row>
    <row r="24" spans="1:21" s="12" customFormat="1" x14ac:dyDescent="0.25">
      <c r="A24" s="214" t="s">
        <v>3045</v>
      </c>
      <c r="B24" s="64">
        <v>41.6</v>
      </c>
      <c r="C24" s="64">
        <v>28.07</v>
      </c>
      <c r="D24" s="64">
        <v>50.14</v>
      </c>
      <c r="E24" s="64">
        <v>0.43</v>
      </c>
      <c r="F24" s="64">
        <v>0.06</v>
      </c>
      <c r="G24" s="64">
        <v>134.91999999999999</v>
      </c>
      <c r="H24" s="64">
        <v>78.38</v>
      </c>
      <c r="I24" s="64">
        <v>1.48</v>
      </c>
      <c r="J24" s="64">
        <v>0.1</v>
      </c>
      <c r="K24" s="64">
        <v>296.66000000000003</v>
      </c>
      <c r="L24" s="64">
        <v>16.52</v>
      </c>
      <c r="M24" s="64">
        <v>92.06</v>
      </c>
      <c r="N24" s="64">
        <v>18.3</v>
      </c>
      <c r="O24" s="64">
        <v>0</v>
      </c>
      <c r="P24" s="64">
        <v>1.42</v>
      </c>
      <c r="Q24" s="64">
        <v>8.26</v>
      </c>
      <c r="R24" s="198"/>
      <c r="S24" s="198"/>
      <c r="T24" s="198"/>
      <c r="U24" s="198"/>
    </row>
    <row r="25" spans="1:21" s="12" customFormat="1" x14ac:dyDescent="0.25">
      <c r="A25" s="214" t="s">
        <v>3046</v>
      </c>
      <c r="B25" s="64">
        <v>40.380000000000003</v>
      </c>
      <c r="C25" s="64">
        <v>27.48</v>
      </c>
      <c r="D25" s="64">
        <v>48.84</v>
      </c>
      <c r="E25" s="64">
        <v>0.9</v>
      </c>
      <c r="F25" s="64">
        <v>0.1</v>
      </c>
      <c r="G25" s="64">
        <v>134.91999999999999</v>
      </c>
      <c r="H25" s="64">
        <v>78.38</v>
      </c>
      <c r="I25" s="64">
        <v>1.44</v>
      </c>
      <c r="J25" s="64">
        <v>0.08</v>
      </c>
      <c r="K25" s="64">
        <v>266.47000000000003</v>
      </c>
      <c r="L25" s="64">
        <v>16.489999999999998</v>
      </c>
      <c r="M25" s="64">
        <v>91.86</v>
      </c>
      <c r="N25" s="64">
        <v>18.399999999999999</v>
      </c>
      <c r="O25" s="64">
        <v>0</v>
      </c>
      <c r="P25" s="64">
        <v>1.4</v>
      </c>
      <c r="Q25" s="64">
        <v>8.16</v>
      </c>
      <c r="R25" s="198"/>
      <c r="S25" s="198"/>
      <c r="T25" s="198"/>
      <c r="U25" s="198"/>
    </row>
    <row r="26" spans="1:21" s="12" customFormat="1" x14ac:dyDescent="0.25">
      <c r="A26" s="214" t="s">
        <v>3047</v>
      </c>
      <c r="B26" s="64">
        <v>39.549999999999997</v>
      </c>
      <c r="C26" s="64">
        <v>27.5</v>
      </c>
      <c r="D26" s="64">
        <v>48.18</v>
      </c>
      <c r="E26" s="64">
        <v>1.1000000000000001</v>
      </c>
      <c r="F26" s="64">
        <v>0.06</v>
      </c>
      <c r="G26" s="64">
        <v>134.91999999999999</v>
      </c>
      <c r="H26" s="64">
        <v>78.38</v>
      </c>
      <c r="I26" s="64">
        <v>1.49</v>
      </c>
      <c r="J26" s="64">
        <v>0.05</v>
      </c>
      <c r="K26" s="64">
        <v>264.62</v>
      </c>
      <c r="L26" s="64">
        <v>16.36</v>
      </c>
      <c r="M26" s="64">
        <v>92.45</v>
      </c>
      <c r="N26" s="64">
        <v>18.399999999999999</v>
      </c>
      <c r="O26" s="64">
        <v>0</v>
      </c>
      <c r="P26" s="64">
        <v>1.39</v>
      </c>
      <c r="Q26" s="64">
        <v>8.0500000000000007</v>
      </c>
      <c r="R26" s="198"/>
      <c r="S26" s="198"/>
      <c r="T26" s="198"/>
      <c r="U26" s="198"/>
    </row>
    <row r="27" spans="1:21" s="12" customFormat="1" x14ac:dyDescent="0.25">
      <c r="A27" s="214" t="s">
        <v>3048</v>
      </c>
      <c r="B27" s="64">
        <v>39.33</v>
      </c>
      <c r="C27" s="64">
        <v>27.05</v>
      </c>
      <c r="D27" s="64">
        <v>47.76</v>
      </c>
      <c r="E27" s="64">
        <v>1</v>
      </c>
      <c r="F27" s="64">
        <v>0.22</v>
      </c>
      <c r="G27" s="64">
        <v>147.66999999999999</v>
      </c>
      <c r="H27" s="64">
        <v>85.94</v>
      </c>
      <c r="I27" s="64">
        <v>1.56</v>
      </c>
      <c r="J27" s="64">
        <v>0.12</v>
      </c>
      <c r="K27" s="64">
        <v>341.14</v>
      </c>
      <c r="L27" s="64">
        <v>16.329999999999998</v>
      </c>
      <c r="M27" s="64">
        <v>94.37</v>
      </c>
      <c r="N27" s="64">
        <v>18.3</v>
      </c>
      <c r="O27" s="64">
        <v>0</v>
      </c>
      <c r="P27" s="64">
        <v>1.37</v>
      </c>
      <c r="Q27" s="64">
        <v>8.02</v>
      </c>
      <c r="R27" s="198"/>
      <c r="S27" s="198"/>
      <c r="T27" s="198"/>
      <c r="U27" s="198"/>
    </row>
    <row r="28" spans="1:21" s="12" customFormat="1" x14ac:dyDescent="0.25">
      <c r="A28" s="214" t="s">
        <v>3049</v>
      </c>
      <c r="B28" s="64">
        <v>40.270000000000003</v>
      </c>
      <c r="C28" s="64">
        <v>27.32</v>
      </c>
      <c r="D28" s="64">
        <v>48.66</v>
      </c>
      <c r="E28" s="64">
        <v>1.04</v>
      </c>
      <c r="F28" s="64">
        <v>0.1</v>
      </c>
      <c r="G28" s="64">
        <v>159.33000000000001</v>
      </c>
      <c r="H28" s="64">
        <v>89.39</v>
      </c>
      <c r="I28" s="64">
        <v>1.55</v>
      </c>
      <c r="J28" s="64">
        <v>0.09</v>
      </c>
      <c r="K28" s="64">
        <v>312.27999999999997</v>
      </c>
      <c r="L28" s="64">
        <v>16.43</v>
      </c>
      <c r="M28" s="64">
        <v>94.83</v>
      </c>
      <c r="N28" s="64">
        <v>18.100000000000001</v>
      </c>
      <c r="O28" s="64">
        <v>0</v>
      </c>
      <c r="P28" s="64">
        <v>1.37</v>
      </c>
      <c r="Q28" s="64">
        <v>8</v>
      </c>
      <c r="R28" s="198"/>
      <c r="S28" s="198"/>
      <c r="T28" s="198"/>
      <c r="U28" s="198"/>
    </row>
    <row r="29" spans="1:21" s="12" customFormat="1" x14ac:dyDescent="0.25">
      <c r="A29" s="214" t="s">
        <v>3050</v>
      </c>
      <c r="B29" s="64">
        <v>42.64</v>
      </c>
      <c r="C29" s="64">
        <v>27.18</v>
      </c>
      <c r="D29" s="64">
        <v>50.48</v>
      </c>
      <c r="E29" s="64">
        <v>1.23</v>
      </c>
      <c r="F29" s="64">
        <v>0.4</v>
      </c>
      <c r="G29" s="64">
        <v>159.33000000000001</v>
      </c>
      <c r="H29" s="64">
        <v>89.39</v>
      </c>
      <c r="I29" s="64">
        <v>1.47</v>
      </c>
      <c r="J29" s="64">
        <v>0.12</v>
      </c>
      <c r="K29" s="64">
        <v>315.99</v>
      </c>
      <c r="L29" s="64">
        <v>16.440000000000001</v>
      </c>
      <c r="M29" s="64">
        <v>93.87</v>
      </c>
      <c r="N29" s="64">
        <v>18.3</v>
      </c>
      <c r="O29" s="64">
        <v>0</v>
      </c>
      <c r="P29" s="64">
        <v>1.38</v>
      </c>
      <c r="Q29" s="64">
        <v>7.98</v>
      </c>
      <c r="R29" s="198"/>
      <c r="S29" s="198"/>
      <c r="T29" s="198"/>
      <c r="U29" s="198"/>
    </row>
    <row r="30" spans="1:21" s="12" customFormat="1" x14ac:dyDescent="0.25">
      <c r="A30" s="214" t="s">
        <v>3051</v>
      </c>
      <c r="B30" s="64">
        <v>43.19</v>
      </c>
      <c r="C30" s="64">
        <v>27.27</v>
      </c>
      <c r="D30" s="64">
        <v>50.97</v>
      </c>
      <c r="E30" s="64">
        <v>1.1200000000000001</v>
      </c>
      <c r="F30" s="64">
        <v>0.1</v>
      </c>
      <c r="G30" s="64">
        <v>159.33000000000001</v>
      </c>
      <c r="H30" s="64">
        <v>89.39</v>
      </c>
      <c r="I30" s="64">
        <v>1.5</v>
      </c>
      <c r="J30" s="64">
        <v>0.01</v>
      </c>
      <c r="K30" s="64">
        <v>273.99</v>
      </c>
      <c r="L30" s="64">
        <v>16.399999999999999</v>
      </c>
      <c r="M30" s="64">
        <v>92.13</v>
      </c>
      <c r="N30" s="64">
        <v>18.399999999999999</v>
      </c>
      <c r="O30" s="64">
        <v>0</v>
      </c>
      <c r="P30" s="64">
        <v>1.4</v>
      </c>
      <c r="Q30" s="64">
        <v>7.93</v>
      </c>
      <c r="R30" s="198"/>
      <c r="S30" s="198"/>
      <c r="T30" s="198"/>
      <c r="U30" s="198"/>
    </row>
    <row r="31" spans="1:21" s="12" customFormat="1" x14ac:dyDescent="0.25">
      <c r="A31" s="214" t="s">
        <v>3052</v>
      </c>
      <c r="B31" s="64">
        <v>46.96</v>
      </c>
      <c r="C31" s="64">
        <v>30.97</v>
      </c>
      <c r="D31" s="64">
        <v>56.04</v>
      </c>
      <c r="E31" s="64">
        <v>1.37</v>
      </c>
      <c r="F31" s="64">
        <v>0.36</v>
      </c>
      <c r="G31" s="64">
        <v>190.31</v>
      </c>
      <c r="H31" s="64">
        <v>100.03</v>
      </c>
      <c r="I31" s="64">
        <v>1.5</v>
      </c>
      <c r="J31" s="64">
        <v>7.0000000000000007E-2</v>
      </c>
      <c r="K31" s="64">
        <v>69.31</v>
      </c>
      <c r="L31" s="64">
        <v>16.43</v>
      </c>
      <c r="M31" s="64">
        <v>88.34</v>
      </c>
      <c r="N31" s="64">
        <v>18.5</v>
      </c>
      <c r="O31" s="64">
        <v>0</v>
      </c>
      <c r="P31" s="64">
        <v>1.42</v>
      </c>
      <c r="Q31" s="64">
        <v>7.94</v>
      </c>
      <c r="R31" s="198"/>
      <c r="S31" s="198"/>
      <c r="T31" s="198"/>
      <c r="U31" s="198"/>
    </row>
    <row r="32" spans="1:21" s="12" customFormat="1" x14ac:dyDescent="0.25">
      <c r="A32" s="214" t="s">
        <v>3053</v>
      </c>
      <c r="B32" s="64">
        <v>45</v>
      </c>
      <c r="C32" s="64">
        <v>30.36</v>
      </c>
      <c r="D32" s="64">
        <v>54.13</v>
      </c>
      <c r="E32" s="64">
        <v>1.23</v>
      </c>
      <c r="F32" s="64">
        <v>0.24</v>
      </c>
      <c r="G32" s="64">
        <v>219.95</v>
      </c>
      <c r="H32" s="64">
        <v>109.33</v>
      </c>
      <c r="I32" s="64">
        <v>1.51</v>
      </c>
      <c r="J32" s="64">
        <v>0.08</v>
      </c>
      <c r="K32" s="64">
        <v>31.92</v>
      </c>
      <c r="L32" s="64">
        <v>16.78</v>
      </c>
      <c r="M32" s="64">
        <v>85.01</v>
      </c>
      <c r="N32" s="64">
        <v>20.5</v>
      </c>
      <c r="O32" s="64">
        <v>0</v>
      </c>
      <c r="P32" s="64">
        <v>1.43</v>
      </c>
      <c r="Q32" s="64">
        <v>6.61</v>
      </c>
      <c r="R32" s="198"/>
      <c r="S32" s="198"/>
      <c r="T32" s="198"/>
      <c r="U32" s="198"/>
    </row>
    <row r="33" spans="1:21" s="12" customFormat="1" x14ac:dyDescent="0.25">
      <c r="A33" s="214" t="s">
        <v>3054</v>
      </c>
      <c r="B33" s="64">
        <v>45.08</v>
      </c>
      <c r="C33" s="64">
        <v>31.25</v>
      </c>
      <c r="D33" s="64">
        <v>54.69</v>
      </c>
      <c r="E33" s="64">
        <v>1.23</v>
      </c>
      <c r="F33" s="64">
        <v>0.12</v>
      </c>
      <c r="G33" s="64">
        <v>219.95</v>
      </c>
      <c r="H33" s="64">
        <v>109.33</v>
      </c>
      <c r="I33" s="64">
        <v>1.51</v>
      </c>
      <c r="J33" s="64">
        <v>0.09</v>
      </c>
      <c r="K33" s="64">
        <v>53.02</v>
      </c>
      <c r="L33" s="64">
        <v>16.88</v>
      </c>
      <c r="M33" s="64">
        <v>85.33</v>
      </c>
      <c r="N33" s="64">
        <v>28.7</v>
      </c>
      <c r="O33" s="64">
        <v>0</v>
      </c>
      <c r="P33" s="64">
        <v>1.46</v>
      </c>
      <c r="Q33" s="64">
        <v>8.16</v>
      </c>
      <c r="R33" s="198"/>
      <c r="S33" s="198"/>
      <c r="T33" s="198"/>
      <c r="U33" s="198"/>
    </row>
    <row r="34" spans="1:21" s="12" customFormat="1" x14ac:dyDescent="0.25">
      <c r="A34" s="214" t="s">
        <v>3055</v>
      </c>
      <c r="B34" s="64">
        <v>44.43</v>
      </c>
      <c r="C34" s="64">
        <v>28.91</v>
      </c>
      <c r="D34" s="64">
        <v>52.87</v>
      </c>
      <c r="E34" s="64">
        <v>0.95</v>
      </c>
      <c r="F34" s="64">
        <v>0.31</v>
      </c>
      <c r="G34" s="64">
        <v>219.95</v>
      </c>
      <c r="H34" s="64">
        <v>109.33</v>
      </c>
      <c r="I34" s="64">
        <v>1.49</v>
      </c>
      <c r="J34" s="64">
        <v>0.08</v>
      </c>
      <c r="K34" s="64">
        <v>88.01</v>
      </c>
      <c r="L34" s="64">
        <v>17.12</v>
      </c>
      <c r="M34" s="64">
        <v>83.42</v>
      </c>
      <c r="N34" s="64">
        <v>43.7</v>
      </c>
      <c r="O34" s="64">
        <v>0</v>
      </c>
      <c r="P34" s="64">
        <v>1.49</v>
      </c>
      <c r="Q34" s="64">
        <v>8.3800000000000008</v>
      </c>
      <c r="R34" s="198"/>
      <c r="S34" s="198"/>
      <c r="T34" s="198"/>
      <c r="U34" s="198"/>
    </row>
    <row r="35" spans="1:21" s="12" customFormat="1" x14ac:dyDescent="0.25">
      <c r="A35" s="214" t="s">
        <v>3056</v>
      </c>
      <c r="B35" s="64">
        <v>43.52</v>
      </c>
      <c r="C35" s="64">
        <v>29.6</v>
      </c>
      <c r="D35" s="64">
        <v>52.52</v>
      </c>
      <c r="E35" s="64">
        <v>0.87</v>
      </c>
      <c r="F35" s="64">
        <v>7.0000000000000007E-2</v>
      </c>
      <c r="G35" s="64">
        <v>219.95</v>
      </c>
      <c r="H35" s="64">
        <v>124.81</v>
      </c>
      <c r="I35" s="64">
        <v>1.47</v>
      </c>
      <c r="J35" s="64">
        <v>0.05</v>
      </c>
      <c r="K35" s="64">
        <v>40.130000000000003</v>
      </c>
      <c r="L35" s="64">
        <v>17.64</v>
      </c>
      <c r="M35" s="64">
        <v>83.2</v>
      </c>
      <c r="N35" s="64">
        <v>11.5</v>
      </c>
      <c r="O35" s="64">
        <v>0</v>
      </c>
      <c r="P35" s="64">
        <v>1.52</v>
      </c>
      <c r="Q35" s="64">
        <v>8.36</v>
      </c>
      <c r="R35" s="198"/>
      <c r="S35" s="198"/>
      <c r="T35" s="198"/>
      <c r="U35" s="198"/>
    </row>
    <row r="36" spans="1:21" s="12" customFormat="1" x14ac:dyDescent="0.25">
      <c r="A36" s="214" t="s">
        <v>3057</v>
      </c>
      <c r="B36" s="64">
        <v>44.84</v>
      </c>
      <c r="C36" s="64">
        <v>30.43</v>
      </c>
      <c r="D36" s="64">
        <v>54.05</v>
      </c>
      <c r="E36" s="64">
        <v>0.95</v>
      </c>
      <c r="F36" s="64">
        <v>0.04</v>
      </c>
      <c r="G36" s="64">
        <v>277.12</v>
      </c>
      <c r="H36" s="64">
        <v>131.88</v>
      </c>
      <c r="I36" s="64">
        <v>1.49</v>
      </c>
      <c r="J36" s="64">
        <v>0.08</v>
      </c>
      <c r="K36" s="64">
        <v>316.43</v>
      </c>
      <c r="L36" s="64">
        <v>18.440000000000001</v>
      </c>
      <c r="M36" s="64">
        <v>79.53</v>
      </c>
      <c r="N36" s="209" t="s">
        <v>36</v>
      </c>
      <c r="O36" s="64">
        <v>0</v>
      </c>
      <c r="P36" s="64">
        <v>1.57</v>
      </c>
      <c r="Q36" s="64">
        <v>8.36</v>
      </c>
      <c r="R36" s="198"/>
      <c r="S36" s="198"/>
      <c r="T36" s="198"/>
      <c r="U36" s="198"/>
    </row>
    <row r="37" spans="1:21" s="12" customFormat="1" x14ac:dyDescent="0.25">
      <c r="A37" s="214" t="s">
        <v>3058</v>
      </c>
      <c r="B37" s="64">
        <v>45.93</v>
      </c>
      <c r="C37" s="64">
        <v>30.06</v>
      </c>
      <c r="D37" s="64">
        <v>54.72</v>
      </c>
      <c r="E37" s="64">
        <v>1.02</v>
      </c>
      <c r="F37" s="64">
        <v>0.35</v>
      </c>
      <c r="G37" s="64">
        <v>277.12</v>
      </c>
      <c r="H37" s="64">
        <v>131.88</v>
      </c>
      <c r="I37" s="64">
        <v>1.5</v>
      </c>
      <c r="J37" s="64">
        <v>7.0000000000000007E-2</v>
      </c>
      <c r="K37" s="64">
        <v>349.5</v>
      </c>
      <c r="L37" s="64">
        <v>20.239999999999998</v>
      </c>
      <c r="M37" s="64">
        <v>68.08</v>
      </c>
      <c r="N37" s="209" t="s">
        <v>36</v>
      </c>
      <c r="O37" s="64">
        <v>0</v>
      </c>
      <c r="P37" s="64">
        <v>1.56</v>
      </c>
      <c r="Q37" s="64">
        <v>8.4600000000000009</v>
      </c>
      <c r="R37" s="198"/>
      <c r="S37" s="198"/>
      <c r="T37" s="198"/>
      <c r="U37" s="198"/>
    </row>
    <row r="38" spans="1:21" s="12" customFormat="1" x14ac:dyDescent="0.25">
      <c r="A38" s="214" t="s">
        <v>3059</v>
      </c>
      <c r="B38" s="64">
        <v>45.59</v>
      </c>
      <c r="C38" s="64">
        <v>30.4</v>
      </c>
      <c r="D38" s="64">
        <v>54.63</v>
      </c>
      <c r="E38" s="64">
        <v>0.87</v>
      </c>
      <c r="F38" s="64">
        <v>0.26</v>
      </c>
      <c r="G38" s="64">
        <v>277.12</v>
      </c>
      <c r="H38" s="64">
        <v>131.88</v>
      </c>
      <c r="I38" s="64">
        <v>1.51</v>
      </c>
      <c r="J38" s="64">
        <v>0.4</v>
      </c>
      <c r="K38" s="64">
        <v>117.68</v>
      </c>
      <c r="L38" s="64">
        <v>21.35</v>
      </c>
      <c r="M38" s="64">
        <v>62.69</v>
      </c>
      <c r="N38" s="209" t="s">
        <v>36</v>
      </c>
      <c r="O38" s="64">
        <v>0</v>
      </c>
      <c r="P38" s="64">
        <v>1.6</v>
      </c>
      <c r="Q38" s="64">
        <v>8.4600000000000009</v>
      </c>
      <c r="R38" s="198"/>
      <c r="S38" s="198"/>
      <c r="T38" s="198"/>
      <c r="U38" s="198"/>
    </row>
    <row r="39" spans="1:21" s="12" customFormat="1" x14ac:dyDescent="0.25">
      <c r="A39" s="214" t="s">
        <v>3060</v>
      </c>
      <c r="B39" s="64">
        <v>44.34</v>
      </c>
      <c r="C39" s="64">
        <v>31.26</v>
      </c>
      <c r="D39" s="64">
        <v>54.1</v>
      </c>
      <c r="E39" s="64">
        <v>0.7</v>
      </c>
      <c r="F39" s="64">
        <v>0.13</v>
      </c>
      <c r="G39" s="64">
        <v>273.3</v>
      </c>
      <c r="H39" s="64">
        <v>131.01</v>
      </c>
      <c r="I39" s="64">
        <v>1.49</v>
      </c>
      <c r="J39" s="64">
        <v>0.28999999999999998</v>
      </c>
      <c r="K39" s="64">
        <v>339.52</v>
      </c>
      <c r="L39" s="64">
        <v>23.28</v>
      </c>
      <c r="M39" s="64">
        <v>57.64</v>
      </c>
      <c r="N39" s="209" t="s">
        <v>36</v>
      </c>
      <c r="O39" s="64">
        <v>0</v>
      </c>
      <c r="P39" s="64">
        <v>1.61</v>
      </c>
      <c r="Q39" s="64">
        <v>8.44</v>
      </c>
      <c r="R39" s="198"/>
      <c r="S39" s="198"/>
      <c r="T39" s="198"/>
      <c r="U39" s="198"/>
    </row>
    <row r="40" spans="1:21" s="12" customFormat="1" x14ac:dyDescent="0.25">
      <c r="A40" s="214" t="s">
        <v>3061</v>
      </c>
      <c r="B40" s="64">
        <v>43.55</v>
      </c>
      <c r="C40" s="64">
        <v>32.14</v>
      </c>
      <c r="D40" s="64">
        <v>53.95</v>
      </c>
      <c r="E40" s="64">
        <v>0.89</v>
      </c>
      <c r="F40" s="64">
        <v>0.12</v>
      </c>
      <c r="G40" s="64">
        <v>269.64999999999998</v>
      </c>
      <c r="H40" s="64">
        <v>130.62</v>
      </c>
      <c r="I40" s="64">
        <v>1.51</v>
      </c>
      <c r="J40" s="64">
        <v>0.28999999999999998</v>
      </c>
      <c r="K40" s="64">
        <v>341.62</v>
      </c>
      <c r="L40" s="64">
        <v>25.74</v>
      </c>
      <c r="M40" s="64">
        <v>48.23</v>
      </c>
      <c r="N40" s="209" t="s">
        <v>36</v>
      </c>
      <c r="O40" s="64">
        <v>0</v>
      </c>
      <c r="P40" s="64">
        <v>1.63</v>
      </c>
      <c r="Q40" s="64">
        <v>8.4499999999999993</v>
      </c>
      <c r="R40" s="198"/>
      <c r="S40" s="198"/>
      <c r="T40" s="198"/>
      <c r="U40" s="198"/>
    </row>
    <row r="41" spans="1:21" s="12" customFormat="1" x14ac:dyDescent="0.25">
      <c r="A41" s="214" t="s">
        <v>3062</v>
      </c>
      <c r="B41" s="64">
        <v>41.55</v>
      </c>
      <c r="C41" s="64">
        <v>35.43</v>
      </c>
      <c r="D41" s="64">
        <v>54.17</v>
      </c>
      <c r="E41" s="64">
        <v>1.43</v>
      </c>
      <c r="F41" s="64">
        <v>0.66</v>
      </c>
      <c r="G41" s="64">
        <v>269.64999999999998</v>
      </c>
      <c r="H41" s="64">
        <v>130.62</v>
      </c>
      <c r="I41" s="64">
        <v>1.49</v>
      </c>
      <c r="J41" s="64">
        <v>0.23</v>
      </c>
      <c r="K41" s="64">
        <v>109.45</v>
      </c>
      <c r="L41" s="64">
        <v>25.78</v>
      </c>
      <c r="M41" s="64">
        <v>47.94</v>
      </c>
      <c r="N41" s="209" t="s">
        <v>36</v>
      </c>
      <c r="O41" s="64">
        <v>0</v>
      </c>
      <c r="P41" s="64">
        <v>1.65</v>
      </c>
      <c r="Q41" s="64">
        <v>8.4</v>
      </c>
      <c r="R41" s="198"/>
      <c r="S41" s="198"/>
      <c r="T41" s="198"/>
      <c r="U41" s="198"/>
    </row>
    <row r="42" spans="1:21" s="12" customFormat="1" x14ac:dyDescent="0.25">
      <c r="A42" s="214" t="s">
        <v>3063</v>
      </c>
      <c r="B42" s="64">
        <v>37.78</v>
      </c>
      <c r="C42" s="64">
        <v>38.520000000000003</v>
      </c>
      <c r="D42" s="64">
        <v>52.85</v>
      </c>
      <c r="E42" s="64">
        <v>1.77</v>
      </c>
      <c r="F42" s="64">
        <v>2.02</v>
      </c>
      <c r="G42" s="64">
        <v>269.64999999999998</v>
      </c>
      <c r="H42" s="64">
        <v>130.62</v>
      </c>
      <c r="I42" s="64">
        <v>1.52</v>
      </c>
      <c r="J42" s="64">
        <v>0.59</v>
      </c>
      <c r="K42" s="64">
        <v>129.56</v>
      </c>
      <c r="L42" s="64">
        <v>24.6</v>
      </c>
      <c r="M42" s="64">
        <v>50.32</v>
      </c>
      <c r="N42" s="209" t="s">
        <v>36</v>
      </c>
      <c r="O42" s="64">
        <v>0</v>
      </c>
      <c r="P42" s="64">
        <v>1.64</v>
      </c>
      <c r="Q42" s="64">
        <v>8.35</v>
      </c>
      <c r="R42" s="198"/>
      <c r="S42" s="198"/>
      <c r="T42" s="198"/>
      <c r="U42" s="198"/>
    </row>
    <row r="43" spans="1:21" s="12" customFormat="1" x14ac:dyDescent="0.25">
      <c r="A43" s="214" t="s">
        <v>3064</v>
      </c>
      <c r="B43" s="64">
        <v>35.869999999999997</v>
      </c>
      <c r="C43" s="64">
        <v>41.59</v>
      </c>
      <c r="D43" s="64">
        <v>53.01</v>
      </c>
      <c r="E43" s="64">
        <v>1.93</v>
      </c>
      <c r="F43" s="64">
        <v>1.77</v>
      </c>
      <c r="G43" s="64">
        <v>281.76</v>
      </c>
      <c r="H43" s="64">
        <v>129.02000000000001</v>
      </c>
      <c r="I43" s="64">
        <v>1.45</v>
      </c>
      <c r="J43" s="64">
        <v>0.24</v>
      </c>
      <c r="K43" s="64">
        <v>341.44</v>
      </c>
      <c r="L43" s="64">
        <v>25.45</v>
      </c>
      <c r="M43" s="64">
        <v>51.42</v>
      </c>
      <c r="N43" s="209" t="s">
        <v>36</v>
      </c>
      <c r="O43" s="64">
        <v>0</v>
      </c>
      <c r="P43" s="64">
        <v>1.62</v>
      </c>
      <c r="Q43" s="64">
        <v>8.1999999999999993</v>
      </c>
      <c r="R43" s="198"/>
      <c r="S43" s="198"/>
      <c r="T43" s="198"/>
      <c r="U43" s="198"/>
    </row>
    <row r="44" spans="1:21" s="12" customFormat="1" x14ac:dyDescent="0.25">
      <c r="A44" s="214" t="s">
        <v>3065</v>
      </c>
      <c r="B44" s="64">
        <v>35.549999999999997</v>
      </c>
      <c r="C44" s="64">
        <v>39.53</v>
      </c>
      <c r="D44" s="64">
        <v>51.62</v>
      </c>
      <c r="E44" s="64">
        <v>2.14</v>
      </c>
      <c r="F44" s="64">
        <v>1.93</v>
      </c>
      <c r="G44" s="64">
        <v>292.85000000000002</v>
      </c>
      <c r="H44" s="64">
        <v>128.29</v>
      </c>
      <c r="I44" s="64">
        <v>1.45</v>
      </c>
      <c r="J44" s="64">
        <v>0.11</v>
      </c>
      <c r="K44" s="64">
        <v>79.59</v>
      </c>
      <c r="L44" s="64">
        <v>25.65</v>
      </c>
      <c r="M44" s="64">
        <v>51.36</v>
      </c>
      <c r="N44" s="209" t="s">
        <v>36</v>
      </c>
      <c r="O44" s="64">
        <v>0</v>
      </c>
      <c r="P44" s="64">
        <v>1.62</v>
      </c>
      <c r="Q44" s="64">
        <v>8.0299999999999994</v>
      </c>
      <c r="R44" s="198"/>
      <c r="S44" s="198"/>
      <c r="T44" s="198"/>
      <c r="U44" s="198"/>
    </row>
    <row r="45" spans="1:21" s="12" customFormat="1" x14ac:dyDescent="0.25">
      <c r="A45" s="214" t="s">
        <v>3066</v>
      </c>
      <c r="B45" s="64">
        <v>35.36</v>
      </c>
      <c r="C45" s="64">
        <v>35.520000000000003</v>
      </c>
      <c r="D45" s="64">
        <v>49.25</v>
      </c>
      <c r="E45" s="64">
        <v>2.46</v>
      </c>
      <c r="F45" s="64">
        <v>2.0499999999999998</v>
      </c>
      <c r="G45" s="64">
        <v>292.85000000000002</v>
      </c>
      <c r="H45" s="64">
        <v>128.29</v>
      </c>
      <c r="I45" s="64">
        <v>1.46</v>
      </c>
      <c r="J45" s="64">
        <v>0.42</v>
      </c>
      <c r="K45" s="64">
        <v>135.74</v>
      </c>
      <c r="L45" s="64">
        <v>25.88</v>
      </c>
      <c r="M45" s="64">
        <v>50.31</v>
      </c>
      <c r="N45" s="209" t="s">
        <v>36</v>
      </c>
      <c r="O45" s="64">
        <v>0</v>
      </c>
      <c r="P45" s="64">
        <v>1.61</v>
      </c>
      <c r="Q45" s="64">
        <v>8.02</v>
      </c>
      <c r="R45" s="198"/>
      <c r="S45" s="198"/>
      <c r="T45" s="198"/>
      <c r="U45" s="198"/>
    </row>
    <row r="46" spans="1:21" s="12" customFormat="1" x14ac:dyDescent="0.25">
      <c r="A46" s="214" t="s">
        <v>3067</v>
      </c>
      <c r="B46" s="64">
        <v>33.31</v>
      </c>
      <c r="C46" s="64">
        <v>31.34</v>
      </c>
      <c r="D46" s="64">
        <v>45.3</v>
      </c>
      <c r="E46" s="64">
        <v>2.16</v>
      </c>
      <c r="F46" s="64">
        <v>1.54</v>
      </c>
      <c r="G46" s="64">
        <v>292.85000000000002</v>
      </c>
      <c r="H46" s="64">
        <v>128.29</v>
      </c>
      <c r="I46" s="64">
        <v>1.48</v>
      </c>
      <c r="J46" s="64">
        <v>0.17</v>
      </c>
      <c r="K46" s="64">
        <v>135.31</v>
      </c>
      <c r="L46" s="64">
        <v>26.06</v>
      </c>
      <c r="M46" s="64">
        <v>48.82</v>
      </c>
      <c r="N46" s="209" t="s">
        <v>36</v>
      </c>
      <c r="O46" s="64">
        <v>0</v>
      </c>
      <c r="P46" s="64">
        <v>1.59</v>
      </c>
      <c r="Q46" s="64">
        <v>7.9</v>
      </c>
      <c r="R46" s="198"/>
      <c r="S46" s="198"/>
      <c r="T46" s="198"/>
      <c r="U46" s="198"/>
    </row>
    <row r="47" spans="1:21" s="12" customFormat="1" x14ac:dyDescent="0.25">
      <c r="A47" s="214" t="s">
        <v>3068</v>
      </c>
      <c r="B47" s="64">
        <v>30.3</v>
      </c>
      <c r="C47" s="64">
        <v>34.659999999999997</v>
      </c>
      <c r="D47" s="64">
        <v>44.72</v>
      </c>
      <c r="E47" s="64">
        <v>1.92</v>
      </c>
      <c r="F47" s="64">
        <v>0.68</v>
      </c>
      <c r="G47" s="64">
        <v>159.44</v>
      </c>
      <c r="H47" s="64">
        <v>116.49</v>
      </c>
      <c r="I47" s="64">
        <v>1.48</v>
      </c>
      <c r="J47" s="64">
        <v>0.27</v>
      </c>
      <c r="K47" s="64">
        <v>97.63</v>
      </c>
      <c r="L47" s="64">
        <v>26.48</v>
      </c>
      <c r="M47" s="64">
        <v>46.33</v>
      </c>
      <c r="N47" s="209" t="s">
        <v>36</v>
      </c>
      <c r="O47" s="64">
        <v>0</v>
      </c>
      <c r="P47" s="64">
        <v>1.56</v>
      </c>
      <c r="Q47" s="64">
        <v>7.52</v>
      </c>
      <c r="R47" s="198"/>
      <c r="S47" s="198"/>
      <c r="T47" s="198"/>
      <c r="U47" s="198"/>
    </row>
    <row r="48" spans="1:21" s="12" customFormat="1" x14ac:dyDescent="0.25">
      <c r="A48" s="214" t="s">
        <v>3069</v>
      </c>
      <c r="B48" s="64">
        <v>25.11</v>
      </c>
      <c r="C48" s="64">
        <v>36.17</v>
      </c>
      <c r="D48" s="64">
        <v>41.39</v>
      </c>
      <c r="E48" s="64">
        <v>1.95</v>
      </c>
      <c r="F48" s="64">
        <v>1.07</v>
      </c>
      <c r="G48" s="64">
        <v>159.44</v>
      </c>
      <c r="H48" s="64">
        <v>111.11</v>
      </c>
      <c r="I48" s="64">
        <v>1.41</v>
      </c>
      <c r="J48" s="64">
        <v>0.35</v>
      </c>
      <c r="K48" s="64">
        <v>131.82</v>
      </c>
      <c r="L48" s="64">
        <v>26.47</v>
      </c>
      <c r="M48" s="64">
        <v>43.54</v>
      </c>
      <c r="N48" s="209" t="s">
        <v>36</v>
      </c>
      <c r="O48" s="64">
        <v>0</v>
      </c>
      <c r="P48" s="64">
        <v>1.51</v>
      </c>
      <c r="Q48" s="64">
        <v>7.26</v>
      </c>
      <c r="R48" s="198"/>
      <c r="S48" s="198"/>
      <c r="T48" s="198"/>
      <c r="U48" s="198"/>
    </row>
    <row r="49" spans="1:21" s="12" customFormat="1" x14ac:dyDescent="0.25">
      <c r="A49" s="214" t="s">
        <v>3070</v>
      </c>
      <c r="B49" s="64">
        <v>22.52</v>
      </c>
      <c r="C49" s="64">
        <v>35.31</v>
      </c>
      <c r="D49" s="64">
        <v>38.840000000000003</v>
      </c>
      <c r="E49" s="64">
        <v>1.91</v>
      </c>
      <c r="F49" s="64">
        <v>0.95</v>
      </c>
      <c r="G49" s="64">
        <v>159.44</v>
      </c>
      <c r="H49" s="64">
        <v>111.11</v>
      </c>
      <c r="I49" s="64">
        <v>1.52</v>
      </c>
      <c r="J49" s="64">
        <v>0.46</v>
      </c>
      <c r="K49" s="64">
        <v>101.43</v>
      </c>
      <c r="L49" s="64">
        <v>26.39</v>
      </c>
      <c r="M49" s="64">
        <v>44.73</v>
      </c>
      <c r="N49" s="209" t="s">
        <v>36</v>
      </c>
      <c r="O49" s="64">
        <v>0</v>
      </c>
      <c r="P49" s="64">
        <v>1.47</v>
      </c>
      <c r="Q49" s="64">
        <v>7.01</v>
      </c>
      <c r="R49" s="198"/>
      <c r="S49" s="198"/>
      <c r="T49" s="198"/>
      <c r="U49" s="198"/>
    </row>
    <row r="50" spans="1:21" s="12" customFormat="1" x14ac:dyDescent="0.25">
      <c r="A50" s="214" t="s">
        <v>3071</v>
      </c>
      <c r="B50" s="64">
        <v>19.95</v>
      </c>
      <c r="C50" s="64">
        <v>34.08</v>
      </c>
      <c r="D50" s="64">
        <v>36.1</v>
      </c>
      <c r="E50" s="64">
        <v>1.87</v>
      </c>
      <c r="F50" s="64">
        <v>0.88</v>
      </c>
      <c r="G50" s="64">
        <v>159.44</v>
      </c>
      <c r="H50" s="64">
        <v>111.11</v>
      </c>
      <c r="I50" s="64">
        <v>1.49</v>
      </c>
      <c r="J50" s="64">
        <v>0.94</v>
      </c>
      <c r="K50" s="64">
        <v>117.31</v>
      </c>
      <c r="L50" s="64">
        <v>25.86</v>
      </c>
      <c r="M50" s="64">
        <v>41.95</v>
      </c>
      <c r="N50" s="209" t="s">
        <v>36</v>
      </c>
      <c r="O50" s="64">
        <v>0</v>
      </c>
      <c r="P50" s="64">
        <v>1.4</v>
      </c>
      <c r="Q50" s="64">
        <v>6.7</v>
      </c>
      <c r="R50" s="198"/>
      <c r="S50" s="198"/>
      <c r="T50" s="198"/>
      <c r="U50" s="198"/>
    </row>
    <row r="51" spans="1:21" s="12" customFormat="1" x14ac:dyDescent="0.25">
      <c r="A51" s="214" t="s">
        <v>3072</v>
      </c>
      <c r="B51" s="64">
        <v>16.510000000000002</v>
      </c>
      <c r="C51" s="64">
        <v>34.659999999999997</v>
      </c>
      <c r="D51" s="64">
        <v>33.659999999999997</v>
      </c>
      <c r="E51" s="64">
        <v>1.85</v>
      </c>
      <c r="F51" s="64">
        <v>1.18</v>
      </c>
      <c r="G51" s="64">
        <v>118.38</v>
      </c>
      <c r="H51" s="64">
        <v>94.36</v>
      </c>
      <c r="I51" s="64">
        <v>1.56</v>
      </c>
      <c r="J51" s="64">
        <v>0.9</v>
      </c>
      <c r="K51" s="64">
        <v>109.12</v>
      </c>
      <c r="L51" s="64">
        <v>26.63</v>
      </c>
      <c r="M51" s="64">
        <v>39.72</v>
      </c>
      <c r="N51" s="209" t="s">
        <v>36</v>
      </c>
      <c r="O51" s="64">
        <v>0</v>
      </c>
      <c r="P51" s="64">
        <v>1.34</v>
      </c>
      <c r="Q51" s="64">
        <v>6.41</v>
      </c>
      <c r="R51" s="198"/>
      <c r="S51" s="198"/>
      <c r="T51" s="198"/>
      <c r="U51" s="198"/>
    </row>
    <row r="52" spans="1:21" s="12" customFormat="1" x14ac:dyDescent="0.25">
      <c r="A52" s="214" t="s">
        <v>3073</v>
      </c>
      <c r="B52" s="64">
        <v>13.37</v>
      </c>
      <c r="C52" s="64">
        <v>34.89</v>
      </c>
      <c r="D52" s="64">
        <v>31.27</v>
      </c>
      <c r="E52" s="64">
        <v>2.0299999999999998</v>
      </c>
      <c r="F52" s="64">
        <v>3.36</v>
      </c>
      <c r="G52" s="64">
        <v>79.11</v>
      </c>
      <c r="H52" s="64">
        <v>86.72</v>
      </c>
      <c r="I52" s="64">
        <v>1.5</v>
      </c>
      <c r="J52" s="64">
        <v>1.03</v>
      </c>
      <c r="K52" s="64">
        <v>105.91</v>
      </c>
      <c r="L52" s="64">
        <v>26.26</v>
      </c>
      <c r="M52" s="64">
        <v>39.97</v>
      </c>
      <c r="N52" s="209" t="s">
        <v>36</v>
      </c>
      <c r="O52" s="64">
        <v>0</v>
      </c>
      <c r="P52" s="64">
        <v>1.25</v>
      </c>
      <c r="Q52" s="64">
        <v>6.21</v>
      </c>
      <c r="R52" s="198"/>
      <c r="S52" s="198"/>
      <c r="T52" s="198"/>
      <c r="U52" s="198"/>
    </row>
    <row r="53" spans="1:21" s="12" customFormat="1" x14ac:dyDescent="0.25">
      <c r="A53" s="214" t="s">
        <v>3074</v>
      </c>
      <c r="B53" s="64">
        <v>10.81</v>
      </c>
      <c r="C53" s="64">
        <v>33.74</v>
      </c>
      <c r="D53" s="64">
        <v>28.58</v>
      </c>
      <c r="E53" s="64">
        <v>2.5</v>
      </c>
      <c r="F53" s="64">
        <v>3.68</v>
      </c>
      <c r="G53" s="64">
        <v>79.11</v>
      </c>
      <c r="H53" s="64">
        <v>86.72</v>
      </c>
      <c r="I53" s="64">
        <v>1.51</v>
      </c>
      <c r="J53" s="64">
        <v>0.81</v>
      </c>
      <c r="K53" s="64">
        <v>130.72</v>
      </c>
      <c r="L53" s="64">
        <v>26.85</v>
      </c>
      <c r="M53" s="64">
        <v>38.64</v>
      </c>
      <c r="N53" s="209" t="s">
        <v>36</v>
      </c>
      <c r="O53" s="64">
        <v>0</v>
      </c>
      <c r="P53" s="64">
        <v>1.2</v>
      </c>
      <c r="Q53" s="64">
        <v>5.99</v>
      </c>
      <c r="R53" s="198"/>
      <c r="S53" s="198"/>
      <c r="T53" s="198"/>
      <c r="U53" s="198"/>
    </row>
    <row r="54" spans="1:21" s="12" customFormat="1" x14ac:dyDescent="0.25">
      <c r="A54" s="214" t="s">
        <v>3075</v>
      </c>
      <c r="B54" s="64">
        <v>8.64</v>
      </c>
      <c r="C54" s="64">
        <v>33.119999999999997</v>
      </c>
      <c r="D54" s="64">
        <v>26.5</v>
      </c>
      <c r="E54" s="64">
        <v>2.35</v>
      </c>
      <c r="F54" s="64">
        <v>2.66</v>
      </c>
      <c r="G54" s="64">
        <v>79.11</v>
      </c>
      <c r="H54" s="64">
        <v>86.72</v>
      </c>
      <c r="I54" s="64">
        <v>1.5</v>
      </c>
      <c r="J54" s="64">
        <v>0.74</v>
      </c>
      <c r="K54" s="64">
        <v>102.57</v>
      </c>
      <c r="L54" s="64">
        <v>27.52</v>
      </c>
      <c r="M54" s="64">
        <v>38.299999999999997</v>
      </c>
      <c r="N54" s="209" t="s">
        <v>36</v>
      </c>
      <c r="O54" s="64">
        <v>0</v>
      </c>
      <c r="P54" s="64">
        <v>1.1599999999999999</v>
      </c>
      <c r="Q54" s="64">
        <v>5.82</v>
      </c>
      <c r="R54" s="198"/>
      <c r="S54" s="198"/>
      <c r="T54" s="198"/>
      <c r="U54" s="198"/>
    </row>
    <row r="55" spans="1:21" s="12" customFormat="1" x14ac:dyDescent="0.25">
      <c r="A55" s="214" t="s">
        <v>3076</v>
      </c>
      <c r="B55" s="64">
        <v>7.14</v>
      </c>
      <c r="C55" s="64">
        <v>32.090000000000003</v>
      </c>
      <c r="D55" s="64">
        <v>24.72</v>
      </c>
      <c r="E55" s="64">
        <v>2.25</v>
      </c>
      <c r="F55" s="64">
        <v>4.21</v>
      </c>
      <c r="G55" s="64">
        <v>80.89</v>
      </c>
      <c r="H55" s="64">
        <v>80.09</v>
      </c>
      <c r="I55" s="64">
        <v>1.5</v>
      </c>
      <c r="J55" s="64">
        <v>0.76</v>
      </c>
      <c r="K55" s="64">
        <v>100.16</v>
      </c>
      <c r="L55" s="64">
        <v>27.52</v>
      </c>
      <c r="M55" s="64">
        <v>38.76</v>
      </c>
      <c r="N55" s="209" t="s">
        <v>36</v>
      </c>
      <c r="O55" s="64">
        <v>0</v>
      </c>
      <c r="P55" s="64">
        <v>1.1000000000000001</v>
      </c>
      <c r="Q55" s="64">
        <v>5.61</v>
      </c>
      <c r="R55" s="198"/>
      <c r="S55" s="198"/>
      <c r="T55" s="198"/>
      <c r="U55" s="198"/>
    </row>
    <row r="56" spans="1:21" s="12" customFormat="1" x14ac:dyDescent="0.25">
      <c r="A56" s="214" t="s">
        <v>3077</v>
      </c>
      <c r="B56" s="64">
        <v>5.9</v>
      </c>
      <c r="C56" s="64">
        <v>31.12</v>
      </c>
      <c r="D56" s="64">
        <v>23.19</v>
      </c>
      <c r="E56" s="64">
        <v>1.97</v>
      </c>
      <c r="F56" s="64">
        <v>3.15</v>
      </c>
      <c r="G56" s="64">
        <v>82.52</v>
      </c>
      <c r="H56" s="64">
        <v>74.040000000000006</v>
      </c>
      <c r="I56" s="64">
        <v>1.51</v>
      </c>
      <c r="J56" s="64">
        <v>0.98</v>
      </c>
      <c r="K56" s="64">
        <v>123.27</v>
      </c>
      <c r="L56" s="64">
        <v>27.19</v>
      </c>
      <c r="M56" s="64">
        <v>38.71</v>
      </c>
      <c r="N56" s="209" t="s">
        <v>36</v>
      </c>
      <c r="O56" s="64">
        <v>0</v>
      </c>
      <c r="P56" s="64">
        <v>1.06</v>
      </c>
      <c r="Q56" s="64">
        <v>5.5</v>
      </c>
      <c r="R56" s="198"/>
      <c r="S56" s="198"/>
      <c r="T56" s="198"/>
      <c r="U56" s="198"/>
    </row>
    <row r="57" spans="1:21" s="12" customFormat="1" x14ac:dyDescent="0.25">
      <c r="A57" s="214" t="s">
        <v>3078</v>
      </c>
      <c r="B57" s="64">
        <v>4.7699999999999996</v>
      </c>
      <c r="C57" s="64">
        <v>28.03</v>
      </c>
      <c r="D57" s="64">
        <v>20.59</v>
      </c>
      <c r="E57" s="64">
        <v>2.39</v>
      </c>
      <c r="F57" s="64">
        <v>2.82</v>
      </c>
      <c r="G57" s="64">
        <v>82.52</v>
      </c>
      <c r="H57" s="64">
        <v>74.040000000000006</v>
      </c>
      <c r="I57" s="64">
        <v>1.43</v>
      </c>
      <c r="J57" s="64">
        <v>0.54</v>
      </c>
      <c r="K57" s="64">
        <v>113.27</v>
      </c>
      <c r="L57" s="64">
        <v>27.42</v>
      </c>
      <c r="M57" s="64">
        <v>37.799999999999997</v>
      </c>
      <c r="N57" s="209" t="s">
        <v>36</v>
      </c>
      <c r="O57" s="64">
        <v>0</v>
      </c>
      <c r="P57" s="64">
        <v>1.02</v>
      </c>
      <c r="Q57" s="64">
        <v>5.41</v>
      </c>
      <c r="R57" s="198"/>
      <c r="S57" s="198"/>
      <c r="T57" s="198"/>
      <c r="U57" s="198"/>
    </row>
    <row r="58" spans="1:21" s="12" customFormat="1" x14ac:dyDescent="0.25">
      <c r="A58" s="214" t="s">
        <v>3079</v>
      </c>
      <c r="B58" s="64">
        <v>3.59</v>
      </c>
      <c r="C58" s="64">
        <v>24.73</v>
      </c>
      <c r="D58" s="64">
        <v>17.82</v>
      </c>
      <c r="E58" s="64">
        <v>2.2000000000000002</v>
      </c>
      <c r="F58" s="64">
        <v>4.78</v>
      </c>
      <c r="G58" s="64">
        <v>82.52</v>
      </c>
      <c r="H58" s="64">
        <v>74.040000000000006</v>
      </c>
      <c r="I58" s="64">
        <v>1.5</v>
      </c>
      <c r="J58" s="64">
        <v>0.82</v>
      </c>
      <c r="K58" s="64">
        <v>111.39</v>
      </c>
      <c r="L58" s="64">
        <v>27.36</v>
      </c>
      <c r="M58" s="64">
        <v>37.85</v>
      </c>
      <c r="N58" s="209" t="s">
        <v>36</v>
      </c>
      <c r="O58" s="64">
        <v>0</v>
      </c>
      <c r="P58" s="64">
        <v>0.95</v>
      </c>
      <c r="Q58" s="64">
        <v>5.36</v>
      </c>
      <c r="R58" s="198"/>
      <c r="S58" s="198"/>
      <c r="T58" s="198"/>
      <c r="U58" s="198"/>
    </row>
    <row r="59" spans="1:21" s="12" customFormat="1" x14ac:dyDescent="0.25">
      <c r="A59" s="214" t="s">
        <v>3080</v>
      </c>
      <c r="B59" s="64">
        <v>2.73</v>
      </c>
      <c r="C59" s="64">
        <v>27.7</v>
      </c>
      <c r="D59" s="64">
        <v>18.77</v>
      </c>
      <c r="E59" s="64">
        <v>1.87</v>
      </c>
      <c r="F59" s="64">
        <v>3.51</v>
      </c>
      <c r="G59" s="64">
        <v>77.94</v>
      </c>
      <c r="H59" s="64">
        <v>62.07</v>
      </c>
      <c r="I59" s="64">
        <v>1.6</v>
      </c>
      <c r="J59" s="64">
        <v>0.68</v>
      </c>
      <c r="K59" s="64">
        <v>101.09</v>
      </c>
      <c r="L59" s="64">
        <v>27.66</v>
      </c>
      <c r="M59" s="64">
        <v>38.54</v>
      </c>
      <c r="N59" s="209" t="s">
        <v>36</v>
      </c>
      <c r="O59" s="64">
        <v>0</v>
      </c>
      <c r="P59" s="64">
        <v>0.93</v>
      </c>
      <c r="Q59" s="64">
        <v>5.1100000000000003</v>
      </c>
      <c r="R59" s="198"/>
      <c r="S59" s="198"/>
      <c r="T59" s="198"/>
      <c r="U59" s="198"/>
    </row>
    <row r="60" spans="1:21" s="12" customFormat="1" x14ac:dyDescent="0.25">
      <c r="A60" s="214" t="s">
        <v>3081</v>
      </c>
      <c r="B60" s="64">
        <v>2.46</v>
      </c>
      <c r="C60" s="64">
        <v>27.33</v>
      </c>
      <c r="D60" s="64">
        <v>18.350000000000001</v>
      </c>
      <c r="E60" s="64">
        <v>2.31</v>
      </c>
      <c r="F60" s="64">
        <v>2.87</v>
      </c>
      <c r="G60" s="64">
        <v>73.75</v>
      </c>
      <c r="H60" s="64">
        <v>56.61</v>
      </c>
      <c r="I60" s="64">
        <v>1.45</v>
      </c>
      <c r="J60" s="64">
        <v>0.92</v>
      </c>
      <c r="K60" s="64">
        <v>112.06</v>
      </c>
      <c r="L60" s="64">
        <v>27.04</v>
      </c>
      <c r="M60" s="64">
        <v>39.46</v>
      </c>
      <c r="N60" s="209" t="s">
        <v>36</v>
      </c>
      <c r="O60" s="64">
        <v>0</v>
      </c>
      <c r="P60" s="64">
        <v>0.88</v>
      </c>
      <c r="Q60" s="64">
        <v>5.01</v>
      </c>
      <c r="R60" s="198"/>
      <c r="S60" s="198"/>
      <c r="T60" s="198"/>
      <c r="U60" s="198"/>
    </row>
    <row r="61" spans="1:21" s="12" customFormat="1" x14ac:dyDescent="0.25">
      <c r="A61" s="214" t="s">
        <v>3082</v>
      </c>
      <c r="B61" s="64">
        <v>2.33</v>
      </c>
      <c r="C61" s="64">
        <v>27.77</v>
      </c>
      <c r="D61" s="64">
        <v>18.48</v>
      </c>
      <c r="E61" s="64">
        <v>2.09</v>
      </c>
      <c r="F61" s="64">
        <v>3.8</v>
      </c>
      <c r="G61" s="64">
        <v>73.75</v>
      </c>
      <c r="H61" s="64">
        <v>56.61</v>
      </c>
      <c r="I61" s="64">
        <v>1.48</v>
      </c>
      <c r="J61" s="64">
        <v>0.2</v>
      </c>
      <c r="K61" s="64">
        <v>22.11</v>
      </c>
      <c r="L61" s="64">
        <v>27.99</v>
      </c>
      <c r="M61" s="64">
        <v>36.979999999999997</v>
      </c>
      <c r="N61" s="209" t="s">
        <v>36</v>
      </c>
      <c r="O61" s="64">
        <v>0</v>
      </c>
      <c r="P61" s="64">
        <v>0.82</v>
      </c>
      <c r="Q61" s="64">
        <v>4.93</v>
      </c>
      <c r="R61" s="198"/>
      <c r="S61" s="198"/>
      <c r="T61" s="198"/>
      <c r="U61" s="198"/>
    </row>
    <row r="62" spans="1:21" s="12" customFormat="1" x14ac:dyDescent="0.25">
      <c r="A62" s="214" t="s">
        <v>3083</v>
      </c>
      <c r="B62" s="64">
        <v>2.29</v>
      </c>
      <c r="C62" s="64">
        <v>25.24</v>
      </c>
      <c r="D62" s="64">
        <v>17.059999999999999</v>
      </c>
      <c r="E62" s="64">
        <v>2.29</v>
      </c>
      <c r="F62" s="64">
        <v>3.82</v>
      </c>
      <c r="G62" s="64">
        <v>73.75</v>
      </c>
      <c r="H62" s="64">
        <v>56.61</v>
      </c>
      <c r="I62" s="64">
        <v>1.52</v>
      </c>
      <c r="J62" s="64">
        <v>0.46</v>
      </c>
      <c r="K62" s="64">
        <v>17.809999999999999</v>
      </c>
      <c r="L62" s="64">
        <v>28.14</v>
      </c>
      <c r="M62" s="64">
        <v>37.19</v>
      </c>
      <c r="N62" s="209" t="s">
        <v>36</v>
      </c>
      <c r="O62" s="64">
        <v>0</v>
      </c>
      <c r="P62" s="64">
        <v>0.87</v>
      </c>
      <c r="Q62" s="64">
        <v>4.9000000000000004</v>
      </c>
      <c r="R62" s="198"/>
      <c r="S62" s="198"/>
      <c r="T62" s="198"/>
      <c r="U62" s="198"/>
    </row>
    <row r="63" spans="1:21" s="12" customFormat="1" x14ac:dyDescent="0.25">
      <c r="A63" s="214" t="s">
        <v>3084</v>
      </c>
      <c r="B63" s="64">
        <v>2.0499999999999998</v>
      </c>
      <c r="C63" s="64">
        <v>27.91</v>
      </c>
      <c r="D63" s="64">
        <v>18.34</v>
      </c>
      <c r="E63" s="64">
        <v>2.0099999999999998</v>
      </c>
      <c r="F63" s="64">
        <v>4.9800000000000004</v>
      </c>
      <c r="G63" s="64">
        <v>80.97</v>
      </c>
      <c r="H63" s="64">
        <v>57.37</v>
      </c>
      <c r="I63" s="64">
        <v>1.5</v>
      </c>
      <c r="J63" s="64">
        <v>1.01</v>
      </c>
      <c r="K63" s="64">
        <v>110.69</v>
      </c>
      <c r="L63" s="64">
        <v>27.55</v>
      </c>
      <c r="M63" s="64">
        <v>38.33</v>
      </c>
      <c r="N63" s="209" t="s">
        <v>36</v>
      </c>
      <c r="O63" s="64">
        <v>0</v>
      </c>
      <c r="P63" s="64">
        <v>0.83</v>
      </c>
      <c r="Q63" s="64">
        <v>4.9400000000000004</v>
      </c>
      <c r="R63" s="198"/>
      <c r="S63" s="198"/>
      <c r="T63" s="198"/>
      <c r="U63" s="198"/>
    </row>
    <row r="64" spans="1:21" s="12" customFormat="1" x14ac:dyDescent="0.25">
      <c r="A64" s="214" t="s">
        <v>3085</v>
      </c>
      <c r="B64" s="64">
        <v>2</v>
      </c>
      <c r="C64" s="64">
        <v>25.53</v>
      </c>
      <c r="D64" s="64">
        <v>16.989999999999998</v>
      </c>
      <c r="E64" s="64">
        <v>2.5499999999999998</v>
      </c>
      <c r="F64" s="64">
        <v>6.07</v>
      </c>
      <c r="G64" s="64">
        <v>87.87</v>
      </c>
      <c r="H64" s="64">
        <v>57.72</v>
      </c>
      <c r="I64" s="64">
        <v>1.47</v>
      </c>
      <c r="J64" s="64">
        <v>1.1299999999999999</v>
      </c>
      <c r="K64" s="64">
        <v>106.81</v>
      </c>
      <c r="L64" s="64">
        <v>26.63</v>
      </c>
      <c r="M64" s="64">
        <v>38.299999999999997</v>
      </c>
      <c r="N64" s="209" t="s">
        <v>36</v>
      </c>
      <c r="O64" s="64">
        <v>0</v>
      </c>
      <c r="P64" s="64">
        <v>0.8</v>
      </c>
      <c r="Q64" s="64">
        <v>4.96</v>
      </c>
      <c r="R64" s="198"/>
      <c r="S64" s="198"/>
      <c r="T64" s="198"/>
      <c r="U64" s="198"/>
    </row>
    <row r="65" spans="1:21" s="12" customFormat="1" x14ac:dyDescent="0.25">
      <c r="A65" s="214" t="s">
        <v>3086</v>
      </c>
      <c r="B65" s="64">
        <v>2.11</v>
      </c>
      <c r="C65" s="64">
        <v>25.19</v>
      </c>
      <c r="D65" s="64">
        <v>16.88</v>
      </c>
      <c r="E65" s="64">
        <v>3.12</v>
      </c>
      <c r="F65" s="64">
        <v>7.45</v>
      </c>
      <c r="G65" s="64">
        <v>87.87</v>
      </c>
      <c r="H65" s="64">
        <v>57.72</v>
      </c>
      <c r="I65" s="64">
        <v>1.52</v>
      </c>
      <c r="J65" s="64">
        <v>0.22</v>
      </c>
      <c r="K65" s="64">
        <v>33.5</v>
      </c>
      <c r="L65" s="64">
        <v>26.88</v>
      </c>
      <c r="M65" s="64">
        <v>37.74</v>
      </c>
      <c r="N65" s="209" t="s">
        <v>36</v>
      </c>
      <c r="O65" s="64">
        <v>0</v>
      </c>
      <c r="P65" s="64">
        <v>0.77</v>
      </c>
      <c r="Q65" s="64">
        <v>4.93</v>
      </c>
      <c r="R65" s="198"/>
      <c r="S65" s="198"/>
      <c r="T65" s="198"/>
      <c r="U65" s="198"/>
    </row>
    <row r="66" spans="1:21" s="12" customFormat="1" x14ac:dyDescent="0.25">
      <c r="A66" s="214" t="s">
        <v>3087</v>
      </c>
      <c r="B66" s="64">
        <v>2.1</v>
      </c>
      <c r="C66" s="64">
        <v>26.34</v>
      </c>
      <c r="D66" s="64">
        <v>17.52</v>
      </c>
      <c r="E66" s="64">
        <v>3.39</v>
      </c>
      <c r="F66" s="64">
        <v>7.8</v>
      </c>
      <c r="G66" s="64">
        <v>87.87</v>
      </c>
      <c r="H66" s="64">
        <v>57.72</v>
      </c>
      <c r="I66" s="64">
        <v>1.49</v>
      </c>
      <c r="J66" s="64">
        <v>0.45</v>
      </c>
      <c r="K66" s="64">
        <v>75.48</v>
      </c>
      <c r="L66" s="64">
        <v>27.2</v>
      </c>
      <c r="M66" s="64">
        <v>36.06</v>
      </c>
      <c r="N66" s="209" t="s">
        <v>36</v>
      </c>
      <c r="O66" s="64">
        <v>0</v>
      </c>
      <c r="P66" s="64">
        <v>0.76</v>
      </c>
      <c r="Q66" s="64">
        <v>4.87</v>
      </c>
      <c r="R66" s="198"/>
      <c r="S66" s="198"/>
      <c r="T66" s="198"/>
      <c r="U66" s="198"/>
    </row>
    <row r="67" spans="1:21" s="12" customFormat="1" x14ac:dyDescent="0.25">
      <c r="A67" s="214" t="s">
        <v>3088</v>
      </c>
      <c r="B67" s="64">
        <v>2.04</v>
      </c>
      <c r="C67" s="64">
        <v>24.37</v>
      </c>
      <c r="D67" s="64">
        <v>16.38</v>
      </c>
      <c r="E67" s="64">
        <v>5.59</v>
      </c>
      <c r="F67" s="64">
        <v>38.799999999999997</v>
      </c>
      <c r="G67" s="64">
        <v>82.19</v>
      </c>
      <c r="H67" s="64">
        <v>52.89</v>
      </c>
      <c r="I67" s="64">
        <v>1.5</v>
      </c>
      <c r="J67" s="64">
        <v>1.19</v>
      </c>
      <c r="K67" s="64">
        <v>110.56</v>
      </c>
      <c r="L67" s="64">
        <v>26.41</v>
      </c>
      <c r="M67" s="64">
        <v>37.49</v>
      </c>
      <c r="N67" s="209" t="s">
        <v>36</v>
      </c>
      <c r="O67" s="64">
        <v>0</v>
      </c>
      <c r="P67" s="64">
        <v>0.61</v>
      </c>
      <c r="Q67" s="64">
        <v>5.07</v>
      </c>
      <c r="R67" s="198"/>
      <c r="S67" s="198"/>
      <c r="T67" s="198"/>
      <c r="U67" s="198"/>
    </row>
    <row r="68" spans="1:21" s="12" customFormat="1" x14ac:dyDescent="0.25">
      <c r="A68" s="214" t="s">
        <v>3089</v>
      </c>
      <c r="B68" s="64">
        <v>2</v>
      </c>
      <c r="C68" s="64">
        <v>29.97</v>
      </c>
      <c r="D68" s="64">
        <v>19.440000000000001</v>
      </c>
      <c r="E68" s="64">
        <v>7.27</v>
      </c>
      <c r="F68" s="64">
        <v>11.22</v>
      </c>
      <c r="G68" s="64">
        <v>76.989999999999995</v>
      </c>
      <c r="H68" s="64">
        <v>50.69</v>
      </c>
      <c r="I68" s="64">
        <v>1.47</v>
      </c>
      <c r="J68" s="64">
        <v>0.28000000000000003</v>
      </c>
      <c r="K68" s="64">
        <v>120.17</v>
      </c>
      <c r="L68" s="64">
        <v>26.61</v>
      </c>
      <c r="M68" s="64">
        <v>36.93</v>
      </c>
      <c r="N68" s="209" t="s">
        <v>36</v>
      </c>
      <c r="O68" s="64">
        <v>0</v>
      </c>
      <c r="P68" s="64">
        <v>0.69</v>
      </c>
      <c r="Q68" s="64">
        <v>4.99</v>
      </c>
      <c r="R68" s="198"/>
      <c r="S68" s="198"/>
      <c r="T68" s="198"/>
      <c r="U68" s="198"/>
    </row>
    <row r="69" spans="1:21" s="12" customFormat="1" x14ac:dyDescent="0.25">
      <c r="A69" s="214" t="s">
        <v>3090</v>
      </c>
      <c r="B69" s="64">
        <v>2</v>
      </c>
      <c r="C69" s="64">
        <v>25.66</v>
      </c>
      <c r="D69" s="64">
        <v>17.059999999999999</v>
      </c>
      <c r="E69" s="64">
        <v>4.17</v>
      </c>
      <c r="F69" s="64">
        <v>3.83</v>
      </c>
      <c r="G69" s="64">
        <v>76.989999999999995</v>
      </c>
      <c r="H69" s="64">
        <v>50.69</v>
      </c>
      <c r="I69" s="64">
        <v>1.46</v>
      </c>
      <c r="J69" s="64">
        <v>1.91</v>
      </c>
      <c r="K69" s="64">
        <v>95.73</v>
      </c>
      <c r="L69" s="64">
        <v>25.88</v>
      </c>
      <c r="M69" s="64">
        <v>36.979999999999997</v>
      </c>
      <c r="N69" s="209" t="s">
        <v>36</v>
      </c>
      <c r="O69" s="64">
        <v>0</v>
      </c>
      <c r="P69" s="64">
        <v>0.65</v>
      </c>
      <c r="Q69" s="64">
        <v>5.0599999999999996</v>
      </c>
      <c r="R69" s="198"/>
      <c r="S69" s="198"/>
      <c r="T69" s="198"/>
      <c r="U69" s="198"/>
    </row>
    <row r="70" spans="1:21" s="12" customFormat="1" x14ac:dyDescent="0.25">
      <c r="A70" s="214" t="s">
        <v>3091</v>
      </c>
      <c r="B70" s="64">
        <v>2</v>
      </c>
      <c r="C70" s="64">
        <v>21.49</v>
      </c>
      <c r="D70" s="64">
        <v>14.75</v>
      </c>
      <c r="E70" s="64">
        <v>3.57</v>
      </c>
      <c r="F70" s="64">
        <v>4.4400000000000004</v>
      </c>
      <c r="G70" s="64">
        <v>76.989999999999995</v>
      </c>
      <c r="H70" s="64">
        <v>50.69</v>
      </c>
      <c r="I70" s="64">
        <v>1.55</v>
      </c>
      <c r="J70" s="64">
        <v>0</v>
      </c>
      <c r="K70" s="64">
        <v>0</v>
      </c>
      <c r="L70" s="64">
        <v>-58</v>
      </c>
      <c r="M70" s="64">
        <v>-27</v>
      </c>
      <c r="N70" s="209" t="s">
        <v>36</v>
      </c>
      <c r="O70" s="64">
        <v>0</v>
      </c>
      <c r="P70" s="64">
        <v>0.62</v>
      </c>
      <c r="Q70" s="64">
        <v>5.08</v>
      </c>
      <c r="R70" s="198"/>
      <c r="S70" s="198"/>
      <c r="T70" s="198"/>
      <c r="U70" s="198"/>
    </row>
    <row r="71" spans="1:21" s="12" customFormat="1" x14ac:dyDescent="0.25">
      <c r="A71" s="214" t="s">
        <v>3092</v>
      </c>
      <c r="B71" s="64">
        <v>2.2000000000000002</v>
      </c>
      <c r="C71" s="64">
        <v>29.46</v>
      </c>
      <c r="D71" s="64">
        <v>19.32</v>
      </c>
      <c r="E71" s="64">
        <v>3.84</v>
      </c>
      <c r="F71" s="64">
        <v>14.11</v>
      </c>
      <c r="G71" s="64">
        <v>78.92</v>
      </c>
      <c r="H71" s="64">
        <v>46.44</v>
      </c>
      <c r="I71" s="64">
        <v>1.42</v>
      </c>
      <c r="J71" s="64">
        <v>0.93</v>
      </c>
      <c r="K71" s="64">
        <v>111.25</v>
      </c>
      <c r="L71" s="64">
        <v>25.81</v>
      </c>
      <c r="M71" s="64">
        <v>39.33</v>
      </c>
      <c r="N71" s="64">
        <v>84.3</v>
      </c>
      <c r="O71" s="64">
        <v>0</v>
      </c>
      <c r="P71" s="64">
        <v>0.62</v>
      </c>
      <c r="Q71" s="64">
        <v>4.96</v>
      </c>
      <c r="R71" s="198"/>
      <c r="S71" s="198"/>
      <c r="T71" s="198"/>
      <c r="U71" s="198"/>
    </row>
    <row r="72" spans="1:21" s="12" customFormat="1" x14ac:dyDescent="0.25">
      <c r="A72" s="214" t="s">
        <v>3093</v>
      </c>
      <c r="B72" s="64">
        <v>2.66</v>
      </c>
      <c r="C72" s="64">
        <v>35.909999999999997</v>
      </c>
      <c r="D72" s="64">
        <v>23.24</v>
      </c>
      <c r="E72" s="64">
        <v>3.42</v>
      </c>
      <c r="F72" s="64">
        <v>25.28</v>
      </c>
      <c r="G72" s="64">
        <v>80.680000000000007</v>
      </c>
      <c r="H72" s="64">
        <v>44.68</v>
      </c>
      <c r="I72" s="64">
        <v>1.46</v>
      </c>
      <c r="J72" s="64">
        <v>0.39</v>
      </c>
      <c r="K72" s="64">
        <v>83.57</v>
      </c>
      <c r="L72" s="64">
        <v>25.75</v>
      </c>
      <c r="M72" s="64">
        <v>40.69</v>
      </c>
      <c r="N72" s="64">
        <v>86.7</v>
      </c>
      <c r="O72" s="64">
        <v>0</v>
      </c>
      <c r="P72" s="64">
        <v>0.63</v>
      </c>
      <c r="Q72" s="64">
        <v>4.54</v>
      </c>
      <c r="R72" s="198"/>
      <c r="S72" s="198"/>
      <c r="T72" s="198"/>
      <c r="U72" s="198"/>
    </row>
    <row r="73" spans="1:21" s="12" customFormat="1" x14ac:dyDescent="0.25">
      <c r="A73" s="214" t="s">
        <v>3094</v>
      </c>
      <c r="B73" s="64">
        <v>2</v>
      </c>
      <c r="C73" s="64">
        <v>29.55</v>
      </c>
      <c r="D73" s="64">
        <v>19.2</v>
      </c>
      <c r="E73" s="64">
        <v>5.35</v>
      </c>
      <c r="F73" s="64">
        <v>16.8</v>
      </c>
      <c r="G73" s="64">
        <v>80.680000000000007</v>
      </c>
      <c r="H73" s="64">
        <v>44.68</v>
      </c>
      <c r="I73" s="64">
        <v>1.54</v>
      </c>
      <c r="J73" s="64">
        <v>1.07</v>
      </c>
      <c r="K73" s="64">
        <v>106.99</v>
      </c>
      <c r="L73" s="64">
        <v>25.45</v>
      </c>
      <c r="M73" s="64">
        <v>41.15</v>
      </c>
      <c r="N73" s="64">
        <v>73.3</v>
      </c>
      <c r="O73" s="64">
        <v>0</v>
      </c>
      <c r="P73" s="64">
        <v>0.55000000000000004</v>
      </c>
      <c r="Q73" s="64">
        <v>4.87</v>
      </c>
      <c r="R73" s="198"/>
      <c r="S73" s="198"/>
      <c r="T73" s="198"/>
      <c r="U73" s="198"/>
    </row>
    <row r="74" spans="1:21" s="12" customFormat="1" x14ac:dyDescent="0.25">
      <c r="A74" s="214" t="s">
        <v>3095</v>
      </c>
      <c r="B74" s="64">
        <v>2.09</v>
      </c>
      <c r="C74" s="64">
        <v>26.95</v>
      </c>
      <c r="D74" s="64">
        <v>17.84</v>
      </c>
      <c r="E74" s="64">
        <v>5.37</v>
      </c>
      <c r="F74" s="64">
        <v>16.8</v>
      </c>
      <c r="G74" s="64">
        <v>80.680000000000007</v>
      </c>
      <c r="H74" s="64">
        <v>44.68</v>
      </c>
      <c r="I74" s="64">
        <v>1.58</v>
      </c>
      <c r="J74" s="64">
        <v>0.56000000000000005</v>
      </c>
      <c r="K74" s="64">
        <v>100.55</v>
      </c>
      <c r="L74" s="64">
        <v>25.32</v>
      </c>
      <c r="M74" s="64">
        <v>42.29</v>
      </c>
      <c r="N74" s="64">
        <v>61.7</v>
      </c>
      <c r="O74" s="64">
        <v>0</v>
      </c>
      <c r="P74" s="64">
        <v>0.55000000000000004</v>
      </c>
      <c r="Q74" s="64">
        <v>5.08</v>
      </c>
      <c r="R74" s="198"/>
      <c r="S74" s="198"/>
      <c r="T74" s="198"/>
      <c r="U74" s="198"/>
    </row>
    <row r="75" spans="1:21" s="12" customFormat="1" x14ac:dyDescent="0.25">
      <c r="A75" s="214" t="s">
        <v>3096</v>
      </c>
      <c r="B75" s="64">
        <v>2</v>
      </c>
      <c r="C75" s="64">
        <v>29.09</v>
      </c>
      <c r="D75" s="64">
        <v>18.95</v>
      </c>
      <c r="E75" s="64">
        <v>4.88</v>
      </c>
      <c r="F75" s="64">
        <v>25.89</v>
      </c>
      <c r="G75" s="64">
        <v>56.23</v>
      </c>
      <c r="H75" s="64">
        <v>48.13</v>
      </c>
      <c r="I75" s="64">
        <v>1.49</v>
      </c>
      <c r="J75" s="64">
        <v>0.8</v>
      </c>
      <c r="K75" s="64">
        <v>105.75</v>
      </c>
      <c r="L75" s="64">
        <v>25.07</v>
      </c>
      <c r="M75" s="64">
        <v>42.22</v>
      </c>
      <c r="N75" s="64">
        <v>49.6</v>
      </c>
      <c r="O75" s="64">
        <v>0</v>
      </c>
      <c r="P75" s="64">
        <v>0.5</v>
      </c>
      <c r="Q75" s="64">
        <v>5.01</v>
      </c>
      <c r="R75" s="198"/>
      <c r="S75" s="198"/>
      <c r="T75" s="198"/>
      <c r="U75" s="198"/>
    </row>
    <row r="76" spans="1:21" s="12" customFormat="1" x14ac:dyDescent="0.25">
      <c r="A76" s="214" t="s">
        <v>3097</v>
      </c>
      <c r="B76" s="64">
        <v>2</v>
      </c>
      <c r="C76" s="64">
        <v>28.66</v>
      </c>
      <c r="D76" s="64">
        <v>18.71</v>
      </c>
      <c r="E76" s="64">
        <v>8.31</v>
      </c>
      <c r="F76" s="64">
        <v>39.44</v>
      </c>
      <c r="G76" s="64">
        <v>33.869999999999997</v>
      </c>
      <c r="H76" s="64">
        <v>49.7</v>
      </c>
      <c r="I76" s="64">
        <v>1.46</v>
      </c>
      <c r="J76" s="64">
        <v>0.36</v>
      </c>
      <c r="K76" s="64">
        <v>97.21</v>
      </c>
      <c r="L76" s="64">
        <v>24.71</v>
      </c>
      <c r="M76" s="64">
        <v>43.5</v>
      </c>
      <c r="N76" s="64">
        <v>38.4</v>
      </c>
      <c r="O76" s="64">
        <v>0</v>
      </c>
      <c r="P76" s="64">
        <v>0.5</v>
      </c>
      <c r="Q76" s="64">
        <v>4.9800000000000004</v>
      </c>
      <c r="R76" s="198"/>
      <c r="S76" s="198"/>
      <c r="T76" s="198"/>
      <c r="U76" s="198"/>
    </row>
    <row r="77" spans="1:21" s="12" customFormat="1" x14ac:dyDescent="0.25">
      <c r="A77" s="214" t="s">
        <v>3098</v>
      </c>
      <c r="B77" s="64">
        <v>3.27</v>
      </c>
      <c r="C77" s="64">
        <v>41.06</v>
      </c>
      <c r="D77" s="64">
        <v>26.57</v>
      </c>
      <c r="E77" s="64">
        <v>8.91</v>
      </c>
      <c r="F77" s="64">
        <v>36.18</v>
      </c>
      <c r="G77" s="64">
        <v>33.869999999999997</v>
      </c>
      <c r="H77" s="64">
        <v>49.7</v>
      </c>
      <c r="I77" s="64">
        <v>1.49</v>
      </c>
      <c r="J77" s="64">
        <v>0.28999999999999998</v>
      </c>
      <c r="K77" s="64">
        <v>85.96</v>
      </c>
      <c r="L77" s="64">
        <v>24.37</v>
      </c>
      <c r="M77" s="64">
        <v>44.45</v>
      </c>
      <c r="N77" s="64">
        <v>28.4</v>
      </c>
      <c r="O77" s="64">
        <v>0</v>
      </c>
      <c r="P77" s="64">
        <v>0.61</v>
      </c>
      <c r="Q77" s="64">
        <v>4.66</v>
      </c>
      <c r="R77" s="198"/>
      <c r="S77" s="198"/>
      <c r="T77" s="198"/>
      <c r="U77" s="198"/>
    </row>
    <row r="78" spans="1:21" s="12" customFormat="1" x14ac:dyDescent="0.25">
      <c r="A78" s="214" t="s">
        <v>3099</v>
      </c>
      <c r="B78" s="64">
        <v>2.21</v>
      </c>
      <c r="C78" s="64">
        <v>59.73</v>
      </c>
      <c r="D78" s="64">
        <v>36.03</v>
      </c>
      <c r="E78" s="64">
        <v>15.85</v>
      </c>
      <c r="F78" s="64">
        <v>51.05</v>
      </c>
      <c r="G78" s="64">
        <v>33.869999999999997</v>
      </c>
      <c r="H78" s="64">
        <v>49.7</v>
      </c>
      <c r="I78" s="64">
        <v>1.46</v>
      </c>
      <c r="J78" s="64">
        <v>0.19</v>
      </c>
      <c r="K78" s="64">
        <v>88.1</v>
      </c>
      <c r="L78" s="64">
        <v>24.08</v>
      </c>
      <c r="M78" s="64">
        <v>46.07</v>
      </c>
      <c r="N78" s="64">
        <v>22.5</v>
      </c>
      <c r="O78" s="64">
        <v>0</v>
      </c>
      <c r="P78" s="64">
        <v>0.91</v>
      </c>
      <c r="Q78" s="64">
        <v>3.26</v>
      </c>
      <c r="R78" s="198"/>
      <c r="S78" s="198"/>
      <c r="T78" s="198"/>
      <c r="U78" s="198"/>
    </row>
    <row r="79" spans="1:21" s="12" customFormat="1" x14ac:dyDescent="0.25">
      <c r="A79" s="214" t="s">
        <v>3100</v>
      </c>
      <c r="B79" s="64">
        <v>2</v>
      </c>
      <c r="C79" s="64">
        <v>40.44</v>
      </c>
      <c r="D79" s="64">
        <v>25.22</v>
      </c>
      <c r="E79" s="64">
        <v>14.22</v>
      </c>
      <c r="F79" s="64">
        <v>32.96</v>
      </c>
      <c r="G79" s="64">
        <v>56.83</v>
      </c>
      <c r="H79" s="64">
        <v>45.17</v>
      </c>
      <c r="I79" s="64">
        <v>1.52</v>
      </c>
      <c r="J79" s="64">
        <v>0.22</v>
      </c>
      <c r="K79" s="64">
        <v>94.78</v>
      </c>
      <c r="L79" s="64">
        <v>23.75</v>
      </c>
      <c r="M79" s="64">
        <v>47.62</v>
      </c>
      <c r="N79" s="64">
        <v>20.5</v>
      </c>
      <c r="O79" s="64">
        <v>0</v>
      </c>
      <c r="P79" s="64">
        <v>0.68</v>
      </c>
      <c r="Q79" s="64">
        <v>4.04</v>
      </c>
      <c r="R79" s="198"/>
      <c r="S79" s="198"/>
      <c r="T79" s="198"/>
      <c r="U79" s="198"/>
    </row>
    <row r="80" spans="1:21" s="12" customFormat="1" x14ac:dyDescent="0.25">
      <c r="A80" s="214" t="s">
        <v>3101</v>
      </c>
      <c r="B80" s="64">
        <v>2</v>
      </c>
      <c r="C80" s="64">
        <v>38.64</v>
      </c>
      <c r="D80" s="64">
        <v>24.22</v>
      </c>
      <c r="E80" s="64">
        <v>8.83</v>
      </c>
      <c r="F80" s="64">
        <v>27.94</v>
      </c>
      <c r="G80" s="64">
        <v>77.849999999999994</v>
      </c>
      <c r="H80" s="64">
        <v>41.21</v>
      </c>
      <c r="I80" s="64">
        <v>1.51</v>
      </c>
      <c r="J80" s="64">
        <v>0.17</v>
      </c>
      <c r="K80" s="64">
        <v>83.95</v>
      </c>
      <c r="L80" s="64">
        <v>23.57</v>
      </c>
      <c r="M80" s="64">
        <v>48.67</v>
      </c>
      <c r="N80" s="64">
        <v>19.7</v>
      </c>
      <c r="O80" s="64">
        <v>0</v>
      </c>
      <c r="P80" s="64">
        <v>0.76</v>
      </c>
      <c r="Q80" s="64">
        <v>4.4800000000000004</v>
      </c>
      <c r="R80" s="198"/>
      <c r="S80" s="198"/>
      <c r="T80" s="198"/>
      <c r="U80" s="198"/>
    </row>
    <row r="81" spans="1:26" s="12" customFormat="1" x14ac:dyDescent="0.25">
      <c r="A81" s="214" t="s">
        <v>3102</v>
      </c>
      <c r="B81" s="64">
        <v>2</v>
      </c>
      <c r="C81" s="64">
        <v>33.369999999999997</v>
      </c>
      <c r="D81" s="64">
        <v>21.31</v>
      </c>
      <c r="E81" s="64">
        <v>8.58</v>
      </c>
      <c r="F81" s="64">
        <v>11.06</v>
      </c>
      <c r="G81" s="64">
        <v>77.849999999999994</v>
      </c>
      <c r="H81" s="64">
        <v>41.21</v>
      </c>
      <c r="I81" s="64">
        <v>1.49</v>
      </c>
      <c r="J81" s="64">
        <v>0.18</v>
      </c>
      <c r="K81" s="64">
        <v>119.23</v>
      </c>
      <c r="L81" s="64">
        <v>23.27</v>
      </c>
      <c r="M81" s="64">
        <v>50.45</v>
      </c>
      <c r="N81" s="64">
        <v>19.600000000000001</v>
      </c>
      <c r="O81" s="64">
        <v>0</v>
      </c>
      <c r="P81" s="64">
        <v>0.67</v>
      </c>
      <c r="Q81" s="64">
        <v>4.49</v>
      </c>
      <c r="R81" s="198"/>
      <c r="S81" s="198"/>
      <c r="T81" s="198"/>
      <c r="U81" s="198"/>
    </row>
    <row r="82" spans="1:26" s="12" customFormat="1" x14ac:dyDescent="0.25">
      <c r="A82" s="214" t="s">
        <v>3103</v>
      </c>
      <c r="B82" s="64">
        <v>2</v>
      </c>
      <c r="C82" s="64">
        <v>51.78</v>
      </c>
      <c r="D82" s="64">
        <v>31.47</v>
      </c>
      <c r="E82" s="64">
        <v>6.6</v>
      </c>
      <c r="F82" s="64">
        <v>24.74</v>
      </c>
      <c r="G82" s="64">
        <v>77.849999999999994</v>
      </c>
      <c r="H82" s="64">
        <v>41.21</v>
      </c>
      <c r="I82" s="64">
        <v>1.46</v>
      </c>
      <c r="J82" s="64">
        <v>0.14000000000000001</v>
      </c>
      <c r="K82" s="64">
        <v>129.28</v>
      </c>
      <c r="L82" s="64">
        <v>23.2</v>
      </c>
      <c r="M82" s="64">
        <v>50.77</v>
      </c>
      <c r="N82" s="64">
        <v>19.399999999999999</v>
      </c>
      <c r="O82" s="64">
        <v>0</v>
      </c>
      <c r="P82" s="64">
        <v>0.82</v>
      </c>
      <c r="Q82" s="64">
        <v>4.04</v>
      </c>
      <c r="R82" s="198"/>
      <c r="S82" s="198"/>
      <c r="T82" s="198"/>
      <c r="U82" s="198"/>
    </row>
    <row r="83" spans="1:26" s="12" customFormat="1" x14ac:dyDescent="0.25">
      <c r="A83" s="214" t="s">
        <v>3104</v>
      </c>
      <c r="B83" s="64">
        <v>2</v>
      </c>
      <c r="C83" s="64">
        <v>52.53</v>
      </c>
      <c r="D83" s="64">
        <v>31.89</v>
      </c>
      <c r="E83" s="64">
        <v>6.06</v>
      </c>
      <c r="F83" s="64">
        <v>9.73</v>
      </c>
      <c r="G83" s="64">
        <v>88.99</v>
      </c>
      <c r="H83" s="64">
        <v>45.96</v>
      </c>
      <c r="I83" s="64">
        <v>1.5</v>
      </c>
      <c r="J83" s="64">
        <v>0.04</v>
      </c>
      <c r="K83" s="64">
        <v>82.3</v>
      </c>
      <c r="L83" s="64">
        <v>23.1</v>
      </c>
      <c r="M83" s="64">
        <v>51.73</v>
      </c>
      <c r="N83" s="64">
        <v>19.3</v>
      </c>
      <c r="O83" s="64">
        <v>0</v>
      </c>
      <c r="P83" s="64">
        <v>0.81</v>
      </c>
      <c r="Q83" s="64">
        <v>4</v>
      </c>
      <c r="R83" s="198"/>
      <c r="S83" s="198"/>
      <c r="T83" s="198"/>
      <c r="U83" s="198"/>
    </row>
    <row r="84" spans="1:26" s="12" customFormat="1" x14ac:dyDescent="0.25">
      <c r="A84" s="214" t="s">
        <v>3105</v>
      </c>
      <c r="B84" s="64">
        <v>2</v>
      </c>
      <c r="C84" s="64">
        <v>51.62</v>
      </c>
      <c r="D84" s="64">
        <v>31.38</v>
      </c>
      <c r="E84" s="64">
        <v>6.48</v>
      </c>
      <c r="F84" s="64">
        <v>13.89</v>
      </c>
      <c r="G84" s="64">
        <v>99.65</v>
      </c>
      <c r="H84" s="64">
        <v>48.13</v>
      </c>
      <c r="I84" s="64">
        <v>1.48</v>
      </c>
      <c r="J84" s="64">
        <v>0.06</v>
      </c>
      <c r="K84" s="64">
        <v>101.17</v>
      </c>
      <c r="L84" s="64">
        <v>22.8</v>
      </c>
      <c r="M84" s="64">
        <v>53.9</v>
      </c>
      <c r="N84" s="64">
        <v>19</v>
      </c>
      <c r="O84" s="64">
        <v>0</v>
      </c>
      <c r="P84" s="64">
        <v>0.89</v>
      </c>
      <c r="Q84" s="64">
        <v>3.46</v>
      </c>
      <c r="R84" s="198"/>
      <c r="S84" s="198"/>
      <c r="T84" s="198"/>
      <c r="U84" s="198"/>
    </row>
    <row r="85" spans="1:26" s="12" customFormat="1" x14ac:dyDescent="0.25">
      <c r="A85" s="214" t="s">
        <v>3106</v>
      </c>
      <c r="B85" s="64">
        <v>2</v>
      </c>
      <c r="C85" s="64">
        <v>53.35</v>
      </c>
      <c r="D85" s="64">
        <v>32.340000000000003</v>
      </c>
      <c r="E85" s="64">
        <v>4.93</v>
      </c>
      <c r="F85" s="64">
        <v>13.7</v>
      </c>
      <c r="G85" s="64">
        <v>99.65</v>
      </c>
      <c r="H85" s="64">
        <v>48.13</v>
      </c>
      <c r="I85" s="64">
        <v>1.47</v>
      </c>
      <c r="J85" s="64">
        <v>0.03</v>
      </c>
      <c r="K85" s="64">
        <v>113.58</v>
      </c>
      <c r="L85" s="64">
        <v>22.64</v>
      </c>
      <c r="M85" s="64">
        <v>54.8</v>
      </c>
      <c r="N85" s="64">
        <v>19.2</v>
      </c>
      <c r="O85" s="64">
        <v>0</v>
      </c>
      <c r="P85" s="64">
        <v>0.93</v>
      </c>
      <c r="Q85" s="64">
        <v>3.99</v>
      </c>
      <c r="R85" s="198"/>
      <c r="S85" s="198"/>
      <c r="T85" s="198"/>
      <c r="U85" s="198"/>
    </row>
    <row r="86" spans="1:26" s="12" customFormat="1" x14ac:dyDescent="0.25">
      <c r="A86" s="214" t="s">
        <v>3107</v>
      </c>
      <c r="B86" s="64">
        <v>2.74</v>
      </c>
      <c r="C86" s="64">
        <v>43.11</v>
      </c>
      <c r="D86" s="64">
        <v>27.28</v>
      </c>
      <c r="E86" s="64">
        <v>5.33</v>
      </c>
      <c r="F86" s="64">
        <v>3.83</v>
      </c>
      <c r="G86" s="64">
        <v>99.65</v>
      </c>
      <c r="H86" s="64">
        <v>48.13</v>
      </c>
      <c r="I86" s="64">
        <v>1.54</v>
      </c>
      <c r="J86" s="64">
        <v>7.0000000000000007E-2</v>
      </c>
      <c r="K86" s="64">
        <v>256.61</v>
      </c>
      <c r="L86" s="64">
        <v>22.28</v>
      </c>
      <c r="M86" s="64">
        <v>56.87</v>
      </c>
      <c r="N86" s="64">
        <v>19.2</v>
      </c>
      <c r="O86" s="64">
        <v>0</v>
      </c>
      <c r="P86" s="64">
        <v>0.92</v>
      </c>
      <c r="Q86" s="64">
        <v>3.92</v>
      </c>
      <c r="R86" s="198"/>
      <c r="S86" s="198"/>
      <c r="T86" s="198"/>
      <c r="U86" s="198"/>
    </row>
    <row r="87" spans="1:26" s="12" customFormat="1" x14ac:dyDescent="0.25">
      <c r="A87" s="214" t="s">
        <v>3108</v>
      </c>
      <c r="B87" s="64">
        <v>58.02</v>
      </c>
      <c r="C87" s="64">
        <v>97.73</v>
      </c>
      <c r="D87" s="64">
        <v>101.75</v>
      </c>
      <c r="E87" s="64">
        <v>5.63</v>
      </c>
      <c r="F87" s="64">
        <v>1.69</v>
      </c>
      <c r="G87" s="64">
        <v>118.1</v>
      </c>
      <c r="H87" s="64">
        <v>50.88</v>
      </c>
      <c r="I87" s="64">
        <v>1.5</v>
      </c>
      <c r="J87" s="64">
        <v>0.25</v>
      </c>
      <c r="K87" s="64">
        <v>345.58</v>
      </c>
      <c r="L87" s="64">
        <v>21.93</v>
      </c>
      <c r="M87" s="64">
        <v>64.17</v>
      </c>
      <c r="N87" s="64">
        <v>19.2</v>
      </c>
      <c r="O87" s="64">
        <v>0</v>
      </c>
      <c r="P87" s="64">
        <v>2.77</v>
      </c>
      <c r="Q87" s="64">
        <v>0.65</v>
      </c>
      <c r="R87" s="198"/>
      <c r="S87" s="198"/>
      <c r="T87" s="198"/>
      <c r="U87" s="198"/>
    </row>
    <row r="88" spans="1:26" s="12" customFormat="1" x14ac:dyDescent="0.25">
      <c r="A88" s="214" t="s">
        <v>3109</v>
      </c>
      <c r="B88" s="64">
        <v>41.48</v>
      </c>
      <c r="C88" s="64">
        <v>83.55</v>
      </c>
      <c r="D88" s="64">
        <v>80.66</v>
      </c>
      <c r="E88" s="64">
        <v>2.7</v>
      </c>
      <c r="F88" s="64">
        <v>1.77</v>
      </c>
      <c r="G88" s="64">
        <v>135.75</v>
      </c>
      <c r="H88" s="64">
        <v>52.14</v>
      </c>
      <c r="I88" s="64">
        <v>1.41</v>
      </c>
      <c r="J88" s="64">
        <v>0.11</v>
      </c>
      <c r="K88" s="64">
        <v>353.71</v>
      </c>
      <c r="L88" s="64">
        <v>21.46</v>
      </c>
      <c r="M88" s="64">
        <v>66.599999999999994</v>
      </c>
      <c r="N88" s="64">
        <v>19.5</v>
      </c>
      <c r="O88" s="64">
        <v>0</v>
      </c>
      <c r="P88" s="64">
        <v>2.3199999999999998</v>
      </c>
      <c r="Q88" s="64">
        <v>0.94</v>
      </c>
      <c r="R88" s="198"/>
      <c r="S88" s="198"/>
      <c r="T88" s="198"/>
      <c r="U88" s="198"/>
    </row>
    <row r="89" spans="1:26" s="12" customFormat="1" x14ac:dyDescent="0.25">
      <c r="A89" s="214" t="s">
        <v>3110</v>
      </c>
      <c r="B89" s="64">
        <v>27.08</v>
      </c>
      <c r="C89" s="64">
        <v>85.22</v>
      </c>
      <c r="D89" s="64">
        <v>70.040000000000006</v>
      </c>
      <c r="E89" s="64">
        <v>5.41</v>
      </c>
      <c r="F89" s="64">
        <v>1.96</v>
      </c>
      <c r="G89" s="64">
        <v>135.75</v>
      </c>
      <c r="H89" s="64">
        <v>52.14</v>
      </c>
      <c r="I89" s="64">
        <v>1.47</v>
      </c>
      <c r="J89" s="64">
        <v>0.09</v>
      </c>
      <c r="K89" s="64">
        <v>52.16</v>
      </c>
      <c r="L89" s="64">
        <v>21.41</v>
      </c>
      <c r="M89" s="64">
        <v>63.52</v>
      </c>
      <c r="N89" s="64">
        <v>19.399999999999999</v>
      </c>
      <c r="O89" s="64">
        <v>0</v>
      </c>
      <c r="P89" s="64">
        <v>2.1</v>
      </c>
      <c r="Q89" s="64">
        <v>1.95</v>
      </c>
      <c r="R89" s="198"/>
      <c r="S89" s="198"/>
      <c r="T89" s="198"/>
      <c r="U89" s="198"/>
    </row>
    <row r="90" spans="1:26" s="12" customFormat="1" x14ac:dyDescent="0.25">
      <c r="A90" s="214" t="s">
        <v>3111</v>
      </c>
      <c r="B90" s="64">
        <v>11.05</v>
      </c>
      <c r="C90" s="64">
        <v>76.150000000000006</v>
      </c>
      <c r="D90" s="64">
        <v>52.18</v>
      </c>
      <c r="E90" s="64">
        <v>5.33</v>
      </c>
      <c r="F90" s="64">
        <v>4.78</v>
      </c>
      <c r="G90" s="64">
        <v>135.75</v>
      </c>
      <c r="H90" s="64">
        <v>52.14</v>
      </c>
      <c r="I90" s="64">
        <v>1.56</v>
      </c>
      <c r="J90" s="64">
        <v>0.08</v>
      </c>
      <c r="K90" s="64">
        <v>64.19</v>
      </c>
      <c r="L90" s="64">
        <v>21.57</v>
      </c>
      <c r="M90" s="64">
        <v>62.35</v>
      </c>
      <c r="N90" s="64">
        <v>19.3</v>
      </c>
      <c r="O90" s="64">
        <v>0</v>
      </c>
      <c r="P90" s="64">
        <v>1.7</v>
      </c>
      <c r="Q90" s="64">
        <v>2.74</v>
      </c>
      <c r="R90" s="198"/>
      <c r="S90" s="198"/>
      <c r="T90" s="198"/>
      <c r="U90" s="198"/>
    </row>
    <row r="91" spans="1:26" s="12" customFormat="1" x14ac:dyDescent="0.25">
      <c r="A91" s="214" t="s">
        <v>3112</v>
      </c>
      <c r="B91" s="64">
        <v>9.3800000000000008</v>
      </c>
      <c r="C91" s="64">
        <v>53.21</v>
      </c>
      <c r="D91" s="64">
        <v>38.18</v>
      </c>
      <c r="E91" s="64">
        <v>4.67</v>
      </c>
      <c r="F91" s="64">
        <v>5.26</v>
      </c>
      <c r="G91" s="64">
        <v>160.96</v>
      </c>
      <c r="H91" s="64">
        <v>62.46</v>
      </c>
      <c r="I91" s="64">
        <v>1.5</v>
      </c>
      <c r="J91" s="64">
        <v>0.14000000000000001</v>
      </c>
      <c r="K91" s="64">
        <v>98.7</v>
      </c>
      <c r="L91" s="64">
        <v>21.78</v>
      </c>
      <c r="M91" s="64">
        <v>60.88</v>
      </c>
      <c r="N91" s="64">
        <v>19</v>
      </c>
      <c r="O91" s="64">
        <v>0</v>
      </c>
      <c r="P91" s="64">
        <v>1.31</v>
      </c>
      <c r="Q91" s="64">
        <v>3.69</v>
      </c>
      <c r="R91" s="198"/>
      <c r="S91" s="198"/>
      <c r="T91" s="198"/>
      <c r="U91" s="198"/>
    </row>
    <row r="92" spans="1:26" s="12" customFormat="1" x14ac:dyDescent="0.25">
      <c r="A92" s="214" t="s">
        <v>3113</v>
      </c>
      <c r="B92" s="64">
        <v>7.54</v>
      </c>
      <c r="C92" s="64">
        <v>57.11</v>
      </c>
      <c r="D92" s="64">
        <v>38.86</v>
      </c>
      <c r="E92" s="64">
        <v>5.21</v>
      </c>
      <c r="F92" s="64">
        <v>7.23</v>
      </c>
      <c r="G92" s="64">
        <v>185.08</v>
      </c>
      <c r="H92" s="64">
        <v>67.180000000000007</v>
      </c>
      <c r="I92" s="64">
        <v>1.5</v>
      </c>
      <c r="J92" s="64">
        <v>0.05</v>
      </c>
      <c r="K92" s="64">
        <v>23.07</v>
      </c>
      <c r="L92" s="64">
        <v>21.56</v>
      </c>
      <c r="M92" s="64">
        <v>62.32</v>
      </c>
      <c r="N92" s="64">
        <v>19.399999999999999</v>
      </c>
      <c r="O92" s="64">
        <v>0</v>
      </c>
      <c r="P92" s="64">
        <v>1.41</v>
      </c>
      <c r="Q92" s="64">
        <v>4.28</v>
      </c>
      <c r="R92" s="198"/>
      <c r="S92" s="198"/>
      <c r="T92" s="198"/>
      <c r="U92" s="198"/>
    </row>
    <row r="93" spans="1:26" s="12" customFormat="1" x14ac:dyDescent="0.25">
      <c r="A93" s="214" t="s">
        <v>3114</v>
      </c>
      <c r="B93" s="64">
        <v>19.87</v>
      </c>
      <c r="C93" s="64">
        <v>58.96</v>
      </c>
      <c r="D93" s="64">
        <v>49.76</v>
      </c>
      <c r="E93" s="64">
        <v>3.81</v>
      </c>
      <c r="F93" s="64">
        <v>1.59</v>
      </c>
      <c r="G93" s="64">
        <v>185.08</v>
      </c>
      <c r="H93" s="64">
        <v>67.180000000000007</v>
      </c>
      <c r="I93" s="64">
        <v>1.51</v>
      </c>
      <c r="J93" s="64">
        <v>0.12</v>
      </c>
      <c r="K93" s="64">
        <v>42.2</v>
      </c>
      <c r="L93" s="64">
        <v>21.36</v>
      </c>
      <c r="M93" s="64">
        <v>62.9</v>
      </c>
      <c r="N93" s="64">
        <v>19.2</v>
      </c>
      <c r="O93" s="64">
        <v>0</v>
      </c>
      <c r="P93" s="64">
        <v>1.59</v>
      </c>
      <c r="Q93" s="64">
        <v>3.14</v>
      </c>
      <c r="R93" s="198"/>
      <c r="S93" s="198"/>
      <c r="T93" s="198"/>
      <c r="U93" s="198"/>
    </row>
    <row r="94" spans="1:26" s="12" customFormat="1" x14ac:dyDescent="0.25">
      <c r="A94" s="214" t="s">
        <v>3115</v>
      </c>
      <c r="B94" s="64">
        <v>13.42</v>
      </c>
      <c r="C94" s="64">
        <v>43.67</v>
      </c>
      <c r="D94" s="64">
        <v>36.15</v>
      </c>
      <c r="E94" s="64">
        <v>3.43</v>
      </c>
      <c r="F94" s="64">
        <v>2.77</v>
      </c>
      <c r="G94" s="64">
        <v>185.08</v>
      </c>
      <c r="H94" s="64">
        <v>67.180000000000007</v>
      </c>
      <c r="I94" s="64">
        <v>1.53</v>
      </c>
      <c r="J94" s="64">
        <v>0.14000000000000001</v>
      </c>
      <c r="K94" s="64">
        <v>52.92</v>
      </c>
      <c r="L94" s="64">
        <v>21.3</v>
      </c>
      <c r="M94" s="64">
        <v>60.81</v>
      </c>
      <c r="N94" s="64">
        <v>19.2</v>
      </c>
      <c r="O94" s="64">
        <v>0</v>
      </c>
      <c r="P94" s="64">
        <v>1.43</v>
      </c>
      <c r="Q94" s="64">
        <v>3.32</v>
      </c>
      <c r="R94" s="198"/>
      <c r="S94" s="198"/>
      <c r="T94" s="198"/>
      <c r="U94" s="198"/>
    </row>
    <row r="95" spans="1:26" s="12" customFormat="1" x14ac:dyDescent="0.25">
      <c r="A95" s="214" t="s">
        <v>3116</v>
      </c>
      <c r="B95" s="64">
        <v>12.22</v>
      </c>
      <c r="C95" s="64">
        <v>53.49</v>
      </c>
      <c r="D95" s="64">
        <v>40.61</v>
      </c>
      <c r="E95" s="64">
        <v>3.17</v>
      </c>
      <c r="F95" s="64">
        <v>5.03</v>
      </c>
      <c r="G95" s="64">
        <v>172.21</v>
      </c>
      <c r="H95" s="64">
        <v>68.569999999999993</v>
      </c>
      <c r="I95" s="64">
        <v>1.52</v>
      </c>
      <c r="J95" s="64">
        <v>0.19</v>
      </c>
      <c r="K95" s="64">
        <v>48.46</v>
      </c>
      <c r="L95" s="64">
        <v>21.33</v>
      </c>
      <c r="M95" s="64">
        <v>60.7</v>
      </c>
      <c r="N95" s="64">
        <v>18.899999999999999</v>
      </c>
      <c r="O95" s="64">
        <v>0</v>
      </c>
      <c r="P95" s="64">
        <v>1.46</v>
      </c>
      <c r="Q95" s="64">
        <v>4.53</v>
      </c>
      <c r="R95" s="198"/>
      <c r="S95" s="198"/>
      <c r="T95" s="198"/>
      <c r="U95" s="198"/>
    </row>
    <row r="96" spans="1:26" s="12" customFormat="1" x14ac:dyDescent="0.25">
      <c r="A96" s="214" t="s">
        <v>3117</v>
      </c>
      <c r="B96" s="64">
        <v>10.77</v>
      </c>
      <c r="C96" s="64">
        <v>39.04</v>
      </c>
      <c r="D96" s="64">
        <v>31.48</v>
      </c>
      <c r="E96" s="64">
        <v>2.63</v>
      </c>
      <c r="F96" s="64">
        <v>5.77</v>
      </c>
      <c r="G96" s="64">
        <v>159.88999999999999</v>
      </c>
      <c r="H96" s="64">
        <v>69.209999999999994</v>
      </c>
      <c r="I96" s="64">
        <v>1.56</v>
      </c>
      <c r="J96" s="64">
        <v>0.17</v>
      </c>
      <c r="K96" s="64">
        <v>76.739999999999995</v>
      </c>
      <c r="L96" s="64">
        <v>21.24</v>
      </c>
      <c r="M96" s="64">
        <v>61.15</v>
      </c>
      <c r="N96" s="64">
        <v>18.8</v>
      </c>
      <c r="O96" s="64">
        <v>0</v>
      </c>
      <c r="P96" s="64">
        <v>1.36</v>
      </c>
      <c r="Q96" s="64">
        <v>5.26</v>
      </c>
      <c r="R96" s="198"/>
      <c r="S96" s="198"/>
      <c r="T96" s="213"/>
      <c r="U96" s="198"/>
      <c r="Z96" s="109"/>
    </row>
    <row r="97" spans="1:33" s="12" customFormat="1" x14ac:dyDescent="0.25">
      <c r="A97" s="214" t="s">
        <v>3118</v>
      </c>
      <c r="B97" s="64">
        <v>10.210000000000001</v>
      </c>
      <c r="C97" s="64">
        <v>39.56</v>
      </c>
      <c r="D97" s="64">
        <v>31.32</v>
      </c>
      <c r="E97" s="64">
        <v>2.4</v>
      </c>
      <c r="F97" s="64">
        <v>3.42</v>
      </c>
      <c r="G97" s="64">
        <v>159.88999999999999</v>
      </c>
      <c r="H97" s="64">
        <v>69.209999999999994</v>
      </c>
      <c r="I97" s="64">
        <v>1.52</v>
      </c>
      <c r="J97" s="64">
        <v>0.11</v>
      </c>
      <c r="K97" s="64">
        <v>61.42</v>
      </c>
      <c r="L97" s="64">
        <v>21.16</v>
      </c>
      <c r="M97" s="64">
        <v>61.52</v>
      </c>
      <c r="N97" s="64">
        <v>19.2</v>
      </c>
      <c r="O97" s="64">
        <v>0</v>
      </c>
      <c r="P97" s="64">
        <v>1.35</v>
      </c>
      <c r="Q97" s="64">
        <v>5.55</v>
      </c>
      <c r="R97" s="198"/>
      <c r="S97" s="198"/>
      <c r="T97" s="198"/>
      <c r="U97" s="198"/>
    </row>
    <row r="98" spans="1:33" s="12" customFormat="1" x14ac:dyDescent="0.25">
      <c r="A98" s="214" t="s">
        <v>3119</v>
      </c>
      <c r="B98" s="64">
        <v>11.32</v>
      </c>
      <c r="C98" s="64">
        <v>47.61</v>
      </c>
      <c r="D98" s="64">
        <v>36.64</v>
      </c>
      <c r="E98" s="64">
        <v>2.62</v>
      </c>
      <c r="F98" s="64">
        <v>3.52</v>
      </c>
      <c r="G98" s="64">
        <v>159.88999999999999</v>
      </c>
      <c r="H98" s="64">
        <v>69.209999999999994</v>
      </c>
      <c r="I98" s="64">
        <v>1.49</v>
      </c>
      <c r="J98" s="64">
        <v>0.13</v>
      </c>
      <c r="K98" s="64">
        <v>41.72</v>
      </c>
      <c r="L98" s="64">
        <v>20.96</v>
      </c>
      <c r="M98" s="64">
        <v>62.75</v>
      </c>
      <c r="N98" s="64">
        <v>19</v>
      </c>
      <c r="O98" s="64">
        <v>0</v>
      </c>
      <c r="P98" s="64">
        <v>1.36</v>
      </c>
      <c r="Q98" s="64">
        <v>5.44</v>
      </c>
      <c r="R98" s="198"/>
      <c r="S98" s="198"/>
      <c r="T98" s="198"/>
      <c r="U98" s="198"/>
    </row>
    <row r="99" spans="1:33" s="12" customFormat="1" x14ac:dyDescent="0.25">
      <c r="A99" s="214" t="s">
        <v>3120</v>
      </c>
      <c r="B99" s="64">
        <v>9.9</v>
      </c>
      <c r="C99" s="64">
        <v>44.84</v>
      </c>
      <c r="D99" s="64">
        <v>33.979999999999997</v>
      </c>
      <c r="E99" s="64">
        <v>2.86</v>
      </c>
      <c r="F99" s="64">
        <v>7.94</v>
      </c>
      <c r="G99" s="64">
        <v>154.47999999999999</v>
      </c>
      <c r="H99" s="64">
        <v>66.66</v>
      </c>
      <c r="I99" s="64">
        <v>1.46</v>
      </c>
      <c r="J99" s="64">
        <v>0.16</v>
      </c>
      <c r="K99" s="64">
        <v>70.56</v>
      </c>
      <c r="L99" s="64">
        <v>20.88</v>
      </c>
      <c r="M99" s="64">
        <v>62.77</v>
      </c>
      <c r="N99" s="64">
        <v>19.100000000000001</v>
      </c>
      <c r="O99" s="64">
        <v>0</v>
      </c>
      <c r="P99" s="64">
        <v>1.31</v>
      </c>
      <c r="Q99" s="64">
        <v>4.74</v>
      </c>
      <c r="R99" s="198"/>
      <c r="S99" s="198"/>
      <c r="T99" s="198"/>
      <c r="U99" s="198"/>
    </row>
    <row r="100" spans="1:33" s="12" customFormat="1" x14ac:dyDescent="0.25">
      <c r="A100" s="214" t="s">
        <v>3121</v>
      </c>
      <c r="B100" s="64">
        <v>7.97</v>
      </c>
      <c r="C100" s="64">
        <v>42.18</v>
      </c>
      <c r="D100" s="64">
        <v>30.96</v>
      </c>
      <c r="E100" s="64">
        <v>3.28</v>
      </c>
      <c r="F100" s="64">
        <v>6.68</v>
      </c>
      <c r="G100" s="64">
        <v>149.52000000000001</v>
      </c>
      <c r="H100" s="64">
        <v>65.489999999999995</v>
      </c>
      <c r="I100" s="64">
        <v>1.58</v>
      </c>
      <c r="J100" s="64">
        <v>0.12</v>
      </c>
      <c r="K100" s="64">
        <v>72.150000000000006</v>
      </c>
      <c r="L100" s="64">
        <v>20.71</v>
      </c>
      <c r="M100" s="64">
        <v>64.5</v>
      </c>
      <c r="N100" s="64">
        <v>19.3</v>
      </c>
      <c r="O100" s="64">
        <v>0</v>
      </c>
      <c r="P100" s="64">
        <v>1.28</v>
      </c>
      <c r="Q100" s="64">
        <v>5.18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3122</v>
      </c>
      <c r="B101" s="64">
        <v>9.61</v>
      </c>
      <c r="C101" s="64">
        <v>45.99</v>
      </c>
      <c r="D101" s="64">
        <v>34.380000000000003</v>
      </c>
      <c r="E101" s="64">
        <v>3.05</v>
      </c>
      <c r="F101" s="64">
        <v>3</v>
      </c>
      <c r="G101" s="64">
        <v>149.52000000000001</v>
      </c>
      <c r="H101" s="64">
        <v>65.489999999999995</v>
      </c>
      <c r="I101" s="64">
        <v>1.49</v>
      </c>
      <c r="J101" s="64">
        <v>0.13</v>
      </c>
      <c r="K101" s="64">
        <v>24.85</v>
      </c>
      <c r="L101" s="64">
        <v>20.53</v>
      </c>
      <c r="M101" s="64">
        <v>64.739999999999995</v>
      </c>
      <c r="N101" s="64">
        <v>19.3</v>
      </c>
      <c r="O101" s="64">
        <v>0</v>
      </c>
      <c r="P101" s="64">
        <v>1.37</v>
      </c>
      <c r="Q101" s="64">
        <v>5.07</v>
      </c>
      <c r="R101" s="198"/>
      <c r="S101" s="198"/>
      <c r="T101" s="198"/>
      <c r="U101" s="198"/>
    </row>
    <row r="102" spans="1:33" s="12" customFormat="1" x14ac:dyDescent="0.25">
      <c r="A102" s="214" t="s">
        <v>3123</v>
      </c>
      <c r="B102" s="64">
        <v>7.73</v>
      </c>
      <c r="C102" s="64">
        <v>48.91</v>
      </c>
      <c r="D102" s="64">
        <v>34.479999999999997</v>
      </c>
      <c r="E102" s="64">
        <v>3.07</v>
      </c>
      <c r="F102" s="64">
        <v>8.3800000000000008</v>
      </c>
      <c r="G102" s="64">
        <v>149.52000000000001</v>
      </c>
      <c r="H102" s="64">
        <v>65.489999999999995</v>
      </c>
      <c r="I102" s="64">
        <v>1.47</v>
      </c>
      <c r="J102" s="64">
        <v>7.0000000000000007E-2</v>
      </c>
      <c r="K102" s="64">
        <v>23.75</v>
      </c>
      <c r="L102" s="64">
        <v>20.34</v>
      </c>
      <c r="M102" s="64">
        <v>64.349999999999994</v>
      </c>
      <c r="N102" s="64">
        <v>19.5</v>
      </c>
      <c r="O102" s="64">
        <v>0</v>
      </c>
      <c r="P102" s="64">
        <v>1.27</v>
      </c>
      <c r="Q102" s="64">
        <v>5.22</v>
      </c>
      <c r="R102" s="198"/>
      <c r="S102" s="198"/>
      <c r="T102" s="198"/>
      <c r="U102" s="198"/>
    </row>
    <row r="103" spans="1:33" s="12" customFormat="1" x14ac:dyDescent="0.25">
      <c r="A103" s="214" t="s">
        <v>3124</v>
      </c>
      <c r="B103" s="64">
        <v>12.36</v>
      </c>
      <c r="C103" s="64">
        <v>37.92</v>
      </c>
      <c r="D103" s="64">
        <v>32.130000000000003</v>
      </c>
      <c r="E103" s="64">
        <v>3.05</v>
      </c>
      <c r="F103" s="64">
        <v>1.92</v>
      </c>
      <c r="G103" s="64">
        <v>138.77000000000001</v>
      </c>
      <c r="H103" s="64">
        <v>67.55</v>
      </c>
      <c r="I103" s="64">
        <v>1.44</v>
      </c>
      <c r="J103" s="64">
        <v>0.12</v>
      </c>
      <c r="K103" s="64">
        <v>300.61</v>
      </c>
      <c r="L103" s="64">
        <v>19.899999999999999</v>
      </c>
      <c r="M103" s="64">
        <v>69.59</v>
      </c>
      <c r="N103" s="64">
        <v>19.399999999999999</v>
      </c>
      <c r="O103" s="64">
        <v>0</v>
      </c>
      <c r="P103" s="64">
        <v>1.36</v>
      </c>
      <c r="Q103" s="64">
        <v>4.93</v>
      </c>
      <c r="R103" s="198"/>
      <c r="S103" s="198"/>
      <c r="T103" s="198"/>
      <c r="U103" s="198"/>
    </row>
    <row r="104" spans="1:33" s="12" customFormat="1" x14ac:dyDescent="0.25">
      <c r="A104" s="214" t="s">
        <v>3125</v>
      </c>
      <c r="B104" s="64">
        <v>11.79</v>
      </c>
      <c r="C104" s="64">
        <v>31.8</v>
      </c>
      <c r="D104" s="64">
        <v>28.29</v>
      </c>
      <c r="E104" s="64">
        <v>1.85</v>
      </c>
      <c r="F104" s="64">
        <v>0.89</v>
      </c>
      <c r="G104" s="64">
        <v>128.93</v>
      </c>
      <c r="H104" s="64">
        <v>69.430000000000007</v>
      </c>
      <c r="I104" s="64">
        <v>1.51</v>
      </c>
      <c r="J104" s="64">
        <v>0.03</v>
      </c>
      <c r="K104" s="64">
        <v>297.47000000000003</v>
      </c>
      <c r="L104" s="64">
        <v>19.71</v>
      </c>
      <c r="M104" s="64">
        <v>68.94</v>
      </c>
      <c r="N104" s="64">
        <v>19.3</v>
      </c>
      <c r="O104" s="64">
        <v>0</v>
      </c>
      <c r="P104" s="64">
        <v>1.34</v>
      </c>
      <c r="Q104" s="64">
        <v>5.31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</v>
      </c>
      <c r="C106" s="67">
        <f>MIN(C9:C104)</f>
        <v>21.49</v>
      </c>
      <c r="D106" s="67">
        <f t="shared" ref="D106:Q106" si="0">MIN(D9:D104)</f>
        <v>14.75</v>
      </c>
      <c r="E106" s="67">
        <f t="shared" si="0"/>
        <v>0.43</v>
      </c>
      <c r="F106" s="67">
        <f t="shared" si="0"/>
        <v>0.04</v>
      </c>
      <c r="G106" s="67">
        <f t="shared" si="0"/>
        <v>33.869999999999997</v>
      </c>
      <c r="H106" s="67">
        <f t="shared" si="0"/>
        <v>41.21</v>
      </c>
      <c r="I106" s="67">
        <f t="shared" si="0"/>
        <v>1.41</v>
      </c>
      <c r="J106" s="67">
        <f t="shared" si="0"/>
        <v>0</v>
      </c>
      <c r="K106" s="67">
        <f t="shared" si="0"/>
        <v>0</v>
      </c>
      <c r="L106" s="67">
        <f t="shared" si="0"/>
        <v>-58</v>
      </c>
      <c r="M106" s="67">
        <f t="shared" si="0"/>
        <v>-27</v>
      </c>
      <c r="N106" s="67">
        <f t="shared" si="0"/>
        <v>11.5</v>
      </c>
      <c r="O106" s="67">
        <f t="shared" si="0"/>
        <v>0</v>
      </c>
      <c r="P106" s="67">
        <f t="shared" si="0"/>
        <v>0.5</v>
      </c>
      <c r="Q106" s="67">
        <f t="shared" si="0"/>
        <v>0.65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59.73</v>
      </c>
      <c r="C107" s="66">
        <f t="shared" ref="C107:Q107" si="1">MAX(C9:C104)</f>
        <v>97.73</v>
      </c>
      <c r="D107" s="66">
        <f t="shared" si="1"/>
        <v>101.75</v>
      </c>
      <c r="E107" s="66">
        <f t="shared" si="1"/>
        <v>15.85</v>
      </c>
      <c r="F107" s="66">
        <f t="shared" si="1"/>
        <v>51.05</v>
      </c>
      <c r="G107" s="66">
        <f t="shared" si="1"/>
        <v>292.85000000000002</v>
      </c>
      <c r="H107" s="66">
        <f t="shared" si="1"/>
        <v>131.88</v>
      </c>
      <c r="I107" s="66">
        <f t="shared" si="1"/>
        <v>1.6</v>
      </c>
      <c r="J107" s="66">
        <f t="shared" si="1"/>
        <v>1.91</v>
      </c>
      <c r="K107" s="66">
        <f t="shared" si="1"/>
        <v>353.71</v>
      </c>
      <c r="L107" s="66">
        <f t="shared" si="1"/>
        <v>28.14</v>
      </c>
      <c r="M107" s="66">
        <f t="shared" si="1"/>
        <v>94.85</v>
      </c>
      <c r="N107" s="66">
        <f t="shared" si="1"/>
        <v>86.7</v>
      </c>
      <c r="O107" s="66">
        <f t="shared" si="1"/>
        <v>0</v>
      </c>
      <c r="P107" s="66">
        <f t="shared" si="1"/>
        <v>2.77</v>
      </c>
      <c r="Q107" s="66">
        <f t="shared" si="1"/>
        <v>9.73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23.701145833333324</v>
      </c>
      <c r="C108" s="67">
        <f t="shared" ref="C108:Q108" si="2">AVERAGE(C9:C104)</f>
        <v>36.513749999999995</v>
      </c>
      <c r="D108" s="67">
        <f t="shared" si="2"/>
        <v>40.449374999999996</v>
      </c>
      <c r="E108" s="67">
        <f t="shared" si="2"/>
        <v>3.171145833333334</v>
      </c>
      <c r="F108" s="67">
        <f t="shared" si="2"/>
        <v>6.0496874999999983</v>
      </c>
      <c r="G108" s="67">
        <f t="shared" si="2"/>
        <v>144.45000000000002</v>
      </c>
      <c r="H108" s="67">
        <f t="shared" si="2"/>
        <v>77.91020833333333</v>
      </c>
      <c r="I108" s="67">
        <f t="shared" si="2"/>
        <v>1.4937500000000001</v>
      </c>
      <c r="J108" s="67">
        <f t="shared" si="2"/>
        <v>0.30979166666666674</v>
      </c>
      <c r="K108" s="67">
        <f t="shared" si="2"/>
        <v>152.10322916666661</v>
      </c>
      <c r="L108" s="67">
        <f t="shared" si="2"/>
        <v>21.339062500000001</v>
      </c>
      <c r="M108" s="67">
        <f t="shared" si="2"/>
        <v>60.413854166666674</v>
      </c>
      <c r="N108" s="67">
        <f t="shared" si="2"/>
        <v>24.090163934426236</v>
      </c>
      <c r="O108" s="67">
        <f t="shared" si="2"/>
        <v>0</v>
      </c>
      <c r="P108" s="67">
        <f t="shared" si="2"/>
        <v>1.2862500000000001</v>
      </c>
      <c r="Q108" s="67">
        <f t="shared" si="2"/>
        <v>6.2778125000000005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20.600105460628967</v>
      </c>
      <c r="C109" s="67">
        <f t="shared" ref="C109:Q109" si="3">STDEV(C9:C104)</f>
        <v>13.48370121372659</v>
      </c>
      <c r="D109" s="67">
        <f t="shared" si="3"/>
        <v>17.536572179755932</v>
      </c>
      <c r="E109" s="67">
        <f t="shared" si="3"/>
        <v>2.5934767843843018</v>
      </c>
      <c r="F109" s="67">
        <f t="shared" si="3"/>
        <v>10.013659981101084</v>
      </c>
      <c r="G109" s="67">
        <f t="shared" si="3"/>
        <v>67.081036539083925</v>
      </c>
      <c r="H109" s="67">
        <f t="shared" si="3"/>
        <v>26.950153675146954</v>
      </c>
      <c r="I109" s="67">
        <f t="shared" si="3"/>
        <v>3.6252041684790542E-2</v>
      </c>
      <c r="J109" s="67">
        <f t="shared" si="3"/>
        <v>0.35442163165142182</v>
      </c>
      <c r="K109" s="67">
        <f t="shared" si="3"/>
        <v>104.0054223737731</v>
      </c>
      <c r="L109" s="67">
        <f t="shared" si="3"/>
        <v>9.0761131349360049</v>
      </c>
      <c r="M109" s="67">
        <f t="shared" si="3"/>
        <v>21.970521176761107</v>
      </c>
      <c r="N109" s="67">
        <f t="shared" si="3"/>
        <v>15.403578641753251</v>
      </c>
      <c r="O109" s="67">
        <f t="shared" si="3"/>
        <v>0</v>
      </c>
      <c r="P109" s="67">
        <f t="shared" si="3"/>
        <v>0.43157057116390163</v>
      </c>
      <c r="Q109" s="67">
        <f t="shared" si="3"/>
        <v>2.1657988452665444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COUNT(N9:N104)+35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selection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31-10-2023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8" t="s">
        <v>51</v>
      </c>
      <c r="R8" s="196"/>
      <c r="S8" s="197"/>
      <c r="T8" s="196"/>
      <c r="U8" s="196"/>
    </row>
    <row r="9" spans="1:21" s="12" customFormat="1" x14ac:dyDescent="0.25">
      <c r="A9" s="214" t="s">
        <v>3126</v>
      </c>
      <c r="B9" s="64">
        <v>10.38</v>
      </c>
      <c r="C9" s="64">
        <v>30.09</v>
      </c>
      <c r="D9" s="64">
        <v>26.22</v>
      </c>
      <c r="E9" s="64">
        <v>2.61</v>
      </c>
      <c r="F9" s="64">
        <v>1.1299999999999999</v>
      </c>
      <c r="G9" s="64">
        <v>128.93</v>
      </c>
      <c r="H9" s="64">
        <v>69.430000000000007</v>
      </c>
      <c r="I9" s="64">
        <v>1.46</v>
      </c>
      <c r="J9" s="64">
        <v>0.06</v>
      </c>
      <c r="K9" s="64">
        <v>203.72</v>
      </c>
      <c r="L9" s="64">
        <v>19.93</v>
      </c>
      <c r="M9" s="64">
        <v>67.37</v>
      </c>
      <c r="N9" s="64">
        <v>18.8</v>
      </c>
      <c r="O9" s="64">
        <v>0</v>
      </c>
      <c r="P9" s="64">
        <v>1.32</v>
      </c>
      <c r="Q9" s="64">
        <v>5.62</v>
      </c>
      <c r="R9" s="198"/>
      <c r="S9" s="198"/>
      <c r="T9" s="198"/>
      <c r="U9" s="198"/>
    </row>
    <row r="10" spans="1:21" s="12" customFormat="1" x14ac:dyDescent="0.25">
      <c r="A10" s="214" t="s">
        <v>3127</v>
      </c>
      <c r="B10" s="64">
        <v>9.65</v>
      </c>
      <c r="C10" s="64">
        <v>29.37</v>
      </c>
      <c r="D10" s="64">
        <v>25.24</v>
      </c>
      <c r="E10" s="64">
        <v>2.5099999999999998</v>
      </c>
      <c r="F10" s="64">
        <v>0.84</v>
      </c>
      <c r="G10" s="64">
        <v>128.93</v>
      </c>
      <c r="H10" s="64">
        <v>69.430000000000007</v>
      </c>
      <c r="I10" s="64">
        <v>1.47</v>
      </c>
      <c r="J10" s="64">
        <v>0.08</v>
      </c>
      <c r="K10" s="64">
        <v>144.19999999999999</v>
      </c>
      <c r="L10" s="64">
        <v>20.059999999999999</v>
      </c>
      <c r="M10" s="64">
        <v>65.77</v>
      </c>
      <c r="N10" s="64">
        <v>18.7</v>
      </c>
      <c r="O10" s="64">
        <v>0</v>
      </c>
      <c r="P10" s="64">
        <v>1.3</v>
      </c>
      <c r="Q10" s="64">
        <v>5.65</v>
      </c>
      <c r="R10" s="198"/>
      <c r="S10" s="198"/>
      <c r="T10" s="198"/>
      <c r="U10" s="198"/>
    </row>
    <row r="11" spans="1:21" s="12" customFormat="1" x14ac:dyDescent="0.25">
      <c r="A11" s="214" t="s">
        <v>3128</v>
      </c>
      <c r="B11" s="64">
        <v>8.6999999999999993</v>
      </c>
      <c r="C11" s="64">
        <v>28.93</v>
      </c>
      <c r="D11" s="64">
        <v>24.24</v>
      </c>
      <c r="E11" s="64">
        <v>2.54</v>
      </c>
      <c r="F11" s="64">
        <v>2.2799999999999998</v>
      </c>
      <c r="G11" s="64">
        <v>120.17</v>
      </c>
      <c r="H11" s="64">
        <v>64.78</v>
      </c>
      <c r="I11" s="64">
        <v>1.55</v>
      </c>
      <c r="J11" s="64">
        <v>0.03</v>
      </c>
      <c r="K11" s="64">
        <v>286.62</v>
      </c>
      <c r="L11" s="64">
        <v>20.07</v>
      </c>
      <c r="M11" s="64">
        <v>66.28</v>
      </c>
      <c r="N11" s="64">
        <v>19.2</v>
      </c>
      <c r="O11" s="64">
        <v>0</v>
      </c>
      <c r="P11" s="64">
        <v>1.26</v>
      </c>
      <c r="Q11" s="64">
        <v>5.61</v>
      </c>
      <c r="R11" s="198"/>
      <c r="S11" s="198"/>
      <c r="T11" s="198"/>
      <c r="U11" s="198"/>
    </row>
    <row r="12" spans="1:21" s="12" customFormat="1" x14ac:dyDescent="0.25">
      <c r="A12" s="214" t="s">
        <v>3129</v>
      </c>
      <c r="B12" s="64">
        <v>8.5299999999999994</v>
      </c>
      <c r="C12" s="64">
        <v>34.72</v>
      </c>
      <c r="D12" s="64">
        <v>27.29</v>
      </c>
      <c r="E12" s="64">
        <v>2.35</v>
      </c>
      <c r="F12" s="64">
        <v>0.98</v>
      </c>
      <c r="G12" s="64">
        <v>112.16</v>
      </c>
      <c r="H12" s="64">
        <v>62.66</v>
      </c>
      <c r="I12" s="64">
        <v>1.48</v>
      </c>
      <c r="J12" s="64">
        <v>0.17</v>
      </c>
      <c r="K12" s="64">
        <v>297.97000000000003</v>
      </c>
      <c r="L12" s="64">
        <v>19.399999999999999</v>
      </c>
      <c r="M12" s="64">
        <v>73.209999999999994</v>
      </c>
      <c r="N12" s="64">
        <v>19.600000000000001</v>
      </c>
      <c r="O12" s="64">
        <v>0</v>
      </c>
      <c r="P12" s="64">
        <v>1.26</v>
      </c>
      <c r="Q12" s="64">
        <v>5.5</v>
      </c>
      <c r="R12" s="198"/>
      <c r="S12" s="198"/>
      <c r="T12" s="198"/>
      <c r="U12" s="198"/>
    </row>
    <row r="13" spans="1:21" s="12" customFormat="1" x14ac:dyDescent="0.25">
      <c r="A13" s="214" t="s">
        <v>3130</v>
      </c>
      <c r="B13" s="64">
        <v>8.18</v>
      </c>
      <c r="C13" s="64">
        <v>29.16</v>
      </c>
      <c r="D13" s="64">
        <v>23.94</v>
      </c>
      <c r="E13" s="64">
        <v>2.59</v>
      </c>
      <c r="F13" s="64">
        <v>0.56000000000000005</v>
      </c>
      <c r="G13" s="64">
        <v>112.16</v>
      </c>
      <c r="H13" s="64">
        <v>62.66</v>
      </c>
      <c r="I13" s="64">
        <v>1.52</v>
      </c>
      <c r="J13" s="64">
        <v>0.13</v>
      </c>
      <c r="K13" s="64">
        <v>309.66000000000003</v>
      </c>
      <c r="L13" s="64">
        <v>18.829999999999998</v>
      </c>
      <c r="M13" s="64">
        <v>77.28</v>
      </c>
      <c r="N13" s="64">
        <v>19.600000000000001</v>
      </c>
      <c r="O13" s="64">
        <v>0</v>
      </c>
      <c r="P13" s="64">
        <v>1.1100000000000001</v>
      </c>
      <c r="Q13" s="64">
        <v>5.51</v>
      </c>
      <c r="R13" s="198"/>
      <c r="S13" s="198"/>
      <c r="T13" s="198"/>
      <c r="U13" s="198"/>
    </row>
    <row r="14" spans="1:21" s="12" customFormat="1" x14ac:dyDescent="0.25">
      <c r="A14" s="214" t="s">
        <v>3131</v>
      </c>
      <c r="B14" s="64">
        <v>7.67</v>
      </c>
      <c r="C14" s="64">
        <v>28.91</v>
      </c>
      <c r="D14" s="64">
        <v>23.4</v>
      </c>
      <c r="E14" s="64">
        <v>2.4300000000000002</v>
      </c>
      <c r="F14" s="64">
        <v>2.5099999999999998</v>
      </c>
      <c r="G14" s="64">
        <v>112.16</v>
      </c>
      <c r="H14" s="64">
        <v>62.66</v>
      </c>
      <c r="I14" s="64">
        <v>1.43</v>
      </c>
      <c r="J14" s="64">
        <v>0.13</v>
      </c>
      <c r="K14" s="64">
        <v>290.68</v>
      </c>
      <c r="L14" s="64">
        <v>18.52</v>
      </c>
      <c r="M14" s="64">
        <v>78.87</v>
      </c>
      <c r="N14" s="64">
        <v>19.5</v>
      </c>
      <c r="O14" s="64">
        <v>0</v>
      </c>
      <c r="P14" s="64">
        <v>1.1100000000000001</v>
      </c>
      <c r="Q14" s="64">
        <v>5.46</v>
      </c>
      <c r="R14" s="198"/>
      <c r="S14" s="198"/>
      <c r="T14" s="198"/>
      <c r="U14" s="198"/>
    </row>
    <row r="15" spans="1:21" s="12" customFormat="1" x14ac:dyDescent="0.25">
      <c r="A15" s="214" t="s">
        <v>3132</v>
      </c>
      <c r="B15" s="64">
        <v>7.25</v>
      </c>
      <c r="C15" s="64">
        <v>29.19</v>
      </c>
      <c r="D15" s="64">
        <v>23.22</v>
      </c>
      <c r="E15" s="64">
        <v>2.54</v>
      </c>
      <c r="F15" s="64">
        <v>2.99</v>
      </c>
      <c r="G15" s="64">
        <v>116.3</v>
      </c>
      <c r="H15" s="64">
        <v>63.38</v>
      </c>
      <c r="I15" s="64">
        <v>1.54</v>
      </c>
      <c r="J15" s="64">
        <v>0.12</v>
      </c>
      <c r="K15" s="64">
        <v>278.67</v>
      </c>
      <c r="L15" s="64">
        <v>18.55</v>
      </c>
      <c r="M15" s="64">
        <v>77.53</v>
      </c>
      <c r="N15" s="64">
        <v>19.3</v>
      </c>
      <c r="O15" s="64">
        <v>0</v>
      </c>
      <c r="P15" s="64">
        <v>1.0900000000000001</v>
      </c>
      <c r="Q15" s="64">
        <v>5.47</v>
      </c>
      <c r="R15" s="198"/>
      <c r="S15" s="198"/>
      <c r="T15" s="198"/>
      <c r="U15" s="198"/>
    </row>
    <row r="16" spans="1:21" s="12" customFormat="1" x14ac:dyDescent="0.25">
      <c r="A16" s="214" t="s">
        <v>3133</v>
      </c>
      <c r="B16" s="64">
        <v>6.86</v>
      </c>
      <c r="C16" s="64">
        <v>28.47</v>
      </c>
      <c r="D16" s="64">
        <v>22.5</v>
      </c>
      <c r="E16" s="64">
        <v>2.56</v>
      </c>
      <c r="F16" s="64">
        <v>3.18</v>
      </c>
      <c r="G16" s="64">
        <v>120.27</v>
      </c>
      <c r="H16" s="64">
        <v>63.71</v>
      </c>
      <c r="I16" s="64">
        <v>1.49</v>
      </c>
      <c r="J16" s="64">
        <v>0.15</v>
      </c>
      <c r="K16" s="64">
        <v>244.63</v>
      </c>
      <c r="L16" s="64">
        <v>18.77</v>
      </c>
      <c r="M16" s="64">
        <v>75.709999999999994</v>
      </c>
      <c r="N16" s="64">
        <v>19.2</v>
      </c>
      <c r="O16" s="64">
        <v>0</v>
      </c>
      <c r="P16" s="64">
        <v>1.05</v>
      </c>
      <c r="Q16" s="64">
        <v>5.44</v>
      </c>
      <c r="R16" s="198"/>
      <c r="S16" s="198"/>
      <c r="T16" s="198"/>
      <c r="U16" s="198"/>
    </row>
    <row r="17" spans="1:21" s="12" customFormat="1" x14ac:dyDescent="0.25">
      <c r="A17" s="214" t="s">
        <v>3134</v>
      </c>
      <c r="B17" s="64">
        <v>6.75</v>
      </c>
      <c r="C17" s="64">
        <v>28.98</v>
      </c>
      <c r="D17" s="64">
        <v>22.7</v>
      </c>
      <c r="E17" s="64">
        <v>2.15</v>
      </c>
      <c r="F17" s="64">
        <v>2.77</v>
      </c>
      <c r="G17" s="64">
        <v>120.27</v>
      </c>
      <c r="H17" s="64">
        <v>63.71</v>
      </c>
      <c r="I17" s="64">
        <v>1.5</v>
      </c>
      <c r="J17" s="64">
        <v>0.13</v>
      </c>
      <c r="K17" s="64">
        <v>273.64999999999998</v>
      </c>
      <c r="L17" s="64">
        <v>18.73</v>
      </c>
      <c r="M17" s="64">
        <v>77.14</v>
      </c>
      <c r="N17" s="64">
        <v>19.399999999999999</v>
      </c>
      <c r="O17" s="64">
        <v>0</v>
      </c>
      <c r="P17" s="64">
        <v>1.01</v>
      </c>
      <c r="Q17" s="64">
        <v>5.34</v>
      </c>
      <c r="R17" s="198"/>
      <c r="S17" s="198"/>
      <c r="T17" s="198"/>
      <c r="U17" s="198"/>
    </row>
    <row r="18" spans="1:21" s="12" customFormat="1" x14ac:dyDescent="0.25">
      <c r="A18" s="214" t="s">
        <v>3135</v>
      </c>
      <c r="B18" s="64">
        <v>7.75</v>
      </c>
      <c r="C18" s="64">
        <v>30.1</v>
      </c>
      <c r="D18" s="64">
        <v>24.12</v>
      </c>
      <c r="E18" s="64">
        <v>2.48</v>
      </c>
      <c r="F18" s="64">
        <v>2.87</v>
      </c>
      <c r="G18" s="64">
        <v>120.27</v>
      </c>
      <c r="H18" s="64">
        <v>63.71</v>
      </c>
      <c r="I18" s="64">
        <v>1.54</v>
      </c>
      <c r="J18" s="64">
        <v>0.1</v>
      </c>
      <c r="K18" s="64">
        <v>296.77</v>
      </c>
      <c r="L18" s="64">
        <v>18.37</v>
      </c>
      <c r="M18" s="64">
        <v>81.34</v>
      </c>
      <c r="N18" s="64">
        <v>19.600000000000001</v>
      </c>
      <c r="O18" s="64">
        <v>0</v>
      </c>
      <c r="P18" s="64">
        <v>1</v>
      </c>
      <c r="Q18" s="64">
        <v>5.32</v>
      </c>
      <c r="R18" s="198"/>
      <c r="S18" s="198"/>
      <c r="T18" s="198"/>
      <c r="U18" s="198"/>
    </row>
    <row r="19" spans="1:21" s="12" customFormat="1" x14ac:dyDescent="0.25">
      <c r="A19" s="214" t="s">
        <v>3136</v>
      </c>
      <c r="B19" s="64">
        <v>8.93</v>
      </c>
      <c r="C19" s="64">
        <v>27.22</v>
      </c>
      <c r="D19" s="64">
        <v>23.48</v>
      </c>
      <c r="E19" s="64">
        <v>2.64</v>
      </c>
      <c r="F19" s="64">
        <v>0.73</v>
      </c>
      <c r="G19" s="64">
        <v>113.91</v>
      </c>
      <c r="H19" s="64">
        <v>61.18</v>
      </c>
      <c r="I19" s="64">
        <v>1.52</v>
      </c>
      <c r="J19" s="64">
        <v>0.11</v>
      </c>
      <c r="K19" s="64">
        <v>289.12</v>
      </c>
      <c r="L19" s="64">
        <v>17.87</v>
      </c>
      <c r="M19" s="64">
        <v>85.82</v>
      </c>
      <c r="N19" s="64">
        <v>19.7</v>
      </c>
      <c r="O19" s="64">
        <v>0</v>
      </c>
      <c r="P19" s="64">
        <v>1.04</v>
      </c>
      <c r="Q19" s="64">
        <v>5.3</v>
      </c>
      <c r="R19" s="198"/>
      <c r="S19" s="198"/>
      <c r="T19" s="198"/>
      <c r="U19" s="198"/>
    </row>
    <row r="20" spans="1:21" s="12" customFormat="1" x14ac:dyDescent="0.25">
      <c r="A20" s="214" t="s">
        <v>3137</v>
      </c>
      <c r="B20" s="64">
        <v>7.55</v>
      </c>
      <c r="C20" s="64">
        <v>24.73</v>
      </c>
      <c r="D20" s="64">
        <v>20.99</v>
      </c>
      <c r="E20" s="64">
        <v>2.35</v>
      </c>
      <c r="F20" s="64">
        <v>0.43</v>
      </c>
      <c r="G20" s="64">
        <v>107.82</v>
      </c>
      <c r="H20" s="64">
        <v>60.02</v>
      </c>
      <c r="I20" s="64">
        <v>1.49</v>
      </c>
      <c r="J20" s="64">
        <v>0.16</v>
      </c>
      <c r="K20" s="64">
        <v>309.49</v>
      </c>
      <c r="L20" s="64">
        <v>17.649999999999999</v>
      </c>
      <c r="M20" s="64">
        <v>88.94</v>
      </c>
      <c r="N20" s="64">
        <v>19.600000000000001</v>
      </c>
      <c r="O20" s="64">
        <v>0</v>
      </c>
      <c r="P20" s="64">
        <v>1.03</v>
      </c>
      <c r="Q20" s="64">
        <v>5.37</v>
      </c>
      <c r="R20" s="198"/>
      <c r="S20" s="198"/>
      <c r="T20" s="198"/>
      <c r="U20" s="198"/>
    </row>
    <row r="21" spans="1:21" s="12" customFormat="1" x14ac:dyDescent="0.25">
      <c r="A21" s="214" t="s">
        <v>3138</v>
      </c>
      <c r="B21" s="64">
        <v>7.37</v>
      </c>
      <c r="C21" s="64">
        <v>23.87</v>
      </c>
      <c r="D21" s="64">
        <v>20.37</v>
      </c>
      <c r="E21" s="64">
        <v>2.15</v>
      </c>
      <c r="F21" s="64">
        <v>0.27</v>
      </c>
      <c r="G21" s="64">
        <v>107.82</v>
      </c>
      <c r="H21" s="64">
        <v>60.02</v>
      </c>
      <c r="I21" s="64">
        <v>1.53</v>
      </c>
      <c r="J21" s="64">
        <v>0.11</v>
      </c>
      <c r="K21" s="64">
        <v>286.70999999999998</v>
      </c>
      <c r="L21" s="64">
        <v>17.329999999999998</v>
      </c>
      <c r="M21" s="64">
        <v>92.07</v>
      </c>
      <c r="N21" s="64">
        <v>19.5</v>
      </c>
      <c r="O21" s="64">
        <v>0</v>
      </c>
      <c r="P21" s="64">
        <v>1</v>
      </c>
      <c r="Q21" s="64">
        <v>5.4</v>
      </c>
      <c r="R21" s="198"/>
      <c r="S21" s="198"/>
      <c r="T21" s="198"/>
      <c r="U21" s="198"/>
    </row>
    <row r="22" spans="1:21" s="12" customFormat="1" x14ac:dyDescent="0.25">
      <c r="A22" s="214" t="s">
        <v>3139</v>
      </c>
      <c r="B22" s="64">
        <v>7.43</v>
      </c>
      <c r="C22" s="64">
        <v>24.21</v>
      </c>
      <c r="D22" s="64">
        <v>20.61</v>
      </c>
      <c r="E22" s="64">
        <v>2.1800000000000002</v>
      </c>
      <c r="F22" s="64">
        <v>0.27</v>
      </c>
      <c r="G22" s="64">
        <v>107.82</v>
      </c>
      <c r="H22" s="64">
        <v>60.02</v>
      </c>
      <c r="I22" s="64">
        <v>1.51</v>
      </c>
      <c r="J22" s="64">
        <v>0.36</v>
      </c>
      <c r="K22" s="64">
        <v>323.3</v>
      </c>
      <c r="L22" s="64">
        <v>17.29</v>
      </c>
      <c r="M22" s="64">
        <v>91.87</v>
      </c>
      <c r="N22" s="64">
        <v>18.8</v>
      </c>
      <c r="O22" s="64">
        <v>0</v>
      </c>
      <c r="P22" s="64">
        <v>1</v>
      </c>
      <c r="Q22" s="64">
        <v>5.42</v>
      </c>
      <c r="R22" s="198"/>
      <c r="S22" s="198"/>
      <c r="T22" s="198"/>
      <c r="U22" s="198"/>
    </row>
    <row r="23" spans="1:21" s="12" customFormat="1" x14ac:dyDescent="0.25">
      <c r="A23" s="214" t="s">
        <v>3140</v>
      </c>
      <c r="B23" s="64">
        <v>7.85</v>
      </c>
      <c r="C23" s="64">
        <v>24.82</v>
      </c>
      <c r="D23" s="64">
        <v>21.29</v>
      </c>
      <c r="E23" s="64">
        <v>2.2999999999999998</v>
      </c>
      <c r="F23" s="64">
        <v>0.18</v>
      </c>
      <c r="G23" s="64">
        <v>114.29</v>
      </c>
      <c r="H23" s="64">
        <v>62.53</v>
      </c>
      <c r="I23" s="64">
        <v>1.54</v>
      </c>
      <c r="J23" s="64">
        <v>0.31</v>
      </c>
      <c r="K23" s="64">
        <v>336.26</v>
      </c>
      <c r="L23" s="64">
        <v>17.36</v>
      </c>
      <c r="M23" s="64">
        <v>90.58</v>
      </c>
      <c r="N23" s="64">
        <v>19</v>
      </c>
      <c r="O23" s="64">
        <v>0</v>
      </c>
      <c r="P23" s="64">
        <v>1.01</v>
      </c>
      <c r="Q23" s="64">
        <v>5.44</v>
      </c>
      <c r="R23" s="198"/>
      <c r="S23" s="198"/>
      <c r="T23" s="198"/>
      <c r="U23" s="198"/>
    </row>
    <row r="24" spans="1:21" s="12" customFormat="1" x14ac:dyDescent="0.25">
      <c r="A24" s="214" t="s">
        <v>3141</v>
      </c>
      <c r="B24" s="64">
        <v>8.15</v>
      </c>
      <c r="C24" s="64">
        <v>25.3</v>
      </c>
      <c r="D24" s="64">
        <v>21.79</v>
      </c>
      <c r="E24" s="64">
        <v>0.96</v>
      </c>
      <c r="F24" s="64">
        <v>0.18</v>
      </c>
      <c r="G24" s="64">
        <v>120.49</v>
      </c>
      <c r="H24" s="64">
        <v>63.67</v>
      </c>
      <c r="I24" s="64">
        <v>1.54</v>
      </c>
      <c r="J24" s="64">
        <v>0.14000000000000001</v>
      </c>
      <c r="K24" s="64">
        <v>351.52</v>
      </c>
      <c r="L24" s="64">
        <v>17.38</v>
      </c>
      <c r="M24" s="64">
        <v>89.23</v>
      </c>
      <c r="N24" s="64">
        <v>19.399999999999999</v>
      </c>
      <c r="O24" s="64">
        <v>0</v>
      </c>
      <c r="P24" s="64">
        <v>1.02</v>
      </c>
      <c r="Q24" s="64">
        <v>5.46</v>
      </c>
      <c r="R24" s="198"/>
      <c r="S24" s="198"/>
      <c r="T24" s="198"/>
      <c r="U24" s="198"/>
    </row>
    <row r="25" spans="1:21" s="12" customFormat="1" x14ac:dyDescent="0.25">
      <c r="A25" s="214" t="s">
        <v>3142</v>
      </c>
      <c r="B25" s="64">
        <v>8.26</v>
      </c>
      <c r="C25" s="64">
        <v>24.77</v>
      </c>
      <c r="D25" s="64">
        <v>21.59</v>
      </c>
      <c r="E25" s="64">
        <v>1.64</v>
      </c>
      <c r="F25" s="64">
        <v>0.18</v>
      </c>
      <c r="G25" s="64">
        <v>120.49</v>
      </c>
      <c r="H25" s="64">
        <v>63.67</v>
      </c>
      <c r="I25" s="64">
        <v>1.49</v>
      </c>
      <c r="J25" s="64">
        <v>0.18</v>
      </c>
      <c r="K25" s="64">
        <v>336.27</v>
      </c>
      <c r="L25" s="64">
        <v>17.37</v>
      </c>
      <c r="M25" s="64">
        <v>88.53</v>
      </c>
      <c r="N25" s="64">
        <v>19.3</v>
      </c>
      <c r="O25" s="64">
        <v>0</v>
      </c>
      <c r="P25" s="64">
        <v>1.01</v>
      </c>
      <c r="Q25" s="64">
        <v>5.49</v>
      </c>
      <c r="R25" s="198"/>
      <c r="S25" s="198"/>
      <c r="T25" s="198"/>
      <c r="U25" s="198"/>
    </row>
    <row r="26" spans="1:21" s="12" customFormat="1" x14ac:dyDescent="0.25">
      <c r="A26" s="214" t="s">
        <v>3143</v>
      </c>
      <c r="B26" s="64">
        <v>8.2100000000000009</v>
      </c>
      <c r="C26" s="64">
        <v>28.2</v>
      </c>
      <c r="D26" s="64">
        <v>23.43</v>
      </c>
      <c r="E26" s="64">
        <v>1.73</v>
      </c>
      <c r="F26" s="64">
        <v>0.1</v>
      </c>
      <c r="G26" s="64">
        <v>120.49</v>
      </c>
      <c r="H26" s="64">
        <v>63.67</v>
      </c>
      <c r="I26" s="64">
        <v>1.49</v>
      </c>
      <c r="J26" s="64">
        <v>0.28999999999999998</v>
      </c>
      <c r="K26" s="64">
        <v>337.03</v>
      </c>
      <c r="L26" s="64">
        <v>17.309999999999999</v>
      </c>
      <c r="M26" s="64">
        <v>87.9</v>
      </c>
      <c r="N26" s="64">
        <v>18.899999999999999</v>
      </c>
      <c r="O26" s="64">
        <v>0</v>
      </c>
      <c r="P26" s="64">
        <v>1.01</v>
      </c>
      <c r="Q26" s="64">
        <v>5.47</v>
      </c>
      <c r="R26" s="198"/>
      <c r="S26" s="198"/>
      <c r="T26" s="198"/>
      <c r="U26" s="198"/>
    </row>
    <row r="27" spans="1:21" s="12" customFormat="1" x14ac:dyDescent="0.25">
      <c r="A27" s="214" t="s">
        <v>3144</v>
      </c>
      <c r="B27" s="64">
        <v>9.14</v>
      </c>
      <c r="C27" s="64">
        <v>35.96</v>
      </c>
      <c r="D27" s="64">
        <v>28.47</v>
      </c>
      <c r="E27" s="64">
        <v>1.76</v>
      </c>
      <c r="F27" s="64">
        <v>0.25</v>
      </c>
      <c r="G27" s="64">
        <v>143.55000000000001</v>
      </c>
      <c r="H27" s="64">
        <v>71.94</v>
      </c>
      <c r="I27" s="64">
        <v>1.52</v>
      </c>
      <c r="J27" s="64">
        <v>0.16</v>
      </c>
      <c r="K27" s="64">
        <v>88.66</v>
      </c>
      <c r="L27" s="64">
        <v>17.55</v>
      </c>
      <c r="M27" s="64">
        <v>85.39</v>
      </c>
      <c r="N27" s="64">
        <v>20.8</v>
      </c>
      <c r="O27" s="64">
        <v>0</v>
      </c>
      <c r="P27" s="64">
        <v>1.05</v>
      </c>
      <c r="Q27" s="64">
        <v>5.27</v>
      </c>
      <c r="R27" s="198"/>
      <c r="S27" s="198"/>
      <c r="T27" s="198"/>
      <c r="U27" s="198"/>
    </row>
    <row r="28" spans="1:21" s="12" customFormat="1" x14ac:dyDescent="0.25">
      <c r="A28" s="214" t="s">
        <v>3145</v>
      </c>
      <c r="B28" s="64">
        <v>9.0500000000000007</v>
      </c>
      <c r="C28" s="64">
        <v>29.5</v>
      </c>
      <c r="D28" s="64">
        <v>24.83</v>
      </c>
      <c r="E28" s="64">
        <v>1.94</v>
      </c>
      <c r="F28" s="64">
        <v>0.37</v>
      </c>
      <c r="G28" s="64">
        <v>165.6</v>
      </c>
      <c r="H28" s="64">
        <v>75.709999999999994</v>
      </c>
      <c r="I28" s="64">
        <v>1.46</v>
      </c>
      <c r="J28" s="64">
        <v>0.28999999999999998</v>
      </c>
      <c r="K28" s="64">
        <v>5.22</v>
      </c>
      <c r="L28" s="64">
        <v>17.600000000000001</v>
      </c>
      <c r="M28" s="64">
        <v>84.34</v>
      </c>
      <c r="N28" s="64">
        <v>20</v>
      </c>
      <c r="O28" s="64">
        <v>0</v>
      </c>
      <c r="P28" s="64">
        <v>1.0900000000000001</v>
      </c>
      <c r="Q28" s="64">
        <v>5.44</v>
      </c>
      <c r="R28" s="198"/>
      <c r="S28" s="198"/>
      <c r="T28" s="198"/>
      <c r="U28" s="198"/>
    </row>
    <row r="29" spans="1:21" s="12" customFormat="1" x14ac:dyDescent="0.25">
      <c r="A29" s="214" t="s">
        <v>3146</v>
      </c>
      <c r="B29" s="64">
        <v>9.49</v>
      </c>
      <c r="C29" s="64">
        <v>30.19</v>
      </c>
      <c r="D29" s="64">
        <v>25.56</v>
      </c>
      <c r="E29" s="64">
        <v>1.91</v>
      </c>
      <c r="F29" s="64">
        <v>0.38</v>
      </c>
      <c r="G29" s="64">
        <v>165.6</v>
      </c>
      <c r="H29" s="64">
        <v>75.709999999999994</v>
      </c>
      <c r="I29" s="64">
        <v>1.45</v>
      </c>
      <c r="J29" s="64">
        <v>0.21</v>
      </c>
      <c r="K29" s="64">
        <v>4.09</v>
      </c>
      <c r="L29" s="64">
        <v>17.46</v>
      </c>
      <c r="M29" s="64">
        <v>85.61</v>
      </c>
      <c r="N29" s="64">
        <v>20.3</v>
      </c>
      <c r="O29" s="64">
        <v>0</v>
      </c>
      <c r="P29" s="64">
        <v>1.1299999999999999</v>
      </c>
      <c r="Q29" s="64">
        <v>5.51</v>
      </c>
      <c r="R29" s="198"/>
      <c r="S29" s="198"/>
      <c r="T29" s="198"/>
      <c r="U29" s="198"/>
    </row>
    <row r="30" spans="1:21" s="12" customFormat="1" x14ac:dyDescent="0.25">
      <c r="A30" s="214" t="s">
        <v>3147</v>
      </c>
      <c r="B30" s="64">
        <v>11.04</v>
      </c>
      <c r="C30" s="64">
        <v>32.479999999999997</v>
      </c>
      <c r="D30" s="64">
        <v>28.07</v>
      </c>
      <c r="E30" s="64">
        <v>1.8</v>
      </c>
      <c r="F30" s="64">
        <v>0.19</v>
      </c>
      <c r="G30" s="64">
        <v>165.6</v>
      </c>
      <c r="H30" s="64">
        <v>75.709999999999994</v>
      </c>
      <c r="I30" s="64">
        <v>1.5</v>
      </c>
      <c r="J30" s="64">
        <v>0.17</v>
      </c>
      <c r="K30" s="64">
        <v>345.97</v>
      </c>
      <c r="L30" s="64">
        <v>17.48</v>
      </c>
      <c r="M30" s="64">
        <v>84.27</v>
      </c>
      <c r="N30" s="64">
        <v>20.100000000000001</v>
      </c>
      <c r="O30" s="64">
        <v>0</v>
      </c>
      <c r="P30" s="64">
        <v>1.1599999999999999</v>
      </c>
      <c r="Q30" s="64">
        <v>5.51</v>
      </c>
      <c r="R30" s="198"/>
      <c r="S30" s="198"/>
      <c r="T30" s="198"/>
      <c r="U30" s="198"/>
    </row>
    <row r="31" spans="1:21" s="12" customFormat="1" x14ac:dyDescent="0.25">
      <c r="A31" s="214" t="s">
        <v>3148</v>
      </c>
      <c r="B31" s="64">
        <v>10.72</v>
      </c>
      <c r="C31" s="64">
        <v>26.95</v>
      </c>
      <c r="D31" s="64">
        <v>24.76</v>
      </c>
      <c r="E31" s="64">
        <v>1.93</v>
      </c>
      <c r="F31" s="64">
        <v>0.5</v>
      </c>
      <c r="G31" s="64">
        <v>179.67</v>
      </c>
      <c r="H31" s="64">
        <v>83.73</v>
      </c>
      <c r="I31" s="64">
        <v>1.42</v>
      </c>
      <c r="J31" s="64">
        <v>0.16</v>
      </c>
      <c r="K31" s="64">
        <v>102.82</v>
      </c>
      <c r="L31" s="64">
        <v>17.399999999999999</v>
      </c>
      <c r="M31" s="64">
        <v>83.52</v>
      </c>
      <c r="N31" s="64">
        <v>19.600000000000001</v>
      </c>
      <c r="O31" s="64">
        <v>0</v>
      </c>
      <c r="P31" s="64">
        <v>1.18</v>
      </c>
      <c r="Q31" s="64">
        <v>5.63</v>
      </c>
      <c r="R31" s="198"/>
      <c r="S31" s="198"/>
      <c r="T31" s="198"/>
      <c r="U31" s="198"/>
    </row>
    <row r="32" spans="1:21" s="12" customFormat="1" x14ac:dyDescent="0.25">
      <c r="A32" s="214" t="s">
        <v>3149</v>
      </c>
      <c r="B32" s="64">
        <v>10.28</v>
      </c>
      <c r="C32" s="64">
        <v>25.41</v>
      </c>
      <c r="D32" s="64">
        <v>23.56</v>
      </c>
      <c r="E32" s="64">
        <v>1.61</v>
      </c>
      <c r="F32" s="64">
        <v>0.38</v>
      </c>
      <c r="G32" s="64">
        <v>193.13</v>
      </c>
      <c r="H32" s="64">
        <v>91.05</v>
      </c>
      <c r="I32" s="64">
        <v>1.43</v>
      </c>
      <c r="J32" s="64">
        <v>0.15</v>
      </c>
      <c r="K32" s="64">
        <v>65.61</v>
      </c>
      <c r="L32" s="64">
        <v>17.41</v>
      </c>
      <c r="M32" s="64">
        <v>82.96</v>
      </c>
      <c r="N32" s="64">
        <v>20.6</v>
      </c>
      <c r="O32" s="64">
        <v>0</v>
      </c>
      <c r="P32" s="64">
        <v>1.19</v>
      </c>
      <c r="Q32" s="64">
        <v>5.62</v>
      </c>
      <c r="R32" s="198"/>
      <c r="S32" s="198"/>
      <c r="T32" s="198"/>
      <c r="U32" s="198"/>
    </row>
    <row r="33" spans="1:21" s="12" customFormat="1" x14ac:dyDescent="0.25">
      <c r="A33" s="214" t="s">
        <v>3150</v>
      </c>
      <c r="B33" s="64">
        <v>10.029999999999999</v>
      </c>
      <c r="C33" s="64">
        <v>25.06</v>
      </c>
      <c r="D33" s="64">
        <v>23.17</v>
      </c>
      <c r="E33" s="64">
        <v>1.59</v>
      </c>
      <c r="F33" s="64">
        <v>0.41</v>
      </c>
      <c r="G33" s="64">
        <v>193.13</v>
      </c>
      <c r="H33" s="64">
        <v>91.05</v>
      </c>
      <c r="I33" s="64">
        <v>1.54</v>
      </c>
      <c r="J33" s="64">
        <v>0.12</v>
      </c>
      <c r="K33" s="64">
        <v>56.08</v>
      </c>
      <c r="L33" s="64">
        <v>17.43</v>
      </c>
      <c r="M33" s="64">
        <v>83.71</v>
      </c>
      <c r="N33" s="64">
        <v>28.4</v>
      </c>
      <c r="O33" s="64">
        <v>0</v>
      </c>
      <c r="P33" s="64">
        <v>1.19</v>
      </c>
      <c r="Q33" s="64">
        <v>5.63</v>
      </c>
      <c r="R33" s="198"/>
      <c r="S33" s="198"/>
      <c r="T33" s="198"/>
      <c r="U33" s="198"/>
    </row>
    <row r="34" spans="1:21" s="12" customFormat="1" x14ac:dyDescent="0.25">
      <c r="A34" s="214" t="s">
        <v>3151</v>
      </c>
      <c r="B34" s="64">
        <v>10.39</v>
      </c>
      <c r="C34" s="64">
        <v>25.11</v>
      </c>
      <c r="D34" s="64">
        <v>23.48</v>
      </c>
      <c r="E34" s="64">
        <v>1.44</v>
      </c>
      <c r="F34" s="64">
        <v>0.33</v>
      </c>
      <c r="G34" s="64">
        <v>193.13</v>
      </c>
      <c r="H34" s="64">
        <v>91.05</v>
      </c>
      <c r="I34" s="64">
        <v>1.48</v>
      </c>
      <c r="J34" s="64">
        <v>0.15</v>
      </c>
      <c r="K34" s="64">
        <v>87.41</v>
      </c>
      <c r="L34" s="64">
        <v>17.61</v>
      </c>
      <c r="M34" s="64">
        <v>83.36</v>
      </c>
      <c r="N34" s="64">
        <v>43</v>
      </c>
      <c r="O34" s="64">
        <v>0</v>
      </c>
      <c r="P34" s="64">
        <v>1.19</v>
      </c>
      <c r="Q34" s="64">
        <v>5.65</v>
      </c>
      <c r="R34" s="198"/>
      <c r="S34" s="198"/>
      <c r="T34" s="198"/>
      <c r="U34" s="198"/>
    </row>
    <row r="35" spans="1:21" s="12" customFormat="1" x14ac:dyDescent="0.25">
      <c r="A35" s="214" t="s">
        <v>3152</v>
      </c>
      <c r="B35" s="64">
        <v>10.55</v>
      </c>
      <c r="C35" s="64">
        <v>24.93</v>
      </c>
      <c r="D35" s="64">
        <v>23.51</v>
      </c>
      <c r="E35" s="64">
        <v>1.6</v>
      </c>
      <c r="F35" s="64">
        <v>0.32</v>
      </c>
      <c r="G35" s="64">
        <v>189.61</v>
      </c>
      <c r="H35" s="64">
        <v>89.65</v>
      </c>
      <c r="I35" s="64">
        <v>1.53</v>
      </c>
      <c r="J35" s="64">
        <v>0.1</v>
      </c>
      <c r="K35" s="64">
        <v>77.459999999999994</v>
      </c>
      <c r="L35" s="64">
        <v>18.04</v>
      </c>
      <c r="M35" s="64">
        <v>81.72</v>
      </c>
      <c r="N35" s="64">
        <v>61.5</v>
      </c>
      <c r="O35" s="64">
        <v>0</v>
      </c>
      <c r="P35" s="64">
        <v>1.19</v>
      </c>
      <c r="Q35" s="64">
        <v>5.68</v>
      </c>
      <c r="R35" s="198"/>
      <c r="S35" s="198"/>
      <c r="T35" s="198"/>
      <c r="U35" s="198"/>
    </row>
    <row r="36" spans="1:21" s="12" customFormat="1" x14ac:dyDescent="0.25">
      <c r="A36" s="214" t="s">
        <v>3153</v>
      </c>
      <c r="B36" s="64">
        <v>10.45</v>
      </c>
      <c r="C36" s="64">
        <v>25.59</v>
      </c>
      <c r="D36" s="64">
        <v>23.8</v>
      </c>
      <c r="E36" s="64">
        <v>1.55</v>
      </c>
      <c r="F36" s="64">
        <v>0.23</v>
      </c>
      <c r="G36" s="64">
        <v>186.39</v>
      </c>
      <c r="H36" s="64">
        <v>89.02</v>
      </c>
      <c r="I36" s="64">
        <v>1.49</v>
      </c>
      <c r="J36" s="64">
        <v>0.21</v>
      </c>
      <c r="K36" s="64">
        <v>104.44</v>
      </c>
      <c r="L36" s="64">
        <v>18.57</v>
      </c>
      <c r="M36" s="64">
        <v>79.45</v>
      </c>
      <c r="N36" s="64">
        <v>101.4</v>
      </c>
      <c r="O36" s="64">
        <v>0</v>
      </c>
      <c r="P36" s="64">
        <v>1.19</v>
      </c>
      <c r="Q36" s="64">
        <v>5.67</v>
      </c>
      <c r="R36" s="198"/>
      <c r="S36" s="198"/>
      <c r="T36" s="198"/>
      <c r="U36" s="198"/>
    </row>
    <row r="37" spans="1:21" s="12" customFormat="1" x14ac:dyDescent="0.25">
      <c r="A37" s="214" t="s">
        <v>3154</v>
      </c>
      <c r="B37" s="64">
        <v>10.33</v>
      </c>
      <c r="C37" s="64">
        <v>25.06</v>
      </c>
      <c r="D37" s="64">
        <v>23.41</v>
      </c>
      <c r="E37" s="64">
        <v>1.74</v>
      </c>
      <c r="F37" s="64">
        <v>0.24</v>
      </c>
      <c r="G37" s="64">
        <v>186.39</v>
      </c>
      <c r="H37" s="64">
        <v>89.02</v>
      </c>
      <c r="I37" s="64">
        <v>1.52</v>
      </c>
      <c r="J37" s="64">
        <v>0.57999999999999996</v>
      </c>
      <c r="K37" s="64">
        <v>108.17</v>
      </c>
      <c r="L37" s="64">
        <v>19.54</v>
      </c>
      <c r="M37" s="64">
        <v>74.069999999999993</v>
      </c>
      <c r="N37" s="64">
        <v>169</v>
      </c>
      <c r="O37" s="64">
        <v>0</v>
      </c>
      <c r="P37" s="64">
        <v>1.1499999999999999</v>
      </c>
      <c r="Q37" s="64">
        <v>5.66</v>
      </c>
      <c r="R37" s="198"/>
      <c r="S37" s="198"/>
      <c r="T37" s="198"/>
      <c r="U37" s="198"/>
    </row>
    <row r="38" spans="1:21" s="12" customFormat="1" x14ac:dyDescent="0.25">
      <c r="A38" s="214" t="s">
        <v>3155</v>
      </c>
      <c r="B38" s="64">
        <v>10.17</v>
      </c>
      <c r="C38" s="64">
        <v>27.34</v>
      </c>
      <c r="D38" s="64">
        <v>24.54</v>
      </c>
      <c r="E38" s="64">
        <v>1.6</v>
      </c>
      <c r="F38" s="64">
        <v>0.33</v>
      </c>
      <c r="G38" s="64">
        <v>186.39</v>
      </c>
      <c r="H38" s="64">
        <v>89.02</v>
      </c>
      <c r="I38" s="64">
        <v>1.47</v>
      </c>
      <c r="J38" s="64">
        <v>0.51</v>
      </c>
      <c r="K38" s="64">
        <v>109.83</v>
      </c>
      <c r="L38" s="64">
        <v>20.56</v>
      </c>
      <c r="M38" s="64">
        <v>69.709999999999994</v>
      </c>
      <c r="N38" s="64">
        <v>215</v>
      </c>
      <c r="O38" s="64">
        <v>0</v>
      </c>
      <c r="P38" s="64">
        <v>1.1599999999999999</v>
      </c>
      <c r="Q38" s="64">
        <v>5.66</v>
      </c>
      <c r="R38" s="198"/>
      <c r="S38" s="198"/>
      <c r="T38" s="198"/>
      <c r="U38" s="198"/>
    </row>
    <row r="39" spans="1:21" s="12" customFormat="1" x14ac:dyDescent="0.25">
      <c r="A39" s="214" t="s">
        <v>3156</v>
      </c>
      <c r="B39" s="64">
        <v>9.64</v>
      </c>
      <c r="C39" s="64">
        <v>26.97</v>
      </c>
      <c r="D39" s="64">
        <v>23.91</v>
      </c>
      <c r="E39" s="64">
        <v>1.52</v>
      </c>
      <c r="F39" s="64">
        <v>1.27</v>
      </c>
      <c r="G39" s="64">
        <v>174.38</v>
      </c>
      <c r="H39" s="64">
        <v>83.78</v>
      </c>
      <c r="I39" s="64">
        <v>1.52</v>
      </c>
      <c r="J39" s="64">
        <v>0.6</v>
      </c>
      <c r="K39" s="64">
        <v>114.06</v>
      </c>
      <c r="L39" s="64">
        <v>21.67</v>
      </c>
      <c r="M39" s="64">
        <v>65.48</v>
      </c>
      <c r="N39" s="64">
        <v>266.60000000000002</v>
      </c>
      <c r="O39" s="64">
        <v>0</v>
      </c>
      <c r="P39" s="64">
        <v>1.1399999999999999</v>
      </c>
      <c r="Q39" s="64">
        <v>5.64</v>
      </c>
      <c r="R39" s="198"/>
      <c r="S39" s="198"/>
      <c r="T39" s="198"/>
      <c r="U39" s="198"/>
    </row>
    <row r="40" spans="1:21" s="12" customFormat="1" x14ac:dyDescent="0.25">
      <c r="A40" s="214" t="s">
        <v>3157</v>
      </c>
      <c r="B40" s="64">
        <v>9.65</v>
      </c>
      <c r="C40" s="64">
        <v>27.05</v>
      </c>
      <c r="D40" s="64">
        <v>23.96</v>
      </c>
      <c r="E40" s="64">
        <v>0.89</v>
      </c>
      <c r="F40" s="64">
        <v>2.34</v>
      </c>
      <c r="G40" s="64">
        <v>162.88999999999999</v>
      </c>
      <c r="H40" s="64">
        <v>81.39</v>
      </c>
      <c r="I40" s="64">
        <v>1.48</v>
      </c>
      <c r="J40" s="64">
        <v>0.5</v>
      </c>
      <c r="K40" s="64">
        <v>116.18</v>
      </c>
      <c r="L40" s="64">
        <v>22.1</v>
      </c>
      <c r="M40" s="64">
        <v>62.33</v>
      </c>
      <c r="N40" s="64">
        <v>320.10000000000002</v>
      </c>
      <c r="O40" s="64">
        <v>0</v>
      </c>
      <c r="P40" s="64">
        <v>1.1299999999999999</v>
      </c>
      <c r="Q40" s="64">
        <v>5.57</v>
      </c>
      <c r="R40" s="198"/>
      <c r="S40" s="198"/>
      <c r="T40" s="198"/>
      <c r="U40" s="198"/>
    </row>
    <row r="41" spans="1:21" s="12" customFormat="1" x14ac:dyDescent="0.25">
      <c r="A41" s="214" t="s">
        <v>3158</v>
      </c>
      <c r="B41" s="64">
        <v>9.61</v>
      </c>
      <c r="C41" s="64">
        <v>29.1</v>
      </c>
      <c r="D41" s="64">
        <v>25.06</v>
      </c>
      <c r="E41" s="64">
        <v>2.0299999999999998</v>
      </c>
      <c r="F41" s="64">
        <v>2.35</v>
      </c>
      <c r="G41" s="64">
        <v>162.88999999999999</v>
      </c>
      <c r="H41" s="64">
        <v>81.39</v>
      </c>
      <c r="I41" s="64">
        <v>1.46</v>
      </c>
      <c r="J41" s="64">
        <v>0.51</v>
      </c>
      <c r="K41" s="64">
        <v>107.69</v>
      </c>
      <c r="L41" s="64">
        <v>23.47</v>
      </c>
      <c r="M41" s="64">
        <v>57.06</v>
      </c>
      <c r="N41" s="64">
        <v>367.7</v>
      </c>
      <c r="O41" s="64">
        <v>0</v>
      </c>
      <c r="P41" s="64">
        <v>1.1200000000000001</v>
      </c>
      <c r="Q41" s="64">
        <v>5.46</v>
      </c>
      <c r="R41" s="198"/>
      <c r="S41" s="198"/>
      <c r="T41" s="198"/>
      <c r="U41" s="198"/>
    </row>
    <row r="42" spans="1:21" s="12" customFormat="1" x14ac:dyDescent="0.25">
      <c r="A42" s="214" t="s">
        <v>3159</v>
      </c>
      <c r="B42" s="64">
        <v>8.69</v>
      </c>
      <c r="C42" s="64">
        <v>27.26</v>
      </c>
      <c r="D42" s="64">
        <v>23.3</v>
      </c>
      <c r="E42" s="64">
        <v>1.98</v>
      </c>
      <c r="F42" s="64">
        <v>0.83</v>
      </c>
      <c r="G42" s="64">
        <v>162.88999999999999</v>
      </c>
      <c r="H42" s="64">
        <v>81.39</v>
      </c>
      <c r="I42" s="64">
        <v>1.51</v>
      </c>
      <c r="J42" s="64">
        <v>1.07</v>
      </c>
      <c r="K42" s="64">
        <v>111.39</v>
      </c>
      <c r="L42" s="64">
        <v>22.92</v>
      </c>
      <c r="M42" s="64">
        <v>59.63</v>
      </c>
      <c r="N42" s="64">
        <v>425.4</v>
      </c>
      <c r="O42" s="64">
        <v>0</v>
      </c>
      <c r="P42" s="64">
        <v>1.1100000000000001</v>
      </c>
      <c r="Q42" s="64">
        <v>5.52</v>
      </c>
      <c r="R42" s="198"/>
      <c r="S42" s="198"/>
      <c r="T42" s="198"/>
      <c r="U42" s="198"/>
    </row>
    <row r="43" spans="1:21" s="12" customFormat="1" x14ac:dyDescent="0.25">
      <c r="A43" s="214" t="s">
        <v>3160</v>
      </c>
      <c r="B43" s="64">
        <v>8.0399999999999991</v>
      </c>
      <c r="C43" s="64">
        <v>23.69</v>
      </c>
      <c r="D43" s="64">
        <v>20.82</v>
      </c>
      <c r="E43" s="64">
        <v>2.04</v>
      </c>
      <c r="F43" s="64">
        <v>1.27</v>
      </c>
      <c r="G43" s="64">
        <v>151.04</v>
      </c>
      <c r="H43" s="64">
        <v>77.67</v>
      </c>
      <c r="I43" s="64">
        <v>1.53</v>
      </c>
      <c r="J43" s="64">
        <v>0.34</v>
      </c>
      <c r="K43" s="64">
        <v>105.2</v>
      </c>
      <c r="L43" s="64">
        <v>23.9</v>
      </c>
      <c r="M43" s="64">
        <v>56.44</v>
      </c>
      <c r="N43" s="64">
        <v>466.5</v>
      </c>
      <c r="O43" s="64">
        <v>0</v>
      </c>
      <c r="P43" s="64">
        <v>1.08</v>
      </c>
      <c r="Q43" s="64">
        <v>5.52</v>
      </c>
      <c r="R43" s="198"/>
      <c r="S43" s="198"/>
      <c r="T43" s="198"/>
      <c r="U43" s="198"/>
    </row>
    <row r="44" spans="1:21" s="12" customFormat="1" x14ac:dyDescent="0.25">
      <c r="A44" s="214" t="s">
        <v>3161</v>
      </c>
      <c r="B44" s="64">
        <v>7.38</v>
      </c>
      <c r="C44" s="64">
        <v>26.34</v>
      </c>
      <c r="D44" s="64">
        <v>21.75</v>
      </c>
      <c r="E44" s="64">
        <v>1.88</v>
      </c>
      <c r="F44" s="64">
        <v>0.85</v>
      </c>
      <c r="G44" s="64">
        <v>139.69999999999999</v>
      </c>
      <c r="H44" s="64">
        <v>75.97</v>
      </c>
      <c r="I44" s="64">
        <v>1.4</v>
      </c>
      <c r="J44" s="64">
        <v>0.81</v>
      </c>
      <c r="K44" s="64">
        <v>111.06</v>
      </c>
      <c r="L44" s="64">
        <v>23.66</v>
      </c>
      <c r="M44" s="64">
        <v>58.03</v>
      </c>
      <c r="N44" s="64">
        <v>504.6</v>
      </c>
      <c r="O44" s="64">
        <v>0</v>
      </c>
      <c r="P44" s="64">
        <v>1.06</v>
      </c>
      <c r="Q44" s="64">
        <v>5.38</v>
      </c>
      <c r="R44" s="198"/>
      <c r="S44" s="198"/>
      <c r="T44" s="198"/>
      <c r="U44" s="198"/>
    </row>
    <row r="45" spans="1:21" s="12" customFormat="1" x14ac:dyDescent="0.25">
      <c r="A45" s="214" t="s">
        <v>3162</v>
      </c>
      <c r="B45" s="64">
        <v>6.64</v>
      </c>
      <c r="C45" s="64">
        <v>27.02</v>
      </c>
      <c r="D45" s="64">
        <v>21.53</v>
      </c>
      <c r="E45" s="64">
        <v>1.58</v>
      </c>
      <c r="F45" s="64">
        <v>1.04</v>
      </c>
      <c r="G45" s="64">
        <v>139.69999999999999</v>
      </c>
      <c r="H45" s="64">
        <v>75.97</v>
      </c>
      <c r="I45" s="64">
        <v>1.48</v>
      </c>
      <c r="J45" s="64">
        <v>0.11</v>
      </c>
      <c r="K45" s="64">
        <v>69.180000000000007</v>
      </c>
      <c r="L45" s="64">
        <v>24.63</v>
      </c>
      <c r="M45" s="64">
        <v>57.97</v>
      </c>
      <c r="N45" s="64">
        <v>528.9</v>
      </c>
      <c r="O45" s="64">
        <v>0</v>
      </c>
      <c r="P45" s="64">
        <v>1.04</v>
      </c>
      <c r="Q45" s="64">
        <v>5.38</v>
      </c>
      <c r="R45" s="198"/>
      <c r="S45" s="198"/>
      <c r="T45" s="198"/>
      <c r="U45" s="198"/>
    </row>
    <row r="46" spans="1:21" s="12" customFormat="1" x14ac:dyDescent="0.25">
      <c r="A46" s="214" t="s">
        <v>3163</v>
      </c>
      <c r="B46" s="64">
        <v>6.11</v>
      </c>
      <c r="C46" s="64">
        <v>27.11</v>
      </c>
      <c r="D46" s="64">
        <v>21.15</v>
      </c>
      <c r="E46" s="64">
        <v>1.85</v>
      </c>
      <c r="F46" s="64">
        <v>1.1599999999999999</v>
      </c>
      <c r="G46" s="64">
        <v>139.69999999999999</v>
      </c>
      <c r="H46" s="64">
        <v>75.97</v>
      </c>
      <c r="I46" s="64">
        <v>1.55</v>
      </c>
      <c r="J46" s="64">
        <v>0.46</v>
      </c>
      <c r="K46" s="64">
        <v>327.52999999999997</v>
      </c>
      <c r="L46" s="64">
        <v>26.19</v>
      </c>
      <c r="M46" s="64">
        <v>55.84</v>
      </c>
      <c r="N46" s="64">
        <v>549.20000000000005</v>
      </c>
      <c r="O46" s="64">
        <v>0</v>
      </c>
      <c r="P46" s="64">
        <v>1.02</v>
      </c>
      <c r="Q46" s="64">
        <v>5.34</v>
      </c>
      <c r="R46" s="198"/>
      <c r="S46" s="198"/>
      <c r="T46" s="198"/>
      <c r="U46" s="198"/>
    </row>
    <row r="47" spans="1:21" s="12" customFormat="1" x14ac:dyDescent="0.25">
      <c r="A47" s="214" t="s">
        <v>3164</v>
      </c>
      <c r="B47" s="64">
        <v>5.47</v>
      </c>
      <c r="C47" s="64">
        <v>28.06</v>
      </c>
      <c r="D47" s="64">
        <v>21.17</v>
      </c>
      <c r="E47" s="64">
        <v>1.94</v>
      </c>
      <c r="F47" s="64">
        <v>3.2</v>
      </c>
      <c r="G47" s="64">
        <v>132.72999999999999</v>
      </c>
      <c r="H47" s="64">
        <v>71.540000000000006</v>
      </c>
      <c r="I47" s="64">
        <v>1.49</v>
      </c>
      <c r="J47" s="64">
        <v>0.12</v>
      </c>
      <c r="K47" s="64">
        <v>110.41</v>
      </c>
      <c r="L47" s="64">
        <v>26.27</v>
      </c>
      <c r="M47" s="64">
        <v>53.43</v>
      </c>
      <c r="N47" s="64">
        <v>579.79999999999995</v>
      </c>
      <c r="O47" s="64">
        <v>0</v>
      </c>
      <c r="P47" s="64">
        <v>1</v>
      </c>
      <c r="Q47" s="64">
        <v>5.32</v>
      </c>
      <c r="R47" s="198"/>
      <c r="S47" s="198"/>
      <c r="T47" s="198"/>
      <c r="U47" s="198"/>
    </row>
    <row r="48" spans="1:21" s="12" customFormat="1" x14ac:dyDescent="0.25">
      <c r="A48" s="214" t="s">
        <v>3165</v>
      </c>
      <c r="B48" s="64">
        <v>4.8099999999999996</v>
      </c>
      <c r="C48" s="64">
        <v>28.68</v>
      </c>
      <c r="D48" s="64">
        <v>20.98</v>
      </c>
      <c r="E48" s="64">
        <v>1.87</v>
      </c>
      <c r="F48" s="64">
        <v>1.53</v>
      </c>
      <c r="G48" s="64">
        <v>126.07</v>
      </c>
      <c r="H48" s="64">
        <v>69.53</v>
      </c>
      <c r="I48" s="64">
        <v>1.5</v>
      </c>
      <c r="J48" s="64">
        <v>0.5</v>
      </c>
      <c r="K48" s="64">
        <v>108.9</v>
      </c>
      <c r="L48" s="64">
        <v>25.92</v>
      </c>
      <c r="M48" s="64">
        <v>53.01</v>
      </c>
      <c r="N48" s="64">
        <v>622.70000000000005</v>
      </c>
      <c r="O48" s="64">
        <v>0</v>
      </c>
      <c r="P48" s="64">
        <v>1</v>
      </c>
      <c r="Q48" s="64">
        <v>5.25</v>
      </c>
      <c r="R48" s="198"/>
      <c r="S48" s="198"/>
      <c r="T48" s="198"/>
      <c r="U48" s="198"/>
    </row>
    <row r="49" spans="1:21" s="12" customFormat="1" x14ac:dyDescent="0.25">
      <c r="A49" s="214" t="s">
        <v>3166</v>
      </c>
      <c r="B49" s="64">
        <v>4.1100000000000003</v>
      </c>
      <c r="C49" s="64">
        <v>25.81</v>
      </c>
      <c r="D49" s="64">
        <v>18.84</v>
      </c>
      <c r="E49" s="64">
        <v>1.85</v>
      </c>
      <c r="F49" s="64">
        <v>2.52</v>
      </c>
      <c r="G49" s="64">
        <v>126.07</v>
      </c>
      <c r="H49" s="64">
        <v>69.53</v>
      </c>
      <c r="I49" s="64">
        <v>1.54</v>
      </c>
      <c r="J49" s="64">
        <v>0.56000000000000005</v>
      </c>
      <c r="K49" s="64">
        <v>110.27</v>
      </c>
      <c r="L49" s="64">
        <v>25.95</v>
      </c>
      <c r="M49" s="64">
        <v>53.14</v>
      </c>
      <c r="N49" s="64">
        <v>635.20000000000005</v>
      </c>
      <c r="O49" s="64">
        <v>0</v>
      </c>
      <c r="P49" s="64">
        <v>0.97</v>
      </c>
      <c r="Q49" s="64">
        <v>5.26</v>
      </c>
      <c r="R49" s="198"/>
      <c r="S49" s="198"/>
      <c r="T49" s="198"/>
      <c r="U49" s="198"/>
    </row>
    <row r="50" spans="1:21" s="12" customFormat="1" x14ac:dyDescent="0.25">
      <c r="A50" s="214" t="s">
        <v>3167</v>
      </c>
      <c r="B50" s="64">
        <v>3.48</v>
      </c>
      <c r="C50" s="64">
        <v>25.89</v>
      </c>
      <c r="D50" s="64">
        <v>18.37</v>
      </c>
      <c r="E50" s="64">
        <v>2.0499999999999998</v>
      </c>
      <c r="F50" s="64">
        <v>2.92</v>
      </c>
      <c r="G50" s="64">
        <v>126.07</v>
      </c>
      <c r="H50" s="64">
        <v>69.53</v>
      </c>
      <c r="I50" s="64">
        <v>1.52</v>
      </c>
      <c r="J50" s="64">
        <v>0.7</v>
      </c>
      <c r="K50" s="64">
        <v>112.04</v>
      </c>
      <c r="L50" s="64">
        <v>26.1</v>
      </c>
      <c r="M50" s="64">
        <v>50.33</v>
      </c>
      <c r="N50" s="64">
        <v>642.5</v>
      </c>
      <c r="O50" s="64">
        <v>0</v>
      </c>
      <c r="P50" s="64">
        <v>0.93</v>
      </c>
      <c r="Q50" s="64">
        <v>5.23</v>
      </c>
      <c r="R50" s="198"/>
      <c r="S50" s="198"/>
      <c r="T50" s="198"/>
      <c r="U50" s="198"/>
    </row>
    <row r="51" spans="1:21" s="12" customFormat="1" x14ac:dyDescent="0.25">
      <c r="A51" s="214" t="s">
        <v>3168</v>
      </c>
      <c r="B51" s="64">
        <v>3.05</v>
      </c>
      <c r="C51" s="64">
        <v>26.1</v>
      </c>
      <c r="D51" s="64">
        <v>18.14</v>
      </c>
      <c r="E51" s="64">
        <v>2.2400000000000002</v>
      </c>
      <c r="F51" s="64">
        <v>3.93</v>
      </c>
      <c r="G51" s="64">
        <v>112.27</v>
      </c>
      <c r="H51" s="64">
        <v>62.6</v>
      </c>
      <c r="I51" s="64">
        <v>1.45</v>
      </c>
      <c r="J51" s="64">
        <v>1.63</v>
      </c>
      <c r="K51" s="64">
        <v>104</v>
      </c>
      <c r="L51" s="64">
        <v>25.98</v>
      </c>
      <c r="M51" s="64">
        <v>49.07</v>
      </c>
      <c r="N51" s="64">
        <v>681.1</v>
      </c>
      <c r="O51" s="64">
        <v>0</v>
      </c>
      <c r="P51" s="64">
        <v>0.9</v>
      </c>
      <c r="Q51" s="64">
        <v>5.16</v>
      </c>
      <c r="R51" s="198"/>
      <c r="S51" s="198"/>
      <c r="T51" s="198"/>
      <c r="U51" s="198"/>
    </row>
    <row r="52" spans="1:21" s="12" customFormat="1" x14ac:dyDescent="0.25">
      <c r="A52" s="214" t="s">
        <v>3169</v>
      </c>
      <c r="B52" s="64">
        <v>2.56</v>
      </c>
      <c r="C52" s="64">
        <v>25.92</v>
      </c>
      <c r="D52" s="64">
        <v>17.64</v>
      </c>
      <c r="E52" s="64">
        <v>1.98</v>
      </c>
      <c r="F52" s="64">
        <v>4.51</v>
      </c>
      <c r="G52" s="64">
        <v>99.64</v>
      </c>
      <c r="H52" s="64">
        <v>59.44</v>
      </c>
      <c r="I52" s="64">
        <v>1.5</v>
      </c>
      <c r="J52" s="64">
        <v>1.63</v>
      </c>
      <c r="K52" s="64">
        <v>111.36</v>
      </c>
      <c r="L52" s="64">
        <v>25.54</v>
      </c>
      <c r="M52" s="64">
        <v>50.52</v>
      </c>
      <c r="N52" s="64">
        <v>688.4</v>
      </c>
      <c r="O52" s="64">
        <v>0</v>
      </c>
      <c r="P52" s="64">
        <v>0.87</v>
      </c>
      <c r="Q52" s="64">
        <v>5.12</v>
      </c>
      <c r="R52" s="198"/>
      <c r="S52" s="198"/>
      <c r="T52" s="198"/>
      <c r="U52" s="198"/>
    </row>
    <row r="53" spans="1:21" s="12" customFormat="1" x14ac:dyDescent="0.25">
      <c r="A53" s="214" t="s">
        <v>3170</v>
      </c>
      <c r="B53" s="64">
        <v>2.11</v>
      </c>
      <c r="C53" s="64">
        <v>24.95</v>
      </c>
      <c r="D53" s="64">
        <v>16.75</v>
      </c>
      <c r="E53" s="64">
        <v>2.17</v>
      </c>
      <c r="F53" s="64">
        <v>4.26</v>
      </c>
      <c r="G53" s="64">
        <v>99.64</v>
      </c>
      <c r="H53" s="64">
        <v>59.44</v>
      </c>
      <c r="I53" s="64">
        <v>1.53</v>
      </c>
      <c r="J53" s="64">
        <v>1.4</v>
      </c>
      <c r="K53" s="64">
        <v>113.11</v>
      </c>
      <c r="L53" s="64">
        <v>26.09</v>
      </c>
      <c r="M53" s="64">
        <v>48.65</v>
      </c>
      <c r="N53" s="64">
        <v>689.3</v>
      </c>
      <c r="O53" s="64">
        <v>0</v>
      </c>
      <c r="P53" s="64">
        <v>0.82</v>
      </c>
      <c r="Q53" s="64">
        <v>5.0599999999999996</v>
      </c>
      <c r="R53" s="198"/>
      <c r="S53" s="198"/>
      <c r="T53" s="198"/>
      <c r="U53" s="198"/>
    </row>
    <row r="54" spans="1:21" s="12" customFormat="1" x14ac:dyDescent="0.25">
      <c r="A54" s="214" t="s">
        <v>3171</v>
      </c>
      <c r="B54" s="64">
        <v>2</v>
      </c>
      <c r="C54" s="64">
        <v>24.36</v>
      </c>
      <c r="D54" s="64">
        <v>16.34</v>
      </c>
      <c r="E54" s="64">
        <v>2.33</v>
      </c>
      <c r="F54" s="64">
        <v>2.61</v>
      </c>
      <c r="G54" s="64">
        <v>99.64</v>
      </c>
      <c r="H54" s="64">
        <v>59.44</v>
      </c>
      <c r="I54" s="64">
        <v>1.48</v>
      </c>
      <c r="J54" s="64">
        <v>1.81</v>
      </c>
      <c r="K54" s="64">
        <v>107.71</v>
      </c>
      <c r="L54" s="64">
        <v>26.12</v>
      </c>
      <c r="M54" s="64">
        <v>47.83</v>
      </c>
      <c r="N54" s="64">
        <v>743.5</v>
      </c>
      <c r="O54" s="64">
        <v>0</v>
      </c>
      <c r="P54" s="64">
        <v>0.79</v>
      </c>
      <c r="Q54" s="64">
        <v>5</v>
      </c>
      <c r="R54" s="198"/>
      <c r="S54" s="198"/>
      <c r="T54" s="198"/>
      <c r="U54" s="198"/>
    </row>
    <row r="55" spans="1:21" s="12" customFormat="1" x14ac:dyDescent="0.25">
      <c r="A55" s="214" t="s">
        <v>3172</v>
      </c>
      <c r="B55" s="64">
        <v>2.2000000000000002</v>
      </c>
      <c r="C55" s="64">
        <v>19.989999999999998</v>
      </c>
      <c r="D55" s="64">
        <v>14.09</v>
      </c>
      <c r="E55" s="64">
        <v>2.2000000000000002</v>
      </c>
      <c r="F55" s="64">
        <v>4.01</v>
      </c>
      <c r="G55" s="64">
        <v>87.74</v>
      </c>
      <c r="H55" s="64">
        <v>55.72</v>
      </c>
      <c r="I55" s="64">
        <v>1.41</v>
      </c>
      <c r="J55" s="64">
        <v>1.75</v>
      </c>
      <c r="K55" s="64">
        <v>111.69</v>
      </c>
      <c r="L55" s="64">
        <v>26.12</v>
      </c>
      <c r="M55" s="64">
        <v>47.84</v>
      </c>
      <c r="N55" s="64">
        <v>612.1</v>
      </c>
      <c r="O55" s="64">
        <v>0</v>
      </c>
      <c r="P55" s="64">
        <v>0.75</v>
      </c>
      <c r="Q55" s="64">
        <v>5.0999999999999996</v>
      </c>
      <c r="R55" s="198"/>
      <c r="S55" s="198"/>
      <c r="T55" s="198"/>
      <c r="U55" s="198"/>
    </row>
    <row r="56" spans="1:21" s="12" customFormat="1" x14ac:dyDescent="0.25">
      <c r="A56" s="214" t="s">
        <v>3173</v>
      </c>
      <c r="B56" s="64">
        <v>2</v>
      </c>
      <c r="C56" s="64">
        <v>21.56</v>
      </c>
      <c r="D56" s="64">
        <v>14.79</v>
      </c>
      <c r="E56" s="64">
        <v>0.93</v>
      </c>
      <c r="F56" s="64">
        <v>3.15</v>
      </c>
      <c r="G56" s="64">
        <v>76.849999999999994</v>
      </c>
      <c r="H56" s="64">
        <v>52.45</v>
      </c>
      <c r="I56" s="64">
        <v>1.46</v>
      </c>
      <c r="J56" s="64">
        <v>1.78</v>
      </c>
      <c r="K56" s="64">
        <v>108.53</v>
      </c>
      <c r="L56" s="64">
        <v>25.99</v>
      </c>
      <c r="M56" s="64">
        <v>47.54</v>
      </c>
      <c r="N56" s="64">
        <v>631.5</v>
      </c>
      <c r="O56" s="64">
        <v>0</v>
      </c>
      <c r="P56" s="64">
        <v>0.72</v>
      </c>
      <c r="Q56" s="64">
        <v>5.09</v>
      </c>
      <c r="R56" s="198"/>
      <c r="S56" s="198"/>
      <c r="T56" s="198"/>
      <c r="U56" s="198"/>
    </row>
    <row r="57" spans="1:21" s="12" customFormat="1" x14ac:dyDescent="0.25">
      <c r="A57" s="214" t="s">
        <v>3174</v>
      </c>
      <c r="B57" s="64">
        <v>2</v>
      </c>
      <c r="C57" s="64">
        <v>20.52</v>
      </c>
      <c r="D57" s="64">
        <v>14.22</v>
      </c>
      <c r="E57" s="64">
        <v>1.7</v>
      </c>
      <c r="F57" s="64">
        <v>6.11</v>
      </c>
      <c r="G57" s="64">
        <v>76.849999999999994</v>
      </c>
      <c r="H57" s="64">
        <v>52.45</v>
      </c>
      <c r="I57" s="64">
        <v>1.45</v>
      </c>
      <c r="J57" s="64">
        <v>1.1499999999999999</v>
      </c>
      <c r="K57" s="64">
        <v>110.61</v>
      </c>
      <c r="L57" s="64">
        <v>26.22</v>
      </c>
      <c r="M57" s="64">
        <v>47.43</v>
      </c>
      <c r="N57" s="64">
        <v>455.4</v>
      </c>
      <c r="O57" s="64">
        <v>0</v>
      </c>
      <c r="P57" s="64">
        <v>0.69</v>
      </c>
      <c r="Q57" s="64">
        <v>5.1100000000000003</v>
      </c>
      <c r="R57" s="198"/>
      <c r="S57" s="198"/>
      <c r="T57" s="198"/>
      <c r="U57" s="198"/>
    </row>
    <row r="58" spans="1:21" s="12" customFormat="1" x14ac:dyDescent="0.25">
      <c r="A58" s="214" t="s">
        <v>3175</v>
      </c>
      <c r="B58" s="64">
        <v>2</v>
      </c>
      <c r="C58" s="64">
        <v>21.9</v>
      </c>
      <c r="D58" s="64">
        <v>14.98</v>
      </c>
      <c r="E58" s="64">
        <v>1.65</v>
      </c>
      <c r="F58" s="64">
        <v>5.57</v>
      </c>
      <c r="G58" s="64">
        <v>76.849999999999994</v>
      </c>
      <c r="H58" s="64">
        <v>52.45</v>
      </c>
      <c r="I58" s="64">
        <v>1.55</v>
      </c>
      <c r="J58" s="64">
        <v>0.87</v>
      </c>
      <c r="K58" s="64">
        <v>108.44</v>
      </c>
      <c r="L58" s="64">
        <v>26.23</v>
      </c>
      <c r="M58" s="64">
        <v>48.32</v>
      </c>
      <c r="N58" s="64">
        <v>558.79999999999995</v>
      </c>
      <c r="O58" s="64">
        <v>0</v>
      </c>
      <c r="P58" s="64">
        <v>0.68</v>
      </c>
      <c r="Q58" s="64">
        <v>5.07</v>
      </c>
      <c r="R58" s="198"/>
      <c r="S58" s="198"/>
      <c r="T58" s="198"/>
      <c r="U58" s="198"/>
    </row>
    <row r="59" spans="1:21" s="12" customFormat="1" x14ac:dyDescent="0.25">
      <c r="A59" s="214" t="s">
        <v>3176</v>
      </c>
      <c r="B59" s="64">
        <v>2</v>
      </c>
      <c r="C59" s="64">
        <v>20.7</v>
      </c>
      <c r="D59" s="64">
        <v>14.32</v>
      </c>
      <c r="E59" s="64">
        <v>2.04</v>
      </c>
      <c r="F59" s="64">
        <v>4.2300000000000004</v>
      </c>
      <c r="G59" s="64">
        <v>77.98</v>
      </c>
      <c r="H59" s="64">
        <v>49.38</v>
      </c>
      <c r="I59" s="64">
        <v>1.52</v>
      </c>
      <c r="J59" s="64">
        <v>1.44</v>
      </c>
      <c r="K59" s="64">
        <v>111.12</v>
      </c>
      <c r="L59" s="64">
        <v>26.42</v>
      </c>
      <c r="M59" s="64">
        <v>46.74</v>
      </c>
      <c r="N59" s="64">
        <v>485.8</v>
      </c>
      <c r="O59" s="64">
        <v>0</v>
      </c>
      <c r="P59" s="64">
        <v>0.67</v>
      </c>
      <c r="Q59" s="64">
        <v>5.12</v>
      </c>
      <c r="R59" s="198"/>
      <c r="S59" s="198"/>
      <c r="T59" s="198"/>
      <c r="U59" s="198"/>
    </row>
    <row r="60" spans="1:21" s="12" customFormat="1" x14ac:dyDescent="0.25">
      <c r="A60" s="214" t="s">
        <v>3177</v>
      </c>
      <c r="B60" s="64">
        <v>2.48</v>
      </c>
      <c r="C60" s="64">
        <v>22.45</v>
      </c>
      <c r="D60" s="64">
        <v>15.67</v>
      </c>
      <c r="E60" s="64">
        <v>1.93</v>
      </c>
      <c r="F60" s="64">
        <v>5.83</v>
      </c>
      <c r="G60" s="64">
        <v>79.06</v>
      </c>
      <c r="H60" s="64">
        <v>47.97</v>
      </c>
      <c r="I60" s="64">
        <v>1.47</v>
      </c>
      <c r="J60" s="64">
        <v>0.76</v>
      </c>
      <c r="K60" s="64">
        <v>104.67</v>
      </c>
      <c r="L60" s="64">
        <v>26.8</v>
      </c>
      <c r="M60" s="64">
        <v>46.36</v>
      </c>
      <c r="N60" s="64">
        <v>560</v>
      </c>
      <c r="O60" s="64">
        <v>0</v>
      </c>
      <c r="P60" s="64">
        <v>0.65</v>
      </c>
      <c r="Q60" s="64">
        <v>4.99</v>
      </c>
      <c r="R60" s="198"/>
      <c r="S60" s="198"/>
      <c r="T60" s="198"/>
      <c r="U60" s="198"/>
    </row>
    <row r="61" spans="1:21" s="12" customFormat="1" x14ac:dyDescent="0.25">
      <c r="A61" s="214" t="s">
        <v>3178</v>
      </c>
      <c r="B61" s="64">
        <v>2.17</v>
      </c>
      <c r="C61" s="64">
        <v>21.14</v>
      </c>
      <c r="D61" s="64">
        <v>14.7</v>
      </c>
      <c r="E61" s="64">
        <v>1.9</v>
      </c>
      <c r="F61" s="64">
        <v>5.64</v>
      </c>
      <c r="G61" s="64">
        <v>79.06</v>
      </c>
      <c r="H61" s="64">
        <v>47.97</v>
      </c>
      <c r="I61" s="64">
        <v>1.5</v>
      </c>
      <c r="J61" s="64">
        <v>0.89</v>
      </c>
      <c r="K61" s="64">
        <v>112.52</v>
      </c>
      <c r="L61" s="64">
        <v>26.63</v>
      </c>
      <c r="M61" s="64">
        <v>46.85</v>
      </c>
      <c r="N61" s="64">
        <v>482.6</v>
      </c>
      <c r="O61" s="64">
        <v>0</v>
      </c>
      <c r="P61" s="64">
        <v>0.62</v>
      </c>
      <c r="Q61" s="64">
        <v>5.16</v>
      </c>
      <c r="R61" s="198"/>
      <c r="S61" s="198"/>
      <c r="T61" s="198"/>
      <c r="U61" s="198"/>
    </row>
    <row r="62" spans="1:21" s="12" customFormat="1" x14ac:dyDescent="0.25">
      <c r="A62" s="214" t="s">
        <v>3179</v>
      </c>
      <c r="B62" s="64">
        <v>3.18</v>
      </c>
      <c r="C62" s="64">
        <v>23.94</v>
      </c>
      <c r="D62" s="64">
        <v>17.059999999999999</v>
      </c>
      <c r="E62" s="64">
        <v>2.36</v>
      </c>
      <c r="F62" s="64">
        <v>9.17</v>
      </c>
      <c r="G62" s="64">
        <v>79.06</v>
      </c>
      <c r="H62" s="64">
        <v>47.97</v>
      </c>
      <c r="I62" s="64">
        <v>1.51</v>
      </c>
      <c r="J62" s="64">
        <v>0.3</v>
      </c>
      <c r="K62" s="64">
        <v>357.71</v>
      </c>
      <c r="L62" s="64">
        <v>27.58</v>
      </c>
      <c r="M62" s="64">
        <v>45.41</v>
      </c>
      <c r="N62" s="64">
        <v>450.9</v>
      </c>
      <c r="O62" s="64">
        <v>0</v>
      </c>
      <c r="P62" s="64">
        <v>0.65</v>
      </c>
      <c r="Q62" s="64">
        <v>5.03</v>
      </c>
      <c r="R62" s="198"/>
      <c r="S62" s="198"/>
      <c r="T62" s="198"/>
      <c r="U62" s="198"/>
    </row>
    <row r="63" spans="1:21" s="12" customFormat="1" x14ac:dyDescent="0.25">
      <c r="A63" s="214" t="s">
        <v>3180</v>
      </c>
      <c r="B63" s="64">
        <v>2.9</v>
      </c>
      <c r="C63" s="64">
        <v>25.45</v>
      </c>
      <c r="D63" s="64">
        <v>17.66</v>
      </c>
      <c r="E63" s="64">
        <v>1.48</v>
      </c>
      <c r="F63" s="64">
        <v>5.38</v>
      </c>
      <c r="G63" s="64">
        <v>78.27</v>
      </c>
      <c r="H63" s="64">
        <v>47.21</v>
      </c>
      <c r="I63" s="64">
        <v>1.5</v>
      </c>
      <c r="J63" s="64">
        <v>1.43</v>
      </c>
      <c r="K63" s="64">
        <v>113.99</v>
      </c>
      <c r="L63" s="64">
        <v>26.23</v>
      </c>
      <c r="M63" s="64">
        <v>47.87</v>
      </c>
      <c r="N63" s="64">
        <v>314.7</v>
      </c>
      <c r="O63" s="64">
        <v>0</v>
      </c>
      <c r="P63" s="64">
        <v>0.63</v>
      </c>
      <c r="Q63" s="64">
        <v>4.8899999999999997</v>
      </c>
      <c r="R63" s="198"/>
      <c r="S63" s="198"/>
      <c r="T63" s="198"/>
      <c r="U63" s="198"/>
    </row>
    <row r="64" spans="1:21" s="12" customFormat="1" x14ac:dyDescent="0.25">
      <c r="A64" s="214" t="s">
        <v>3181</v>
      </c>
      <c r="B64" s="64">
        <v>2.02</v>
      </c>
      <c r="C64" s="64">
        <v>22.68</v>
      </c>
      <c r="D64" s="64">
        <v>15.43</v>
      </c>
      <c r="E64" s="64">
        <v>2.4500000000000002</v>
      </c>
      <c r="F64" s="64">
        <v>7.85</v>
      </c>
      <c r="G64" s="64">
        <v>77.540000000000006</v>
      </c>
      <c r="H64" s="64">
        <v>46.87</v>
      </c>
      <c r="I64" s="64">
        <v>1.52</v>
      </c>
      <c r="J64" s="64">
        <v>1.1299999999999999</v>
      </c>
      <c r="K64" s="64">
        <v>116.02</v>
      </c>
      <c r="L64" s="64">
        <v>26.24</v>
      </c>
      <c r="M64" s="64">
        <v>45.05</v>
      </c>
      <c r="N64" s="64">
        <v>443.9</v>
      </c>
      <c r="O64" s="64">
        <v>0</v>
      </c>
      <c r="P64" s="64">
        <v>0.62</v>
      </c>
      <c r="Q64" s="64">
        <v>4.9400000000000004</v>
      </c>
      <c r="R64" s="198"/>
      <c r="S64" s="198"/>
      <c r="T64" s="198"/>
      <c r="U64" s="198"/>
    </row>
    <row r="65" spans="1:21" s="12" customFormat="1" x14ac:dyDescent="0.25">
      <c r="A65" s="214" t="s">
        <v>3182</v>
      </c>
      <c r="B65" s="64">
        <v>2</v>
      </c>
      <c r="C65" s="64">
        <v>21.76</v>
      </c>
      <c r="D65" s="64">
        <v>14.91</v>
      </c>
      <c r="E65" s="64">
        <v>2.4300000000000002</v>
      </c>
      <c r="F65" s="64">
        <v>4.97</v>
      </c>
      <c r="G65" s="64">
        <v>77.540000000000006</v>
      </c>
      <c r="H65" s="64">
        <v>46.87</v>
      </c>
      <c r="I65" s="64">
        <v>1.52</v>
      </c>
      <c r="J65" s="64">
        <v>1.42</v>
      </c>
      <c r="K65" s="64">
        <v>114.51</v>
      </c>
      <c r="L65" s="64">
        <v>26.44</v>
      </c>
      <c r="M65" s="64">
        <v>45.29</v>
      </c>
      <c r="N65" s="64">
        <v>246.3</v>
      </c>
      <c r="O65" s="64">
        <v>0</v>
      </c>
      <c r="P65" s="64">
        <v>0.61</v>
      </c>
      <c r="Q65" s="64">
        <v>4.97</v>
      </c>
      <c r="R65" s="198"/>
      <c r="S65" s="198"/>
      <c r="T65" s="198"/>
      <c r="U65" s="198"/>
    </row>
    <row r="66" spans="1:21" s="12" customFormat="1" x14ac:dyDescent="0.25">
      <c r="A66" s="214" t="s">
        <v>3183</v>
      </c>
      <c r="B66" s="64">
        <v>2</v>
      </c>
      <c r="C66" s="64">
        <v>21.01</v>
      </c>
      <c r="D66" s="64">
        <v>14.49</v>
      </c>
      <c r="E66" s="64">
        <v>2.4300000000000002</v>
      </c>
      <c r="F66" s="64">
        <v>3.5</v>
      </c>
      <c r="G66" s="64">
        <v>77.540000000000006</v>
      </c>
      <c r="H66" s="64">
        <v>46.87</v>
      </c>
      <c r="I66" s="64">
        <v>1.47</v>
      </c>
      <c r="J66" s="64">
        <v>1.31</v>
      </c>
      <c r="K66" s="64">
        <v>105.25</v>
      </c>
      <c r="L66" s="64">
        <v>26.21</v>
      </c>
      <c r="M66" s="64">
        <v>44.4</v>
      </c>
      <c r="N66" s="64">
        <v>190.2</v>
      </c>
      <c r="O66" s="64">
        <v>0</v>
      </c>
      <c r="P66" s="64">
        <v>0.61</v>
      </c>
      <c r="Q66" s="64">
        <v>5.05</v>
      </c>
      <c r="R66" s="198"/>
      <c r="S66" s="198"/>
      <c r="T66" s="198"/>
      <c r="U66" s="198"/>
    </row>
    <row r="67" spans="1:21" s="12" customFormat="1" x14ac:dyDescent="0.25">
      <c r="A67" s="214" t="s">
        <v>3184</v>
      </c>
      <c r="B67" s="64">
        <v>2</v>
      </c>
      <c r="C67" s="64">
        <v>17.41</v>
      </c>
      <c r="D67" s="64">
        <v>12.51</v>
      </c>
      <c r="E67" s="64">
        <v>2.3199999999999998</v>
      </c>
      <c r="F67" s="64">
        <v>5.63</v>
      </c>
      <c r="G67" s="64">
        <v>70.489999999999995</v>
      </c>
      <c r="H67" s="64">
        <v>43.32</v>
      </c>
      <c r="I67" s="64">
        <v>1.48</v>
      </c>
      <c r="J67" s="64">
        <v>1.33</v>
      </c>
      <c r="K67" s="64">
        <v>100.77</v>
      </c>
      <c r="L67" s="64">
        <v>26.12</v>
      </c>
      <c r="M67" s="64">
        <v>44.11</v>
      </c>
      <c r="N67" s="64">
        <v>188.6</v>
      </c>
      <c r="O67" s="64">
        <v>0</v>
      </c>
      <c r="P67" s="64">
        <v>0.57999999999999996</v>
      </c>
      <c r="Q67" s="64">
        <v>5.21</v>
      </c>
      <c r="R67" s="198"/>
      <c r="S67" s="198"/>
      <c r="T67" s="198"/>
      <c r="U67" s="198"/>
    </row>
    <row r="68" spans="1:21" s="12" customFormat="1" x14ac:dyDescent="0.25">
      <c r="A68" s="214" t="s">
        <v>3185</v>
      </c>
      <c r="B68" s="64">
        <v>2.17</v>
      </c>
      <c r="C68" s="64">
        <v>23.15</v>
      </c>
      <c r="D68" s="64">
        <v>15.81</v>
      </c>
      <c r="E68" s="64">
        <v>2.02</v>
      </c>
      <c r="F68" s="64">
        <v>8.36</v>
      </c>
      <c r="G68" s="64">
        <v>64.03</v>
      </c>
      <c r="H68" s="64">
        <v>41.71</v>
      </c>
      <c r="I68" s="64">
        <v>1.55</v>
      </c>
      <c r="J68" s="64">
        <v>0.83</v>
      </c>
      <c r="K68" s="64">
        <v>102.11</v>
      </c>
      <c r="L68" s="64">
        <v>26.42</v>
      </c>
      <c r="M68" s="64">
        <v>44.11</v>
      </c>
      <c r="N68" s="64">
        <v>180.7</v>
      </c>
      <c r="O68" s="64">
        <v>0</v>
      </c>
      <c r="P68" s="64">
        <v>0.56999999999999995</v>
      </c>
      <c r="Q68" s="64">
        <v>5.1100000000000003</v>
      </c>
      <c r="R68" s="198"/>
      <c r="S68" s="198"/>
      <c r="T68" s="198"/>
      <c r="U68" s="198"/>
    </row>
    <row r="69" spans="1:21" s="12" customFormat="1" x14ac:dyDescent="0.25">
      <c r="A69" s="214" t="s">
        <v>3186</v>
      </c>
      <c r="B69" s="64">
        <v>2.35</v>
      </c>
      <c r="C69" s="64">
        <v>25.3</v>
      </c>
      <c r="D69" s="64">
        <v>17.14</v>
      </c>
      <c r="E69" s="64">
        <v>1.89</v>
      </c>
      <c r="F69" s="64">
        <v>4.78</v>
      </c>
      <c r="G69" s="64">
        <v>64.03</v>
      </c>
      <c r="H69" s="64">
        <v>41.71</v>
      </c>
      <c r="I69" s="64">
        <v>1.53</v>
      </c>
      <c r="J69" s="64">
        <v>0.86</v>
      </c>
      <c r="K69" s="64">
        <v>106.92</v>
      </c>
      <c r="L69" s="64">
        <v>26.22</v>
      </c>
      <c r="M69" s="64">
        <v>43.78</v>
      </c>
      <c r="N69" s="64">
        <v>133.6</v>
      </c>
      <c r="O69" s="64">
        <v>0</v>
      </c>
      <c r="P69" s="64">
        <v>0.57999999999999996</v>
      </c>
      <c r="Q69" s="64">
        <v>5.04</v>
      </c>
      <c r="R69" s="198"/>
      <c r="S69" s="198"/>
      <c r="T69" s="198"/>
      <c r="U69" s="198"/>
    </row>
    <row r="70" spans="1:21" s="12" customFormat="1" x14ac:dyDescent="0.25">
      <c r="A70" s="214" t="s">
        <v>3187</v>
      </c>
      <c r="B70" s="64">
        <v>2.16</v>
      </c>
      <c r="C70" s="64">
        <v>25.42</v>
      </c>
      <c r="D70" s="64">
        <v>17.05</v>
      </c>
      <c r="E70" s="64">
        <v>2.09</v>
      </c>
      <c r="F70" s="64">
        <v>6.14</v>
      </c>
      <c r="G70" s="64">
        <v>64.03</v>
      </c>
      <c r="H70" s="64">
        <v>41.71</v>
      </c>
      <c r="I70" s="64">
        <v>1.49</v>
      </c>
      <c r="J70" s="64">
        <v>1.1499999999999999</v>
      </c>
      <c r="K70" s="64">
        <v>105.76</v>
      </c>
      <c r="L70" s="64">
        <v>25.83</v>
      </c>
      <c r="M70" s="64">
        <v>44.62</v>
      </c>
      <c r="N70" s="64">
        <v>124.2</v>
      </c>
      <c r="O70" s="64">
        <v>0</v>
      </c>
      <c r="P70" s="64">
        <v>0.56999999999999995</v>
      </c>
      <c r="Q70" s="64">
        <v>4.96</v>
      </c>
      <c r="R70" s="198"/>
      <c r="S70" s="198"/>
      <c r="T70" s="198"/>
      <c r="U70" s="198"/>
    </row>
    <row r="71" spans="1:21" s="12" customFormat="1" x14ac:dyDescent="0.25">
      <c r="A71" s="214" t="s">
        <v>3188</v>
      </c>
      <c r="B71" s="64">
        <v>2</v>
      </c>
      <c r="C71" s="64">
        <v>23.22</v>
      </c>
      <c r="D71" s="64">
        <v>15.71</v>
      </c>
      <c r="E71" s="64">
        <v>2.15</v>
      </c>
      <c r="F71" s="64">
        <v>6.83</v>
      </c>
      <c r="G71" s="64">
        <v>61.94</v>
      </c>
      <c r="H71" s="64">
        <v>42.02</v>
      </c>
      <c r="I71" s="64">
        <v>1.48</v>
      </c>
      <c r="J71" s="64">
        <v>1.23</v>
      </c>
      <c r="K71" s="64">
        <v>106.8</v>
      </c>
      <c r="L71" s="64">
        <v>25.79</v>
      </c>
      <c r="M71" s="64">
        <v>44.98</v>
      </c>
      <c r="N71" s="64">
        <v>115.7</v>
      </c>
      <c r="O71" s="64">
        <v>0</v>
      </c>
      <c r="P71" s="64">
        <v>0.56000000000000005</v>
      </c>
      <c r="Q71" s="64">
        <v>4.96</v>
      </c>
      <c r="R71" s="198"/>
      <c r="S71" s="198"/>
      <c r="T71" s="198"/>
      <c r="U71" s="198"/>
    </row>
    <row r="72" spans="1:21" s="12" customFormat="1" x14ac:dyDescent="0.25">
      <c r="A72" s="214" t="s">
        <v>3189</v>
      </c>
      <c r="B72" s="64">
        <v>2.93</v>
      </c>
      <c r="C72" s="64">
        <v>23.68</v>
      </c>
      <c r="D72" s="64">
        <v>16.71</v>
      </c>
      <c r="E72" s="64">
        <v>1.27</v>
      </c>
      <c r="F72" s="64">
        <v>12.5</v>
      </c>
      <c r="G72" s="64">
        <v>60.02</v>
      </c>
      <c r="H72" s="64">
        <v>42.17</v>
      </c>
      <c r="I72" s="64">
        <v>1.49</v>
      </c>
      <c r="J72" s="64">
        <v>0.92</v>
      </c>
      <c r="K72" s="64">
        <v>98.95</v>
      </c>
      <c r="L72" s="64">
        <v>25.68</v>
      </c>
      <c r="M72" s="64">
        <v>45.65</v>
      </c>
      <c r="N72" s="64">
        <v>105.4</v>
      </c>
      <c r="O72" s="64">
        <v>0</v>
      </c>
      <c r="P72" s="64">
        <v>0.56000000000000005</v>
      </c>
      <c r="Q72" s="64">
        <v>5.01</v>
      </c>
      <c r="R72" s="198"/>
      <c r="S72" s="198"/>
      <c r="T72" s="198"/>
      <c r="U72" s="198"/>
    </row>
    <row r="73" spans="1:21" s="12" customFormat="1" x14ac:dyDescent="0.25">
      <c r="A73" s="214" t="s">
        <v>3190</v>
      </c>
      <c r="B73" s="64">
        <v>2.23</v>
      </c>
      <c r="C73" s="64">
        <v>24.95</v>
      </c>
      <c r="D73" s="64">
        <v>16.850000000000001</v>
      </c>
      <c r="E73" s="64">
        <v>2.23</v>
      </c>
      <c r="F73" s="64">
        <v>7.13</v>
      </c>
      <c r="G73" s="64">
        <v>60.02</v>
      </c>
      <c r="H73" s="64">
        <v>42.17</v>
      </c>
      <c r="I73" s="64">
        <v>1.56</v>
      </c>
      <c r="J73" s="64">
        <v>1.47</v>
      </c>
      <c r="K73" s="64">
        <v>112</v>
      </c>
      <c r="L73" s="64">
        <v>25.48</v>
      </c>
      <c r="M73" s="64">
        <v>45.96</v>
      </c>
      <c r="N73" s="64">
        <v>72.3</v>
      </c>
      <c r="O73" s="64">
        <v>0</v>
      </c>
      <c r="P73" s="64">
        <v>0.55000000000000004</v>
      </c>
      <c r="Q73" s="64">
        <v>4.82</v>
      </c>
      <c r="R73" s="198"/>
      <c r="S73" s="198"/>
      <c r="T73" s="198"/>
      <c r="U73" s="198"/>
    </row>
    <row r="74" spans="1:21" s="12" customFormat="1" x14ac:dyDescent="0.25">
      <c r="A74" s="214" t="s">
        <v>3191</v>
      </c>
      <c r="B74" s="64">
        <v>2</v>
      </c>
      <c r="C74" s="64">
        <v>20.85</v>
      </c>
      <c r="D74" s="64">
        <v>14.4</v>
      </c>
      <c r="E74" s="64">
        <v>2.21</v>
      </c>
      <c r="F74" s="64">
        <v>7</v>
      </c>
      <c r="G74" s="64">
        <v>60.02</v>
      </c>
      <c r="H74" s="64">
        <v>42.17</v>
      </c>
      <c r="I74" s="64">
        <v>1.51</v>
      </c>
      <c r="J74" s="64">
        <v>1.66</v>
      </c>
      <c r="K74" s="64">
        <v>107.8</v>
      </c>
      <c r="L74" s="64">
        <v>25.26</v>
      </c>
      <c r="M74" s="64">
        <v>46.27</v>
      </c>
      <c r="N74" s="64">
        <v>67.599999999999994</v>
      </c>
      <c r="O74" s="64">
        <v>0</v>
      </c>
      <c r="P74" s="64">
        <v>0.54</v>
      </c>
      <c r="Q74" s="64">
        <v>4.87</v>
      </c>
      <c r="R74" s="198"/>
      <c r="S74" s="198"/>
      <c r="T74" s="198"/>
      <c r="U74" s="198"/>
    </row>
    <row r="75" spans="1:21" s="12" customFormat="1" x14ac:dyDescent="0.25">
      <c r="A75" s="214" t="s">
        <v>3192</v>
      </c>
      <c r="B75" s="64">
        <v>2</v>
      </c>
      <c r="C75" s="64">
        <v>20.99</v>
      </c>
      <c r="D75" s="64">
        <v>14.48</v>
      </c>
      <c r="E75" s="64">
        <v>2.2000000000000002</v>
      </c>
      <c r="F75" s="64">
        <v>19.989999999999998</v>
      </c>
      <c r="G75" s="64">
        <v>59.63</v>
      </c>
      <c r="H75" s="64">
        <v>40.61</v>
      </c>
      <c r="I75" s="64">
        <v>1.48</v>
      </c>
      <c r="J75" s="64">
        <v>1.1100000000000001</v>
      </c>
      <c r="K75" s="64">
        <v>106.51</v>
      </c>
      <c r="L75" s="64">
        <v>25.09</v>
      </c>
      <c r="M75" s="64">
        <v>47.18</v>
      </c>
      <c r="N75" s="64">
        <v>60.9</v>
      </c>
      <c r="O75" s="64">
        <v>0</v>
      </c>
      <c r="P75" s="64">
        <v>0.51</v>
      </c>
      <c r="Q75" s="64">
        <v>4.97</v>
      </c>
      <c r="R75" s="198"/>
      <c r="S75" s="198"/>
      <c r="T75" s="198"/>
      <c r="U75" s="198"/>
    </row>
    <row r="76" spans="1:21" s="12" customFormat="1" x14ac:dyDescent="0.25">
      <c r="A76" s="214" t="s">
        <v>3193</v>
      </c>
      <c r="B76" s="64">
        <v>2.2999999999999998</v>
      </c>
      <c r="C76" s="64">
        <v>23.56</v>
      </c>
      <c r="D76" s="64">
        <v>16.14</v>
      </c>
      <c r="E76" s="64">
        <v>2.4900000000000002</v>
      </c>
      <c r="F76" s="64">
        <v>26.06</v>
      </c>
      <c r="G76" s="64">
        <v>59.26</v>
      </c>
      <c r="H76" s="64">
        <v>39.909999999999997</v>
      </c>
      <c r="I76" s="64">
        <v>1.51</v>
      </c>
      <c r="J76" s="64">
        <v>0.67</v>
      </c>
      <c r="K76" s="64">
        <v>112.62</v>
      </c>
      <c r="L76" s="64">
        <v>24.9</v>
      </c>
      <c r="M76" s="64">
        <v>48.13</v>
      </c>
      <c r="N76" s="64">
        <v>51.1</v>
      </c>
      <c r="O76" s="64">
        <v>0</v>
      </c>
      <c r="P76" s="64">
        <v>0.52</v>
      </c>
      <c r="Q76" s="64">
        <v>5.01</v>
      </c>
      <c r="R76" s="198"/>
      <c r="S76" s="198"/>
      <c r="T76" s="198"/>
      <c r="U76" s="198"/>
    </row>
    <row r="77" spans="1:21" s="12" customFormat="1" x14ac:dyDescent="0.25">
      <c r="A77" s="214" t="s">
        <v>3194</v>
      </c>
      <c r="B77" s="64">
        <v>2.99</v>
      </c>
      <c r="C77" s="64">
        <v>38.93</v>
      </c>
      <c r="D77" s="64">
        <v>25.17</v>
      </c>
      <c r="E77" s="64">
        <v>2.77</v>
      </c>
      <c r="F77" s="64">
        <v>10.8</v>
      </c>
      <c r="G77" s="64">
        <v>59.26</v>
      </c>
      <c r="H77" s="64">
        <v>39.909999999999997</v>
      </c>
      <c r="I77" s="64">
        <v>1.49</v>
      </c>
      <c r="J77" s="64">
        <v>0.18</v>
      </c>
      <c r="K77" s="64">
        <v>79.44</v>
      </c>
      <c r="L77" s="64">
        <v>24.53</v>
      </c>
      <c r="M77" s="64">
        <v>50.07</v>
      </c>
      <c r="N77" s="64">
        <v>41.3</v>
      </c>
      <c r="O77" s="64">
        <v>0</v>
      </c>
      <c r="P77" s="64">
        <v>0.69</v>
      </c>
      <c r="Q77" s="64">
        <v>4.43</v>
      </c>
      <c r="R77" s="198"/>
      <c r="S77" s="198"/>
      <c r="T77" s="198"/>
      <c r="U77" s="198"/>
    </row>
    <row r="78" spans="1:21" s="12" customFormat="1" x14ac:dyDescent="0.25">
      <c r="A78" s="214" t="s">
        <v>3195</v>
      </c>
      <c r="B78" s="64">
        <v>2.08</v>
      </c>
      <c r="C78" s="64">
        <v>28.33</v>
      </c>
      <c r="D78" s="64">
        <v>18.600000000000001</v>
      </c>
      <c r="E78" s="64">
        <v>2.94</v>
      </c>
      <c r="F78" s="64">
        <v>15.12</v>
      </c>
      <c r="G78" s="64">
        <v>59.26</v>
      </c>
      <c r="H78" s="64">
        <v>39.909999999999997</v>
      </c>
      <c r="I78" s="64">
        <v>1.48</v>
      </c>
      <c r="J78" s="64">
        <v>0.39</v>
      </c>
      <c r="K78" s="64">
        <v>100.11</v>
      </c>
      <c r="L78" s="64">
        <v>24.27</v>
      </c>
      <c r="M78" s="64">
        <v>51.2</v>
      </c>
      <c r="N78" s="64">
        <v>36.1</v>
      </c>
      <c r="O78" s="64">
        <v>0</v>
      </c>
      <c r="P78" s="64">
        <v>0.57999999999999996</v>
      </c>
      <c r="Q78" s="64">
        <v>4.5199999999999996</v>
      </c>
      <c r="R78" s="198"/>
      <c r="S78" s="198"/>
      <c r="T78" s="198"/>
      <c r="U78" s="198"/>
    </row>
    <row r="79" spans="1:21" s="12" customFormat="1" x14ac:dyDescent="0.25">
      <c r="A79" s="214" t="s">
        <v>3196</v>
      </c>
      <c r="B79" s="64">
        <v>2.48</v>
      </c>
      <c r="C79" s="64">
        <v>35.32</v>
      </c>
      <c r="D79" s="64">
        <v>22.78</v>
      </c>
      <c r="E79" s="64">
        <v>2.54</v>
      </c>
      <c r="F79" s="64">
        <v>24.58</v>
      </c>
      <c r="G79" s="64">
        <v>61.21</v>
      </c>
      <c r="H79" s="64">
        <v>38.53</v>
      </c>
      <c r="I79" s="64">
        <v>1.49</v>
      </c>
      <c r="J79" s="64">
        <v>0.25</v>
      </c>
      <c r="K79" s="64">
        <v>104.25</v>
      </c>
      <c r="L79" s="64">
        <v>23.98</v>
      </c>
      <c r="M79" s="64">
        <v>53.1</v>
      </c>
      <c r="N79" s="64">
        <v>34.9</v>
      </c>
      <c r="O79" s="64">
        <v>0</v>
      </c>
      <c r="P79" s="64">
        <v>0.72</v>
      </c>
      <c r="Q79" s="64">
        <v>4.49</v>
      </c>
      <c r="R79" s="198"/>
      <c r="S79" s="198"/>
      <c r="T79" s="198"/>
      <c r="U79" s="198"/>
    </row>
    <row r="80" spans="1:21" s="12" customFormat="1" x14ac:dyDescent="0.25">
      <c r="A80" s="214" t="s">
        <v>3197</v>
      </c>
      <c r="B80" s="64">
        <v>2.5499999999999998</v>
      </c>
      <c r="C80" s="64">
        <v>37.93</v>
      </c>
      <c r="D80" s="64">
        <v>24.26</v>
      </c>
      <c r="E80" s="64">
        <v>2.4700000000000002</v>
      </c>
      <c r="F80" s="64">
        <v>12.52</v>
      </c>
      <c r="G80" s="64">
        <v>63</v>
      </c>
      <c r="H80" s="64">
        <v>37.229999999999997</v>
      </c>
      <c r="I80" s="64">
        <v>1.51</v>
      </c>
      <c r="J80" s="64">
        <v>0.1</v>
      </c>
      <c r="K80" s="64">
        <v>66.37</v>
      </c>
      <c r="L80" s="64">
        <v>23.67</v>
      </c>
      <c r="M80" s="64">
        <v>54.29</v>
      </c>
      <c r="N80" s="64">
        <v>34.700000000000003</v>
      </c>
      <c r="O80" s="64">
        <v>0</v>
      </c>
      <c r="P80" s="64">
        <v>0.79</v>
      </c>
      <c r="Q80" s="64">
        <v>4.3499999999999996</v>
      </c>
      <c r="R80" s="198"/>
      <c r="S80" s="198"/>
      <c r="T80" s="198"/>
      <c r="U80" s="198"/>
    </row>
    <row r="81" spans="1:26" s="12" customFormat="1" x14ac:dyDescent="0.25">
      <c r="A81" s="214" t="s">
        <v>3198</v>
      </c>
      <c r="B81" s="64">
        <v>3.05</v>
      </c>
      <c r="C81" s="64">
        <v>41.21</v>
      </c>
      <c r="D81" s="64">
        <v>26.49</v>
      </c>
      <c r="E81" s="64">
        <v>2.79</v>
      </c>
      <c r="F81" s="64">
        <v>12.12</v>
      </c>
      <c r="G81" s="64">
        <v>63</v>
      </c>
      <c r="H81" s="64">
        <v>37.229999999999997</v>
      </c>
      <c r="I81" s="64">
        <v>1.52</v>
      </c>
      <c r="J81" s="64">
        <v>0.15</v>
      </c>
      <c r="K81" s="64">
        <v>85.13</v>
      </c>
      <c r="L81" s="64">
        <v>23.52</v>
      </c>
      <c r="M81" s="64">
        <v>55.16</v>
      </c>
      <c r="N81" s="64">
        <v>34.6</v>
      </c>
      <c r="O81" s="64">
        <v>0</v>
      </c>
      <c r="P81" s="64">
        <v>0.85</v>
      </c>
      <c r="Q81" s="64">
        <v>3.69</v>
      </c>
      <c r="R81" s="198"/>
      <c r="S81" s="198"/>
      <c r="T81" s="198"/>
      <c r="U81" s="198"/>
    </row>
    <row r="82" spans="1:26" s="12" customFormat="1" x14ac:dyDescent="0.25">
      <c r="A82" s="214" t="s">
        <v>3199</v>
      </c>
      <c r="B82" s="64">
        <v>2.77</v>
      </c>
      <c r="C82" s="64">
        <v>36.200000000000003</v>
      </c>
      <c r="D82" s="64">
        <v>23.49</v>
      </c>
      <c r="E82" s="64">
        <v>2.7</v>
      </c>
      <c r="F82" s="64">
        <v>13.6</v>
      </c>
      <c r="G82" s="64">
        <v>63</v>
      </c>
      <c r="H82" s="64">
        <v>37.229999999999997</v>
      </c>
      <c r="I82" s="64">
        <v>1.46</v>
      </c>
      <c r="J82" s="64">
        <v>0.14000000000000001</v>
      </c>
      <c r="K82" s="64">
        <v>63.65</v>
      </c>
      <c r="L82" s="64">
        <v>23.42</v>
      </c>
      <c r="M82" s="64">
        <v>55.81</v>
      </c>
      <c r="N82" s="64">
        <v>34.6</v>
      </c>
      <c r="O82" s="64">
        <v>0</v>
      </c>
      <c r="P82" s="64">
        <v>0.81</v>
      </c>
      <c r="Q82" s="64">
        <v>4.12</v>
      </c>
      <c r="R82" s="198"/>
      <c r="S82" s="198"/>
      <c r="T82" s="198"/>
      <c r="U82" s="198"/>
    </row>
    <row r="83" spans="1:26" s="12" customFormat="1" x14ac:dyDescent="0.25">
      <c r="A83" s="214" t="s">
        <v>3200</v>
      </c>
      <c r="B83" s="64">
        <v>4.3099999999999996</v>
      </c>
      <c r="C83" s="64">
        <v>42.45</v>
      </c>
      <c r="D83" s="64">
        <v>28.17</v>
      </c>
      <c r="E83" s="64">
        <v>2.44</v>
      </c>
      <c r="F83" s="64">
        <v>8.69</v>
      </c>
      <c r="G83" s="64">
        <v>66.23</v>
      </c>
      <c r="H83" s="64">
        <v>36.369999999999997</v>
      </c>
      <c r="I83" s="64">
        <v>1.54</v>
      </c>
      <c r="J83" s="64">
        <v>0.17</v>
      </c>
      <c r="K83" s="64">
        <v>79.48</v>
      </c>
      <c r="L83" s="64">
        <v>23.2</v>
      </c>
      <c r="M83" s="64">
        <v>58</v>
      </c>
      <c r="N83" s="64">
        <v>34.6</v>
      </c>
      <c r="O83" s="64">
        <v>0</v>
      </c>
      <c r="P83" s="64">
        <v>1.08</v>
      </c>
      <c r="Q83" s="64">
        <v>3.95</v>
      </c>
      <c r="R83" s="198"/>
      <c r="S83" s="198"/>
      <c r="T83" s="198"/>
      <c r="U83" s="198"/>
    </row>
    <row r="84" spans="1:26" s="12" customFormat="1" x14ac:dyDescent="0.25">
      <c r="A84" s="214" t="s">
        <v>3201</v>
      </c>
      <c r="B84" s="64">
        <v>4.07</v>
      </c>
      <c r="C84" s="64">
        <v>40.049999999999997</v>
      </c>
      <c r="D84" s="64">
        <v>26.65</v>
      </c>
      <c r="E84" s="64">
        <v>2.46</v>
      </c>
      <c r="F84" s="64">
        <v>7.33</v>
      </c>
      <c r="G84" s="64">
        <v>69.180000000000007</v>
      </c>
      <c r="H84" s="64">
        <v>35.979999999999997</v>
      </c>
      <c r="I84" s="64">
        <v>1.49</v>
      </c>
      <c r="J84" s="64">
        <v>0.16</v>
      </c>
      <c r="K84" s="64">
        <v>97.8</v>
      </c>
      <c r="L84" s="64">
        <v>23.08</v>
      </c>
      <c r="M84" s="64">
        <v>59.12</v>
      </c>
      <c r="N84" s="64">
        <v>34.6</v>
      </c>
      <c r="O84" s="64">
        <v>0</v>
      </c>
      <c r="P84" s="64">
        <v>0.99</v>
      </c>
      <c r="Q84" s="64">
        <v>4.07</v>
      </c>
      <c r="R84" s="198"/>
      <c r="S84" s="198"/>
      <c r="T84" s="198"/>
      <c r="U84" s="198"/>
    </row>
    <row r="85" spans="1:26" s="12" customFormat="1" x14ac:dyDescent="0.25">
      <c r="A85" s="214" t="s">
        <v>3202</v>
      </c>
      <c r="B85" s="64">
        <v>4.32</v>
      </c>
      <c r="C85" s="64">
        <v>36.130000000000003</v>
      </c>
      <c r="D85" s="64">
        <v>24.7</v>
      </c>
      <c r="E85" s="64">
        <v>2.61</v>
      </c>
      <c r="F85" s="64">
        <v>12.67</v>
      </c>
      <c r="G85" s="64">
        <v>69.180000000000007</v>
      </c>
      <c r="H85" s="64">
        <v>35.979999999999997</v>
      </c>
      <c r="I85" s="64">
        <v>1.45</v>
      </c>
      <c r="J85" s="64">
        <v>0.25</v>
      </c>
      <c r="K85" s="64">
        <v>88</v>
      </c>
      <c r="L85" s="64">
        <v>23.11</v>
      </c>
      <c r="M85" s="64">
        <v>58.42</v>
      </c>
      <c r="N85" s="64">
        <v>34.6</v>
      </c>
      <c r="O85" s="64">
        <v>0</v>
      </c>
      <c r="P85" s="64">
        <v>0.92</v>
      </c>
      <c r="Q85" s="64">
        <v>4.09</v>
      </c>
      <c r="R85" s="198"/>
      <c r="S85" s="198"/>
      <c r="T85" s="198"/>
      <c r="U85" s="198"/>
    </row>
    <row r="86" spans="1:26" s="12" customFormat="1" x14ac:dyDescent="0.25">
      <c r="A86" s="214" t="s">
        <v>3203</v>
      </c>
      <c r="B86" s="64">
        <v>3.64</v>
      </c>
      <c r="C86" s="64">
        <v>35.43</v>
      </c>
      <c r="D86" s="64">
        <v>23.76</v>
      </c>
      <c r="E86" s="64">
        <v>2.93</v>
      </c>
      <c r="F86" s="64">
        <v>13.76</v>
      </c>
      <c r="G86" s="64">
        <v>69.180000000000007</v>
      </c>
      <c r="H86" s="64">
        <v>35.979999999999997</v>
      </c>
      <c r="I86" s="64">
        <v>1.52</v>
      </c>
      <c r="J86" s="64">
        <v>0.4</v>
      </c>
      <c r="K86" s="64">
        <v>97.59</v>
      </c>
      <c r="L86" s="64">
        <v>23</v>
      </c>
      <c r="M86" s="64">
        <v>58.27</v>
      </c>
      <c r="N86" s="64">
        <v>34.5</v>
      </c>
      <c r="O86" s="64">
        <v>0</v>
      </c>
      <c r="P86" s="64">
        <v>0.94</v>
      </c>
      <c r="Q86" s="64">
        <v>4.53</v>
      </c>
      <c r="R86" s="198"/>
      <c r="S86" s="198"/>
      <c r="T86" s="198"/>
      <c r="U86" s="198"/>
    </row>
    <row r="87" spans="1:26" s="12" customFormat="1" x14ac:dyDescent="0.25">
      <c r="A87" s="214" t="s">
        <v>3204</v>
      </c>
      <c r="B87" s="64">
        <v>3.73</v>
      </c>
      <c r="C87" s="64">
        <v>33.1</v>
      </c>
      <c r="D87" s="64">
        <v>22.55</v>
      </c>
      <c r="E87" s="64">
        <v>2.8</v>
      </c>
      <c r="F87" s="64">
        <v>15.12</v>
      </c>
      <c r="G87" s="64">
        <v>77.709999999999994</v>
      </c>
      <c r="H87" s="64">
        <v>37.14</v>
      </c>
      <c r="I87" s="64">
        <v>1.54</v>
      </c>
      <c r="J87" s="64">
        <v>0.42</v>
      </c>
      <c r="K87" s="64">
        <v>104.01</v>
      </c>
      <c r="L87" s="64">
        <v>22.9</v>
      </c>
      <c r="M87" s="64">
        <v>58.89</v>
      </c>
      <c r="N87" s="64">
        <v>34.700000000000003</v>
      </c>
      <c r="O87" s="64">
        <v>0</v>
      </c>
      <c r="P87" s="64">
        <v>0.94</v>
      </c>
      <c r="Q87" s="64">
        <v>4.72</v>
      </c>
      <c r="R87" s="198"/>
      <c r="S87" s="198"/>
      <c r="T87" s="198"/>
      <c r="U87" s="198"/>
    </row>
    <row r="88" spans="1:26" s="12" customFormat="1" x14ac:dyDescent="0.25">
      <c r="A88" s="214" t="s">
        <v>3205</v>
      </c>
      <c r="B88" s="64">
        <v>2.92</v>
      </c>
      <c r="C88" s="64">
        <v>30.9</v>
      </c>
      <c r="D88" s="64">
        <v>20.68</v>
      </c>
      <c r="E88" s="64">
        <v>1.68</v>
      </c>
      <c r="F88" s="64">
        <v>11.74</v>
      </c>
      <c r="G88" s="64">
        <v>85.51</v>
      </c>
      <c r="H88" s="64">
        <v>37.67</v>
      </c>
      <c r="I88" s="64">
        <v>1.55</v>
      </c>
      <c r="J88" s="64">
        <v>0.33</v>
      </c>
      <c r="K88" s="64">
        <v>100.74</v>
      </c>
      <c r="L88" s="64">
        <v>22.77</v>
      </c>
      <c r="M88" s="64">
        <v>59.56</v>
      </c>
      <c r="N88" s="64">
        <v>34.700000000000003</v>
      </c>
      <c r="O88" s="64">
        <v>0</v>
      </c>
      <c r="P88" s="64">
        <v>0.91</v>
      </c>
      <c r="Q88" s="64">
        <v>4.84</v>
      </c>
      <c r="R88" s="198"/>
      <c r="S88" s="198"/>
      <c r="T88" s="198"/>
      <c r="U88" s="198"/>
    </row>
    <row r="89" spans="1:26" s="12" customFormat="1" x14ac:dyDescent="0.25">
      <c r="A89" s="214" t="s">
        <v>3206</v>
      </c>
      <c r="B89" s="64">
        <v>3.02</v>
      </c>
      <c r="C89" s="64">
        <v>26.96</v>
      </c>
      <c r="D89" s="64">
        <v>18.59</v>
      </c>
      <c r="E89" s="64">
        <v>2.41</v>
      </c>
      <c r="F89" s="64">
        <v>6.96</v>
      </c>
      <c r="G89" s="64">
        <v>85.51</v>
      </c>
      <c r="H89" s="64">
        <v>37.67</v>
      </c>
      <c r="I89" s="64">
        <v>1.55</v>
      </c>
      <c r="J89" s="64">
        <v>0.27</v>
      </c>
      <c r="K89" s="64">
        <v>89.71</v>
      </c>
      <c r="L89" s="64">
        <v>22.6</v>
      </c>
      <c r="M89" s="64">
        <v>60.28</v>
      </c>
      <c r="N89" s="64">
        <v>34.799999999999997</v>
      </c>
      <c r="O89" s="64">
        <v>0</v>
      </c>
      <c r="P89" s="64">
        <v>0.9</v>
      </c>
      <c r="Q89" s="64">
        <v>4.92</v>
      </c>
      <c r="R89" s="198"/>
      <c r="S89" s="198"/>
      <c r="T89" s="198"/>
      <c r="U89" s="198"/>
    </row>
    <row r="90" spans="1:26" s="12" customFormat="1" x14ac:dyDescent="0.25">
      <c r="A90" s="214" t="s">
        <v>3207</v>
      </c>
      <c r="B90" s="64">
        <v>2.88</v>
      </c>
      <c r="C90" s="64">
        <v>23.52</v>
      </c>
      <c r="D90" s="64">
        <v>16.579999999999998</v>
      </c>
      <c r="E90" s="64">
        <v>2.3199999999999998</v>
      </c>
      <c r="F90" s="64">
        <v>6.7</v>
      </c>
      <c r="G90" s="64">
        <v>85.51</v>
      </c>
      <c r="H90" s="64">
        <v>37.67</v>
      </c>
      <c r="I90" s="64">
        <v>1.57</v>
      </c>
      <c r="J90" s="64">
        <v>0.35</v>
      </c>
      <c r="K90" s="64">
        <v>106.46</v>
      </c>
      <c r="L90" s="64">
        <v>22.56</v>
      </c>
      <c r="M90" s="64">
        <v>60.32</v>
      </c>
      <c r="N90" s="64">
        <v>34.700000000000003</v>
      </c>
      <c r="O90" s="64">
        <v>0</v>
      </c>
      <c r="P90" s="64">
        <v>0.91</v>
      </c>
      <c r="Q90" s="64">
        <v>4.95</v>
      </c>
      <c r="R90" s="198"/>
      <c r="S90" s="198"/>
      <c r="T90" s="198"/>
      <c r="U90" s="198"/>
    </row>
    <row r="91" spans="1:26" s="12" customFormat="1" x14ac:dyDescent="0.25">
      <c r="A91" s="214" t="s">
        <v>3208</v>
      </c>
      <c r="B91" s="64">
        <v>2.96</v>
      </c>
      <c r="C91" s="64">
        <v>23.48</v>
      </c>
      <c r="D91" s="64">
        <v>16.63</v>
      </c>
      <c r="E91" s="64">
        <v>2.2400000000000002</v>
      </c>
      <c r="F91" s="64">
        <v>6.76</v>
      </c>
      <c r="G91" s="64">
        <v>86.08</v>
      </c>
      <c r="H91" s="64">
        <v>39.67</v>
      </c>
      <c r="I91" s="64">
        <v>1.48</v>
      </c>
      <c r="J91" s="64">
        <v>0.67</v>
      </c>
      <c r="K91" s="64">
        <v>109.13</v>
      </c>
      <c r="L91" s="64">
        <v>22.63</v>
      </c>
      <c r="M91" s="64">
        <v>60.58</v>
      </c>
      <c r="N91" s="64">
        <v>34.9</v>
      </c>
      <c r="O91" s="64">
        <v>0</v>
      </c>
      <c r="P91" s="64">
        <v>0.91</v>
      </c>
      <c r="Q91" s="64">
        <v>4.82</v>
      </c>
      <c r="R91" s="198"/>
      <c r="S91" s="198"/>
      <c r="T91" s="198"/>
      <c r="U91" s="198"/>
    </row>
    <row r="92" spans="1:26" s="12" customFormat="1" x14ac:dyDescent="0.25">
      <c r="A92" s="214" t="s">
        <v>3209</v>
      </c>
      <c r="B92" s="64">
        <v>2.99</v>
      </c>
      <c r="C92" s="64">
        <v>25.22</v>
      </c>
      <c r="D92" s="64">
        <v>17.61</v>
      </c>
      <c r="E92" s="64">
        <v>1.75</v>
      </c>
      <c r="F92" s="64">
        <v>4.47</v>
      </c>
      <c r="G92" s="64">
        <v>86.61</v>
      </c>
      <c r="H92" s="64">
        <v>40.57</v>
      </c>
      <c r="I92" s="64">
        <v>1.55</v>
      </c>
      <c r="J92" s="64">
        <v>0.76</v>
      </c>
      <c r="K92" s="64">
        <v>103.63</v>
      </c>
      <c r="L92" s="64">
        <v>22.51</v>
      </c>
      <c r="M92" s="64">
        <v>61.82</v>
      </c>
      <c r="N92" s="64">
        <v>35.1</v>
      </c>
      <c r="O92" s="64">
        <v>0</v>
      </c>
      <c r="P92" s="64">
        <v>0.92</v>
      </c>
      <c r="Q92" s="64">
        <v>4.91</v>
      </c>
      <c r="R92" s="198"/>
      <c r="S92" s="198"/>
      <c r="T92" s="198"/>
      <c r="U92" s="198"/>
    </row>
    <row r="93" spans="1:26" s="12" customFormat="1" x14ac:dyDescent="0.25">
      <c r="A93" s="214" t="s">
        <v>3210</v>
      </c>
      <c r="B93" s="64">
        <v>2.82</v>
      </c>
      <c r="C93" s="64">
        <v>24.11</v>
      </c>
      <c r="D93" s="64">
        <v>16.86</v>
      </c>
      <c r="E93" s="64">
        <v>1.78</v>
      </c>
      <c r="F93" s="64">
        <v>1.44</v>
      </c>
      <c r="G93" s="64">
        <v>86.61</v>
      </c>
      <c r="H93" s="64">
        <v>40.57</v>
      </c>
      <c r="I93" s="64">
        <v>1.52</v>
      </c>
      <c r="J93" s="64">
        <v>0.99</v>
      </c>
      <c r="K93" s="64">
        <v>111.02</v>
      </c>
      <c r="L93" s="64">
        <v>22.38</v>
      </c>
      <c r="M93" s="64">
        <v>62.65</v>
      </c>
      <c r="N93" s="64">
        <v>34.799999999999997</v>
      </c>
      <c r="O93" s="64">
        <v>0</v>
      </c>
      <c r="P93" s="64">
        <v>0.92</v>
      </c>
      <c r="Q93" s="64">
        <v>4.9000000000000004</v>
      </c>
      <c r="R93" s="198"/>
      <c r="S93" s="198"/>
      <c r="T93" s="198"/>
      <c r="U93" s="198"/>
    </row>
    <row r="94" spans="1:26" s="12" customFormat="1" x14ac:dyDescent="0.25">
      <c r="A94" s="214" t="s">
        <v>3211</v>
      </c>
      <c r="B94" s="64">
        <v>2.48</v>
      </c>
      <c r="C94" s="64">
        <v>24.15</v>
      </c>
      <c r="D94" s="64">
        <v>16.600000000000001</v>
      </c>
      <c r="E94" s="64">
        <v>1.88</v>
      </c>
      <c r="F94" s="64">
        <v>1.93</v>
      </c>
      <c r="G94" s="64">
        <v>86.61</v>
      </c>
      <c r="H94" s="64">
        <v>40.57</v>
      </c>
      <c r="I94" s="64">
        <v>1.55</v>
      </c>
      <c r="J94" s="64">
        <v>1.25</v>
      </c>
      <c r="K94" s="64">
        <v>111.52</v>
      </c>
      <c r="L94" s="64">
        <v>22.45</v>
      </c>
      <c r="M94" s="64">
        <v>61.61</v>
      </c>
      <c r="N94" s="64">
        <v>34.700000000000003</v>
      </c>
      <c r="O94" s="64">
        <v>0</v>
      </c>
      <c r="P94" s="64">
        <v>0.92</v>
      </c>
      <c r="Q94" s="64">
        <v>4.97</v>
      </c>
      <c r="R94" s="198"/>
      <c r="S94" s="198"/>
      <c r="T94" s="198"/>
      <c r="U94" s="198"/>
    </row>
    <row r="95" spans="1:26" s="12" customFormat="1" x14ac:dyDescent="0.25">
      <c r="A95" s="214" t="s">
        <v>3212</v>
      </c>
      <c r="B95" s="64">
        <v>2.27</v>
      </c>
      <c r="C95" s="64">
        <v>23.05</v>
      </c>
      <c r="D95" s="64">
        <v>15.84</v>
      </c>
      <c r="E95" s="64">
        <v>1.86</v>
      </c>
      <c r="F95" s="64">
        <v>2.79</v>
      </c>
      <c r="G95" s="64">
        <v>88.44</v>
      </c>
      <c r="H95" s="64">
        <v>43.02</v>
      </c>
      <c r="I95" s="64">
        <v>1.5</v>
      </c>
      <c r="J95" s="64">
        <v>0.6</v>
      </c>
      <c r="K95" s="64">
        <v>104.21</v>
      </c>
      <c r="L95" s="64">
        <v>22.27</v>
      </c>
      <c r="M95" s="64">
        <v>62.67</v>
      </c>
      <c r="N95" s="64">
        <v>35.1</v>
      </c>
      <c r="O95" s="64">
        <v>0</v>
      </c>
      <c r="P95" s="64">
        <v>0.91</v>
      </c>
      <c r="Q95" s="64">
        <v>4.95</v>
      </c>
      <c r="R95" s="198"/>
      <c r="S95" s="198"/>
      <c r="T95" s="198"/>
      <c r="U95" s="198"/>
    </row>
    <row r="96" spans="1:26" s="12" customFormat="1" x14ac:dyDescent="0.25">
      <c r="A96" s="214" t="s">
        <v>3213</v>
      </c>
      <c r="B96" s="64">
        <v>2.14</v>
      </c>
      <c r="C96" s="64">
        <v>29.1</v>
      </c>
      <c r="D96" s="64">
        <v>19.07</v>
      </c>
      <c r="E96" s="64">
        <v>1.83</v>
      </c>
      <c r="F96" s="64">
        <v>7.29</v>
      </c>
      <c r="G96" s="64">
        <v>90.12</v>
      </c>
      <c r="H96" s="64">
        <v>44.14</v>
      </c>
      <c r="I96" s="64">
        <v>1.54</v>
      </c>
      <c r="J96" s="64">
        <v>0.28000000000000003</v>
      </c>
      <c r="K96" s="64">
        <v>120.32</v>
      </c>
      <c r="L96" s="64">
        <v>22.07</v>
      </c>
      <c r="M96" s="64">
        <v>64.11</v>
      </c>
      <c r="N96" s="64">
        <v>35.1</v>
      </c>
      <c r="O96" s="64">
        <v>0</v>
      </c>
      <c r="P96" s="64">
        <v>0.9</v>
      </c>
      <c r="Q96" s="64">
        <v>4.84</v>
      </c>
      <c r="R96" s="198"/>
      <c r="S96" s="198"/>
      <c r="T96" s="213"/>
      <c r="U96" s="198"/>
      <c r="Z96" s="109"/>
    </row>
    <row r="97" spans="1:33" s="12" customFormat="1" x14ac:dyDescent="0.25">
      <c r="A97" s="214" t="s">
        <v>3214</v>
      </c>
      <c r="B97" s="64">
        <v>2.09</v>
      </c>
      <c r="C97" s="64">
        <v>30.48</v>
      </c>
      <c r="D97" s="64">
        <v>19.79</v>
      </c>
      <c r="E97" s="64">
        <v>2.0299999999999998</v>
      </c>
      <c r="F97" s="64">
        <v>7.75</v>
      </c>
      <c r="G97" s="64">
        <v>90.12</v>
      </c>
      <c r="H97" s="64">
        <v>44.14</v>
      </c>
      <c r="I97" s="64">
        <v>1.48</v>
      </c>
      <c r="J97" s="64">
        <v>0.26</v>
      </c>
      <c r="K97" s="64">
        <v>164.88</v>
      </c>
      <c r="L97" s="64">
        <v>21.7</v>
      </c>
      <c r="M97" s="64">
        <v>67.34</v>
      </c>
      <c r="N97" s="64">
        <v>35.200000000000003</v>
      </c>
      <c r="O97" s="64">
        <v>0</v>
      </c>
      <c r="P97" s="64">
        <v>0.9</v>
      </c>
      <c r="Q97" s="64">
        <v>4.71</v>
      </c>
      <c r="R97" s="198"/>
      <c r="S97" s="198"/>
      <c r="T97" s="198"/>
      <c r="U97" s="198"/>
    </row>
    <row r="98" spans="1:33" s="12" customFormat="1" x14ac:dyDescent="0.25">
      <c r="A98" s="214" t="s">
        <v>3215</v>
      </c>
      <c r="B98" s="64">
        <v>2.29</v>
      </c>
      <c r="C98" s="64">
        <v>30.14</v>
      </c>
      <c r="D98" s="64">
        <v>19.760000000000002</v>
      </c>
      <c r="E98" s="64">
        <v>2.15</v>
      </c>
      <c r="F98" s="64">
        <v>8.09</v>
      </c>
      <c r="G98" s="64">
        <v>90.12</v>
      </c>
      <c r="H98" s="64">
        <v>44.14</v>
      </c>
      <c r="I98" s="64">
        <v>1.46</v>
      </c>
      <c r="J98" s="64">
        <v>0.09</v>
      </c>
      <c r="K98" s="64">
        <v>165.19</v>
      </c>
      <c r="L98" s="64">
        <v>21.31</v>
      </c>
      <c r="M98" s="64">
        <v>71.099999999999994</v>
      </c>
      <c r="N98" s="64">
        <v>35.299999999999997</v>
      </c>
      <c r="O98" s="64">
        <v>0</v>
      </c>
      <c r="P98" s="64">
        <v>0.89</v>
      </c>
      <c r="Q98" s="64">
        <v>4.75</v>
      </c>
      <c r="R98" s="198"/>
      <c r="S98" s="198"/>
      <c r="T98" s="198"/>
      <c r="U98" s="198"/>
    </row>
    <row r="99" spans="1:33" s="12" customFormat="1" x14ac:dyDescent="0.25">
      <c r="A99" s="214" t="s">
        <v>3216</v>
      </c>
      <c r="B99" s="64">
        <v>2.35</v>
      </c>
      <c r="C99" s="64">
        <v>27.68</v>
      </c>
      <c r="D99" s="64">
        <v>18.46</v>
      </c>
      <c r="E99" s="64">
        <v>2.15</v>
      </c>
      <c r="F99" s="64">
        <v>7.14</v>
      </c>
      <c r="G99" s="64">
        <v>88.82</v>
      </c>
      <c r="H99" s="64">
        <v>44.99</v>
      </c>
      <c r="I99" s="64">
        <v>1.51</v>
      </c>
      <c r="J99" s="64">
        <v>0.31</v>
      </c>
      <c r="K99" s="64">
        <v>172.97</v>
      </c>
      <c r="L99" s="64">
        <v>21.13</v>
      </c>
      <c r="M99" s="64">
        <v>71.599999999999994</v>
      </c>
      <c r="N99" s="64">
        <v>34.5</v>
      </c>
      <c r="O99" s="64">
        <v>0</v>
      </c>
      <c r="P99" s="64">
        <v>0.87</v>
      </c>
      <c r="Q99" s="64">
        <v>4.8099999999999996</v>
      </c>
      <c r="R99" s="198"/>
      <c r="S99" s="198"/>
      <c r="T99" s="198"/>
      <c r="U99" s="198"/>
    </row>
    <row r="100" spans="1:33" s="12" customFormat="1" x14ac:dyDescent="0.25">
      <c r="A100" s="214" t="s">
        <v>3217</v>
      </c>
      <c r="B100" s="64">
        <v>2.4300000000000002</v>
      </c>
      <c r="C100" s="64">
        <v>24.15</v>
      </c>
      <c r="D100" s="64">
        <v>16.57</v>
      </c>
      <c r="E100" s="64">
        <v>2.08</v>
      </c>
      <c r="F100" s="64">
        <v>5.26</v>
      </c>
      <c r="G100" s="64">
        <v>87.64</v>
      </c>
      <c r="H100" s="64">
        <v>45.38</v>
      </c>
      <c r="I100" s="64">
        <v>1.5</v>
      </c>
      <c r="J100" s="64">
        <v>0.22</v>
      </c>
      <c r="K100" s="64">
        <v>162.53</v>
      </c>
      <c r="L100" s="64">
        <v>21.03</v>
      </c>
      <c r="M100" s="64">
        <v>72.459999999999994</v>
      </c>
      <c r="N100" s="64">
        <v>34.299999999999997</v>
      </c>
      <c r="O100" s="64">
        <v>0</v>
      </c>
      <c r="P100" s="64">
        <v>0.86</v>
      </c>
      <c r="Q100" s="64">
        <v>4.95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3218</v>
      </c>
      <c r="B101" s="64">
        <v>2.5499999999999998</v>
      </c>
      <c r="C101" s="64">
        <v>21.25</v>
      </c>
      <c r="D101" s="64">
        <v>15.06</v>
      </c>
      <c r="E101" s="64">
        <v>2.13</v>
      </c>
      <c r="F101" s="64">
        <v>2.9</v>
      </c>
      <c r="G101" s="64">
        <v>87.64</v>
      </c>
      <c r="H101" s="64">
        <v>45.38</v>
      </c>
      <c r="I101" s="64">
        <v>1.49</v>
      </c>
      <c r="J101" s="64">
        <v>0.1</v>
      </c>
      <c r="K101" s="64">
        <v>188.01</v>
      </c>
      <c r="L101" s="64">
        <v>20.9</v>
      </c>
      <c r="M101" s="64">
        <v>73.39</v>
      </c>
      <c r="N101" s="64">
        <v>34.5</v>
      </c>
      <c r="O101" s="64">
        <v>0</v>
      </c>
      <c r="P101" s="64">
        <v>0.88</v>
      </c>
      <c r="Q101" s="64">
        <v>4.99</v>
      </c>
      <c r="R101" s="198"/>
      <c r="S101" s="198"/>
      <c r="T101" s="198"/>
      <c r="U101" s="198"/>
    </row>
    <row r="102" spans="1:33" s="12" customFormat="1" x14ac:dyDescent="0.25">
      <c r="A102" s="214" t="s">
        <v>3219</v>
      </c>
      <c r="B102" s="64">
        <v>2.6</v>
      </c>
      <c r="C102" s="64">
        <v>21.25</v>
      </c>
      <c r="D102" s="64">
        <v>15.1</v>
      </c>
      <c r="E102" s="64">
        <v>1.93</v>
      </c>
      <c r="F102" s="64">
        <v>2.16</v>
      </c>
      <c r="G102" s="64">
        <v>87.64</v>
      </c>
      <c r="H102" s="64">
        <v>45.38</v>
      </c>
      <c r="I102" s="64">
        <v>1.47</v>
      </c>
      <c r="J102" s="64">
        <v>0.08</v>
      </c>
      <c r="K102" s="64">
        <v>192.68</v>
      </c>
      <c r="L102" s="64">
        <v>20.8</v>
      </c>
      <c r="M102" s="64">
        <v>72.819999999999993</v>
      </c>
      <c r="N102" s="64">
        <v>34.1</v>
      </c>
      <c r="O102" s="64">
        <v>0</v>
      </c>
      <c r="P102" s="64">
        <v>0.88</v>
      </c>
      <c r="Q102" s="64">
        <v>4.99</v>
      </c>
      <c r="R102" s="198"/>
      <c r="S102" s="198"/>
      <c r="T102" s="198"/>
      <c r="U102" s="198"/>
    </row>
    <row r="103" spans="1:33" s="12" customFormat="1" x14ac:dyDescent="0.25">
      <c r="A103" s="214" t="s">
        <v>3220</v>
      </c>
      <c r="B103" s="64">
        <v>2.54</v>
      </c>
      <c r="C103" s="64">
        <v>21.46</v>
      </c>
      <c r="D103" s="64">
        <v>15.18</v>
      </c>
      <c r="E103" s="64">
        <v>1.64</v>
      </c>
      <c r="F103" s="64">
        <v>3.71</v>
      </c>
      <c r="G103" s="64">
        <v>82.07</v>
      </c>
      <c r="H103" s="64">
        <v>45.35</v>
      </c>
      <c r="I103" s="64">
        <v>1.51</v>
      </c>
      <c r="J103" s="64">
        <v>0.13</v>
      </c>
      <c r="K103" s="64">
        <v>206.29</v>
      </c>
      <c r="L103" s="64">
        <v>20.69</v>
      </c>
      <c r="M103" s="64">
        <v>72.17</v>
      </c>
      <c r="N103" s="64">
        <v>33.9</v>
      </c>
      <c r="O103" s="64">
        <v>0</v>
      </c>
      <c r="P103" s="64">
        <v>0.86</v>
      </c>
      <c r="Q103" s="64">
        <v>4.97</v>
      </c>
      <c r="R103" s="198"/>
      <c r="S103" s="198"/>
      <c r="T103" s="198"/>
      <c r="U103" s="198"/>
    </row>
    <row r="104" spans="1:33" s="12" customFormat="1" x14ac:dyDescent="0.25">
      <c r="A104" s="214" t="s">
        <v>3221</v>
      </c>
      <c r="B104" s="64">
        <v>2.5499999999999998</v>
      </c>
      <c r="C104" s="64">
        <v>21.43</v>
      </c>
      <c r="D104" s="64">
        <v>15.17</v>
      </c>
      <c r="E104" s="64">
        <v>1.27</v>
      </c>
      <c r="F104" s="64">
        <v>1.75</v>
      </c>
      <c r="G104" s="64">
        <v>76.98</v>
      </c>
      <c r="H104" s="64">
        <v>45.32</v>
      </c>
      <c r="I104" s="64">
        <v>1.53</v>
      </c>
      <c r="J104" s="64">
        <v>0.24</v>
      </c>
      <c r="K104" s="64">
        <v>177.38</v>
      </c>
      <c r="L104" s="64">
        <v>20.74</v>
      </c>
      <c r="M104" s="64">
        <v>71.239999999999995</v>
      </c>
      <c r="N104" s="64">
        <v>33.700000000000003</v>
      </c>
      <c r="O104" s="64">
        <v>0</v>
      </c>
      <c r="P104" s="64">
        <v>0.86</v>
      </c>
      <c r="Q104" s="64">
        <v>4.95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</v>
      </c>
      <c r="C106" s="67">
        <f>MIN(C9:C104)</f>
        <v>17.41</v>
      </c>
      <c r="D106" s="67">
        <f t="shared" ref="D106:Q106" si="0">MIN(D9:D104)</f>
        <v>12.51</v>
      </c>
      <c r="E106" s="67">
        <f t="shared" si="0"/>
        <v>0.89</v>
      </c>
      <c r="F106" s="67">
        <f t="shared" si="0"/>
        <v>0.1</v>
      </c>
      <c r="G106" s="67">
        <f t="shared" si="0"/>
        <v>59.26</v>
      </c>
      <c r="H106" s="67">
        <f t="shared" si="0"/>
        <v>35.979999999999997</v>
      </c>
      <c r="I106" s="67">
        <f t="shared" si="0"/>
        <v>1.4</v>
      </c>
      <c r="J106" s="67">
        <f t="shared" si="0"/>
        <v>0.03</v>
      </c>
      <c r="K106" s="67">
        <f t="shared" si="0"/>
        <v>4.09</v>
      </c>
      <c r="L106" s="67">
        <f t="shared" si="0"/>
        <v>17.29</v>
      </c>
      <c r="M106" s="67">
        <f t="shared" si="0"/>
        <v>43.78</v>
      </c>
      <c r="N106" s="67">
        <f t="shared" si="0"/>
        <v>18.7</v>
      </c>
      <c r="O106" s="67">
        <f t="shared" si="0"/>
        <v>0</v>
      </c>
      <c r="P106" s="67">
        <f t="shared" si="0"/>
        <v>0.51</v>
      </c>
      <c r="Q106" s="67">
        <f t="shared" si="0"/>
        <v>3.69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11.04</v>
      </c>
      <c r="C107" s="66">
        <f t="shared" ref="C107:Q107" si="1">MAX(C9:C104)</f>
        <v>42.45</v>
      </c>
      <c r="D107" s="66">
        <f t="shared" si="1"/>
        <v>28.47</v>
      </c>
      <c r="E107" s="66">
        <f t="shared" si="1"/>
        <v>2.94</v>
      </c>
      <c r="F107" s="66">
        <f t="shared" si="1"/>
        <v>26.06</v>
      </c>
      <c r="G107" s="66">
        <f t="shared" si="1"/>
        <v>193.13</v>
      </c>
      <c r="H107" s="66">
        <f t="shared" si="1"/>
        <v>91.05</v>
      </c>
      <c r="I107" s="66">
        <f t="shared" si="1"/>
        <v>1.57</v>
      </c>
      <c r="J107" s="66">
        <f t="shared" si="1"/>
        <v>1.81</v>
      </c>
      <c r="K107" s="66">
        <f t="shared" si="1"/>
        <v>357.71</v>
      </c>
      <c r="L107" s="66">
        <f t="shared" si="1"/>
        <v>27.58</v>
      </c>
      <c r="M107" s="66">
        <f t="shared" si="1"/>
        <v>92.07</v>
      </c>
      <c r="N107" s="66">
        <f t="shared" si="1"/>
        <v>743.5</v>
      </c>
      <c r="O107" s="66">
        <f t="shared" si="1"/>
        <v>0</v>
      </c>
      <c r="P107" s="66">
        <f t="shared" si="1"/>
        <v>1.32</v>
      </c>
      <c r="Q107" s="66">
        <f t="shared" si="1"/>
        <v>5.68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5.0981250000000022</v>
      </c>
      <c r="C108" s="67">
        <f t="shared" ref="C108:Q108" si="2">AVERAGE(C9:C104)</f>
        <v>26.916354166666675</v>
      </c>
      <c r="D108" s="67">
        <f t="shared" si="2"/>
        <v>20.235208333333329</v>
      </c>
      <c r="E108" s="67">
        <f t="shared" si="2"/>
        <v>2.0659375000000009</v>
      </c>
      <c r="F108" s="67">
        <f t="shared" si="2"/>
        <v>4.8744791666666663</v>
      </c>
      <c r="G108" s="67">
        <f t="shared" si="2"/>
        <v>105.91989583333338</v>
      </c>
      <c r="H108" s="67">
        <f t="shared" si="2"/>
        <v>56.801562499999967</v>
      </c>
      <c r="I108" s="67">
        <f t="shared" si="2"/>
        <v>1.5005208333333329</v>
      </c>
      <c r="J108" s="67">
        <f t="shared" si="2"/>
        <v>0.55541666666666678</v>
      </c>
      <c r="K108" s="67">
        <f t="shared" si="2"/>
        <v>148.7491666666667</v>
      </c>
      <c r="L108" s="67">
        <f t="shared" si="2"/>
        <v>22.365312500000005</v>
      </c>
      <c r="M108" s="67">
        <f t="shared" si="2"/>
        <v>63.169270833333343</v>
      </c>
      <c r="N108" s="67">
        <f t="shared" si="2"/>
        <v>180.30416666666659</v>
      </c>
      <c r="O108" s="67">
        <f t="shared" si="2"/>
        <v>0</v>
      </c>
      <c r="P108" s="67">
        <f t="shared" si="2"/>
        <v>0.91072916666666659</v>
      </c>
      <c r="Q108" s="67">
        <f t="shared" si="2"/>
        <v>5.115312499999999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3.1518780742180996</v>
      </c>
      <c r="C109" s="67">
        <f t="shared" ref="C109:Q109" si="3">STDEV(C9:C104)</f>
        <v>4.9696817900443344</v>
      </c>
      <c r="D109" s="67">
        <f t="shared" si="3"/>
        <v>4.0968825064834284</v>
      </c>
      <c r="E109" s="67">
        <f t="shared" si="3"/>
        <v>0.42805700093869437</v>
      </c>
      <c r="F109" s="67">
        <f t="shared" si="3"/>
        <v>5.1849490419851234</v>
      </c>
      <c r="G109" s="67">
        <f t="shared" si="3"/>
        <v>39.008071485804798</v>
      </c>
      <c r="H109" s="67">
        <f t="shared" si="3"/>
        <v>16.634069371284024</v>
      </c>
      <c r="I109" s="67">
        <f t="shared" si="3"/>
        <v>3.5224686070594473E-2</v>
      </c>
      <c r="J109" s="67">
        <f t="shared" si="3"/>
        <v>0.50503552072402025</v>
      </c>
      <c r="K109" s="67">
        <f t="shared" si="3"/>
        <v>86.904966736710577</v>
      </c>
      <c r="L109" s="67">
        <f t="shared" si="3"/>
        <v>3.2671036434592899</v>
      </c>
      <c r="M109" s="67">
        <f t="shared" si="3"/>
        <v>14.71595176347164</v>
      </c>
      <c r="N109" s="67">
        <f t="shared" si="3"/>
        <v>226.58039535980058</v>
      </c>
      <c r="O109" s="67">
        <f t="shared" si="3"/>
        <v>0</v>
      </c>
      <c r="P109" s="67">
        <f t="shared" si="3"/>
        <v>0.2099736564512541</v>
      </c>
      <c r="Q109" s="67">
        <f t="shared" si="3"/>
        <v>0.4156034373116555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215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zoomScale="85" zoomScaleNormal="85" workbookViewId="0">
      <pane xSplit="1" ySplit="8" topLeftCell="B21" activePane="bottomRight" state="frozen"/>
      <selection activeCell="B2" sqref="B2"/>
      <selection pane="topRight" activeCell="B2" sqref="B2"/>
      <selection pane="bottomLeft" activeCell="B2" sqref="B2"/>
      <selection pane="bottomRight" activeCell="V39" sqref="V39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01-10-2023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245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01-10-2023 00:15</v>
      </c>
      <c r="B9" s="61">
        <f>'01'!B108</f>
        <v>6.2407291666666653</v>
      </c>
      <c r="C9" s="61">
        <f>'01'!C108</f>
        <v>15.432916666666666</v>
      </c>
      <c r="D9" s="61">
        <f>'01'!D108</f>
        <v>14.813541666666666</v>
      </c>
      <c r="E9" s="61">
        <f>'01'!E108</f>
        <v>1.5233333333333334</v>
      </c>
      <c r="F9" s="61">
        <f>'01'!F108</f>
        <v>2.1267708333333339</v>
      </c>
      <c r="G9" s="99">
        <f>'01'!$G$108</f>
        <v>47.779791666666682</v>
      </c>
      <c r="H9" s="61">
        <f>'01'!H108</f>
        <v>16.698750000000008</v>
      </c>
      <c r="I9" s="61">
        <f>'01'!I108</f>
        <v>1.5006250000000003</v>
      </c>
      <c r="J9" s="61">
        <f>'01'!J108</f>
        <v>0.25041666666666657</v>
      </c>
      <c r="K9" s="61">
        <f>'01'!K108</f>
        <v>151.68489583333337</v>
      </c>
      <c r="L9" s="61">
        <f>'01'!L108</f>
        <v>25.30802083333333</v>
      </c>
      <c r="M9" s="61">
        <f>'01'!M108</f>
        <v>86.009895833333303</v>
      </c>
      <c r="N9" s="61">
        <f>'01'!N108</f>
        <v>201.33125000000004</v>
      </c>
      <c r="O9" s="61">
        <f>'01'!O108</f>
        <v>0</v>
      </c>
      <c r="P9" s="201">
        <f>'01'!P108</f>
        <v>0.79510416666666661</v>
      </c>
      <c r="Q9" s="61">
        <f>'01'!Q108</f>
        <v>10.500208333333333</v>
      </c>
      <c r="R9" s="118"/>
      <c r="S9" s="118"/>
      <c r="T9" s="118"/>
      <c r="U9" s="118"/>
    </row>
    <row r="10" spans="1:21" x14ac:dyDescent="0.25">
      <c r="A10" s="94" t="str">
        <f>'02'!$B$2</f>
        <v>02-10-2023 00:15</v>
      </c>
      <c r="B10" s="61">
        <f>'02'!B108</f>
        <v>8.3686458333333285</v>
      </c>
      <c r="C10" s="61">
        <f>'02'!C108</f>
        <v>11.86916666666667</v>
      </c>
      <c r="D10" s="61">
        <f>'02'!D108</f>
        <v>14.553854166666667</v>
      </c>
      <c r="E10" s="61">
        <f>'02'!E108</f>
        <v>1.6352083333333338</v>
      </c>
      <c r="F10" s="61">
        <f>'02'!F108</f>
        <v>0.84458333333333346</v>
      </c>
      <c r="G10" s="61">
        <f>'02'!G108</f>
        <v>44.362291666666671</v>
      </c>
      <c r="H10" s="61">
        <f>'02'!H108</f>
        <v>27.606354166666634</v>
      </c>
      <c r="I10" s="61">
        <f>'02'!I108</f>
        <v>1.4962499999999996</v>
      </c>
      <c r="J10" s="61">
        <f>'02'!J108</f>
        <v>0.39072916666666674</v>
      </c>
      <c r="K10" s="61">
        <f>'02'!K108</f>
        <v>233.08874999999998</v>
      </c>
      <c r="L10" s="61">
        <f>'02'!L108</f>
        <v>26.180520833333333</v>
      </c>
      <c r="M10" s="61">
        <f>'02'!M108</f>
        <v>85.261458333333351</v>
      </c>
      <c r="N10" s="61">
        <f>'02'!N108</f>
        <v>176.22916666666666</v>
      </c>
      <c r="O10" s="61">
        <f>'02'!O108</f>
        <v>0</v>
      </c>
      <c r="P10" s="201">
        <f>'02'!P108</f>
        <v>0.74166666666666659</v>
      </c>
      <c r="Q10" s="61">
        <f>'02'!Q108</f>
        <v>10.925526315789474</v>
      </c>
      <c r="R10" s="118"/>
      <c r="S10" s="118"/>
      <c r="T10" s="118"/>
      <c r="U10" s="118"/>
    </row>
    <row r="11" spans="1:21" x14ac:dyDescent="0.25">
      <c r="A11" s="94" t="str">
        <f>'03'!$B$2</f>
        <v>03-10-2023 00:15</v>
      </c>
      <c r="B11" s="61">
        <f>'03'!B108</f>
        <v>13.270659340659343</v>
      </c>
      <c r="C11" s="61">
        <f>'03'!C108</f>
        <v>12.91945054945055</v>
      </c>
      <c r="D11" s="61">
        <f>'03'!D108</f>
        <v>19.064945054945056</v>
      </c>
      <c r="E11" s="61">
        <f>'03'!E108</f>
        <v>1.6447311827956996</v>
      </c>
      <c r="F11" s="61">
        <f>'03'!F108</f>
        <v>0.57604166666666667</v>
      </c>
      <c r="G11" s="61">
        <f>'03'!G108</f>
        <v>50.146344086021479</v>
      </c>
      <c r="H11" s="61">
        <f>'03'!H108</f>
        <v>12.77430107526882</v>
      </c>
      <c r="I11" s="61">
        <f>'03'!I108</f>
        <v>1.496041666666666</v>
      </c>
      <c r="J11" s="61">
        <f>'03'!J108</f>
        <v>0.93114583333333323</v>
      </c>
      <c r="K11" s="61">
        <f>'03'!K108</f>
        <v>327.98666666666651</v>
      </c>
      <c r="L11" s="61">
        <f>'03'!L108</f>
        <v>25.900000000000002</v>
      </c>
      <c r="M11" s="61">
        <f>'03'!M108</f>
        <v>77.030625000000001</v>
      </c>
      <c r="N11" s="61">
        <f>'03'!N108</f>
        <v>168.89687499999997</v>
      </c>
      <c r="O11" s="61">
        <f>'03'!O108</f>
        <v>0</v>
      </c>
      <c r="P11" s="201">
        <f>'03'!P108</f>
        <v>0.70562500000000028</v>
      </c>
      <c r="Q11" s="61">
        <f>'03'!Q108</f>
        <v>10.032857142857141</v>
      </c>
      <c r="R11" s="118"/>
      <c r="S11" s="118"/>
      <c r="T11" s="118"/>
      <c r="U11" s="118"/>
    </row>
    <row r="12" spans="1:21" x14ac:dyDescent="0.25">
      <c r="A12" s="94" t="str">
        <f>'04'!$B$2</f>
        <v>04-10-2023 00:15</v>
      </c>
      <c r="B12" s="61">
        <f>'04'!B108</f>
        <v>5.8416666666666677</v>
      </c>
      <c r="C12" s="61">
        <f>'04'!C108</f>
        <v>17.995937499999997</v>
      </c>
      <c r="D12" s="61">
        <f>'04'!D108</f>
        <v>15.908541666666665</v>
      </c>
      <c r="E12" s="61">
        <f>'04'!E108</f>
        <v>1.4488541666666672</v>
      </c>
      <c r="F12" s="61">
        <f>'04'!F108</f>
        <v>1.0980208333333334</v>
      </c>
      <c r="G12" s="61">
        <f>'04'!G108</f>
        <v>60.979062500000019</v>
      </c>
      <c r="H12" s="61">
        <f>'04'!H108</f>
        <v>18.626041666666673</v>
      </c>
      <c r="I12" s="61">
        <f>'04'!I108</f>
        <v>1.5046875000000008</v>
      </c>
      <c r="J12" s="61">
        <f>'04'!J108</f>
        <v>0.62489583333333343</v>
      </c>
      <c r="K12" s="61">
        <f>'04'!K108</f>
        <v>301.90864583333354</v>
      </c>
      <c r="L12" s="61">
        <f>'04'!L108</f>
        <v>26.12458333333333</v>
      </c>
      <c r="M12" s="61">
        <f>'04'!M108</f>
        <v>56.023125000000014</v>
      </c>
      <c r="N12" s="61">
        <f>'04'!N108</f>
        <v>235.04687499999991</v>
      </c>
      <c r="O12" s="61">
        <f>'04'!O108</f>
        <v>0</v>
      </c>
      <c r="P12" s="201">
        <f>'04'!P108</f>
        <v>0.73000000000000009</v>
      </c>
      <c r="Q12" s="61">
        <f>'04'!Q108</f>
        <v>10.714583333333332</v>
      </c>
      <c r="R12" s="118"/>
      <c r="S12" s="118"/>
      <c r="T12" s="118"/>
      <c r="U12" s="118"/>
    </row>
    <row r="13" spans="1:21" x14ac:dyDescent="0.25">
      <c r="A13" s="94" t="str">
        <f>'05'!$B$2</f>
        <v>05-10-2023 00:15</v>
      </c>
      <c r="B13" s="61">
        <f>'05'!B108</f>
        <v>4.8964583333333325</v>
      </c>
      <c r="C13" s="61">
        <f>'05'!C108</f>
        <v>16.057812499999997</v>
      </c>
      <c r="D13" s="61">
        <f>'05'!D108</f>
        <v>14.081041666666664</v>
      </c>
      <c r="E13" s="61">
        <f>'05'!E108</f>
        <v>1.3692708333333334</v>
      </c>
      <c r="F13" s="61">
        <f>'05'!F108</f>
        <v>0.84624999999999995</v>
      </c>
      <c r="G13" s="61">
        <f>'05'!G108</f>
        <v>79.456770833333294</v>
      </c>
      <c r="H13" s="61">
        <f>'05'!H108</f>
        <v>26.972604166666674</v>
      </c>
      <c r="I13" s="61">
        <f>'05'!I108</f>
        <v>1.4959375000000001</v>
      </c>
      <c r="J13" s="61">
        <f>'05'!J108</f>
        <v>0.56218750000000017</v>
      </c>
      <c r="K13" s="61">
        <f>'05'!K108</f>
        <v>248.68906249999984</v>
      </c>
      <c r="L13" s="61">
        <f>'05'!L108</f>
        <v>26.065937499999993</v>
      </c>
      <c r="M13" s="61">
        <f>'05'!M108</f>
        <v>62.491250000000001</v>
      </c>
      <c r="N13" s="61">
        <f>'05'!N108</f>
        <v>230.8666666666667</v>
      </c>
      <c r="O13" s="61">
        <f>'05'!O108</f>
        <v>0</v>
      </c>
      <c r="P13" s="201">
        <f>'05'!P108</f>
        <v>0.86406249999999973</v>
      </c>
      <c r="Q13" s="61">
        <f>'05'!Q108</f>
        <v>11.485312500000001</v>
      </c>
      <c r="R13" s="118"/>
      <c r="S13" s="118"/>
      <c r="T13" s="118"/>
      <c r="U13" s="118"/>
    </row>
    <row r="14" spans="1:21" x14ac:dyDescent="0.25">
      <c r="A14" s="94" t="str">
        <f>'06'!$B$2</f>
        <v>06-10-2023 00:15</v>
      </c>
      <c r="B14" s="61">
        <f>'06'!B108</f>
        <v>10.406041666666665</v>
      </c>
      <c r="C14" s="61">
        <f>'06'!C108</f>
        <v>17.689374999999995</v>
      </c>
      <c r="D14" s="61">
        <f>'06'!D108</f>
        <v>19.399895833333325</v>
      </c>
      <c r="E14" s="61">
        <f>'06'!E108</f>
        <v>1.4923958333333334</v>
      </c>
      <c r="F14" s="61">
        <f>'06'!F108</f>
        <v>0.92072916666666693</v>
      </c>
      <c r="G14" s="61">
        <f>'06'!G108</f>
        <v>77.553020833333321</v>
      </c>
      <c r="H14" s="61">
        <f>'06'!H108</f>
        <v>18.589062499999983</v>
      </c>
      <c r="I14" s="61">
        <f>'06'!I108</f>
        <v>1.4964583333333332</v>
      </c>
      <c r="J14" s="61">
        <f>'06'!J108</f>
        <v>0.40312500000000023</v>
      </c>
      <c r="K14" s="61">
        <f>'06'!K108</f>
        <v>254.50052083333324</v>
      </c>
      <c r="L14" s="61">
        <f>'06'!L108</f>
        <v>26.525208333333353</v>
      </c>
      <c r="M14" s="61">
        <f>'06'!M108</f>
        <v>64.824270833333358</v>
      </c>
      <c r="N14" s="61">
        <f>'06'!N108</f>
        <v>216.48333333333332</v>
      </c>
      <c r="O14" s="61">
        <f>'06'!O108</f>
        <v>0</v>
      </c>
      <c r="P14" s="201">
        <f>'06'!P108</f>
        <v>0.99958333333333294</v>
      </c>
      <c r="Q14" s="61">
        <f>'06'!Q108</f>
        <v>13.355312500000004</v>
      </c>
      <c r="R14" s="118"/>
      <c r="S14" s="118"/>
      <c r="T14" s="118"/>
      <c r="U14" s="118"/>
    </row>
    <row r="15" spans="1:21" x14ac:dyDescent="0.25">
      <c r="A15" s="94" t="str">
        <f>'07'!$B$2</f>
        <v>07-10-2023 00:15</v>
      </c>
      <c r="B15" s="61">
        <f>'07'!B108</f>
        <v>18.199687500000007</v>
      </c>
      <c r="C15" s="61">
        <f>'07'!C108</f>
        <v>19.311770833333323</v>
      </c>
      <c r="D15" s="61">
        <f>'07'!D108</f>
        <v>26.545208333333331</v>
      </c>
      <c r="E15" s="61">
        <f>'07'!E108</f>
        <v>1.3504166666666666</v>
      </c>
      <c r="F15" s="61">
        <f>'07'!F108</f>
        <v>0.78885416666666652</v>
      </c>
      <c r="G15" s="100">
        <f>'07'!$G$108</f>
        <v>101.18989247311829</v>
      </c>
      <c r="H15" s="61">
        <f>'07'!H108</f>
        <v>13.248172043010749</v>
      </c>
      <c r="I15" s="61">
        <f>'07'!I108</f>
        <v>1.4907291666666664</v>
      </c>
      <c r="J15" s="61">
        <f>'07'!J108</f>
        <v>0.35218750000000004</v>
      </c>
      <c r="K15" s="61">
        <f>'07'!K108</f>
        <v>264.13864583333327</v>
      </c>
      <c r="L15" s="61">
        <f>'07'!L108</f>
        <v>26.048229166666676</v>
      </c>
      <c r="M15" s="61">
        <f>'07'!M108</f>
        <v>60.016770833333318</v>
      </c>
      <c r="N15" s="61">
        <f>'07'!N108</f>
        <v>213.45416666666665</v>
      </c>
      <c r="O15" s="61">
        <f>'07'!O108</f>
        <v>0</v>
      </c>
      <c r="P15" s="201">
        <f>'07'!P108</f>
        <v>1.0633333333333337</v>
      </c>
      <c r="Q15" s="61">
        <f>'07'!Q108</f>
        <v>18.937291666666663</v>
      </c>
      <c r="R15" s="118"/>
      <c r="S15" s="118"/>
      <c r="T15" s="118"/>
      <c r="U15" s="118"/>
    </row>
    <row r="16" spans="1:21" x14ac:dyDescent="0.25">
      <c r="A16" s="94" t="str">
        <f>'08'!$B$2</f>
        <v>08-10-2023 00:15</v>
      </c>
      <c r="B16" s="61">
        <f>'08'!B108</f>
        <v>11.718854166666667</v>
      </c>
      <c r="C16" s="61">
        <f>'08'!C108</f>
        <v>16.210416666666674</v>
      </c>
      <c r="D16" s="61">
        <f>'08'!D108</f>
        <v>19.636145833333334</v>
      </c>
      <c r="E16" s="61">
        <f>'08'!E108</f>
        <v>1.4001041666666671</v>
      </c>
      <c r="F16" s="61">
        <f>'08'!F108</f>
        <v>0.66218750000000004</v>
      </c>
      <c r="G16" s="100">
        <f>'08'!$G$108</f>
        <v>70.92916666666666</v>
      </c>
      <c r="H16" s="61">
        <f>'08'!H108</f>
        <v>23.802916666666675</v>
      </c>
      <c r="I16" s="61">
        <f>'08'!I108</f>
        <v>1.4953125000000005</v>
      </c>
      <c r="J16" s="61">
        <f>'08'!J108</f>
        <v>0.31739583333333327</v>
      </c>
      <c r="K16" s="61">
        <f>'08'!K108</f>
        <v>233.35885416666665</v>
      </c>
      <c r="L16" s="61">
        <f>'08'!L108</f>
        <v>26.931249999999995</v>
      </c>
      <c r="M16" s="61">
        <f>'08'!M108</f>
        <v>65.011354166666692</v>
      </c>
      <c r="N16" s="61">
        <f>'08'!N108</f>
        <v>217.81562499999993</v>
      </c>
      <c r="O16" s="61">
        <f>'08'!O108</f>
        <v>0</v>
      </c>
      <c r="P16" s="201">
        <f>'08'!P108</f>
        <v>0.76645833333333357</v>
      </c>
      <c r="Q16" s="61">
        <f>'08'!Q108</f>
        <v>269.81999999999988</v>
      </c>
      <c r="R16" s="118"/>
      <c r="S16" s="118"/>
      <c r="T16" s="118"/>
      <c r="U16" s="118"/>
    </row>
    <row r="17" spans="1:21" x14ac:dyDescent="0.25">
      <c r="A17" s="94" t="str">
        <f>'09'!$B$2</f>
        <v>09-10-2023 00:15</v>
      </c>
      <c r="B17" s="61">
        <f>'09'!B108</f>
        <v>5.7537499999999993</v>
      </c>
      <c r="C17" s="61">
        <f>'09'!C108</f>
        <v>15.093541666666665</v>
      </c>
      <c r="D17" s="61">
        <f>'09'!D108</f>
        <v>14.235729166666665</v>
      </c>
      <c r="E17" s="61">
        <f>'09'!E108</f>
        <v>0.96020833333333355</v>
      </c>
      <c r="F17" s="61">
        <f>'09'!F108</f>
        <v>0.63291666666666646</v>
      </c>
      <c r="G17" s="100">
        <f>'09'!$G$108</f>
        <v>64.020937500000016</v>
      </c>
      <c r="H17" s="61">
        <f>'09'!H108</f>
        <v>20.920104166666651</v>
      </c>
      <c r="I17" s="61">
        <f>'09'!I108</f>
        <v>1.5031249999999998</v>
      </c>
      <c r="J17" s="61">
        <f>'09'!J108</f>
        <v>0.37520833333333342</v>
      </c>
      <c r="K17" s="61">
        <f>'09'!K108</f>
        <v>245.00729166666656</v>
      </c>
      <c r="L17" s="61">
        <f>'09'!L108</f>
        <v>27.78031249999999</v>
      </c>
      <c r="M17" s="61">
        <f>'09'!M108</f>
        <v>66.84770833333333</v>
      </c>
      <c r="N17" s="61">
        <f>'09'!N108</f>
        <v>213.26704545454533</v>
      </c>
      <c r="O17" s="61">
        <f>'09'!O108</f>
        <v>0</v>
      </c>
      <c r="P17" s="201">
        <f>'09'!P108</f>
        <v>0.67770833333333325</v>
      </c>
      <c r="Q17" s="61">
        <f>'09'!Q108</f>
        <v>239.05072916666677</v>
      </c>
      <c r="R17" s="118"/>
      <c r="S17" s="118"/>
      <c r="T17" s="118"/>
      <c r="U17" s="118"/>
    </row>
    <row r="18" spans="1:21" x14ac:dyDescent="0.25">
      <c r="A18" s="94" t="str">
        <f>'10'!$B$2</f>
        <v>10-10-2023 00:15</v>
      </c>
      <c r="B18" s="61">
        <f>'10'!B108</f>
        <v>7.3713541666666673</v>
      </c>
      <c r="C18" s="61">
        <f>'10'!C108</f>
        <v>18.383749999999996</v>
      </c>
      <c r="D18" s="61">
        <f>'10'!D108</f>
        <v>17.349374999999998</v>
      </c>
      <c r="E18" s="61">
        <f>'10'!E108</f>
        <v>1.3320212765957444</v>
      </c>
      <c r="F18" s="61">
        <f>'10'!F108</f>
        <v>1.3865625000000001</v>
      </c>
      <c r="G18" s="101">
        <f>'10'!$G$108</f>
        <v>79.216630434782616</v>
      </c>
      <c r="H18" s="61">
        <f>'10'!H108</f>
        <v>38.977608695652172</v>
      </c>
      <c r="I18" s="61">
        <f>'10'!I108</f>
        <v>1.502604166666667</v>
      </c>
      <c r="J18" s="61">
        <f>'10'!J108</f>
        <v>0.32479166666666676</v>
      </c>
      <c r="K18" s="61">
        <f>'10'!K108</f>
        <v>237.49250000000004</v>
      </c>
      <c r="L18" s="61">
        <f>'10'!L108</f>
        <v>27.590624999999999</v>
      </c>
      <c r="M18" s="61">
        <f>'10'!M108</f>
        <v>67.39114583333334</v>
      </c>
      <c r="N18" s="61">
        <f>'10'!N108</f>
        <v>192.30106382978715</v>
      </c>
      <c r="O18" s="61">
        <f>'10'!O108</f>
        <v>0</v>
      </c>
      <c r="P18" s="201">
        <f>'10'!P108</f>
        <v>0.82739583333333344</v>
      </c>
      <c r="Q18" s="61">
        <f>'10'!Q108</f>
        <v>170.23516853932585</v>
      </c>
      <c r="R18" s="118"/>
      <c r="S18" s="118"/>
      <c r="T18" s="118"/>
      <c r="U18" s="118"/>
    </row>
    <row r="19" spans="1:21" x14ac:dyDescent="0.25">
      <c r="A19" s="94" t="str">
        <f>'11'!$B$2</f>
        <v>11-10-2023 00:15</v>
      </c>
      <c r="B19" s="61">
        <f>'11'!B108</f>
        <v>8.9017708333333321</v>
      </c>
      <c r="C19" s="61">
        <f>'11'!C108</f>
        <v>17.083020833333325</v>
      </c>
      <c r="D19" s="61">
        <f>'11'!D108</f>
        <v>18.198020833333338</v>
      </c>
      <c r="E19" s="61">
        <f>'11'!E108</f>
        <v>3.4916304347826084</v>
      </c>
      <c r="F19" s="61">
        <f>'11'!F108</f>
        <v>1.6663541666666666</v>
      </c>
      <c r="G19" s="99">
        <f>'11'!$G$108</f>
        <v>86.299462365591395</v>
      </c>
      <c r="H19" s="61">
        <f>'11'!H108</f>
        <v>27.821827956989246</v>
      </c>
      <c r="I19" s="61">
        <f>'11'!I108</f>
        <v>1.5033333333333336</v>
      </c>
      <c r="J19" s="61">
        <f>'11'!J108</f>
        <v>0.33729166666666671</v>
      </c>
      <c r="K19" s="61">
        <f>'11'!K108</f>
        <v>244.74479166666666</v>
      </c>
      <c r="L19" s="61">
        <f>'11'!L108</f>
        <v>27.80083333333333</v>
      </c>
      <c r="M19" s="61">
        <f>'11'!M108</f>
        <v>65.006249999999994</v>
      </c>
      <c r="N19" s="61">
        <f>'11'!N108</f>
        <v>206.1697916666667</v>
      </c>
      <c r="O19" s="61">
        <f>'11'!O108</f>
        <v>0</v>
      </c>
      <c r="P19" s="201">
        <f>'11'!P108</f>
        <v>0.78104166666666686</v>
      </c>
      <c r="Q19" s="61">
        <f>'11'!Q108</f>
        <v>82.363229166666684</v>
      </c>
      <c r="R19" s="118"/>
      <c r="S19" s="118"/>
      <c r="T19" s="118"/>
      <c r="U19" s="118"/>
    </row>
    <row r="20" spans="1:21" x14ac:dyDescent="0.25">
      <c r="A20" s="94" t="str">
        <f>'12'!$B$2</f>
        <v>12-10-2023 00:15</v>
      </c>
      <c r="B20" s="61">
        <f>'12'!B108</f>
        <v>26.102500000000006</v>
      </c>
      <c r="C20" s="61">
        <f>'12'!C108</f>
        <v>29.442916666666665</v>
      </c>
      <c r="D20" s="61">
        <f>'12'!D108</f>
        <v>38.466562500000016</v>
      </c>
      <c r="E20" s="61">
        <f>'12'!E108</f>
        <v>2.0108602150537642</v>
      </c>
      <c r="F20" s="61">
        <f>'12'!F108</f>
        <v>1.5073958333333337</v>
      </c>
      <c r="G20" s="101">
        <f>'12'!$G$108</f>
        <v>79.142812500000005</v>
      </c>
      <c r="H20" s="61">
        <f>'12'!H108</f>
        <v>29.409791666666663</v>
      </c>
      <c r="I20" s="61">
        <f>'12'!I108</f>
        <v>1.4971874999999997</v>
      </c>
      <c r="J20" s="61">
        <f>'12'!J108</f>
        <v>0.21437500000000001</v>
      </c>
      <c r="K20" s="61">
        <f>'12'!K108</f>
        <v>185.66114583333331</v>
      </c>
      <c r="L20" s="61">
        <f>'12'!L108</f>
        <v>25.533333333333335</v>
      </c>
      <c r="M20" s="61">
        <f>'12'!M108</f>
        <v>76.266875000000027</v>
      </c>
      <c r="N20" s="61">
        <f>'12'!N108</f>
        <v>172.05208333333329</v>
      </c>
      <c r="O20" s="61">
        <f>'12'!O108</f>
        <v>0</v>
      </c>
      <c r="P20" s="201">
        <f>'12'!P108</f>
        <v>1.2275000000000003</v>
      </c>
      <c r="Q20" s="61">
        <f>'12'!Q108</f>
        <v>5.1931249999999993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13-10-2023 00:15</v>
      </c>
      <c r="B21" s="91">
        <f>'13'!B108</f>
        <v>28.578541666666663</v>
      </c>
      <c r="C21" s="91">
        <f>'13'!C108</f>
        <v>33.297604166666666</v>
      </c>
      <c r="D21" s="91">
        <f>'13'!D108</f>
        <v>42.5859375</v>
      </c>
      <c r="E21" s="91">
        <f>'13'!E108</f>
        <v>17.899894736842118</v>
      </c>
      <c r="F21" s="91">
        <f>'13'!F108</f>
        <v>6.1241666666666674</v>
      </c>
      <c r="G21" s="100">
        <f>'13'!$G$108</f>
        <v>103.40697674418598</v>
      </c>
      <c r="H21" s="91">
        <f>'13'!H108</f>
        <v>36.061046511627914</v>
      </c>
      <c r="I21" s="91">
        <f>'13'!I108</f>
        <v>1.4866666666666666</v>
      </c>
      <c r="J21" s="91">
        <f>'13'!J108</f>
        <v>0.24736842105263152</v>
      </c>
      <c r="K21" s="91">
        <f>'13'!K108</f>
        <v>198.52458333333334</v>
      </c>
      <c r="L21" s="91">
        <f>'13'!L108</f>
        <v>25.77791666666667</v>
      </c>
      <c r="M21" s="91">
        <f>'13'!M108</f>
        <v>75.204583333333332</v>
      </c>
      <c r="N21" s="91">
        <f>'13'!N108</f>
        <v>91.583950617283961</v>
      </c>
      <c r="O21" s="91">
        <f>'13'!O108</f>
        <v>0</v>
      </c>
      <c r="P21" s="202">
        <f>'13'!P108</f>
        <v>1.2192708333333335</v>
      </c>
      <c r="Q21" s="91">
        <f>'13'!Q108</f>
        <v>6.3783695652173904</v>
      </c>
      <c r="R21" s="204"/>
      <c r="S21" s="204"/>
      <c r="T21" s="204"/>
      <c r="U21" s="204"/>
    </row>
    <row r="22" spans="1:21" s="89" customFormat="1" x14ac:dyDescent="0.25">
      <c r="A22" s="94" t="str">
        <f>'14'!$B$2</f>
        <v>14-10-2023 00:15</v>
      </c>
      <c r="B22" s="90">
        <f>'14'!B108</f>
        <v>31.618958333333335</v>
      </c>
      <c r="C22" s="90">
        <f>'14'!C108</f>
        <v>37.27989583333332</v>
      </c>
      <c r="D22" s="90">
        <f>'14'!D108</f>
        <v>47.221562499999997</v>
      </c>
      <c r="E22" s="90">
        <f>'14'!E108</f>
        <v>0.59489583333333329</v>
      </c>
      <c r="F22" s="90">
        <f>'14'!F108</f>
        <v>6.8739583333333369</v>
      </c>
      <c r="G22" s="100">
        <f>'14'!$G$108</f>
        <v>102.89465753424652</v>
      </c>
      <c r="H22" s="100">
        <f>'14'!$G$108</f>
        <v>102.89465753424652</v>
      </c>
      <c r="I22" s="90">
        <f>'14'!I108</f>
        <v>1.4970833333333331</v>
      </c>
      <c r="J22" s="90">
        <f>'14'!J108</f>
        <v>0.26562499999999994</v>
      </c>
      <c r="K22" s="90">
        <f>'14'!K108</f>
        <v>243.14218750000001</v>
      </c>
      <c r="L22" s="90">
        <f>'14'!L108</f>
        <v>26.343541666666667</v>
      </c>
      <c r="M22" s="90">
        <f>'14'!M108</f>
        <v>67.121041666666656</v>
      </c>
      <c r="N22" s="90">
        <f>'14'!N108</f>
        <v>180.38541666666671</v>
      </c>
      <c r="O22" s="90">
        <f>'14'!O108</f>
        <v>0</v>
      </c>
      <c r="P22" s="203">
        <f>'14'!P108</f>
        <v>1.3516666666666663</v>
      </c>
      <c r="Q22" s="90">
        <f>'14'!Q108</f>
        <v>5.4545555555555518</v>
      </c>
      <c r="R22" s="205"/>
      <c r="S22" s="205"/>
      <c r="T22" s="205"/>
      <c r="U22" s="205"/>
    </row>
    <row r="23" spans="1:21" x14ac:dyDescent="0.25">
      <c r="A23" s="94" t="str">
        <f>'15'!$B$2</f>
        <v>15-10-2023 00:15</v>
      </c>
      <c r="B23" s="61">
        <f>'15'!B108</f>
        <v>15.345312499999997</v>
      </c>
      <c r="C23" s="61">
        <f>'15'!C108</f>
        <v>25.431562499999995</v>
      </c>
      <c r="D23" s="61">
        <f>'15'!D108</f>
        <v>27.632604166666667</v>
      </c>
      <c r="E23" s="61">
        <f>'15'!E108</f>
        <v>0.46673684210526312</v>
      </c>
      <c r="F23" s="61">
        <f>'15'!F108</f>
        <v>8.718020833333334</v>
      </c>
      <c r="G23" s="100">
        <f>'15'!$G$108</f>
        <v>71.565432098765399</v>
      </c>
      <c r="H23" s="61">
        <f>'15'!H108</f>
        <v>26.674444444444468</v>
      </c>
      <c r="I23" s="61">
        <f>'15'!I108</f>
        <v>1.4931249999999994</v>
      </c>
      <c r="J23" s="61">
        <f>'15'!J108</f>
        <v>0.24666666666666662</v>
      </c>
      <c r="K23" s="61">
        <f>'15'!K108</f>
        <v>190.22697916666664</v>
      </c>
      <c r="L23" s="61">
        <f>'15'!L108</f>
        <v>25.437916666666666</v>
      </c>
      <c r="M23" s="61">
        <f>'15'!M108</f>
        <v>67.628541666666692</v>
      </c>
      <c r="N23" s="61">
        <f>'15'!N108</f>
        <v>190.89479166666663</v>
      </c>
      <c r="O23" s="61">
        <f>'15'!O108</f>
        <v>0</v>
      </c>
      <c r="P23" s="201">
        <f>'15'!P108</f>
        <v>0.89041666666666697</v>
      </c>
      <c r="Q23" s="61">
        <f>'15'!Q108</f>
        <v>5.1580208333333308</v>
      </c>
      <c r="R23" s="118"/>
      <c r="S23" s="118"/>
      <c r="T23" s="118"/>
      <c r="U23" s="118"/>
    </row>
    <row r="24" spans="1:21" x14ac:dyDescent="0.25">
      <c r="A24" s="94" t="str">
        <f>'16'!$B$2</f>
        <v>16-10-2023 00:15</v>
      </c>
      <c r="B24" s="61">
        <f>'16'!B108</f>
        <v>23.935937499999994</v>
      </c>
      <c r="C24" s="61">
        <f>'16'!C108</f>
        <v>26.782291666666662</v>
      </c>
      <c r="D24" s="61">
        <f>'16'!D108</f>
        <v>35.267812499999998</v>
      </c>
      <c r="E24" s="61">
        <f>'16'!E108</f>
        <v>0.42697916666666652</v>
      </c>
      <c r="F24" s="61">
        <f>'16'!F108</f>
        <v>6.2458333333333345</v>
      </c>
      <c r="G24" s="100">
        <f>'16'!$G$108</f>
        <v>86.907654320987646</v>
      </c>
      <c r="H24" s="61">
        <f>'16'!H108</f>
        <v>37.649861111111107</v>
      </c>
      <c r="I24" s="61">
        <f>'16'!I108</f>
        <v>1.505729166666667</v>
      </c>
      <c r="J24" s="61">
        <f>'16'!J108</f>
        <v>0.2344791666666666</v>
      </c>
      <c r="K24" s="61">
        <f>'16'!K108</f>
        <v>207.89041666666671</v>
      </c>
      <c r="L24" s="61">
        <f>'16'!L108</f>
        <v>24.970937500000005</v>
      </c>
      <c r="M24" s="61">
        <f>'16'!M108</f>
        <v>64.116145833333334</v>
      </c>
      <c r="N24" s="61">
        <f>'16'!N108</f>
        <v>212.13229166666659</v>
      </c>
      <c r="O24" s="61">
        <f>'16'!O108</f>
        <v>0</v>
      </c>
      <c r="P24" s="201">
        <f>'16'!P108</f>
        <v>0.87041666666666651</v>
      </c>
      <c r="Q24" s="61">
        <f>'16'!Q108</f>
        <v>5.0758333333333319</v>
      </c>
      <c r="R24" s="118"/>
      <c r="S24" s="118"/>
      <c r="T24" s="118"/>
      <c r="U24" s="118"/>
    </row>
    <row r="25" spans="1:21" x14ac:dyDescent="0.25">
      <c r="A25" s="94" t="str">
        <f>'17'!$B$2</f>
        <v>17-10-2023 00:15</v>
      </c>
      <c r="B25" s="61">
        <f>'17'!B108</f>
        <v>26.204791666666665</v>
      </c>
      <c r="C25" s="61">
        <f>'17'!C108</f>
        <v>24.546979166666684</v>
      </c>
      <c r="D25" s="61">
        <f>'17'!D108</f>
        <v>35.853854166666665</v>
      </c>
      <c r="E25" s="61">
        <f>'17'!E108</f>
        <v>0.39739583333333334</v>
      </c>
      <c r="F25" s="61">
        <f>'17'!F108</f>
        <v>6.3154166666666667</v>
      </c>
      <c r="G25" s="101">
        <f>'17'!$G$108</f>
        <v>101.15142857142857</v>
      </c>
      <c r="H25" s="61">
        <f>'17'!H108</f>
        <v>32.92404761904762</v>
      </c>
      <c r="I25" s="61">
        <f>'17'!I108</f>
        <v>1.4996875000000003</v>
      </c>
      <c r="J25" s="61">
        <f>'17'!J108</f>
        <v>0.25489583333333327</v>
      </c>
      <c r="K25" s="61">
        <f>'17'!K108</f>
        <v>218.6478124999999</v>
      </c>
      <c r="L25" s="61">
        <f>'17'!L108</f>
        <v>24.670520833333331</v>
      </c>
      <c r="M25" s="61">
        <f>'17'!M108</f>
        <v>66.6484375</v>
      </c>
      <c r="N25" s="61">
        <f>'17'!N108</f>
        <v>201.99687500000005</v>
      </c>
      <c r="O25" s="61">
        <f>'17'!O108</f>
        <v>0</v>
      </c>
      <c r="P25" s="201">
        <f>'17'!P108</f>
        <v>1.0029166666666669</v>
      </c>
      <c r="Q25" s="61">
        <f>'17'!Q108</f>
        <v>6.5751041666666659</v>
      </c>
      <c r="R25" s="118"/>
      <c r="S25" s="118"/>
      <c r="T25" s="118"/>
      <c r="U25" s="118"/>
    </row>
    <row r="26" spans="1:21" x14ac:dyDescent="0.25">
      <c r="A26" s="94" t="str">
        <f>'18'!$B$2</f>
        <v>18-10-2023 00:15</v>
      </c>
      <c r="B26" s="61">
        <f>'18'!B108</f>
        <v>14.358854166666662</v>
      </c>
      <c r="C26" s="61">
        <f>'18'!C108</f>
        <v>29.616041666666661</v>
      </c>
      <c r="D26" s="61">
        <f>'18'!D108</f>
        <v>29.1521875</v>
      </c>
      <c r="E26" s="61">
        <f>'18'!E108</f>
        <v>1.0780208333333339</v>
      </c>
      <c r="F26" s="61">
        <f>'18'!F108</f>
        <v>6.3836458333333326</v>
      </c>
      <c r="G26" s="99">
        <f>'18'!$G$108</f>
        <v>129.29772727272729</v>
      </c>
      <c r="H26" s="61">
        <f>'18'!H108</f>
        <v>51.5594318181818</v>
      </c>
      <c r="I26" s="61">
        <f>'18'!I108</f>
        <v>1.5075000000000003</v>
      </c>
      <c r="J26" s="61">
        <f>'18'!J108</f>
        <v>0.37802083333333319</v>
      </c>
      <c r="K26" s="61">
        <f>'18'!K108</f>
        <v>226.41479166666662</v>
      </c>
      <c r="L26" s="61">
        <f>'18'!L108</f>
        <v>25.235416666666655</v>
      </c>
      <c r="M26" s="61">
        <f>'18'!M108</f>
        <v>69.180416666666659</v>
      </c>
      <c r="N26" s="61">
        <f>'18'!N108</f>
        <v>174.61562499999999</v>
      </c>
      <c r="O26" s="61">
        <f>'18'!O108</f>
        <v>0</v>
      </c>
      <c r="P26" s="201">
        <f>'18'!P108</f>
        <v>1.0277083333333337</v>
      </c>
      <c r="Q26" s="61">
        <f>'18'!Q108</f>
        <v>4.8929473684210523</v>
      </c>
      <c r="R26" s="118"/>
      <c r="S26" s="118"/>
      <c r="T26" s="118"/>
      <c r="U26" s="118"/>
    </row>
    <row r="27" spans="1:21" x14ac:dyDescent="0.25">
      <c r="A27" s="94" t="str">
        <f>'19'!$B$2</f>
        <v>19-10-2023 00:15</v>
      </c>
      <c r="B27" s="61">
        <f>'19'!B108</f>
        <v>11.788333333333336</v>
      </c>
      <c r="C27" s="61">
        <f>'19'!C108</f>
        <v>32.888229166666669</v>
      </c>
      <c r="D27" s="61">
        <f>'19'!D108</f>
        <v>28.89625000000002</v>
      </c>
      <c r="E27" s="61">
        <f>'19'!E108</f>
        <v>1.8696875000000004</v>
      </c>
      <c r="F27" s="61">
        <f>'19'!F108</f>
        <v>9.4361458333333346</v>
      </c>
      <c r="G27" s="61">
        <f>'19'!G108</f>
        <v>124.37593750000003</v>
      </c>
      <c r="H27" s="61">
        <f>'19'!H108</f>
        <v>50.933854166666663</v>
      </c>
      <c r="I27" s="61">
        <f>'19'!I108</f>
        <v>1.4944791666666661</v>
      </c>
      <c r="J27" s="61">
        <f>'19'!J108</f>
        <v>0.33604166666666663</v>
      </c>
      <c r="K27" s="61">
        <f>'19'!K108</f>
        <v>159.73156250000005</v>
      </c>
      <c r="L27" s="61">
        <f>'19'!L108</f>
        <v>25.110937499999991</v>
      </c>
      <c r="M27" s="61">
        <f>'19'!M108</f>
        <v>69.279999999999959</v>
      </c>
      <c r="N27" s="61">
        <f>'19'!N108</f>
        <v>199.95624999999995</v>
      </c>
      <c r="O27" s="61">
        <f>'19'!O108</f>
        <v>0</v>
      </c>
      <c r="P27" s="201">
        <f>'19'!P108</f>
        <v>0.9932291666666665</v>
      </c>
      <c r="Q27" s="61">
        <f>'19'!Q108</f>
        <v>4.6464893617021259</v>
      </c>
      <c r="R27" s="118"/>
      <c r="S27" s="118"/>
      <c r="T27" s="118"/>
      <c r="U27" s="118"/>
    </row>
    <row r="28" spans="1:21" x14ac:dyDescent="0.25">
      <c r="A28" s="94" t="str">
        <f>'20'!$B$2</f>
        <v>20-10-2023 00:15</v>
      </c>
      <c r="B28" s="61">
        <f>'20'!B108</f>
        <v>8.944583333333334</v>
      </c>
      <c r="C28" s="61">
        <f>'20'!C108</f>
        <v>27.753437499999986</v>
      </c>
      <c r="D28" s="61">
        <f>'20'!D108</f>
        <v>23.78187500000001</v>
      </c>
      <c r="E28" s="61">
        <f>'20'!E108</f>
        <v>2.2392708333333338</v>
      </c>
      <c r="F28" s="61">
        <f>'20'!F108</f>
        <v>8.9018750000000004</v>
      </c>
      <c r="G28" s="61">
        <f>'20'!G108</f>
        <v>118.75208333333332</v>
      </c>
      <c r="H28" s="61">
        <f>'20'!H108</f>
        <v>51.821979166666672</v>
      </c>
      <c r="I28" s="61">
        <f>'20'!I108</f>
        <v>1.5059375000000002</v>
      </c>
      <c r="J28" s="61">
        <f>'20'!J108</f>
        <v>0.3701041666666669</v>
      </c>
      <c r="K28" s="61">
        <f>'20'!K108</f>
        <v>195.51479166666664</v>
      </c>
      <c r="L28" s="61">
        <f>'20'!L108</f>
        <v>25.073958333333323</v>
      </c>
      <c r="M28" s="61">
        <f>'20'!M108</f>
        <v>63.964166666666699</v>
      </c>
      <c r="N28" s="61">
        <f>'20'!N108</f>
        <v>199.11041666666668</v>
      </c>
      <c r="O28" s="61">
        <f>'20'!O108</f>
        <v>0</v>
      </c>
      <c r="P28" s="201">
        <f>'20'!P108</f>
        <v>0.93197916666666647</v>
      </c>
      <c r="Q28" s="61">
        <f>'20'!Q108</f>
        <v>4.63</v>
      </c>
      <c r="R28" s="118"/>
      <c r="S28" s="118"/>
      <c r="T28" s="118"/>
      <c r="U28" s="118"/>
    </row>
    <row r="29" spans="1:21" x14ac:dyDescent="0.25">
      <c r="A29" s="94" t="str">
        <f>'21'!$B$2</f>
        <v>21-10-2023 00:15</v>
      </c>
      <c r="B29" s="61">
        <f>'21'!B108</f>
        <v>10.354062499999996</v>
      </c>
      <c r="C29" s="61">
        <f>'21'!C108</f>
        <v>23.480208333333326</v>
      </c>
      <c r="D29" s="61">
        <f>'21'!D108</f>
        <v>22.553125000000009</v>
      </c>
      <c r="E29" s="61">
        <f>'21'!E108</f>
        <v>0.99416666666666664</v>
      </c>
      <c r="F29" s="61">
        <f>'21'!F108</f>
        <v>4.6406250000000009</v>
      </c>
      <c r="G29" s="61">
        <f>'21'!G108</f>
        <v>112.88593750000001</v>
      </c>
      <c r="H29" s="61">
        <f>'21'!H108</f>
        <v>44.604999999999997</v>
      </c>
      <c r="I29" s="61">
        <f>'21'!I108</f>
        <v>1.4905208333333331</v>
      </c>
      <c r="J29" s="61">
        <f>'21'!J108</f>
        <v>0.46531250000000018</v>
      </c>
      <c r="K29" s="61">
        <f>'21'!K108</f>
        <v>187.85927083333345</v>
      </c>
      <c r="L29" s="61">
        <f>'21'!L108</f>
        <v>23.706145833333338</v>
      </c>
      <c r="M29" s="61">
        <f>'21'!M108</f>
        <v>56.344062500000007</v>
      </c>
      <c r="N29" s="61">
        <f>'21'!N108</f>
        <v>220.35937500000011</v>
      </c>
      <c r="O29" s="61">
        <f>'21'!O108</f>
        <v>0</v>
      </c>
      <c r="P29" s="201">
        <f>'21'!P108</f>
        <v>0.88114583333333363</v>
      </c>
      <c r="Q29" s="61">
        <f>'21'!Q108</f>
        <v>4.7211458333333338</v>
      </c>
      <c r="R29" s="118"/>
      <c r="S29" s="118"/>
      <c r="T29" s="118"/>
      <c r="U29" s="118"/>
    </row>
    <row r="30" spans="1:21" x14ac:dyDescent="0.25">
      <c r="A30" s="94" t="str">
        <f>'22'!$B$2</f>
        <v>22-10-2023 00:15</v>
      </c>
      <c r="B30" s="61">
        <f>'22'!B108</f>
        <v>23.767187500000006</v>
      </c>
      <c r="C30" s="61">
        <f>'22'!C108</f>
        <v>28.811562500000004</v>
      </c>
      <c r="D30" s="61">
        <f>'22'!D108</f>
        <v>36.252708333333331</v>
      </c>
      <c r="E30" s="61">
        <f>'22'!E108</f>
        <v>0.85135416666666652</v>
      </c>
      <c r="F30" s="61">
        <f>'22'!F108</f>
        <v>4.4610416666666675</v>
      </c>
      <c r="G30" s="61">
        <f>'22'!G108</f>
        <v>150.48958333333329</v>
      </c>
      <c r="H30" s="61">
        <f>'22'!H108</f>
        <v>63.715000000000032</v>
      </c>
      <c r="I30" s="61">
        <f>'22'!I108</f>
        <v>1.5012499999999998</v>
      </c>
      <c r="J30" s="61">
        <f>'22'!J108</f>
        <v>0.42906249999999996</v>
      </c>
      <c r="K30" s="61">
        <f>'22'!K108</f>
        <v>235.86979166666671</v>
      </c>
      <c r="L30" s="61">
        <f>'22'!L108</f>
        <v>24.05802083333333</v>
      </c>
      <c r="M30" s="61">
        <f>'22'!M108</f>
        <v>56.256562499999994</v>
      </c>
      <c r="N30" s="61">
        <f>'22'!N108</f>
        <v>197.38124999999994</v>
      </c>
      <c r="O30" s="61">
        <f>'22'!O108</f>
        <v>0</v>
      </c>
      <c r="P30" s="201">
        <f>'22'!P108</f>
        <v>1.3114583333333336</v>
      </c>
      <c r="Q30" s="61">
        <f>'22'!Q108</f>
        <v>5.9496875000000022</v>
      </c>
      <c r="R30" s="118"/>
      <c r="S30" s="118"/>
      <c r="T30" s="118"/>
      <c r="U30" s="118"/>
    </row>
    <row r="31" spans="1:21" x14ac:dyDescent="0.25">
      <c r="A31" s="94" t="str">
        <f>'23'!$B$2</f>
        <v>23-10-2023 00:15</v>
      </c>
      <c r="B31" s="61">
        <f>'23'!B108</f>
        <v>18.175729166666667</v>
      </c>
      <c r="C31" s="61">
        <f>'23'!C108</f>
        <v>30.276041666666668</v>
      </c>
      <c r="D31" s="61">
        <f>'23'!D108</f>
        <v>32.576458333333342</v>
      </c>
      <c r="E31" s="61">
        <f>'23'!E108</f>
        <v>1.0703125</v>
      </c>
      <c r="F31" s="61">
        <f>'23'!F108</f>
        <v>2.8027083333333334</v>
      </c>
      <c r="G31" s="61">
        <f>'23'!G108</f>
        <v>130.61999999999995</v>
      </c>
      <c r="H31" s="61">
        <f>'23'!H108</f>
        <v>59.990833333333335</v>
      </c>
      <c r="I31" s="61">
        <f>'23'!I108</f>
        <v>1.502604166666667</v>
      </c>
      <c r="J31" s="61">
        <f>'23'!J108</f>
        <v>0.54062500000000002</v>
      </c>
      <c r="K31" s="61">
        <f>'23'!K108</f>
        <v>249.10781249999999</v>
      </c>
      <c r="L31" s="61">
        <f>'23'!L108</f>
        <v>22.984166666666653</v>
      </c>
      <c r="M31" s="61">
        <f>'23'!M108</f>
        <v>53.753437500000011</v>
      </c>
      <c r="N31" s="61">
        <f>'23'!N108</f>
        <v>212.63229166666687</v>
      </c>
      <c r="O31" s="61">
        <f>'23'!O108</f>
        <v>0</v>
      </c>
      <c r="P31" s="201">
        <f>'23'!P108</f>
        <v>1.2272916666666671</v>
      </c>
      <c r="Q31" s="61">
        <f>'23'!Q108</f>
        <v>5.6035416666666684</v>
      </c>
      <c r="R31" s="118"/>
      <c r="S31" s="206"/>
      <c r="T31" s="118"/>
      <c r="U31" s="118"/>
    </row>
    <row r="32" spans="1:21" x14ac:dyDescent="0.25">
      <c r="A32" s="94" t="str">
        <f>'24'!$B$2</f>
        <v>24-10-2023 00:15</v>
      </c>
      <c r="B32" s="61">
        <f>'24'!B108</f>
        <v>24.420860215053757</v>
      </c>
      <c r="C32" s="61">
        <f>'24'!C108</f>
        <v>30.473763440860214</v>
      </c>
      <c r="D32" s="61">
        <f>'24'!D108</f>
        <v>37.763870967741951</v>
      </c>
      <c r="E32" s="61">
        <f>'24'!E108</f>
        <v>3.6309574468085093</v>
      </c>
      <c r="F32" s="61">
        <f>'24'!F108</f>
        <v>2.8571875000000007</v>
      </c>
      <c r="G32" s="61">
        <f>'24'!G108</f>
        <v>163.1222580645161</v>
      </c>
      <c r="H32" s="61">
        <f>'24'!H108</f>
        <v>74.006236559139765</v>
      </c>
      <c r="I32" s="61">
        <f>'24'!I108</f>
        <v>1.4958333333333336</v>
      </c>
      <c r="J32" s="61">
        <f>'24'!J108</f>
        <v>0.43677083333333316</v>
      </c>
      <c r="K32" s="61">
        <f>'24'!K108</f>
        <v>282.26989583333329</v>
      </c>
      <c r="L32" s="61">
        <f>'24'!L108</f>
        <v>22.971770833333334</v>
      </c>
      <c r="M32" s="61">
        <f>'24'!M108</f>
        <v>58.721562500000005</v>
      </c>
      <c r="N32" s="61">
        <f>'24'!N108</f>
        <v>192.33229166666672</v>
      </c>
      <c r="O32" s="61">
        <f>'24'!O108</f>
        <v>0</v>
      </c>
      <c r="P32" s="201">
        <f>'24'!P108</f>
        <v>0.78242424242424258</v>
      </c>
      <c r="Q32" s="61">
        <f>'24'!Q108</f>
        <v>6.2683333333333353</v>
      </c>
      <c r="R32" s="118"/>
      <c r="S32" s="118"/>
      <c r="T32" s="118"/>
      <c r="U32" s="118"/>
    </row>
    <row r="33" spans="1:21" x14ac:dyDescent="0.25">
      <c r="A33" s="94" t="str">
        <f>'25'!$B$2</f>
        <v>25-10-2023 00:15</v>
      </c>
      <c r="B33" s="61">
        <f>'25'!B108</f>
        <v>24.502395833333335</v>
      </c>
      <c r="C33" s="61">
        <f>'25'!C108</f>
        <v>28.659583333333345</v>
      </c>
      <c r="D33" s="61">
        <f>'25'!D108</f>
        <v>36.757187499999993</v>
      </c>
      <c r="E33" s="61">
        <f>'25'!E108</f>
        <v>2.074791666666667</v>
      </c>
      <c r="F33" s="61">
        <f>'25'!F108</f>
        <v>2.5326041666666663</v>
      </c>
      <c r="G33" s="61">
        <f>'25'!G108</f>
        <v>134.2938541666667</v>
      </c>
      <c r="H33" s="61">
        <f>'25'!H108</f>
        <v>69.504999999999967</v>
      </c>
      <c r="I33" s="61">
        <f>'25'!I108</f>
        <v>1.5077083333333328</v>
      </c>
      <c r="J33" s="61">
        <f>'25'!J108</f>
        <v>0.40916666666666651</v>
      </c>
      <c r="K33" s="61">
        <f>'25'!K108</f>
        <v>256.73510416666664</v>
      </c>
      <c r="L33" s="61">
        <f>'25'!L108</f>
        <v>22.699374999999993</v>
      </c>
      <c r="M33" s="61">
        <f>'25'!M108</f>
        <v>61.530312500000015</v>
      </c>
      <c r="N33" s="61">
        <f>'25'!N108</f>
        <v>174.76979166666663</v>
      </c>
      <c r="O33" s="61">
        <f>'25'!O108</f>
        <v>0</v>
      </c>
      <c r="P33" s="201">
        <f>'25'!P108</f>
        <v>0.83227272727272739</v>
      </c>
      <c r="Q33" s="61">
        <f>'25'!Q108</f>
        <v>6.5983333333333354</v>
      </c>
      <c r="R33" s="118"/>
      <c r="S33" s="206"/>
      <c r="T33" s="118"/>
      <c r="U33" s="118"/>
    </row>
    <row r="34" spans="1:21" x14ac:dyDescent="0.25">
      <c r="A34" s="94" t="str">
        <f>'26'!$B$2</f>
        <v>26-10-2023 00:15</v>
      </c>
      <c r="B34" s="61">
        <f>'26'!B108</f>
        <v>24.619375000000005</v>
      </c>
      <c r="C34" s="61">
        <f>'26'!C108</f>
        <v>33.852395833333318</v>
      </c>
      <c r="D34" s="61">
        <f>'26'!D108</f>
        <v>39.717187500000001</v>
      </c>
      <c r="E34" s="61">
        <f>'26'!E108</f>
        <v>1.5088541666666668</v>
      </c>
      <c r="F34" s="61">
        <f>'26'!F108</f>
        <v>2.1556250000000001</v>
      </c>
      <c r="G34" s="61">
        <f>'26'!G108</f>
        <v>127.75947916666671</v>
      </c>
      <c r="H34" s="61">
        <f>'26'!H108</f>
        <v>59.021770833333356</v>
      </c>
      <c r="I34" s="61">
        <f>'26'!I108</f>
        <v>1.5096875000000007</v>
      </c>
      <c r="J34" s="61">
        <f>'26'!J108</f>
        <v>0.35364583333333321</v>
      </c>
      <c r="K34" s="61">
        <f>'26'!K108</f>
        <v>274.34541666666672</v>
      </c>
      <c r="L34" s="61">
        <f>'26'!L108</f>
        <v>22.708541666666662</v>
      </c>
      <c r="M34" s="61">
        <f>'26'!M108</f>
        <v>58.421354166666646</v>
      </c>
      <c r="N34" s="61">
        <f>'26'!N108</f>
        <v>189.86562499999999</v>
      </c>
      <c r="O34" s="61">
        <f>'26'!O108</f>
        <v>0</v>
      </c>
      <c r="P34" s="201">
        <f>'26'!P108</f>
        <v>1.1586458333333327</v>
      </c>
      <c r="Q34" s="61">
        <f>'26'!Q108</f>
        <v>6.380416666666668</v>
      </c>
      <c r="R34" s="118"/>
      <c r="S34" s="118"/>
      <c r="T34" s="118"/>
      <c r="U34" s="118"/>
    </row>
    <row r="35" spans="1:21" x14ac:dyDescent="0.25">
      <c r="A35" s="94" t="str">
        <f>'27'!$B$2</f>
        <v>27-10-2023 00:15</v>
      </c>
      <c r="B35" s="61">
        <f>'27'!B108</f>
        <v>29.714062500000001</v>
      </c>
      <c r="C35" s="61">
        <f>'27'!C108</f>
        <v>33.072187499999991</v>
      </c>
      <c r="D35" s="61">
        <f>'27'!D108</f>
        <v>43.372395833333321</v>
      </c>
      <c r="E35" s="61">
        <f>'27'!E108</f>
        <v>1.6583333333333332</v>
      </c>
      <c r="F35" s="61">
        <f>'27'!F108</f>
        <v>2.0070212765957445</v>
      </c>
      <c r="G35" s="61">
        <f>'27'!G108</f>
        <v>117.16447916666664</v>
      </c>
      <c r="H35" s="61">
        <f>'27'!H108</f>
        <v>58.253125000000011</v>
      </c>
      <c r="I35" s="61">
        <f>'27'!I108</f>
        <v>1.5051041666666674</v>
      </c>
      <c r="J35" s="61">
        <f>'27'!J108</f>
        <v>0.29364583333333338</v>
      </c>
      <c r="K35" s="61">
        <f>'27'!K108</f>
        <v>216.34187499999999</v>
      </c>
      <c r="L35" s="61">
        <f>'27'!L108</f>
        <v>21.919687500000006</v>
      </c>
      <c r="M35" s="61">
        <f>'27'!M108</f>
        <v>58.514791666666667</v>
      </c>
      <c r="N35" s="61">
        <f>'27'!N108</f>
        <v>205.25416666666661</v>
      </c>
      <c r="O35" s="61">
        <f>'27'!O108</f>
        <v>0</v>
      </c>
      <c r="P35" s="201">
        <f>'27'!P108</f>
        <v>1.1811904761904761</v>
      </c>
      <c r="Q35" s="61">
        <f>'27'!Q108</f>
        <v>6.7200000000000051</v>
      </c>
      <c r="R35" s="118"/>
      <c r="S35" s="118"/>
      <c r="T35" s="118"/>
      <c r="U35" s="118"/>
    </row>
    <row r="36" spans="1:21" x14ac:dyDescent="0.25">
      <c r="A36" s="94" t="str">
        <f>'28'!$B$2</f>
        <v>28-10-2023 00:15</v>
      </c>
      <c r="B36" s="61">
        <f>'28'!B108</f>
        <v>28.030759493670889</v>
      </c>
      <c r="C36" s="61">
        <f>'28'!C108</f>
        <v>32.935581395348827</v>
      </c>
      <c r="D36" s="61">
        <f>'28'!D108</f>
        <v>40.248139534883727</v>
      </c>
      <c r="E36" s="61">
        <f>'28'!E108</f>
        <v>1.1583132530120483</v>
      </c>
      <c r="F36" s="61">
        <f>'28'!F108</f>
        <v>3.5780459770114943</v>
      </c>
      <c r="G36" s="61">
        <f>'28'!G108</f>
        <v>118.98678571428566</v>
      </c>
      <c r="H36" s="61">
        <f>'28'!H108</f>
        <v>53.449642857142848</v>
      </c>
      <c r="I36" s="61">
        <f>'28'!I108</f>
        <v>1.4932183908045977</v>
      </c>
      <c r="J36" s="61">
        <f>'28'!J108</f>
        <v>0.22356321839080467</v>
      </c>
      <c r="K36" s="61">
        <f>'28'!K108</f>
        <v>194.37264367816098</v>
      </c>
      <c r="L36" s="61">
        <f>'28'!L108</f>
        <v>21.672873563218392</v>
      </c>
      <c r="M36" s="61">
        <f>'28'!M108</f>
        <v>60.317126436781635</v>
      </c>
      <c r="N36" s="61">
        <f>'28'!N108</f>
        <v>201.1103448275862</v>
      </c>
      <c r="O36" s="61">
        <f>'28'!O108</f>
        <v>0</v>
      </c>
      <c r="P36" s="201">
        <f>'28'!P108</f>
        <v>1.1157471264367813</v>
      </c>
      <c r="Q36" s="61">
        <f>'28'!Q108</f>
        <v>6.7820481927710823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29-10-2023 00:15</v>
      </c>
      <c r="B37" s="61">
        <f>'29'!B108</f>
        <v>16.876145833333329</v>
      </c>
      <c r="C37" s="61">
        <f>'29'!C108</f>
        <v>31.579791666666665</v>
      </c>
      <c r="D37" s="61">
        <f>'29'!D108</f>
        <v>32.253020833333345</v>
      </c>
      <c r="E37" s="61">
        <f>'29'!E108</f>
        <v>2.0139583333333335</v>
      </c>
      <c r="F37" s="61">
        <f>'29'!F108</f>
        <v>2.9499999999999997</v>
      </c>
      <c r="G37" s="61">
        <f>'29'!G108</f>
        <v>143.76343750000007</v>
      </c>
      <c r="H37" s="61">
        <f>'29'!H108</f>
        <v>67.557708333333281</v>
      </c>
      <c r="I37" s="61">
        <f>'29'!I108</f>
        <v>1.4857291666666665</v>
      </c>
      <c r="J37" s="61">
        <f>'29'!J108</f>
        <v>0.35135416666666669</v>
      </c>
      <c r="K37" s="61">
        <f>'29'!K108</f>
        <v>202.62177083333324</v>
      </c>
      <c r="L37" s="61">
        <f>'29'!L108</f>
        <v>21.85447916666666</v>
      </c>
      <c r="M37" s="61">
        <f>'29'!M108</f>
        <v>60.901875000000011</v>
      </c>
      <c r="N37" s="61">
        <f>'29'!N108</f>
        <v>183.83333333333329</v>
      </c>
      <c r="O37" s="61">
        <f>'29'!O108</f>
        <v>0</v>
      </c>
      <c r="P37" s="201">
        <f>'29'!P108</f>
        <v>1.0965625000000003</v>
      </c>
      <c r="Q37" s="61">
        <f>'29'!Q108</f>
        <v>5.6246874999999976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30-10-2023 00:15</v>
      </c>
      <c r="B38" s="61">
        <f>'30'!B108</f>
        <v>23.701145833333324</v>
      </c>
      <c r="C38" s="61">
        <f>'30'!C108</f>
        <v>36.513749999999995</v>
      </c>
      <c r="D38" s="61">
        <f>'30'!D108</f>
        <v>40.449374999999996</v>
      </c>
      <c r="E38" s="61">
        <f>'30'!E108</f>
        <v>3.171145833333334</v>
      </c>
      <c r="F38" s="61">
        <f>'30'!F108</f>
        <v>6.0496874999999983</v>
      </c>
      <c r="G38" s="61">
        <f>'30'!G108</f>
        <v>144.45000000000002</v>
      </c>
      <c r="H38" s="61">
        <f>'30'!H108</f>
        <v>77.91020833333333</v>
      </c>
      <c r="I38" s="61">
        <f>'30'!I108</f>
        <v>1.4937500000000001</v>
      </c>
      <c r="J38" s="61">
        <f>'30'!J108</f>
        <v>0.30979166666666674</v>
      </c>
      <c r="K38" s="61">
        <f>'30'!K108</f>
        <v>152.10322916666661</v>
      </c>
      <c r="L38" s="61">
        <f>'30'!L108</f>
        <v>21.339062500000001</v>
      </c>
      <c r="M38" s="61">
        <f>'30'!M108</f>
        <v>60.413854166666674</v>
      </c>
      <c r="N38" s="61">
        <f>'30'!N108</f>
        <v>24.090163934426236</v>
      </c>
      <c r="O38" s="61">
        <f>'30'!O108</f>
        <v>0</v>
      </c>
      <c r="P38" s="201">
        <f>'30'!P108</f>
        <v>1.2862500000000001</v>
      </c>
      <c r="Q38" s="61">
        <f>'30'!Q108</f>
        <v>6.2778125000000005</v>
      </c>
      <c r="R38" s="118"/>
      <c r="S38" s="118"/>
      <c r="T38" s="118"/>
      <c r="U38" s="118"/>
    </row>
    <row r="39" spans="1:21" s="54" customFormat="1" x14ac:dyDescent="0.25">
      <c r="A39" s="94" t="str">
        <f>'31'!$B$2</f>
        <v>31-10-2023 00:15</v>
      </c>
      <c r="B39" s="61">
        <f>'31'!B109</f>
        <v>3.1518780742180996</v>
      </c>
      <c r="C39" s="61">
        <f>'31'!C109</f>
        <v>4.9696817900443344</v>
      </c>
      <c r="D39" s="61">
        <f>'31'!D109</f>
        <v>4.0968825064834284</v>
      </c>
      <c r="E39" s="61">
        <f>'31'!E109</f>
        <v>0.42805700093869437</v>
      </c>
      <c r="F39" s="61">
        <f>'31'!F109</f>
        <v>5.1849490419851234</v>
      </c>
      <c r="G39" s="61">
        <f>'31'!G109</f>
        <v>39.008071485804798</v>
      </c>
      <c r="H39" s="61">
        <f>'31'!H109</f>
        <v>16.634069371284024</v>
      </c>
      <c r="I39" s="61">
        <f>'31'!I109</f>
        <v>3.5224686070594473E-2</v>
      </c>
      <c r="J39" s="61">
        <f>'31'!J109</f>
        <v>0.50503552072402025</v>
      </c>
      <c r="K39" s="61">
        <f>'31'!K109</f>
        <v>86.904966736710577</v>
      </c>
      <c r="L39" s="61">
        <f>'31'!L109</f>
        <v>3.2671036434592899</v>
      </c>
      <c r="M39" s="61">
        <f>'31'!M109</f>
        <v>14.71595176347164</v>
      </c>
      <c r="N39" s="61">
        <f>'31'!N109</f>
        <v>226.58039535980058</v>
      </c>
      <c r="O39" s="61">
        <f>'31'!O109</f>
        <v>0</v>
      </c>
      <c r="P39" s="61">
        <f>'31'!P109</f>
        <v>0.2099736564512541</v>
      </c>
      <c r="Q39" s="61">
        <f>'31'!Q109</f>
        <v>0.4156034373116555</v>
      </c>
      <c r="R39" s="118"/>
      <c r="S39" s="118"/>
      <c r="T39" s="118"/>
      <c r="U39" s="118"/>
    </row>
    <row r="40" spans="1:21" s="54" customFormat="1" x14ac:dyDescent="0.25">
      <c r="A40" s="94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</row>
    <row r="41" spans="1:21" s="54" customFormat="1" x14ac:dyDescent="0.25">
      <c r="A41" s="94" t="s">
        <v>59</v>
      </c>
      <c r="B41" s="16">
        <f t="shared" ref="B41:Q41" si="0">MIN(B9:B38)</f>
        <v>4.8964583333333325</v>
      </c>
      <c r="C41" s="16">
        <f t="shared" si="0"/>
        <v>11.86916666666667</v>
      </c>
      <c r="D41" s="16">
        <f t="shared" si="0"/>
        <v>14.081041666666664</v>
      </c>
      <c r="E41" s="16">
        <f t="shared" si="0"/>
        <v>0.39739583333333334</v>
      </c>
      <c r="F41" s="16">
        <f t="shared" si="0"/>
        <v>0.57604166666666667</v>
      </c>
      <c r="G41" s="16">
        <f t="shared" si="0"/>
        <v>44.362291666666671</v>
      </c>
      <c r="H41" s="16">
        <f t="shared" si="0"/>
        <v>12.77430107526882</v>
      </c>
      <c r="I41" s="16">
        <f t="shared" si="0"/>
        <v>1.4857291666666665</v>
      </c>
      <c r="J41" s="16">
        <f t="shared" si="0"/>
        <v>0.21437500000000001</v>
      </c>
      <c r="K41" s="16">
        <f t="shared" si="0"/>
        <v>151.68489583333337</v>
      </c>
      <c r="L41" s="16">
        <f t="shared" si="0"/>
        <v>21.339062500000001</v>
      </c>
      <c r="M41" s="16">
        <f t="shared" si="0"/>
        <v>53.753437500000011</v>
      </c>
      <c r="N41" s="16">
        <f t="shared" si="0"/>
        <v>24.090163934426236</v>
      </c>
      <c r="O41" s="16">
        <f t="shared" si="0"/>
        <v>0</v>
      </c>
      <c r="P41" s="16">
        <f t="shared" si="0"/>
        <v>0.67770833333333325</v>
      </c>
      <c r="Q41" s="16">
        <f t="shared" si="0"/>
        <v>4.63</v>
      </c>
      <c r="R41" s="16"/>
      <c r="S41" s="16"/>
      <c r="T41" s="16"/>
      <c r="U41" s="16"/>
    </row>
    <row r="42" spans="1:21" s="54" customFormat="1" x14ac:dyDescent="0.25">
      <c r="A42" s="94" t="s">
        <v>60</v>
      </c>
      <c r="B42" s="16">
        <f t="shared" ref="B42:Q42" si="1">MAX(B9:B38)</f>
        <v>31.618958333333335</v>
      </c>
      <c r="C42" s="16">
        <f t="shared" si="1"/>
        <v>37.27989583333332</v>
      </c>
      <c r="D42" s="16">
        <f t="shared" si="1"/>
        <v>47.221562499999997</v>
      </c>
      <c r="E42" s="16">
        <f t="shared" si="1"/>
        <v>17.899894736842118</v>
      </c>
      <c r="F42" s="16">
        <f t="shared" si="1"/>
        <v>9.4361458333333346</v>
      </c>
      <c r="G42" s="16">
        <f t="shared" si="1"/>
        <v>163.1222580645161</v>
      </c>
      <c r="H42" s="16">
        <f t="shared" si="1"/>
        <v>102.89465753424652</v>
      </c>
      <c r="I42" s="16">
        <f t="shared" si="1"/>
        <v>1.5096875000000007</v>
      </c>
      <c r="J42" s="16">
        <f t="shared" si="1"/>
        <v>0.93114583333333323</v>
      </c>
      <c r="K42" s="16">
        <f t="shared" si="1"/>
        <v>327.98666666666651</v>
      </c>
      <c r="L42" s="16">
        <f t="shared" si="1"/>
        <v>27.80083333333333</v>
      </c>
      <c r="M42" s="16">
        <f t="shared" si="1"/>
        <v>86.009895833333303</v>
      </c>
      <c r="N42" s="16">
        <f t="shared" si="1"/>
        <v>235.04687499999991</v>
      </c>
      <c r="O42" s="16">
        <f t="shared" si="1"/>
        <v>0</v>
      </c>
      <c r="P42" s="16">
        <f t="shared" si="1"/>
        <v>1.3516666666666663</v>
      </c>
      <c r="Q42" s="16">
        <f t="shared" si="1"/>
        <v>269.81999999999988</v>
      </c>
      <c r="R42" s="16"/>
      <c r="S42" s="16"/>
      <c r="T42" s="16"/>
      <c r="U42" s="16"/>
    </row>
    <row r="43" spans="1:21" s="54" customFormat="1" x14ac:dyDescent="0.25">
      <c r="A43" s="94" t="s">
        <v>61</v>
      </c>
      <c r="B43" s="16">
        <f t="shared" ref="B43:Q43" si="2">AVERAGE(B9:B38)</f>
        <v>17.06697180164613</v>
      </c>
      <c r="C43" s="16">
        <f t="shared" si="2"/>
        <v>25.158032762855314</v>
      </c>
      <c r="D43" s="16">
        <f t="shared" si="2"/>
        <v>28.819613796363473</v>
      </c>
      <c r="E43" s="16">
        <f t="shared" si="2"/>
        <v>2.0921367907109696</v>
      </c>
      <c r="F43" s="16">
        <f t="shared" si="2"/>
        <v>3.5363425195646863</v>
      </c>
      <c r="G43" s="16">
        <f t="shared" si="2"/>
        <v>100.76546318379968</v>
      </c>
      <c r="H43" s="16">
        <f t="shared" si="2"/>
        <v>43.132712746417646</v>
      </c>
      <c r="I43" s="16">
        <f t="shared" si="2"/>
        <v>1.49859686302682</v>
      </c>
      <c r="J43" s="16">
        <f t="shared" si="2"/>
        <v>0.37432966575922572</v>
      </c>
      <c r="K43" s="16">
        <f t="shared" si="2"/>
        <v>227.33272353927205</v>
      </c>
      <c r="L43" s="16">
        <f t="shared" si="2"/>
        <v>24.877470785440618</v>
      </c>
      <c r="M43" s="16">
        <f t="shared" si="2"/>
        <v>65.349966714559372</v>
      </c>
      <c r="N43" s="16">
        <f t="shared" si="2"/>
        <v>189.87393978878765</v>
      </c>
      <c r="O43" s="16">
        <f t="shared" si="2"/>
        <v>0</v>
      </c>
      <c r="P43" s="16">
        <f t="shared" si="2"/>
        <v>0.9780024024108076</v>
      </c>
      <c r="Q43" s="16">
        <f t="shared" si="2"/>
        <v>31.878355679165768</v>
      </c>
      <c r="R43" s="16"/>
      <c r="S43" s="16"/>
      <c r="T43" s="16"/>
      <c r="U43" s="16"/>
    </row>
    <row r="44" spans="1:21" s="54" customFormat="1" x14ac:dyDescent="0.25">
      <c r="A44" s="94" t="s">
        <v>77</v>
      </c>
      <c r="B44" s="16">
        <f t="shared" ref="B44:Q44" si="3">STDEV(B9:B38)</f>
        <v>8.4829519931181121</v>
      </c>
      <c r="C44" s="16">
        <f t="shared" si="3"/>
        <v>7.6794887258021909</v>
      </c>
      <c r="D44" s="16">
        <f t="shared" si="3"/>
        <v>10.360854998651694</v>
      </c>
      <c r="E44" s="16">
        <f t="shared" si="3"/>
        <v>3.0912748065089186</v>
      </c>
      <c r="F44" s="16">
        <f t="shared" si="3"/>
        <v>2.7601688199564878</v>
      </c>
      <c r="G44" s="16">
        <f t="shared" si="3"/>
        <v>32.626428373735628</v>
      </c>
      <c r="H44" s="16">
        <f t="shared" si="3"/>
        <v>22.369912862409414</v>
      </c>
      <c r="I44" s="16">
        <f t="shared" si="3"/>
        <v>6.2632205444496927E-3</v>
      </c>
      <c r="J44" s="16">
        <f t="shared" si="3"/>
        <v>0.14570515949409707</v>
      </c>
      <c r="K44" s="16">
        <f t="shared" si="3"/>
        <v>41.794860128633765</v>
      </c>
      <c r="L44" s="16">
        <f t="shared" si="3"/>
        <v>1.8744764746128195</v>
      </c>
      <c r="M44" s="16">
        <f t="shared" si="3"/>
        <v>8.0325544894637808</v>
      </c>
      <c r="N44" s="16">
        <f t="shared" si="3"/>
        <v>40.724130400426745</v>
      </c>
      <c r="O44" s="16">
        <f t="shared" si="3"/>
        <v>0</v>
      </c>
      <c r="P44" s="16">
        <f t="shared" si="3"/>
        <v>0.20095262700913399</v>
      </c>
      <c r="Q44" s="16">
        <f t="shared" si="3"/>
        <v>68.725765364149865</v>
      </c>
      <c r="R44" s="16"/>
      <c r="S44" s="16"/>
      <c r="T44" s="16"/>
      <c r="U44" s="16"/>
    </row>
    <row r="45" spans="1:21" s="54" customFormat="1" x14ac:dyDescent="0.25">
      <c r="A45" s="94" t="s">
        <v>62</v>
      </c>
      <c r="B45" s="13">
        <f>COUNT(B9:B39)</f>
        <v>31</v>
      </c>
      <c r="C45" s="13">
        <f t="shared" ref="C45:Q45" si="4">COUNT(C9:C39)</f>
        <v>31</v>
      </c>
      <c r="D45" s="13">
        <f t="shared" si="4"/>
        <v>31</v>
      </c>
      <c r="E45" s="13">
        <f t="shared" si="4"/>
        <v>31</v>
      </c>
      <c r="F45" s="13">
        <f t="shared" si="4"/>
        <v>31</v>
      </c>
      <c r="G45" s="13">
        <f t="shared" si="4"/>
        <v>31</v>
      </c>
      <c r="H45" s="13">
        <f t="shared" si="4"/>
        <v>31</v>
      </c>
      <c r="I45" s="13">
        <f t="shared" si="4"/>
        <v>31</v>
      </c>
      <c r="J45" s="13">
        <f t="shared" si="4"/>
        <v>31</v>
      </c>
      <c r="K45" s="13">
        <f t="shared" si="4"/>
        <v>31</v>
      </c>
      <c r="L45" s="13">
        <f t="shared" si="4"/>
        <v>31</v>
      </c>
      <c r="M45" s="13">
        <f t="shared" si="4"/>
        <v>31</v>
      </c>
      <c r="N45" s="13">
        <f t="shared" si="4"/>
        <v>31</v>
      </c>
      <c r="O45" s="13">
        <f t="shared" si="4"/>
        <v>31</v>
      </c>
      <c r="P45" s="13">
        <f t="shared" si="4"/>
        <v>31</v>
      </c>
      <c r="Q45" s="13">
        <f t="shared" si="4"/>
        <v>31</v>
      </c>
      <c r="R45" s="13"/>
      <c r="S45" s="13"/>
      <c r="T45" s="13"/>
      <c r="U45" s="13"/>
    </row>
    <row r="46" spans="1:21" s="54" customFormat="1" x14ac:dyDescent="0.25">
      <c r="A46" s="94" t="s">
        <v>63</v>
      </c>
      <c r="B46" s="13" t="str">
        <f>IF(B45&gt;=28,"&gt;90%",IF(B45&lt;=28,"&lt;90%"))</f>
        <v>&gt;90%</v>
      </c>
      <c r="C46" s="13" t="str">
        <f t="shared" ref="C46:Q46" si="5">IF(C45&gt;=28,"&gt;90%",IF(C45&lt;=28,"&lt;90%"))</f>
        <v>&gt;90%</v>
      </c>
      <c r="D46" s="13" t="str">
        <f t="shared" si="5"/>
        <v>&gt;90%</v>
      </c>
      <c r="E46" s="13" t="str">
        <f t="shared" si="5"/>
        <v>&gt;90%</v>
      </c>
      <c r="F46" s="13" t="str">
        <f t="shared" si="5"/>
        <v>&gt;90%</v>
      </c>
      <c r="G46" s="13" t="str">
        <f t="shared" si="5"/>
        <v>&gt;90%</v>
      </c>
      <c r="H46" s="13" t="str">
        <f t="shared" si="5"/>
        <v>&gt;90%</v>
      </c>
      <c r="I46" s="13" t="str">
        <f t="shared" si="5"/>
        <v>&gt;90%</v>
      </c>
      <c r="J46" s="13" t="str">
        <f t="shared" si="5"/>
        <v>&gt;90%</v>
      </c>
      <c r="K46" s="13" t="str">
        <f t="shared" si="5"/>
        <v>&gt;90%</v>
      </c>
      <c r="L46" s="13" t="str">
        <f t="shared" si="5"/>
        <v>&gt;90%</v>
      </c>
      <c r="M46" s="13" t="str">
        <f t="shared" si="5"/>
        <v>&gt;90%</v>
      </c>
      <c r="N46" s="13" t="str">
        <f t="shared" si="5"/>
        <v>&gt;90%</v>
      </c>
      <c r="O46" s="13" t="str">
        <f t="shared" si="5"/>
        <v>&gt;90%</v>
      </c>
      <c r="P46" s="13" t="str">
        <f t="shared" si="5"/>
        <v>&gt;90%</v>
      </c>
      <c r="Q46" s="13" t="str">
        <f t="shared" si="5"/>
        <v>&gt;90%</v>
      </c>
      <c r="R46" s="13"/>
      <c r="S46" s="13"/>
      <c r="T46" s="13"/>
      <c r="U46" s="13"/>
    </row>
    <row r="47" spans="1:21" x14ac:dyDescent="0.25">
      <c r="A47" s="94" t="s">
        <v>5</v>
      </c>
      <c r="B47" s="13" t="str">
        <f>IF(B45&gt;=28,"OK",IF(B45&lt;=28,"LESS"))</f>
        <v>OK</v>
      </c>
      <c r="C47" s="13" t="str">
        <f t="shared" ref="C47:Q47" si="6">IF(C45&gt;=28,"OK",IF(C45&lt;=28,"LESS"))</f>
        <v>OK</v>
      </c>
      <c r="D47" s="13" t="str">
        <f t="shared" si="6"/>
        <v>OK</v>
      </c>
      <c r="E47" s="13" t="str">
        <f t="shared" si="6"/>
        <v>OK</v>
      </c>
      <c r="F47" s="13" t="str">
        <f t="shared" si="6"/>
        <v>OK</v>
      </c>
      <c r="G47" s="13" t="str">
        <f t="shared" si="6"/>
        <v>OK</v>
      </c>
      <c r="H47" s="13" t="str">
        <f t="shared" si="6"/>
        <v>OK</v>
      </c>
      <c r="I47" s="13" t="str">
        <f t="shared" si="6"/>
        <v>OK</v>
      </c>
      <c r="J47" s="13" t="str">
        <f t="shared" si="6"/>
        <v>OK</v>
      </c>
      <c r="K47" s="13" t="str">
        <f t="shared" si="6"/>
        <v>OK</v>
      </c>
      <c r="L47" s="13" t="str">
        <f t="shared" si="6"/>
        <v>OK</v>
      </c>
      <c r="M47" s="13" t="str">
        <f t="shared" si="6"/>
        <v>OK</v>
      </c>
      <c r="N47" s="13" t="str">
        <f t="shared" si="6"/>
        <v>OK</v>
      </c>
      <c r="O47" s="13" t="str">
        <f t="shared" si="6"/>
        <v>OK</v>
      </c>
      <c r="P47" s="13" t="str">
        <f t="shared" si="6"/>
        <v>OK</v>
      </c>
      <c r="Q47" s="13" t="str">
        <f t="shared" si="6"/>
        <v>OK</v>
      </c>
      <c r="R47" s="13"/>
      <c r="S47" s="13"/>
      <c r="T47" s="13"/>
      <c r="U47" s="13"/>
    </row>
    <row r="48" spans="1:21" x14ac:dyDescent="0.25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50" spans="1:16" x14ac:dyDescent="0.25">
      <c r="A50" s="94" t="s">
        <v>64</v>
      </c>
      <c r="B50" s="107" t="s">
        <v>215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</row>
    <row r="51" spans="1:16" x14ac:dyDescent="0.25">
      <c r="A51" s="97"/>
      <c r="B51" s="54"/>
      <c r="C51" s="54"/>
      <c r="D51" s="2"/>
      <c r="E51" s="2"/>
      <c r="F51" s="2"/>
      <c r="G51" s="2"/>
      <c r="H51" s="2"/>
      <c r="I51" s="2"/>
      <c r="J51" s="54"/>
      <c r="K51" s="54"/>
      <c r="L51" s="54"/>
      <c r="M51" s="54"/>
      <c r="N51" s="54"/>
      <c r="O51" s="54"/>
      <c r="P51" s="54"/>
    </row>
    <row r="52" spans="1:16" ht="15.75" x14ac:dyDescent="0.25">
      <c r="A52" s="98" t="s">
        <v>65</v>
      </c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  <row r="55" spans="1:16" x14ac:dyDescent="0.25">
      <c r="A55" s="97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</row>
  </sheetData>
  <mergeCells count="1">
    <mergeCell ref="B52:P52"/>
  </mergeCells>
  <pageMargins left="0.17" right="0.17" top="0.19" bottom="0.16" header="0.17" footer="0.16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abSelected="1" zoomScale="85" zoomScaleNormal="85" workbookViewId="0">
      <selection activeCell="D3" sqref="D3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3" t="s">
        <v>241</v>
      </c>
      <c r="E1" s="223"/>
      <c r="F1" s="223"/>
      <c r="G1" s="223"/>
      <c r="H1" s="223"/>
      <c r="I1" s="223"/>
      <c r="J1" s="224"/>
    </row>
    <row r="2" spans="2:24" ht="22.5" customHeight="1" thickBot="1" x14ac:dyDescent="0.3">
      <c r="B2" s="54"/>
      <c r="C2" s="111" t="s">
        <v>0</v>
      </c>
      <c r="D2" s="112" t="s">
        <v>3222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7" t="s">
        <v>1</v>
      </c>
      <c r="H5" s="227"/>
      <c r="I5" s="40"/>
      <c r="J5" s="40"/>
      <c r="K5" s="40"/>
      <c r="L5" s="40"/>
      <c r="M5" s="41"/>
      <c r="O5" s="68"/>
      <c r="P5" s="69"/>
      <c r="Q5" s="69"/>
      <c r="R5" s="69"/>
      <c r="S5" s="207" t="s">
        <v>238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214" t="s">
        <v>485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201.34</v>
      </c>
      <c r="I8" s="60">
        <v>0</v>
      </c>
      <c r="J8" s="61">
        <f>F8/H8</f>
        <v>0.99334459123870067</v>
      </c>
      <c r="K8" s="61">
        <f>(H8-F8)*100/F8</f>
        <v>0.67000000000000171</v>
      </c>
      <c r="L8" s="60" t="s">
        <v>67</v>
      </c>
      <c r="M8" s="78" t="s">
        <v>215</v>
      </c>
      <c r="O8" s="214" t="s">
        <v>490</v>
      </c>
      <c r="P8" s="64" t="s">
        <v>70</v>
      </c>
      <c r="Q8" s="64">
        <v>4552.24</v>
      </c>
      <c r="R8" s="64">
        <v>3854.26</v>
      </c>
      <c r="S8" s="77" t="s">
        <v>243</v>
      </c>
      <c r="T8" s="77">
        <v>834.21</v>
      </c>
      <c r="U8" s="86">
        <v>0.89739999999999998</v>
      </c>
      <c r="V8" s="86">
        <v>0.89670000000000005</v>
      </c>
      <c r="W8" s="60" t="s">
        <v>67</v>
      </c>
      <c r="X8" s="78" t="s">
        <v>215</v>
      </c>
    </row>
    <row r="9" spans="2:24" ht="15.75" x14ac:dyDescent="0.25">
      <c r="B9" s="63">
        <v>45212.555555555555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202</v>
      </c>
      <c r="I9" s="60">
        <v>0</v>
      </c>
      <c r="J9" s="61">
        <f t="shared" ref="J9:J14" si="0">F9/H9</f>
        <v>0.99009900990099009</v>
      </c>
      <c r="K9" s="61">
        <f t="shared" ref="K9:K14" si="1">(H9-F9)*100/F9</f>
        <v>1</v>
      </c>
      <c r="L9" s="60" t="s">
        <v>67</v>
      </c>
      <c r="M9" s="62" t="s">
        <v>215</v>
      </c>
      <c r="O9" s="63">
        <v>45210.504166666666</v>
      </c>
      <c r="P9" s="64" t="s">
        <v>70</v>
      </c>
      <c r="Q9" s="64">
        <v>4475.75</v>
      </c>
      <c r="R9" s="64">
        <v>3389.3</v>
      </c>
      <c r="S9" s="77" t="s">
        <v>243</v>
      </c>
      <c r="T9" s="77">
        <v>836.44</v>
      </c>
      <c r="U9" s="86">
        <v>0.89670000000000005</v>
      </c>
      <c r="V9" s="86">
        <v>0.8952</v>
      </c>
      <c r="W9" s="60" t="s">
        <v>67</v>
      </c>
      <c r="X9" s="62" t="s">
        <v>215</v>
      </c>
    </row>
    <row r="10" spans="2:24" ht="15.75" x14ac:dyDescent="0.25">
      <c r="B10" s="63">
        <v>45223.541666666664</v>
      </c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>
        <v>201.24</v>
      </c>
      <c r="I10" s="60">
        <v>0</v>
      </c>
      <c r="J10" s="61">
        <f t="shared" si="0"/>
        <v>0.99383820314052873</v>
      </c>
      <c r="K10" s="61">
        <f t="shared" si="1"/>
        <v>0.62000000000000455</v>
      </c>
      <c r="L10" s="60" t="s">
        <v>67</v>
      </c>
      <c r="M10" s="62" t="s">
        <v>215</v>
      </c>
      <c r="O10" s="63">
        <v>45223.53125</v>
      </c>
      <c r="P10" s="64" t="s">
        <v>70</v>
      </c>
      <c r="Q10" s="64">
        <v>429677</v>
      </c>
      <c r="R10" s="64">
        <v>3256.64</v>
      </c>
      <c r="S10" s="77" t="s">
        <v>243</v>
      </c>
      <c r="T10" s="77">
        <v>837.39</v>
      </c>
      <c r="U10" s="86">
        <v>0.89080000000000004</v>
      </c>
      <c r="V10" s="86">
        <v>0.88829999999999998</v>
      </c>
      <c r="W10" s="60" t="s">
        <v>67</v>
      </c>
      <c r="X10" s="62" t="s">
        <v>215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215</v>
      </c>
      <c r="O11" s="63"/>
      <c r="P11" s="64" t="s">
        <v>70</v>
      </c>
      <c r="Q11" s="64"/>
      <c r="R11" s="64"/>
      <c r="S11" s="77" t="s">
        <v>243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243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6" t="s">
        <v>25</v>
      </c>
      <c r="D21" s="226"/>
      <c r="E21" s="226"/>
      <c r="F21" s="226"/>
      <c r="G21" s="226"/>
      <c r="H21" s="226"/>
      <c r="I21" s="45">
        <f>COUNT(B8:B20)</f>
        <v>2</v>
      </c>
      <c r="J21" s="46"/>
      <c r="K21" s="46"/>
      <c r="L21" s="47"/>
      <c r="M21" s="48"/>
      <c r="O21" s="80"/>
      <c r="P21" s="228" t="s">
        <v>84</v>
      </c>
      <c r="Q21" s="228"/>
      <c r="R21" s="228"/>
      <c r="S21" s="228"/>
      <c r="T21" s="81">
        <f>COUNT(O8:O20)</f>
        <v>2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5" t="s">
        <v>2</v>
      </c>
      <c r="H24" s="225"/>
      <c r="I24" s="40"/>
      <c r="J24" s="51"/>
      <c r="K24" s="51"/>
      <c r="L24" s="40"/>
      <c r="M24" s="41"/>
      <c r="O24" s="68"/>
      <c r="P24" s="69"/>
      <c r="Q24" s="69"/>
      <c r="R24" s="69"/>
      <c r="S24" s="207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214" t="s">
        <v>491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204.16</v>
      </c>
      <c r="I27" s="60">
        <v>0</v>
      </c>
      <c r="J27" s="61">
        <f>F27/H27</f>
        <v>0.97962382445141072</v>
      </c>
      <c r="K27" s="61">
        <f>(H27-F27)*100/F27</f>
        <v>2.0799999999999983</v>
      </c>
      <c r="L27" s="60" t="s">
        <v>67</v>
      </c>
      <c r="M27" s="78" t="s">
        <v>215</v>
      </c>
      <c r="O27" s="214" t="s">
        <v>490</v>
      </c>
      <c r="P27" s="64" t="s">
        <v>71</v>
      </c>
      <c r="Q27" s="64">
        <v>5217.33</v>
      </c>
      <c r="R27" s="64">
        <v>4635.32</v>
      </c>
      <c r="S27" s="77" t="s">
        <v>244</v>
      </c>
      <c r="T27" s="77">
        <v>840.24</v>
      </c>
      <c r="U27" s="86">
        <v>0.95420000000000005</v>
      </c>
      <c r="V27" s="86">
        <v>0.97440000000000004</v>
      </c>
      <c r="W27" s="60" t="s">
        <v>67</v>
      </c>
      <c r="X27" s="78" t="s">
        <v>215</v>
      </c>
    </row>
    <row r="28" spans="2:24" s="24" customFormat="1" ht="15.75" x14ac:dyDescent="0.25">
      <c r="B28" s="63">
        <v>45210.5625</v>
      </c>
      <c r="C28" s="60" t="s">
        <v>68</v>
      </c>
      <c r="D28" s="60" t="s">
        <v>51</v>
      </c>
      <c r="E28" s="60">
        <v>0</v>
      </c>
      <c r="F28" s="60">
        <v>200</v>
      </c>
      <c r="G28" s="60"/>
      <c r="H28" s="61">
        <v>200.8</v>
      </c>
      <c r="I28" s="60">
        <v>0</v>
      </c>
      <c r="J28" s="61">
        <f t="shared" ref="J28:J33" si="2">F28/H28</f>
        <v>0.99601593625497997</v>
      </c>
      <c r="K28" s="61">
        <f t="shared" ref="K28:K33" si="3">(H28-F28)*100/F28</f>
        <v>0.40000000000000568</v>
      </c>
      <c r="L28" s="60" t="s">
        <v>67</v>
      </c>
      <c r="M28" s="62" t="s">
        <v>239</v>
      </c>
      <c r="O28" s="63">
        <v>45210.504166666666</v>
      </c>
      <c r="P28" s="64" t="s">
        <v>71</v>
      </c>
      <c r="Q28" s="64">
        <v>6156.18</v>
      </c>
      <c r="R28" s="64">
        <v>4767.08</v>
      </c>
      <c r="S28" s="77" t="s">
        <v>244</v>
      </c>
      <c r="T28" s="77">
        <v>838.55</v>
      </c>
      <c r="U28" s="86">
        <v>0.9647</v>
      </c>
      <c r="V28" s="86">
        <v>0.97440000000000004</v>
      </c>
      <c r="W28" s="60" t="s">
        <v>67</v>
      </c>
      <c r="X28" s="62" t="s">
        <v>215</v>
      </c>
    </row>
    <row r="29" spans="2:24" s="24" customFormat="1" ht="15.75" x14ac:dyDescent="0.25">
      <c r="B29" s="63">
        <v>45223.552083333336</v>
      </c>
      <c r="C29" s="60" t="s">
        <v>68</v>
      </c>
      <c r="D29" s="60" t="s">
        <v>51</v>
      </c>
      <c r="E29" s="60">
        <v>0</v>
      </c>
      <c r="F29" s="60">
        <v>200</v>
      </c>
      <c r="G29" s="60"/>
      <c r="H29" s="61">
        <v>203.26</v>
      </c>
      <c r="I29" s="60">
        <v>0</v>
      </c>
      <c r="J29" s="61">
        <f t="shared" si="2"/>
        <v>0.98396142871199455</v>
      </c>
      <c r="K29" s="61">
        <f t="shared" si="3"/>
        <v>1.6299999999999955</v>
      </c>
      <c r="L29" s="60" t="s">
        <v>67</v>
      </c>
      <c r="M29" s="62" t="s">
        <v>240</v>
      </c>
      <c r="O29" s="63">
        <v>45223.53125</v>
      </c>
      <c r="P29" s="64" t="s">
        <v>71</v>
      </c>
      <c r="Q29" s="64">
        <v>5825.29</v>
      </c>
      <c r="R29" s="64">
        <v>4498.83</v>
      </c>
      <c r="S29" s="77" t="s">
        <v>244</v>
      </c>
      <c r="T29" s="77">
        <v>840.86</v>
      </c>
      <c r="U29" s="86">
        <v>0.95909999999999995</v>
      </c>
      <c r="V29" s="86">
        <v>0.96660000000000001</v>
      </c>
      <c r="W29" s="60" t="s">
        <v>67</v>
      </c>
      <c r="X29" s="62" t="s">
        <v>215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240</v>
      </c>
      <c r="O30" s="63"/>
      <c r="P30" s="64" t="s">
        <v>71</v>
      </c>
      <c r="Q30" s="64"/>
      <c r="R30" s="64"/>
      <c r="S30" s="77" t="s">
        <v>244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8" t="s">
        <v>85</v>
      </c>
      <c r="Q40" s="228"/>
      <c r="R40" s="228"/>
      <c r="S40" s="228"/>
      <c r="T40" s="81">
        <f>COUNT(O27:O39)</f>
        <v>2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6" t="s">
        <v>26</v>
      </c>
      <c r="E41" s="226"/>
      <c r="F41" s="226"/>
      <c r="G41" s="226"/>
      <c r="H41" s="226"/>
      <c r="I41" s="226"/>
      <c r="J41" s="52">
        <f>COUNT(B27:B39)</f>
        <v>2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5" t="s">
        <v>23</v>
      </c>
      <c r="H44" s="225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239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6" t="s">
        <v>27</v>
      </c>
      <c r="E61" s="226"/>
      <c r="F61" s="226"/>
      <c r="G61" s="226"/>
      <c r="H61" s="226"/>
      <c r="I61" s="226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5" t="s">
        <v>3</v>
      </c>
      <c r="H64" s="225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45202.583333333336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5.14</v>
      </c>
      <c r="I67" s="60">
        <v>0</v>
      </c>
      <c r="J67" s="61">
        <f>F67/H67</f>
        <v>0.97276264591439698</v>
      </c>
      <c r="K67" s="61">
        <f>(H67-F67)*100/F67</f>
        <v>2.7999999999999936</v>
      </c>
      <c r="L67" s="60" t="s">
        <v>67</v>
      </c>
      <c r="M67" s="78" t="s">
        <v>239</v>
      </c>
    </row>
    <row r="68" spans="2:13" ht="15.75" x14ac:dyDescent="0.25">
      <c r="B68" s="63">
        <v>45212.569444444445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5.09</v>
      </c>
      <c r="I68" s="60">
        <v>0</v>
      </c>
      <c r="J68" s="61">
        <f t="shared" ref="J68:J73" si="4">F68/H68</f>
        <v>0.98231827111984282</v>
      </c>
      <c r="K68" s="61">
        <f t="shared" ref="K68:K73" si="5">(H68-F68)*100/F68</f>
        <v>1.7999999999999972</v>
      </c>
      <c r="L68" s="60" t="s">
        <v>67</v>
      </c>
      <c r="M68" s="62" t="s">
        <v>240</v>
      </c>
    </row>
    <row r="69" spans="2:13" ht="15.75" x14ac:dyDescent="0.25">
      <c r="B69" s="63">
        <v>45223.5625</v>
      </c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>
        <v>5.1340000000000003</v>
      </c>
      <c r="I69" s="60">
        <v>0</v>
      </c>
      <c r="J69" s="61">
        <f t="shared" si="4"/>
        <v>0.97389949357226324</v>
      </c>
      <c r="K69" s="61">
        <f t="shared" si="5"/>
        <v>2.6800000000000068</v>
      </c>
      <c r="L69" s="60" t="s">
        <v>67</v>
      </c>
      <c r="M69" s="62" t="s">
        <v>240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240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6" t="s">
        <v>28</v>
      </c>
      <c r="E81" s="226"/>
      <c r="F81" s="226"/>
      <c r="G81" s="226"/>
      <c r="H81" s="226"/>
      <c r="I81" s="226"/>
      <c r="J81" s="52">
        <f>COUNT(B67:B79)</f>
        <v>3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5" t="s">
        <v>24</v>
      </c>
      <c r="H84" s="225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6" t="s">
        <v>29</v>
      </c>
      <c r="E101" s="226"/>
      <c r="F101" s="226"/>
      <c r="G101" s="226"/>
      <c r="H101" s="226"/>
      <c r="I101" s="226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7" t="s">
        <v>4</v>
      </c>
      <c r="H104" s="227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/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/>
      <c r="I107" s="60">
        <f>G107-E107</f>
        <v>0</v>
      </c>
      <c r="J107" s="61" t="e">
        <f>F107/H107</f>
        <v>#DIV/0!</v>
      </c>
      <c r="K107" s="61">
        <f>(H107-F107)*100/F107</f>
        <v>-100</v>
      </c>
      <c r="L107" s="60" t="s">
        <v>67</v>
      </c>
      <c r="M107" s="62" t="s">
        <v>239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 t="s">
        <v>240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240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240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6" t="s">
        <v>69</v>
      </c>
      <c r="D119" s="226"/>
      <c r="E119" s="226"/>
      <c r="F119" s="226"/>
      <c r="G119" s="226"/>
      <c r="H119" s="226"/>
      <c r="I119" s="52">
        <f>COUNT(B107:B118)</f>
        <v>0</v>
      </c>
      <c r="J119" s="46"/>
      <c r="K119" s="46"/>
      <c r="L119" s="47"/>
      <c r="M119" s="48"/>
    </row>
  </sheetData>
  <mergeCells count="15">
    <mergeCell ref="C119:H119"/>
    <mergeCell ref="G64:H64"/>
    <mergeCell ref="D81:I81"/>
    <mergeCell ref="G84:H84"/>
    <mergeCell ref="D101:I101"/>
    <mergeCell ref="G104:H104"/>
    <mergeCell ref="D61:I61"/>
    <mergeCell ref="P21:S21"/>
    <mergeCell ref="P40:S40"/>
    <mergeCell ref="D41:I41"/>
    <mergeCell ref="D1:J1"/>
    <mergeCell ref="G44:H44"/>
    <mergeCell ref="C21:H21"/>
    <mergeCell ref="G5:H5"/>
    <mergeCell ref="G24:H2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D4" sqref="D4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9" t="s">
        <v>242</v>
      </c>
      <c r="C2" s="229"/>
      <c r="D2" s="230">
        <v>45200</v>
      </c>
      <c r="E2" s="230"/>
    </row>
    <row r="3" spans="1:5" x14ac:dyDescent="0.25">
      <c r="B3" s="229" t="s">
        <v>21</v>
      </c>
      <c r="C3" s="229"/>
      <c r="D3" s="230"/>
      <c r="E3" s="230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14" t="s">
        <v>2892</v>
      </c>
      <c r="C8" s="214" t="s">
        <v>2900</v>
      </c>
      <c r="D8" s="33">
        <f t="shared" ref="D8:D13" si="0">C8-B8</f>
        <v>8.3333333335758653E-2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8.3333333335758653E-2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31" t="s">
        <v>22</v>
      </c>
      <c r="C44" s="231"/>
      <c r="D44" s="20">
        <f>SUM(D11:D42)</f>
        <v>8.3333333335758653E-2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32" t="s">
        <v>219</v>
      </c>
      <c r="C2" s="232"/>
      <c r="D2" s="232"/>
      <c r="E2" s="232"/>
      <c r="F2" s="233">
        <v>44713</v>
      </c>
      <c r="G2" s="234"/>
      <c r="H2" s="234"/>
    </row>
    <row r="3" spans="2:24" s="12" customFormat="1" ht="15" customHeight="1" x14ac:dyDescent="0.25">
      <c r="B3" s="232"/>
      <c r="C3" s="232"/>
      <c r="D3" s="232"/>
      <c r="E3" s="232"/>
      <c r="F3" s="234"/>
      <c r="G3" s="234"/>
      <c r="H3" s="234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35" t="s">
        <v>4</v>
      </c>
      <c r="C12" s="237" t="s">
        <v>133</v>
      </c>
      <c r="D12" s="238"/>
      <c r="E12" s="238"/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127"/>
      <c r="U12" s="125"/>
    </row>
    <row r="13" spans="2:24" ht="15" customHeight="1" x14ac:dyDescent="0.25">
      <c r="B13" s="236"/>
      <c r="C13" s="128" t="s">
        <v>78</v>
      </c>
      <c r="D13" s="129" t="s">
        <v>83</v>
      </c>
      <c r="E13" s="129" t="s">
        <v>134</v>
      </c>
      <c r="F13" s="129" t="s">
        <v>216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36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36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36"/>
      <c r="C16" s="195">
        <v>2425504512</v>
      </c>
      <c r="D16" s="195">
        <v>2513962496</v>
      </c>
      <c r="E16" s="60">
        <v>1445.7</v>
      </c>
      <c r="F16" s="60" t="s">
        <v>217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217</v>
      </c>
      <c r="L16" s="60" t="s">
        <v>218</v>
      </c>
      <c r="M16" s="60">
        <v>485</v>
      </c>
      <c r="N16" s="60" t="s">
        <v>218</v>
      </c>
      <c r="O16" s="60">
        <v>30</v>
      </c>
      <c r="P16" s="60">
        <v>49.5</v>
      </c>
      <c r="Q16" s="60">
        <v>50</v>
      </c>
      <c r="R16" s="150" t="s">
        <v>215</v>
      </c>
      <c r="X16" s="11"/>
    </row>
    <row r="17" spans="2:28" ht="15.75" customHeight="1" x14ac:dyDescent="0.25">
      <c r="B17" s="236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36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9" t="s">
        <v>2</v>
      </c>
      <c r="C25" s="241" t="s">
        <v>133</v>
      </c>
      <c r="D25" s="242"/>
      <c r="E25" s="242"/>
      <c r="F25" s="242"/>
      <c r="G25" s="242"/>
      <c r="H25" s="242"/>
      <c r="I25" s="242"/>
      <c r="J25" s="242"/>
      <c r="K25" s="242"/>
      <c r="L25" s="242"/>
      <c r="M25" s="242"/>
      <c r="N25" s="242"/>
      <c r="O25" s="242"/>
      <c r="P25" s="242"/>
      <c r="Q25" s="242"/>
      <c r="R25" s="243"/>
      <c r="S25" s="188"/>
      <c r="T25" s="189"/>
    </row>
    <row r="26" spans="2:28" ht="15" customHeight="1" x14ac:dyDescent="0.3">
      <c r="B26" s="239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39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9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40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47" t="s">
        <v>3</v>
      </c>
      <c r="C36" s="249" t="s">
        <v>133</v>
      </c>
      <c r="D36" s="249"/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50"/>
    </row>
    <row r="37" spans="2:25" ht="15.75" customHeight="1" x14ac:dyDescent="0.25">
      <c r="B37" s="248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48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48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48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51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52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52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52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52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9" t="s">
        <v>184</v>
      </c>
      <c r="C61" s="241" t="s">
        <v>133</v>
      </c>
      <c r="D61" s="242"/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/>
      <c r="P61" s="242"/>
      <c r="Q61" s="242"/>
      <c r="R61" s="243"/>
      <c r="S61" s="166"/>
      <c r="T61" s="167"/>
    </row>
    <row r="62" spans="2:20" ht="15.75" x14ac:dyDescent="0.3">
      <c r="B62" s="239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53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53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40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9" t="s">
        <v>201</v>
      </c>
      <c r="C69" s="241" t="s">
        <v>133</v>
      </c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2"/>
      <c r="Q69" s="242"/>
      <c r="R69" s="243"/>
      <c r="S69" s="166"/>
      <c r="T69" s="167"/>
    </row>
    <row r="70" spans="2:20" ht="15.75" x14ac:dyDescent="0.3">
      <c r="B70" s="239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39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53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40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44" t="s">
        <v>24</v>
      </c>
      <c r="C77" s="243" t="s">
        <v>133</v>
      </c>
      <c r="D77" s="246"/>
      <c r="E77" s="246"/>
      <c r="F77" s="246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R77" s="177"/>
      <c r="S77" s="177"/>
      <c r="T77" s="178"/>
    </row>
    <row r="78" spans="2:20" x14ac:dyDescent="0.25">
      <c r="B78" s="245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45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45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45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45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45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2024-08-28T14:05:01Z</dcterms:modified>
</cp:coreProperties>
</file>